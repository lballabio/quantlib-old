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615" windowHeight="12720"/>
  </bookViews>
  <sheets>
    <sheet name="General Settings" sheetId="29" r:id="rId1"/>
    <sheet name="6MSynthDepo_used" sheetId="40" r:id="rId2"/>
    <sheet name="6MSynthDepo_allScenario" sheetId="39" r:id="rId3"/>
    <sheet name="3MSynthDepo_used" sheetId="53" r:id="rId4"/>
    <sheet name="3MSynthDepo_allScenario" sheetId="54" r:id="rId5"/>
    <sheet name="12MSynthDepo_used" sheetId="55" r:id="rId6"/>
    <sheet name="12MSynthDepo_allScenario" sheetId="56" r:id="rId7"/>
    <sheet name="1MSynthDepo_used" sheetId="57" r:id="rId8"/>
    <sheet name="1MSynthDepo_allScenario" sheetId="58" r:id="rId9"/>
  </sheets>
  <externalReferences>
    <externalReference r:id="rId10"/>
    <externalReference r:id="rId11"/>
  </externalReferences>
  <definedNames>
    <definedName name="AllTriggers">'General Settings'!$D$15:$D$19</definedName>
    <definedName name="Basis_coef" localSheetId="5">'12MSynthDepo_used'!$P$6:$P$10</definedName>
    <definedName name="Basis_coef" localSheetId="7">'1MSynthDepo_used'!$P$6:$P$10</definedName>
    <definedName name="Basis_coef" localSheetId="3">'3MSynthDepo_used'!$P$6:$P$10</definedName>
    <definedName name="Basis_coef" localSheetId="1">'6MSynthDepo_used'!$P$6:$P$10</definedName>
    <definedName name="Calendar">'General Settings'!$D$5</definedName>
    <definedName name="Currency">'General Settings'!$D$4</definedName>
    <definedName name="DayCounter">'General Settings'!$D$9</definedName>
    <definedName name="Discounting">'General Settings'!$D$8</definedName>
    <definedName name="EvaluationDate">'General Settings'!$D$16</definedName>
    <definedName name="IborType">'General Settings'!$D$6</definedName>
    <definedName name="InterestRatesTrigger">'General Settings'!$D$17</definedName>
    <definedName name="IsSimple" localSheetId="6">'12MSynthDepo_allScenario'!$G$24</definedName>
    <definedName name="IsSimple" localSheetId="8">'1MSynthDepo_allScenario'!$G$21</definedName>
    <definedName name="IsSimple" localSheetId="4">'3MSynthDepo_allScenario'!$G$24</definedName>
    <definedName name="IsSimple" localSheetId="2">'6MSynthDepo_allScenario'!$G$24</definedName>
    <definedName name="LastFixingsTrigger">'General Settings'!$D$18</definedName>
    <definedName name="ObjectOverwrite">'General Settings'!$I$5</definedName>
    <definedName name="OisCurve">'General Settings'!$D$8</definedName>
    <definedName name="ON_12M_index">'12MSynthDepo_allScenario'!$D$26</definedName>
    <definedName name="ON_1M_index">'1MSynthDepo_allScenario'!$D$23</definedName>
    <definedName name="ON_3M_index">'3MSynthDepo_allScenario'!$D$26</definedName>
    <definedName name="ON_6M_index">'6MSynthDepo_allScenario'!$D$26</definedName>
    <definedName name="OvernightIndex">'General Settings'!$D$7</definedName>
    <definedName name="Permanent">'General Settings'!$I$4</definedName>
    <definedName name="QuoteSuffix">'General Settings'!$I$6</definedName>
    <definedName name="SettlementDate">'General Settings'!$D$10</definedName>
    <definedName name="solver_adj" localSheetId="6" hidden="1">'12MSynthDepo_allScenario'!$AB$28:$AB$30</definedName>
    <definedName name="solver_adj" localSheetId="5" hidden="1">'12MSynthDepo_used'!#REF!</definedName>
    <definedName name="solver_adj" localSheetId="8" hidden="1">'1MSynthDepo_allScenario'!$AB$25:$AB$27</definedName>
    <definedName name="solver_adj" localSheetId="7" hidden="1">'1MSynthDepo_used'!#REF!</definedName>
    <definedName name="solver_adj" localSheetId="4" hidden="1">'3MSynthDepo_allScenario'!$AB$28:$AB$30</definedName>
    <definedName name="solver_adj" localSheetId="3" hidden="1">'3MSynthDepo_used'!#REF!</definedName>
    <definedName name="solver_adj" localSheetId="2" hidden="1">'6MSynthDepo_allScenario'!$AB$28:$AB$30</definedName>
    <definedName name="solver_adj" localSheetId="1" hidden="1">'6MSynthDepo_used'!#REF!</definedName>
    <definedName name="solver_cvg" localSheetId="6" hidden="1">0.0000000000001</definedName>
    <definedName name="solver_cvg" localSheetId="5" hidden="1">0.0000000000001</definedName>
    <definedName name="solver_cvg" localSheetId="8" hidden="1">0.0000000000001</definedName>
    <definedName name="solver_cvg" localSheetId="7" hidden="1">0.0000000000001</definedName>
    <definedName name="solver_cvg" localSheetId="4" hidden="1">0.0000000000001</definedName>
    <definedName name="solver_cvg" localSheetId="3" hidden="1">0.0000000000001</definedName>
    <definedName name="solver_cvg" localSheetId="2" hidden="1">0.0000000000001</definedName>
    <definedName name="solver_cvg" localSheetId="1" hidden="1">0.0000000000001</definedName>
    <definedName name="solver_drv" localSheetId="6" hidden="1">1</definedName>
    <definedName name="solver_drv" localSheetId="5" hidden="1">1</definedName>
    <definedName name="solver_drv" localSheetId="8" hidden="1">1</definedName>
    <definedName name="solver_drv" localSheetId="7" hidden="1">1</definedName>
    <definedName name="solver_drv" localSheetId="4" hidden="1">1</definedName>
    <definedName name="solver_drv" localSheetId="3" hidden="1">1</definedName>
    <definedName name="solver_drv" localSheetId="2" hidden="1">1</definedName>
    <definedName name="solver_drv" localSheetId="1" hidden="1">1</definedName>
    <definedName name="solver_eng" localSheetId="6" hidden="1">1</definedName>
    <definedName name="solver_eng" localSheetId="5" hidden="1">1</definedName>
    <definedName name="solver_eng" localSheetId="8" hidden="1">1</definedName>
    <definedName name="solver_eng" localSheetId="7" hidden="1">1</definedName>
    <definedName name="solver_eng" localSheetId="4" hidden="1">1</definedName>
    <definedName name="solver_eng" localSheetId="3" hidden="1">1</definedName>
    <definedName name="solver_eng" localSheetId="2" hidden="1">1</definedName>
    <definedName name="solver_eng" localSheetId="1" hidden="1">1</definedName>
    <definedName name="solver_est" localSheetId="6" hidden="1">1</definedName>
    <definedName name="solver_est" localSheetId="5" hidden="1">1</definedName>
    <definedName name="solver_est" localSheetId="8" hidden="1">1</definedName>
    <definedName name="solver_est" localSheetId="7" hidden="1">1</definedName>
    <definedName name="solver_est" localSheetId="4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itr" localSheetId="6" hidden="1">2147483647</definedName>
    <definedName name="solver_itr" localSheetId="5" hidden="1">2147483647</definedName>
    <definedName name="solver_itr" localSheetId="8" hidden="1">2147483647</definedName>
    <definedName name="solver_itr" localSheetId="7" hidden="1">2147483647</definedName>
    <definedName name="solver_itr" localSheetId="4" hidden="1">2147483647</definedName>
    <definedName name="solver_itr" localSheetId="3" hidden="1">2147483647</definedName>
    <definedName name="solver_itr" localSheetId="2" hidden="1">2147483647</definedName>
    <definedName name="solver_itr" localSheetId="1" hidden="1">2147483647</definedName>
    <definedName name="solver_mip" localSheetId="6" hidden="1">2147483647</definedName>
    <definedName name="solver_mip" localSheetId="5" hidden="1">2147483647</definedName>
    <definedName name="solver_mip" localSheetId="8" hidden="1">2147483647</definedName>
    <definedName name="solver_mip" localSheetId="7" hidden="1">2147483647</definedName>
    <definedName name="solver_mip" localSheetId="4" hidden="1">2147483647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ni" localSheetId="6" hidden="1">30</definedName>
    <definedName name="solver_mni" localSheetId="5" hidden="1">30</definedName>
    <definedName name="solver_mni" localSheetId="8" hidden="1">30</definedName>
    <definedName name="solver_mni" localSheetId="7" hidden="1">30</definedName>
    <definedName name="solver_mni" localSheetId="4" hidden="1">30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rt" localSheetId="6" hidden="1">0.075</definedName>
    <definedName name="solver_mrt" localSheetId="5" hidden="1">0.075</definedName>
    <definedName name="solver_mrt" localSheetId="8" hidden="1">0.075</definedName>
    <definedName name="solver_mrt" localSheetId="7" hidden="1">0.075</definedName>
    <definedName name="solver_mrt" localSheetId="4" hidden="1">0.075</definedName>
    <definedName name="solver_mrt" localSheetId="3" hidden="1">0.075</definedName>
    <definedName name="solver_mrt" localSheetId="2" hidden="1">0.075</definedName>
    <definedName name="solver_mrt" localSheetId="1" hidden="1">0.075</definedName>
    <definedName name="solver_msl" localSheetId="6" hidden="1">2</definedName>
    <definedName name="solver_msl" localSheetId="5" hidden="1">2</definedName>
    <definedName name="solver_msl" localSheetId="8" hidden="1">2</definedName>
    <definedName name="solver_msl" localSheetId="7" hidden="1">2</definedName>
    <definedName name="solver_msl" localSheetId="4" hidden="1">2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neg" localSheetId="6" hidden="1">2</definedName>
    <definedName name="solver_neg" localSheetId="5" hidden="1">2</definedName>
    <definedName name="solver_neg" localSheetId="8" hidden="1">2</definedName>
    <definedName name="solver_neg" localSheetId="7" hidden="1">2</definedName>
    <definedName name="solver_neg" localSheetId="4" hidden="1">2</definedName>
    <definedName name="solver_neg" localSheetId="3" hidden="1">2</definedName>
    <definedName name="solver_neg" localSheetId="2" hidden="1">2</definedName>
    <definedName name="solver_neg" localSheetId="1" hidden="1">2</definedName>
    <definedName name="solver_nod" localSheetId="6" hidden="1">2147483647</definedName>
    <definedName name="solver_nod" localSheetId="5" hidden="1">2147483647</definedName>
    <definedName name="solver_nod" localSheetId="8" hidden="1">2147483647</definedName>
    <definedName name="solver_nod" localSheetId="7" hidden="1">2147483647</definedName>
    <definedName name="solver_nod" localSheetId="4" hidden="1">2147483647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um" localSheetId="6" hidden="1">0</definedName>
    <definedName name="solver_num" localSheetId="5" hidden="1">0</definedName>
    <definedName name="solver_num" localSheetId="8" hidden="1">0</definedName>
    <definedName name="solver_num" localSheetId="7" hidden="1">0</definedName>
    <definedName name="solver_num" localSheetId="4" hidden="1">0</definedName>
    <definedName name="solver_num" localSheetId="3" hidden="1">0</definedName>
    <definedName name="solver_num" localSheetId="2" hidden="1">0</definedName>
    <definedName name="solver_num" localSheetId="1" hidden="1">0</definedName>
    <definedName name="solver_nwt" localSheetId="6" hidden="1">1</definedName>
    <definedName name="solver_nwt" localSheetId="5" hidden="1">1</definedName>
    <definedName name="solver_nwt" localSheetId="8" hidden="1">1</definedName>
    <definedName name="solver_nwt" localSheetId="7" hidden="1">1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opt" localSheetId="6" hidden="1">'12MSynthDepo_allScenario'!#REF!</definedName>
    <definedName name="solver_opt" localSheetId="5" hidden="1">'12MSynthDepo_used'!#REF!</definedName>
    <definedName name="solver_opt" localSheetId="8" hidden="1">'1MSynthDepo_allScenario'!#REF!</definedName>
    <definedName name="solver_opt" localSheetId="7" hidden="1">'1MSynthDepo_used'!#REF!</definedName>
    <definedName name="solver_opt" localSheetId="4" hidden="1">'3MSynthDepo_allScenario'!#REF!</definedName>
    <definedName name="solver_opt" localSheetId="3" hidden="1">'3MSynthDepo_used'!#REF!</definedName>
    <definedName name="solver_opt" localSheetId="2" hidden="1">'6MSynthDepo_allScenario'!#REF!</definedName>
    <definedName name="solver_opt" localSheetId="1" hidden="1">'6MSynthDepo_used'!#REF!</definedName>
    <definedName name="solver_pre" localSheetId="6" hidden="1">0.000001</definedName>
    <definedName name="solver_pre" localSheetId="5" hidden="1">0.000001</definedName>
    <definedName name="solver_pre" localSheetId="8" hidden="1">0.000001</definedName>
    <definedName name="solver_pre" localSheetId="7" hidden="1">0.000001</definedName>
    <definedName name="solver_pre" localSheetId="4" hidden="1">0.000001</definedName>
    <definedName name="solver_pre" localSheetId="3" hidden="1">0.000001</definedName>
    <definedName name="solver_pre" localSheetId="2" hidden="1">0.000001</definedName>
    <definedName name="solver_pre" localSheetId="1" hidden="1">0.000001</definedName>
    <definedName name="solver_rbv" localSheetId="6" hidden="1">1</definedName>
    <definedName name="solver_rbv" localSheetId="5" hidden="1">1</definedName>
    <definedName name="solver_rbv" localSheetId="8" hidden="1">1</definedName>
    <definedName name="solver_rbv" localSheetId="7" hidden="1">1</definedName>
    <definedName name="solver_rbv" localSheetId="4" hidden="1">1</definedName>
    <definedName name="solver_rbv" localSheetId="3" hidden="1">1</definedName>
    <definedName name="solver_rbv" localSheetId="2" hidden="1">1</definedName>
    <definedName name="solver_rbv" localSheetId="1" hidden="1">1</definedName>
    <definedName name="solver_rlx" localSheetId="6" hidden="1">2</definedName>
    <definedName name="solver_rlx" localSheetId="5" hidden="1">2</definedName>
    <definedName name="solver_rlx" localSheetId="8" hidden="1">2</definedName>
    <definedName name="solver_rlx" localSheetId="7" hidden="1">2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sd" localSheetId="6" hidden="1">0</definedName>
    <definedName name="solver_rsd" localSheetId="5" hidden="1">0</definedName>
    <definedName name="solver_rsd" localSheetId="8" hidden="1">0</definedName>
    <definedName name="solver_rsd" localSheetId="7" hidden="1">0</definedName>
    <definedName name="solver_rsd" localSheetId="4" hidden="1">0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scl" localSheetId="6" hidden="1">1</definedName>
    <definedName name="solver_scl" localSheetId="5" hidden="1">1</definedName>
    <definedName name="solver_scl" localSheetId="8" hidden="1">1</definedName>
    <definedName name="solver_scl" localSheetId="7" hidden="1">1</definedName>
    <definedName name="solver_scl" localSheetId="4" hidden="1">1</definedName>
    <definedName name="solver_scl" localSheetId="3" hidden="1">1</definedName>
    <definedName name="solver_scl" localSheetId="2" hidden="1">1</definedName>
    <definedName name="solver_scl" localSheetId="1" hidden="1">1</definedName>
    <definedName name="solver_sho" localSheetId="6" hidden="1">2</definedName>
    <definedName name="solver_sho" localSheetId="5" hidden="1">2</definedName>
    <definedName name="solver_sho" localSheetId="8" hidden="1">2</definedName>
    <definedName name="solver_sho" localSheetId="7" hidden="1">2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sz" localSheetId="6" hidden="1">100</definedName>
    <definedName name="solver_ssz" localSheetId="5" hidden="1">100</definedName>
    <definedName name="solver_ssz" localSheetId="8" hidden="1">100</definedName>
    <definedName name="solver_ssz" localSheetId="7" hidden="1">100</definedName>
    <definedName name="solver_ssz" localSheetId="4" hidden="1">100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tim" localSheetId="6" hidden="1">2147483647</definedName>
    <definedName name="solver_tim" localSheetId="5" hidden="1">2147483647</definedName>
    <definedName name="solver_tim" localSheetId="8" hidden="1">2147483647</definedName>
    <definedName name="solver_tim" localSheetId="7" hidden="1">2147483647</definedName>
    <definedName name="solver_tim" localSheetId="4" hidden="1">2147483647</definedName>
    <definedName name="solver_tim" localSheetId="3" hidden="1">2147483647</definedName>
    <definedName name="solver_tim" localSheetId="2" hidden="1">2147483647</definedName>
    <definedName name="solver_tim" localSheetId="1" hidden="1">2147483647</definedName>
    <definedName name="solver_tol" localSheetId="6" hidden="1">0.01</definedName>
    <definedName name="solver_tol" localSheetId="5" hidden="1">0.01</definedName>
    <definedName name="solver_tol" localSheetId="8" hidden="1">0.01</definedName>
    <definedName name="solver_tol" localSheetId="7" hidden="1">0.01</definedName>
    <definedName name="solver_tol" localSheetId="4" hidden="1">0.01</definedName>
    <definedName name="solver_tol" localSheetId="3" hidden="1">0.01</definedName>
    <definedName name="solver_tol" localSheetId="2" hidden="1">0.01</definedName>
    <definedName name="solver_tol" localSheetId="1" hidden="1">0.01</definedName>
    <definedName name="solver_typ" localSheetId="6" hidden="1">2</definedName>
    <definedName name="solver_typ" localSheetId="5" hidden="1">2</definedName>
    <definedName name="solver_typ" localSheetId="8" hidden="1">2</definedName>
    <definedName name="solver_typ" localSheetId="7" hidden="1">2</definedName>
    <definedName name="solver_typ" localSheetId="4" hidden="1">2</definedName>
    <definedName name="solver_typ" localSheetId="3" hidden="1">2</definedName>
    <definedName name="solver_typ" localSheetId="2" hidden="1">2</definedName>
    <definedName name="solver_typ" localSheetId="1" hidden="1">2</definedName>
    <definedName name="solver_val" localSheetId="6" hidden="1">0</definedName>
    <definedName name="solver_val" localSheetId="5" hidden="1">0</definedName>
    <definedName name="solver_val" localSheetId="8" hidden="1">0</definedName>
    <definedName name="solver_val" localSheetId="7" hidden="1">0</definedName>
    <definedName name="solver_val" localSheetId="4" hidden="1">0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er" localSheetId="6" hidden="1">3</definedName>
    <definedName name="solver_ver" localSheetId="5" hidden="1">3</definedName>
    <definedName name="solver_ver" localSheetId="8" hidden="1">3</definedName>
    <definedName name="solver_ver" localSheetId="7" hidden="1">3</definedName>
    <definedName name="solver_ver" localSheetId="4" hidden="1">3</definedName>
    <definedName name="solver_ver" localSheetId="3" hidden="1">3</definedName>
    <definedName name="solver_ver" localSheetId="2" hidden="1">3</definedName>
    <definedName name="solver_ver" localSheetId="1" hidden="1">3</definedName>
    <definedName name="TenorBasis6M" localSheetId="5">'12MSynthDepo_used'!$P$3</definedName>
    <definedName name="TenorBasis6M" localSheetId="7">'1MSynthDepo_used'!$P$3</definedName>
    <definedName name="TenorBasis6M" localSheetId="3">'3MSynthDepo_used'!$P$3</definedName>
    <definedName name="TenorBasis6M">'6MSynthDepo_used'!$P$3</definedName>
    <definedName name="Trigger">'General Settings'!$D$15</definedName>
    <definedName name="TriggerCounter">'General Settings'!$D$19</definedName>
  </definedNames>
  <calcPr calcId="145621"/>
</workbook>
</file>

<file path=xl/calcChain.xml><?xml version="1.0" encoding="utf-8"?>
<calcChain xmlns="http://schemas.openxmlformats.org/spreadsheetml/2006/main">
  <c r="H13" i="54" l="1"/>
  <c r="F46" i="58"/>
  <c r="F45" i="58"/>
  <c r="F44" i="58"/>
  <c r="F43" i="58"/>
  <c r="H13" i="39"/>
  <c r="H13" i="56"/>
  <c r="AA31" i="58"/>
  <c r="BO4" i="58" s="1"/>
  <c r="Y31" i="58"/>
  <c r="BM4" i="58" s="1"/>
  <c r="W31" i="58"/>
  <c r="BK4" i="58" s="1"/>
  <c r="U31" i="58"/>
  <c r="S31" i="58"/>
  <c r="BG4" i="58" s="1"/>
  <c r="G31" i="58"/>
  <c r="BE4" i="58" s="1"/>
  <c r="A15" i="58"/>
  <c r="B14" i="58"/>
  <c r="C14" i="58" s="1"/>
  <c r="H13" i="58"/>
  <c r="G13" i="58"/>
  <c r="U12" i="58"/>
  <c r="S12" i="58"/>
  <c r="J6" i="58"/>
  <c r="A6" i="58"/>
  <c r="A17" i="58" s="1"/>
  <c r="J5" i="58"/>
  <c r="A5" i="58"/>
  <c r="A16" i="58" s="1"/>
  <c r="B16" i="58" s="1"/>
  <c r="C16" i="58" s="1"/>
  <c r="BI4" i="58"/>
  <c r="J4" i="58"/>
  <c r="B4" i="58"/>
  <c r="C4" i="58" s="1"/>
  <c r="A4" i="58"/>
  <c r="J3" i="58"/>
  <c r="A3" i="58"/>
  <c r="A14" i="58" s="1"/>
  <c r="H2" i="58"/>
  <c r="G2" i="58"/>
  <c r="U1" i="58"/>
  <c r="S1" i="58"/>
  <c r="X25" i="57"/>
  <c r="C8" i="57"/>
  <c r="C6" i="57"/>
  <c r="D6" i="57" s="1"/>
  <c r="C5" i="57"/>
  <c r="D3" i="57"/>
  <c r="C3" i="57"/>
  <c r="I2" i="57"/>
  <c r="D2" i="57"/>
  <c r="J9" i="56"/>
  <c r="B9" i="56"/>
  <c r="C9" i="56"/>
  <c r="A15" i="56"/>
  <c r="A16" i="56"/>
  <c r="A17" i="56"/>
  <c r="A18" i="56"/>
  <c r="A19" i="56"/>
  <c r="A20" i="56"/>
  <c r="H16" i="58"/>
  <c r="H14" i="58"/>
  <c r="H4" i="58"/>
  <c r="H9" i="56"/>
  <c r="H8" i="56"/>
  <c r="H7" i="56"/>
  <c r="H6" i="56"/>
  <c r="H5" i="56"/>
  <c r="H4" i="56"/>
  <c r="H3" i="56"/>
  <c r="H20" i="56"/>
  <c r="H19" i="56"/>
  <c r="H18" i="56"/>
  <c r="H17" i="56"/>
  <c r="H16" i="56"/>
  <c r="H15" i="56"/>
  <c r="H14" i="56"/>
  <c r="H16" i="54"/>
  <c r="H20" i="54"/>
  <c r="H19" i="54"/>
  <c r="H18" i="54"/>
  <c r="H17" i="54"/>
  <c r="H15" i="54"/>
  <c r="H14" i="54"/>
  <c r="H9" i="54"/>
  <c r="H8" i="54"/>
  <c r="H7" i="54"/>
  <c r="H6" i="54"/>
  <c r="H5" i="54"/>
  <c r="H4" i="54"/>
  <c r="H3" i="54"/>
  <c r="H20" i="39"/>
  <c r="H19" i="39"/>
  <c r="H18" i="39"/>
  <c r="H17" i="39"/>
  <c r="H16" i="39"/>
  <c r="H15" i="39"/>
  <c r="H14" i="39"/>
  <c r="H9" i="39"/>
  <c r="H8" i="39"/>
  <c r="H7" i="39"/>
  <c r="H6" i="39"/>
  <c r="H5" i="39"/>
  <c r="H4" i="39"/>
  <c r="H3" i="39"/>
  <c r="AG5" i="58" a="1"/>
  <c r="AG9" i="58" a="1"/>
  <c r="AG14" i="58" a="1"/>
  <c r="D23" i="58"/>
  <c r="AG19" i="58" a="1"/>
  <c r="E4" i="57"/>
  <c r="E5" i="57"/>
  <c r="E6" i="57"/>
  <c r="E3" i="57"/>
  <c r="E8" i="57"/>
  <c r="C7" i="57" l="1"/>
  <c r="AG20" i="58"/>
  <c r="AG21" i="58"/>
  <c r="AG19" i="58"/>
  <c r="AG15" i="58"/>
  <c r="AG14" i="58"/>
  <c r="AG16" i="58"/>
  <c r="AG10" i="58"/>
  <c r="AG9" i="58"/>
  <c r="AG5" i="58"/>
  <c r="AG6" i="58"/>
  <c r="B15" i="58"/>
  <c r="C15" i="58" s="1"/>
  <c r="B3" i="58"/>
  <c r="C3" i="58"/>
  <c r="B17" i="58"/>
  <c r="C17" i="58" s="1"/>
  <c r="B5" i="58"/>
  <c r="C5" i="58" s="1"/>
  <c r="B6" i="58"/>
  <c r="C6" i="58" s="1"/>
  <c r="D7" i="57"/>
  <c r="D5" i="57"/>
  <c r="D8" i="57"/>
  <c r="X42" i="55"/>
  <c r="X41" i="55"/>
  <c r="X40" i="55"/>
  <c r="X39" i="55"/>
  <c r="X38" i="55"/>
  <c r="X37" i="55"/>
  <c r="X36" i="55"/>
  <c r="X35" i="55"/>
  <c r="X34" i="55"/>
  <c r="X33" i="55"/>
  <c r="X32" i="55"/>
  <c r="X31" i="55"/>
  <c r="F78" i="56"/>
  <c r="F77" i="56"/>
  <c r="F76" i="56"/>
  <c r="F75" i="56"/>
  <c r="F74" i="56"/>
  <c r="F73" i="56"/>
  <c r="F72" i="56"/>
  <c r="F71" i="56"/>
  <c r="F70" i="56"/>
  <c r="F69" i="56"/>
  <c r="F68" i="56"/>
  <c r="F67" i="56"/>
  <c r="F66" i="56"/>
  <c r="D63" i="56"/>
  <c r="D62" i="56"/>
  <c r="D61" i="56"/>
  <c r="D60" i="56"/>
  <c r="D59" i="56"/>
  <c r="D58" i="56"/>
  <c r="D57" i="56"/>
  <c r="D56" i="56"/>
  <c r="D55" i="56"/>
  <c r="D54" i="56"/>
  <c r="D53" i="56"/>
  <c r="D52" i="56"/>
  <c r="AA34" i="56"/>
  <c r="BO4" i="56" s="1"/>
  <c r="Y34" i="56"/>
  <c r="BM4" i="56" s="1"/>
  <c r="W34" i="56"/>
  <c r="BK4" i="56" s="1"/>
  <c r="U34" i="56"/>
  <c r="BI4" i="56" s="1"/>
  <c r="S34" i="56"/>
  <c r="BG4" i="56" s="1"/>
  <c r="G34" i="56"/>
  <c r="BE4" i="56" s="1"/>
  <c r="B19" i="56"/>
  <c r="B18" i="56"/>
  <c r="B15" i="56"/>
  <c r="G13" i="56"/>
  <c r="U12" i="56"/>
  <c r="S12" i="56"/>
  <c r="J8" i="56"/>
  <c r="B8" i="56"/>
  <c r="C8" i="56" s="1"/>
  <c r="J7" i="56"/>
  <c r="B7" i="56"/>
  <c r="C7" i="56" s="1"/>
  <c r="J6" i="56"/>
  <c r="J5" i="56"/>
  <c r="J4" i="56"/>
  <c r="J3" i="56"/>
  <c r="A3" i="56"/>
  <c r="A14" i="56" s="1"/>
  <c r="B14" i="56" s="1"/>
  <c r="H2" i="56"/>
  <c r="G2" i="56"/>
  <c r="U1" i="56"/>
  <c r="S1" i="56"/>
  <c r="A8" i="55"/>
  <c r="A7" i="55"/>
  <c r="C6" i="55"/>
  <c r="C5" i="55"/>
  <c r="D5" i="55" s="1"/>
  <c r="C3" i="55"/>
  <c r="I2" i="55"/>
  <c r="D2" i="55"/>
  <c r="H6" i="58"/>
  <c r="H15" i="58"/>
  <c r="H3" i="58"/>
  <c r="H17" i="58"/>
  <c r="H5" i="58"/>
  <c r="E7" i="57"/>
  <c r="D26" i="56"/>
  <c r="AG14" i="56" a="1"/>
  <c r="AG9" i="56" a="1"/>
  <c r="AG5" i="56" a="1"/>
  <c r="AG19" i="56" a="1"/>
  <c r="E3" i="55"/>
  <c r="E4" i="55"/>
  <c r="AG20" i="56" l="1"/>
  <c r="AG19" i="56"/>
  <c r="AG21" i="56"/>
  <c r="AG5" i="56"/>
  <c r="AG6" i="56"/>
  <c r="AG9" i="56"/>
  <c r="AG10" i="56"/>
  <c r="AG14" i="56"/>
  <c r="AG15" i="56"/>
  <c r="AG16" i="56"/>
  <c r="C15" i="56"/>
  <c r="B17" i="56"/>
  <c r="C17" i="56" s="1"/>
  <c r="B4" i="56"/>
  <c r="C4" i="56" s="1"/>
  <c r="C18" i="56"/>
  <c r="B5" i="56"/>
  <c r="C5" i="56" s="1"/>
  <c r="C19" i="56"/>
  <c r="B20" i="56"/>
  <c r="C20" i="56" s="1"/>
  <c r="C14" i="56"/>
  <c r="B3" i="56"/>
  <c r="C3" i="56" s="1"/>
  <c r="B6" i="56"/>
  <c r="C6" i="56" s="1"/>
  <c r="C8" i="55"/>
  <c r="D6" i="55"/>
  <c r="A9" i="55"/>
  <c r="C7" i="55"/>
  <c r="D7" i="55" s="1"/>
  <c r="D3" i="55"/>
  <c r="F57" i="54"/>
  <c r="F56" i="54"/>
  <c r="F55" i="54"/>
  <c r="F54" i="54"/>
  <c r="D45" i="54"/>
  <c r="D44" i="54"/>
  <c r="D43" i="54"/>
  <c r="AA34" i="54"/>
  <c r="Y34" i="54"/>
  <c r="BM4" i="54" s="1"/>
  <c r="W34" i="54"/>
  <c r="BK4" i="54" s="1"/>
  <c r="U34" i="54"/>
  <c r="S34" i="54"/>
  <c r="G34" i="54"/>
  <c r="BE4" i="54" s="1"/>
  <c r="A14" i="54"/>
  <c r="B14" i="54" s="1"/>
  <c r="G13" i="54"/>
  <c r="U12" i="54"/>
  <c r="S12" i="54"/>
  <c r="J9" i="54"/>
  <c r="J8" i="54"/>
  <c r="J7" i="54"/>
  <c r="J6" i="54"/>
  <c r="A6" i="54"/>
  <c r="J5" i="54"/>
  <c r="A5" i="54"/>
  <c r="BO4" i="54"/>
  <c r="BI4" i="54"/>
  <c r="BG4" i="54"/>
  <c r="J4" i="54"/>
  <c r="A4" i="54"/>
  <c r="B4" i="54" s="1"/>
  <c r="J3" i="54"/>
  <c r="A3" i="54"/>
  <c r="H2" i="54"/>
  <c r="G2" i="54"/>
  <c r="U1" i="54"/>
  <c r="S1" i="54"/>
  <c r="P3" i="53"/>
  <c r="A8" i="53"/>
  <c r="A7" i="53"/>
  <c r="C6" i="53"/>
  <c r="C5" i="53"/>
  <c r="D5" i="53" s="1"/>
  <c r="C3" i="53"/>
  <c r="D3" i="53" s="1"/>
  <c r="I2" i="53"/>
  <c r="D2" i="53"/>
  <c r="AG19" i="54" a="1"/>
  <c r="AG14" i="54" a="1"/>
  <c r="AG9" i="54" a="1"/>
  <c r="AG5" i="54" a="1"/>
  <c r="E5" i="55"/>
  <c r="E7" i="55"/>
  <c r="E6" i="55"/>
  <c r="E8" i="55"/>
  <c r="D26" i="54"/>
  <c r="E3" i="53"/>
  <c r="E5" i="53"/>
  <c r="E6" i="53"/>
  <c r="E4" i="53"/>
  <c r="P13" i="53" a="1"/>
  <c r="P6" i="53" a="1"/>
  <c r="B16" i="56" l="1"/>
  <c r="C16" i="56" s="1"/>
  <c r="D8" i="55"/>
  <c r="A10" i="55"/>
  <c r="C9" i="55"/>
  <c r="AG6" i="54"/>
  <c r="AG5" i="54"/>
  <c r="AG10" i="54"/>
  <c r="AG9" i="54"/>
  <c r="AG15" i="54"/>
  <c r="AG14" i="54"/>
  <c r="AG16" i="54"/>
  <c r="AG19" i="54"/>
  <c r="AG21" i="54"/>
  <c r="AG20" i="54"/>
  <c r="B5" i="54"/>
  <c r="C5" i="54" s="1"/>
  <c r="B6" i="54"/>
  <c r="C6" i="54" s="1"/>
  <c r="A15" i="54"/>
  <c r="A16" i="54"/>
  <c r="A17" i="54"/>
  <c r="B3" i="54"/>
  <c r="C3" i="54" s="1"/>
  <c r="C14" i="54"/>
  <c r="C4" i="54"/>
  <c r="P9" i="53"/>
  <c r="P8" i="53"/>
  <c r="P7" i="53"/>
  <c r="P6" i="53"/>
  <c r="P10" i="53"/>
  <c r="P17" i="53"/>
  <c r="P14" i="53"/>
  <c r="P13" i="53"/>
  <c r="P16" i="53"/>
  <c r="P15" i="53"/>
  <c r="C8" i="53"/>
  <c r="A9" i="53"/>
  <c r="D6" i="53"/>
  <c r="C7" i="53"/>
  <c r="D7" i="53" s="1"/>
  <c r="U12" i="39"/>
  <c r="S12" i="39"/>
  <c r="AA34" i="39"/>
  <c r="Y34" i="39"/>
  <c r="E9" i="55"/>
  <c r="E7" i="53"/>
  <c r="E8" i="53"/>
  <c r="D9" i="55" l="1"/>
  <c r="C10" i="55"/>
  <c r="A11" i="55"/>
  <c r="B17" i="54"/>
  <c r="C17" i="54" s="1"/>
  <c r="B16" i="54"/>
  <c r="C16" i="54" s="1"/>
  <c r="B15" i="54"/>
  <c r="C15" i="54" s="1"/>
  <c r="D8" i="53"/>
  <c r="C9" i="53"/>
  <c r="D9" i="53" s="1"/>
  <c r="A10" i="53"/>
  <c r="W34" i="39"/>
  <c r="BK4" i="39" s="1"/>
  <c r="U34" i="39"/>
  <c r="BI4" i="39" s="1"/>
  <c r="I2" i="40"/>
  <c r="E10" i="55"/>
  <c r="E9" i="53"/>
  <c r="D10" i="55" l="1"/>
  <c r="A12" i="55"/>
  <c r="C11" i="55"/>
  <c r="C10" i="53"/>
  <c r="D10" i="53" s="1"/>
  <c r="E11" i="55"/>
  <c r="E10" i="53"/>
  <c r="D11" i="55" l="1"/>
  <c r="C12" i="55"/>
  <c r="D12" i="55"/>
  <c r="A13" i="55"/>
  <c r="X30" i="40"/>
  <c r="X29" i="40"/>
  <c r="X28" i="40"/>
  <c r="X27" i="40"/>
  <c r="X26" i="40"/>
  <c r="X25" i="40"/>
  <c r="E12" i="55"/>
  <c r="C13" i="55" l="1"/>
  <c r="D13" i="55" s="1"/>
  <c r="A14" i="55"/>
  <c r="J9" i="39"/>
  <c r="J8" i="39"/>
  <c r="J7" i="39"/>
  <c r="J6" i="39"/>
  <c r="J5" i="39"/>
  <c r="J4" i="39"/>
  <c r="J3" i="39"/>
  <c r="E4" i="40"/>
  <c r="A15" i="55" l="1"/>
  <c r="C14" i="55"/>
  <c r="C3" i="40"/>
  <c r="E13" i="55"/>
  <c r="E14" i="55"/>
  <c r="E3" i="40"/>
  <c r="D14" i="55" l="1"/>
  <c r="C15" i="55"/>
  <c r="A16" i="55"/>
  <c r="D15" i="55"/>
  <c r="A3" i="39"/>
  <c r="A4" i="39"/>
  <c r="A5" i="39"/>
  <c r="G13" i="39"/>
  <c r="H2" i="39"/>
  <c r="G2" i="39"/>
  <c r="E15" i="55"/>
  <c r="D26" i="39"/>
  <c r="C16" i="55" l="1"/>
  <c r="A16" i="39"/>
  <c r="A15" i="39"/>
  <c r="A14" i="39"/>
  <c r="E16" i="55"/>
  <c r="D16" i="55" l="1"/>
  <c r="C17" i="55"/>
  <c r="D17" i="55"/>
  <c r="F60" i="39"/>
  <c r="D51" i="39"/>
  <c r="BO4" i="39"/>
  <c r="S34" i="39"/>
  <c r="BG4" i="39" s="1"/>
  <c r="BM4" i="39"/>
  <c r="E17" i="55"/>
  <c r="G34" i="39" l="1"/>
  <c r="BE4" i="39" s="1"/>
  <c r="U1" i="39"/>
  <c r="S1" i="39"/>
  <c r="F59" i="39"/>
  <c r="F58" i="39"/>
  <c r="F57" i="39"/>
  <c r="F56" i="39"/>
  <c r="F55" i="39"/>
  <c r="D50" i="39"/>
  <c r="D49" i="39"/>
  <c r="D48" i="39"/>
  <c r="D47" i="39"/>
  <c r="D46" i="39"/>
  <c r="B16" i="39"/>
  <c r="C16" i="39" s="1"/>
  <c r="B15" i="39"/>
  <c r="C15" i="39" s="1"/>
  <c r="B14" i="39"/>
  <c r="C14" i="39" s="1"/>
  <c r="D3" i="40" l="1"/>
  <c r="B4" i="39" l="1"/>
  <c r="C4" i="39" s="1"/>
  <c r="B5" i="39"/>
  <c r="C5" i="39" s="1"/>
  <c r="B3" i="39"/>
  <c r="C3" i="39" s="1"/>
  <c r="D2" i="40"/>
  <c r="C6" i="40"/>
  <c r="C5" i="40"/>
  <c r="E6" i="40"/>
  <c r="E5" i="40"/>
  <c r="D6" i="40" l="1"/>
  <c r="D5" i="40"/>
  <c r="A7" i="40"/>
  <c r="A6" i="39" l="1"/>
  <c r="A17" i="39" s="1"/>
  <c r="A8" i="40"/>
  <c r="C7" i="40"/>
  <c r="E7" i="40"/>
  <c r="B6" i="39" l="1"/>
  <c r="C6" i="39" s="1"/>
  <c r="D7" i="40"/>
  <c r="A7" i="39"/>
  <c r="B17" i="39"/>
  <c r="C17" i="39" s="1"/>
  <c r="A18" i="39"/>
  <c r="B7" i="39"/>
  <c r="C7" i="39" s="1"/>
  <c r="A9" i="40"/>
  <c r="C8" i="40"/>
  <c r="E8" i="40"/>
  <c r="D8" i="40" l="1"/>
  <c r="A8" i="39"/>
  <c r="A19" i="39" s="1"/>
  <c r="B18" i="39"/>
  <c r="C18" i="39" s="1"/>
  <c r="B8" i="39"/>
  <c r="C8" i="39" s="1"/>
  <c r="C9" i="40"/>
  <c r="A10" i="40"/>
  <c r="E9" i="40"/>
  <c r="A9" i="39" l="1"/>
  <c r="A20" i="39" s="1"/>
  <c r="D9" i="40"/>
  <c r="B19" i="39"/>
  <c r="C19" i="39" s="1"/>
  <c r="C10" i="40"/>
  <c r="A11" i="40"/>
  <c r="E10" i="40"/>
  <c r="B9" i="39" l="1"/>
  <c r="C9" i="39" s="1"/>
  <c r="D10" i="40"/>
  <c r="B20" i="39"/>
  <c r="C20" i="39" s="1"/>
  <c r="C11" i="40"/>
  <c r="A12" i="40"/>
  <c r="E11" i="40"/>
  <c r="D11" i="40" l="1"/>
  <c r="C12" i="40"/>
  <c r="A13" i="40"/>
  <c r="E12" i="40"/>
  <c r="D12" i="40" l="1"/>
  <c r="C13" i="40"/>
  <c r="A14" i="40"/>
  <c r="E13" i="40"/>
  <c r="D16" i="29"/>
  <c r="D13" i="40" l="1"/>
  <c r="C14" i="40"/>
  <c r="A15" i="40"/>
  <c r="E14" i="40"/>
  <c r="D10" i="29"/>
  <c r="Z28" i="40"/>
  <c r="Y20" i="40"/>
  <c r="Z23" i="40"/>
  <c r="Z18" i="40"/>
  <c r="Y24" i="53"/>
  <c r="Y19" i="53"/>
  <c r="Z22" i="53"/>
  <c r="E40" i="54"/>
  <c r="Y24" i="40"/>
  <c r="Y29" i="40"/>
  <c r="Z30" i="40"/>
  <c r="Y18" i="53"/>
  <c r="Y22" i="53"/>
  <c r="Y21" i="40"/>
  <c r="Y19" i="40"/>
  <c r="G9" i="53"/>
  <c r="H9" i="53" s="1"/>
  <c r="Y23" i="53"/>
  <c r="F36" i="54"/>
  <c r="E45" i="54"/>
  <c r="F38" i="54"/>
  <c r="Z22" i="40"/>
  <c r="G8" i="53"/>
  <c r="H8" i="53" s="1"/>
  <c r="D17" i="54"/>
  <c r="E41" i="54"/>
  <c r="Z19" i="40"/>
  <c r="G10" i="53"/>
  <c r="D16" i="54"/>
  <c r="E44" i="54"/>
  <c r="Z27" i="40"/>
  <c r="Z17" i="40"/>
  <c r="Z20" i="53"/>
  <c r="Z23" i="53"/>
  <c r="E38" i="54"/>
  <c r="Y28" i="40"/>
  <c r="Y16" i="53"/>
  <c r="Z24" i="53"/>
  <c r="D15" i="54"/>
  <c r="Y15" i="53"/>
  <c r="E42" i="54"/>
  <c r="Y23" i="40"/>
  <c r="I17" i="54"/>
  <c r="H10" i="53"/>
  <c r="Z16" i="40"/>
  <c r="F42" i="54"/>
  <c r="L9" i="53"/>
  <c r="L8" i="53"/>
  <c r="L10" i="53"/>
  <c r="F39" i="54"/>
  <c r="F41" i="54"/>
  <c r="C11" i="53"/>
  <c r="Z21" i="53"/>
  <c r="Y17" i="53"/>
  <c r="Z19" i="53"/>
  <c r="Z20" i="40"/>
  <c r="Y30" i="40"/>
  <c r="Z25" i="40"/>
  <c r="Y18" i="40"/>
  <c r="E36" i="54"/>
  <c r="F40" i="54"/>
  <c r="I15" i="54"/>
  <c r="D5" i="54"/>
  <c r="Z16" i="53"/>
  <c r="G5" i="53"/>
  <c r="Z17" i="53"/>
  <c r="Z24" i="40"/>
  <c r="Y25" i="40"/>
  <c r="Y26" i="40"/>
  <c r="Y17" i="40"/>
  <c r="E43" i="54"/>
  <c r="I16" i="54"/>
  <c r="E37" i="54"/>
  <c r="D6" i="54"/>
  <c r="Y21" i="53"/>
  <c r="Y20" i="53"/>
  <c r="G7" i="53"/>
  <c r="Z29" i="40"/>
  <c r="Y16" i="40"/>
  <c r="Z15" i="40"/>
  <c r="Y27" i="40"/>
  <c r="E39" i="54"/>
  <c r="I6" i="54"/>
  <c r="N5" i="54"/>
  <c r="F37" i="54"/>
  <c r="D4" i="54"/>
  <c r="Z18" i="53"/>
  <c r="Z15" i="53"/>
  <c r="G6" i="53"/>
  <c r="Z21" i="40"/>
  <c r="Z26" i="40"/>
  <c r="Y15" i="40"/>
  <c r="Y22" i="40"/>
  <c r="D46" i="54"/>
  <c r="G11" i="53"/>
  <c r="C12" i="53"/>
  <c r="L5" i="53"/>
  <c r="H5" i="53"/>
  <c r="L7" i="53"/>
  <c r="H7" i="53"/>
  <c r="I4" i="54"/>
  <c r="N4" i="54"/>
  <c r="L6" i="53"/>
  <c r="H6" i="53"/>
  <c r="E46" i="54"/>
  <c r="L11" i="53"/>
  <c r="H11" i="53"/>
  <c r="G12" i="53"/>
  <c r="C13" i="53"/>
  <c r="L12" i="53"/>
  <c r="H12" i="53"/>
  <c r="C14" i="53"/>
  <c r="G13" i="53"/>
  <c r="G14" i="53"/>
  <c r="C15" i="53"/>
  <c r="L13" i="53"/>
  <c r="H13" i="53"/>
  <c r="L14" i="53"/>
  <c r="H14" i="53"/>
  <c r="C16" i="53"/>
  <c r="G15" i="53"/>
  <c r="G16" i="53"/>
  <c r="C17" i="53"/>
  <c r="L15" i="53"/>
  <c r="H15" i="53"/>
  <c r="L16" i="53"/>
  <c r="H16" i="53"/>
  <c r="C18" i="53"/>
  <c r="G17" i="53"/>
  <c r="G18" i="53"/>
  <c r="C19" i="53"/>
  <c r="L17" i="53"/>
  <c r="H17" i="53"/>
  <c r="L18" i="53"/>
  <c r="H18" i="53"/>
  <c r="C20" i="53"/>
  <c r="G19" i="53"/>
  <c r="G20" i="53"/>
  <c r="C21" i="53"/>
  <c r="L19" i="53"/>
  <c r="H19" i="53"/>
  <c r="L20" i="53"/>
  <c r="H20" i="53"/>
  <c r="C22" i="53"/>
  <c r="G21" i="53"/>
  <c r="G22" i="53"/>
  <c r="L21" i="53"/>
  <c r="H21" i="53"/>
  <c r="L22" i="53"/>
  <c r="H22" i="53"/>
  <c r="G17" i="55"/>
  <c r="G16" i="55"/>
  <c r="G15" i="55"/>
  <c r="G14" i="55"/>
  <c r="G13" i="55"/>
  <c r="G12" i="55"/>
  <c r="G11" i="55"/>
  <c r="G10" i="55"/>
  <c r="G9" i="55"/>
  <c r="G8" i="55"/>
  <c r="Z16" i="55"/>
  <c r="Y23" i="55"/>
  <c r="G5" i="55"/>
  <c r="Y15" i="55"/>
  <c r="Y21" i="55"/>
  <c r="Z21" i="55"/>
  <c r="Y20" i="55"/>
  <c r="Y29" i="55"/>
  <c r="Y16" i="55"/>
  <c r="Y27" i="55"/>
  <c r="Z30" i="55"/>
  <c r="Z29" i="55"/>
  <c r="Z25" i="55"/>
  <c r="G6" i="55"/>
  <c r="Y19" i="55"/>
  <c r="Z15" i="55"/>
  <c r="Z20" i="55"/>
  <c r="G7" i="55"/>
  <c r="Y28" i="55"/>
  <c r="Y18" i="55"/>
  <c r="Z22" i="55"/>
  <c r="Y24" i="55"/>
  <c r="Z28" i="55"/>
  <c r="Z18" i="55"/>
  <c r="Z24" i="55"/>
  <c r="Y30" i="55"/>
  <c r="Y26" i="55"/>
  <c r="Z27" i="55"/>
  <c r="Y17" i="55"/>
  <c r="Z19" i="55"/>
  <c r="Z17" i="55"/>
  <c r="Y25" i="55"/>
  <c r="Z26" i="55"/>
  <c r="Y22" i="55"/>
  <c r="Z23" i="55"/>
  <c r="D16" i="56"/>
  <c r="D5" i="56"/>
  <c r="D19" i="56"/>
  <c r="D17" i="56"/>
  <c r="D18" i="56"/>
  <c r="D15" i="56"/>
  <c r="D6" i="56"/>
  <c r="D4" i="56"/>
  <c r="N5" i="56"/>
  <c r="E46" i="56"/>
  <c r="E51" i="56"/>
  <c r="F36" i="56"/>
  <c r="E37" i="56"/>
  <c r="F51" i="56"/>
  <c r="N4" i="56"/>
  <c r="I6" i="56"/>
  <c r="F37" i="56"/>
  <c r="F40" i="56"/>
  <c r="E50" i="56"/>
  <c r="I15" i="56"/>
  <c r="E38" i="56"/>
  <c r="E41" i="56"/>
  <c r="F43" i="56"/>
  <c r="E49" i="56"/>
  <c r="D7" i="56"/>
  <c r="I5" i="56"/>
  <c r="N7" i="56"/>
  <c r="E48" i="56"/>
  <c r="D8" i="56"/>
  <c r="I17" i="56"/>
  <c r="I18" i="56"/>
  <c r="I19" i="56"/>
  <c r="F41" i="56"/>
  <c r="F44" i="56"/>
  <c r="E42" i="56"/>
  <c r="E47" i="56"/>
  <c r="F49" i="56"/>
  <c r="F38" i="56"/>
  <c r="E45" i="56"/>
  <c r="F50" i="56"/>
  <c r="I7" i="56"/>
  <c r="I8" i="56"/>
  <c r="I16" i="56"/>
  <c r="E39" i="56"/>
  <c r="F42" i="56"/>
  <c r="F39" i="56"/>
  <c r="E43" i="56"/>
  <c r="E36" i="56"/>
  <c r="E40" i="56"/>
  <c r="E44" i="56"/>
  <c r="F45" i="56"/>
  <c r="F46" i="56"/>
  <c r="F47" i="56"/>
  <c r="F48" i="56"/>
  <c r="N6" i="56"/>
  <c r="I4" i="56"/>
  <c r="N8" i="56"/>
  <c r="E52" i="56"/>
  <c r="E55" i="56"/>
  <c r="E58" i="56"/>
  <c r="E59" i="56"/>
  <c r="E60" i="56"/>
  <c r="E63" i="56"/>
  <c r="E56" i="56"/>
  <c r="E57" i="56"/>
  <c r="E53" i="56"/>
  <c r="E61" i="56"/>
  <c r="E54" i="56"/>
  <c r="E62" i="56"/>
  <c r="Y35" i="55"/>
  <c r="Y36" i="55"/>
  <c r="Y37" i="55"/>
  <c r="Y38" i="55"/>
  <c r="Y31" i="55"/>
  <c r="Y39" i="55"/>
  <c r="Y32" i="55"/>
  <c r="Y40" i="55"/>
  <c r="Y33" i="55"/>
  <c r="Y41" i="55"/>
  <c r="Y34" i="55"/>
  <c r="Y42" i="55"/>
  <c r="D20" i="56"/>
  <c r="D9" i="56"/>
  <c r="Y15" i="57"/>
  <c r="Y25" i="57"/>
  <c r="Z25" i="57"/>
  <c r="Y20" i="57"/>
  <c r="Y19" i="57"/>
  <c r="Z22" i="57"/>
  <c r="G8" i="57"/>
  <c r="Z19" i="57"/>
  <c r="Y17" i="57"/>
  <c r="Y24" i="57"/>
  <c r="Z18" i="57"/>
  <c r="Y21" i="57"/>
  <c r="G7" i="57"/>
  <c r="Y16" i="57"/>
  <c r="Z17" i="57"/>
  <c r="Z16" i="57"/>
  <c r="Z21" i="57"/>
  <c r="G6" i="57"/>
  <c r="Z24" i="57"/>
  <c r="Z15" i="57"/>
  <c r="Z20" i="57"/>
  <c r="G5" i="57"/>
  <c r="Y18" i="57"/>
  <c r="Y23" i="57"/>
  <c r="Y22" i="57"/>
  <c r="Z23" i="57"/>
  <c r="I5" i="54"/>
  <c r="N6" i="54"/>
  <c r="Z35" i="55"/>
  <c r="Z36" i="55"/>
  <c r="Z37" i="55"/>
  <c r="Z38" i="55"/>
  <c r="Z31" i="55"/>
  <c r="Z39" i="55"/>
  <c r="Z32" i="55"/>
  <c r="Z40" i="55"/>
  <c r="Z33" i="55"/>
  <c r="Z41" i="55"/>
  <c r="Z34" i="55"/>
  <c r="Z42" i="55"/>
  <c r="D15" i="58"/>
  <c r="F33" i="58"/>
  <c r="D5" i="58"/>
  <c r="D4" i="58"/>
  <c r="D6" i="58"/>
  <c r="E40" i="58"/>
  <c r="E37" i="58"/>
  <c r="E35" i="58"/>
  <c r="I5" i="58"/>
  <c r="I6" i="58"/>
  <c r="D17" i="58"/>
  <c r="F36" i="58"/>
  <c r="D16" i="58"/>
  <c r="E36" i="58"/>
  <c r="F37" i="58"/>
  <c r="I15" i="58"/>
  <c r="I4" i="58"/>
  <c r="F39" i="58"/>
  <c r="I16" i="58"/>
  <c r="F35" i="58"/>
  <c r="F40" i="58"/>
  <c r="N4" i="58"/>
  <c r="N5" i="58"/>
  <c r="N6" i="58"/>
  <c r="E33" i="58"/>
  <c r="E39" i="58"/>
  <c r="E34" i="58"/>
  <c r="E38" i="58"/>
  <c r="F34" i="58"/>
  <c r="F38" i="58"/>
  <c r="H17" i="55"/>
  <c r="H16" i="55"/>
  <c r="H15" i="55"/>
  <c r="H14" i="55"/>
  <c r="H13" i="55"/>
  <c r="H12" i="55"/>
  <c r="H11" i="55"/>
  <c r="H10" i="55"/>
  <c r="H9" i="55"/>
  <c r="H8" i="55"/>
  <c r="H5" i="55"/>
  <c r="H6" i="55"/>
  <c r="H7" i="55"/>
  <c r="I20" i="56"/>
  <c r="N9" i="56"/>
  <c r="I9" i="56"/>
  <c r="H8" i="57"/>
  <c r="H7" i="57"/>
  <c r="H6" i="57"/>
  <c r="H5" i="57"/>
  <c r="I17" i="58"/>
  <c r="L4" i="58" l="1"/>
  <c r="K4" i="58"/>
  <c r="K6" i="58"/>
  <c r="L6" i="58"/>
  <c r="K5" i="58"/>
  <c r="L5" i="58"/>
  <c r="BC6" i="58"/>
  <c r="D14" i="58"/>
  <c r="D3" i="58"/>
  <c r="L9" i="56"/>
  <c r="K9" i="56"/>
  <c r="R3" i="57"/>
  <c r="G3" i="57"/>
  <c r="G4" i="57"/>
  <c r="K4" i="56"/>
  <c r="L4" i="56"/>
  <c r="L8" i="56"/>
  <c r="K8" i="56"/>
  <c r="L7" i="56"/>
  <c r="K7" i="56"/>
  <c r="K5" i="56"/>
  <c r="L5" i="56"/>
  <c r="K6" i="56"/>
  <c r="L6" i="56"/>
  <c r="BC6" i="56"/>
  <c r="D3" i="56"/>
  <c r="D14" i="56"/>
  <c r="G3" i="55"/>
  <c r="R3" i="55"/>
  <c r="G4" i="55"/>
  <c r="X30" i="53"/>
  <c r="X29" i="53"/>
  <c r="X28" i="53"/>
  <c r="B9" i="54"/>
  <c r="X27" i="53"/>
  <c r="B8" i="54"/>
  <c r="X26" i="53"/>
  <c r="F58" i="54"/>
  <c r="B7" i="54"/>
  <c r="X25" i="53"/>
  <c r="D22" i="53"/>
  <c r="D21" i="53"/>
  <c r="D20" i="53"/>
  <c r="D19" i="53"/>
  <c r="D18" i="53"/>
  <c r="D17" i="53"/>
  <c r="D16" i="53"/>
  <c r="D15" i="53"/>
  <c r="D14" i="53"/>
  <c r="D13" i="53"/>
  <c r="D12" i="53"/>
  <c r="K6" i="54"/>
  <c r="L6" i="54"/>
  <c r="K4" i="54"/>
  <c r="L4" i="54"/>
  <c r="K5" i="54"/>
  <c r="L5" i="54"/>
  <c r="D11" i="53"/>
  <c r="BC6" i="54"/>
  <c r="D14" i="54"/>
  <c r="D3" i="54"/>
  <c r="R3" i="53"/>
  <c r="G4" i="53"/>
  <c r="G3" i="53"/>
  <c r="D14" i="40"/>
  <c r="G4" i="40"/>
  <c r="C15" i="40"/>
  <c r="A16" i="40"/>
  <c r="BD6" i="58"/>
  <c r="BC7" i="58"/>
  <c r="H3" i="55"/>
  <c r="I14" i="58"/>
  <c r="H4" i="57"/>
  <c r="I3" i="58"/>
  <c r="N3" i="58"/>
  <c r="H4" i="55"/>
  <c r="T3" i="57"/>
  <c r="BD6" i="56"/>
  <c r="BC7" i="56"/>
  <c r="N3" i="56"/>
  <c r="I3" i="56"/>
  <c r="I14" i="56"/>
  <c r="T3" i="55"/>
  <c r="R4" i="55"/>
  <c r="E22" i="53"/>
  <c r="Y29" i="53"/>
  <c r="Z29" i="53" s="1"/>
  <c r="Y26" i="53"/>
  <c r="Z26" i="53" s="1"/>
  <c r="T3" i="53"/>
  <c r="Y25" i="53"/>
  <c r="Z25" i="53" s="1"/>
  <c r="E21" i="53"/>
  <c r="E15" i="53"/>
  <c r="E12" i="53"/>
  <c r="I3" i="54"/>
  <c r="R4" i="53"/>
  <c r="T4" i="53"/>
  <c r="D9" i="54"/>
  <c r="Y27" i="53"/>
  <c r="Z27" i="53" s="1"/>
  <c r="E20" i="53"/>
  <c r="Y28" i="53"/>
  <c r="Z28" i="53" s="1"/>
  <c r="D47" i="54"/>
  <c r="N3" i="54"/>
  <c r="E15" i="40"/>
  <c r="BD6" i="54"/>
  <c r="D7" i="54"/>
  <c r="E17" i="53"/>
  <c r="E19" i="53"/>
  <c r="E14" i="53"/>
  <c r="R5" i="53"/>
  <c r="E18" i="53"/>
  <c r="BC7" i="54"/>
  <c r="T5" i="53"/>
  <c r="I14" i="54"/>
  <c r="Y30" i="53"/>
  <c r="Z30" i="53" s="1"/>
  <c r="E16" i="53"/>
  <c r="H4" i="53"/>
  <c r="E11" i="53"/>
  <c r="H3" i="53"/>
  <c r="R6" i="53"/>
  <c r="R7" i="53" s="1"/>
  <c r="T6" i="53"/>
  <c r="D8" i="54"/>
  <c r="E13" i="53"/>
  <c r="L3" i="53"/>
  <c r="L4" i="53"/>
  <c r="I9" i="54"/>
  <c r="N9" i="54"/>
  <c r="E47" i="54"/>
  <c r="N7" i="54"/>
  <c r="I7" i="54"/>
  <c r="BC8" i="54"/>
  <c r="BD7" i="54"/>
  <c r="T7" i="53"/>
  <c r="R8" i="53"/>
  <c r="I8" i="54"/>
  <c r="N8" i="54"/>
  <c r="BC9" i="54"/>
  <c r="BD8" i="54"/>
  <c r="R9" i="53"/>
  <c r="T8" i="53"/>
  <c r="BC10" i="54"/>
  <c r="BD9" i="54"/>
  <c r="R10" i="53"/>
  <c r="T9" i="53"/>
  <c r="BC11" i="54"/>
  <c r="BD10" i="54"/>
  <c r="T10" i="53"/>
  <c r="R11" i="53"/>
  <c r="BC12" i="54"/>
  <c r="BD11" i="54"/>
  <c r="R12" i="53"/>
  <c r="T11" i="53"/>
  <c r="BC13" i="54"/>
  <c r="BD12" i="54"/>
  <c r="R13" i="53"/>
  <c r="T12" i="53"/>
  <c r="BC14" i="54"/>
  <c r="BD13" i="54"/>
  <c r="R14" i="53"/>
  <c r="T13" i="53"/>
  <c r="BD14" i="54"/>
  <c r="BC15" i="54"/>
  <c r="T14" i="53"/>
  <c r="R15" i="53"/>
  <c r="BC16" i="54"/>
  <c r="BD15" i="54"/>
  <c r="R16" i="53"/>
  <c r="T15" i="53"/>
  <c r="BD16" i="54"/>
  <c r="BC17" i="54"/>
  <c r="R17" i="53"/>
  <c r="T16" i="53"/>
  <c r="BC18" i="54"/>
  <c r="BD17" i="54"/>
  <c r="R18" i="53"/>
  <c r="T17" i="53"/>
  <c r="BC19" i="54"/>
  <c r="BD18" i="54"/>
  <c r="T18" i="53"/>
  <c r="R19" i="53"/>
  <c r="BC20" i="54"/>
  <c r="BD19" i="54"/>
  <c r="R20" i="53"/>
  <c r="T19" i="53"/>
  <c r="BC21" i="54"/>
  <c r="BD20" i="54"/>
  <c r="R21" i="53"/>
  <c r="T20" i="53"/>
  <c r="BC22" i="54"/>
  <c r="BD21" i="54"/>
  <c r="R22" i="53"/>
  <c r="T21" i="53"/>
  <c r="BC23" i="54"/>
  <c r="BD22" i="54"/>
  <c r="T22" i="53"/>
  <c r="R23" i="53"/>
  <c r="BC24" i="54"/>
  <c r="BD23" i="54"/>
  <c r="R24" i="53"/>
  <c r="T23" i="53"/>
  <c r="BC25" i="54"/>
  <c r="BD24" i="54"/>
  <c r="R25" i="53"/>
  <c r="T24" i="53"/>
  <c r="BC26" i="54"/>
  <c r="BD25" i="54"/>
  <c r="R26" i="53"/>
  <c r="T25" i="53"/>
  <c r="BD26" i="54"/>
  <c r="BC27" i="54"/>
  <c r="T26" i="53"/>
  <c r="R27" i="53"/>
  <c r="BC28" i="54"/>
  <c r="BD27" i="54"/>
  <c r="R28" i="53"/>
  <c r="T27" i="53"/>
  <c r="BD28" i="54"/>
  <c r="BC29" i="54"/>
  <c r="T28" i="53"/>
  <c r="R29" i="53"/>
  <c r="BC30" i="54"/>
  <c r="BD29" i="54"/>
  <c r="R30" i="53"/>
  <c r="T29" i="53"/>
  <c r="BC31" i="54"/>
  <c r="BD30" i="54"/>
  <c r="T30" i="53"/>
  <c r="R31" i="53"/>
  <c r="BC32" i="54"/>
  <c r="BD31" i="54"/>
  <c r="R32" i="53"/>
  <c r="T31" i="53"/>
  <c r="BC33" i="54"/>
  <c r="BD32" i="54"/>
  <c r="R33" i="53"/>
  <c r="T32" i="53"/>
  <c r="BC34" i="54"/>
  <c r="BD33" i="54"/>
  <c r="T33" i="53"/>
  <c r="R34" i="53"/>
  <c r="BC35" i="54"/>
  <c r="BD34" i="54"/>
  <c r="T34" i="53"/>
  <c r="R35" i="53"/>
  <c r="BC36" i="54"/>
  <c r="BD35" i="54"/>
  <c r="R36" i="53"/>
  <c r="T35" i="53"/>
  <c r="BD36" i="54"/>
  <c r="BC37" i="54"/>
  <c r="R37" i="53"/>
  <c r="T36" i="53"/>
  <c r="BC38" i="54"/>
  <c r="BD37" i="54"/>
  <c r="T37" i="53"/>
  <c r="R38" i="53"/>
  <c r="BC39" i="54"/>
  <c r="BD38" i="54"/>
  <c r="T38" i="53"/>
  <c r="R39" i="53"/>
  <c r="BC40" i="54"/>
  <c r="BD39" i="54"/>
  <c r="R40" i="53"/>
  <c r="T39" i="53"/>
  <c r="BD40" i="54"/>
  <c r="BC41" i="54"/>
  <c r="T40" i="53"/>
  <c r="R41" i="53"/>
  <c r="BC42" i="54"/>
  <c r="BD41" i="54"/>
  <c r="R42" i="53"/>
  <c r="T41" i="53"/>
  <c r="BD42" i="54"/>
  <c r="BC43" i="54"/>
  <c r="T42" i="53"/>
  <c r="R43" i="53"/>
  <c r="BC44" i="54"/>
  <c r="BD43" i="54"/>
  <c r="R44" i="53"/>
  <c r="T43" i="53"/>
  <c r="BC45" i="54"/>
  <c r="BD44" i="54"/>
  <c r="R45" i="53"/>
  <c r="T44" i="53"/>
  <c r="BC46" i="54"/>
  <c r="BD45" i="54"/>
  <c r="T45" i="53"/>
  <c r="R46" i="53"/>
  <c r="BC47" i="54"/>
  <c r="BD46" i="54"/>
  <c r="T46" i="53"/>
  <c r="R47" i="53"/>
  <c r="BC48" i="54"/>
  <c r="BD47" i="54"/>
  <c r="T47" i="53"/>
  <c r="R48" i="53"/>
  <c r="BD48" i="54"/>
  <c r="BC49" i="54"/>
  <c r="R49" i="53"/>
  <c r="T48" i="53"/>
  <c r="BC50" i="54"/>
  <c r="BD49" i="54"/>
  <c r="R50" i="53"/>
  <c r="T49" i="53"/>
  <c r="BC51" i="54"/>
  <c r="BD50" i="54"/>
  <c r="T50" i="53"/>
  <c r="R51" i="53"/>
  <c r="BC52" i="54"/>
  <c r="BD51" i="54"/>
  <c r="R52" i="53"/>
  <c r="T51" i="53"/>
  <c r="BD52" i="54"/>
  <c r="BC53" i="54"/>
  <c r="T52" i="53"/>
  <c r="R53" i="53"/>
  <c r="BC54" i="54"/>
  <c r="BD53" i="54"/>
  <c r="R54" i="53"/>
  <c r="T53" i="53"/>
  <c r="BC55" i="54"/>
  <c r="BD54" i="54"/>
  <c r="T54" i="53"/>
  <c r="R55" i="53"/>
  <c r="BC56" i="54"/>
  <c r="BD55" i="54"/>
  <c r="R56" i="53"/>
  <c r="T55" i="53"/>
  <c r="BC57" i="54"/>
  <c r="BD56" i="54"/>
  <c r="R57" i="53"/>
  <c r="T56" i="53"/>
  <c r="BC58" i="54"/>
  <c r="BD57" i="54"/>
  <c r="T57" i="53"/>
  <c r="R58" i="53"/>
  <c r="BD58" i="54"/>
  <c r="BC59" i="54"/>
  <c r="T58" i="53"/>
  <c r="R59" i="53"/>
  <c r="BC60" i="54"/>
  <c r="BD59" i="54"/>
  <c r="R60" i="53"/>
  <c r="T59" i="53"/>
  <c r="BD60" i="54"/>
  <c r="BC61" i="54"/>
  <c r="T60" i="53"/>
  <c r="R61" i="53"/>
  <c r="BC62" i="54"/>
  <c r="BD61" i="54"/>
  <c r="R62" i="53"/>
  <c r="T61" i="53"/>
  <c r="BD62" i="54"/>
  <c r="BC63" i="54"/>
  <c r="T62" i="53"/>
  <c r="R63" i="53"/>
  <c r="BC64" i="54"/>
  <c r="BD63" i="54"/>
  <c r="T63" i="53"/>
  <c r="R64" i="53"/>
  <c r="BC65" i="54"/>
  <c r="BD64" i="54"/>
  <c r="R65" i="53"/>
  <c r="T64" i="53"/>
  <c r="BC66" i="54"/>
  <c r="BD65" i="54"/>
  <c r="R66" i="53"/>
  <c r="T65" i="53"/>
  <c r="BC67" i="54"/>
  <c r="BD66" i="54"/>
  <c r="T66" i="53"/>
  <c r="R67" i="53"/>
  <c r="BC68" i="54"/>
  <c r="BD67" i="54"/>
  <c r="R68" i="53"/>
  <c r="T67" i="53"/>
  <c r="BD68" i="54"/>
  <c r="BC69" i="54"/>
  <c r="R69" i="53"/>
  <c r="T68" i="53"/>
  <c r="BC70" i="54"/>
  <c r="BD69" i="54"/>
  <c r="T69" i="53"/>
  <c r="R70" i="53"/>
  <c r="BC71" i="54"/>
  <c r="BD70" i="54"/>
  <c r="T70" i="53"/>
  <c r="R71" i="53"/>
  <c r="BC72" i="54"/>
  <c r="BD72" i="54" s="1"/>
  <c r="BD71" i="54"/>
  <c r="T71" i="53"/>
  <c r="R72" i="53"/>
  <c r="R73" i="53"/>
  <c r="T72" i="53"/>
  <c r="R74" i="53"/>
  <c r="T73" i="53"/>
  <c r="T74" i="53"/>
  <c r="R75" i="53"/>
  <c r="R76" i="53"/>
  <c r="T75" i="53"/>
  <c r="T76" i="53"/>
  <c r="R77" i="53"/>
  <c r="R78" i="53"/>
  <c r="T77" i="53"/>
  <c r="T78" i="53"/>
  <c r="R79" i="53"/>
  <c r="R80" i="53"/>
  <c r="T79" i="53"/>
  <c r="R81" i="53"/>
  <c r="T80" i="53"/>
  <c r="R82" i="53"/>
  <c r="T81" i="53"/>
  <c r="T82" i="53"/>
  <c r="R83" i="53"/>
  <c r="T83" i="53"/>
  <c r="R84" i="53"/>
  <c r="R85" i="53"/>
  <c r="T84" i="53"/>
  <c r="R86" i="53"/>
  <c r="T85" i="53"/>
  <c r="T86" i="53"/>
  <c r="R87" i="53"/>
  <c r="R88" i="53"/>
  <c r="T87" i="53"/>
  <c r="T88" i="53"/>
  <c r="R89" i="53"/>
  <c r="R90" i="53"/>
  <c r="T89" i="53"/>
  <c r="T90" i="53"/>
  <c r="R91" i="53"/>
  <c r="R92" i="53"/>
  <c r="T91" i="53"/>
  <c r="R93" i="53"/>
  <c r="T92" i="53"/>
  <c r="R94" i="53"/>
  <c r="T93" i="53"/>
  <c r="T94" i="53"/>
  <c r="R95" i="53"/>
  <c r="T95" i="53"/>
  <c r="R96" i="53"/>
  <c r="R97" i="53"/>
  <c r="T96" i="53"/>
  <c r="R98" i="53"/>
  <c r="T97" i="53"/>
  <c r="T98" i="53"/>
  <c r="R99" i="53"/>
  <c r="R100" i="53"/>
  <c r="T99" i="53"/>
  <c r="T100" i="53"/>
  <c r="R101" i="53"/>
  <c r="T101" i="53"/>
  <c r="R102" i="53"/>
  <c r="T102" i="53"/>
  <c r="R103" i="53"/>
  <c r="R104" i="53"/>
  <c r="T103" i="53"/>
  <c r="R105" i="53"/>
  <c r="T104" i="53"/>
  <c r="R106" i="53"/>
  <c r="T105" i="53"/>
  <c r="T106" i="53"/>
  <c r="R107" i="53"/>
  <c r="R108" i="53"/>
  <c r="T107" i="53"/>
  <c r="T108" i="53"/>
  <c r="R109" i="53"/>
  <c r="T109" i="53"/>
  <c r="R110" i="53"/>
  <c r="T110" i="53"/>
  <c r="R111" i="53"/>
  <c r="R112" i="53"/>
  <c r="T111" i="53"/>
  <c r="R113" i="53"/>
  <c r="T112" i="53"/>
  <c r="R114" i="53"/>
  <c r="T113" i="53"/>
  <c r="T114" i="53"/>
  <c r="R115" i="53"/>
  <c r="R116" i="53"/>
  <c r="T115" i="53"/>
  <c r="T116" i="53"/>
  <c r="R117" i="53"/>
  <c r="R118" i="53"/>
  <c r="T117" i="53"/>
  <c r="T118" i="53"/>
  <c r="R119" i="53"/>
  <c r="T119" i="53"/>
  <c r="R120" i="53"/>
  <c r="R121" i="53"/>
  <c r="T120" i="53"/>
  <c r="T121" i="53"/>
  <c r="R122" i="53"/>
  <c r="T122" i="53"/>
  <c r="R123" i="53"/>
  <c r="R124" i="53"/>
  <c r="T123" i="53"/>
  <c r="R125" i="53"/>
  <c r="T124" i="53"/>
  <c r="R126" i="53"/>
  <c r="T125" i="53"/>
  <c r="T126" i="53"/>
  <c r="R127" i="53"/>
  <c r="R128" i="53"/>
  <c r="T127" i="53"/>
  <c r="T128" i="53"/>
  <c r="R129" i="53"/>
  <c r="R130" i="53"/>
  <c r="T129" i="53"/>
  <c r="T130" i="53"/>
  <c r="R131" i="53"/>
  <c r="R132" i="53"/>
  <c r="T131" i="53"/>
  <c r="R133" i="53"/>
  <c r="T132" i="53"/>
  <c r="T133" i="53"/>
  <c r="R134" i="53"/>
  <c r="T134" i="53"/>
  <c r="R135" i="53"/>
  <c r="R136" i="53"/>
  <c r="T135" i="53"/>
  <c r="R137" i="53"/>
  <c r="T136" i="53"/>
  <c r="T137" i="53"/>
  <c r="R138" i="53"/>
  <c r="T138" i="53"/>
  <c r="R139" i="53"/>
  <c r="R140" i="53"/>
  <c r="T139" i="53"/>
  <c r="R141" i="53"/>
  <c r="T140" i="53"/>
  <c r="R142" i="53"/>
  <c r="T141" i="53"/>
  <c r="T142" i="53"/>
  <c r="R143" i="53"/>
  <c r="R144" i="53"/>
  <c r="T143" i="53"/>
  <c r="R145" i="53"/>
  <c r="T144" i="53"/>
  <c r="R146" i="53"/>
  <c r="T145" i="53"/>
  <c r="T146" i="53"/>
  <c r="R147" i="53"/>
  <c r="R148" i="53"/>
  <c r="T147" i="53"/>
  <c r="T148" i="53"/>
  <c r="R149" i="53"/>
  <c r="T149" i="53"/>
  <c r="R150" i="53"/>
  <c r="T150" i="53"/>
  <c r="R151" i="53"/>
  <c r="R152" i="53"/>
  <c r="T151" i="53"/>
  <c r="T152" i="53"/>
  <c r="R153" i="53"/>
  <c r="T153" i="53"/>
  <c r="R154" i="53"/>
  <c r="T154" i="53"/>
  <c r="R155" i="53"/>
  <c r="R156" i="53"/>
  <c r="T155" i="53"/>
  <c r="R157" i="53"/>
  <c r="T156" i="53"/>
  <c r="R158" i="53"/>
  <c r="T157" i="53"/>
  <c r="T158" i="53"/>
  <c r="R159" i="53"/>
  <c r="T159" i="53"/>
  <c r="R160" i="53"/>
  <c r="T160" i="53"/>
  <c r="R161" i="53"/>
  <c r="R162" i="53"/>
  <c r="T161" i="53"/>
  <c r="T162" i="53"/>
  <c r="R163" i="53"/>
  <c r="R164" i="53"/>
  <c r="T163" i="53"/>
  <c r="T164" i="53"/>
  <c r="R165" i="53"/>
  <c r="T165" i="53"/>
  <c r="R166" i="53"/>
  <c r="T166" i="53"/>
  <c r="R167" i="53"/>
  <c r="T167" i="53"/>
  <c r="R168" i="53"/>
  <c r="R169" i="53"/>
  <c r="T168" i="53"/>
  <c r="R170" i="53"/>
  <c r="T169" i="53"/>
  <c r="T170" i="53"/>
  <c r="R171" i="53"/>
  <c r="R172" i="53"/>
  <c r="T171" i="53"/>
  <c r="R173" i="53"/>
  <c r="T172" i="53"/>
  <c r="R174" i="53"/>
  <c r="T173" i="53"/>
  <c r="T174" i="53"/>
  <c r="R175" i="53"/>
  <c r="R176" i="53"/>
  <c r="T175" i="53"/>
  <c r="R177" i="53"/>
  <c r="T176" i="53"/>
  <c r="R178" i="53"/>
  <c r="T177" i="53"/>
  <c r="T178" i="53"/>
  <c r="R179" i="53"/>
  <c r="R180" i="53"/>
  <c r="T179" i="53"/>
  <c r="T180" i="53"/>
  <c r="R181" i="53"/>
  <c r="R182" i="53"/>
  <c r="T181" i="53"/>
  <c r="T182" i="53"/>
  <c r="R183" i="53"/>
  <c r="R184" i="53"/>
  <c r="T183" i="53"/>
  <c r="R185" i="53"/>
  <c r="T184" i="53"/>
  <c r="T185" i="53"/>
  <c r="R186" i="53"/>
  <c r="T186" i="53"/>
  <c r="R187" i="53"/>
  <c r="R188" i="53"/>
  <c r="T187" i="53"/>
  <c r="R189" i="53"/>
  <c r="T188" i="53"/>
  <c r="R190" i="53"/>
  <c r="T189" i="53"/>
  <c r="T190" i="53"/>
  <c r="R191" i="53"/>
  <c r="R192" i="53"/>
  <c r="T191" i="53"/>
  <c r="T192" i="53"/>
  <c r="R193" i="53"/>
  <c r="R194" i="53"/>
  <c r="T193" i="53"/>
  <c r="T194" i="53"/>
  <c r="R195" i="53"/>
  <c r="T195" i="53"/>
  <c r="R196" i="53"/>
  <c r="R197" i="53"/>
  <c r="T196" i="53"/>
  <c r="T197" i="53"/>
  <c r="R198" i="53"/>
  <c r="T198" i="53"/>
  <c r="R199" i="53"/>
  <c r="R200" i="53"/>
  <c r="T199" i="53"/>
  <c r="R201" i="53"/>
  <c r="T200" i="53"/>
  <c r="R202" i="53"/>
  <c r="T201" i="53"/>
  <c r="T202" i="53"/>
  <c r="R203" i="53"/>
  <c r="R204" i="53"/>
  <c r="T203" i="53"/>
  <c r="R205" i="53"/>
  <c r="T204" i="53"/>
  <c r="R206" i="53"/>
  <c r="T205" i="53"/>
  <c r="T206" i="53"/>
  <c r="R207" i="53"/>
  <c r="R208" i="53"/>
  <c r="T207" i="53"/>
  <c r="R209" i="53"/>
  <c r="T208" i="53"/>
  <c r="R210" i="53"/>
  <c r="T209" i="53"/>
  <c r="T210" i="53"/>
  <c r="R211" i="53"/>
  <c r="R212" i="53"/>
  <c r="T211" i="53"/>
  <c r="T212" i="53"/>
  <c r="R213" i="53"/>
  <c r="R214" i="53"/>
  <c r="T213" i="53"/>
  <c r="T214" i="53"/>
  <c r="R215" i="53"/>
  <c r="R216" i="53"/>
  <c r="T215" i="53"/>
  <c r="R217" i="53"/>
  <c r="T216" i="53"/>
  <c r="T217" i="53"/>
  <c r="R218" i="53"/>
  <c r="T218" i="53"/>
  <c r="R219" i="53"/>
  <c r="T219" i="53"/>
  <c r="R220" i="53"/>
  <c r="R221" i="53"/>
  <c r="T220" i="53"/>
  <c r="R222" i="53"/>
  <c r="T221" i="53"/>
  <c r="T222" i="53"/>
  <c r="R223" i="53"/>
  <c r="R224" i="53"/>
  <c r="T223" i="53"/>
  <c r="T224" i="53"/>
  <c r="R225" i="53"/>
  <c r="R226" i="53"/>
  <c r="T225" i="53"/>
  <c r="T226" i="53"/>
  <c r="R227" i="53"/>
  <c r="T227" i="53"/>
  <c r="R228" i="53"/>
  <c r="R229" i="53"/>
  <c r="T228" i="53"/>
  <c r="T229" i="53"/>
  <c r="R230" i="53"/>
  <c r="T230" i="53"/>
  <c r="R231" i="53"/>
  <c r="R232" i="53"/>
  <c r="T231" i="53"/>
  <c r="R233" i="53"/>
  <c r="T232" i="53"/>
  <c r="R234" i="53"/>
  <c r="T233" i="53"/>
  <c r="T234" i="53"/>
  <c r="R235" i="53"/>
  <c r="R236" i="53"/>
  <c r="T235" i="53"/>
  <c r="R237" i="53"/>
  <c r="T236" i="53"/>
  <c r="R238" i="53"/>
  <c r="T237" i="53"/>
  <c r="T238" i="53"/>
  <c r="R239" i="53"/>
  <c r="R240" i="53"/>
  <c r="T239" i="53"/>
  <c r="R241" i="53"/>
  <c r="T240" i="53"/>
  <c r="R242" i="53"/>
  <c r="T241" i="53"/>
  <c r="T242" i="53"/>
  <c r="R243" i="53"/>
  <c r="R244" i="53"/>
  <c r="T243" i="53"/>
  <c r="R245" i="53"/>
  <c r="T244" i="53"/>
  <c r="T245" i="53"/>
  <c r="R246" i="53"/>
  <c r="T246" i="53"/>
  <c r="R247" i="53"/>
  <c r="R248" i="53"/>
  <c r="T247" i="53"/>
  <c r="R249" i="53"/>
  <c r="T248" i="53"/>
  <c r="R250" i="53"/>
  <c r="T249" i="53"/>
  <c r="T250" i="53"/>
  <c r="R251" i="53"/>
  <c r="R252" i="53"/>
  <c r="T251" i="53"/>
  <c r="T252" i="53"/>
  <c r="R253" i="53"/>
  <c r="R254" i="53"/>
  <c r="T253" i="53"/>
  <c r="T254" i="53"/>
  <c r="R255" i="53"/>
  <c r="R256" i="53"/>
  <c r="T255" i="53"/>
  <c r="R257" i="53"/>
  <c r="T256" i="53"/>
  <c r="R258" i="53"/>
  <c r="T257" i="53"/>
  <c r="T258" i="53"/>
  <c r="R259" i="53"/>
  <c r="R260" i="53"/>
  <c r="T259" i="53"/>
  <c r="T260" i="53"/>
  <c r="R261" i="53"/>
  <c r="T261" i="53"/>
  <c r="R262" i="53"/>
  <c r="T262" i="53" s="1"/>
  <c r="T4" i="55"/>
  <c r="R5" i="55"/>
  <c r="T5" i="55"/>
  <c r="R6" i="55"/>
  <c r="T6" i="55"/>
  <c r="R7" i="55"/>
  <c r="T7" i="55"/>
  <c r="R8" i="55"/>
  <c r="T8" i="55"/>
  <c r="R9" i="55"/>
  <c r="T9" i="55"/>
  <c r="R10" i="55"/>
  <c r="T10" i="55"/>
  <c r="R11" i="55"/>
  <c r="T11" i="55"/>
  <c r="R12" i="55"/>
  <c r="T12" i="55"/>
  <c r="R13" i="55"/>
  <c r="T13" i="55"/>
  <c r="R14" i="55"/>
  <c r="T14" i="55"/>
  <c r="R15" i="55"/>
  <c r="T15" i="55"/>
  <c r="R16" i="55"/>
  <c r="T16" i="55"/>
  <c r="R17" i="55"/>
  <c r="T17" i="55"/>
  <c r="R18" i="55"/>
  <c r="T18" i="55"/>
  <c r="R19" i="55"/>
  <c r="T19" i="55"/>
  <c r="R20" i="55"/>
  <c r="T20" i="55"/>
  <c r="R21" i="55"/>
  <c r="T21" i="55"/>
  <c r="R22" i="55"/>
  <c r="T22" i="55"/>
  <c r="R23" i="55"/>
  <c r="T23" i="55"/>
  <c r="R24" i="55"/>
  <c r="T24" i="55"/>
  <c r="R25" i="55"/>
  <c r="T25" i="55"/>
  <c r="R26" i="55"/>
  <c r="T26" i="55"/>
  <c r="R27" i="55"/>
  <c r="T27" i="55"/>
  <c r="R28" i="55"/>
  <c r="T28" i="55"/>
  <c r="R29" i="55"/>
  <c r="T29" i="55"/>
  <c r="R30" i="55"/>
  <c r="T30" i="55"/>
  <c r="R31" i="55"/>
  <c r="T31" i="55"/>
  <c r="R32" i="55"/>
  <c r="T32" i="55"/>
  <c r="R33" i="55"/>
  <c r="T33" i="55"/>
  <c r="R34" i="55"/>
  <c r="T34" i="55"/>
  <c r="R35" i="55"/>
  <c r="T35" i="55"/>
  <c r="R36" i="55"/>
  <c r="T36" i="55"/>
  <c r="R37" i="55"/>
  <c r="T37" i="55"/>
  <c r="R38" i="55"/>
  <c r="T38" i="55"/>
  <c r="R39" i="55"/>
  <c r="T39" i="55"/>
  <c r="R40" i="55"/>
  <c r="T40" i="55"/>
  <c r="R41" i="55"/>
  <c r="T41" i="55"/>
  <c r="R42" i="55"/>
  <c r="T42" i="55"/>
  <c r="R43" i="55"/>
  <c r="T43" i="55"/>
  <c r="R44" i="55"/>
  <c r="T44" i="55"/>
  <c r="R45" i="55"/>
  <c r="T45" i="55"/>
  <c r="R46" i="55"/>
  <c r="T46" i="55"/>
  <c r="R47" i="55"/>
  <c r="T47" i="55"/>
  <c r="R48" i="55"/>
  <c r="T48" i="55"/>
  <c r="R49" i="55"/>
  <c r="T49" i="55"/>
  <c r="R50" i="55"/>
  <c r="T50" i="55"/>
  <c r="R51" i="55"/>
  <c r="T51" i="55"/>
  <c r="R52" i="55"/>
  <c r="T52" i="55"/>
  <c r="R53" i="55"/>
  <c r="T53" i="55"/>
  <c r="R54" i="55"/>
  <c r="T54" i="55"/>
  <c r="R55" i="55"/>
  <c r="T55" i="55"/>
  <c r="R56" i="55"/>
  <c r="T56" i="55"/>
  <c r="R57" i="55"/>
  <c r="T57" i="55"/>
  <c r="R58" i="55"/>
  <c r="T58" i="55"/>
  <c r="R59" i="55"/>
  <c r="T59" i="55"/>
  <c r="R60" i="55"/>
  <c r="T60" i="55"/>
  <c r="R61" i="55"/>
  <c r="T61" i="55"/>
  <c r="R62" i="55"/>
  <c r="T62" i="55"/>
  <c r="R63" i="55"/>
  <c r="T63" i="55"/>
  <c r="R64" i="55"/>
  <c r="T64" i="55"/>
  <c r="R65" i="55"/>
  <c r="T65" i="55"/>
  <c r="R66" i="55"/>
  <c r="T66" i="55"/>
  <c r="R67" i="55"/>
  <c r="T67" i="55"/>
  <c r="R68" i="55"/>
  <c r="T68" i="55"/>
  <c r="R69" i="55"/>
  <c r="T69" i="55"/>
  <c r="R70" i="55"/>
  <c r="T70" i="55"/>
  <c r="R71" i="55"/>
  <c r="T71" i="55"/>
  <c r="R72" i="55"/>
  <c r="T72" i="55"/>
  <c r="R73" i="55"/>
  <c r="T73" i="55"/>
  <c r="R74" i="55"/>
  <c r="T74" i="55"/>
  <c r="R75" i="55"/>
  <c r="T75" i="55"/>
  <c r="R76" i="55"/>
  <c r="T76" i="55"/>
  <c r="R77" i="55"/>
  <c r="T77" i="55"/>
  <c r="R78" i="55"/>
  <c r="T78" i="55"/>
  <c r="R79" i="55"/>
  <c r="T79" i="55"/>
  <c r="R80" i="55"/>
  <c r="T80" i="55"/>
  <c r="R81" i="55"/>
  <c r="T81" i="55"/>
  <c r="R82" i="55"/>
  <c r="T82" i="55"/>
  <c r="R83" i="55"/>
  <c r="T83" i="55"/>
  <c r="R84" i="55"/>
  <c r="T84" i="55"/>
  <c r="R85" i="55"/>
  <c r="T85" i="55"/>
  <c r="R86" i="55"/>
  <c r="T86" i="55"/>
  <c r="R87" i="55"/>
  <c r="T87" i="55"/>
  <c r="R88" i="55"/>
  <c r="T88" i="55"/>
  <c r="R89" i="55"/>
  <c r="T89" i="55"/>
  <c r="R90" i="55"/>
  <c r="T90" i="55"/>
  <c r="R91" i="55"/>
  <c r="T91" i="55"/>
  <c r="R92" i="55"/>
  <c r="T92" i="55"/>
  <c r="R93" i="55"/>
  <c r="T93" i="55"/>
  <c r="R94" i="55"/>
  <c r="T94" i="55"/>
  <c r="R95" i="55"/>
  <c r="T95" i="55"/>
  <c r="R96" i="55"/>
  <c r="T96" i="55"/>
  <c r="R97" i="55"/>
  <c r="T97" i="55"/>
  <c r="R98" i="55"/>
  <c r="T98" i="55"/>
  <c r="R99" i="55"/>
  <c r="T99" i="55"/>
  <c r="R100" i="55"/>
  <c r="T100" i="55"/>
  <c r="R101" i="55"/>
  <c r="T101" i="55"/>
  <c r="R102" i="55"/>
  <c r="T102" i="55"/>
  <c r="R103" i="55"/>
  <c r="T103" i="55"/>
  <c r="R104" i="55"/>
  <c r="T104" i="55"/>
  <c r="R105" i="55"/>
  <c r="T105" i="55"/>
  <c r="R106" i="55"/>
  <c r="T106" i="55"/>
  <c r="R107" i="55"/>
  <c r="T107" i="55"/>
  <c r="R108" i="55"/>
  <c r="T108" i="55"/>
  <c r="R109" i="55"/>
  <c r="T109" i="55"/>
  <c r="R110" i="55"/>
  <c r="T110" i="55"/>
  <c r="R111" i="55"/>
  <c r="T111" i="55"/>
  <c r="R112" i="55"/>
  <c r="T112" i="55"/>
  <c r="R113" i="55"/>
  <c r="T113" i="55"/>
  <c r="R114" i="55"/>
  <c r="T114" i="55"/>
  <c r="R115" i="55"/>
  <c r="T115" i="55"/>
  <c r="R116" i="55"/>
  <c r="T116" i="55"/>
  <c r="R117" i="55"/>
  <c r="T117" i="55"/>
  <c r="R118" i="55"/>
  <c r="T118" i="55"/>
  <c r="R119" i="55"/>
  <c r="T119" i="55"/>
  <c r="R120" i="55"/>
  <c r="T120" i="55"/>
  <c r="R121" i="55"/>
  <c r="T121" i="55"/>
  <c r="R122" i="55"/>
  <c r="T122" i="55"/>
  <c r="R123" i="55"/>
  <c r="T123" i="55"/>
  <c r="R124" i="55"/>
  <c r="T124" i="55"/>
  <c r="R125" i="55"/>
  <c r="T125" i="55"/>
  <c r="R126" i="55"/>
  <c r="T126" i="55"/>
  <c r="R127" i="55"/>
  <c r="T127" i="55"/>
  <c r="R128" i="55"/>
  <c r="T128" i="55"/>
  <c r="R129" i="55"/>
  <c r="T129" i="55"/>
  <c r="R130" i="55"/>
  <c r="T130" i="55"/>
  <c r="R131" i="55"/>
  <c r="T131" i="55"/>
  <c r="R132" i="55"/>
  <c r="T132" i="55"/>
  <c r="R133" i="55"/>
  <c r="T133" i="55"/>
  <c r="R134" i="55"/>
  <c r="T134" i="55"/>
  <c r="R135" i="55"/>
  <c r="T135" i="55"/>
  <c r="R136" i="55"/>
  <c r="T136" i="55"/>
  <c r="R137" i="55"/>
  <c r="T137" i="55"/>
  <c r="R138" i="55"/>
  <c r="T138" i="55"/>
  <c r="R139" i="55"/>
  <c r="T139" i="55"/>
  <c r="R140" i="55"/>
  <c r="T140" i="55"/>
  <c r="R141" i="55"/>
  <c r="T141" i="55"/>
  <c r="R142" i="55"/>
  <c r="T142" i="55"/>
  <c r="R143" i="55"/>
  <c r="T143" i="55"/>
  <c r="R144" i="55"/>
  <c r="T144" i="55"/>
  <c r="R145" i="55"/>
  <c r="T145" i="55"/>
  <c r="R146" i="55"/>
  <c r="T146" i="55"/>
  <c r="R147" i="55"/>
  <c r="T147" i="55"/>
  <c r="R148" i="55"/>
  <c r="T148" i="55"/>
  <c r="R149" i="55"/>
  <c r="T149" i="55"/>
  <c r="R150" i="55"/>
  <c r="T150" i="55"/>
  <c r="R151" i="55"/>
  <c r="T151" i="55"/>
  <c r="R152" i="55"/>
  <c r="T152" i="55"/>
  <c r="R153" i="55"/>
  <c r="T153" i="55"/>
  <c r="R154" i="55"/>
  <c r="T154" i="55"/>
  <c r="R155" i="55"/>
  <c r="T155" i="55"/>
  <c r="R156" i="55"/>
  <c r="T156" i="55"/>
  <c r="R157" i="55"/>
  <c r="T157" i="55"/>
  <c r="R158" i="55"/>
  <c r="T158" i="55"/>
  <c r="R159" i="55"/>
  <c r="T159" i="55"/>
  <c r="R160" i="55"/>
  <c r="T160" i="55"/>
  <c r="R161" i="55"/>
  <c r="T161" i="55"/>
  <c r="R162" i="55"/>
  <c r="T162" i="55"/>
  <c r="R163" i="55"/>
  <c r="T163" i="55"/>
  <c r="R164" i="55"/>
  <c r="T164" i="55"/>
  <c r="R165" i="55"/>
  <c r="T165" i="55"/>
  <c r="R166" i="55"/>
  <c r="T166" i="55"/>
  <c r="R167" i="55"/>
  <c r="T167" i="55"/>
  <c r="R168" i="55"/>
  <c r="T168" i="55"/>
  <c r="R169" i="55"/>
  <c r="T169" i="55"/>
  <c r="R170" i="55"/>
  <c r="T170" i="55"/>
  <c r="R171" i="55"/>
  <c r="T171" i="55"/>
  <c r="R172" i="55"/>
  <c r="T172" i="55"/>
  <c r="R173" i="55"/>
  <c r="T173" i="55"/>
  <c r="R174" i="55"/>
  <c r="T174" i="55"/>
  <c r="R175" i="55"/>
  <c r="T175" i="55"/>
  <c r="R176" i="55"/>
  <c r="T176" i="55"/>
  <c r="R177" i="55"/>
  <c r="T177" i="55"/>
  <c r="R178" i="55"/>
  <c r="T178" i="55"/>
  <c r="R179" i="55"/>
  <c r="T179" i="55"/>
  <c r="R180" i="55"/>
  <c r="T180" i="55"/>
  <c r="R181" i="55"/>
  <c r="T181" i="55"/>
  <c r="R182" i="55"/>
  <c r="T182" i="55"/>
  <c r="R183" i="55"/>
  <c r="T183" i="55"/>
  <c r="R184" i="55"/>
  <c r="T184" i="55"/>
  <c r="R185" i="55"/>
  <c r="T185" i="55"/>
  <c r="R186" i="55"/>
  <c r="T186" i="55"/>
  <c r="R187" i="55"/>
  <c r="T187" i="55"/>
  <c r="R188" i="55"/>
  <c r="T188" i="55"/>
  <c r="R189" i="55"/>
  <c r="T189" i="55"/>
  <c r="R190" i="55"/>
  <c r="T190" i="55"/>
  <c r="R191" i="55"/>
  <c r="T191" i="55"/>
  <c r="R192" i="55"/>
  <c r="T192" i="55"/>
  <c r="R193" i="55"/>
  <c r="T193" i="55"/>
  <c r="R194" i="55"/>
  <c r="T194" i="55"/>
  <c r="R195" i="55"/>
  <c r="T195" i="55"/>
  <c r="R196" i="55"/>
  <c r="T196" i="55"/>
  <c r="R197" i="55"/>
  <c r="T197" i="55"/>
  <c r="R198" i="55"/>
  <c r="T198" i="55"/>
  <c r="R199" i="55"/>
  <c r="T199" i="55"/>
  <c r="R200" i="55"/>
  <c r="T200" i="55"/>
  <c r="R201" i="55"/>
  <c r="T201" i="55"/>
  <c r="R202" i="55"/>
  <c r="T202" i="55"/>
  <c r="R203" i="55"/>
  <c r="T203" i="55"/>
  <c r="R204" i="55"/>
  <c r="T204" i="55"/>
  <c r="R205" i="55"/>
  <c r="T205" i="55"/>
  <c r="R206" i="55"/>
  <c r="T206" i="55"/>
  <c r="R207" i="55"/>
  <c r="T207" i="55"/>
  <c r="R208" i="55"/>
  <c r="T208" i="55"/>
  <c r="R209" i="55"/>
  <c r="T209" i="55"/>
  <c r="R210" i="55"/>
  <c r="T210" i="55"/>
  <c r="R211" i="55"/>
  <c r="T211" i="55"/>
  <c r="R212" i="55"/>
  <c r="T212" i="55"/>
  <c r="R213" i="55"/>
  <c r="T213" i="55"/>
  <c r="R214" i="55"/>
  <c r="T214" i="55"/>
  <c r="R215" i="55"/>
  <c r="T215" i="55"/>
  <c r="R216" i="55"/>
  <c r="T216" i="55"/>
  <c r="R217" i="55"/>
  <c r="T217" i="55"/>
  <c r="R218" i="55"/>
  <c r="T218" i="55"/>
  <c r="R219" i="55"/>
  <c r="T219" i="55"/>
  <c r="R220" i="55"/>
  <c r="T220" i="55"/>
  <c r="R221" i="55"/>
  <c r="T221" i="55"/>
  <c r="R222" i="55"/>
  <c r="T222" i="55"/>
  <c r="R223" i="55"/>
  <c r="T223" i="55"/>
  <c r="R224" i="55"/>
  <c r="T224" i="55"/>
  <c r="R225" i="55"/>
  <c r="T225" i="55"/>
  <c r="R226" i="55"/>
  <c r="T226" i="55"/>
  <c r="R227" i="55"/>
  <c r="T227" i="55"/>
  <c r="R228" i="55"/>
  <c r="T228" i="55"/>
  <c r="R229" i="55"/>
  <c r="T229" i="55"/>
  <c r="R230" i="55"/>
  <c r="T230" i="55"/>
  <c r="R231" i="55"/>
  <c r="T231" i="55"/>
  <c r="R232" i="55"/>
  <c r="T232" i="55"/>
  <c r="R233" i="55"/>
  <c r="T233" i="55"/>
  <c r="R234" i="55"/>
  <c r="T234" i="55"/>
  <c r="R235" i="55"/>
  <c r="T235" i="55"/>
  <c r="R236" i="55"/>
  <c r="T236" i="55"/>
  <c r="R237" i="55"/>
  <c r="T237" i="55"/>
  <c r="R238" i="55"/>
  <c r="T238" i="55"/>
  <c r="R239" i="55"/>
  <c r="T239" i="55"/>
  <c r="R240" i="55"/>
  <c r="T240" i="55"/>
  <c r="R241" i="55"/>
  <c r="T241" i="55"/>
  <c r="R242" i="55"/>
  <c r="T242" i="55"/>
  <c r="R243" i="55"/>
  <c r="T243" i="55"/>
  <c r="R244" i="55"/>
  <c r="T244" i="55"/>
  <c r="R245" i="55"/>
  <c r="T245" i="55"/>
  <c r="R246" i="55"/>
  <c r="T246" i="55"/>
  <c r="R247" i="55"/>
  <c r="T247" i="55"/>
  <c r="R248" i="55"/>
  <c r="T248" i="55"/>
  <c r="R249" i="55"/>
  <c r="T249" i="55"/>
  <c r="R250" i="55"/>
  <c r="T250" i="55"/>
  <c r="R251" i="55"/>
  <c r="T251" i="55"/>
  <c r="R252" i="55"/>
  <c r="T252" i="55"/>
  <c r="R253" i="55"/>
  <c r="T253" i="55"/>
  <c r="R254" i="55"/>
  <c r="T254" i="55"/>
  <c r="R255" i="55"/>
  <c r="T255" i="55"/>
  <c r="R256" i="55"/>
  <c r="T256" i="55"/>
  <c r="R257" i="55"/>
  <c r="T257" i="55"/>
  <c r="R258" i="55"/>
  <c r="T258" i="55"/>
  <c r="R259" i="55"/>
  <c r="T259" i="55"/>
  <c r="R260" i="55"/>
  <c r="T260" i="55"/>
  <c r="R261" i="55"/>
  <c r="T261" i="55"/>
  <c r="R262" i="55"/>
  <c r="T262" i="55"/>
  <c r="BD7" i="56"/>
  <c r="BC8" i="56"/>
  <c r="BD8" i="56"/>
  <c r="BC9" i="56"/>
  <c r="BD9" i="56"/>
  <c r="BC10" i="56"/>
  <c r="BD10" i="56"/>
  <c r="BC11" i="56"/>
  <c r="BD11" i="56"/>
  <c r="BC12" i="56"/>
  <c r="BD12" i="56"/>
  <c r="BC13" i="56"/>
  <c r="BD13" i="56"/>
  <c r="BC14" i="56"/>
  <c r="BD14" i="56"/>
  <c r="BC15" i="56"/>
  <c r="BD15" i="56"/>
  <c r="BC16" i="56"/>
  <c r="BD16" i="56"/>
  <c r="BC17" i="56"/>
  <c r="BD17" i="56"/>
  <c r="BC18" i="56"/>
  <c r="BD18" i="56"/>
  <c r="BC19" i="56"/>
  <c r="BD19" i="56"/>
  <c r="BC20" i="56"/>
  <c r="BD20" i="56"/>
  <c r="BC21" i="56"/>
  <c r="BD21" i="56"/>
  <c r="BC22" i="56"/>
  <c r="BD22" i="56"/>
  <c r="BC23" i="56"/>
  <c r="BD23" i="56"/>
  <c r="BC24" i="56"/>
  <c r="BD24" i="56"/>
  <c r="BC25" i="56"/>
  <c r="BD25" i="56"/>
  <c r="BC26" i="56"/>
  <c r="BD26" i="56"/>
  <c r="BC27" i="56"/>
  <c r="BD27" i="56"/>
  <c r="BC28" i="56"/>
  <c r="BD28" i="56"/>
  <c r="BC29" i="56"/>
  <c r="BD29" i="56"/>
  <c r="BC30" i="56"/>
  <c r="BD30" i="56"/>
  <c r="BC31" i="56"/>
  <c r="BD31" i="56"/>
  <c r="BC32" i="56"/>
  <c r="BD32" i="56"/>
  <c r="BC33" i="56"/>
  <c r="BD33" i="56"/>
  <c r="BC34" i="56"/>
  <c r="BD34" i="56"/>
  <c r="BC35" i="56"/>
  <c r="BD35" i="56"/>
  <c r="BC36" i="56"/>
  <c r="BD36" i="56"/>
  <c r="BC37" i="56"/>
  <c r="BD37" i="56"/>
  <c r="BC38" i="56"/>
  <c r="BD38" i="56"/>
  <c r="BC39" i="56"/>
  <c r="BD39" i="56"/>
  <c r="BC40" i="56"/>
  <c r="BD40" i="56"/>
  <c r="BC41" i="56"/>
  <c r="BD41" i="56"/>
  <c r="BC42" i="56"/>
  <c r="BD42" i="56"/>
  <c r="BC43" i="56"/>
  <c r="BD43" i="56"/>
  <c r="BC44" i="56"/>
  <c r="BD44" i="56"/>
  <c r="BC45" i="56"/>
  <c r="BD45" i="56"/>
  <c r="BC46" i="56"/>
  <c r="BD46" i="56"/>
  <c r="BC47" i="56"/>
  <c r="BD47" i="56"/>
  <c r="BC48" i="56"/>
  <c r="BD48" i="56"/>
  <c r="BC49" i="56"/>
  <c r="BD49" i="56"/>
  <c r="BC50" i="56"/>
  <c r="BD50" i="56"/>
  <c r="BC51" i="56"/>
  <c r="BD51" i="56"/>
  <c r="BC52" i="56"/>
  <c r="BD52" i="56"/>
  <c r="BC53" i="56"/>
  <c r="BD53" i="56"/>
  <c r="BC54" i="56"/>
  <c r="BD54" i="56"/>
  <c r="BC55" i="56"/>
  <c r="BD55" i="56"/>
  <c r="BC56" i="56"/>
  <c r="BD56" i="56"/>
  <c r="BC57" i="56"/>
  <c r="BD57" i="56"/>
  <c r="BC58" i="56"/>
  <c r="BD58" i="56"/>
  <c r="BC59" i="56"/>
  <c r="BD59" i="56"/>
  <c r="BC60" i="56"/>
  <c r="BD60" i="56"/>
  <c r="BC61" i="56"/>
  <c r="BD61" i="56"/>
  <c r="BC62" i="56"/>
  <c r="BD62" i="56"/>
  <c r="BC63" i="56"/>
  <c r="BD63" i="56"/>
  <c r="BC64" i="56"/>
  <c r="BD64" i="56"/>
  <c r="BC65" i="56"/>
  <c r="BD65" i="56"/>
  <c r="BC66" i="56"/>
  <c r="BD66" i="56"/>
  <c r="BC67" i="56"/>
  <c r="BD67" i="56"/>
  <c r="BC68" i="56"/>
  <c r="BD68" i="56"/>
  <c r="BC69" i="56"/>
  <c r="BD69" i="56"/>
  <c r="BC70" i="56"/>
  <c r="BD70" i="56"/>
  <c r="BC71" i="56"/>
  <c r="BD71" i="56"/>
  <c r="BC72" i="56"/>
  <c r="BD72" i="56"/>
  <c r="BC73" i="56"/>
  <c r="BD73" i="56"/>
  <c r="BC74" i="56"/>
  <c r="BD74" i="56"/>
  <c r="BC75" i="56"/>
  <c r="BD75" i="56"/>
  <c r="BC76" i="56"/>
  <c r="BD76" i="56"/>
  <c r="BC77" i="56"/>
  <c r="BD77" i="56"/>
  <c r="BC78" i="56"/>
  <c r="BD78" i="56"/>
  <c r="BC79" i="56"/>
  <c r="BD79" i="56"/>
  <c r="BC80" i="56"/>
  <c r="BD80" i="56"/>
  <c r="BC81" i="56"/>
  <c r="BD81" i="56"/>
  <c r="BC82" i="56"/>
  <c r="BD82" i="56"/>
  <c r="BC83" i="56"/>
  <c r="BD83" i="56"/>
  <c r="BC84" i="56"/>
  <c r="BD84" i="56"/>
  <c r="BC85" i="56"/>
  <c r="BD85" i="56"/>
  <c r="BC86" i="56"/>
  <c r="BD86" i="56"/>
  <c r="BC87" i="56"/>
  <c r="BD87" i="56"/>
  <c r="BC88" i="56"/>
  <c r="BD88" i="56"/>
  <c r="BC89" i="56"/>
  <c r="BD89" i="56"/>
  <c r="BC90" i="56"/>
  <c r="BD90" i="56"/>
  <c r="BC91" i="56"/>
  <c r="BD91" i="56"/>
  <c r="BC92" i="56"/>
  <c r="BD92" i="56"/>
  <c r="BC93" i="56"/>
  <c r="BD93" i="56"/>
  <c r="BC94" i="56"/>
  <c r="BD94" i="56"/>
  <c r="BC95" i="56"/>
  <c r="BD95" i="56"/>
  <c r="BC96" i="56"/>
  <c r="BD96" i="56"/>
  <c r="BC97" i="56"/>
  <c r="BD97" i="56"/>
  <c r="BC98" i="56"/>
  <c r="BD98" i="56"/>
  <c r="BC99" i="56"/>
  <c r="BD99" i="56"/>
  <c r="BC100" i="56"/>
  <c r="BD100" i="56"/>
  <c r="BC101" i="56"/>
  <c r="BD101" i="56"/>
  <c r="BC102" i="56"/>
  <c r="BC103" i="56" s="1"/>
  <c r="BD102" i="56"/>
  <c r="R4" i="57"/>
  <c r="T4" i="57" s="1"/>
  <c r="H3" i="57"/>
  <c r="R5" i="57"/>
  <c r="T5" i="57" s="1"/>
  <c r="R6" i="57"/>
  <c r="T6" i="57" s="1"/>
  <c r="R7" i="57"/>
  <c r="T7" i="57" s="1"/>
  <c r="R8" i="57"/>
  <c r="T8" i="57" s="1"/>
  <c r="R9" i="57"/>
  <c r="T9" i="57" s="1"/>
  <c r="R10" i="57"/>
  <c r="T10" i="57" s="1"/>
  <c r="R11" i="57"/>
  <c r="T11" i="57" s="1"/>
  <c r="R12" i="57"/>
  <c r="T12" i="57" s="1"/>
  <c r="R13" i="57"/>
  <c r="T13" i="57" s="1"/>
  <c r="R14" i="57"/>
  <c r="T14" i="57" s="1"/>
  <c r="R15" i="57"/>
  <c r="T15" i="57" s="1"/>
  <c r="R16" i="57"/>
  <c r="T16" i="57" s="1"/>
  <c r="R17" i="57"/>
  <c r="T17" i="57" s="1"/>
  <c r="R18" i="57"/>
  <c r="T18" i="57" s="1"/>
  <c r="R19" i="57"/>
  <c r="T19" i="57" s="1"/>
  <c r="R20" i="57"/>
  <c r="T20" i="57" s="1"/>
  <c r="R21" i="57"/>
  <c r="T21" i="57" s="1"/>
  <c r="R22" i="57"/>
  <c r="T22" i="57" s="1"/>
  <c r="R23" i="57"/>
  <c r="T23" i="57" s="1"/>
  <c r="R24" i="57"/>
  <c r="T24" i="57" s="1"/>
  <c r="R25" i="57"/>
  <c r="T25" i="57" s="1"/>
  <c r="R26" i="57"/>
  <c r="T26" i="57" s="1"/>
  <c r="R27" i="57"/>
  <c r="T27" i="57" s="1"/>
  <c r="R28" i="57"/>
  <c r="T28" i="57" s="1"/>
  <c r="R29" i="57"/>
  <c r="T29" i="57" s="1"/>
  <c r="R30" i="57"/>
  <c r="T30" i="57" s="1"/>
  <c r="R31" i="57"/>
  <c r="T31" i="57" s="1"/>
  <c r="R32" i="57"/>
  <c r="T32" i="57" s="1"/>
  <c r="R33" i="57"/>
  <c r="T33" i="57" s="1"/>
  <c r="R34" i="57"/>
  <c r="T34" i="57" s="1"/>
  <c r="R35" i="57"/>
  <c r="T35" i="57" s="1"/>
  <c r="R36" i="57"/>
  <c r="T36" i="57" s="1"/>
  <c r="R37" i="57"/>
  <c r="T37" i="57" s="1"/>
  <c r="R38" i="57"/>
  <c r="T38" i="57" s="1"/>
  <c r="R39" i="57"/>
  <c r="T39" i="57" s="1"/>
  <c r="R40" i="57"/>
  <c r="T40" i="57" s="1"/>
  <c r="R41" i="57"/>
  <c r="T41" i="57" s="1"/>
  <c r="R42" i="57"/>
  <c r="T42" i="57" s="1"/>
  <c r="R43" i="57"/>
  <c r="T43" i="57" s="1"/>
  <c r="R44" i="57"/>
  <c r="T44" i="57" s="1"/>
  <c r="R45" i="57"/>
  <c r="T45" i="57" s="1"/>
  <c r="R46" i="57"/>
  <c r="T46" i="57" s="1"/>
  <c r="R47" i="57"/>
  <c r="T47" i="57" s="1"/>
  <c r="R48" i="57"/>
  <c r="T48" i="57" s="1"/>
  <c r="R49" i="57"/>
  <c r="T49" i="57" s="1"/>
  <c r="R50" i="57"/>
  <c r="T50" i="57" s="1"/>
  <c r="R51" i="57"/>
  <c r="T51" i="57" s="1"/>
  <c r="R52" i="57"/>
  <c r="T52" i="57" s="1"/>
  <c r="R53" i="57"/>
  <c r="T53" i="57" s="1"/>
  <c r="R54" i="57"/>
  <c r="T54" i="57" s="1"/>
  <c r="R55" i="57"/>
  <c r="T55" i="57" s="1"/>
  <c r="R56" i="57"/>
  <c r="T56" i="57" s="1"/>
  <c r="R57" i="57"/>
  <c r="T57" i="57" s="1"/>
  <c r="R58" i="57"/>
  <c r="T58" i="57" s="1"/>
  <c r="R59" i="57"/>
  <c r="T59" i="57" s="1"/>
  <c r="R60" i="57"/>
  <c r="T60" i="57" s="1"/>
  <c r="R61" i="57"/>
  <c r="T61" i="57" s="1"/>
  <c r="R62" i="57"/>
  <c r="T62" i="57" s="1"/>
  <c r="R63" i="57"/>
  <c r="T63" i="57" s="1"/>
  <c r="R64" i="57"/>
  <c r="T64" i="57" s="1"/>
  <c r="R65" i="57"/>
  <c r="T65" i="57" s="1"/>
  <c r="R66" i="57"/>
  <c r="T66" i="57" s="1"/>
  <c r="R67" i="57"/>
  <c r="T67" i="57" s="1"/>
  <c r="R68" i="57"/>
  <c r="T68" i="57" s="1"/>
  <c r="R69" i="57"/>
  <c r="T69" i="57" s="1"/>
  <c r="R70" i="57"/>
  <c r="T70" i="57" s="1"/>
  <c r="BD7" i="58"/>
  <c r="BC8" i="58"/>
  <c r="BD8" i="58"/>
  <c r="BC9" i="58"/>
  <c r="BD9" i="58"/>
  <c r="BC10" i="58"/>
  <c r="BD10" i="58"/>
  <c r="BC11" i="58"/>
  <c r="BD11" i="58"/>
  <c r="BC12" i="58"/>
  <c r="BD12" i="58"/>
  <c r="BC13" i="58"/>
  <c r="BD13" i="58"/>
  <c r="BC14" i="58"/>
  <c r="BD14" i="58"/>
  <c r="BC15" i="58"/>
  <c r="BD15" i="58"/>
  <c r="BC16" i="58"/>
  <c r="BD16" i="58"/>
  <c r="BC17" i="58"/>
  <c r="BD17" i="58"/>
  <c r="BC18" i="58"/>
  <c r="BD18" i="58"/>
  <c r="BC19" i="58"/>
  <c r="BD19" i="58"/>
  <c r="BC20" i="58"/>
  <c r="BD20" i="58"/>
  <c r="BC21" i="58"/>
  <c r="BD21" i="58"/>
  <c r="BC22" i="58"/>
  <c r="BD22" i="58"/>
  <c r="BC23" i="58"/>
  <c r="BD23" i="58"/>
  <c r="BC24" i="58"/>
  <c r="BD24" i="58"/>
  <c r="BC25" i="58"/>
  <c r="BD25" i="58"/>
  <c r="BC26" i="58"/>
  <c r="BD26" i="58"/>
  <c r="BC27" i="58"/>
  <c r="BD27" i="58"/>
  <c r="BC28" i="58"/>
  <c r="BD28" i="58"/>
  <c r="BC29" i="58"/>
  <c r="BD29" i="58"/>
  <c r="BC30" i="58"/>
  <c r="BD30" i="58"/>
  <c r="BC31" i="58"/>
  <c r="BD31" i="58"/>
  <c r="BC32" i="58"/>
  <c r="BD32" i="58"/>
  <c r="BC33" i="58"/>
  <c r="BD33" i="58"/>
  <c r="BC34" i="58"/>
  <c r="BD34" i="58"/>
  <c r="BC35" i="58"/>
  <c r="BD35" i="58"/>
  <c r="BC36" i="58"/>
  <c r="BD36" i="58"/>
  <c r="BC37" i="58"/>
  <c r="BD37" i="58"/>
  <c r="BC38" i="58"/>
  <c r="BD38" i="58"/>
  <c r="BC39" i="58"/>
  <c r="BD39" i="58"/>
  <c r="BC40" i="58"/>
  <c r="BD40" i="58"/>
  <c r="BC41" i="58"/>
  <c r="BD41" i="58"/>
  <c r="BC42" i="58"/>
  <c r="BD42" i="58"/>
  <c r="BC43" i="58"/>
  <c r="BD43" i="58"/>
  <c r="BC44" i="58"/>
  <c r="BD44" i="58"/>
  <c r="BC45" i="58"/>
  <c r="BD45" i="58"/>
  <c r="BC46" i="58"/>
  <c r="BD46" i="58"/>
  <c r="BC47" i="58"/>
  <c r="BD47" i="58"/>
  <c r="BC48" i="58"/>
  <c r="BD48" i="58"/>
  <c r="BC49" i="58"/>
  <c r="BD49" i="58"/>
  <c r="BC50" i="58"/>
  <c r="BD50" i="58"/>
  <c r="BC51" i="58"/>
  <c r="BD51" i="58"/>
  <c r="BC52" i="58"/>
  <c r="BD52" i="58"/>
  <c r="BC53" i="58"/>
  <c r="BD53" i="58"/>
  <c r="BC54" i="58"/>
  <c r="BD54" i="58"/>
  <c r="BC55" i="58"/>
  <c r="BD55" i="58"/>
  <c r="BC56" i="58"/>
  <c r="BD56" i="58"/>
  <c r="BC57" i="58"/>
  <c r="BD57" i="58"/>
  <c r="BC58" i="58"/>
  <c r="BD58" i="58"/>
  <c r="BC59" i="58"/>
  <c r="BD59" i="58"/>
  <c r="BC60" i="58"/>
  <c r="BD60" i="58"/>
  <c r="BC61" i="58"/>
  <c r="BD61" i="58"/>
  <c r="BC62" i="58"/>
  <c r="BD62" i="58"/>
  <c r="BC63" i="58"/>
  <c r="BD63" i="58"/>
  <c r="BC64" i="58"/>
  <c r="BD64" i="58"/>
  <c r="BC65" i="58"/>
  <c r="BD65" i="58"/>
  <c r="BC66" i="58"/>
  <c r="BD66" i="58"/>
  <c r="BC67" i="58"/>
  <c r="BD67" i="58"/>
  <c r="BC68" i="58"/>
  <c r="BD68" i="58"/>
  <c r="BC69" i="58"/>
  <c r="BD69" i="58"/>
  <c r="BC70" i="58"/>
  <c r="BD70" i="58"/>
  <c r="BC71" i="58"/>
  <c r="BD71" i="58"/>
  <c r="BC72" i="58"/>
  <c r="BD72" i="58"/>
  <c r="BC73" i="58"/>
  <c r="BD73" i="58"/>
  <c r="BD103" i="56"/>
  <c r="BC104" i="56"/>
  <c r="BD104" i="56"/>
  <c r="BC105" i="56"/>
  <c r="BD105" i="56"/>
  <c r="BC106" i="56"/>
  <c r="BD106" i="56"/>
  <c r="BC107" i="56"/>
  <c r="BD107" i="56"/>
  <c r="BC108" i="56"/>
  <c r="BD108" i="56"/>
  <c r="BC109" i="56"/>
  <c r="BD109" i="56"/>
  <c r="BC110" i="56"/>
  <c r="BD110" i="56"/>
  <c r="BC111" i="56"/>
  <c r="BD111" i="56"/>
  <c r="BC112" i="56"/>
  <c r="BD112" i="56"/>
  <c r="BC113" i="56"/>
  <c r="BD113" i="56"/>
  <c r="BC114" i="56"/>
  <c r="BD114" i="56"/>
  <c r="BC115" i="56"/>
  <c r="BD115" i="56"/>
  <c r="BC116" i="56"/>
  <c r="BD116" i="56"/>
  <c r="BC117" i="56"/>
  <c r="BD117" i="56"/>
  <c r="BC118" i="56"/>
  <c r="BD118" i="56"/>
  <c r="BC119" i="56"/>
  <c r="BD119" i="56"/>
  <c r="BC120" i="56"/>
  <c r="BD120" i="56"/>
  <c r="BC121" i="56"/>
  <c r="BD121" i="56"/>
  <c r="BC122" i="56"/>
  <c r="BD122" i="56"/>
  <c r="BC123" i="56"/>
  <c r="BD123" i="56"/>
  <c r="BC124" i="56"/>
  <c r="BD124" i="56"/>
  <c r="BC125" i="56"/>
  <c r="BD125" i="56"/>
  <c r="BC126" i="56"/>
  <c r="BD126" i="56"/>
  <c r="BC127" i="56"/>
  <c r="BD127" i="56"/>
  <c r="BC128" i="56"/>
  <c r="BD128" i="56"/>
  <c r="BC129" i="56"/>
  <c r="BD129" i="56"/>
  <c r="BC130" i="56"/>
  <c r="BD130" i="56"/>
  <c r="BC131" i="56"/>
  <c r="BD131" i="56"/>
  <c r="BC132" i="56"/>
  <c r="BD132" i="56"/>
  <c r="BC133" i="56"/>
  <c r="BD133" i="56"/>
  <c r="BC134" i="56"/>
  <c r="BD134" i="56"/>
  <c r="BC135" i="56"/>
  <c r="BD135" i="56"/>
  <c r="BC136" i="56"/>
  <c r="BD136" i="56"/>
  <c r="BC137" i="56"/>
  <c r="BD137" i="56"/>
  <c r="BC138" i="56"/>
  <c r="BD138" i="56"/>
  <c r="BC139" i="56"/>
  <c r="BD139" i="56"/>
  <c r="BC140" i="56"/>
  <c r="BD140" i="56"/>
  <c r="BC141" i="56"/>
  <c r="BD141" i="56"/>
  <c r="BC142" i="56"/>
  <c r="BD142" i="56"/>
  <c r="BC143" i="56"/>
  <c r="BD143" i="56"/>
  <c r="BC144" i="56"/>
  <c r="BD144" i="56"/>
  <c r="BC145" i="56"/>
  <c r="BD145" i="56"/>
  <c r="BC146" i="56"/>
  <c r="BD146" i="56"/>
  <c r="BC147" i="56"/>
  <c r="BD147" i="56"/>
  <c r="BC148" i="56"/>
  <c r="BD148" i="56"/>
  <c r="BC149" i="56"/>
  <c r="BD149" i="56"/>
  <c r="BC150" i="56"/>
  <c r="BD150" i="56"/>
  <c r="BC151" i="56"/>
  <c r="BD151" i="56"/>
  <c r="BC152" i="56"/>
  <c r="BD152" i="56"/>
  <c r="BC153" i="56"/>
  <c r="BD153" i="56"/>
  <c r="BC154" i="56"/>
  <c r="BD154" i="56"/>
  <c r="BC155" i="56"/>
  <c r="BD155" i="56"/>
  <c r="BC156" i="56"/>
  <c r="BD156" i="56"/>
  <c r="BC157" i="56"/>
  <c r="BD157" i="56"/>
  <c r="BC158" i="56"/>
  <c r="BD158" i="56"/>
  <c r="BC159" i="56"/>
  <c r="BD159" i="56"/>
  <c r="BC160" i="56"/>
  <c r="BD160" i="56"/>
  <c r="BC161" i="56"/>
  <c r="BD161" i="56"/>
  <c r="BC162" i="56"/>
  <c r="BD162" i="56"/>
  <c r="BC163" i="56"/>
  <c r="BD163" i="56"/>
  <c r="BC164" i="56"/>
  <c r="BD164" i="56"/>
  <c r="BC165" i="56"/>
  <c r="BD165" i="56"/>
  <c r="BC166" i="56"/>
  <c r="BD166" i="56"/>
  <c r="BC167" i="56"/>
  <c r="BD167" i="56"/>
  <c r="BC168" i="56"/>
  <c r="BD168" i="56"/>
  <c r="BC169" i="56"/>
  <c r="BD169" i="56"/>
  <c r="BC170" i="56"/>
  <c r="BD170" i="56"/>
  <c r="BC171" i="56"/>
  <c r="BD171" i="56"/>
  <c r="BC172" i="56"/>
  <c r="BD172" i="56"/>
  <c r="BC173" i="56"/>
  <c r="BD173" i="56"/>
  <c r="BC174" i="56"/>
  <c r="BD174" i="56"/>
  <c r="BC175" i="56"/>
  <c r="BD175" i="56"/>
  <c r="BC176" i="56"/>
  <c r="BD176" i="56"/>
  <c r="BC177" i="56"/>
  <c r="BD177" i="56"/>
  <c r="BC178" i="56"/>
  <c r="BD178" i="56"/>
  <c r="BC179" i="56"/>
  <c r="BD179" i="56"/>
  <c r="BC180" i="56"/>
  <c r="BD180" i="56"/>
  <c r="BC181" i="56"/>
  <c r="BD181" i="56"/>
  <c r="BC182" i="56"/>
  <c r="BD182" i="56"/>
  <c r="BC183" i="56"/>
  <c r="BD183" i="56"/>
  <c r="BC184" i="56"/>
  <c r="BD184" i="56"/>
  <c r="BC185" i="56"/>
  <c r="BD185" i="56"/>
  <c r="BC186" i="56"/>
  <c r="BD186" i="56"/>
  <c r="BC187" i="56"/>
  <c r="BD187" i="56"/>
  <c r="BC188" i="56"/>
  <c r="BD188" i="56"/>
  <c r="BC189" i="56"/>
  <c r="BD189" i="56"/>
  <c r="BC190" i="56"/>
  <c r="BD190" i="56"/>
  <c r="BC191" i="56"/>
  <c r="BD191" i="56"/>
  <c r="BC192" i="56"/>
  <c r="BD192" i="56"/>
  <c r="BC193" i="56"/>
  <c r="BD193" i="56"/>
  <c r="BC194" i="56"/>
  <c r="BD194" i="56"/>
  <c r="BC195" i="56"/>
  <c r="BD195" i="56"/>
  <c r="BC196" i="56"/>
  <c r="BD196" i="56"/>
  <c r="BC197" i="56"/>
  <c r="BD197" i="56"/>
  <c r="BC198" i="56"/>
  <c r="BD198" i="56"/>
  <c r="BC199" i="56"/>
  <c r="BD199" i="56"/>
  <c r="BC200" i="56"/>
  <c r="BD200" i="56"/>
  <c r="BC201" i="56"/>
  <c r="BD201" i="56"/>
  <c r="BC202" i="56"/>
  <c r="BD202" i="56"/>
  <c r="BC203" i="56"/>
  <c r="BD203" i="56"/>
  <c r="BC204" i="56"/>
  <c r="BD204" i="56"/>
  <c r="BC205" i="56"/>
  <c r="BD205" i="56"/>
  <c r="BC206" i="56"/>
  <c r="BD206" i="56"/>
  <c r="BC207" i="56"/>
  <c r="BD207" i="56"/>
  <c r="BC208" i="56"/>
  <c r="BD208" i="56"/>
  <c r="BC209" i="56"/>
  <c r="BD209" i="56"/>
  <c r="BC210" i="56"/>
  <c r="BD210" i="56"/>
  <c r="BC211" i="56"/>
  <c r="BD211" i="56"/>
  <c r="BC212" i="56"/>
  <c r="BD212" i="56"/>
  <c r="BC213" i="56"/>
  <c r="BD213" i="56"/>
  <c r="BC214" i="56"/>
  <c r="BD214" i="56"/>
  <c r="BC215" i="56"/>
  <c r="BD215" i="56"/>
  <c r="BC216" i="56"/>
  <c r="BD216" i="56"/>
  <c r="BC217" i="56"/>
  <c r="BD217" i="56"/>
  <c r="BC218" i="56"/>
  <c r="BD218" i="56"/>
  <c r="BC219" i="56"/>
  <c r="BD219" i="56"/>
  <c r="BC220" i="56"/>
  <c r="BD220" i="56"/>
  <c r="BC221" i="56"/>
  <c r="BD221" i="56"/>
  <c r="BC222" i="56"/>
  <c r="BD222" i="56"/>
  <c r="BC223" i="56"/>
  <c r="BD223" i="56"/>
  <c r="BC224" i="56"/>
  <c r="BD224" i="56"/>
  <c r="BC225" i="56"/>
  <c r="BD225" i="56"/>
  <c r="BC226" i="56"/>
  <c r="BD226" i="56"/>
  <c r="BC227" i="56"/>
  <c r="BD227" i="56"/>
  <c r="BC228" i="56"/>
  <c r="BD228" i="56"/>
  <c r="BC229" i="56"/>
  <c r="BD229" i="56"/>
  <c r="BC230" i="56"/>
  <c r="BD230" i="56"/>
  <c r="BC231" i="56"/>
  <c r="BD231" i="56"/>
  <c r="BC232" i="56"/>
  <c r="BD232" i="56"/>
  <c r="BC233" i="56"/>
  <c r="BD233" i="56"/>
  <c r="BC234" i="56"/>
  <c r="BD234" i="56"/>
  <c r="BC235" i="56"/>
  <c r="BD235" i="56"/>
  <c r="BC236" i="56"/>
  <c r="BD236" i="56"/>
  <c r="BC237" i="56"/>
  <c r="BD237" i="56"/>
  <c r="BC238" i="56"/>
  <c r="BD238" i="56"/>
  <c r="BC239" i="56"/>
  <c r="BD239" i="56"/>
  <c r="BC240" i="56"/>
  <c r="BD240" i="56"/>
  <c r="BC241" i="56"/>
  <c r="BD241" i="56"/>
  <c r="BC242" i="56"/>
  <c r="BD242" i="56"/>
  <c r="BC243" i="56"/>
  <c r="BD243" i="56"/>
  <c r="BC244" i="56"/>
  <c r="BD244" i="56"/>
  <c r="BC245" i="56"/>
  <c r="BD245" i="56"/>
  <c r="BC246" i="56"/>
  <c r="BD246" i="56"/>
  <c r="BC247" i="56"/>
  <c r="BD247" i="56"/>
  <c r="BC248" i="56"/>
  <c r="BD248" i="56"/>
  <c r="BC249" i="56"/>
  <c r="BD249" i="56"/>
  <c r="BC250" i="56"/>
  <c r="BD250" i="56"/>
  <c r="BC251" i="56"/>
  <c r="BD251" i="56"/>
  <c r="BC252" i="56"/>
  <c r="BD252" i="56"/>
  <c r="BC253" i="56"/>
  <c r="BD253" i="56"/>
  <c r="BC254" i="56"/>
  <c r="BD254" i="56"/>
  <c r="BC255" i="56"/>
  <c r="BD255" i="56"/>
  <c r="BC256" i="56"/>
  <c r="BD256" i="56"/>
  <c r="BC257" i="56"/>
  <c r="BD257" i="56"/>
  <c r="BC258" i="56"/>
  <c r="BD258" i="56"/>
  <c r="BC259" i="56"/>
  <c r="BD259" i="56"/>
  <c r="BC260" i="56"/>
  <c r="BD260" i="56"/>
  <c r="BC261" i="56"/>
  <c r="BD261" i="56"/>
  <c r="BC262" i="56"/>
  <c r="BD262" i="56"/>
  <c r="BC263" i="56"/>
  <c r="BD263" i="56"/>
  <c r="BC264" i="56"/>
  <c r="BD264" i="56" s="1"/>
  <c r="L3" i="58" l="1"/>
  <c r="K3" i="58"/>
  <c r="L3" i="56"/>
  <c r="K3" i="56"/>
  <c r="K8" i="54"/>
  <c r="L8" i="54"/>
  <c r="L7" i="54"/>
  <c r="K7" i="54"/>
  <c r="L9" i="54"/>
  <c r="K9" i="54"/>
  <c r="F59" i="54"/>
  <c r="C8" i="54"/>
  <c r="B19" i="54"/>
  <c r="C7" i="54"/>
  <c r="B18" i="54"/>
  <c r="B20" i="54"/>
  <c r="C9" i="54"/>
  <c r="L3" i="54"/>
  <c r="K3" i="54"/>
  <c r="D15" i="40"/>
  <c r="C16" i="40"/>
  <c r="A17" i="40"/>
  <c r="D19" i="54"/>
  <c r="D18" i="54"/>
  <c r="E16" i="40"/>
  <c r="D20" i="54"/>
  <c r="D48" i="54"/>
  <c r="D49" i="54"/>
  <c r="E48" i="54"/>
  <c r="D50" i="54"/>
  <c r="E49" i="54"/>
  <c r="D51" i="54"/>
  <c r="E50" i="54"/>
  <c r="E51" i="54"/>
  <c r="I19" i="54"/>
  <c r="I18" i="54"/>
  <c r="I20" i="54"/>
  <c r="F63" i="54" l="1"/>
  <c r="F62" i="54"/>
  <c r="F61" i="54"/>
  <c r="F60" i="54"/>
  <c r="C20" i="54"/>
  <c r="C18" i="54"/>
  <c r="C19" i="54"/>
  <c r="D16" i="40"/>
  <c r="C17" i="40"/>
  <c r="A18" i="40"/>
  <c r="E17" i="40"/>
  <c r="D17" i="40" l="1"/>
  <c r="C18" i="40"/>
  <c r="A19" i="40"/>
  <c r="E18" i="40"/>
  <c r="D18" i="40" l="1"/>
  <c r="C19" i="40"/>
  <c r="A20" i="40"/>
  <c r="D6" i="29"/>
  <c r="D22" i="58" s="1"/>
  <c r="E3" i="58"/>
  <c r="E5" i="58"/>
  <c r="E14" i="58"/>
  <c r="E4" i="58"/>
  <c r="E6" i="58"/>
  <c r="E15" i="58"/>
  <c r="E16" i="58"/>
  <c r="E17" i="58"/>
  <c r="AD36" i="58"/>
  <c r="E19" i="40"/>
  <c r="O3" i="58"/>
  <c r="O5" i="58"/>
  <c r="O4" i="58"/>
  <c r="O6" i="58"/>
  <c r="R6" i="58" l="1"/>
  <c r="P6" i="58"/>
  <c r="Q6" i="58"/>
  <c r="R4" i="58"/>
  <c r="Q4" i="58"/>
  <c r="P4" i="58"/>
  <c r="R5" i="58"/>
  <c r="Q5" i="58"/>
  <c r="P5" i="58"/>
  <c r="P3" i="58"/>
  <c r="R3" i="58"/>
  <c r="Q3" i="58"/>
  <c r="D4" i="57"/>
  <c r="D25" i="56"/>
  <c r="D4" i="55"/>
  <c r="D25" i="54"/>
  <c r="D4" i="53"/>
  <c r="D19" i="40"/>
  <c r="C20" i="40"/>
  <c r="A21" i="40"/>
  <c r="D4" i="40"/>
  <c r="D25" i="39"/>
  <c r="E16" i="56"/>
  <c r="AD50" i="56"/>
  <c r="E3" i="56"/>
  <c r="E18" i="56"/>
  <c r="E8" i="56"/>
  <c r="E7" i="56"/>
  <c r="E19" i="56"/>
  <c r="E15" i="56"/>
  <c r="E14" i="56"/>
  <c r="E4" i="56"/>
  <c r="E17" i="56"/>
  <c r="E5" i="56"/>
  <c r="E6" i="56"/>
  <c r="F52" i="56"/>
  <c r="E3" i="54"/>
  <c r="O3" i="54" s="1"/>
  <c r="E8" i="54"/>
  <c r="O8" i="54" s="1"/>
  <c r="E17" i="54"/>
  <c r="E7" i="54"/>
  <c r="O7" i="54" s="1"/>
  <c r="E20" i="54"/>
  <c r="E15" i="54"/>
  <c r="E16" i="54"/>
  <c r="E4" i="54"/>
  <c r="O4" i="54" s="1"/>
  <c r="E6" i="54"/>
  <c r="O6" i="54" s="1"/>
  <c r="AD41" i="54"/>
  <c r="E5" i="54"/>
  <c r="O5" i="54" s="1"/>
  <c r="E18" i="54"/>
  <c r="E9" i="54"/>
  <c r="O9" i="54" s="1"/>
  <c r="E14" i="54"/>
  <c r="E19" i="54"/>
  <c r="E20" i="40"/>
  <c r="F55" i="56"/>
  <c r="F58" i="56"/>
  <c r="F59" i="56"/>
  <c r="F60" i="56"/>
  <c r="F56" i="56"/>
  <c r="F57" i="56"/>
  <c r="F53" i="56"/>
  <c r="F61" i="56"/>
  <c r="F62" i="56"/>
  <c r="F63" i="56"/>
  <c r="F54" i="56"/>
  <c r="E20" i="56"/>
  <c r="E9" i="56"/>
  <c r="F43" i="54"/>
  <c r="F44" i="54"/>
  <c r="F45" i="54"/>
  <c r="F46" i="54"/>
  <c r="F47" i="54"/>
  <c r="F48" i="54"/>
  <c r="F49" i="54"/>
  <c r="F50" i="54"/>
  <c r="F51" i="54"/>
  <c r="O3" i="56"/>
  <c r="O8" i="56"/>
  <c r="O7" i="56"/>
  <c r="O4" i="56"/>
  <c r="O5" i="56"/>
  <c r="O6" i="56"/>
  <c r="O9" i="56"/>
  <c r="J18" i="54" l="1"/>
  <c r="J17" i="54"/>
  <c r="J16" i="54"/>
  <c r="J15" i="54"/>
  <c r="J14" i="54"/>
  <c r="J19" i="54"/>
  <c r="J20" i="54"/>
  <c r="J20" i="56"/>
  <c r="J19" i="56"/>
  <c r="J18" i="56"/>
  <c r="J17" i="56"/>
  <c r="J15" i="56"/>
  <c r="J14" i="56"/>
  <c r="J16" i="56"/>
  <c r="Q6" i="56"/>
  <c r="P6" i="56"/>
  <c r="R6" i="56"/>
  <c r="R5" i="56"/>
  <c r="P5" i="56"/>
  <c r="Q5" i="56"/>
  <c r="R4" i="56"/>
  <c r="Q4" i="56"/>
  <c r="P4" i="56"/>
  <c r="P7" i="56"/>
  <c r="R7" i="56"/>
  <c r="Q7" i="56"/>
  <c r="R8" i="56"/>
  <c r="P8" i="56"/>
  <c r="Q8" i="56"/>
  <c r="P3" i="56"/>
  <c r="Q3" i="56"/>
  <c r="R3" i="56"/>
  <c r="R9" i="56"/>
  <c r="Q9" i="56"/>
  <c r="P9" i="56"/>
  <c r="P9" i="54"/>
  <c r="R9" i="54"/>
  <c r="Q9" i="54"/>
  <c r="P5" i="54"/>
  <c r="R5" i="54"/>
  <c r="Q5" i="54"/>
  <c r="P6" i="54"/>
  <c r="Q6" i="54"/>
  <c r="R6" i="54"/>
  <c r="R4" i="54"/>
  <c r="Q4" i="54"/>
  <c r="P4" i="54"/>
  <c r="R7" i="54"/>
  <c r="Q7" i="54"/>
  <c r="P7" i="54"/>
  <c r="P8" i="54"/>
  <c r="Q8" i="54"/>
  <c r="R8" i="54"/>
  <c r="R3" i="54"/>
  <c r="P3" i="54"/>
  <c r="Q3" i="54"/>
  <c r="D20" i="40"/>
  <c r="D14" i="39"/>
  <c r="G3" i="40"/>
  <c r="D3" i="39"/>
  <c r="R3" i="40"/>
  <c r="BC6" i="39"/>
  <c r="C21" i="40"/>
  <c r="A22" i="40"/>
  <c r="I14" i="39"/>
  <c r="E21" i="40"/>
  <c r="N3" i="39"/>
  <c r="T3" i="40"/>
  <c r="D21" i="40" l="1"/>
  <c r="C22" i="40"/>
  <c r="AG19" i="39" a="1"/>
  <c r="AG9" i="39" a="1"/>
  <c r="AG14" i="39" a="1"/>
  <c r="E22" i="40"/>
  <c r="D22" i="40" l="1"/>
  <c r="AG16" i="39"/>
  <c r="AG15" i="39"/>
  <c r="AG14" i="39"/>
  <c r="AG9" i="39"/>
  <c r="AG10" i="39"/>
  <c r="AG21" i="39"/>
  <c r="AG19" i="39"/>
  <c r="AG20" i="39"/>
  <c r="AG5" i="39" a="1"/>
  <c r="AG6" i="39" l="1"/>
  <c r="AG5" i="39"/>
  <c r="G18" i="40"/>
  <c r="G22" i="40"/>
  <c r="D16" i="39"/>
  <c r="E38" i="39"/>
  <c r="E42" i="39"/>
  <c r="F40" i="39"/>
  <c r="G12" i="40"/>
  <c r="E46" i="39"/>
  <c r="F46" i="39" s="1"/>
  <c r="G6" i="40"/>
  <c r="D18" i="39"/>
  <c r="E44" i="39"/>
  <c r="E3" i="39"/>
  <c r="E51" i="39"/>
  <c r="F51" i="39" s="1"/>
  <c r="G15" i="40"/>
  <c r="E50" i="39"/>
  <c r="F50" i="39" s="1"/>
  <c r="F43" i="39"/>
  <c r="E40" i="39"/>
  <c r="G19" i="40"/>
  <c r="H19" i="40" s="1"/>
  <c r="G5" i="40"/>
  <c r="E48" i="39"/>
  <c r="F48" i="39" s="1"/>
  <c r="E39" i="39"/>
  <c r="D6" i="39"/>
  <c r="R4" i="40"/>
  <c r="H18" i="40"/>
  <c r="D9" i="39"/>
  <c r="E9" i="39" s="1"/>
  <c r="BD6" i="39"/>
  <c r="T4" i="40"/>
  <c r="I9" i="39"/>
  <c r="G7" i="40"/>
  <c r="H4" i="40"/>
  <c r="G9" i="40"/>
  <c r="D4" i="39"/>
  <c r="E47" i="39"/>
  <c r="F47" i="39" s="1"/>
  <c r="D17" i="39"/>
  <c r="F42" i="39"/>
  <c r="D20" i="39"/>
  <c r="N6" i="39"/>
  <c r="F45" i="39"/>
  <c r="E41" i="39"/>
  <c r="G8" i="40"/>
  <c r="D19" i="39"/>
  <c r="D5" i="39"/>
  <c r="E14" i="39"/>
  <c r="G21" i="40"/>
  <c r="H3" i="40"/>
  <c r="E43" i="39"/>
  <c r="F37" i="39"/>
  <c r="E49" i="39"/>
  <c r="F49" i="39" s="1"/>
  <c r="D7" i="39"/>
  <c r="BC7" i="39"/>
  <c r="I16" i="39"/>
  <c r="H8" i="40"/>
  <c r="G13" i="40"/>
  <c r="H9" i="40"/>
  <c r="I7" i="39"/>
  <c r="F39" i="39"/>
  <c r="D8" i="39"/>
  <c r="E6" i="39"/>
  <c r="O6" i="39" s="1"/>
  <c r="D15" i="39"/>
  <c r="N7" i="39"/>
  <c r="N9" i="39"/>
  <c r="E16" i="39"/>
  <c r="F36" i="39"/>
  <c r="F44" i="39"/>
  <c r="I6" i="39"/>
  <c r="O3" i="39"/>
  <c r="E37" i="39"/>
  <c r="G10" i="40"/>
  <c r="H10" i="40" s="1"/>
  <c r="E15" i="39"/>
  <c r="I20" i="39"/>
  <c r="AD44" i="39"/>
  <c r="N4" i="39"/>
  <c r="B1" i="29"/>
  <c r="F41" i="39"/>
  <c r="G17" i="40"/>
  <c r="F38" i="39"/>
  <c r="E20" i="39"/>
  <c r="I3" i="39"/>
  <c r="H7" i="40"/>
  <c r="G14" i="40"/>
  <c r="G11" i="40"/>
  <c r="H11" i="40" s="1"/>
  <c r="G20" i="40"/>
  <c r="H20" i="40" s="1"/>
  <c r="G16" i="40"/>
  <c r="E36" i="39"/>
  <c r="E7" i="39"/>
  <c r="O7" i="39" s="1"/>
  <c r="N5" i="39"/>
  <c r="I4" i="39"/>
  <c r="E5" i="39"/>
  <c r="O5" i="39" s="1"/>
  <c r="BD7" i="39"/>
  <c r="E8" i="39"/>
  <c r="O8" i="39" s="1"/>
  <c r="N8" i="39"/>
  <c r="I8" i="39"/>
  <c r="J19" i="39" l="1"/>
  <c r="J18" i="39"/>
  <c r="J17" i="39"/>
  <c r="J16" i="39"/>
  <c r="J15" i="39"/>
  <c r="J14" i="39"/>
  <c r="J20" i="39"/>
  <c r="K9" i="39"/>
  <c r="L9" i="39"/>
  <c r="L7" i="39"/>
  <c r="K7" i="39"/>
  <c r="K6" i="39"/>
  <c r="L6" i="39"/>
  <c r="K8" i="39"/>
  <c r="L8" i="39"/>
  <c r="K3" i="39"/>
  <c r="L3" i="39"/>
  <c r="K4" i="39"/>
  <c r="L4" i="39"/>
  <c r="Q3" i="39"/>
  <c r="P3" i="39"/>
  <c r="R3" i="39"/>
  <c r="Q6" i="39"/>
  <c r="P6" i="39"/>
  <c r="R6" i="39"/>
  <c r="Q8" i="39"/>
  <c r="R8" i="39"/>
  <c r="P8" i="39"/>
  <c r="Q5" i="39"/>
  <c r="P5" i="39"/>
  <c r="R5" i="39"/>
  <c r="Q7" i="39"/>
  <c r="P7" i="39"/>
  <c r="R7" i="39"/>
  <c r="I19" i="39"/>
  <c r="R5" i="40"/>
  <c r="I18" i="39"/>
  <c r="H22" i="40"/>
  <c r="I15" i="39"/>
  <c r="I17" i="39"/>
  <c r="H12" i="40"/>
  <c r="E4" i="39"/>
  <c r="O4" i="39" s="1"/>
  <c r="H14" i="40"/>
  <c r="H15" i="40"/>
  <c r="H16" i="40"/>
  <c r="BC8" i="39"/>
  <c r="BC9" i="39" s="1"/>
  <c r="O9" i="39"/>
  <c r="H21" i="40"/>
  <c r="H13" i="40"/>
  <c r="H5" i="40"/>
  <c r="E19" i="39"/>
  <c r="E17" i="39"/>
  <c r="H6" i="40"/>
  <c r="H17" i="40"/>
  <c r="BD8" i="39"/>
  <c r="I5" i="39"/>
  <c r="E18" i="39"/>
  <c r="T5" i="40"/>
  <c r="R6" i="40"/>
  <c r="BC10" i="39"/>
  <c r="BD9" i="39"/>
  <c r="T6" i="40"/>
  <c r="BD10" i="39"/>
  <c r="BC11" i="39"/>
  <c r="BD11" i="39"/>
  <c r="BC12" i="39"/>
  <c r="BD12" i="39"/>
  <c r="BC13" i="39"/>
  <c r="BD13" i="39"/>
  <c r="BC14" i="39"/>
  <c r="BD14" i="39"/>
  <c r="BC15" i="39"/>
  <c r="BD15" i="39"/>
  <c r="BC16" i="39"/>
  <c r="BD16" i="39"/>
  <c r="BC17" i="39"/>
  <c r="BC18" i="39"/>
  <c r="BD17" i="39"/>
  <c r="BC19" i="39"/>
  <c r="BD18" i="39"/>
  <c r="BD19" i="39"/>
  <c r="BC20" i="39"/>
  <c r="BD20" i="39"/>
  <c r="BC21" i="39"/>
  <c r="BD21" i="39"/>
  <c r="BC22" i="39"/>
  <c r="BC23" i="39"/>
  <c r="BD22" i="39"/>
  <c r="BD23" i="39"/>
  <c r="BC24" i="39"/>
  <c r="BC25" i="39"/>
  <c r="BD24" i="39"/>
  <c r="BC26" i="39"/>
  <c r="BD25" i="39"/>
  <c r="BD26" i="39"/>
  <c r="BC27" i="39"/>
  <c r="BC28" i="39"/>
  <c r="BD27" i="39"/>
  <c r="BD28" i="39"/>
  <c r="BC29" i="39"/>
  <c r="BC30" i="39"/>
  <c r="BD29" i="39"/>
  <c r="BD30" i="39"/>
  <c r="BC31" i="39"/>
  <c r="BC32" i="39"/>
  <c r="BD31" i="39"/>
  <c r="BD32" i="39"/>
  <c r="BC33" i="39"/>
  <c r="BD33" i="39"/>
  <c r="BC34" i="39"/>
  <c r="BC35" i="39"/>
  <c r="BD34" i="39"/>
  <c r="BD35" i="39"/>
  <c r="BC36" i="39"/>
  <c r="BC37" i="39"/>
  <c r="BD36" i="39"/>
  <c r="BD37" i="39"/>
  <c r="BC38" i="39"/>
  <c r="BD38" i="39"/>
  <c r="BC39" i="39"/>
  <c r="BC40" i="39"/>
  <c r="BD39" i="39"/>
  <c r="BC41" i="39"/>
  <c r="BD40" i="39"/>
  <c r="BC42" i="39"/>
  <c r="BD41" i="39"/>
  <c r="BC43" i="39"/>
  <c r="BD42" i="39"/>
  <c r="BC44" i="39"/>
  <c r="BD43" i="39"/>
  <c r="BD44" i="39"/>
  <c r="BC45" i="39"/>
  <c r="BC46" i="39"/>
  <c r="BD45" i="39"/>
  <c r="BD46" i="39"/>
  <c r="BC47" i="39"/>
  <c r="BD47" i="39"/>
  <c r="BC48" i="39"/>
  <c r="BD48" i="39"/>
  <c r="BC49" i="39"/>
  <c r="BC50" i="39"/>
  <c r="BD49" i="39"/>
  <c r="BC51" i="39"/>
  <c r="BD50" i="39"/>
  <c r="BD51" i="39"/>
  <c r="BC52" i="39"/>
  <c r="BD52" i="39"/>
  <c r="BC53" i="39"/>
  <c r="BC54" i="39"/>
  <c r="BD53" i="39"/>
  <c r="BD54" i="39"/>
  <c r="BC55" i="39"/>
  <c r="BD55" i="39"/>
  <c r="BC56" i="39"/>
  <c r="BD56" i="39"/>
  <c r="BC57" i="39"/>
  <c r="BD57" i="39"/>
  <c r="BC58" i="39"/>
  <c r="BC59" i="39"/>
  <c r="BD58" i="39"/>
  <c r="BD59" i="39"/>
  <c r="BC60" i="39"/>
  <c r="BD60" i="39"/>
  <c r="BC61" i="39"/>
  <c r="BD61" i="39"/>
  <c r="BC62" i="39"/>
  <c r="BD62" i="39"/>
  <c r="BC63" i="39"/>
  <c r="BD63" i="39"/>
  <c r="BC64" i="39"/>
  <c r="BC65" i="39"/>
  <c r="BD64" i="39"/>
  <c r="BC66" i="39"/>
  <c r="BD65" i="39"/>
  <c r="BC67" i="39"/>
  <c r="BD66" i="39"/>
  <c r="BC68" i="39"/>
  <c r="BD67" i="39"/>
  <c r="BC69" i="39"/>
  <c r="BD68" i="39"/>
  <c r="BD69" i="39"/>
  <c r="BC70" i="39"/>
  <c r="BC71" i="39"/>
  <c r="BD70" i="39"/>
  <c r="BC72" i="39"/>
  <c r="BD71" i="39"/>
  <c r="BC73" i="39"/>
  <c r="BD72" i="39"/>
  <c r="BD73" i="39"/>
  <c r="BC74" i="39"/>
  <c r="BD74" i="39"/>
  <c r="BC75" i="39"/>
  <c r="BC76" i="39"/>
  <c r="BD75" i="39"/>
  <c r="BD76" i="39"/>
  <c r="BC77" i="39"/>
  <c r="BD77" i="39"/>
  <c r="BC78" i="39"/>
  <c r="BC79" i="39"/>
  <c r="BD78" i="39"/>
  <c r="BC80" i="39"/>
  <c r="BD79" i="39"/>
  <c r="BD80" i="39"/>
  <c r="BC81" i="39"/>
  <c r="BC82" i="39"/>
  <c r="BD81" i="39"/>
  <c r="BC83" i="39"/>
  <c r="BD82" i="39"/>
  <c r="BC84" i="39"/>
  <c r="BD83" i="39"/>
  <c r="BD84" i="39"/>
  <c r="BC85" i="39"/>
  <c r="BC86" i="39"/>
  <c r="BD85" i="39"/>
  <c r="BD86" i="39"/>
  <c r="BC87" i="39"/>
  <c r="BD87" i="39"/>
  <c r="BC88" i="39"/>
  <c r="BC89" i="39"/>
  <c r="BD88" i="39"/>
  <c r="BC90" i="39"/>
  <c r="BD89" i="39"/>
  <c r="BD90" i="39"/>
  <c r="BC91" i="39"/>
  <c r="BD91" i="39"/>
  <c r="BC92" i="39"/>
  <c r="BD92" i="39"/>
  <c r="BC93" i="39"/>
  <c r="BC94" i="39"/>
  <c r="BD93" i="39"/>
  <c r="BC95" i="39"/>
  <c r="BD94" i="39"/>
  <c r="BC96" i="39"/>
  <c r="BD95" i="39"/>
  <c r="BD96" i="39"/>
  <c r="BC97" i="39"/>
  <c r="BD97" i="39"/>
  <c r="BC98" i="39"/>
  <c r="BC99" i="39"/>
  <c r="BD98" i="39"/>
  <c r="BD99" i="39"/>
  <c r="BC100" i="39"/>
  <c r="BC101" i="39"/>
  <c r="BD100" i="39"/>
  <c r="BD101" i="39"/>
  <c r="BC102" i="39"/>
  <c r="BD102" i="39"/>
  <c r="BC103" i="39"/>
  <c r="BD103" i="39"/>
  <c r="BC104" i="39"/>
  <c r="BC105" i="39"/>
  <c r="BD104" i="39"/>
  <c r="BC106" i="39"/>
  <c r="BD105" i="39"/>
  <c r="BD106" i="39"/>
  <c r="BC107" i="39"/>
  <c r="BC108" i="39"/>
  <c r="BD107" i="39"/>
  <c r="BD108" i="39"/>
  <c r="BC109" i="39"/>
  <c r="BC110" i="39"/>
  <c r="BD109" i="39"/>
  <c r="BC111" i="39"/>
  <c r="BD110" i="39"/>
  <c r="BC112" i="39"/>
  <c r="BD111" i="39"/>
  <c r="BD112" i="39"/>
  <c r="BC113" i="39"/>
  <c r="BD113" i="39"/>
  <c r="BC114" i="39"/>
  <c r="BC115" i="39"/>
  <c r="BD114" i="39"/>
  <c r="BD115" i="39"/>
  <c r="BC116" i="39"/>
  <c r="BD116" i="39"/>
  <c r="BC117" i="39"/>
  <c r="BC118" i="39"/>
  <c r="BD117" i="39"/>
  <c r="BC119" i="39"/>
  <c r="BD118" i="39"/>
  <c r="BC120" i="39"/>
  <c r="BD119" i="39"/>
  <c r="BC121" i="39"/>
  <c r="BD120" i="39"/>
  <c r="BD121" i="39"/>
  <c r="BC122" i="39"/>
  <c r="BD122" i="39"/>
  <c r="BC123" i="39"/>
  <c r="BD123" i="39"/>
  <c r="BC124" i="39"/>
  <c r="BC125" i="39"/>
  <c r="BD124" i="39"/>
  <c r="BD125" i="39"/>
  <c r="BC126" i="39"/>
  <c r="BD126" i="39"/>
  <c r="BC127" i="39"/>
  <c r="BD127" i="39"/>
  <c r="BC128" i="39"/>
  <c r="BD128" i="39"/>
  <c r="BC129" i="39"/>
  <c r="BC130" i="39"/>
  <c r="BD129" i="39"/>
  <c r="BC131" i="39"/>
  <c r="BD130" i="39"/>
  <c r="BC132" i="39"/>
  <c r="BD131" i="39"/>
  <c r="BD132" i="39"/>
  <c r="BC133" i="39"/>
  <c r="BC134" i="39"/>
  <c r="BD133" i="39"/>
  <c r="BC135" i="39"/>
  <c r="BD135" i="39" s="1"/>
  <c r="BD134" i="39"/>
  <c r="L5" i="39" l="1"/>
  <c r="K5" i="39"/>
  <c r="Q9" i="39"/>
  <c r="R9" i="39"/>
  <c r="P9" i="39"/>
  <c r="R4" i="39"/>
  <c r="Q4" i="39"/>
  <c r="P4" i="39"/>
  <c r="R7" i="40"/>
  <c r="R8" i="40"/>
  <c r="T7" i="40"/>
  <c r="T8" i="40"/>
  <c r="F54" i="39" l="1"/>
  <c r="R9" i="40"/>
  <c r="E45" i="39"/>
  <c r="T9" i="40"/>
  <c r="D18" i="29" l="1"/>
  <c r="R10" i="40"/>
  <c r="I4" i="53"/>
  <c r="I4" i="40"/>
  <c r="T10" i="40"/>
  <c r="I4" i="55"/>
  <c r="I4" i="57"/>
  <c r="AD51" i="56" l="1"/>
  <c r="AD42" i="54"/>
  <c r="AD45" i="39"/>
  <c r="R11" i="40"/>
  <c r="R12" i="40"/>
  <c r="T11" i="40"/>
  <c r="T12" i="40"/>
  <c r="R13" i="40"/>
  <c r="T13" i="40"/>
  <c r="R14" i="40"/>
  <c r="R15" i="40"/>
  <c r="T14" i="40"/>
  <c r="T15" i="40"/>
  <c r="R16" i="40"/>
  <c r="T16" i="40"/>
  <c r="R17" i="40"/>
  <c r="R18" i="40"/>
  <c r="T17" i="40"/>
  <c r="R19" i="40"/>
  <c r="T18" i="40"/>
  <c r="T19" i="40"/>
  <c r="L66" i="56" l="1"/>
  <c r="P66" i="56"/>
  <c r="K66" i="56"/>
  <c r="N66" i="56"/>
  <c r="R66" i="56"/>
  <c r="J66" i="56"/>
  <c r="Q66" i="56"/>
  <c r="O66" i="56"/>
  <c r="M66" i="56"/>
  <c r="I66" i="56"/>
  <c r="K54" i="54"/>
  <c r="R54" i="54"/>
  <c r="J54" i="54"/>
  <c r="I54" i="54"/>
  <c r="Q54" i="54"/>
  <c r="L54" i="54"/>
  <c r="P54" i="54"/>
  <c r="O54" i="54"/>
  <c r="M54" i="54"/>
  <c r="N54" i="54"/>
  <c r="R20" i="40"/>
  <c r="R21" i="40"/>
  <c r="T20" i="40"/>
  <c r="T21" i="40"/>
  <c r="R22" i="40"/>
  <c r="T22" i="40"/>
  <c r="R23" i="40"/>
  <c r="R24" i="40"/>
  <c r="R25" i="40"/>
  <c r="T24" i="40"/>
  <c r="T25" i="40"/>
  <c r="R26" i="40"/>
  <c r="T26" i="40"/>
  <c r="R27" i="40"/>
  <c r="R28" i="40"/>
  <c r="T27" i="40"/>
  <c r="R29" i="40"/>
  <c r="T28" i="40"/>
  <c r="R30" i="40"/>
  <c r="T29" i="40"/>
  <c r="T30" i="40"/>
  <c r="R31" i="40"/>
  <c r="R32" i="40"/>
  <c r="T31" i="40"/>
  <c r="T32" i="40"/>
  <c r="R33" i="40"/>
  <c r="T33" i="40"/>
  <c r="R34" i="40"/>
  <c r="R35" i="40"/>
  <c r="T34" i="40"/>
  <c r="T35" i="40"/>
  <c r="R36" i="40"/>
  <c r="R37" i="40"/>
  <c r="T36" i="40"/>
  <c r="T37" i="40"/>
  <c r="R38" i="40"/>
  <c r="T38" i="40"/>
  <c r="R39" i="40"/>
  <c r="R40" i="40"/>
  <c r="T39" i="40"/>
  <c r="R41" i="40"/>
  <c r="T40" i="40"/>
  <c r="T41" i="40"/>
  <c r="R42" i="40"/>
  <c r="R43" i="40"/>
  <c r="T42" i="40"/>
  <c r="R44" i="40"/>
  <c r="T43" i="40"/>
  <c r="T44" i="40"/>
  <c r="R45" i="40"/>
  <c r="T45" i="40"/>
  <c r="R46" i="40"/>
  <c r="T46" i="40"/>
  <c r="R47" i="40"/>
  <c r="R48" i="40"/>
  <c r="T47" i="40"/>
  <c r="R49" i="40"/>
  <c r="T48" i="40"/>
  <c r="R50" i="40"/>
  <c r="T49" i="40"/>
  <c r="R51" i="40"/>
  <c r="T50" i="40"/>
  <c r="R52" i="40"/>
  <c r="T51" i="40"/>
  <c r="T52" i="40"/>
  <c r="R53" i="40"/>
  <c r="T53" i="40"/>
  <c r="R54" i="40"/>
  <c r="R55" i="40"/>
  <c r="T54" i="40"/>
  <c r="R56" i="40"/>
  <c r="T55" i="40"/>
  <c r="T56" i="40"/>
  <c r="R57" i="40"/>
  <c r="R58" i="40"/>
  <c r="T57" i="40"/>
  <c r="R59" i="40"/>
  <c r="T58" i="40"/>
  <c r="R60" i="40"/>
  <c r="T59" i="40"/>
  <c r="T60" i="40"/>
  <c r="R61" i="40"/>
  <c r="R62" i="40"/>
  <c r="T61" i="40"/>
  <c r="R63" i="40"/>
  <c r="T62" i="40"/>
  <c r="R64" i="40"/>
  <c r="T63" i="40"/>
  <c r="R65" i="40"/>
  <c r="T64" i="40"/>
  <c r="R66" i="40"/>
  <c r="T65" i="40"/>
  <c r="R67" i="40"/>
  <c r="T66" i="40"/>
  <c r="R68" i="40"/>
  <c r="T67" i="40"/>
  <c r="R69" i="40"/>
  <c r="T68" i="40"/>
  <c r="R70" i="40"/>
  <c r="T69" i="40"/>
  <c r="T70" i="40"/>
  <c r="R71" i="40"/>
  <c r="T71" i="40"/>
  <c r="R72" i="40"/>
  <c r="R73" i="40"/>
  <c r="T72" i="40"/>
  <c r="R74" i="40"/>
  <c r="T73" i="40"/>
  <c r="T74" i="40"/>
  <c r="R75" i="40"/>
  <c r="R76" i="40"/>
  <c r="T75" i="40"/>
  <c r="T76" i="40"/>
  <c r="R77" i="40"/>
  <c r="R78" i="40"/>
  <c r="T77" i="40"/>
  <c r="T78" i="40"/>
  <c r="R79" i="40"/>
  <c r="T79" i="40"/>
  <c r="R80" i="40"/>
  <c r="R81" i="40"/>
  <c r="T80" i="40"/>
  <c r="R82" i="40"/>
  <c r="T81" i="40"/>
  <c r="R83" i="40"/>
  <c r="T82" i="40"/>
  <c r="R84" i="40"/>
  <c r="T83" i="40"/>
  <c r="T84" i="40"/>
  <c r="R85" i="40"/>
  <c r="R86" i="40"/>
  <c r="T85" i="40"/>
  <c r="R87" i="40"/>
  <c r="T86" i="40"/>
  <c r="R88" i="40"/>
  <c r="T87" i="40"/>
  <c r="R89" i="40"/>
  <c r="T88" i="40"/>
  <c r="T89" i="40"/>
  <c r="R90" i="40"/>
  <c r="T90" i="40"/>
  <c r="R91" i="40"/>
  <c r="T91" i="40"/>
  <c r="R92" i="40"/>
  <c r="T92" i="40"/>
  <c r="R93" i="40"/>
  <c r="R94" i="40"/>
  <c r="T93" i="40"/>
  <c r="R95" i="40"/>
  <c r="T94" i="40"/>
  <c r="R96" i="40"/>
  <c r="T95" i="40"/>
  <c r="R97" i="40"/>
  <c r="T96" i="40"/>
  <c r="T97" i="40"/>
  <c r="R98" i="40"/>
  <c r="T98" i="40"/>
  <c r="R99" i="40"/>
  <c r="R100" i="40"/>
  <c r="T99" i="40"/>
  <c r="R101" i="40"/>
  <c r="T100" i="40"/>
  <c r="R102" i="40"/>
  <c r="T101" i="40"/>
  <c r="R103" i="40"/>
  <c r="T102" i="40"/>
  <c r="T103" i="40"/>
  <c r="R104" i="40"/>
  <c r="R105" i="40"/>
  <c r="T104" i="40"/>
  <c r="R106" i="40"/>
  <c r="T105" i="40"/>
  <c r="R107" i="40"/>
  <c r="T106" i="40"/>
  <c r="R108" i="40"/>
  <c r="T107" i="40"/>
  <c r="T108" i="40"/>
  <c r="R109" i="40"/>
  <c r="T109" i="40"/>
  <c r="R110" i="40"/>
  <c r="T110" i="40"/>
  <c r="R111" i="40"/>
  <c r="R112" i="40"/>
  <c r="T111" i="40"/>
  <c r="R113" i="40"/>
  <c r="T112" i="40"/>
  <c r="R114" i="40"/>
  <c r="T113" i="40"/>
  <c r="R115" i="40"/>
  <c r="T114" i="40"/>
  <c r="T115" i="40"/>
  <c r="R116" i="40"/>
  <c r="R117" i="40"/>
  <c r="T116" i="40"/>
  <c r="T117" i="40"/>
  <c r="R118" i="40"/>
  <c r="T23" i="40"/>
  <c r="T118" i="40"/>
  <c r="R119" i="40"/>
  <c r="AS9" i="39" a="1"/>
  <c r="AS14" i="39" a="1"/>
  <c r="AS5" i="39" a="1"/>
  <c r="AF5" i="39" a="1"/>
  <c r="AR9" i="39" a="1"/>
  <c r="AQ19" i="39" a="1"/>
  <c r="AQ14" i="39" a="1"/>
  <c r="AR19" i="39" a="1"/>
  <c r="AR14" i="39" a="1"/>
  <c r="AR5" i="39" a="1"/>
  <c r="AS19" i="39" a="1"/>
  <c r="T119" i="40"/>
  <c r="AS9" i="39" l="1"/>
  <c r="AS10" i="39"/>
  <c r="AR21" i="39"/>
  <c r="AR19" i="39"/>
  <c r="AR20" i="39"/>
  <c r="AQ16" i="39"/>
  <c r="AQ14" i="39"/>
  <c r="AQ15" i="39"/>
  <c r="AS15" i="39"/>
  <c r="AS16" i="39"/>
  <c r="AS14" i="39"/>
  <c r="AQ21" i="39"/>
  <c r="AQ19" i="39"/>
  <c r="AQ20" i="39"/>
  <c r="AS21" i="39"/>
  <c r="AS20" i="39"/>
  <c r="AS19" i="39"/>
  <c r="AR14" i="39"/>
  <c r="AR16" i="39"/>
  <c r="AR15" i="39"/>
  <c r="AR9" i="39"/>
  <c r="AR10" i="39"/>
  <c r="AR5" i="39"/>
  <c r="AR6" i="39"/>
  <c r="AS6" i="39"/>
  <c r="AS5" i="39"/>
  <c r="AF6" i="39"/>
  <c r="AF5" i="39"/>
  <c r="AL5" i="39" s="1" a="1"/>
  <c r="R120" i="40"/>
  <c r="T120" i="40"/>
  <c r="AX5" i="39" l="1" a="1"/>
  <c r="AL5" i="39"/>
  <c r="AM6" i="39"/>
  <c r="AL6" i="39"/>
  <c r="AM5" i="39"/>
  <c r="AX14" i="39" a="1"/>
  <c r="AX9" i="39" a="1"/>
  <c r="AX19" i="39" a="1"/>
  <c r="R121" i="40"/>
  <c r="T121" i="40"/>
  <c r="AY21" i="39" l="1"/>
  <c r="AY19" i="39"/>
  <c r="AZ21" i="39"/>
  <c r="AZ20" i="39"/>
  <c r="AX20" i="39"/>
  <c r="AY20" i="39"/>
  <c r="AZ19" i="39"/>
  <c r="AX19" i="39"/>
  <c r="AX21" i="39"/>
  <c r="AX9" i="39"/>
  <c r="AY10" i="39"/>
  <c r="AX10" i="39"/>
  <c r="AY9" i="39"/>
  <c r="AZ14" i="39"/>
  <c r="AZ16" i="39"/>
  <c r="AY15" i="39"/>
  <c r="AX16" i="39"/>
  <c r="AX15" i="39"/>
  <c r="AY16" i="39"/>
  <c r="AZ15" i="39"/>
  <c r="AX14" i="39"/>
  <c r="AY14" i="39"/>
  <c r="AX5" i="39"/>
  <c r="AY6" i="39"/>
  <c r="AY5" i="39"/>
  <c r="AX6" i="39"/>
  <c r="R122" i="40"/>
  <c r="T122" i="40"/>
  <c r="D17" i="29" l="1"/>
  <c r="R123" i="40"/>
  <c r="S56" i="53"/>
  <c r="S136" i="53"/>
  <c r="S173" i="53"/>
  <c r="S245" i="53"/>
  <c r="S187" i="53"/>
  <c r="S171" i="53"/>
  <c r="S123" i="53"/>
  <c r="S107" i="53"/>
  <c r="I14" i="53"/>
  <c r="S232" i="53"/>
  <c r="S216" i="53"/>
  <c r="S192" i="53"/>
  <c r="S168" i="53"/>
  <c r="S152" i="53"/>
  <c r="S144" i="53"/>
  <c r="S125" i="53"/>
  <c r="S117" i="53"/>
  <c r="S101" i="53"/>
  <c r="S85" i="53"/>
  <c r="S72" i="53"/>
  <c r="S53" i="53"/>
  <c r="S45" i="53"/>
  <c r="S32" i="53"/>
  <c r="S8" i="53"/>
  <c r="S253" i="53"/>
  <c r="S221" i="53"/>
  <c r="S157" i="53"/>
  <c r="S141" i="53"/>
  <c r="S106" i="53"/>
  <c r="S61" i="53"/>
  <c r="S226" i="53"/>
  <c r="S178" i="53"/>
  <c r="S114" i="53"/>
  <c r="S63" i="53"/>
  <c r="S34" i="53"/>
  <c r="S247" i="53"/>
  <c r="S207" i="53"/>
  <c r="S196" i="53"/>
  <c r="S159" i="53"/>
  <c r="S140" i="53"/>
  <c r="S108" i="53"/>
  <c r="S92" i="53"/>
  <c r="S55" i="53"/>
  <c r="S236" i="53"/>
  <c r="S100" i="53"/>
  <c r="S203" i="53"/>
  <c r="S155" i="53"/>
  <c r="S75" i="53"/>
  <c r="S43" i="53"/>
  <c r="I17" i="53"/>
  <c r="S248" i="53"/>
  <c r="S240" i="53"/>
  <c r="S205" i="53"/>
  <c r="S197" i="53"/>
  <c r="S176" i="53"/>
  <c r="S165" i="53"/>
  <c r="S128" i="53"/>
  <c r="S104" i="53"/>
  <c r="S88" i="53"/>
  <c r="S77" i="53"/>
  <c r="S69" i="53"/>
  <c r="S48" i="53"/>
  <c r="S37" i="53"/>
  <c r="S24" i="53"/>
  <c r="S16" i="53"/>
  <c r="I22" i="53"/>
  <c r="S229" i="53"/>
  <c r="S213" i="53"/>
  <c r="S186" i="53"/>
  <c r="S154" i="53"/>
  <c r="S109" i="53"/>
  <c r="S90" i="53"/>
  <c r="S42" i="53"/>
  <c r="S13" i="53"/>
  <c r="S258" i="53"/>
  <c r="S242" i="53"/>
  <c r="S218" i="53"/>
  <c r="S194" i="53"/>
  <c r="S175" i="53"/>
  <c r="S146" i="53"/>
  <c r="S111" i="53"/>
  <c r="S98" i="53"/>
  <c r="S50" i="53"/>
  <c r="S7" i="53"/>
  <c r="I15" i="53"/>
  <c r="S231" i="53"/>
  <c r="S223" i="53"/>
  <c r="S199" i="53"/>
  <c r="S183" i="53"/>
  <c r="S172" i="53"/>
  <c r="S151" i="53"/>
  <c r="S132" i="53"/>
  <c r="S124" i="53"/>
  <c r="S103" i="53"/>
  <c r="S87" i="53"/>
  <c r="S76" i="53"/>
  <c r="S71" i="53"/>
  <c r="S47" i="53"/>
  <c r="S39" i="53"/>
  <c r="S252" i="53"/>
  <c r="S244" i="53"/>
  <c r="S228" i="53"/>
  <c r="S220" i="53"/>
  <c r="S193" i="53"/>
  <c r="S164" i="53"/>
  <c r="S148" i="53"/>
  <c r="S116" i="53"/>
  <c r="S97" i="53"/>
  <c r="S81" i="53"/>
  <c r="S65" i="53"/>
  <c r="S36" i="53"/>
  <c r="S20" i="53"/>
  <c r="S246" i="53"/>
  <c r="S222" i="53"/>
  <c r="S214" i="53"/>
  <c r="S201" i="53"/>
  <c r="S198" i="53"/>
  <c r="S185" i="53"/>
  <c r="S169" i="53"/>
  <c r="S153" i="53"/>
  <c r="S137" i="53"/>
  <c r="S134" i="53"/>
  <c r="S121" i="53"/>
  <c r="S118" i="53"/>
  <c r="S105" i="53"/>
  <c r="S89" i="53"/>
  <c r="S73" i="53"/>
  <c r="S70" i="53"/>
  <c r="S57" i="53"/>
  <c r="S41" i="53"/>
  <c r="I13" i="53"/>
  <c r="S184" i="53"/>
  <c r="S139" i="53"/>
  <c r="S91" i="53"/>
  <c r="S59" i="53"/>
  <c r="S19" i="53"/>
  <c r="I18" i="53"/>
  <c r="S256" i="53"/>
  <c r="S224" i="53"/>
  <c r="S208" i="53"/>
  <c r="S200" i="53"/>
  <c r="S181" i="53"/>
  <c r="S160" i="53"/>
  <c r="S149" i="53"/>
  <c r="S133" i="53"/>
  <c r="S120" i="53"/>
  <c r="S112" i="53"/>
  <c r="S96" i="53"/>
  <c r="S80" i="53"/>
  <c r="S64" i="53"/>
  <c r="S40" i="53"/>
  <c r="S29" i="53"/>
  <c r="S21" i="53"/>
  <c r="S5" i="53"/>
  <c r="I11" i="53"/>
  <c r="S261" i="53"/>
  <c r="S237" i="53"/>
  <c r="S202" i="53"/>
  <c r="S189" i="53"/>
  <c r="S170" i="53"/>
  <c r="S138" i="53"/>
  <c r="S122" i="53"/>
  <c r="S93" i="53"/>
  <c r="S74" i="53"/>
  <c r="S58" i="53"/>
  <c r="S26" i="53"/>
  <c r="I19" i="53"/>
  <c r="S250" i="53"/>
  <c r="S234" i="53"/>
  <c r="S210" i="53"/>
  <c r="S191" i="53"/>
  <c r="S162" i="53"/>
  <c r="S143" i="53"/>
  <c r="S130" i="53"/>
  <c r="S82" i="53"/>
  <c r="S66" i="53"/>
  <c r="S18" i="53"/>
  <c r="S10" i="53"/>
  <c r="S3" i="53"/>
  <c r="J4" i="53"/>
  <c r="S255" i="53"/>
  <c r="S239" i="53"/>
  <c r="S215" i="53"/>
  <c r="S204" i="53"/>
  <c r="S188" i="53"/>
  <c r="S180" i="53"/>
  <c r="S167" i="53"/>
  <c r="S156" i="53"/>
  <c r="S135" i="53"/>
  <c r="S127" i="53"/>
  <c r="S119" i="53"/>
  <c r="S95" i="53"/>
  <c r="S79" i="53"/>
  <c r="S60" i="53"/>
  <c r="S52" i="53"/>
  <c r="S44" i="53"/>
  <c r="S31" i="53"/>
  <c r="S23" i="53"/>
  <c r="S15" i="53"/>
  <c r="S4" i="53"/>
  <c r="I12" i="53"/>
  <c r="S260" i="53"/>
  <c r="S257" i="53"/>
  <c r="S249" i="53"/>
  <c r="S241" i="53"/>
  <c r="S233" i="53"/>
  <c r="S225" i="53"/>
  <c r="S217" i="53"/>
  <c r="S212" i="53"/>
  <c r="S209" i="53"/>
  <c r="S177" i="53"/>
  <c r="S161" i="53"/>
  <c r="S145" i="53"/>
  <c r="S129" i="53"/>
  <c r="S113" i="53"/>
  <c r="S84" i="53"/>
  <c r="S68" i="53"/>
  <c r="S49" i="53"/>
  <c r="S33" i="53"/>
  <c r="S28" i="53"/>
  <c r="S25" i="53"/>
  <c r="S17" i="53"/>
  <c r="S12" i="53"/>
  <c r="S9" i="53"/>
  <c r="I20" i="53"/>
  <c r="S254" i="53"/>
  <c r="S238" i="53"/>
  <c r="S230" i="53"/>
  <c r="S262" i="53"/>
  <c r="S259" i="53"/>
  <c r="S251" i="53"/>
  <c r="S243" i="53"/>
  <c r="S235" i="53"/>
  <c r="S227" i="53"/>
  <c r="S219" i="53"/>
  <c r="S211" i="53"/>
  <c r="S206" i="53"/>
  <c r="S195" i="53"/>
  <c r="S190" i="53"/>
  <c r="S182" i="53"/>
  <c r="S179" i="53"/>
  <c r="S174" i="53"/>
  <c r="S166" i="53"/>
  <c r="S163" i="53"/>
  <c r="S158" i="53"/>
  <c r="S150" i="53"/>
  <c r="S147" i="53"/>
  <c r="S142" i="53"/>
  <c r="S131" i="53"/>
  <c r="S126" i="53"/>
  <c r="S115" i="53"/>
  <c r="S110" i="53"/>
  <c r="S102" i="53"/>
  <c r="S99" i="53"/>
  <c r="S94" i="53"/>
  <c r="S86" i="53"/>
  <c r="S83" i="53"/>
  <c r="S78" i="53"/>
  <c r="S67" i="53"/>
  <c r="S62" i="53"/>
  <c r="S54" i="53"/>
  <c r="S51" i="53"/>
  <c r="S46" i="53"/>
  <c r="S38" i="53"/>
  <c r="S35" i="53"/>
  <c r="S30" i="53"/>
  <c r="S27" i="53"/>
  <c r="S22" i="53"/>
  <c r="S14" i="53"/>
  <c r="S11" i="53"/>
  <c r="S6" i="53"/>
  <c r="F3" i="53"/>
  <c r="I16" i="53"/>
  <c r="I21" i="53"/>
  <c r="J16" i="53"/>
  <c r="AA16" i="53"/>
  <c r="AA24" i="53"/>
  <c r="J5" i="53"/>
  <c r="J18" i="53"/>
  <c r="AA22" i="53"/>
  <c r="AA25" i="53"/>
  <c r="AA27" i="53"/>
  <c r="J14" i="53"/>
  <c r="AA19" i="53"/>
  <c r="J21" i="53"/>
  <c r="J17" i="53"/>
  <c r="J13" i="53"/>
  <c r="J10" i="53"/>
  <c r="J11" i="53"/>
  <c r="AA23" i="53"/>
  <c r="AA26" i="53"/>
  <c r="J22" i="53"/>
  <c r="AA30" i="53"/>
  <c r="J19" i="53"/>
  <c r="J15" i="53"/>
  <c r="AA15" i="53"/>
  <c r="J7" i="53"/>
  <c r="J20" i="53"/>
  <c r="J8" i="53"/>
  <c r="AA29" i="53"/>
  <c r="J9" i="53"/>
  <c r="AA17" i="53"/>
  <c r="AA18" i="53"/>
  <c r="AA20" i="53"/>
  <c r="J12" i="53"/>
  <c r="AA28" i="53"/>
  <c r="AA21" i="53"/>
  <c r="J6" i="53"/>
  <c r="I9" i="53"/>
  <c r="I7" i="53"/>
  <c r="I8" i="53"/>
  <c r="I10" i="53"/>
  <c r="I5" i="53"/>
  <c r="I6" i="53"/>
  <c r="I11" i="40"/>
  <c r="J18" i="40"/>
  <c r="J19" i="40"/>
  <c r="J13" i="40"/>
  <c r="I6" i="40"/>
  <c r="F3" i="39"/>
  <c r="J9" i="40"/>
  <c r="J16" i="40"/>
  <c r="F16" i="39"/>
  <c r="I8" i="40"/>
  <c r="F19" i="39"/>
  <c r="J20" i="40"/>
  <c r="I21" i="40"/>
  <c r="I10" i="40"/>
  <c r="F9" i="39"/>
  <c r="J6" i="40"/>
  <c r="F5" i="39"/>
  <c r="J11" i="40"/>
  <c r="I22" i="40"/>
  <c r="I18" i="40"/>
  <c r="J14" i="40"/>
  <c r="F20" i="39"/>
  <c r="I5" i="40"/>
  <c r="F17" i="39"/>
  <c r="J17" i="40"/>
  <c r="J5" i="40"/>
  <c r="J8" i="40"/>
  <c r="J7" i="40"/>
  <c r="F6" i="39"/>
  <c r="F8" i="39"/>
  <c r="F7" i="39"/>
  <c r="F14" i="39"/>
  <c r="I20" i="40"/>
  <c r="F4" i="39"/>
  <c r="I7" i="40"/>
  <c r="I15" i="40"/>
  <c r="I9" i="40"/>
  <c r="J4" i="40"/>
  <c r="I12" i="40"/>
  <c r="I16" i="40"/>
  <c r="J21" i="40"/>
  <c r="I17" i="40"/>
  <c r="F15" i="39"/>
  <c r="J12" i="40"/>
  <c r="J22" i="40"/>
  <c r="J10" i="40"/>
  <c r="J15" i="40"/>
  <c r="I19" i="40"/>
  <c r="I13" i="40"/>
  <c r="F18" i="39"/>
  <c r="I14" i="40"/>
  <c r="T123" i="40"/>
  <c r="F9" i="54"/>
  <c r="F14" i="56"/>
  <c r="F3" i="56"/>
  <c r="J4" i="55"/>
  <c r="F3" i="54"/>
  <c r="F14" i="54"/>
  <c r="F14" i="58"/>
  <c r="J4" i="57"/>
  <c r="F3" i="58"/>
  <c r="J5" i="57"/>
  <c r="I5" i="57"/>
  <c r="J6" i="57"/>
  <c r="I6" i="57"/>
  <c r="J7" i="57"/>
  <c r="I7" i="57"/>
  <c r="J8" i="57"/>
  <c r="I8" i="57"/>
  <c r="F9" i="56"/>
  <c r="F20" i="56"/>
  <c r="J7" i="55"/>
  <c r="J6" i="55"/>
  <c r="J5" i="55"/>
  <c r="J8" i="55"/>
  <c r="J9" i="55"/>
  <c r="J10" i="55"/>
  <c r="J11" i="55"/>
  <c r="J12" i="55"/>
  <c r="J13" i="55"/>
  <c r="J14" i="55"/>
  <c r="J15" i="55"/>
  <c r="J16" i="55"/>
  <c r="J17" i="55"/>
  <c r="F16" i="58"/>
  <c r="F17" i="58"/>
  <c r="F6" i="58"/>
  <c r="F4" i="58"/>
  <c r="F5" i="58"/>
  <c r="F15" i="58"/>
  <c r="AA42" i="55"/>
  <c r="AA34" i="55"/>
  <c r="AA41" i="55"/>
  <c r="AA33" i="55"/>
  <c r="AA40" i="55"/>
  <c r="AA32" i="55"/>
  <c r="AA39" i="55"/>
  <c r="AA31" i="55"/>
  <c r="AA38" i="55"/>
  <c r="AA37" i="55"/>
  <c r="AA36" i="55"/>
  <c r="AA35" i="55"/>
  <c r="F6" i="54"/>
  <c r="F5" i="54"/>
  <c r="F8" i="56"/>
  <c r="F7" i="56"/>
  <c r="F4" i="56"/>
  <c r="F6" i="56"/>
  <c r="F15" i="56"/>
  <c r="F18" i="56"/>
  <c r="F17" i="56"/>
  <c r="F19" i="56"/>
  <c r="F5" i="56"/>
  <c r="F16" i="56"/>
  <c r="F4" i="54"/>
  <c r="F15" i="54"/>
  <c r="F16" i="54"/>
  <c r="F17" i="54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F20" i="54"/>
  <c r="F18" i="54"/>
  <c r="F19" i="54"/>
  <c r="F8" i="54"/>
  <c r="F7" i="54"/>
  <c r="G4" i="58" l="1"/>
  <c r="G15" i="58"/>
  <c r="G5" i="58"/>
  <c r="G16" i="58"/>
  <c r="G6" i="58"/>
  <c r="G17" i="58"/>
  <c r="G3" i="58"/>
  <c r="G14" i="58"/>
  <c r="G3" i="56"/>
  <c r="G14" i="56"/>
  <c r="G4" i="56"/>
  <c r="G15" i="56"/>
  <c r="G8" i="56"/>
  <c r="G19" i="56"/>
  <c r="G5" i="56"/>
  <c r="G16" i="56"/>
  <c r="G7" i="56"/>
  <c r="G18" i="56"/>
  <c r="G6" i="56"/>
  <c r="G17" i="56"/>
  <c r="G9" i="56"/>
  <c r="G20" i="56"/>
  <c r="K17" i="55"/>
  <c r="AC56" i="56"/>
  <c r="AC57" i="56"/>
  <c r="AC58" i="56"/>
  <c r="AC59" i="56"/>
  <c r="AC74" i="56" s="1"/>
  <c r="AC52" i="56"/>
  <c r="AC60" i="56"/>
  <c r="AC53" i="56"/>
  <c r="AC61" i="56"/>
  <c r="AC76" i="56" s="1"/>
  <c r="AC54" i="56"/>
  <c r="AC69" i="56" s="1"/>
  <c r="AC62" i="56"/>
  <c r="AC55" i="56"/>
  <c r="AC63" i="56"/>
  <c r="AC78" i="56" s="1"/>
  <c r="K8" i="57"/>
  <c r="K7" i="57"/>
  <c r="K6" i="57"/>
  <c r="K5" i="57"/>
  <c r="K4" i="57"/>
  <c r="K4" i="55"/>
  <c r="AD63" i="56"/>
  <c r="K16" i="55"/>
  <c r="AD62" i="56"/>
  <c r="K15" i="55"/>
  <c r="AD61" i="56"/>
  <c r="K14" i="55"/>
  <c r="AD60" i="56"/>
  <c r="K13" i="55"/>
  <c r="AD59" i="56"/>
  <c r="K12" i="55"/>
  <c r="AD58" i="56"/>
  <c r="K11" i="55"/>
  <c r="AD57" i="56"/>
  <c r="K10" i="55"/>
  <c r="AD56" i="56"/>
  <c r="K9" i="55"/>
  <c r="AD55" i="56"/>
  <c r="K8" i="55"/>
  <c r="AD54" i="56"/>
  <c r="K7" i="55"/>
  <c r="AD53" i="56"/>
  <c r="K6" i="55"/>
  <c r="AD52" i="56"/>
  <c r="K5" i="55"/>
  <c r="G8" i="54"/>
  <c r="G17" i="54"/>
  <c r="G7" i="54"/>
  <c r="G6" i="54"/>
  <c r="G19" i="54"/>
  <c r="G5" i="54"/>
  <c r="G4" i="54"/>
  <c r="G18" i="54"/>
  <c r="G16" i="54"/>
  <c r="G15" i="54"/>
  <c r="G14" i="54"/>
  <c r="G9" i="54"/>
  <c r="G3" i="54"/>
  <c r="G20" i="54"/>
  <c r="AD44" i="54"/>
  <c r="K6" i="53"/>
  <c r="AD43" i="54"/>
  <c r="K5" i="53"/>
  <c r="K10" i="53"/>
  <c r="K8" i="53"/>
  <c r="AD45" i="54"/>
  <c r="K7" i="53"/>
  <c r="K9" i="53"/>
  <c r="AC42" i="54"/>
  <c r="AC54" i="54" s="1"/>
  <c r="AC49" i="54"/>
  <c r="AC41" i="54"/>
  <c r="AC39" i="54"/>
  <c r="AC38" i="54"/>
  <c r="AC50" i="54"/>
  <c r="AC36" i="54"/>
  <c r="AC51" i="54"/>
  <c r="AC47" i="54"/>
  <c r="AC44" i="54"/>
  <c r="AC40" i="54"/>
  <c r="AC48" i="54"/>
  <c r="AC46" i="54"/>
  <c r="AC43" i="54"/>
  <c r="AC45" i="54"/>
  <c r="AC57" i="54" s="1"/>
  <c r="AC37" i="54"/>
  <c r="K21" i="53"/>
  <c r="AD51" i="54"/>
  <c r="K16" i="53"/>
  <c r="K20" i="53"/>
  <c r="AD47" i="54"/>
  <c r="K12" i="53"/>
  <c r="I3" i="53"/>
  <c r="K4" i="53"/>
  <c r="K19" i="53"/>
  <c r="AD46" i="54"/>
  <c r="K11" i="53"/>
  <c r="K18" i="53"/>
  <c r="AD48" i="54"/>
  <c r="K13" i="53"/>
  <c r="AD50" i="54"/>
  <c r="K15" i="53"/>
  <c r="K22" i="53"/>
  <c r="K17" i="53"/>
  <c r="AD49" i="54"/>
  <c r="K14" i="53"/>
  <c r="G3" i="39"/>
  <c r="K10" i="40"/>
  <c r="AD51" i="39"/>
  <c r="G17" i="39"/>
  <c r="K14" i="40"/>
  <c r="G5" i="39"/>
  <c r="G4" i="39"/>
  <c r="G16" i="39"/>
  <c r="AD48" i="39"/>
  <c r="K7" i="40"/>
  <c r="G20" i="39"/>
  <c r="G14" i="39"/>
  <c r="AD47" i="39"/>
  <c r="K6" i="40"/>
  <c r="G7" i="39"/>
  <c r="G15" i="39"/>
  <c r="AD46" i="39"/>
  <c r="K5" i="40"/>
  <c r="K21" i="40"/>
  <c r="G18" i="39"/>
  <c r="K16" i="40"/>
  <c r="G6" i="39"/>
  <c r="G9" i="39"/>
  <c r="G19" i="39"/>
  <c r="K12" i="40"/>
  <c r="K18" i="40"/>
  <c r="K13" i="40"/>
  <c r="K11" i="40"/>
  <c r="K4" i="40"/>
  <c r="K20" i="40"/>
  <c r="K8" i="40"/>
  <c r="AD49" i="39"/>
  <c r="K9" i="40"/>
  <c r="AD50" i="39"/>
  <c r="K22" i="40"/>
  <c r="K19" i="40"/>
  <c r="G8" i="39"/>
  <c r="K17" i="40"/>
  <c r="K15" i="40"/>
  <c r="M4" i="58"/>
  <c r="M3" i="56"/>
  <c r="M7" i="56"/>
  <c r="F4" i="55"/>
  <c r="F13" i="55"/>
  <c r="F9" i="55"/>
  <c r="F5" i="55"/>
  <c r="M5" i="58"/>
  <c r="M4" i="56"/>
  <c r="M6" i="56"/>
  <c r="F16" i="55"/>
  <c r="F12" i="55"/>
  <c r="F8" i="55"/>
  <c r="F8" i="57"/>
  <c r="M6" i="58"/>
  <c r="M9" i="56"/>
  <c r="F7" i="57"/>
  <c r="F15" i="55"/>
  <c r="F11" i="55"/>
  <c r="M3" i="58"/>
  <c r="F6" i="55"/>
  <c r="F4" i="57"/>
  <c r="M8" i="56"/>
  <c r="F7" i="55"/>
  <c r="F6" i="57"/>
  <c r="M5" i="56"/>
  <c r="F17" i="55"/>
  <c r="F5" i="57"/>
  <c r="F14" i="55"/>
  <c r="F10" i="55"/>
  <c r="R124" i="40"/>
  <c r="M8" i="54"/>
  <c r="F17" i="53"/>
  <c r="M7" i="39"/>
  <c r="F5" i="40"/>
  <c r="F12" i="40"/>
  <c r="F5" i="53"/>
  <c r="F16" i="53"/>
  <c r="F11" i="53"/>
  <c r="F16" i="40"/>
  <c r="F17" i="40"/>
  <c r="F21" i="40"/>
  <c r="F9" i="40"/>
  <c r="M7" i="54"/>
  <c r="F10" i="53"/>
  <c r="F20" i="53"/>
  <c r="F18" i="53"/>
  <c r="F14" i="53"/>
  <c r="F20" i="40"/>
  <c r="M6" i="54"/>
  <c r="M9" i="54"/>
  <c r="F8" i="53"/>
  <c r="F11" i="40"/>
  <c r="F18" i="40"/>
  <c r="M3" i="54"/>
  <c r="F13" i="53"/>
  <c r="F4" i="40"/>
  <c r="F15" i="40"/>
  <c r="F7" i="53"/>
  <c r="F22" i="40"/>
  <c r="F10" i="40"/>
  <c r="F9" i="53"/>
  <c r="F15" i="53"/>
  <c r="F8" i="40"/>
  <c r="F14" i="40"/>
  <c r="F6" i="53"/>
  <c r="F21" i="53"/>
  <c r="F19" i="53"/>
  <c r="M5" i="39"/>
  <c r="M8" i="39"/>
  <c r="F12" i="53"/>
  <c r="F19" i="40"/>
  <c r="M5" i="54"/>
  <c r="F13" i="40"/>
  <c r="M4" i="54"/>
  <c r="F4" i="53"/>
  <c r="F6" i="40"/>
  <c r="F22" i="53"/>
  <c r="M3" i="39"/>
  <c r="F7" i="40"/>
  <c r="M6" i="39"/>
  <c r="M4" i="39"/>
  <c r="M9" i="39"/>
  <c r="T124" i="40"/>
  <c r="AC71" i="56" l="1"/>
  <c r="AC68" i="56"/>
  <c r="AC75" i="56"/>
  <c r="AC70" i="56"/>
  <c r="AC73" i="56"/>
  <c r="AC77" i="56"/>
  <c r="AC72" i="56"/>
  <c r="I67" i="56"/>
  <c r="P67" i="56"/>
  <c r="N67" i="56"/>
  <c r="O67" i="56"/>
  <c r="L67" i="56"/>
  <c r="R67" i="56"/>
  <c r="J67" i="56"/>
  <c r="K67" i="56"/>
  <c r="Q67" i="56"/>
  <c r="M67" i="56"/>
  <c r="AC67" i="56"/>
  <c r="R68" i="56"/>
  <c r="M68" i="56"/>
  <c r="J68" i="56"/>
  <c r="O68" i="56"/>
  <c r="Q68" i="56"/>
  <c r="P68" i="56"/>
  <c r="I68" i="56"/>
  <c r="N68" i="56"/>
  <c r="L68" i="56"/>
  <c r="K68" i="56"/>
  <c r="M69" i="56"/>
  <c r="L69" i="56"/>
  <c r="R69" i="56"/>
  <c r="I69" i="56"/>
  <c r="K69" i="56"/>
  <c r="J69" i="56"/>
  <c r="P69" i="56"/>
  <c r="N69" i="56"/>
  <c r="O69" i="56"/>
  <c r="Q69" i="56"/>
  <c r="L70" i="56"/>
  <c r="P70" i="56"/>
  <c r="K70" i="56"/>
  <c r="O70" i="56"/>
  <c r="R70" i="56"/>
  <c r="J70" i="56"/>
  <c r="Q70" i="56"/>
  <c r="N70" i="56"/>
  <c r="M70" i="56"/>
  <c r="I70" i="56"/>
  <c r="K71" i="56"/>
  <c r="Q71" i="56"/>
  <c r="I71" i="56"/>
  <c r="P71" i="56"/>
  <c r="N71" i="56"/>
  <c r="J71" i="56"/>
  <c r="M71" i="56"/>
  <c r="O71" i="56"/>
  <c r="L71" i="56"/>
  <c r="R71" i="56"/>
  <c r="P72" i="56"/>
  <c r="K72" i="56"/>
  <c r="Q72" i="56"/>
  <c r="R72" i="56"/>
  <c r="O72" i="56"/>
  <c r="M72" i="56"/>
  <c r="L72" i="56"/>
  <c r="J72" i="56"/>
  <c r="N72" i="56"/>
  <c r="I72" i="56"/>
  <c r="J73" i="56"/>
  <c r="I73" i="56"/>
  <c r="O73" i="56"/>
  <c r="R73" i="56"/>
  <c r="M73" i="56"/>
  <c r="P73" i="56"/>
  <c r="N73" i="56"/>
  <c r="Q73" i="56"/>
  <c r="L73" i="56"/>
  <c r="K73" i="56"/>
  <c r="K74" i="56"/>
  <c r="R74" i="56"/>
  <c r="J74" i="56"/>
  <c r="O74" i="56"/>
  <c r="I74" i="56"/>
  <c r="Q74" i="56"/>
  <c r="L74" i="56"/>
  <c r="M74" i="56"/>
  <c r="P74" i="56"/>
  <c r="N74" i="56"/>
  <c r="L75" i="56"/>
  <c r="O75" i="56"/>
  <c r="M75" i="56"/>
  <c r="Q75" i="56"/>
  <c r="K75" i="56"/>
  <c r="R75" i="56"/>
  <c r="J75" i="56"/>
  <c r="P75" i="56"/>
  <c r="N75" i="56"/>
  <c r="I75" i="56"/>
  <c r="P76" i="56"/>
  <c r="R76" i="56"/>
  <c r="Q76" i="56"/>
  <c r="J76" i="56"/>
  <c r="I76" i="56"/>
  <c r="M76" i="56"/>
  <c r="O76" i="56"/>
  <c r="N76" i="56"/>
  <c r="L76" i="56"/>
  <c r="K76" i="56"/>
  <c r="R77" i="56"/>
  <c r="Q77" i="56"/>
  <c r="O77" i="56"/>
  <c r="N77" i="56"/>
  <c r="M77" i="56"/>
  <c r="P77" i="56"/>
  <c r="J77" i="56"/>
  <c r="I77" i="56"/>
  <c r="L77" i="56"/>
  <c r="K77" i="56"/>
  <c r="P78" i="56"/>
  <c r="L78" i="56"/>
  <c r="N78" i="56"/>
  <c r="K78" i="56"/>
  <c r="I78" i="56"/>
  <c r="O78" i="56"/>
  <c r="M78" i="56"/>
  <c r="R78" i="56"/>
  <c r="J78" i="56"/>
  <c r="Q78" i="56"/>
  <c r="AC63" i="54"/>
  <c r="AC55" i="54"/>
  <c r="AC58" i="54"/>
  <c r="AC59" i="54"/>
  <c r="M22" i="53"/>
  <c r="M4" i="53"/>
  <c r="I62" i="54"/>
  <c r="Q62" i="54"/>
  <c r="K62" i="54"/>
  <c r="L62" i="54"/>
  <c r="J62" i="54"/>
  <c r="R62" i="54"/>
  <c r="M62" i="54"/>
  <c r="N62" i="54"/>
  <c r="O62" i="54"/>
  <c r="P62" i="54"/>
  <c r="M12" i="53"/>
  <c r="Q57" i="54"/>
  <c r="I57" i="54"/>
  <c r="O57" i="54"/>
  <c r="P57" i="54"/>
  <c r="J57" i="54"/>
  <c r="R57" i="54"/>
  <c r="N57" i="54"/>
  <c r="M57" i="54"/>
  <c r="L57" i="54"/>
  <c r="K57" i="54"/>
  <c r="M19" i="53"/>
  <c r="M21" i="53"/>
  <c r="M6" i="53"/>
  <c r="M15" i="53"/>
  <c r="M9" i="53"/>
  <c r="O56" i="54"/>
  <c r="N56" i="54"/>
  <c r="M56" i="54"/>
  <c r="R56" i="54"/>
  <c r="Q56" i="54"/>
  <c r="P56" i="54"/>
  <c r="L56" i="54"/>
  <c r="K56" i="54"/>
  <c r="J56" i="54"/>
  <c r="I56" i="54"/>
  <c r="M7" i="53"/>
  <c r="M13" i="53"/>
  <c r="AC62" i="54"/>
  <c r="O60" i="54"/>
  <c r="M60" i="54"/>
  <c r="N60" i="54"/>
  <c r="R60" i="54"/>
  <c r="Q60" i="54"/>
  <c r="P60" i="54"/>
  <c r="L60" i="54"/>
  <c r="K60" i="54"/>
  <c r="J60" i="54"/>
  <c r="I60" i="54"/>
  <c r="M59" i="54"/>
  <c r="K59" i="54"/>
  <c r="L59" i="54"/>
  <c r="P59" i="54"/>
  <c r="O59" i="54"/>
  <c r="N59" i="54"/>
  <c r="J59" i="54"/>
  <c r="I59" i="54"/>
  <c r="Q59" i="54"/>
  <c r="R59" i="54"/>
  <c r="M8" i="53"/>
  <c r="M14" i="53"/>
  <c r="M18" i="53"/>
  <c r="M20" i="53"/>
  <c r="AC60" i="54"/>
  <c r="M10" i="53"/>
  <c r="P61" i="54"/>
  <c r="J61" i="54"/>
  <c r="R61" i="54"/>
  <c r="I61" i="54"/>
  <c r="Q61" i="54"/>
  <c r="K61" i="54"/>
  <c r="L61" i="54"/>
  <c r="M61" i="54"/>
  <c r="N61" i="54"/>
  <c r="O61" i="54"/>
  <c r="M11" i="53"/>
  <c r="M16" i="53"/>
  <c r="M5" i="53"/>
  <c r="M17" i="53"/>
  <c r="K58" i="54"/>
  <c r="Q58" i="54"/>
  <c r="I58" i="54"/>
  <c r="R58" i="54"/>
  <c r="J58" i="54"/>
  <c r="M58" i="54"/>
  <c r="L58" i="54"/>
  <c r="P58" i="54"/>
  <c r="O58" i="54"/>
  <c r="N58" i="54"/>
  <c r="J63" i="54"/>
  <c r="R63" i="54"/>
  <c r="K63" i="54"/>
  <c r="L63" i="54"/>
  <c r="M63" i="54"/>
  <c r="N63" i="54"/>
  <c r="O63" i="54"/>
  <c r="P63" i="54"/>
  <c r="Q63" i="54"/>
  <c r="I63" i="54"/>
  <c r="AC56" i="54"/>
  <c r="AC61" i="54"/>
  <c r="M55" i="54"/>
  <c r="L55" i="54"/>
  <c r="K55" i="54"/>
  <c r="O55" i="54"/>
  <c r="N55" i="54"/>
  <c r="J55" i="54"/>
  <c r="I55" i="54"/>
  <c r="R55" i="54"/>
  <c r="Q55" i="54"/>
  <c r="P55" i="54"/>
  <c r="R125" i="40"/>
  <c r="AK5" i="39" a="1"/>
  <c r="T125" i="40"/>
  <c r="AK6" i="39" l="1"/>
  <c r="AK5" i="39"/>
  <c r="R126" i="40"/>
  <c r="AK9" i="39" a="1"/>
  <c r="T126" i="40"/>
  <c r="AK10" i="39" l="1"/>
  <c r="AK9" i="39"/>
  <c r="R127" i="40"/>
  <c r="T127" i="40"/>
  <c r="R128" i="40"/>
  <c r="AK14" i="39" a="1"/>
  <c r="T128" i="40"/>
  <c r="AK16" i="39" l="1"/>
  <c r="AK15" i="39"/>
  <c r="AK14" i="39"/>
  <c r="R129" i="40"/>
  <c r="AK19" i="39" a="1"/>
  <c r="T129" i="40"/>
  <c r="AK19" i="39" l="1"/>
  <c r="AK20" i="39"/>
  <c r="AK21" i="39"/>
  <c r="AI5" i="39" a="1"/>
  <c r="AI5" i="39" s="1"/>
  <c r="G29" i="39" s="1"/>
  <c r="R130" i="40"/>
  <c r="T130" i="40"/>
  <c r="AI6" i="39" l="1"/>
  <c r="G28" i="39" s="1"/>
  <c r="R131" i="40"/>
  <c r="G27" i="39"/>
  <c r="G47" i="39"/>
  <c r="G37" i="39"/>
  <c r="G45" i="39"/>
  <c r="G36" i="39"/>
  <c r="G40" i="39"/>
  <c r="BE1" i="39"/>
  <c r="BE133" i="39"/>
  <c r="BE96" i="39"/>
  <c r="BE124" i="39"/>
  <c r="BE36" i="39"/>
  <c r="BE9" i="39"/>
  <c r="BE59" i="39"/>
  <c r="BE104" i="39"/>
  <c r="BE62" i="39"/>
  <c r="BE25" i="39"/>
  <c r="BE78" i="39"/>
  <c r="BE91" i="39"/>
  <c r="G48" i="39"/>
  <c r="BE120" i="39"/>
  <c r="BE56" i="39"/>
  <c r="BE79" i="39"/>
  <c r="BE14" i="39"/>
  <c r="BE32" i="39"/>
  <c r="G41" i="39"/>
  <c r="BE57" i="39"/>
  <c r="BE55" i="39"/>
  <c r="BE17" i="39"/>
  <c r="BE130" i="39"/>
  <c r="BE107" i="39"/>
  <c r="G49" i="39"/>
  <c r="BE54" i="39"/>
  <c r="BE52" i="39"/>
  <c r="BE42" i="39"/>
  <c r="BE98" i="39"/>
  <c r="BE88" i="39"/>
  <c r="G42" i="39"/>
  <c r="BE53" i="39"/>
  <c r="BE10" i="39"/>
  <c r="BE132" i="39"/>
  <c r="BE46" i="39"/>
  <c r="BE84" i="39"/>
  <c r="G50" i="39"/>
  <c r="BE102" i="39"/>
  <c r="BE114" i="39"/>
  <c r="BE34" i="39"/>
  <c r="BE16" i="39"/>
  <c r="BE81" i="39"/>
  <c r="BE112" i="39"/>
  <c r="G46" i="39"/>
  <c r="G38" i="39"/>
  <c r="G44" i="39"/>
  <c r="G51" i="39"/>
  <c r="G43" i="39"/>
  <c r="G39" i="39"/>
  <c r="BE97" i="39"/>
  <c r="BE128" i="39"/>
  <c r="BE115" i="39"/>
  <c r="BE51" i="39"/>
  <c r="BE110" i="39"/>
  <c r="BE61" i="39"/>
  <c r="BE7" i="39"/>
  <c r="BE30" i="39"/>
  <c r="BE41" i="39"/>
  <c r="BE121" i="39"/>
  <c r="BE64" i="39"/>
  <c r="BE74" i="39"/>
  <c r="BE21" i="39"/>
  <c r="BE119" i="39"/>
  <c r="BE135" i="39"/>
  <c r="BE27" i="39"/>
  <c r="BE118" i="39"/>
  <c r="BE116" i="39"/>
  <c r="BE103" i="39"/>
  <c r="BE49" i="39"/>
  <c r="BE72" i="39"/>
  <c r="BE80" i="39"/>
  <c r="BE13" i="39"/>
  <c r="BE22" i="39"/>
  <c r="BE50" i="39"/>
  <c r="BE76" i="39"/>
  <c r="BE83" i="39"/>
  <c r="BE93" i="39"/>
  <c r="BE39" i="39"/>
  <c r="BE48" i="39"/>
  <c r="BE100" i="39"/>
  <c r="BE23" i="39"/>
  <c r="BE82" i="39"/>
  <c r="BE26" i="39"/>
  <c r="BE60" i="39"/>
  <c r="BE127" i="39"/>
  <c r="BE134" i="39"/>
  <c r="BE113" i="39"/>
  <c r="BE122" i="39"/>
  <c r="BE69" i="39"/>
  <c r="BE19" i="39"/>
  <c r="BE15" i="39"/>
  <c r="BE129" i="39"/>
  <c r="BE70" i="39"/>
  <c r="BE20" i="39"/>
  <c r="BE117" i="39"/>
  <c r="BE38" i="39"/>
  <c r="BE68" i="39"/>
  <c r="BE73" i="39"/>
  <c r="BE71" i="39"/>
  <c r="BE67" i="39"/>
  <c r="BE77" i="39"/>
  <c r="BE6" i="39"/>
  <c r="BE85" i="39"/>
  <c r="BE75" i="39"/>
  <c r="BE94" i="39"/>
  <c r="BE28" i="39"/>
  <c r="BE125" i="39"/>
  <c r="BE90" i="39"/>
  <c r="BE37" i="39"/>
  <c r="BE47" i="39"/>
  <c r="BE18" i="39"/>
  <c r="BE95" i="39"/>
  <c r="BE35" i="39"/>
  <c r="BE126" i="39"/>
  <c r="BE40" i="39"/>
  <c r="BE29" i="39"/>
  <c r="BE8" i="39"/>
  <c r="BE89" i="39"/>
  <c r="BE24" i="39"/>
  <c r="BE106" i="39"/>
  <c r="BE101" i="39"/>
  <c r="BE65" i="39"/>
  <c r="BE108" i="39"/>
  <c r="BE11" i="39"/>
  <c r="BE43" i="39"/>
  <c r="BE99" i="39"/>
  <c r="BE45" i="39"/>
  <c r="BE92" i="39"/>
  <c r="BE87" i="39"/>
  <c r="BE31" i="39"/>
  <c r="BE86" i="39"/>
  <c r="BE123" i="39"/>
  <c r="BE105" i="39"/>
  <c r="BE33" i="39"/>
  <c r="BE66" i="39"/>
  <c r="BE111" i="39"/>
  <c r="BE63" i="39"/>
  <c r="BE12" i="39"/>
  <c r="BE44" i="39"/>
  <c r="BE131" i="39"/>
  <c r="BE109" i="39"/>
  <c r="BE58" i="39"/>
  <c r="T131" i="40"/>
  <c r="G35" i="39" l="1"/>
  <c r="BE5" i="39" s="1"/>
  <c r="R132" i="40"/>
  <c r="AW9" i="39" a="1"/>
  <c r="AW19" i="39" a="1"/>
  <c r="AW14" i="39" a="1"/>
  <c r="AW5" i="39" a="1"/>
  <c r="T132" i="40"/>
  <c r="AW15" i="39" l="1"/>
  <c r="AW5" i="39"/>
  <c r="AW20" i="39"/>
  <c r="AW16" i="39"/>
  <c r="AW19" i="39"/>
  <c r="AW14" i="39"/>
  <c r="AW6" i="39"/>
  <c r="AW10" i="39"/>
  <c r="AW9" i="39"/>
  <c r="AW21" i="39"/>
  <c r="R133" i="40"/>
  <c r="T133" i="40"/>
  <c r="AU5" i="39" l="1" a="1"/>
  <c r="AU5" i="39" s="1"/>
  <c r="U29" i="39" s="1"/>
  <c r="AU14" i="39" a="1"/>
  <c r="AU16" i="39" s="1"/>
  <c r="V28" i="39" s="1"/>
  <c r="AU9" i="39" a="1"/>
  <c r="AU10" i="39" s="1"/>
  <c r="W28" i="39" s="1"/>
  <c r="AU19" i="39" a="1"/>
  <c r="AU19" i="39" s="1"/>
  <c r="X30" i="39" s="1"/>
  <c r="R134" i="40"/>
  <c r="T134" i="40"/>
  <c r="AU6" i="39" l="1"/>
  <c r="U28" i="39" s="1"/>
  <c r="AU14" i="39"/>
  <c r="V30" i="39" s="1"/>
  <c r="AU15" i="39"/>
  <c r="V29" i="39" s="1"/>
  <c r="V35" i="39" s="1"/>
  <c r="BJ5" i="39" s="1"/>
  <c r="AU21" i="39"/>
  <c r="X28" i="39" s="1"/>
  <c r="AU9" i="39"/>
  <c r="W29" i="39" s="1"/>
  <c r="AU20" i="39"/>
  <c r="X29" i="39" s="1"/>
  <c r="R135" i="40"/>
  <c r="X27" i="39"/>
  <c r="X42" i="39" s="1"/>
  <c r="X51" i="39"/>
  <c r="X46" i="39"/>
  <c r="BI1" i="39"/>
  <c r="X49" i="39"/>
  <c r="BI103" i="39"/>
  <c r="BI113" i="39"/>
  <c r="BI14" i="39"/>
  <c r="BI105" i="39"/>
  <c r="BI91" i="39"/>
  <c r="V27" i="39"/>
  <c r="BI124" i="39"/>
  <c r="BI11" i="39"/>
  <c r="BI93" i="39"/>
  <c r="BI47" i="39"/>
  <c r="BI108" i="39"/>
  <c r="BI94" i="39"/>
  <c r="V40" i="39"/>
  <c r="X36" i="39"/>
  <c r="X47" i="39"/>
  <c r="X43" i="39"/>
  <c r="BI12" i="39"/>
  <c r="BI42" i="39"/>
  <c r="BI34" i="39"/>
  <c r="BI55" i="39"/>
  <c r="BI50" i="39"/>
  <c r="BI20" i="39"/>
  <c r="BI89" i="39"/>
  <c r="BI23" i="39"/>
  <c r="BI86" i="39"/>
  <c r="BI76" i="39"/>
  <c r="BI135" i="39"/>
  <c r="BI33" i="39"/>
  <c r="BI74" i="39"/>
  <c r="BI56" i="39"/>
  <c r="BI114" i="39"/>
  <c r="BI79" i="39"/>
  <c r="BI116" i="39"/>
  <c r="BI43" i="39"/>
  <c r="BI30" i="39"/>
  <c r="BI77" i="39"/>
  <c r="BI40" i="39"/>
  <c r="BI115" i="39"/>
  <c r="X41" i="39"/>
  <c r="V50" i="39"/>
  <c r="X38" i="39"/>
  <c r="BI99" i="39"/>
  <c r="BI28" i="39"/>
  <c r="BI52" i="39"/>
  <c r="BI90" i="39"/>
  <c r="BI41" i="39"/>
  <c r="BI95" i="39"/>
  <c r="U27" i="39"/>
  <c r="BI59" i="39"/>
  <c r="BI68" i="39"/>
  <c r="BI38" i="39"/>
  <c r="BI48" i="39"/>
  <c r="BI123" i="39"/>
  <c r="V44" i="39"/>
  <c r="X39" i="39"/>
  <c r="BI26" i="39"/>
  <c r="BI35" i="39"/>
  <c r="BI58" i="39"/>
  <c r="BI125" i="39"/>
  <c r="BI49" i="39"/>
  <c r="BI130" i="39"/>
  <c r="X44" i="39"/>
  <c r="X45" i="39"/>
  <c r="U45" i="39"/>
  <c r="BI92" i="39"/>
  <c r="BI117" i="39"/>
  <c r="BI46" i="39"/>
  <c r="BI24" i="39"/>
  <c r="BI101" i="39"/>
  <c r="W27" i="39"/>
  <c r="X37" i="39"/>
  <c r="U38" i="39"/>
  <c r="BI110" i="39"/>
  <c r="BI134" i="39"/>
  <c r="BI132" i="39"/>
  <c r="BI70" i="39"/>
  <c r="BI106" i="39"/>
  <c r="BI51" i="39"/>
  <c r="BI69" i="39"/>
  <c r="W50" i="39"/>
  <c r="BI6" i="39"/>
  <c r="BI44" i="39"/>
  <c r="BI102" i="39"/>
  <c r="BI80" i="39"/>
  <c r="BI78" i="39"/>
  <c r="BI122" i="39"/>
  <c r="X48" i="39"/>
  <c r="X50" i="39"/>
  <c r="U51" i="39"/>
  <c r="BI121" i="39"/>
  <c r="BI7" i="39"/>
  <c r="BI119" i="39"/>
  <c r="BI81" i="39"/>
  <c r="BI111" i="39"/>
  <c r="BI98" i="39"/>
  <c r="V36" i="39"/>
  <c r="W51" i="39"/>
  <c r="BI18" i="39"/>
  <c r="BI100" i="39"/>
  <c r="BI39" i="39"/>
  <c r="BI17" i="39"/>
  <c r="BI88" i="39"/>
  <c r="V48" i="39"/>
  <c r="V49" i="39"/>
  <c r="W49" i="39"/>
  <c r="BI120" i="39"/>
  <c r="BI65" i="39"/>
  <c r="BI62" i="39"/>
  <c r="BI129" i="39"/>
  <c r="BI67" i="39"/>
  <c r="BI131" i="39"/>
  <c r="W45" i="39"/>
  <c r="X40" i="39"/>
  <c r="W48" i="39"/>
  <c r="BI29" i="39"/>
  <c r="BI10" i="39"/>
  <c r="BI15" i="39"/>
  <c r="BI25" i="39"/>
  <c r="BI63" i="39"/>
  <c r="BI118" i="39"/>
  <c r="BI84" i="39"/>
  <c r="BI126" i="39"/>
  <c r="BI27" i="39"/>
  <c r="BI104" i="39"/>
  <c r="BI85" i="39"/>
  <c r="BI16" i="39"/>
  <c r="BI96" i="39"/>
  <c r="BI54" i="39"/>
  <c r="BI128" i="39"/>
  <c r="BI19" i="39"/>
  <c r="BI72" i="39"/>
  <c r="BI9" i="39"/>
  <c r="BI31" i="39"/>
  <c r="BI64" i="39"/>
  <c r="BI57" i="39"/>
  <c r="BI82" i="39"/>
  <c r="BI75" i="39"/>
  <c r="BI8" i="39"/>
  <c r="BI87" i="39"/>
  <c r="BI97" i="39"/>
  <c r="BI60" i="39"/>
  <c r="BI21" i="39"/>
  <c r="BI61" i="39"/>
  <c r="BI66" i="39"/>
  <c r="BI107" i="39"/>
  <c r="BI53" i="39"/>
  <c r="BI71" i="39"/>
  <c r="BI32" i="39"/>
  <c r="BI112" i="39"/>
  <c r="BI73" i="39"/>
  <c r="BI83" i="39"/>
  <c r="BI22" i="39"/>
  <c r="BI127" i="39"/>
  <c r="BI13" i="39"/>
  <c r="BI37" i="39"/>
  <c r="BI45" i="39"/>
  <c r="BI133" i="39"/>
  <c r="BI109" i="39"/>
  <c r="BI36" i="39"/>
  <c r="V39" i="39"/>
  <c r="V37" i="39"/>
  <c r="V41" i="39"/>
  <c r="V47" i="39"/>
  <c r="V43" i="39"/>
  <c r="V42" i="39"/>
  <c r="V38" i="39"/>
  <c r="V45" i="39"/>
  <c r="V51" i="39"/>
  <c r="V46" i="39"/>
  <c r="U40" i="39"/>
  <c r="U46" i="39"/>
  <c r="U48" i="39"/>
  <c r="U42" i="39"/>
  <c r="U50" i="39"/>
  <c r="U36" i="39"/>
  <c r="U43" i="39"/>
  <c r="U37" i="39"/>
  <c r="U44" i="39"/>
  <c r="U41" i="39"/>
  <c r="U47" i="39"/>
  <c r="U39" i="39"/>
  <c r="U49" i="39"/>
  <c r="W36" i="39"/>
  <c r="W46" i="39"/>
  <c r="W47" i="39"/>
  <c r="W38" i="39"/>
  <c r="W43" i="39"/>
  <c r="W42" i="39"/>
  <c r="W41" i="39"/>
  <c r="W40" i="39"/>
  <c r="W37" i="39"/>
  <c r="W39" i="39"/>
  <c r="W44" i="39"/>
  <c r="T135" i="40"/>
  <c r="U35" i="39" l="1"/>
  <c r="BI5" i="39" s="1"/>
  <c r="X35" i="39"/>
  <c r="BL5" i="39" s="1"/>
  <c r="U57" i="39"/>
  <c r="U55" i="39"/>
  <c r="U59" i="39"/>
  <c r="U60" i="39"/>
  <c r="U56" i="39"/>
  <c r="U54" i="39"/>
  <c r="U58" i="39"/>
  <c r="V57" i="39"/>
  <c r="V59" i="39"/>
  <c r="V56" i="39"/>
  <c r="V58" i="39"/>
  <c r="V55" i="39"/>
  <c r="V54" i="39"/>
  <c r="V60" i="39"/>
  <c r="W58" i="39"/>
  <c r="W56" i="39"/>
  <c r="W55" i="39"/>
  <c r="W60" i="39"/>
  <c r="W57" i="39"/>
  <c r="W54" i="39"/>
  <c r="W59" i="39"/>
  <c r="X57" i="39"/>
  <c r="X59" i="39"/>
  <c r="X56" i="39"/>
  <c r="X54" i="39"/>
  <c r="X60" i="39"/>
  <c r="X55" i="39"/>
  <c r="X58" i="39"/>
  <c r="W35" i="39"/>
  <c r="BK5" i="39" s="1"/>
  <c r="R136" i="40"/>
  <c r="T136" i="40"/>
  <c r="R137" i="40"/>
  <c r="T137" i="40"/>
  <c r="P3" i="40" l="1"/>
  <c r="R138" i="40"/>
  <c r="S107" i="40"/>
  <c r="S86" i="40"/>
  <c r="L5" i="40"/>
  <c r="S26" i="40"/>
  <c r="S87" i="40"/>
  <c r="S94" i="40"/>
  <c r="S8" i="40"/>
  <c r="S123" i="40"/>
  <c r="S37" i="40"/>
  <c r="L15" i="40"/>
  <c r="S90" i="40"/>
  <c r="S15" i="40"/>
  <c r="S50" i="40"/>
  <c r="AA16" i="40"/>
  <c r="S61" i="40"/>
  <c r="S28" i="40"/>
  <c r="S39" i="40"/>
  <c r="S99" i="40"/>
  <c r="S97" i="40"/>
  <c r="S65" i="40"/>
  <c r="S71" i="40"/>
  <c r="S4" i="40"/>
  <c r="S30" i="40"/>
  <c r="S58" i="40"/>
  <c r="AA15" i="40"/>
  <c r="S121" i="40"/>
  <c r="L20" i="40"/>
  <c r="S93" i="40"/>
  <c r="S6" i="40"/>
  <c r="S79" i="40"/>
  <c r="S130" i="40"/>
  <c r="S126" i="40"/>
  <c r="S22" i="40"/>
  <c r="S49" i="40"/>
  <c r="L11" i="40"/>
  <c r="L8" i="40"/>
  <c r="L16" i="40"/>
  <c r="AA30" i="40"/>
  <c r="S125" i="40"/>
  <c r="S38" i="40"/>
  <c r="S54" i="40"/>
  <c r="S129" i="40"/>
  <c r="S70" i="40"/>
  <c r="S21" i="40"/>
  <c r="S59" i="40"/>
  <c r="S88" i="40"/>
  <c r="S12" i="40"/>
  <c r="S133" i="40"/>
  <c r="S92" i="40"/>
  <c r="S33" i="40"/>
  <c r="S56" i="40"/>
  <c r="S10" i="40"/>
  <c r="S40" i="40"/>
  <c r="S89" i="40"/>
  <c r="L12" i="40"/>
  <c r="L3" i="40"/>
  <c r="S134" i="40"/>
  <c r="S35" i="40"/>
  <c r="S17" i="40"/>
  <c r="AA27" i="40"/>
  <c r="S51" i="40"/>
  <c r="L6" i="40"/>
  <c r="AA21" i="40"/>
  <c r="S113" i="40"/>
  <c r="S106" i="40"/>
  <c r="S101" i="40"/>
  <c r="S57" i="40"/>
  <c r="S116" i="40"/>
  <c r="S115" i="40"/>
  <c r="S74" i="40"/>
  <c r="S119" i="40"/>
  <c r="S105" i="40"/>
  <c r="AA23" i="40"/>
  <c r="L7" i="40"/>
  <c r="S34" i="40"/>
  <c r="S41" i="40"/>
  <c r="S81" i="40"/>
  <c r="AA25" i="40"/>
  <c r="S100" i="40"/>
  <c r="L18" i="40"/>
  <c r="S108" i="40"/>
  <c r="F3" i="40"/>
  <c r="S96" i="40"/>
  <c r="AA19" i="40"/>
  <c r="S84" i="40"/>
  <c r="S31" i="40"/>
  <c r="AA22" i="40"/>
  <c r="L14" i="40"/>
  <c r="S53" i="40"/>
  <c r="AA26" i="40"/>
  <c r="S20" i="40"/>
  <c r="S45" i="40"/>
  <c r="L19" i="40"/>
  <c r="S98" i="40"/>
  <c r="S29" i="40"/>
  <c r="S80" i="40"/>
  <c r="S47" i="40"/>
  <c r="S3" i="40"/>
  <c r="S25" i="40"/>
  <c r="S138" i="40"/>
  <c r="S124" i="40"/>
  <c r="S67" i="40"/>
  <c r="S82" i="40"/>
  <c r="S46" i="40"/>
  <c r="S64" i="40"/>
  <c r="S44" i="40"/>
  <c r="S137" i="40"/>
  <c r="S77" i="40"/>
  <c r="S109" i="40"/>
  <c r="S136" i="40"/>
  <c r="S14" i="40"/>
  <c r="S42" i="40"/>
  <c r="L21" i="40"/>
  <c r="S55" i="40"/>
  <c r="S78" i="40"/>
  <c r="S43" i="40"/>
  <c r="L10" i="40"/>
  <c r="S63" i="40"/>
  <c r="S114" i="40"/>
  <c r="S24" i="40"/>
  <c r="S110" i="40"/>
  <c r="S83" i="40"/>
  <c r="S104" i="40"/>
  <c r="S66" i="40"/>
  <c r="AA29" i="40"/>
  <c r="AA18" i="40"/>
  <c r="S91" i="40"/>
  <c r="S95" i="40"/>
  <c r="S18" i="40"/>
  <c r="S62" i="40"/>
  <c r="S32" i="40"/>
  <c r="S19" i="40"/>
  <c r="AA17" i="40"/>
  <c r="S120" i="40"/>
  <c r="S131" i="40"/>
  <c r="L13" i="40"/>
  <c r="S72" i="40"/>
  <c r="S117" i="40"/>
  <c r="L9" i="40"/>
  <c r="L22" i="40"/>
  <c r="AA28" i="40"/>
  <c r="S16" i="40"/>
  <c r="S68" i="40"/>
  <c r="S122" i="40"/>
  <c r="S36" i="40"/>
  <c r="S52" i="40"/>
  <c r="S102" i="40"/>
  <c r="S69" i="40"/>
  <c r="AA20" i="40"/>
  <c r="S75" i="40"/>
  <c r="S23" i="40"/>
  <c r="S7" i="40"/>
  <c r="S112" i="40"/>
  <c r="S60" i="40"/>
  <c r="S85" i="40"/>
  <c r="L4" i="40"/>
  <c r="S73" i="40"/>
  <c r="S13" i="40"/>
  <c r="S128" i="40"/>
  <c r="S11" i="40"/>
  <c r="S135" i="40"/>
  <c r="S127" i="40"/>
  <c r="S118" i="40"/>
  <c r="S48" i="40"/>
  <c r="S111" i="40"/>
  <c r="S132" i="40"/>
  <c r="P6" i="40" a="1"/>
  <c r="S9" i="40"/>
  <c r="S76" i="40"/>
  <c r="S5" i="40"/>
  <c r="S27" i="40"/>
  <c r="P13" i="40" a="1"/>
  <c r="L17" i="40"/>
  <c r="AA24" i="40"/>
  <c r="S103" i="40"/>
  <c r="T138" i="40"/>
  <c r="AC50" i="39" l="1"/>
  <c r="AC59" i="39" s="1"/>
  <c r="AC43" i="39"/>
  <c r="AC36" i="39"/>
  <c r="AC44" i="39"/>
  <c r="AC51" i="39"/>
  <c r="AC60" i="39" s="1"/>
  <c r="AC46" i="39"/>
  <c r="AC55" i="39" s="1"/>
  <c r="AC47" i="39"/>
  <c r="AC56" i="39" s="1"/>
  <c r="AC37" i="39"/>
  <c r="AC41" i="39"/>
  <c r="AC42" i="39"/>
  <c r="AC49" i="39"/>
  <c r="AC58" i="39" s="1"/>
  <c r="AC38" i="39"/>
  <c r="AC48" i="39"/>
  <c r="AC57" i="39" s="1"/>
  <c r="AC40" i="39"/>
  <c r="AC39" i="39"/>
  <c r="AC45" i="39"/>
  <c r="AC54" i="39" s="1"/>
  <c r="G57" i="39"/>
  <c r="M17" i="40"/>
  <c r="M7" i="40"/>
  <c r="M18" i="40"/>
  <c r="M13" i="40"/>
  <c r="G58" i="39"/>
  <c r="M4" i="40"/>
  <c r="M16" i="40"/>
  <c r="P16" i="40"/>
  <c r="P15" i="40"/>
  <c r="P14" i="40"/>
  <c r="P17" i="40"/>
  <c r="P13" i="40"/>
  <c r="M10" i="40"/>
  <c r="G56" i="39"/>
  <c r="M15" i="40"/>
  <c r="M8" i="40"/>
  <c r="M6" i="40"/>
  <c r="M22" i="40"/>
  <c r="G54" i="39"/>
  <c r="M11" i="40"/>
  <c r="M21" i="40"/>
  <c r="P6" i="40"/>
  <c r="P7" i="40"/>
  <c r="P8" i="40"/>
  <c r="P9" i="40"/>
  <c r="P10" i="40"/>
  <c r="G59" i="39"/>
  <c r="M9" i="40"/>
  <c r="M19" i="40"/>
  <c r="G60" i="39"/>
  <c r="G55" i="39"/>
  <c r="I3" i="40"/>
  <c r="M5" i="40"/>
  <c r="M14" i="40"/>
  <c r="M20" i="40"/>
  <c r="M12" i="40"/>
  <c r="R139" i="40"/>
  <c r="AE14" i="39" a="1"/>
  <c r="AF14" i="39" a="1"/>
  <c r="AF19" i="39" a="1"/>
  <c r="AE19" i="39" a="1"/>
  <c r="AF9" i="39" a="1"/>
  <c r="S139" i="40"/>
  <c r="T139" i="40"/>
  <c r="AF10" i="39" l="1"/>
  <c r="AF9" i="39"/>
  <c r="AL9" i="39" s="1" a="1"/>
  <c r="AE19" i="39"/>
  <c r="AE21" i="39"/>
  <c r="AE20" i="39"/>
  <c r="AF21" i="39"/>
  <c r="AF20" i="39"/>
  <c r="AF19" i="39"/>
  <c r="AF16" i="39"/>
  <c r="AF14" i="39"/>
  <c r="AF15" i="39"/>
  <c r="AE14" i="39"/>
  <c r="AE16" i="39"/>
  <c r="AE15" i="39"/>
  <c r="R140" i="40"/>
  <c r="S140" i="40"/>
  <c r="T140" i="40"/>
  <c r="AL14" i="39" l="1" a="1"/>
  <c r="AL19" i="39" a="1"/>
  <c r="AL10" i="39"/>
  <c r="AM9" i="39"/>
  <c r="AL9" i="39"/>
  <c r="AM10" i="39"/>
  <c r="R141" i="40"/>
  <c r="S141" i="40"/>
  <c r="T141" i="40"/>
  <c r="AL19" i="39" l="1"/>
  <c r="AN21" i="39"/>
  <c r="AN19" i="39"/>
  <c r="AL20" i="39"/>
  <c r="AM20" i="39"/>
  <c r="AM19" i="39"/>
  <c r="AM21" i="39"/>
  <c r="AL21" i="39"/>
  <c r="AN20" i="39"/>
  <c r="AL15" i="39"/>
  <c r="AM15" i="39"/>
  <c r="AL14" i="39"/>
  <c r="AN14" i="39"/>
  <c r="AM16" i="39"/>
  <c r="AL16" i="39"/>
  <c r="AM14" i="39"/>
  <c r="AN15" i="39"/>
  <c r="AN16" i="39"/>
  <c r="AI9" i="39" a="1"/>
  <c r="AI9" i="39" s="1"/>
  <c r="S29" i="39" s="1"/>
  <c r="R142" i="40"/>
  <c r="S142" i="40"/>
  <c r="T142" i="40"/>
  <c r="AI10" i="39" l="1"/>
  <c r="S28" i="39" s="1"/>
  <c r="AI14" i="39" a="1"/>
  <c r="AI14" i="39" s="1"/>
  <c r="H30" i="39" s="1"/>
  <c r="R143" i="40"/>
  <c r="BK1" i="39"/>
  <c r="BK93" i="39"/>
  <c r="BK25" i="39"/>
  <c r="BK43" i="39"/>
  <c r="BK99" i="39"/>
  <c r="BK70" i="39"/>
  <c r="BK133" i="39"/>
  <c r="BK23" i="39"/>
  <c r="BK87" i="39"/>
  <c r="BK81" i="39"/>
  <c r="BK52" i="39"/>
  <c r="BK22" i="39"/>
  <c r="BK38" i="39"/>
  <c r="BK62" i="39"/>
  <c r="BK110" i="39"/>
  <c r="BK126" i="39"/>
  <c r="S27" i="39"/>
  <c r="BK11" i="39"/>
  <c r="BK88" i="39"/>
  <c r="BK90" i="39"/>
  <c r="BK8" i="39"/>
  <c r="BK40" i="39"/>
  <c r="BK112" i="39"/>
  <c r="BK63" i="39"/>
  <c r="BK54" i="39"/>
  <c r="BK41" i="39"/>
  <c r="BK21" i="39"/>
  <c r="BK39" i="39"/>
  <c r="BK97" i="39"/>
  <c r="BK26" i="39"/>
  <c r="BK78" i="39"/>
  <c r="BK130" i="39"/>
  <c r="BK85" i="39"/>
  <c r="BK69" i="39"/>
  <c r="BK53" i="39"/>
  <c r="BK49" i="39"/>
  <c r="BK74" i="39"/>
  <c r="BK13" i="39"/>
  <c r="BK31" i="39"/>
  <c r="BK84" i="39"/>
  <c r="BK24" i="39"/>
  <c r="BK75" i="39"/>
  <c r="BK128" i="39"/>
  <c r="BK67" i="39"/>
  <c r="BK111" i="39"/>
  <c r="BK89" i="39"/>
  <c r="BK95" i="39"/>
  <c r="BK10" i="39"/>
  <c r="BK42" i="39"/>
  <c r="BK114" i="39"/>
  <c r="BK6" i="39"/>
  <c r="BK35" i="39"/>
  <c r="BK98" i="39"/>
  <c r="BK72" i="39"/>
  <c r="BK131" i="39"/>
  <c r="BK29" i="39"/>
  <c r="BK101" i="39"/>
  <c r="BK47" i="39"/>
  <c r="BK100" i="39"/>
  <c r="BK12" i="39"/>
  <c r="BK44" i="39"/>
  <c r="BK116" i="39"/>
  <c r="BK33" i="39"/>
  <c r="BK60" i="39"/>
  <c r="BK57" i="39"/>
  <c r="BK76" i="39"/>
  <c r="BK123" i="39"/>
  <c r="BK102" i="39"/>
  <c r="BK125" i="39"/>
  <c r="BK105" i="39"/>
  <c r="BK30" i="39"/>
  <c r="BK94" i="39"/>
  <c r="BK134" i="39"/>
  <c r="BK58" i="39"/>
  <c r="BK71" i="39"/>
  <c r="BK127" i="39"/>
  <c r="BK115" i="39"/>
  <c r="BK135" i="39"/>
  <c r="BK16" i="39"/>
  <c r="BK48" i="39"/>
  <c r="BK64" i="39"/>
  <c r="BK19" i="39"/>
  <c r="BK51" i="39"/>
  <c r="BK27" i="39"/>
  <c r="BK109" i="39"/>
  <c r="BK83" i="39"/>
  <c r="BK121" i="39"/>
  <c r="BK34" i="39"/>
  <c r="BK122" i="39"/>
  <c r="BK107" i="39"/>
  <c r="BK96" i="39"/>
  <c r="BK28" i="39"/>
  <c r="BK91" i="39"/>
  <c r="BK132" i="39"/>
  <c r="BK77" i="39"/>
  <c r="BK37" i="39"/>
  <c r="BK79" i="39"/>
  <c r="BK14" i="39"/>
  <c r="BK46" i="39"/>
  <c r="BK118" i="39"/>
  <c r="BK117" i="39"/>
  <c r="BK55" i="39"/>
  <c r="BK80" i="39"/>
  <c r="BK45" i="39"/>
  <c r="BK82" i="39"/>
  <c r="BK113" i="39"/>
  <c r="BK32" i="39"/>
  <c r="BK104" i="39"/>
  <c r="BK120" i="39"/>
  <c r="BK17" i="39"/>
  <c r="BK92" i="39"/>
  <c r="BK119" i="39"/>
  <c r="BK65" i="39"/>
  <c r="BK18" i="39"/>
  <c r="BK50" i="39"/>
  <c r="BK106" i="39"/>
  <c r="BK124" i="39"/>
  <c r="BK108" i="39"/>
  <c r="BK59" i="39"/>
  <c r="BK36" i="39"/>
  <c r="BK20" i="39"/>
  <c r="BK129" i="39"/>
  <c r="BK68" i="39"/>
  <c r="BK86" i="39"/>
  <c r="BK15" i="39"/>
  <c r="BK7" i="39"/>
  <c r="BK103" i="39"/>
  <c r="BK66" i="39"/>
  <c r="BK61" i="39"/>
  <c r="BK56" i="39"/>
  <c r="BK73" i="39"/>
  <c r="BK9" i="39"/>
  <c r="S143" i="40"/>
  <c r="T143" i="40"/>
  <c r="S35" i="39" l="1"/>
  <c r="BG5" i="39" s="1"/>
  <c r="AI16" i="39"/>
  <c r="H28" i="39" s="1"/>
  <c r="AI15" i="39"/>
  <c r="H29" i="39"/>
  <c r="AI19" i="39" a="1"/>
  <c r="AI19" i="39" s="1"/>
  <c r="T30" i="39" s="1"/>
  <c r="R144" i="40"/>
  <c r="BG1" i="39"/>
  <c r="S44" i="39"/>
  <c r="S40" i="39"/>
  <c r="S50" i="39"/>
  <c r="BJ1" i="39"/>
  <c r="BJ49" i="39"/>
  <c r="BJ71" i="39"/>
  <c r="BJ126" i="39"/>
  <c r="BJ135" i="39"/>
  <c r="BJ121" i="39"/>
  <c r="BJ32" i="39"/>
  <c r="BJ75" i="39"/>
  <c r="BJ24" i="39"/>
  <c r="S51" i="39"/>
  <c r="S36" i="39"/>
  <c r="BJ25" i="39"/>
  <c r="BJ74" i="39"/>
  <c r="BJ7" i="39"/>
  <c r="BJ97" i="39"/>
  <c r="BJ78" i="39"/>
  <c r="BJ69" i="39"/>
  <c r="S39" i="39"/>
  <c r="BJ99" i="39"/>
  <c r="BJ15" i="39"/>
  <c r="BJ100" i="39"/>
  <c r="BJ30" i="39"/>
  <c r="BJ122" i="39"/>
  <c r="BJ21" i="39"/>
  <c r="BJ23" i="39"/>
  <c r="BJ104" i="39"/>
  <c r="BJ94" i="39"/>
  <c r="BJ85" i="39"/>
  <c r="S41" i="39"/>
  <c r="S38" i="39"/>
  <c r="BJ9" i="39"/>
  <c r="BJ70" i="39"/>
  <c r="BJ89" i="39"/>
  <c r="BJ81" i="39"/>
  <c r="BJ48" i="39"/>
  <c r="BJ101" i="39"/>
  <c r="BJ127" i="39"/>
  <c r="BJ110" i="39"/>
  <c r="BJ79" i="39"/>
  <c r="BJ84" i="39"/>
  <c r="BJ14" i="39"/>
  <c r="BJ106" i="39"/>
  <c r="S46" i="39"/>
  <c r="BJ67" i="39"/>
  <c r="BJ68" i="39"/>
  <c r="BJ82" i="39"/>
  <c r="BJ120" i="39"/>
  <c r="BJ18" i="39"/>
  <c r="BJ107" i="39"/>
  <c r="S47" i="39"/>
  <c r="BJ118" i="39"/>
  <c r="BJ117" i="39"/>
  <c r="BJ31" i="39"/>
  <c r="BJ56" i="39"/>
  <c r="BJ54" i="39"/>
  <c r="BJ35" i="39"/>
  <c r="BJ134" i="39"/>
  <c r="BJ73" i="39"/>
  <c r="BJ128" i="39"/>
  <c r="BJ28" i="39"/>
  <c r="BJ98" i="39"/>
  <c r="BJ51" i="39"/>
  <c r="BJ111" i="39"/>
  <c r="BJ76" i="39"/>
  <c r="BJ38" i="39"/>
  <c r="S37" i="39"/>
  <c r="BJ19" i="39"/>
  <c r="BJ57" i="39"/>
  <c r="BJ45" i="39"/>
  <c r="BJ77" i="39"/>
  <c r="BJ42" i="39"/>
  <c r="BJ34" i="39"/>
  <c r="BJ43" i="39"/>
  <c r="BJ22" i="39"/>
  <c r="S49" i="39"/>
  <c r="BJ13" i="39"/>
  <c r="BJ27" i="39"/>
  <c r="BJ132" i="39"/>
  <c r="BJ62" i="39"/>
  <c r="S48" i="39"/>
  <c r="H27" i="39"/>
  <c r="H39" i="39"/>
  <c r="BJ124" i="39"/>
  <c r="BJ66" i="39"/>
  <c r="BJ83" i="39"/>
  <c r="BJ114" i="39"/>
  <c r="S43" i="39"/>
  <c r="H43" i="39"/>
  <c r="BJ61" i="39"/>
  <c r="BJ86" i="39"/>
  <c r="BJ36" i="39"/>
  <c r="BJ115" i="39"/>
  <c r="S45" i="39"/>
  <c r="H51" i="39"/>
  <c r="BJ65" i="39"/>
  <c r="BJ87" i="39"/>
  <c r="BJ129" i="39"/>
  <c r="BJ72" i="39"/>
  <c r="H45" i="39"/>
  <c r="BJ33" i="39"/>
  <c r="BJ10" i="39"/>
  <c r="BJ123" i="39"/>
  <c r="BJ133" i="39"/>
  <c r="BJ90" i="39"/>
  <c r="S42" i="39"/>
  <c r="BJ91" i="39"/>
  <c r="BJ109" i="39"/>
  <c r="BG135" i="39"/>
  <c r="BG103" i="39"/>
  <c r="BG35" i="39"/>
  <c r="BG132" i="39"/>
  <c r="BG66" i="39"/>
  <c r="BG71" i="39"/>
  <c r="BG24" i="39"/>
  <c r="BG20" i="39"/>
  <c r="BG12" i="39"/>
  <c r="BG133" i="39"/>
  <c r="BG102" i="39"/>
  <c r="BG33" i="39"/>
  <c r="BG124" i="39"/>
  <c r="BG65" i="39"/>
  <c r="BG81" i="39"/>
  <c r="BG36" i="39"/>
  <c r="BG44" i="39"/>
  <c r="BG131" i="39"/>
  <c r="BG89" i="39"/>
  <c r="BG31" i="39"/>
  <c r="BG116" i="39"/>
  <c r="BG10" i="39"/>
  <c r="BG78" i="39"/>
  <c r="BG130" i="39"/>
  <c r="BG110" i="39"/>
  <c r="BG113" i="39"/>
  <c r="BG45" i="39"/>
  <c r="BG108" i="39"/>
  <c r="BG61" i="39"/>
  <c r="BG64" i="39"/>
  <c r="BG112" i="39"/>
  <c r="BG59" i="39"/>
  <c r="BG119" i="39"/>
  <c r="BG51" i="39"/>
  <c r="BG19" i="39"/>
  <c r="BG63" i="39"/>
  <c r="BG26" i="39"/>
  <c r="BG82" i="39"/>
  <c r="BG120" i="39"/>
  <c r="BG52" i="39"/>
  <c r="BG117" i="39"/>
  <c r="BG49" i="39"/>
  <c r="BG17" i="39"/>
  <c r="BG101" i="39"/>
  <c r="BG18" i="39"/>
  <c r="BG68" i="39"/>
  <c r="BG16" i="39"/>
  <c r="BG14" i="39"/>
  <c r="BG6" i="39"/>
  <c r="BG115" i="39"/>
  <c r="BG47" i="39"/>
  <c r="BG15" i="39"/>
  <c r="BG98" i="39"/>
  <c r="BG62" i="39"/>
  <c r="BG67" i="39"/>
  <c r="BG8" i="39"/>
  <c r="BG38" i="39"/>
  <c r="BG129" i="39"/>
  <c r="BG86" i="39"/>
  <c r="BG29" i="39"/>
  <c r="BG13" i="39"/>
  <c r="BG134" i="39"/>
  <c r="BG88" i="39"/>
  <c r="BG77" i="39"/>
  <c r="BG114" i="39"/>
  <c r="BG28" i="39"/>
  <c r="BG127" i="39"/>
  <c r="BG111" i="39"/>
  <c r="BG73" i="39"/>
  <c r="BG43" i="39"/>
  <c r="BG27" i="39"/>
  <c r="BG11" i="39"/>
  <c r="BG104" i="39"/>
  <c r="BG128" i="39"/>
  <c r="BG74" i="39"/>
  <c r="BG93" i="39"/>
  <c r="BG96" i="39"/>
  <c r="BG109" i="39"/>
  <c r="BG25" i="39"/>
  <c r="BG92" i="39"/>
  <c r="BG50" i="39"/>
  <c r="BG122" i="39"/>
  <c r="BG84" i="39"/>
  <c r="BG22" i="39"/>
  <c r="BG107" i="39"/>
  <c r="BG23" i="39"/>
  <c r="BG42" i="39"/>
  <c r="BG126" i="39"/>
  <c r="BG95" i="39"/>
  <c r="BG58" i="39"/>
  <c r="BG87" i="39"/>
  <c r="BG91" i="39"/>
  <c r="BG53" i="39"/>
  <c r="BG125" i="39"/>
  <c r="BG70" i="39"/>
  <c r="BG41" i="39"/>
  <c r="BG9" i="39"/>
  <c r="BG99" i="39"/>
  <c r="BG100" i="39"/>
  <c r="BG48" i="39"/>
  <c r="BG56" i="39"/>
  <c r="BG55" i="39"/>
  <c r="BG123" i="39"/>
  <c r="BG57" i="39"/>
  <c r="BG39" i="39"/>
  <c r="BG7" i="39"/>
  <c r="BG79" i="39"/>
  <c r="BG94" i="39"/>
  <c r="BG75" i="39"/>
  <c r="BG118" i="39"/>
  <c r="BG40" i="39"/>
  <c r="BG83" i="39"/>
  <c r="BG30" i="39"/>
  <c r="BG106" i="39"/>
  <c r="BG121" i="39"/>
  <c r="BG105" i="39"/>
  <c r="BG54" i="39"/>
  <c r="BG37" i="39"/>
  <c r="BG21" i="39"/>
  <c r="BG60" i="39"/>
  <c r="BG76" i="39"/>
  <c r="BG69" i="39"/>
  <c r="BG34" i="39"/>
  <c r="BG72" i="39"/>
  <c r="BG85" i="39"/>
  <c r="BG32" i="39"/>
  <c r="BG80" i="39"/>
  <c r="BG90" i="39"/>
  <c r="BG97" i="39"/>
  <c r="BG46" i="39"/>
  <c r="BJ53" i="39"/>
  <c r="BJ26" i="39"/>
  <c r="BJ108" i="39"/>
  <c r="BJ119" i="39"/>
  <c r="BJ29" i="39"/>
  <c r="BJ93" i="39"/>
  <c r="BJ50" i="39"/>
  <c r="BJ59" i="39"/>
  <c r="BJ113" i="39"/>
  <c r="BJ125" i="39"/>
  <c r="BJ102" i="39"/>
  <c r="BJ64" i="39"/>
  <c r="BJ103" i="39"/>
  <c r="BJ58" i="39"/>
  <c r="BJ131" i="39"/>
  <c r="BJ46" i="39"/>
  <c r="BJ12" i="39"/>
  <c r="BJ20" i="39"/>
  <c r="BJ112" i="39"/>
  <c r="BJ96" i="39"/>
  <c r="BJ47" i="39"/>
  <c r="BJ60" i="39"/>
  <c r="BJ17" i="39"/>
  <c r="BJ41" i="39"/>
  <c r="BJ52" i="39"/>
  <c r="BJ130" i="39"/>
  <c r="BJ88" i="39"/>
  <c r="BJ40" i="39"/>
  <c r="BJ8" i="39"/>
  <c r="BJ44" i="39"/>
  <c r="BJ16" i="39"/>
  <c r="BJ105" i="39"/>
  <c r="BJ80" i="39"/>
  <c r="BJ95" i="39"/>
  <c r="BJ39" i="39"/>
  <c r="BJ116" i="39"/>
  <c r="BJ37" i="39"/>
  <c r="BJ55" i="39"/>
  <c r="BJ92" i="39"/>
  <c r="BJ11" i="39"/>
  <c r="BJ63" i="39"/>
  <c r="BJ6" i="39"/>
  <c r="H40" i="39"/>
  <c r="H49" i="39"/>
  <c r="H42" i="39"/>
  <c r="H41" i="39"/>
  <c r="H36" i="39"/>
  <c r="H47" i="39"/>
  <c r="H48" i="39"/>
  <c r="H37" i="39"/>
  <c r="H46" i="39"/>
  <c r="H38" i="39"/>
  <c r="H44" i="39"/>
  <c r="H50" i="39"/>
  <c r="S144" i="40"/>
  <c r="T144" i="40"/>
  <c r="H35" i="39" l="1"/>
  <c r="BF5" i="39" s="1"/>
  <c r="AI20" i="39"/>
  <c r="T29" i="39" s="1"/>
  <c r="AI21" i="39"/>
  <c r="T28" i="39" s="1"/>
  <c r="H54" i="39"/>
  <c r="S54" i="39"/>
  <c r="H57" i="39"/>
  <c r="S60" i="39"/>
  <c r="H60" i="39"/>
  <c r="S57" i="39"/>
  <c r="H58" i="39"/>
  <c r="S56" i="39"/>
  <c r="H55" i="39"/>
  <c r="S59" i="39"/>
  <c r="H59" i="39"/>
  <c r="H56" i="39"/>
  <c r="S55" i="39"/>
  <c r="S58" i="39"/>
  <c r="R145" i="40"/>
  <c r="BF1" i="39"/>
  <c r="T27" i="39"/>
  <c r="T45" i="39"/>
  <c r="T44" i="39"/>
  <c r="T51" i="39"/>
  <c r="BL1" i="39"/>
  <c r="BL28" i="39"/>
  <c r="BL101" i="39"/>
  <c r="BL96" i="39"/>
  <c r="T49" i="39"/>
  <c r="BL75" i="39"/>
  <c r="BL18" i="39"/>
  <c r="BL14" i="39"/>
  <c r="BL129" i="39"/>
  <c r="BL98" i="39"/>
  <c r="T41" i="39"/>
  <c r="BL11" i="39"/>
  <c r="BL13" i="39"/>
  <c r="BL68" i="39"/>
  <c r="BL132" i="39"/>
  <c r="BL34" i="39"/>
  <c r="BL29" i="39"/>
  <c r="BL70" i="39"/>
  <c r="BL22" i="39"/>
  <c r="T46" i="39"/>
  <c r="BL86" i="39"/>
  <c r="BL79" i="39"/>
  <c r="BL73" i="39"/>
  <c r="BL102" i="39"/>
  <c r="BF35" i="39"/>
  <c r="BF113" i="39"/>
  <c r="BF31" i="39"/>
  <c r="BF25" i="39"/>
  <c r="BF12" i="39"/>
  <c r="BF127" i="39"/>
  <c r="BF110" i="39"/>
  <c r="BF66" i="39"/>
  <c r="BF67" i="39"/>
  <c r="BF92" i="39"/>
  <c r="BF76" i="39"/>
  <c r="BF33" i="39"/>
  <c r="BF52" i="39"/>
  <c r="BF90" i="39"/>
  <c r="BF29" i="39"/>
  <c r="BF114" i="39"/>
  <c r="BF72" i="39"/>
  <c r="BF24" i="39"/>
  <c r="BF109" i="39"/>
  <c r="BF116" i="39"/>
  <c r="BF71" i="39"/>
  <c r="BF23" i="39"/>
  <c r="BF63" i="39"/>
  <c r="BF103" i="39"/>
  <c r="BF22" i="39"/>
  <c r="BF21" i="39"/>
  <c r="BF60" i="39"/>
  <c r="BF130" i="39"/>
  <c r="BF37" i="39"/>
  <c r="BF131" i="39"/>
  <c r="BF94" i="39"/>
  <c r="BF122" i="39"/>
  <c r="BF14" i="39"/>
  <c r="BF64" i="39"/>
  <c r="BF121" i="39"/>
  <c r="BF77" i="39"/>
  <c r="BF85" i="39"/>
  <c r="BF87" i="39"/>
  <c r="BF57" i="39"/>
  <c r="BF123" i="39"/>
  <c r="BF135" i="39"/>
  <c r="BF120" i="39"/>
  <c r="BF32" i="39"/>
  <c r="BF27" i="39"/>
  <c r="BF19" i="39"/>
  <c r="BF26" i="39"/>
  <c r="BF128" i="39"/>
  <c r="BF40" i="39"/>
  <c r="BF20" i="39"/>
  <c r="BF134" i="39"/>
  <c r="BF49" i="39"/>
  <c r="BF15" i="39"/>
  <c r="BF18" i="39"/>
  <c r="BF68" i="39"/>
  <c r="BF8" i="39"/>
  <c r="BF96" i="39"/>
  <c r="BF51" i="39"/>
  <c r="BF10" i="39"/>
  <c r="BF78" i="39"/>
  <c r="BF112" i="39"/>
  <c r="BF17" i="39"/>
  <c r="BF59" i="39"/>
  <c r="BF100" i="39"/>
  <c r="BF119" i="39"/>
  <c r="BF118" i="39"/>
  <c r="BF102" i="39"/>
  <c r="BF55" i="39"/>
  <c r="BF34" i="39"/>
  <c r="BF88" i="39"/>
  <c r="BF117" i="39"/>
  <c r="BF89" i="39"/>
  <c r="BF124" i="39"/>
  <c r="BF69" i="39"/>
  <c r="BF75" i="39"/>
  <c r="BF84" i="39"/>
  <c r="BF86" i="39"/>
  <c r="BF42" i="39"/>
  <c r="BF82" i="39"/>
  <c r="BF97" i="39"/>
  <c r="BF54" i="39"/>
  <c r="BF73" i="39"/>
  <c r="BF93" i="39"/>
  <c r="BF65" i="39"/>
  <c r="BF81" i="39"/>
  <c r="BF7" i="39"/>
  <c r="BF28" i="39"/>
  <c r="BF99" i="39"/>
  <c r="BF70" i="39"/>
  <c r="BF115" i="39"/>
  <c r="BF62" i="39"/>
  <c r="BF105" i="39"/>
  <c r="BF36" i="39"/>
  <c r="BF48" i="39"/>
  <c r="BF133" i="39"/>
  <c r="BF45" i="39"/>
  <c r="BF13" i="39"/>
  <c r="BF108" i="39"/>
  <c r="BF61" i="39"/>
  <c r="BF101" i="39"/>
  <c r="BF98" i="39"/>
  <c r="BF44" i="39"/>
  <c r="BF6" i="39"/>
  <c r="BF126" i="39"/>
  <c r="BF83" i="39"/>
  <c r="BF43" i="39"/>
  <c r="BF47" i="39"/>
  <c r="BF9" i="39"/>
  <c r="BF107" i="39"/>
  <c r="BF111" i="39"/>
  <c r="BF58" i="39"/>
  <c r="BF74" i="39"/>
  <c r="BF46" i="39"/>
  <c r="BF91" i="39"/>
  <c r="BF38" i="39"/>
  <c r="BF125" i="39"/>
  <c r="BF80" i="39"/>
  <c r="BF39" i="39"/>
  <c r="BF11" i="39"/>
  <c r="BF41" i="39"/>
  <c r="BF132" i="39"/>
  <c r="BF95" i="39"/>
  <c r="BF56" i="39"/>
  <c r="BF104" i="39"/>
  <c r="BF50" i="39"/>
  <c r="BF79" i="39"/>
  <c r="BF129" i="39"/>
  <c r="BF16" i="39"/>
  <c r="BF30" i="39"/>
  <c r="BF106" i="39"/>
  <c r="BF53" i="39"/>
  <c r="T40" i="39"/>
  <c r="T37" i="39"/>
  <c r="T42" i="39"/>
  <c r="T39" i="39"/>
  <c r="T50" i="39"/>
  <c r="T47" i="39"/>
  <c r="T43" i="39"/>
  <c r="T48" i="39"/>
  <c r="T36" i="39"/>
  <c r="T38" i="39"/>
  <c r="BL94" i="39"/>
  <c r="BL89" i="39"/>
  <c r="BL99" i="39"/>
  <c r="BL9" i="39"/>
  <c r="BL134" i="39"/>
  <c r="BL54" i="39"/>
  <c r="BL103" i="39"/>
  <c r="BL44" i="39"/>
  <c r="BL43" i="39"/>
  <c r="BL42" i="39"/>
  <c r="BL116" i="39"/>
  <c r="BL84" i="39"/>
  <c r="BL55" i="39"/>
  <c r="BL40" i="39"/>
  <c r="BL39" i="39"/>
  <c r="BL6" i="39"/>
  <c r="BL130" i="39"/>
  <c r="BL82" i="39"/>
  <c r="BL87" i="39"/>
  <c r="BL51" i="39"/>
  <c r="BL31" i="39"/>
  <c r="BL128" i="39"/>
  <c r="BL80" i="39"/>
  <c r="BL121" i="39"/>
  <c r="BL109" i="39"/>
  <c r="BL133" i="39"/>
  <c r="BL125" i="39"/>
  <c r="BL33" i="39"/>
  <c r="BL32" i="39"/>
  <c r="BL49" i="39"/>
  <c r="BL110" i="39"/>
  <c r="BL62" i="39"/>
  <c r="BL135" i="39"/>
  <c r="BL91" i="39"/>
  <c r="BL26" i="39"/>
  <c r="BL108" i="39"/>
  <c r="BL76" i="39"/>
  <c r="BL127" i="39"/>
  <c r="BL45" i="39"/>
  <c r="BL19" i="39"/>
  <c r="BL63" i="39"/>
  <c r="BL27" i="39"/>
  <c r="BL122" i="39"/>
  <c r="BL90" i="39"/>
  <c r="BL97" i="39"/>
  <c r="BL7" i="39"/>
  <c r="BL50" i="39"/>
  <c r="BL95" i="39"/>
  <c r="BL118" i="39"/>
  <c r="BL65" i="39"/>
  <c r="BL21" i="39"/>
  <c r="BL24" i="39"/>
  <c r="BL20" i="39"/>
  <c r="BL100" i="39"/>
  <c r="BL52" i="39"/>
  <c r="BL93" i="39"/>
  <c r="BL48" i="39"/>
  <c r="BL12" i="39"/>
  <c r="BL114" i="39"/>
  <c r="BL66" i="39"/>
  <c r="BL115" i="39"/>
  <c r="BL17" i="39"/>
  <c r="BL117" i="39"/>
  <c r="BL8" i="39"/>
  <c r="BL112" i="39"/>
  <c r="BL64" i="39"/>
  <c r="BL71" i="39"/>
  <c r="BL10" i="39"/>
  <c r="BL126" i="39"/>
  <c r="BL78" i="39"/>
  <c r="BL113" i="39"/>
  <c r="BL46" i="39"/>
  <c r="BL77" i="39"/>
  <c r="BL67" i="39"/>
  <c r="BL36" i="39"/>
  <c r="BL124" i="39"/>
  <c r="BL92" i="39"/>
  <c r="BL60" i="39"/>
  <c r="BL105" i="39"/>
  <c r="BL85" i="39"/>
  <c r="BL123" i="39"/>
  <c r="BL61" i="39"/>
  <c r="BL131" i="39"/>
  <c r="BL107" i="39"/>
  <c r="BL106" i="39"/>
  <c r="BL74" i="39"/>
  <c r="BL58" i="39"/>
  <c r="BL119" i="39"/>
  <c r="BL37" i="39"/>
  <c r="BL57" i="39"/>
  <c r="BL15" i="39"/>
  <c r="BL53" i="39"/>
  <c r="BL59" i="39"/>
  <c r="BL16" i="39"/>
  <c r="BL120" i="39"/>
  <c r="BL104" i="39"/>
  <c r="BL88" i="39"/>
  <c r="BL72" i="39"/>
  <c r="BL56" i="39"/>
  <c r="BL81" i="39"/>
  <c r="BL111" i="39"/>
  <c r="BL38" i="39"/>
  <c r="BL30" i="39"/>
  <c r="BL47" i="39"/>
  <c r="BL35" i="39"/>
  <c r="BL83" i="39"/>
  <c r="BL41" i="39"/>
  <c r="BL25" i="39"/>
  <c r="BL69" i="39"/>
  <c r="BL23" i="39"/>
  <c r="S145" i="40"/>
  <c r="T145" i="40"/>
  <c r="T59" i="39" l="1"/>
  <c r="T56" i="39"/>
  <c r="T55" i="39"/>
  <c r="T58" i="39"/>
  <c r="T60" i="39"/>
  <c r="T57" i="39"/>
  <c r="T54" i="39"/>
  <c r="T35" i="39"/>
  <c r="BH5" i="39" s="1"/>
  <c r="R146" i="40"/>
  <c r="AF5" i="54" a="1"/>
  <c r="AR14" i="54" a="1"/>
  <c r="BH1" i="39"/>
  <c r="AB25" i="39"/>
  <c r="AA25" i="39"/>
  <c r="AB26" i="39"/>
  <c r="Y25" i="39"/>
  <c r="AB28" i="39" a="1"/>
  <c r="P18" i="40"/>
  <c r="U134" i="40"/>
  <c r="U94" i="40"/>
  <c r="U128" i="40"/>
  <c r="BQ6" i="39"/>
  <c r="BQ108" i="39"/>
  <c r="BQ81" i="39"/>
  <c r="BQ116" i="39"/>
  <c r="U14" i="40"/>
  <c r="BQ48" i="39"/>
  <c r="BQ75" i="39"/>
  <c r="BQ56" i="39"/>
  <c r="BQ132" i="39"/>
  <c r="U99" i="40"/>
  <c r="U69" i="40"/>
  <c r="U144" i="40"/>
  <c r="U76" i="40"/>
  <c r="U71" i="40"/>
  <c r="U8" i="40"/>
  <c r="U78" i="40"/>
  <c r="U79" i="40"/>
  <c r="U102" i="40"/>
  <c r="U98" i="40"/>
  <c r="U130" i="40"/>
  <c r="U64" i="40"/>
  <c r="Y26" i="39"/>
  <c r="BQ57" i="39"/>
  <c r="BQ114" i="39"/>
  <c r="BQ76" i="39"/>
  <c r="BQ133" i="39"/>
  <c r="BQ118" i="39"/>
  <c r="BQ49" i="39"/>
  <c r="BQ106" i="39"/>
  <c r="BQ84" i="39"/>
  <c r="BQ125" i="39"/>
  <c r="BQ111" i="39"/>
  <c r="BQ38" i="39"/>
  <c r="U48" i="40"/>
  <c r="U97" i="40"/>
  <c r="U137" i="40"/>
  <c r="U40" i="40"/>
  <c r="BQ59" i="39"/>
  <c r="BQ46" i="39"/>
  <c r="BQ67" i="39"/>
  <c r="BQ127" i="39"/>
  <c r="U63" i="40"/>
  <c r="U104" i="40"/>
  <c r="BQ105" i="39"/>
  <c r="BQ54" i="39"/>
  <c r="BQ97" i="39"/>
  <c r="BQ47" i="39"/>
  <c r="U43" i="40"/>
  <c r="U77" i="40"/>
  <c r="U105" i="40"/>
  <c r="U11" i="40"/>
  <c r="U26" i="40"/>
  <c r="U36" i="40"/>
  <c r="U44" i="40"/>
  <c r="U120" i="40"/>
  <c r="U25" i="40"/>
  <c r="Y28" i="39" a="1"/>
  <c r="BQ73" i="39"/>
  <c r="BQ122" i="39"/>
  <c r="BQ126" i="39"/>
  <c r="BQ65" i="39"/>
  <c r="BQ130" i="39"/>
  <c r="BQ100" i="39"/>
  <c r="BQ31" i="39"/>
  <c r="BQ119" i="39"/>
  <c r="U30" i="40"/>
  <c r="U20" i="40"/>
  <c r="U66" i="40"/>
  <c r="BQ89" i="39"/>
  <c r="BQ134" i="39"/>
  <c r="BQ39" i="39"/>
  <c r="U139" i="40"/>
  <c r="U70" i="40"/>
  <c r="U10" i="40"/>
  <c r="U39" i="40"/>
  <c r="U51" i="40"/>
  <c r="BQ124" i="39"/>
  <c r="BQ83" i="39"/>
  <c r="U15" i="40"/>
  <c r="U59" i="40"/>
  <c r="U132" i="40"/>
  <c r="P18" i="53"/>
  <c r="U20" i="53"/>
  <c r="U89" i="53"/>
  <c r="U121" i="40"/>
  <c r="U3" i="40"/>
  <c r="U100" i="40"/>
  <c r="U129" i="40"/>
  <c r="U75" i="40"/>
  <c r="BQ104" i="39"/>
  <c r="BQ85" i="39"/>
  <c r="BQ113" i="39"/>
  <c r="BQ93" i="39"/>
  <c r="U93" i="53"/>
  <c r="U17" i="53"/>
  <c r="U113" i="53"/>
  <c r="U237" i="53"/>
  <c r="U37" i="53"/>
  <c r="U34" i="53"/>
  <c r="U72" i="53"/>
  <c r="U108" i="53"/>
  <c r="U140" i="53"/>
  <c r="U172" i="53"/>
  <c r="U204" i="53"/>
  <c r="U236" i="53"/>
  <c r="U24" i="53"/>
  <c r="U22" i="40"/>
  <c r="U107" i="40"/>
  <c r="BQ101" i="39"/>
  <c r="BQ55" i="39"/>
  <c r="U30" i="53"/>
  <c r="U81" i="53"/>
  <c r="U53" i="53"/>
  <c r="U74" i="53"/>
  <c r="U142" i="53"/>
  <c r="U206" i="53"/>
  <c r="U14" i="53"/>
  <c r="U103" i="40"/>
  <c r="U41" i="40"/>
  <c r="BQ62" i="39"/>
  <c r="BQ63" i="39"/>
  <c r="U65" i="53"/>
  <c r="U39" i="53"/>
  <c r="U40" i="53"/>
  <c r="U144" i="53"/>
  <c r="U240" i="53"/>
  <c r="U9" i="53"/>
  <c r="AK19" i="54" a="1"/>
  <c r="U17" i="40"/>
  <c r="U136" i="40"/>
  <c r="BQ99" i="39"/>
  <c r="U79" i="53"/>
  <c r="U85" i="53"/>
  <c r="U154" i="53"/>
  <c r="U173" i="53"/>
  <c r="U111" i="40"/>
  <c r="BQ115" i="39"/>
  <c r="U73" i="53"/>
  <c r="U52" i="53"/>
  <c r="U188" i="53"/>
  <c r="U83" i="40"/>
  <c r="Z25" i="39"/>
  <c r="U121" i="53"/>
  <c r="U126" i="53"/>
  <c r="U254" i="53"/>
  <c r="U95" i="40"/>
  <c r="BQ123" i="39"/>
  <c r="U193" i="53"/>
  <c r="U58" i="53"/>
  <c r="U256" i="53"/>
  <c r="U24" i="40"/>
  <c r="U75" i="53"/>
  <c r="U68" i="53"/>
  <c r="U234" i="53"/>
  <c r="U52" i="40"/>
  <c r="U58" i="40"/>
  <c r="U53" i="40"/>
  <c r="U116" i="40"/>
  <c r="BQ121" i="39"/>
  <c r="BQ58" i="39"/>
  <c r="U155" i="53"/>
  <c r="U245" i="53"/>
  <c r="U36" i="53"/>
  <c r="U110" i="53"/>
  <c r="U174" i="53"/>
  <c r="U238" i="53"/>
  <c r="U57" i="40"/>
  <c r="U93" i="40"/>
  <c r="U72" i="40"/>
  <c r="BQ66" i="39"/>
  <c r="BQ74" i="39"/>
  <c r="U91" i="53"/>
  <c r="U69" i="53"/>
  <c r="U112" i="53"/>
  <c r="U208" i="53"/>
  <c r="U56" i="40"/>
  <c r="U61" i="40"/>
  <c r="BQ70" i="39"/>
  <c r="U123" i="53"/>
  <c r="U71" i="53"/>
  <c r="U88" i="53"/>
  <c r="U122" i="53"/>
  <c r="U218" i="53"/>
  <c r="U89" i="40"/>
  <c r="U110" i="40"/>
  <c r="U62" i="40"/>
  <c r="BQ91" i="39"/>
  <c r="BQ102" i="39"/>
  <c r="U141" i="53"/>
  <c r="U197" i="53"/>
  <c r="U124" i="53"/>
  <c r="U252" i="53"/>
  <c r="U123" i="40"/>
  <c r="BQ107" i="39"/>
  <c r="BQ131" i="39"/>
  <c r="U45" i="53"/>
  <c r="U207" i="53"/>
  <c r="U92" i="53"/>
  <c r="U190" i="53"/>
  <c r="U124" i="40"/>
  <c r="BQ88" i="39"/>
  <c r="U159" i="53"/>
  <c r="U57" i="53"/>
  <c r="U128" i="53"/>
  <c r="U224" i="53"/>
  <c r="U73" i="40"/>
  <c r="U74" i="40"/>
  <c r="BQ69" i="39"/>
  <c r="U43" i="53"/>
  <c r="U22" i="53"/>
  <c r="U106" i="53"/>
  <c r="U170" i="53"/>
  <c r="U67" i="53"/>
  <c r="U28" i="40"/>
  <c r="U139" i="53"/>
  <c r="U76" i="53"/>
  <c r="U176" i="53"/>
  <c r="U106" i="40"/>
  <c r="BQ82" i="39"/>
  <c r="BQ95" i="39"/>
  <c r="U147" i="53"/>
  <c r="U50" i="53"/>
  <c r="U186" i="53"/>
  <c r="U250" i="53"/>
  <c r="U138" i="40"/>
  <c r="U59" i="53"/>
  <c r="U87" i="53"/>
  <c r="U90" i="53"/>
  <c r="U220" i="53"/>
  <c r="U84" i="40"/>
  <c r="BQ72" i="39"/>
  <c r="U97" i="53"/>
  <c r="U211" i="53"/>
  <c r="U158" i="53"/>
  <c r="U222" i="53"/>
  <c r="U29" i="40"/>
  <c r="U7" i="40"/>
  <c r="BQ64" i="39"/>
  <c r="BQ61" i="39"/>
  <c r="U225" i="53"/>
  <c r="U137" i="53"/>
  <c r="U219" i="53"/>
  <c r="U192" i="53"/>
  <c r="U191" i="53"/>
  <c r="BQ80" i="39"/>
  <c r="U229" i="53"/>
  <c r="U32" i="53"/>
  <c r="U138" i="53"/>
  <c r="U202" i="53"/>
  <c r="U189" i="53"/>
  <c r="U63" i="53"/>
  <c r="U56" i="53"/>
  <c r="U94" i="53"/>
  <c r="BQ77" i="39"/>
  <c r="U257" i="53"/>
  <c r="U156" i="53"/>
  <c r="U46" i="40"/>
  <c r="U199" i="53"/>
  <c r="U4" i="53"/>
  <c r="U160" i="53"/>
  <c r="BQ96" i="39"/>
  <c r="BH67" i="39"/>
  <c r="BH124" i="39"/>
  <c r="BH132" i="39"/>
  <c r="BH17" i="39"/>
  <c r="BH111" i="39"/>
  <c r="BH79" i="39"/>
  <c r="BH63" i="39"/>
  <c r="BH64" i="39"/>
  <c r="BH9" i="39"/>
  <c r="BH52" i="39"/>
  <c r="BH48" i="39"/>
  <c r="BH115" i="39"/>
  <c r="BH82" i="39"/>
  <c r="BH96" i="39"/>
  <c r="BH21" i="39"/>
  <c r="BH97" i="39"/>
  <c r="BH68" i="39"/>
  <c r="BH38" i="39"/>
  <c r="BH127" i="39"/>
  <c r="BH130" i="39"/>
  <c r="BH47" i="39"/>
  <c r="BH11" i="39"/>
  <c r="BH93" i="39"/>
  <c r="BH122" i="39"/>
  <c r="BH56" i="39"/>
  <c r="BH42" i="39"/>
  <c r="BH91" i="39"/>
  <c r="BH114" i="39"/>
  <c r="BH13" i="39"/>
  <c r="BH120" i="39"/>
  <c r="BH89" i="39"/>
  <c r="BH104" i="39"/>
  <c r="BH83" i="39"/>
  <c r="BH78" i="39"/>
  <c r="BH62" i="39"/>
  <c r="BH46" i="39"/>
  <c r="BH113" i="39"/>
  <c r="BH65" i="39"/>
  <c r="BH74" i="39"/>
  <c r="BH54" i="39"/>
  <c r="BH94" i="39"/>
  <c r="BH95" i="39"/>
  <c r="BH70" i="39"/>
  <c r="BH34" i="39"/>
  <c r="BH125" i="39"/>
  <c r="BH77" i="39"/>
  <c r="BH108" i="39"/>
  <c r="BH49" i="39"/>
  <c r="BH43" i="39"/>
  <c r="BH20" i="39"/>
  <c r="BH107" i="39"/>
  <c r="BH59" i="39"/>
  <c r="BH24" i="39"/>
  <c r="BH30" i="39"/>
  <c r="BH35" i="39"/>
  <c r="BH105" i="39"/>
  <c r="BH57" i="39"/>
  <c r="BH16" i="39"/>
  <c r="BH84" i="39"/>
  <c r="BH102" i="39"/>
  <c r="BH36" i="39"/>
  <c r="BH135" i="39"/>
  <c r="BH103" i="39"/>
  <c r="BH55" i="39"/>
  <c r="BH128" i="39"/>
  <c r="BH80" i="39"/>
  <c r="BH22" i="39"/>
  <c r="BH27" i="39"/>
  <c r="BH131" i="39"/>
  <c r="BH99" i="39"/>
  <c r="BH72" i="39"/>
  <c r="BH25" i="39"/>
  <c r="BH10" i="39"/>
  <c r="BH45" i="39"/>
  <c r="BH129" i="39"/>
  <c r="BH81" i="39"/>
  <c r="BH66" i="39"/>
  <c r="BH90" i="39"/>
  <c r="BH58" i="39"/>
  <c r="BH51" i="39"/>
  <c r="BH116" i="39"/>
  <c r="BH126" i="39"/>
  <c r="BH15" i="39"/>
  <c r="BH109" i="39"/>
  <c r="BH61" i="39"/>
  <c r="BH33" i="39"/>
  <c r="BH112" i="39"/>
  <c r="BH7" i="39"/>
  <c r="BH39" i="39"/>
  <c r="BH123" i="39"/>
  <c r="BH75" i="39"/>
  <c r="BH92" i="39"/>
  <c r="BH88" i="39"/>
  <c r="BH110" i="39"/>
  <c r="BH134" i="39"/>
  <c r="BH121" i="39"/>
  <c r="BH73" i="39"/>
  <c r="BH76" i="39"/>
  <c r="BH106" i="39"/>
  <c r="BH41" i="39"/>
  <c r="BH26" i="39"/>
  <c r="BH50" i="39"/>
  <c r="BH12" i="39"/>
  <c r="BH119" i="39"/>
  <c r="BH87" i="39"/>
  <c r="BH71" i="39"/>
  <c r="BH60" i="39"/>
  <c r="BH8" i="39"/>
  <c r="BH40" i="39"/>
  <c r="BH23" i="39"/>
  <c r="BH44" i="39"/>
  <c r="BH37" i="39"/>
  <c r="BH29" i="39"/>
  <c r="BH133" i="39"/>
  <c r="BH117" i="39"/>
  <c r="BH101" i="39"/>
  <c r="BH85" i="39"/>
  <c r="BH69" i="39"/>
  <c r="BH53" i="39"/>
  <c r="BH98" i="39"/>
  <c r="BH100" i="39"/>
  <c r="BH118" i="39"/>
  <c r="BH32" i="39"/>
  <c r="BH86" i="39"/>
  <c r="BH19" i="39"/>
  <c r="BH14" i="39"/>
  <c r="BH18" i="39"/>
  <c r="BH31" i="39"/>
  <c r="BH28" i="39"/>
  <c r="BH6" i="39"/>
  <c r="AA26" i="39"/>
  <c r="AA28" i="39" s="1" a="1"/>
  <c r="BQ92" i="39"/>
  <c r="BQ103" i="39"/>
  <c r="BQ109" i="39"/>
  <c r="BQ68" i="39"/>
  <c r="BQ90" i="39"/>
  <c r="BQ112" i="39"/>
  <c r="BQ110" i="39"/>
  <c r="BQ117" i="39"/>
  <c r="BQ60" i="39"/>
  <c r="BQ98" i="39"/>
  <c r="BQ120" i="39"/>
  <c r="U65" i="40"/>
  <c r="U127" i="40"/>
  <c r="U35" i="40"/>
  <c r="U90" i="40"/>
  <c r="U101" i="40"/>
  <c r="U92" i="40"/>
  <c r="U47" i="40"/>
  <c r="BQ87" i="39"/>
  <c r="BQ23" i="39"/>
  <c r="BQ45" i="39"/>
  <c r="BQ52" i="39"/>
  <c r="BQ51" i="39"/>
  <c r="BQ42" i="39"/>
  <c r="BQ33" i="39"/>
  <c r="BQ40" i="39"/>
  <c r="BQ94" i="39"/>
  <c r="BQ30" i="39"/>
  <c r="BQ53" i="39"/>
  <c r="BQ44" i="39"/>
  <c r="BQ43" i="39"/>
  <c r="BQ50" i="39"/>
  <c r="BQ41" i="39"/>
  <c r="BQ32" i="39"/>
  <c r="U131" i="40"/>
  <c r="U54" i="40"/>
  <c r="U9" i="40"/>
  <c r="U87" i="40"/>
  <c r="U23" i="40"/>
  <c r="U16" i="40"/>
  <c r="U55" i="40"/>
  <c r="U34" i="40"/>
  <c r="U141" i="40"/>
  <c r="U13" i="40"/>
  <c r="U31" i="40"/>
  <c r="U4" i="40"/>
  <c r="U32" i="40"/>
  <c r="U67" i="40"/>
  <c r="U96" i="40"/>
  <c r="U112" i="40"/>
  <c r="U6" i="40"/>
  <c r="U12" i="40"/>
  <c r="BQ79" i="39"/>
  <c r="BQ15" i="39"/>
  <c r="BQ29" i="39"/>
  <c r="BQ36" i="39"/>
  <c r="BQ35" i="39"/>
  <c r="BQ26" i="39"/>
  <c r="BQ17" i="39"/>
  <c r="BQ24" i="39"/>
  <c r="BQ86" i="39"/>
  <c r="BQ22" i="39"/>
  <c r="BQ37" i="39"/>
  <c r="BQ28" i="39"/>
  <c r="BQ27" i="39"/>
  <c r="BQ34" i="39"/>
  <c r="BQ25" i="39"/>
  <c r="BQ16" i="39"/>
  <c r="U108" i="40"/>
  <c r="U117" i="40"/>
  <c r="U115" i="40"/>
  <c r="U119" i="40"/>
  <c r="U122" i="40"/>
  <c r="U45" i="40"/>
  <c r="U60" i="40"/>
  <c r="U81" i="40"/>
  <c r="U19" i="40"/>
  <c r="U113" i="40"/>
  <c r="U21" i="40"/>
  <c r="U50" i="40"/>
  <c r="U133" i="40"/>
  <c r="U80" i="40"/>
  <c r="U38" i="40"/>
  <c r="U82" i="40"/>
  <c r="U18" i="40"/>
  <c r="BQ135" i="39"/>
  <c r="BQ71" i="39"/>
  <c r="BQ7" i="39"/>
  <c r="BQ21" i="39"/>
  <c r="BQ20" i="39"/>
  <c r="BQ19" i="39"/>
  <c r="BQ129" i="39"/>
  <c r="BQ128" i="39"/>
  <c r="BQ8" i="39"/>
  <c r="BQ78" i="39"/>
  <c r="BQ14" i="39"/>
  <c r="BQ13" i="39"/>
  <c r="BQ12" i="39"/>
  <c r="BQ11" i="39"/>
  <c r="BQ18" i="39"/>
  <c r="BQ9" i="39"/>
  <c r="BQ10" i="39"/>
  <c r="U118" i="40"/>
  <c r="U88" i="40"/>
  <c r="U33" i="40"/>
  <c r="U126" i="40"/>
  <c r="U5" i="40"/>
  <c r="U125" i="40"/>
  <c r="U145" i="40"/>
  <c r="U91" i="40"/>
  <c r="U68" i="40"/>
  <c r="U135" i="40"/>
  <c r="U86" i="40"/>
  <c r="U109" i="40"/>
  <c r="U85" i="40"/>
  <c r="U114" i="40"/>
  <c r="U42" i="40"/>
  <c r="U142" i="40"/>
  <c r="U49" i="40"/>
  <c r="U143" i="40"/>
  <c r="U140" i="40"/>
  <c r="U37" i="40"/>
  <c r="U27" i="40"/>
  <c r="U181" i="53"/>
  <c r="U213" i="53"/>
  <c r="U171" i="53"/>
  <c r="U77" i="53"/>
  <c r="U8" i="53"/>
  <c r="U187" i="53"/>
  <c r="U248" i="53"/>
  <c r="U184" i="53"/>
  <c r="U136" i="53"/>
  <c r="U84" i="53"/>
  <c r="U165" i="53"/>
  <c r="U28" i="53"/>
  <c r="U61" i="53"/>
  <c r="U31" i="53"/>
  <c r="U246" i="53"/>
  <c r="U198" i="53"/>
  <c r="U150" i="53"/>
  <c r="U100" i="53"/>
  <c r="U251" i="53"/>
  <c r="U185" i="53"/>
  <c r="U163" i="53"/>
  <c r="U11" i="53"/>
  <c r="U183" i="53"/>
  <c r="U131" i="53"/>
  <c r="U111" i="53"/>
  <c r="U125" i="53"/>
  <c r="U216" i="53"/>
  <c r="U168" i="53"/>
  <c r="U120" i="53"/>
  <c r="U66" i="53"/>
  <c r="U259" i="53"/>
  <c r="U167" i="53"/>
  <c r="U239" i="53"/>
  <c r="U16" i="53"/>
  <c r="U217" i="53"/>
  <c r="U29" i="53"/>
  <c r="U214" i="53"/>
  <c r="U166" i="53"/>
  <c r="U118" i="53"/>
  <c r="U64" i="53"/>
  <c r="U149" i="53"/>
  <c r="U135" i="53"/>
  <c r="U223" i="53"/>
  <c r="U25" i="53"/>
  <c r="U175" i="53"/>
  <c r="U195" i="53"/>
  <c r="U244" i="53"/>
  <c r="U196" i="53"/>
  <c r="U164" i="53"/>
  <c r="U132" i="53"/>
  <c r="U98" i="53"/>
  <c r="U44" i="53"/>
  <c r="U133" i="53"/>
  <c r="U119" i="53"/>
  <c r="U169" i="53"/>
  <c r="U209" i="53"/>
  <c r="U23" i="53"/>
  <c r="U12" i="53"/>
  <c r="U157" i="53"/>
  <c r="U13" i="53"/>
  <c r="U109" i="53"/>
  <c r="U145" i="53"/>
  <c r="U7" i="53"/>
  <c r="U255" i="53"/>
  <c r="U249" i="53"/>
  <c r="U241" i="53"/>
  <c r="U232" i="53"/>
  <c r="U200" i="53"/>
  <c r="U152" i="53"/>
  <c r="U104" i="53"/>
  <c r="U48" i="53"/>
  <c r="U26" i="53"/>
  <c r="U201" i="53"/>
  <c r="U95" i="53"/>
  <c r="U47" i="53"/>
  <c r="U247" i="53"/>
  <c r="U129" i="53"/>
  <c r="U262" i="53"/>
  <c r="U230" i="53"/>
  <c r="U182" i="53"/>
  <c r="U134" i="53"/>
  <c r="U82" i="53"/>
  <c r="U46" i="53"/>
  <c r="U19" i="53"/>
  <c r="U21" i="53"/>
  <c r="U33" i="53"/>
  <c r="U15" i="53"/>
  <c r="U203" i="53"/>
  <c r="U115" i="53"/>
  <c r="U260" i="53"/>
  <c r="U228" i="53"/>
  <c r="U212" i="53"/>
  <c r="U180" i="53"/>
  <c r="U148" i="53"/>
  <c r="U116" i="53"/>
  <c r="U80" i="53"/>
  <c r="U62" i="53"/>
  <c r="U243" i="53"/>
  <c r="U55" i="53"/>
  <c r="U261" i="53"/>
  <c r="U35" i="53"/>
  <c r="U107" i="53"/>
  <c r="U258" i="53"/>
  <c r="U242" i="53"/>
  <c r="U226" i="53"/>
  <c r="U210" i="53"/>
  <c r="U194" i="53"/>
  <c r="U178" i="53"/>
  <c r="U162" i="53"/>
  <c r="U146" i="53"/>
  <c r="U130" i="53"/>
  <c r="U114" i="53"/>
  <c r="U96" i="53"/>
  <c r="U78" i="53"/>
  <c r="U60" i="53"/>
  <c r="U42" i="53"/>
  <c r="U235" i="53"/>
  <c r="U101" i="53"/>
  <c r="U27" i="53"/>
  <c r="U103" i="53"/>
  <c r="U253" i="53"/>
  <c r="U153" i="53"/>
  <c r="U205" i="53"/>
  <c r="U3" i="53"/>
  <c r="U215" i="53"/>
  <c r="U99" i="53"/>
  <c r="U10" i="53"/>
  <c r="U51" i="53"/>
  <c r="U83" i="53"/>
  <c r="U49" i="53"/>
  <c r="U102" i="53"/>
  <c r="U86" i="53"/>
  <c r="U70" i="53"/>
  <c r="U54" i="53"/>
  <c r="U38" i="53"/>
  <c r="U227" i="53"/>
  <c r="U117" i="53"/>
  <c r="U5" i="53"/>
  <c r="U151" i="53"/>
  <c r="U41" i="53"/>
  <c r="U221" i="53"/>
  <c r="U105" i="53"/>
  <c r="U143" i="53"/>
  <c r="U179" i="53"/>
  <c r="U6" i="53"/>
  <c r="U161" i="53"/>
  <c r="U127" i="53"/>
  <c r="U233" i="53"/>
  <c r="U18" i="53"/>
  <c r="U231" i="53"/>
  <c r="U177" i="53"/>
  <c r="Z26" i="39"/>
  <c r="Z28" i="39" s="1" a="1"/>
  <c r="S146" i="40"/>
  <c r="T146" i="40"/>
  <c r="U146" i="40" s="1"/>
  <c r="BQ6" i="54"/>
  <c r="BQ25" i="54"/>
  <c r="BQ50" i="54"/>
  <c r="BQ9" i="54"/>
  <c r="BQ17" i="54"/>
  <c r="BQ33" i="54"/>
  <c r="BQ41" i="54"/>
  <c r="BQ49" i="54"/>
  <c r="BQ57" i="54"/>
  <c r="BQ65" i="54"/>
  <c r="BQ10" i="54"/>
  <c r="BQ18" i="54"/>
  <c r="BQ26" i="54"/>
  <c r="BQ34" i="54"/>
  <c r="BQ42" i="54"/>
  <c r="BQ58" i="54"/>
  <c r="BQ66" i="54"/>
  <c r="BQ11" i="54"/>
  <c r="BQ19" i="54"/>
  <c r="BQ27" i="54"/>
  <c r="BQ35" i="54"/>
  <c r="BQ43" i="54"/>
  <c r="BQ51" i="54"/>
  <c r="BQ59" i="54"/>
  <c r="BQ67" i="54"/>
  <c r="BQ12" i="54"/>
  <c r="BQ20" i="54"/>
  <c r="BQ28" i="54"/>
  <c r="BQ36" i="54"/>
  <c r="BQ44" i="54"/>
  <c r="BQ52" i="54"/>
  <c r="BQ60" i="54"/>
  <c r="BQ68" i="54"/>
  <c r="BQ13" i="54"/>
  <c r="BQ21" i="54"/>
  <c r="BQ29" i="54"/>
  <c r="BQ37" i="54"/>
  <c r="BQ45" i="54"/>
  <c r="BQ53" i="54"/>
  <c r="BQ61" i="54"/>
  <c r="BQ69" i="54"/>
  <c r="BQ14" i="54"/>
  <c r="BQ22" i="54"/>
  <c r="BQ30" i="54"/>
  <c r="BQ38" i="54"/>
  <c r="BQ46" i="54"/>
  <c r="BQ54" i="54"/>
  <c r="BQ62" i="54"/>
  <c r="BQ70" i="54"/>
  <c r="BQ7" i="54"/>
  <c r="BQ15" i="54"/>
  <c r="BQ23" i="54"/>
  <c r="BQ31" i="54"/>
  <c r="BQ39" i="54"/>
  <c r="BQ47" i="54"/>
  <c r="BQ55" i="54"/>
  <c r="BQ63" i="54"/>
  <c r="BQ71" i="54"/>
  <c r="BQ8" i="54"/>
  <c r="BQ16" i="54"/>
  <c r="BQ24" i="54"/>
  <c r="BQ32" i="54"/>
  <c r="BQ40" i="54"/>
  <c r="BQ48" i="54"/>
  <c r="BQ56" i="54"/>
  <c r="BQ64" i="54"/>
  <c r="BQ72" i="54"/>
  <c r="AR14" i="54" l="1"/>
  <c r="AR15" i="54"/>
  <c r="AR16" i="54"/>
  <c r="AF6" i="54"/>
  <c r="AF5" i="54"/>
  <c r="AL5" i="54" s="1" a="1"/>
  <c r="AM5" i="54" s="1"/>
  <c r="Z28" i="39"/>
  <c r="Z29" i="39"/>
  <c r="Z30" i="39"/>
  <c r="AA29" i="39"/>
  <c r="AA28" i="39"/>
  <c r="Y28" i="39"/>
  <c r="Y29" i="39"/>
  <c r="AB28" i="39"/>
  <c r="AB29" i="39"/>
  <c r="AB30" i="39"/>
  <c r="AK20" i="54"/>
  <c r="AK21" i="54"/>
  <c r="AK19" i="54"/>
  <c r="AF19" i="54" a="1"/>
  <c r="AE14" i="54" a="1"/>
  <c r="AS14" i="54" a="1"/>
  <c r="AS5" i="54" a="1"/>
  <c r="R147" i="40"/>
  <c r="AQ14" i="54" a="1"/>
  <c r="AE19" i="54" a="1"/>
  <c r="AR19" i="54" a="1"/>
  <c r="AQ19" i="54" a="1"/>
  <c r="Z27" i="39"/>
  <c r="AA27" i="39"/>
  <c r="AK14" i="54" a="1"/>
  <c r="Y27" i="39"/>
  <c r="AB27" i="39"/>
  <c r="Z48" i="39"/>
  <c r="Z36" i="39"/>
  <c r="Z39" i="39"/>
  <c r="Z42" i="39"/>
  <c r="Z49" i="39"/>
  <c r="Z46" i="39"/>
  <c r="Z41" i="39"/>
  <c r="Z38" i="39"/>
  <c r="Z40" i="39"/>
  <c r="Z45" i="39"/>
  <c r="Z37" i="39"/>
  <c r="Z51" i="39"/>
  <c r="Z43" i="39"/>
  <c r="Z47" i="39"/>
  <c r="Z44" i="39"/>
  <c r="Z50" i="39"/>
  <c r="AA48" i="39"/>
  <c r="AA42" i="39"/>
  <c r="AA43" i="39"/>
  <c r="AA39" i="39"/>
  <c r="AA36" i="39"/>
  <c r="AA47" i="39"/>
  <c r="AA46" i="39"/>
  <c r="AA44" i="39"/>
  <c r="AA40" i="39"/>
  <c r="AA49" i="39"/>
  <c r="AA41" i="39"/>
  <c r="AA51" i="39"/>
  <c r="AA50" i="39"/>
  <c r="AA37" i="39"/>
  <c r="AA38" i="39"/>
  <c r="AA45" i="39"/>
  <c r="Y36" i="39"/>
  <c r="Y38" i="39"/>
  <c r="Y39" i="39"/>
  <c r="Y50" i="39"/>
  <c r="Y41" i="39"/>
  <c r="Y48" i="39"/>
  <c r="Y43" i="39"/>
  <c r="Y40" i="39"/>
  <c r="Y44" i="39"/>
  <c r="Y49" i="39"/>
  <c r="Y37" i="39"/>
  <c r="Y47" i="39"/>
  <c r="Y42" i="39"/>
  <c r="Y46" i="39"/>
  <c r="Y45" i="39"/>
  <c r="Y51" i="39"/>
  <c r="AB46" i="39"/>
  <c r="AB38" i="39"/>
  <c r="AB44" i="39"/>
  <c r="AB49" i="39"/>
  <c r="AB42" i="39"/>
  <c r="AB51" i="39"/>
  <c r="AB50" i="39"/>
  <c r="AB45" i="39"/>
  <c r="AB36" i="39"/>
  <c r="AB37" i="39"/>
  <c r="AB47" i="39"/>
  <c r="AB48" i="39"/>
  <c r="AB41" i="39"/>
  <c r="AB40" i="39"/>
  <c r="AB39" i="39"/>
  <c r="AB43" i="39"/>
  <c r="S147" i="40"/>
  <c r="T147" i="40"/>
  <c r="U147" i="40" s="1"/>
  <c r="AQ20" i="54" l="1"/>
  <c r="AQ21" i="54"/>
  <c r="AQ19" i="54"/>
  <c r="AR20" i="54"/>
  <c r="AR21" i="54"/>
  <c r="AR19" i="54"/>
  <c r="AE21" i="54"/>
  <c r="AE19" i="54"/>
  <c r="AE20" i="54"/>
  <c r="AQ16" i="54"/>
  <c r="AQ14" i="54"/>
  <c r="AQ15" i="54"/>
  <c r="AS6" i="54"/>
  <c r="AS5" i="54"/>
  <c r="AS14" i="54"/>
  <c r="AS15" i="54"/>
  <c r="AS16" i="54"/>
  <c r="AE16" i="54"/>
  <c r="AE14" i="54"/>
  <c r="AE15" i="54"/>
  <c r="AL6" i="54"/>
  <c r="AM6" i="54"/>
  <c r="AL5" i="54"/>
  <c r="AB57" i="39"/>
  <c r="AB56" i="39"/>
  <c r="AB54" i="39"/>
  <c r="AB59" i="39"/>
  <c r="AB60" i="39"/>
  <c r="AB58" i="39"/>
  <c r="AB55" i="39"/>
  <c r="Y60" i="39"/>
  <c r="Y54" i="39"/>
  <c r="Y55" i="39"/>
  <c r="Y56" i="39"/>
  <c r="Y58" i="39"/>
  <c r="Y57" i="39"/>
  <c r="Y59" i="39"/>
  <c r="AA54" i="39"/>
  <c r="AA59" i="39"/>
  <c r="AA60" i="39"/>
  <c r="AA58" i="39"/>
  <c r="AA55" i="39"/>
  <c r="AA56" i="39"/>
  <c r="AA57" i="39"/>
  <c r="Z59" i="39"/>
  <c r="Z56" i="39"/>
  <c r="Z60" i="39"/>
  <c r="Z54" i="39"/>
  <c r="Z55" i="39"/>
  <c r="Z58" i="39"/>
  <c r="Z57" i="39"/>
  <c r="AK16" i="54"/>
  <c r="AK14" i="54"/>
  <c r="AK15" i="54"/>
  <c r="AB35" i="39"/>
  <c r="BP5" i="39" s="1"/>
  <c r="Y35" i="39"/>
  <c r="BM5" i="39" s="1"/>
  <c r="AA35" i="39"/>
  <c r="BO5" i="39" s="1"/>
  <c r="Z35" i="39"/>
  <c r="BN5" i="39" s="1"/>
  <c r="AF19" i="54"/>
  <c r="AF20" i="54"/>
  <c r="AF21" i="54"/>
  <c r="R148" i="40"/>
  <c r="BO1" i="39"/>
  <c r="BN1" i="39"/>
  <c r="AK9" i="54" a="1"/>
  <c r="BP1" i="39"/>
  <c r="BM1" i="39"/>
  <c r="BO7" i="39"/>
  <c r="BO9" i="39"/>
  <c r="BO11" i="39"/>
  <c r="BO74" i="39"/>
  <c r="BO109" i="39"/>
  <c r="BO60" i="39"/>
  <c r="BO59" i="39"/>
  <c r="BO51" i="39"/>
  <c r="BO75" i="39"/>
  <c r="BO132" i="39"/>
  <c r="BO111" i="39"/>
  <c r="BO66" i="39"/>
  <c r="BO63" i="39"/>
  <c r="BO67" i="39"/>
  <c r="BO73" i="39"/>
  <c r="BO18" i="39"/>
  <c r="BO35" i="39"/>
  <c r="BO10" i="39"/>
  <c r="BO29" i="39"/>
  <c r="BO87" i="39"/>
  <c r="BO32" i="39"/>
  <c r="BO104" i="39"/>
  <c r="BO122" i="39"/>
  <c r="BO64" i="39"/>
  <c r="BO79" i="39"/>
  <c r="BO70" i="39"/>
  <c r="BO131" i="39"/>
  <c r="BO57" i="39"/>
  <c r="BO129" i="39"/>
  <c r="BO36" i="39"/>
  <c r="BO61" i="39"/>
  <c r="BO113" i="39"/>
  <c r="BO27" i="39"/>
  <c r="BO12" i="39"/>
  <c r="BO14" i="39"/>
  <c r="BO46" i="39"/>
  <c r="BO45" i="39"/>
  <c r="BO71" i="39"/>
  <c r="BO107" i="39"/>
  <c r="BO25" i="39"/>
  <c r="BO106" i="39"/>
  <c r="BO85" i="39"/>
  <c r="BO105" i="39"/>
  <c r="BO116" i="39"/>
  <c r="BO81" i="39"/>
  <c r="BO21" i="39"/>
  <c r="BO42" i="39"/>
  <c r="BO114" i="39"/>
  <c r="BO134" i="39"/>
  <c r="BO56" i="39"/>
  <c r="BO68" i="39"/>
  <c r="BO43" i="39"/>
  <c r="BO126" i="39"/>
  <c r="BO55" i="39"/>
  <c r="BO101" i="39"/>
  <c r="BO123" i="39"/>
  <c r="BO41" i="39"/>
  <c r="BO112" i="39"/>
  <c r="BO88" i="39"/>
  <c r="BO100" i="39"/>
  <c r="BO121" i="39"/>
  <c r="BO83" i="39"/>
  <c r="BO39" i="39"/>
  <c r="BO19" i="39"/>
  <c r="BO89" i="39"/>
  <c r="BO97" i="39"/>
  <c r="BO69" i="39"/>
  <c r="BO34" i="39"/>
  <c r="BO84" i="39"/>
  <c r="BO72" i="39"/>
  <c r="BO76" i="39"/>
  <c r="BO82" i="39"/>
  <c r="BO127" i="39"/>
  <c r="BO92" i="39"/>
  <c r="BO120" i="39"/>
  <c r="BO125" i="39"/>
  <c r="BO23" i="39"/>
  <c r="BO98" i="39"/>
  <c r="BO93" i="39"/>
  <c r="BO108" i="39"/>
  <c r="BO96" i="39"/>
  <c r="BO102" i="39"/>
  <c r="BO53" i="39"/>
  <c r="BO77" i="39"/>
  <c r="BO115" i="39"/>
  <c r="BO80" i="39"/>
  <c r="BO37" i="39"/>
  <c r="BO13" i="39"/>
  <c r="BO86" i="39"/>
  <c r="BO44" i="39"/>
  <c r="BO130" i="39"/>
  <c r="BO26" i="39"/>
  <c r="BO48" i="39"/>
  <c r="BO8" i="39"/>
  <c r="BO22" i="39"/>
  <c r="BO78" i="39"/>
  <c r="BO135" i="39"/>
  <c r="BO119" i="39"/>
  <c r="BO103" i="39"/>
  <c r="BO49" i="39"/>
  <c r="BO33" i="39"/>
  <c r="BO17" i="39"/>
  <c r="BO118" i="39"/>
  <c r="BO54" i="39"/>
  <c r="BO28" i="39"/>
  <c r="BO65" i="39"/>
  <c r="BO52" i="39"/>
  <c r="BO58" i="39"/>
  <c r="BO90" i="39"/>
  <c r="BO30" i="39"/>
  <c r="BO16" i="39"/>
  <c r="BO91" i="39"/>
  <c r="BO24" i="39"/>
  <c r="BO133" i="39"/>
  <c r="BO117" i="39"/>
  <c r="BO99" i="39"/>
  <c r="BO47" i="39"/>
  <c r="BO31" i="39"/>
  <c r="BO15" i="39"/>
  <c r="BO110" i="39"/>
  <c r="BO95" i="39"/>
  <c r="BO20" i="39"/>
  <c r="BO62" i="39"/>
  <c r="BO50" i="39"/>
  <c r="BO124" i="39"/>
  <c r="BO94" i="39"/>
  <c r="BO38" i="39"/>
  <c r="BO128" i="39"/>
  <c r="BO40" i="39"/>
  <c r="BO6" i="39"/>
  <c r="BN103" i="39"/>
  <c r="BN93" i="39"/>
  <c r="BN84" i="39"/>
  <c r="BN22" i="39"/>
  <c r="BN45" i="39"/>
  <c r="BN59" i="39"/>
  <c r="BN27" i="39"/>
  <c r="BN89" i="39"/>
  <c r="BN98" i="39"/>
  <c r="BN43" i="39"/>
  <c r="BN10" i="39"/>
  <c r="BN19" i="39"/>
  <c r="BN60" i="39"/>
  <c r="BN29" i="39"/>
  <c r="BN106" i="39"/>
  <c r="BN118" i="39"/>
  <c r="BN131" i="39"/>
  <c r="BN124" i="39"/>
  <c r="BN15" i="39"/>
  <c r="BN71" i="39"/>
  <c r="BN81" i="39"/>
  <c r="BN18" i="39"/>
  <c r="BN51" i="39"/>
  <c r="BN16" i="39"/>
  <c r="BN47" i="39"/>
  <c r="BN66" i="39"/>
  <c r="BN117" i="39"/>
  <c r="BN110" i="39"/>
  <c r="BN75" i="39"/>
  <c r="BN135" i="39"/>
  <c r="BN12" i="39"/>
  <c r="BN108" i="39"/>
  <c r="BN104" i="39"/>
  <c r="BN13" i="39"/>
  <c r="BN63" i="39"/>
  <c r="BN88" i="39"/>
  <c r="BN85" i="39"/>
  <c r="BN109" i="39"/>
  <c r="BN95" i="39"/>
  <c r="BN128" i="39"/>
  <c r="BN23" i="39"/>
  <c r="BN65" i="39"/>
  <c r="BN41" i="39"/>
  <c r="BN57" i="39"/>
  <c r="BN37" i="39"/>
  <c r="BN102" i="39"/>
  <c r="BN86" i="39"/>
  <c r="BN34" i="39"/>
  <c r="BN31" i="39"/>
  <c r="BN53" i="39"/>
  <c r="BN76" i="39"/>
  <c r="BN96" i="39"/>
  <c r="BN100" i="39"/>
  <c r="BN72" i="39"/>
  <c r="BN127" i="39"/>
  <c r="BN83" i="39"/>
  <c r="BN54" i="39"/>
  <c r="BN48" i="39"/>
  <c r="BN120" i="39"/>
  <c r="BN11" i="39"/>
  <c r="BN92" i="39"/>
  <c r="BN94" i="39"/>
  <c r="BN119" i="39"/>
  <c r="BN58" i="39"/>
  <c r="BN25" i="39"/>
  <c r="BN64" i="39"/>
  <c r="BN134" i="39"/>
  <c r="BN36" i="39"/>
  <c r="BN44" i="39"/>
  <c r="BN56" i="39"/>
  <c r="BN7" i="39"/>
  <c r="BN115" i="39"/>
  <c r="BN42" i="39"/>
  <c r="BN68" i="39"/>
  <c r="BN6" i="39"/>
  <c r="BN90" i="39"/>
  <c r="BN116" i="39"/>
  <c r="BN87" i="39"/>
  <c r="BN77" i="39"/>
  <c r="BN17" i="39"/>
  <c r="BN97" i="39"/>
  <c r="BN38" i="39"/>
  <c r="BN46" i="39"/>
  <c r="BN74" i="39"/>
  <c r="BN80" i="39"/>
  <c r="BN91" i="39"/>
  <c r="BN24" i="39"/>
  <c r="BN14" i="39"/>
  <c r="BN30" i="39"/>
  <c r="BN111" i="39"/>
  <c r="BN67" i="39"/>
  <c r="BN21" i="39"/>
  <c r="BN49" i="39"/>
  <c r="BN125" i="39"/>
  <c r="BN20" i="39"/>
  <c r="BN28" i="39"/>
  <c r="BN107" i="39"/>
  <c r="BN105" i="39"/>
  <c r="BN101" i="39"/>
  <c r="BN79" i="39"/>
  <c r="BN32" i="39"/>
  <c r="BN9" i="39"/>
  <c r="BN39" i="39"/>
  <c r="BN133" i="39"/>
  <c r="BN129" i="39"/>
  <c r="BN50" i="39"/>
  <c r="BN55" i="39"/>
  <c r="BN52" i="39"/>
  <c r="BN82" i="39"/>
  <c r="BN73" i="39"/>
  <c r="BN26" i="39"/>
  <c r="BN8" i="39"/>
  <c r="BN70" i="39"/>
  <c r="BN62" i="39"/>
  <c r="BN112" i="39"/>
  <c r="BN61" i="39"/>
  <c r="BN35" i="39"/>
  <c r="BN99" i="39"/>
  <c r="BN33" i="39"/>
  <c r="BN126" i="39"/>
  <c r="BN122" i="39"/>
  <c r="BN123" i="39"/>
  <c r="BN113" i="39"/>
  <c r="BN130" i="39"/>
  <c r="BN78" i="39"/>
  <c r="BN69" i="39"/>
  <c r="BN132" i="39"/>
  <c r="BN121" i="39"/>
  <c r="BN114" i="39"/>
  <c r="BN40" i="39"/>
  <c r="BP71" i="39"/>
  <c r="BP76" i="39"/>
  <c r="BP84" i="39"/>
  <c r="BP135" i="39"/>
  <c r="BP60" i="39"/>
  <c r="BP27" i="39"/>
  <c r="BP37" i="39"/>
  <c r="BP69" i="39"/>
  <c r="BP56" i="39"/>
  <c r="BP93" i="39"/>
  <c r="BP90" i="39"/>
  <c r="BP77" i="39"/>
  <c r="BP88" i="39"/>
  <c r="BP133" i="39"/>
  <c r="BP117" i="39"/>
  <c r="BP80" i="39"/>
  <c r="BP53" i="39"/>
  <c r="BP28" i="39"/>
  <c r="BP51" i="39"/>
  <c r="BP134" i="39"/>
  <c r="BP24" i="39"/>
  <c r="BP122" i="39"/>
  <c r="BP32" i="39"/>
  <c r="BP130" i="39"/>
  <c r="BP7" i="39"/>
  <c r="BP115" i="39"/>
  <c r="BP113" i="39"/>
  <c r="BP11" i="39"/>
  <c r="BP25" i="39"/>
  <c r="BP97" i="39"/>
  <c r="BP72" i="39"/>
  <c r="BP95" i="39"/>
  <c r="BP92" i="39"/>
  <c r="BP48" i="39"/>
  <c r="BP20" i="39"/>
  <c r="BP46" i="39"/>
  <c r="BP108" i="39"/>
  <c r="BP111" i="39"/>
  <c r="BP126" i="39"/>
  <c r="BP120" i="39"/>
  <c r="BP6" i="39"/>
  <c r="BP85" i="39"/>
  <c r="BP104" i="39"/>
  <c r="BP83" i="39"/>
  <c r="BP43" i="39"/>
  <c r="BP87" i="39"/>
  <c r="BP116" i="39"/>
  <c r="BP21" i="39"/>
  <c r="BP129" i="39"/>
  <c r="BP65" i="39"/>
  <c r="BP50" i="39"/>
  <c r="BP12" i="39"/>
  <c r="BP103" i="39"/>
  <c r="BP86" i="39"/>
  <c r="BP64" i="39"/>
  <c r="BP128" i="39"/>
  <c r="BP125" i="39"/>
  <c r="BP101" i="39"/>
  <c r="BP81" i="39"/>
  <c r="BP61" i="39"/>
  <c r="BP70" i="39"/>
  <c r="BP106" i="39"/>
  <c r="BP42" i="39"/>
  <c r="BP114" i="39"/>
  <c r="BP96" i="39"/>
  <c r="BP29" i="39"/>
  <c r="BP17" i="39"/>
  <c r="BP131" i="39"/>
  <c r="BP67" i="39"/>
  <c r="BP52" i="39"/>
  <c r="BP39" i="39"/>
  <c r="BP109" i="39"/>
  <c r="BP118" i="39"/>
  <c r="BP68" i="39"/>
  <c r="BP16" i="39"/>
  <c r="BP127" i="39"/>
  <c r="BP63" i="39"/>
  <c r="BP98" i="39"/>
  <c r="BP22" i="39"/>
  <c r="BP74" i="39"/>
  <c r="BP119" i="39"/>
  <c r="BP99" i="39"/>
  <c r="BP79" i="39"/>
  <c r="BP55" i="39"/>
  <c r="BP54" i="39"/>
  <c r="BP34" i="39"/>
  <c r="BP19" i="39"/>
  <c r="BP94" i="39"/>
  <c r="BP78" i="39"/>
  <c r="BP23" i="39"/>
  <c r="BP13" i="39"/>
  <c r="BP66" i="39"/>
  <c r="BP38" i="39"/>
  <c r="BP9" i="39"/>
  <c r="BP45" i="39"/>
  <c r="BP100" i="39"/>
  <c r="BP36" i="39"/>
  <c r="BP14" i="39"/>
  <c r="BP123" i="39"/>
  <c r="BP107" i="39"/>
  <c r="BP91" i="39"/>
  <c r="BP75" i="39"/>
  <c r="BP59" i="39"/>
  <c r="BP110" i="39"/>
  <c r="BP132" i="39"/>
  <c r="BP18" i="39"/>
  <c r="BP35" i="39"/>
  <c r="BP62" i="39"/>
  <c r="BP31" i="39"/>
  <c r="BP40" i="39"/>
  <c r="BP15" i="39"/>
  <c r="BP82" i="39"/>
  <c r="BP112" i="39"/>
  <c r="BP44" i="39"/>
  <c r="BP121" i="39"/>
  <c r="BP105" i="39"/>
  <c r="BP89" i="39"/>
  <c r="BP73" i="39"/>
  <c r="BP57" i="39"/>
  <c r="BP102" i="39"/>
  <c r="BP124" i="39"/>
  <c r="BP10" i="39"/>
  <c r="BP26" i="39"/>
  <c r="BP58" i="39"/>
  <c r="BP8" i="39"/>
  <c r="BP33" i="39"/>
  <c r="BP49" i="39"/>
  <c r="BP47" i="39"/>
  <c r="BP30" i="39"/>
  <c r="BP41" i="39"/>
  <c r="BM84" i="39"/>
  <c r="BM38" i="39"/>
  <c r="BM125" i="39"/>
  <c r="BM15" i="39"/>
  <c r="BM52" i="39"/>
  <c r="BM8" i="39"/>
  <c r="BM32" i="39"/>
  <c r="BM103" i="39"/>
  <c r="BM134" i="39"/>
  <c r="BM80" i="39"/>
  <c r="BM24" i="39"/>
  <c r="BM104" i="39"/>
  <c r="BM7" i="39"/>
  <c r="BM36" i="39"/>
  <c r="BM9" i="39"/>
  <c r="BM93" i="39"/>
  <c r="BM124" i="39"/>
  <c r="BM105" i="39"/>
  <c r="BM6" i="39"/>
  <c r="BM87" i="39"/>
  <c r="BM57" i="39"/>
  <c r="BM54" i="39"/>
  <c r="BM133" i="39"/>
  <c r="BM53" i="39"/>
  <c r="BM35" i="39"/>
  <c r="BM89" i="39"/>
  <c r="BM28" i="39"/>
  <c r="BM66" i="39"/>
  <c r="BM45" i="39"/>
  <c r="BM98" i="39"/>
  <c r="BM62" i="39"/>
  <c r="BM85" i="39"/>
  <c r="BM58" i="39"/>
  <c r="BM91" i="39"/>
  <c r="BM73" i="39"/>
  <c r="BM30" i="39"/>
  <c r="BM72" i="39"/>
  <c r="BM56" i="39"/>
  <c r="BM128" i="39"/>
  <c r="BM116" i="39"/>
  <c r="BM83" i="39"/>
  <c r="BM131" i="39"/>
  <c r="BM90" i="39"/>
  <c r="BM27" i="39"/>
  <c r="BM31" i="39"/>
  <c r="BM101" i="39"/>
  <c r="BM135" i="39"/>
  <c r="BM123" i="39"/>
  <c r="BM121" i="39"/>
  <c r="BM81" i="39"/>
  <c r="BM29" i="39"/>
  <c r="BM113" i="39"/>
  <c r="BM41" i="39"/>
  <c r="BM67" i="39"/>
  <c r="BM10" i="39"/>
  <c r="BM127" i="39"/>
  <c r="BM132" i="39"/>
  <c r="BM13" i="39"/>
  <c r="BM97" i="39"/>
  <c r="BM110" i="39"/>
  <c r="BM34" i="39"/>
  <c r="BM49" i="39"/>
  <c r="BM25" i="39"/>
  <c r="BM64" i="39"/>
  <c r="BM40" i="39"/>
  <c r="BM37" i="39"/>
  <c r="BM76" i="39"/>
  <c r="BM99" i="39"/>
  <c r="BM20" i="39"/>
  <c r="BM107" i="39"/>
  <c r="BM96" i="39"/>
  <c r="BM100" i="39"/>
  <c r="BM111" i="39"/>
  <c r="BM109" i="39"/>
  <c r="BM12" i="39"/>
  <c r="BM92" i="39"/>
  <c r="BM106" i="39"/>
  <c r="BM78" i="39"/>
  <c r="BM115" i="39"/>
  <c r="BM18" i="39"/>
  <c r="BM16" i="39"/>
  <c r="BM17" i="39"/>
  <c r="BM71" i="39"/>
  <c r="BM120" i="39"/>
  <c r="BM77" i="39"/>
  <c r="BM102" i="39"/>
  <c r="BM22" i="39"/>
  <c r="BM129" i="39"/>
  <c r="BM51" i="39"/>
  <c r="BM19" i="39"/>
  <c r="BM130" i="39"/>
  <c r="BM108" i="39"/>
  <c r="BM69" i="39"/>
  <c r="BM26" i="39"/>
  <c r="BM63" i="39"/>
  <c r="BM118" i="39"/>
  <c r="BM50" i="39"/>
  <c r="BM23" i="39"/>
  <c r="BM68" i="39"/>
  <c r="BM119" i="39"/>
  <c r="BM74" i="39"/>
  <c r="BM88" i="39"/>
  <c r="BM21" i="39"/>
  <c r="BM126" i="39"/>
  <c r="BM44" i="39"/>
  <c r="BM11" i="39"/>
  <c r="BM114" i="39"/>
  <c r="BM86" i="39"/>
  <c r="BM65" i="39"/>
  <c r="BM60" i="39"/>
  <c r="BM59" i="39"/>
  <c r="BM79" i="39"/>
  <c r="BM94" i="39"/>
  <c r="BM33" i="39"/>
  <c r="BM55" i="39"/>
  <c r="BM112" i="39"/>
  <c r="BM61" i="39"/>
  <c r="BM46" i="39"/>
  <c r="BM14" i="39"/>
  <c r="BM122" i="39"/>
  <c r="BM43" i="39"/>
  <c r="BM117" i="39"/>
  <c r="BM95" i="39"/>
  <c r="BM82" i="39"/>
  <c r="BM42" i="39"/>
  <c r="BM70" i="39"/>
  <c r="BM48" i="39"/>
  <c r="BM39" i="39"/>
  <c r="BM75" i="39"/>
  <c r="BM47" i="39"/>
  <c r="S148" i="40"/>
  <c r="T148" i="40"/>
  <c r="U148" i="40" s="1"/>
  <c r="AX14" i="54" l="1" a="1"/>
  <c r="AY14" i="54" s="1"/>
  <c r="AL19" i="54" a="1"/>
  <c r="AL21" i="54" s="1"/>
  <c r="AK9" i="54"/>
  <c r="AK10" i="54"/>
  <c r="R149" i="40"/>
  <c r="S149" i="40"/>
  <c r="T149" i="40"/>
  <c r="U149" i="40" s="1"/>
  <c r="R150" i="40"/>
  <c r="S150" i="40"/>
  <c r="T150" i="40"/>
  <c r="U150" i="40" s="1"/>
  <c r="AX14" i="54" l="1"/>
  <c r="AZ16" i="54"/>
  <c r="AZ15" i="54"/>
  <c r="AY15" i="54"/>
  <c r="AX16" i="54"/>
  <c r="AX15" i="54"/>
  <c r="AY16" i="54"/>
  <c r="AZ14" i="54"/>
  <c r="AM20" i="54"/>
  <c r="AL20" i="54"/>
  <c r="AM21" i="54"/>
  <c r="AN21" i="54"/>
  <c r="AN20" i="54"/>
  <c r="AM19" i="54"/>
  <c r="AN19" i="54"/>
  <c r="AL19" i="54"/>
  <c r="R151" i="40"/>
  <c r="AW14" i="54" a="1"/>
  <c r="S151" i="40"/>
  <c r="T151" i="40"/>
  <c r="U151" i="40" s="1"/>
  <c r="AI19" i="54" l="1" a="1"/>
  <c r="AI19" i="54" s="1"/>
  <c r="T30" i="54" s="1"/>
  <c r="AW14" i="54"/>
  <c r="AW15" i="54"/>
  <c r="AW16" i="54"/>
  <c r="R152" i="40"/>
  <c r="AF9" i="54" a="1"/>
  <c r="S152" i="40"/>
  <c r="T152" i="40"/>
  <c r="U152" i="40" s="1"/>
  <c r="AI20" i="54" l="1"/>
  <c r="T29" i="54" s="1"/>
  <c r="AI21" i="54"/>
  <c r="T28" i="54" s="1"/>
  <c r="AU14" i="54" a="1"/>
  <c r="AU14" i="54" s="1"/>
  <c r="V30" i="54" s="1"/>
  <c r="T35" i="54"/>
  <c r="BH5" i="54" s="1"/>
  <c r="AF9" i="54"/>
  <c r="R153" i="40"/>
  <c r="S153" i="40"/>
  <c r="T153" i="40"/>
  <c r="U153" i="40" s="1"/>
  <c r="AU16" i="54" l="1"/>
  <c r="V28" i="54" s="1"/>
  <c r="AU15" i="54"/>
  <c r="V29" i="54" s="1"/>
  <c r="AF10" i="54"/>
  <c r="AL9" i="54" s="1" a="1"/>
  <c r="R154" i="40"/>
  <c r="AS19" i="54" a="1"/>
  <c r="S154" i="40"/>
  <c r="T154" i="40"/>
  <c r="U154" i="40" s="1"/>
  <c r="V35" i="54" l="1"/>
  <c r="BJ5" i="54" s="1"/>
  <c r="AL10" i="54"/>
  <c r="AL9" i="54"/>
  <c r="AM10" i="54"/>
  <c r="AM9" i="54"/>
  <c r="AS19" i="54"/>
  <c r="AS20" i="54"/>
  <c r="AS21" i="54"/>
  <c r="R155" i="40"/>
  <c r="AS9" i="54" a="1"/>
  <c r="S155" i="40"/>
  <c r="T155" i="40"/>
  <c r="U155" i="40" s="1"/>
  <c r="AX19" i="54" l="1" a="1"/>
  <c r="AI9" i="54" a="1"/>
  <c r="AS10" i="54"/>
  <c r="AS9" i="54"/>
  <c r="R156" i="40"/>
  <c r="AF14" i="54" a="1"/>
  <c r="S156" i="40"/>
  <c r="T156" i="40"/>
  <c r="U156" i="40" s="1"/>
  <c r="AI10" i="54" l="1"/>
  <c r="S28" i="54" s="1"/>
  <c r="AI9" i="54"/>
  <c r="S29" i="54" s="1"/>
  <c r="AZ21" i="54"/>
  <c r="AY20" i="54"/>
  <c r="AX19" i="54"/>
  <c r="AZ20" i="54"/>
  <c r="AX21" i="54"/>
  <c r="AX20" i="54"/>
  <c r="AY19" i="54"/>
  <c r="AZ19" i="54"/>
  <c r="AY21" i="54"/>
  <c r="AF14" i="54"/>
  <c r="AF15" i="54"/>
  <c r="AF16" i="54"/>
  <c r="R157" i="40"/>
  <c r="AK5" i="54" a="1"/>
  <c r="S157" i="40"/>
  <c r="T157" i="40"/>
  <c r="U157" i="40" s="1"/>
  <c r="R158" i="40"/>
  <c r="S158" i="40"/>
  <c r="T158" i="40"/>
  <c r="U158" i="40" s="1"/>
  <c r="AL14" i="54" l="1" a="1"/>
  <c r="S35" i="54"/>
  <c r="BG5" i="54" s="1"/>
  <c r="AK5" i="54"/>
  <c r="AK6" i="54"/>
  <c r="R159" i="40"/>
  <c r="AW19" i="54" a="1"/>
  <c r="S159" i="40"/>
  <c r="T159" i="40"/>
  <c r="U159" i="40" s="1"/>
  <c r="AI5" i="54" l="1" a="1"/>
  <c r="AI6" i="54" s="1"/>
  <c r="G28" i="54" s="1"/>
  <c r="AN14" i="54"/>
  <c r="AL16" i="54"/>
  <c r="AL15" i="54"/>
  <c r="AM16" i="54"/>
  <c r="AM15" i="54"/>
  <c r="AN16" i="54"/>
  <c r="AN15" i="54"/>
  <c r="AL14" i="54"/>
  <c r="AM14" i="54"/>
  <c r="AW19" i="54"/>
  <c r="AW20" i="54"/>
  <c r="AW21" i="54"/>
  <c r="R160" i="40"/>
  <c r="AW9" i="54" a="1"/>
  <c r="S160" i="40"/>
  <c r="T160" i="40"/>
  <c r="U160" i="40" s="1"/>
  <c r="AI5" i="54" l="1"/>
  <c r="G29" i="54" s="1"/>
  <c r="AU19" i="54" a="1"/>
  <c r="AI14" i="54" a="1"/>
  <c r="G35" i="54"/>
  <c r="BE5" i="54" s="1"/>
  <c r="AW10" i="54"/>
  <c r="AW9" i="54"/>
  <c r="R161" i="40"/>
  <c r="S161" i="40"/>
  <c r="T161" i="40"/>
  <c r="U161" i="40" s="1"/>
  <c r="AI15" i="54" l="1"/>
  <c r="H29" i="54" s="1"/>
  <c r="AI14" i="54"/>
  <c r="H30" i="54" s="1"/>
  <c r="AI16" i="54"/>
  <c r="H28" i="54" s="1"/>
  <c r="AU21" i="54"/>
  <c r="X28" i="54" s="1"/>
  <c r="AU19" i="54"/>
  <c r="X30" i="54" s="1"/>
  <c r="AU20" i="54"/>
  <c r="X29" i="54" s="1"/>
  <c r="R162" i="40"/>
  <c r="BL1" i="54"/>
  <c r="BL16" i="54"/>
  <c r="BL58" i="54"/>
  <c r="BL10" i="54"/>
  <c r="BL25" i="54"/>
  <c r="BL6" i="54"/>
  <c r="BL20" i="54"/>
  <c r="BL19" i="54"/>
  <c r="BL64" i="54"/>
  <c r="BL46" i="54"/>
  <c r="BL66" i="54"/>
  <c r="BL62" i="54"/>
  <c r="BL12" i="54"/>
  <c r="BL67" i="54"/>
  <c r="BL41" i="54"/>
  <c r="BL72" i="54"/>
  <c r="BL50" i="54"/>
  <c r="BL57" i="54"/>
  <c r="BL33" i="54"/>
  <c r="BL38" i="54"/>
  <c r="BL14" i="54"/>
  <c r="BL47" i="54"/>
  <c r="BL40" i="54"/>
  <c r="BL28" i="54"/>
  <c r="BL68" i="54"/>
  <c r="BL45" i="54"/>
  <c r="BL31" i="54"/>
  <c r="BJ1" i="54"/>
  <c r="BJ70" i="54"/>
  <c r="BJ41" i="54"/>
  <c r="BL8" i="54"/>
  <c r="BL26" i="54"/>
  <c r="BL30" i="54"/>
  <c r="BL21" i="54"/>
  <c r="BJ12" i="54"/>
  <c r="BJ50" i="54"/>
  <c r="BJ69" i="54"/>
  <c r="BL24" i="54"/>
  <c r="BL61" i="54"/>
  <c r="BL13" i="54"/>
  <c r="BJ36" i="54"/>
  <c r="BJ18" i="54"/>
  <c r="BJ66" i="54"/>
  <c r="BJ64" i="54"/>
  <c r="BL27" i="54"/>
  <c r="BL37" i="54"/>
  <c r="BL17" i="54"/>
  <c r="BL44" i="54"/>
  <c r="BL71" i="54"/>
  <c r="BL48" i="54"/>
  <c r="BL34" i="54"/>
  <c r="BL56" i="54"/>
  <c r="BL15" i="54"/>
  <c r="BL36" i="54"/>
  <c r="BL29" i="54"/>
  <c r="BL43" i="54"/>
  <c r="BL60" i="54"/>
  <c r="BL63" i="54"/>
  <c r="BL49" i="54"/>
  <c r="BL23" i="54"/>
  <c r="BL65" i="54"/>
  <c r="BL51" i="54"/>
  <c r="BL35" i="54"/>
  <c r="BL59" i="54"/>
  <c r="BL7" i="54"/>
  <c r="BL9" i="54"/>
  <c r="BL18" i="54"/>
  <c r="BL54" i="54"/>
  <c r="BL70" i="54"/>
  <c r="BL55" i="54"/>
  <c r="BL69" i="54"/>
  <c r="BL52" i="54"/>
  <c r="BL32" i="54"/>
  <c r="BJ33" i="54"/>
  <c r="BJ43" i="54"/>
  <c r="BJ57" i="54"/>
  <c r="BJ55" i="54"/>
  <c r="BJ28" i="54"/>
  <c r="BJ53" i="54"/>
  <c r="BJ39" i="54"/>
  <c r="BJ52" i="54"/>
  <c r="BJ46" i="54"/>
  <c r="BJ62" i="54"/>
  <c r="BJ32" i="54"/>
  <c r="BJ60" i="54"/>
  <c r="BJ49" i="54"/>
  <c r="BJ68" i="54"/>
  <c r="BJ19" i="54"/>
  <c r="BJ42" i="54"/>
  <c r="BJ24" i="54"/>
  <c r="BJ48" i="54"/>
  <c r="BJ71" i="54"/>
  <c r="BJ44" i="54"/>
  <c r="BJ22" i="54"/>
  <c r="BJ27" i="54"/>
  <c r="BJ30" i="54"/>
  <c r="BJ29" i="54"/>
  <c r="BJ34" i="54"/>
  <c r="BJ17" i="54"/>
  <c r="BJ15" i="54"/>
  <c r="BJ11" i="54"/>
  <c r="BJ54" i="54"/>
  <c r="BJ59" i="54"/>
  <c r="BJ21" i="54"/>
  <c r="BJ37" i="54"/>
  <c r="BJ7" i="54"/>
  <c r="BJ65" i="54"/>
  <c r="BJ10" i="54"/>
  <c r="BJ31" i="54"/>
  <c r="BJ23" i="54"/>
  <c r="BJ72" i="54"/>
  <c r="BJ35" i="54"/>
  <c r="BJ40" i="54"/>
  <c r="BJ38" i="54"/>
  <c r="BJ47" i="54"/>
  <c r="BJ25" i="54"/>
  <c r="BJ56" i="54"/>
  <c r="BJ26" i="54"/>
  <c r="BJ51" i="54"/>
  <c r="BJ67" i="54"/>
  <c r="BJ13" i="54"/>
  <c r="BJ20" i="54"/>
  <c r="BJ9" i="54"/>
  <c r="S162" i="40"/>
  <c r="T162" i="40"/>
  <c r="U162" i="40" s="1"/>
  <c r="X35" i="54" l="1"/>
  <c r="BL5" i="54" s="1"/>
  <c r="H35" i="54"/>
  <c r="BF5" i="54" s="1"/>
  <c r="R163" i="40"/>
  <c r="AR9" i="54" a="1"/>
  <c r="AR5" i="54" a="1"/>
  <c r="BL42" i="54"/>
  <c r="BL53" i="54"/>
  <c r="BL11" i="54"/>
  <c r="BJ8" i="54"/>
  <c r="BJ61" i="54"/>
  <c r="BJ45" i="54"/>
  <c r="BL39" i="54"/>
  <c r="BL22" i="54"/>
  <c r="BJ16" i="54"/>
  <c r="BJ14" i="54"/>
  <c r="AW5" i="54" a="1"/>
  <c r="BJ63" i="54"/>
  <c r="BJ6" i="54"/>
  <c r="BJ58" i="54"/>
  <c r="S163" i="40"/>
  <c r="T163" i="40"/>
  <c r="U163" i="40" s="1"/>
  <c r="AR9" i="54" l="1"/>
  <c r="AR10" i="54"/>
  <c r="AW6" i="54"/>
  <c r="AW5" i="54"/>
  <c r="AX9" i="54" a="1"/>
  <c r="AY9" i="54" s="1"/>
  <c r="AR5" i="54"/>
  <c r="AR6" i="54"/>
  <c r="AX5" i="54" s="1" a="1"/>
  <c r="AX6" i="54" s="1"/>
  <c r="R164" i="40"/>
  <c r="V27" i="54"/>
  <c r="V48" i="54"/>
  <c r="V44" i="54"/>
  <c r="H27" i="54"/>
  <c r="H48" i="54"/>
  <c r="V39" i="54"/>
  <c r="V42" i="54"/>
  <c r="V40" i="54"/>
  <c r="H39" i="54"/>
  <c r="V37" i="54"/>
  <c r="H45" i="54"/>
  <c r="V41" i="54"/>
  <c r="V45" i="54"/>
  <c r="H47" i="54"/>
  <c r="V43" i="54"/>
  <c r="H36" i="54"/>
  <c r="S27" i="54"/>
  <c r="H37" i="54"/>
  <c r="H38" i="54"/>
  <c r="V36" i="54"/>
  <c r="H40" i="54"/>
  <c r="S46" i="54"/>
  <c r="V46" i="54"/>
  <c r="G27" i="54"/>
  <c r="S40" i="54"/>
  <c r="H46" i="54"/>
  <c r="V38" i="54"/>
  <c r="X27" i="54"/>
  <c r="G40" i="54"/>
  <c r="S39" i="54"/>
  <c r="V47" i="54"/>
  <c r="H41" i="54"/>
  <c r="S44" i="54"/>
  <c r="S48" i="54"/>
  <c r="S43" i="54"/>
  <c r="H44" i="54"/>
  <c r="X47" i="54"/>
  <c r="S37" i="54"/>
  <c r="T27" i="54"/>
  <c r="X44" i="54"/>
  <c r="V50" i="54"/>
  <c r="V49" i="54"/>
  <c r="V51" i="54"/>
  <c r="BF1" i="54"/>
  <c r="H42" i="54"/>
  <c r="H43" i="54"/>
  <c r="H50" i="54"/>
  <c r="H49" i="54"/>
  <c r="H51" i="54"/>
  <c r="BG1" i="54"/>
  <c r="S42" i="54"/>
  <c r="S41" i="54"/>
  <c r="S38" i="54"/>
  <c r="S36" i="54"/>
  <c r="S47" i="54"/>
  <c r="S45" i="54"/>
  <c r="S51" i="54"/>
  <c r="S50" i="54"/>
  <c r="S49" i="54"/>
  <c r="G36" i="54"/>
  <c r="G37" i="54"/>
  <c r="G46" i="54"/>
  <c r="G47" i="54"/>
  <c r="G38" i="54"/>
  <c r="G43" i="54"/>
  <c r="BE1" i="54"/>
  <c r="G44" i="54"/>
  <c r="G45" i="54"/>
  <c r="G48" i="54"/>
  <c r="G41" i="54"/>
  <c r="G42" i="54"/>
  <c r="G39" i="54"/>
  <c r="G51" i="54"/>
  <c r="G49" i="54"/>
  <c r="G50" i="54"/>
  <c r="X41" i="54"/>
  <c r="X36" i="54"/>
  <c r="X39" i="54"/>
  <c r="X42" i="54"/>
  <c r="X37" i="54"/>
  <c r="X48" i="54"/>
  <c r="X45" i="54"/>
  <c r="X46" i="54"/>
  <c r="X43" i="54"/>
  <c r="X38" i="54"/>
  <c r="X40" i="54"/>
  <c r="X50" i="54"/>
  <c r="X51" i="54"/>
  <c r="X49" i="54"/>
  <c r="T40" i="54"/>
  <c r="T42" i="54"/>
  <c r="T37" i="54"/>
  <c r="T43" i="54"/>
  <c r="T36" i="54"/>
  <c r="T47" i="54"/>
  <c r="T38" i="54"/>
  <c r="T39" i="54"/>
  <c r="T48" i="54"/>
  <c r="T41" i="54"/>
  <c r="T45" i="54"/>
  <c r="BH1" i="54"/>
  <c r="T46" i="54"/>
  <c r="T44" i="54"/>
  <c r="T49" i="54"/>
  <c r="T50" i="54"/>
  <c r="T51" i="54"/>
  <c r="BF66" i="54"/>
  <c r="BF13" i="54"/>
  <c r="BF57" i="54"/>
  <c r="BF70" i="54"/>
  <c r="BF29" i="54"/>
  <c r="BF11" i="54"/>
  <c r="BF18" i="54"/>
  <c r="BF32" i="54"/>
  <c r="BF7" i="54"/>
  <c r="BF35" i="54"/>
  <c r="BF64" i="54"/>
  <c r="BF45" i="54"/>
  <c r="BF34" i="54"/>
  <c r="BF67" i="54"/>
  <c r="BF44" i="54"/>
  <c r="BF68" i="54"/>
  <c r="BF60" i="54"/>
  <c r="BF51" i="54"/>
  <c r="BF40" i="54"/>
  <c r="BF52" i="54"/>
  <c r="BF37" i="54"/>
  <c r="BF9" i="54"/>
  <c r="BF46" i="54"/>
  <c r="BF54" i="54"/>
  <c r="BF58" i="54"/>
  <c r="BF23" i="54"/>
  <c r="BF56" i="54"/>
  <c r="BF69" i="54"/>
  <c r="BF27" i="54"/>
  <c r="BF53" i="54"/>
  <c r="BF25" i="54"/>
  <c r="BF24" i="54"/>
  <c r="BF62" i="54"/>
  <c r="BF63" i="54"/>
  <c r="BF20" i="54"/>
  <c r="BF38" i="54"/>
  <c r="BF48" i="54"/>
  <c r="BF12" i="54"/>
  <c r="BF6" i="54"/>
  <c r="BF47" i="54"/>
  <c r="BF10" i="54"/>
  <c r="BF26" i="54"/>
  <c r="BF28" i="54"/>
  <c r="BF42" i="54"/>
  <c r="BF61" i="54"/>
  <c r="BF65" i="54"/>
  <c r="BF71" i="54"/>
  <c r="BF55" i="54"/>
  <c r="BF39" i="54"/>
  <c r="BF8" i="54"/>
  <c r="BF72" i="54"/>
  <c r="BF36" i="54"/>
  <c r="BF21" i="54"/>
  <c r="BF43" i="54"/>
  <c r="BF50" i="54"/>
  <c r="BF31" i="54"/>
  <c r="BF19" i="54"/>
  <c r="BF14" i="54"/>
  <c r="BF41" i="54"/>
  <c r="BF49" i="54"/>
  <c r="BF59" i="54"/>
  <c r="BF17" i="54"/>
  <c r="BF16" i="54"/>
  <c r="BF15" i="54"/>
  <c r="BF22" i="54"/>
  <c r="BF30" i="54"/>
  <c r="BF33" i="54"/>
  <c r="BG6" i="54"/>
  <c r="BG49" i="54"/>
  <c r="BG53" i="54"/>
  <c r="BG16" i="54"/>
  <c r="BG27" i="54"/>
  <c r="BG21" i="54"/>
  <c r="BG37" i="54"/>
  <c r="BG54" i="54"/>
  <c r="BG50" i="54"/>
  <c r="BG71" i="54"/>
  <c r="BG26" i="54"/>
  <c r="BG62" i="54"/>
  <c r="BG46" i="54"/>
  <c r="BG43" i="54"/>
  <c r="BG66" i="54"/>
  <c r="BG9" i="54"/>
  <c r="BG70" i="54"/>
  <c r="BG56" i="54"/>
  <c r="BG55" i="54"/>
  <c r="BG47" i="54"/>
  <c r="BG44" i="54"/>
  <c r="BG15" i="54"/>
  <c r="BG61" i="54"/>
  <c r="BG39" i="54"/>
  <c r="BG24" i="54"/>
  <c r="BG58" i="54"/>
  <c r="BG38" i="54"/>
  <c r="BG52" i="54"/>
  <c r="BG33" i="54"/>
  <c r="BG59" i="54"/>
  <c r="BG34" i="54"/>
  <c r="BG42" i="54"/>
  <c r="BG23" i="54"/>
  <c r="BG67" i="54"/>
  <c r="BG30" i="54"/>
  <c r="BG64" i="54"/>
  <c r="BG20" i="54"/>
  <c r="BG22" i="54"/>
  <c r="BG65" i="54"/>
  <c r="BG60" i="54"/>
  <c r="BG14" i="54"/>
  <c r="BG41" i="54"/>
  <c r="BG12" i="54"/>
  <c r="BG19" i="54"/>
  <c r="BG8" i="54"/>
  <c r="BG31" i="54"/>
  <c r="BG13" i="54"/>
  <c r="BG69" i="54"/>
  <c r="BG10" i="54"/>
  <c r="BG36" i="54"/>
  <c r="BG48" i="54"/>
  <c r="BG11" i="54"/>
  <c r="BG57" i="54"/>
  <c r="BG51" i="54"/>
  <c r="BG7" i="54"/>
  <c r="BG40" i="54"/>
  <c r="BG35" i="54"/>
  <c r="BG45" i="54"/>
  <c r="BG68" i="54"/>
  <c r="BG72" i="54"/>
  <c r="BG29" i="54"/>
  <c r="BG25" i="54"/>
  <c r="BG28" i="54"/>
  <c r="BG32" i="54"/>
  <c r="BG17" i="54"/>
  <c r="BG63" i="54"/>
  <c r="BG18" i="54"/>
  <c r="BE71" i="54"/>
  <c r="BE49" i="54"/>
  <c r="BE56" i="54"/>
  <c r="BE64" i="54"/>
  <c r="BE48" i="54"/>
  <c r="BE38" i="54"/>
  <c r="BE53" i="54"/>
  <c r="BE8" i="54"/>
  <c r="BE68" i="54"/>
  <c r="BE10" i="54"/>
  <c r="BE29" i="54"/>
  <c r="BE60" i="54"/>
  <c r="BE65" i="54"/>
  <c r="BE6" i="54"/>
  <c r="BE40" i="54"/>
  <c r="BE35" i="54"/>
  <c r="BE59" i="54"/>
  <c r="BE9" i="54"/>
  <c r="BE41" i="54"/>
  <c r="BE62" i="54"/>
  <c r="BE12" i="54"/>
  <c r="BE67" i="54"/>
  <c r="BE42" i="54"/>
  <c r="BE34" i="54"/>
  <c r="BE47" i="54"/>
  <c r="BE11" i="54"/>
  <c r="BE54" i="54"/>
  <c r="BE44" i="54"/>
  <c r="BE39" i="54"/>
  <c r="BE7" i="54"/>
  <c r="BE18" i="54"/>
  <c r="BE57" i="54"/>
  <c r="BE13" i="54"/>
  <c r="BE27" i="54"/>
  <c r="BE30" i="54"/>
  <c r="BE52" i="54"/>
  <c r="BE51" i="54"/>
  <c r="BE32" i="54"/>
  <c r="BE70" i="54"/>
  <c r="BE33" i="54"/>
  <c r="BE50" i="54"/>
  <c r="BE22" i="54"/>
  <c r="BE45" i="54"/>
  <c r="BE21" i="54"/>
  <c r="BE31" i="54"/>
  <c r="BE26" i="54"/>
  <c r="BE37" i="54"/>
  <c r="BE69" i="54"/>
  <c r="BE28" i="54"/>
  <c r="BE19" i="54"/>
  <c r="BE55" i="54"/>
  <c r="BE25" i="54"/>
  <c r="BE15" i="54"/>
  <c r="BE46" i="54"/>
  <c r="BE58" i="54"/>
  <c r="BE36" i="54"/>
  <c r="BE20" i="54"/>
  <c r="BE24" i="54"/>
  <c r="BE72" i="54"/>
  <c r="BE63" i="54"/>
  <c r="BE61" i="54"/>
  <c r="BE17" i="54"/>
  <c r="BE16" i="54"/>
  <c r="BE43" i="54"/>
  <c r="BE14" i="54"/>
  <c r="BE23" i="54"/>
  <c r="BE66" i="54"/>
  <c r="BH40" i="54"/>
  <c r="BH22" i="54"/>
  <c r="BH15" i="54"/>
  <c r="BH24" i="54"/>
  <c r="BH45" i="54"/>
  <c r="BH8" i="54"/>
  <c r="BH44" i="54"/>
  <c r="BH54" i="54"/>
  <c r="BH51" i="54"/>
  <c r="BH20" i="54"/>
  <c r="BH72" i="54"/>
  <c r="BH52" i="54"/>
  <c r="BH16" i="54"/>
  <c r="BH28" i="54"/>
  <c r="BH7" i="54"/>
  <c r="BH13" i="54"/>
  <c r="BH46" i="54"/>
  <c r="BH29" i="54"/>
  <c r="BH55" i="54"/>
  <c r="BH47" i="54"/>
  <c r="BH11" i="54"/>
  <c r="BH64" i="54"/>
  <c r="BH39" i="54"/>
  <c r="BH30" i="54"/>
  <c r="BH50" i="54"/>
  <c r="BH38" i="54"/>
  <c r="BH56" i="54"/>
  <c r="BH48" i="54"/>
  <c r="BH23" i="54"/>
  <c r="BH63" i="54"/>
  <c r="BH42" i="54"/>
  <c r="BH37" i="54"/>
  <c r="BH53" i="54"/>
  <c r="BH71" i="54"/>
  <c r="BH21" i="54"/>
  <c r="BH35" i="54"/>
  <c r="BH67" i="54"/>
  <c r="BH26" i="54"/>
  <c r="BH25" i="54"/>
  <c r="BH31" i="54"/>
  <c r="BH59" i="54"/>
  <c r="BH12" i="54"/>
  <c r="BH60" i="54"/>
  <c r="BH14" i="54"/>
  <c r="BH33" i="54"/>
  <c r="BH70" i="54"/>
  <c r="BH57" i="54"/>
  <c r="BH18" i="54"/>
  <c r="BH9" i="54"/>
  <c r="BH34" i="54"/>
  <c r="BH17" i="54"/>
  <c r="BH62" i="54"/>
  <c r="BH69" i="54"/>
  <c r="BH43" i="54"/>
  <c r="BH6" i="54"/>
  <c r="BH49" i="54"/>
  <c r="BH27" i="54"/>
  <c r="BH66" i="54"/>
  <c r="BH36" i="54"/>
  <c r="BH65" i="54"/>
  <c r="BH58" i="54"/>
  <c r="BH19" i="54"/>
  <c r="BH32" i="54"/>
  <c r="BH41" i="54"/>
  <c r="BH61" i="54"/>
  <c r="BH10" i="54"/>
  <c r="BH68" i="54"/>
  <c r="S164" i="40"/>
  <c r="T164" i="40"/>
  <c r="U164" i="40" s="1"/>
  <c r="T63" i="54" l="1"/>
  <c r="T62" i="54"/>
  <c r="T61" i="54"/>
  <c r="T56" i="54"/>
  <c r="T58" i="54"/>
  <c r="T57" i="54"/>
  <c r="T60" i="54"/>
  <c r="T59" i="54"/>
  <c r="T55" i="54"/>
  <c r="T54" i="54"/>
  <c r="X61" i="54"/>
  <c r="X63" i="54"/>
  <c r="X62" i="54"/>
  <c r="X55" i="54"/>
  <c r="X58" i="54"/>
  <c r="X57" i="54"/>
  <c r="X60" i="54"/>
  <c r="X54" i="54"/>
  <c r="G62" i="54"/>
  <c r="G61" i="54"/>
  <c r="G63" i="54"/>
  <c r="G54" i="54"/>
  <c r="G60" i="54"/>
  <c r="G57" i="54"/>
  <c r="G56" i="54"/>
  <c r="G55" i="54"/>
  <c r="G59" i="54"/>
  <c r="G58" i="54"/>
  <c r="S61" i="54"/>
  <c r="S62" i="54"/>
  <c r="S63" i="54"/>
  <c r="S57" i="54"/>
  <c r="S59" i="54"/>
  <c r="S54" i="54"/>
  <c r="H63" i="54"/>
  <c r="H61" i="54"/>
  <c r="H62" i="54"/>
  <c r="H55" i="54"/>
  <c r="H54" i="54"/>
  <c r="V63" i="54"/>
  <c r="V61" i="54"/>
  <c r="V62" i="54"/>
  <c r="X56" i="54"/>
  <c r="X59" i="54"/>
  <c r="H56" i="54"/>
  <c r="S55" i="54"/>
  <c r="S60" i="54"/>
  <c r="S56" i="54"/>
  <c r="V59" i="54"/>
  <c r="H58" i="54"/>
  <c r="V58" i="54"/>
  <c r="S58" i="54"/>
  <c r="V55" i="54"/>
  <c r="H59" i="54"/>
  <c r="V57" i="54"/>
  <c r="H57" i="54"/>
  <c r="V54" i="54"/>
  <c r="H60" i="54"/>
  <c r="V56" i="54"/>
  <c r="V60" i="54"/>
  <c r="AY10" i="54"/>
  <c r="AX9" i="54"/>
  <c r="AX10" i="54"/>
  <c r="AY5" i="54"/>
  <c r="AX5" i="54"/>
  <c r="AY6" i="54"/>
  <c r="R165" i="40"/>
  <c r="S165" i="40"/>
  <c r="T165" i="40"/>
  <c r="U165" i="40" s="1"/>
  <c r="AU9" i="54" l="1" a="1"/>
  <c r="AU10" i="54" s="1"/>
  <c r="W28" i="54" s="1"/>
  <c r="AU5" i="54" a="1"/>
  <c r="AU6" i="54" s="1"/>
  <c r="U28" i="54" s="1"/>
  <c r="R166" i="40"/>
  <c r="S166" i="40"/>
  <c r="T166" i="40"/>
  <c r="U166" i="40" s="1"/>
  <c r="AU9" i="54" l="1"/>
  <c r="W29" i="54" s="1"/>
  <c r="AU5" i="54"/>
  <c r="U29" i="54" s="1"/>
  <c r="U35" i="54" s="1"/>
  <c r="BI5" i="54" s="1"/>
  <c r="W35" i="54"/>
  <c r="BK5" i="54" s="1"/>
  <c r="W27" i="54"/>
  <c r="BK1" i="54"/>
  <c r="U27" i="54"/>
  <c r="BI1" i="54"/>
  <c r="R167" i="40"/>
  <c r="Z25" i="54"/>
  <c r="Z26" i="54"/>
  <c r="Z28" i="54" s="1" a="1"/>
  <c r="S167" i="40"/>
  <c r="T167" i="40"/>
  <c r="U167" i="40" s="1"/>
  <c r="U49" i="54"/>
  <c r="U51" i="54"/>
  <c r="U50" i="54"/>
  <c r="U44" i="54"/>
  <c r="U42" i="54"/>
  <c r="U43" i="54"/>
  <c r="U48" i="54"/>
  <c r="U36" i="54"/>
  <c r="U41" i="54"/>
  <c r="U45" i="54"/>
  <c r="U38" i="54"/>
  <c r="U40" i="54"/>
  <c r="U46" i="54"/>
  <c r="U47" i="54"/>
  <c r="U39" i="54"/>
  <c r="U37" i="54"/>
  <c r="BI10" i="54"/>
  <c r="BI11" i="54"/>
  <c r="BI29" i="54"/>
  <c r="BI58" i="54"/>
  <c r="BI54" i="54"/>
  <c r="BI32" i="54"/>
  <c r="BI68" i="54"/>
  <c r="BI71" i="54"/>
  <c r="BI65" i="54"/>
  <c r="BI21" i="54"/>
  <c r="BI34" i="54"/>
  <c r="BI6" i="54"/>
  <c r="BI61" i="54"/>
  <c r="BI23" i="54"/>
  <c r="BI35" i="54"/>
  <c r="BI72" i="54"/>
  <c r="BI20" i="54"/>
  <c r="BI59" i="54"/>
  <c r="BI25" i="54"/>
  <c r="BI28" i="54"/>
  <c r="BI15" i="54"/>
  <c r="BI63" i="54"/>
  <c r="BI42" i="54"/>
  <c r="BI27" i="54"/>
  <c r="BI31" i="54"/>
  <c r="BI67" i="54"/>
  <c r="BI43" i="54"/>
  <c r="BI40" i="54"/>
  <c r="BI64" i="54"/>
  <c r="BI22" i="54"/>
  <c r="BI45" i="54"/>
  <c r="BI7" i="54"/>
  <c r="BI60" i="54"/>
  <c r="BI56" i="54"/>
  <c r="BI14" i="54"/>
  <c r="BI33" i="54"/>
  <c r="BI70" i="54"/>
  <c r="BI8" i="54"/>
  <c r="BI18" i="54"/>
  <c r="BI19" i="54"/>
  <c r="BI47" i="54"/>
  <c r="BI52" i="54"/>
  <c r="BI24" i="54"/>
  <c r="BI37" i="54"/>
  <c r="BI12" i="54"/>
  <c r="BI48" i="54"/>
  <c r="BI16" i="54"/>
  <c r="BI39" i="54"/>
  <c r="BI50" i="54"/>
  <c r="BI36" i="54"/>
  <c r="BI38" i="54"/>
  <c r="BI9" i="54"/>
  <c r="BI62" i="54"/>
  <c r="BI41" i="54"/>
  <c r="BI55" i="54"/>
  <c r="BI53" i="54"/>
  <c r="BI30" i="54"/>
  <c r="BI49" i="54"/>
  <c r="BI44" i="54"/>
  <c r="BI69" i="54"/>
  <c r="BI57" i="54"/>
  <c r="BI26" i="54"/>
  <c r="BI46" i="54"/>
  <c r="BI66" i="54"/>
  <c r="BI51" i="54"/>
  <c r="BI17" i="54"/>
  <c r="BI13" i="54"/>
  <c r="W51" i="54"/>
  <c r="W50" i="54"/>
  <c r="W49" i="54"/>
  <c r="W43" i="54"/>
  <c r="W47" i="54"/>
  <c r="W40" i="54"/>
  <c r="W44" i="54"/>
  <c r="W48" i="54"/>
  <c r="W37" i="54"/>
  <c r="W45" i="54"/>
  <c r="W42" i="54"/>
  <c r="W41" i="54"/>
  <c r="W36" i="54"/>
  <c r="W46" i="54"/>
  <c r="W39" i="54"/>
  <c r="W38" i="54"/>
  <c r="BK16" i="54"/>
  <c r="BK70" i="54"/>
  <c r="BK41" i="54"/>
  <c r="BK45" i="54"/>
  <c r="BK71" i="54"/>
  <c r="BK39" i="54"/>
  <c r="BK9" i="54"/>
  <c r="BK7" i="54"/>
  <c r="BK50" i="54"/>
  <c r="BK66" i="54"/>
  <c r="BK37" i="54"/>
  <c r="BK30" i="54"/>
  <c r="BK56" i="54"/>
  <c r="BK32" i="54"/>
  <c r="BK58" i="54"/>
  <c r="BK20" i="54"/>
  <c r="BK55" i="54"/>
  <c r="BK54" i="54"/>
  <c r="BK27" i="54"/>
  <c r="BK26" i="54"/>
  <c r="BK44" i="54"/>
  <c r="BK15" i="54"/>
  <c r="BK52" i="54"/>
  <c r="BK67" i="54"/>
  <c r="BK64" i="54"/>
  <c r="BK22" i="54"/>
  <c r="BK12" i="54"/>
  <c r="BK14" i="54"/>
  <c r="BK57" i="54"/>
  <c r="BK65" i="54"/>
  <c r="BK38" i="54"/>
  <c r="BK62" i="54"/>
  <c r="BK46" i="54"/>
  <c r="BK21" i="54"/>
  <c r="BK28" i="54"/>
  <c r="BK31" i="54"/>
  <c r="BK8" i="54"/>
  <c r="BK49" i="54"/>
  <c r="BK61" i="54"/>
  <c r="BK34" i="54"/>
  <c r="BK10" i="54"/>
  <c r="BK53" i="54"/>
  <c r="BK47" i="54"/>
  <c r="BK59" i="54"/>
  <c r="BK23" i="54"/>
  <c r="BK35" i="54"/>
  <c r="BK33" i="54"/>
  <c r="BK72" i="54"/>
  <c r="BK36" i="54"/>
  <c r="BK63" i="54"/>
  <c r="BK51" i="54"/>
  <c r="BK60" i="54"/>
  <c r="BK48" i="54"/>
  <c r="BK17" i="54"/>
  <c r="BK11" i="54"/>
  <c r="BK6" i="54"/>
  <c r="BK68" i="54"/>
  <c r="BK43" i="54"/>
  <c r="BK18" i="54"/>
  <c r="BK24" i="54"/>
  <c r="BK40" i="54"/>
  <c r="BK25" i="54"/>
  <c r="BK19" i="54"/>
  <c r="BK13" i="54"/>
  <c r="BK29" i="54"/>
  <c r="BK69" i="54"/>
  <c r="BK42" i="54"/>
  <c r="W58" i="54" l="1"/>
  <c r="W54" i="54"/>
  <c r="W57" i="54"/>
  <c r="W60" i="54"/>
  <c r="W56" i="54"/>
  <c r="W59" i="54"/>
  <c r="W55" i="54"/>
  <c r="W61" i="54"/>
  <c r="W62" i="54"/>
  <c r="W63" i="54"/>
  <c r="U59" i="54"/>
  <c r="U58" i="54"/>
  <c r="U57" i="54"/>
  <c r="U60" i="54"/>
  <c r="U55" i="54"/>
  <c r="U54" i="54"/>
  <c r="U56" i="54"/>
  <c r="U62" i="54"/>
  <c r="U63" i="54"/>
  <c r="U61" i="54"/>
  <c r="Z28" i="54"/>
  <c r="Z29" i="54"/>
  <c r="Z30" i="54"/>
  <c r="Z35" i="54"/>
  <c r="BN5" i="54" s="1"/>
  <c r="R168" i="40"/>
  <c r="Z27" i="54"/>
  <c r="Z36" i="54"/>
  <c r="Z44" i="54"/>
  <c r="Z45" i="54"/>
  <c r="Z47" i="54"/>
  <c r="Z46" i="54"/>
  <c r="Z39" i="54"/>
  <c r="BN1" i="54"/>
  <c r="Z43" i="54"/>
  <c r="Z41" i="54"/>
  <c r="Z42" i="54"/>
  <c r="Z40" i="54"/>
  <c r="Z48" i="54"/>
  <c r="Z38" i="54"/>
  <c r="Z37" i="54"/>
  <c r="Z49" i="54"/>
  <c r="Z50" i="54"/>
  <c r="Z51" i="54"/>
  <c r="BN48" i="54"/>
  <c r="BN17" i="54"/>
  <c r="BN19" i="54"/>
  <c r="BN27" i="54"/>
  <c r="BN43" i="54"/>
  <c r="BN68" i="54"/>
  <c r="BN32" i="54"/>
  <c r="BN12" i="54"/>
  <c r="BN23" i="54"/>
  <c r="BN22" i="54"/>
  <c r="BN46" i="54"/>
  <c r="BN9" i="54"/>
  <c r="BN11" i="54"/>
  <c r="BN6" i="54"/>
  <c r="BN61" i="54"/>
  <c r="BN66" i="54"/>
  <c r="BN72" i="54"/>
  <c r="BN34" i="54"/>
  <c r="BN38" i="54"/>
  <c r="BN56" i="54"/>
  <c r="BN16" i="54"/>
  <c r="BN14" i="54"/>
  <c r="BN47" i="54"/>
  <c r="BN13" i="54"/>
  <c r="BN15" i="54"/>
  <c r="BN8" i="54"/>
  <c r="BN71" i="54"/>
  <c r="BN28" i="54"/>
  <c r="BN10" i="54"/>
  <c r="BN41" i="54"/>
  <c r="BN18" i="54"/>
  <c r="BN45" i="54"/>
  <c r="BN64" i="54"/>
  <c r="BN60" i="54"/>
  <c r="BN70" i="54"/>
  <c r="BN55" i="54"/>
  <c r="BN69" i="54"/>
  <c r="BN52" i="54"/>
  <c r="BN36" i="54"/>
  <c r="BN62" i="54"/>
  <c r="BN59" i="54"/>
  <c r="BN7" i="54"/>
  <c r="BN26" i="54"/>
  <c r="BN51" i="54"/>
  <c r="BN63" i="54"/>
  <c r="BN65" i="54"/>
  <c r="BN31" i="54"/>
  <c r="BN53" i="54"/>
  <c r="BN57" i="54"/>
  <c r="BN35" i="54"/>
  <c r="BN54" i="54"/>
  <c r="BN50" i="54"/>
  <c r="BN67" i="54"/>
  <c r="BN44" i="54"/>
  <c r="BN25" i="54"/>
  <c r="BN39" i="54"/>
  <c r="BN37" i="54"/>
  <c r="BN30" i="54"/>
  <c r="BN42" i="54"/>
  <c r="BN49" i="54"/>
  <c r="BN58" i="54"/>
  <c r="BN40" i="54"/>
  <c r="BN20" i="54"/>
  <c r="BN21" i="54"/>
  <c r="BN24" i="54"/>
  <c r="BN29" i="54"/>
  <c r="BN33" i="54"/>
  <c r="S168" i="40"/>
  <c r="T168" i="40"/>
  <c r="U168" i="40" s="1"/>
  <c r="Z63" i="54" l="1"/>
  <c r="Z62" i="54"/>
  <c r="Z61" i="54"/>
  <c r="Z60" i="54"/>
  <c r="Z54" i="54"/>
  <c r="Z55" i="54"/>
  <c r="Z58" i="54"/>
  <c r="Z59" i="54"/>
  <c r="Z57" i="54"/>
  <c r="Z56" i="54"/>
  <c r="R169" i="40"/>
  <c r="S169" i="40"/>
  <c r="T169" i="40"/>
  <c r="U169" i="40" s="1"/>
  <c r="R170" i="40" l="1"/>
  <c r="S170" i="40"/>
  <c r="T170" i="40"/>
  <c r="U170" i="40" s="1"/>
  <c r="R171" i="40" l="1"/>
  <c r="S171" i="40"/>
  <c r="T171" i="40"/>
  <c r="U171" i="40" s="1"/>
  <c r="R172" i="40" l="1"/>
  <c r="S172" i="40"/>
  <c r="T172" i="40"/>
  <c r="U172" i="40" s="1"/>
  <c r="R173" i="40" l="1"/>
  <c r="S173" i="40"/>
  <c r="T173" i="40"/>
  <c r="U173" i="40" s="1"/>
  <c r="R174" i="40" l="1"/>
  <c r="S174" i="40"/>
  <c r="T174" i="40"/>
  <c r="U174" i="40" s="1"/>
  <c r="R175" i="40" l="1"/>
  <c r="S175" i="40"/>
  <c r="T175" i="40"/>
  <c r="U175" i="40" s="1"/>
  <c r="R176" i="40" l="1"/>
  <c r="S176" i="40"/>
  <c r="T176" i="40"/>
  <c r="U176" i="40" s="1"/>
  <c r="R177" i="40" l="1"/>
  <c r="S177" i="40"/>
  <c r="T177" i="40"/>
  <c r="U177" i="40" s="1"/>
  <c r="R178" i="40"/>
  <c r="S178" i="40"/>
  <c r="T178" i="40"/>
  <c r="U178" i="40" s="1"/>
  <c r="R179" i="40" l="1"/>
  <c r="S179" i="40"/>
  <c r="T179" i="40"/>
  <c r="U179" i="40" s="1"/>
  <c r="R180" i="40" l="1"/>
  <c r="S180" i="40"/>
  <c r="T180" i="40"/>
  <c r="U180" i="40" s="1"/>
  <c r="R181" i="40" l="1"/>
  <c r="S181" i="40"/>
  <c r="T181" i="40"/>
  <c r="U181" i="40" s="1"/>
  <c r="R182" i="40" l="1"/>
  <c r="S182" i="40"/>
  <c r="T182" i="40"/>
  <c r="U182" i="40" s="1"/>
  <c r="R183" i="40" l="1"/>
  <c r="S183" i="40"/>
  <c r="T183" i="40"/>
  <c r="U183" i="40" s="1"/>
  <c r="R184" i="40" l="1"/>
  <c r="S184" i="40"/>
  <c r="T184" i="40"/>
  <c r="U184" i="40" s="1"/>
  <c r="R185" i="40" l="1"/>
  <c r="S185" i="40"/>
  <c r="T185" i="40"/>
  <c r="U185" i="40" s="1"/>
  <c r="R186" i="40" l="1"/>
  <c r="S186" i="40"/>
  <c r="T186" i="40"/>
  <c r="U186" i="40" s="1"/>
  <c r="R187" i="40" l="1"/>
  <c r="S187" i="40"/>
  <c r="T187" i="40"/>
  <c r="U187" i="40" s="1"/>
  <c r="R188" i="40" l="1"/>
  <c r="S188" i="40"/>
  <c r="T188" i="40"/>
  <c r="U188" i="40" s="1"/>
  <c r="R189" i="40" l="1"/>
  <c r="S189" i="40"/>
  <c r="T189" i="40"/>
  <c r="U189" i="40" s="1"/>
  <c r="R190" i="40" l="1"/>
  <c r="S190" i="40"/>
  <c r="T190" i="40"/>
  <c r="U190" i="40" s="1"/>
  <c r="R191" i="40" l="1"/>
  <c r="S191" i="40"/>
  <c r="T191" i="40"/>
  <c r="U191" i="40" s="1"/>
  <c r="R192" i="40" l="1"/>
  <c r="S192" i="40"/>
  <c r="T192" i="40"/>
  <c r="U192" i="40" s="1"/>
  <c r="R193" i="40" l="1"/>
  <c r="S193" i="40"/>
  <c r="T193" i="40"/>
  <c r="U193" i="40" s="1"/>
  <c r="R194" i="40" l="1"/>
  <c r="S194" i="40"/>
  <c r="T194" i="40"/>
  <c r="U194" i="40" s="1"/>
  <c r="R195" i="40" l="1"/>
  <c r="S195" i="40"/>
  <c r="T195" i="40"/>
  <c r="U195" i="40" s="1"/>
  <c r="R196" i="40" l="1"/>
  <c r="S196" i="40"/>
  <c r="T196" i="40"/>
  <c r="U196" i="40" s="1"/>
  <c r="R197" i="40" l="1"/>
  <c r="S197" i="40"/>
  <c r="T197" i="40"/>
  <c r="U197" i="40" s="1"/>
  <c r="R198" i="40" l="1"/>
  <c r="S198" i="40"/>
  <c r="T198" i="40"/>
  <c r="U198" i="40" s="1"/>
  <c r="R199" i="40" l="1"/>
  <c r="S199" i="40"/>
  <c r="T199" i="40"/>
  <c r="U199" i="40" s="1"/>
  <c r="R200" i="40" l="1"/>
  <c r="S200" i="40"/>
  <c r="T200" i="40"/>
  <c r="U200" i="40" s="1"/>
  <c r="R201" i="40" l="1"/>
  <c r="S201" i="40"/>
  <c r="T201" i="40"/>
  <c r="U201" i="40" s="1"/>
  <c r="R202" i="40"/>
  <c r="S202" i="40"/>
  <c r="T202" i="40"/>
  <c r="U202" i="40" s="1"/>
  <c r="R203" i="40" l="1"/>
  <c r="S203" i="40"/>
  <c r="T203" i="40"/>
  <c r="U203" i="40" s="1"/>
  <c r="R204" i="40" l="1"/>
  <c r="S204" i="40"/>
  <c r="T204" i="40"/>
  <c r="U204" i="40" s="1"/>
  <c r="R205" i="40" l="1"/>
  <c r="S205" i="40"/>
  <c r="T205" i="40"/>
  <c r="U205" i="40" s="1"/>
  <c r="R206" i="40"/>
  <c r="S206" i="40"/>
  <c r="T206" i="40"/>
  <c r="U206" i="40" s="1"/>
  <c r="R207" i="40" l="1"/>
  <c r="S207" i="40"/>
  <c r="T207" i="40"/>
  <c r="U207" i="40" s="1"/>
  <c r="R208" i="40" l="1"/>
  <c r="S208" i="40"/>
  <c r="T208" i="40"/>
  <c r="U208" i="40" s="1"/>
  <c r="R209" i="40" l="1"/>
  <c r="S209" i="40"/>
  <c r="T209" i="40"/>
  <c r="U209" i="40" s="1"/>
  <c r="R210" i="40" l="1"/>
  <c r="S210" i="40"/>
  <c r="T210" i="40"/>
  <c r="U210" i="40" s="1"/>
  <c r="R211" i="40" l="1"/>
  <c r="S211" i="40"/>
  <c r="T211" i="40"/>
  <c r="U211" i="40" s="1"/>
  <c r="R212" i="40" l="1"/>
  <c r="S212" i="40"/>
  <c r="T212" i="40"/>
  <c r="U212" i="40" s="1"/>
  <c r="R213" i="40" l="1"/>
  <c r="S213" i="40"/>
  <c r="T213" i="40"/>
  <c r="U213" i="40" s="1"/>
  <c r="R214" i="40" l="1"/>
  <c r="S214" i="40"/>
  <c r="T214" i="40"/>
  <c r="U214" i="40" s="1"/>
  <c r="R215" i="40" l="1"/>
  <c r="S215" i="40"/>
  <c r="T215" i="40"/>
  <c r="U215" i="40" s="1"/>
  <c r="R216" i="40" l="1"/>
  <c r="S216" i="40"/>
  <c r="T216" i="40"/>
  <c r="U216" i="40" s="1"/>
  <c r="R217" i="40" l="1"/>
  <c r="S217" i="40"/>
  <c r="T217" i="40"/>
  <c r="U217" i="40" s="1"/>
  <c r="R218" i="40" l="1"/>
  <c r="S218" i="40"/>
  <c r="T218" i="40"/>
  <c r="U218" i="40" s="1"/>
  <c r="R219" i="40" l="1"/>
  <c r="S219" i="40"/>
  <c r="T219" i="40"/>
  <c r="U219" i="40" s="1"/>
  <c r="R220" i="40" l="1"/>
  <c r="S220" i="40"/>
  <c r="T220" i="40"/>
  <c r="U220" i="40" s="1"/>
  <c r="R221" i="40" l="1"/>
  <c r="S221" i="40"/>
  <c r="T221" i="40"/>
  <c r="U221" i="40" s="1"/>
  <c r="R222" i="40" l="1"/>
  <c r="S222" i="40"/>
  <c r="T222" i="40"/>
  <c r="U222" i="40" s="1"/>
  <c r="R223" i="40" l="1"/>
  <c r="S223" i="40"/>
  <c r="T223" i="40"/>
  <c r="U223" i="40" s="1"/>
  <c r="R224" i="40" l="1"/>
  <c r="S224" i="40"/>
  <c r="T224" i="40"/>
  <c r="U224" i="40" s="1"/>
  <c r="R225" i="40" l="1"/>
  <c r="S225" i="40"/>
  <c r="T225" i="40"/>
  <c r="U225" i="40" s="1"/>
  <c r="R226" i="40" l="1"/>
  <c r="S226" i="40"/>
  <c r="T226" i="40"/>
  <c r="U226" i="40" s="1"/>
  <c r="R227" i="40" l="1"/>
  <c r="S227" i="40"/>
  <c r="T227" i="40"/>
  <c r="U227" i="40" s="1"/>
  <c r="R228" i="40" l="1"/>
  <c r="S228" i="40"/>
  <c r="T228" i="40"/>
  <c r="U228" i="40" s="1"/>
  <c r="R229" i="40" l="1"/>
  <c r="S229" i="40"/>
  <c r="T229" i="40"/>
  <c r="U229" i="40" s="1"/>
  <c r="R230" i="40"/>
  <c r="S230" i="40"/>
  <c r="T230" i="40"/>
  <c r="U230" i="40" s="1"/>
  <c r="R231" i="40" l="1"/>
  <c r="S231" i="40"/>
  <c r="T231" i="40"/>
  <c r="U231" i="40" s="1"/>
  <c r="R232" i="40" l="1"/>
  <c r="S232" i="40"/>
  <c r="T232" i="40"/>
  <c r="U232" i="40" s="1"/>
  <c r="R233" i="40" l="1"/>
  <c r="S233" i="40"/>
  <c r="T233" i="40"/>
  <c r="U233" i="40" s="1"/>
  <c r="R234" i="40" l="1"/>
  <c r="S234" i="40"/>
  <c r="T234" i="40"/>
  <c r="U234" i="40" s="1"/>
  <c r="R235" i="40" l="1"/>
  <c r="S235" i="40"/>
  <c r="T235" i="40"/>
  <c r="U235" i="40" s="1"/>
  <c r="R236" i="40" l="1"/>
  <c r="S236" i="40"/>
  <c r="T236" i="40"/>
  <c r="U236" i="40" s="1"/>
  <c r="R237" i="40" l="1"/>
  <c r="S237" i="40"/>
  <c r="T237" i="40"/>
  <c r="U237" i="40" s="1"/>
  <c r="R238" i="40" l="1"/>
  <c r="S238" i="40"/>
  <c r="T238" i="40"/>
  <c r="U238" i="40" s="1"/>
  <c r="R239" i="40" l="1"/>
  <c r="S239" i="40"/>
  <c r="T239" i="40"/>
  <c r="U239" i="40" s="1"/>
  <c r="R240" i="40" l="1"/>
  <c r="S240" i="40"/>
  <c r="T240" i="40"/>
  <c r="U240" i="40" s="1"/>
  <c r="R241" i="40" l="1"/>
  <c r="S241" i="40"/>
  <c r="T241" i="40"/>
  <c r="U241" i="40" s="1"/>
  <c r="R242" i="40" l="1"/>
  <c r="S242" i="40"/>
  <c r="T242" i="40"/>
  <c r="U242" i="40" s="1"/>
  <c r="R243" i="40" l="1"/>
  <c r="S243" i="40"/>
  <c r="T243" i="40"/>
  <c r="U243" i="40" s="1"/>
  <c r="R244" i="40" l="1"/>
  <c r="S244" i="40"/>
  <c r="T244" i="40"/>
  <c r="U244" i="40" s="1"/>
  <c r="R245" i="40" l="1"/>
  <c r="S245" i="40"/>
  <c r="T245" i="40"/>
  <c r="U245" i="40" s="1"/>
  <c r="R246" i="40" l="1"/>
  <c r="S246" i="40"/>
  <c r="T246" i="40"/>
  <c r="U246" i="40" s="1"/>
  <c r="R247" i="40" l="1"/>
  <c r="S247" i="40"/>
  <c r="T247" i="40"/>
  <c r="U247" i="40" s="1"/>
  <c r="R248" i="40" l="1"/>
  <c r="S248" i="40"/>
  <c r="T248" i="40"/>
  <c r="U248" i="40" s="1"/>
  <c r="R249" i="40" l="1"/>
  <c r="S249" i="40"/>
  <c r="T249" i="40"/>
  <c r="U249" i="40" s="1"/>
  <c r="R250" i="40" l="1"/>
  <c r="S250" i="40"/>
  <c r="T250" i="40"/>
  <c r="U250" i="40" s="1"/>
  <c r="R251" i="40" l="1"/>
  <c r="S251" i="40"/>
  <c r="T251" i="40"/>
  <c r="U251" i="40" s="1"/>
  <c r="R252" i="40" l="1"/>
  <c r="S252" i="40"/>
  <c r="T252" i="40"/>
  <c r="U252" i="40" s="1"/>
  <c r="R253" i="40" l="1"/>
  <c r="S253" i="40"/>
  <c r="T253" i="40"/>
  <c r="U253" i="40" s="1"/>
  <c r="R254" i="40" l="1"/>
  <c r="S254" i="40"/>
  <c r="T254" i="40"/>
  <c r="U254" i="40" s="1"/>
  <c r="R255" i="40" l="1"/>
  <c r="S255" i="40"/>
  <c r="T255" i="40"/>
  <c r="U255" i="40" s="1"/>
  <c r="R256" i="40" l="1"/>
  <c r="S256" i="40"/>
  <c r="T256" i="40"/>
  <c r="U256" i="40" s="1"/>
  <c r="R257" i="40" l="1"/>
  <c r="S257" i="40"/>
  <c r="T257" i="40"/>
  <c r="U257" i="40" s="1"/>
  <c r="R258" i="40" l="1"/>
  <c r="S258" i="40"/>
  <c r="T258" i="40"/>
  <c r="U258" i="40" s="1"/>
  <c r="R259" i="40" l="1"/>
  <c r="S259" i="40"/>
  <c r="T259" i="40"/>
  <c r="U259" i="40" s="1"/>
  <c r="R260" i="40" l="1"/>
  <c r="S260" i="40"/>
  <c r="T260" i="40"/>
  <c r="U260" i="40" s="1"/>
  <c r="R261" i="40" l="1"/>
  <c r="S261" i="40"/>
  <c r="T261" i="40"/>
  <c r="U261" i="40" s="1"/>
  <c r="R262" i="40" l="1"/>
  <c r="S262" i="40"/>
  <c r="T262" i="40"/>
  <c r="U262" i="40" s="1"/>
  <c r="P3" i="55" l="1"/>
  <c r="L3" i="55"/>
  <c r="L4" i="55"/>
  <c r="L7" i="55"/>
  <c r="L6" i="55"/>
  <c r="L5" i="55"/>
  <c r="L8" i="55"/>
  <c r="L9" i="55"/>
  <c r="L10" i="55"/>
  <c r="L11" i="55"/>
  <c r="L12" i="55"/>
  <c r="L13" i="55"/>
  <c r="L14" i="55"/>
  <c r="L15" i="55"/>
  <c r="L16" i="55"/>
  <c r="L17" i="55"/>
  <c r="AA23" i="55"/>
  <c r="AA22" i="55"/>
  <c r="AA25" i="55"/>
  <c r="AA17" i="55"/>
  <c r="AA19" i="55"/>
  <c r="AA26" i="55"/>
  <c r="AA30" i="55"/>
  <c r="AA24" i="55"/>
  <c r="AA18" i="55"/>
  <c r="AA28" i="55"/>
  <c r="AA20" i="55"/>
  <c r="AA15" i="55"/>
  <c r="AA27" i="55"/>
  <c r="AA16" i="55"/>
  <c r="AA29" i="55"/>
  <c r="AA21" i="55"/>
  <c r="P6" i="55" a="1"/>
  <c r="P13" i="55" a="1"/>
  <c r="S3" i="55"/>
  <c r="S255" i="55"/>
  <c r="S227" i="55"/>
  <c r="S195" i="55"/>
  <c r="S163" i="55"/>
  <c r="S131" i="55"/>
  <c r="S99" i="55"/>
  <c r="S51" i="55"/>
  <c r="S19" i="55"/>
  <c r="S251" i="55"/>
  <c r="S210" i="55"/>
  <c r="S178" i="55"/>
  <c r="S146" i="55"/>
  <c r="S114" i="55"/>
  <c r="S66" i="55"/>
  <c r="S145" i="55"/>
  <c r="S241" i="55"/>
  <c r="S211" i="55"/>
  <c r="S179" i="55"/>
  <c r="S147" i="55"/>
  <c r="S115" i="55"/>
  <c r="S83" i="55"/>
  <c r="S67" i="55"/>
  <c r="S35" i="55"/>
  <c r="S240" i="55"/>
  <c r="S226" i="55"/>
  <c r="S194" i="55"/>
  <c r="S162" i="55"/>
  <c r="S130" i="55"/>
  <c r="S98" i="55"/>
  <c r="S82" i="55"/>
  <c r="S50" i="55"/>
  <c r="S34" i="55"/>
  <c r="S18" i="55"/>
  <c r="S250" i="55"/>
  <c r="S239" i="55"/>
  <c r="S225" i="55"/>
  <c r="S209" i="55"/>
  <c r="S193" i="55"/>
  <c r="S177" i="55"/>
  <c r="S161" i="55"/>
  <c r="S129" i="55"/>
  <c r="S113" i="55"/>
  <c r="S97" i="55"/>
  <c r="S81" i="55"/>
  <c r="S65" i="55"/>
  <c r="S49" i="55"/>
  <c r="S33" i="55"/>
  <c r="S17" i="55"/>
  <c r="S249" i="55"/>
  <c r="S235" i="55"/>
  <c r="S224" i="55"/>
  <c r="S208" i="55"/>
  <c r="S192" i="55"/>
  <c r="S176" i="55"/>
  <c r="S160" i="55"/>
  <c r="S144" i="55"/>
  <c r="S128" i="55"/>
  <c r="S112" i="55"/>
  <c r="S96" i="55"/>
  <c r="S80" i="55"/>
  <c r="S64" i="55"/>
  <c r="S48" i="55"/>
  <c r="S32" i="55"/>
  <c r="S16" i="55"/>
  <c r="S259" i="55"/>
  <c r="S248" i="55"/>
  <c r="S234" i="55"/>
  <c r="S219" i="55"/>
  <c r="S203" i="55"/>
  <c r="S187" i="55"/>
  <c r="S171" i="55"/>
  <c r="S155" i="55"/>
  <c r="S139" i="55"/>
  <c r="S123" i="55"/>
  <c r="S107" i="55"/>
  <c r="S91" i="55"/>
  <c r="S75" i="55"/>
  <c r="S59" i="55"/>
  <c r="S43" i="55"/>
  <c r="S27" i="55"/>
  <c r="S11" i="55"/>
  <c r="S258" i="55"/>
  <c r="S247" i="55"/>
  <c r="S233" i="55"/>
  <c r="S218" i="55"/>
  <c r="S202" i="55"/>
  <c r="S186" i="55"/>
  <c r="S170" i="55"/>
  <c r="S154" i="55"/>
  <c r="S138" i="55"/>
  <c r="S122" i="55"/>
  <c r="S106" i="55"/>
  <c r="S90" i="55"/>
  <c r="S74" i="55"/>
  <c r="S58" i="55"/>
  <c r="S42" i="55"/>
  <c r="S26" i="55"/>
  <c r="S10" i="55"/>
  <c r="S257" i="55"/>
  <c r="S243" i="55"/>
  <c r="S232" i="55"/>
  <c r="S217" i="55"/>
  <c r="S201" i="55"/>
  <c r="S185" i="55"/>
  <c r="S169" i="55"/>
  <c r="S153" i="55"/>
  <c r="S137" i="55"/>
  <c r="S121" i="55"/>
  <c r="S105" i="55"/>
  <c r="S89" i="55"/>
  <c r="S73" i="55"/>
  <c r="S57" i="55"/>
  <c r="S41" i="55"/>
  <c r="S25" i="55"/>
  <c r="S9" i="55"/>
  <c r="S256" i="55"/>
  <c r="S242" i="55"/>
  <c r="S231" i="55"/>
  <c r="S216" i="55"/>
  <c r="S200" i="55"/>
  <c r="S184" i="55"/>
  <c r="S168" i="55"/>
  <c r="S152" i="55"/>
  <c r="S136" i="55"/>
  <c r="S120" i="55"/>
  <c r="S104" i="55"/>
  <c r="S88" i="55"/>
  <c r="S72" i="55"/>
  <c r="S56" i="55"/>
  <c r="S40" i="55"/>
  <c r="S24" i="55"/>
  <c r="S8" i="55"/>
  <c r="S223" i="55"/>
  <c r="S215" i="55"/>
  <c r="S207" i="55"/>
  <c r="S199" i="55"/>
  <c r="S191" i="55"/>
  <c r="S183" i="55"/>
  <c r="S175" i="55"/>
  <c r="S167" i="55"/>
  <c r="S159" i="55"/>
  <c r="S151" i="55"/>
  <c r="S143" i="55"/>
  <c r="S135" i="55"/>
  <c r="S127" i="55"/>
  <c r="S119" i="55"/>
  <c r="S111" i="55"/>
  <c r="S103" i="55"/>
  <c r="S95" i="55"/>
  <c r="S87" i="55"/>
  <c r="S79" i="55"/>
  <c r="S71" i="55"/>
  <c r="S63" i="55"/>
  <c r="S55" i="55"/>
  <c r="S47" i="55"/>
  <c r="S39" i="55"/>
  <c r="S31" i="55"/>
  <c r="S23" i="55"/>
  <c r="S15" i="55"/>
  <c r="S7" i="55"/>
  <c r="S262" i="55"/>
  <c r="S254" i="55"/>
  <c r="S246" i="55"/>
  <c r="S238" i="55"/>
  <c r="S230" i="55"/>
  <c r="S222" i="55"/>
  <c r="S214" i="55"/>
  <c r="S206" i="55"/>
  <c r="S198" i="55"/>
  <c r="S190" i="55"/>
  <c r="S182" i="55"/>
  <c r="S174" i="55"/>
  <c r="S166" i="55"/>
  <c r="S158" i="55"/>
  <c r="S150" i="55"/>
  <c r="S142" i="55"/>
  <c r="S134" i="55"/>
  <c r="S126" i="55"/>
  <c r="S118" i="55"/>
  <c r="S110" i="55"/>
  <c r="S102" i="55"/>
  <c r="S94" i="55"/>
  <c r="S86" i="55"/>
  <c r="S78" i="55"/>
  <c r="S70" i="55"/>
  <c r="S62" i="55"/>
  <c r="S54" i="55"/>
  <c r="S46" i="55"/>
  <c r="S38" i="55"/>
  <c r="S30" i="55"/>
  <c r="S22" i="55"/>
  <c r="S14" i="55"/>
  <c r="S6" i="55"/>
  <c r="S261" i="55"/>
  <c r="S253" i="55"/>
  <c r="S245" i="55"/>
  <c r="S237" i="55"/>
  <c r="S229" i="55"/>
  <c r="S221" i="55"/>
  <c r="S213" i="55"/>
  <c r="S205" i="55"/>
  <c r="S197" i="55"/>
  <c r="S189" i="55"/>
  <c r="S181" i="55"/>
  <c r="S173" i="55"/>
  <c r="S165" i="55"/>
  <c r="S157" i="55"/>
  <c r="S149" i="55"/>
  <c r="S141" i="55"/>
  <c r="S133" i="55"/>
  <c r="S125" i="55"/>
  <c r="S117" i="55"/>
  <c r="S109" i="55"/>
  <c r="S101" i="55"/>
  <c r="S93" i="55"/>
  <c r="S85" i="55"/>
  <c r="S77" i="55"/>
  <c r="S69" i="55"/>
  <c r="S61" i="55"/>
  <c r="S53" i="55"/>
  <c r="S45" i="55"/>
  <c r="S37" i="55"/>
  <c r="S29" i="55"/>
  <c r="S21" i="55"/>
  <c r="S13" i="55"/>
  <c r="S5" i="55"/>
  <c r="S260" i="55"/>
  <c r="S252" i="55"/>
  <c r="S244" i="55"/>
  <c r="S236" i="55"/>
  <c r="S228" i="55"/>
  <c r="S220" i="55"/>
  <c r="S212" i="55"/>
  <c r="S204" i="55"/>
  <c r="S196" i="55"/>
  <c r="S188" i="55"/>
  <c r="S180" i="55"/>
  <c r="S172" i="55"/>
  <c r="S164" i="55"/>
  <c r="S156" i="55"/>
  <c r="S148" i="55"/>
  <c r="S140" i="55"/>
  <c r="S132" i="55"/>
  <c r="S124" i="55"/>
  <c r="S116" i="55"/>
  <c r="S108" i="55"/>
  <c r="S100" i="55"/>
  <c r="S92" i="55"/>
  <c r="S84" i="55"/>
  <c r="S76" i="55"/>
  <c r="S68" i="55"/>
  <c r="S60" i="55"/>
  <c r="S52" i="55"/>
  <c r="S44" i="55"/>
  <c r="S36" i="55"/>
  <c r="S28" i="55"/>
  <c r="S20" i="55"/>
  <c r="S12" i="55"/>
  <c r="S4" i="55"/>
  <c r="F3" i="55"/>
  <c r="AC42" i="56" l="1"/>
  <c r="AC50" i="56"/>
  <c r="AC37" i="56"/>
  <c r="AC48" i="56"/>
  <c r="AC36" i="56"/>
  <c r="AC41" i="56"/>
  <c r="AC49" i="56"/>
  <c r="AC39" i="56"/>
  <c r="AC45" i="56"/>
  <c r="AC51" i="56"/>
  <c r="AC66" i="56" s="1"/>
  <c r="AC47" i="56"/>
  <c r="AC40" i="56"/>
  <c r="AC38" i="56"/>
  <c r="AC46" i="56"/>
  <c r="AC43" i="56"/>
  <c r="AC44" i="56"/>
  <c r="P13" i="55"/>
  <c r="P14" i="55"/>
  <c r="P15" i="55"/>
  <c r="P16" i="55"/>
  <c r="P17" i="55"/>
  <c r="P9" i="55"/>
  <c r="P10" i="55"/>
  <c r="P6" i="55"/>
  <c r="P7" i="55"/>
  <c r="P8" i="55"/>
  <c r="M17" i="55"/>
  <c r="M16" i="55"/>
  <c r="M15" i="55"/>
  <c r="M14" i="55"/>
  <c r="M13" i="55"/>
  <c r="M12" i="55"/>
  <c r="M11" i="55"/>
  <c r="M10" i="55"/>
  <c r="M9" i="55"/>
  <c r="M8" i="55"/>
  <c r="M5" i="55"/>
  <c r="M6" i="55"/>
  <c r="M7" i="55"/>
  <c r="M4" i="55"/>
  <c r="I3" i="55"/>
  <c r="AB25" i="54"/>
  <c r="AA25" i="54"/>
  <c r="AA26" i="54"/>
  <c r="Y25" i="54"/>
  <c r="Y26" i="54"/>
  <c r="AA28" i="54" a="1"/>
  <c r="AB26" i="54"/>
  <c r="AB28" i="54" a="1"/>
  <c r="Y28" i="54" a="1"/>
  <c r="AB28" i="54"/>
  <c r="AB29" i="54"/>
  <c r="AB30" i="54"/>
  <c r="AA28" i="54"/>
  <c r="AA29" i="54"/>
  <c r="Y28" i="54"/>
  <c r="Y29" i="54"/>
  <c r="AB27" i="54"/>
  <c r="AB50" i="54"/>
  <c r="AB35" i="54" l="1"/>
  <c r="BP5" i="54" s="1"/>
  <c r="AA35" i="54"/>
  <c r="BO5" i="54" s="1"/>
  <c r="AB62" i="54"/>
  <c r="AB51" i="54"/>
  <c r="AB63" i="54"/>
  <c r="AB49" i="54"/>
  <c r="AB61" i="54"/>
  <c r="AB48" i="54"/>
  <c r="AB60" i="54"/>
  <c r="AB40" i="54"/>
  <c r="AA27" i="54"/>
  <c r="AA45" i="54"/>
  <c r="AA57" i="54"/>
  <c r="AA51" i="54"/>
  <c r="AA63" i="54"/>
  <c r="AA49" i="54"/>
  <c r="AA61" i="54"/>
  <c r="AA50" i="54"/>
  <c r="AA62" i="54"/>
  <c r="AA36" i="54"/>
  <c r="AA38" i="54"/>
  <c r="BO1" i="54"/>
  <c r="BO72" i="54"/>
  <c r="BO19" i="54"/>
  <c r="BO24" i="54"/>
  <c r="BO59" i="54"/>
  <c r="BO27" i="54"/>
  <c r="BO38" i="54"/>
  <c r="BO66" i="54"/>
  <c r="BO11" i="54"/>
  <c r="BO48" i="54"/>
  <c r="BO69" i="54"/>
  <c r="BO39" i="54"/>
  <c r="BO56" i="54"/>
  <c r="BO10" i="54"/>
  <c r="BO60" i="54"/>
  <c r="BO8" i="54"/>
  <c r="BO41" i="54"/>
  <c r="BO23" i="54"/>
  <c r="BO57" i="54"/>
  <c r="BO70" i="54"/>
  <c r="BO34" i="54"/>
  <c r="BO29" i="54"/>
  <c r="AB38" i="54"/>
  <c r="BO30" i="54"/>
  <c r="BO13" i="54"/>
  <c r="BO33" i="54"/>
  <c r="AB36" i="54"/>
  <c r="BO68" i="54"/>
  <c r="BO49" i="54"/>
  <c r="AB47" i="54"/>
  <c r="AB59" i="54"/>
  <c r="AB45" i="54"/>
  <c r="AB57" i="54"/>
  <c r="AB43" i="54"/>
  <c r="AB55" i="54"/>
  <c r="AA44" i="54"/>
  <c r="AA56" i="54"/>
  <c r="BO54" i="54"/>
  <c r="BO18" i="54"/>
  <c r="BO45" i="54"/>
  <c r="BO14" i="54"/>
  <c r="BO67" i="54"/>
  <c r="BO12" i="54"/>
  <c r="BO44" i="54"/>
  <c r="BO61" i="54"/>
  <c r="AA42" i="54"/>
  <c r="AA54" i="54"/>
  <c r="AB39" i="54"/>
  <c r="AB37" i="54"/>
  <c r="AA47" i="54"/>
  <c r="AA59" i="54"/>
  <c r="BO42" i="54"/>
  <c r="BO16" i="54"/>
  <c r="AA46" i="54"/>
  <c r="AA58" i="54"/>
  <c r="AB42" i="54"/>
  <c r="AB54" i="54"/>
  <c r="AA41" i="54"/>
  <c r="BO6" i="54"/>
  <c r="BO20" i="54"/>
  <c r="BP1" i="54"/>
  <c r="BP48" i="54"/>
  <c r="BP68" i="54"/>
  <c r="BP67" i="54"/>
  <c r="BP43" i="54"/>
  <c r="BP59" i="54"/>
  <c r="BP71" i="54"/>
  <c r="BP62" i="54"/>
  <c r="BP14" i="54"/>
  <c r="BP49" i="54"/>
  <c r="BP33" i="54"/>
  <c r="BP12" i="54"/>
  <c r="BP18" i="54"/>
  <c r="BP64" i="54"/>
  <c r="BP26" i="54"/>
  <c r="BP38" i="54"/>
  <c r="BP39" i="54"/>
  <c r="BP24" i="54"/>
  <c r="BP57" i="54"/>
  <c r="BP53" i="54"/>
  <c r="BP32" i="54"/>
  <c r="BP30" i="54"/>
  <c r="BP72" i="54"/>
  <c r="BP28" i="54"/>
  <c r="BP17" i="54"/>
  <c r="BP69" i="54"/>
  <c r="BP27" i="54"/>
  <c r="BP8" i="54"/>
  <c r="BP10" i="54"/>
  <c r="BP46" i="54"/>
  <c r="BP22" i="54"/>
  <c r="BP37" i="54"/>
  <c r="BP55" i="54"/>
  <c r="BP66" i="54"/>
  <c r="BP60" i="54"/>
  <c r="BP61" i="54"/>
  <c r="BP29" i="54"/>
  <c r="BP25" i="54"/>
  <c r="BP45" i="54"/>
  <c r="BP58" i="54"/>
  <c r="BP9" i="54"/>
  <c r="BP15" i="54"/>
  <c r="AB41" i="54"/>
  <c r="BO40" i="54"/>
  <c r="BO28" i="54"/>
  <c r="BO63" i="54"/>
  <c r="BP6" i="54"/>
  <c r="BP19" i="54"/>
  <c r="AA43" i="54"/>
  <c r="AA55" i="54"/>
  <c r="BO9" i="54"/>
  <c r="BO31" i="54"/>
  <c r="BP20" i="54"/>
  <c r="BP44" i="54"/>
  <c r="BO37" i="54"/>
  <c r="BO47" i="54"/>
  <c r="BP47" i="54"/>
  <c r="BP70" i="54"/>
  <c r="BO46" i="54"/>
  <c r="BO71" i="54"/>
  <c r="BO62" i="54"/>
  <c r="BP41" i="54"/>
  <c r="BP51" i="54"/>
  <c r="BP65" i="54"/>
  <c r="BO17" i="54"/>
  <c r="BO22" i="54"/>
  <c r="BO55" i="54"/>
  <c r="BP40" i="54"/>
  <c r="BP11" i="54"/>
  <c r="AB44" i="54"/>
  <c r="AB56" i="54"/>
  <c r="BO26" i="54"/>
  <c r="BO15" i="54"/>
  <c r="AA48" i="54"/>
  <c r="AA60" i="54"/>
  <c r="BP31" i="54"/>
  <c r="BP23" i="54"/>
  <c r="BP50" i="54"/>
  <c r="AA39" i="54"/>
  <c r="BO51" i="54"/>
  <c r="BO25" i="54"/>
  <c r="BP36" i="54"/>
  <c r="BP13" i="54"/>
  <c r="BP54" i="54"/>
  <c r="AB46" i="54"/>
  <c r="AB58" i="54"/>
  <c r="BO43" i="54"/>
  <c r="BO21" i="54"/>
  <c r="BO52" i="54"/>
  <c r="BP7" i="54"/>
  <c r="BP35" i="54"/>
  <c r="BP63" i="54"/>
  <c r="BO7" i="54"/>
  <c r="BO53" i="54"/>
  <c r="BO58" i="54"/>
  <c r="BP42" i="54"/>
  <c r="BP52" i="54"/>
  <c r="AA40" i="54"/>
  <c r="BO50" i="54"/>
  <c r="BO35" i="54"/>
  <c r="BO64" i="54"/>
  <c r="BP34" i="54"/>
  <c r="BP21" i="54"/>
  <c r="BO36" i="54"/>
  <c r="BP56" i="54"/>
  <c r="BO65" i="54"/>
  <c r="AA37" i="54"/>
  <c r="BP16" i="54"/>
  <c r="BO32" i="54"/>
  <c r="Y35" i="54"/>
  <c r="BM5" i="54" s="1"/>
  <c r="Y27" i="54"/>
  <c r="Y46" i="54"/>
  <c r="Y58" i="54"/>
  <c r="Y39" i="54"/>
  <c r="Y40" i="54"/>
  <c r="Y43" i="54"/>
  <c r="Y55" i="54"/>
  <c r="Y38" i="54"/>
  <c r="Y42" i="54"/>
  <c r="Y54" i="54"/>
  <c r="Y37" i="54"/>
  <c r="Y51" i="54"/>
  <c r="Y63" i="54"/>
  <c r="Y49" i="54"/>
  <c r="Y61" i="54"/>
  <c r="Y50" i="54"/>
  <c r="Y62" i="54"/>
  <c r="Y41" i="54"/>
  <c r="BM1" i="54"/>
  <c r="BM56" i="54"/>
  <c r="BM12" i="54"/>
  <c r="BM69" i="54"/>
  <c r="BM58" i="54"/>
  <c r="BM70" i="54"/>
  <c r="BM17" i="54"/>
  <c r="BM10" i="54"/>
  <c r="BM30" i="54"/>
  <c r="BM26" i="54"/>
  <c r="BM24" i="54"/>
  <c r="BM57" i="54"/>
  <c r="BM37" i="54"/>
  <c r="BM13" i="54"/>
  <c r="BM72" i="54"/>
  <c r="BM19" i="54"/>
  <c r="BM14" i="54"/>
  <c r="BM48" i="54"/>
  <c r="BM28" i="54"/>
  <c r="BM42" i="54"/>
  <c r="BM18" i="54"/>
  <c r="BM64" i="54"/>
  <c r="BM55" i="54"/>
  <c r="BM27" i="54"/>
  <c r="BM39" i="54"/>
  <c r="BM6" i="54"/>
  <c r="BM59" i="54"/>
  <c r="BM68" i="54"/>
  <c r="BM38" i="54"/>
  <c r="BM66" i="54"/>
  <c r="BM36" i="54"/>
  <c r="BM53" i="54"/>
  <c r="BM15" i="54"/>
  <c r="BM32" i="54"/>
  <c r="BM54" i="54"/>
  <c r="BM11" i="54"/>
  <c r="BM60" i="54"/>
  <c r="BM31" i="54"/>
  <c r="BM65" i="54"/>
  <c r="BM25" i="54"/>
  <c r="BM50" i="54"/>
  <c r="BM8" i="54"/>
  <c r="BM22" i="54"/>
  <c r="BM45" i="54"/>
  <c r="BM41" i="54"/>
  <c r="BM51" i="54"/>
  <c r="BM43" i="54"/>
  <c r="BM49" i="54"/>
  <c r="BM71" i="54"/>
  <c r="Y44" i="54"/>
  <c r="Y56" i="54"/>
  <c r="BM34" i="54"/>
  <c r="BM23" i="54"/>
  <c r="BM20" i="54"/>
  <c r="BM67" i="54"/>
  <c r="BM44" i="54"/>
  <c r="BM29" i="54"/>
  <c r="Y45" i="54"/>
  <c r="Y57" i="54"/>
  <c r="BM52" i="54"/>
  <c r="BM47" i="54"/>
  <c r="BM35" i="54"/>
  <c r="BM40" i="54"/>
  <c r="BM62" i="54"/>
  <c r="Y48" i="54"/>
  <c r="Y60" i="54"/>
  <c r="BM21" i="54"/>
  <c r="BM9" i="54"/>
  <c r="BM16" i="54"/>
  <c r="BM61" i="54"/>
  <c r="Y36" i="54"/>
  <c r="BM33" i="54"/>
  <c r="BM7" i="54"/>
  <c r="BM46" i="54"/>
  <c r="BM63" i="54"/>
  <c r="Y47" i="54"/>
  <c r="Y59" i="54"/>
  <c r="AK14" i="56" a="1"/>
  <c r="AK16" i="56"/>
  <c r="AK14" i="56"/>
  <c r="AK15" i="56"/>
  <c r="AE14" i="56" a="1"/>
  <c r="AE16" i="56"/>
  <c r="AE15" i="56"/>
  <c r="AE14" i="56"/>
  <c r="AR19" i="56" a="1"/>
  <c r="AR21" i="56"/>
  <c r="AR20" i="56"/>
  <c r="AR19" i="56"/>
  <c r="AK19" i="56" a="1"/>
  <c r="AK19" i="56"/>
  <c r="AK20" i="56"/>
  <c r="AK21" i="56"/>
  <c r="AF5" i="56" a="1"/>
  <c r="AF6" i="56"/>
  <c r="AF5" i="56"/>
  <c r="AL5" i="56" a="1"/>
  <c r="AL5" i="56" s="1"/>
  <c r="AW19" i="56" a="1"/>
  <c r="AM5" i="56" l="1"/>
  <c r="AM6" i="56"/>
  <c r="AL6" i="56"/>
  <c r="AW21" i="56"/>
  <c r="AW20" i="56"/>
  <c r="AW19" i="56"/>
  <c r="AF9" i="56" a="1"/>
  <c r="AF9" i="56"/>
  <c r="AF10" i="56"/>
  <c r="AL9" i="56" s="1" a="1"/>
  <c r="AW5" i="56" a="1"/>
  <c r="AM10" i="56" l="1"/>
  <c r="AL10" i="56"/>
  <c r="AM9" i="56"/>
  <c r="AL9" i="56"/>
  <c r="AW6" i="56"/>
  <c r="AW5" i="56"/>
  <c r="AR14" i="56" a="1"/>
  <c r="AR16" i="56" l="1"/>
  <c r="AR14" i="56"/>
  <c r="AR15" i="56"/>
  <c r="AQ19" i="56" a="1"/>
  <c r="AQ20" i="56"/>
  <c r="AQ21" i="56"/>
  <c r="AQ19" i="56"/>
  <c r="AW14" i="56" a="1"/>
  <c r="AW14" i="56"/>
  <c r="AW16" i="56"/>
  <c r="AW15" i="56"/>
  <c r="AK5" i="56" a="1"/>
  <c r="AK5" i="56"/>
  <c r="AK6" i="56"/>
  <c r="AI5" i="56" l="1" a="1"/>
  <c r="AI5" i="56" s="1"/>
  <c r="G29" i="56" s="1"/>
  <c r="AK9" i="56" a="1"/>
  <c r="AI6" i="56" l="1"/>
  <c r="G28" i="56" s="1"/>
  <c r="G35" i="56" s="1"/>
  <c r="BE5" i="56" s="1"/>
  <c r="AK9" i="56"/>
  <c r="AK10" i="56"/>
  <c r="AF14" i="56" a="1"/>
  <c r="AI9" i="56" l="1" a="1"/>
  <c r="AI10" i="56" s="1"/>
  <c r="S28" i="56" s="1"/>
  <c r="AF14" i="56"/>
  <c r="AF15" i="56"/>
  <c r="AF16" i="56"/>
  <c r="AF19" i="56" a="1"/>
  <c r="AL14" i="56" l="1" a="1"/>
  <c r="AN16" i="56" s="1"/>
  <c r="AI9" i="56"/>
  <c r="S29" i="56" s="1"/>
  <c r="S35" i="56"/>
  <c r="BG5" i="56" s="1"/>
  <c r="AF19" i="56"/>
  <c r="AF20" i="56"/>
  <c r="AF21" i="56"/>
  <c r="AQ14" i="56" a="1"/>
  <c r="AL15" i="56" l="1"/>
  <c r="AM15" i="56"/>
  <c r="AL16" i="56"/>
  <c r="AN15" i="56"/>
  <c r="AM16" i="56"/>
  <c r="AN14" i="56"/>
  <c r="AM14" i="56"/>
  <c r="AL14" i="56"/>
  <c r="AI14" i="56" s="1" a="1"/>
  <c r="AQ14" i="56"/>
  <c r="AQ16" i="56"/>
  <c r="AQ15" i="56"/>
  <c r="AS9" i="56" a="1"/>
  <c r="AI15" i="56" l="1"/>
  <c r="H29" i="56" s="1"/>
  <c r="AI14" i="56"/>
  <c r="H30" i="56" s="1"/>
  <c r="AI16" i="56"/>
  <c r="H28" i="56" s="1"/>
  <c r="AS9" i="56"/>
  <c r="AS10" i="56"/>
  <c r="AS5" i="56" a="1"/>
  <c r="H35" i="56" l="1"/>
  <c r="BF5" i="56" s="1"/>
  <c r="AS5" i="56"/>
  <c r="AS6" i="56"/>
  <c r="AR9" i="56" a="1"/>
  <c r="AR9" i="56"/>
  <c r="AR10" i="56"/>
  <c r="AX9" i="56" s="1" a="1"/>
  <c r="AS19" i="56" a="1"/>
  <c r="AX10" i="56" l="1"/>
  <c r="AY10" i="56"/>
  <c r="AX9" i="56"/>
  <c r="AY9" i="56"/>
  <c r="AS21" i="56"/>
  <c r="AS20" i="56"/>
  <c r="AS19" i="56"/>
  <c r="AX19" i="56" s="1" a="1"/>
  <c r="AX21" i="56" l="1"/>
  <c r="AZ19" i="56"/>
  <c r="AY20" i="56"/>
  <c r="AX20" i="56"/>
  <c r="AZ20" i="56"/>
  <c r="AY21" i="56"/>
  <c r="AX19" i="56"/>
  <c r="AZ21" i="56"/>
  <c r="AY19" i="56"/>
  <c r="AE19" i="56" a="1"/>
  <c r="AU19" i="56" l="1" a="1"/>
  <c r="AU19" i="56" s="1"/>
  <c r="X30" i="56" s="1"/>
  <c r="AE19" i="56"/>
  <c r="AU20" i="56" l="1"/>
  <c r="X29" i="56" s="1"/>
  <c r="AU21" i="56"/>
  <c r="X28" i="56" s="1"/>
  <c r="X35" i="56" s="1"/>
  <c r="BL5" i="56" s="1"/>
  <c r="AE21" i="56"/>
  <c r="AE20" i="56"/>
  <c r="AL19" i="56" s="1" a="1"/>
  <c r="AS14" i="56" a="1"/>
  <c r="AM21" i="56" l="1"/>
  <c r="AL19" i="56"/>
  <c r="AN20" i="56"/>
  <c r="AM19" i="56"/>
  <c r="AL21" i="56"/>
  <c r="AN21" i="56"/>
  <c r="AN19" i="56"/>
  <c r="AM20" i="56"/>
  <c r="AL20" i="56"/>
  <c r="AS14" i="56"/>
  <c r="AS16" i="56"/>
  <c r="AS15" i="56"/>
  <c r="AW9" i="56" a="1"/>
  <c r="AX14" i="56" l="1" a="1"/>
  <c r="AI19" i="56" a="1"/>
  <c r="AW10" i="56"/>
  <c r="AW9" i="56"/>
  <c r="AU9" i="56" s="1" a="1"/>
  <c r="AU10" i="56" l="1"/>
  <c r="W28" i="56" s="1"/>
  <c r="AU9" i="56"/>
  <c r="W29" i="56" s="1"/>
  <c r="AI21" i="56"/>
  <c r="T28" i="56" s="1"/>
  <c r="AI19" i="56"/>
  <c r="T30" i="56" s="1"/>
  <c r="AI20" i="56"/>
  <c r="T29" i="56" s="1"/>
  <c r="AZ16" i="56"/>
  <c r="AX15" i="56"/>
  <c r="AX16" i="56"/>
  <c r="AY16" i="56"/>
  <c r="AZ14" i="56"/>
  <c r="AX14" i="56"/>
  <c r="AZ15" i="56"/>
  <c r="AY15" i="56"/>
  <c r="AY14" i="56"/>
  <c r="BK1" i="56"/>
  <c r="BK103" i="56" s="1"/>
  <c r="BL1" i="56"/>
  <c r="BL38" i="56"/>
  <c r="BK34" i="56"/>
  <c r="BK32" i="56"/>
  <c r="BK27" i="56"/>
  <c r="BL30" i="56"/>
  <c r="AR5" i="56" a="1"/>
  <c r="BK39" i="56"/>
  <c r="BK36" i="56"/>
  <c r="BK12" i="56"/>
  <c r="BK38" i="56"/>
  <c r="BK47" i="56"/>
  <c r="BK9" i="56"/>
  <c r="BK54" i="56"/>
  <c r="BK57" i="56"/>
  <c r="BK74" i="56"/>
  <c r="BK25" i="56"/>
  <c r="BK31" i="56"/>
  <c r="BK42" i="56"/>
  <c r="BK43" i="56"/>
  <c r="BK51" i="56"/>
  <c r="BK69" i="56"/>
  <c r="BK55" i="56"/>
  <c r="BK58" i="56"/>
  <c r="BK77" i="56"/>
  <c r="BK23" i="56"/>
  <c r="BK53" i="56"/>
  <c r="BK7" i="56"/>
  <c r="BK98" i="56"/>
  <c r="BK99" i="56"/>
  <c r="BK91" i="56"/>
  <c r="BK83" i="56"/>
  <c r="BK75" i="56"/>
  <c r="BK93" i="56"/>
  <c r="BK90" i="56"/>
  <c r="BK79" i="56"/>
  <c r="BK68" i="56"/>
  <c r="BK60" i="56"/>
  <c r="BK100" i="56"/>
  <c r="BK96" i="56"/>
  <c r="BK85" i="56"/>
  <c r="BK70" i="56"/>
  <c r="BK63" i="56"/>
  <c r="BK56" i="56"/>
  <c r="BK87" i="56"/>
  <c r="BK72" i="56"/>
  <c r="BK66" i="56"/>
  <c r="BK59" i="56"/>
  <c r="BK102" i="56"/>
  <c r="BK44" i="56"/>
  <c r="BK18" i="56"/>
  <c r="BK97" i="56"/>
  <c r="BK86" i="56"/>
  <c r="BK73" i="56"/>
  <c r="BK71" i="56"/>
  <c r="BK65" i="56"/>
  <c r="BK95" i="56"/>
  <c r="BK81" i="56"/>
  <c r="BK61" i="56"/>
  <c r="BK41" i="56"/>
  <c r="BK30" i="56"/>
  <c r="BK24" i="56"/>
  <c r="BK16" i="56"/>
  <c r="BK6" i="56"/>
  <c r="BK92" i="56"/>
  <c r="BK89" i="56"/>
  <c r="BK76" i="56"/>
  <c r="BK64" i="56"/>
  <c r="BK62" i="56"/>
  <c r="BK50" i="56"/>
  <c r="BK49" i="56"/>
  <c r="BK48" i="56"/>
  <c r="BK46" i="56"/>
  <c r="BK37" i="56"/>
  <c r="BK33" i="56"/>
  <c r="BK29" i="56"/>
  <c r="BK10" i="56"/>
  <c r="BK8" i="56"/>
  <c r="BK101" i="56"/>
  <c r="BK82" i="56"/>
  <c r="BK40" i="56"/>
  <c r="BK78" i="56"/>
  <c r="BK67" i="56"/>
  <c r="BK94" i="56"/>
  <c r="BK80" i="56"/>
  <c r="BK52" i="56"/>
  <c r="BK35" i="56"/>
  <c r="BK26" i="56"/>
  <c r="BK21" i="56"/>
  <c r="BK17" i="56"/>
  <c r="BK45" i="56"/>
  <c r="BK15" i="56"/>
  <c r="BK14" i="56"/>
  <c r="BK13" i="56"/>
  <c r="BK22" i="56"/>
  <c r="BK88" i="56"/>
  <c r="BK84" i="56"/>
  <c r="BK20" i="56"/>
  <c r="BK19" i="56"/>
  <c r="BK11" i="56"/>
  <c r="BL99" i="56"/>
  <c r="BL100" i="56"/>
  <c r="BL92" i="56"/>
  <c r="BL84" i="56"/>
  <c r="BL76" i="56"/>
  <c r="BL68" i="56"/>
  <c r="BL98" i="56"/>
  <c r="BL96" i="56"/>
  <c r="BL85" i="56"/>
  <c r="BL82" i="56"/>
  <c r="BL71" i="56"/>
  <c r="BL61" i="56"/>
  <c r="BL88" i="56"/>
  <c r="BL91" i="56"/>
  <c r="BL87" i="56"/>
  <c r="BL79" i="56"/>
  <c r="BL72" i="56"/>
  <c r="BL66" i="56"/>
  <c r="BL59" i="56"/>
  <c r="BL95" i="56"/>
  <c r="BL86" i="56"/>
  <c r="BL81" i="56"/>
  <c r="BL74" i="56"/>
  <c r="BL58" i="56"/>
  <c r="BL54" i="56"/>
  <c r="BL97" i="56"/>
  <c r="BL73" i="56"/>
  <c r="BL65" i="56"/>
  <c r="BL48" i="56"/>
  <c r="BL47" i="56"/>
  <c r="BL46" i="56"/>
  <c r="BL45" i="56"/>
  <c r="BL40" i="56"/>
  <c r="BL36" i="56"/>
  <c r="BL17" i="56"/>
  <c r="BL13" i="56"/>
  <c r="BL9" i="56"/>
  <c r="BL83" i="56"/>
  <c r="BL69" i="56"/>
  <c r="BL64" i="56"/>
  <c r="BL56" i="56"/>
  <c r="BL51" i="56"/>
  <c r="BL89" i="56"/>
  <c r="BL75" i="56"/>
  <c r="BL62" i="56"/>
  <c r="BL50" i="56"/>
  <c r="BL49" i="56"/>
  <c r="BL44" i="56"/>
  <c r="BL37" i="56"/>
  <c r="BL33" i="56"/>
  <c r="BL29" i="56"/>
  <c r="BL10" i="56"/>
  <c r="BL8" i="56"/>
  <c r="BL101" i="56"/>
  <c r="BL63" i="56"/>
  <c r="BL22" i="56"/>
  <c r="BL19" i="56"/>
  <c r="BL77" i="56"/>
  <c r="BL31" i="56"/>
  <c r="BL102" i="56"/>
  <c r="BL94" i="56"/>
  <c r="BL93" i="56"/>
  <c r="BL60" i="56"/>
  <c r="BL20" i="56"/>
  <c r="BL11" i="56"/>
  <c r="BL18" i="56"/>
  <c r="BL16" i="56"/>
  <c r="BL15" i="56"/>
  <c r="BL23" i="56"/>
  <c r="BL39" i="56"/>
  <c r="BL53" i="56"/>
  <c r="BL7" i="56"/>
  <c r="BL70" i="56"/>
  <c r="BL55" i="56"/>
  <c r="BL24" i="56"/>
  <c r="BL14" i="56"/>
  <c r="BL25" i="56"/>
  <c r="BL32" i="56"/>
  <c r="BL80" i="56"/>
  <c r="BL67" i="56"/>
  <c r="BL43" i="56"/>
  <c r="BL12" i="56"/>
  <c r="BL90" i="56"/>
  <c r="BL57" i="56"/>
  <c r="BL42" i="56"/>
  <c r="BL6" i="56"/>
  <c r="BL34" i="56"/>
  <c r="BL27" i="56"/>
  <c r="BL41" i="56"/>
  <c r="BL28" i="56"/>
  <c r="BL78" i="56"/>
  <c r="BL52" i="56"/>
  <c r="BL35" i="56"/>
  <c r="BL26" i="56"/>
  <c r="BL21" i="56"/>
  <c r="BK264" i="56"/>
  <c r="BK263" i="56"/>
  <c r="BK262" i="56"/>
  <c r="BK261" i="56"/>
  <c r="BK260" i="56"/>
  <c r="BK259" i="56"/>
  <c r="BK258" i="56"/>
  <c r="BK257" i="56"/>
  <c r="BK256" i="56"/>
  <c r="BK255" i="56"/>
  <c r="BK254" i="56"/>
  <c r="BK253" i="56"/>
  <c r="BK252" i="56"/>
  <c r="BK251" i="56"/>
  <c r="BK250" i="56"/>
  <c r="BK249" i="56"/>
  <c r="BK248" i="56"/>
  <c r="BK247" i="56"/>
  <c r="BK246" i="56"/>
  <c r="BK245" i="56"/>
  <c r="BK244" i="56"/>
  <c r="BK243" i="56"/>
  <c r="BK242" i="56"/>
  <c r="BK241" i="56"/>
  <c r="BK240" i="56"/>
  <c r="BK239" i="56"/>
  <c r="BK238" i="56"/>
  <c r="BK237" i="56"/>
  <c r="BK236" i="56"/>
  <c r="BK235" i="56"/>
  <c r="BK234" i="56"/>
  <c r="BK233" i="56"/>
  <c r="BK232" i="56"/>
  <c r="BK231" i="56"/>
  <c r="BK230" i="56"/>
  <c r="BK229" i="56"/>
  <c r="BK228" i="56"/>
  <c r="BK227" i="56"/>
  <c r="BK226" i="56"/>
  <c r="BK225" i="56"/>
  <c r="BK224" i="56"/>
  <c r="BK223" i="56"/>
  <c r="BK222" i="56"/>
  <c r="BK221" i="56"/>
  <c r="BK220" i="56"/>
  <c r="BK219" i="56"/>
  <c r="BK218" i="56"/>
  <c r="BK217" i="56"/>
  <c r="BK216" i="56"/>
  <c r="BK215" i="56"/>
  <c r="BK214" i="56"/>
  <c r="BK213" i="56"/>
  <c r="BK212" i="56"/>
  <c r="BK211" i="56"/>
  <c r="BK210" i="56"/>
  <c r="BK209" i="56"/>
  <c r="BK208" i="56"/>
  <c r="BK207" i="56"/>
  <c r="BK206" i="56"/>
  <c r="BK205" i="56"/>
  <c r="BK204" i="56"/>
  <c r="BK203" i="56"/>
  <c r="BK202" i="56"/>
  <c r="BK201" i="56"/>
  <c r="BK200" i="56"/>
  <c r="BK199" i="56"/>
  <c r="BK198" i="56"/>
  <c r="BK197" i="56"/>
  <c r="BK196" i="56"/>
  <c r="BK195" i="56"/>
  <c r="BK194" i="56"/>
  <c r="BK193" i="56"/>
  <c r="BK192" i="56"/>
  <c r="BK191" i="56"/>
  <c r="BK190" i="56"/>
  <c r="BK189" i="56"/>
  <c r="BK188" i="56"/>
  <c r="BK187" i="56"/>
  <c r="BK186" i="56"/>
  <c r="BK185" i="56"/>
  <c r="BK184" i="56"/>
  <c r="BK183" i="56"/>
  <c r="BK182" i="56"/>
  <c r="BK181" i="56"/>
  <c r="BK180" i="56"/>
  <c r="BK179" i="56"/>
  <c r="BK178" i="56"/>
  <c r="BK177" i="56"/>
  <c r="BK176" i="56"/>
  <c r="BK175" i="56"/>
  <c r="BK174" i="56"/>
  <c r="BK173" i="56"/>
  <c r="BK172" i="56"/>
  <c r="BK171" i="56"/>
  <c r="BK170" i="56"/>
  <c r="BK169" i="56"/>
  <c r="BK168" i="56"/>
  <c r="BK167" i="56"/>
  <c r="BK166" i="56"/>
  <c r="BK165" i="56"/>
  <c r="BK164" i="56"/>
  <c r="BK163" i="56"/>
  <c r="BK162" i="56"/>
  <c r="BK161" i="56"/>
  <c r="BK160" i="56"/>
  <c r="BK159" i="56"/>
  <c r="BK158" i="56"/>
  <c r="BK157" i="56"/>
  <c r="BK156" i="56"/>
  <c r="BK155" i="56"/>
  <c r="BK154" i="56"/>
  <c r="BK153" i="56"/>
  <c r="BK152" i="56"/>
  <c r="BK151" i="56"/>
  <c r="BK150" i="56"/>
  <c r="BK149" i="56"/>
  <c r="BK148" i="56"/>
  <c r="BK147" i="56"/>
  <c r="BK146" i="56"/>
  <c r="BK145" i="56"/>
  <c r="BK144" i="56"/>
  <c r="BK143" i="56"/>
  <c r="BK142" i="56"/>
  <c r="BK141" i="56"/>
  <c r="BK140" i="56"/>
  <c r="BK139" i="56"/>
  <c r="BK138" i="56"/>
  <c r="BK137" i="56"/>
  <c r="BK136" i="56"/>
  <c r="BK135" i="56"/>
  <c r="BK134" i="56"/>
  <c r="BK133" i="56"/>
  <c r="BK132" i="56"/>
  <c r="BK131" i="56"/>
  <c r="BK130" i="56"/>
  <c r="BK129" i="56"/>
  <c r="BK128" i="56"/>
  <c r="BK127" i="56"/>
  <c r="BK126" i="56"/>
  <c r="BK125" i="56"/>
  <c r="BK124" i="56"/>
  <c r="BK123" i="56"/>
  <c r="BK122" i="56"/>
  <c r="BK121" i="56"/>
  <c r="BK120" i="56"/>
  <c r="BK119" i="56"/>
  <c r="BK118" i="56"/>
  <c r="BK117" i="56"/>
  <c r="BK116" i="56"/>
  <c r="BK115" i="56"/>
  <c r="BK114" i="56"/>
  <c r="BK113" i="56"/>
  <c r="BK112" i="56"/>
  <c r="BK111" i="56"/>
  <c r="BK110" i="56"/>
  <c r="BK109" i="56"/>
  <c r="BK108" i="56"/>
  <c r="BK107" i="56"/>
  <c r="BK106" i="56"/>
  <c r="BK105" i="56"/>
  <c r="BK104" i="56"/>
  <c r="BL264" i="56"/>
  <c r="BL263" i="56"/>
  <c r="BL262" i="56"/>
  <c r="BL261" i="56"/>
  <c r="BL260" i="56"/>
  <c r="BL259" i="56"/>
  <c r="BL258" i="56"/>
  <c r="BL257" i="56"/>
  <c r="BL256" i="56"/>
  <c r="BL255" i="56"/>
  <c r="BL254" i="56"/>
  <c r="BL253" i="56"/>
  <c r="BL252" i="56"/>
  <c r="BL251" i="56"/>
  <c r="BL250" i="56"/>
  <c r="BL249" i="56"/>
  <c r="BL248" i="56"/>
  <c r="BL247" i="56"/>
  <c r="BL246" i="56"/>
  <c r="BL245" i="56"/>
  <c r="BL244" i="56"/>
  <c r="BL243" i="56"/>
  <c r="BL242" i="56"/>
  <c r="BL241" i="56"/>
  <c r="BL240" i="56"/>
  <c r="BL239" i="56"/>
  <c r="BL238" i="56"/>
  <c r="BL237" i="56"/>
  <c r="BL236" i="56"/>
  <c r="BL235" i="56"/>
  <c r="BL234" i="56"/>
  <c r="BL233" i="56"/>
  <c r="BL232" i="56"/>
  <c r="BL231" i="56"/>
  <c r="BL230" i="56"/>
  <c r="BL229" i="56"/>
  <c r="BL228" i="56"/>
  <c r="BL227" i="56"/>
  <c r="BL226" i="56"/>
  <c r="BL225" i="56"/>
  <c r="BL224" i="56"/>
  <c r="BL223" i="56"/>
  <c r="BL222" i="56"/>
  <c r="BL221" i="56"/>
  <c r="BL220" i="56"/>
  <c r="BL219" i="56"/>
  <c r="BL218" i="56"/>
  <c r="BL217" i="56"/>
  <c r="BL216" i="56"/>
  <c r="BL215" i="56"/>
  <c r="BL214" i="56"/>
  <c r="BL213" i="56"/>
  <c r="BL212" i="56"/>
  <c r="BL211" i="56"/>
  <c r="BL210" i="56"/>
  <c r="BL209" i="56"/>
  <c r="BL208" i="56"/>
  <c r="BL207" i="56"/>
  <c r="BL206" i="56"/>
  <c r="BL205" i="56"/>
  <c r="BL204" i="56"/>
  <c r="BL203" i="56"/>
  <c r="BL202" i="56"/>
  <c r="BL201" i="56"/>
  <c r="BL200" i="56"/>
  <c r="BL199" i="56"/>
  <c r="BL198" i="56"/>
  <c r="BL197" i="56"/>
  <c r="BL196" i="56"/>
  <c r="BL195" i="56"/>
  <c r="BL194" i="56"/>
  <c r="BL193" i="56"/>
  <c r="BL192" i="56"/>
  <c r="BL191" i="56"/>
  <c r="BL190" i="56"/>
  <c r="BL189" i="56"/>
  <c r="BL188" i="56"/>
  <c r="BL187" i="56"/>
  <c r="BL186" i="56"/>
  <c r="BL185" i="56"/>
  <c r="BL184" i="56"/>
  <c r="BL183" i="56"/>
  <c r="BL182" i="56"/>
  <c r="BL181" i="56"/>
  <c r="BL180" i="56"/>
  <c r="BL179" i="56"/>
  <c r="BL178" i="56"/>
  <c r="BL177" i="56"/>
  <c r="BL176" i="56"/>
  <c r="BL175" i="56"/>
  <c r="BL174" i="56"/>
  <c r="BL173" i="56"/>
  <c r="BL172" i="56"/>
  <c r="BL171" i="56"/>
  <c r="BL170" i="56"/>
  <c r="BL169" i="56"/>
  <c r="BL168" i="56"/>
  <c r="BL167" i="56"/>
  <c r="BL166" i="56"/>
  <c r="BL165" i="56"/>
  <c r="BL164" i="56"/>
  <c r="BL163" i="56"/>
  <c r="BL162" i="56"/>
  <c r="BL161" i="56"/>
  <c r="BL160" i="56"/>
  <c r="BL159" i="56"/>
  <c r="BL158" i="56"/>
  <c r="BL157" i="56"/>
  <c r="BL156" i="56"/>
  <c r="BL155" i="56"/>
  <c r="BL154" i="56"/>
  <c r="BL153" i="56"/>
  <c r="BL152" i="56"/>
  <c r="BL151" i="56"/>
  <c r="BL150" i="56"/>
  <c r="BL149" i="56"/>
  <c r="BL148" i="56"/>
  <c r="BL147" i="56"/>
  <c r="BL146" i="56"/>
  <c r="BL145" i="56"/>
  <c r="BL144" i="56"/>
  <c r="BL143" i="56"/>
  <c r="BL142" i="56"/>
  <c r="BL141" i="56"/>
  <c r="BL140" i="56"/>
  <c r="BL139" i="56"/>
  <c r="BL138" i="56"/>
  <c r="BL137" i="56"/>
  <c r="BL136" i="56"/>
  <c r="BL135" i="56"/>
  <c r="BL134" i="56"/>
  <c r="BL133" i="56"/>
  <c r="BL132" i="56"/>
  <c r="BL131" i="56"/>
  <c r="BL130" i="56"/>
  <c r="BL129" i="56"/>
  <c r="BL128" i="56"/>
  <c r="BL127" i="56"/>
  <c r="BL126" i="56"/>
  <c r="BL125" i="56"/>
  <c r="BL124" i="56"/>
  <c r="BL123" i="56"/>
  <c r="BL122" i="56"/>
  <c r="BL121" i="56"/>
  <c r="BL120" i="56"/>
  <c r="BL119" i="56"/>
  <c r="BL118" i="56"/>
  <c r="BL117" i="56"/>
  <c r="BL116" i="56"/>
  <c r="BL115" i="56"/>
  <c r="BL114" i="56"/>
  <c r="BL113" i="56"/>
  <c r="BL112" i="56"/>
  <c r="BL111" i="56"/>
  <c r="BL110" i="56"/>
  <c r="BL109" i="56"/>
  <c r="BL108" i="56"/>
  <c r="BL107" i="56"/>
  <c r="BL106" i="56"/>
  <c r="BL105" i="56"/>
  <c r="BL104" i="56"/>
  <c r="BL103" i="56"/>
  <c r="T35" i="56" l="1"/>
  <c r="BH5" i="56" s="1"/>
  <c r="AU14" i="56" a="1"/>
  <c r="W35" i="56"/>
  <c r="BK5" i="56" s="1"/>
  <c r="AR5" i="56"/>
  <c r="AR6" i="56"/>
  <c r="BK28" i="56"/>
  <c r="G27" i="56"/>
  <c r="G44" i="56"/>
  <c r="G46" i="56"/>
  <c r="BE1" i="56"/>
  <c r="BE15" i="56"/>
  <c r="BE19" i="56"/>
  <c r="BE7" i="56"/>
  <c r="BE24" i="56"/>
  <c r="BE13" i="56"/>
  <c r="BE23" i="56"/>
  <c r="BE42" i="56"/>
  <c r="BE44" i="56"/>
  <c r="BE82" i="56"/>
  <c r="BE8" i="56"/>
  <c r="BE18" i="56"/>
  <c r="BE55" i="56"/>
  <c r="BE65" i="56"/>
  <c r="BE72" i="56"/>
  <c r="BE87" i="56"/>
  <c r="BE45" i="56"/>
  <c r="BE46" i="56"/>
  <c r="BE21" i="56"/>
  <c r="BE26" i="56"/>
  <c r="BE47" i="56"/>
  <c r="BE48" i="56"/>
  <c r="BE35" i="56"/>
  <c r="BE50" i="56"/>
  <c r="BE6" i="56"/>
  <c r="BE9" i="56"/>
  <c r="BE27" i="56"/>
  <c r="BE30" i="56"/>
  <c r="BE33" i="56"/>
  <c r="BE38" i="56"/>
  <c r="BE49" i="56"/>
  <c r="BE60" i="56"/>
  <c r="BE66" i="56"/>
  <c r="BE73" i="56"/>
  <c r="BE29" i="56"/>
  <c r="BE22" i="56"/>
  <c r="BE37" i="56"/>
  <c r="BE28" i="56"/>
  <c r="BE32" i="56"/>
  <c r="BE41" i="56"/>
  <c r="BE57" i="56"/>
  <c r="BE83" i="56"/>
  <c r="BE102" i="56"/>
  <c r="BE81" i="56"/>
  <c r="BE96" i="56"/>
  <c r="BE39" i="56"/>
  <c r="BE51" i="56"/>
  <c r="BE70" i="56"/>
  <c r="BE11" i="56"/>
  <c r="BE14" i="56"/>
  <c r="BE36" i="56"/>
  <c r="BE43" i="56"/>
  <c r="BE52" i="56"/>
  <c r="BE74" i="56"/>
  <c r="BE75" i="56"/>
  <c r="BE88" i="56"/>
  <c r="BE95" i="56"/>
  <c r="BE17" i="56"/>
  <c r="BE31" i="56"/>
  <c r="BE40" i="56"/>
  <c r="BE56" i="56"/>
  <c r="BE68" i="56"/>
  <c r="BE84" i="56"/>
  <c r="BE59" i="56"/>
  <c r="BE10" i="56"/>
  <c r="BE12" i="56"/>
  <c r="BE16" i="56"/>
  <c r="BE20" i="56"/>
  <c r="BE25" i="56"/>
  <c r="BE34" i="56"/>
  <c r="BE53" i="56"/>
  <c r="BE63" i="56"/>
  <c r="BE79" i="56"/>
  <c r="BE90" i="56"/>
  <c r="BE92" i="56"/>
  <c r="BE67" i="56"/>
  <c r="BE71" i="56"/>
  <c r="BE98" i="56"/>
  <c r="BE54" i="56"/>
  <c r="BE61" i="56"/>
  <c r="BE64" i="56"/>
  <c r="BE76" i="56"/>
  <c r="BE78" i="56"/>
  <c r="BE89" i="56"/>
  <c r="BE99" i="56"/>
  <c r="BE86" i="56"/>
  <c r="BE97" i="56"/>
  <c r="BE58" i="56"/>
  <c r="BE62" i="56"/>
  <c r="BE80" i="56"/>
  <c r="BE91" i="56"/>
  <c r="BE94" i="56"/>
  <c r="BE69" i="56"/>
  <c r="BE77" i="56"/>
  <c r="BE85" i="56"/>
  <c r="BE93" i="56"/>
  <c r="BE101" i="56"/>
  <c r="BE100" i="56"/>
  <c r="G36" i="56"/>
  <c r="G48" i="56"/>
  <c r="G39" i="56"/>
  <c r="G40" i="56"/>
  <c r="G43" i="56"/>
  <c r="G51" i="56"/>
  <c r="G38" i="56"/>
  <c r="G45" i="56"/>
  <c r="G47" i="56"/>
  <c r="G50" i="56"/>
  <c r="G42" i="56"/>
  <c r="G37" i="56"/>
  <c r="G41" i="56"/>
  <c r="G49" i="56"/>
  <c r="S27" i="56"/>
  <c r="S40" i="56"/>
  <c r="S43" i="56"/>
  <c r="S45" i="56"/>
  <c r="S46" i="56"/>
  <c r="S47" i="56"/>
  <c r="S36" i="56"/>
  <c r="S50" i="56"/>
  <c r="S39" i="56"/>
  <c r="S48" i="56"/>
  <c r="S44" i="56"/>
  <c r="S37" i="56"/>
  <c r="S41" i="56"/>
  <c r="BG1" i="56"/>
  <c r="BG10" i="56"/>
  <c r="BG6" i="56"/>
  <c r="BG9" i="56"/>
  <c r="BG25" i="56"/>
  <c r="BG33" i="56"/>
  <c r="BG41" i="56"/>
  <c r="BG43" i="56"/>
  <c r="BG74" i="56"/>
  <c r="BG58" i="56"/>
  <c r="BG83" i="56"/>
  <c r="BG90" i="56"/>
  <c r="BG15" i="56"/>
  <c r="BG17" i="56"/>
  <c r="BG24" i="56"/>
  <c r="BG46" i="56"/>
  <c r="BG13" i="56"/>
  <c r="BG44" i="56"/>
  <c r="BG7" i="56"/>
  <c r="BG84" i="56"/>
  <c r="BG19" i="56"/>
  <c r="BG21" i="56"/>
  <c r="BG29" i="56"/>
  <c r="BG37" i="56"/>
  <c r="BG56" i="56"/>
  <c r="BG68" i="56"/>
  <c r="BG16" i="56"/>
  <c r="BG36" i="56"/>
  <c r="BG31" i="56"/>
  <c r="BG40" i="56"/>
  <c r="BG48" i="56"/>
  <c r="BG94" i="56"/>
  <c r="BG63" i="56"/>
  <c r="BG72" i="56"/>
  <c r="BG81" i="56"/>
  <c r="BG38" i="56"/>
  <c r="BG61" i="56"/>
  <c r="BG12" i="56"/>
  <c r="BG27" i="56"/>
  <c r="BG32" i="56"/>
  <c r="BG34" i="56"/>
  <c r="BG35" i="56"/>
  <c r="BG42" i="56"/>
  <c r="BG45" i="56"/>
  <c r="BG47" i="56"/>
  <c r="BG59" i="56"/>
  <c r="BG60" i="56"/>
  <c r="BG69" i="56"/>
  <c r="BG70" i="56"/>
  <c r="BG85" i="56"/>
  <c r="BG98" i="56"/>
  <c r="BG11" i="56"/>
  <c r="BG18" i="56"/>
  <c r="BG20" i="56"/>
  <c r="BG23" i="56"/>
  <c r="BG26" i="56"/>
  <c r="BG28" i="56"/>
  <c r="BG39" i="56"/>
  <c r="BG53" i="56"/>
  <c r="BG91" i="56"/>
  <c r="BG52" i="56"/>
  <c r="BG66" i="56"/>
  <c r="BG76" i="56"/>
  <c r="BG96" i="56"/>
  <c r="BG101" i="56"/>
  <c r="BG8" i="56"/>
  <c r="BG14" i="56"/>
  <c r="BG22" i="56"/>
  <c r="BG30" i="56"/>
  <c r="BG49" i="56"/>
  <c r="BG54" i="56"/>
  <c r="BG67" i="56"/>
  <c r="BG77" i="56"/>
  <c r="BG78" i="56"/>
  <c r="BG100" i="56"/>
  <c r="BG50" i="56"/>
  <c r="BG51" i="56"/>
  <c r="BG55" i="56"/>
  <c r="BG62" i="56"/>
  <c r="BG65" i="56"/>
  <c r="BG82" i="56"/>
  <c r="BG88" i="56"/>
  <c r="BG97" i="56"/>
  <c r="BG57" i="56"/>
  <c r="BG73" i="56"/>
  <c r="BG80" i="56"/>
  <c r="BG93" i="56"/>
  <c r="BG92" i="56"/>
  <c r="BG64" i="56"/>
  <c r="BG75" i="56"/>
  <c r="BG86" i="56"/>
  <c r="BG89" i="56"/>
  <c r="BG99" i="56"/>
  <c r="BG71" i="56"/>
  <c r="BG79" i="56"/>
  <c r="BG87" i="56"/>
  <c r="BG95" i="56"/>
  <c r="BG102" i="56"/>
  <c r="S49" i="56"/>
  <c r="S38" i="56"/>
  <c r="S42" i="56"/>
  <c r="S51" i="56"/>
  <c r="H27" i="56"/>
  <c r="H43" i="56"/>
  <c r="H46" i="56"/>
  <c r="H44" i="56"/>
  <c r="H37" i="56"/>
  <c r="H39" i="56"/>
  <c r="H48" i="56"/>
  <c r="H36" i="56"/>
  <c r="H40" i="56"/>
  <c r="H42" i="56"/>
  <c r="BF1" i="56"/>
  <c r="BF16" i="56"/>
  <c r="BF17" i="56"/>
  <c r="BF13" i="56"/>
  <c r="BF10" i="56"/>
  <c r="BF76" i="56"/>
  <c r="BF46" i="56"/>
  <c r="BF55" i="56"/>
  <c r="BF61" i="56"/>
  <c r="BF96" i="56"/>
  <c r="BF90" i="56"/>
  <c r="BF24" i="56"/>
  <c r="BF87" i="56"/>
  <c r="BF29" i="56"/>
  <c r="BF56" i="56"/>
  <c r="BF68" i="56"/>
  <c r="BF7" i="56"/>
  <c r="BF12" i="56"/>
  <c r="BF40" i="56"/>
  <c r="BF48" i="56"/>
  <c r="BF50" i="56"/>
  <c r="BF81" i="56"/>
  <c r="BF44" i="56"/>
  <c r="BF8" i="56"/>
  <c r="BF22" i="56"/>
  <c r="BF31" i="56"/>
  <c r="BF6" i="56"/>
  <c r="BF9" i="56"/>
  <c r="BF25" i="56"/>
  <c r="BF30" i="56"/>
  <c r="BF33" i="56"/>
  <c r="BF38" i="56"/>
  <c r="BF49" i="56"/>
  <c r="BF64" i="56"/>
  <c r="BF66" i="56"/>
  <c r="BF84" i="56"/>
  <c r="BF65" i="56"/>
  <c r="BF82" i="56"/>
  <c r="BF35" i="56"/>
  <c r="BF42" i="56"/>
  <c r="BF60" i="56"/>
  <c r="BF92" i="56"/>
  <c r="BF34" i="56"/>
  <c r="BF47" i="56"/>
  <c r="BF39" i="56"/>
  <c r="BF32" i="56"/>
  <c r="BF45" i="56"/>
  <c r="BF18" i="56"/>
  <c r="BF20" i="56"/>
  <c r="BF23" i="56"/>
  <c r="BF26" i="56"/>
  <c r="BF28" i="56"/>
  <c r="BF51" i="56"/>
  <c r="BF53" i="56"/>
  <c r="BF14" i="56"/>
  <c r="BF36" i="56"/>
  <c r="BF43" i="56"/>
  <c r="BF52" i="56"/>
  <c r="BF58" i="56"/>
  <c r="BF74" i="56"/>
  <c r="BF79" i="56"/>
  <c r="BF88" i="56"/>
  <c r="BF54" i="56"/>
  <c r="BF62" i="56"/>
  <c r="BF75" i="56"/>
  <c r="BF77" i="56"/>
  <c r="BF95" i="56"/>
  <c r="BF11" i="56"/>
  <c r="BF15" i="56"/>
  <c r="BF19" i="56"/>
  <c r="BF21" i="56"/>
  <c r="BF27" i="56"/>
  <c r="BF37" i="56"/>
  <c r="BF41" i="56"/>
  <c r="BF59" i="56"/>
  <c r="BF91" i="56"/>
  <c r="BF57" i="56"/>
  <c r="BF73" i="56"/>
  <c r="BF80" i="56"/>
  <c r="BF93" i="56"/>
  <c r="BF67" i="56"/>
  <c r="BF71" i="56"/>
  <c r="BF85" i="56"/>
  <c r="BF98" i="56"/>
  <c r="BF100" i="56"/>
  <c r="BF89" i="56"/>
  <c r="BF99" i="56"/>
  <c r="BF63" i="56"/>
  <c r="BF69" i="56"/>
  <c r="BF72" i="56"/>
  <c r="BF83" i="56"/>
  <c r="BF97" i="56"/>
  <c r="BF70" i="56"/>
  <c r="BF78" i="56"/>
  <c r="BF86" i="56"/>
  <c r="BF94" i="56"/>
  <c r="BF102" i="56"/>
  <c r="BF101" i="56"/>
  <c r="H41" i="56"/>
  <c r="H49" i="56"/>
  <c r="H38" i="56"/>
  <c r="H45" i="56"/>
  <c r="H47" i="56"/>
  <c r="H50" i="56"/>
  <c r="H51" i="56"/>
  <c r="T27" i="56"/>
  <c r="T39" i="56"/>
  <c r="T42" i="56"/>
  <c r="T45" i="56"/>
  <c r="T43" i="56"/>
  <c r="BH1" i="56"/>
  <c r="BH6" i="56"/>
  <c r="BH41" i="56"/>
  <c r="BH14" i="56"/>
  <c r="BH33" i="56"/>
  <c r="BH30" i="56"/>
  <c r="BH40" i="56"/>
  <c r="BH48" i="56"/>
  <c r="BH57" i="56"/>
  <c r="BH71" i="56"/>
  <c r="BH89" i="56"/>
  <c r="BH67" i="56"/>
  <c r="BH86" i="56"/>
  <c r="BH102" i="56"/>
  <c r="BH43" i="56"/>
  <c r="BH44" i="56"/>
  <c r="BH58" i="56"/>
  <c r="BH83" i="56"/>
  <c r="BH17" i="56"/>
  <c r="BH20" i="56"/>
  <c r="BH7" i="56"/>
  <c r="BH53" i="56"/>
  <c r="BH63" i="56"/>
  <c r="BH11" i="56"/>
  <c r="BH16" i="56"/>
  <c r="BH10" i="56"/>
  <c r="BH46" i="56"/>
  <c r="BH36" i="56"/>
  <c r="BH18" i="56"/>
  <c r="BH19" i="56"/>
  <c r="BH8" i="56"/>
  <c r="BH24" i="56"/>
  <c r="BH26" i="56"/>
  <c r="BH21" i="56"/>
  <c r="BH29" i="56"/>
  <c r="BH22" i="56"/>
  <c r="BH28" i="56"/>
  <c r="BH37" i="56"/>
  <c r="BH39" i="56"/>
  <c r="BH54" i="56"/>
  <c r="BH56" i="56"/>
  <c r="BH73" i="56"/>
  <c r="BH79" i="56"/>
  <c r="BH91" i="56"/>
  <c r="BH99" i="56"/>
  <c r="BH64" i="56"/>
  <c r="BH77" i="56"/>
  <c r="BH87" i="56"/>
  <c r="BH90" i="56"/>
  <c r="BH9" i="56"/>
  <c r="BH13" i="56"/>
  <c r="BH15" i="56"/>
  <c r="BH25" i="56"/>
  <c r="BH61" i="56"/>
  <c r="BH12" i="56"/>
  <c r="BH27" i="56"/>
  <c r="BH32" i="56"/>
  <c r="BH34" i="56"/>
  <c r="BH35" i="56"/>
  <c r="BH45" i="56"/>
  <c r="BH47" i="56"/>
  <c r="BH60" i="56"/>
  <c r="BH69" i="56"/>
  <c r="BH70" i="56"/>
  <c r="BH85" i="56"/>
  <c r="BH98" i="56"/>
  <c r="BH100" i="56"/>
  <c r="BH74" i="56"/>
  <c r="BH94" i="56"/>
  <c r="BH23" i="56"/>
  <c r="BH31" i="56"/>
  <c r="BH38" i="56"/>
  <c r="BH42" i="56"/>
  <c r="BH66" i="56"/>
  <c r="BH76" i="56"/>
  <c r="BH93" i="56"/>
  <c r="BH52" i="56"/>
  <c r="BH68" i="56"/>
  <c r="BH75" i="56"/>
  <c r="BH84" i="56"/>
  <c r="BH49" i="56"/>
  <c r="BH50" i="56"/>
  <c r="BH51" i="56"/>
  <c r="BH55" i="56"/>
  <c r="BH62" i="56"/>
  <c r="BH82" i="56"/>
  <c r="BH97" i="56"/>
  <c r="BH95" i="56"/>
  <c r="BH101" i="56"/>
  <c r="BH59" i="56"/>
  <c r="BH65" i="56"/>
  <c r="BH78" i="56"/>
  <c r="BH81" i="56"/>
  <c r="BH92" i="56"/>
  <c r="BH72" i="56"/>
  <c r="BH80" i="56"/>
  <c r="BH88" i="56"/>
  <c r="BH96" i="56"/>
  <c r="T38" i="56"/>
  <c r="T47" i="56"/>
  <c r="T36" i="56"/>
  <c r="T40" i="56"/>
  <c r="T46" i="56"/>
  <c r="T48" i="56"/>
  <c r="T37" i="56"/>
  <c r="T44" i="56"/>
  <c r="T41" i="56"/>
  <c r="T49" i="56"/>
  <c r="T50" i="56"/>
  <c r="T51" i="56"/>
  <c r="W27" i="56"/>
  <c r="W38" i="56"/>
  <c r="W37" i="56"/>
  <c r="W47" i="56"/>
  <c r="W48" i="56"/>
  <c r="W50" i="56"/>
  <c r="W42" i="56"/>
  <c r="W41" i="56"/>
  <c r="W46" i="56"/>
  <c r="W45" i="56"/>
  <c r="W49" i="56"/>
  <c r="W39" i="56"/>
  <c r="W43" i="56"/>
  <c r="W51" i="56"/>
  <c r="W36" i="56"/>
  <c r="W40" i="56"/>
  <c r="W44" i="56"/>
  <c r="X27" i="56"/>
  <c r="X40" i="56"/>
  <c r="X37" i="56"/>
  <c r="X41" i="56"/>
  <c r="X44" i="56"/>
  <c r="X49" i="56"/>
  <c r="X50" i="56"/>
  <c r="X38" i="56"/>
  <c r="X51" i="56"/>
  <c r="X42" i="56"/>
  <c r="X39" i="56"/>
  <c r="X36" i="56"/>
  <c r="X43" i="56"/>
  <c r="X45" i="56"/>
  <c r="X46" i="56"/>
  <c r="X47" i="56"/>
  <c r="X48" i="56"/>
  <c r="G55" i="56"/>
  <c r="G58" i="56"/>
  <c r="G59" i="56"/>
  <c r="G60" i="56"/>
  <c r="G63" i="56"/>
  <c r="G56" i="56"/>
  <c r="G57" i="56"/>
  <c r="G53" i="56"/>
  <c r="G61" i="56"/>
  <c r="G52" i="56"/>
  <c r="G62" i="56"/>
  <c r="G54" i="56"/>
  <c r="S55" i="56"/>
  <c r="S58" i="56"/>
  <c r="S63" i="56"/>
  <c r="S56" i="56"/>
  <c r="S57" i="56"/>
  <c r="S52" i="56"/>
  <c r="S59" i="56"/>
  <c r="S60" i="56"/>
  <c r="S53" i="56"/>
  <c r="S61" i="56"/>
  <c r="S54" i="56"/>
  <c r="S62" i="56"/>
  <c r="H55" i="56"/>
  <c r="H58" i="56"/>
  <c r="H59" i="56"/>
  <c r="H60" i="56"/>
  <c r="H57" i="56"/>
  <c r="H52" i="56"/>
  <c r="H53" i="56"/>
  <c r="H61" i="56"/>
  <c r="H62" i="56"/>
  <c r="H63" i="56"/>
  <c r="H56" i="56"/>
  <c r="H54" i="56"/>
  <c r="T55" i="56"/>
  <c r="T60" i="56"/>
  <c r="T63" i="56"/>
  <c r="T57" i="56"/>
  <c r="T52" i="56"/>
  <c r="T58" i="56"/>
  <c r="T59" i="56"/>
  <c r="T54" i="56"/>
  <c r="T56" i="56"/>
  <c r="T53" i="56"/>
  <c r="T61" i="56"/>
  <c r="T62" i="56"/>
  <c r="W55" i="56"/>
  <c r="W58" i="56"/>
  <c r="W59" i="56"/>
  <c r="W60" i="56"/>
  <c r="W56" i="56"/>
  <c r="W57" i="56"/>
  <c r="W53" i="56"/>
  <c r="W61" i="56"/>
  <c r="W52" i="56"/>
  <c r="W63" i="56"/>
  <c r="W54" i="56"/>
  <c r="W62" i="56"/>
  <c r="X55" i="56"/>
  <c r="X58" i="56"/>
  <c r="X59" i="56"/>
  <c r="X60" i="56"/>
  <c r="X63" i="56"/>
  <c r="X57" i="56"/>
  <c r="X53" i="56"/>
  <c r="X61" i="56"/>
  <c r="X52" i="56"/>
  <c r="X56" i="56"/>
  <c r="X62" i="56"/>
  <c r="X54" i="56"/>
  <c r="BE264" i="56"/>
  <c r="BE263" i="56"/>
  <c r="BE262" i="56"/>
  <c r="BE261" i="56"/>
  <c r="BE260" i="56"/>
  <c r="BE259" i="56"/>
  <c r="BE258" i="56"/>
  <c r="BE257" i="56"/>
  <c r="BE256" i="56"/>
  <c r="BE255" i="56"/>
  <c r="BE254" i="56"/>
  <c r="BE253" i="56"/>
  <c r="BE252" i="56"/>
  <c r="BE251" i="56"/>
  <c r="BE250" i="56"/>
  <c r="BE249" i="56"/>
  <c r="BE248" i="56"/>
  <c r="BE247" i="56"/>
  <c r="BE246" i="56"/>
  <c r="BE245" i="56"/>
  <c r="BE244" i="56"/>
  <c r="BE243" i="56"/>
  <c r="BE242" i="56"/>
  <c r="BE241" i="56"/>
  <c r="BE240" i="56"/>
  <c r="BE239" i="56"/>
  <c r="BE238" i="56"/>
  <c r="BE237" i="56"/>
  <c r="BE236" i="56"/>
  <c r="BE235" i="56"/>
  <c r="BE234" i="56"/>
  <c r="BE233" i="56"/>
  <c r="BE232" i="56"/>
  <c r="BE231" i="56"/>
  <c r="BE230" i="56"/>
  <c r="BE229" i="56"/>
  <c r="BE228" i="56"/>
  <c r="BE227" i="56"/>
  <c r="BE226" i="56"/>
  <c r="BE225" i="56"/>
  <c r="BE224" i="56"/>
  <c r="BE223" i="56"/>
  <c r="BE222" i="56"/>
  <c r="BE221" i="56"/>
  <c r="BE220" i="56"/>
  <c r="BE219" i="56"/>
  <c r="BE218" i="56"/>
  <c r="BE217" i="56"/>
  <c r="BE216" i="56"/>
  <c r="BE215" i="56"/>
  <c r="BE214" i="56"/>
  <c r="BE213" i="56"/>
  <c r="BE212" i="56"/>
  <c r="BE211" i="56"/>
  <c r="BE210" i="56"/>
  <c r="BE209" i="56"/>
  <c r="BE208" i="56"/>
  <c r="BE207" i="56"/>
  <c r="BE206" i="56"/>
  <c r="BE205" i="56"/>
  <c r="BE204" i="56"/>
  <c r="BE203" i="56"/>
  <c r="BE202" i="56"/>
  <c r="BE201" i="56"/>
  <c r="BE200" i="56"/>
  <c r="BE199" i="56"/>
  <c r="BE198" i="56"/>
  <c r="BE197" i="56"/>
  <c r="BE196" i="56"/>
  <c r="BE195" i="56"/>
  <c r="BE194" i="56"/>
  <c r="BE193" i="56"/>
  <c r="BE192" i="56"/>
  <c r="BE191" i="56"/>
  <c r="BE190" i="56"/>
  <c r="BE189" i="56"/>
  <c r="BE188" i="56"/>
  <c r="BE187" i="56"/>
  <c r="BE186" i="56"/>
  <c r="BE185" i="56"/>
  <c r="BE184" i="56"/>
  <c r="BE183" i="56"/>
  <c r="BE182" i="56"/>
  <c r="BE181" i="56"/>
  <c r="BE180" i="56"/>
  <c r="BE179" i="56"/>
  <c r="BE178" i="56"/>
  <c r="BE177" i="56"/>
  <c r="BE176" i="56"/>
  <c r="BE175" i="56"/>
  <c r="BE174" i="56"/>
  <c r="BE173" i="56"/>
  <c r="BE172" i="56"/>
  <c r="BE171" i="56"/>
  <c r="BE170" i="56"/>
  <c r="BE169" i="56"/>
  <c r="BE168" i="56"/>
  <c r="BE167" i="56"/>
  <c r="BE166" i="56"/>
  <c r="BE165" i="56"/>
  <c r="BE164" i="56"/>
  <c r="BE163" i="56"/>
  <c r="BE162" i="56"/>
  <c r="BE161" i="56"/>
  <c r="BE160" i="56"/>
  <c r="BE159" i="56"/>
  <c r="BE158" i="56"/>
  <c r="BE157" i="56"/>
  <c r="BE156" i="56"/>
  <c r="BE155" i="56"/>
  <c r="BE154" i="56"/>
  <c r="BE153" i="56"/>
  <c r="BE152" i="56"/>
  <c r="BE151" i="56"/>
  <c r="BE150" i="56"/>
  <c r="BE149" i="56"/>
  <c r="BE148" i="56"/>
  <c r="BE147" i="56"/>
  <c r="BE146" i="56"/>
  <c r="BE145" i="56"/>
  <c r="BE144" i="56"/>
  <c r="BE143" i="56"/>
  <c r="BE142" i="56"/>
  <c r="BE141" i="56"/>
  <c r="BE140" i="56"/>
  <c r="BE139" i="56"/>
  <c r="BE138" i="56"/>
  <c r="BE137" i="56"/>
  <c r="BE136" i="56"/>
  <c r="BE135" i="56"/>
  <c r="BE134" i="56"/>
  <c r="BE133" i="56"/>
  <c r="BE132" i="56"/>
  <c r="BE131" i="56"/>
  <c r="BE130" i="56"/>
  <c r="BE129" i="56"/>
  <c r="BE128" i="56"/>
  <c r="BE127" i="56"/>
  <c r="BE126" i="56"/>
  <c r="BE125" i="56"/>
  <c r="BE124" i="56"/>
  <c r="BE123" i="56"/>
  <c r="BE122" i="56"/>
  <c r="BE121" i="56"/>
  <c r="BE120" i="56"/>
  <c r="BE119" i="56"/>
  <c r="BE118" i="56"/>
  <c r="BE117" i="56"/>
  <c r="BE116" i="56"/>
  <c r="BE115" i="56"/>
  <c r="BE114" i="56"/>
  <c r="BE113" i="56"/>
  <c r="BE112" i="56"/>
  <c r="BE111" i="56"/>
  <c r="BE110" i="56"/>
  <c r="BE109" i="56"/>
  <c r="BE108" i="56"/>
  <c r="BE107" i="56"/>
  <c r="BE106" i="56"/>
  <c r="BE105" i="56"/>
  <c r="BE104" i="56"/>
  <c r="BE103" i="56"/>
  <c r="BG264" i="56"/>
  <c r="BG263" i="56"/>
  <c r="BG262" i="56"/>
  <c r="BG261" i="56"/>
  <c r="BG260" i="56"/>
  <c r="BG259" i="56"/>
  <c r="BG258" i="56"/>
  <c r="BG257" i="56"/>
  <c r="BG256" i="56"/>
  <c r="BG255" i="56"/>
  <c r="BG254" i="56"/>
  <c r="BG253" i="56"/>
  <c r="BG252" i="56"/>
  <c r="BG251" i="56"/>
  <c r="BG250" i="56"/>
  <c r="BG249" i="56"/>
  <c r="BG248" i="56"/>
  <c r="BG247" i="56"/>
  <c r="BG246" i="56"/>
  <c r="BG245" i="56"/>
  <c r="BG244" i="56"/>
  <c r="BG243" i="56"/>
  <c r="BG242" i="56"/>
  <c r="BG241" i="56"/>
  <c r="BG240" i="56"/>
  <c r="BG239" i="56"/>
  <c r="BG238" i="56"/>
  <c r="BG237" i="56"/>
  <c r="BG236" i="56"/>
  <c r="BG235" i="56"/>
  <c r="BG234" i="56"/>
  <c r="BG233" i="56"/>
  <c r="BG232" i="56"/>
  <c r="BG231" i="56"/>
  <c r="BG230" i="56"/>
  <c r="BG229" i="56"/>
  <c r="BG228" i="56"/>
  <c r="BG227" i="56"/>
  <c r="BG226" i="56"/>
  <c r="BG225" i="56"/>
  <c r="BG224" i="56"/>
  <c r="BG223" i="56"/>
  <c r="BG222" i="56"/>
  <c r="BG221" i="56"/>
  <c r="BG220" i="56"/>
  <c r="BG219" i="56"/>
  <c r="BG218" i="56"/>
  <c r="BG217" i="56"/>
  <c r="BG216" i="56"/>
  <c r="BG215" i="56"/>
  <c r="BG214" i="56"/>
  <c r="BG213" i="56"/>
  <c r="BG212" i="56"/>
  <c r="BG211" i="56"/>
  <c r="BG210" i="56"/>
  <c r="BG209" i="56"/>
  <c r="BG208" i="56"/>
  <c r="BG207" i="56"/>
  <c r="BG206" i="56"/>
  <c r="BG205" i="56"/>
  <c r="BG204" i="56"/>
  <c r="BG203" i="56"/>
  <c r="BG202" i="56"/>
  <c r="BG201" i="56"/>
  <c r="BG200" i="56"/>
  <c r="BG199" i="56"/>
  <c r="BG198" i="56"/>
  <c r="BG197" i="56"/>
  <c r="BG196" i="56"/>
  <c r="BG195" i="56"/>
  <c r="BG194" i="56"/>
  <c r="BG193" i="56"/>
  <c r="BG192" i="56"/>
  <c r="BG191" i="56"/>
  <c r="BG190" i="56"/>
  <c r="BG189" i="56"/>
  <c r="BG188" i="56"/>
  <c r="BG187" i="56"/>
  <c r="BG186" i="56"/>
  <c r="BG185" i="56"/>
  <c r="BG184" i="56"/>
  <c r="BG183" i="56"/>
  <c r="BG182" i="56"/>
  <c r="BG181" i="56"/>
  <c r="BG180" i="56"/>
  <c r="BG179" i="56"/>
  <c r="BG178" i="56"/>
  <c r="BG177" i="56"/>
  <c r="BG176" i="56"/>
  <c r="BG175" i="56"/>
  <c r="BG174" i="56"/>
  <c r="BG173" i="56"/>
  <c r="BG172" i="56"/>
  <c r="BG171" i="56"/>
  <c r="BG170" i="56"/>
  <c r="BG169" i="56"/>
  <c r="BG168" i="56"/>
  <c r="BG167" i="56"/>
  <c r="BG166" i="56"/>
  <c r="BG165" i="56"/>
  <c r="BG164" i="56"/>
  <c r="BG163" i="56"/>
  <c r="BG162" i="56"/>
  <c r="BG161" i="56"/>
  <c r="BG160" i="56"/>
  <c r="BG159" i="56"/>
  <c r="BG158" i="56"/>
  <c r="BG157" i="56"/>
  <c r="BG156" i="56"/>
  <c r="BG155" i="56"/>
  <c r="BG154" i="56"/>
  <c r="BG153" i="56"/>
  <c r="BG152" i="56"/>
  <c r="BG151" i="56"/>
  <c r="BG150" i="56"/>
  <c r="BG149" i="56"/>
  <c r="BG148" i="56"/>
  <c r="BG147" i="56"/>
  <c r="BG146" i="56"/>
  <c r="BG145" i="56"/>
  <c r="BG144" i="56"/>
  <c r="BG143" i="56"/>
  <c r="BG142" i="56"/>
  <c r="BG141" i="56"/>
  <c r="BG140" i="56"/>
  <c r="BG139" i="56"/>
  <c r="BG138" i="56"/>
  <c r="BG137" i="56"/>
  <c r="BG136" i="56"/>
  <c r="BG135" i="56"/>
  <c r="BG134" i="56"/>
  <c r="BG133" i="56"/>
  <c r="BG132" i="56"/>
  <c r="BG131" i="56"/>
  <c r="BG130" i="56"/>
  <c r="BG129" i="56"/>
  <c r="BG128" i="56"/>
  <c r="BG127" i="56"/>
  <c r="BG126" i="56"/>
  <c r="BG125" i="56"/>
  <c r="BG124" i="56"/>
  <c r="BG123" i="56"/>
  <c r="BG122" i="56"/>
  <c r="BG121" i="56"/>
  <c r="BG120" i="56"/>
  <c r="BG119" i="56"/>
  <c r="BG118" i="56"/>
  <c r="BG117" i="56"/>
  <c r="BG116" i="56"/>
  <c r="BG115" i="56"/>
  <c r="BG114" i="56"/>
  <c r="BG113" i="56"/>
  <c r="BG112" i="56"/>
  <c r="BG111" i="56"/>
  <c r="BG110" i="56"/>
  <c r="BG109" i="56"/>
  <c r="BG108" i="56"/>
  <c r="BG107" i="56"/>
  <c r="BG106" i="56"/>
  <c r="BG105" i="56"/>
  <c r="BG104" i="56"/>
  <c r="BG103" i="56"/>
  <c r="BF264" i="56"/>
  <c r="BF263" i="56"/>
  <c r="BF262" i="56"/>
  <c r="BF261" i="56"/>
  <c r="BF260" i="56"/>
  <c r="BF259" i="56"/>
  <c r="BF258" i="56"/>
  <c r="BF257" i="56"/>
  <c r="BF256" i="56"/>
  <c r="BF255" i="56"/>
  <c r="BF254" i="56"/>
  <c r="BF253" i="56"/>
  <c r="BF252" i="56"/>
  <c r="BF251" i="56"/>
  <c r="BF250" i="56"/>
  <c r="BF249" i="56"/>
  <c r="BF248" i="56"/>
  <c r="BF247" i="56"/>
  <c r="BF246" i="56"/>
  <c r="BF245" i="56"/>
  <c r="BF244" i="56"/>
  <c r="BF243" i="56"/>
  <c r="BF242" i="56"/>
  <c r="BF241" i="56"/>
  <c r="BF240" i="56"/>
  <c r="BF239" i="56"/>
  <c r="BF238" i="56"/>
  <c r="BF237" i="56"/>
  <c r="BF236" i="56"/>
  <c r="BF235" i="56"/>
  <c r="BF234" i="56"/>
  <c r="BF233" i="56"/>
  <c r="BF232" i="56"/>
  <c r="BF231" i="56"/>
  <c r="BF230" i="56"/>
  <c r="BF229" i="56"/>
  <c r="BF228" i="56"/>
  <c r="BF227" i="56"/>
  <c r="BF226" i="56"/>
  <c r="BF225" i="56"/>
  <c r="BF224" i="56"/>
  <c r="BF223" i="56"/>
  <c r="BF222" i="56"/>
  <c r="BF221" i="56"/>
  <c r="BF220" i="56"/>
  <c r="BF219" i="56"/>
  <c r="BF218" i="56"/>
  <c r="BF217" i="56"/>
  <c r="BF216" i="56"/>
  <c r="BF215" i="56"/>
  <c r="BF214" i="56"/>
  <c r="BF213" i="56"/>
  <c r="BF212" i="56"/>
  <c r="BF211" i="56"/>
  <c r="BF210" i="56"/>
  <c r="BF209" i="56"/>
  <c r="BF208" i="56"/>
  <c r="BF207" i="56"/>
  <c r="BF206" i="56"/>
  <c r="BF205" i="56"/>
  <c r="BF204" i="56"/>
  <c r="BF203" i="56"/>
  <c r="BF202" i="56"/>
  <c r="BF201" i="56"/>
  <c r="BF200" i="56"/>
  <c r="BF199" i="56"/>
  <c r="BF198" i="56"/>
  <c r="BF197" i="56"/>
  <c r="BF196" i="56"/>
  <c r="BF195" i="56"/>
  <c r="BF194" i="56"/>
  <c r="BF193" i="56"/>
  <c r="BF192" i="56"/>
  <c r="BF191" i="56"/>
  <c r="BF190" i="56"/>
  <c r="BF189" i="56"/>
  <c r="BF188" i="56"/>
  <c r="BF187" i="56"/>
  <c r="BF186" i="56"/>
  <c r="BF185" i="56"/>
  <c r="BF184" i="56"/>
  <c r="BF183" i="56"/>
  <c r="BF182" i="56"/>
  <c r="BF181" i="56"/>
  <c r="BF180" i="56"/>
  <c r="BF179" i="56"/>
  <c r="BF178" i="56"/>
  <c r="BF177" i="56"/>
  <c r="BF176" i="56"/>
  <c r="BF175" i="56"/>
  <c r="BF174" i="56"/>
  <c r="BF173" i="56"/>
  <c r="BF172" i="56"/>
  <c r="BF171" i="56"/>
  <c r="BF170" i="56"/>
  <c r="BF169" i="56"/>
  <c r="BF168" i="56"/>
  <c r="BF167" i="56"/>
  <c r="BF166" i="56"/>
  <c r="BF165" i="56"/>
  <c r="BF164" i="56"/>
  <c r="BF163" i="56"/>
  <c r="BF162" i="56"/>
  <c r="BF161" i="56"/>
  <c r="BF160" i="56"/>
  <c r="BF159" i="56"/>
  <c r="BF158" i="56"/>
  <c r="BF157" i="56"/>
  <c r="BF156" i="56"/>
  <c r="BF155" i="56"/>
  <c r="BF154" i="56"/>
  <c r="BF153" i="56"/>
  <c r="BF152" i="56"/>
  <c r="BF151" i="56"/>
  <c r="BF150" i="56"/>
  <c r="BF149" i="56"/>
  <c r="BF148" i="56"/>
  <c r="BF147" i="56"/>
  <c r="BF146" i="56"/>
  <c r="BF145" i="56"/>
  <c r="BF144" i="56"/>
  <c r="BF143" i="56"/>
  <c r="BF142" i="56"/>
  <c r="BF141" i="56"/>
  <c r="BF140" i="56"/>
  <c r="BF139" i="56"/>
  <c r="BF138" i="56"/>
  <c r="BF137" i="56"/>
  <c r="BF136" i="56"/>
  <c r="BF135" i="56"/>
  <c r="BF134" i="56"/>
  <c r="BF133" i="56"/>
  <c r="BF132" i="56"/>
  <c r="BF131" i="56"/>
  <c r="BF130" i="56"/>
  <c r="BF129" i="56"/>
  <c r="BF128" i="56"/>
  <c r="BF127" i="56"/>
  <c r="BF126" i="56"/>
  <c r="BF125" i="56"/>
  <c r="BF124" i="56"/>
  <c r="BF123" i="56"/>
  <c r="BF122" i="56"/>
  <c r="BF121" i="56"/>
  <c r="BF120" i="56"/>
  <c r="BF119" i="56"/>
  <c r="BF118" i="56"/>
  <c r="BF117" i="56"/>
  <c r="BF116" i="56"/>
  <c r="BF115" i="56"/>
  <c r="BF114" i="56"/>
  <c r="BF113" i="56"/>
  <c r="BF112" i="56"/>
  <c r="BF111" i="56"/>
  <c r="BF110" i="56"/>
  <c r="BF109" i="56"/>
  <c r="BF108" i="56"/>
  <c r="BF107" i="56"/>
  <c r="BF106" i="56"/>
  <c r="BF105" i="56"/>
  <c r="BF104" i="56"/>
  <c r="BF103" i="56"/>
  <c r="BH264" i="56"/>
  <c r="BH263" i="56"/>
  <c r="BH262" i="56"/>
  <c r="BH261" i="56"/>
  <c r="BH260" i="56"/>
  <c r="BH259" i="56"/>
  <c r="BH258" i="56"/>
  <c r="BH257" i="56"/>
  <c r="BH256" i="56"/>
  <c r="BH255" i="56"/>
  <c r="BH254" i="56"/>
  <c r="BH253" i="56"/>
  <c r="BH252" i="56"/>
  <c r="BH251" i="56"/>
  <c r="BH250" i="56"/>
  <c r="BH249" i="56"/>
  <c r="BH248" i="56"/>
  <c r="BH247" i="56"/>
  <c r="BH246" i="56"/>
  <c r="BH245" i="56"/>
  <c r="BH244" i="56"/>
  <c r="BH243" i="56"/>
  <c r="BH242" i="56"/>
  <c r="BH241" i="56"/>
  <c r="BH240" i="56"/>
  <c r="BH239" i="56"/>
  <c r="BH238" i="56"/>
  <c r="BH237" i="56"/>
  <c r="BH236" i="56"/>
  <c r="BH235" i="56"/>
  <c r="BH234" i="56"/>
  <c r="BH233" i="56"/>
  <c r="BH232" i="56"/>
  <c r="BH231" i="56"/>
  <c r="BH230" i="56"/>
  <c r="BH229" i="56"/>
  <c r="BH228" i="56"/>
  <c r="BH227" i="56"/>
  <c r="BH226" i="56"/>
  <c r="BH225" i="56"/>
  <c r="BH224" i="56"/>
  <c r="BH223" i="56"/>
  <c r="BH222" i="56"/>
  <c r="BH221" i="56"/>
  <c r="BH220" i="56"/>
  <c r="BH219" i="56"/>
  <c r="BH218" i="56"/>
  <c r="BH217" i="56"/>
  <c r="BH216" i="56"/>
  <c r="BH215" i="56"/>
  <c r="BH214" i="56"/>
  <c r="BH213" i="56"/>
  <c r="BH212" i="56"/>
  <c r="BH211" i="56"/>
  <c r="BH210" i="56"/>
  <c r="BH209" i="56"/>
  <c r="BH208" i="56"/>
  <c r="BH207" i="56"/>
  <c r="BH206" i="56"/>
  <c r="BH205" i="56"/>
  <c r="BH204" i="56"/>
  <c r="BH203" i="56"/>
  <c r="BH202" i="56"/>
  <c r="BH201" i="56"/>
  <c r="BH200" i="56"/>
  <c r="BH199" i="56"/>
  <c r="BH198" i="56"/>
  <c r="BH197" i="56"/>
  <c r="BH196" i="56"/>
  <c r="BH195" i="56"/>
  <c r="BH194" i="56"/>
  <c r="BH193" i="56"/>
  <c r="BH192" i="56"/>
  <c r="BH191" i="56"/>
  <c r="BH190" i="56"/>
  <c r="BH189" i="56"/>
  <c r="BH188" i="56"/>
  <c r="BH187" i="56"/>
  <c r="BH186" i="56"/>
  <c r="BH185" i="56"/>
  <c r="BH184" i="56"/>
  <c r="BH183" i="56"/>
  <c r="BH182" i="56"/>
  <c r="BH181" i="56"/>
  <c r="BH180" i="56"/>
  <c r="BH179" i="56"/>
  <c r="BH178" i="56"/>
  <c r="BH177" i="56"/>
  <c r="BH176" i="56"/>
  <c r="BH175" i="56"/>
  <c r="BH174" i="56"/>
  <c r="BH173" i="56"/>
  <c r="BH172" i="56"/>
  <c r="BH171" i="56"/>
  <c r="BH170" i="56"/>
  <c r="BH169" i="56"/>
  <c r="BH168" i="56"/>
  <c r="BH167" i="56"/>
  <c r="BH166" i="56"/>
  <c r="BH165" i="56"/>
  <c r="BH164" i="56"/>
  <c r="BH163" i="56"/>
  <c r="BH162" i="56"/>
  <c r="BH161" i="56"/>
  <c r="BH160" i="56"/>
  <c r="BH159" i="56"/>
  <c r="BH158" i="56"/>
  <c r="BH157" i="56"/>
  <c r="BH156" i="56"/>
  <c r="BH155" i="56"/>
  <c r="BH154" i="56"/>
  <c r="BH153" i="56"/>
  <c r="BH152" i="56"/>
  <c r="BH151" i="56"/>
  <c r="BH150" i="56"/>
  <c r="BH149" i="56"/>
  <c r="BH148" i="56"/>
  <c r="BH147" i="56"/>
  <c r="BH146" i="56"/>
  <c r="BH145" i="56"/>
  <c r="BH144" i="56"/>
  <c r="BH143" i="56"/>
  <c r="BH142" i="56"/>
  <c r="BH141" i="56"/>
  <c r="BH140" i="56"/>
  <c r="BH139" i="56"/>
  <c r="BH138" i="56"/>
  <c r="BH137" i="56"/>
  <c r="BH136" i="56"/>
  <c r="BH135" i="56"/>
  <c r="BH134" i="56"/>
  <c r="BH133" i="56"/>
  <c r="BH132" i="56"/>
  <c r="BH131" i="56"/>
  <c r="BH130" i="56"/>
  <c r="BH129" i="56"/>
  <c r="BH128" i="56"/>
  <c r="BH127" i="56"/>
  <c r="BH126" i="56"/>
  <c r="BH125" i="56"/>
  <c r="BH124" i="56"/>
  <c r="BH123" i="56"/>
  <c r="BH122" i="56"/>
  <c r="BH121" i="56"/>
  <c r="BH120" i="56"/>
  <c r="BH119" i="56"/>
  <c r="BH118" i="56"/>
  <c r="BH117" i="56"/>
  <c r="BH116" i="56"/>
  <c r="BH115" i="56"/>
  <c r="BH114" i="56"/>
  <c r="BH113" i="56"/>
  <c r="BH112" i="56"/>
  <c r="BH111" i="56"/>
  <c r="BH110" i="56"/>
  <c r="BH109" i="56"/>
  <c r="BH108" i="56"/>
  <c r="BH107" i="56"/>
  <c r="BH106" i="56"/>
  <c r="BH104" i="56"/>
  <c r="BH105" i="56"/>
  <c r="BH103" i="56"/>
  <c r="X69" i="56" l="1"/>
  <c r="X77" i="56"/>
  <c r="X71" i="56"/>
  <c r="X67" i="56"/>
  <c r="X76" i="56"/>
  <c r="X68" i="56"/>
  <c r="X72" i="56"/>
  <c r="X78" i="56"/>
  <c r="X75" i="56"/>
  <c r="X74" i="56"/>
  <c r="X73" i="56"/>
  <c r="X70" i="56"/>
  <c r="W77" i="56"/>
  <c r="W69" i="56"/>
  <c r="W78" i="56"/>
  <c r="W67" i="56"/>
  <c r="W76" i="56"/>
  <c r="W68" i="56"/>
  <c r="W72" i="56"/>
  <c r="W71" i="56"/>
  <c r="W75" i="56"/>
  <c r="W74" i="56"/>
  <c r="W73" i="56"/>
  <c r="W70" i="56"/>
  <c r="T77" i="56"/>
  <c r="T76" i="56"/>
  <c r="T68" i="56"/>
  <c r="T71" i="56"/>
  <c r="T69" i="56"/>
  <c r="T74" i="56"/>
  <c r="T73" i="56"/>
  <c r="T67" i="56"/>
  <c r="T72" i="56"/>
  <c r="T78" i="56"/>
  <c r="T75" i="56"/>
  <c r="T70" i="56"/>
  <c r="H69" i="56"/>
  <c r="H71" i="56"/>
  <c r="H78" i="56"/>
  <c r="H77" i="56"/>
  <c r="H76" i="56"/>
  <c r="H68" i="56"/>
  <c r="H67" i="56"/>
  <c r="H72" i="56"/>
  <c r="H75" i="56"/>
  <c r="H74" i="56"/>
  <c r="H73" i="56"/>
  <c r="H70" i="56"/>
  <c r="S77" i="56"/>
  <c r="S69" i="56"/>
  <c r="S76" i="56"/>
  <c r="S68" i="56"/>
  <c r="S75" i="56"/>
  <c r="S74" i="56"/>
  <c r="S67" i="56"/>
  <c r="S72" i="56"/>
  <c r="S71" i="56"/>
  <c r="S78" i="56"/>
  <c r="S73" i="56"/>
  <c r="S70" i="56"/>
  <c r="G69" i="56"/>
  <c r="G77" i="56"/>
  <c r="G67" i="56"/>
  <c r="G76" i="56"/>
  <c r="G68" i="56"/>
  <c r="G72" i="56"/>
  <c r="G71" i="56"/>
  <c r="G78" i="56"/>
  <c r="G75" i="56"/>
  <c r="G74" i="56"/>
  <c r="G73" i="56"/>
  <c r="G70" i="56"/>
  <c r="X66" i="56"/>
  <c r="W66" i="56"/>
  <c r="T66" i="56"/>
  <c r="H66" i="56"/>
  <c r="S66" i="56"/>
  <c r="G66" i="56"/>
  <c r="AX5" i="56" a="1"/>
  <c r="AX5" i="56" s="1"/>
  <c r="AU16" i="56"/>
  <c r="V28" i="56" s="1"/>
  <c r="AU14" i="56"/>
  <c r="V30" i="56" s="1"/>
  <c r="AU15" i="56"/>
  <c r="V29" i="56" s="1"/>
  <c r="V27" i="56"/>
  <c r="BJ1" i="56"/>
  <c r="V50" i="56"/>
  <c r="V48" i="56"/>
  <c r="V46" i="56"/>
  <c r="V40" i="56"/>
  <c r="V51" i="56"/>
  <c r="V36" i="56"/>
  <c r="V43" i="56"/>
  <c r="V47" i="56"/>
  <c r="V37" i="56"/>
  <c r="V41" i="56"/>
  <c r="V42" i="56"/>
  <c r="V45" i="56"/>
  <c r="V44" i="56"/>
  <c r="V49" i="56"/>
  <c r="V38" i="56"/>
  <c r="V39" i="56"/>
  <c r="BJ9" i="56"/>
  <c r="BJ22" i="56"/>
  <c r="BJ25" i="56"/>
  <c r="BJ31" i="56"/>
  <c r="BJ12" i="56"/>
  <c r="BJ27" i="56"/>
  <c r="BJ28" i="56"/>
  <c r="BJ32" i="56"/>
  <c r="BJ34" i="56"/>
  <c r="BJ36" i="56"/>
  <c r="BJ94" i="56"/>
  <c r="BJ100" i="56"/>
  <c r="BJ69" i="56"/>
  <c r="BJ14" i="56"/>
  <c r="BJ13" i="56"/>
  <c r="BJ45" i="56"/>
  <c r="BJ65" i="56"/>
  <c r="BJ83" i="56"/>
  <c r="BJ40" i="56"/>
  <c r="BJ51" i="56"/>
  <c r="BJ11" i="56"/>
  <c r="BJ18" i="56"/>
  <c r="BJ59" i="56"/>
  <c r="BJ42" i="56"/>
  <c r="BJ23" i="56"/>
  <c r="BJ10" i="56"/>
  <c r="BJ98" i="56"/>
  <c r="BJ90" i="56"/>
  <c r="BJ82" i="56"/>
  <c r="BJ74" i="56"/>
  <c r="BJ87" i="56"/>
  <c r="BJ76" i="56"/>
  <c r="BJ73" i="56"/>
  <c r="BJ67" i="56"/>
  <c r="BJ57" i="56"/>
  <c r="BJ93" i="56"/>
  <c r="BJ96" i="56"/>
  <c r="BJ92" i="56"/>
  <c r="BJ84" i="56"/>
  <c r="BJ77" i="56"/>
  <c r="BJ60" i="56"/>
  <c r="BJ53" i="56"/>
  <c r="BJ91" i="56"/>
  <c r="BJ79" i="56"/>
  <c r="BJ70" i="56"/>
  <c r="BJ63" i="56"/>
  <c r="BJ56" i="56"/>
  <c r="BJ101" i="56"/>
  <c r="BJ95" i="56"/>
  <c r="BJ75" i="56"/>
  <c r="BJ61" i="56"/>
  <c r="BJ58" i="56"/>
  <c r="BJ55" i="56"/>
  <c r="BJ52" i="56"/>
  <c r="BJ43" i="56"/>
  <c r="BJ39" i="56"/>
  <c r="BJ35" i="56"/>
  <c r="BJ33" i="56"/>
  <c r="BJ29" i="56"/>
  <c r="BJ102" i="56"/>
  <c r="BJ85" i="56"/>
  <c r="BJ72" i="56"/>
  <c r="BJ80" i="56"/>
  <c r="BJ38" i="56"/>
  <c r="BJ21" i="56"/>
  <c r="BJ7" i="56"/>
  <c r="BJ86" i="56"/>
  <c r="BJ81" i="56"/>
  <c r="BJ71" i="56"/>
  <c r="BJ44" i="56"/>
  <c r="BJ41" i="56"/>
  <c r="BJ30" i="56"/>
  <c r="BJ24" i="56"/>
  <c r="BJ6" i="56"/>
  <c r="BJ48" i="56"/>
  <c r="BJ46" i="56"/>
  <c r="BJ16" i="56"/>
  <c r="BJ50" i="56"/>
  <c r="BJ89" i="56"/>
  <c r="BJ64" i="56"/>
  <c r="BJ62" i="56"/>
  <c r="BJ49" i="56"/>
  <c r="BJ37" i="56"/>
  <c r="BJ66" i="56"/>
  <c r="BJ97" i="56"/>
  <c r="BJ88" i="56"/>
  <c r="BJ99" i="56"/>
  <c r="BJ78" i="56"/>
  <c r="BJ68" i="56"/>
  <c r="BJ47" i="56"/>
  <c r="BJ8" i="56"/>
  <c r="BJ20" i="56"/>
  <c r="BJ15" i="56"/>
  <c r="BJ54" i="56"/>
  <c r="BJ26" i="56"/>
  <c r="BJ19" i="56"/>
  <c r="BJ17" i="56"/>
  <c r="V55" i="56"/>
  <c r="V58" i="56"/>
  <c r="V63" i="56"/>
  <c r="V52" i="56"/>
  <c r="V59" i="56"/>
  <c r="V60" i="56"/>
  <c r="V62" i="56"/>
  <c r="V56" i="56"/>
  <c r="V57" i="56"/>
  <c r="V53" i="56"/>
  <c r="V61" i="56"/>
  <c r="V54" i="56"/>
  <c r="BJ264" i="56"/>
  <c r="BJ263" i="56"/>
  <c r="BJ262" i="56"/>
  <c r="BJ261" i="56"/>
  <c r="BJ260" i="56"/>
  <c r="BJ259" i="56"/>
  <c r="BJ258" i="56"/>
  <c r="BJ257" i="56"/>
  <c r="BJ256" i="56"/>
  <c r="BJ255" i="56"/>
  <c r="BJ254" i="56"/>
  <c r="BJ253" i="56"/>
  <c r="BJ252" i="56"/>
  <c r="BJ251" i="56"/>
  <c r="BJ250" i="56"/>
  <c r="BJ249" i="56"/>
  <c r="BJ248" i="56"/>
  <c r="BJ247" i="56"/>
  <c r="BJ246" i="56"/>
  <c r="BJ245" i="56"/>
  <c r="BJ244" i="56"/>
  <c r="BJ243" i="56"/>
  <c r="BJ242" i="56"/>
  <c r="BJ241" i="56"/>
  <c r="BJ240" i="56"/>
  <c r="BJ239" i="56"/>
  <c r="BJ238" i="56"/>
  <c r="BJ237" i="56"/>
  <c r="BJ236" i="56"/>
  <c r="BJ235" i="56"/>
  <c r="BJ234" i="56"/>
  <c r="BJ233" i="56"/>
  <c r="BJ232" i="56"/>
  <c r="BJ231" i="56"/>
  <c r="BJ230" i="56"/>
  <c r="BJ229" i="56"/>
  <c r="BJ228" i="56"/>
  <c r="BJ227" i="56"/>
  <c r="BJ226" i="56"/>
  <c r="BJ225" i="56"/>
  <c r="BJ224" i="56"/>
  <c r="BJ223" i="56"/>
  <c r="BJ222" i="56"/>
  <c r="BJ221" i="56"/>
  <c r="BJ220" i="56"/>
  <c r="BJ219" i="56"/>
  <c r="BJ218" i="56"/>
  <c r="BJ217" i="56"/>
  <c r="BJ216" i="56"/>
  <c r="BJ215" i="56"/>
  <c r="BJ214" i="56"/>
  <c r="BJ213" i="56"/>
  <c r="BJ212" i="56"/>
  <c r="BJ211" i="56"/>
  <c r="BJ210" i="56"/>
  <c r="BJ209" i="56"/>
  <c r="BJ208" i="56"/>
  <c r="BJ207" i="56"/>
  <c r="BJ206" i="56"/>
  <c r="BJ205" i="56"/>
  <c r="BJ204" i="56"/>
  <c r="BJ203" i="56"/>
  <c r="BJ202" i="56"/>
  <c r="BJ201" i="56"/>
  <c r="BJ200" i="56"/>
  <c r="BJ199" i="56"/>
  <c r="BJ198" i="56"/>
  <c r="BJ197" i="56"/>
  <c r="BJ196" i="56"/>
  <c r="BJ195" i="56"/>
  <c r="BJ194" i="56"/>
  <c r="BJ193" i="56"/>
  <c r="BJ192" i="56"/>
  <c r="BJ191" i="56"/>
  <c r="BJ190" i="56"/>
  <c r="BJ189" i="56"/>
  <c r="BJ188" i="56"/>
  <c r="BJ187" i="56"/>
  <c r="BJ186" i="56"/>
  <c r="BJ185" i="56"/>
  <c r="BJ184" i="56"/>
  <c r="BJ183" i="56"/>
  <c r="BJ182" i="56"/>
  <c r="BJ181" i="56"/>
  <c r="BJ180" i="56"/>
  <c r="BJ179" i="56"/>
  <c r="BJ178" i="56"/>
  <c r="BJ177" i="56"/>
  <c r="BJ176" i="56"/>
  <c r="BJ175" i="56"/>
  <c r="BJ174" i="56"/>
  <c r="BJ173" i="56"/>
  <c r="BJ172" i="56"/>
  <c r="BJ171" i="56"/>
  <c r="BJ170" i="56"/>
  <c r="BJ169" i="56"/>
  <c r="BJ168" i="56"/>
  <c r="BJ167" i="56"/>
  <c r="BJ166" i="56"/>
  <c r="BJ165" i="56"/>
  <c r="BJ164" i="56"/>
  <c r="BJ163" i="56"/>
  <c r="BJ162" i="56"/>
  <c r="BJ161" i="56"/>
  <c r="BJ160" i="56"/>
  <c r="BJ159" i="56"/>
  <c r="BJ158" i="56"/>
  <c r="BJ157" i="56"/>
  <c r="BJ156" i="56"/>
  <c r="BJ155" i="56"/>
  <c r="BJ154" i="56"/>
  <c r="BJ153" i="56"/>
  <c r="BJ152" i="56"/>
  <c r="BJ151" i="56"/>
  <c r="BJ150" i="56"/>
  <c r="BJ149" i="56"/>
  <c r="BJ148" i="56"/>
  <c r="BJ147" i="56"/>
  <c r="BJ146" i="56"/>
  <c r="BJ145" i="56"/>
  <c r="BJ144" i="56"/>
  <c r="BJ143" i="56"/>
  <c r="BJ142" i="56"/>
  <c r="BJ141" i="56"/>
  <c r="BJ140" i="56"/>
  <c r="BJ139" i="56"/>
  <c r="BJ138" i="56"/>
  <c r="BJ137" i="56"/>
  <c r="BJ136" i="56"/>
  <c r="BJ135" i="56"/>
  <c r="BJ134" i="56"/>
  <c r="BJ133" i="56"/>
  <c r="BJ132" i="56"/>
  <c r="BJ131" i="56"/>
  <c r="BJ130" i="56"/>
  <c r="BJ129" i="56"/>
  <c r="BJ128" i="56"/>
  <c r="BJ127" i="56"/>
  <c r="BJ126" i="56"/>
  <c r="BJ125" i="56"/>
  <c r="BJ124" i="56"/>
  <c r="BJ123" i="56"/>
  <c r="BJ122" i="56"/>
  <c r="BJ121" i="56"/>
  <c r="BJ120" i="56"/>
  <c r="BJ119" i="56"/>
  <c r="BJ118" i="56"/>
  <c r="BJ117" i="56"/>
  <c r="BJ116" i="56"/>
  <c r="BJ115" i="56"/>
  <c r="BJ114" i="56"/>
  <c r="BJ113" i="56"/>
  <c r="BJ112" i="56"/>
  <c r="BJ111" i="56"/>
  <c r="BJ110" i="56"/>
  <c r="BJ109" i="56"/>
  <c r="BJ108" i="56"/>
  <c r="BJ107" i="56"/>
  <c r="BJ106" i="56"/>
  <c r="BJ104" i="56"/>
  <c r="BJ105" i="56"/>
  <c r="BJ103" i="56"/>
  <c r="AX6" i="56" l="1"/>
  <c r="V69" i="56"/>
  <c r="V76" i="56"/>
  <c r="V68" i="56"/>
  <c r="V72" i="56"/>
  <c r="V71" i="56"/>
  <c r="V77" i="56"/>
  <c r="V75" i="56"/>
  <c r="V74" i="56"/>
  <c r="V67" i="56"/>
  <c r="V78" i="56"/>
  <c r="V73" i="56"/>
  <c r="V70" i="56"/>
  <c r="V66" i="56"/>
  <c r="AY6" i="56"/>
  <c r="AY5" i="56"/>
  <c r="V35" i="56"/>
  <c r="BJ5" i="56" s="1"/>
  <c r="AU5" i="56" l="1" a="1"/>
  <c r="AU6" i="56" s="1"/>
  <c r="U28" i="56" s="1"/>
  <c r="Z25" i="56"/>
  <c r="Y25" i="56"/>
  <c r="Y26" i="56"/>
  <c r="Y28" i="56" s="1" a="1"/>
  <c r="AA25" i="56"/>
  <c r="AA26" i="56"/>
  <c r="AU5" i="56" l="1"/>
  <c r="U29" i="56" s="1"/>
  <c r="Y28" i="56"/>
  <c r="Y29" i="56"/>
  <c r="U27" i="56"/>
  <c r="BI1" i="56"/>
  <c r="AB25" i="56"/>
  <c r="AA28" i="56" a="1"/>
  <c r="U51" i="56"/>
  <c r="U43" i="56"/>
  <c r="U39" i="56"/>
  <c r="U44" i="56"/>
  <c r="U37" i="56"/>
  <c r="U48" i="56"/>
  <c r="U46" i="56"/>
  <c r="U40" i="56"/>
  <c r="U36" i="56"/>
  <c r="U50" i="56"/>
  <c r="U49" i="56"/>
  <c r="U38" i="56"/>
  <c r="U42" i="56"/>
  <c r="U47" i="56"/>
  <c r="U45" i="56"/>
  <c r="U41" i="56"/>
  <c r="U55" i="56"/>
  <c r="U58" i="56"/>
  <c r="U59" i="56"/>
  <c r="U56" i="56"/>
  <c r="U52" i="56"/>
  <c r="U57" i="56"/>
  <c r="U60" i="56"/>
  <c r="U53" i="56"/>
  <c r="U62" i="56"/>
  <c r="U63" i="56"/>
  <c r="U61" i="56"/>
  <c r="U54" i="56"/>
  <c r="BI23" i="56"/>
  <c r="BI22" i="56"/>
  <c r="BI31" i="56"/>
  <c r="BI37" i="56"/>
  <c r="BI39" i="56"/>
  <c r="BI49" i="56"/>
  <c r="BI54" i="56"/>
  <c r="BI56" i="56"/>
  <c r="BI64" i="56"/>
  <c r="BI79" i="56"/>
  <c r="BI48" i="56"/>
  <c r="BI45" i="56"/>
  <c r="BI67" i="56"/>
  <c r="BI14" i="56"/>
  <c r="BI10" i="56"/>
  <c r="BI97" i="56"/>
  <c r="BI89" i="56"/>
  <c r="BI81" i="56"/>
  <c r="BI73" i="56"/>
  <c r="BI101" i="56"/>
  <c r="BI95" i="56"/>
  <c r="BI84" i="56"/>
  <c r="BI70" i="56"/>
  <c r="BI66" i="56"/>
  <c r="BI98" i="56"/>
  <c r="BI90" i="56"/>
  <c r="BI87" i="56"/>
  <c r="BI88" i="56"/>
  <c r="BI75" i="56"/>
  <c r="BI68" i="56"/>
  <c r="BI65" i="56"/>
  <c r="BI52" i="56"/>
  <c r="BI96" i="56"/>
  <c r="BI92" i="56"/>
  <c r="BI77" i="56"/>
  <c r="BI60" i="56"/>
  <c r="BI53" i="56"/>
  <c r="BI94" i="56"/>
  <c r="BI74" i="56"/>
  <c r="BI62" i="56"/>
  <c r="BI32" i="56"/>
  <c r="BI28" i="56"/>
  <c r="BI26" i="56"/>
  <c r="BI24" i="56"/>
  <c r="BI61" i="56"/>
  <c r="BI58" i="56"/>
  <c r="BI55" i="56"/>
  <c r="BI59" i="56"/>
  <c r="BI51" i="56"/>
  <c r="BI42" i="56"/>
  <c r="BI25" i="56"/>
  <c r="BI15" i="56"/>
  <c r="BI13" i="56"/>
  <c r="BI9" i="56"/>
  <c r="BI80" i="56"/>
  <c r="BI38" i="56"/>
  <c r="BI21" i="56"/>
  <c r="BI7" i="56"/>
  <c r="BI30" i="56"/>
  <c r="BI41" i="56"/>
  <c r="BI86" i="56"/>
  <c r="BI76" i="56"/>
  <c r="BI71" i="56"/>
  <c r="BI63" i="56"/>
  <c r="BI44" i="56"/>
  <c r="BI33" i="56"/>
  <c r="BI29" i="56"/>
  <c r="BI99" i="56"/>
  <c r="BI93" i="56"/>
  <c r="BI83" i="56"/>
  <c r="BI102" i="56"/>
  <c r="BI100" i="56"/>
  <c r="BI85" i="56"/>
  <c r="BI50" i="56"/>
  <c r="BI36" i="56"/>
  <c r="BI34" i="56"/>
  <c r="BI27" i="56"/>
  <c r="BI12" i="56"/>
  <c r="BI20" i="56"/>
  <c r="BI19" i="56"/>
  <c r="BI16" i="56"/>
  <c r="BI43" i="56"/>
  <c r="BI6" i="56"/>
  <c r="BI69" i="56"/>
  <c r="BI57" i="56"/>
  <c r="BI40" i="56"/>
  <c r="BI78" i="56"/>
  <c r="BI47" i="56"/>
  <c r="BI46" i="56"/>
  <c r="BI35" i="56"/>
  <c r="BI8" i="56"/>
  <c r="BI18" i="56"/>
  <c r="BI17" i="56"/>
  <c r="BI11" i="56"/>
  <c r="BI82" i="56"/>
  <c r="BI91" i="56"/>
  <c r="BI72" i="56"/>
  <c r="BI264" i="56"/>
  <c r="BI263" i="56"/>
  <c r="BI262" i="56"/>
  <c r="BI261" i="56"/>
  <c r="BI260" i="56"/>
  <c r="BI259" i="56"/>
  <c r="BI258" i="56"/>
  <c r="BI257" i="56"/>
  <c r="BI256" i="56"/>
  <c r="BI255" i="56"/>
  <c r="BI254" i="56"/>
  <c r="BI253" i="56"/>
  <c r="BI252" i="56"/>
  <c r="BI251" i="56"/>
  <c r="BI250" i="56"/>
  <c r="BI249" i="56"/>
  <c r="BI248" i="56"/>
  <c r="BI247" i="56"/>
  <c r="BI246" i="56"/>
  <c r="BI245" i="56"/>
  <c r="BI244" i="56"/>
  <c r="BI243" i="56"/>
  <c r="BI242" i="56"/>
  <c r="BI241" i="56"/>
  <c r="BI240" i="56"/>
  <c r="BI239" i="56"/>
  <c r="BI238" i="56"/>
  <c r="BI237" i="56"/>
  <c r="BI236" i="56"/>
  <c r="BI235" i="56"/>
  <c r="BI234" i="56"/>
  <c r="BI233" i="56"/>
  <c r="BI232" i="56"/>
  <c r="BI231" i="56"/>
  <c r="BI230" i="56"/>
  <c r="BI229" i="56"/>
  <c r="BI228" i="56"/>
  <c r="BI227" i="56"/>
  <c r="BI226" i="56"/>
  <c r="BI225" i="56"/>
  <c r="BI224" i="56"/>
  <c r="BI223" i="56"/>
  <c r="BI222" i="56"/>
  <c r="BI221" i="56"/>
  <c r="BI220" i="56"/>
  <c r="BI219" i="56"/>
  <c r="BI218" i="56"/>
  <c r="BI217" i="56"/>
  <c r="BI216" i="56"/>
  <c r="BI215" i="56"/>
  <c r="BI214" i="56"/>
  <c r="BI213" i="56"/>
  <c r="BI212" i="56"/>
  <c r="BI211" i="56"/>
  <c r="BI210" i="56"/>
  <c r="BI209" i="56"/>
  <c r="BI208" i="56"/>
  <c r="BI207" i="56"/>
  <c r="BI206" i="56"/>
  <c r="BI205" i="56"/>
  <c r="BI204" i="56"/>
  <c r="BI203" i="56"/>
  <c r="BI202" i="56"/>
  <c r="BI201" i="56"/>
  <c r="BI200" i="56"/>
  <c r="BI199" i="56"/>
  <c r="BI198" i="56"/>
  <c r="BI197" i="56"/>
  <c r="BI196" i="56"/>
  <c r="BI195" i="56"/>
  <c r="BI194" i="56"/>
  <c r="BI193" i="56"/>
  <c r="BI192" i="56"/>
  <c r="BI191" i="56"/>
  <c r="BI190" i="56"/>
  <c r="BI189" i="56"/>
  <c r="BI188" i="56"/>
  <c r="BI187" i="56"/>
  <c r="BI186" i="56"/>
  <c r="BI185" i="56"/>
  <c r="BI184" i="56"/>
  <c r="BI183" i="56"/>
  <c r="BI182" i="56"/>
  <c r="BI181" i="56"/>
  <c r="BI180" i="56"/>
  <c r="BI179" i="56"/>
  <c r="BI178" i="56"/>
  <c r="BI177" i="56"/>
  <c r="BI176" i="56"/>
  <c r="BI175" i="56"/>
  <c r="BI174" i="56"/>
  <c r="BI173" i="56"/>
  <c r="BI172" i="56"/>
  <c r="BI171" i="56"/>
  <c r="BI170" i="56"/>
  <c r="BI169" i="56"/>
  <c r="BI168" i="56"/>
  <c r="BI167" i="56"/>
  <c r="BI166" i="56"/>
  <c r="BI165" i="56"/>
  <c r="BI164" i="56"/>
  <c r="BI163" i="56"/>
  <c r="BI162" i="56"/>
  <c r="BI161" i="56"/>
  <c r="BI160" i="56"/>
  <c r="BI159" i="56"/>
  <c r="BI158" i="56"/>
  <c r="BI157" i="56"/>
  <c r="BI156" i="56"/>
  <c r="BI155" i="56"/>
  <c r="BI154" i="56"/>
  <c r="BI153" i="56"/>
  <c r="BI152" i="56"/>
  <c r="BI151" i="56"/>
  <c r="BI150" i="56"/>
  <c r="BI149" i="56"/>
  <c r="BI148" i="56"/>
  <c r="BI147" i="56"/>
  <c r="BI146" i="56"/>
  <c r="BI145" i="56"/>
  <c r="BI144" i="56"/>
  <c r="BI143" i="56"/>
  <c r="BI142" i="56"/>
  <c r="BI141" i="56"/>
  <c r="BI140" i="56"/>
  <c r="BI139" i="56"/>
  <c r="BI138" i="56"/>
  <c r="BI137" i="56"/>
  <c r="BI136" i="56"/>
  <c r="BI135" i="56"/>
  <c r="BI134" i="56"/>
  <c r="BI133" i="56"/>
  <c r="BI132" i="56"/>
  <c r="BI131" i="56"/>
  <c r="BI130" i="56"/>
  <c r="BI129" i="56"/>
  <c r="BI128" i="56"/>
  <c r="BI127" i="56"/>
  <c r="BI126" i="56"/>
  <c r="BI125" i="56"/>
  <c r="BI124" i="56"/>
  <c r="BI123" i="56"/>
  <c r="BI122" i="56"/>
  <c r="BI121" i="56"/>
  <c r="BI120" i="56"/>
  <c r="BI119" i="56"/>
  <c r="BI118" i="56"/>
  <c r="BI117" i="56"/>
  <c r="BI116" i="56"/>
  <c r="BI115" i="56"/>
  <c r="BI114" i="56"/>
  <c r="BI113" i="56"/>
  <c r="BI112" i="56"/>
  <c r="BI111" i="56"/>
  <c r="BI110" i="56"/>
  <c r="BI109" i="56"/>
  <c r="BI108" i="56"/>
  <c r="BI107" i="56"/>
  <c r="BI106" i="56"/>
  <c r="BI104" i="56"/>
  <c r="BI105" i="56"/>
  <c r="BI103" i="56"/>
  <c r="U69" i="56" l="1"/>
  <c r="U76" i="56"/>
  <c r="U78" i="56"/>
  <c r="U77" i="56"/>
  <c r="U68" i="56"/>
  <c r="U75" i="56"/>
  <c r="U72" i="56"/>
  <c r="U67" i="56"/>
  <c r="U71" i="56"/>
  <c r="U74" i="56"/>
  <c r="U73" i="56"/>
  <c r="U70" i="56"/>
  <c r="U66" i="56"/>
  <c r="U35" i="56"/>
  <c r="BI5" i="56" s="1"/>
  <c r="Y35" i="56"/>
  <c r="BM5" i="56" s="1"/>
  <c r="AA28" i="56"/>
  <c r="AA29" i="56"/>
  <c r="Z26" i="56"/>
  <c r="Z28" i="56" s="1" a="1"/>
  <c r="AB26" i="56"/>
  <c r="AB28" i="56" a="1"/>
  <c r="AA35" i="56" l="1"/>
  <c r="BO5" i="56" s="1"/>
  <c r="Z29" i="56"/>
  <c r="Z30" i="56"/>
  <c r="Z28" i="56"/>
  <c r="AB30" i="56"/>
  <c r="AB28" i="56"/>
  <c r="AB29" i="56"/>
  <c r="AB35" i="56"/>
  <c r="BP5" i="56" s="1"/>
  <c r="Z27" i="56"/>
  <c r="Z36" i="56"/>
  <c r="Z48" i="56"/>
  <c r="Z40" i="56"/>
  <c r="Z37" i="56"/>
  <c r="Z39" i="56"/>
  <c r="Z41" i="56"/>
  <c r="Z43" i="56"/>
  <c r="Z44" i="56"/>
  <c r="Z46" i="56"/>
  <c r="Z51" i="56"/>
  <c r="Z50" i="56"/>
  <c r="BN1" i="56"/>
  <c r="BN7" i="56"/>
  <c r="BN8" i="56"/>
  <c r="BN18" i="56"/>
  <c r="BN20" i="56"/>
  <c r="BN29" i="56"/>
  <c r="BN50" i="56"/>
  <c r="BN68" i="56"/>
  <c r="BN73" i="56"/>
  <c r="BN12" i="56"/>
  <c r="BN22" i="56"/>
  <c r="BN33" i="56"/>
  <c r="BN34" i="56"/>
  <c r="BN38" i="56"/>
  <c r="BN54" i="56"/>
  <c r="BN49" i="56"/>
  <c r="BN30" i="56"/>
  <c r="BN25" i="56"/>
  <c r="BN51" i="56"/>
  <c r="BN35" i="56"/>
  <c r="BN48" i="56"/>
  <c r="BN56" i="56"/>
  <c r="BN26" i="56"/>
  <c r="BN47" i="56"/>
  <c r="BN10" i="56"/>
  <c r="BN13" i="56"/>
  <c r="BN16" i="56"/>
  <c r="BN75" i="56"/>
  <c r="BN62" i="56"/>
  <c r="BN52" i="56"/>
  <c r="BN9" i="56"/>
  <c r="BN28" i="56"/>
  <c r="BN32" i="56"/>
  <c r="BN6" i="56"/>
  <c r="BN42" i="56"/>
  <c r="BN44" i="56"/>
  <c r="BN23" i="56"/>
  <c r="BN24" i="56"/>
  <c r="BN45" i="56"/>
  <c r="BN46" i="56"/>
  <c r="BN59" i="56"/>
  <c r="BN88" i="56"/>
  <c r="BN81" i="56"/>
  <c r="BN92" i="56"/>
  <c r="BN95" i="56"/>
  <c r="BN79" i="56"/>
  <c r="BN66" i="56"/>
  <c r="BN72" i="56"/>
  <c r="BN93" i="56"/>
  <c r="BN96" i="56"/>
  <c r="BN39" i="56"/>
  <c r="BN55" i="56"/>
  <c r="BN14" i="56"/>
  <c r="BN36" i="56"/>
  <c r="BN43" i="56"/>
  <c r="BN65" i="56"/>
  <c r="BN99" i="56"/>
  <c r="BN17" i="56"/>
  <c r="BN31" i="56"/>
  <c r="BN40" i="56"/>
  <c r="BN71" i="56"/>
  <c r="BN53" i="56"/>
  <c r="BN57" i="56"/>
  <c r="BN82" i="56"/>
  <c r="BN87" i="56"/>
  <c r="BN89" i="56"/>
  <c r="BN98" i="56"/>
  <c r="BN11" i="56"/>
  <c r="BN15" i="56"/>
  <c r="BN19" i="56"/>
  <c r="BN21" i="56"/>
  <c r="BN27" i="56"/>
  <c r="BN37" i="56"/>
  <c r="BN41" i="56"/>
  <c r="BN60" i="56"/>
  <c r="BN84" i="56"/>
  <c r="BN85" i="56"/>
  <c r="BN67" i="56"/>
  <c r="BN69" i="56"/>
  <c r="BN76" i="56"/>
  <c r="BN90" i="56"/>
  <c r="BN58" i="56"/>
  <c r="BN61" i="56"/>
  <c r="BN64" i="56"/>
  <c r="BN74" i="56"/>
  <c r="BN83" i="56"/>
  <c r="BN97" i="56"/>
  <c r="BN63" i="56"/>
  <c r="BN77" i="56"/>
  <c r="BN80" i="56"/>
  <c r="BN91" i="56"/>
  <c r="BN100" i="56"/>
  <c r="BN70" i="56"/>
  <c r="BN78" i="56"/>
  <c r="BN86" i="56"/>
  <c r="BN94" i="56"/>
  <c r="BN102" i="56"/>
  <c r="BN101" i="56"/>
  <c r="Z38" i="56"/>
  <c r="Z45" i="56"/>
  <c r="Z47" i="56"/>
  <c r="Z42" i="56"/>
  <c r="Z49" i="56"/>
  <c r="AB27" i="56"/>
  <c r="BP1" i="56"/>
  <c r="BP8" i="56"/>
  <c r="BP24" i="56"/>
  <c r="BP13" i="56"/>
  <c r="BP15" i="56"/>
  <c r="BP16" i="56"/>
  <c r="BP17" i="56"/>
  <c r="BP19" i="56"/>
  <c r="BP53" i="56"/>
  <c r="BP76" i="56"/>
  <c r="BP95" i="56"/>
  <c r="BP37" i="56"/>
  <c r="BP79" i="56"/>
  <c r="BP40" i="56"/>
  <c r="BP41" i="56"/>
  <c r="BP61" i="56"/>
  <c r="BP97" i="56"/>
  <c r="BP29" i="56"/>
  <c r="BP36" i="56"/>
  <c r="BP22" i="56"/>
  <c r="BP33" i="56"/>
  <c r="BP58" i="56"/>
  <c r="BP70" i="56"/>
  <c r="BP98" i="56"/>
  <c r="BP46" i="56"/>
  <c r="BP60" i="56"/>
  <c r="BP7" i="56"/>
  <c r="BP21" i="56"/>
  <c r="BP30" i="56"/>
  <c r="BP43" i="56"/>
  <c r="BP9" i="56"/>
  <c r="BP25" i="56"/>
  <c r="BP6" i="56"/>
  <c r="BP10" i="56"/>
  <c r="BP44" i="56"/>
  <c r="BP84" i="56"/>
  <c r="BP74" i="56"/>
  <c r="BP91" i="56"/>
  <c r="BP100" i="56"/>
  <c r="BP12" i="56"/>
  <c r="BP27" i="56"/>
  <c r="BP32" i="56"/>
  <c r="BP34" i="56"/>
  <c r="BP35" i="56"/>
  <c r="BP45" i="56"/>
  <c r="BP47" i="56"/>
  <c r="BP56" i="56"/>
  <c r="BP67" i="56"/>
  <c r="BP90" i="56"/>
  <c r="BP11" i="56"/>
  <c r="BP14" i="56"/>
  <c r="BP18" i="56"/>
  <c r="BP20" i="56"/>
  <c r="BP26" i="56"/>
  <c r="BP28" i="56"/>
  <c r="BP39" i="56"/>
  <c r="BP66" i="56"/>
  <c r="BP77" i="56"/>
  <c r="BP82" i="56"/>
  <c r="BP93" i="56"/>
  <c r="BP54" i="56"/>
  <c r="BP63" i="56"/>
  <c r="BP23" i="56"/>
  <c r="BP31" i="56"/>
  <c r="BP38" i="56"/>
  <c r="BP42" i="56"/>
  <c r="BP64" i="56"/>
  <c r="BP68" i="56"/>
  <c r="BP81" i="56"/>
  <c r="BP83" i="56"/>
  <c r="BP87" i="56"/>
  <c r="BP52" i="56"/>
  <c r="BP62" i="56"/>
  <c r="BP71" i="56"/>
  <c r="BP73" i="56"/>
  <c r="BP85" i="56"/>
  <c r="BP94" i="56"/>
  <c r="BP101" i="56"/>
  <c r="BP48" i="56"/>
  <c r="BP49" i="56"/>
  <c r="BP50" i="56"/>
  <c r="BP51" i="56"/>
  <c r="BP55" i="56"/>
  <c r="BP57" i="56"/>
  <c r="BP69" i="56"/>
  <c r="BP78" i="56"/>
  <c r="BP92" i="56"/>
  <c r="BP99" i="56"/>
  <c r="BP59" i="56"/>
  <c r="BP65" i="56"/>
  <c r="BP75" i="56"/>
  <c r="BP86" i="56"/>
  <c r="BP89" i="56"/>
  <c r="BP102" i="56"/>
  <c r="BP72" i="56"/>
  <c r="BP80" i="56"/>
  <c r="BP88" i="56"/>
  <c r="BP96" i="56"/>
  <c r="AB47" i="56"/>
  <c r="AB39" i="56"/>
  <c r="AB42" i="56"/>
  <c r="AB48" i="56"/>
  <c r="AB36" i="56"/>
  <c r="AB43" i="56"/>
  <c r="AB45" i="56"/>
  <c r="AB46" i="56"/>
  <c r="AB40" i="56"/>
  <c r="AB37" i="56"/>
  <c r="AB44" i="56"/>
  <c r="AB41" i="56"/>
  <c r="AB38" i="56"/>
  <c r="AB49" i="56"/>
  <c r="AB50" i="56"/>
  <c r="AB51" i="56"/>
  <c r="AA27" i="56"/>
  <c r="AA46" i="56"/>
  <c r="AA36" i="56"/>
  <c r="AA37" i="56"/>
  <c r="AA39" i="56"/>
  <c r="AA48" i="56"/>
  <c r="AA40" i="56"/>
  <c r="AA43" i="56"/>
  <c r="AA44" i="56"/>
  <c r="AA41" i="56"/>
  <c r="AA49" i="56"/>
  <c r="AA50" i="56"/>
  <c r="BO1" i="56"/>
  <c r="BO29" i="56"/>
  <c r="BO7" i="56"/>
  <c r="BO24" i="56"/>
  <c r="BO46" i="56"/>
  <c r="BO59" i="56"/>
  <c r="BO60" i="56"/>
  <c r="BO85" i="56"/>
  <c r="BO62" i="56"/>
  <c r="BO21" i="56"/>
  <c r="BO37" i="56"/>
  <c r="BO40" i="56"/>
  <c r="BO48" i="56"/>
  <c r="BO49" i="56"/>
  <c r="BO52" i="56"/>
  <c r="BO74" i="56"/>
  <c r="BO61" i="56"/>
  <c r="BO31" i="56"/>
  <c r="BO12" i="56"/>
  <c r="BO33" i="56"/>
  <c r="BO38" i="56"/>
  <c r="BO41" i="56"/>
  <c r="BO58" i="56"/>
  <c r="BO63" i="56"/>
  <c r="BO10" i="56"/>
  <c r="BO44" i="56"/>
  <c r="BO92" i="56"/>
  <c r="BO27" i="56"/>
  <c r="BO9" i="56"/>
  <c r="BO25" i="56"/>
  <c r="BO6" i="56"/>
  <c r="BO13" i="56"/>
  <c r="BO15" i="56"/>
  <c r="BO16" i="56"/>
  <c r="BO17" i="56"/>
  <c r="BO19" i="56"/>
  <c r="BO75" i="56"/>
  <c r="BO91" i="56"/>
  <c r="BO100" i="56"/>
  <c r="BO84" i="56"/>
  <c r="BO47" i="56"/>
  <c r="BO56" i="56"/>
  <c r="BO73" i="56"/>
  <c r="BO35" i="56"/>
  <c r="BO45" i="56"/>
  <c r="BO32" i="56"/>
  <c r="BO34" i="56"/>
  <c r="BO42" i="56"/>
  <c r="BO54" i="56"/>
  <c r="BO11" i="56"/>
  <c r="BO18" i="56"/>
  <c r="BO20" i="56"/>
  <c r="BO23" i="56"/>
  <c r="BO26" i="56"/>
  <c r="BO28" i="56"/>
  <c r="BO39" i="56"/>
  <c r="BO66" i="56"/>
  <c r="BO77" i="56"/>
  <c r="BO93" i="56"/>
  <c r="BO96" i="56"/>
  <c r="BO36" i="56"/>
  <c r="BO43" i="56"/>
  <c r="BO65" i="56"/>
  <c r="BO101" i="56"/>
  <c r="BO68" i="56"/>
  <c r="BO80" i="56"/>
  <c r="BO81" i="56"/>
  <c r="BO88" i="56"/>
  <c r="BO99" i="56"/>
  <c r="BO8" i="56"/>
  <c r="BO14" i="56"/>
  <c r="BO22" i="56"/>
  <c r="BO30" i="56"/>
  <c r="BO53" i="56"/>
  <c r="BO70" i="56"/>
  <c r="BO82" i="56"/>
  <c r="BO98" i="56"/>
  <c r="BO50" i="56"/>
  <c r="BO51" i="56"/>
  <c r="BO55" i="56"/>
  <c r="BO57" i="56"/>
  <c r="BO78" i="56"/>
  <c r="BO67" i="56"/>
  <c r="BO76" i="56"/>
  <c r="BO90" i="56"/>
  <c r="BO86" i="56"/>
  <c r="BO89" i="56"/>
  <c r="BO64" i="56"/>
  <c r="BO69" i="56"/>
  <c r="BO72" i="56"/>
  <c r="BO83" i="56"/>
  <c r="BO94" i="56"/>
  <c r="BO97" i="56"/>
  <c r="BO71" i="56"/>
  <c r="BO79" i="56"/>
  <c r="BO87" i="56"/>
  <c r="BO95" i="56"/>
  <c r="BO102" i="56"/>
  <c r="AA45" i="56"/>
  <c r="AA47" i="56"/>
  <c r="AA38" i="56"/>
  <c r="AA42" i="56"/>
  <c r="AA51" i="56"/>
  <c r="Y27" i="56"/>
  <c r="BM1" i="56"/>
  <c r="BM35" i="56"/>
  <c r="BM26" i="56"/>
  <c r="BM37" i="56"/>
  <c r="BM21" i="56"/>
  <c r="BM11" i="56"/>
  <c r="BM66" i="56"/>
  <c r="BM52" i="56"/>
  <c r="BM33" i="56"/>
  <c r="BM38" i="56"/>
  <c r="BM79" i="56"/>
  <c r="BM9" i="56"/>
  <c r="BM39" i="56"/>
  <c r="BM41" i="56"/>
  <c r="BM49" i="56"/>
  <c r="BM6" i="56"/>
  <c r="BM42" i="56"/>
  <c r="BM44" i="56"/>
  <c r="BM28" i="56"/>
  <c r="BM75" i="56"/>
  <c r="BM80" i="56"/>
  <c r="BM87" i="56"/>
  <c r="BM47" i="56"/>
  <c r="BM15" i="56"/>
  <c r="BM45" i="56"/>
  <c r="BM55" i="56"/>
  <c r="BM59" i="56"/>
  <c r="BM30" i="56"/>
  <c r="BM27" i="56"/>
  <c r="BM32" i="56"/>
  <c r="BM13" i="56"/>
  <c r="BM23" i="56"/>
  <c r="BM14" i="56"/>
  <c r="BM24" i="56"/>
  <c r="BM7" i="56"/>
  <c r="BM8" i="56"/>
  <c r="BM18" i="56"/>
  <c r="BM29" i="56"/>
  <c r="BM53" i="56"/>
  <c r="BM89" i="56"/>
  <c r="BM98" i="56"/>
  <c r="BM68" i="56"/>
  <c r="BM73" i="56"/>
  <c r="BM97" i="56"/>
  <c r="BM65" i="56"/>
  <c r="BM67" i="56"/>
  <c r="BM78" i="56"/>
  <c r="BM90" i="56"/>
  <c r="BM99" i="56"/>
  <c r="BM36" i="56"/>
  <c r="BM43" i="56"/>
  <c r="BM57" i="56"/>
  <c r="BM17" i="56"/>
  <c r="BM31" i="56"/>
  <c r="BM40" i="56"/>
  <c r="BM82" i="56"/>
  <c r="BM19" i="56"/>
  <c r="BM22" i="56"/>
  <c r="BM46" i="56"/>
  <c r="BM48" i="56"/>
  <c r="BM63" i="56"/>
  <c r="BM76" i="56"/>
  <c r="BM92" i="56"/>
  <c r="BM60" i="56"/>
  <c r="BM70" i="56"/>
  <c r="BM84" i="56"/>
  <c r="BM10" i="56"/>
  <c r="BM12" i="56"/>
  <c r="BM16" i="56"/>
  <c r="BM20" i="56"/>
  <c r="BM25" i="56"/>
  <c r="BM34" i="56"/>
  <c r="BM50" i="56"/>
  <c r="BM51" i="56"/>
  <c r="BM56" i="56"/>
  <c r="BM71" i="56"/>
  <c r="BM72" i="56"/>
  <c r="BM96" i="56"/>
  <c r="BM61" i="56"/>
  <c r="BM64" i="56"/>
  <c r="BM83" i="56"/>
  <c r="BM54" i="56"/>
  <c r="BM81" i="56"/>
  <c r="BM86" i="56"/>
  <c r="BM95" i="56"/>
  <c r="BM91" i="56"/>
  <c r="BM94" i="56"/>
  <c r="BM102" i="56"/>
  <c r="BM58" i="56"/>
  <c r="BM62" i="56"/>
  <c r="BM74" i="56"/>
  <c r="BM88" i="56"/>
  <c r="BM69" i="56"/>
  <c r="BM77" i="56"/>
  <c r="BM85" i="56"/>
  <c r="BM93" i="56"/>
  <c r="BM101" i="56"/>
  <c r="BM100" i="56"/>
  <c r="Y36" i="56"/>
  <c r="Y48" i="56"/>
  <c r="Y40" i="56"/>
  <c r="Y50" i="56"/>
  <c r="Y43" i="56"/>
  <c r="Y49" i="56"/>
  <c r="Y44" i="56"/>
  <c r="Y46" i="56"/>
  <c r="Y51" i="56"/>
  <c r="Y45" i="56"/>
  <c r="Y38" i="56"/>
  <c r="Y47" i="56"/>
  <c r="Y42" i="56"/>
  <c r="Y39" i="56"/>
  <c r="Y37" i="56"/>
  <c r="Y41" i="56"/>
  <c r="P18" i="55"/>
  <c r="U37" i="55"/>
  <c r="U101" i="55"/>
  <c r="U141" i="55"/>
  <c r="U4" i="55"/>
  <c r="U41" i="55"/>
  <c r="U109" i="55"/>
  <c r="U171" i="55"/>
  <c r="U75" i="55"/>
  <c r="U87" i="55"/>
  <c r="U149" i="55"/>
  <c r="U153" i="55"/>
  <c r="U157" i="55"/>
  <c r="U215" i="55"/>
  <c r="U219" i="55"/>
  <c r="U28" i="55"/>
  <c r="U77" i="55"/>
  <c r="U89" i="55"/>
  <c r="U137" i="55"/>
  <c r="U203" i="55"/>
  <c r="U185" i="55"/>
  <c r="U9" i="55"/>
  <c r="U11" i="55"/>
  <c r="U18" i="55"/>
  <c r="U22" i="55"/>
  <c r="U93" i="55"/>
  <c r="U105" i="55"/>
  <c r="U27" i="55"/>
  <c r="U35" i="55"/>
  <c r="U99" i="55"/>
  <c r="U8" i="55"/>
  <c r="U17" i="55"/>
  <c r="U45" i="55"/>
  <c r="U57" i="55"/>
  <c r="U69" i="55"/>
  <c r="U135" i="55"/>
  <c r="U139" i="55"/>
  <c r="U197" i="55"/>
  <c r="U201" i="55"/>
  <c r="U205" i="55"/>
  <c r="U253" i="55"/>
  <c r="U261" i="55"/>
  <c r="U115" i="55"/>
  <c r="U131" i="55"/>
  <c r="U147" i="55"/>
  <c r="U163" i="55"/>
  <c r="U179" i="55"/>
  <c r="U195" i="55"/>
  <c r="U211" i="55"/>
  <c r="U227" i="55"/>
  <c r="U243" i="55"/>
  <c r="U259" i="55"/>
  <c r="U33" i="55"/>
  <c r="U49" i="55"/>
  <c r="U65" i="55"/>
  <c r="U81" i="55"/>
  <c r="U97" i="55"/>
  <c r="U113" i="55"/>
  <c r="U129" i="55"/>
  <c r="U145" i="55"/>
  <c r="U161" i="55"/>
  <c r="U177" i="55"/>
  <c r="U193" i="55"/>
  <c r="U209" i="55"/>
  <c r="U225" i="55"/>
  <c r="U241" i="55"/>
  <c r="U257" i="55"/>
  <c r="U3" i="55"/>
  <c r="U13" i="55"/>
  <c r="U14" i="55"/>
  <c r="U15" i="55"/>
  <c r="U20" i="55"/>
  <c r="U24" i="55"/>
  <c r="U31" i="55"/>
  <c r="U47" i="55"/>
  <c r="U63" i="55"/>
  <c r="U79" i="55"/>
  <c r="U95" i="55"/>
  <c r="U111" i="55"/>
  <c r="U127" i="55"/>
  <c r="U143" i="55"/>
  <c r="U159" i="55"/>
  <c r="U175" i="55"/>
  <c r="U191" i="55"/>
  <c r="U207" i="55"/>
  <c r="U223" i="55"/>
  <c r="U239" i="55"/>
  <c r="U255" i="55"/>
  <c r="U32" i="55"/>
  <c r="U34" i="55"/>
  <c r="U36" i="55"/>
  <c r="U38" i="55"/>
  <c r="U40" i="55"/>
  <c r="U42" i="55"/>
  <c r="U44" i="55"/>
  <c r="U46" i="55"/>
  <c r="U48" i="55"/>
  <c r="U50" i="55"/>
  <c r="U52" i="55"/>
  <c r="U54" i="55"/>
  <c r="U56" i="55"/>
  <c r="U58" i="55"/>
  <c r="U60" i="55"/>
  <c r="U62" i="55"/>
  <c r="U64" i="55"/>
  <c r="U66" i="55"/>
  <c r="U68" i="55"/>
  <c r="U70" i="55"/>
  <c r="U72" i="55"/>
  <c r="U74" i="55"/>
  <c r="U76" i="55"/>
  <c r="U78" i="55"/>
  <c r="U80" i="55"/>
  <c r="U82" i="55"/>
  <c r="U84" i="55"/>
  <c r="U86" i="55"/>
  <c r="U88" i="55"/>
  <c r="U90" i="55"/>
  <c r="U92" i="55"/>
  <c r="U94" i="55"/>
  <c r="U96" i="55"/>
  <c r="U98" i="55"/>
  <c r="U100" i="55"/>
  <c r="U102" i="55"/>
  <c r="U104" i="55"/>
  <c r="U106" i="55"/>
  <c r="U108" i="55"/>
  <c r="U110" i="55"/>
  <c r="U112" i="55"/>
  <c r="U114" i="55"/>
  <c r="U116" i="55"/>
  <c r="U118" i="55"/>
  <c r="U120" i="55"/>
  <c r="U122" i="55"/>
  <c r="U124" i="55"/>
  <c r="U126" i="55"/>
  <c r="U128" i="55"/>
  <c r="U130" i="55"/>
  <c r="U132" i="55"/>
  <c r="U134" i="55"/>
  <c r="U136" i="55"/>
  <c r="U138" i="55"/>
  <c r="U140" i="55"/>
  <c r="U142" i="55"/>
  <c r="U144" i="55"/>
  <c r="U146" i="55"/>
  <c r="U148" i="55"/>
  <c r="U150" i="55"/>
  <c r="U152" i="55"/>
  <c r="U154" i="55"/>
  <c r="U156" i="55"/>
  <c r="U158" i="55"/>
  <c r="U160" i="55"/>
  <c r="U162" i="55"/>
  <c r="U164" i="55"/>
  <c r="U166" i="55"/>
  <c r="U168" i="55"/>
  <c r="U170" i="55"/>
  <c r="U172" i="55"/>
  <c r="U174" i="55"/>
  <c r="U176" i="55"/>
  <c r="U178" i="55"/>
  <c r="U180" i="55"/>
  <c r="U182" i="55"/>
  <c r="U184" i="55"/>
  <c r="U186" i="55"/>
  <c r="U188" i="55"/>
  <c r="U190" i="55"/>
  <c r="U192" i="55"/>
  <c r="U194" i="55"/>
  <c r="U196" i="55"/>
  <c r="U198" i="55"/>
  <c r="U200" i="55"/>
  <c r="U202" i="55"/>
  <c r="U204" i="55"/>
  <c r="U206" i="55"/>
  <c r="U208" i="55"/>
  <c r="U210" i="55"/>
  <c r="U212" i="55"/>
  <c r="U214" i="55"/>
  <c r="U216" i="55"/>
  <c r="U218" i="55"/>
  <c r="U220" i="55"/>
  <c r="U222" i="55"/>
  <c r="U224" i="55"/>
  <c r="U226" i="55"/>
  <c r="U228" i="55"/>
  <c r="U230" i="55"/>
  <c r="U232" i="55"/>
  <c r="U234" i="55"/>
  <c r="U236" i="55"/>
  <c r="U238" i="55"/>
  <c r="U240" i="55"/>
  <c r="U242" i="55"/>
  <c r="U244" i="55"/>
  <c r="U246" i="55"/>
  <c r="U248" i="55"/>
  <c r="U250" i="55"/>
  <c r="U252" i="55"/>
  <c r="U254" i="55"/>
  <c r="U256" i="55"/>
  <c r="U258" i="55"/>
  <c r="U260" i="55"/>
  <c r="U262" i="55"/>
  <c r="U237" i="55"/>
  <c r="U233" i="55"/>
  <c r="U229" i="55"/>
  <c r="U167" i="55"/>
  <c r="U53" i="55"/>
  <c r="U30" i="55"/>
  <c r="U123" i="55"/>
  <c r="U83" i="55"/>
  <c r="U25" i="55"/>
  <c r="U251" i="55"/>
  <c r="U247" i="55"/>
  <c r="U189" i="55"/>
  <c r="U181" i="55"/>
  <c r="U119" i="55"/>
  <c r="U71" i="55"/>
  <c r="U59" i="55"/>
  <c r="U19" i="55"/>
  <c r="U133" i="55"/>
  <c r="U6" i="55"/>
  <c r="U199" i="55"/>
  <c r="U249" i="55"/>
  <c r="U245" i="55"/>
  <c r="U187" i="55"/>
  <c r="U183" i="55"/>
  <c r="U125" i="55"/>
  <c r="U121" i="55"/>
  <c r="U117" i="55"/>
  <c r="U103" i="55"/>
  <c r="U91" i="55"/>
  <c r="U51" i="55"/>
  <c r="U39" i="55"/>
  <c r="U29" i="55"/>
  <c r="U165" i="55"/>
  <c r="U107" i="55"/>
  <c r="U23" i="55"/>
  <c r="U221" i="55"/>
  <c r="U67" i="55"/>
  <c r="U55" i="55"/>
  <c r="U43" i="55"/>
  <c r="U16" i="55"/>
  <c r="U26" i="55"/>
  <c r="U213" i="55"/>
  <c r="U155" i="55"/>
  <c r="U12" i="55"/>
  <c r="U7" i="55"/>
  <c r="U169" i="55"/>
  <c r="U85" i="55"/>
  <c r="U61" i="55"/>
  <c r="U21" i="55"/>
  <c r="U10" i="55"/>
  <c r="U235" i="55"/>
  <c r="U5" i="55"/>
  <c r="U217" i="55"/>
  <c r="U231" i="55"/>
  <c r="U173" i="55"/>
  <c r="U73" i="55"/>
  <c r="U151" i="55"/>
  <c r="Z55" i="56"/>
  <c r="Z58" i="56"/>
  <c r="Z59" i="56"/>
  <c r="Z60" i="56"/>
  <c r="Z63" i="56"/>
  <c r="Z56" i="56"/>
  <c r="Z57" i="56"/>
  <c r="Z52" i="56"/>
  <c r="Z54" i="56"/>
  <c r="Z53" i="56"/>
  <c r="Z61" i="56"/>
  <c r="Z62" i="56"/>
  <c r="AB55" i="56"/>
  <c r="AB58" i="56"/>
  <c r="AB59" i="56"/>
  <c r="AB60" i="56"/>
  <c r="AB63" i="56"/>
  <c r="AB56" i="56"/>
  <c r="AB57" i="56"/>
  <c r="AB52" i="56"/>
  <c r="AB53" i="56"/>
  <c r="AB61" i="56"/>
  <c r="AB54" i="56"/>
  <c r="AB62" i="56"/>
  <c r="AA55" i="56"/>
  <c r="AA58" i="56"/>
  <c r="AA60" i="56"/>
  <c r="AA63" i="56"/>
  <c r="AA57" i="56"/>
  <c r="AA52" i="56"/>
  <c r="AA59" i="56"/>
  <c r="AA54" i="56"/>
  <c r="AA56" i="56"/>
  <c r="AA53" i="56"/>
  <c r="AA61" i="56"/>
  <c r="AA62" i="56"/>
  <c r="Y55" i="56"/>
  <c r="Y58" i="56"/>
  <c r="Y59" i="56"/>
  <c r="Y60" i="56"/>
  <c r="Y57" i="56"/>
  <c r="Y52" i="56"/>
  <c r="Y53" i="56"/>
  <c r="Y63" i="56"/>
  <c r="Y56" i="56"/>
  <c r="Y61" i="56"/>
  <c r="Y54" i="56"/>
  <c r="Y62" i="56"/>
  <c r="BN264" i="56"/>
  <c r="BN263" i="56"/>
  <c r="BN262" i="56"/>
  <c r="BN261" i="56"/>
  <c r="BN260" i="56"/>
  <c r="BN259" i="56"/>
  <c r="BN258" i="56"/>
  <c r="BN257" i="56"/>
  <c r="BN256" i="56"/>
  <c r="BN255" i="56"/>
  <c r="BN254" i="56"/>
  <c r="BN253" i="56"/>
  <c r="BN252" i="56"/>
  <c r="BN251" i="56"/>
  <c r="BN250" i="56"/>
  <c r="BN249" i="56"/>
  <c r="BN248" i="56"/>
  <c r="BN247" i="56"/>
  <c r="BN246" i="56"/>
  <c r="BN245" i="56"/>
  <c r="BN244" i="56"/>
  <c r="BN243" i="56"/>
  <c r="BN242" i="56"/>
  <c r="BN241" i="56"/>
  <c r="BN240" i="56"/>
  <c r="BN239" i="56"/>
  <c r="BN238" i="56"/>
  <c r="BN237" i="56"/>
  <c r="BN236" i="56"/>
  <c r="BN235" i="56"/>
  <c r="BN234" i="56"/>
  <c r="BN233" i="56"/>
  <c r="BN232" i="56"/>
  <c r="BN231" i="56"/>
  <c r="BN230" i="56"/>
  <c r="BN229" i="56"/>
  <c r="BN228" i="56"/>
  <c r="BN227" i="56"/>
  <c r="BN226" i="56"/>
  <c r="BN225" i="56"/>
  <c r="BN224" i="56"/>
  <c r="BN223" i="56"/>
  <c r="BN222" i="56"/>
  <c r="BN221" i="56"/>
  <c r="BN220" i="56"/>
  <c r="BN219" i="56"/>
  <c r="BN218" i="56"/>
  <c r="BN217" i="56"/>
  <c r="BN216" i="56"/>
  <c r="BN215" i="56"/>
  <c r="BN214" i="56"/>
  <c r="BN213" i="56"/>
  <c r="BN212" i="56"/>
  <c r="BN211" i="56"/>
  <c r="BN210" i="56"/>
  <c r="BN209" i="56"/>
  <c r="BN208" i="56"/>
  <c r="BN207" i="56"/>
  <c r="BN206" i="56"/>
  <c r="BN205" i="56"/>
  <c r="BN204" i="56"/>
  <c r="BN203" i="56"/>
  <c r="BN202" i="56"/>
  <c r="BN201" i="56"/>
  <c r="BN200" i="56"/>
  <c r="BN199" i="56"/>
  <c r="BN198" i="56"/>
  <c r="BN197" i="56"/>
  <c r="BN196" i="56"/>
  <c r="BN195" i="56"/>
  <c r="BN194" i="56"/>
  <c r="BN193" i="56"/>
  <c r="BN192" i="56"/>
  <c r="BN191" i="56"/>
  <c r="BN190" i="56"/>
  <c r="BN189" i="56"/>
  <c r="BN188" i="56"/>
  <c r="BN187" i="56"/>
  <c r="BN186" i="56"/>
  <c r="BN185" i="56"/>
  <c r="BN184" i="56"/>
  <c r="BN183" i="56"/>
  <c r="BN182" i="56"/>
  <c r="BN181" i="56"/>
  <c r="BN180" i="56"/>
  <c r="BN179" i="56"/>
  <c r="BN178" i="56"/>
  <c r="BN177" i="56"/>
  <c r="BN176" i="56"/>
  <c r="BN175" i="56"/>
  <c r="BN174" i="56"/>
  <c r="BN173" i="56"/>
  <c r="BN172" i="56"/>
  <c r="BN171" i="56"/>
  <c r="BN170" i="56"/>
  <c r="BN169" i="56"/>
  <c r="BN168" i="56"/>
  <c r="BN167" i="56"/>
  <c r="BN166" i="56"/>
  <c r="BN165" i="56"/>
  <c r="BN164" i="56"/>
  <c r="BN163" i="56"/>
  <c r="BN162" i="56"/>
  <c r="BN161" i="56"/>
  <c r="BN160" i="56"/>
  <c r="BN159" i="56"/>
  <c r="BN158" i="56"/>
  <c r="BN157" i="56"/>
  <c r="BN156" i="56"/>
  <c r="BN155" i="56"/>
  <c r="BN154" i="56"/>
  <c r="BN153" i="56"/>
  <c r="BN152" i="56"/>
  <c r="BN151" i="56"/>
  <c r="BN150" i="56"/>
  <c r="BN149" i="56"/>
  <c r="BN148" i="56"/>
  <c r="BN147" i="56"/>
  <c r="BN146" i="56"/>
  <c r="BN145" i="56"/>
  <c r="BN144" i="56"/>
  <c r="BN143" i="56"/>
  <c r="BN142" i="56"/>
  <c r="BN141" i="56"/>
  <c r="BN140" i="56"/>
  <c r="BN139" i="56"/>
  <c r="BN138" i="56"/>
  <c r="BN137" i="56"/>
  <c r="BN136" i="56"/>
  <c r="BN135" i="56"/>
  <c r="BN134" i="56"/>
  <c r="BN133" i="56"/>
  <c r="BN132" i="56"/>
  <c r="BN131" i="56"/>
  <c r="BN130" i="56"/>
  <c r="BN129" i="56"/>
  <c r="BN128" i="56"/>
  <c r="BN127" i="56"/>
  <c r="BN126" i="56"/>
  <c r="BN125" i="56"/>
  <c r="BN124" i="56"/>
  <c r="BN123" i="56"/>
  <c r="BN122" i="56"/>
  <c r="BN121" i="56"/>
  <c r="BN120" i="56"/>
  <c r="BN119" i="56"/>
  <c r="BN118" i="56"/>
  <c r="BN117" i="56"/>
  <c r="BN116" i="56"/>
  <c r="BN115" i="56"/>
  <c r="BN114" i="56"/>
  <c r="BN113" i="56"/>
  <c r="BN112" i="56"/>
  <c r="BN111" i="56"/>
  <c r="BN110" i="56"/>
  <c r="BN109" i="56"/>
  <c r="BN108" i="56"/>
  <c r="BN107" i="56"/>
  <c r="BN106" i="56"/>
  <c r="BN105" i="56"/>
  <c r="BN104" i="56"/>
  <c r="BN103" i="56"/>
  <c r="BP264" i="56"/>
  <c r="BP263" i="56"/>
  <c r="BP262" i="56"/>
  <c r="BP261" i="56"/>
  <c r="BP260" i="56"/>
  <c r="BP259" i="56"/>
  <c r="BP258" i="56"/>
  <c r="BP257" i="56"/>
  <c r="BP256" i="56"/>
  <c r="BP255" i="56"/>
  <c r="BP254" i="56"/>
  <c r="BP253" i="56"/>
  <c r="BP252" i="56"/>
  <c r="BP251" i="56"/>
  <c r="BP250" i="56"/>
  <c r="BP249" i="56"/>
  <c r="BP248" i="56"/>
  <c r="BP247" i="56"/>
  <c r="BP246" i="56"/>
  <c r="BP245" i="56"/>
  <c r="BP244" i="56"/>
  <c r="BP243" i="56"/>
  <c r="BP242" i="56"/>
  <c r="BP241" i="56"/>
  <c r="BP240" i="56"/>
  <c r="BP239" i="56"/>
  <c r="BP238" i="56"/>
  <c r="BP237" i="56"/>
  <c r="BP236" i="56"/>
  <c r="BP235" i="56"/>
  <c r="BP234" i="56"/>
  <c r="BP233" i="56"/>
  <c r="BP232" i="56"/>
  <c r="BP231" i="56"/>
  <c r="BP230" i="56"/>
  <c r="BP229" i="56"/>
  <c r="BP228" i="56"/>
  <c r="BP227" i="56"/>
  <c r="BP226" i="56"/>
  <c r="BP225" i="56"/>
  <c r="BP224" i="56"/>
  <c r="BP223" i="56"/>
  <c r="BP222" i="56"/>
  <c r="BP221" i="56"/>
  <c r="BP220" i="56"/>
  <c r="BP219" i="56"/>
  <c r="BP218" i="56"/>
  <c r="BP217" i="56"/>
  <c r="BP216" i="56"/>
  <c r="BP215" i="56"/>
  <c r="BP214" i="56"/>
  <c r="BP213" i="56"/>
  <c r="BP212" i="56"/>
  <c r="BP211" i="56"/>
  <c r="BP210" i="56"/>
  <c r="BP209" i="56"/>
  <c r="BP208" i="56"/>
  <c r="BP207" i="56"/>
  <c r="BP206" i="56"/>
  <c r="BP205" i="56"/>
  <c r="BP204" i="56"/>
  <c r="BP203" i="56"/>
  <c r="BP202" i="56"/>
  <c r="BP201" i="56"/>
  <c r="BP200" i="56"/>
  <c r="BP199" i="56"/>
  <c r="BP198" i="56"/>
  <c r="BP197" i="56"/>
  <c r="BP196" i="56"/>
  <c r="BP195" i="56"/>
  <c r="BP194" i="56"/>
  <c r="BP193" i="56"/>
  <c r="BP192" i="56"/>
  <c r="BP191" i="56"/>
  <c r="BP190" i="56"/>
  <c r="BP189" i="56"/>
  <c r="BP188" i="56"/>
  <c r="BP187" i="56"/>
  <c r="BP186" i="56"/>
  <c r="BP185" i="56"/>
  <c r="BP184" i="56"/>
  <c r="BP183" i="56"/>
  <c r="BP182" i="56"/>
  <c r="BP181" i="56"/>
  <c r="BP180" i="56"/>
  <c r="BP179" i="56"/>
  <c r="BP178" i="56"/>
  <c r="BP177" i="56"/>
  <c r="BP176" i="56"/>
  <c r="BP175" i="56"/>
  <c r="BP174" i="56"/>
  <c r="BP173" i="56"/>
  <c r="BP172" i="56"/>
  <c r="BP171" i="56"/>
  <c r="BP170" i="56"/>
  <c r="BP169" i="56"/>
  <c r="BP168" i="56"/>
  <c r="BP167" i="56"/>
  <c r="BP166" i="56"/>
  <c r="BP165" i="56"/>
  <c r="BP164" i="56"/>
  <c r="BP163" i="56"/>
  <c r="BP162" i="56"/>
  <c r="BP161" i="56"/>
  <c r="BP160" i="56"/>
  <c r="BP159" i="56"/>
  <c r="BP158" i="56"/>
  <c r="BP157" i="56"/>
  <c r="BP156" i="56"/>
  <c r="BP155" i="56"/>
  <c r="BP154" i="56"/>
  <c r="BP153" i="56"/>
  <c r="BP152" i="56"/>
  <c r="BP151" i="56"/>
  <c r="BP150" i="56"/>
  <c r="BP149" i="56"/>
  <c r="BP148" i="56"/>
  <c r="BP147" i="56"/>
  <c r="BP146" i="56"/>
  <c r="BP145" i="56"/>
  <c r="BP144" i="56"/>
  <c r="BP143" i="56"/>
  <c r="BP142" i="56"/>
  <c r="BP141" i="56"/>
  <c r="BP140" i="56"/>
  <c r="BP139" i="56"/>
  <c r="BP138" i="56"/>
  <c r="BP137" i="56"/>
  <c r="BP136" i="56"/>
  <c r="BP135" i="56"/>
  <c r="BP134" i="56"/>
  <c r="BP133" i="56"/>
  <c r="BP132" i="56"/>
  <c r="BP131" i="56"/>
  <c r="BP130" i="56"/>
  <c r="BP129" i="56"/>
  <c r="BP128" i="56"/>
  <c r="BP127" i="56"/>
  <c r="BP126" i="56"/>
  <c r="BP125" i="56"/>
  <c r="BP124" i="56"/>
  <c r="BP123" i="56"/>
  <c r="BP122" i="56"/>
  <c r="BP121" i="56"/>
  <c r="BP120" i="56"/>
  <c r="BP119" i="56"/>
  <c r="BP118" i="56"/>
  <c r="BP117" i="56"/>
  <c r="BP116" i="56"/>
  <c r="BP115" i="56"/>
  <c r="BP114" i="56"/>
  <c r="BP113" i="56"/>
  <c r="BP112" i="56"/>
  <c r="BP111" i="56"/>
  <c r="BP110" i="56"/>
  <c r="BP109" i="56"/>
  <c r="BP108" i="56"/>
  <c r="BP107" i="56"/>
  <c r="BP106" i="56"/>
  <c r="BP105" i="56"/>
  <c r="BP104" i="56"/>
  <c r="BP103" i="56"/>
  <c r="BO264" i="56"/>
  <c r="BO263" i="56"/>
  <c r="BO262" i="56"/>
  <c r="BO261" i="56"/>
  <c r="BO260" i="56"/>
  <c r="BO259" i="56"/>
  <c r="BO258" i="56"/>
  <c r="BO257" i="56"/>
  <c r="BO256" i="56"/>
  <c r="BO255" i="56"/>
  <c r="BO254" i="56"/>
  <c r="BO253" i="56"/>
  <c r="BO252" i="56"/>
  <c r="BO251" i="56"/>
  <c r="BO250" i="56"/>
  <c r="BO249" i="56"/>
  <c r="BO248" i="56"/>
  <c r="BO247" i="56"/>
  <c r="BO246" i="56"/>
  <c r="BO245" i="56"/>
  <c r="BO244" i="56"/>
  <c r="BO243" i="56"/>
  <c r="BO242" i="56"/>
  <c r="BO241" i="56"/>
  <c r="BO240" i="56"/>
  <c r="BO239" i="56"/>
  <c r="BO238" i="56"/>
  <c r="BO237" i="56"/>
  <c r="BO236" i="56"/>
  <c r="BO235" i="56"/>
  <c r="BO234" i="56"/>
  <c r="BO233" i="56"/>
  <c r="BO232" i="56"/>
  <c r="BO231" i="56"/>
  <c r="BO230" i="56"/>
  <c r="BO229" i="56"/>
  <c r="BO228" i="56"/>
  <c r="BO227" i="56"/>
  <c r="BO226" i="56"/>
  <c r="BO225" i="56"/>
  <c r="BO224" i="56"/>
  <c r="BO223" i="56"/>
  <c r="BO222" i="56"/>
  <c r="BO221" i="56"/>
  <c r="BO220" i="56"/>
  <c r="BO219" i="56"/>
  <c r="BO218" i="56"/>
  <c r="BO217" i="56"/>
  <c r="BO216" i="56"/>
  <c r="BO215" i="56"/>
  <c r="BO214" i="56"/>
  <c r="BO213" i="56"/>
  <c r="BO212" i="56"/>
  <c r="BO211" i="56"/>
  <c r="BO210" i="56"/>
  <c r="BO209" i="56"/>
  <c r="BO208" i="56"/>
  <c r="BO207" i="56"/>
  <c r="BO206" i="56"/>
  <c r="BO205" i="56"/>
  <c r="BO204" i="56"/>
  <c r="BO203" i="56"/>
  <c r="BO202" i="56"/>
  <c r="BO201" i="56"/>
  <c r="BO200" i="56"/>
  <c r="BO199" i="56"/>
  <c r="BO198" i="56"/>
  <c r="BO197" i="56"/>
  <c r="BO196" i="56"/>
  <c r="BO195" i="56"/>
  <c r="BO194" i="56"/>
  <c r="BO193" i="56"/>
  <c r="BO192" i="56"/>
  <c r="BO191" i="56"/>
  <c r="BO190" i="56"/>
  <c r="BO189" i="56"/>
  <c r="BO188" i="56"/>
  <c r="BO187" i="56"/>
  <c r="BO186" i="56"/>
  <c r="BO185" i="56"/>
  <c r="BO184" i="56"/>
  <c r="BO183" i="56"/>
  <c r="BO182" i="56"/>
  <c r="BO181" i="56"/>
  <c r="BO180" i="56"/>
  <c r="BO179" i="56"/>
  <c r="BO178" i="56"/>
  <c r="BO177" i="56"/>
  <c r="BO176" i="56"/>
  <c r="BO175" i="56"/>
  <c r="BO174" i="56"/>
  <c r="BO173" i="56"/>
  <c r="BO172" i="56"/>
  <c r="BO171" i="56"/>
  <c r="BO170" i="56"/>
  <c r="BO169" i="56"/>
  <c r="BO168" i="56"/>
  <c r="BO167" i="56"/>
  <c r="BO166" i="56"/>
  <c r="BO165" i="56"/>
  <c r="BO164" i="56"/>
  <c r="BO163" i="56"/>
  <c r="BO162" i="56"/>
  <c r="BO161" i="56"/>
  <c r="BO160" i="56"/>
  <c r="BO159" i="56"/>
  <c r="BO158" i="56"/>
  <c r="BO157" i="56"/>
  <c r="BO156" i="56"/>
  <c r="BO155" i="56"/>
  <c r="BO154" i="56"/>
  <c r="BO153" i="56"/>
  <c r="BO152" i="56"/>
  <c r="BO151" i="56"/>
  <c r="BO150" i="56"/>
  <c r="BO149" i="56"/>
  <c r="BO148" i="56"/>
  <c r="BO147" i="56"/>
  <c r="BO146" i="56"/>
  <c r="BO145" i="56"/>
  <c r="BO144" i="56"/>
  <c r="BO143" i="56"/>
  <c r="BO142" i="56"/>
  <c r="BO141" i="56"/>
  <c r="BO140" i="56"/>
  <c r="BO139" i="56"/>
  <c r="BO138" i="56"/>
  <c r="BO137" i="56"/>
  <c r="BO136" i="56"/>
  <c r="BO135" i="56"/>
  <c r="BO134" i="56"/>
  <c r="BO133" i="56"/>
  <c r="BO132" i="56"/>
  <c r="BO131" i="56"/>
  <c r="BO130" i="56"/>
  <c r="BO129" i="56"/>
  <c r="BO128" i="56"/>
  <c r="BO127" i="56"/>
  <c r="BO126" i="56"/>
  <c r="BO125" i="56"/>
  <c r="BO124" i="56"/>
  <c r="BO123" i="56"/>
  <c r="BO122" i="56"/>
  <c r="BO121" i="56"/>
  <c r="BO120" i="56"/>
  <c r="BO119" i="56"/>
  <c r="BO118" i="56"/>
  <c r="BO117" i="56"/>
  <c r="BO116" i="56"/>
  <c r="BO115" i="56"/>
  <c r="BO114" i="56"/>
  <c r="BO113" i="56"/>
  <c r="BO112" i="56"/>
  <c r="BO111" i="56"/>
  <c r="BO110" i="56"/>
  <c r="BO109" i="56"/>
  <c r="BO108" i="56"/>
  <c r="BO107" i="56"/>
  <c r="BO106" i="56"/>
  <c r="BO105" i="56"/>
  <c r="BO103" i="56"/>
  <c r="BO104" i="56"/>
  <c r="BM264" i="56"/>
  <c r="BM263" i="56"/>
  <c r="BM262" i="56"/>
  <c r="BM261" i="56"/>
  <c r="BM260" i="56"/>
  <c r="BM259" i="56"/>
  <c r="BM258" i="56"/>
  <c r="BM257" i="56"/>
  <c r="BM256" i="56"/>
  <c r="BM255" i="56"/>
  <c r="BM254" i="56"/>
  <c r="BM253" i="56"/>
  <c r="BM252" i="56"/>
  <c r="BM251" i="56"/>
  <c r="BM250" i="56"/>
  <c r="BM249" i="56"/>
  <c r="BM248" i="56"/>
  <c r="BM247" i="56"/>
  <c r="BM246" i="56"/>
  <c r="BM245" i="56"/>
  <c r="BM244" i="56"/>
  <c r="BM243" i="56"/>
  <c r="BM242" i="56"/>
  <c r="BM241" i="56"/>
  <c r="BM240" i="56"/>
  <c r="BM239" i="56"/>
  <c r="BM238" i="56"/>
  <c r="BM237" i="56"/>
  <c r="BM236" i="56"/>
  <c r="BM235" i="56"/>
  <c r="BM234" i="56"/>
  <c r="BM233" i="56"/>
  <c r="BM232" i="56"/>
  <c r="BM231" i="56"/>
  <c r="BM230" i="56"/>
  <c r="BM229" i="56"/>
  <c r="BM228" i="56"/>
  <c r="BM227" i="56"/>
  <c r="BM226" i="56"/>
  <c r="BM225" i="56"/>
  <c r="BM224" i="56"/>
  <c r="BM223" i="56"/>
  <c r="BM222" i="56"/>
  <c r="BM221" i="56"/>
  <c r="BM220" i="56"/>
  <c r="BM219" i="56"/>
  <c r="BM218" i="56"/>
  <c r="BM217" i="56"/>
  <c r="BM216" i="56"/>
  <c r="BM215" i="56"/>
  <c r="BM214" i="56"/>
  <c r="BM213" i="56"/>
  <c r="BM212" i="56"/>
  <c r="BM211" i="56"/>
  <c r="BM210" i="56"/>
  <c r="BM209" i="56"/>
  <c r="BM208" i="56"/>
  <c r="BM207" i="56"/>
  <c r="BM206" i="56"/>
  <c r="BM205" i="56"/>
  <c r="BM204" i="56"/>
  <c r="BM203" i="56"/>
  <c r="BM202" i="56"/>
  <c r="BM201" i="56"/>
  <c r="BM200" i="56"/>
  <c r="BM199" i="56"/>
  <c r="BM198" i="56"/>
  <c r="BM197" i="56"/>
  <c r="BM196" i="56"/>
  <c r="BM195" i="56"/>
  <c r="BM194" i="56"/>
  <c r="BM193" i="56"/>
  <c r="BM192" i="56"/>
  <c r="BM191" i="56"/>
  <c r="BM190" i="56"/>
  <c r="BM189" i="56"/>
  <c r="BM188" i="56"/>
  <c r="BM187" i="56"/>
  <c r="BM186" i="56"/>
  <c r="BM185" i="56"/>
  <c r="BM184" i="56"/>
  <c r="BM183" i="56"/>
  <c r="BM182" i="56"/>
  <c r="BM181" i="56"/>
  <c r="BM180" i="56"/>
  <c r="BM179" i="56"/>
  <c r="BM178" i="56"/>
  <c r="BM177" i="56"/>
  <c r="BM176" i="56"/>
  <c r="BM175" i="56"/>
  <c r="BM174" i="56"/>
  <c r="BM173" i="56"/>
  <c r="BM172" i="56"/>
  <c r="BM171" i="56"/>
  <c r="BM170" i="56"/>
  <c r="BM169" i="56"/>
  <c r="BM168" i="56"/>
  <c r="BM167" i="56"/>
  <c r="BM166" i="56"/>
  <c r="BM165" i="56"/>
  <c r="BM164" i="56"/>
  <c r="BM163" i="56"/>
  <c r="BM162" i="56"/>
  <c r="BM161" i="56"/>
  <c r="BM160" i="56"/>
  <c r="BM159" i="56"/>
  <c r="BM158" i="56"/>
  <c r="BM157" i="56"/>
  <c r="BM156" i="56"/>
  <c r="BM155" i="56"/>
  <c r="BM154" i="56"/>
  <c r="BM153" i="56"/>
  <c r="BM152" i="56"/>
  <c r="BM151" i="56"/>
  <c r="BM150" i="56"/>
  <c r="BM149" i="56"/>
  <c r="BM148" i="56"/>
  <c r="BM147" i="56"/>
  <c r="BM146" i="56"/>
  <c r="BM145" i="56"/>
  <c r="BM144" i="56"/>
  <c r="BM143" i="56"/>
  <c r="BM142" i="56"/>
  <c r="BM141" i="56"/>
  <c r="BM140" i="56"/>
  <c r="BM139" i="56"/>
  <c r="BM138" i="56"/>
  <c r="BM137" i="56"/>
  <c r="BM136" i="56"/>
  <c r="BM135" i="56"/>
  <c r="BM134" i="56"/>
  <c r="BM133" i="56"/>
  <c r="BM132" i="56"/>
  <c r="BM131" i="56"/>
  <c r="BM130" i="56"/>
  <c r="BM129" i="56"/>
  <c r="BM128" i="56"/>
  <c r="BM127" i="56"/>
  <c r="BM126" i="56"/>
  <c r="BM125" i="56"/>
  <c r="BM124" i="56"/>
  <c r="BM123" i="56"/>
  <c r="BM122" i="56"/>
  <c r="BM121" i="56"/>
  <c r="BM120" i="56"/>
  <c r="BM119" i="56"/>
  <c r="BM118" i="56"/>
  <c r="BM117" i="56"/>
  <c r="BM116" i="56"/>
  <c r="BM115" i="56"/>
  <c r="BM114" i="56"/>
  <c r="BM113" i="56"/>
  <c r="BM112" i="56"/>
  <c r="BM111" i="56"/>
  <c r="BM110" i="56"/>
  <c r="BM109" i="56"/>
  <c r="BM108" i="56"/>
  <c r="BM107" i="56"/>
  <c r="BM106" i="56"/>
  <c r="BM105" i="56"/>
  <c r="BM104" i="56"/>
  <c r="BM103" i="56"/>
  <c r="BQ6" i="56"/>
  <c r="BQ34" i="56"/>
  <c r="BQ75" i="56"/>
  <c r="BQ137" i="56"/>
  <c r="BQ233" i="56"/>
  <c r="BQ17" i="56"/>
  <c r="BQ58" i="56"/>
  <c r="BQ106" i="56"/>
  <c r="BQ170" i="56"/>
  <c r="BQ234" i="56"/>
  <c r="BQ41" i="56"/>
  <c r="BQ82" i="56"/>
  <c r="BQ145" i="56"/>
  <c r="BQ177" i="56"/>
  <c r="BQ209" i="56"/>
  <c r="BQ19" i="56"/>
  <c r="BQ42" i="56"/>
  <c r="BQ65" i="56"/>
  <c r="BQ83" i="56"/>
  <c r="BQ114" i="56"/>
  <c r="BQ146" i="56"/>
  <c r="BQ178" i="56"/>
  <c r="BQ210" i="56"/>
  <c r="BQ242" i="56"/>
  <c r="BQ25" i="56"/>
  <c r="BQ43" i="56"/>
  <c r="BQ66" i="56"/>
  <c r="BQ89" i="56"/>
  <c r="BQ121" i="56"/>
  <c r="BQ153" i="56"/>
  <c r="BQ185" i="56"/>
  <c r="BQ217" i="56"/>
  <c r="BQ249" i="56"/>
  <c r="BQ26" i="56"/>
  <c r="BQ49" i="56"/>
  <c r="BQ67" i="56"/>
  <c r="BQ90" i="56"/>
  <c r="BQ122" i="56"/>
  <c r="BQ154" i="56"/>
  <c r="BQ186" i="56"/>
  <c r="BQ218" i="56"/>
  <c r="BQ250" i="56"/>
  <c r="BQ9" i="56"/>
  <c r="BQ27" i="56"/>
  <c r="BQ50" i="56"/>
  <c r="BQ73" i="56"/>
  <c r="BQ97" i="56"/>
  <c r="BQ129" i="56"/>
  <c r="BQ161" i="56"/>
  <c r="BQ193" i="56"/>
  <c r="BQ225" i="56"/>
  <c r="BQ257" i="56"/>
  <c r="BQ11" i="56"/>
  <c r="BQ57" i="56"/>
  <c r="BQ105" i="56"/>
  <c r="BQ169" i="56"/>
  <c r="BQ201" i="56"/>
  <c r="BQ35" i="56"/>
  <c r="BQ81" i="56"/>
  <c r="BQ138" i="56"/>
  <c r="BQ202" i="56"/>
  <c r="BQ18" i="56"/>
  <c r="BQ59" i="56"/>
  <c r="BQ113" i="56"/>
  <c r="BQ241" i="56"/>
  <c r="BQ10" i="56"/>
  <c r="BQ33" i="56"/>
  <c r="BQ51" i="56"/>
  <c r="BQ74" i="56"/>
  <c r="BQ98" i="56"/>
  <c r="BQ130" i="56"/>
  <c r="BQ162" i="56"/>
  <c r="BQ194" i="56"/>
  <c r="BQ226" i="56"/>
  <c r="BQ258" i="56"/>
  <c r="BQ91" i="56"/>
  <c r="BQ107" i="56"/>
  <c r="BQ123" i="56"/>
  <c r="BQ139" i="56"/>
  <c r="BQ155" i="56"/>
  <c r="BQ171" i="56"/>
  <c r="BQ187" i="56"/>
  <c r="BQ203" i="56"/>
  <c r="BQ227" i="56"/>
  <c r="BQ243" i="56"/>
  <c r="BQ259" i="56"/>
  <c r="BQ12" i="56"/>
  <c r="BQ28" i="56"/>
  <c r="BQ44" i="56"/>
  <c r="BQ60" i="56"/>
  <c r="BQ68" i="56"/>
  <c r="BQ92" i="56"/>
  <c r="BQ108" i="56"/>
  <c r="BQ124" i="56"/>
  <c r="BQ140" i="56"/>
  <c r="BQ156" i="56"/>
  <c r="BQ172" i="56"/>
  <c r="BQ188" i="56"/>
  <c r="BQ204" i="56"/>
  <c r="BQ220" i="56"/>
  <c r="BQ236" i="56"/>
  <c r="BQ260" i="56"/>
  <c r="BQ13" i="56"/>
  <c r="BQ29" i="56"/>
  <c r="BQ45" i="56"/>
  <c r="BQ61" i="56"/>
  <c r="BQ77" i="56"/>
  <c r="BQ93" i="56"/>
  <c r="BQ109" i="56"/>
  <c r="BQ125" i="56"/>
  <c r="BQ141" i="56"/>
  <c r="BQ157" i="56"/>
  <c r="BQ173" i="56"/>
  <c r="BQ189" i="56"/>
  <c r="BQ205" i="56"/>
  <c r="BQ221" i="56"/>
  <c r="BQ237" i="56"/>
  <c r="BQ253" i="56"/>
  <c r="BQ14" i="56"/>
  <c r="BQ30" i="56"/>
  <c r="BQ46" i="56"/>
  <c r="BQ62" i="56"/>
  <c r="BQ78" i="56"/>
  <c r="BQ94" i="56"/>
  <c r="BQ110" i="56"/>
  <c r="BQ126" i="56"/>
  <c r="BQ142" i="56"/>
  <c r="BQ166" i="56"/>
  <c r="BQ182" i="56"/>
  <c r="BQ198" i="56"/>
  <c r="BQ238" i="56"/>
  <c r="BQ87" i="56"/>
  <c r="BQ99" i="56"/>
  <c r="BQ115" i="56"/>
  <c r="BQ131" i="56"/>
  <c r="BQ147" i="56"/>
  <c r="BQ163" i="56"/>
  <c r="BQ179" i="56"/>
  <c r="BQ195" i="56"/>
  <c r="BQ211" i="56"/>
  <c r="BQ219" i="56"/>
  <c r="BQ235" i="56"/>
  <c r="BQ251" i="56"/>
  <c r="BQ20" i="56"/>
  <c r="BQ36" i="56"/>
  <c r="BQ52" i="56"/>
  <c r="BQ76" i="56"/>
  <c r="BQ84" i="56"/>
  <c r="BQ100" i="56"/>
  <c r="BQ116" i="56"/>
  <c r="BQ132" i="56"/>
  <c r="BQ148" i="56"/>
  <c r="BQ164" i="56"/>
  <c r="BQ180" i="56"/>
  <c r="BQ196" i="56"/>
  <c r="BQ212" i="56"/>
  <c r="BQ228" i="56"/>
  <c r="BQ244" i="56"/>
  <c r="BQ252" i="56"/>
  <c r="BQ21" i="56"/>
  <c r="BQ37" i="56"/>
  <c r="BQ53" i="56"/>
  <c r="BQ69" i="56"/>
  <c r="BQ85" i="56"/>
  <c r="BQ101" i="56"/>
  <c r="BQ117" i="56"/>
  <c r="BQ133" i="56"/>
  <c r="BQ149" i="56"/>
  <c r="BQ165" i="56"/>
  <c r="BQ181" i="56"/>
  <c r="BQ197" i="56"/>
  <c r="BQ213" i="56"/>
  <c r="BQ229" i="56"/>
  <c r="BQ245" i="56"/>
  <c r="BQ261" i="56"/>
  <c r="BQ22" i="56"/>
  <c r="BQ38" i="56"/>
  <c r="BQ54" i="56"/>
  <c r="BQ70" i="56"/>
  <c r="BQ86" i="56"/>
  <c r="BQ102" i="56"/>
  <c r="BQ118" i="56"/>
  <c r="BQ134" i="56"/>
  <c r="BQ150" i="56"/>
  <c r="BQ158" i="56"/>
  <c r="BQ174" i="56"/>
  <c r="BQ190" i="56"/>
  <c r="BQ206" i="56"/>
  <c r="BQ214" i="56"/>
  <c r="BQ222" i="56"/>
  <c r="BQ230" i="56"/>
  <c r="BQ246" i="56"/>
  <c r="BQ254" i="56"/>
  <c r="BQ262" i="56"/>
  <c r="BQ7" i="56"/>
  <c r="BQ15" i="56"/>
  <c r="BQ23" i="56"/>
  <c r="BQ31" i="56"/>
  <c r="BQ39" i="56"/>
  <c r="BQ47" i="56"/>
  <c r="BQ55" i="56"/>
  <c r="BQ63" i="56"/>
  <c r="BQ71" i="56"/>
  <c r="BQ79" i="56"/>
  <c r="BQ95" i="56"/>
  <c r="BQ103" i="56"/>
  <c r="BQ111" i="56"/>
  <c r="BQ119" i="56"/>
  <c r="BQ127" i="56"/>
  <c r="BQ135" i="56"/>
  <c r="BQ143" i="56"/>
  <c r="BQ151" i="56"/>
  <c r="BQ159" i="56"/>
  <c r="BQ167" i="56"/>
  <c r="BQ175" i="56"/>
  <c r="BQ183" i="56"/>
  <c r="BQ191" i="56"/>
  <c r="BQ199" i="56"/>
  <c r="BQ207" i="56"/>
  <c r="BQ215" i="56"/>
  <c r="BQ223" i="56"/>
  <c r="BQ231" i="56"/>
  <c r="BQ239" i="56"/>
  <c r="BQ247" i="56"/>
  <c r="BQ255" i="56"/>
  <c r="BQ263" i="56"/>
  <c r="BQ8" i="56"/>
  <c r="BQ16" i="56"/>
  <c r="BQ24" i="56"/>
  <c r="BQ32" i="56"/>
  <c r="BQ40" i="56"/>
  <c r="BQ48" i="56"/>
  <c r="BQ56" i="56"/>
  <c r="BQ64" i="56"/>
  <c r="BQ72" i="56"/>
  <c r="BQ80" i="56"/>
  <c r="BQ88" i="56"/>
  <c r="BQ96" i="56"/>
  <c r="BQ104" i="56"/>
  <c r="BQ112" i="56"/>
  <c r="BQ120" i="56"/>
  <c r="BQ128" i="56"/>
  <c r="BQ136" i="56"/>
  <c r="BQ144" i="56"/>
  <c r="BQ152" i="56"/>
  <c r="BQ160" i="56"/>
  <c r="BQ168" i="56"/>
  <c r="BQ176" i="56"/>
  <c r="BQ184" i="56"/>
  <c r="BQ192" i="56"/>
  <c r="BQ200" i="56"/>
  <c r="BQ208" i="56"/>
  <c r="BQ216" i="56"/>
  <c r="BQ224" i="56"/>
  <c r="BQ232" i="56"/>
  <c r="BQ240" i="56"/>
  <c r="BQ248" i="56"/>
  <c r="BQ256" i="56"/>
  <c r="BQ264" i="56"/>
  <c r="Z35" i="56" l="1"/>
  <c r="BN5" i="56" s="1"/>
  <c r="Y77" i="56"/>
  <c r="Y69" i="56"/>
  <c r="Y76" i="56"/>
  <c r="Y71" i="56"/>
  <c r="Y78" i="56"/>
  <c r="Y68" i="56"/>
  <c r="Y67" i="56"/>
  <c r="Y72" i="56"/>
  <c r="Y75" i="56"/>
  <c r="Y74" i="56"/>
  <c r="Y73" i="56"/>
  <c r="Y70" i="56"/>
  <c r="AA77" i="56"/>
  <c r="AA76" i="56"/>
  <c r="AA68" i="56"/>
  <c r="AA71" i="56"/>
  <c r="AA69" i="56"/>
  <c r="AA74" i="56"/>
  <c r="AA67" i="56"/>
  <c r="AA72" i="56"/>
  <c r="AA78" i="56"/>
  <c r="AA75" i="56"/>
  <c r="AA73" i="56"/>
  <c r="AA70" i="56"/>
  <c r="AB77" i="56"/>
  <c r="AB69" i="56"/>
  <c r="AB76" i="56"/>
  <c r="AB68" i="56"/>
  <c r="AB67" i="56"/>
  <c r="AB72" i="56"/>
  <c r="AB71" i="56"/>
  <c r="AB78" i="56"/>
  <c r="AB75" i="56"/>
  <c r="AB74" i="56"/>
  <c r="AB73" i="56"/>
  <c r="AB70" i="56"/>
  <c r="Z77" i="56"/>
  <c r="Z76" i="56"/>
  <c r="Z68" i="56"/>
  <c r="Z69" i="56"/>
  <c r="Z67" i="56"/>
  <c r="Z72" i="56"/>
  <c r="Z71" i="56"/>
  <c r="Z78" i="56"/>
  <c r="Z75" i="56"/>
  <c r="Z74" i="56"/>
  <c r="Z73" i="56"/>
  <c r="Z70" i="56"/>
  <c r="Y66" i="56"/>
  <c r="AA66" i="56"/>
  <c r="AB66" i="56"/>
  <c r="Z66" i="56"/>
  <c r="AW19" i="58" a="1"/>
  <c r="AW20" i="58"/>
  <c r="AW19" i="58"/>
  <c r="AW21" i="58"/>
  <c r="AS19" i="58" a="1"/>
  <c r="AS19" i="58"/>
  <c r="AS20" i="58"/>
  <c r="AS21" i="58"/>
  <c r="AQ19" i="58" a="1"/>
  <c r="AQ19" i="58"/>
  <c r="AQ20" i="58"/>
  <c r="AQ21" i="58"/>
  <c r="AF9" i="58" a="1"/>
  <c r="AF9" i="58"/>
  <c r="AF10" i="58"/>
  <c r="AL9" i="58" s="1" a="1"/>
  <c r="AF19" i="58" a="1"/>
  <c r="AL10" i="58" l="1"/>
  <c r="AL9" i="58"/>
  <c r="AM9" i="58"/>
  <c r="AM10" i="58"/>
  <c r="AF21" i="58"/>
  <c r="AF19" i="58"/>
  <c r="AF20" i="58"/>
  <c r="AF14" i="58" a="1"/>
  <c r="AF15" i="58" l="1"/>
  <c r="AF16" i="58"/>
  <c r="AF14" i="58"/>
  <c r="AE14" i="58" a="1"/>
  <c r="AE14" i="58"/>
  <c r="AE15" i="58" l="1"/>
  <c r="AE16" i="58"/>
  <c r="AS5" i="58" a="1"/>
  <c r="AL14" i="58" l="1" a="1"/>
  <c r="AL14" i="58" s="1"/>
  <c r="AS5" i="58"/>
  <c r="AS6" i="58"/>
  <c r="AF5" i="58" a="1"/>
  <c r="AM16" i="58" l="1"/>
  <c r="AM14" i="58"/>
  <c r="AL16" i="58"/>
  <c r="AM15" i="58"/>
  <c r="AN15" i="58"/>
  <c r="AL15" i="58"/>
  <c r="AN14" i="58"/>
  <c r="AN16" i="58"/>
  <c r="AF6" i="58"/>
  <c r="AF5" i="58"/>
  <c r="AL5" i="58" a="1"/>
  <c r="AM5" i="58" s="1"/>
  <c r="AL5" i="58" l="1"/>
  <c r="AM6" i="58"/>
  <c r="AL6" i="58"/>
  <c r="AW5" i="58" a="1"/>
  <c r="AW6" i="58" l="1"/>
  <c r="AW5" i="58"/>
  <c r="AR5" i="58" a="1"/>
  <c r="AR5" i="58"/>
  <c r="AR6" i="58"/>
  <c r="AX5" i="58" l="1" a="1"/>
  <c r="AY6" i="58" s="1"/>
  <c r="AS9" i="58" a="1"/>
  <c r="AY5" i="58" l="1"/>
  <c r="AX5" i="58"/>
  <c r="AX6" i="58"/>
  <c r="AU5" i="58" a="1"/>
  <c r="AS10" i="58"/>
  <c r="AS9" i="58"/>
  <c r="AK5" i="58" a="1"/>
  <c r="AU5" i="58" l="1"/>
  <c r="U26" i="58" s="1"/>
  <c r="AU6" i="58"/>
  <c r="U25" i="58" s="1"/>
  <c r="U32" i="58" s="1"/>
  <c r="BI5" i="58" s="1"/>
  <c r="AK5" i="58"/>
  <c r="AI5" i="58" s="1" a="1"/>
  <c r="AK6" i="58"/>
  <c r="AK19" i="58" a="1"/>
  <c r="AI6" i="58" l="1"/>
  <c r="G25" i="58" s="1"/>
  <c r="AI5" i="58"/>
  <c r="G26" i="58" s="1"/>
  <c r="AK21" i="58"/>
  <c r="AK19" i="58"/>
  <c r="AK20" i="58"/>
  <c r="BI1" i="58"/>
  <c r="AQ14" i="58" a="1"/>
  <c r="BI30" i="58"/>
  <c r="BI32" i="58"/>
  <c r="BI53" i="58"/>
  <c r="BI66" i="58"/>
  <c r="BI10" i="58"/>
  <c r="BI71" i="58"/>
  <c r="BI68" i="58"/>
  <c r="BI60" i="58"/>
  <c r="BI73" i="58"/>
  <c r="BI62" i="58"/>
  <c r="BI56" i="58"/>
  <c r="BI43" i="58"/>
  <c r="BI39" i="58"/>
  <c r="BI35" i="58"/>
  <c r="BI33" i="58"/>
  <c r="BI29" i="58"/>
  <c r="BI65" i="58"/>
  <c r="BI44" i="58"/>
  <c r="BI72" i="58"/>
  <c r="BI70" i="58"/>
  <c r="BI63" i="58"/>
  <c r="BI52" i="58"/>
  <c r="BI48" i="58"/>
  <c r="BI21" i="58"/>
  <c r="BI13" i="58"/>
  <c r="BI9" i="58"/>
  <c r="BI16" i="58"/>
  <c r="BI51" i="58"/>
  <c r="BI42" i="58"/>
  <c r="BI37" i="58"/>
  <c r="BI31" i="58"/>
  <c r="BI24" i="58"/>
  <c r="BI45" i="58"/>
  <c r="BI38" i="58"/>
  <c r="BI20" i="58"/>
  <c r="BI19" i="58"/>
  <c r="BI18" i="58"/>
  <c r="BI17" i="58"/>
  <c r="BI34" i="58"/>
  <c r="BI28" i="58"/>
  <c r="G32" i="58" l="1"/>
  <c r="BE5" i="58" s="1"/>
  <c r="AQ16" i="58"/>
  <c r="AQ14" i="58"/>
  <c r="AQ15" i="58"/>
  <c r="BI8" i="58"/>
  <c r="BI64" i="58"/>
  <c r="BI55" i="58"/>
  <c r="BI36" i="58"/>
  <c r="BI23" i="58"/>
  <c r="BI15" i="58"/>
  <c r="AK9" i="58" a="1"/>
  <c r="AK9" i="58"/>
  <c r="AK10" i="58"/>
  <c r="BI59" i="58"/>
  <c r="BI58" i="58"/>
  <c r="BI54" i="58"/>
  <c r="BI46" i="58"/>
  <c r="BI12" i="58"/>
  <c r="BI11" i="58"/>
  <c r="BI50" i="58"/>
  <c r="BI61" i="58"/>
  <c r="AR19" i="58" a="1"/>
  <c r="AI9" i="58" l="1" a="1"/>
  <c r="AI9" i="58" s="1"/>
  <c r="S26" i="58" s="1"/>
  <c r="AR20" i="58"/>
  <c r="AR19" i="58"/>
  <c r="AR21" i="58"/>
  <c r="AE19" i="58" a="1"/>
  <c r="AI10" i="58" l="1"/>
  <c r="S25" i="58" s="1"/>
  <c r="S32" i="58" s="1"/>
  <c r="BG5" i="58" s="1"/>
  <c r="AX19" i="58" a="1"/>
  <c r="AE19" i="58"/>
  <c r="AE20" i="58"/>
  <c r="AE21" i="58"/>
  <c r="AR14" i="58" a="1"/>
  <c r="AL19" i="58" l="1" a="1"/>
  <c r="AM21" i="58" s="1"/>
  <c r="AZ21" i="58"/>
  <c r="AX19" i="58"/>
  <c r="AZ19" i="58"/>
  <c r="AY20" i="58"/>
  <c r="AX21" i="58"/>
  <c r="AZ20" i="58"/>
  <c r="AX20" i="58"/>
  <c r="AY21" i="58"/>
  <c r="AY19" i="58"/>
  <c r="AR14" i="58"/>
  <c r="AR15" i="58"/>
  <c r="AR16" i="58"/>
  <c r="BI27" i="58"/>
  <c r="BI69" i="58"/>
  <c r="BI41" i="58"/>
  <c r="BI47" i="58"/>
  <c r="BI57" i="58"/>
  <c r="BI49" i="58"/>
  <c r="BI40" i="58"/>
  <c r="AS14" i="58" a="1"/>
  <c r="AN21" i="58" l="1"/>
  <c r="AN20" i="58"/>
  <c r="AN19" i="58"/>
  <c r="AL20" i="58"/>
  <c r="AM20" i="58"/>
  <c r="AL21" i="58"/>
  <c r="AM19" i="58"/>
  <c r="AL19" i="58"/>
  <c r="AI19" i="58" s="1" a="1"/>
  <c r="AU19" i="58" a="1"/>
  <c r="AS14" i="58"/>
  <c r="AS15" i="58"/>
  <c r="AS16" i="58"/>
  <c r="BI26" i="58"/>
  <c r="BI22" i="58"/>
  <c r="AW9" i="58" a="1"/>
  <c r="AX14" i="58" l="1" a="1"/>
  <c r="AZ16" i="58" s="1"/>
  <c r="AI21" i="58"/>
  <c r="T25" i="58" s="1"/>
  <c r="AI19" i="58"/>
  <c r="T27" i="58" s="1"/>
  <c r="AI20" i="58"/>
  <c r="T26" i="58" s="1"/>
  <c r="AU19" i="58"/>
  <c r="X27" i="58" s="1"/>
  <c r="AU20" i="58"/>
  <c r="X26" i="58" s="1"/>
  <c r="AU21" i="58"/>
  <c r="X25" i="58" s="1"/>
  <c r="AW9" i="58"/>
  <c r="AW10" i="58"/>
  <c r="BL1" i="58"/>
  <c r="BI7" i="58"/>
  <c r="BI67" i="58"/>
  <c r="AW14" i="58" a="1"/>
  <c r="BL71" i="58"/>
  <c r="BL56" i="58"/>
  <c r="BL13" i="58"/>
  <c r="BL21" i="58"/>
  <c r="BL18" i="58"/>
  <c r="BL31" i="58"/>
  <c r="BL50" i="58"/>
  <c r="BL24" i="58"/>
  <c r="BL48" i="58"/>
  <c r="BL7" i="58"/>
  <c r="BL32" i="58"/>
  <c r="BL69" i="58"/>
  <c r="BL63" i="58"/>
  <c r="BL53" i="58"/>
  <c r="BL70" i="58"/>
  <c r="BL60" i="58"/>
  <c r="BL55" i="58"/>
  <c r="BL52" i="58"/>
  <c r="BL34" i="58"/>
  <c r="BL25" i="58"/>
  <c r="BL20" i="58"/>
  <c r="BL16" i="58"/>
  <c r="BL72" i="58"/>
  <c r="BL66" i="58"/>
  <c r="BL59" i="58"/>
  <c r="BL54" i="58"/>
  <c r="BL41" i="58"/>
  <c r="BL37" i="58"/>
  <c r="BL27" i="58"/>
  <c r="BL64" i="58"/>
  <c r="BL61" i="58"/>
  <c r="BL58" i="58"/>
  <c r="BL51" i="58"/>
  <c r="BL43" i="58"/>
  <c r="BL38" i="58"/>
  <c r="BL33" i="58"/>
  <c r="BL29" i="58"/>
  <c r="BL22" i="58"/>
  <c r="BL19" i="58"/>
  <c r="BL14" i="58"/>
  <c r="BL8" i="58"/>
  <c r="BL17" i="58"/>
  <c r="BL46" i="58"/>
  <c r="BL44" i="58"/>
  <c r="BL30" i="58"/>
  <c r="BL28" i="58"/>
  <c r="BL73" i="58"/>
  <c r="BL67" i="58"/>
  <c r="BL68" i="58"/>
  <c r="BL23" i="58"/>
  <c r="BL10" i="58"/>
  <c r="BL36" i="58"/>
  <c r="BL15" i="58"/>
  <c r="BL12" i="58"/>
  <c r="BL62" i="58"/>
  <c r="BL35" i="58"/>
  <c r="BL6" i="58"/>
  <c r="BL57" i="58"/>
  <c r="BL42" i="58"/>
  <c r="BL11" i="58"/>
  <c r="BL65" i="58"/>
  <c r="BL49" i="58"/>
  <c r="BL47" i="58"/>
  <c r="BL40" i="58"/>
  <c r="BL39" i="58"/>
  <c r="BL9" i="58"/>
  <c r="BL45" i="58"/>
  <c r="BL26" i="58"/>
  <c r="AZ14" i="58" l="1"/>
  <c r="AY14" i="58"/>
  <c r="AY16" i="58"/>
  <c r="AZ15" i="58"/>
  <c r="AY15" i="58"/>
  <c r="X32" i="58"/>
  <c r="BL5" i="58" s="1"/>
  <c r="AX14" i="58"/>
  <c r="AX15" i="58"/>
  <c r="AX16" i="58"/>
  <c r="T32" i="58"/>
  <c r="BH5" i="58" s="1"/>
  <c r="AW15" i="58"/>
  <c r="AW14" i="58"/>
  <c r="AW16" i="58"/>
  <c r="AK14" i="58" a="1"/>
  <c r="AU14" i="58" l="1" a="1"/>
  <c r="AU14" i="58" s="1"/>
  <c r="V27" i="58" s="1"/>
  <c r="AK14" i="58"/>
  <c r="AK15" i="58"/>
  <c r="AK16" i="58"/>
  <c r="BI6" i="58"/>
  <c r="BI25" i="58"/>
  <c r="AR9" i="58" a="1"/>
  <c r="AU16" i="58" l="1"/>
  <c r="V25" i="58" s="1"/>
  <c r="AU15" i="58"/>
  <c r="V26" i="58" s="1"/>
  <c r="AI14" i="58" a="1"/>
  <c r="AI15" i="58" s="1"/>
  <c r="H26" i="58" s="1"/>
  <c r="V32" i="58"/>
  <c r="BJ5" i="58" s="1"/>
  <c r="AR9" i="58"/>
  <c r="AR10" i="58"/>
  <c r="BI14" i="58"/>
  <c r="S24" i="58"/>
  <c r="S38" i="58"/>
  <c r="S37" i="58"/>
  <c r="S39" i="58"/>
  <c r="S33" i="58"/>
  <c r="BG1" i="58"/>
  <c r="BG21" i="58"/>
  <c r="BG22" i="58"/>
  <c r="BG10" i="58"/>
  <c r="BG51" i="58"/>
  <c r="BG6" i="58"/>
  <c r="BG12" i="58"/>
  <c r="BG11" i="58"/>
  <c r="BG8" i="58"/>
  <c r="BG13" i="58"/>
  <c r="BG46" i="58"/>
  <c r="BG47" i="58"/>
  <c r="BG49" i="58"/>
  <c r="BG63" i="58"/>
  <c r="BG15" i="58"/>
  <c r="BG29" i="58"/>
  <c r="BG35" i="58"/>
  <c r="BG43" i="58"/>
  <c r="BG60" i="58"/>
  <c r="BG62" i="58"/>
  <c r="BG70" i="58"/>
  <c r="BG34" i="58"/>
  <c r="BG44" i="58"/>
  <c r="BG18" i="58"/>
  <c r="BG20" i="58"/>
  <c r="BG30" i="58"/>
  <c r="BG16" i="58"/>
  <c r="BG17" i="58"/>
  <c r="BG19" i="58"/>
  <c r="BG37" i="58"/>
  <c r="BG45" i="58"/>
  <c r="BG7" i="58"/>
  <c r="BG9" i="58"/>
  <c r="BG24" i="58"/>
  <c r="BG14" i="58"/>
  <c r="BG26" i="58"/>
  <c r="BG33" i="58"/>
  <c r="BG39" i="58"/>
  <c r="BG40" i="58"/>
  <c r="BG50" i="58"/>
  <c r="BG72" i="58"/>
  <c r="BG25" i="58"/>
  <c r="BG27" i="58"/>
  <c r="BG36" i="58"/>
  <c r="BG41" i="58"/>
  <c r="BG48" i="58"/>
  <c r="BG52" i="58"/>
  <c r="BG53" i="58"/>
  <c r="BG55" i="58"/>
  <c r="BG56" i="58"/>
  <c r="BG58" i="58"/>
  <c r="BG59" i="58"/>
  <c r="BG61" i="58"/>
  <c r="BG65" i="58"/>
  <c r="BG68" i="58"/>
  <c r="BG28" i="58"/>
  <c r="BG32" i="58"/>
  <c r="BG23" i="58"/>
  <c r="BG31" i="58"/>
  <c r="BG38" i="58"/>
  <c r="BG42" i="58"/>
  <c r="BG57" i="58"/>
  <c r="BG64" i="58"/>
  <c r="BG67" i="58"/>
  <c r="BG71" i="58"/>
  <c r="BG54" i="58"/>
  <c r="BG66" i="58"/>
  <c r="BG73" i="58"/>
  <c r="BG69" i="58"/>
  <c r="S34" i="58"/>
  <c r="S35" i="58"/>
  <c r="S36" i="58"/>
  <c r="S40" i="58"/>
  <c r="T24" i="58"/>
  <c r="T38" i="58"/>
  <c r="T39" i="58"/>
  <c r="T35" i="58"/>
  <c r="T34" i="58"/>
  <c r="T33" i="58"/>
  <c r="BH1" i="58"/>
  <c r="BH23" i="58"/>
  <c r="BH63" i="58"/>
  <c r="BH6" i="58"/>
  <c r="BH12" i="58"/>
  <c r="BH11" i="58"/>
  <c r="BH65" i="58"/>
  <c r="BH14" i="58"/>
  <c r="BH15" i="58"/>
  <c r="BH40" i="58"/>
  <c r="BH46" i="58"/>
  <c r="BH61" i="58"/>
  <c r="BH69" i="58"/>
  <c r="BH22" i="58"/>
  <c r="BH42" i="58"/>
  <c r="BH58" i="58"/>
  <c r="BH59" i="58"/>
  <c r="BH64" i="58"/>
  <c r="BH8" i="58"/>
  <c r="BH10" i="58"/>
  <c r="BH30" i="58"/>
  <c r="BH66" i="58"/>
  <c r="BH44" i="58"/>
  <c r="BH18" i="58"/>
  <c r="BH19" i="58"/>
  <c r="BH20" i="58"/>
  <c r="BH45" i="58"/>
  <c r="BH68" i="58"/>
  <c r="BH34" i="58"/>
  <c r="BH16" i="58"/>
  <c r="BH17" i="58"/>
  <c r="BH31" i="58"/>
  <c r="BH37" i="58"/>
  <c r="BH38" i="58"/>
  <c r="BH7" i="58"/>
  <c r="BH9" i="58"/>
  <c r="BH13" i="58"/>
  <c r="BH21" i="58"/>
  <c r="BH72" i="58"/>
  <c r="BH25" i="58"/>
  <c r="BH27" i="58"/>
  <c r="BH36" i="58"/>
  <c r="BH41" i="58"/>
  <c r="BH52" i="58"/>
  <c r="BH53" i="58"/>
  <c r="BH54" i="58"/>
  <c r="BH71" i="58"/>
  <c r="BH47" i="58"/>
  <c r="BH48" i="58"/>
  <c r="BH49" i="58"/>
  <c r="BH50" i="58"/>
  <c r="BH51" i="58"/>
  <c r="BH55" i="58"/>
  <c r="BH60" i="58"/>
  <c r="BH29" i="58"/>
  <c r="BH33" i="58"/>
  <c r="BH35" i="58"/>
  <c r="BH39" i="58"/>
  <c r="BH43" i="58"/>
  <c r="BH56" i="58"/>
  <c r="BH62" i="58"/>
  <c r="BH73" i="58"/>
  <c r="BH24" i="58"/>
  <c r="BH26" i="58"/>
  <c r="BH28" i="58"/>
  <c r="BH32" i="58"/>
  <c r="BH57" i="58"/>
  <c r="BH67" i="58"/>
  <c r="BH70" i="58"/>
  <c r="T37" i="58"/>
  <c r="T36" i="58"/>
  <c r="T40" i="58"/>
  <c r="U24" i="58"/>
  <c r="U38" i="58"/>
  <c r="U39" i="58"/>
  <c r="U40" i="58"/>
  <c r="U34" i="58"/>
  <c r="U35" i="58"/>
  <c r="U36" i="58"/>
  <c r="U33" i="58"/>
  <c r="U37" i="58"/>
  <c r="G24" i="58"/>
  <c r="BE1" i="58"/>
  <c r="BE25" i="58"/>
  <c r="BE17" i="58"/>
  <c r="BE16" i="58"/>
  <c r="BE8" i="58"/>
  <c r="BE54" i="58"/>
  <c r="BE22" i="58"/>
  <c r="BE10" i="58"/>
  <c r="BE15" i="58"/>
  <c r="BE42" i="58"/>
  <c r="BE29" i="58"/>
  <c r="BE6" i="58"/>
  <c r="BE43" i="58"/>
  <c r="BE65" i="58"/>
  <c r="BE67" i="58"/>
  <c r="BE34" i="58"/>
  <c r="BE44" i="58"/>
  <c r="BE36" i="58"/>
  <c r="BE45" i="58"/>
  <c r="BE72" i="58"/>
  <c r="BE9" i="58"/>
  <c r="BE24" i="58"/>
  <c r="BE68" i="58"/>
  <c r="BE55" i="58"/>
  <c r="BE39" i="58"/>
  <c r="BE11" i="58"/>
  <c r="BE12" i="58"/>
  <c r="BE46" i="58"/>
  <c r="BE52" i="58"/>
  <c r="BE28" i="58"/>
  <c r="BE14" i="58"/>
  <c r="BE31" i="58"/>
  <c r="BE33" i="58"/>
  <c r="BE38" i="58"/>
  <c r="BE13" i="58"/>
  <c r="BE49" i="58"/>
  <c r="BE48" i="58"/>
  <c r="BE51" i="58"/>
  <c r="BE20" i="58"/>
  <c r="BE23" i="58"/>
  <c r="BE26" i="58"/>
  <c r="BE35" i="58"/>
  <c r="BE40" i="58"/>
  <c r="BE50" i="58"/>
  <c r="BE59" i="58"/>
  <c r="BE60" i="58"/>
  <c r="BE63" i="58"/>
  <c r="BE71" i="58"/>
  <c r="BE18" i="58"/>
  <c r="BE7" i="58"/>
  <c r="BE32" i="58"/>
  <c r="BE47" i="58"/>
  <c r="BE57" i="58"/>
  <c r="BE62" i="58"/>
  <c r="BE66" i="58"/>
  <c r="BE70" i="58"/>
  <c r="BE73" i="58"/>
  <c r="BE30" i="58"/>
  <c r="BE53" i="58"/>
  <c r="BE58" i="58"/>
  <c r="BE61" i="58"/>
  <c r="BE69" i="58"/>
  <c r="BE19" i="58"/>
  <c r="BE21" i="58"/>
  <c r="BE27" i="58"/>
  <c r="BE37" i="58"/>
  <c r="BE41" i="58"/>
  <c r="BE56" i="58"/>
  <c r="BE64" i="58"/>
  <c r="G33" i="58"/>
  <c r="G36" i="58"/>
  <c r="G37" i="58"/>
  <c r="G38" i="58"/>
  <c r="G34" i="58"/>
  <c r="G40" i="58"/>
  <c r="G35" i="58"/>
  <c r="G39" i="58"/>
  <c r="V24" i="58"/>
  <c r="V39" i="58"/>
  <c r="V40" i="58"/>
  <c r="V34" i="58"/>
  <c r="V35" i="58"/>
  <c r="V36" i="58"/>
  <c r="V38" i="58"/>
  <c r="V33" i="58"/>
  <c r="V37" i="58"/>
  <c r="X24" i="58"/>
  <c r="X36" i="58"/>
  <c r="X35" i="58"/>
  <c r="X37" i="58"/>
  <c r="X40" i="58"/>
  <c r="X33" i="58"/>
  <c r="X39" i="58"/>
  <c r="X34" i="58"/>
  <c r="X38" i="58"/>
  <c r="AI16" i="58" l="1"/>
  <c r="H25" i="58" s="1"/>
  <c r="AI14" i="58"/>
  <c r="H27" i="58" s="1"/>
  <c r="AX9" i="58" a="1"/>
  <c r="AX10" i="58" s="1"/>
  <c r="H24" i="58"/>
  <c r="BJ1" i="58"/>
  <c r="H39" i="58"/>
  <c r="H35" i="58"/>
  <c r="H36" i="58"/>
  <c r="H38" i="58"/>
  <c r="H37" i="58"/>
  <c r="H34" i="58"/>
  <c r="H33" i="58"/>
  <c r="BF1" i="58"/>
  <c r="H40" i="58"/>
  <c r="BJ28" i="58"/>
  <c r="BJ30" i="58"/>
  <c r="BJ32" i="58"/>
  <c r="BJ53" i="58"/>
  <c r="BJ56" i="58"/>
  <c r="BJ73" i="58"/>
  <c r="BJ34" i="58"/>
  <c r="BJ15" i="58"/>
  <c r="BJ10" i="58"/>
  <c r="BJ12" i="58"/>
  <c r="BJ16" i="58"/>
  <c r="BJ24" i="58"/>
  <c r="BJ31" i="58"/>
  <c r="BJ37" i="58"/>
  <c r="BJ42" i="58"/>
  <c r="BJ54" i="58"/>
  <c r="BJ59" i="58"/>
  <c r="BJ66" i="58"/>
  <c r="BJ36" i="58"/>
  <c r="BJ40" i="58"/>
  <c r="BJ45" i="58"/>
  <c r="BJ46" i="58"/>
  <c r="BJ47" i="58"/>
  <c r="BJ48" i="58"/>
  <c r="BJ49" i="58"/>
  <c r="BJ50" i="58"/>
  <c r="BJ51" i="58"/>
  <c r="BJ68" i="58"/>
  <c r="BJ18" i="58"/>
  <c r="BJ44" i="58"/>
  <c r="BJ65" i="58"/>
  <c r="BJ55" i="58"/>
  <c r="BJ61" i="58"/>
  <c r="BJ71" i="58"/>
  <c r="BJ72" i="58"/>
  <c r="BJ43" i="58"/>
  <c r="BJ35" i="58"/>
  <c r="BJ64" i="58"/>
  <c r="BJ8" i="58"/>
  <c r="BJ23" i="58"/>
  <c r="BJ29" i="58"/>
  <c r="BJ25" i="58"/>
  <c r="BJ22" i="58"/>
  <c r="BJ70" i="58"/>
  <c r="BJ62" i="58"/>
  <c r="BJ60" i="58"/>
  <c r="BJ58" i="58"/>
  <c r="BJ69" i="58"/>
  <c r="BJ67" i="58"/>
  <c r="BJ63" i="58"/>
  <c r="BJ57" i="58"/>
  <c r="BJ41" i="58"/>
  <c r="BJ27" i="58"/>
  <c r="BJ14" i="58"/>
  <c r="BJ52" i="58"/>
  <c r="BJ38" i="58"/>
  <c r="BJ33" i="58"/>
  <c r="BJ19" i="58"/>
  <c r="BJ26" i="58"/>
  <c r="BJ20" i="58"/>
  <c r="BJ7" i="58"/>
  <c r="BJ11" i="58"/>
  <c r="BJ21" i="58"/>
  <c r="BJ9" i="58"/>
  <c r="BJ17" i="58"/>
  <c r="BJ39" i="58"/>
  <c r="BJ6" i="58"/>
  <c r="BJ13" i="58"/>
  <c r="BF70" i="58"/>
  <c r="BF65" i="58"/>
  <c r="BF59" i="58"/>
  <c r="BF69" i="58"/>
  <c r="BF61" i="58"/>
  <c r="BF58" i="58"/>
  <c r="BF53" i="58"/>
  <c r="BF30" i="58"/>
  <c r="BF22" i="58"/>
  <c r="BF71" i="58"/>
  <c r="BF67" i="58"/>
  <c r="BF64" i="58"/>
  <c r="BF57" i="58"/>
  <c r="BF42" i="58"/>
  <c r="BF38" i="58"/>
  <c r="BF31" i="58"/>
  <c r="BF73" i="58"/>
  <c r="BF62" i="58"/>
  <c r="BF56" i="58"/>
  <c r="BF63" i="58"/>
  <c r="BF60" i="58"/>
  <c r="BF50" i="58"/>
  <c r="BF40" i="58"/>
  <c r="BF35" i="58"/>
  <c r="BF26" i="58"/>
  <c r="BF23" i="58"/>
  <c r="BF20" i="58"/>
  <c r="BF18" i="58"/>
  <c r="BF6" i="58"/>
  <c r="BF55" i="58"/>
  <c r="BF54" i="58"/>
  <c r="BF72" i="58"/>
  <c r="BF52" i="58"/>
  <c r="BF49" i="58"/>
  <c r="BF47" i="58"/>
  <c r="BF46" i="58"/>
  <c r="BF21" i="58"/>
  <c r="BF13" i="58"/>
  <c r="BF12" i="58"/>
  <c r="BF11" i="58"/>
  <c r="BF39" i="58"/>
  <c r="BF14" i="58"/>
  <c r="BF32" i="58"/>
  <c r="BF28" i="58"/>
  <c r="BF24" i="58"/>
  <c r="BF9" i="58"/>
  <c r="BF33" i="58"/>
  <c r="BF7" i="58"/>
  <c r="BF19" i="58"/>
  <c r="BF16" i="58"/>
  <c r="BF68" i="58"/>
  <c r="BF45" i="58"/>
  <c r="BF37" i="58"/>
  <c r="BF36" i="58"/>
  <c r="BF66" i="58"/>
  <c r="BF17" i="58"/>
  <c r="BF44" i="58"/>
  <c r="BF34" i="58"/>
  <c r="BF43" i="58"/>
  <c r="BF29" i="58"/>
  <c r="BF25" i="58"/>
  <c r="BF10" i="58"/>
  <c r="BF51" i="58"/>
  <c r="BF48" i="58"/>
  <c r="BF41" i="58"/>
  <c r="BF15" i="58"/>
  <c r="BF27" i="58"/>
  <c r="BF8" i="58"/>
  <c r="AY10" i="58" l="1"/>
  <c r="AX9" i="58"/>
  <c r="AY9" i="58"/>
  <c r="H32" i="58"/>
  <c r="BF5" i="58" s="1"/>
  <c r="AU9" i="58" l="1" a="1"/>
  <c r="AU10" i="58" s="1"/>
  <c r="W25" i="58" s="1"/>
  <c r="P3" i="57"/>
  <c r="P6" i="57" a="1"/>
  <c r="P13" i="57" a="1"/>
  <c r="AU9" i="58" l="1"/>
  <c r="W26" i="58" s="1"/>
  <c r="W32" i="58"/>
  <c r="BK5" i="58" s="1"/>
  <c r="P6" i="57"/>
  <c r="P7" i="57"/>
  <c r="P8" i="57"/>
  <c r="P9" i="57"/>
  <c r="P16" i="57"/>
  <c r="P10" i="57"/>
  <c r="P15" i="57"/>
  <c r="P17" i="57"/>
  <c r="P14" i="57"/>
  <c r="P13" i="57"/>
  <c r="BK1" i="58"/>
  <c r="W24" i="58"/>
  <c r="AA25" i="57"/>
  <c r="AA19" i="57"/>
  <c r="AA17" i="57"/>
  <c r="AA16" i="57"/>
  <c r="AA21" i="57"/>
  <c r="AA24" i="57"/>
  <c r="AA15" i="57"/>
  <c r="AA20" i="57"/>
  <c r="AA18" i="57"/>
  <c r="AA22" i="57"/>
  <c r="AA23" i="57"/>
  <c r="L8" i="57"/>
  <c r="L7" i="57"/>
  <c r="L6" i="57"/>
  <c r="L5" i="57"/>
  <c r="L4" i="57"/>
  <c r="S3" i="57"/>
  <c r="L3" i="57"/>
  <c r="S4" i="57"/>
  <c r="F3" i="57"/>
  <c r="S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BK9" i="58"/>
  <c r="BK30" i="58"/>
  <c r="BK18" i="58"/>
  <c r="BK39" i="58"/>
  <c r="BK7" i="58"/>
  <c r="BK20" i="58"/>
  <c r="BK56" i="58"/>
  <c r="BK71" i="58"/>
  <c r="BK13" i="58"/>
  <c r="BK21" i="58"/>
  <c r="BK26" i="58"/>
  <c r="BK61" i="58"/>
  <c r="BK65" i="58"/>
  <c r="BK41" i="58"/>
  <c r="BK42" i="58"/>
  <c r="BK54" i="58"/>
  <c r="BK57" i="58"/>
  <c r="BK67" i="58"/>
  <c r="BK69" i="58"/>
  <c r="BK59" i="58"/>
  <c r="BK35" i="58"/>
  <c r="BK44" i="58"/>
  <c r="BK6" i="58"/>
  <c r="BK25" i="58"/>
  <c r="BK10" i="58"/>
  <c r="BK23" i="58"/>
  <c r="BK8" i="58"/>
  <c r="BK16" i="58"/>
  <c r="BK24" i="58"/>
  <c r="BK31" i="58"/>
  <c r="BK37" i="58"/>
  <c r="BK64" i="58"/>
  <c r="BK66" i="58"/>
  <c r="BK19" i="58"/>
  <c r="BK22" i="58"/>
  <c r="BK29" i="58"/>
  <c r="BK33" i="58"/>
  <c r="BK38" i="58"/>
  <c r="BK43" i="58"/>
  <c r="BK14" i="58"/>
  <c r="BK11" i="58"/>
  <c r="BK15" i="58"/>
  <c r="BK53" i="58"/>
  <c r="BK72" i="58"/>
  <c r="BK34" i="58"/>
  <c r="BK52" i="58"/>
  <c r="BK55" i="58"/>
  <c r="BK60" i="58"/>
  <c r="BK63" i="58"/>
  <c r="BK70" i="58"/>
  <c r="BK17" i="58"/>
  <c r="BK36" i="58"/>
  <c r="BK40" i="58"/>
  <c r="BK45" i="58"/>
  <c r="BK46" i="58"/>
  <c r="BK47" i="58"/>
  <c r="BK48" i="58"/>
  <c r="BK49" i="58"/>
  <c r="BK50" i="58"/>
  <c r="BK51" i="58"/>
  <c r="BK68" i="58"/>
  <c r="BK58" i="58"/>
  <c r="BK62" i="58"/>
  <c r="BK73" i="58"/>
  <c r="BK32" i="58"/>
  <c r="BK27" i="58"/>
  <c r="BK28" i="58"/>
  <c r="BK12" i="58"/>
  <c r="W36" i="58"/>
  <c r="W35" i="58"/>
  <c r="W40" i="58"/>
  <c r="W39" i="58"/>
  <c r="W33" i="58"/>
  <c r="W37" i="58"/>
  <c r="W34" i="58"/>
  <c r="W38" i="58"/>
  <c r="AC36" i="58" l="1"/>
  <c r="AC33" i="58"/>
  <c r="AC34" i="58"/>
  <c r="AC35" i="58"/>
  <c r="I3" i="57"/>
  <c r="M6" i="57"/>
  <c r="M7" i="57"/>
  <c r="M8" i="57"/>
  <c r="M5" i="57"/>
  <c r="M4" i="57"/>
  <c r="P18" i="57"/>
  <c r="U20" i="57"/>
  <c r="U19" i="57"/>
  <c r="U3" i="57"/>
  <c r="U27" i="57"/>
  <c r="U24" i="57"/>
  <c r="U35" i="57"/>
  <c r="U26" i="57"/>
  <c r="U69" i="57"/>
  <c r="U30" i="57"/>
  <c r="U47" i="57"/>
  <c r="U5" i="57"/>
  <c r="U39" i="57"/>
  <c r="U51" i="57"/>
  <c r="U63" i="57"/>
  <c r="U14" i="57"/>
  <c r="U17" i="57"/>
  <c r="U33" i="57"/>
  <c r="U45" i="57"/>
  <c r="U8" i="57"/>
  <c r="U11" i="57"/>
  <c r="U23" i="57"/>
  <c r="U29" i="57"/>
  <c r="U43" i="57"/>
  <c r="U59" i="57"/>
  <c r="U6" i="57"/>
  <c r="U7" i="57"/>
  <c r="U9" i="57"/>
  <c r="U10" i="57"/>
  <c r="U12" i="57"/>
  <c r="U18" i="57"/>
  <c r="U16" i="57"/>
  <c r="U21" i="57"/>
  <c r="U28" i="57"/>
  <c r="U41" i="57"/>
  <c r="U57" i="57"/>
  <c r="U32" i="57"/>
  <c r="U34" i="57"/>
  <c r="U36" i="57"/>
  <c r="U38" i="57"/>
  <c r="U40" i="57"/>
  <c r="U42" i="57"/>
  <c r="U44" i="57"/>
  <c r="U46" i="57"/>
  <c r="U48" i="57"/>
  <c r="U50" i="57"/>
  <c r="U52" i="57"/>
  <c r="U54" i="57"/>
  <c r="U56" i="57"/>
  <c r="U58" i="57"/>
  <c r="U60" i="57"/>
  <c r="U62" i="57"/>
  <c r="U64" i="57"/>
  <c r="U66" i="57"/>
  <c r="U68" i="57"/>
  <c r="U70" i="57"/>
  <c r="U13" i="57"/>
  <c r="U67" i="57"/>
  <c r="U25" i="57"/>
  <c r="U15" i="57"/>
  <c r="U31" i="57"/>
  <c r="U4" i="57"/>
  <c r="U61" i="57"/>
  <c r="U49" i="57"/>
  <c r="U37" i="57"/>
  <c r="U55" i="57"/>
  <c r="U53" i="57"/>
  <c r="U22" i="57"/>
  <c r="U65" i="57"/>
  <c r="BQ6" i="58"/>
  <c r="BQ10" i="58"/>
  <c r="BQ26" i="58"/>
  <c r="BQ42" i="58"/>
  <c r="BQ66" i="58"/>
  <c r="BQ11" i="58"/>
  <c r="BQ27" i="58"/>
  <c r="BQ43" i="58"/>
  <c r="BQ67" i="58"/>
  <c r="BQ28" i="58"/>
  <c r="BQ61" i="58"/>
  <c r="BQ18" i="58"/>
  <c r="BQ34" i="58"/>
  <c r="BQ50" i="58"/>
  <c r="BQ58" i="58"/>
  <c r="BQ19" i="58"/>
  <c r="BQ35" i="58"/>
  <c r="BQ51" i="58"/>
  <c r="BQ59" i="58"/>
  <c r="BQ12" i="58"/>
  <c r="BQ20" i="58"/>
  <c r="BQ36" i="58"/>
  <c r="BQ44" i="58"/>
  <c r="BQ52" i="58"/>
  <c r="BQ60" i="58"/>
  <c r="BQ68" i="58"/>
  <c r="BQ13" i="58"/>
  <c r="BQ21" i="58"/>
  <c r="BQ29" i="58"/>
  <c r="BQ37" i="58"/>
  <c r="BQ45" i="58"/>
  <c r="BQ53" i="58"/>
  <c r="BQ69" i="58"/>
  <c r="BQ14" i="58"/>
  <c r="BQ22" i="58"/>
  <c r="BQ30" i="58"/>
  <c r="BQ38" i="58"/>
  <c r="BQ46" i="58"/>
  <c r="BQ54" i="58"/>
  <c r="BQ62" i="58"/>
  <c r="BQ70" i="58"/>
  <c r="BQ7" i="58"/>
  <c r="BQ15" i="58"/>
  <c r="BQ23" i="58"/>
  <c r="BQ31" i="58"/>
  <c r="BQ39" i="58"/>
  <c r="BQ47" i="58"/>
  <c r="BQ55" i="58"/>
  <c r="BQ63" i="58"/>
  <c r="BQ71" i="58"/>
  <c r="BQ8" i="58"/>
  <c r="BQ16" i="58"/>
  <c r="BQ24" i="58"/>
  <c r="BQ32" i="58"/>
  <c r="BQ40" i="58"/>
  <c r="BQ48" i="58"/>
  <c r="BQ56" i="58"/>
  <c r="BQ64" i="58"/>
  <c r="BQ72" i="58"/>
  <c r="BQ9" i="58"/>
  <c r="BQ17" i="58"/>
  <c r="BQ25" i="58"/>
  <c r="BQ33" i="58"/>
  <c r="BQ41" i="58"/>
  <c r="BQ49" i="58"/>
  <c r="BQ57" i="58"/>
  <c r="BQ65" i="58"/>
  <c r="BQ73" i="58"/>
  <c r="AD40" i="58" l="1"/>
  <c r="AC40" i="58"/>
  <c r="AD38" i="58"/>
  <c r="AC38" i="58"/>
  <c r="AD39" i="58"/>
  <c r="AC39" i="58"/>
  <c r="AC37" i="58"/>
  <c r="AD37" i="58"/>
  <c r="W43" i="58" l="1"/>
  <c r="O43" i="58"/>
  <c r="G43" i="58"/>
  <c r="V43" i="58"/>
  <c r="N43" i="58"/>
  <c r="U43" i="58"/>
  <c r="M43" i="58"/>
  <c r="T43" i="58"/>
  <c r="L43" i="58"/>
  <c r="S43" i="58"/>
  <c r="K43" i="58"/>
  <c r="R43" i="58"/>
  <c r="Q43" i="58"/>
  <c r="J43" i="58"/>
  <c r="AC43" i="58"/>
  <c r="I43" i="58"/>
  <c r="H43" i="58"/>
  <c r="X43" i="58"/>
  <c r="P43" i="58"/>
  <c r="AC45" i="58"/>
  <c r="Q45" i="58"/>
  <c r="I45" i="58"/>
  <c r="X45" i="58"/>
  <c r="P45" i="58"/>
  <c r="H45" i="58"/>
  <c r="W45" i="58"/>
  <c r="O45" i="58"/>
  <c r="G45" i="58"/>
  <c r="V45" i="58"/>
  <c r="N45" i="58"/>
  <c r="U45" i="58"/>
  <c r="M45" i="58"/>
  <c r="T45" i="58"/>
  <c r="L45" i="58"/>
  <c r="S45" i="58"/>
  <c r="K45" i="58"/>
  <c r="R45" i="58"/>
  <c r="J45" i="58"/>
  <c r="T44" i="58"/>
  <c r="L44" i="58"/>
  <c r="S44" i="58"/>
  <c r="K44" i="58"/>
  <c r="R44" i="58"/>
  <c r="J44" i="58"/>
  <c r="AC44" i="58"/>
  <c r="Q44" i="58"/>
  <c r="I44" i="58"/>
  <c r="X44" i="58"/>
  <c r="P44" i="58"/>
  <c r="H44" i="58"/>
  <c r="W44" i="58"/>
  <c r="G44" i="58"/>
  <c r="N44" i="58"/>
  <c r="O44" i="58"/>
  <c r="V44" i="58"/>
  <c r="U44" i="58"/>
  <c r="M44" i="58"/>
  <c r="V46" i="58"/>
  <c r="N46" i="58"/>
  <c r="U46" i="58"/>
  <c r="M46" i="58"/>
  <c r="T46" i="58"/>
  <c r="L46" i="58"/>
  <c r="S46" i="58"/>
  <c r="K46" i="58"/>
  <c r="R46" i="58"/>
  <c r="J46" i="58"/>
  <c r="AC46" i="58"/>
  <c r="I46" i="58"/>
  <c r="X46" i="58"/>
  <c r="H46" i="58"/>
  <c r="W46" i="58"/>
  <c r="Q46" i="58"/>
  <c r="P46" i="58"/>
  <c r="O46" i="58"/>
  <c r="G46" i="58"/>
  <c r="AB22" i="58"/>
  <c r="AB23" i="58" s="1"/>
  <c r="AB25" i="58" s="1" a="1"/>
  <c r="AA22" i="58"/>
  <c r="AA23" i="58" s="1"/>
  <c r="AA25" i="58" s="1" a="1"/>
  <c r="Z22" i="58"/>
  <c r="Z23" i="58" s="1"/>
  <c r="Z25" i="58" s="1" a="1"/>
  <c r="Y22" i="58"/>
  <c r="Y23" i="58"/>
  <c r="Y25" i="58" a="1"/>
  <c r="Z25" i="58" l="1"/>
  <c r="Z26" i="58"/>
  <c r="Z27" i="58"/>
  <c r="AA25" i="58"/>
  <c r="AA26" i="58"/>
  <c r="AB25" i="58"/>
  <c r="AB26" i="58"/>
  <c r="AB27" i="58"/>
  <c r="Y25" i="58"/>
  <c r="Y26" i="58"/>
  <c r="Z24" i="58"/>
  <c r="Y24" i="58"/>
  <c r="AA24" i="58"/>
  <c r="AB24" i="58"/>
  <c r="Z39" i="58"/>
  <c r="Z35" i="58"/>
  <c r="Z40" i="58"/>
  <c r="Z34" i="58"/>
  <c r="Z33" i="58"/>
  <c r="Z38" i="58"/>
  <c r="Z37" i="58"/>
  <c r="Z36" i="58"/>
  <c r="BN1" i="58"/>
  <c r="BM1" i="58"/>
  <c r="Y34" i="58"/>
  <c r="Y36" i="58"/>
  <c r="Y37" i="58"/>
  <c r="Y40" i="58"/>
  <c r="Y33" i="58"/>
  <c r="Y38" i="58"/>
  <c r="Y35" i="58"/>
  <c r="Y39" i="58"/>
  <c r="BO1" i="58"/>
  <c r="AA33" i="58"/>
  <c r="AA35" i="58"/>
  <c r="AA38" i="58"/>
  <c r="AA37" i="58"/>
  <c r="AA34" i="58"/>
  <c r="AA39" i="58"/>
  <c r="AA36" i="58"/>
  <c r="AA40" i="58"/>
  <c r="AB34" i="58"/>
  <c r="AB33" i="58"/>
  <c r="AB37" i="58"/>
  <c r="AB39" i="58"/>
  <c r="BP1" i="58"/>
  <c r="AB38" i="58"/>
  <c r="AB35" i="58"/>
  <c r="AB36" i="58"/>
  <c r="AB40" i="58"/>
  <c r="BN68" i="58"/>
  <c r="BN65" i="58"/>
  <c r="BN59" i="58"/>
  <c r="BN72" i="58"/>
  <c r="BN30" i="58"/>
  <c r="BN22" i="58"/>
  <c r="BN61" i="58"/>
  <c r="BN58" i="58"/>
  <c r="BN53" i="58"/>
  <c r="BN42" i="58"/>
  <c r="BN38" i="58"/>
  <c r="BN31" i="58"/>
  <c r="BN71" i="58"/>
  <c r="BN49" i="58"/>
  <c r="BN45" i="58"/>
  <c r="BN39" i="58"/>
  <c r="BN6" i="58"/>
  <c r="BN73" i="58"/>
  <c r="BN32" i="58"/>
  <c r="BN26" i="58"/>
  <c r="BN23" i="58"/>
  <c r="BN20" i="58"/>
  <c r="BN18" i="58"/>
  <c r="BN67" i="58"/>
  <c r="BN69" i="58"/>
  <c r="BN66" i="58"/>
  <c r="BN64" i="58"/>
  <c r="BN62" i="58"/>
  <c r="BN57" i="58"/>
  <c r="BN70" i="58"/>
  <c r="BN60" i="58"/>
  <c r="BN55" i="58"/>
  <c r="BN44" i="58"/>
  <c r="BN34" i="58"/>
  <c r="BN25" i="58"/>
  <c r="BN15" i="58"/>
  <c r="BN43" i="58"/>
  <c r="BN29" i="58"/>
  <c r="BN12" i="58"/>
  <c r="BN11" i="58"/>
  <c r="BN47" i="58"/>
  <c r="BN40" i="58"/>
  <c r="BN21" i="58"/>
  <c r="BN13" i="58"/>
  <c r="BN27" i="58"/>
  <c r="BN9" i="58"/>
  <c r="BN54" i="58"/>
  <c r="BN41" i="58"/>
  <c r="BN14" i="58"/>
  <c r="BN63" i="58"/>
  <c r="BN51" i="58"/>
  <c r="BN50" i="58"/>
  <c r="BN48" i="58"/>
  <c r="BN46" i="58"/>
  <c r="BN56" i="58"/>
  <c r="BN52" i="58"/>
  <c r="BN33" i="58"/>
  <c r="BN24" i="58"/>
  <c r="BN36" i="58"/>
  <c r="BN16" i="58"/>
  <c r="BN10" i="58"/>
  <c r="BN7" i="58"/>
  <c r="BN8" i="58"/>
  <c r="BN28" i="58"/>
  <c r="BN37" i="58"/>
  <c r="BN19" i="58"/>
  <c r="BN17" i="58"/>
  <c r="BN35" i="58"/>
  <c r="BM33" i="58"/>
  <c r="BM14" i="58"/>
  <c r="BM23" i="58"/>
  <c r="BM9" i="58"/>
  <c r="BM8" i="58"/>
  <c r="BM38" i="58"/>
  <c r="BM31" i="58"/>
  <c r="BM24" i="58"/>
  <c r="BM10" i="58"/>
  <c r="BM16" i="58"/>
  <c r="BM52" i="58"/>
  <c r="BM53" i="58"/>
  <c r="BM18" i="58"/>
  <c r="BM20" i="58"/>
  <c r="BM32" i="58"/>
  <c r="BM48" i="58"/>
  <c r="BM50" i="58"/>
  <c r="BM51" i="58"/>
  <c r="BM71" i="58"/>
  <c r="BM40" i="58"/>
  <c r="BM47" i="58"/>
  <c r="BM61" i="58"/>
  <c r="BM13" i="58"/>
  <c r="BM26" i="58"/>
  <c r="BM42" i="58"/>
  <c r="BM58" i="58"/>
  <c r="BM11" i="58"/>
  <c r="BM55" i="58"/>
  <c r="BM60" i="58"/>
  <c r="BM70" i="58"/>
  <c r="BM12" i="58"/>
  <c r="BM22" i="58"/>
  <c r="BM29" i="58"/>
  <c r="BM43" i="58"/>
  <c r="BM15" i="58"/>
  <c r="BM25" i="58"/>
  <c r="BM6" i="58"/>
  <c r="BM35" i="58"/>
  <c r="BM36" i="58"/>
  <c r="BM62" i="58"/>
  <c r="BM65" i="58"/>
  <c r="BM68" i="58"/>
  <c r="BM73" i="58"/>
  <c r="BM39" i="58"/>
  <c r="BM45" i="58"/>
  <c r="BM49" i="58"/>
  <c r="BM7" i="58"/>
  <c r="BM17" i="58"/>
  <c r="BM28" i="58"/>
  <c r="BM34" i="58"/>
  <c r="BM44" i="58"/>
  <c r="BM46" i="58"/>
  <c r="BM57" i="58"/>
  <c r="BM67" i="58"/>
  <c r="BM69" i="58"/>
  <c r="BM30" i="58"/>
  <c r="BM19" i="58"/>
  <c r="BM21" i="58"/>
  <c r="BM27" i="58"/>
  <c r="BM37" i="58"/>
  <c r="BM41" i="58"/>
  <c r="BM54" i="58"/>
  <c r="BM59" i="58"/>
  <c r="BM63" i="58"/>
  <c r="BM66" i="58"/>
  <c r="BM56" i="58"/>
  <c r="BM64" i="58"/>
  <c r="BM72" i="58"/>
  <c r="BO15" i="58"/>
  <c r="BO36" i="58"/>
  <c r="BO25" i="58"/>
  <c r="BO6" i="58"/>
  <c r="BO37" i="58"/>
  <c r="BO45" i="58"/>
  <c r="BO8" i="58"/>
  <c r="BO24" i="58"/>
  <c r="BO34" i="58"/>
  <c r="BO44" i="58"/>
  <c r="BO55" i="58"/>
  <c r="BO10" i="58"/>
  <c r="BO16" i="58"/>
  <c r="BO17" i="58"/>
  <c r="BO19" i="58"/>
  <c r="BO33" i="58"/>
  <c r="BO39" i="58"/>
  <c r="BO49" i="58"/>
  <c r="BO52" i="58"/>
  <c r="BO46" i="58"/>
  <c r="BO48" i="58"/>
  <c r="BO50" i="58"/>
  <c r="BO51" i="58"/>
  <c r="BO14" i="58"/>
  <c r="BO9" i="58"/>
  <c r="BO21" i="58"/>
  <c r="BO27" i="58"/>
  <c r="BO13" i="58"/>
  <c r="BO22" i="58"/>
  <c r="BO59" i="58"/>
  <c r="BO7" i="58"/>
  <c r="BO41" i="58"/>
  <c r="BO11" i="58"/>
  <c r="BO12" i="58"/>
  <c r="BO29" i="58"/>
  <c r="BO43" i="58"/>
  <c r="BO60" i="58"/>
  <c r="BO63" i="58"/>
  <c r="BO65" i="58"/>
  <c r="BO68" i="58"/>
  <c r="BO35" i="58"/>
  <c r="BO40" i="58"/>
  <c r="BO47" i="58"/>
  <c r="BO18" i="58"/>
  <c r="BO20" i="58"/>
  <c r="BO26" i="58"/>
  <c r="BO30" i="58"/>
  <c r="BO72" i="58"/>
  <c r="BO56" i="58"/>
  <c r="BO62" i="58"/>
  <c r="BO73" i="58"/>
  <c r="BO71" i="58"/>
  <c r="BO28" i="58"/>
  <c r="BO32" i="58"/>
  <c r="BO57" i="58"/>
  <c r="BO64" i="58"/>
  <c r="BO67" i="58"/>
  <c r="BO23" i="58"/>
  <c r="BO31" i="58"/>
  <c r="BO38" i="58"/>
  <c r="BO42" i="58"/>
  <c r="BO53" i="58"/>
  <c r="BO58" i="58"/>
  <c r="BO61" i="58"/>
  <c r="BO54" i="58"/>
  <c r="BO66" i="58"/>
  <c r="BO70" i="58"/>
  <c r="BO69" i="58"/>
  <c r="BP10" i="58"/>
  <c r="BP16" i="58"/>
  <c r="BP53" i="58"/>
  <c r="BP15" i="58"/>
  <c r="BP19" i="58"/>
  <c r="BP44" i="58"/>
  <c r="BP12" i="58"/>
  <c r="BP11" i="58"/>
  <c r="BP18" i="58"/>
  <c r="BP6" i="58"/>
  <c r="BP17" i="58"/>
  <c r="BP34" i="58"/>
  <c r="BP30" i="58"/>
  <c r="BP8" i="58"/>
  <c r="BP20" i="58"/>
  <c r="BP31" i="58"/>
  <c r="BP36" i="58"/>
  <c r="BP37" i="58"/>
  <c r="BP38" i="58"/>
  <c r="BP45" i="58"/>
  <c r="BP72" i="58"/>
  <c r="BP52" i="58"/>
  <c r="BP54" i="58"/>
  <c r="BP7" i="58"/>
  <c r="BP9" i="58"/>
  <c r="BP14" i="58"/>
  <c r="BP27" i="58"/>
  <c r="BP41" i="58"/>
  <c r="BP42" i="58"/>
  <c r="BP21" i="58"/>
  <c r="BP22" i="58"/>
  <c r="BP55" i="58"/>
  <c r="BP56" i="58"/>
  <c r="BP58" i="58"/>
  <c r="BP59" i="58"/>
  <c r="BP61" i="58"/>
  <c r="BP60" i="58"/>
  <c r="BP62" i="58"/>
  <c r="BP63" i="58"/>
  <c r="BP66" i="58"/>
  <c r="BP25" i="58"/>
  <c r="BP68" i="58"/>
  <c r="BP13" i="58"/>
  <c r="BP23" i="58"/>
  <c r="BP40" i="58"/>
  <c r="BP46" i="58"/>
  <c r="BP47" i="58"/>
  <c r="BP48" i="58"/>
  <c r="BP49" i="58"/>
  <c r="BP50" i="58"/>
  <c r="BP51" i="58"/>
  <c r="BP65" i="58"/>
  <c r="BP29" i="58"/>
  <c r="BP33" i="58"/>
  <c r="BP35" i="58"/>
  <c r="BP39" i="58"/>
  <c r="BP43" i="58"/>
  <c r="BP69" i="58"/>
  <c r="BP71" i="58"/>
  <c r="BP24" i="58"/>
  <c r="BP26" i="58"/>
  <c r="BP28" i="58"/>
  <c r="BP32" i="58"/>
  <c r="BP64" i="58"/>
  <c r="BP57" i="58"/>
  <c r="BP67" i="58"/>
  <c r="BP73" i="58"/>
  <c r="BP70" i="58"/>
  <c r="AB46" i="58" l="1"/>
  <c r="AB44" i="58"/>
  <c r="AB45" i="58"/>
  <c r="AB43" i="58"/>
  <c r="AA46" i="58"/>
  <c r="AA45" i="58"/>
  <c r="AA43" i="58"/>
  <c r="AA44" i="58"/>
  <c r="Y45" i="58"/>
  <c r="Y44" i="58"/>
  <c r="Y46" i="58"/>
  <c r="Y43" i="58"/>
  <c r="Z43" i="58"/>
  <c r="Z44" i="58"/>
  <c r="Z46" i="58"/>
  <c r="Z45" i="58"/>
  <c r="AB32" i="58"/>
  <c r="BP5" i="58" s="1"/>
  <c r="AA32" i="58"/>
  <c r="BO5" i="58" s="1"/>
  <c r="Y32" i="58"/>
  <c r="BM5" i="58" s="1"/>
  <c r="Z32" i="58"/>
  <c r="BN5" i="58" s="1"/>
</calcChain>
</file>

<file path=xl/sharedStrings.xml><?xml version="1.0" encoding="utf-8"?>
<sst xmlns="http://schemas.openxmlformats.org/spreadsheetml/2006/main" count="702" uniqueCount="119">
  <si>
    <t>General Settings</t>
  </si>
  <si>
    <t>Currency</t>
  </si>
  <si>
    <t>EUR</t>
  </si>
  <si>
    <t>Calendar</t>
  </si>
  <si>
    <t>TARGET</t>
  </si>
  <si>
    <t>IborType</t>
  </si>
  <si>
    <t>OvenightIndex</t>
  </si>
  <si>
    <t>Eonia</t>
  </si>
  <si>
    <t>Permanent</t>
  </si>
  <si>
    <t>ObjectOverwrite</t>
  </si>
  <si>
    <t>SettlementDate</t>
  </si>
  <si>
    <t>Actual/360</t>
  </si>
  <si>
    <t>QuoteSuffix</t>
  </si>
  <si>
    <t>_Quote</t>
  </si>
  <si>
    <t>Trigger</t>
  </si>
  <si>
    <t>Evaluation Date</t>
  </si>
  <si>
    <t>Interest Rates Trigger</t>
  </si>
  <si>
    <t>LastFixingsTrigger</t>
  </si>
  <si>
    <t>1Y</t>
  </si>
  <si>
    <t>TriggerCounter</t>
  </si>
  <si>
    <t>x</t>
  </si>
  <si>
    <t>=</t>
  </si>
  <si>
    <t>1M</t>
  </si>
  <si>
    <t>3M</t>
  </si>
  <si>
    <t>6M</t>
  </si>
  <si>
    <t>1D</t>
  </si>
  <si>
    <t>1W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</si>
  <si>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</si>
  <si>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</si>
  <si>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</si>
  <si>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</si>
  <si>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</si>
  <si>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</si>
  <si>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</si>
  <si>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</si>
  <si>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</si>
  <si>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</si>
  <si>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12M</t>
  </si>
  <si>
    <t>Value Date</t>
  </si>
  <si>
    <t>Maturity Date</t>
  </si>
  <si>
    <t>Triggers</t>
  </si>
  <si>
    <t>Linear</t>
  </si>
  <si>
    <t>Quadratic</t>
  </si>
  <si>
    <t>Instruments</t>
  </si>
  <si>
    <t>γ,β,α</t>
  </si>
  <si>
    <t>β,α</t>
  </si>
  <si>
    <t>coef α</t>
  </si>
  <si>
    <t>coef β</t>
  </si>
  <si>
    <t>coef γ</t>
  </si>
  <si>
    <t>tenor</t>
  </si>
  <si>
    <t>start date</t>
  </si>
  <si>
    <t>Discounting</t>
  </si>
  <si>
    <t>EURON</t>
  </si>
  <si>
    <t>Index</t>
  </si>
  <si>
    <t>Additional Settings</t>
  </si>
  <si>
    <t>tau</t>
  </si>
  <si>
    <t>F ON</t>
  </si>
  <si>
    <t>Delta</t>
  </si>
  <si>
    <t>Daycounter</t>
  </si>
  <si>
    <t>tau 1</t>
  </si>
  <si>
    <t>tau 2</t>
  </si>
  <si>
    <t>Basis</t>
  </si>
  <si>
    <t>Tenor</t>
  </si>
  <si>
    <t>Diff (bps)</t>
  </si>
  <si>
    <t>with 0X6</t>
  </si>
  <si>
    <t>without 0X6</t>
  </si>
  <si>
    <t>Exact Fit</t>
  </si>
  <si>
    <t>Best Fit</t>
  </si>
  <si>
    <t>Repricing Error</t>
  </si>
  <si>
    <t>FRA</t>
  </si>
  <si>
    <t xml:space="preserve"> </t>
  </si>
  <si>
    <t>Value date</t>
  </si>
  <si>
    <t>ON 6M Index</t>
  </si>
  <si>
    <t>C0</t>
  </si>
  <si>
    <t>C1</t>
  </si>
  <si>
    <t>C2</t>
  </si>
  <si>
    <t>C3</t>
  </si>
  <si>
    <t>c0</t>
  </si>
  <si>
    <t>c1</t>
  </si>
  <si>
    <t>c2</t>
  </si>
  <si>
    <t>c3</t>
  </si>
  <si>
    <t>c4</t>
  </si>
  <si>
    <t>Tenor Basis</t>
  </si>
  <si>
    <t>Basis BestFit</t>
  </si>
  <si>
    <t>Quote object</t>
  </si>
  <si>
    <t>Set Value</t>
  </si>
  <si>
    <t>ESTIMATED</t>
  </si>
  <si>
    <t>0 X 6 EXACT</t>
  </si>
  <si>
    <t>0 X 6 BEST</t>
  </si>
  <si>
    <t>t</t>
  </si>
  <si>
    <t>Is simple</t>
  </si>
  <si>
    <t>Calibration</t>
  </si>
  <si>
    <t>Compute</t>
  </si>
  <si>
    <t>Synth Depo</t>
  </si>
  <si>
    <t>Simple Basis Coeff</t>
  </si>
  <si>
    <t>Continuous Basis Coeff</t>
  </si>
  <si>
    <t>end date</t>
  </si>
  <si>
    <t xml:space="preserve">Cont Basis </t>
  </si>
  <si>
    <t>Simple Basis</t>
  </si>
  <si>
    <t>function</t>
  </si>
  <si>
    <t>Using Continuous Basis</t>
  </si>
  <si>
    <t>Start Date</t>
  </si>
  <si>
    <t>End Date</t>
  </si>
  <si>
    <t>Using Simple Basis</t>
  </si>
  <si>
    <t>Wheigts</t>
  </si>
  <si>
    <t>Contribution</t>
  </si>
  <si>
    <t>Simple Basis Approximation</t>
  </si>
  <si>
    <t>Continuous Basis Approximation</t>
  </si>
  <si>
    <t>Continuous Basis approximation</t>
  </si>
  <si>
    <t>Simple Basis approximation</t>
  </si>
  <si>
    <t>ON 3M Index</t>
  </si>
  <si>
    <t>0 X 3 EXACT</t>
  </si>
  <si>
    <t>0 X 3 BEST</t>
  </si>
  <si>
    <t>ON 12M Index</t>
  </si>
  <si>
    <t>0 X 12 EXACT</t>
  </si>
  <si>
    <t>0 X 12 BEST</t>
  </si>
  <si>
    <t>ON 1M Index</t>
  </si>
  <si>
    <t>0 X 1 EXACT</t>
  </si>
  <si>
    <t>0 X 1 BEST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</si>
</sst>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&quot;£&quot;#,##0;[Red]\-&quot;£&quot;#,##0"/>
    <numFmt numFmtId="165" formatCode="#,##0.0;#,##0.0"/>
    <numFmt numFmtId="166" formatCode="_([$€-2]* #,##0.00_);_([$€-2]* \(#,##0.00\);_([$€-2]* &quot;-&quot;??_)"/>
    <numFmt numFmtId="167" formatCode="General_)"/>
    <numFmt numFmtId="168" formatCode="ddd\,\ dd\-mmm\-yyyy\ h:mm:ss"/>
    <numFmt numFmtId="169" formatCode="ddd\,\ d\-mmm\-yyyy"/>
    <numFmt numFmtId="170" formatCode="ddd\,\ d\-mmm\-yyyy\,\ hh:mm:ss"/>
    <numFmt numFmtId="171" formatCode="ddd\,\ dd\-mmm\-yyyy"/>
    <numFmt numFmtId="172" formatCode="0.0000%"/>
    <numFmt numFmtId="173" formatCode="0.0000"/>
    <numFmt numFmtId="174" formatCode="ddd\,\ dd\-mmm\-yyyy\,\ h:mm:ss"/>
    <numFmt numFmtId="175" formatCode="0.000000000"/>
    <numFmt numFmtId="179" formatCode="0.00000"/>
    <numFmt numFmtId="180" formatCode="0.000000"/>
    <numFmt numFmtId="181" formatCode="0.00000000"/>
    <numFmt numFmtId="182" formatCode="dd\-mmm\-yy"/>
  </numFmts>
  <fonts count="21" x14ac:knownFonts="1">
    <font>
      <sz val="8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4"/>
      <name val="Courier New"/>
      <family val="3"/>
    </font>
    <font>
      <sz val="8"/>
      <name val="Microsoft Sans Serif"/>
      <family val="2"/>
    </font>
    <font>
      <sz val="8"/>
      <color indexed="12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10"/>
      <name val="Courier New"/>
      <family val="3"/>
    </font>
    <font>
      <sz val="8"/>
      <color rgb="FFFF0000"/>
      <name val="Courier New"/>
      <family val="3"/>
    </font>
    <font>
      <sz val="9"/>
      <name val="Courier New"/>
      <family val="3"/>
    </font>
  </fonts>
  <fills count="14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fgColor auto="1"/>
        <bgColor theme="0" tint="-0.14996795556505021"/>
      </patternFill>
    </fill>
    <fill>
      <patternFill patternType="solid">
        <fgColor theme="8" tint="0.59999389629810485"/>
        <bgColor theme="8" tint="0.59996337778862885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2">
    <xf numFmtId="0" fontId="0" fillId="0" borderId="0"/>
    <xf numFmtId="166" fontId="6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67" fontId="9" fillId="0" borderId="0"/>
    <xf numFmtId="165" fontId="7" fillId="2" borderId="0">
      <alignment horizontal="center"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0" fillId="0" borderId="0"/>
    <xf numFmtId="0" fontId="4" fillId="0" borderId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0" fontId="3" fillId="0" borderId="0"/>
    <xf numFmtId="9" fontId="12" fillId="0" borderId="0" applyFont="0" applyFill="0" applyBorder="0" applyAlignment="0" applyProtection="0"/>
    <xf numFmtId="0" fontId="5" fillId="0" borderId="0"/>
    <xf numFmtId="0" fontId="5" fillId="0" borderId="0"/>
    <xf numFmtId="0" fontId="2" fillId="0" borderId="0"/>
    <xf numFmtId="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9" fontId="5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2" fillId="0" borderId="0"/>
    <xf numFmtId="9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6" fillId="0" borderId="0" applyFont="0" applyFill="0" applyBorder="0" applyAlignment="0" applyProtection="0"/>
    <xf numFmtId="0" fontId="6" fillId="0" borderId="0"/>
    <xf numFmtId="9" fontId="1" fillId="0" borderId="0" applyFont="0" applyFill="0" applyBorder="0" applyAlignment="0" applyProtection="0"/>
    <xf numFmtId="0" fontId="1" fillId="0" borderId="0"/>
  </cellStyleXfs>
  <cellXfs count="304">
    <xf numFmtId="0" fontId="0" fillId="0" borderId="0" xfId="0"/>
    <xf numFmtId="0" fontId="11" fillId="3" borderId="0" xfId="15" applyFont="1" applyFill="1" applyBorder="1"/>
    <xf numFmtId="0" fontId="11" fillId="4" borderId="1" xfId="15" applyFont="1" applyFill="1" applyBorder="1" applyAlignment="1">
      <alignment horizontal="right"/>
    </xf>
    <xf numFmtId="0" fontId="11" fillId="3" borderId="1" xfId="15" applyFont="1" applyFill="1" applyBorder="1" applyAlignment="1">
      <alignment horizontal="center"/>
    </xf>
    <xf numFmtId="168" fontId="11" fillId="3" borderId="1" xfId="15" applyNumberFormat="1" applyFont="1" applyFill="1" applyBorder="1" applyAlignment="1">
      <alignment horizontal="center"/>
    </xf>
    <xf numFmtId="0" fontId="14" fillId="3" borderId="0" xfId="14" applyFont="1" applyFill="1" applyBorder="1"/>
    <xf numFmtId="169" fontId="11" fillId="3" borderId="1" xfId="17" applyNumberFormat="1" applyFont="1" applyFill="1" applyBorder="1" applyAlignment="1">
      <alignment horizontal="center"/>
    </xf>
    <xf numFmtId="0" fontId="14" fillId="4" borderId="1" xfId="14" applyNumberFormat="1" applyFont="1" applyFill="1" applyBorder="1"/>
    <xf numFmtId="171" fontId="11" fillId="3" borderId="2" xfId="17" applyNumberFormat="1" applyFont="1" applyFill="1" applyBorder="1" applyAlignment="1">
      <alignment horizontal="center"/>
    </xf>
    <xf numFmtId="169" fontId="11" fillId="3" borderId="2" xfId="17" applyNumberFormat="1" applyFont="1" applyFill="1" applyBorder="1" applyAlignment="1">
      <alignment horizontal="center"/>
    </xf>
    <xf numFmtId="0" fontId="11" fillId="3" borderId="0" xfId="0" applyFont="1" applyFill="1" applyBorder="1"/>
    <xf numFmtId="0" fontId="11" fillId="4" borderId="1" xfId="15" applyFont="1" applyFill="1" applyBorder="1" applyAlignment="1">
      <alignment horizontal="right" vertical="center"/>
    </xf>
    <xf numFmtId="171" fontId="11" fillId="3" borderId="1" xfId="15" applyNumberFormat="1" applyFont="1" applyFill="1" applyBorder="1" applyAlignment="1">
      <alignment horizontal="center"/>
    </xf>
    <xf numFmtId="1" fontId="11" fillId="3" borderId="1" xfId="17" applyNumberFormat="1" applyFont="1" applyFill="1" applyBorder="1" applyAlignment="1">
      <alignment horizontal="center"/>
    </xf>
    <xf numFmtId="1" fontId="11" fillId="3" borderId="2" xfId="17" applyNumberFormat="1" applyFont="1" applyFill="1" applyBorder="1" applyAlignment="1">
      <alignment horizontal="center"/>
    </xf>
    <xf numFmtId="0" fontId="11" fillId="7" borderId="0" xfId="15" applyFont="1" applyFill="1"/>
    <xf numFmtId="0" fontId="11" fillId="7" borderId="0" xfId="16" applyFont="1" applyFill="1"/>
    <xf numFmtId="170" fontId="14" fillId="9" borderId="2" xfId="14" applyNumberFormat="1" applyFont="1" applyFill="1" applyBorder="1" applyAlignment="1" applyProtection="1">
      <alignment horizontal="center"/>
    </xf>
    <xf numFmtId="170" fontId="14" fillId="9" borderId="2" xfId="14" quotePrefix="1" applyNumberFormat="1" applyFont="1" applyFill="1" applyBorder="1" applyAlignment="1" applyProtection="1">
      <alignment horizontal="center"/>
    </xf>
    <xf numFmtId="0" fontId="11" fillId="7" borderId="0" xfId="0" applyFont="1" applyFill="1"/>
    <xf numFmtId="0" fontId="11" fillId="7" borderId="0" xfId="0" applyNumberFormat="1" applyFont="1" applyFill="1"/>
    <xf numFmtId="0" fontId="11" fillId="7" borderId="0" xfId="0" applyFont="1" applyFill="1" applyBorder="1"/>
    <xf numFmtId="0" fontId="11" fillId="7" borderId="0" xfId="0" applyFont="1" applyFill="1" applyBorder="1" applyAlignment="1"/>
    <xf numFmtId="171" fontId="11" fillId="7" borderId="0" xfId="0" applyNumberFormat="1" applyFont="1" applyFill="1" applyBorder="1" applyAlignment="1"/>
    <xf numFmtId="172" fontId="11" fillId="7" borderId="0" xfId="0" applyNumberFormat="1" applyFont="1" applyFill="1" applyBorder="1" applyAlignment="1"/>
    <xf numFmtId="173" fontId="11" fillId="7" borderId="0" xfId="0" applyNumberFormat="1" applyFont="1" applyFill="1" applyBorder="1"/>
    <xf numFmtId="172" fontId="11" fillId="7" borderId="0" xfId="17" applyNumberFormat="1" applyFont="1" applyFill="1" applyBorder="1"/>
    <xf numFmtId="2" fontId="11" fillId="7" borderId="5" xfId="0" applyNumberFormat="1" applyFont="1" applyFill="1" applyBorder="1" applyAlignment="1">
      <alignment horizontal="center" vertical="center"/>
    </xf>
    <xf numFmtId="2" fontId="11" fillId="7" borderId="4" xfId="0" applyNumberFormat="1" applyFont="1" applyFill="1" applyBorder="1" applyAlignment="1">
      <alignment horizontal="center" vertical="center"/>
    </xf>
    <xf numFmtId="172" fontId="11" fillId="7" borderId="3" xfId="0" applyNumberFormat="1" applyFont="1" applyFill="1" applyBorder="1" applyAlignment="1">
      <alignment vertical="center"/>
    </xf>
    <xf numFmtId="172" fontId="11" fillId="7" borderId="3" xfId="0" applyNumberFormat="1" applyFont="1" applyFill="1" applyBorder="1" applyAlignment="1"/>
    <xf numFmtId="2" fontId="11" fillId="7" borderId="0" xfId="0" applyNumberFormat="1" applyFont="1" applyFill="1" applyBorder="1" applyAlignment="1">
      <alignment horizontal="center" vertical="center"/>
    </xf>
    <xf numFmtId="2" fontId="11" fillId="7" borderId="0" xfId="0" applyNumberFormat="1" applyFont="1" applyFill="1" applyBorder="1"/>
    <xf numFmtId="0" fontId="11" fillId="7" borderId="0" xfId="0" applyFont="1" applyFill="1" applyBorder="1" applyAlignment="1">
      <alignment horizontal="center"/>
    </xf>
    <xf numFmtId="172" fontId="11" fillId="7" borderId="0" xfId="0" applyNumberFormat="1" applyFont="1" applyFill="1" applyBorder="1"/>
    <xf numFmtId="172" fontId="11" fillId="7" borderId="0" xfId="0" applyNumberFormat="1" applyFont="1" applyFill="1"/>
    <xf numFmtId="0" fontId="11" fillId="8" borderId="1" xfId="0" applyFont="1" applyFill="1" applyBorder="1" applyAlignment="1">
      <alignment horizontal="center" vertical="center" wrapText="1"/>
    </xf>
    <xf numFmtId="0" fontId="11" fillId="8" borderId="1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0" fontId="11" fillId="10" borderId="3" xfId="0" applyFont="1" applyFill="1" applyBorder="1" applyAlignment="1"/>
    <xf numFmtId="180" fontId="11" fillId="10" borderId="3" xfId="0" applyNumberFormat="1" applyFont="1" applyFill="1" applyBorder="1" applyAlignment="1"/>
    <xf numFmtId="173" fontId="11" fillId="10" borderId="3" xfId="0" applyNumberFormat="1" applyFont="1" applyFill="1" applyBorder="1"/>
    <xf numFmtId="0" fontId="11" fillId="10" borderId="10" xfId="0" applyFont="1" applyFill="1" applyBorder="1" applyAlignment="1"/>
    <xf numFmtId="180" fontId="11" fillId="10" borderId="10" xfId="0" applyNumberFormat="1" applyFont="1" applyFill="1" applyBorder="1" applyAlignment="1"/>
    <xf numFmtId="173" fontId="11" fillId="10" borderId="10" xfId="0" applyNumberFormat="1" applyFont="1" applyFill="1" applyBorder="1"/>
    <xf numFmtId="0" fontId="11" fillId="10" borderId="8" xfId="0" applyFont="1" applyFill="1" applyBorder="1" applyAlignment="1">
      <alignment horizontal="center" vertical="center"/>
    </xf>
    <xf numFmtId="173" fontId="11" fillId="10" borderId="8" xfId="0" applyNumberFormat="1" applyFont="1" applyFill="1" applyBorder="1"/>
    <xf numFmtId="172" fontId="11" fillId="10" borderId="3" xfId="0" applyNumberFormat="1" applyFont="1" applyFill="1" applyBorder="1"/>
    <xf numFmtId="0" fontId="11" fillId="10" borderId="3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172" fontId="11" fillId="10" borderId="10" xfId="0" applyNumberFormat="1" applyFont="1" applyFill="1" applyBorder="1"/>
    <xf numFmtId="171" fontId="11" fillId="10" borderId="1" xfId="0" applyNumberFormat="1" applyFont="1" applyFill="1" applyBorder="1" applyAlignment="1">
      <alignment horizontal="center" vertical="center"/>
    </xf>
    <xf numFmtId="172" fontId="11" fillId="10" borderId="8" xfId="0" applyNumberFormat="1" applyFont="1" applyFill="1" applyBorder="1"/>
    <xf numFmtId="172" fontId="11" fillId="10" borderId="3" xfId="0" applyNumberFormat="1" applyFont="1" applyFill="1" applyBorder="1" applyAlignment="1"/>
    <xf numFmtId="172" fontId="11" fillId="10" borderId="10" xfId="0" applyNumberFormat="1" applyFont="1" applyFill="1" applyBorder="1" applyAlignment="1"/>
    <xf numFmtId="0" fontId="11" fillId="7" borderId="0" xfId="0" applyNumberFormat="1" applyFont="1" applyFill="1" applyBorder="1" applyAlignment="1"/>
    <xf numFmtId="179" fontId="11" fillId="7" borderId="3" xfId="0" applyNumberFormat="1" applyFont="1" applyFill="1" applyBorder="1" applyAlignment="1"/>
    <xf numFmtId="0" fontId="11" fillId="3" borderId="4" xfId="0" applyFont="1" applyFill="1" applyBorder="1"/>
    <xf numFmtId="0" fontId="11" fillId="3" borderId="18" xfId="0" applyFont="1" applyFill="1" applyBorder="1"/>
    <xf numFmtId="0" fontId="11" fillId="3" borderId="7" xfId="0" applyFont="1" applyFill="1" applyBorder="1"/>
    <xf numFmtId="171" fontId="11" fillId="7" borderId="0" xfId="0" applyNumberFormat="1" applyFont="1" applyFill="1"/>
    <xf numFmtId="171" fontId="11" fillId="7" borderId="0" xfId="0" applyNumberFormat="1" applyFont="1" applyFill="1" applyBorder="1"/>
    <xf numFmtId="172" fontId="19" fillId="10" borderId="1" xfId="0" applyNumberFormat="1" applyFont="1" applyFill="1" applyBorder="1"/>
    <xf numFmtId="2" fontId="19" fillId="10" borderId="1" xfId="0" applyNumberFormat="1" applyFont="1" applyFill="1" applyBorder="1"/>
    <xf numFmtId="2" fontId="11" fillId="10" borderId="3" xfId="0" applyNumberFormat="1" applyFont="1" applyFill="1" applyBorder="1"/>
    <xf numFmtId="2" fontId="11" fillId="10" borderId="10" xfId="0" applyNumberFormat="1" applyFont="1" applyFill="1" applyBorder="1"/>
    <xf numFmtId="172" fontId="11" fillId="10" borderId="1" xfId="0" applyNumberFormat="1" applyFont="1" applyFill="1" applyBorder="1"/>
    <xf numFmtId="0" fontId="11" fillId="7" borderId="0" xfId="0" applyFont="1" applyFill="1" applyAlignment="1">
      <alignment horizontal="right"/>
    </xf>
    <xf numFmtId="0" fontId="13" fillId="8" borderId="20" xfId="16" applyFont="1" applyFill="1" applyBorder="1" applyAlignment="1">
      <alignment horizontal="centerContinuous" vertical="center"/>
    </xf>
    <xf numFmtId="0" fontId="13" fillId="8" borderId="21" xfId="16" applyFont="1" applyFill="1" applyBorder="1" applyAlignment="1">
      <alignment horizontal="centerContinuous" vertical="center"/>
    </xf>
    <xf numFmtId="0" fontId="13" fillId="8" borderId="17" xfId="16" applyFont="1" applyFill="1" applyBorder="1" applyAlignment="1">
      <alignment horizontal="centerContinuous" vertical="center"/>
    </xf>
    <xf numFmtId="0" fontId="11" fillId="3" borderId="5" xfId="15" applyFont="1" applyFill="1" applyBorder="1"/>
    <xf numFmtId="0" fontId="11" fillId="3" borderId="4" xfId="15" applyFont="1" applyFill="1" applyBorder="1"/>
    <xf numFmtId="0" fontId="11" fillId="5" borderId="5" xfId="15" applyFont="1" applyFill="1" applyBorder="1"/>
    <xf numFmtId="0" fontId="11" fillId="3" borderId="6" xfId="15" applyFont="1" applyFill="1" applyBorder="1"/>
    <xf numFmtId="0" fontId="15" fillId="3" borderId="18" xfId="15" applyFont="1" applyFill="1" applyBorder="1" applyAlignment="1">
      <alignment horizontal="right" vertical="center"/>
    </xf>
    <xf numFmtId="0" fontId="11" fillId="3" borderId="7" xfId="15" applyFont="1" applyFill="1" applyBorder="1"/>
    <xf numFmtId="0" fontId="14" fillId="3" borderId="5" xfId="14" applyFont="1" applyFill="1" applyBorder="1"/>
    <xf numFmtId="0" fontId="14" fillId="3" borderId="4" xfId="14" applyFont="1" applyFill="1" applyBorder="1"/>
    <xf numFmtId="15" fontId="14" fillId="3" borderId="4" xfId="14" applyNumberFormat="1" applyFont="1" applyFill="1" applyBorder="1"/>
    <xf numFmtId="0" fontId="14" fillId="3" borderId="6" xfId="14" applyFont="1" applyFill="1" applyBorder="1"/>
    <xf numFmtId="0" fontId="14" fillId="3" borderId="18" xfId="14" applyFont="1" applyFill="1" applyBorder="1"/>
    <xf numFmtId="0" fontId="11" fillId="3" borderId="5" xfId="0" applyFont="1" applyFill="1" applyBorder="1"/>
    <xf numFmtId="0" fontId="11" fillId="3" borderId="6" xfId="0" applyFont="1" applyFill="1" applyBorder="1"/>
    <xf numFmtId="0" fontId="13" fillId="8" borderId="11" xfId="16" applyFont="1" applyFill="1" applyBorder="1" applyAlignment="1">
      <alignment horizontal="centerContinuous" vertical="center"/>
    </xf>
    <xf numFmtId="0" fontId="13" fillId="8" borderId="19" xfId="16" applyFont="1" applyFill="1" applyBorder="1" applyAlignment="1">
      <alignment horizontal="centerContinuous" vertical="center"/>
    </xf>
    <xf numFmtId="0" fontId="13" fillId="8" borderId="16" xfId="16" applyFont="1" applyFill="1" applyBorder="1" applyAlignment="1">
      <alignment horizontal="centerContinuous" vertical="center"/>
    </xf>
    <xf numFmtId="171" fontId="11" fillId="11" borderId="1" xfId="15" applyNumberFormat="1" applyFont="1" applyFill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172" fontId="11" fillId="12" borderId="1" xfId="0" applyNumberFormat="1" applyFont="1" applyFill="1" applyBorder="1"/>
    <xf numFmtId="172" fontId="11" fillId="7" borderId="1" xfId="0" applyNumberFormat="1" applyFont="1" applyFill="1" applyBorder="1"/>
    <xf numFmtId="2" fontId="11" fillId="10" borderId="8" xfId="0" applyNumberFormat="1" applyFont="1" applyFill="1" applyBorder="1"/>
    <xf numFmtId="0" fontId="11" fillId="7" borderId="13" xfId="0" applyFont="1" applyFill="1" applyBorder="1"/>
    <xf numFmtId="0" fontId="11" fillId="7" borderId="14" xfId="0" applyFont="1" applyFill="1" applyBorder="1"/>
    <xf numFmtId="0" fontId="11" fillId="7" borderId="5" xfId="0" applyFont="1" applyFill="1" applyBorder="1"/>
    <xf numFmtId="0" fontId="11" fillId="7" borderId="6" xfId="0" applyFont="1" applyFill="1" applyBorder="1"/>
    <xf numFmtId="0" fontId="11" fillId="7" borderId="18" xfId="0" applyFont="1" applyFill="1" applyBorder="1"/>
    <xf numFmtId="0" fontId="11" fillId="10" borderId="2" xfId="0" applyFont="1" applyFill="1" applyBorder="1"/>
    <xf numFmtId="0" fontId="11" fillId="10" borderId="9" xfId="0" applyFont="1" applyFill="1" applyBorder="1"/>
    <xf numFmtId="0" fontId="11" fillId="10" borderId="4" xfId="0" applyFont="1" applyFill="1" applyBorder="1"/>
    <xf numFmtId="0" fontId="11" fillId="10" borderId="7" xfId="0" applyFont="1" applyFill="1" applyBorder="1"/>
    <xf numFmtId="0" fontId="11" fillId="7" borderId="4" xfId="0" applyFont="1" applyFill="1" applyBorder="1"/>
    <xf numFmtId="0" fontId="11" fillId="7" borderId="9" xfId="0" applyFont="1" applyFill="1" applyBorder="1"/>
    <xf numFmtId="0" fontId="11" fillId="7" borderId="7" xfId="0" applyFont="1" applyFill="1" applyBorder="1"/>
    <xf numFmtId="0" fontId="11" fillId="7" borderId="11" xfId="0" applyFont="1" applyFill="1" applyBorder="1"/>
    <xf numFmtId="0" fontId="11" fillId="7" borderId="12" xfId="0" applyFont="1" applyFill="1" applyBorder="1"/>
    <xf numFmtId="0" fontId="11" fillId="7" borderId="2" xfId="0" applyFont="1" applyFill="1" applyBorder="1" applyAlignment="1">
      <alignment horizontal="right"/>
    </xf>
    <xf numFmtId="172" fontId="11" fillId="11" borderId="1" xfId="0" applyNumberFormat="1" applyFont="1" applyFill="1" applyBorder="1"/>
    <xf numFmtId="0" fontId="11" fillId="10" borderId="2" xfId="0" applyFont="1" applyFill="1" applyBorder="1" applyAlignment="1">
      <alignment vertical="center"/>
    </xf>
    <xf numFmtId="0" fontId="17" fillId="6" borderId="11" xfId="0" applyFont="1" applyFill="1" applyBorder="1" applyAlignment="1">
      <alignment horizontal="centerContinuous" vertical="center" wrapText="1"/>
    </xf>
    <xf numFmtId="0" fontId="17" fillId="6" borderId="2" xfId="0" applyFont="1" applyFill="1" applyBorder="1" applyAlignment="1">
      <alignment horizontal="centerContinuous" vertical="center" wrapText="1"/>
    </xf>
    <xf numFmtId="0" fontId="11" fillId="7" borderId="0" xfId="0" applyFont="1" applyFill="1" applyBorder="1" applyAlignment="1">
      <alignment vertical="center"/>
    </xf>
    <xf numFmtId="0" fontId="18" fillId="7" borderId="0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172" fontId="11" fillId="11" borderId="3" xfId="17" applyNumberFormat="1" applyFont="1" applyFill="1" applyBorder="1"/>
    <xf numFmtId="172" fontId="11" fillId="11" borderId="10" xfId="0" applyNumberFormat="1" applyFont="1" applyFill="1" applyBorder="1"/>
    <xf numFmtId="0" fontId="11" fillId="13" borderId="11" xfId="0" applyFont="1" applyFill="1" applyBorder="1" applyAlignment="1">
      <alignment horizontal="centerContinuous" vertical="center"/>
    </xf>
    <xf numFmtId="0" fontId="11" fillId="13" borderId="12" xfId="0" applyFont="1" applyFill="1" applyBorder="1" applyAlignment="1">
      <alignment horizontal="centerContinuous" vertical="center"/>
    </xf>
    <xf numFmtId="0" fontId="11" fillId="13" borderId="2" xfId="0" applyFont="1" applyFill="1" applyBorder="1" applyAlignment="1">
      <alignment horizontal="centerContinuous" vertical="center"/>
    </xf>
    <xf numFmtId="0" fontId="11" fillId="8" borderId="11" xfId="0" applyFont="1" applyFill="1" applyBorder="1" applyAlignment="1">
      <alignment horizontal="centerContinuous" vertical="center" wrapText="1"/>
    </xf>
    <xf numFmtId="0" fontId="11" fillId="8" borderId="2" xfId="0" applyFont="1" applyFill="1" applyBorder="1" applyAlignment="1">
      <alignment horizontal="centerContinuous" vertical="center"/>
    </xf>
    <xf numFmtId="0" fontId="11" fillId="8" borderId="12" xfId="0" applyFont="1" applyFill="1" applyBorder="1" applyAlignment="1">
      <alignment horizontal="centerContinuous" vertical="center"/>
    </xf>
    <xf numFmtId="175" fontId="11" fillId="7" borderId="0" xfId="0" applyNumberFormat="1" applyFont="1" applyFill="1" applyBorder="1" applyAlignment="1"/>
    <xf numFmtId="173" fontId="11" fillId="7" borderId="0" xfId="0" applyNumberFormat="1" applyFont="1" applyFill="1" applyBorder="1" applyAlignment="1"/>
    <xf numFmtId="0" fontId="11" fillId="7" borderId="4" xfId="0" applyFont="1" applyFill="1" applyBorder="1" applyAlignment="1">
      <alignment vertical="center"/>
    </xf>
    <xf numFmtId="0" fontId="11" fillId="8" borderId="11" xfId="0" applyFont="1" applyFill="1" applyBorder="1" applyAlignment="1">
      <alignment horizontal="centerContinuous" vertical="center"/>
    </xf>
    <xf numFmtId="0" fontId="11" fillId="8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172" fontId="11" fillId="11" borderId="3" xfId="0" applyNumberFormat="1" applyFont="1" applyFill="1" applyBorder="1"/>
    <xf numFmtId="0" fontId="11" fillId="10" borderId="23" xfId="0" applyFont="1" applyFill="1" applyBorder="1" applyAlignment="1">
      <alignment horizontal="center" vertical="center"/>
    </xf>
    <xf numFmtId="173" fontId="11" fillId="10" borderId="23" xfId="0" applyNumberFormat="1" applyFont="1" applyFill="1" applyBorder="1"/>
    <xf numFmtId="172" fontId="11" fillId="11" borderId="23" xfId="0" applyNumberFormat="1" applyFont="1" applyFill="1" applyBorder="1"/>
    <xf numFmtId="171" fontId="11" fillId="7" borderId="0" xfId="0" applyNumberFormat="1" applyFont="1" applyFill="1" applyAlignment="1">
      <alignment horizontal="center" vertical="center"/>
    </xf>
    <xf numFmtId="0" fontId="11" fillId="8" borderId="11" xfId="0" applyFont="1" applyFill="1" applyBorder="1" applyAlignment="1">
      <alignment horizontal="center"/>
    </xf>
    <xf numFmtId="0" fontId="17" fillId="6" borderId="19" xfId="0" applyFont="1" applyFill="1" applyBorder="1" applyAlignment="1">
      <alignment horizontal="centerContinuous" vertical="center" wrapText="1"/>
    </xf>
    <xf numFmtId="0" fontId="17" fillId="6" borderId="22" xfId="0" applyFont="1" applyFill="1" applyBorder="1" applyAlignment="1">
      <alignment horizontal="centerContinuous" vertical="center" wrapText="1"/>
    </xf>
    <xf numFmtId="0" fontId="17" fillId="6" borderId="16" xfId="0" applyFont="1" applyFill="1" applyBorder="1" applyAlignment="1">
      <alignment horizontal="center" vertical="center" wrapText="1"/>
    </xf>
    <xf numFmtId="0" fontId="17" fillId="6" borderId="25" xfId="0" applyFont="1" applyFill="1" applyBorder="1" applyAlignment="1">
      <alignment horizontal="center" vertical="center" wrapText="1"/>
    </xf>
    <xf numFmtId="172" fontId="11" fillId="11" borderId="26" xfId="0" applyNumberFormat="1" applyFont="1" applyFill="1" applyBorder="1"/>
    <xf numFmtId="172" fontId="11" fillId="11" borderId="27" xfId="0" applyNumberFormat="1" applyFont="1" applyFill="1" applyBorder="1"/>
    <xf numFmtId="172" fontId="11" fillId="11" borderId="28" xfId="0" applyNumberFormat="1" applyFont="1" applyFill="1" applyBorder="1"/>
    <xf numFmtId="172" fontId="11" fillId="11" borderId="29" xfId="0" applyNumberFormat="1" applyFont="1" applyFill="1" applyBorder="1"/>
    <xf numFmtId="172" fontId="11" fillId="11" borderId="30" xfId="0" applyNumberFormat="1" applyFont="1" applyFill="1" applyBorder="1"/>
    <xf numFmtId="172" fontId="11" fillId="11" borderId="31" xfId="0" applyNumberFormat="1" applyFont="1" applyFill="1" applyBorder="1"/>
    <xf numFmtId="172" fontId="11" fillId="8" borderId="17" xfId="0" applyNumberFormat="1" applyFont="1" applyFill="1" applyBorder="1"/>
    <xf numFmtId="172" fontId="11" fillId="8" borderId="32" xfId="0" applyNumberFormat="1" applyFont="1" applyFill="1" applyBorder="1"/>
    <xf numFmtId="172" fontId="11" fillId="8" borderId="33" xfId="0" applyNumberFormat="1" applyFont="1" applyFill="1" applyBorder="1"/>
    <xf numFmtId="0" fontId="17" fillId="6" borderId="34" xfId="0" applyFont="1" applyFill="1" applyBorder="1" applyAlignment="1">
      <alignment horizontal="centerContinuous" vertical="center" wrapText="1"/>
    </xf>
    <xf numFmtId="0" fontId="17" fillId="6" borderId="35" xfId="0" applyFont="1" applyFill="1" applyBorder="1" applyAlignment="1">
      <alignment horizontal="centerContinuous" vertical="center" wrapText="1"/>
    </xf>
    <xf numFmtId="0" fontId="17" fillId="6" borderId="36" xfId="0" applyFont="1" applyFill="1" applyBorder="1" applyAlignment="1">
      <alignment horizontal="centerContinuous" vertical="center" wrapText="1"/>
    </xf>
    <xf numFmtId="172" fontId="11" fillId="11" borderId="10" xfId="17" applyNumberFormat="1" applyFont="1" applyFill="1" applyBorder="1"/>
    <xf numFmtId="172" fontId="11" fillId="10" borderId="15" xfId="0" applyNumberFormat="1" applyFont="1" applyFill="1" applyBorder="1"/>
    <xf numFmtId="172" fontId="11" fillId="10" borderId="37" xfId="0" applyNumberFormat="1" applyFont="1" applyFill="1" applyBorder="1"/>
    <xf numFmtId="172" fontId="11" fillId="10" borderId="38" xfId="0" applyNumberFormat="1" applyFont="1" applyFill="1" applyBorder="1"/>
    <xf numFmtId="172" fontId="11" fillId="10" borderId="27" xfId="0" applyNumberFormat="1" applyFont="1" applyFill="1" applyBorder="1"/>
    <xf numFmtId="172" fontId="11" fillId="10" borderId="26" xfId="0" applyNumberFormat="1" applyFont="1" applyFill="1" applyBorder="1"/>
    <xf numFmtId="172" fontId="11" fillId="10" borderId="39" xfId="0" applyNumberFormat="1" applyFont="1" applyFill="1" applyBorder="1"/>
    <xf numFmtId="172" fontId="11" fillId="10" borderId="40" xfId="0" applyNumberFormat="1" applyFont="1" applyFill="1" applyBorder="1"/>
    <xf numFmtId="172" fontId="11" fillId="10" borderId="41" xfId="0" applyNumberFormat="1" applyFont="1" applyFill="1" applyBorder="1"/>
    <xf numFmtId="172" fontId="11" fillId="10" borderId="42" xfId="0" applyNumberFormat="1" applyFont="1" applyFill="1" applyBorder="1"/>
    <xf numFmtId="172" fontId="11" fillId="10" borderId="43" xfId="0" applyNumberFormat="1" applyFont="1" applyFill="1" applyBorder="1"/>
    <xf numFmtId="172" fontId="11" fillId="10" borderId="44" xfId="0" applyNumberFormat="1" applyFont="1" applyFill="1" applyBorder="1"/>
    <xf numFmtId="0" fontId="11" fillId="10" borderId="42" xfId="0" applyFont="1" applyFill="1" applyBorder="1" applyAlignment="1">
      <alignment horizontal="center" vertical="center"/>
    </xf>
    <xf numFmtId="0" fontId="11" fillId="7" borderId="45" xfId="0" applyFont="1" applyFill="1" applyBorder="1"/>
    <xf numFmtId="173" fontId="11" fillId="10" borderId="46" xfId="0" applyNumberFormat="1" applyFont="1" applyFill="1" applyBorder="1"/>
    <xf numFmtId="0" fontId="11" fillId="7" borderId="45" xfId="0" applyNumberFormat="1" applyFont="1" applyFill="1" applyBorder="1" applyAlignment="1"/>
    <xf numFmtId="0" fontId="11" fillId="10" borderId="46" xfId="0" applyFont="1" applyFill="1" applyBorder="1" applyAlignment="1"/>
    <xf numFmtId="0" fontId="11" fillId="10" borderId="23" xfId="0" applyFont="1" applyFill="1" applyBorder="1" applyAlignment="1"/>
    <xf numFmtId="172" fontId="11" fillId="10" borderId="23" xfId="0" applyNumberFormat="1" applyFont="1" applyFill="1" applyBorder="1" applyAlignment="1"/>
    <xf numFmtId="180" fontId="11" fillId="10" borderId="23" xfId="0" applyNumberFormat="1" applyFont="1" applyFill="1" applyBorder="1" applyAlignment="1"/>
    <xf numFmtId="172" fontId="11" fillId="11" borderId="23" xfId="17" applyNumberFormat="1" applyFont="1" applyFill="1" applyBorder="1"/>
    <xf numFmtId="0" fontId="11" fillId="10" borderId="39" xfId="0" applyFont="1" applyFill="1" applyBorder="1" applyAlignment="1"/>
    <xf numFmtId="172" fontId="11" fillId="10" borderId="39" xfId="0" applyNumberFormat="1" applyFont="1" applyFill="1" applyBorder="1" applyAlignment="1"/>
    <xf numFmtId="173" fontId="11" fillId="10" borderId="39" xfId="0" applyNumberFormat="1" applyFont="1" applyFill="1" applyBorder="1"/>
    <xf numFmtId="172" fontId="11" fillId="7" borderId="39" xfId="17" applyNumberFormat="1" applyFont="1" applyFill="1" applyBorder="1"/>
    <xf numFmtId="15" fontId="11" fillId="10" borderId="8" xfId="0" applyNumberFormat="1" applyFont="1" applyFill="1" applyBorder="1" applyAlignment="1"/>
    <xf numFmtId="15" fontId="11" fillId="10" borderId="8" xfId="0" applyNumberFormat="1" applyFont="1" applyFill="1" applyBorder="1"/>
    <xf numFmtId="15" fontId="11" fillId="10" borderId="3" xfId="0" applyNumberFormat="1" applyFont="1" applyFill="1" applyBorder="1" applyAlignment="1"/>
    <xf numFmtId="15" fontId="11" fillId="10" borderId="3" xfId="0" applyNumberFormat="1" applyFont="1" applyFill="1" applyBorder="1"/>
    <xf numFmtId="15" fontId="11" fillId="10" borderId="23" xfId="0" applyNumberFormat="1" applyFont="1" applyFill="1" applyBorder="1" applyAlignment="1"/>
    <xf numFmtId="15" fontId="11" fillId="10" borderId="23" xfId="0" applyNumberFormat="1" applyFont="1" applyFill="1" applyBorder="1"/>
    <xf numFmtId="15" fontId="11" fillId="10" borderId="10" xfId="0" applyNumberFormat="1" applyFont="1" applyFill="1" applyBorder="1" applyAlignment="1"/>
    <xf numFmtId="15" fontId="11" fillId="10" borderId="10" xfId="0" applyNumberFormat="1" applyFont="1" applyFill="1" applyBorder="1"/>
    <xf numFmtId="15" fontId="11" fillId="10" borderId="1" xfId="0" applyNumberFormat="1" applyFont="1" applyFill="1" applyBorder="1" applyAlignment="1"/>
    <xf numFmtId="15" fontId="11" fillId="10" borderId="1" xfId="0" applyNumberFormat="1" applyFont="1" applyFill="1" applyBorder="1"/>
    <xf numFmtId="15" fontId="11" fillId="10" borderId="42" xfId="0" applyNumberFormat="1" applyFont="1" applyFill="1" applyBorder="1" applyAlignment="1"/>
    <xf numFmtId="15" fontId="11" fillId="10" borderId="39" xfId="0" applyNumberFormat="1" applyFont="1" applyFill="1" applyBorder="1" applyAlignment="1"/>
    <xf numFmtId="0" fontId="11" fillId="8" borderId="1" xfId="0" applyFont="1" applyFill="1" applyBorder="1" applyAlignment="1">
      <alignment horizontal="center"/>
    </xf>
    <xf numFmtId="173" fontId="11" fillId="7" borderId="1" xfId="0" applyNumberFormat="1" applyFont="1" applyFill="1" applyBorder="1"/>
    <xf numFmtId="0" fontId="11" fillId="10" borderId="39" xfId="0" applyFont="1" applyFill="1" applyBorder="1" applyAlignment="1">
      <alignment horizontal="right"/>
    </xf>
    <xf numFmtId="0" fontId="11" fillId="10" borderId="3" xfId="0" applyFont="1" applyFill="1" applyBorder="1" applyAlignment="1">
      <alignment horizontal="right"/>
    </xf>
    <xf numFmtId="0" fontId="11" fillId="10" borderId="42" xfId="0" applyFont="1" applyFill="1" applyBorder="1" applyAlignment="1">
      <alignment horizontal="right"/>
    </xf>
    <xf numFmtId="0" fontId="11" fillId="8" borderId="1" xfId="0" applyFont="1" applyFill="1" applyBorder="1" applyAlignment="1">
      <alignment horizontal="right" vertical="center" wrapText="1"/>
    </xf>
    <xf numFmtId="172" fontId="11" fillId="11" borderId="8" xfId="0" applyNumberFormat="1" applyFont="1" applyFill="1" applyBorder="1"/>
    <xf numFmtId="15" fontId="11" fillId="7" borderId="0" xfId="0" applyNumberFormat="1" applyFont="1" applyFill="1"/>
    <xf numFmtId="175" fontId="11" fillId="7" borderId="0" xfId="0" applyNumberFormat="1" applyFont="1" applyFill="1"/>
    <xf numFmtId="181" fontId="11" fillId="7" borderId="0" xfId="0" applyNumberFormat="1" applyFont="1" applyFill="1"/>
    <xf numFmtId="172" fontId="11" fillId="10" borderId="2" xfId="0" applyNumberFormat="1" applyFont="1" applyFill="1" applyBorder="1" applyAlignment="1">
      <alignment vertical="center"/>
    </xf>
    <xf numFmtId="172" fontId="11" fillId="10" borderId="2" xfId="0" applyNumberFormat="1" applyFont="1" applyFill="1" applyBorder="1"/>
    <xf numFmtId="172" fontId="11" fillId="10" borderId="9" xfId="0" applyNumberFormat="1" applyFont="1" applyFill="1" applyBorder="1"/>
    <xf numFmtId="172" fontId="11" fillId="10" borderId="4" xfId="0" applyNumberFormat="1" applyFont="1" applyFill="1" applyBorder="1"/>
    <xf numFmtId="172" fontId="11" fillId="10" borderId="7" xfId="0" applyNumberFormat="1" applyFont="1" applyFill="1" applyBorder="1"/>
    <xf numFmtId="172" fontId="11" fillId="11" borderId="3" xfId="0" applyNumberFormat="1" applyFont="1" applyFill="1" applyBorder="1" applyAlignment="1"/>
    <xf numFmtId="172" fontId="11" fillId="11" borderId="10" xfId="0" applyNumberFormat="1" applyFont="1" applyFill="1" applyBorder="1" applyAlignment="1"/>
    <xf numFmtId="0" fontId="11" fillId="8" borderId="8" xfId="0" applyFont="1" applyFill="1" applyBorder="1" applyAlignment="1">
      <alignment horizontal="center" vertical="center" wrapText="1"/>
    </xf>
    <xf numFmtId="172" fontId="11" fillId="11" borderId="47" xfId="0" applyNumberFormat="1" applyFont="1" applyFill="1" applyBorder="1"/>
    <xf numFmtId="172" fontId="11" fillId="11" borderId="48" xfId="0" applyNumberFormat="1" applyFont="1" applyFill="1" applyBorder="1"/>
    <xf numFmtId="172" fontId="11" fillId="11" borderId="49" xfId="0" applyNumberFormat="1" applyFont="1" applyFill="1" applyBorder="1"/>
    <xf numFmtId="172" fontId="11" fillId="11" borderId="50" xfId="0" applyNumberFormat="1" applyFont="1" applyFill="1" applyBorder="1"/>
    <xf numFmtId="172" fontId="11" fillId="8" borderId="51" xfId="0" applyNumberFormat="1" applyFont="1" applyFill="1" applyBorder="1"/>
    <xf numFmtId="182" fontId="11" fillId="10" borderId="1" xfId="0" applyNumberFormat="1" applyFont="1" applyFill="1" applyBorder="1"/>
    <xf numFmtId="182" fontId="11" fillId="10" borderId="8" xfId="0" applyNumberFormat="1" applyFont="1" applyFill="1" applyBorder="1"/>
    <xf numFmtId="182" fontId="11" fillId="10" borderId="3" xfId="0" applyNumberFormat="1" applyFont="1" applyFill="1" applyBorder="1"/>
    <xf numFmtId="182" fontId="11" fillId="10" borderId="10" xfId="0" applyNumberFormat="1" applyFont="1" applyFill="1" applyBorder="1"/>
    <xf numFmtId="0" fontId="17" fillId="6" borderId="52" xfId="0" applyFont="1" applyFill="1" applyBorder="1" applyAlignment="1">
      <alignment horizontal="centerContinuous" vertical="center" wrapText="1"/>
    </xf>
    <xf numFmtId="0" fontId="17" fillId="6" borderId="18" xfId="0" applyFont="1" applyFill="1" applyBorder="1" applyAlignment="1">
      <alignment horizontal="centerContinuous" vertical="center" wrapText="1"/>
    </xf>
    <xf numFmtId="0" fontId="17" fillId="6" borderId="53" xfId="0" applyFont="1" applyFill="1" applyBorder="1" applyAlignment="1">
      <alignment horizontal="centerContinuous" vertical="center" wrapText="1"/>
    </xf>
    <xf numFmtId="180" fontId="11" fillId="10" borderId="39" xfId="0" applyNumberFormat="1" applyFont="1" applyFill="1" applyBorder="1" applyAlignment="1"/>
    <xf numFmtId="179" fontId="11" fillId="7" borderId="0" xfId="0" applyNumberFormat="1" applyFont="1" applyFill="1" applyBorder="1" applyAlignment="1"/>
    <xf numFmtId="0" fontId="11" fillId="7" borderId="54" xfId="0" applyFont="1" applyFill="1" applyBorder="1"/>
    <xf numFmtId="0" fontId="11" fillId="7" borderId="55" xfId="0" applyFont="1" applyFill="1" applyBorder="1"/>
    <xf numFmtId="0" fontId="11" fillId="7" borderId="55" xfId="0" applyFont="1" applyFill="1" applyBorder="1" applyAlignment="1">
      <alignment horizontal="center" vertical="center"/>
    </xf>
    <xf numFmtId="0" fontId="11" fillId="7" borderId="56" xfId="0" applyFont="1" applyFill="1" applyBorder="1"/>
    <xf numFmtId="0" fontId="11" fillId="8" borderId="0" xfId="0" applyFont="1" applyFill="1"/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172" fontId="11" fillId="11" borderId="39" xfId="0" applyNumberFormat="1" applyFont="1" applyFill="1" applyBorder="1" applyAlignment="1"/>
    <xf numFmtId="173" fontId="11" fillId="7" borderId="57" xfId="0" applyNumberFormat="1" applyFont="1" applyFill="1" applyBorder="1"/>
    <xf numFmtId="173" fontId="11" fillId="7" borderId="58" xfId="0" applyNumberFormat="1" applyFont="1" applyFill="1" applyBorder="1"/>
    <xf numFmtId="172" fontId="11" fillId="7" borderId="57" xfId="0" applyNumberFormat="1" applyFont="1" applyFill="1" applyBorder="1"/>
    <xf numFmtId="172" fontId="11" fillId="7" borderId="58" xfId="0" applyNumberFormat="1" applyFont="1" applyFill="1" applyBorder="1"/>
    <xf numFmtId="172" fontId="11" fillId="12" borderId="58" xfId="0" applyNumberFormat="1" applyFont="1" applyFill="1" applyBorder="1"/>
    <xf numFmtId="172" fontId="11" fillId="12" borderId="59" xfId="0" applyNumberFormat="1" applyFont="1" applyFill="1" applyBorder="1"/>
    <xf numFmtId="172" fontId="11" fillId="12" borderId="60" xfId="0" applyNumberFormat="1" applyFont="1" applyFill="1" applyBorder="1"/>
    <xf numFmtId="172" fontId="11" fillId="12" borderId="32" xfId="0" applyNumberFormat="1" applyFont="1" applyFill="1" applyBorder="1"/>
    <xf numFmtId="173" fontId="11" fillId="7" borderId="6" xfId="0" applyNumberFormat="1" applyFont="1" applyFill="1" applyBorder="1"/>
    <xf numFmtId="173" fontId="11" fillId="7" borderId="18" xfId="0" applyNumberFormat="1" applyFont="1" applyFill="1" applyBorder="1"/>
    <xf numFmtId="173" fontId="11" fillId="7" borderId="7" xfId="0" applyNumberFormat="1" applyFont="1" applyFill="1" applyBorder="1"/>
    <xf numFmtId="172" fontId="11" fillId="12" borderId="57" xfId="0" applyNumberFormat="1" applyFont="1" applyFill="1" applyBorder="1"/>
    <xf numFmtId="0" fontId="11" fillId="7" borderId="61" xfId="0" applyFont="1" applyFill="1" applyBorder="1"/>
    <xf numFmtId="172" fontId="11" fillId="10" borderId="56" xfId="0" applyNumberFormat="1" applyFont="1" applyFill="1" applyBorder="1"/>
    <xf numFmtId="172" fontId="11" fillId="10" borderId="62" xfId="0" applyNumberFormat="1" applyFont="1" applyFill="1" applyBorder="1"/>
    <xf numFmtId="1" fontId="11" fillId="10" borderId="3" xfId="0" applyNumberFormat="1" applyFont="1" applyFill="1" applyBorder="1"/>
    <xf numFmtId="1" fontId="11" fillId="10" borderId="10" xfId="0" applyNumberFormat="1" applyFont="1" applyFill="1" applyBorder="1"/>
    <xf numFmtId="1" fontId="11" fillId="10" borderId="39" xfId="0" applyNumberFormat="1" applyFont="1" applyFill="1" applyBorder="1"/>
    <xf numFmtId="15" fontId="11" fillId="10" borderId="13" xfId="0" applyNumberFormat="1" applyFont="1" applyFill="1" applyBorder="1"/>
    <xf numFmtId="15" fontId="11" fillId="10" borderId="5" xfId="0" applyNumberFormat="1" applyFont="1" applyFill="1" applyBorder="1"/>
    <xf numFmtId="15" fontId="11" fillId="10" borderId="24" xfId="0" applyNumberFormat="1" applyFont="1" applyFill="1" applyBorder="1"/>
    <xf numFmtId="15" fontId="11" fillId="10" borderId="6" xfId="0" applyNumberFormat="1" applyFont="1" applyFill="1" applyBorder="1"/>
    <xf numFmtId="15" fontId="11" fillId="10" borderId="11" xfId="0" applyNumberFormat="1" applyFont="1" applyFill="1" applyBorder="1"/>
    <xf numFmtId="15" fontId="11" fillId="10" borderId="13" xfId="0" applyNumberFormat="1" applyFont="1" applyFill="1" applyBorder="1" applyAlignment="1"/>
    <xf numFmtId="15" fontId="11" fillId="10" borderId="5" xfId="0" applyNumberFormat="1" applyFont="1" applyFill="1" applyBorder="1" applyAlignment="1"/>
    <xf numFmtId="15" fontId="11" fillId="10" borderId="63" xfId="0" applyNumberFormat="1" applyFont="1" applyFill="1" applyBorder="1" applyAlignment="1"/>
    <xf numFmtId="172" fontId="11" fillId="11" borderId="64" xfId="0" applyNumberFormat="1" applyFont="1" applyFill="1" applyBorder="1"/>
    <xf numFmtId="172" fontId="11" fillId="11" borderId="65" xfId="0" applyNumberFormat="1" applyFont="1" applyFill="1" applyBorder="1"/>
    <xf numFmtId="0" fontId="17" fillId="6" borderId="66" xfId="0" applyFont="1" applyFill="1" applyBorder="1" applyAlignment="1">
      <alignment horizontal="center"/>
    </xf>
    <xf numFmtId="0" fontId="11" fillId="8" borderId="1" xfId="0" applyFont="1" applyFill="1" applyBorder="1" applyAlignment="1">
      <alignment horizontal="centerContinuous" vertical="center"/>
    </xf>
    <xf numFmtId="0" fontId="11" fillId="7" borderId="13" xfId="0" applyFont="1" applyFill="1" applyBorder="1" applyAlignment="1">
      <alignment horizontal="centerContinuous" vertical="center"/>
    </xf>
    <xf numFmtId="0" fontId="11" fillId="7" borderId="14" xfId="0" applyFont="1" applyFill="1" applyBorder="1" applyAlignment="1">
      <alignment horizontal="centerContinuous" vertical="center"/>
    </xf>
    <xf numFmtId="0" fontId="11" fillId="7" borderId="5" xfId="0" applyFont="1" applyFill="1" applyBorder="1" applyAlignment="1">
      <alignment horizontal="centerContinuous" vertical="center"/>
    </xf>
    <xf numFmtId="0" fontId="11" fillId="7" borderId="0" xfId="0" applyFont="1" applyFill="1" applyBorder="1" applyAlignment="1">
      <alignment horizontal="centerContinuous" vertical="center"/>
    </xf>
    <xf numFmtId="0" fontId="11" fillId="7" borderId="6" xfId="0" applyFont="1" applyFill="1" applyBorder="1" applyAlignment="1">
      <alignment horizontal="centerContinuous" vertical="center"/>
    </xf>
    <xf numFmtId="0" fontId="11" fillId="7" borderId="18" xfId="0" applyFont="1" applyFill="1" applyBorder="1" applyAlignment="1">
      <alignment horizontal="centerContinuous" vertical="center"/>
    </xf>
    <xf numFmtId="15" fontId="11" fillId="10" borderId="46" xfId="0" applyNumberFormat="1" applyFont="1" applyFill="1" applyBorder="1" applyAlignment="1"/>
    <xf numFmtId="172" fontId="11" fillId="10" borderId="46" xfId="0" applyNumberFormat="1" applyFont="1" applyFill="1" applyBorder="1" applyAlignment="1"/>
    <xf numFmtId="180" fontId="11" fillId="10" borderId="46" xfId="0" applyNumberFormat="1" applyFont="1" applyFill="1" applyBorder="1" applyAlignment="1"/>
    <xf numFmtId="172" fontId="11" fillId="11" borderId="46" xfId="17" applyNumberFormat="1" applyFont="1" applyFill="1" applyBorder="1"/>
    <xf numFmtId="172" fontId="11" fillId="11" borderId="23" xfId="0" applyNumberFormat="1" applyFont="1" applyFill="1" applyBorder="1" applyAlignment="1"/>
    <xf numFmtId="172" fontId="11" fillId="11" borderId="46" xfId="0" applyNumberFormat="1" applyFont="1" applyFill="1" applyBorder="1" applyAlignment="1"/>
    <xf numFmtId="1" fontId="11" fillId="10" borderId="46" xfId="0" applyNumberFormat="1" applyFont="1" applyFill="1" applyBorder="1"/>
    <xf numFmtId="15" fontId="11" fillId="10" borderId="65" xfId="0" applyNumberFormat="1" applyFont="1" applyFill="1" applyBorder="1"/>
    <xf numFmtId="15" fontId="11" fillId="10" borderId="27" xfId="0" applyNumberFormat="1" applyFont="1" applyFill="1" applyBorder="1"/>
    <xf numFmtId="172" fontId="11" fillId="10" borderId="64" xfId="0" applyNumberFormat="1" applyFont="1" applyFill="1" applyBorder="1"/>
    <xf numFmtId="172" fontId="11" fillId="10" borderId="65" xfId="0" applyNumberFormat="1" applyFont="1" applyFill="1" applyBorder="1"/>
    <xf numFmtId="15" fontId="11" fillId="10" borderId="6" xfId="0" applyNumberFormat="1" applyFont="1" applyFill="1" applyBorder="1" applyAlignment="1"/>
    <xf numFmtId="172" fontId="11" fillId="10" borderId="30" xfId="0" applyNumberFormat="1" applyFont="1" applyFill="1" applyBorder="1"/>
    <xf numFmtId="172" fontId="11" fillId="10" borderId="31" xfId="0" applyNumberFormat="1" applyFont="1" applyFill="1" applyBorder="1"/>
    <xf numFmtId="0" fontId="11" fillId="10" borderId="10" xfId="0" applyFont="1" applyFill="1" applyBorder="1" applyAlignment="1">
      <alignment horizontal="right"/>
    </xf>
    <xf numFmtId="0" fontId="11" fillId="10" borderId="8" xfId="0" applyFont="1" applyFill="1" applyBorder="1" applyAlignment="1">
      <alignment horizontal="right"/>
    </xf>
    <xf numFmtId="172" fontId="11" fillId="8" borderId="67" xfId="0" applyNumberFormat="1" applyFont="1" applyFill="1" applyBorder="1"/>
    <xf numFmtId="0" fontId="11" fillId="7" borderId="3" xfId="0" applyFont="1" applyFill="1" applyBorder="1" applyAlignment="1">
      <alignment horizontal="center" vertical="center"/>
    </xf>
    <xf numFmtId="0" fontId="11" fillId="10" borderId="10" xfId="0" applyFont="1" applyFill="1" applyBorder="1"/>
    <xf numFmtId="15" fontId="11" fillId="10" borderId="68" xfId="0" applyNumberFormat="1" applyFont="1" applyFill="1" applyBorder="1"/>
    <xf numFmtId="172" fontId="11" fillId="11" borderId="69" xfId="0" applyNumberFormat="1" applyFont="1" applyFill="1" applyBorder="1"/>
    <xf numFmtId="15" fontId="11" fillId="10" borderId="29" xfId="0" applyNumberFormat="1" applyFont="1" applyFill="1" applyBorder="1"/>
    <xf numFmtId="172" fontId="11" fillId="11" borderId="70" xfId="0" applyNumberFormat="1" applyFont="1" applyFill="1" applyBorder="1"/>
    <xf numFmtId="172" fontId="11" fillId="11" borderId="71" xfId="0" applyNumberFormat="1" applyFont="1" applyFill="1" applyBorder="1"/>
    <xf numFmtId="0" fontId="11" fillId="7" borderId="72" xfId="0" applyFont="1" applyFill="1" applyBorder="1"/>
    <xf numFmtId="172" fontId="11" fillId="11" borderId="73" xfId="0" applyNumberFormat="1" applyFont="1" applyFill="1" applyBorder="1"/>
    <xf numFmtId="15" fontId="11" fillId="10" borderId="27" xfId="0" applyNumberFormat="1" applyFont="1" applyFill="1" applyBorder="1" applyAlignment="1"/>
    <xf numFmtId="15" fontId="11" fillId="10" borderId="24" xfId="0" applyNumberFormat="1" applyFont="1" applyFill="1" applyBorder="1" applyAlignment="1"/>
    <xf numFmtId="172" fontId="11" fillId="8" borderId="49" xfId="0" applyNumberFormat="1" applyFont="1" applyFill="1" applyBorder="1"/>
    <xf numFmtId="172" fontId="11" fillId="5" borderId="15" xfId="0" applyNumberFormat="1" applyFont="1" applyFill="1" applyBorder="1"/>
    <xf numFmtId="172" fontId="11" fillId="5" borderId="3" xfId="0" applyNumberFormat="1" applyFont="1" applyFill="1" applyBorder="1"/>
    <xf numFmtId="172" fontId="11" fillId="5" borderId="10" xfId="0" applyNumberFormat="1" applyFont="1" applyFill="1" applyBorder="1"/>
    <xf numFmtId="0" fontId="11" fillId="7" borderId="18" xfId="0" applyNumberFormat="1" applyFont="1" applyFill="1" applyBorder="1" applyAlignment="1"/>
    <xf numFmtId="15" fontId="11" fillId="10" borderId="42" xfId="0" applyNumberFormat="1" applyFont="1" applyFill="1" applyBorder="1"/>
    <xf numFmtId="172" fontId="11" fillId="5" borderId="26" xfId="0" applyNumberFormat="1" applyFont="1" applyFill="1" applyBorder="1"/>
    <xf numFmtId="172" fontId="11" fillId="5" borderId="27" xfId="0" applyNumberFormat="1" applyFont="1" applyFill="1" applyBorder="1"/>
    <xf numFmtId="172" fontId="11" fillId="5" borderId="30" xfId="0" applyNumberFormat="1" applyFont="1" applyFill="1" applyBorder="1"/>
    <xf numFmtId="172" fontId="11" fillId="5" borderId="31" xfId="0" applyNumberFormat="1" applyFont="1" applyFill="1" applyBorder="1"/>
    <xf numFmtId="15" fontId="11" fillId="10" borderId="31" xfId="0" applyNumberFormat="1" applyFont="1" applyFill="1" applyBorder="1"/>
    <xf numFmtId="15" fontId="14" fillId="3" borderId="7" xfId="14" applyNumberFormat="1" applyFont="1" applyFill="1" applyBorder="1"/>
    <xf numFmtId="174" fontId="16" fillId="3" borderId="18" xfId="15" applyNumberFormat="1" applyFont="1" applyFill="1" applyBorder="1" applyAlignment="1">
      <alignment horizontal="right" vertical="center"/>
    </xf>
  </cellXfs>
  <cellStyles count="42">
    <cellStyle name="Euro" xfId="1"/>
    <cellStyle name="Euro 2" xfId="28"/>
    <cellStyle name="Migliaia (0)_AZIONI" xfId="2"/>
    <cellStyle name="Migliaia_AZIONI" xfId="3"/>
    <cellStyle name="Normal" xfId="0" builtinId="0"/>
    <cellStyle name="Normal 2" xfId="8"/>
    <cellStyle name="Normal 2 2" xfId="14"/>
    <cellStyle name="Normal 2 2 2" xfId="30"/>
    <cellStyle name="Normal 3" xfId="9"/>
    <cellStyle name="Normal 3 2" xfId="18"/>
    <cellStyle name="Normal 3 2 2" xfId="34"/>
    <cellStyle name="Normal 3 2 2 2" xfId="37"/>
    <cellStyle name="Normal 3 2 3" xfId="35"/>
    <cellStyle name="Normal 3 2 4" xfId="25"/>
    <cellStyle name="Normal 3 3" xfId="31"/>
    <cellStyle name="Normal 3 4" xfId="36"/>
    <cellStyle name="Normal 3 5" xfId="22"/>
    <cellStyle name="Normal 4" xfId="12"/>
    <cellStyle name="Normal 5" xfId="21"/>
    <cellStyle name="Normal 6" xfId="27"/>
    <cellStyle name="Normal 6 2" xfId="39"/>
    <cellStyle name="Normal 7" xfId="20"/>
    <cellStyle name="Normal 8" xfId="41"/>
    <cellStyle name="Normal_InterestRateQuotesFeed" xfId="15"/>
    <cellStyle name="Normal_SwaptionATMVols" xfId="16"/>
    <cellStyle name="Normale_AZIONI" xfId="4"/>
    <cellStyle name="Percent 2" xfId="11"/>
    <cellStyle name="Percent 2 2" xfId="33"/>
    <cellStyle name="Percent 2 2 2" xfId="38"/>
    <cellStyle name="Percent 2 3" xfId="23"/>
    <cellStyle name="Percent 3" xfId="10"/>
    <cellStyle name="Percent 3 2" xfId="19"/>
    <cellStyle name="Percent 3 2 2" xfId="26"/>
    <cellStyle name="Percent 3 3" xfId="32"/>
    <cellStyle name="Percent 4" xfId="13"/>
    <cellStyle name="Percent 5" xfId="17"/>
    <cellStyle name="Percent 5 2" xfId="24"/>
    <cellStyle name="Percent 6" xfId="29"/>
    <cellStyle name="Percent 7" xfId="40"/>
    <cellStyle name="result" xfId="5"/>
    <cellStyle name="Valuta (0)_AZIONI" xfId="6"/>
    <cellStyle name="Valuta_AZIONI" xfId="7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'6MSynthDepo_used'!$G$4</c:f>
              <c:numCache>
                <c:formatCode>d\-mmm\-yy</c:formatCode>
                <c:ptCount val="1"/>
                <c:pt idx="0">
                  <c:v>42138</c:v>
                </c:pt>
              </c:numCache>
            </c:numRef>
          </c:xVal>
          <c:yVal>
            <c:numRef>
              <c:f>'6MSynthDepo_used'!$K$4</c:f>
              <c:numCache>
                <c:formatCode>0.0000%</c:formatCode>
                <c:ptCount val="1"/>
                <c:pt idx="0">
                  <c:v>1.8762423478284104E-3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'6MSynthDepo_used'!$G$5:$G$16</c:f>
              <c:numCache>
                <c:formatCode>d\-mmm\-yy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'6MSynthDepo_used'!$K$5:$K$22</c:f>
              <c:numCache>
                <c:formatCode>0.0000%</c:formatCode>
                <c:ptCount val="18"/>
                <c:pt idx="0">
                  <c:v>1.8605122846826953E-3</c:v>
                </c:pt>
                <c:pt idx="1">
                  <c:v>1.8920227137032052E-3</c:v>
                </c:pt>
                <c:pt idx="2">
                  <c:v>1.9078296020085105E-3</c:v>
                </c:pt>
                <c:pt idx="3">
                  <c:v>1.9363441141031473E-3</c:v>
                </c:pt>
                <c:pt idx="4">
                  <c:v>1.992988021207379E-3</c:v>
                </c:pt>
                <c:pt idx="5">
                  <c:v>2.0121885563962154E-3</c:v>
                </c:pt>
                <c:pt idx="6">
                  <c:v>2.010063809664786E-3</c:v>
                </c:pt>
                <c:pt idx="7">
                  <c:v>2.0397712071434028E-3</c:v>
                </c:pt>
                <c:pt idx="8">
                  <c:v>2.0469626406820719E-3</c:v>
                </c:pt>
                <c:pt idx="9">
                  <c:v>2.0479678338170587E-3</c:v>
                </c:pt>
                <c:pt idx="10">
                  <c:v>2.0909581779939091E-3</c:v>
                </c:pt>
                <c:pt idx="11">
                  <c:v>2.1263282396588308E-3</c:v>
                </c:pt>
                <c:pt idx="12">
                  <c:v>2.1616917755336515E-3</c:v>
                </c:pt>
                <c:pt idx="13">
                  <c:v>2.1667777205701499E-3</c:v>
                </c:pt>
                <c:pt idx="14">
                  <c:v>2.2077508816951063E-3</c:v>
                </c:pt>
                <c:pt idx="15">
                  <c:v>2.2211142620505268E-3</c:v>
                </c:pt>
                <c:pt idx="16">
                  <c:v>2.2314476386361263E-3</c:v>
                </c:pt>
                <c:pt idx="17">
                  <c:v>2.2167577732972407E-3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'6MSynthDepo_used'!$S$2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'6MSynthDepo_used'!$R$3:$R$262</c:f>
              <c:numCache>
                <c:formatCode>d\-mmm\-yy</c:formatCode>
                <c:ptCount val="26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</c:numCache>
            </c:numRef>
          </c:xVal>
          <c:yVal>
            <c:numRef>
              <c:f>'6MSynthDepo_used'!$S$3:$S$262</c:f>
              <c:numCache>
                <c:formatCode>0.0000%</c:formatCode>
                <c:ptCount val="260"/>
                <c:pt idx="0">
                  <c:v>1.8211623395594731E-3</c:v>
                </c:pt>
                <c:pt idx="1">
                  <c:v>1.822389244640911E-3</c:v>
                </c:pt>
                <c:pt idx="2">
                  <c:v>1.8260479882397668E-3</c:v>
                </c:pt>
                <c:pt idx="3">
                  <c:v>1.8272602789366926E-3</c:v>
                </c:pt>
                <c:pt idx="4">
                  <c:v>1.8284689410718352E-3</c:v>
                </c:pt>
                <c:pt idx="5">
                  <c:v>1.8296739846589323E-3</c:v>
                </c:pt>
                <c:pt idx="6">
                  <c:v>1.830875419711722E-3</c:v>
                </c:pt>
                <c:pt idx="7">
                  <c:v>1.8344581738016254E-3</c:v>
                </c:pt>
                <c:pt idx="8">
                  <c:v>1.8356452748545641E-3</c:v>
                </c:pt>
                <c:pt idx="9">
                  <c:v>1.8368288174418848E-3</c:v>
                </c:pt>
                <c:pt idx="10">
                  <c:v>1.8380088115773254E-3</c:v>
                </c:pt>
                <c:pt idx="11">
                  <c:v>1.8391852672746236E-3</c:v>
                </c:pt>
                <c:pt idx="12">
                  <c:v>1.8426935038750442E-3</c:v>
                </c:pt>
                <c:pt idx="13">
                  <c:v>1.8438559059571528E-3</c:v>
                </c:pt>
                <c:pt idx="14">
                  <c:v>1.8450148196698082E-3</c:v>
                </c:pt>
                <c:pt idx="15">
                  <c:v>1.8461702550267489E-3</c:v>
                </c:pt>
                <c:pt idx="16">
                  <c:v>1.8473222220417127E-3</c:v>
                </c:pt>
                <c:pt idx="17">
                  <c:v>1.8507574131721206E-3</c:v>
                </c:pt>
                <c:pt idx="18">
                  <c:v>1.8518956069565552E-3</c:v>
                </c:pt>
                <c:pt idx="19">
                  <c:v>1.8530303824677023E-3</c:v>
                </c:pt>
                <c:pt idx="20">
                  <c:v>1.8541617497193001E-3</c:v>
                </c:pt>
                <c:pt idx="21">
                  <c:v>1.8552897187250855E-3</c:v>
                </c:pt>
                <c:pt idx="22">
                  <c:v>1.858653336404951E-3</c:v>
                </c:pt>
                <c:pt idx="23">
                  <c:v>1.8597678125648687E-3</c:v>
                </c:pt>
                <c:pt idx="24">
                  <c:v>1.8608789405476643E-3</c:v>
                </c:pt>
                <c:pt idx="25">
                  <c:v>1.8619867303670751E-3</c:v>
                </c:pt>
                <c:pt idx="26">
                  <c:v>1.8630911920368397E-3</c:v>
                </c:pt>
                <c:pt idx="27">
                  <c:v>1.8663847082856331E-3</c:v>
                </c:pt>
                <c:pt idx="28">
                  <c:v>1.8674759574941902E-3</c:v>
                </c:pt>
                <c:pt idx="29">
                  <c:v>1.8685639286217905E-3</c:v>
                </c:pt>
                <c:pt idx="30">
                  <c:v>1.8696486316821719E-3</c:v>
                </c:pt>
                <c:pt idx="31">
                  <c:v>1.8707300766890717E-3</c:v>
                </c:pt>
                <c:pt idx="32">
                  <c:v>1.8739549635262628E-3</c:v>
                </c:pt>
                <c:pt idx="33">
                  <c:v>1.8750234764566167E-3</c:v>
                </c:pt>
                <c:pt idx="34">
                  <c:v>1.8760887814021786E-3</c:v>
                </c:pt>
                <c:pt idx="35">
                  <c:v>1.8771508883766866E-3</c:v>
                </c:pt>
                <c:pt idx="36">
                  <c:v>1.8782098073938788E-3</c:v>
                </c:pt>
                <c:pt idx="37">
                  <c:v>1.8813675368389378E-3</c:v>
                </c:pt>
                <c:pt idx="38">
                  <c:v>1.8824138041642444E-3</c:v>
                </c:pt>
                <c:pt idx="39">
                  <c:v>1.8834569336009248E-3</c:v>
                </c:pt>
                <c:pt idx="40">
                  <c:v>1.8844969351627162E-3</c:v>
                </c:pt>
                <c:pt idx="41">
                  <c:v>1.8855338188633573E-3</c:v>
                </c:pt>
                <c:pt idx="42">
                  <c:v>1.8886258629357542E-3</c:v>
                </c:pt>
                <c:pt idx="43">
                  <c:v>1.8896503753291711E-3</c:v>
                </c:pt>
                <c:pt idx="44">
                  <c:v>1.8906718199301262E-3</c:v>
                </c:pt>
                <c:pt idx="45">
                  <c:v>1.8916902067523584E-3</c:v>
                </c:pt>
                <c:pt idx="46">
                  <c:v>1.8927055458096049E-3</c:v>
                </c:pt>
                <c:pt idx="47">
                  <c:v>1.8957333765288098E-3</c:v>
                </c:pt>
                <c:pt idx="48">
                  <c:v>1.896736624663493E-3</c:v>
                </c:pt>
                <c:pt idx="49">
                  <c:v>1.8977368751018802E-3</c:v>
                </c:pt>
                <c:pt idx="50">
                  <c:v>1.8987341378577088E-3</c:v>
                </c:pt>
                <c:pt idx="51">
                  <c:v>1.8997284229447177E-3</c:v>
                </c:pt>
                <c:pt idx="52">
                  <c:v>1.9026935123302008E-3</c:v>
                </c:pt>
                <c:pt idx="53">
                  <c:v>1.9036759868793071E-3</c:v>
                </c:pt>
                <c:pt idx="54">
                  <c:v>1.9046555338282829E-3</c:v>
                </c:pt>
                <c:pt idx="55">
                  <c:v>1.9056321631908655E-3</c:v>
                </c:pt>
                <c:pt idx="56">
                  <c:v>1.9066058849807931E-3</c:v>
                </c:pt>
                <c:pt idx="57">
                  <c:v>1.9095097050520246E-3</c:v>
                </c:pt>
                <c:pt idx="58">
                  <c:v>1.9104718966887109E-3</c:v>
                </c:pt>
                <c:pt idx="59">
                  <c:v>1.9114312308214317E-3</c:v>
                </c:pt>
                <c:pt idx="60">
                  <c:v>1.9123877174639246E-3</c:v>
                </c:pt>
                <c:pt idx="61">
                  <c:v>1.9133413666299281E-3</c:v>
                </c:pt>
                <c:pt idx="62">
                  <c:v>1.916185389406378E-3</c:v>
                </c:pt>
                <c:pt idx="63">
                  <c:v>1.9171277888038007E-3</c:v>
                </c:pt>
                <c:pt idx="64">
                  <c:v>1.9180674007934235E-3</c:v>
                </c:pt>
                <c:pt idx="65">
                  <c:v>1.9190042353889837E-3</c:v>
                </c:pt>
                <c:pt idx="66">
                  <c:v>1.9199383026042192E-3</c:v>
                </c:pt>
                <c:pt idx="67">
                  <c:v>1.9227240001053574E-3</c:v>
                </c:pt>
                <c:pt idx="68">
                  <c:v>1.9236470979366736E-3</c:v>
                </c:pt>
                <c:pt idx="69">
                  <c:v>1.9245674784563547E-3</c:v>
                </c:pt>
                <c:pt idx="70">
                  <c:v>1.9254851516781388E-3</c:v>
                </c:pt>
                <c:pt idx="71">
                  <c:v>1.9264001276157636E-3</c:v>
                </c:pt>
                <c:pt idx="72">
                  <c:v>1.9291289718610606E-3</c:v>
                </c:pt>
                <c:pt idx="73">
                  <c:v>1.9300332587994266E-3</c:v>
                </c:pt>
                <c:pt idx="74">
                  <c:v>1.930934898522323E-3</c:v>
                </c:pt>
                <c:pt idx="75">
                  <c:v>1.9318339010434876E-3</c:v>
                </c:pt>
                <c:pt idx="76">
                  <c:v>1.9327302763766578E-3</c:v>
                </c:pt>
                <c:pt idx="77">
                  <c:v>1.9354037393855836E-3</c:v>
                </c:pt>
                <c:pt idx="78">
                  <c:v>1.9362897061041564E-3</c:v>
                </c:pt>
                <c:pt idx="79">
                  <c:v>1.9371730957034252E-3</c:v>
                </c:pt>
                <c:pt idx="80">
                  <c:v>1.9380539181971265E-3</c:v>
                </c:pt>
                <c:pt idx="81">
                  <c:v>1.9389321835989993E-3</c:v>
                </c:pt>
                <c:pt idx="82">
                  <c:v>1.9415517373910236E-3</c:v>
                </c:pt>
                <c:pt idx="83">
                  <c:v>1.9424198745629604E-3</c:v>
                </c:pt>
                <c:pt idx="84">
                  <c:v>1.9432855047117573E-3</c:v>
                </c:pt>
                <c:pt idx="85">
                  <c:v>1.9441486378511527E-3</c:v>
                </c:pt>
                <c:pt idx="86">
                  <c:v>1.9450092839948844E-3</c:v>
                </c:pt>
                <c:pt idx="87">
                  <c:v>1.9475764005894777E-3</c:v>
                </c:pt>
                <c:pt idx="88">
                  <c:v>1.9484271988879347E-3</c:v>
                </c:pt>
                <c:pt idx="89">
                  <c:v>1.9492755602594169E-3</c:v>
                </c:pt>
                <c:pt idx="90">
                  <c:v>1.9501214947176631E-3</c:v>
                </c:pt>
                <c:pt idx="91">
                  <c:v>1.950965012276411E-3</c:v>
                </c:pt>
                <c:pt idx="92">
                  <c:v>1.9534811636930435E-3</c:v>
                </c:pt>
                <c:pt idx="93">
                  <c:v>1.9543151137911764E-3</c:v>
                </c:pt>
                <c:pt idx="94">
                  <c:v>1.9551466970585008E-3</c:v>
                </c:pt>
                <c:pt idx="95">
                  <c:v>1.9559759235087547E-3</c:v>
                </c:pt>
                <c:pt idx="96">
                  <c:v>1.9568028031556749E-3</c:v>
                </c:pt>
                <c:pt idx="97">
                  <c:v>1.9592694614138165E-3</c:v>
                </c:pt>
                <c:pt idx="98">
                  <c:v>1.9600870539847829E-3</c:v>
                </c:pt>
                <c:pt idx="99">
                  <c:v>1.9609023498211057E-3</c:v>
                </c:pt>
                <c:pt idx="100">
                  <c:v>1.9617153589365239E-3</c:v>
                </c:pt>
                <c:pt idx="101">
                  <c:v>1.9625260913447729E-3</c:v>
                </c:pt>
                <c:pt idx="102">
                  <c:v>1.964944728463894E-3</c:v>
                </c:pt>
                <c:pt idx="103">
                  <c:v>1.9657464541808509E-3</c:v>
                </c:pt>
                <c:pt idx="104">
                  <c:v>1.9665459532593296E-3</c:v>
                </c:pt>
                <c:pt idx="105">
                  <c:v>1.9673432357130679E-3</c:v>
                </c:pt>
                <c:pt idx="106">
                  <c:v>1.9681383115558032E-3</c:v>
                </c:pt>
                <c:pt idx="107">
                  <c:v>1.9705103995553731E-3</c:v>
                </c:pt>
                <c:pt idx="108">
                  <c:v>1.9712967490914772E-3</c:v>
                </c:pt>
                <c:pt idx="109">
                  <c:v>1.9720809420852681E-3</c:v>
                </c:pt>
                <c:pt idx="110">
                  <c:v>1.9728629885504838E-3</c:v>
                </c:pt>
                <c:pt idx="111">
                  <c:v>1.9736428985008621E-3</c:v>
                </c:pt>
                <c:pt idx="112">
                  <c:v>1.9759699094003512E-3</c:v>
                </c:pt>
                <c:pt idx="113">
                  <c:v>1.976741373428759E-3</c:v>
                </c:pt>
                <c:pt idx="114">
                  <c:v>1.9775107510110182E-3</c:v>
                </c:pt>
                <c:pt idx="115">
                  <c:v>1.9782780521608685E-3</c:v>
                </c:pt>
                <c:pt idx="116">
                  <c:v>1.9790432868920455E-3</c:v>
                </c:pt>
                <c:pt idx="117">
                  <c:v>1.9813266927109245E-3</c:v>
                </c:pt>
                <c:pt idx="118">
                  <c:v>1.9820837619047922E-3</c:v>
                </c:pt>
                <c:pt idx="119">
                  <c:v>1.9828388147486772E-3</c:v>
                </c:pt>
                <c:pt idx="120">
                  <c:v>1.9835918612563183E-3</c:v>
                </c:pt>
                <c:pt idx="121">
                  <c:v>1.9843429114414514E-3</c:v>
                </c:pt>
                <c:pt idx="122">
                  <c:v>1.9865841841991898E-3</c:v>
                </c:pt>
                <c:pt idx="123">
                  <c:v>1.9873273492316749E-3</c:v>
                </c:pt>
                <c:pt idx="124">
                  <c:v>1.9880685680103427E-3</c:v>
                </c:pt>
                <c:pt idx="125">
                  <c:v>1.9888078505489303E-3</c:v>
                </c:pt>
                <c:pt idx="126">
                  <c:v>1.9895452068611767E-3</c:v>
                </c:pt>
                <c:pt idx="127">
                  <c:v>1.9917458185772447E-3</c:v>
                </c:pt>
                <c:pt idx="128">
                  <c:v>1.9924755701215039E-3</c:v>
                </c:pt>
                <c:pt idx="129">
                  <c:v>1.9932034455081103E-3</c:v>
                </c:pt>
                <c:pt idx="130">
                  <c:v>1.9939294547508019E-3</c:v>
                </c:pt>
                <c:pt idx="131">
                  <c:v>1.9946536078633182E-3</c:v>
                </c:pt>
                <c:pt idx="132">
                  <c:v>1.996815030557186E-3</c:v>
                </c:pt>
                <c:pt idx="133">
                  <c:v>1.997531859286375E-3</c:v>
                </c:pt>
                <c:pt idx="134">
                  <c:v>1.9982468819540774E-3</c:v>
                </c:pt>
                <c:pt idx="135">
                  <c:v>1.9989601085740301E-3</c:v>
                </c:pt>
                <c:pt idx="136">
                  <c:v>1.9996715491599724E-3</c:v>
                </c:pt>
                <c:pt idx="137">
                  <c:v>2.0017952548511105E-3</c:v>
                </c:pt>
                <c:pt idx="138">
                  <c:v>2.0024996514383863E-3</c:v>
                </c:pt>
                <c:pt idx="139">
                  <c:v>2.003202312060341E-3</c:v>
                </c:pt>
                <c:pt idx="140">
                  <c:v>2.0039032467307118E-3</c:v>
                </c:pt>
                <c:pt idx="141">
                  <c:v>2.004602465463236E-3</c:v>
                </c:pt>
                <c:pt idx="142">
                  <c:v>2.0066899261711145E-3</c:v>
                </c:pt>
                <c:pt idx="143">
                  <c:v>2.0073823812896342E-3</c:v>
                </c:pt>
                <c:pt idx="144">
                  <c:v>2.0080731705389974E-3</c:v>
                </c:pt>
                <c:pt idx="145">
                  <c:v>2.0087623039329429E-3</c:v>
                </c:pt>
                <c:pt idx="146">
                  <c:v>2.0094497914852068E-3</c:v>
                </c:pt>
                <c:pt idx="147">
                  <c:v>2.0115024792292948E-3</c:v>
                </c:pt>
                <c:pt idx="148">
                  <c:v>2.0121834835522155E-3</c:v>
                </c:pt>
                <c:pt idx="149">
                  <c:v>2.012862892102145E-3</c:v>
                </c:pt>
                <c:pt idx="150">
                  <c:v>2.0135407148928206E-3</c:v>
                </c:pt>
                <c:pt idx="151">
                  <c:v>2.0142169619379816E-3</c:v>
                </c:pt>
                <c:pt idx="152">
                  <c:v>2.0162363487377494E-3</c:v>
                </c:pt>
                <c:pt idx="153">
                  <c:v>2.0169063929382273E-3</c:v>
                </c:pt>
                <c:pt idx="154">
                  <c:v>2.0175749114618793E-3</c:v>
                </c:pt>
                <c:pt idx="155">
                  <c:v>2.0182419143224429E-3</c:v>
                </c:pt>
                <c:pt idx="156">
                  <c:v>2.0189074115336569E-3</c:v>
                </c:pt>
                <c:pt idx="157">
                  <c:v>2.0208949694085748E-3</c:v>
                </c:pt>
                <c:pt idx="158">
                  <c:v>2.0215545441597668E-3</c:v>
                </c:pt>
                <c:pt idx="159">
                  <c:v>2.0222126633302972E-3</c:v>
                </c:pt>
                <c:pt idx="160">
                  <c:v>2.0228693369339062E-3</c:v>
                </c:pt>
                <c:pt idx="161">
                  <c:v>2.025481775953868E-3</c:v>
                </c:pt>
                <c:pt idx="162">
                  <c:v>2.0261313719289304E-3</c:v>
                </c:pt>
                <c:pt idx="163">
                  <c:v>2.0267795824194966E-3</c:v>
                </c:pt>
                <c:pt idx="164">
                  <c:v>2.0274264174393068E-3</c:v>
                </c:pt>
                <c:pt idx="165">
                  <c:v>2.030000203085725E-3</c:v>
                </c:pt>
                <c:pt idx="166">
                  <c:v>2.0306403109578144E-3</c:v>
                </c:pt>
                <c:pt idx="167">
                  <c:v>2.0312791034415747E-3</c:v>
                </c:pt>
                <c:pt idx="168">
                  <c:v>2.0319165905507415E-3</c:v>
                </c:pt>
                <c:pt idx="169">
                  <c:v>2.0325527822990541E-3</c:v>
                </c:pt>
                <c:pt idx="170">
                  <c:v>2.0344536855162439E-3</c:v>
                </c:pt>
                <c:pt idx="171">
                  <c:v>2.0350847959585178E-3</c:v>
                </c:pt>
                <c:pt idx="172">
                  <c:v>2.0357146611086263E-3</c:v>
                </c:pt>
                <c:pt idx="173">
                  <c:v>2.0363432909803079E-3</c:v>
                </c:pt>
                <c:pt idx="174">
                  <c:v>2.0369706955872999E-3</c:v>
                </c:pt>
                <c:pt idx="175">
                  <c:v>2.0388456579575206E-3</c:v>
                </c:pt>
                <c:pt idx="176">
                  <c:v>2.0394682616431356E-3</c:v>
                </c:pt>
                <c:pt idx="177">
                  <c:v>2.0400896901327501E-3</c:v>
                </c:pt>
                <c:pt idx="178">
                  <c:v>2.0407099534401024E-3</c:v>
                </c:pt>
                <c:pt idx="179">
                  <c:v>2.0413290615789318E-3</c:v>
                </c:pt>
                <c:pt idx="180">
                  <c:v>2.0431795551216535E-3</c:v>
                </c:pt>
                <c:pt idx="181">
                  <c:v>2.0437941427237649E-3</c:v>
                </c:pt>
                <c:pt idx="182">
                  <c:v>2.0444076252260422E-3</c:v>
                </c:pt>
                <c:pt idx="183">
                  <c:v>2.0450200126422226E-3</c:v>
                </c:pt>
                <c:pt idx="184">
                  <c:v>2.0456313149860451E-3</c:v>
                </c:pt>
                <c:pt idx="185">
                  <c:v>2.0474588117207373E-3</c:v>
                </c:pt>
                <c:pt idx="186">
                  <c:v>2.0480658739125035E-3</c:v>
                </c:pt>
                <c:pt idx="187">
                  <c:v>2.0486719011005997E-3</c:v>
                </c:pt>
                <c:pt idx="188">
                  <c:v>2.0492769032987653E-3</c:v>
                </c:pt>
                <c:pt idx="189">
                  <c:v>2.0498808905207375E-3</c:v>
                </c:pt>
                <c:pt idx="190">
                  <c:v>2.051686862466871E-3</c:v>
                </c:pt>
                <c:pt idx="191">
                  <c:v>2.0522868899214473E-3</c:v>
                </c:pt>
                <c:pt idx="192">
                  <c:v>2.0528859524685207E-3</c:v>
                </c:pt>
                <c:pt idx="193">
                  <c:v>2.0534840601218267E-3</c:v>
                </c:pt>
                <c:pt idx="194">
                  <c:v>2.0540812228951049E-3</c:v>
                </c:pt>
                <c:pt idx="195">
                  <c:v>2.0558671420721495E-3</c:v>
                </c:pt>
                <c:pt idx="196">
                  <c:v>2.0564606254626942E-3</c:v>
                </c:pt>
                <c:pt idx="197">
                  <c:v>2.0570532140418997E-3</c:v>
                </c:pt>
                <c:pt idx="198">
                  <c:v>2.0576449178235042E-3</c:v>
                </c:pt>
                <c:pt idx="199">
                  <c:v>2.0582357468212462E-3</c:v>
                </c:pt>
                <c:pt idx="200">
                  <c:v>2.0600030852486718E-3</c:v>
                </c:pt>
                <c:pt idx="201">
                  <c:v>2.0605905152483403E-3</c:v>
                </c:pt>
                <c:pt idx="202">
                  <c:v>2.0611771205328354E-3</c:v>
                </c:pt>
                <c:pt idx="203">
                  <c:v>2.0617629111158945E-3</c:v>
                </c:pt>
                <c:pt idx="204">
                  <c:v>2.0623478970112565E-3</c:v>
                </c:pt>
                <c:pt idx="205">
                  <c:v>2.0640981267085337E-3</c:v>
                </c:pt>
                <c:pt idx="206">
                  <c:v>2.0646799939904831E-3</c:v>
                </c:pt>
                <c:pt idx="207">
                  <c:v>2.065261106653424E-3</c:v>
                </c:pt>
                <c:pt idx="208">
                  <c:v>2.0658414747110952E-3</c:v>
                </c:pt>
                <c:pt idx="209">
                  <c:v>2.0664211081772334E-3</c:v>
                </c:pt>
                <c:pt idx="210">
                  <c:v>2.0681557011638322E-3</c:v>
                </c:pt>
                <c:pt idx="211">
                  <c:v>2.068732496401219E-3</c:v>
                </c:pt>
                <c:pt idx="212">
                  <c:v>2.0693086071157632E-3</c:v>
                </c:pt>
                <c:pt idx="213">
                  <c:v>2.0698840433212022E-3</c:v>
                </c:pt>
                <c:pt idx="214">
                  <c:v>2.0704588150312737E-3</c:v>
                </c:pt>
                <c:pt idx="215">
                  <c:v>2.0721792433266635E-3</c:v>
                </c:pt>
                <c:pt idx="216">
                  <c:v>2.0727514571926447E-3</c:v>
                </c:pt>
                <c:pt idx="217">
                  <c:v>2.0733230566319489E-3</c:v>
                </c:pt>
                <c:pt idx="218">
                  <c:v>2.0738940516583123E-3</c:v>
                </c:pt>
                <c:pt idx="219">
                  <c:v>2.0744644522854741E-3</c:v>
                </c:pt>
                <c:pt idx="220">
                  <c:v>2.076172187909126E-3</c:v>
                </c:pt>
                <c:pt idx="221">
                  <c:v>2.0767403110768588E-3</c:v>
                </c:pt>
                <c:pt idx="222">
                  <c:v>2.0773078899140782E-3</c:v>
                </c:pt>
                <c:pt idx="223">
                  <c:v>2.0778749344345232E-3</c:v>
                </c:pt>
                <c:pt idx="224">
                  <c:v>2.0807024927659555E-3</c:v>
                </c:pt>
                <c:pt idx="225">
                  <c:v>2.0812665416742484E-3</c:v>
                </c:pt>
                <c:pt idx="226">
                  <c:v>2.081830126361932E-3</c:v>
                </c:pt>
                <c:pt idx="227">
                  <c:v>2.0823932568427438E-3</c:v>
                </c:pt>
                <c:pt idx="228">
                  <c:v>2.0840800231813291E-3</c:v>
                </c:pt>
                <c:pt idx="229">
                  <c:v>2.0846414369720336E-3</c:v>
                </c:pt>
                <c:pt idx="230">
                  <c:v>2.0852024466245563E-3</c:v>
                </c:pt>
                <c:pt idx="231">
                  <c:v>2.0857630621526346E-3</c:v>
                </c:pt>
                <c:pt idx="232">
                  <c:v>2.0863232935700066E-3</c:v>
                </c:pt>
                <c:pt idx="233">
                  <c:v>2.0880017832952641E-3</c:v>
                </c:pt>
                <c:pt idx="234">
                  <c:v>2.0885605784071899E-3</c:v>
                </c:pt>
                <c:pt idx="235">
                  <c:v>2.0891190394770991E-3</c:v>
                </c:pt>
                <c:pt idx="236">
                  <c:v>2.0896771765187287E-3</c:v>
                </c:pt>
                <c:pt idx="237">
                  <c:v>2.0902349995458175E-3</c:v>
                </c:pt>
                <c:pt idx="238">
                  <c:v>2.091906684677217E-3</c:v>
                </c:pt>
                <c:pt idx="239">
                  <c:v>2.0924633517835209E-3</c:v>
                </c:pt>
                <c:pt idx="240">
                  <c:v>2.0930197549439726E-3</c:v>
                </c:pt>
                <c:pt idx="241">
                  <c:v>2.0935759041723111E-3</c:v>
                </c:pt>
                <c:pt idx="242">
                  <c:v>2.0941318094822737E-3</c:v>
                </c:pt>
                <c:pt idx="243">
                  <c:v>2.0957981620392846E-3</c:v>
                </c:pt>
                <c:pt idx="244">
                  <c:v>2.0963531918131231E-3</c:v>
                </c:pt>
                <c:pt idx="245">
                  <c:v>2.0969080277372749E-3</c:v>
                </c:pt>
                <c:pt idx="246">
                  <c:v>2.0974626798254781E-3</c:v>
                </c:pt>
                <c:pt idx="247">
                  <c:v>2.0980171580914711E-3</c:v>
                </c:pt>
                <c:pt idx="248">
                  <c:v>2.0996796500935646E-3</c:v>
                </c:pt>
                <c:pt idx="249">
                  <c:v>2.100233533208094E-3</c:v>
                </c:pt>
                <c:pt idx="250">
                  <c:v>2.100787292569102E-3</c:v>
                </c:pt>
                <c:pt idx="251">
                  <c:v>2.1013409381903272E-3</c:v>
                </c:pt>
                <c:pt idx="252">
                  <c:v>2.1018944800855069E-3</c:v>
                </c:pt>
                <c:pt idx="253">
                  <c:v>2.1035545835521529E-3</c:v>
                </c:pt>
                <c:pt idx="254">
                  <c:v>2.1041078106805305E-3</c:v>
                </c:pt>
                <c:pt idx="255">
                  <c:v>2.1046609841515519E-3</c:v>
                </c:pt>
                <c:pt idx="256">
                  <c:v>2.105214113978955E-3</c:v>
                </c:pt>
                <c:pt idx="257">
                  <c:v>2.1057672101764788E-3</c:v>
                </c:pt>
                <c:pt idx="258">
                  <c:v>2.1074263971271471E-3</c:v>
                </c:pt>
                <c:pt idx="259">
                  <c:v>2.1079794589425288E-3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390848"/>
        <c:axId val="637392384"/>
      </c:scatterChart>
      <c:valAx>
        <c:axId val="6373908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37392384"/>
        <c:crosses val="autoZero"/>
        <c:crossBetween val="midCat"/>
      </c:valAx>
      <c:valAx>
        <c:axId val="637392384"/>
        <c:scaling>
          <c:orientation val="minMax"/>
          <c:max val="2.5000000000000005E-3"/>
          <c:min val="1.500000000000000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739084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3984531312743334"/>
          <c:h val="0.328034631853248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tx>
            <c:v>Cont Basis 0M-6M</c:v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'6MSynthDepo_used'!$R$3:$R$133</c:f>
              <c:numCache>
                <c:formatCode>d\-mmm\-yy</c:formatCode>
                <c:ptCount val="131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</c:numCache>
            </c:numRef>
          </c:xVal>
          <c:yVal>
            <c:numRef>
              <c:f>'6MSynthDepo_used'!$U$3:$U$133</c:f>
              <c:numCache>
                <c:formatCode>0.0000%</c:formatCode>
                <c:ptCount val="131"/>
                <c:pt idx="0">
                  <c:v>1.6944000054027728E-3</c:v>
                </c:pt>
                <c:pt idx="1">
                  <c:v>1.6960029796853509E-3</c:v>
                </c:pt>
                <c:pt idx="2">
                  <c:v>1.7007842656154152E-3</c:v>
                </c:pt>
                <c:pt idx="3">
                  <c:v>1.7023688486653397E-3</c:v>
                </c:pt>
                <c:pt idx="4">
                  <c:v>1.7039488589414456E-3</c:v>
                </c:pt>
                <c:pt idx="5">
                  <c:v>1.7055243064574707E-3</c:v>
                </c:pt>
                <c:pt idx="6">
                  <c:v>1.7070952012271526E-3</c:v>
                </c:pt>
                <c:pt idx="7">
                  <c:v>1.7117806691955215E-3</c:v>
                </c:pt>
                <c:pt idx="8">
                  <c:v>1.7133334531172111E-3</c:v>
                </c:pt>
                <c:pt idx="9">
                  <c:v>1.7148817343612473E-3</c:v>
                </c:pt>
                <c:pt idx="10">
                  <c:v>1.7164255229413681E-3</c:v>
                </c:pt>
                <c:pt idx="11">
                  <c:v>1.7179648288713112E-3</c:v>
                </c:pt>
                <c:pt idx="12">
                  <c:v>1.7225559508974538E-3</c:v>
                </c:pt>
                <c:pt idx="13">
                  <c:v>1.7240774263640659E-3</c:v>
                </c:pt>
                <c:pt idx="14">
                  <c:v>1.725594469249189E-3</c:v>
                </c:pt>
                <c:pt idx="15">
                  <c:v>1.7271070895665624E-3</c:v>
                </c:pt>
                <c:pt idx="16">
                  <c:v>1.728615297329923E-3</c:v>
                </c:pt>
                <c:pt idx="17">
                  <c:v>1.7331135454333099E-3</c:v>
                </c:pt>
                <c:pt idx="18">
                  <c:v>1.7346042031180006E-3</c:v>
                </c:pt>
                <c:pt idx="19">
                  <c:v>1.7360904983173677E-3</c:v>
                </c:pt>
                <c:pt idx="20">
                  <c:v>1.73757244104515E-3</c:v>
                </c:pt>
                <c:pt idx="21">
                  <c:v>1.739050041315085E-3</c:v>
                </c:pt>
                <c:pt idx="22">
                  <c:v>1.7434568875151866E-3</c:v>
                </c:pt>
                <c:pt idx="23">
                  <c:v>1.7449172180911124E-3</c:v>
                </c:pt>
                <c:pt idx="24">
                  <c:v>1.7463732562778803E-3</c:v>
                </c:pt>
                <c:pt idx="25">
                  <c:v>1.7478250120892282E-3</c:v>
                </c:pt>
                <c:pt idx="26">
                  <c:v>1.7492724955388945E-3</c:v>
                </c:pt>
                <c:pt idx="27">
                  <c:v>1.7535894118551804E-3</c:v>
                </c:pt>
                <c:pt idx="28">
                  <c:v>1.755019905995498E-3</c:v>
                </c:pt>
                <c:pt idx="29">
                  <c:v>1.7564461778428232E-3</c:v>
                </c:pt>
                <c:pt idx="30">
                  <c:v>1.7578682374108938E-3</c:v>
                </c:pt>
                <c:pt idx="31">
                  <c:v>1.7592860947134477E-3</c:v>
                </c:pt>
                <c:pt idx="32">
                  <c:v>1.7635145531653886E-3</c:v>
                </c:pt>
                <c:pt idx="33">
                  <c:v>1.7649157015432548E-3</c:v>
                </c:pt>
                <c:pt idx="34">
                  <c:v>1.7663126977242941E-3</c:v>
                </c:pt>
                <c:pt idx="35">
                  <c:v>1.7677055517222437E-3</c:v>
                </c:pt>
                <c:pt idx="36">
                  <c:v>1.7690942735508421E-3</c:v>
                </c:pt>
                <c:pt idx="37">
                  <c:v>1.7732357461579076E-3</c:v>
                </c:pt>
                <c:pt idx="38">
                  <c:v>1.7746080394464793E-3</c:v>
                </c:pt>
                <c:pt idx="39">
                  <c:v>1.775976250634389E-3</c:v>
                </c:pt>
                <c:pt idx="40">
                  <c:v>1.7773403897353747E-3</c:v>
                </c:pt>
                <c:pt idx="41">
                  <c:v>1.7787004667631744E-3</c:v>
                </c:pt>
                <c:pt idx="42">
                  <c:v>1.7827564255448345E-3</c:v>
                </c:pt>
                <c:pt idx="43">
                  <c:v>1.7841003544172684E-3</c:v>
                </c:pt>
                <c:pt idx="44">
                  <c:v>1.7854402712852054E-3</c:v>
                </c:pt>
                <c:pt idx="45">
                  <c:v>1.786776186162384E-3</c:v>
                </c:pt>
                <c:pt idx="46">
                  <c:v>1.7881081090625414E-3</c:v>
                </c:pt>
                <c:pt idx="47">
                  <c:v>1.7920800260382667E-3</c:v>
                </c:pt>
                <c:pt idx="48">
                  <c:v>1.7933960811677193E-3</c:v>
                </c:pt>
                <c:pt idx="49">
                  <c:v>1.7947081943888402E-3</c:v>
                </c:pt>
                <c:pt idx="50">
                  <c:v>1.796016375715368E-3</c:v>
                </c:pt>
                <c:pt idx="51">
                  <c:v>1.7973206351610401E-3</c:v>
                </c:pt>
                <c:pt idx="52">
                  <c:v>1.8012099823503003E-3</c:v>
                </c:pt>
                <c:pt idx="53">
                  <c:v>1.8024986544099284E-3</c:v>
                </c:pt>
                <c:pt idx="54">
                  <c:v>1.8037834546573905E-3</c:v>
                </c:pt>
                <c:pt idx="55">
                  <c:v>1.805064393106424E-3</c:v>
                </c:pt>
                <c:pt idx="56">
                  <c:v>1.8063414797707673E-3</c:v>
                </c:pt>
                <c:pt idx="57">
                  <c:v>1.8101497291930328E-3</c:v>
                </c:pt>
                <c:pt idx="58">
                  <c:v>1.8114115088559933E-3</c:v>
                </c:pt>
                <c:pt idx="59">
                  <c:v>1.8126694868029526E-3</c:v>
                </c:pt>
                <c:pt idx="60">
                  <c:v>1.8139236730476489E-3</c:v>
                </c:pt>
                <c:pt idx="61">
                  <c:v>1.8151740776038202E-3</c:v>
                </c:pt>
                <c:pt idx="62">
                  <c:v>1.8189027012785611E-3</c:v>
                </c:pt>
                <c:pt idx="63">
                  <c:v>1.8201380792180102E-3</c:v>
                </c:pt>
                <c:pt idx="64">
                  <c:v>1.8213697255376237E-3</c:v>
                </c:pt>
                <c:pt idx="65">
                  <c:v>1.8225976502511396E-3</c:v>
                </c:pt>
                <c:pt idx="66">
                  <c:v>1.8238218633722953E-3</c:v>
                </c:pt>
                <c:pt idx="67">
                  <c:v>1.8274723333189815E-3</c:v>
                </c:pt>
                <c:pt idx="68">
                  <c:v>1.8286818002080764E-3</c:v>
                </c:pt>
                <c:pt idx="69">
                  <c:v>1.8298876055735007E-3</c:v>
                </c:pt>
                <c:pt idx="70">
                  <c:v>1.8310897594289927E-3</c:v>
                </c:pt>
                <c:pt idx="71">
                  <c:v>1.8322882717882896E-3</c:v>
                </c:pt>
                <c:pt idx="72">
                  <c:v>1.8358620600263916E-3</c:v>
                </c:pt>
                <c:pt idx="73">
                  <c:v>1.8370461065382888E-3</c:v>
                </c:pt>
                <c:pt idx="74">
                  <c:v>1.8382265616226805E-3</c:v>
                </c:pt>
                <c:pt idx="75">
                  <c:v>1.8394034352933052E-3</c:v>
                </c:pt>
                <c:pt idx="76">
                  <c:v>1.8405767375639002E-3</c:v>
                </c:pt>
                <c:pt idx="77">
                  <c:v>1.844075316112888E-3</c:v>
                </c:pt>
                <c:pt idx="78">
                  <c:v>1.845234432920744E-3</c:v>
                </c:pt>
                <c:pt idx="79">
                  <c:v>1.8463900283972603E-3</c:v>
                </c:pt>
                <c:pt idx="80">
                  <c:v>1.8475421125561744E-3</c:v>
                </c:pt>
                <c:pt idx="81">
                  <c:v>1.8486906954112243E-3</c:v>
                </c:pt>
                <c:pt idx="82">
                  <c:v>1.8521155362905674E-3</c:v>
                </c:pt>
                <c:pt idx="83">
                  <c:v>1.8532502140675394E-3</c:v>
                </c:pt>
                <c:pt idx="84">
                  <c:v>1.8543814406093363E-3</c:v>
                </c:pt>
                <c:pt idx="85">
                  <c:v>1.8555092259296966E-3</c:v>
                </c:pt>
                <c:pt idx="86">
                  <c:v>1.856633580042358E-3</c:v>
                </c:pt>
                <c:pt idx="87">
                  <c:v>1.8599861552715271E-3</c:v>
                </c:pt>
                <c:pt idx="88">
                  <c:v>1.8610968846907716E-3</c:v>
                </c:pt>
                <c:pt idx="89">
                  <c:v>1.8622042329710061E-3</c:v>
                </c:pt>
                <c:pt idx="90">
                  <c:v>1.8633082101259695E-3</c:v>
                </c:pt>
                <c:pt idx="91">
                  <c:v>1.8644088261693986E-3</c:v>
                </c:pt>
                <c:pt idx="92">
                  <c:v>1.8676906077678638E-3</c:v>
                </c:pt>
                <c:pt idx="93">
                  <c:v>1.8687778795025371E-3</c:v>
                </c:pt>
                <c:pt idx="94">
                  <c:v>1.8698618401943663E-3</c:v>
                </c:pt>
                <c:pt idx="95">
                  <c:v>1.8709424998570891E-3</c:v>
                </c:pt>
                <c:pt idx="96">
                  <c:v>1.8720198685044434E-3</c:v>
                </c:pt>
                <c:pt idx="97">
                  <c:v>1.8752323284916745E-3</c:v>
                </c:pt>
                <c:pt idx="98">
                  <c:v>1.8762966332149336E-3</c:v>
                </c:pt>
                <c:pt idx="99">
                  <c:v>1.8773576969915138E-3</c:v>
                </c:pt>
                <c:pt idx="100">
                  <c:v>1.878415529835153E-3</c:v>
                </c:pt>
                <c:pt idx="101">
                  <c:v>1.8794701417595887E-3</c:v>
                </c:pt>
                <c:pt idx="102">
                  <c:v>1.8826147521550558E-3</c:v>
                </c:pt>
                <c:pt idx="103">
                  <c:v>1.8836565805400575E-3</c:v>
                </c:pt>
                <c:pt idx="104">
                  <c:v>1.8846952380745458E-3</c:v>
                </c:pt>
                <c:pt idx="105">
                  <c:v>1.8857307347722578E-3</c:v>
                </c:pt>
                <c:pt idx="106">
                  <c:v>1.8867630806469317E-3</c:v>
                </c:pt>
                <c:pt idx="107">
                  <c:v>1.8898413134701051E-3</c:v>
                </c:pt>
                <c:pt idx="108">
                  <c:v>1.890861156190006E-3</c:v>
                </c:pt>
                <c:pt idx="109">
                  <c:v>1.8918778981555585E-3</c:v>
                </c:pt>
                <c:pt idx="110">
                  <c:v>1.8928915493805004E-3</c:v>
                </c:pt>
                <c:pt idx="111">
                  <c:v>1.8939021198785694E-3</c:v>
                </c:pt>
                <c:pt idx="112">
                  <c:v>1.8969154471489189E-3</c:v>
                </c:pt>
                <c:pt idx="113">
                  <c:v>1.8979137948768759E-3</c:v>
                </c:pt>
                <c:pt idx="114">
                  <c:v>1.8989091119466495E-3</c:v>
                </c:pt>
                <c:pt idx="115">
                  <c:v>1.8999014083719776E-3</c:v>
                </c:pt>
                <c:pt idx="116">
                  <c:v>1.9008906941665982E-3</c:v>
                </c:pt>
                <c:pt idx="117">
                  <c:v>1.9038405879035943E-3</c:v>
                </c:pt>
                <c:pt idx="118">
                  <c:v>1.9048179313127637E-3</c:v>
                </c:pt>
                <c:pt idx="119">
                  <c:v>1.9057923141599154E-3</c:v>
                </c:pt>
                <c:pt idx="120">
                  <c:v>1.9067637464587862E-3</c:v>
                </c:pt>
                <c:pt idx="121">
                  <c:v>1.9077322382231156E-3</c:v>
                </c:pt>
                <c:pt idx="122">
                  <c:v>1.9106201704462281E-3</c:v>
                </c:pt>
                <c:pt idx="123">
                  <c:v>1.9115770002097667E-3</c:v>
                </c:pt>
                <c:pt idx="124">
                  <c:v>1.9125309395074531E-3</c:v>
                </c:pt>
                <c:pt idx="125">
                  <c:v>1.9134819983530238E-3</c:v>
                </c:pt>
                <c:pt idx="126">
                  <c:v>1.9144301867602181E-3</c:v>
                </c:pt>
                <c:pt idx="127">
                  <c:v>1.9172576294889173E-3</c:v>
                </c:pt>
                <c:pt idx="128">
                  <c:v>1.918194436279982E-3</c:v>
                </c:pt>
                <c:pt idx="129">
                  <c:v>1.9191284227013596E-3</c:v>
                </c:pt>
                <c:pt idx="130">
                  <c:v>1.9200595987667868E-3</c:v>
                </c:pt>
              </c:numCache>
            </c:numRef>
          </c:yVal>
          <c:smooth val="0"/>
        </c:ser>
        <c:ser>
          <c:idx val="0"/>
          <c:order val="1"/>
          <c:tx>
            <c:v>Cont Basis 6M-12M</c:v>
          </c:tx>
          <c:marker>
            <c:symbol val="none"/>
          </c:marker>
          <c:xVal>
            <c:numRef>
              <c:f>'6MSynthDepo_used'!$R$134:$R$262</c:f>
              <c:numCache>
                <c:formatCode>d\-mmm\-yy</c:formatCode>
                <c:ptCount val="129"/>
                <c:pt idx="0">
                  <c:v>42321</c:v>
                </c:pt>
                <c:pt idx="1">
                  <c:v>42324</c:v>
                </c:pt>
                <c:pt idx="2">
                  <c:v>42325</c:v>
                </c:pt>
                <c:pt idx="3">
                  <c:v>42326</c:v>
                </c:pt>
                <c:pt idx="4">
                  <c:v>42327</c:v>
                </c:pt>
                <c:pt idx="5">
                  <c:v>42328</c:v>
                </c:pt>
                <c:pt idx="6">
                  <c:v>42331</c:v>
                </c:pt>
                <c:pt idx="7">
                  <c:v>42332</c:v>
                </c:pt>
                <c:pt idx="8">
                  <c:v>42333</c:v>
                </c:pt>
                <c:pt idx="9">
                  <c:v>42334</c:v>
                </c:pt>
                <c:pt idx="10">
                  <c:v>42335</c:v>
                </c:pt>
                <c:pt idx="11">
                  <c:v>42338</c:v>
                </c:pt>
                <c:pt idx="12">
                  <c:v>42339</c:v>
                </c:pt>
                <c:pt idx="13">
                  <c:v>42340</c:v>
                </c:pt>
                <c:pt idx="14">
                  <c:v>42341</c:v>
                </c:pt>
                <c:pt idx="15">
                  <c:v>42342</c:v>
                </c:pt>
                <c:pt idx="16">
                  <c:v>42345</c:v>
                </c:pt>
                <c:pt idx="17">
                  <c:v>42346</c:v>
                </c:pt>
                <c:pt idx="18">
                  <c:v>42347</c:v>
                </c:pt>
                <c:pt idx="19">
                  <c:v>42348</c:v>
                </c:pt>
                <c:pt idx="20">
                  <c:v>42349</c:v>
                </c:pt>
                <c:pt idx="21">
                  <c:v>42352</c:v>
                </c:pt>
                <c:pt idx="22">
                  <c:v>42353</c:v>
                </c:pt>
                <c:pt idx="23">
                  <c:v>42354</c:v>
                </c:pt>
                <c:pt idx="24">
                  <c:v>42355</c:v>
                </c:pt>
                <c:pt idx="25">
                  <c:v>42356</c:v>
                </c:pt>
                <c:pt idx="26">
                  <c:v>42359</c:v>
                </c:pt>
                <c:pt idx="27">
                  <c:v>42360</c:v>
                </c:pt>
                <c:pt idx="28">
                  <c:v>42361</c:v>
                </c:pt>
                <c:pt idx="29">
                  <c:v>42362</c:v>
                </c:pt>
                <c:pt idx="30">
                  <c:v>42366</c:v>
                </c:pt>
                <c:pt idx="31">
                  <c:v>42367</c:v>
                </c:pt>
                <c:pt idx="32">
                  <c:v>42368</c:v>
                </c:pt>
                <c:pt idx="33">
                  <c:v>42369</c:v>
                </c:pt>
                <c:pt idx="34">
                  <c:v>42373</c:v>
                </c:pt>
                <c:pt idx="35">
                  <c:v>42374</c:v>
                </c:pt>
                <c:pt idx="36">
                  <c:v>42375</c:v>
                </c:pt>
                <c:pt idx="37">
                  <c:v>42376</c:v>
                </c:pt>
                <c:pt idx="38">
                  <c:v>42377</c:v>
                </c:pt>
                <c:pt idx="39">
                  <c:v>42380</c:v>
                </c:pt>
                <c:pt idx="40">
                  <c:v>42381</c:v>
                </c:pt>
                <c:pt idx="41">
                  <c:v>42382</c:v>
                </c:pt>
                <c:pt idx="42">
                  <c:v>42383</c:v>
                </c:pt>
                <c:pt idx="43">
                  <c:v>42384</c:v>
                </c:pt>
                <c:pt idx="44">
                  <c:v>42387</c:v>
                </c:pt>
                <c:pt idx="45">
                  <c:v>42388</c:v>
                </c:pt>
                <c:pt idx="46">
                  <c:v>42389</c:v>
                </c:pt>
                <c:pt idx="47">
                  <c:v>42390</c:v>
                </c:pt>
                <c:pt idx="48">
                  <c:v>42391</c:v>
                </c:pt>
                <c:pt idx="49">
                  <c:v>42394</c:v>
                </c:pt>
                <c:pt idx="50">
                  <c:v>42395</c:v>
                </c:pt>
                <c:pt idx="51">
                  <c:v>42396</c:v>
                </c:pt>
                <c:pt idx="52">
                  <c:v>42397</c:v>
                </c:pt>
                <c:pt idx="53">
                  <c:v>42398</c:v>
                </c:pt>
                <c:pt idx="54">
                  <c:v>42401</c:v>
                </c:pt>
                <c:pt idx="55">
                  <c:v>42402</c:v>
                </c:pt>
                <c:pt idx="56">
                  <c:v>42403</c:v>
                </c:pt>
                <c:pt idx="57">
                  <c:v>42404</c:v>
                </c:pt>
                <c:pt idx="58">
                  <c:v>42405</c:v>
                </c:pt>
                <c:pt idx="59">
                  <c:v>42408</c:v>
                </c:pt>
                <c:pt idx="60">
                  <c:v>42409</c:v>
                </c:pt>
                <c:pt idx="61">
                  <c:v>42410</c:v>
                </c:pt>
                <c:pt idx="62">
                  <c:v>42411</c:v>
                </c:pt>
                <c:pt idx="63">
                  <c:v>42412</c:v>
                </c:pt>
                <c:pt idx="64">
                  <c:v>42415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42458</c:v>
                </c:pt>
                <c:pt idx="94">
                  <c:v>42459</c:v>
                </c:pt>
                <c:pt idx="95">
                  <c:v>42460</c:v>
                </c:pt>
                <c:pt idx="96">
                  <c:v>42461</c:v>
                </c:pt>
                <c:pt idx="97">
                  <c:v>42464</c:v>
                </c:pt>
                <c:pt idx="98">
                  <c:v>42465</c:v>
                </c:pt>
                <c:pt idx="99">
                  <c:v>42466</c:v>
                </c:pt>
                <c:pt idx="100">
                  <c:v>42467</c:v>
                </c:pt>
                <c:pt idx="101">
                  <c:v>42468</c:v>
                </c:pt>
                <c:pt idx="102">
                  <c:v>42471</c:v>
                </c:pt>
                <c:pt idx="103">
                  <c:v>42472</c:v>
                </c:pt>
                <c:pt idx="104">
                  <c:v>42473</c:v>
                </c:pt>
                <c:pt idx="105">
                  <c:v>42474</c:v>
                </c:pt>
                <c:pt idx="106">
                  <c:v>42475</c:v>
                </c:pt>
                <c:pt idx="107">
                  <c:v>42478</c:v>
                </c:pt>
                <c:pt idx="108">
                  <c:v>42479</c:v>
                </c:pt>
                <c:pt idx="109">
                  <c:v>42480</c:v>
                </c:pt>
                <c:pt idx="110">
                  <c:v>42481</c:v>
                </c:pt>
                <c:pt idx="111">
                  <c:v>42482</c:v>
                </c:pt>
                <c:pt idx="112">
                  <c:v>42485</c:v>
                </c:pt>
                <c:pt idx="113">
                  <c:v>42486</c:v>
                </c:pt>
                <c:pt idx="114">
                  <c:v>42487</c:v>
                </c:pt>
                <c:pt idx="115">
                  <c:v>42488</c:v>
                </c:pt>
                <c:pt idx="116">
                  <c:v>42489</c:v>
                </c:pt>
                <c:pt idx="117">
                  <c:v>42492</c:v>
                </c:pt>
                <c:pt idx="118">
                  <c:v>42493</c:v>
                </c:pt>
                <c:pt idx="119">
                  <c:v>42494</c:v>
                </c:pt>
                <c:pt idx="120">
                  <c:v>42495</c:v>
                </c:pt>
                <c:pt idx="121">
                  <c:v>42496</c:v>
                </c:pt>
                <c:pt idx="122">
                  <c:v>42499</c:v>
                </c:pt>
                <c:pt idx="123">
                  <c:v>42500</c:v>
                </c:pt>
                <c:pt idx="124">
                  <c:v>42501</c:v>
                </c:pt>
                <c:pt idx="125">
                  <c:v>42502</c:v>
                </c:pt>
                <c:pt idx="126">
                  <c:v>42503</c:v>
                </c:pt>
                <c:pt idx="127">
                  <c:v>42506</c:v>
                </c:pt>
                <c:pt idx="128">
                  <c:v>42507</c:v>
                </c:pt>
              </c:numCache>
            </c:numRef>
          </c:xVal>
          <c:yVal>
            <c:numRef>
              <c:f>'6MSynthDepo_used'!$U$134:$U$262</c:f>
              <c:numCache>
                <c:formatCode>0.0000%</c:formatCode>
                <c:ptCount val="129"/>
                <c:pt idx="0">
                  <c:v>1.9209879744900029E-3</c:v>
                </c:pt>
                <c:pt idx="1">
                  <c:v>1.9237563997437587E-3</c:v>
                </c:pt>
                <c:pt idx="2">
                  <c:v>1.9246736742355062E-3</c:v>
                </c:pt>
                <c:pt idx="3">
                  <c:v>1.9255881984537315E-3</c:v>
                </c:pt>
                <c:pt idx="4">
                  <c:v>1.9264999824121724E-3</c:v>
                </c:pt>
                <c:pt idx="5">
                  <c:v>1.9274090361245668E-3</c:v>
                </c:pt>
                <c:pt idx="6">
                  <c:v>1.9301199159228494E-3</c:v>
                </c:pt>
                <c:pt idx="7">
                  <c:v>1.9310181487884361E-3</c:v>
                </c:pt>
                <c:pt idx="8">
                  <c:v>1.9319137014766662E-3</c:v>
                </c:pt>
                <c:pt idx="9">
                  <c:v>1.9328065840012768E-3</c:v>
                </c:pt>
                <c:pt idx="10">
                  <c:v>1.9336968063760065E-3</c:v>
                </c:pt>
                <c:pt idx="11">
                  <c:v>1.9363516127382859E-3</c:v>
                </c:pt>
                <c:pt idx="12">
                  <c:v>1.937231294650869E-3</c:v>
                </c:pt>
                <c:pt idx="13">
                  <c:v>1.9381083664822606E-3</c:v>
                </c:pt>
                <c:pt idx="14">
                  <c:v>1.9389828382461976E-3</c:v>
                </c:pt>
                <c:pt idx="15">
                  <c:v>1.9398547199564191E-3</c:v>
                </c:pt>
                <c:pt idx="16">
                  <c:v>1.9424549249021656E-3</c:v>
                </c:pt>
                <c:pt idx="17">
                  <c:v>1.9433165465349014E-3</c:v>
                </c:pt>
                <c:pt idx="18">
                  <c:v>1.944175628182611E-3</c:v>
                </c:pt>
                <c:pt idx="19">
                  <c:v>1.9450321798590313E-3</c:v>
                </c:pt>
                <c:pt idx="20">
                  <c:v>1.9458862115779014E-3</c:v>
                </c:pt>
                <c:pt idx="21">
                  <c:v>1.9484332871265852E-3</c:v>
                </c:pt>
                <c:pt idx="22">
                  <c:v>1.9492773391526306E-3</c:v>
                </c:pt>
                <c:pt idx="23">
                  <c:v>1.9501189212898149E-3</c:v>
                </c:pt>
                <c:pt idx="24">
                  <c:v>1.950958043551875E-3</c:v>
                </c:pt>
                <c:pt idx="25">
                  <c:v>1.9517947159525505E-3</c:v>
                </c:pt>
                <c:pt idx="26">
                  <c:v>1.9542901341236415E-3</c:v>
                </c:pt>
                <c:pt idx="27">
                  <c:v>1.9551171072161528E-3</c:v>
                </c:pt>
                <c:pt idx="28">
                  <c:v>1.9559416805159688E-3</c:v>
                </c:pt>
                <c:pt idx="29">
                  <c:v>1.9567638640368258E-3</c:v>
                </c:pt>
                <c:pt idx="30">
                  <c:v>1.9600289006054318E-3</c:v>
                </c:pt>
                <c:pt idx="31">
                  <c:v>1.9608392854375658E-3</c:v>
                </c:pt>
                <c:pt idx="32">
                  <c:v>1.9616473405731699E-3</c:v>
                </c:pt>
                <c:pt idx="33">
                  <c:v>1.9624530760259805E-3</c:v>
                </c:pt>
                <c:pt idx="34">
                  <c:v>1.9656530212840517E-3</c:v>
                </c:pt>
                <c:pt idx="35">
                  <c:v>1.9664473085289659E-3</c:v>
                </c:pt>
                <c:pt idx="36">
                  <c:v>1.9672393361735148E-3</c:v>
                </c:pt>
                <c:pt idx="37">
                  <c:v>1.9680291142314356E-3</c:v>
                </c:pt>
                <c:pt idx="38">
                  <c:v>1.9688166527164668E-3</c:v>
                </c:pt>
                <c:pt idx="39">
                  <c:v>1.9711659308715998E-3</c:v>
                </c:pt>
                <c:pt idx="40">
                  <c:v>1.9719446112024504E-3</c:v>
                </c:pt>
                <c:pt idx="41">
                  <c:v>1.9727211020291006E-3</c:v>
                </c:pt>
                <c:pt idx="42">
                  <c:v>1.9734954133652882E-3</c:v>
                </c:pt>
                <c:pt idx="43">
                  <c:v>1.9742675552247516E-3</c:v>
                </c:pt>
                <c:pt idx="44">
                  <c:v>1.976571064080172E-3</c:v>
                </c:pt>
                <c:pt idx="45">
                  <c:v>1.977334628170116E-3</c:v>
                </c:pt>
                <c:pt idx="46">
                  <c:v>1.9780960728520247E-3</c:v>
                </c:pt>
                <c:pt idx="47">
                  <c:v>1.9788554081396357E-3</c:v>
                </c:pt>
                <c:pt idx="48">
                  <c:v>1.9796126440466875E-3</c:v>
                </c:pt>
                <c:pt idx="49">
                  <c:v>1.981871855621866E-3</c:v>
                </c:pt>
                <c:pt idx="50">
                  <c:v>1.9826207941440591E-3</c:v>
                </c:pt>
                <c:pt idx="51">
                  <c:v>1.9833676833543828E-3</c:v>
                </c:pt>
                <c:pt idx="52">
                  <c:v>1.9841125332665738E-3</c:v>
                </c:pt>
                <c:pt idx="53">
                  <c:v>1.9848553538943719E-3</c:v>
                </c:pt>
                <c:pt idx="54">
                  <c:v>1.9870717402087779E-3</c:v>
                </c:pt>
                <c:pt idx="55">
                  <c:v>1.9878065438363778E-3</c:v>
                </c:pt>
                <c:pt idx="56">
                  <c:v>1.9885393682482727E-3</c:v>
                </c:pt>
                <c:pt idx="57">
                  <c:v>1.9892702234582012E-3</c:v>
                </c:pt>
                <c:pt idx="58">
                  <c:v>1.9899991194799009E-3</c:v>
                </c:pt>
                <c:pt idx="59">
                  <c:v>1.9921741525530047E-3</c:v>
                </c:pt>
                <c:pt idx="60">
                  <c:v>1.9928953119591679E-3</c:v>
                </c:pt>
                <c:pt idx="61">
                  <c:v>1.9936145622457915E-3</c:v>
                </c:pt>
                <c:pt idx="62">
                  <c:v>1.9943319134266132E-3</c:v>
                </c:pt>
                <c:pt idx="63">
                  <c:v>1.9950473755153716E-3</c:v>
                </c:pt>
                <c:pt idx="64">
                  <c:v>1.9971825273666435E-3</c:v>
                </c:pt>
                <c:pt idx="65">
                  <c:v>1.9978905332245266E-3</c:v>
                </c:pt>
                <c:pt idx="66">
                  <c:v>1.9985967000590355E-3</c:v>
                </c:pt>
                <c:pt idx="67">
                  <c:v>1.9993010378839076E-3</c:v>
                </c:pt>
                <c:pt idx="68">
                  <c:v>2.0000035567128813E-3</c:v>
                </c:pt>
                <c:pt idx="69">
                  <c:v>2.0021002993617916E-3</c:v>
                </c:pt>
                <c:pt idx="70">
                  <c:v>2.0027956423445512E-3</c:v>
                </c:pt>
                <c:pt idx="71">
                  <c:v>2.0034892164001016E-3</c:v>
                </c:pt>
                <c:pt idx="72">
                  <c:v>2.0041810315421806E-3</c:v>
                </c:pt>
                <c:pt idx="73">
                  <c:v>2.0048710977845271E-3</c:v>
                </c:pt>
                <c:pt idx="74">
                  <c:v>2.0069309032505456E-3</c:v>
                </c:pt>
                <c:pt idx="75">
                  <c:v>2.0076140740313379E-3</c:v>
                </c:pt>
                <c:pt idx="76">
                  <c:v>2.0082955459810869E-3</c:v>
                </c:pt>
                <c:pt idx="77">
                  <c:v>2.0089753291135303E-3</c:v>
                </c:pt>
                <c:pt idx="78">
                  <c:v>2.0096534334424054E-3</c:v>
                </c:pt>
                <c:pt idx="79">
                  <c:v>2.011677773745002E-3</c:v>
                </c:pt>
                <c:pt idx="80">
                  <c:v>2.0123492629969845E-3</c:v>
                </c:pt>
                <c:pt idx="81">
                  <c:v>2.0130191235140892E-3</c:v>
                </c:pt>
                <c:pt idx="82">
                  <c:v>2.0136873653100523E-3</c:v>
                </c:pt>
                <c:pt idx="83">
                  <c:v>2.0143539983986133E-3</c:v>
                </c:pt>
                <c:pt idx="84">
                  <c:v>2.0163443455572579E-3</c:v>
                </c:pt>
                <c:pt idx="85">
                  <c:v>2.0170046439535873E-3</c:v>
                </c:pt>
                <c:pt idx="86">
                  <c:v>2.0176633837112033E-3</c:v>
                </c:pt>
                <c:pt idx="87">
                  <c:v>2.0183205748438436E-3</c:v>
                </c:pt>
                <c:pt idx="88">
                  <c:v>2.0189762273652464E-3</c:v>
                </c:pt>
                <c:pt idx="89">
                  <c:v>2.0209340533994106E-3</c:v>
                </c:pt>
                <c:pt idx="90">
                  <c:v>2.0215836516132434E-3</c:v>
                </c:pt>
                <c:pt idx="91">
                  <c:v>2.0222317612845278E-3</c:v>
                </c:pt>
                <c:pt idx="92">
                  <c:v>2.022878392427002E-3</c:v>
                </c:pt>
                <c:pt idx="93">
                  <c:v>2.0260897206880492E-3</c:v>
                </c:pt>
                <c:pt idx="94">
                  <c:v>2.0267276909461595E-3</c:v>
                </c:pt>
                <c:pt idx="95">
                  <c:v>2.0273642527716242E-3</c:v>
                </c:pt>
                <c:pt idx="96">
                  <c:v>2.0279994161781821E-3</c:v>
                </c:pt>
                <c:pt idx="97">
                  <c:v>2.0298966160217928E-3</c:v>
                </c:pt>
                <c:pt idx="98">
                  <c:v>2.0305262858901023E-3</c:v>
                </c:pt>
                <c:pt idx="99">
                  <c:v>2.0311546074081943E-3</c:v>
                </c:pt>
                <c:pt idx="100">
                  <c:v>2.0317815905898061E-3</c:v>
                </c:pt>
                <c:pt idx="101">
                  <c:v>2.0324072454486765E-3</c:v>
                </c:pt>
                <c:pt idx="102">
                  <c:v>2.0342763402262168E-3</c:v>
                </c:pt>
                <c:pt idx="103">
                  <c:v>2.0348967819314996E-3</c:v>
                </c:pt>
                <c:pt idx="104">
                  <c:v>2.0355159453827303E-3</c:v>
                </c:pt>
                <c:pt idx="105">
                  <c:v>2.0361338405936462E-3</c:v>
                </c:pt>
                <c:pt idx="106">
                  <c:v>2.0367504775779853E-3</c:v>
                </c:pt>
                <c:pt idx="107">
                  <c:v>2.0385929393089246E-3</c:v>
                </c:pt>
                <c:pt idx="108">
                  <c:v>2.0392046435243373E-3</c:v>
                </c:pt>
                <c:pt idx="109">
                  <c:v>2.0398151395818634E-3</c:v>
                </c:pt>
                <c:pt idx="110">
                  <c:v>2.04042443749524E-3</c:v>
                </c:pt>
                <c:pt idx="111">
                  <c:v>2.0410325472782053E-3</c:v>
                </c:pt>
                <c:pt idx="112">
                  <c:v>2.0428498479820134E-3</c:v>
                </c:pt>
                <c:pt idx="113">
                  <c:v>2.0434533053807131E-3</c:v>
                </c:pt>
                <c:pt idx="114">
                  <c:v>2.0440556247176907E-3</c:v>
                </c:pt>
                <c:pt idx="115">
                  <c:v>2.0446568160066851E-3</c:v>
                </c:pt>
                <c:pt idx="116">
                  <c:v>2.0452568892614328E-3</c:v>
                </c:pt>
                <c:pt idx="117">
                  <c:v>2.04705050095758E-3</c:v>
                </c:pt>
                <c:pt idx="118">
                  <c:v>2.0476462022127238E-3</c:v>
                </c:pt>
                <c:pt idx="119">
                  <c:v>2.0482408355023095E-3</c:v>
                </c:pt>
                <c:pt idx="120">
                  <c:v>2.0488344108400779E-3</c:v>
                </c:pt>
                <c:pt idx="121">
                  <c:v>2.0494269382397654E-3</c:v>
                </c:pt>
                <c:pt idx="122">
                  <c:v>2.0511983329477216E-3</c:v>
                </c:pt>
                <c:pt idx="123">
                  <c:v>2.0517867687324656E-3</c:v>
                </c:pt>
                <c:pt idx="124">
                  <c:v>2.0523742066478174E-3</c:v>
                </c:pt>
                <c:pt idx="125">
                  <c:v>2.052960656707516E-3</c:v>
                </c:pt>
                <c:pt idx="126">
                  <c:v>2.0535461289252991E-3</c:v>
                </c:pt>
                <c:pt idx="127">
                  <c:v>2.0552967786645351E-3</c:v>
                </c:pt>
                <c:pt idx="128">
                  <c:v>2.0558784396520354E-3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254848"/>
        <c:axId val="614256640"/>
      </c:scatterChart>
      <c:valAx>
        <c:axId val="6142548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14256640"/>
        <c:crosses val="autoZero"/>
        <c:crossBetween val="midCat"/>
      </c:valAx>
      <c:valAx>
        <c:axId val="61425664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425484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4341151726895061"/>
          <c:y val="0.39793589936640678"/>
          <c:w val="0.19328056178408162"/>
          <c:h val="0.11319504807091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'6MSynthDepo_allScenario'!$BE$6:$BE$135</c:f>
              <c:numCache>
                <c:formatCode>0.0000%</c:formatCode>
                <c:ptCount val="130"/>
                <c:pt idx="0">
                  <c:v>1.7068015615451084E-3</c:v>
                </c:pt>
                <c:pt idx="1">
                  <c:v>1.7080312473302091E-3</c:v>
                </c:pt>
                <c:pt idx="2">
                  <c:v>1.7117203046855111E-3</c:v>
                </c:pt>
                <c:pt idx="3">
                  <c:v>1.7129499904706118E-3</c:v>
                </c:pt>
                <c:pt idx="4">
                  <c:v>1.7141796762557126E-3</c:v>
                </c:pt>
                <c:pt idx="5">
                  <c:v>1.7154093620408131E-3</c:v>
                </c:pt>
                <c:pt idx="6">
                  <c:v>1.7166390478259139E-3</c:v>
                </c:pt>
                <c:pt idx="7">
                  <c:v>1.7203281051812161E-3</c:v>
                </c:pt>
                <c:pt idx="8">
                  <c:v>1.7215577909663166E-3</c:v>
                </c:pt>
                <c:pt idx="9">
                  <c:v>1.7227874767514174E-3</c:v>
                </c:pt>
                <c:pt idx="10">
                  <c:v>1.7240171625365181E-3</c:v>
                </c:pt>
                <c:pt idx="11">
                  <c:v>1.7252468483216188E-3</c:v>
                </c:pt>
                <c:pt idx="12">
                  <c:v>1.7289359056769208E-3</c:v>
                </c:pt>
                <c:pt idx="13">
                  <c:v>1.7301655914620216E-3</c:v>
                </c:pt>
                <c:pt idx="14">
                  <c:v>1.7313952772471223E-3</c:v>
                </c:pt>
                <c:pt idx="15">
                  <c:v>1.7326249630322229E-3</c:v>
                </c:pt>
                <c:pt idx="16">
                  <c:v>1.7338546488173236E-3</c:v>
                </c:pt>
                <c:pt idx="17">
                  <c:v>1.7375437061726256E-3</c:v>
                </c:pt>
                <c:pt idx="18">
                  <c:v>1.7387733919577264E-3</c:v>
                </c:pt>
                <c:pt idx="19">
                  <c:v>1.7400030777428271E-3</c:v>
                </c:pt>
                <c:pt idx="20">
                  <c:v>1.7412327635279278E-3</c:v>
                </c:pt>
                <c:pt idx="21">
                  <c:v>1.7424624493130286E-3</c:v>
                </c:pt>
                <c:pt idx="22">
                  <c:v>1.7461515066683306E-3</c:v>
                </c:pt>
                <c:pt idx="23">
                  <c:v>1.7473811924534313E-3</c:v>
                </c:pt>
                <c:pt idx="24">
                  <c:v>1.7486108782385319E-3</c:v>
                </c:pt>
                <c:pt idx="25">
                  <c:v>1.7498405640236326E-3</c:v>
                </c:pt>
                <c:pt idx="26">
                  <c:v>1.7510702498087333E-3</c:v>
                </c:pt>
                <c:pt idx="27">
                  <c:v>1.7547593071640354E-3</c:v>
                </c:pt>
                <c:pt idx="28">
                  <c:v>1.7559889929491361E-3</c:v>
                </c:pt>
                <c:pt idx="29">
                  <c:v>1.7572186787342368E-3</c:v>
                </c:pt>
                <c:pt idx="30">
                  <c:v>1.7584483645193376E-3</c:v>
                </c:pt>
                <c:pt idx="31">
                  <c:v>1.7596780503044381E-3</c:v>
                </c:pt>
                <c:pt idx="32">
                  <c:v>1.7633671076597403E-3</c:v>
                </c:pt>
                <c:pt idx="33">
                  <c:v>1.7645967934448411E-3</c:v>
                </c:pt>
                <c:pt idx="34">
                  <c:v>1.7658264792299416E-3</c:v>
                </c:pt>
                <c:pt idx="35">
                  <c:v>1.7670561650150424E-3</c:v>
                </c:pt>
                <c:pt idx="36">
                  <c:v>1.7682858508001431E-3</c:v>
                </c:pt>
                <c:pt idx="37">
                  <c:v>1.7719749081554451E-3</c:v>
                </c:pt>
                <c:pt idx="38">
                  <c:v>1.7732045939405458E-3</c:v>
                </c:pt>
                <c:pt idx="39">
                  <c:v>1.7744342797256466E-3</c:v>
                </c:pt>
                <c:pt idx="40">
                  <c:v>1.7756639655107473E-3</c:v>
                </c:pt>
                <c:pt idx="41">
                  <c:v>1.7768936512958479E-3</c:v>
                </c:pt>
                <c:pt idx="42">
                  <c:v>1.7805827086511501E-3</c:v>
                </c:pt>
                <c:pt idx="43">
                  <c:v>1.7818123944362506E-3</c:v>
                </c:pt>
                <c:pt idx="44">
                  <c:v>1.7830420802213514E-3</c:v>
                </c:pt>
                <c:pt idx="45">
                  <c:v>1.7842717660064521E-3</c:v>
                </c:pt>
                <c:pt idx="46">
                  <c:v>1.7855014517915528E-3</c:v>
                </c:pt>
                <c:pt idx="47">
                  <c:v>1.7891905091468548E-3</c:v>
                </c:pt>
                <c:pt idx="48">
                  <c:v>1.7904201949319556E-3</c:v>
                </c:pt>
                <c:pt idx="49">
                  <c:v>1.7916498807170563E-3</c:v>
                </c:pt>
                <c:pt idx="50">
                  <c:v>1.7928795665021569E-3</c:v>
                </c:pt>
                <c:pt idx="51">
                  <c:v>1.7941092522872576E-3</c:v>
                </c:pt>
                <c:pt idx="52">
                  <c:v>1.7977983096425598E-3</c:v>
                </c:pt>
                <c:pt idx="53">
                  <c:v>1.7990279954276604E-3</c:v>
                </c:pt>
                <c:pt idx="54">
                  <c:v>1.8002576812127611E-3</c:v>
                </c:pt>
                <c:pt idx="55">
                  <c:v>1.8014873669978618E-3</c:v>
                </c:pt>
                <c:pt idx="56">
                  <c:v>1.8027170527829626E-3</c:v>
                </c:pt>
                <c:pt idx="57">
                  <c:v>1.8064061101382646E-3</c:v>
                </c:pt>
                <c:pt idx="58">
                  <c:v>1.8076357959233653E-3</c:v>
                </c:pt>
                <c:pt idx="59">
                  <c:v>1.8088654817084661E-3</c:v>
                </c:pt>
                <c:pt idx="60">
                  <c:v>1.8100951674935666E-3</c:v>
                </c:pt>
                <c:pt idx="61">
                  <c:v>1.8113248532786673E-3</c:v>
                </c:pt>
                <c:pt idx="62">
                  <c:v>1.8150139106339694E-3</c:v>
                </c:pt>
                <c:pt idx="63">
                  <c:v>1.8162435964190701E-3</c:v>
                </c:pt>
                <c:pt idx="64">
                  <c:v>1.8174732822041708E-3</c:v>
                </c:pt>
                <c:pt idx="65">
                  <c:v>1.8187029679892716E-3</c:v>
                </c:pt>
                <c:pt idx="66">
                  <c:v>1.8199326537743721E-3</c:v>
                </c:pt>
                <c:pt idx="67">
                  <c:v>1.8236217111296743E-3</c:v>
                </c:pt>
                <c:pt idx="68">
                  <c:v>1.8248513969147751E-3</c:v>
                </c:pt>
                <c:pt idx="69">
                  <c:v>1.8260810826998756E-3</c:v>
                </c:pt>
                <c:pt idx="70">
                  <c:v>1.8273107684849764E-3</c:v>
                </c:pt>
                <c:pt idx="71">
                  <c:v>1.8285404542700771E-3</c:v>
                </c:pt>
                <c:pt idx="72">
                  <c:v>1.8322295116253791E-3</c:v>
                </c:pt>
                <c:pt idx="73">
                  <c:v>1.8334591974104798E-3</c:v>
                </c:pt>
                <c:pt idx="74">
                  <c:v>1.8346888831955806E-3</c:v>
                </c:pt>
                <c:pt idx="75">
                  <c:v>1.8359185689806813E-3</c:v>
                </c:pt>
                <c:pt idx="76">
                  <c:v>1.8371482547657821E-3</c:v>
                </c:pt>
                <c:pt idx="77">
                  <c:v>1.8408373121210841E-3</c:v>
                </c:pt>
                <c:pt idx="78">
                  <c:v>1.8420669979061848E-3</c:v>
                </c:pt>
                <c:pt idx="79">
                  <c:v>1.8432966836912854E-3</c:v>
                </c:pt>
                <c:pt idx="80">
                  <c:v>1.8445263694763861E-3</c:v>
                </c:pt>
                <c:pt idx="81">
                  <c:v>1.8457560552614868E-3</c:v>
                </c:pt>
                <c:pt idx="82">
                  <c:v>1.8494451126167888E-3</c:v>
                </c:pt>
                <c:pt idx="83">
                  <c:v>1.8506747984018896E-3</c:v>
                </c:pt>
                <c:pt idx="84">
                  <c:v>1.8519044841869903E-3</c:v>
                </c:pt>
                <c:pt idx="85">
                  <c:v>1.8531341699720909E-3</c:v>
                </c:pt>
                <c:pt idx="86">
                  <c:v>1.8543638557571916E-3</c:v>
                </c:pt>
                <c:pt idx="87">
                  <c:v>1.8580529131124938E-3</c:v>
                </c:pt>
                <c:pt idx="88">
                  <c:v>1.8592825988975946E-3</c:v>
                </c:pt>
                <c:pt idx="89">
                  <c:v>1.8605122846826951E-3</c:v>
                </c:pt>
                <c:pt idx="90">
                  <c:v>1.8617419704677958E-3</c:v>
                </c:pt>
                <c:pt idx="91">
                  <c:v>1.8629716562528966E-3</c:v>
                </c:pt>
                <c:pt idx="92">
                  <c:v>1.8666607136081986E-3</c:v>
                </c:pt>
                <c:pt idx="93">
                  <c:v>1.8678903993932993E-3</c:v>
                </c:pt>
                <c:pt idx="94">
                  <c:v>1.8691200851784001E-3</c:v>
                </c:pt>
                <c:pt idx="95">
                  <c:v>1.8703497709635008E-3</c:v>
                </c:pt>
                <c:pt idx="96">
                  <c:v>1.8715794567486013E-3</c:v>
                </c:pt>
                <c:pt idx="97">
                  <c:v>1.8752685141039034E-3</c:v>
                </c:pt>
                <c:pt idx="98">
                  <c:v>1.8764981998890041E-3</c:v>
                </c:pt>
                <c:pt idx="99">
                  <c:v>1.8777278856741048E-3</c:v>
                </c:pt>
                <c:pt idx="100">
                  <c:v>1.8789575714592056E-3</c:v>
                </c:pt>
                <c:pt idx="101">
                  <c:v>1.8801872572443063E-3</c:v>
                </c:pt>
                <c:pt idx="102">
                  <c:v>1.8838763145996083E-3</c:v>
                </c:pt>
                <c:pt idx="103">
                  <c:v>1.8851060003847091E-3</c:v>
                </c:pt>
                <c:pt idx="104">
                  <c:v>1.8863356861698096E-3</c:v>
                </c:pt>
                <c:pt idx="105">
                  <c:v>1.8875653719549104E-3</c:v>
                </c:pt>
                <c:pt idx="106">
                  <c:v>1.8887950577400111E-3</c:v>
                </c:pt>
                <c:pt idx="107">
                  <c:v>1.8924841150953133E-3</c:v>
                </c:pt>
                <c:pt idx="108">
                  <c:v>1.8937138008804138E-3</c:v>
                </c:pt>
                <c:pt idx="109">
                  <c:v>1.8949434866655146E-3</c:v>
                </c:pt>
                <c:pt idx="110">
                  <c:v>1.8961731724506153E-3</c:v>
                </c:pt>
                <c:pt idx="111">
                  <c:v>1.8974028582357161E-3</c:v>
                </c:pt>
                <c:pt idx="112">
                  <c:v>1.9010919155910181E-3</c:v>
                </c:pt>
                <c:pt idx="113">
                  <c:v>1.9023216013761188E-3</c:v>
                </c:pt>
                <c:pt idx="114">
                  <c:v>1.9035512871612194E-3</c:v>
                </c:pt>
                <c:pt idx="115">
                  <c:v>1.9047809729463201E-3</c:v>
                </c:pt>
                <c:pt idx="116">
                  <c:v>1.9060106587314208E-3</c:v>
                </c:pt>
                <c:pt idx="117">
                  <c:v>1.9096997160867228E-3</c:v>
                </c:pt>
                <c:pt idx="118">
                  <c:v>1.9109294018718236E-3</c:v>
                </c:pt>
                <c:pt idx="119">
                  <c:v>1.9121590876569243E-3</c:v>
                </c:pt>
                <c:pt idx="120">
                  <c:v>1.9133887734420251E-3</c:v>
                </c:pt>
                <c:pt idx="121">
                  <c:v>1.9146184592271258E-3</c:v>
                </c:pt>
                <c:pt idx="122">
                  <c:v>1.9183075165824278E-3</c:v>
                </c:pt>
                <c:pt idx="123">
                  <c:v>1.9195372023675286E-3</c:v>
                </c:pt>
                <c:pt idx="124">
                  <c:v>1.9207668881526291E-3</c:v>
                </c:pt>
                <c:pt idx="125">
                  <c:v>1.9219965739377298E-3</c:v>
                </c:pt>
                <c:pt idx="126">
                  <c:v>1.9232262597228306E-3</c:v>
                </c:pt>
                <c:pt idx="127">
                  <c:v>1.9269153170781326E-3</c:v>
                </c:pt>
                <c:pt idx="128">
                  <c:v>1.9281450028632333E-3</c:v>
                </c:pt>
                <c:pt idx="129">
                  <c:v>1.9293746886483341E-3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'6MSynthDepo_allScenario'!$BF$6:$BF$135</c:f>
              <c:numCache>
                <c:formatCode>0.0000%</c:formatCode>
                <c:ptCount val="130"/>
                <c:pt idx="0">
                  <c:v>1.6862909282099705E-3</c:v>
                </c:pt>
                <c:pt idx="1">
                  <c:v>1.6880297431913333E-3</c:v>
                </c:pt>
                <c:pt idx="2">
                  <c:v>1.693218033525491E-3</c:v>
                </c:pt>
                <c:pt idx="3">
                  <c:v>1.6949380787668995E-3</c:v>
                </c:pt>
                <c:pt idx="4">
                  <c:v>1.6966534315733196E-3</c:v>
                </c:pt>
                <c:pt idx="5">
                  <c:v>1.698364091944751E-3</c:v>
                </c:pt>
                <c:pt idx="6">
                  <c:v>1.7000700598811937E-3</c:v>
                </c:pt>
                <c:pt idx="7">
                  <c:v>1.7051598090805909E-3</c:v>
                </c:pt>
                <c:pt idx="8">
                  <c:v>1.7068470072770792E-3</c:v>
                </c:pt>
                <c:pt idx="9">
                  <c:v>1.7085295130385791E-3</c:v>
                </c:pt>
                <c:pt idx="10">
                  <c:v>1.7102073263650904E-3</c:v>
                </c:pt>
                <c:pt idx="11">
                  <c:v>1.7118804472566131E-3</c:v>
                </c:pt>
                <c:pt idx="12">
                  <c:v>1.7168716553212495E-3</c:v>
                </c:pt>
                <c:pt idx="13">
                  <c:v>1.7185260064728179E-3</c:v>
                </c:pt>
                <c:pt idx="14">
                  <c:v>1.7201756651893977E-3</c:v>
                </c:pt>
                <c:pt idx="15">
                  <c:v>1.721820631470989E-3</c:v>
                </c:pt>
                <c:pt idx="16">
                  <c:v>1.7234609053175913E-3</c:v>
                </c:pt>
                <c:pt idx="17">
                  <c:v>1.7283535722474673E-3</c:v>
                </c:pt>
                <c:pt idx="18">
                  <c:v>1.7299750763541157E-3</c:v>
                </c:pt>
                <c:pt idx="19">
                  <c:v>1.7315918880257751E-3</c:v>
                </c:pt>
                <c:pt idx="20">
                  <c:v>1.7332040072624462E-3</c:v>
                </c:pt>
                <c:pt idx="21">
                  <c:v>1.7348114340641286E-3</c:v>
                </c:pt>
                <c:pt idx="22">
                  <c:v>1.7396055598592442E-3</c:v>
                </c:pt>
                <c:pt idx="23">
                  <c:v>1.7411942169209722E-3</c:v>
                </c:pt>
                <c:pt idx="24">
                  <c:v>1.7427781815477117E-3</c:v>
                </c:pt>
                <c:pt idx="25">
                  <c:v>1.7443574537394627E-3</c:v>
                </c:pt>
                <c:pt idx="26">
                  <c:v>1.7459320334962248E-3</c:v>
                </c:pt>
                <c:pt idx="27">
                  <c:v>1.75062761815658E-3</c:v>
                </c:pt>
                <c:pt idx="28">
                  <c:v>1.7521834281733878E-3</c:v>
                </c:pt>
                <c:pt idx="29">
                  <c:v>1.7537345457552072E-3</c:v>
                </c:pt>
                <c:pt idx="30">
                  <c:v>1.7552809709020377E-3</c:v>
                </c:pt>
                <c:pt idx="31">
                  <c:v>1.7568227036138799E-3</c:v>
                </c:pt>
                <c:pt idx="32">
                  <c:v>1.7614197471394746E-3</c:v>
                </c:pt>
                <c:pt idx="33">
                  <c:v>1.7629427101113625E-3</c:v>
                </c:pt>
                <c:pt idx="34">
                  <c:v>1.7644609806482616E-3</c:v>
                </c:pt>
                <c:pt idx="35">
                  <c:v>1.765974558750172E-3</c:v>
                </c:pt>
                <c:pt idx="36">
                  <c:v>1.7674834444170941E-3</c:v>
                </c:pt>
                <c:pt idx="37">
                  <c:v>1.7719819468079282E-3</c:v>
                </c:pt>
                <c:pt idx="38">
                  <c:v>1.7734720627348959E-3</c:v>
                </c:pt>
                <c:pt idx="39">
                  <c:v>1.7749574862268749E-3</c:v>
                </c:pt>
                <c:pt idx="40">
                  <c:v>1.7764382172838651E-3</c:v>
                </c:pt>
                <c:pt idx="41">
                  <c:v>1.777914255905867E-3</c:v>
                </c:pt>
                <c:pt idx="42">
                  <c:v>1.7823142171619409E-3</c:v>
                </c:pt>
                <c:pt idx="43">
                  <c:v>1.7837714860439882E-3</c:v>
                </c:pt>
                <c:pt idx="44">
                  <c:v>1.7852240624910472E-3</c:v>
                </c:pt>
                <c:pt idx="45">
                  <c:v>1.7866719465031175E-3</c:v>
                </c:pt>
                <c:pt idx="46">
                  <c:v>1.7881151380801992E-3</c:v>
                </c:pt>
                <c:pt idx="47">
                  <c:v>1.7924165582015126E-3</c:v>
                </c:pt>
                <c:pt idx="48">
                  <c:v>1.7938409800386398E-3</c:v>
                </c:pt>
                <c:pt idx="49">
                  <c:v>1.7952607094407786E-3</c:v>
                </c:pt>
                <c:pt idx="50">
                  <c:v>1.7966757464079285E-3</c:v>
                </c:pt>
                <c:pt idx="51">
                  <c:v>1.7980860909400903E-3</c:v>
                </c:pt>
                <c:pt idx="52">
                  <c:v>1.8022889699266431E-3</c:v>
                </c:pt>
                <c:pt idx="53">
                  <c:v>1.8036805447188501E-3</c:v>
                </c:pt>
                <c:pt idx="54">
                  <c:v>1.8050674270760688E-3</c:v>
                </c:pt>
                <c:pt idx="55">
                  <c:v>1.8064496169982987E-3</c:v>
                </c:pt>
                <c:pt idx="56">
                  <c:v>1.8078271144855401E-3</c:v>
                </c:pt>
                <c:pt idx="57">
                  <c:v>1.8119314523373327E-3</c:v>
                </c:pt>
                <c:pt idx="58">
                  <c:v>1.8132901800846195E-3</c:v>
                </c:pt>
                <c:pt idx="59">
                  <c:v>1.814644215396918E-3</c:v>
                </c:pt>
                <c:pt idx="60">
                  <c:v>1.8159935582742277E-3</c:v>
                </c:pt>
                <c:pt idx="61">
                  <c:v>1.817338208716549E-3</c:v>
                </c:pt>
                <c:pt idx="62">
                  <c:v>1.821344005433581E-3</c:v>
                </c:pt>
                <c:pt idx="63">
                  <c:v>1.8226698861359479E-3</c:v>
                </c:pt>
                <c:pt idx="64">
                  <c:v>1.823991074403326E-3</c:v>
                </c:pt>
                <c:pt idx="65">
                  <c:v>1.8253075702357158E-3</c:v>
                </c:pt>
                <c:pt idx="66">
                  <c:v>1.8266193736331169E-3</c:v>
                </c:pt>
                <c:pt idx="67">
                  <c:v>1.8305266292153886E-3</c:v>
                </c:pt>
                <c:pt idx="68">
                  <c:v>1.8318196628728351E-3</c:v>
                </c:pt>
                <c:pt idx="69">
                  <c:v>1.8331080040952931E-3</c:v>
                </c:pt>
                <c:pt idx="70">
                  <c:v>1.8343916528827627E-3</c:v>
                </c:pt>
                <c:pt idx="71">
                  <c:v>1.8356706092352436E-3</c:v>
                </c:pt>
                <c:pt idx="72">
                  <c:v>1.8394793236827551E-3</c:v>
                </c:pt>
                <c:pt idx="73">
                  <c:v>1.8407395102952814E-3</c:v>
                </c:pt>
                <c:pt idx="74">
                  <c:v>1.8419950044728194E-3</c:v>
                </c:pt>
                <c:pt idx="75">
                  <c:v>1.8432458062153689E-3</c:v>
                </c:pt>
                <c:pt idx="76">
                  <c:v>1.8444919155229294E-3</c:v>
                </c:pt>
                <c:pt idx="77">
                  <c:v>1.8482020888356801E-3</c:v>
                </c:pt>
                <c:pt idx="78">
                  <c:v>1.8494294284032867E-3</c:v>
                </c:pt>
                <c:pt idx="79">
                  <c:v>1.8506520755359043E-3</c:v>
                </c:pt>
                <c:pt idx="80">
                  <c:v>1.8518700302335336E-3</c:v>
                </c:pt>
                <c:pt idx="81">
                  <c:v>1.8530832924961741E-3</c:v>
                </c:pt>
                <c:pt idx="82">
                  <c:v>1.8566949246741644E-3</c:v>
                </c:pt>
                <c:pt idx="83">
                  <c:v>1.8578894171968508E-3</c:v>
                </c:pt>
                <c:pt idx="84">
                  <c:v>1.8590792172845485E-3</c:v>
                </c:pt>
                <c:pt idx="85">
                  <c:v>1.8602643249372574E-3</c:v>
                </c:pt>
                <c:pt idx="86">
                  <c:v>1.861444740154978E-3</c:v>
                </c:pt>
                <c:pt idx="87">
                  <c:v>1.8649578311982077E-3</c:v>
                </c:pt>
                <c:pt idx="88">
                  <c:v>1.8661194766759739E-3</c:v>
                </c:pt>
                <c:pt idx="89">
                  <c:v>1.8672764297187514E-3</c:v>
                </c:pt>
                <c:pt idx="90">
                  <c:v>1.8684286903265402E-3</c:v>
                </c:pt>
                <c:pt idx="91">
                  <c:v>1.8695762584993406E-3</c:v>
                </c:pt>
                <c:pt idx="92">
                  <c:v>1.87299080840781E-3</c:v>
                </c:pt>
                <c:pt idx="93">
                  <c:v>1.8741196068406561E-3</c:v>
                </c:pt>
                <c:pt idx="94">
                  <c:v>1.8752437128385134E-3</c:v>
                </c:pt>
                <c:pt idx="95">
                  <c:v>1.876363126401382E-3</c:v>
                </c:pt>
                <c:pt idx="96">
                  <c:v>1.8774778475292623E-3</c:v>
                </c:pt>
                <c:pt idx="97">
                  <c:v>1.8807938563029712E-3</c:v>
                </c:pt>
                <c:pt idx="98">
                  <c:v>1.8818898076908971E-3</c:v>
                </c:pt>
                <c:pt idx="99">
                  <c:v>1.8829810666438343E-3</c:v>
                </c:pt>
                <c:pt idx="100">
                  <c:v>1.8840676331617827E-3</c:v>
                </c:pt>
                <c:pt idx="101">
                  <c:v>1.885149507244743E-3</c:v>
                </c:pt>
                <c:pt idx="102">
                  <c:v>1.8883669748836914E-3</c:v>
                </c:pt>
                <c:pt idx="103">
                  <c:v>1.8894300792266971E-3</c:v>
                </c:pt>
                <c:pt idx="104">
                  <c:v>1.8904884911347141E-3</c:v>
                </c:pt>
                <c:pt idx="105">
                  <c:v>1.8915422106077426E-3</c:v>
                </c:pt>
                <c:pt idx="106">
                  <c:v>1.8925912376457823E-3</c:v>
                </c:pt>
                <c:pt idx="107">
                  <c:v>1.8957101641499704E-3</c:v>
                </c:pt>
                <c:pt idx="108">
                  <c:v>1.896740421448056E-3</c:v>
                </c:pt>
                <c:pt idx="109">
                  <c:v>1.897765986311153E-3</c:v>
                </c:pt>
                <c:pt idx="110">
                  <c:v>1.8987868587392613E-3</c:v>
                </c:pt>
                <c:pt idx="111">
                  <c:v>1.8998030387323811E-3</c:v>
                </c:pt>
                <c:pt idx="112">
                  <c:v>1.9028234241018085E-3</c:v>
                </c:pt>
                <c:pt idx="113">
                  <c:v>1.9038208343549741E-3</c:v>
                </c:pt>
                <c:pt idx="114">
                  <c:v>1.9048135521731507E-3</c:v>
                </c:pt>
                <c:pt idx="115">
                  <c:v>1.9058015775563388E-3</c:v>
                </c:pt>
                <c:pt idx="116">
                  <c:v>1.9067849105045384E-3</c:v>
                </c:pt>
                <c:pt idx="117">
                  <c:v>1.9097067547392058E-3</c:v>
                </c:pt>
                <c:pt idx="118">
                  <c:v>1.9106713179474508E-3</c:v>
                </c:pt>
                <c:pt idx="119">
                  <c:v>1.9116311887207073E-3</c:v>
                </c:pt>
                <c:pt idx="120">
                  <c:v>1.9125863670589752E-3</c:v>
                </c:pt>
                <c:pt idx="121">
                  <c:v>1.913536852962255E-3</c:v>
                </c:pt>
                <c:pt idx="122">
                  <c:v>1.9163601560621614E-3</c:v>
                </c:pt>
                <c:pt idx="123">
                  <c:v>1.9172918722254865E-3</c:v>
                </c:pt>
                <c:pt idx="124">
                  <c:v>1.9182188959538232E-3</c:v>
                </c:pt>
                <c:pt idx="125">
                  <c:v>1.919141227247171E-3</c:v>
                </c:pt>
                <c:pt idx="126">
                  <c:v>1.9200588661055303E-3</c:v>
                </c:pt>
                <c:pt idx="127">
                  <c:v>1.9227836280706766E-3</c:v>
                </c:pt>
                <c:pt idx="128">
                  <c:v>1.9236824971890815E-3</c:v>
                </c:pt>
                <c:pt idx="129">
                  <c:v>1.9245766738724976E-3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'6MSynthDepo_allScenario'!$BG$6:$BG$135</c:f>
              <c:numCache>
                <c:formatCode>0.0000%</c:formatCode>
                <c:ptCount val="130"/>
                <c:pt idx="0">
                  <c:v>1.7246914699391173E-3</c:v>
                </c:pt>
                <c:pt idx="1">
                  <c:v>1.725778036457066E-3</c:v>
                </c:pt>
                <c:pt idx="2">
                  <c:v>1.7290377360109118E-3</c:v>
                </c:pt>
                <c:pt idx="3">
                  <c:v>1.7301243025288605E-3</c:v>
                </c:pt>
                <c:pt idx="4">
                  <c:v>1.7312108690468091E-3</c:v>
                </c:pt>
                <c:pt idx="5">
                  <c:v>1.7322974355647577E-3</c:v>
                </c:pt>
                <c:pt idx="6">
                  <c:v>1.7333840020827063E-3</c:v>
                </c:pt>
                <c:pt idx="7">
                  <c:v>1.7366437016365522E-3</c:v>
                </c:pt>
                <c:pt idx="8">
                  <c:v>1.7377302681545008E-3</c:v>
                </c:pt>
                <c:pt idx="9">
                  <c:v>1.7388168346724494E-3</c:v>
                </c:pt>
                <c:pt idx="10">
                  <c:v>1.7399034011903981E-3</c:v>
                </c:pt>
                <c:pt idx="11">
                  <c:v>1.7409899677083467E-3</c:v>
                </c:pt>
                <c:pt idx="12">
                  <c:v>1.7442496672621926E-3</c:v>
                </c:pt>
                <c:pt idx="13">
                  <c:v>1.7453362337801412E-3</c:v>
                </c:pt>
                <c:pt idx="14">
                  <c:v>1.7464228002980898E-3</c:v>
                </c:pt>
                <c:pt idx="15">
                  <c:v>1.7475093668160384E-3</c:v>
                </c:pt>
                <c:pt idx="16">
                  <c:v>1.7485959333339871E-3</c:v>
                </c:pt>
                <c:pt idx="17">
                  <c:v>1.7518556328878331E-3</c:v>
                </c:pt>
                <c:pt idx="18">
                  <c:v>1.7529421994057818E-3</c:v>
                </c:pt>
                <c:pt idx="19">
                  <c:v>1.7540287659237304E-3</c:v>
                </c:pt>
                <c:pt idx="20">
                  <c:v>1.755115332441679E-3</c:v>
                </c:pt>
                <c:pt idx="21">
                  <c:v>1.7562018989596276E-3</c:v>
                </c:pt>
                <c:pt idx="22">
                  <c:v>1.7594615985134735E-3</c:v>
                </c:pt>
                <c:pt idx="23">
                  <c:v>1.7605481650314221E-3</c:v>
                </c:pt>
                <c:pt idx="24">
                  <c:v>1.7616347315493708E-3</c:v>
                </c:pt>
                <c:pt idx="25">
                  <c:v>1.7627212980673194E-3</c:v>
                </c:pt>
                <c:pt idx="26">
                  <c:v>1.763807864585268E-3</c:v>
                </c:pt>
                <c:pt idx="27">
                  <c:v>1.7670675641391139E-3</c:v>
                </c:pt>
                <c:pt idx="28">
                  <c:v>1.7681541306570625E-3</c:v>
                </c:pt>
                <c:pt idx="29">
                  <c:v>1.7692406971750111E-3</c:v>
                </c:pt>
                <c:pt idx="30">
                  <c:v>1.7703272636929598E-3</c:v>
                </c:pt>
                <c:pt idx="31">
                  <c:v>1.7714138302109084E-3</c:v>
                </c:pt>
                <c:pt idx="32">
                  <c:v>1.7746735297647542E-3</c:v>
                </c:pt>
                <c:pt idx="33">
                  <c:v>1.7757600962827029E-3</c:v>
                </c:pt>
                <c:pt idx="34">
                  <c:v>1.7768466628006515E-3</c:v>
                </c:pt>
                <c:pt idx="35">
                  <c:v>1.7779332293186001E-3</c:v>
                </c:pt>
                <c:pt idx="36">
                  <c:v>1.7790197958365487E-3</c:v>
                </c:pt>
                <c:pt idx="37">
                  <c:v>1.7822794953903946E-3</c:v>
                </c:pt>
                <c:pt idx="38">
                  <c:v>1.7833660619083432E-3</c:v>
                </c:pt>
                <c:pt idx="39">
                  <c:v>1.7844526284262919E-3</c:v>
                </c:pt>
                <c:pt idx="40">
                  <c:v>1.7855391949442405E-3</c:v>
                </c:pt>
                <c:pt idx="41">
                  <c:v>1.7866257614621891E-3</c:v>
                </c:pt>
                <c:pt idx="42">
                  <c:v>1.789885461016035E-3</c:v>
                </c:pt>
                <c:pt idx="43">
                  <c:v>1.7909720275339836E-3</c:v>
                </c:pt>
                <c:pt idx="44">
                  <c:v>1.7920585940519322E-3</c:v>
                </c:pt>
                <c:pt idx="45">
                  <c:v>1.7931451605698809E-3</c:v>
                </c:pt>
                <c:pt idx="46">
                  <c:v>1.7942317270878295E-3</c:v>
                </c:pt>
                <c:pt idx="47">
                  <c:v>1.7974914266416756E-3</c:v>
                </c:pt>
                <c:pt idx="48">
                  <c:v>1.798577993159624E-3</c:v>
                </c:pt>
                <c:pt idx="49">
                  <c:v>1.7996645596775728E-3</c:v>
                </c:pt>
                <c:pt idx="50">
                  <c:v>1.8007511261955214E-3</c:v>
                </c:pt>
                <c:pt idx="51">
                  <c:v>1.8018376927134701E-3</c:v>
                </c:pt>
                <c:pt idx="52">
                  <c:v>1.8050973922673159E-3</c:v>
                </c:pt>
                <c:pt idx="53">
                  <c:v>1.8061839587852646E-3</c:v>
                </c:pt>
                <c:pt idx="54">
                  <c:v>1.8072705253032132E-3</c:v>
                </c:pt>
                <c:pt idx="55">
                  <c:v>1.8083570918211618E-3</c:v>
                </c:pt>
                <c:pt idx="56">
                  <c:v>1.8094436583391104E-3</c:v>
                </c:pt>
                <c:pt idx="57">
                  <c:v>1.8127033578929563E-3</c:v>
                </c:pt>
                <c:pt idx="58">
                  <c:v>1.8137899244109049E-3</c:v>
                </c:pt>
                <c:pt idx="59">
                  <c:v>1.8148764909288535E-3</c:v>
                </c:pt>
                <c:pt idx="60">
                  <c:v>1.8159630574468022E-3</c:v>
                </c:pt>
                <c:pt idx="61">
                  <c:v>1.8170496239647508E-3</c:v>
                </c:pt>
                <c:pt idx="62">
                  <c:v>1.8203093235185967E-3</c:v>
                </c:pt>
                <c:pt idx="63">
                  <c:v>1.8213958900365453E-3</c:v>
                </c:pt>
                <c:pt idx="64">
                  <c:v>1.8224824565544939E-3</c:v>
                </c:pt>
                <c:pt idx="65">
                  <c:v>1.8235690230724425E-3</c:v>
                </c:pt>
                <c:pt idx="66">
                  <c:v>1.8246555895903912E-3</c:v>
                </c:pt>
                <c:pt idx="67">
                  <c:v>1.827915289144237E-3</c:v>
                </c:pt>
                <c:pt idx="68">
                  <c:v>1.8290018556621857E-3</c:v>
                </c:pt>
                <c:pt idx="69">
                  <c:v>1.8300884221801343E-3</c:v>
                </c:pt>
                <c:pt idx="70">
                  <c:v>1.8311749886980829E-3</c:v>
                </c:pt>
                <c:pt idx="71">
                  <c:v>1.8322615552160315E-3</c:v>
                </c:pt>
                <c:pt idx="72">
                  <c:v>1.8355212547698774E-3</c:v>
                </c:pt>
                <c:pt idx="73">
                  <c:v>1.836607821287826E-3</c:v>
                </c:pt>
                <c:pt idx="74">
                  <c:v>1.8376943878057746E-3</c:v>
                </c:pt>
                <c:pt idx="75">
                  <c:v>1.8387809543237233E-3</c:v>
                </c:pt>
                <c:pt idx="76">
                  <c:v>1.8398675208416719E-3</c:v>
                </c:pt>
                <c:pt idx="77">
                  <c:v>1.8431272203955178E-3</c:v>
                </c:pt>
                <c:pt idx="78">
                  <c:v>1.8442137869134666E-3</c:v>
                </c:pt>
                <c:pt idx="79">
                  <c:v>1.845300353431415E-3</c:v>
                </c:pt>
                <c:pt idx="80">
                  <c:v>1.8463869199493639E-3</c:v>
                </c:pt>
                <c:pt idx="81">
                  <c:v>1.8474734864673123E-3</c:v>
                </c:pt>
                <c:pt idx="82">
                  <c:v>1.8507331860211584E-3</c:v>
                </c:pt>
                <c:pt idx="83">
                  <c:v>1.851819752539107E-3</c:v>
                </c:pt>
                <c:pt idx="84">
                  <c:v>1.8529063190570556E-3</c:v>
                </c:pt>
                <c:pt idx="85">
                  <c:v>1.8539928855750042E-3</c:v>
                </c:pt>
                <c:pt idx="86">
                  <c:v>1.8550794520929528E-3</c:v>
                </c:pt>
                <c:pt idx="87">
                  <c:v>1.8583391516467987E-3</c:v>
                </c:pt>
                <c:pt idx="88">
                  <c:v>1.8594257181647473E-3</c:v>
                </c:pt>
                <c:pt idx="89">
                  <c:v>1.860512284682696E-3</c:v>
                </c:pt>
                <c:pt idx="90">
                  <c:v>1.8615988512006446E-3</c:v>
                </c:pt>
                <c:pt idx="91">
                  <c:v>1.8626854177185932E-3</c:v>
                </c:pt>
                <c:pt idx="92">
                  <c:v>1.8659451172724391E-3</c:v>
                </c:pt>
                <c:pt idx="93">
                  <c:v>1.8670316837903877E-3</c:v>
                </c:pt>
                <c:pt idx="94">
                  <c:v>1.8681182503083363E-3</c:v>
                </c:pt>
                <c:pt idx="95">
                  <c:v>1.869204816826285E-3</c:v>
                </c:pt>
                <c:pt idx="96">
                  <c:v>1.8702913833442336E-3</c:v>
                </c:pt>
                <c:pt idx="97">
                  <c:v>1.8735510828980795E-3</c:v>
                </c:pt>
                <c:pt idx="98">
                  <c:v>1.8746376494160281E-3</c:v>
                </c:pt>
                <c:pt idx="99">
                  <c:v>1.8757242159339767E-3</c:v>
                </c:pt>
                <c:pt idx="100">
                  <c:v>1.8768107824519253E-3</c:v>
                </c:pt>
                <c:pt idx="101">
                  <c:v>1.8778973489698739E-3</c:v>
                </c:pt>
                <c:pt idx="102">
                  <c:v>1.8811570485237198E-3</c:v>
                </c:pt>
                <c:pt idx="103">
                  <c:v>1.8822436150416684E-3</c:v>
                </c:pt>
                <c:pt idx="104">
                  <c:v>1.8833301815596171E-3</c:v>
                </c:pt>
                <c:pt idx="105">
                  <c:v>1.8844167480775657E-3</c:v>
                </c:pt>
                <c:pt idx="106">
                  <c:v>1.8855033145955143E-3</c:v>
                </c:pt>
                <c:pt idx="107">
                  <c:v>1.8887630141493602E-3</c:v>
                </c:pt>
                <c:pt idx="108">
                  <c:v>1.8898495806673088E-3</c:v>
                </c:pt>
                <c:pt idx="109">
                  <c:v>1.8909361471852574E-3</c:v>
                </c:pt>
                <c:pt idx="110">
                  <c:v>1.8920227137032061E-3</c:v>
                </c:pt>
                <c:pt idx="111">
                  <c:v>1.8931092802211549E-3</c:v>
                </c:pt>
                <c:pt idx="112">
                  <c:v>1.8963689797750006E-3</c:v>
                </c:pt>
                <c:pt idx="113">
                  <c:v>1.8974555462929494E-3</c:v>
                </c:pt>
                <c:pt idx="114">
                  <c:v>1.8985421128108978E-3</c:v>
                </c:pt>
                <c:pt idx="115">
                  <c:v>1.8996286793288466E-3</c:v>
                </c:pt>
                <c:pt idx="116">
                  <c:v>1.9007152458467953E-3</c:v>
                </c:pt>
                <c:pt idx="117">
                  <c:v>1.9039749454006411E-3</c:v>
                </c:pt>
                <c:pt idx="118">
                  <c:v>1.9050615119185898E-3</c:v>
                </c:pt>
                <c:pt idx="119">
                  <c:v>1.9061480784365384E-3</c:v>
                </c:pt>
                <c:pt idx="120">
                  <c:v>1.907234644954487E-3</c:v>
                </c:pt>
                <c:pt idx="121">
                  <c:v>1.9083212114724356E-3</c:v>
                </c:pt>
                <c:pt idx="122">
                  <c:v>1.9115809110262815E-3</c:v>
                </c:pt>
                <c:pt idx="123">
                  <c:v>1.9126674775442301E-3</c:v>
                </c:pt>
                <c:pt idx="124">
                  <c:v>1.9137540440621788E-3</c:v>
                </c:pt>
                <c:pt idx="125">
                  <c:v>1.9148406105801274E-3</c:v>
                </c:pt>
                <c:pt idx="126">
                  <c:v>1.915927177098076E-3</c:v>
                </c:pt>
                <c:pt idx="127">
                  <c:v>1.9191868766519219E-3</c:v>
                </c:pt>
                <c:pt idx="128">
                  <c:v>1.9202734431698705E-3</c:v>
                </c:pt>
                <c:pt idx="129">
                  <c:v>1.9213600096878191E-3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'6MSynthDepo_allScenario'!$BH$6:$BH$135</c:f>
              <c:numCache>
                <c:formatCode>0.0000%</c:formatCode>
                <c:ptCount val="130"/>
                <c:pt idx="0">
                  <c:v>1.5673863520443479E-3</c:v>
                </c:pt>
                <c:pt idx="1">
                  <c:v>1.5711448085100417E-3</c:v>
                </c:pt>
                <c:pt idx="2">
                  <c:v>1.5823048445280838E-3</c:v>
                </c:pt>
                <c:pt idx="3">
                  <c:v>1.5859864120744182E-3</c:v>
                </c:pt>
                <c:pt idx="4">
                  <c:v>1.5896487573909125E-3</c:v>
                </c:pt>
                <c:pt idx="5">
                  <c:v>1.5932918804775667E-3</c:v>
                </c:pt>
                <c:pt idx="6">
                  <c:v>1.5969157813343813E-3</c:v>
                </c:pt>
                <c:pt idx="7">
                  <c:v>1.6076721505257855E-3</c:v>
                </c:pt>
                <c:pt idx="8">
                  <c:v>1.6112191624632404E-3</c:v>
                </c:pt>
                <c:pt idx="9">
                  <c:v>1.6147469521708556E-3</c:v>
                </c:pt>
                <c:pt idx="10">
                  <c:v>1.6182555196486309E-3</c:v>
                </c:pt>
                <c:pt idx="11">
                  <c:v>1.6217448648965661E-3</c:v>
                </c:pt>
                <c:pt idx="12">
                  <c:v>1.6320975672613328E-3</c:v>
                </c:pt>
                <c:pt idx="13">
                  <c:v>1.6355100235899084E-3</c:v>
                </c:pt>
                <c:pt idx="14">
                  <c:v>1.638903257688644E-3</c:v>
                </c:pt>
                <c:pt idx="15">
                  <c:v>1.6422772695575401E-3</c:v>
                </c:pt>
                <c:pt idx="16">
                  <c:v>1.6456320591965961E-3</c:v>
                </c:pt>
                <c:pt idx="17">
                  <c:v>1.655581094734725E-3</c:v>
                </c:pt>
                <c:pt idx="18">
                  <c:v>1.6588589954544214E-3</c:v>
                </c:pt>
                <c:pt idx="19">
                  <c:v>1.6621176739442781E-3</c:v>
                </c:pt>
                <c:pt idx="20">
                  <c:v>1.6653571302042947E-3</c:v>
                </c:pt>
                <c:pt idx="21">
                  <c:v>1.6685773642344714E-3</c:v>
                </c:pt>
                <c:pt idx="22">
                  <c:v>1.6781227329459626E-3</c:v>
                </c:pt>
                <c:pt idx="23">
                  <c:v>1.6812660780567796E-3</c:v>
                </c:pt>
                <c:pt idx="24">
                  <c:v>1.6843902009377569E-3</c:v>
                </c:pt>
                <c:pt idx="25">
                  <c:v>1.6874951015888944E-3</c:v>
                </c:pt>
                <c:pt idx="26">
                  <c:v>1.690580780010192E-3</c:v>
                </c:pt>
                <c:pt idx="27">
                  <c:v>1.6997224818950452E-3</c:v>
                </c:pt>
                <c:pt idx="28">
                  <c:v>1.7027312713969833E-3</c:v>
                </c:pt>
                <c:pt idx="29">
                  <c:v>1.7057208386690814E-3</c:v>
                </c:pt>
                <c:pt idx="30">
                  <c:v>1.7086911837113396E-3</c:v>
                </c:pt>
                <c:pt idx="31">
                  <c:v>1.711642306523758E-3</c:v>
                </c:pt>
                <c:pt idx="32">
                  <c:v>1.7203803415819733E-3</c:v>
                </c:pt>
                <c:pt idx="33">
                  <c:v>1.723254575475032E-3</c:v>
                </c:pt>
                <c:pt idx="34">
                  <c:v>1.7261095871382508E-3</c:v>
                </c:pt>
                <c:pt idx="35">
                  <c:v>1.7289453765716297E-3</c:v>
                </c:pt>
                <c:pt idx="36">
                  <c:v>1.7317619437751688E-3</c:v>
                </c:pt>
                <c:pt idx="37">
                  <c:v>1.7400963120067466E-3</c:v>
                </c:pt>
                <c:pt idx="38">
                  <c:v>1.7428359902909262E-3</c:v>
                </c:pt>
                <c:pt idx="39">
                  <c:v>1.7455564463452658E-3</c:v>
                </c:pt>
                <c:pt idx="40">
                  <c:v>1.7482576801697654E-3</c:v>
                </c:pt>
                <c:pt idx="41">
                  <c:v>1.750939691764425E-3</c:v>
                </c:pt>
                <c:pt idx="42">
                  <c:v>1.758870393169365E-3</c:v>
                </c:pt>
                <c:pt idx="43">
                  <c:v>1.7614755158446654E-3</c:v>
                </c:pt>
                <c:pt idx="44">
                  <c:v>1.7640614162901256E-3</c:v>
                </c:pt>
                <c:pt idx="45">
                  <c:v>1.766628094505746E-3</c:v>
                </c:pt>
                <c:pt idx="46">
                  <c:v>1.7691755504915265E-3</c:v>
                </c:pt>
                <c:pt idx="47">
                  <c:v>1.776702585069829E-3</c:v>
                </c:pt>
                <c:pt idx="48">
                  <c:v>1.7791731521362498E-3</c:v>
                </c:pt>
                <c:pt idx="49">
                  <c:v>1.781624496972831E-3</c:v>
                </c:pt>
                <c:pt idx="50">
                  <c:v>1.7840566195795721E-3</c:v>
                </c:pt>
                <c:pt idx="51">
                  <c:v>1.7864695199564734E-3</c:v>
                </c:pt>
                <c:pt idx="52">
                  <c:v>1.7935928877081378E-3</c:v>
                </c:pt>
                <c:pt idx="53">
                  <c:v>1.7959288991656794E-3</c:v>
                </c:pt>
                <c:pt idx="54">
                  <c:v>1.7982456883933813E-3</c:v>
                </c:pt>
                <c:pt idx="55">
                  <c:v>1.8005432553912432E-3</c:v>
                </c:pt>
                <c:pt idx="56">
                  <c:v>1.8028216001592654E-3</c:v>
                </c:pt>
                <c:pt idx="57">
                  <c:v>1.8095413010842921E-3</c:v>
                </c:pt>
                <c:pt idx="58">
                  <c:v>1.8117427569329543E-3</c:v>
                </c:pt>
                <c:pt idx="59">
                  <c:v>1.8139249905517771E-3</c:v>
                </c:pt>
                <c:pt idx="60">
                  <c:v>1.8160880019407596E-3</c:v>
                </c:pt>
                <c:pt idx="61">
                  <c:v>1.8182317910999024E-3</c:v>
                </c:pt>
                <c:pt idx="62">
                  <c:v>1.8245478251982916E-3</c:v>
                </c:pt>
                <c:pt idx="63">
                  <c:v>1.8266147254380747E-3</c:v>
                </c:pt>
                <c:pt idx="64">
                  <c:v>1.828662403448018E-3</c:v>
                </c:pt>
                <c:pt idx="65">
                  <c:v>1.8306908592281214E-3</c:v>
                </c:pt>
                <c:pt idx="66">
                  <c:v>1.8327000927783851E-3</c:v>
                </c:pt>
                <c:pt idx="67">
                  <c:v>1.8386124600501363E-3</c:v>
                </c:pt>
                <c:pt idx="68">
                  <c:v>1.8405448046810403E-3</c:v>
                </c:pt>
                <c:pt idx="69">
                  <c:v>1.8424579270821043E-3</c:v>
                </c:pt>
                <c:pt idx="70">
                  <c:v>1.8443518272533283E-3</c:v>
                </c:pt>
                <c:pt idx="71">
                  <c:v>1.8462265051947127E-3</c:v>
                </c:pt>
                <c:pt idx="72">
                  <c:v>1.8517352056398261E-3</c:v>
                </c:pt>
                <c:pt idx="73">
                  <c:v>1.8535329946618507E-3</c:v>
                </c:pt>
                <c:pt idx="74">
                  <c:v>1.8553115614540355E-3</c:v>
                </c:pt>
                <c:pt idx="75">
                  <c:v>1.8570709060163804E-3</c:v>
                </c:pt>
                <c:pt idx="76">
                  <c:v>1.8588110283488854E-3</c:v>
                </c:pt>
                <c:pt idx="77">
                  <c:v>1.8639160619673613E-3</c:v>
                </c:pt>
                <c:pt idx="78">
                  <c:v>1.8655792953805068E-3</c:v>
                </c:pt>
                <c:pt idx="79">
                  <c:v>1.8672233065638122E-3</c:v>
                </c:pt>
                <c:pt idx="80">
                  <c:v>1.8688480955172779E-3</c:v>
                </c:pt>
                <c:pt idx="81">
                  <c:v>1.8704536622409038E-3</c:v>
                </c:pt>
                <c:pt idx="82">
                  <c:v>1.8751550290327418E-3</c:v>
                </c:pt>
                <c:pt idx="83">
                  <c:v>1.8766837068370081E-3</c:v>
                </c:pt>
                <c:pt idx="84">
                  <c:v>1.8781931624114344E-3</c:v>
                </c:pt>
                <c:pt idx="85">
                  <c:v>1.8796833957560207E-3</c:v>
                </c:pt>
                <c:pt idx="86">
                  <c:v>1.8811544068707672E-3</c:v>
                </c:pt>
                <c:pt idx="87">
                  <c:v>1.8854521068359675E-3</c:v>
                </c:pt>
                <c:pt idx="88">
                  <c:v>1.8868462290313546E-3</c:v>
                </c:pt>
                <c:pt idx="89">
                  <c:v>1.8882211289969015E-3</c:v>
                </c:pt>
                <c:pt idx="90">
                  <c:v>1.8895768067326085E-3</c:v>
                </c:pt>
                <c:pt idx="91">
                  <c:v>1.8909132622384761E-3</c:v>
                </c:pt>
                <c:pt idx="92">
                  <c:v>1.8948072953770382E-3</c:v>
                </c:pt>
                <c:pt idx="93">
                  <c:v>1.896066861963546E-3</c:v>
                </c:pt>
                <c:pt idx="94">
                  <c:v>1.8973072063202137E-3</c:v>
                </c:pt>
                <c:pt idx="95">
                  <c:v>1.8985283284470419E-3</c:v>
                </c:pt>
                <c:pt idx="96">
                  <c:v>1.8997302283440297E-3</c:v>
                </c:pt>
                <c:pt idx="97">
                  <c:v>1.9032205946559544E-3</c:v>
                </c:pt>
                <c:pt idx="98">
                  <c:v>1.9043456056335828E-3</c:v>
                </c:pt>
                <c:pt idx="99">
                  <c:v>1.9054513943813714E-3</c:v>
                </c:pt>
                <c:pt idx="100">
                  <c:v>1.90653796089932E-3</c:v>
                </c:pt>
                <c:pt idx="101">
                  <c:v>1.9076053051874289E-3</c:v>
                </c:pt>
                <c:pt idx="102">
                  <c:v>1.9106920046727158E-3</c:v>
                </c:pt>
                <c:pt idx="103">
                  <c:v>1.911682460041465E-3</c:v>
                </c:pt>
                <c:pt idx="104">
                  <c:v>1.9126536931803745E-3</c:v>
                </c:pt>
                <c:pt idx="105">
                  <c:v>1.9136057040894439E-3</c:v>
                </c:pt>
                <c:pt idx="106">
                  <c:v>1.9145384927686734E-3</c:v>
                </c:pt>
                <c:pt idx="107">
                  <c:v>1.9172215254273227E-3</c:v>
                </c:pt>
                <c:pt idx="108">
                  <c:v>1.9180774251871925E-3</c:v>
                </c:pt>
                <c:pt idx="109">
                  <c:v>1.9189141027172222E-3</c:v>
                </c:pt>
                <c:pt idx="110">
                  <c:v>1.9197315580174129E-3</c:v>
                </c:pt>
                <c:pt idx="111">
                  <c:v>1.9205297910877626E-3</c:v>
                </c:pt>
                <c:pt idx="112">
                  <c:v>1.9228091569197742E-3</c:v>
                </c:pt>
                <c:pt idx="113">
                  <c:v>1.9235305010707649E-3</c:v>
                </c:pt>
                <c:pt idx="114">
                  <c:v>1.9242326229919158E-3</c:v>
                </c:pt>
                <c:pt idx="115">
                  <c:v>1.9249155226832267E-3</c:v>
                </c:pt>
                <c:pt idx="116">
                  <c:v>1.9255792001446977E-3</c:v>
                </c:pt>
                <c:pt idx="117">
                  <c:v>1.9274548991500716E-3</c:v>
                </c:pt>
                <c:pt idx="118">
                  <c:v>1.9280416876921828E-3</c:v>
                </c:pt>
                <c:pt idx="119">
                  <c:v>1.9286092540044544E-3</c:v>
                </c:pt>
                <c:pt idx="120">
                  <c:v>1.9291575980868861E-3</c:v>
                </c:pt>
                <c:pt idx="121">
                  <c:v>1.9296867199394779E-3</c:v>
                </c:pt>
                <c:pt idx="122">
                  <c:v>1.9311587521182139E-3</c:v>
                </c:pt>
                <c:pt idx="123">
                  <c:v>1.9316109850514461E-3</c:v>
                </c:pt>
                <c:pt idx="124">
                  <c:v>1.9320439957548384E-3</c:v>
                </c:pt>
                <c:pt idx="125">
                  <c:v>1.9324577842283908E-3</c:v>
                </c:pt>
                <c:pt idx="126">
                  <c:v>1.9328523504721028E-3</c:v>
                </c:pt>
                <c:pt idx="127">
                  <c:v>1.9339207158242016E-3</c:v>
                </c:pt>
                <c:pt idx="128">
                  <c:v>1.9342383931485541E-3</c:v>
                </c:pt>
                <c:pt idx="129">
                  <c:v>1.9345368482430675E-3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619968"/>
        <c:axId val="635625856"/>
      </c:lineChart>
      <c:dateAx>
        <c:axId val="6356199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3562585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635625856"/>
        <c:scaling>
          <c:orientation val="minMax"/>
          <c:max val="2.2000000000000006E-3"/>
          <c:min val="1.2000000000000003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35619968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'6MSynthDepo_allScenario'!$BI$6:$BI$135</c:f>
              <c:numCache>
                <c:formatCode>0.0000%</c:formatCode>
                <c:ptCount val="130"/>
                <c:pt idx="0">
                  <c:v>1.701274140696157E-3</c:v>
                </c:pt>
                <c:pt idx="1">
                  <c:v>1.7025658192099341E-3</c:v>
                </c:pt>
                <c:pt idx="2">
                  <c:v>1.7064408547512655E-3</c:v>
                </c:pt>
                <c:pt idx="3">
                  <c:v>1.7077325332650426E-3</c:v>
                </c:pt>
                <c:pt idx="4">
                  <c:v>1.7090242117788197E-3</c:v>
                </c:pt>
                <c:pt idx="5">
                  <c:v>1.7103158902925968E-3</c:v>
                </c:pt>
                <c:pt idx="6">
                  <c:v>1.7116075688063737E-3</c:v>
                </c:pt>
                <c:pt idx="7">
                  <c:v>1.7154826043477051E-3</c:v>
                </c:pt>
                <c:pt idx="8">
                  <c:v>1.7167742828614822E-3</c:v>
                </c:pt>
                <c:pt idx="9">
                  <c:v>1.7180659613752593E-3</c:v>
                </c:pt>
                <c:pt idx="10">
                  <c:v>1.7193576398890364E-3</c:v>
                </c:pt>
                <c:pt idx="11">
                  <c:v>1.7206493184028135E-3</c:v>
                </c:pt>
                <c:pt idx="12">
                  <c:v>1.7245243539441449E-3</c:v>
                </c:pt>
                <c:pt idx="13">
                  <c:v>1.725816032457922E-3</c:v>
                </c:pt>
                <c:pt idx="14">
                  <c:v>1.7271077109716991E-3</c:v>
                </c:pt>
                <c:pt idx="15">
                  <c:v>1.7283993894854762E-3</c:v>
                </c:pt>
                <c:pt idx="16">
                  <c:v>1.7296910679992534E-3</c:v>
                </c:pt>
                <c:pt idx="17">
                  <c:v>1.7335661035405845E-3</c:v>
                </c:pt>
                <c:pt idx="18">
                  <c:v>1.7348577820543616E-3</c:v>
                </c:pt>
                <c:pt idx="19">
                  <c:v>1.7361494605681387E-3</c:v>
                </c:pt>
                <c:pt idx="20">
                  <c:v>1.7374411390819158E-3</c:v>
                </c:pt>
                <c:pt idx="21">
                  <c:v>1.738732817595693E-3</c:v>
                </c:pt>
                <c:pt idx="22">
                  <c:v>1.7426078531370243E-3</c:v>
                </c:pt>
                <c:pt idx="23">
                  <c:v>1.7438995316508014E-3</c:v>
                </c:pt>
                <c:pt idx="24">
                  <c:v>1.7451912101645786E-3</c:v>
                </c:pt>
                <c:pt idx="25">
                  <c:v>1.7464828886783557E-3</c:v>
                </c:pt>
                <c:pt idx="26">
                  <c:v>1.7477745671921328E-3</c:v>
                </c:pt>
                <c:pt idx="27">
                  <c:v>1.7516496027334639E-3</c:v>
                </c:pt>
                <c:pt idx="28">
                  <c:v>1.752941281247241E-3</c:v>
                </c:pt>
                <c:pt idx="29">
                  <c:v>1.7542329597610182E-3</c:v>
                </c:pt>
                <c:pt idx="30">
                  <c:v>1.7555246382747953E-3</c:v>
                </c:pt>
                <c:pt idx="31">
                  <c:v>1.7568163167885724E-3</c:v>
                </c:pt>
                <c:pt idx="32">
                  <c:v>1.7606913523299037E-3</c:v>
                </c:pt>
                <c:pt idx="33">
                  <c:v>1.7619830308436809E-3</c:v>
                </c:pt>
                <c:pt idx="34">
                  <c:v>1.763274709357458E-3</c:v>
                </c:pt>
                <c:pt idx="35">
                  <c:v>1.7645663878712351E-3</c:v>
                </c:pt>
                <c:pt idx="36">
                  <c:v>1.7658580663850122E-3</c:v>
                </c:pt>
                <c:pt idx="37">
                  <c:v>1.7697331019263436E-3</c:v>
                </c:pt>
                <c:pt idx="38">
                  <c:v>1.7710247804401205E-3</c:v>
                </c:pt>
                <c:pt idx="39">
                  <c:v>1.7723164589538976E-3</c:v>
                </c:pt>
                <c:pt idx="40">
                  <c:v>1.7736081374676747E-3</c:v>
                </c:pt>
                <c:pt idx="41">
                  <c:v>1.7748998159814518E-3</c:v>
                </c:pt>
                <c:pt idx="42">
                  <c:v>1.7787748515227832E-3</c:v>
                </c:pt>
                <c:pt idx="43">
                  <c:v>1.7800665300365603E-3</c:v>
                </c:pt>
                <c:pt idx="44">
                  <c:v>1.7813582085503374E-3</c:v>
                </c:pt>
                <c:pt idx="45">
                  <c:v>1.7826498870641145E-3</c:v>
                </c:pt>
                <c:pt idx="46">
                  <c:v>1.7839415655778916E-3</c:v>
                </c:pt>
                <c:pt idx="47">
                  <c:v>1.787816601119223E-3</c:v>
                </c:pt>
                <c:pt idx="48">
                  <c:v>1.7891082796329999E-3</c:v>
                </c:pt>
                <c:pt idx="49">
                  <c:v>1.790399958146777E-3</c:v>
                </c:pt>
                <c:pt idx="50">
                  <c:v>1.7916916366605541E-3</c:v>
                </c:pt>
                <c:pt idx="51">
                  <c:v>1.7929833151743312E-3</c:v>
                </c:pt>
                <c:pt idx="52">
                  <c:v>1.7968583507156626E-3</c:v>
                </c:pt>
                <c:pt idx="53">
                  <c:v>1.7981500292294397E-3</c:v>
                </c:pt>
                <c:pt idx="54">
                  <c:v>1.7994417077432168E-3</c:v>
                </c:pt>
                <c:pt idx="55">
                  <c:v>1.8007333862569939E-3</c:v>
                </c:pt>
                <c:pt idx="56">
                  <c:v>1.8020250647707711E-3</c:v>
                </c:pt>
                <c:pt idx="57">
                  <c:v>1.8059001003121024E-3</c:v>
                </c:pt>
                <c:pt idx="58">
                  <c:v>1.8071917788258793E-3</c:v>
                </c:pt>
                <c:pt idx="59">
                  <c:v>1.8084834573396566E-3</c:v>
                </c:pt>
                <c:pt idx="60">
                  <c:v>1.8097751358534335E-3</c:v>
                </c:pt>
                <c:pt idx="61">
                  <c:v>1.8110668143672107E-3</c:v>
                </c:pt>
                <c:pt idx="62">
                  <c:v>1.814941849908542E-3</c:v>
                </c:pt>
                <c:pt idx="63">
                  <c:v>1.8162335284223191E-3</c:v>
                </c:pt>
                <c:pt idx="64">
                  <c:v>1.8175252069360963E-3</c:v>
                </c:pt>
                <c:pt idx="65">
                  <c:v>1.8188168854498734E-3</c:v>
                </c:pt>
                <c:pt idx="66">
                  <c:v>1.8201085639636505E-3</c:v>
                </c:pt>
                <c:pt idx="67">
                  <c:v>1.8239835995049818E-3</c:v>
                </c:pt>
                <c:pt idx="68">
                  <c:v>1.825275278018759E-3</c:v>
                </c:pt>
                <c:pt idx="69">
                  <c:v>1.8265669565325359E-3</c:v>
                </c:pt>
                <c:pt idx="70">
                  <c:v>1.827858635046313E-3</c:v>
                </c:pt>
                <c:pt idx="71">
                  <c:v>1.8291503135600901E-3</c:v>
                </c:pt>
                <c:pt idx="72">
                  <c:v>1.8330253491014214E-3</c:v>
                </c:pt>
                <c:pt idx="73">
                  <c:v>1.8343170276151986E-3</c:v>
                </c:pt>
                <c:pt idx="74">
                  <c:v>1.8356087061289757E-3</c:v>
                </c:pt>
                <c:pt idx="75">
                  <c:v>1.8369003846427528E-3</c:v>
                </c:pt>
                <c:pt idx="76">
                  <c:v>1.8381920631565299E-3</c:v>
                </c:pt>
                <c:pt idx="77">
                  <c:v>1.8420670986978613E-3</c:v>
                </c:pt>
                <c:pt idx="78">
                  <c:v>1.8433587772116384E-3</c:v>
                </c:pt>
                <c:pt idx="79">
                  <c:v>1.8446504557254155E-3</c:v>
                </c:pt>
                <c:pt idx="80">
                  <c:v>1.8459421342391924E-3</c:v>
                </c:pt>
                <c:pt idx="81">
                  <c:v>1.8472338127529697E-3</c:v>
                </c:pt>
                <c:pt idx="82">
                  <c:v>1.8511088482943009E-3</c:v>
                </c:pt>
                <c:pt idx="83">
                  <c:v>1.852400526808078E-3</c:v>
                </c:pt>
                <c:pt idx="84">
                  <c:v>1.8536922053218551E-3</c:v>
                </c:pt>
                <c:pt idx="85">
                  <c:v>1.8549838838356322E-3</c:v>
                </c:pt>
                <c:pt idx="86">
                  <c:v>1.8562755623494093E-3</c:v>
                </c:pt>
                <c:pt idx="87">
                  <c:v>1.8601505978907407E-3</c:v>
                </c:pt>
                <c:pt idx="88">
                  <c:v>1.8614422764045178E-3</c:v>
                </c:pt>
                <c:pt idx="89">
                  <c:v>1.8627339549182949E-3</c:v>
                </c:pt>
                <c:pt idx="90">
                  <c:v>1.864025633432072E-3</c:v>
                </c:pt>
                <c:pt idx="91">
                  <c:v>1.8653173119458492E-3</c:v>
                </c:pt>
                <c:pt idx="92">
                  <c:v>1.8691923474871803E-3</c:v>
                </c:pt>
                <c:pt idx="93">
                  <c:v>1.8704840260009574E-3</c:v>
                </c:pt>
                <c:pt idx="94">
                  <c:v>1.8717757045147345E-3</c:v>
                </c:pt>
                <c:pt idx="95">
                  <c:v>1.8730673830285116E-3</c:v>
                </c:pt>
                <c:pt idx="96">
                  <c:v>1.8743590615422888E-3</c:v>
                </c:pt>
                <c:pt idx="97">
                  <c:v>1.8782340970836201E-3</c:v>
                </c:pt>
                <c:pt idx="98">
                  <c:v>1.8795257755973972E-3</c:v>
                </c:pt>
                <c:pt idx="99">
                  <c:v>1.8808174541111744E-3</c:v>
                </c:pt>
                <c:pt idx="100">
                  <c:v>1.8821091326249515E-3</c:v>
                </c:pt>
                <c:pt idx="101">
                  <c:v>1.8834008111387286E-3</c:v>
                </c:pt>
                <c:pt idx="102">
                  <c:v>1.8872758466800597E-3</c:v>
                </c:pt>
                <c:pt idx="103">
                  <c:v>1.8885675251938368E-3</c:v>
                </c:pt>
                <c:pt idx="104">
                  <c:v>1.889859203707614E-3</c:v>
                </c:pt>
                <c:pt idx="105">
                  <c:v>1.8911508822213911E-3</c:v>
                </c:pt>
                <c:pt idx="106">
                  <c:v>1.8924425607351682E-3</c:v>
                </c:pt>
                <c:pt idx="107">
                  <c:v>1.8963175962764995E-3</c:v>
                </c:pt>
                <c:pt idx="108">
                  <c:v>1.8976092747902767E-3</c:v>
                </c:pt>
                <c:pt idx="109">
                  <c:v>1.8989009533040538E-3</c:v>
                </c:pt>
                <c:pt idx="110">
                  <c:v>1.9001926318178309E-3</c:v>
                </c:pt>
                <c:pt idx="111">
                  <c:v>1.901484310331608E-3</c:v>
                </c:pt>
                <c:pt idx="112">
                  <c:v>1.9053593458729394E-3</c:v>
                </c:pt>
                <c:pt idx="113">
                  <c:v>1.9066510243867163E-3</c:v>
                </c:pt>
                <c:pt idx="114">
                  <c:v>1.9079427029004934E-3</c:v>
                </c:pt>
                <c:pt idx="115">
                  <c:v>1.9092343814142705E-3</c:v>
                </c:pt>
                <c:pt idx="116">
                  <c:v>1.9105260599280476E-3</c:v>
                </c:pt>
                <c:pt idx="117">
                  <c:v>1.914401095469379E-3</c:v>
                </c:pt>
                <c:pt idx="118">
                  <c:v>1.9156927739831561E-3</c:v>
                </c:pt>
                <c:pt idx="119">
                  <c:v>1.9169844524969332E-3</c:v>
                </c:pt>
                <c:pt idx="120">
                  <c:v>1.9182761310107103E-3</c:v>
                </c:pt>
                <c:pt idx="121">
                  <c:v>1.9195678095244874E-3</c:v>
                </c:pt>
                <c:pt idx="122">
                  <c:v>1.9234428450658188E-3</c:v>
                </c:pt>
                <c:pt idx="123">
                  <c:v>1.9247345235795959E-3</c:v>
                </c:pt>
                <c:pt idx="124">
                  <c:v>1.9260262020933728E-3</c:v>
                </c:pt>
                <c:pt idx="125">
                  <c:v>1.9273178806071499E-3</c:v>
                </c:pt>
                <c:pt idx="126">
                  <c:v>1.928609559120927E-3</c:v>
                </c:pt>
                <c:pt idx="127">
                  <c:v>1.9324845946622584E-3</c:v>
                </c:pt>
                <c:pt idx="128">
                  <c:v>1.9337762731760355E-3</c:v>
                </c:pt>
                <c:pt idx="129">
                  <c:v>1.9350679516898126E-3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'6MSynthDepo_allScenario'!$BJ$6:$BJ$135</c:f>
              <c:numCache>
                <c:formatCode>0.0000%</c:formatCode>
                <c:ptCount val="130"/>
                <c:pt idx="0">
                  <c:v>1.6722917138015901E-3</c:v>
                </c:pt>
                <c:pt idx="1">
                  <c:v>1.6743234350167792E-3</c:v>
                </c:pt>
                <c:pt idx="2">
                  <c:v>1.6803768031791713E-3</c:v>
                </c:pt>
                <c:pt idx="3">
                  <c:v>1.6823806607389104E-3</c:v>
                </c:pt>
                <c:pt idx="4">
                  <c:v>1.6843775523847869E-3</c:v>
                </c:pt>
                <c:pt idx="5">
                  <c:v>1.6863674781168007E-3</c:v>
                </c:pt>
                <c:pt idx="6">
                  <c:v>1.6883504379349521E-3</c:v>
                </c:pt>
                <c:pt idx="7">
                  <c:v>1.6942575219062311E-3</c:v>
                </c:pt>
                <c:pt idx="8">
                  <c:v>1.6962126180689323E-3</c:v>
                </c:pt>
                <c:pt idx="9">
                  <c:v>1.6981607483177712E-3</c:v>
                </c:pt>
                <c:pt idx="10">
                  <c:v>1.7001019126527475E-3</c:v>
                </c:pt>
                <c:pt idx="11">
                  <c:v>1.7020361110738611E-3</c:v>
                </c:pt>
                <c:pt idx="12">
                  <c:v>1.7077969108540269E-3</c:v>
                </c:pt>
                <c:pt idx="13">
                  <c:v>1.7097032456196907E-3</c:v>
                </c:pt>
                <c:pt idx="14">
                  <c:v>1.7116026144714915E-3</c:v>
                </c:pt>
                <c:pt idx="15">
                  <c:v>1.7134950174094302E-3</c:v>
                </c:pt>
                <c:pt idx="16">
                  <c:v>1.7153804544335063E-3</c:v>
                </c:pt>
                <c:pt idx="17">
                  <c:v>1.720994970022559E-3</c:v>
                </c:pt>
                <c:pt idx="18">
                  <c:v>1.7228525433911847E-3</c:v>
                </c:pt>
                <c:pt idx="19">
                  <c:v>1.7247031508459481E-3</c:v>
                </c:pt>
                <c:pt idx="20">
                  <c:v>1.7265467923868489E-3</c:v>
                </c:pt>
                <c:pt idx="21">
                  <c:v>1.7283834680138872E-3</c:v>
                </c:pt>
                <c:pt idx="22">
                  <c:v>1.7338516994118269E-3</c:v>
                </c:pt>
                <c:pt idx="23">
                  <c:v>1.735660511383415E-3</c:v>
                </c:pt>
                <c:pt idx="24">
                  <c:v>1.7374623574411407E-3</c:v>
                </c:pt>
                <c:pt idx="25">
                  <c:v>1.7392572375850037E-3</c:v>
                </c:pt>
                <c:pt idx="26">
                  <c:v>1.7410451518150042E-3</c:v>
                </c:pt>
                <c:pt idx="27">
                  <c:v>1.7463670990218306E-3</c:v>
                </c:pt>
                <c:pt idx="28">
                  <c:v>1.7481271495963812E-3</c:v>
                </c:pt>
                <c:pt idx="29">
                  <c:v>1.7498802342570694E-3</c:v>
                </c:pt>
                <c:pt idx="30">
                  <c:v>1.7516263530038946E-3</c:v>
                </c:pt>
                <c:pt idx="31">
                  <c:v>1.7533655058368574E-3</c:v>
                </c:pt>
                <c:pt idx="32">
                  <c:v>1.7585411688525708E-3</c:v>
                </c:pt>
                <c:pt idx="33">
                  <c:v>1.7602524580300834E-3</c:v>
                </c:pt>
                <c:pt idx="34">
                  <c:v>1.7619567812937338E-3</c:v>
                </c:pt>
                <c:pt idx="35">
                  <c:v>1.7636541386435213E-3</c:v>
                </c:pt>
                <c:pt idx="36">
                  <c:v>1.7653445300794466E-3</c:v>
                </c:pt>
                <c:pt idx="37">
                  <c:v>1.7703739089040469E-3</c:v>
                </c:pt>
                <c:pt idx="38">
                  <c:v>1.7720364366845219E-3</c:v>
                </c:pt>
                <c:pt idx="39">
                  <c:v>1.7736919985511343E-3</c:v>
                </c:pt>
                <c:pt idx="40">
                  <c:v>1.7753405945038843E-3</c:v>
                </c:pt>
                <c:pt idx="41">
                  <c:v>1.7769822245427716E-3</c:v>
                </c:pt>
                <c:pt idx="42">
                  <c:v>1.7818653191762589E-3</c:v>
                </c:pt>
                <c:pt idx="43">
                  <c:v>1.7834790855596962E-3</c:v>
                </c:pt>
                <c:pt idx="44">
                  <c:v>1.7850858860292711E-3</c:v>
                </c:pt>
                <c:pt idx="45">
                  <c:v>1.7866857205849833E-3</c:v>
                </c:pt>
                <c:pt idx="46">
                  <c:v>1.788278589226833E-3</c:v>
                </c:pt>
                <c:pt idx="47">
                  <c:v>1.793015399669207E-3</c:v>
                </c:pt>
                <c:pt idx="48">
                  <c:v>1.7945804046556066E-3</c:v>
                </c:pt>
                <c:pt idx="49">
                  <c:v>1.7961384437281437E-3</c:v>
                </c:pt>
                <c:pt idx="50">
                  <c:v>1.7976895168868184E-3</c:v>
                </c:pt>
                <c:pt idx="51">
                  <c:v>1.7992336241316302E-3</c:v>
                </c:pt>
                <c:pt idx="52">
                  <c:v>1.8038241503828911E-3</c:v>
                </c:pt>
                <c:pt idx="53">
                  <c:v>1.8053403939722532E-3</c:v>
                </c:pt>
                <c:pt idx="54">
                  <c:v>1.8068496716477523E-3</c:v>
                </c:pt>
                <c:pt idx="55">
                  <c:v>1.8083519834093892E-3</c:v>
                </c:pt>
                <c:pt idx="56">
                  <c:v>1.8098473292571635E-3</c:v>
                </c:pt>
                <c:pt idx="57">
                  <c:v>1.8142915713173112E-3</c:v>
                </c:pt>
                <c:pt idx="58">
                  <c:v>1.8157590535096354E-3</c:v>
                </c:pt>
                <c:pt idx="59">
                  <c:v>1.8172195697880973E-3</c:v>
                </c:pt>
                <c:pt idx="60">
                  <c:v>1.8186731201526962E-3</c:v>
                </c:pt>
                <c:pt idx="61">
                  <c:v>1.8201197046034329E-3</c:v>
                </c:pt>
                <c:pt idx="62">
                  <c:v>1.8244176624724676E-3</c:v>
                </c:pt>
                <c:pt idx="63">
                  <c:v>1.8258363832677539E-3</c:v>
                </c:pt>
                <c:pt idx="64">
                  <c:v>1.8272481381491779E-3</c:v>
                </c:pt>
                <c:pt idx="65">
                  <c:v>1.8286529271167393E-3</c:v>
                </c:pt>
                <c:pt idx="66">
                  <c:v>1.8300507501704381E-3</c:v>
                </c:pt>
                <c:pt idx="67">
                  <c:v>1.8342024238483597E-3</c:v>
                </c:pt>
                <c:pt idx="68">
                  <c:v>1.8355723832466087E-3</c:v>
                </c:pt>
                <c:pt idx="69">
                  <c:v>1.8369353767309948E-3</c:v>
                </c:pt>
                <c:pt idx="70">
                  <c:v>1.8382914043015184E-3</c:v>
                </c:pt>
                <c:pt idx="71">
                  <c:v>1.8396404659581798E-3</c:v>
                </c:pt>
                <c:pt idx="72">
                  <c:v>1.8436458554449882E-3</c:v>
                </c:pt>
                <c:pt idx="73">
                  <c:v>1.8449670534461992E-3</c:v>
                </c:pt>
                <c:pt idx="74">
                  <c:v>1.8462812855335477E-3</c:v>
                </c:pt>
                <c:pt idx="75">
                  <c:v>1.8475885517070336E-3</c:v>
                </c:pt>
                <c:pt idx="76">
                  <c:v>1.8488888519666571E-3</c:v>
                </c:pt>
                <c:pt idx="77">
                  <c:v>1.8527479572623524E-3</c:v>
                </c:pt>
                <c:pt idx="78">
                  <c:v>1.8540203938665256E-3</c:v>
                </c:pt>
                <c:pt idx="79">
                  <c:v>1.8552858645568364E-3</c:v>
                </c:pt>
                <c:pt idx="80">
                  <c:v>1.8565443693332848E-3</c:v>
                </c:pt>
                <c:pt idx="81">
                  <c:v>1.8577959081958705E-3</c:v>
                </c:pt>
                <c:pt idx="82">
                  <c:v>1.8615087293004527E-3</c:v>
                </c:pt>
                <c:pt idx="83">
                  <c:v>1.8627324045075884E-3</c:v>
                </c:pt>
                <c:pt idx="84">
                  <c:v>1.8639491138008615E-3</c:v>
                </c:pt>
                <c:pt idx="85">
                  <c:v>1.8651588571802721E-3</c:v>
                </c:pt>
                <c:pt idx="86">
                  <c:v>1.86636163464582E-3</c:v>
                </c:pt>
                <c:pt idx="87">
                  <c:v>1.869928171559289E-3</c:v>
                </c:pt>
                <c:pt idx="88">
                  <c:v>1.871103085369387E-3</c:v>
                </c:pt>
                <c:pt idx="89">
                  <c:v>1.8722710332656225E-3</c:v>
                </c:pt>
                <c:pt idx="90">
                  <c:v>1.8734320152479953E-3</c:v>
                </c:pt>
                <c:pt idx="91">
                  <c:v>1.8745860313165057E-3</c:v>
                </c:pt>
                <c:pt idx="92">
                  <c:v>1.8780062840388616E-3</c:v>
                </c:pt>
                <c:pt idx="93">
                  <c:v>1.8791324364519219E-3</c:v>
                </c:pt>
                <c:pt idx="94">
                  <c:v>1.8802516229511194E-3</c:v>
                </c:pt>
                <c:pt idx="95">
                  <c:v>1.8813638435364547E-3</c:v>
                </c:pt>
                <c:pt idx="96">
                  <c:v>1.8824690982079274E-3</c:v>
                </c:pt>
                <c:pt idx="97">
                  <c:v>1.88574306673917E-3</c:v>
                </c:pt>
                <c:pt idx="98">
                  <c:v>1.8868204577551925E-3</c:v>
                </c:pt>
                <c:pt idx="99">
                  <c:v>1.8878908828573525E-3</c:v>
                </c:pt>
                <c:pt idx="100">
                  <c:v>1.88895434204565E-3</c:v>
                </c:pt>
                <c:pt idx="101">
                  <c:v>1.8900108353200849E-3</c:v>
                </c:pt>
                <c:pt idx="102">
                  <c:v>1.8931385196602145E-3</c:v>
                </c:pt>
                <c:pt idx="103">
                  <c:v>1.8941671492791992E-3</c:v>
                </c:pt>
                <c:pt idx="104">
                  <c:v>1.8951888129843215E-3</c:v>
                </c:pt>
                <c:pt idx="105">
                  <c:v>1.8962035107755815E-3</c:v>
                </c:pt>
                <c:pt idx="106">
                  <c:v>1.8972112426529784E-3</c:v>
                </c:pt>
                <c:pt idx="107">
                  <c:v>1.900192642801995E-3</c:v>
                </c:pt>
                <c:pt idx="108">
                  <c:v>1.9011725110239419E-3</c:v>
                </c:pt>
                <c:pt idx="109">
                  <c:v>1.9021454133320269E-3</c:v>
                </c:pt>
                <c:pt idx="110">
                  <c:v>1.9031113497262487E-3</c:v>
                </c:pt>
                <c:pt idx="111">
                  <c:v>1.9040703202066081E-3</c:v>
                </c:pt>
                <c:pt idx="112">
                  <c:v>1.9069054361645116E-3</c:v>
                </c:pt>
                <c:pt idx="113">
                  <c:v>1.9078365429894212E-3</c:v>
                </c:pt>
                <c:pt idx="114">
                  <c:v>1.908760683900468E-3</c:v>
                </c:pt>
                <c:pt idx="115">
                  <c:v>1.909677858897652E-3</c:v>
                </c:pt>
                <c:pt idx="116">
                  <c:v>1.9105880679809739E-3</c:v>
                </c:pt>
                <c:pt idx="117">
                  <c:v>1.9132768997477641E-3</c:v>
                </c:pt>
                <c:pt idx="118">
                  <c:v>1.914159245175636E-3</c:v>
                </c:pt>
                <c:pt idx="119">
                  <c:v>1.915034624689645E-3</c:v>
                </c:pt>
                <c:pt idx="120">
                  <c:v>1.9159030382897915E-3</c:v>
                </c:pt>
                <c:pt idx="121">
                  <c:v>1.9167644859760758E-3</c:v>
                </c:pt>
                <c:pt idx="122">
                  <c:v>1.919307033551753E-3</c:v>
                </c:pt>
                <c:pt idx="123">
                  <c:v>1.9201406175825869E-3</c:v>
                </c:pt>
                <c:pt idx="124">
                  <c:v>1.9209672356995582E-3</c:v>
                </c:pt>
                <c:pt idx="125">
                  <c:v>1.921786887902667E-3</c:v>
                </c:pt>
                <c:pt idx="126">
                  <c:v>1.9225995741919137E-3</c:v>
                </c:pt>
                <c:pt idx="127">
                  <c:v>1.9249958375764777E-3</c:v>
                </c:pt>
                <c:pt idx="128">
                  <c:v>1.9257806602102738E-3</c:v>
                </c:pt>
                <c:pt idx="129">
                  <c:v>1.9265585169302075E-3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'6MSynthDepo_allScenario'!$BK$6:$BK$135</c:f>
              <c:numCache>
                <c:formatCode>0.0000%</c:formatCode>
                <c:ptCount val="130"/>
                <c:pt idx="0">
                  <c:v>1.7288298059133511E-3</c:v>
                </c:pt>
                <c:pt idx="1">
                  <c:v>1.7298983616318472E-3</c:v>
                </c:pt>
                <c:pt idx="2">
                  <c:v>1.7331040287873359E-3</c:v>
                </c:pt>
                <c:pt idx="3">
                  <c:v>1.7341725845058319E-3</c:v>
                </c:pt>
                <c:pt idx="4">
                  <c:v>1.7352411402243282E-3</c:v>
                </c:pt>
                <c:pt idx="5">
                  <c:v>1.7363096959428243E-3</c:v>
                </c:pt>
                <c:pt idx="6">
                  <c:v>1.7373782516613206E-3</c:v>
                </c:pt>
                <c:pt idx="7">
                  <c:v>1.7405839188168091E-3</c:v>
                </c:pt>
                <c:pt idx="8">
                  <c:v>1.7416524745353054E-3</c:v>
                </c:pt>
                <c:pt idx="9">
                  <c:v>1.7427210302538014E-3</c:v>
                </c:pt>
                <c:pt idx="10">
                  <c:v>1.7437895859722977E-3</c:v>
                </c:pt>
                <c:pt idx="11">
                  <c:v>1.7448581416907938E-3</c:v>
                </c:pt>
                <c:pt idx="12">
                  <c:v>1.7480638088462823E-3</c:v>
                </c:pt>
                <c:pt idx="13">
                  <c:v>1.7491323645647786E-3</c:v>
                </c:pt>
                <c:pt idx="14">
                  <c:v>1.7502009202832746E-3</c:v>
                </c:pt>
                <c:pt idx="15">
                  <c:v>1.7512694760017709E-3</c:v>
                </c:pt>
                <c:pt idx="16">
                  <c:v>1.752338031720267E-3</c:v>
                </c:pt>
                <c:pt idx="17">
                  <c:v>1.7555436988757557E-3</c:v>
                </c:pt>
                <c:pt idx="18">
                  <c:v>1.7566122545942518E-3</c:v>
                </c:pt>
                <c:pt idx="19">
                  <c:v>1.7576808103127481E-3</c:v>
                </c:pt>
                <c:pt idx="20">
                  <c:v>1.7587493660312441E-3</c:v>
                </c:pt>
                <c:pt idx="21">
                  <c:v>1.7598179217497404E-3</c:v>
                </c:pt>
                <c:pt idx="22">
                  <c:v>1.7630235889052289E-3</c:v>
                </c:pt>
                <c:pt idx="23">
                  <c:v>1.764092144623725E-3</c:v>
                </c:pt>
                <c:pt idx="24">
                  <c:v>1.7651607003422213E-3</c:v>
                </c:pt>
                <c:pt idx="25">
                  <c:v>1.7662292560607174E-3</c:v>
                </c:pt>
                <c:pt idx="26">
                  <c:v>1.7672978117792136E-3</c:v>
                </c:pt>
                <c:pt idx="27">
                  <c:v>1.7705034789347021E-3</c:v>
                </c:pt>
                <c:pt idx="28">
                  <c:v>1.7715720346531984E-3</c:v>
                </c:pt>
                <c:pt idx="29">
                  <c:v>1.7726405903716945E-3</c:v>
                </c:pt>
                <c:pt idx="30">
                  <c:v>1.7737091460901908E-3</c:v>
                </c:pt>
                <c:pt idx="31">
                  <c:v>1.7747777018086869E-3</c:v>
                </c:pt>
                <c:pt idx="32">
                  <c:v>1.7779833689641753E-3</c:v>
                </c:pt>
                <c:pt idx="33">
                  <c:v>1.7790519246826716E-3</c:v>
                </c:pt>
                <c:pt idx="34">
                  <c:v>1.7801204804011677E-3</c:v>
                </c:pt>
                <c:pt idx="35">
                  <c:v>1.781189036119664E-3</c:v>
                </c:pt>
                <c:pt idx="36">
                  <c:v>1.7822575918381601E-3</c:v>
                </c:pt>
                <c:pt idx="37">
                  <c:v>1.7854632589936487E-3</c:v>
                </c:pt>
                <c:pt idx="38">
                  <c:v>1.7865318147121448E-3</c:v>
                </c:pt>
                <c:pt idx="39">
                  <c:v>1.7876003704306411E-3</c:v>
                </c:pt>
                <c:pt idx="40">
                  <c:v>1.7886689261491372E-3</c:v>
                </c:pt>
                <c:pt idx="41">
                  <c:v>1.7897374818676335E-3</c:v>
                </c:pt>
                <c:pt idx="42">
                  <c:v>1.7929431490231219E-3</c:v>
                </c:pt>
                <c:pt idx="43">
                  <c:v>1.7940117047416182E-3</c:v>
                </c:pt>
                <c:pt idx="44">
                  <c:v>1.7950802604601143E-3</c:v>
                </c:pt>
                <c:pt idx="45">
                  <c:v>1.7961488161786104E-3</c:v>
                </c:pt>
                <c:pt idx="46">
                  <c:v>1.7972173718971067E-3</c:v>
                </c:pt>
                <c:pt idx="47">
                  <c:v>1.8004230390525951E-3</c:v>
                </c:pt>
                <c:pt idx="48">
                  <c:v>1.8014915947710914E-3</c:v>
                </c:pt>
                <c:pt idx="49">
                  <c:v>1.8025601504895875E-3</c:v>
                </c:pt>
                <c:pt idx="50">
                  <c:v>1.8036287062080838E-3</c:v>
                </c:pt>
                <c:pt idx="51">
                  <c:v>1.8046972619265799E-3</c:v>
                </c:pt>
                <c:pt idx="52">
                  <c:v>1.8079029290820683E-3</c:v>
                </c:pt>
                <c:pt idx="53">
                  <c:v>1.8089714848005646E-3</c:v>
                </c:pt>
                <c:pt idx="54">
                  <c:v>1.8100400405190607E-3</c:v>
                </c:pt>
                <c:pt idx="55">
                  <c:v>1.811108596237557E-3</c:v>
                </c:pt>
                <c:pt idx="56">
                  <c:v>1.8121771519560531E-3</c:v>
                </c:pt>
                <c:pt idx="57">
                  <c:v>1.8153828191115418E-3</c:v>
                </c:pt>
                <c:pt idx="58">
                  <c:v>1.8164513748300378E-3</c:v>
                </c:pt>
                <c:pt idx="59">
                  <c:v>1.8175199305485341E-3</c:v>
                </c:pt>
                <c:pt idx="60">
                  <c:v>1.8185884862670302E-3</c:v>
                </c:pt>
                <c:pt idx="61">
                  <c:v>1.8196570419855265E-3</c:v>
                </c:pt>
                <c:pt idx="62">
                  <c:v>1.822862709141015E-3</c:v>
                </c:pt>
                <c:pt idx="63">
                  <c:v>1.8239312648595113E-3</c:v>
                </c:pt>
                <c:pt idx="64">
                  <c:v>1.8249998205780073E-3</c:v>
                </c:pt>
                <c:pt idx="65">
                  <c:v>1.8260683762965034E-3</c:v>
                </c:pt>
                <c:pt idx="66">
                  <c:v>1.8271369320149997E-3</c:v>
                </c:pt>
                <c:pt idx="67">
                  <c:v>1.8303425991704882E-3</c:v>
                </c:pt>
                <c:pt idx="68">
                  <c:v>1.8314111548889845E-3</c:v>
                </c:pt>
                <c:pt idx="69">
                  <c:v>1.8324797106074805E-3</c:v>
                </c:pt>
                <c:pt idx="70">
                  <c:v>1.8335482663259768E-3</c:v>
                </c:pt>
                <c:pt idx="71">
                  <c:v>1.8346168220444729E-3</c:v>
                </c:pt>
                <c:pt idx="72">
                  <c:v>1.8378224891999616E-3</c:v>
                </c:pt>
                <c:pt idx="73">
                  <c:v>1.8388910449184577E-3</c:v>
                </c:pt>
                <c:pt idx="74">
                  <c:v>1.8399596006369538E-3</c:v>
                </c:pt>
                <c:pt idx="75">
                  <c:v>1.8410281563554501E-3</c:v>
                </c:pt>
                <c:pt idx="76">
                  <c:v>1.8420967120739463E-3</c:v>
                </c:pt>
                <c:pt idx="77">
                  <c:v>1.8453023792294348E-3</c:v>
                </c:pt>
                <c:pt idx="78">
                  <c:v>1.8463709349479309E-3</c:v>
                </c:pt>
                <c:pt idx="79">
                  <c:v>1.8474394906664272E-3</c:v>
                </c:pt>
                <c:pt idx="80">
                  <c:v>1.8485080463849233E-3</c:v>
                </c:pt>
                <c:pt idx="81">
                  <c:v>1.8495766021034196E-3</c:v>
                </c:pt>
                <c:pt idx="82">
                  <c:v>1.852782269258908E-3</c:v>
                </c:pt>
                <c:pt idx="83">
                  <c:v>1.8538508249774043E-3</c:v>
                </c:pt>
                <c:pt idx="84">
                  <c:v>1.8549193806959004E-3</c:v>
                </c:pt>
                <c:pt idx="85">
                  <c:v>1.8559879364143965E-3</c:v>
                </c:pt>
                <c:pt idx="86">
                  <c:v>1.8570564921328928E-3</c:v>
                </c:pt>
                <c:pt idx="87">
                  <c:v>1.8602621592883812E-3</c:v>
                </c:pt>
                <c:pt idx="88">
                  <c:v>1.8613307150068775E-3</c:v>
                </c:pt>
                <c:pt idx="89">
                  <c:v>1.8623992707253736E-3</c:v>
                </c:pt>
                <c:pt idx="90">
                  <c:v>1.8634678264438699E-3</c:v>
                </c:pt>
                <c:pt idx="91">
                  <c:v>1.864536382162366E-3</c:v>
                </c:pt>
                <c:pt idx="92">
                  <c:v>1.8677420493178546E-3</c:v>
                </c:pt>
                <c:pt idx="93">
                  <c:v>1.8688106050363507E-3</c:v>
                </c:pt>
                <c:pt idx="94">
                  <c:v>1.869879160754847E-3</c:v>
                </c:pt>
                <c:pt idx="95">
                  <c:v>1.8709477164733431E-3</c:v>
                </c:pt>
                <c:pt idx="96">
                  <c:v>1.8720162721918392E-3</c:v>
                </c:pt>
                <c:pt idx="97">
                  <c:v>1.8752219393473278E-3</c:v>
                </c:pt>
                <c:pt idx="98">
                  <c:v>1.8762904950658239E-3</c:v>
                </c:pt>
                <c:pt idx="99">
                  <c:v>1.8773590507843202E-3</c:v>
                </c:pt>
                <c:pt idx="100">
                  <c:v>1.8784276065028163E-3</c:v>
                </c:pt>
                <c:pt idx="101">
                  <c:v>1.8794961622213126E-3</c:v>
                </c:pt>
                <c:pt idx="102">
                  <c:v>1.882701829376801E-3</c:v>
                </c:pt>
                <c:pt idx="103">
                  <c:v>1.8837703850952973E-3</c:v>
                </c:pt>
                <c:pt idx="104">
                  <c:v>1.8848389408137934E-3</c:v>
                </c:pt>
                <c:pt idx="105">
                  <c:v>1.8859074965322897E-3</c:v>
                </c:pt>
                <c:pt idx="106">
                  <c:v>1.8869760522507858E-3</c:v>
                </c:pt>
                <c:pt idx="107">
                  <c:v>1.8901817194062745E-3</c:v>
                </c:pt>
                <c:pt idx="108">
                  <c:v>1.8912502751247705E-3</c:v>
                </c:pt>
                <c:pt idx="109">
                  <c:v>1.8923188308432666E-3</c:v>
                </c:pt>
                <c:pt idx="110">
                  <c:v>1.8933873865617629E-3</c:v>
                </c:pt>
                <c:pt idx="111">
                  <c:v>1.894455942280259E-3</c:v>
                </c:pt>
                <c:pt idx="112">
                  <c:v>1.8976616094357477E-3</c:v>
                </c:pt>
                <c:pt idx="113">
                  <c:v>1.8987301651542437E-3</c:v>
                </c:pt>
                <c:pt idx="114">
                  <c:v>1.89979872087274E-3</c:v>
                </c:pt>
                <c:pt idx="115">
                  <c:v>1.9008672765912361E-3</c:v>
                </c:pt>
                <c:pt idx="116">
                  <c:v>1.9019358323097324E-3</c:v>
                </c:pt>
                <c:pt idx="117">
                  <c:v>1.9051414994652209E-3</c:v>
                </c:pt>
                <c:pt idx="118">
                  <c:v>1.9062100551837172E-3</c:v>
                </c:pt>
                <c:pt idx="119">
                  <c:v>1.9072786109022132E-3</c:v>
                </c:pt>
                <c:pt idx="120">
                  <c:v>1.9083471666207093E-3</c:v>
                </c:pt>
                <c:pt idx="121">
                  <c:v>1.9094157223392056E-3</c:v>
                </c:pt>
                <c:pt idx="122">
                  <c:v>1.9126213894946941E-3</c:v>
                </c:pt>
                <c:pt idx="123">
                  <c:v>1.9136899452131904E-3</c:v>
                </c:pt>
                <c:pt idx="124">
                  <c:v>1.9147585009316865E-3</c:v>
                </c:pt>
                <c:pt idx="125">
                  <c:v>1.9158270566501827E-3</c:v>
                </c:pt>
                <c:pt idx="126">
                  <c:v>1.9168956123686788E-3</c:v>
                </c:pt>
                <c:pt idx="127">
                  <c:v>1.9201012795241673E-3</c:v>
                </c:pt>
                <c:pt idx="128">
                  <c:v>1.9211698352426636E-3</c:v>
                </c:pt>
                <c:pt idx="129">
                  <c:v>1.9222383909611599E-3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'6MSynthDepo_allScenario'!$BL$6:$BL$135</c:f>
              <c:numCache>
                <c:formatCode>0.0000%</c:formatCode>
                <c:ptCount val="130"/>
                <c:pt idx="0">
                  <c:v>1.5779617406501134E-3</c:v>
                </c:pt>
                <c:pt idx="1">
                  <c:v>1.5816004381895806E-3</c:v>
                </c:pt>
                <c:pt idx="2">
                  <c:v>1.5924050023950515E-3</c:v>
                </c:pt>
                <c:pt idx="3">
                  <c:v>1.5959693476592313E-3</c:v>
                </c:pt>
                <c:pt idx="4">
                  <c:v>1.5995151048545893E-3</c:v>
                </c:pt>
                <c:pt idx="5">
                  <c:v>1.6030422739811254E-3</c:v>
                </c:pt>
                <c:pt idx="6">
                  <c:v>1.6065508550388399E-3</c:v>
                </c:pt>
                <c:pt idx="7">
                  <c:v>1.6169650697990512E-3</c:v>
                </c:pt>
                <c:pt idx="8">
                  <c:v>1.6203992985814779E-3</c:v>
                </c:pt>
                <c:pt idx="9">
                  <c:v>1.623814939295083E-3</c:v>
                </c:pt>
                <c:pt idx="10">
                  <c:v>1.6272119919398661E-3</c:v>
                </c:pt>
                <c:pt idx="11">
                  <c:v>1.6305904565158272E-3</c:v>
                </c:pt>
                <c:pt idx="12">
                  <c:v>1.6406143218307798E-3</c:v>
                </c:pt>
                <c:pt idx="13">
                  <c:v>1.6439184341314535E-3</c:v>
                </c:pt>
                <c:pt idx="14">
                  <c:v>1.6472039583633052E-3</c:v>
                </c:pt>
                <c:pt idx="15">
                  <c:v>1.6504708945263354E-3</c:v>
                </c:pt>
                <c:pt idx="16">
                  <c:v>1.6537192426205433E-3</c:v>
                </c:pt>
                <c:pt idx="17">
                  <c:v>1.6633527584902369E-3</c:v>
                </c:pt>
                <c:pt idx="18">
                  <c:v>1.6665267543091574E-3</c:v>
                </c:pt>
                <c:pt idx="19">
                  <c:v>1.6696821620592562E-3</c:v>
                </c:pt>
                <c:pt idx="20">
                  <c:v>1.6728189817405334E-3</c:v>
                </c:pt>
                <c:pt idx="21">
                  <c:v>1.6759372133529884E-3</c:v>
                </c:pt>
                <c:pt idx="22">
                  <c:v>1.6851803797774225E-3</c:v>
                </c:pt>
                <c:pt idx="23">
                  <c:v>1.6882242591145903E-3</c:v>
                </c:pt>
                <c:pt idx="24">
                  <c:v>1.691249550382936E-3</c:v>
                </c:pt>
                <c:pt idx="25">
                  <c:v>1.6942562535824598E-3</c:v>
                </c:pt>
                <c:pt idx="26">
                  <c:v>1.6972443687131619E-3</c:v>
                </c:pt>
                <c:pt idx="27">
                  <c:v>1.7060971856923369E-3</c:v>
                </c:pt>
                <c:pt idx="28">
                  <c:v>1.7090109485477516E-3</c:v>
                </c:pt>
                <c:pt idx="29">
                  <c:v>1.7119061233343443E-3</c:v>
                </c:pt>
                <c:pt idx="30">
                  <c:v>1.714782710052115E-3</c:v>
                </c:pt>
                <c:pt idx="31">
                  <c:v>1.7176407087010643E-3</c:v>
                </c:pt>
                <c:pt idx="32">
                  <c:v>1.7261031762349798E-3</c:v>
                </c:pt>
                <c:pt idx="33">
                  <c:v>1.7288868226086414E-3</c:v>
                </c:pt>
                <c:pt idx="34">
                  <c:v>1.7316518809134813E-3</c:v>
                </c:pt>
                <c:pt idx="35">
                  <c:v>1.7343983511494991E-3</c:v>
                </c:pt>
                <c:pt idx="36">
                  <c:v>1.7371262333166948E-3</c:v>
                </c:pt>
                <c:pt idx="37">
                  <c:v>1.7451983514053518E-3</c:v>
                </c:pt>
                <c:pt idx="38">
                  <c:v>1.7478518812972601E-3</c:v>
                </c:pt>
                <c:pt idx="39">
                  <c:v>1.7504868231203467E-3</c:v>
                </c:pt>
                <c:pt idx="40">
                  <c:v>1.7531031768746115E-3</c:v>
                </c:pt>
                <c:pt idx="41">
                  <c:v>1.7557009425600543E-3</c:v>
                </c:pt>
                <c:pt idx="42">
                  <c:v>1.763382711203452E-3</c:v>
                </c:pt>
                <c:pt idx="43">
                  <c:v>1.7659061246136072E-3</c:v>
                </c:pt>
                <c:pt idx="44">
                  <c:v>1.7684109499549409E-3</c:v>
                </c:pt>
                <c:pt idx="45">
                  <c:v>1.7708971872274527E-3</c:v>
                </c:pt>
                <c:pt idx="46">
                  <c:v>1.7733648364311426E-3</c:v>
                </c:pt>
                <c:pt idx="47">
                  <c:v>1.7806562556292808E-3</c:v>
                </c:pt>
                <c:pt idx="48">
                  <c:v>1.7830495525576833E-3</c:v>
                </c:pt>
                <c:pt idx="49">
                  <c:v>1.7854242614172638E-3</c:v>
                </c:pt>
                <c:pt idx="50">
                  <c:v>1.7877803822080225E-3</c:v>
                </c:pt>
                <c:pt idx="51">
                  <c:v>1.7901179149299592E-3</c:v>
                </c:pt>
                <c:pt idx="52">
                  <c:v>1.7970189846828386E-3</c:v>
                </c:pt>
                <c:pt idx="53">
                  <c:v>1.7992821651294879E-3</c:v>
                </c:pt>
                <c:pt idx="54">
                  <c:v>1.8015267575073152E-3</c:v>
                </c:pt>
                <c:pt idx="55">
                  <c:v>1.8037527618163208E-3</c:v>
                </c:pt>
                <c:pt idx="56">
                  <c:v>1.8059601780565048E-3</c:v>
                </c:pt>
                <c:pt idx="57">
                  <c:v>1.8124708983641247E-3</c:v>
                </c:pt>
                <c:pt idx="58">
                  <c:v>1.8146039623290209E-3</c:v>
                </c:pt>
                <c:pt idx="59">
                  <c:v>1.8167184382250955E-3</c:v>
                </c:pt>
                <c:pt idx="60">
                  <c:v>1.8188143260523481E-3</c:v>
                </c:pt>
                <c:pt idx="61">
                  <c:v>1.8208916258107787E-3</c:v>
                </c:pt>
                <c:pt idx="62">
                  <c:v>1.8270119966731398E-3</c:v>
                </c:pt>
                <c:pt idx="63">
                  <c:v>1.829014944156283E-3</c:v>
                </c:pt>
                <c:pt idx="64">
                  <c:v>1.8309993035706042E-3</c:v>
                </c:pt>
                <c:pt idx="65">
                  <c:v>1.8329650749161037E-3</c:v>
                </c:pt>
                <c:pt idx="66">
                  <c:v>1.8349122581927813E-3</c:v>
                </c:pt>
                <c:pt idx="67">
                  <c:v>1.8406422796098832E-3</c:v>
                </c:pt>
                <c:pt idx="68">
                  <c:v>1.8425151106112733E-3</c:v>
                </c:pt>
                <c:pt idx="69">
                  <c:v>1.8443693535438416E-3</c:v>
                </c:pt>
                <c:pt idx="70">
                  <c:v>1.8462050084075883E-3</c:v>
                </c:pt>
                <c:pt idx="71">
                  <c:v>1.8480220752025128E-3</c:v>
                </c:pt>
                <c:pt idx="72">
                  <c:v>1.8533617471743554E-3</c:v>
                </c:pt>
                <c:pt idx="73">
                  <c:v>1.8551044616939925E-3</c:v>
                </c:pt>
                <c:pt idx="74">
                  <c:v>1.8568285881448076E-3</c:v>
                </c:pt>
                <c:pt idx="75">
                  <c:v>1.8585341265268012E-3</c:v>
                </c:pt>
                <c:pt idx="76">
                  <c:v>1.860221076839973E-3</c:v>
                </c:pt>
                <c:pt idx="77">
                  <c:v>1.8651703993665561E-3</c:v>
                </c:pt>
                <c:pt idx="78">
                  <c:v>1.8667829974044403E-3</c:v>
                </c:pt>
                <c:pt idx="79">
                  <c:v>1.8683770073735027E-3</c:v>
                </c:pt>
                <c:pt idx="80">
                  <c:v>1.8699524292737427E-3</c:v>
                </c:pt>
                <c:pt idx="81">
                  <c:v>1.8715092631051615E-3</c:v>
                </c:pt>
                <c:pt idx="82">
                  <c:v>1.8760682361864858E-3</c:v>
                </c:pt>
                <c:pt idx="83">
                  <c:v>1.8775507177426166E-3</c:v>
                </c:pt>
                <c:pt idx="84">
                  <c:v>1.8790146112299261E-3</c:v>
                </c:pt>
                <c:pt idx="85">
                  <c:v>1.8804599166484131E-3</c:v>
                </c:pt>
                <c:pt idx="86">
                  <c:v>1.8818866339980786E-3</c:v>
                </c:pt>
                <c:pt idx="87">
                  <c:v>1.8860552576341438E-3</c:v>
                </c:pt>
                <c:pt idx="88">
                  <c:v>1.8874076227085217E-3</c:v>
                </c:pt>
                <c:pt idx="89">
                  <c:v>1.888741399714078E-3</c:v>
                </c:pt>
                <c:pt idx="90">
                  <c:v>1.8900565886508123E-3</c:v>
                </c:pt>
                <c:pt idx="91">
                  <c:v>1.8913531895187244E-3</c:v>
                </c:pt>
                <c:pt idx="92">
                  <c:v>1.8951314637095306E-3</c:v>
                </c:pt>
                <c:pt idx="93">
                  <c:v>1.8963537123021558E-3</c:v>
                </c:pt>
                <c:pt idx="94">
                  <c:v>1.8975573728259585E-3</c:v>
                </c:pt>
                <c:pt idx="95">
                  <c:v>1.8987424452809399E-3</c:v>
                </c:pt>
                <c:pt idx="96">
                  <c:v>1.899908929667099E-3</c:v>
                </c:pt>
                <c:pt idx="97">
                  <c:v>1.903296854412646E-3</c:v>
                </c:pt>
                <c:pt idx="98">
                  <c:v>1.904388986523518E-3</c:v>
                </c:pt>
                <c:pt idx="99">
                  <c:v>1.9054625305655677E-3</c:v>
                </c:pt>
                <c:pt idx="100">
                  <c:v>1.9065174865387959E-3</c:v>
                </c:pt>
                <c:pt idx="101">
                  <c:v>1.9075538544432026E-3</c:v>
                </c:pt>
                <c:pt idx="102">
                  <c:v>1.9105514297434898E-3</c:v>
                </c:pt>
                <c:pt idx="103">
                  <c:v>1.9115134453726089E-3</c:v>
                </c:pt>
                <c:pt idx="104">
                  <c:v>1.912456872932906E-3</c:v>
                </c:pt>
                <c:pt idx="105">
                  <c:v>1.9133817124243808E-3</c:v>
                </c:pt>
                <c:pt idx="106">
                  <c:v>1.9142879638470343E-3</c:v>
                </c:pt>
                <c:pt idx="107">
                  <c:v>1.9168951897020629E-3</c:v>
                </c:pt>
                <c:pt idx="108">
                  <c:v>1.9177270888494284E-3</c:v>
                </c:pt>
                <c:pt idx="109">
                  <c:v>1.9185403999279725E-3</c:v>
                </c:pt>
                <c:pt idx="110">
                  <c:v>1.9193351229376944E-3</c:v>
                </c:pt>
                <c:pt idx="111">
                  <c:v>1.9201112578785947E-3</c:v>
                </c:pt>
                <c:pt idx="112">
                  <c:v>1.9223281342883641E-3</c:v>
                </c:pt>
                <c:pt idx="113">
                  <c:v>1.9230299169539767E-3</c:v>
                </c:pt>
                <c:pt idx="114">
                  <c:v>1.9237131115507676E-3</c:v>
                </c:pt>
                <c:pt idx="115">
                  <c:v>1.9243777180787368E-3</c:v>
                </c:pt>
                <c:pt idx="116">
                  <c:v>1.9250237365378837E-3</c:v>
                </c:pt>
                <c:pt idx="117">
                  <c:v>1.9268502635023941E-3</c:v>
                </c:pt>
                <c:pt idx="118">
                  <c:v>1.9274219296862539E-3</c:v>
                </c:pt>
                <c:pt idx="119">
                  <c:v>1.9279750078012915E-3</c:v>
                </c:pt>
                <c:pt idx="120">
                  <c:v>1.9285094978475077E-3</c:v>
                </c:pt>
                <c:pt idx="121">
                  <c:v>1.9290253998249015E-3</c:v>
                </c:pt>
                <c:pt idx="122">
                  <c:v>1.9304615773441526E-3</c:v>
                </c:pt>
                <c:pt idx="123">
                  <c:v>1.9309031270462595E-3</c:v>
                </c:pt>
                <c:pt idx="124">
                  <c:v>1.9313260886795439E-3</c:v>
                </c:pt>
                <c:pt idx="125">
                  <c:v>1.931730462244007E-3</c:v>
                </c:pt>
                <c:pt idx="126">
                  <c:v>1.9321162477396482E-3</c:v>
                </c:pt>
                <c:pt idx="127">
                  <c:v>1.9331620758136399E-3</c:v>
                </c:pt>
                <c:pt idx="128">
                  <c:v>1.9334735090339936E-3</c:v>
                </c:pt>
                <c:pt idx="129">
                  <c:v>1.9337663541855255E-3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844224"/>
        <c:axId val="651846016"/>
      </c:lineChart>
      <c:dateAx>
        <c:axId val="65184422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5184601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651846016"/>
        <c:scaling>
          <c:orientation val="minMax"/>
          <c:max val="2.2000000000000006E-3"/>
          <c:min val="1.2000000000000003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51844224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'6MSynthDepo_allScenario'!$BM$6:$BM$135</c:f>
              <c:numCache>
                <c:formatCode>0.0000%</c:formatCode>
                <c:ptCount val="130"/>
                <c:pt idx="0">
                  <c:v>1.7315852850430648E-3</c:v>
                </c:pt>
                <c:pt idx="1">
                  <c:v>1.732582649298981E-3</c:v>
                </c:pt>
                <c:pt idx="2">
                  <c:v>1.7355747420667294E-3</c:v>
                </c:pt>
                <c:pt idx="3">
                  <c:v>1.7365721063226456E-3</c:v>
                </c:pt>
                <c:pt idx="4">
                  <c:v>1.7375694705785618E-3</c:v>
                </c:pt>
                <c:pt idx="5">
                  <c:v>1.738566834834478E-3</c:v>
                </c:pt>
                <c:pt idx="6">
                  <c:v>1.7395641990903942E-3</c:v>
                </c:pt>
                <c:pt idx="7">
                  <c:v>1.7425562918581426E-3</c:v>
                </c:pt>
                <c:pt idx="8">
                  <c:v>1.7435536561140588E-3</c:v>
                </c:pt>
                <c:pt idx="9">
                  <c:v>1.744551020369975E-3</c:v>
                </c:pt>
                <c:pt idx="10">
                  <c:v>1.7455483846258912E-3</c:v>
                </c:pt>
                <c:pt idx="11">
                  <c:v>1.7465457488818074E-3</c:v>
                </c:pt>
                <c:pt idx="12">
                  <c:v>1.7495378416495558E-3</c:v>
                </c:pt>
                <c:pt idx="13">
                  <c:v>1.750535205905472E-3</c:v>
                </c:pt>
                <c:pt idx="14">
                  <c:v>1.7515325701613882E-3</c:v>
                </c:pt>
                <c:pt idx="15">
                  <c:v>1.7525299344173044E-3</c:v>
                </c:pt>
                <c:pt idx="16">
                  <c:v>1.7535272986732207E-3</c:v>
                </c:pt>
                <c:pt idx="17">
                  <c:v>1.7565193914409693E-3</c:v>
                </c:pt>
                <c:pt idx="18">
                  <c:v>1.7575167556968853E-3</c:v>
                </c:pt>
                <c:pt idx="19">
                  <c:v>1.7585141199528015E-3</c:v>
                </c:pt>
                <c:pt idx="20">
                  <c:v>1.7595114842087177E-3</c:v>
                </c:pt>
                <c:pt idx="21">
                  <c:v>1.7605088484646339E-3</c:v>
                </c:pt>
                <c:pt idx="22">
                  <c:v>1.7635009412323825E-3</c:v>
                </c:pt>
                <c:pt idx="23">
                  <c:v>1.7644983054882985E-3</c:v>
                </c:pt>
                <c:pt idx="24">
                  <c:v>1.7654956697442147E-3</c:v>
                </c:pt>
                <c:pt idx="25">
                  <c:v>1.7664930340001309E-3</c:v>
                </c:pt>
                <c:pt idx="26">
                  <c:v>1.7674903982560471E-3</c:v>
                </c:pt>
                <c:pt idx="27">
                  <c:v>1.7704824910237957E-3</c:v>
                </c:pt>
                <c:pt idx="28">
                  <c:v>1.7714798552797117E-3</c:v>
                </c:pt>
                <c:pt idx="29">
                  <c:v>1.7724772195356279E-3</c:v>
                </c:pt>
                <c:pt idx="30">
                  <c:v>1.7734745837915441E-3</c:v>
                </c:pt>
                <c:pt idx="31">
                  <c:v>1.7744719480474603E-3</c:v>
                </c:pt>
                <c:pt idx="32">
                  <c:v>1.7774640408152089E-3</c:v>
                </c:pt>
                <c:pt idx="33">
                  <c:v>1.7784614050711249E-3</c:v>
                </c:pt>
                <c:pt idx="34">
                  <c:v>1.7794587693270411E-3</c:v>
                </c:pt>
                <c:pt idx="35">
                  <c:v>1.7804561335829573E-3</c:v>
                </c:pt>
                <c:pt idx="36">
                  <c:v>1.7814534978388735E-3</c:v>
                </c:pt>
                <c:pt idx="37">
                  <c:v>1.7844455906066222E-3</c:v>
                </c:pt>
                <c:pt idx="38">
                  <c:v>1.7854429548625381E-3</c:v>
                </c:pt>
                <c:pt idx="39">
                  <c:v>1.7864403191184544E-3</c:v>
                </c:pt>
                <c:pt idx="40">
                  <c:v>1.7874376833743706E-3</c:v>
                </c:pt>
                <c:pt idx="41">
                  <c:v>1.7884350476302868E-3</c:v>
                </c:pt>
                <c:pt idx="42">
                  <c:v>1.7914271403980354E-3</c:v>
                </c:pt>
                <c:pt idx="43">
                  <c:v>1.7924245046539514E-3</c:v>
                </c:pt>
                <c:pt idx="44">
                  <c:v>1.7934218689098676E-3</c:v>
                </c:pt>
                <c:pt idx="45">
                  <c:v>1.7944192331657838E-3</c:v>
                </c:pt>
                <c:pt idx="46">
                  <c:v>1.7954165974217E-3</c:v>
                </c:pt>
                <c:pt idx="47">
                  <c:v>1.7984086901894486E-3</c:v>
                </c:pt>
                <c:pt idx="48">
                  <c:v>1.7994060544453646E-3</c:v>
                </c:pt>
                <c:pt idx="49">
                  <c:v>1.8004034187012808E-3</c:v>
                </c:pt>
                <c:pt idx="50">
                  <c:v>1.801400782957197E-3</c:v>
                </c:pt>
                <c:pt idx="51">
                  <c:v>1.8023981472131132E-3</c:v>
                </c:pt>
                <c:pt idx="52">
                  <c:v>1.8053902399808618E-3</c:v>
                </c:pt>
                <c:pt idx="53">
                  <c:v>1.8063876042367778E-3</c:v>
                </c:pt>
                <c:pt idx="54">
                  <c:v>1.807384968492694E-3</c:v>
                </c:pt>
                <c:pt idx="55">
                  <c:v>1.8083823327486102E-3</c:v>
                </c:pt>
                <c:pt idx="56">
                  <c:v>1.8093796970045264E-3</c:v>
                </c:pt>
                <c:pt idx="57">
                  <c:v>1.812371789772275E-3</c:v>
                </c:pt>
                <c:pt idx="58">
                  <c:v>1.8133691540281912E-3</c:v>
                </c:pt>
                <c:pt idx="59">
                  <c:v>1.8143665182841072E-3</c:v>
                </c:pt>
                <c:pt idx="60">
                  <c:v>1.8153638825400234E-3</c:v>
                </c:pt>
                <c:pt idx="61">
                  <c:v>1.8163612467959396E-3</c:v>
                </c:pt>
                <c:pt idx="62">
                  <c:v>1.8193533395636883E-3</c:v>
                </c:pt>
                <c:pt idx="63">
                  <c:v>1.8203507038196045E-3</c:v>
                </c:pt>
                <c:pt idx="64">
                  <c:v>1.8213480680755205E-3</c:v>
                </c:pt>
                <c:pt idx="65">
                  <c:v>1.8223454323314367E-3</c:v>
                </c:pt>
                <c:pt idx="66">
                  <c:v>1.8233427965873529E-3</c:v>
                </c:pt>
                <c:pt idx="67">
                  <c:v>1.8263348893551015E-3</c:v>
                </c:pt>
                <c:pt idx="68">
                  <c:v>1.8273322536110177E-3</c:v>
                </c:pt>
                <c:pt idx="69">
                  <c:v>1.8283296178669337E-3</c:v>
                </c:pt>
                <c:pt idx="70">
                  <c:v>1.8293269821228499E-3</c:v>
                </c:pt>
                <c:pt idx="71">
                  <c:v>1.8303243463787661E-3</c:v>
                </c:pt>
                <c:pt idx="72">
                  <c:v>1.8333164391465147E-3</c:v>
                </c:pt>
                <c:pt idx="73">
                  <c:v>1.8343138034024307E-3</c:v>
                </c:pt>
                <c:pt idx="74">
                  <c:v>1.8353111676583469E-3</c:v>
                </c:pt>
                <c:pt idx="75">
                  <c:v>1.8363085319142631E-3</c:v>
                </c:pt>
                <c:pt idx="76">
                  <c:v>1.8373058961701793E-3</c:v>
                </c:pt>
                <c:pt idx="77">
                  <c:v>1.8402979889379279E-3</c:v>
                </c:pt>
                <c:pt idx="78">
                  <c:v>1.8412953531938441E-3</c:v>
                </c:pt>
                <c:pt idx="79">
                  <c:v>1.8422927174497601E-3</c:v>
                </c:pt>
                <c:pt idx="80">
                  <c:v>1.8432900817056763E-3</c:v>
                </c:pt>
                <c:pt idx="81">
                  <c:v>1.8442874459615925E-3</c:v>
                </c:pt>
                <c:pt idx="82">
                  <c:v>1.8472795387293412E-3</c:v>
                </c:pt>
                <c:pt idx="83">
                  <c:v>1.8482769029852574E-3</c:v>
                </c:pt>
                <c:pt idx="84">
                  <c:v>1.8492742672411733E-3</c:v>
                </c:pt>
                <c:pt idx="85">
                  <c:v>1.8502716314970896E-3</c:v>
                </c:pt>
                <c:pt idx="86">
                  <c:v>1.8512689957530058E-3</c:v>
                </c:pt>
                <c:pt idx="87">
                  <c:v>1.8542610885207544E-3</c:v>
                </c:pt>
                <c:pt idx="88">
                  <c:v>1.8552584527766706E-3</c:v>
                </c:pt>
                <c:pt idx="89">
                  <c:v>1.8562558170325868E-3</c:v>
                </c:pt>
                <c:pt idx="90">
                  <c:v>1.8572531812885028E-3</c:v>
                </c:pt>
                <c:pt idx="91">
                  <c:v>1.858250545544419E-3</c:v>
                </c:pt>
                <c:pt idx="92">
                  <c:v>1.8612426383121676E-3</c:v>
                </c:pt>
                <c:pt idx="93">
                  <c:v>1.8622400025680838E-3</c:v>
                </c:pt>
                <c:pt idx="94">
                  <c:v>1.8632373668239998E-3</c:v>
                </c:pt>
                <c:pt idx="95">
                  <c:v>1.864234731079916E-3</c:v>
                </c:pt>
                <c:pt idx="96">
                  <c:v>1.8652320953358322E-3</c:v>
                </c:pt>
                <c:pt idx="97">
                  <c:v>1.8682241881035808E-3</c:v>
                </c:pt>
                <c:pt idx="98">
                  <c:v>1.869221552359497E-3</c:v>
                </c:pt>
                <c:pt idx="99">
                  <c:v>1.8702189166154132E-3</c:v>
                </c:pt>
                <c:pt idx="100">
                  <c:v>1.8712162808713292E-3</c:v>
                </c:pt>
                <c:pt idx="101">
                  <c:v>1.8722136451272454E-3</c:v>
                </c:pt>
                <c:pt idx="102">
                  <c:v>1.875205737894994E-3</c:v>
                </c:pt>
                <c:pt idx="103">
                  <c:v>1.8762031021509102E-3</c:v>
                </c:pt>
                <c:pt idx="104">
                  <c:v>1.8772004664068262E-3</c:v>
                </c:pt>
                <c:pt idx="105">
                  <c:v>1.8781978306627424E-3</c:v>
                </c:pt>
                <c:pt idx="106">
                  <c:v>1.8791951949186586E-3</c:v>
                </c:pt>
                <c:pt idx="107">
                  <c:v>1.8821872876864073E-3</c:v>
                </c:pt>
                <c:pt idx="108">
                  <c:v>1.8831846519423235E-3</c:v>
                </c:pt>
                <c:pt idx="109">
                  <c:v>1.8841820161982397E-3</c:v>
                </c:pt>
                <c:pt idx="110">
                  <c:v>1.8851793804541557E-3</c:v>
                </c:pt>
                <c:pt idx="111">
                  <c:v>1.8861767447100719E-3</c:v>
                </c:pt>
                <c:pt idx="112">
                  <c:v>1.8891688374778205E-3</c:v>
                </c:pt>
                <c:pt idx="113">
                  <c:v>1.8901662017337367E-3</c:v>
                </c:pt>
                <c:pt idx="114">
                  <c:v>1.8911635659896527E-3</c:v>
                </c:pt>
                <c:pt idx="115">
                  <c:v>1.8921609302455689E-3</c:v>
                </c:pt>
                <c:pt idx="116">
                  <c:v>1.8931582945014851E-3</c:v>
                </c:pt>
                <c:pt idx="117">
                  <c:v>1.8961503872692337E-3</c:v>
                </c:pt>
                <c:pt idx="118">
                  <c:v>1.8971477515251499E-3</c:v>
                </c:pt>
                <c:pt idx="119">
                  <c:v>1.8981451157810661E-3</c:v>
                </c:pt>
                <c:pt idx="120">
                  <c:v>1.8991424800369823E-3</c:v>
                </c:pt>
                <c:pt idx="121">
                  <c:v>1.9001398442928983E-3</c:v>
                </c:pt>
                <c:pt idx="122">
                  <c:v>1.9031319370606469E-3</c:v>
                </c:pt>
                <c:pt idx="123">
                  <c:v>1.9041293013165631E-3</c:v>
                </c:pt>
                <c:pt idx="124">
                  <c:v>1.9051266655724793E-3</c:v>
                </c:pt>
                <c:pt idx="125">
                  <c:v>1.9061240298283953E-3</c:v>
                </c:pt>
                <c:pt idx="126">
                  <c:v>1.9071213940843115E-3</c:v>
                </c:pt>
                <c:pt idx="127">
                  <c:v>1.9101134868520601E-3</c:v>
                </c:pt>
                <c:pt idx="128">
                  <c:v>1.9111108511079763E-3</c:v>
                </c:pt>
                <c:pt idx="129">
                  <c:v>1.9121082153638926E-3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'6MSynthDepo_allScenario'!$BN$6:$BN$135</c:f>
              <c:numCache>
                <c:formatCode>0.0000%</c:formatCode>
                <c:ptCount val="130"/>
                <c:pt idx="0">
                  <c:v>1.7281437179784867E-3</c:v>
                </c:pt>
                <c:pt idx="1">
                  <c:v>1.7291959001500441E-3</c:v>
                </c:pt>
                <c:pt idx="2">
                  <c:v>1.7323503561380421E-3</c:v>
                </c:pt>
                <c:pt idx="3">
                  <c:v>1.7334011446251498E-3</c:v>
                </c:pt>
                <c:pt idx="4">
                  <c:v>1.734451584691145E-3</c:v>
                </c:pt>
                <c:pt idx="5">
                  <c:v>1.7355016763360275E-3</c:v>
                </c:pt>
                <c:pt idx="6">
                  <c:v>1.7365514195597977E-3</c:v>
                </c:pt>
                <c:pt idx="7">
                  <c:v>1.7396985587044328E-3</c:v>
                </c:pt>
                <c:pt idx="8">
                  <c:v>1.740746908243753E-3</c:v>
                </c:pt>
                <c:pt idx="9">
                  <c:v>1.7417949093619606E-3</c:v>
                </c:pt>
                <c:pt idx="10">
                  <c:v>1.7428425620590556E-3</c:v>
                </c:pt>
                <c:pt idx="11">
                  <c:v>1.7438898663350382E-3</c:v>
                </c:pt>
                <c:pt idx="12">
                  <c:v>1.7470296886363109E-3</c:v>
                </c:pt>
                <c:pt idx="13">
                  <c:v>1.7480755992278433E-3</c:v>
                </c:pt>
                <c:pt idx="14">
                  <c:v>1.7491211613982634E-3</c:v>
                </c:pt>
                <c:pt idx="15">
                  <c:v>1.750166375147571E-3</c:v>
                </c:pt>
                <c:pt idx="16">
                  <c:v>1.7512112404757659E-3</c:v>
                </c:pt>
                <c:pt idx="17">
                  <c:v>1.7543437459336759E-3</c:v>
                </c:pt>
                <c:pt idx="18">
                  <c:v>1.7553872175774209E-3</c:v>
                </c:pt>
                <c:pt idx="19">
                  <c:v>1.7564303408000536E-3</c:v>
                </c:pt>
                <c:pt idx="20">
                  <c:v>1.7574731156015735E-3</c:v>
                </c:pt>
                <c:pt idx="21">
                  <c:v>1.758515541981981E-3</c:v>
                </c:pt>
                <c:pt idx="22">
                  <c:v>1.7616407305965285E-3</c:v>
                </c:pt>
                <c:pt idx="23">
                  <c:v>1.762681763292486E-3</c:v>
                </c:pt>
                <c:pt idx="24">
                  <c:v>1.7637224475673308E-3</c:v>
                </c:pt>
                <c:pt idx="25">
                  <c:v>1.7647627834210633E-3</c:v>
                </c:pt>
                <c:pt idx="26">
                  <c:v>1.7658027708536831E-3</c:v>
                </c:pt>
                <c:pt idx="27">
                  <c:v>1.768920642624868E-3</c:v>
                </c:pt>
                <c:pt idx="28">
                  <c:v>1.7699592363730379E-3</c:v>
                </c:pt>
                <c:pt idx="29">
                  <c:v>1.7709974817000952E-3</c:v>
                </c:pt>
                <c:pt idx="30">
                  <c:v>1.7720353786060403E-3</c:v>
                </c:pt>
                <c:pt idx="31">
                  <c:v>1.7730729270908725E-3</c:v>
                </c:pt>
                <c:pt idx="32">
                  <c:v>1.7761834820186949E-3</c:v>
                </c:pt>
                <c:pt idx="33">
                  <c:v>1.7772196368190771E-3</c:v>
                </c:pt>
                <c:pt idx="34">
                  <c:v>1.778255443198347E-3</c:v>
                </c:pt>
                <c:pt idx="35">
                  <c:v>1.7792909011565044E-3</c:v>
                </c:pt>
                <c:pt idx="36">
                  <c:v>1.7803260106935494E-3</c:v>
                </c:pt>
                <c:pt idx="37">
                  <c:v>1.7834292487780088E-3</c:v>
                </c:pt>
                <c:pt idx="38">
                  <c:v>1.7844629646306038E-3</c:v>
                </c:pt>
                <c:pt idx="39">
                  <c:v>1.7854963320620861E-3</c:v>
                </c:pt>
                <c:pt idx="40">
                  <c:v>1.7865293510724559E-3</c:v>
                </c:pt>
                <c:pt idx="41">
                  <c:v>1.7875620216617131E-3</c:v>
                </c:pt>
                <c:pt idx="42">
                  <c:v>1.7906579429028101E-3</c:v>
                </c:pt>
                <c:pt idx="43">
                  <c:v>1.7916892198076174E-3</c:v>
                </c:pt>
                <c:pt idx="44">
                  <c:v>1.7927201482913122E-3</c:v>
                </c:pt>
                <c:pt idx="45">
                  <c:v>1.7937507283538945E-3</c:v>
                </c:pt>
                <c:pt idx="46">
                  <c:v>1.7947809599953642E-3</c:v>
                </c:pt>
                <c:pt idx="47">
                  <c:v>1.7978695643930986E-3</c:v>
                </c:pt>
                <c:pt idx="48">
                  <c:v>1.7988984023501182E-3</c:v>
                </c:pt>
                <c:pt idx="49">
                  <c:v>1.7999268918860256E-3</c:v>
                </c:pt>
                <c:pt idx="50">
                  <c:v>1.8009550330008203E-3</c:v>
                </c:pt>
                <c:pt idx="51">
                  <c:v>1.8019828256945027E-3</c:v>
                </c:pt>
                <c:pt idx="52">
                  <c:v>1.8050641132488744E-3</c:v>
                </c:pt>
                <c:pt idx="53">
                  <c:v>1.8060905122581066E-3</c:v>
                </c:pt>
                <c:pt idx="54">
                  <c:v>1.8071165628462263E-3</c:v>
                </c:pt>
                <c:pt idx="55">
                  <c:v>1.8081422650132336E-3</c:v>
                </c:pt>
                <c:pt idx="56">
                  <c:v>1.8091676187591281E-3</c:v>
                </c:pt>
                <c:pt idx="57">
                  <c:v>1.8122415894701372E-3</c:v>
                </c:pt>
                <c:pt idx="58">
                  <c:v>1.813265549531582E-3</c:v>
                </c:pt>
                <c:pt idx="59">
                  <c:v>1.8142891611719141E-3</c:v>
                </c:pt>
                <c:pt idx="60">
                  <c:v>1.8153124243911339E-3</c:v>
                </c:pt>
                <c:pt idx="61">
                  <c:v>1.8163353391892408E-3</c:v>
                </c:pt>
                <c:pt idx="62">
                  <c:v>1.8194019930568874E-3</c:v>
                </c:pt>
                <c:pt idx="63">
                  <c:v>1.8204235141705445E-3</c:v>
                </c:pt>
                <c:pt idx="64">
                  <c:v>1.8214446868630892E-3</c:v>
                </c:pt>
                <c:pt idx="65">
                  <c:v>1.8224655111345213E-3</c:v>
                </c:pt>
                <c:pt idx="66">
                  <c:v>1.823485986984841E-3</c:v>
                </c:pt>
                <c:pt idx="67">
                  <c:v>1.8265453240091248E-3</c:v>
                </c:pt>
                <c:pt idx="68">
                  <c:v>1.8275644061749945E-3</c:v>
                </c:pt>
                <c:pt idx="69">
                  <c:v>1.8285831399197515E-3</c:v>
                </c:pt>
                <c:pt idx="70">
                  <c:v>1.829601525243396E-3</c:v>
                </c:pt>
                <c:pt idx="71">
                  <c:v>1.8306195621459282E-3</c:v>
                </c:pt>
                <c:pt idx="72">
                  <c:v>1.8336715823268493E-3</c:v>
                </c:pt>
                <c:pt idx="73">
                  <c:v>1.8346882255449316E-3</c:v>
                </c:pt>
                <c:pt idx="74">
                  <c:v>1.8357045203419009E-3</c:v>
                </c:pt>
                <c:pt idx="75">
                  <c:v>1.8367204667177582E-3</c:v>
                </c:pt>
                <c:pt idx="76">
                  <c:v>1.8377360646725026E-3</c:v>
                </c:pt>
                <c:pt idx="77">
                  <c:v>1.8407807680100613E-3</c:v>
                </c:pt>
                <c:pt idx="78">
                  <c:v>1.8417949722803557E-3</c:v>
                </c:pt>
                <c:pt idx="79">
                  <c:v>1.8428088281295379E-3</c:v>
                </c:pt>
                <c:pt idx="80">
                  <c:v>1.8438223355576073E-3</c:v>
                </c:pt>
                <c:pt idx="81">
                  <c:v>1.8448354945645644E-3</c:v>
                </c:pt>
                <c:pt idx="82">
                  <c:v>1.8478728810587602E-3</c:v>
                </c:pt>
                <c:pt idx="83">
                  <c:v>1.8488846463812672E-3</c:v>
                </c:pt>
                <c:pt idx="84">
                  <c:v>1.8498960632826616E-3</c:v>
                </c:pt>
                <c:pt idx="85">
                  <c:v>1.8509071317629436E-3</c:v>
                </c:pt>
                <c:pt idx="86">
                  <c:v>1.8519178518221131E-3</c:v>
                </c:pt>
                <c:pt idx="87">
                  <c:v>1.8549479214729464E-3</c:v>
                </c:pt>
                <c:pt idx="88">
                  <c:v>1.8559572478476661E-3</c:v>
                </c:pt>
                <c:pt idx="89">
                  <c:v>1.8569662258012729E-3</c:v>
                </c:pt>
                <c:pt idx="90">
                  <c:v>1.8579748553337674E-3</c:v>
                </c:pt>
                <c:pt idx="91">
                  <c:v>1.8589831364451493E-3</c:v>
                </c:pt>
                <c:pt idx="92">
                  <c:v>1.86200588925262E-3</c:v>
                </c:pt>
                <c:pt idx="93">
                  <c:v>1.8630127766795519E-3</c:v>
                </c:pt>
                <c:pt idx="94">
                  <c:v>1.8640193156853715E-3</c:v>
                </c:pt>
                <c:pt idx="95">
                  <c:v>1.8650255062700781E-3</c:v>
                </c:pt>
                <c:pt idx="96">
                  <c:v>1.8660313484336727E-3</c:v>
                </c:pt>
                <c:pt idx="97">
                  <c:v>1.8690467843977807E-3</c:v>
                </c:pt>
                <c:pt idx="98">
                  <c:v>1.8700512328769252E-3</c:v>
                </c:pt>
                <c:pt idx="99">
                  <c:v>1.8710553329349569E-3</c:v>
                </c:pt>
                <c:pt idx="100">
                  <c:v>1.8720590845718763E-3</c:v>
                </c:pt>
                <c:pt idx="101">
                  <c:v>1.8730624877876833E-3</c:v>
                </c:pt>
                <c:pt idx="102">
                  <c:v>1.8760706069084285E-3</c:v>
                </c:pt>
                <c:pt idx="103">
                  <c:v>1.8770726164397855E-3</c:v>
                </c:pt>
                <c:pt idx="104">
                  <c:v>1.8780742775500298E-3</c:v>
                </c:pt>
                <c:pt idx="105">
                  <c:v>1.8790755902391616E-3</c:v>
                </c:pt>
                <c:pt idx="106">
                  <c:v>1.8800765545071809E-3</c:v>
                </c:pt>
                <c:pt idx="107">
                  <c:v>1.8830773567845638E-3</c:v>
                </c:pt>
                <c:pt idx="108">
                  <c:v>1.8840769273681332E-3</c:v>
                </c:pt>
                <c:pt idx="109">
                  <c:v>1.88507614953059E-3</c:v>
                </c:pt>
                <c:pt idx="110">
                  <c:v>1.8860750232719342E-3</c:v>
                </c:pt>
                <c:pt idx="111">
                  <c:v>1.8870735485921658E-3</c:v>
                </c:pt>
                <c:pt idx="112">
                  <c:v>1.8900670340261862E-3</c:v>
                </c:pt>
                <c:pt idx="113">
                  <c:v>1.8910641656619679E-3</c:v>
                </c:pt>
                <c:pt idx="114">
                  <c:v>1.8920609488766373E-3</c:v>
                </c:pt>
                <c:pt idx="115">
                  <c:v>1.8930573836701938E-3</c:v>
                </c:pt>
                <c:pt idx="116">
                  <c:v>1.8940534700426382E-3</c:v>
                </c:pt>
                <c:pt idx="117">
                  <c:v>1.8970396386332957E-3</c:v>
                </c:pt>
                <c:pt idx="118">
                  <c:v>1.8980343313212901E-3</c:v>
                </c:pt>
                <c:pt idx="119">
                  <c:v>1.8990286755881716E-3</c:v>
                </c:pt>
                <c:pt idx="120">
                  <c:v>1.9000226714339409E-3</c:v>
                </c:pt>
                <c:pt idx="121">
                  <c:v>1.9010163188585975E-3</c:v>
                </c:pt>
                <c:pt idx="122">
                  <c:v>1.9039951706058928E-3</c:v>
                </c:pt>
                <c:pt idx="123">
                  <c:v>1.9049874243460992E-3</c:v>
                </c:pt>
                <c:pt idx="124">
                  <c:v>1.9059793296651933E-3</c:v>
                </c:pt>
                <c:pt idx="125">
                  <c:v>1.9069708865631751E-3</c:v>
                </c:pt>
                <c:pt idx="126">
                  <c:v>1.9079620950400444E-3</c:v>
                </c:pt>
                <c:pt idx="127">
                  <c:v>1.9109336299439766E-3</c:v>
                </c:pt>
                <c:pt idx="128">
                  <c:v>1.9119234447363958E-3</c:v>
                </c:pt>
                <c:pt idx="129">
                  <c:v>1.9129129111077024E-3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'6MSynthDepo_allScenario'!$BO$6:$BO$135</c:f>
              <c:numCache>
                <c:formatCode>0.0000%</c:formatCode>
                <c:ptCount val="130"/>
                <c:pt idx="0">
                  <c:v>1.7432830787416295E-3</c:v>
                </c:pt>
                <c:pt idx="1">
                  <c:v>1.7442173736499133E-3</c:v>
                </c:pt>
                <c:pt idx="2">
                  <c:v>1.7470202583747642E-3</c:v>
                </c:pt>
                <c:pt idx="3">
                  <c:v>1.7479545532830478E-3</c:v>
                </c:pt>
                <c:pt idx="4">
                  <c:v>1.7488888481913315E-3</c:v>
                </c:pt>
                <c:pt idx="5">
                  <c:v>1.7498231430996152E-3</c:v>
                </c:pt>
                <c:pt idx="6">
                  <c:v>1.7507574380078988E-3</c:v>
                </c:pt>
                <c:pt idx="7">
                  <c:v>1.7535603227327497E-3</c:v>
                </c:pt>
                <c:pt idx="8">
                  <c:v>1.7544946176410335E-3</c:v>
                </c:pt>
                <c:pt idx="9">
                  <c:v>1.7554289125493172E-3</c:v>
                </c:pt>
                <c:pt idx="10">
                  <c:v>1.7563632074576007E-3</c:v>
                </c:pt>
                <c:pt idx="11">
                  <c:v>1.7572975023658845E-3</c:v>
                </c:pt>
                <c:pt idx="12">
                  <c:v>1.7601003870907355E-3</c:v>
                </c:pt>
                <c:pt idx="13">
                  <c:v>1.7610346819990192E-3</c:v>
                </c:pt>
                <c:pt idx="14">
                  <c:v>1.7619689769073027E-3</c:v>
                </c:pt>
                <c:pt idx="15">
                  <c:v>1.7629032718155864E-3</c:v>
                </c:pt>
                <c:pt idx="16">
                  <c:v>1.7638375667238702E-3</c:v>
                </c:pt>
                <c:pt idx="17">
                  <c:v>1.7666404514487212E-3</c:v>
                </c:pt>
                <c:pt idx="18">
                  <c:v>1.7675747463570047E-3</c:v>
                </c:pt>
                <c:pt idx="19">
                  <c:v>1.7685090412652884E-3</c:v>
                </c:pt>
                <c:pt idx="20">
                  <c:v>1.7694433361735722E-3</c:v>
                </c:pt>
                <c:pt idx="21">
                  <c:v>1.7703776310818557E-3</c:v>
                </c:pt>
                <c:pt idx="22">
                  <c:v>1.7731805158067067E-3</c:v>
                </c:pt>
                <c:pt idx="23">
                  <c:v>1.7741148107149904E-3</c:v>
                </c:pt>
                <c:pt idx="24">
                  <c:v>1.7750491056232741E-3</c:v>
                </c:pt>
                <c:pt idx="25">
                  <c:v>1.7759834005315576E-3</c:v>
                </c:pt>
                <c:pt idx="26">
                  <c:v>1.7769176954398414E-3</c:v>
                </c:pt>
                <c:pt idx="27">
                  <c:v>1.7797205801646924E-3</c:v>
                </c:pt>
                <c:pt idx="28">
                  <c:v>1.7806548750729761E-3</c:v>
                </c:pt>
                <c:pt idx="29">
                  <c:v>1.7815891699812596E-3</c:v>
                </c:pt>
                <c:pt idx="30">
                  <c:v>1.7825234648895434E-3</c:v>
                </c:pt>
                <c:pt idx="31">
                  <c:v>1.7834577597978271E-3</c:v>
                </c:pt>
                <c:pt idx="32">
                  <c:v>1.7862606445226781E-3</c:v>
                </c:pt>
                <c:pt idx="33">
                  <c:v>1.7871949394309616E-3</c:v>
                </c:pt>
                <c:pt idx="34">
                  <c:v>1.7881292343392453E-3</c:v>
                </c:pt>
                <c:pt idx="35">
                  <c:v>1.7890635292475291E-3</c:v>
                </c:pt>
                <c:pt idx="36">
                  <c:v>1.7899978241558126E-3</c:v>
                </c:pt>
                <c:pt idx="37">
                  <c:v>1.7928007088806636E-3</c:v>
                </c:pt>
                <c:pt idx="38">
                  <c:v>1.7937350037889473E-3</c:v>
                </c:pt>
                <c:pt idx="39">
                  <c:v>1.7946692986972311E-3</c:v>
                </c:pt>
                <c:pt idx="40">
                  <c:v>1.7956035936055146E-3</c:v>
                </c:pt>
                <c:pt idx="41">
                  <c:v>1.7965378885137983E-3</c:v>
                </c:pt>
                <c:pt idx="42">
                  <c:v>1.7993407732386493E-3</c:v>
                </c:pt>
                <c:pt idx="43">
                  <c:v>1.800275068146933E-3</c:v>
                </c:pt>
                <c:pt idx="44">
                  <c:v>1.8012093630552165E-3</c:v>
                </c:pt>
                <c:pt idx="45">
                  <c:v>1.8021436579635003E-3</c:v>
                </c:pt>
                <c:pt idx="46">
                  <c:v>1.803077952871784E-3</c:v>
                </c:pt>
                <c:pt idx="47">
                  <c:v>1.805880837596635E-3</c:v>
                </c:pt>
                <c:pt idx="48">
                  <c:v>1.8068151325049185E-3</c:v>
                </c:pt>
                <c:pt idx="49">
                  <c:v>1.8077494274132023E-3</c:v>
                </c:pt>
                <c:pt idx="50">
                  <c:v>1.8086837223214858E-3</c:v>
                </c:pt>
                <c:pt idx="51">
                  <c:v>1.8096180172297695E-3</c:v>
                </c:pt>
                <c:pt idx="52">
                  <c:v>1.8124209019546205E-3</c:v>
                </c:pt>
                <c:pt idx="53">
                  <c:v>1.8133551968629042E-3</c:v>
                </c:pt>
                <c:pt idx="54">
                  <c:v>1.8142894917711878E-3</c:v>
                </c:pt>
                <c:pt idx="55">
                  <c:v>1.8152237866794715E-3</c:v>
                </c:pt>
                <c:pt idx="56">
                  <c:v>1.8161580815877552E-3</c:v>
                </c:pt>
                <c:pt idx="57">
                  <c:v>1.8189609663126062E-3</c:v>
                </c:pt>
                <c:pt idx="58">
                  <c:v>1.8198952612208897E-3</c:v>
                </c:pt>
                <c:pt idx="59">
                  <c:v>1.8208295561291735E-3</c:v>
                </c:pt>
                <c:pt idx="60">
                  <c:v>1.8217638510374572E-3</c:v>
                </c:pt>
                <c:pt idx="61">
                  <c:v>1.8226981459457409E-3</c:v>
                </c:pt>
                <c:pt idx="62">
                  <c:v>1.8255010306705917E-3</c:v>
                </c:pt>
                <c:pt idx="63">
                  <c:v>1.8264353255788754E-3</c:v>
                </c:pt>
                <c:pt idx="64">
                  <c:v>1.8273696204871592E-3</c:v>
                </c:pt>
                <c:pt idx="65">
                  <c:v>1.8283039153954427E-3</c:v>
                </c:pt>
                <c:pt idx="66">
                  <c:v>1.8292382103037264E-3</c:v>
                </c:pt>
                <c:pt idx="67">
                  <c:v>1.8320410950285774E-3</c:v>
                </c:pt>
                <c:pt idx="68">
                  <c:v>1.8329753899368612E-3</c:v>
                </c:pt>
                <c:pt idx="69">
                  <c:v>1.8339096848451447E-3</c:v>
                </c:pt>
                <c:pt idx="70">
                  <c:v>1.8348439797534284E-3</c:v>
                </c:pt>
                <c:pt idx="71">
                  <c:v>1.8357782746617121E-3</c:v>
                </c:pt>
                <c:pt idx="72">
                  <c:v>1.8385811593865631E-3</c:v>
                </c:pt>
                <c:pt idx="73">
                  <c:v>1.8395154542948467E-3</c:v>
                </c:pt>
                <c:pt idx="74">
                  <c:v>1.8404497492031304E-3</c:v>
                </c:pt>
                <c:pt idx="75">
                  <c:v>1.8413840441114141E-3</c:v>
                </c:pt>
                <c:pt idx="76">
                  <c:v>1.8423183390196976E-3</c:v>
                </c:pt>
                <c:pt idx="77">
                  <c:v>1.8451212237445486E-3</c:v>
                </c:pt>
                <c:pt idx="78">
                  <c:v>1.8460555186528324E-3</c:v>
                </c:pt>
                <c:pt idx="79">
                  <c:v>1.8469898135611161E-3</c:v>
                </c:pt>
                <c:pt idx="80">
                  <c:v>1.8479241084693996E-3</c:v>
                </c:pt>
                <c:pt idx="81">
                  <c:v>1.8488584033776834E-3</c:v>
                </c:pt>
                <c:pt idx="82">
                  <c:v>1.8516612881025343E-3</c:v>
                </c:pt>
                <c:pt idx="83">
                  <c:v>1.8525955830108181E-3</c:v>
                </c:pt>
                <c:pt idx="84">
                  <c:v>1.8535298779191016E-3</c:v>
                </c:pt>
                <c:pt idx="85">
                  <c:v>1.8544641728273853E-3</c:v>
                </c:pt>
                <c:pt idx="86">
                  <c:v>1.8553984677356691E-3</c:v>
                </c:pt>
                <c:pt idx="87">
                  <c:v>1.8582013524605201E-3</c:v>
                </c:pt>
                <c:pt idx="88">
                  <c:v>1.8591356473688036E-3</c:v>
                </c:pt>
                <c:pt idx="89">
                  <c:v>1.8600699422770873E-3</c:v>
                </c:pt>
                <c:pt idx="90">
                  <c:v>1.861004237185371E-3</c:v>
                </c:pt>
                <c:pt idx="91">
                  <c:v>1.8619385320936546E-3</c:v>
                </c:pt>
                <c:pt idx="92">
                  <c:v>1.8647414168185055E-3</c:v>
                </c:pt>
                <c:pt idx="93">
                  <c:v>1.8656757117267893E-3</c:v>
                </c:pt>
                <c:pt idx="94">
                  <c:v>1.866610006635073E-3</c:v>
                </c:pt>
                <c:pt idx="95">
                  <c:v>1.8675443015433565E-3</c:v>
                </c:pt>
                <c:pt idx="96">
                  <c:v>1.8684785964516403E-3</c:v>
                </c:pt>
                <c:pt idx="97">
                  <c:v>1.8712814811764913E-3</c:v>
                </c:pt>
                <c:pt idx="98">
                  <c:v>1.872215776084775E-3</c:v>
                </c:pt>
                <c:pt idx="99">
                  <c:v>1.8731500709930585E-3</c:v>
                </c:pt>
                <c:pt idx="100">
                  <c:v>1.8740843659013422E-3</c:v>
                </c:pt>
                <c:pt idx="101">
                  <c:v>1.875018660809626E-3</c:v>
                </c:pt>
                <c:pt idx="102">
                  <c:v>1.877821545534477E-3</c:v>
                </c:pt>
                <c:pt idx="103">
                  <c:v>1.8787558404427605E-3</c:v>
                </c:pt>
                <c:pt idx="104">
                  <c:v>1.8796901353510442E-3</c:v>
                </c:pt>
                <c:pt idx="105">
                  <c:v>1.880624430259328E-3</c:v>
                </c:pt>
                <c:pt idx="106">
                  <c:v>1.8815587251676115E-3</c:v>
                </c:pt>
                <c:pt idx="107">
                  <c:v>1.8843616098924625E-3</c:v>
                </c:pt>
                <c:pt idx="108">
                  <c:v>1.8852959048007462E-3</c:v>
                </c:pt>
                <c:pt idx="109">
                  <c:v>1.8862301997090299E-3</c:v>
                </c:pt>
                <c:pt idx="110">
                  <c:v>1.8871644946173135E-3</c:v>
                </c:pt>
                <c:pt idx="111">
                  <c:v>1.8880987895255972E-3</c:v>
                </c:pt>
                <c:pt idx="112">
                  <c:v>1.8909016742504482E-3</c:v>
                </c:pt>
                <c:pt idx="113">
                  <c:v>1.8918359691587319E-3</c:v>
                </c:pt>
                <c:pt idx="114">
                  <c:v>1.8927702640670154E-3</c:v>
                </c:pt>
                <c:pt idx="115">
                  <c:v>1.8937045589752992E-3</c:v>
                </c:pt>
                <c:pt idx="116">
                  <c:v>1.8946388538835829E-3</c:v>
                </c:pt>
                <c:pt idx="117">
                  <c:v>1.8974417386084339E-3</c:v>
                </c:pt>
                <c:pt idx="118">
                  <c:v>1.8983760335167174E-3</c:v>
                </c:pt>
                <c:pt idx="119">
                  <c:v>1.8993103284250011E-3</c:v>
                </c:pt>
                <c:pt idx="120">
                  <c:v>1.9002446233332849E-3</c:v>
                </c:pt>
                <c:pt idx="121">
                  <c:v>1.9011789182415684E-3</c:v>
                </c:pt>
                <c:pt idx="122">
                  <c:v>1.9039818029664194E-3</c:v>
                </c:pt>
                <c:pt idx="123">
                  <c:v>1.9049160978747031E-3</c:v>
                </c:pt>
                <c:pt idx="124">
                  <c:v>1.9058503927829869E-3</c:v>
                </c:pt>
                <c:pt idx="125">
                  <c:v>1.9067846876912704E-3</c:v>
                </c:pt>
                <c:pt idx="126">
                  <c:v>1.9077189825995541E-3</c:v>
                </c:pt>
                <c:pt idx="127">
                  <c:v>1.9105218673244051E-3</c:v>
                </c:pt>
                <c:pt idx="128">
                  <c:v>1.9114561622326888E-3</c:v>
                </c:pt>
                <c:pt idx="129">
                  <c:v>1.9123904571409724E-3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'6MSynthDepo_allScenario'!$BP$6:$BP$135</c:f>
              <c:numCache>
                <c:formatCode>0.0000%</c:formatCode>
                <c:ptCount val="130"/>
                <c:pt idx="0">
                  <c:v>1.8266217598038798E-3</c:v>
                </c:pt>
                <c:pt idx="1">
                  <c:v>1.8264609183674077E-3</c:v>
                </c:pt>
                <c:pt idx="2">
                  <c:v>1.8260156249390095E-3</c:v>
                </c:pt>
                <c:pt idx="3">
                  <c:v>1.8258796040898826E-3</c:v>
                </c:pt>
                <c:pt idx="4">
                  <c:v>1.8257497883875924E-3</c:v>
                </c:pt>
                <c:pt idx="5">
                  <c:v>1.8256261778321387E-3</c:v>
                </c:pt>
                <c:pt idx="6">
                  <c:v>1.8255087724235212E-3</c:v>
                </c:pt>
                <c:pt idx="7">
                  <c:v>1.8251937870786869E-3</c:v>
                </c:pt>
                <c:pt idx="8">
                  <c:v>1.8251012022574146E-3</c:v>
                </c:pt>
                <c:pt idx="9">
                  <c:v>1.825014822582979E-3</c:v>
                </c:pt>
                <c:pt idx="10">
                  <c:v>1.8249346480553798E-3</c:v>
                </c:pt>
                <c:pt idx="11">
                  <c:v>1.8248606786746167E-3</c:v>
                </c:pt>
                <c:pt idx="12">
                  <c:v>1.8246760014133463E-3</c:v>
                </c:pt>
                <c:pt idx="13">
                  <c:v>1.8246268526199291E-3</c:v>
                </c:pt>
                <c:pt idx="14">
                  <c:v>1.8245839089733483E-3</c:v>
                </c:pt>
                <c:pt idx="15">
                  <c:v>1.8245471704736035E-3</c:v>
                </c:pt>
                <c:pt idx="16">
                  <c:v>1.8245166371206952E-3</c:v>
                </c:pt>
                <c:pt idx="17">
                  <c:v>1.8244622679429888E-3</c:v>
                </c:pt>
                <c:pt idx="18">
                  <c:v>1.8244565551774261E-3</c:v>
                </c:pt>
                <c:pt idx="19">
                  <c:v>1.8244570475586998E-3</c:v>
                </c:pt>
                <c:pt idx="20">
                  <c:v>1.8244637450868097E-3</c:v>
                </c:pt>
                <c:pt idx="21">
                  <c:v>1.8244766477617561E-3</c:v>
                </c:pt>
                <c:pt idx="22">
                  <c:v>1.8245525866676137E-3</c:v>
                </c:pt>
                <c:pt idx="23">
                  <c:v>1.8245903099299056E-3</c:v>
                </c:pt>
                <c:pt idx="24">
                  <c:v>1.8246342383390337E-3</c:v>
                </c:pt>
                <c:pt idx="25">
                  <c:v>1.8246843718949985E-3</c:v>
                </c:pt>
                <c:pt idx="26">
                  <c:v>1.8247407105977996E-3</c:v>
                </c:pt>
                <c:pt idx="27">
                  <c:v>1.8249469575872211E-3</c:v>
                </c:pt>
                <c:pt idx="28">
                  <c:v>1.8250281168773676E-3</c:v>
                </c:pt>
                <c:pt idx="29">
                  <c:v>1.8251154813143506E-3</c:v>
                </c:pt>
                <c:pt idx="30">
                  <c:v>1.82520905089817E-3</c:v>
                </c:pt>
                <c:pt idx="31">
                  <c:v>1.8253088256288256E-3</c:v>
                </c:pt>
                <c:pt idx="32">
                  <c:v>1.8256453807018111E-3</c:v>
                </c:pt>
                <c:pt idx="33">
                  <c:v>1.8257699760198122E-3</c:v>
                </c:pt>
                <c:pt idx="34">
                  <c:v>1.8259007764846497E-3</c:v>
                </c:pt>
                <c:pt idx="35">
                  <c:v>1.8260377820963237E-3</c:v>
                </c:pt>
                <c:pt idx="36">
                  <c:v>1.8261809928548339E-3</c:v>
                </c:pt>
                <c:pt idx="37">
                  <c:v>1.8266478560113831E-3</c:v>
                </c:pt>
                <c:pt idx="38">
                  <c:v>1.8268158873572392E-3</c:v>
                </c:pt>
                <c:pt idx="39">
                  <c:v>1.8269901238499315E-3</c:v>
                </c:pt>
                <c:pt idx="40">
                  <c:v>1.8271705654894601E-3</c:v>
                </c:pt>
                <c:pt idx="41">
                  <c:v>1.8273572122758249E-3</c:v>
                </c:pt>
                <c:pt idx="42">
                  <c:v>1.8279543835159381E-3</c:v>
                </c:pt>
                <c:pt idx="43">
                  <c:v>1.8281658508896488E-3</c:v>
                </c:pt>
                <c:pt idx="44">
                  <c:v>1.8283835234101957E-3</c:v>
                </c:pt>
                <c:pt idx="45">
                  <c:v>1.8286074010775788E-3</c:v>
                </c:pt>
                <c:pt idx="46">
                  <c:v>1.8288374838917984E-3</c:v>
                </c:pt>
                <c:pt idx="47">
                  <c:v>1.8295649632154756E-3</c:v>
                </c:pt>
                <c:pt idx="48">
                  <c:v>1.8298198666170408E-3</c:v>
                </c:pt>
                <c:pt idx="49">
                  <c:v>1.8300809751654425E-3</c:v>
                </c:pt>
                <c:pt idx="50">
                  <c:v>1.8303482888606803E-3</c:v>
                </c:pt>
                <c:pt idx="51">
                  <c:v>1.8306218077027544E-3</c:v>
                </c:pt>
                <c:pt idx="52">
                  <c:v>1.8314795951099956E-3</c:v>
                </c:pt>
                <c:pt idx="53">
                  <c:v>1.8317779345394154E-3</c:v>
                </c:pt>
                <c:pt idx="54">
                  <c:v>1.8320824791156715E-3</c:v>
                </c:pt>
                <c:pt idx="55">
                  <c:v>1.8323932288387642E-3</c:v>
                </c:pt>
                <c:pt idx="56">
                  <c:v>1.8327101837086932E-3</c:v>
                </c:pt>
                <c:pt idx="57">
                  <c:v>1.8336982791994981E-3</c:v>
                </c:pt>
                <c:pt idx="58">
                  <c:v>1.8340400546567725E-3</c:v>
                </c:pt>
                <c:pt idx="59">
                  <c:v>1.8343880352608834E-3</c:v>
                </c:pt>
                <c:pt idx="60">
                  <c:v>1.8347422210118307E-3</c:v>
                </c:pt>
                <c:pt idx="61">
                  <c:v>1.8351026119096143E-3</c:v>
                </c:pt>
                <c:pt idx="62">
                  <c:v>1.8362210154839831E-3</c:v>
                </c:pt>
                <c:pt idx="63">
                  <c:v>1.8366062269691121E-3</c:v>
                </c:pt>
                <c:pt idx="64">
                  <c:v>1.8369976436010777E-3</c:v>
                </c:pt>
                <c:pt idx="65">
                  <c:v>1.8373952653798794E-3</c:v>
                </c:pt>
                <c:pt idx="66">
                  <c:v>1.8377990923055176E-3</c:v>
                </c:pt>
                <c:pt idx="67">
                  <c:v>1.8390478039634506E-3</c:v>
                </c:pt>
                <c:pt idx="68">
                  <c:v>1.8394764514764344E-3</c:v>
                </c:pt>
                <c:pt idx="69">
                  <c:v>1.8399113041362544E-3</c:v>
                </c:pt>
                <c:pt idx="70">
                  <c:v>1.8403523619429107E-3</c:v>
                </c:pt>
                <c:pt idx="71">
                  <c:v>1.8407996248964037E-3</c:v>
                </c:pt>
                <c:pt idx="72">
                  <c:v>1.8421786446379007E-3</c:v>
                </c:pt>
                <c:pt idx="73">
                  <c:v>1.842650728178739E-3</c:v>
                </c:pt>
                <c:pt idx="74">
                  <c:v>1.8431290168664139E-3</c:v>
                </c:pt>
                <c:pt idx="75">
                  <c:v>1.8436135107009247E-3</c:v>
                </c:pt>
                <c:pt idx="76">
                  <c:v>1.8441042096822725E-3</c:v>
                </c:pt>
                <c:pt idx="77">
                  <c:v>1.8456135375073332E-3</c:v>
                </c:pt>
                <c:pt idx="78">
                  <c:v>1.8461290570760262E-3</c:v>
                </c:pt>
                <c:pt idx="79">
                  <c:v>1.8466507817915556E-3</c:v>
                </c:pt>
                <c:pt idx="80">
                  <c:v>1.8471787116539214E-3</c:v>
                </c:pt>
                <c:pt idx="81">
                  <c:v>1.8477128466631236E-3</c:v>
                </c:pt>
                <c:pt idx="82">
                  <c:v>1.8493524825717483E-3</c:v>
                </c:pt>
                <c:pt idx="83">
                  <c:v>1.849911438168296E-3</c:v>
                </c:pt>
                <c:pt idx="84">
                  <c:v>1.8504765989116798E-3</c:v>
                </c:pt>
                <c:pt idx="85">
                  <c:v>1.8510479648019005E-3</c:v>
                </c:pt>
                <c:pt idx="86">
                  <c:v>1.8516255358389572E-3</c:v>
                </c:pt>
                <c:pt idx="87">
                  <c:v>1.8533954798311458E-3</c:v>
                </c:pt>
                <c:pt idx="88">
                  <c:v>1.8539978714555479E-3</c:v>
                </c:pt>
                <c:pt idx="89">
                  <c:v>1.8546064682267867E-3</c:v>
                </c:pt>
                <c:pt idx="90">
                  <c:v>1.855221270144862E-3</c:v>
                </c:pt>
                <c:pt idx="91">
                  <c:v>1.8558422772097733E-3</c:v>
                </c:pt>
                <c:pt idx="92">
                  <c:v>1.8577425292855261E-3</c:v>
                </c:pt>
                <c:pt idx="93">
                  <c:v>1.8583883569377828E-3</c:v>
                </c:pt>
                <c:pt idx="94">
                  <c:v>1.8590403897368762E-3</c:v>
                </c:pt>
                <c:pt idx="95">
                  <c:v>1.859698627682806E-3</c:v>
                </c:pt>
                <c:pt idx="96">
                  <c:v>1.8603630707755719E-3</c:v>
                </c:pt>
                <c:pt idx="97">
                  <c:v>1.8623936309348885E-3</c:v>
                </c:pt>
                <c:pt idx="98">
                  <c:v>1.8630828946150002E-3</c:v>
                </c:pt>
                <c:pt idx="99">
                  <c:v>1.8637783634419482E-3</c:v>
                </c:pt>
                <c:pt idx="100">
                  <c:v>1.8644800374157324E-3</c:v>
                </c:pt>
                <c:pt idx="101">
                  <c:v>1.8651879165363532E-3</c:v>
                </c:pt>
                <c:pt idx="102">
                  <c:v>1.8673487847792336E-3</c:v>
                </c:pt>
                <c:pt idx="103">
                  <c:v>1.8680814844871999E-3</c:v>
                </c:pt>
                <c:pt idx="104">
                  <c:v>1.8688203893420026E-3</c:v>
                </c:pt>
                <c:pt idx="105">
                  <c:v>1.8695654993436414E-3</c:v>
                </c:pt>
                <c:pt idx="106">
                  <c:v>1.8703168144921169E-3</c:v>
                </c:pt>
                <c:pt idx="107">
                  <c:v>1.8726079908185614E-3</c:v>
                </c:pt>
                <c:pt idx="108">
                  <c:v>1.8733841265543823E-3</c:v>
                </c:pt>
                <c:pt idx="109">
                  <c:v>1.8741664674370394E-3</c:v>
                </c:pt>
                <c:pt idx="110">
                  <c:v>1.8749550134665332E-3</c:v>
                </c:pt>
                <c:pt idx="111">
                  <c:v>1.8757497646428633E-3</c:v>
                </c:pt>
                <c:pt idx="112">
                  <c:v>1.8781712490528715E-3</c:v>
                </c:pt>
                <c:pt idx="113">
                  <c:v>1.8789908208165472E-3</c:v>
                </c:pt>
                <c:pt idx="114">
                  <c:v>1.8798165977270589E-3</c:v>
                </c:pt>
                <c:pt idx="115">
                  <c:v>1.8806485797844073E-3</c:v>
                </c:pt>
                <c:pt idx="116">
                  <c:v>1.8814867669885919E-3</c:v>
                </c:pt>
                <c:pt idx="117">
                  <c:v>1.8840385594821641E-3</c:v>
                </c:pt>
                <c:pt idx="118">
                  <c:v>1.8849015672736942E-3</c:v>
                </c:pt>
                <c:pt idx="119">
                  <c:v>1.8857707802120609E-3</c:v>
                </c:pt>
                <c:pt idx="120">
                  <c:v>1.8866461982972639E-3</c:v>
                </c:pt>
                <c:pt idx="121">
                  <c:v>1.8875278215293031E-3</c:v>
                </c:pt>
                <c:pt idx="122">
                  <c:v>1.8902099221064393E-3</c:v>
                </c:pt>
                <c:pt idx="123">
                  <c:v>1.8911163659258241E-3</c:v>
                </c:pt>
                <c:pt idx="124">
                  <c:v>1.8920290148920454E-3</c:v>
                </c:pt>
                <c:pt idx="125">
                  <c:v>1.892947869005103E-3</c:v>
                </c:pt>
                <c:pt idx="126">
                  <c:v>1.893872928264997E-3</c:v>
                </c:pt>
                <c:pt idx="127">
                  <c:v>1.8966853369256971E-3</c:v>
                </c:pt>
                <c:pt idx="128">
                  <c:v>1.8976352167729366E-3</c:v>
                </c:pt>
                <c:pt idx="129">
                  <c:v>1.8985913017670125E-3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'6MSynthDepo_allScenario'!$BQ$5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val>
            <c:numRef>
              <c:f>'6MSynthDepo_allScenario'!$BQ$6:$BQ$135</c:f>
              <c:numCache>
                <c:formatCode>0.0000%</c:formatCode>
                <c:ptCount val="130"/>
                <c:pt idx="0">
                  <c:v>1.6944000054027728E-3</c:v>
                </c:pt>
                <c:pt idx="1">
                  <c:v>1.6960252107154343E-3</c:v>
                </c:pt>
                <c:pt idx="2">
                  <c:v>1.7008724181420954E-3</c:v>
                </c:pt>
                <c:pt idx="3">
                  <c:v>1.7024787192365368E-3</c:v>
                </c:pt>
                <c:pt idx="4">
                  <c:v>1.7040803203684199E-3</c:v>
                </c:pt>
                <c:pt idx="5">
                  <c:v>1.7056772319745445E-3</c:v>
                </c:pt>
                <c:pt idx="6">
                  <c:v>1.7072694644917077E-3</c:v>
                </c:pt>
                <c:pt idx="7">
                  <c:v>1.7120181918774231E-3</c:v>
                </c:pt>
                <c:pt idx="8">
                  <c:v>1.7135918124067324E-3</c:v>
                </c:pt>
                <c:pt idx="9">
                  <c:v>1.7151608060310751E-3</c:v>
                </c:pt>
                <c:pt idx="10">
                  <c:v>1.71672518318725E-3</c:v>
                </c:pt>
                <c:pt idx="11">
                  <c:v>1.7182849543120563E-3</c:v>
                </c:pt>
                <c:pt idx="12">
                  <c:v>1.7229367358662477E-3</c:v>
                </c:pt>
                <c:pt idx="13">
                  <c:v>1.7244781872335654E-3</c:v>
                </c:pt>
                <c:pt idx="14">
                  <c:v>1.7260150847535083E-3</c:v>
                </c:pt>
                <c:pt idx="15">
                  <c:v>1.7275474388628745E-3</c:v>
                </c:pt>
                <c:pt idx="16">
                  <c:v>1.7290752599984631E-3</c:v>
                </c:pt>
                <c:pt idx="17">
                  <c:v>1.7336316299305528E-3</c:v>
                </c:pt>
                <c:pt idx="18">
                  <c:v>1.7351414235390196E-3</c:v>
                </c:pt>
                <c:pt idx="19">
                  <c:v>1.7366467363577026E-3</c:v>
                </c:pt>
                <c:pt idx="20">
                  <c:v>1.7381475788234011E-3</c:v>
                </c:pt>
                <c:pt idx="21">
                  <c:v>1.7396439613729133E-3</c:v>
                </c:pt>
                <c:pt idx="22">
                  <c:v>1.7441064538923222E-3</c:v>
                </c:pt>
                <c:pt idx="23">
                  <c:v>1.7455851011450784E-3</c:v>
                </c:pt>
                <c:pt idx="24">
                  <c:v>1.7470593406656426E-3</c:v>
                </c:pt>
                <c:pt idx="25">
                  <c:v>1.7485291828908136E-3</c:v>
                </c:pt>
                <c:pt idx="26">
                  <c:v>1.7499946382573898E-3</c:v>
                </c:pt>
                <c:pt idx="27">
                  <c:v>1.7543647875735398E-3</c:v>
                </c:pt>
                <c:pt idx="28">
                  <c:v>1.7558127998737261E-3</c:v>
                </c:pt>
                <c:pt idx="29">
                  <c:v>1.7572564774993116E-3</c:v>
                </c:pt>
                <c:pt idx="30">
                  <c:v>1.7586958308870959E-3</c:v>
                </c:pt>
                <c:pt idx="31">
                  <c:v>1.7601308704738765E-3</c:v>
                </c:pt>
                <c:pt idx="32">
                  <c:v>1.7644102107961892E-3</c:v>
                </c:pt>
                <c:pt idx="33">
                  <c:v>1.7658280995469463E-3</c:v>
                </c:pt>
                <c:pt idx="34">
                  <c:v>1.7672417266806938E-3</c:v>
                </c:pt>
                <c:pt idx="35">
                  <c:v>1.7686511026342312E-3</c:v>
                </c:pt>
                <c:pt idx="36">
                  <c:v>1.7700562378443576E-3</c:v>
                </c:pt>
                <c:pt idx="37">
                  <c:v>1.7742463033822544E-3</c:v>
                </c:pt>
                <c:pt idx="38">
                  <c:v>1.7756345799867224E-3</c:v>
                </c:pt>
                <c:pt idx="39">
                  <c:v>1.7770186680317729E-3</c:v>
                </c:pt>
                <c:pt idx="40">
                  <c:v>1.7783985779542043E-3</c:v>
                </c:pt>
                <c:pt idx="41">
                  <c:v>1.7797743201908159E-3</c:v>
                </c:pt>
                <c:pt idx="42">
                  <c:v>1.7838766451537191E-3</c:v>
                </c:pt>
                <c:pt idx="43">
                  <c:v>1.7852358210150388E-3</c:v>
                </c:pt>
                <c:pt idx="44">
                  <c:v>1.786590881374532E-3</c:v>
                </c:pt>
                <c:pt idx="45">
                  <c:v>1.7879418366689985E-3</c:v>
                </c:pt>
                <c:pt idx="46">
                  <c:v>1.7892886973352362E-3</c:v>
                </c:pt>
                <c:pt idx="47">
                  <c:v>1.7933048159325666E-3</c:v>
                </c:pt>
                <c:pt idx="48">
                  <c:v>1.7946354024538788E-3</c:v>
                </c:pt>
                <c:pt idx="49">
                  <c:v>1.7959619465309558E-3</c:v>
                </c:pt>
                <c:pt idx="50">
                  <c:v>1.7972844586005973E-3</c:v>
                </c:pt>
                <c:pt idx="51">
                  <c:v>1.7986029490996019E-3</c:v>
                </c:pt>
                <c:pt idx="52">
                  <c:v>1.8025343955407817E-3</c:v>
                </c:pt>
                <c:pt idx="53">
                  <c:v>1.8038369041252259E-3</c:v>
                </c:pt>
                <c:pt idx="54">
                  <c:v>1.8051354433230274E-3</c:v>
                </c:pt>
                <c:pt idx="55">
                  <c:v>1.8064300235709847E-3</c:v>
                </c:pt>
                <c:pt idx="56">
                  <c:v>1.8077206553058964E-3</c:v>
                </c:pt>
                <c:pt idx="57">
                  <c:v>1.811568963800347E-3</c:v>
                </c:pt>
                <c:pt idx="58">
                  <c:v>1.8128439058510651E-3</c:v>
                </c:pt>
                <c:pt idx="59">
                  <c:v>1.8141149515727311E-3</c:v>
                </c:pt>
                <c:pt idx="60">
                  <c:v>1.8153821114021448E-3</c:v>
                </c:pt>
                <c:pt idx="61">
                  <c:v>1.8166453957761044E-3</c:v>
                </c:pt>
                <c:pt idx="62">
                  <c:v>1.8204121005332473E-3</c:v>
                </c:pt>
                <c:pt idx="63">
                  <c:v>1.8216599874533788E-3</c:v>
                </c:pt>
                <c:pt idx="64">
                  <c:v>1.8229040511020505E-3</c:v>
                </c:pt>
                <c:pt idx="65">
                  <c:v>1.8241443019160607E-3</c:v>
                </c:pt>
                <c:pt idx="66">
                  <c:v>1.8253807503322086E-3</c:v>
                </c:pt>
                <c:pt idx="67">
                  <c:v>1.8290673855614658E-3</c:v>
                </c:pt>
                <c:pt idx="68">
                  <c:v>1.8302887287541519E-3</c:v>
                </c:pt>
                <c:pt idx="69">
                  <c:v>1.8315063217329689E-3</c:v>
                </c:pt>
                <c:pt idx="70">
                  <c:v>1.8327201749347168E-3</c:v>
                </c:pt>
                <c:pt idx="71">
                  <c:v>1.8339302987961936E-3</c:v>
                </c:pt>
                <c:pt idx="72">
                  <c:v>1.8375383987069862E-3</c:v>
                </c:pt>
                <c:pt idx="73">
                  <c:v>1.8387337095753674E-3</c:v>
                </c:pt>
                <c:pt idx="74">
                  <c:v>1.839925343287471E-3</c:v>
                </c:pt>
                <c:pt idx="75">
                  <c:v>1.8411133102800967E-3</c:v>
                </c:pt>
                <c:pt idx="76">
                  <c:v>1.8422976209900429E-3</c:v>
                </c:pt>
                <c:pt idx="77">
                  <c:v>1.8458287197917929E-3</c:v>
                </c:pt>
                <c:pt idx="78">
                  <c:v>1.8469985097390089E-3</c:v>
                </c:pt>
                <c:pt idx="79">
                  <c:v>1.8481646955875401E-3</c:v>
                </c:pt>
                <c:pt idx="80">
                  <c:v>1.8493272877741838E-3</c:v>
                </c:pt>
                <c:pt idx="81">
                  <c:v>1.8504862967357401E-3</c:v>
                </c:pt>
                <c:pt idx="82">
                  <c:v>1.8539419286378691E-3</c:v>
                </c:pt>
                <c:pt idx="83">
                  <c:v>1.8550867090670613E-3</c:v>
                </c:pt>
                <c:pt idx="84">
                  <c:v>1.8562279584551594E-3</c:v>
                </c:pt>
                <c:pt idx="85">
                  <c:v>1.8573656872389625E-3</c:v>
                </c:pt>
                <c:pt idx="86">
                  <c:v>1.8584999058552693E-3</c:v>
                </c:pt>
                <c:pt idx="87">
                  <c:v>1.8618816050671985E-3</c:v>
                </c:pt>
                <c:pt idx="88">
                  <c:v>1.863001887381507E-3</c:v>
                </c:pt>
                <c:pt idx="89">
                  <c:v>1.8641187117123135E-3</c:v>
                </c:pt>
                <c:pt idx="90">
                  <c:v>1.865232088496416E-3</c:v>
                </c:pt>
                <c:pt idx="91">
                  <c:v>1.8663420281706138E-3</c:v>
                </c:pt>
                <c:pt idx="92">
                  <c:v>1.8696513289017651E-3</c:v>
                </c:pt>
                <c:pt idx="93">
                  <c:v>1.8707476245043309E-3</c:v>
                </c:pt>
                <c:pt idx="94">
                  <c:v>1.8718405351809859E-3</c:v>
                </c:pt>
                <c:pt idx="95">
                  <c:v>1.8729300713685286E-3</c:v>
                </c:pt>
                <c:pt idx="96">
                  <c:v>1.8740162435037578E-3</c:v>
                </c:pt>
                <c:pt idx="97">
                  <c:v>1.877254679963553E-3</c:v>
                </c:pt>
                <c:pt idx="98">
                  <c:v>1.8783275002575166E-3</c:v>
                </c:pt>
                <c:pt idx="99">
                  <c:v>1.8793970086831604E-3</c:v>
                </c:pt>
                <c:pt idx="100">
                  <c:v>1.8804632156772837E-3</c:v>
                </c:pt>
                <c:pt idx="101">
                  <c:v>1.8815261316766851E-3</c:v>
                </c:pt>
                <c:pt idx="102">
                  <c:v>1.8846952380745458E-3</c:v>
                </c:pt>
                <c:pt idx="103">
                  <c:v>1.8857450944630471E-3</c:v>
                </c:pt>
                <c:pt idx="104">
                  <c:v>1.8867917120408209E-3</c:v>
                </c:pt>
                <c:pt idx="105">
                  <c:v>1.8878351012446652E-3</c:v>
                </c:pt>
                <c:pt idx="106">
                  <c:v>1.8888752725113795E-3</c:v>
                </c:pt>
                <c:pt idx="107">
                  <c:v>1.8919765830567269E-3</c:v>
                </c:pt>
                <c:pt idx="108">
                  <c:v>1.8930039869429068E-3</c:v>
                </c:pt>
                <c:pt idx="109">
                  <c:v>1.8940282250759508E-3</c:v>
                </c:pt>
                <c:pt idx="110">
                  <c:v>1.8950493078926571E-3</c:v>
                </c:pt>
                <c:pt idx="111">
                  <c:v>1.8960672458298241E-3</c:v>
                </c:pt>
                <c:pt idx="112">
                  <c:v>1.8991022947320803E-3</c:v>
                </c:pt>
                <c:pt idx="113">
                  <c:v>1.9001077575190799E-3</c:v>
                </c:pt>
                <c:pt idx="114">
                  <c:v>1.9011101276105342E-3</c:v>
                </c:pt>
                <c:pt idx="115">
                  <c:v>1.9021094154432424E-3</c:v>
                </c:pt>
                <c:pt idx="116">
                  <c:v>1.9031056314540034E-3</c:v>
                </c:pt>
                <c:pt idx="117">
                  <c:v>1.9060759529225899E-3</c:v>
                </c:pt>
                <c:pt idx="118">
                  <c:v>1.907059986013549E-3</c:v>
                </c:pt>
                <c:pt idx="119">
                  <c:v>1.9080409994665548E-3</c:v>
                </c:pt>
                <c:pt idx="120">
                  <c:v>1.9090190037184057E-3</c:v>
                </c:pt>
                <c:pt idx="121">
                  <c:v>1.9099940092059014E-3</c:v>
                </c:pt>
                <c:pt idx="122">
                  <c:v>1.9129011374502394E-3</c:v>
                </c:pt>
                <c:pt idx="123">
                  <c:v>1.913864252248299E-3</c:v>
                </c:pt>
                <c:pt idx="124">
                  <c:v>1.9148244204659965E-3</c:v>
                </c:pt>
                <c:pt idx="125">
                  <c:v>1.915781652540131E-3</c:v>
                </c:pt>
                <c:pt idx="126">
                  <c:v>1.9167359589075006E-3</c:v>
                </c:pt>
                <c:pt idx="127">
                  <c:v>1.9195814281370127E-3</c:v>
                </c:pt>
                <c:pt idx="128">
                  <c:v>1.9205241360453131E-3</c:v>
                </c:pt>
                <c:pt idx="129">
                  <c:v>1.9214639704308427E-3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25920"/>
        <c:axId val="652227712"/>
      </c:lineChart>
      <c:dateAx>
        <c:axId val="6522259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52227712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652227712"/>
        <c:scaling>
          <c:orientation val="minMax"/>
          <c:max val="2.2000000000000006E-3"/>
          <c:min val="1.2000000000000003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52225920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'3MSynthDepo_used'!$G$4</c:f>
              <c:numCache>
                <c:formatCode>d\-mmm\-yy</c:formatCode>
                <c:ptCount val="1"/>
                <c:pt idx="0">
                  <c:v>42138</c:v>
                </c:pt>
              </c:numCache>
            </c:numRef>
          </c:xVal>
          <c:yVal>
            <c:numRef>
              <c:f>'3MSynthDepo_used'!$K$4</c:f>
              <c:numCache>
                <c:formatCode>0.0000%</c:formatCode>
                <c:ptCount val="1"/>
                <c:pt idx="0">
                  <c:v>1.1354993869580972E-3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'3MSynthDepo_used'!$G$5:$G$10</c:f>
              <c:numCache>
                <c:formatCode>d\-mmm\-yy</c:formatCode>
                <c:ptCount val="6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</c:numCache>
            </c:numRef>
          </c:xVal>
          <c:yVal>
            <c:numRef>
              <c:f>'3MSynthDepo_used'!$K$5:$K$10</c:f>
              <c:numCache>
                <c:formatCode>0.0000%</c:formatCode>
                <c:ptCount val="6"/>
                <c:pt idx="0">
                  <c:v>1.1562298961403101E-3</c:v>
                </c:pt>
                <c:pt idx="1">
                  <c:v>1.14327948192148E-3</c:v>
                </c:pt>
                <c:pt idx="2">
                  <c:v>1.1512932207328171E-3</c:v>
                </c:pt>
                <c:pt idx="3">
                  <c:v>1.1968313710886554E-3</c:v>
                </c:pt>
                <c:pt idx="4">
                  <c:v>1.2611657844433951E-3</c:v>
                </c:pt>
                <c:pt idx="5">
                  <c:v>1.2675576725911023E-3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'3MSynthDepo_used'!$S$2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'3MSynthDepo_used'!$R$3:$R$262</c:f>
              <c:numCache>
                <c:formatCode>d\-mmm\-yy</c:formatCode>
                <c:ptCount val="26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</c:numCache>
            </c:numRef>
          </c:xVal>
          <c:yVal>
            <c:numRef>
              <c:f>'3MSynthDepo_used'!$S$3:$S$262</c:f>
              <c:numCache>
                <c:formatCode>0.0000%</c:formatCode>
                <c:ptCount val="260"/>
                <c:pt idx="0">
                  <c:v>1.0496466083624097E-3</c:v>
                </c:pt>
                <c:pt idx="1">
                  <c:v>1.0514966440516027E-3</c:v>
                </c:pt>
                <c:pt idx="2">
                  <c:v>1.0569976601710262E-3</c:v>
                </c:pt>
                <c:pt idx="3">
                  <c:v>1.0588150276098708E-3</c:v>
                </c:pt>
                <c:pt idx="4">
                  <c:v>1.0606242722724451E-3</c:v>
                </c:pt>
                <c:pt idx="5">
                  <c:v>1.0624254118732752E-3</c:v>
                </c:pt>
                <c:pt idx="6">
                  <c:v>1.0642184641268882E-3</c:v>
                </c:pt>
                <c:pt idx="7">
                  <c:v>1.0695492739496893E-3</c:v>
                </c:pt>
                <c:pt idx="8">
                  <c:v>1.0713101539596985E-3</c:v>
                </c:pt>
                <c:pt idx="9">
                  <c:v>1.0730630351951241E-3</c:v>
                </c:pt>
                <c:pt idx="10">
                  <c:v>1.0748079353704921E-3</c:v>
                </c:pt>
                <c:pt idx="11">
                  <c:v>1.0765448722003289E-3</c:v>
                </c:pt>
                <c:pt idx="12">
                  <c:v>1.0817080797619202E-3</c:v>
                </c:pt>
                <c:pt idx="13">
                  <c:v>1.0834133403548989E-3</c:v>
                </c:pt>
                <c:pt idx="14">
                  <c:v>1.0851107261749802E-3</c:v>
                </c:pt>
                <c:pt idx="15">
                  <c:v>1.08680025493669E-3</c:v>
                </c:pt>
                <c:pt idx="16">
                  <c:v>1.0884819443545554E-3</c:v>
                </c:pt>
                <c:pt idx="17">
                  <c:v>1.093480153690349E-3</c:v>
                </c:pt>
                <c:pt idx="18">
                  <c:v>1.0951306628781017E-3</c:v>
                </c:pt>
                <c:pt idx="19">
                  <c:v>1.0967734212946425E-3</c:v>
                </c:pt>
                <c:pt idx="20">
                  <c:v>1.0984084466544987E-3</c:v>
                </c:pt>
                <c:pt idx="21">
                  <c:v>1.1000357566721965E-3</c:v>
                </c:pt>
                <c:pt idx="22">
                  <c:v>1.1048715718176057E-3</c:v>
                </c:pt>
                <c:pt idx="23">
                  <c:v>1.1064681976119364E-3</c:v>
                </c:pt>
                <c:pt idx="24">
                  <c:v>1.1080571966367411E-3</c:v>
                </c:pt>
                <c:pt idx="25">
                  <c:v>1.1096385866065479E-3</c:v>
                </c:pt>
                <c:pt idx="26">
                  <c:v>1.1112123852358824E-3</c:v>
                </c:pt>
                <c:pt idx="27">
                  <c:v>1.1158884102263201E-3</c:v>
                </c:pt>
                <c:pt idx="28">
                  <c:v>1.1174320206390326E-3</c:v>
                </c:pt>
                <c:pt idx="29">
                  <c:v>1.1189681282839062E-3</c:v>
                </c:pt>
                <c:pt idx="30">
                  <c:v>1.1204967508754672E-3</c:v>
                </c:pt>
                <c:pt idx="31">
                  <c:v>1.1220179061282429E-3</c:v>
                </c:pt>
                <c:pt idx="32">
                  <c:v>1.1265367449991215E-3</c:v>
                </c:pt>
                <c:pt idx="33">
                  <c:v>1.1280282080420203E-3</c:v>
                </c:pt>
                <c:pt idx="34">
                  <c:v>1.1295122923187662E-3</c:v>
                </c:pt>
                <c:pt idx="35">
                  <c:v>1.1309890155438865E-3</c:v>
                </c:pt>
                <c:pt idx="36">
                  <c:v>1.1324583954319073E-3</c:v>
                </c:pt>
                <c:pt idx="37">
                  <c:v>1.1368226522186398E-3</c:v>
                </c:pt>
                <c:pt idx="38">
                  <c:v>1.138262835903529E-3</c:v>
                </c:pt>
                <c:pt idx="39">
                  <c:v>1.1396957648239522E-3</c:v>
                </c:pt>
                <c:pt idx="40">
                  <c:v>1.1411214566944357E-3</c:v>
                </c:pt>
                <c:pt idx="41">
                  <c:v>1.1425399292295058E-3</c:v>
                </c:pt>
                <c:pt idx="42">
                  <c:v>1.1467522079675046E-3</c:v>
                </c:pt>
                <c:pt idx="43">
                  <c:v>1.148141980306189E-3</c:v>
                </c:pt>
                <c:pt idx="44">
                  <c:v>1.149524621882093E-3</c:v>
                </c:pt>
                <c:pt idx="45">
                  <c:v>1.150900150409744E-3</c:v>
                </c:pt>
                <c:pt idx="46">
                  <c:v>1.1522685836036677E-3</c:v>
                </c:pt>
                <c:pt idx="47">
                  <c:v>1.1563314883283459E-3</c:v>
                </c:pt>
                <c:pt idx="48">
                  <c:v>1.1576717173326292E-3</c:v>
                </c:pt>
                <c:pt idx="49">
                  <c:v>1.1590049395758186E-3</c:v>
                </c:pt>
                <c:pt idx="50">
                  <c:v>1.1603311727724412E-3</c:v>
                </c:pt>
                <c:pt idx="51">
                  <c:v>1.1616504346370234E-3</c:v>
                </c:pt>
                <c:pt idx="52">
                  <c:v>1.1655665693837932E-3</c:v>
                </c:pt>
                <c:pt idx="53">
                  <c:v>1.1668581230654797E-3</c:v>
                </c:pt>
                <c:pt idx="54">
                  <c:v>1.1681427939877588E-3</c:v>
                </c:pt>
                <c:pt idx="55">
                  <c:v>1.1694205998651573E-3</c:v>
                </c:pt>
                <c:pt idx="56">
                  <c:v>1.1706915584122014E-3</c:v>
                </c:pt>
                <c:pt idx="57">
                  <c:v>1.1744635272164761E-3</c:v>
                </c:pt>
                <c:pt idx="58">
                  <c:v>1.17570727358737E-3</c:v>
                </c:pt>
                <c:pt idx="59">
                  <c:v>1.1769442612005433E-3</c:v>
                </c:pt>
                <c:pt idx="60">
                  <c:v>1.178174507770522E-3</c:v>
                </c:pt>
                <c:pt idx="61">
                  <c:v>1.1793980310118328E-3</c:v>
                </c:pt>
                <c:pt idx="62">
                  <c:v>1.1830284379090244E-3</c:v>
                </c:pt>
                <c:pt idx="63">
                  <c:v>1.1842252449809304E-3</c:v>
                </c:pt>
                <c:pt idx="64">
                  <c:v>1.1854154172968017E-3</c:v>
                </c:pt>
                <c:pt idx="65">
                  <c:v>1.1865989725711647E-3</c:v>
                </c:pt>
                <c:pt idx="66">
                  <c:v>1.1877759285185462E-3</c:v>
                </c:pt>
                <c:pt idx="67">
                  <c:v>1.1912673775440683E-3</c:v>
                </c:pt>
                <c:pt idx="68">
                  <c:v>1.1924181133287901E-3</c:v>
                </c:pt>
                <c:pt idx="69">
                  <c:v>1.1935623383591636E-3</c:v>
                </c:pt>
                <c:pt idx="70">
                  <c:v>1.1947000703497153E-3</c:v>
                </c:pt>
                <c:pt idx="71">
                  <c:v>1.195831327014972E-3</c:v>
                </c:pt>
                <c:pt idx="72">
                  <c:v>1.1991864222042367E-3</c:v>
                </c:pt>
                <c:pt idx="73">
                  <c:v>1.2002919547135788E-3</c:v>
                </c:pt>
                <c:pt idx="74">
                  <c:v>1.2013911004702589E-3</c:v>
                </c:pt>
                <c:pt idx="75">
                  <c:v>1.2024838771888036E-3</c:v>
                </c:pt>
                <c:pt idx="76">
                  <c:v>1.2035703025837395E-3</c:v>
                </c:pt>
                <c:pt idx="77">
                  <c:v>1.2067916479721599E-3</c:v>
                </c:pt>
                <c:pt idx="78">
                  <c:v>1.2078528452179266E-3</c:v>
                </c:pt>
                <c:pt idx="79">
                  <c:v>1.2089077797127175E-3</c:v>
                </c:pt>
                <c:pt idx="80">
                  <c:v>1.2099564691710593E-3</c:v>
                </c:pt>
                <c:pt idx="81">
                  <c:v>1.2109989313074786E-3</c:v>
                </c:pt>
                <c:pt idx="82">
                  <c:v>1.2140891309304674E-3</c:v>
                </c:pt>
                <c:pt idx="83">
                  <c:v>1.2151068609244627E-3</c:v>
                </c:pt>
                <c:pt idx="84">
                  <c:v>1.2161184521691688E-3</c:v>
                </c:pt>
                <c:pt idx="85">
                  <c:v>1.2171239223791122E-3</c:v>
                </c:pt>
                <c:pt idx="86">
                  <c:v>1.2181232892688192E-3</c:v>
                </c:pt>
                <c:pt idx="87">
                  <c:v>1.221084947161789E-3</c:v>
                </c:pt>
                <c:pt idx="88">
                  <c:v>1.2220600779158173E-3</c:v>
                </c:pt>
                <c:pt idx="89">
                  <c:v>1.2230291939222427E-3</c:v>
                </c:pt>
                <c:pt idx="90">
                  <c:v>1.2239923128955915E-3</c:v>
                </c:pt>
                <c:pt idx="91">
                  <c:v>1.2249494525503905E-3</c:v>
                </c:pt>
                <c:pt idx="92">
                  <c:v>1.2277851727487544E-3</c:v>
                </c:pt>
                <c:pt idx="93">
                  <c:v>1.22871857227462E-3</c:v>
                </c:pt>
                <c:pt idx="94">
                  <c:v>1.2296460810545687E-3</c:v>
                </c:pt>
                <c:pt idx="95">
                  <c:v>1.2305677168031274E-3</c:v>
                </c:pt>
                <c:pt idx="96">
                  <c:v>1.2314834972348228E-3</c:v>
                </c:pt>
                <c:pt idx="97">
                  <c:v>1.234195883773993E-3</c:v>
                </c:pt>
                <c:pt idx="98">
                  <c:v>1.2350884200835E-3</c:v>
                </c:pt>
                <c:pt idx="99">
                  <c:v>1.2359751896487768E-3</c:v>
                </c:pt>
                <c:pt idx="100">
                  <c:v>1.2368562101843495E-3</c:v>
                </c:pt>
                <c:pt idx="101">
                  <c:v>1.2377314994047451E-3</c:v>
                </c:pt>
                <c:pt idx="102">
                  <c:v>1.240323156320135E-3</c:v>
                </c:pt>
                <c:pt idx="103">
                  <c:v>1.2411756974250879E-3</c:v>
                </c:pt>
                <c:pt idx="104">
                  <c:v>1.2420225957874968E-3</c:v>
                </c:pt>
                <c:pt idx="105">
                  <c:v>1.2428638691218876E-3</c:v>
                </c:pt>
                <c:pt idx="106">
                  <c:v>1.2436995351427882E-3</c:v>
                </c:pt>
                <c:pt idx="107">
                  <c:v>1.2461730664698099E-3</c:v>
                </c:pt>
                <c:pt idx="108">
                  <c:v>1.2469864803820127E-3</c:v>
                </c:pt>
                <c:pt idx="109">
                  <c:v>1.2477943755533575E-3</c:v>
                </c:pt>
                <c:pt idx="110">
                  <c:v>1.2485967696983713E-3</c:v>
                </c:pt>
                <c:pt idx="111">
                  <c:v>1.2493936805315806E-3</c:v>
                </c:pt>
                <c:pt idx="112">
                  <c:v>1.2517516903056472E-3</c:v>
                </c:pt>
                <c:pt idx="113">
                  <c:v>1.2525268450369043E-3</c:v>
                </c:pt>
                <c:pt idx="114">
                  <c:v>1.2532966050289899E-3</c:v>
                </c:pt>
                <c:pt idx="115">
                  <c:v>1.2540609879964305E-3</c:v>
                </c:pt>
                <c:pt idx="116">
                  <c:v>1.2548200116537531E-3</c:v>
                </c:pt>
                <c:pt idx="117">
                  <c:v>1.257065103910277E-3</c:v>
                </c:pt>
                <c:pt idx="118">
                  <c:v>1.2578028674723925E-3</c:v>
                </c:pt>
                <c:pt idx="119">
                  <c:v>1.2585353602970228E-3</c:v>
                </c:pt>
                <c:pt idx="120">
                  <c:v>1.2592626000986944E-3</c:v>
                </c:pt>
                <c:pt idx="121">
                  <c:v>1.2599846045919345E-3</c:v>
                </c:pt>
                <c:pt idx="122">
                  <c:v>1.2621193833663286E-3</c:v>
                </c:pt>
                <c:pt idx="123">
                  <c:v>1.262820623771107E-3</c:v>
                </c:pt>
                <c:pt idx="124">
                  <c:v>1.2635167174400864E-3</c:v>
                </c:pt>
                <c:pt idx="125">
                  <c:v>1.2642076820877936E-3</c:v>
                </c:pt>
                <c:pt idx="126">
                  <c:v>1.2648935354287554E-3</c:v>
                </c:pt>
                <c:pt idx="127">
                  <c:v>1.2669206047564322E-3</c:v>
                </c:pt>
                <c:pt idx="128">
                  <c:v>1.2675861900156775E-3</c:v>
                </c:pt>
                <c:pt idx="129">
                  <c:v>1.2682467525408103E-3</c:v>
                </c:pt>
                <c:pt idx="130">
                  <c:v>1.2689023100463568E-3</c:v>
                </c:pt>
                <c:pt idx="131">
                  <c:v>1.2695528802468443E-3</c:v>
                </c:pt>
                <c:pt idx="132">
                  <c:v>1.2714748441632173E-3</c:v>
                </c:pt>
                <c:pt idx="133">
                  <c:v>1.2721056422887336E-3</c:v>
                </c:pt>
                <c:pt idx="134">
                  <c:v>1.272731541681824E-3</c:v>
                </c:pt>
                <c:pt idx="135">
                  <c:v>1.2733525600570146E-3</c:v>
                </c:pt>
                <c:pt idx="136">
                  <c:v>1.2739687151288323E-3</c:v>
                </c:pt>
                <c:pt idx="137">
                  <c:v>1.2757881776693134E-3</c:v>
                </c:pt>
                <c:pt idx="138">
                  <c:v>1.2763850566729052E-3</c:v>
                </c:pt>
                <c:pt idx="139">
                  <c:v>1.2769771609457573E-3</c:v>
                </c:pt>
                <c:pt idx="140">
                  <c:v>1.2775645082023961E-3</c:v>
                </c:pt>
                <c:pt idx="141">
                  <c:v>1.2781471161573479E-3</c:v>
                </c:pt>
                <c:pt idx="142">
                  <c:v>1.2798666813573505E-3</c:v>
                </c:pt>
                <c:pt idx="143">
                  <c:v>1.280430509250822E-3</c:v>
                </c:pt>
                <c:pt idx="144">
                  <c:v>1.2809896864152401E-3</c:v>
                </c:pt>
                <c:pt idx="145">
                  <c:v>1.2815442305651311E-3</c:v>
                </c:pt>
                <c:pt idx="146">
                  <c:v>1.2820941594150221E-3</c:v>
                </c:pt>
                <c:pt idx="147">
                  <c:v>1.2837164313099581E-3</c:v>
                </c:pt>
                <c:pt idx="148">
                  <c:v>1.2842480761051137E-3</c:v>
                </c:pt>
                <c:pt idx="149">
                  <c:v>1.2847751941729021E-3</c:v>
                </c:pt>
                <c:pt idx="150">
                  <c:v>1.2852978032278496E-3</c:v>
                </c:pt>
                <c:pt idx="151">
                  <c:v>1.285815920984483E-3</c:v>
                </c:pt>
                <c:pt idx="152">
                  <c:v>1.2873435036097659E-3</c:v>
                </c:pt>
                <c:pt idx="153">
                  <c:v>1.2878438333184098E-3</c:v>
                </c:pt>
                <c:pt idx="154">
                  <c:v>1.2883397603013725E-3</c:v>
                </c:pt>
                <c:pt idx="155">
                  <c:v>1.2888313022731809E-3</c:v>
                </c:pt>
                <c:pt idx="156">
                  <c:v>1.2893184769483621E-3</c:v>
                </c:pt>
                <c:pt idx="157">
                  <c:v>1.2907539743394042E-3</c:v>
                </c:pt>
                <c:pt idx="158">
                  <c:v>1.2912238569733401E-3</c:v>
                </c:pt>
                <c:pt idx="159">
                  <c:v>1.291689460883282E-3</c:v>
                </c:pt>
                <c:pt idx="160">
                  <c:v>1.2921508037837554E-3</c:v>
                </c:pt>
                <c:pt idx="161">
                  <c:v>1.2939539195815019E-3</c:v>
                </c:pt>
                <c:pt idx="162">
                  <c:v>1.2943942231525348E-3</c:v>
                </c:pt>
                <c:pt idx="163">
                  <c:v>1.2948303720012593E-3</c:v>
                </c:pt>
                <c:pt idx="164">
                  <c:v>1.2952623838422021E-3</c:v>
                </c:pt>
                <c:pt idx="165">
                  <c:v>1.2969494154186894E-3</c:v>
                </c:pt>
                <c:pt idx="166">
                  <c:v>1.297361007938623E-3</c:v>
                </c:pt>
                <c:pt idx="167">
                  <c:v>1.2977685697379347E-3</c:v>
                </c:pt>
                <c:pt idx="168">
                  <c:v>1.298172118531151E-3</c:v>
                </c:pt>
                <c:pt idx="169">
                  <c:v>1.2985716720327989E-3</c:v>
                </c:pt>
                <c:pt idx="170">
                  <c:v>1.2997465379335957E-3</c:v>
                </c:pt>
                <c:pt idx="171">
                  <c:v>1.3001302874142346E-3</c:v>
                </c:pt>
                <c:pt idx="172">
                  <c:v>1.3005101301759377E-3</c:v>
                </c:pt>
                <c:pt idx="173">
                  <c:v>1.3008860839332321E-3</c:v>
                </c:pt>
                <c:pt idx="174">
                  <c:v>1.3012581664006439E-3</c:v>
                </c:pt>
                <c:pt idx="175">
                  <c:v>1.3023513632088512E-3</c:v>
                </c:pt>
                <c:pt idx="176">
                  <c:v>1.3027081376619995E-3</c:v>
                </c:pt>
                <c:pt idx="177">
                  <c:v>1.3030611293978983E-3</c:v>
                </c:pt>
                <c:pt idx="178">
                  <c:v>1.3034103561310746E-3</c:v>
                </c:pt>
                <c:pt idx="179">
                  <c:v>1.3037558355760549E-3</c:v>
                </c:pt>
                <c:pt idx="180">
                  <c:v>1.3047699673270851E-3</c:v>
                </c:pt>
                <c:pt idx="181">
                  <c:v>1.3051006347645469E-3</c:v>
                </c:pt>
                <c:pt idx="182">
                  <c:v>1.3054276434864458E-3</c:v>
                </c:pt>
                <c:pt idx="183">
                  <c:v>1.3057510112073085E-3</c:v>
                </c:pt>
                <c:pt idx="184">
                  <c:v>1.3060707556416615E-3</c:v>
                </c:pt>
                <c:pt idx="185">
                  <c:v>1.3070084263709274E-3</c:v>
                </c:pt>
                <c:pt idx="186">
                  <c:v>1.3073138548045074E-3</c:v>
                </c:pt>
                <c:pt idx="187">
                  <c:v>1.3076157485242103E-3</c:v>
                </c:pt>
                <c:pt idx="188">
                  <c:v>1.3079141252445637E-3</c:v>
                </c:pt>
                <c:pt idx="189">
                  <c:v>1.3082090026800932E-3</c:v>
                </c:pt>
                <c:pt idx="190">
                  <c:v>1.3090728164230074E-3</c:v>
                </c:pt>
                <c:pt idx="191">
                  <c:v>1.3093538738645095E-3</c:v>
                </c:pt>
                <c:pt idx="192">
                  <c:v>1.3096315205938212E-3</c:v>
                </c:pt>
                <c:pt idx="193">
                  <c:v>1.3099057743254693E-3</c:v>
                </c:pt>
                <c:pt idx="194">
                  <c:v>1.31017665277398E-3</c:v>
                </c:pt>
                <c:pt idx="195">
                  <c:v>1.3109692135659557E-3</c:v>
                </c:pt>
                <c:pt idx="196">
                  <c:v>1.3112267680271841E-3</c:v>
                </c:pt>
                <c:pt idx="197">
                  <c:v>1.3114810357779086E-3</c:v>
                </c:pt>
                <c:pt idx="198">
                  <c:v>1.3117320345326557E-3</c:v>
                </c:pt>
                <c:pt idx="199">
                  <c:v>1.3119797820059515E-3</c:v>
                </c:pt>
                <c:pt idx="200">
                  <c:v>1.3127036938824013E-3</c:v>
                </c:pt>
                <c:pt idx="201">
                  <c:v>1.3129386133751604E-3</c:v>
                </c:pt>
                <c:pt idx="202">
                  <c:v>1.3131703701591015E-3</c:v>
                </c:pt>
                <c:pt idx="203">
                  <c:v>1.3133989819487518E-3</c:v>
                </c:pt>
                <c:pt idx="204">
                  <c:v>1.3136244664586376E-3</c:v>
                </c:pt>
                <c:pt idx="205">
                  <c:v>1.3142823334549741E-3</c:v>
                </c:pt>
                <c:pt idx="206">
                  <c:v>1.3144954859910679E-3</c:v>
                </c:pt>
                <c:pt idx="207">
                  <c:v>1.3147055998200307E-3</c:v>
                </c:pt>
                <c:pt idx="208">
                  <c:v>1.3149126926563883E-3</c:v>
                </c:pt>
                <c:pt idx="209">
                  <c:v>1.3151167822146679E-3</c:v>
                </c:pt>
                <c:pt idx="210">
                  <c:v>1.3157112083663038E-3</c:v>
                </c:pt>
                <c:pt idx="211">
                  <c:v>1.3159034619575367E-3</c:v>
                </c:pt>
                <c:pt idx="212">
                  <c:v>1.3160928008433244E-3</c:v>
                </c:pt>
                <c:pt idx="213">
                  <c:v>1.3162792427381942E-3</c:v>
                </c:pt>
                <c:pt idx="214">
                  <c:v>1.3164628053566718E-3</c:v>
                </c:pt>
                <c:pt idx="215">
                  <c:v>1.31699639469902E-3</c:v>
                </c:pt>
                <c:pt idx="216">
                  <c:v>1.3171686173571963E-3</c:v>
                </c:pt>
                <c:pt idx="217">
                  <c:v>1.317338049311614E-3</c:v>
                </c:pt>
                <c:pt idx="218">
                  <c:v>1.3175047082767996E-3</c:v>
                </c:pt>
                <c:pt idx="219">
                  <c:v>1.3176686119672797E-3</c:v>
                </c:pt>
                <c:pt idx="220">
                  <c:v>1.3181439685357524E-3</c:v>
                </c:pt>
                <c:pt idx="221">
                  <c:v>1.3182970282726765E-3</c:v>
                </c:pt>
                <c:pt idx="222">
                  <c:v>1.3184474213075283E-3</c:v>
                </c:pt>
                <c:pt idx="223">
                  <c:v>1.3185951653548337E-3</c:v>
                </c:pt>
                <c:pt idx="224">
                  <c:v>1.319294770786607E-3</c:v>
                </c:pt>
                <c:pt idx="225">
                  <c:v>1.3194269929136966E-3</c:v>
                </c:pt>
                <c:pt idx="226">
                  <c:v>1.319556690054927E-3</c:v>
                </c:pt>
                <c:pt idx="227">
                  <c:v>1.3196838799248245E-3</c:v>
                </c:pt>
                <c:pt idx="228">
                  <c:v>1.3200505830517854E-3</c:v>
                </c:pt>
                <c:pt idx="229">
                  <c:v>1.3201679209816175E-3</c:v>
                </c:pt>
                <c:pt idx="230">
                  <c:v>1.3202828402127495E-3</c:v>
                </c:pt>
                <c:pt idx="231">
                  <c:v>1.3203953584597086E-3</c:v>
                </c:pt>
                <c:pt idx="232">
                  <c:v>1.3205054934370209E-3</c:v>
                </c:pt>
                <c:pt idx="233">
                  <c:v>1.3208217758963452E-3</c:v>
                </c:pt>
                <c:pt idx="234">
                  <c:v>1.3209225549403376E-3</c:v>
                </c:pt>
                <c:pt idx="235">
                  <c:v>1.3210210392873166E-3</c:v>
                </c:pt>
                <c:pt idx="236">
                  <c:v>1.3211172466518085E-3</c:v>
                </c:pt>
                <c:pt idx="237">
                  <c:v>1.3212111947483404E-3</c:v>
                </c:pt>
                <c:pt idx="238">
                  <c:v>1.32147966057544E-3</c:v>
                </c:pt>
                <c:pt idx="239">
                  <c:v>1.3215647487453974E-3</c:v>
                </c:pt>
                <c:pt idx="240">
                  <c:v>1.3216476662200271E-3</c:v>
                </c:pt>
                <c:pt idx="241">
                  <c:v>1.3217284307138562E-3</c:v>
                </c:pt>
                <c:pt idx="242">
                  <c:v>1.3218070599414118E-3</c:v>
                </c:pt>
                <c:pt idx="243">
                  <c:v>1.3220303131717002E-3</c:v>
                </c:pt>
                <c:pt idx="244">
                  <c:v>1.3221005784794259E-3</c:v>
                </c:pt>
                <c:pt idx="245">
                  <c:v>1.3221687970935109E-3</c:v>
                </c:pt>
                <c:pt idx="246">
                  <c:v>1.3222349867284815E-3</c:v>
                </c:pt>
                <c:pt idx="247">
                  <c:v>1.3222991650988648E-3</c:v>
                </c:pt>
                <c:pt idx="248">
                  <c:v>1.3224798097677549E-3</c:v>
                </c:pt>
                <c:pt idx="249">
                  <c:v>1.3225361202250537E-3</c:v>
                </c:pt>
                <c:pt idx="250">
                  <c:v>1.3225905079903978E-3</c:v>
                </c:pt>
                <c:pt idx="251">
                  <c:v>1.3226429907783146E-3</c:v>
                </c:pt>
                <c:pt idx="252">
                  <c:v>1.3226935863033297E-3</c:v>
                </c:pt>
                <c:pt idx="253">
                  <c:v>1.3228342264462335E-3</c:v>
                </c:pt>
                <c:pt idx="254">
                  <c:v>1.3228774500649097E-3</c:v>
                </c:pt>
                <c:pt idx="255">
                  <c:v>1.3229188749933176E-3</c:v>
                </c:pt>
                <c:pt idx="256">
                  <c:v>1.3229585189459842E-3</c:v>
                </c:pt>
                <c:pt idx="257">
                  <c:v>1.3229963996374357E-3</c:v>
                </c:pt>
                <c:pt idx="258">
                  <c:v>1.3230996392897666E-3</c:v>
                </c:pt>
                <c:pt idx="259">
                  <c:v>1.3231306440816242E-3</c:v>
                </c:pt>
              </c:numCache>
            </c:numRef>
          </c:yVal>
          <c:smooth val="0"/>
        </c:ser>
        <c:ser>
          <c:idx val="2"/>
          <c:order val="3"/>
          <c:tx>
            <c:v>Basis Futures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'3MSynthDepo_used'!$G$11:$G$15</c:f>
              <c:numCache>
                <c:formatCode>d\-mmm\-yy</c:formatCode>
                <c:ptCount val="5"/>
                <c:pt idx="0">
                  <c:v>42144</c:v>
                </c:pt>
                <c:pt idx="1">
                  <c:v>42172</c:v>
                </c:pt>
                <c:pt idx="2">
                  <c:v>42263</c:v>
                </c:pt>
                <c:pt idx="3">
                  <c:v>42354</c:v>
                </c:pt>
                <c:pt idx="4">
                  <c:v>42445</c:v>
                </c:pt>
              </c:numCache>
            </c:numRef>
          </c:xVal>
          <c:yVal>
            <c:numRef>
              <c:f>'3MSynthDepo_used'!$K$11:$K$15</c:f>
              <c:numCache>
                <c:formatCode>0.0000%</c:formatCode>
                <c:ptCount val="5"/>
                <c:pt idx="0">
                  <c:v>1.010278581567673E-3</c:v>
                </c:pt>
                <c:pt idx="1">
                  <c:v>1.1889159582210733E-3</c:v>
                </c:pt>
                <c:pt idx="2">
                  <c:v>1.1790656597291187E-3</c:v>
                </c:pt>
                <c:pt idx="3">
                  <c:v>1.2924355730062642E-3</c:v>
                </c:pt>
                <c:pt idx="4">
                  <c:v>1.3348526095320191E-3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238848"/>
        <c:axId val="652240768"/>
      </c:scatterChart>
      <c:valAx>
        <c:axId val="6522388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52240768"/>
        <c:crosses val="autoZero"/>
        <c:crossBetween val="midCat"/>
      </c:valAx>
      <c:valAx>
        <c:axId val="65224076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5223884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4733816551076812"/>
          <c:h val="0.226390096141831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'3MSynthDepo_used'!$R$3:$R$69</c:f>
              <c:numCache>
                <c:formatCode>d\-mmm\-yy</c:formatCode>
                <c:ptCount val="67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xVal>
          <c:yVal>
            <c:numRef>
              <c:f>'3MSynthDepo_used'!$U$3:$U$69</c:f>
              <c:numCache>
                <c:formatCode>0.0000%</c:formatCode>
                <c:ptCount val="67"/>
                <c:pt idx="0">
                  <c:v>9.5721791607622226E-4</c:v>
                </c:pt>
                <c:pt idx="1">
                  <c:v>9.5946335099148373E-4</c:v>
                </c:pt>
                <c:pt idx="2">
                  <c:v>9.6614560767408094E-4</c:v>
                </c:pt>
                <c:pt idx="3">
                  <c:v>9.6835506959563964E-4</c:v>
                </c:pt>
                <c:pt idx="4">
                  <c:v>9.7055558255508914E-4</c:v>
                </c:pt>
                <c:pt idx="5">
                  <c:v>9.7274716426695609E-4</c:v>
                </c:pt>
                <c:pt idx="6">
                  <c:v>9.7492983244576708E-4</c:v>
                </c:pt>
                <c:pt idx="7">
                  <c:v>9.8142453292913078E-4</c:v>
                </c:pt>
                <c:pt idx="8">
                  <c:v>9.835717241209838E-4</c:v>
                </c:pt>
                <c:pt idx="9">
                  <c:v>9.8571009035241445E-4</c:v>
                </c:pt>
                <c:pt idx="10">
                  <c:v>9.8783964933794877E-4</c:v>
                </c:pt>
                <c:pt idx="11">
                  <c:v>9.8996041879211342E-4</c:v>
                </c:pt>
                <c:pt idx="12">
                  <c:v>9.9627016711165617E-4</c:v>
                </c:pt>
                <c:pt idx="13">
                  <c:v>9.9835595558560829E-4</c:v>
                </c:pt>
                <c:pt idx="14">
                  <c:v>1.0004330431008241E-3</c:v>
                </c:pt>
                <c:pt idx="15">
                  <c:v>1.0025014473718302E-3</c:v>
                </c:pt>
                <c:pt idx="16">
                  <c:v>1.0045611861131528E-3</c:v>
                </c:pt>
                <c:pt idx="17">
                  <c:v>1.0106885863042873E-3</c:v>
                </c:pt>
                <c:pt idx="18">
                  <c:v>1.0127138400721426E-3</c:v>
                </c:pt>
                <c:pt idx="19">
                  <c:v>1.014730516882948E-3</c:v>
                </c:pt>
                <c:pt idx="20">
                  <c:v>1.0167386344512297E-3</c:v>
                </c:pt>
                <c:pt idx="21">
                  <c:v>1.0187382104915146E-3</c:v>
                </c:pt>
                <c:pt idx="22">
                  <c:v>1.0246858665896536E-3</c:v>
                </c:pt>
                <c:pt idx="23">
                  <c:v>1.0266514536632165E-3</c:v>
                </c:pt>
                <c:pt idx="24">
                  <c:v>1.0286085877814156E-3</c:v>
                </c:pt>
                <c:pt idx="25">
                  <c:v>1.0305572866587775E-3</c:v>
                </c:pt>
                <c:pt idx="26">
                  <c:v>1.0324975680098287E-3</c:v>
                </c:pt>
                <c:pt idx="27">
                  <c:v>1.0382680840503849E-3</c:v>
                </c:pt>
                <c:pt idx="28">
                  <c:v>1.0401748724414598E-3</c:v>
                </c:pt>
                <c:pt idx="29">
                  <c:v>1.0420733318788568E-3</c:v>
                </c:pt>
                <c:pt idx="30">
                  <c:v>1.043963480077103E-3</c:v>
                </c:pt>
                <c:pt idx="31">
                  <c:v>1.0458453347507251E-3</c:v>
                </c:pt>
                <c:pt idx="32">
                  <c:v>1.0514413147691111E-3</c:v>
                </c:pt>
                <c:pt idx="33">
                  <c:v>1.053290172489502E-3</c:v>
                </c:pt>
                <c:pt idx="34">
                  <c:v>1.0551308252579013E-3</c:v>
                </c:pt>
                <c:pt idx="35">
                  <c:v>1.0569632907888361E-3</c:v>
                </c:pt>
                <c:pt idx="36">
                  <c:v>1.058787586796833E-3</c:v>
                </c:pt>
                <c:pt idx="37">
                  <c:v>1.064211634828462E-3</c:v>
                </c:pt>
                <c:pt idx="38">
                  <c:v>1.0660034298899726E-3</c:v>
                </c:pt>
                <c:pt idx="39">
                  <c:v>1.0677871440011785E-3</c:v>
                </c:pt>
                <c:pt idx="40">
                  <c:v>1.0695627948766064E-3</c:v>
                </c:pt>
                <c:pt idx="41">
                  <c:v>1.0713304002307822E-3</c:v>
                </c:pt>
                <c:pt idx="42">
                  <c:v>1.0765851203110666E-3</c:v>
                </c:pt>
                <c:pt idx="43">
                  <c:v>1.0783207207255021E-3</c:v>
                </c:pt>
                <c:pt idx="44">
                  <c:v>1.0800483641913187E-3</c:v>
                </c:pt>
                <c:pt idx="45">
                  <c:v>1.0817680684230436E-3</c:v>
                </c:pt>
                <c:pt idx="46">
                  <c:v>1.0834798511352029E-3</c:v>
                </c:pt>
                <c:pt idx="47">
                  <c:v>1.0885678472995553E-3</c:v>
                </c:pt>
                <c:pt idx="48">
                  <c:v>1.0902481210787194E-3</c:v>
                </c:pt>
                <c:pt idx="49">
                  <c:v>1.0919205619109513E-3</c:v>
                </c:pt>
                <c:pt idx="50">
                  <c:v>1.0935851875107773E-3</c:v>
                </c:pt>
                <c:pt idx="51">
                  <c:v>1.0952420155927243E-3</c:v>
                </c:pt>
                <c:pt idx="52">
                  <c:v>1.1001658918765578E-3</c:v>
                </c:pt>
                <c:pt idx="53">
                  <c:v>1.1017917070322548E-3</c:v>
                </c:pt>
                <c:pt idx="54">
                  <c:v>1.1034098132427057E-3</c:v>
                </c:pt>
                <c:pt idx="55">
                  <c:v>1.1050202282224374E-3</c:v>
                </c:pt>
                <c:pt idx="56">
                  <c:v>1.1066229696859767E-3</c:v>
                </c:pt>
                <c:pt idx="57">
                  <c:v>1.1113853301247035E-3</c:v>
                </c:pt>
                <c:pt idx="58">
                  <c:v>1.1129575546687375E-3</c:v>
                </c:pt>
                <c:pt idx="59">
                  <c:v>1.1145221942692122E-3</c:v>
                </c:pt>
                <c:pt idx="60">
                  <c:v>1.1160792666406536E-3</c:v>
                </c:pt>
                <c:pt idx="61">
                  <c:v>1.1176287894975887E-3</c:v>
                </c:pt>
                <c:pt idx="62">
                  <c:v>1.1222322381266221E-3</c:v>
                </c:pt>
                <c:pt idx="63">
                  <c:v>1.1237517400707977E-3</c:v>
                </c:pt>
                <c:pt idx="64">
                  <c:v>1.1252637810731001E-3</c:v>
                </c:pt>
                <c:pt idx="65">
                  <c:v>1.1267683788480558E-3</c:v>
                </c:pt>
                <c:pt idx="66">
                  <c:v>1.1282655511101914E-3</c:v>
                </c:pt>
              </c:numCache>
            </c:numRef>
          </c:yVal>
          <c:smooth val="0"/>
        </c:ser>
        <c:ser>
          <c:idx val="0"/>
          <c:order val="1"/>
          <c:marker>
            <c:symbol val="none"/>
          </c:marker>
          <c:xVal>
            <c:numRef>
              <c:f>'3MSynthDepo_used'!$R$70:$R$262</c:f>
              <c:numCache>
                <c:formatCode>d\-mmm\-yy</c:formatCode>
                <c:ptCount val="193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42254</c:v>
                </c:pt>
                <c:pt idx="16">
                  <c:v>42255</c:v>
                </c:pt>
                <c:pt idx="17">
                  <c:v>42256</c:v>
                </c:pt>
                <c:pt idx="18">
                  <c:v>42257</c:v>
                </c:pt>
                <c:pt idx="19">
                  <c:v>42258</c:v>
                </c:pt>
                <c:pt idx="20">
                  <c:v>42261</c:v>
                </c:pt>
                <c:pt idx="21">
                  <c:v>42262</c:v>
                </c:pt>
                <c:pt idx="22">
                  <c:v>42263</c:v>
                </c:pt>
                <c:pt idx="23">
                  <c:v>42264</c:v>
                </c:pt>
                <c:pt idx="24">
                  <c:v>42265</c:v>
                </c:pt>
                <c:pt idx="25">
                  <c:v>42268</c:v>
                </c:pt>
                <c:pt idx="26">
                  <c:v>42269</c:v>
                </c:pt>
                <c:pt idx="27">
                  <c:v>42270</c:v>
                </c:pt>
                <c:pt idx="28">
                  <c:v>42271</c:v>
                </c:pt>
                <c:pt idx="29">
                  <c:v>42272</c:v>
                </c:pt>
                <c:pt idx="30">
                  <c:v>42275</c:v>
                </c:pt>
                <c:pt idx="31">
                  <c:v>42276</c:v>
                </c:pt>
                <c:pt idx="32">
                  <c:v>42277</c:v>
                </c:pt>
                <c:pt idx="33">
                  <c:v>42278</c:v>
                </c:pt>
                <c:pt idx="34">
                  <c:v>42279</c:v>
                </c:pt>
                <c:pt idx="35">
                  <c:v>42282</c:v>
                </c:pt>
                <c:pt idx="36">
                  <c:v>42283</c:v>
                </c:pt>
                <c:pt idx="37">
                  <c:v>42284</c:v>
                </c:pt>
                <c:pt idx="38">
                  <c:v>42285</c:v>
                </c:pt>
                <c:pt idx="39">
                  <c:v>42286</c:v>
                </c:pt>
                <c:pt idx="40">
                  <c:v>42289</c:v>
                </c:pt>
                <c:pt idx="41">
                  <c:v>42290</c:v>
                </c:pt>
                <c:pt idx="42">
                  <c:v>42291</c:v>
                </c:pt>
                <c:pt idx="43">
                  <c:v>42292</c:v>
                </c:pt>
                <c:pt idx="44">
                  <c:v>42293</c:v>
                </c:pt>
                <c:pt idx="45">
                  <c:v>42296</c:v>
                </c:pt>
                <c:pt idx="46">
                  <c:v>42297</c:v>
                </c:pt>
                <c:pt idx="47">
                  <c:v>42298</c:v>
                </c:pt>
                <c:pt idx="48">
                  <c:v>42299</c:v>
                </c:pt>
                <c:pt idx="49">
                  <c:v>42300</c:v>
                </c:pt>
                <c:pt idx="50">
                  <c:v>42303</c:v>
                </c:pt>
                <c:pt idx="51">
                  <c:v>42304</c:v>
                </c:pt>
                <c:pt idx="52">
                  <c:v>42305</c:v>
                </c:pt>
                <c:pt idx="53">
                  <c:v>42306</c:v>
                </c:pt>
                <c:pt idx="54">
                  <c:v>42307</c:v>
                </c:pt>
                <c:pt idx="55">
                  <c:v>42310</c:v>
                </c:pt>
                <c:pt idx="56">
                  <c:v>42311</c:v>
                </c:pt>
                <c:pt idx="57">
                  <c:v>42312</c:v>
                </c:pt>
                <c:pt idx="58">
                  <c:v>42313</c:v>
                </c:pt>
                <c:pt idx="59">
                  <c:v>42314</c:v>
                </c:pt>
                <c:pt idx="60">
                  <c:v>42317</c:v>
                </c:pt>
                <c:pt idx="61">
                  <c:v>42318</c:v>
                </c:pt>
                <c:pt idx="62">
                  <c:v>42319</c:v>
                </c:pt>
                <c:pt idx="63">
                  <c:v>42320</c:v>
                </c:pt>
                <c:pt idx="64">
                  <c:v>42321</c:v>
                </c:pt>
                <c:pt idx="65">
                  <c:v>42324</c:v>
                </c:pt>
                <c:pt idx="66">
                  <c:v>42325</c:v>
                </c:pt>
                <c:pt idx="67">
                  <c:v>42326</c:v>
                </c:pt>
                <c:pt idx="68">
                  <c:v>42327</c:v>
                </c:pt>
                <c:pt idx="69">
                  <c:v>42328</c:v>
                </c:pt>
                <c:pt idx="70">
                  <c:v>42331</c:v>
                </c:pt>
                <c:pt idx="71">
                  <c:v>42332</c:v>
                </c:pt>
                <c:pt idx="72">
                  <c:v>42333</c:v>
                </c:pt>
                <c:pt idx="73">
                  <c:v>42334</c:v>
                </c:pt>
                <c:pt idx="74">
                  <c:v>42335</c:v>
                </c:pt>
                <c:pt idx="75">
                  <c:v>42338</c:v>
                </c:pt>
                <c:pt idx="76">
                  <c:v>42339</c:v>
                </c:pt>
                <c:pt idx="77">
                  <c:v>42340</c:v>
                </c:pt>
                <c:pt idx="78">
                  <c:v>42341</c:v>
                </c:pt>
                <c:pt idx="79">
                  <c:v>42342</c:v>
                </c:pt>
                <c:pt idx="80">
                  <c:v>42345</c:v>
                </c:pt>
                <c:pt idx="81">
                  <c:v>42346</c:v>
                </c:pt>
                <c:pt idx="82">
                  <c:v>42347</c:v>
                </c:pt>
                <c:pt idx="83">
                  <c:v>42348</c:v>
                </c:pt>
                <c:pt idx="84">
                  <c:v>42349</c:v>
                </c:pt>
                <c:pt idx="85">
                  <c:v>42352</c:v>
                </c:pt>
                <c:pt idx="86">
                  <c:v>42353</c:v>
                </c:pt>
                <c:pt idx="87">
                  <c:v>42354</c:v>
                </c:pt>
                <c:pt idx="88">
                  <c:v>42355</c:v>
                </c:pt>
                <c:pt idx="89">
                  <c:v>42356</c:v>
                </c:pt>
                <c:pt idx="90">
                  <c:v>42359</c:v>
                </c:pt>
                <c:pt idx="91">
                  <c:v>42360</c:v>
                </c:pt>
                <c:pt idx="92">
                  <c:v>42361</c:v>
                </c:pt>
                <c:pt idx="93">
                  <c:v>42362</c:v>
                </c:pt>
                <c:pt idx="94">
                  <c:v>42366</c:v>
                </c:pt>
                <c:pt idx="95">
                  <c:v>42367</c:v>
                </c:pt>
                <c:pt idx="96">
                  <c:v>42368</c:v>
                </c:pt>
                <c:pt idx="97">
                  <c:v>42369</c:v>
                </c:pt>
                <c:pt idx="98">
                  <c:v>42373</c:v>
                </c:pt>
                <c:pt idx="99">
                  <c:v>42374</c:v>
                </c:pt>
                <c:pt idx="100">
                  <c:v>42375</c:v>
                </c:pt>
                <c:pt idx="101">
                  <c:v>42376</c:v>
                </c:pt>
                <c:pt idx="102">
                  <c:v>42377</c:v>
                </c:pt>
                <c:pt idx="103">
                  <c:v>42380</c:v>
                </c:pt>
                <c:pt idx="104">
                  <c:v>42381</c:v>
                </c:pt>
                <c:pt idx="105">
                  <c:v>42382</c:v>
                </c:pt>
                <c:pt idx="106">
                  <c:v>42383</c:v>
                </c:pt>
                <c:pt idx="107">
                  <c:v>42384</c:v>
                </c:pt>
                <c:pt idx="108">
                  <c:v>42387</c:v>
                </c:pt>
                <c:pt idx="109">
                  <c:v>42388</c:v>
                </c:pt>
                <c:pt idx="110">
                  <c:v>42389</c:v>
                </c:pt>
                <c:pt idx="111">
                  <c:v>42390</c:v>
                </c:pt>
                <c:pt idx="112">
                  <c:v>42391</c:v>
                </c:pt>
                <c:pt idx="113">
                  <c:v>42394</c:v>
                </c:pt>
                <c:pt idx="114">
                  <c:v>42395</c:v>
                </c:pt>
                <c:pt idx="115">
                  <c:v>42396</c:v>
                </c:pt>
                <c:pt idx="116">
                  <c:v>42397</c:v>
                </c:pt>
                <c:pt idx="117">
                  <c:v>42398</c:v>
                </c:pt>
                <c:pt idx="118">
                  <c:v>42401</c:v>
                </c:pt>
                <c:pt idx="119">
                  <c:v>42402</c:v>
                </c:pt>
                <c:pt idx="120">
                  <c:v>42403</c:v>
                </c:pt>
                <c:pt idx="121">
                  <c:v>42404</c:v>
                </c:pt>
                <c:pt idx="122">
                  <c:v>42405</c:v>
                </c:pt>
                <c:pt idx="123">
                  <c:v>42408</c:v>
                </c:pt>
                <c:pt idx="124">
                  <c:v>42409</c:v>
                </c:pt>
                <c:pt idx="125">
                  <c:v>42410</c:v>
                </c:pt>
                <c:pt idx="126">
                  <c:v>42411</c:v>
                </c:pt>
                <c:pt idx="127">
                  <c:v>42412</c:v>
                </c:pt>
                <c:pt idx="128">
                  <c:v>42415</c:v>
                </c:pt>
                <c:pt idx="129">
                  <c:v>42416</c:v>
                </c:pt>
                <c:pt idx="130">
                  <c:v>42417</c:v>
                </c:pt>
                <c:pt idx="131">
                  <c:v>42418</c:v>
                </c:pt>
                <c:pt idx="132">
                  <c:v>42419</c:v>
                </c:pt>
                <c:pt idx="133">
                  <c:v>42422</c:v>
                </c:pt>
                <c:pt idx="134">
                  <c:v>42423</c:v>
                </c:pt>
                <c:pt idx="135">
                  <c:v>42424</c:v>
                </c:pt>
                <c:pt idx="136">
                  <c:v>42425</c:v>
                </c:pt>
                <c:pt idx="137">
                  <c:v>42426</c:v>
                </c:pt>
                <c:pt idx="138">
                  <c:v>42429</c:v>
                </c:pt>
                <c:pt idx="139">
                  <c:v>42430</c:v>
                </c:pt>
                <c:pt idx="140">
                  <c:v>42431</c:v>
                </c:pt>
                <c:pt idx="141">
                  <c:v>42432</c:v>
                </c:pt>
                <c:pt idx="142">
                  <c:v>42433</c:v>
                </c:pt>
                <c:pt idx="143">
                  <c:v>42436</c:v>
                </c:pt>
                <c:pt idx="144">
                  <c:v>42437</c:v>
                </c:pt>
                <c:pt idx="145">
                  <c:v>42438</c:v>
                </c:pt>
                <c:pt idx="146">
                  <c:v>42439</c:v>
                </c:pt>
                <c:pt idx="147">
                  <c:v>42440</c:v>
                </c:pt>
                <c:pt idx="148">
                  <c:v>42443</c:v>
                </c:pt>
                <c:pt idx="149">
                  <c:v>42444</c:v>
                </c:pt>
                <c:pt idx="150">
                  <c:v>42445</c:v>
                </c:pt>
                <c:pt idx="151">
                  <c:v>42446</c:v>
                </c:pt>
                <c:pt idx="152">
                  <c:v>42447</c:v>
                </c:pt>
                <c:pt idx="153">
                  <c:v>42450</c:v>
                </c:pt>
                <c:pt idx="154">
                  <c:v>42451</c:v>
                </c:pt>
                <c:pt idx="155">
                  <c:v>42452</c:v>
                </c:pt>
                <c:pt idx="156">
                  <c:v>42453</c:v>
                </c:pt>
                <c:pt idx="157">
                  <c:v>42458</c:v>
                </c:pt>
                <c:pt idx="158">
                  <c:v>42459</c:v>
                </c:pt>
                <c:pt idx="159">
                  <c:v>42460</c:v>
                </c:pt>
                <c:pt idx="160">
                  <c:v>42461</c:v>
                </c:pt>
                <c:pt idx="161">
                  <c:v>42464</c:v>
                </c:pt>
                <c:pt idx="162">
                  <c:v>42465</c:v>
                </c:pt>
                <c:pt idx="163">
                  <c:v>42466</c:v>
                </c:pt>
                <c:pt idx="164">
                  <c:v>42467</c:v>
                </c:pt>
                <c:pt idx="165">
                  <c:v>42468</c:v>
                </c:pt>
                <c:pt idx="166">
                  <c:v>42471</c:v>
                </c:pt>
                <c:pt idx="167">
                  <c:v>42472</c:v>
                </c:pt>
                <c:pt idx="168">
                  <c:v>42473</c:v>
                </c:pt>
                <c:pt idx="169">
                  <c:v>42474</c:v>
                </c:pt>
                <c:pt idx="170">
                  <c:v>42475</c:v>
                </c:pt>
                <c:pt idx="171">
                  <c:v>42478</c:v>
                </c:pt>
                <c:pt idx="172">
                  <c:v>42479</c:v>
                </c:pt>
                <c:pt idx="173">
                  <c:v>42480</c:v>
                </c:pt>
                <c:pt idx="174">
                  <c:v>42481</c:v>
                </c:pt>
                <c:pt idx="175">
                  <c:v>42482</c:v>
                </c:pt>
                <c:pt idx="176">
                  <c:v>42485</c:v>
                </c:pt>
                <c:pt idx="177">
                  <c:v>42486</c:v>
                </c:pt>
                <c:pt idx="178">
                  <c:v>42487</c:v>
                </c:pt>
                <c:pt idx="179">
                  <c:v>42488</c:v>
                </c:pt>
                <c:pt idx="180">
                  <c:v>42489</c:v>
                </c:pt>
                <c:pt idx="181">
                  <c:v>42492</c:v>
                </c:pt>
                <c:pt idx="182">
                  <c:v>42493</c:v>
                </c:pt>
                <c:pt idx="183">
                  <c:v>42494</c:v>
                </c:pt>
                <c:pt idx="184">
                  <c:v>42495</c:v>
                </c:pt>
                <c:pt idx="185">
                  <c:v>42496</c:v>
                </c:pt>
                <c:pt idx="186">
                  <c:v>42499</c:v>
                </c:pt>
                <c:pt idx="187">
                  <c:v>42500</c:v>
                </c:pt>
                <c:pt idx="188">
                  <c:v>42501</c:v>
                </c:pt>
                <c:pt idx="189">
                  <c:v>42502</c:v>
                </c:pt>
                <c:pt idx="190">
                  <c:v>42503</c:v>
                </c:pt>
                <c:pt idx="191">
                  <c:v>42506</c:v>
                </c:pt>
                <c:pt idx="192">
                  <c:v>42507</c:v>
                </c:pt>
              </c:numCache>
            </c:numRef>
          </c:xVal>
          <c:yVal>
            <c:numRef>
              <c:f>'3MSynthDepo_used'!$U$70:$U$262</c:f>
              <c:numCache>
                <c:formatCode>0.0000%</c:formatCode>
                <c:ptCount val="193"/>
                <c:pt idx="0">
                  <c:v>1.1327126919649436E-3</c:v>
                </c:pt>
                <c:pt idx="1">
                  <c:v>1.134180339321065E-3</c:v>
                </c:pt>
                <c:pt idx="2">
                  <c:v>1.1356406497369993E-3</c:v>
                </c:pt>
                <c:pt idx="3">
                  <c:v>1.1370936409272733E-3</c:v>
                </c:pt>
                <c:pt idx="4">
                  <c:v>1.1385393306064136E-3</c:v>
                </c:pt>
                <c:pt idx="5">
                  <c:v>1.1428327677222975E-3</c:v>
                </c:pt>
                <c:pt idx="6">
                  <c:v>1.1442494285021686E-3</c:v>
                </c:pt>
                <c:pt idx="7">
                  <c:v>1.1456588763435393E-3</c:v>
                </c:pt>
                <c:pt idx="8">
                  <c:v>1.1470611289609359E-3</c:v>
                </c:pt>
                <c:pt idx="9">
                  <c:v>1.148456204068885E-3</c:v>
                </c:pt>
                <c:pt idx="10">
                  <c:v>1.1525985414813137E-3</c:v>
                </c:pt>
                <c:pt idx="11">
                  <c:v>1.1539650836967391E-3</c:v>
                </c:pt>
                <c:pt idx="12">
                  <c:v>1.1553245369753499E-3</c:v>
                </c:pt>
                <c:pt idx="13">
                  <c:v>1.1566769190316734E-3</c:v>
                </c:pt>
                <c:pt idx="14">
                  <c:v>1.1580222475802357E-3</c:v>
                </c:pt>
                <c:pt idx="15">
                  <c:v>1.1620160893246216E-3</c:v>
                </c:pt>
                <c:pt idx="16">
                  <c:v>1.1633333809874054E-3</c:v>
                </c:pt>
                <c:pt idx="17">
                  <c:v>1.1646437077150612E-3</c:v>
                </c:pt>
                <c:pt idx="18">
                  <c:v>1.1659470872221159E-3</c:v>
                </c:pt>
                <c:pt idx="19">
                  <c:v>1.1672435372230953E-3</c:v>
                </c:pt>
                <c:pt idx="20">
                  <c:v>1.1710914873348513E-3</c:v>
                </c:pt>
                <c:pt idx="21">
                  <c:v>1.1723603964567978E-3</c:v>
                </c:pt>
                <c:pt idx="22">
                  <c:v>1.1736224646453025E-3</c:v>
                </c:pt>
                <c:pt idx="23">
                  <c:v>1.1748777096148922E-3</c:v>
                </c:pt>
                <c:pt idx="24">
                  <c:v>1.1761261490800935E-3</c:v>
                </c:pt>
                <c:pt idx="25">
                  <c:v>1.1798308115946322E-3</c:v>
                </c:pt>
                <c:pt idx="26">
                  <c:v>1.1810522061875457E-3</c:v>
                </c:pt>
                <c:pt idx="27">
                  <c:v>1.1822668838487036E-3</c:v>
                </c:pt>
                <c:pt idx="28">
                  <c:v>1.183474862292633E-3</c:v>
                </c:pt>
                <c:pt idx="29">
                  <c:v>1.18467615923386E-3</c:v>
                </c:pt>
                <c:pt idx="30">
                  <c:v>1.1882401381865942E-3</c:v>
                </c:pt>
                <c:pt idx="31">
                  <c:v>1.1894148862622788E-3</c:v>
                </c:pt>
                <c:pt idx="32">
                  <c:v>1.1905830414078943E-3</c:v>
                </c:pt>
                <c:pt idx="33">
                  <c:v>1.1917446213379674E-3</c:v>
                </c:pt>
                <c:pt idx="34">
                  <c:v>1.1928996437670244E-3</c:v>
                </c:pt>
                <c:pt idx="35">
                  <c:v>1.1963255431933671E-3</c:v>
                </c:pt>
                <c:pt idx="36">
                  <c:v>1.1974545127636268E-3</c:v>
                </c:pt>
                <c:pt idx="37">
                  <c:v>1.1985770134055043E-3</c:v>
                </c:pt>
                <c:pt idx="38">
                  <c:v>1.1996930628335252E-3</c:v>
                </c:pt>
                <c:pt idx="39">
                  <c:v>1.2008026787622167E-3</c:v>
                </c:pt>
                <c:pt idx="40">
                  <c:v>1.2040931026975801E-3</c:v>
                </c:pt>
                <c:pt idx="41">
                  <c:v>1.2051771617742201E-3</c:v>
                </c:pt>
                <c:pt idx="42">
                  <c:v>1.206254875924163E-3</c:v>
                </c:pt>
                <c:pt idx="43">
                  <c:v>1.2073262628619363E-3</c:v>
                </c:pt>
                <c:pt idx="44">
                  <c:v>1.2083913403020665E-3</c:v>
                </c:pt>
                <c:pt idx="45">
                  <c:v>1.2115488927818636E-3</c:v>
                </c:pt>
                <c:pt idx="46">
                  <c:v>1.2125889093766874E-3</c:v>
                </c:pt>
                <c:pt idx="47">
                  <c:v>1.2136227050465005E-3</c:v>
                </c:pt>
                <c:pt idx="48">
                  <c:v>1.2146502975058304E-3</c:v>
                </c:pt>
                <c:pt idx="49">
                  <c:v>1.2156717044692034E-3</c:v>
                </c:pt>
                <c:pt idx="50">
                  <c:v>1.2186989895288471E-3</c:v>
                </c:pt>
                <c:pt idx="51">
                  <c:v>1.2196958316536587E-3</c:v>
                </c:pt>
                <c:pt idx="52">
                  <c:v>1.2206865768551465E-3</c:v>
                </c:pt>
                <c:pt idx="53">
                  <c:v>1.221671242847837E-3</c:v>
                </c:pt>
                <c:pt idx="54">
                  <c:v>1.2226498473462571E-3</c:v>
                </c:pt>
                <c:pt idx="55">
                  <c:v>1.2255494690211598E-3</c:v>
                </c:pt>
                <c:pt idx="56">
                  <c:v>1.2265040046877641E-3</c:v>
                </c:pt>
                <c:pt idx="57">
                  <c:v>1.2274525674327305E-3</c:v>
                </c:pt>
                <c:pt idx="58">
                  <c:v>1.2283951749705862E-3</c:v>
                </c:pt>
                <c:pt idx="59">
                  <c:v>1.2293318450158576E-3</c:v>
                </c:pt>
                <c:pt idx="60">
                  <c:v>1.2321064073414322E-3</c:v>
                </c:pt>
                <c:pt idx="61">
                  <c:v>1.2330195045616328E-3</c:v>
                </c:pt>
                <c:pt idx="62">
                  <c:v>1.2339267528618822E-3</c:v>
                </c:pt>
                <c:pt idx="63">
                  <c:v>1.2348281699567072E-3</c:v>
                </c:pt>
                <c:pt idx="64">
                  <c:v>1.2357237735606342E-3</c:v>
                </c:pt>
                <c:pt idx="65">
                  <c:v>1.2383758805722936E-3</c:v>
                </c:pt>
                <c:pt idx="66">
                  <c:v>1.2392484073578951E-3</c:v>
                </c:pt>
                <c:pt idx="67">
                  <c:v>1.2401152092252317E-3</c:v>
                </c:pt>
                <c:pt idx="68">
                  <c:v>1.2409763038888301E-3</c:v>
                </c:pt>
                <c:pt idx="69">
                  <c:v>1.2418317090632167E-3</c:v>
                </c:pt>
                <c:pt idx="70">
                  <c:v>1.2443639647963737E-3</c:v>
                </c:pt>
                <c:pt idx="71">
                  <c:v>1.2451967891591801E-3</c:v>
                </c:pt>
                <c:pt idx="72">
                  <c:v>1.2460240126054081E-3</c:v>
                </c:pt>
                <c:pt idx="73">
                  <c:v>1.2468456528495844E-3</c:v>
                </c:pt>
                <c:pt idx="74">
                  <c:v>1.2476617276062352E-3</c:v>
                </c:pt>
                <c:pt idx="75">
                  <c:v>1.2500767360963021E-3</c:v>
                </c:pt>
                <c:pt idx="76">
                  <c:v>1.2508707260481182E-3</c:v>
                </c:pt>
                <c:pt idx="77">
                  <c:v>1.2516592390850417E-3</c:v>
                </c:pt>
                <c:pt idx="78">
                  <c:v>1.2524422929215998E-3</c:v>
                </c:pt>
                <c:pt idx="79">
                  <c:v>1.2532199052723192E-3</c:v>
                </c:pt>
                <c:pt idx="80">
                  <c:v>1.255520270554709E-3</c:v>
                </c:pt>
                <c:pt idx="81">
                  <c:v>1.2562762941073385E-3</c:v>
                </c:pt>
                <c:pt idx="82">
                  <c:v>1.2570269647467621E-3</c:v>
                </c:pt>
                <c:pt idx="83">
                  <c:v>1.2577723001875062E-3</c:v>
                </c:pt>
                <c:pt idx="84">
                  <c:v>1.2585123181440979E-3</c:v>
                </c:pt>
                <c:pt idx="85">
                  <c:v>1.2607006442542236E-3</c:v>
                </c:pt>
                <c:pt idx="86">
                  <c:v>1.2614195694194709E-3</c:v>
                </c:pt>
                <c:pt idx="87">
                  <c:v>1.2621332656731986E-3</c:v>
                </c:pt>
                <c:pt idx="88">
                  <c:v>1.2628417507299333E-3</c:v>
                </c:pt>
                <c:pt idx="89">
                  <c:v>1.2635450423042021E-3</c:v>
                </c:pt>
                <c:pt idx="90">
                  <c:v>1.2656239332774757E-3</c:v>
                </c:pt>
                <c:pt idx="91">
                  <c:v>1.2663066280671452E-3</c:v>
                </c:pt>
                <c:pt idx="92">
                  <c:v>1.2669842179469815E-3</c:v>
                </c:pt>
                <c:pt idx="93">
                  <c:v>1.2676567206315111E-3</c:v>
                </c:pt>
                <c:pt idx="94">
                  <c:v>1.2702962137070952E-3</c:v>
                </c:pt>
                <c:pt idx="95">
                  <c:v>1.2709435461329911E-3</c:v>
                </c:pt>
                <c:pt idx="96">
                  <c:v>1.27158589765074E-3</c:v>
                </c:pt>
                <c:pt idx="97">
                  <c:v>1.2722232859748684E-3</c:v>
                </c:pt>
                <c:pt idx="98">
                  <c:v>1.274723561625712E-3</c:v>
                </c:pt>
                <c:pt idx="99">
                  <c:v>1.2753363996996384E-3</c:v>
                </c:pt>
                <c:pt idx="100">
                  <c:v>1.2759443808671041E-3</c:v>
                </c:pt>
                <c:pt idx="101">
                  <c:v>1.2765475228426358E-3</c:v>
                </c:pt>
                <c:pt idx="102">
                  <c:v>1.2771458433407602E-3</c:v>
                </c:pt>
                <c:pt idx="103">
                  <c:v>1.2789120531159553E-3</c:v>
                </c:pt>
                <c:pt idx="104">
                  <c:v>1.2794912648497164E-3</c:v>
                </c:pt>
                <c:pt idx="105">
                  <c:v>1.2800657436787034E-3</c:v>
                </c:pt>
                <c:pt idx="106">
                  <c:v>1.2806355073174426E-3</c:v>
                </c:pt>
                <c:pt idx="107">
                  <c:v>1.281200573480461E-3</c:v>
                </c:pt>
                <c:pt idx="108">
                  <c:v>1.2828677642604551E-3</c:v>
                </c:pt>
                <c:pt idx="109">
                  <c:v>1.2834142176658555E-3</c:v>
                </c:pt>
                <c:pt idx="110">
                  <c:v>1.2839560621681677E-3</c:v>
                </c:pt>
                <c:pt idx="111">
                  <c:v>1.2844933154819184E-3</c:v>
                </c:pt>
                <c:pt idx="112">
                  <c:v>1.285025995321635E-3</c:v>
                </c:pt>
                <c:pt idx="113">
                  <c:v>1.2865967711418414E-3</c:v>
                </c:pt>
                <c:pt idx="114">
                  <c:v>1.2871113342306849E-3</c:v>
                </c:pt>
                <c:pt idx="115">
                  <c:v>1.2876214124181266E-3</c:v>
                </c:pt>
                <c:pt idx="116">
                  <c:v>1.2881270234186934E-3</c:v>
                </c:pt>
                <c:pt idx="117">
                  <c:v>1.2886281849469122E-3</c:v>
                </c:pt>
                <c:pt idx="118">
                  <c:v>1.2901051498427432E-3</c:v>
                </c:pt>
                <c:pt idx="119">
                  <c:v>1.2905886906268342E-3</c:v>
                </c:pt>
                <c:pt idx="120">
                  <c:v>1.2910678705112101E-3</c:v>
                </c:pt>
                <c:pt idx="121">
                  <c:v>1.2915427072103971E-3</c:v>
                </c:pt>
                <c:pt idx="122">
                  <c:v>1.2920132184389222E-3</c:v>
                </c:pt>
                <c:pt idx="123">
                  <c:v>1.2933989764457908E-3</c:v>
                </c:pt>
                <c:pt idx="124">
                  <c:v>1.2938523629369338E-3</c:v>
                </c:pt>
                <c:pt idx="125">
                  <c:v>1.2943015125300476E-3</c:v>
                </c:pt>
                <c:pt idx="126">
                  <c:v>1.294746442939659E-3</c:v>
                </c:pt>
                <c:pt idx="127">
                  <c:v>1.2951871718802951E-3</c:v>
                </c:pt>
                <c:pt idx="128">
                  <c:v>1.2964843270336136E-3</c:v>
                </c:pt>
                <c:pt idx="129">
                  <c:v>1.2969084272436127E-3</c:v>
                </c:pt>
                <c:pt idx="130">
                  <c:v>1.2973284145572689E-3</c:v>
                </c:pt>
                <c:pt idx="131">
                  <c:v>1.297744306689109E-3</c:v>
                </c:pt>
                <c:pt idx="132">
                  <c:v>1.2981561213536599E-3</c:v>
                </c:pt>
                <c:pt idx="133">
                  <c:v>1.2993672776888418E-3</c:v>
                </c:pt>
                <c:pt idx="134">
                  <c:v>1.2997629596295007E-3</c:v>
                </c:pt>
                <c:pt idx="135">
                  <c:v>1.3001546526755039E-3</c:v>
                </c:pt>
                <c:pt idx="136">
                  <c:v>1.3005423745413767E-3</c:v>
                </c:pt>
                <c:pt idx="137">
                  <c:v>1.300926142941647E-3</c:v>
                </c:pt>
                <c:pt idx="138">
                  <c:v>1.3020539044941045E-3</c:v>
                </c:pt>
                <c:pt idx="139">
                  <c:v>1.302422036177228E-3</c:v>
                </c:pt>
                <c:pt idx="140">
                  <c:v>1.3027863029673821E-3</c:v>
                </c:pt>
                <c:pt idx="141">
                  <c:v>1.3031467225790921E-3</c:v>
                </c:pt>
                <c:pt idx="142">
                  <c:v>1.3035033127268857E-3</c:v>
                </c:pt>
                <c:pt idx="143">
                  <c:v>1.3045502835320316E-3</c:v>
                </c:pt>
                <c:pt idx="144">
                  <c:v>1.3048917329694242E-3</c:v>
                </c:pt>
                <c:pt idx="145">
                  <c:v>1.3052294415155329E-3</c:v>
                </c:pt>
                <c:pt idx="146">
                  <c:v>1.3055634268848845E-3</c:v>
                </c:pt>
                <c:pt idx="147">
                  <c:v>1.305893706792006E-3</c:v>
                </c:pt>
                <c:pt idx="148">
                  <c:v>1.306862490885253E-3</c:v>
                </c:pt>
                <c:pt idx="149">
                  <c:v>1.3071781260887184E-3</c:v>
                </c:pt>
                <c:pt idx="150">
                  <c:v>1.3074901444025868E-3</c:v>
                </c:pt>
                <c:pt idx="151">
                  <c:v>1.3077985635413839E-3</c:v>
                </c:pt>
                <c:pt idx="152">
                  <c:v>1.3081034012196373E-3</c:v>
                </c:pt>
                <c:pt idx="153">
                  <c:v>1.3089966026363982E-3</c:v>
                </c:pt>
                <c:pt idx="154">
                  <c:v>1.3092872916177409E-3</c:v>
                </c:pt>
                <c:pt idx="155">
                  <c:v>1.3095744877111729E-3</c:v>
                </c:pt>
                <c:pt idx="156">
                  <c:v>1.3098582086312198E-3</c:v>
                </c:pt>
                <c:pt idx="157">
                  <c:v>1.3112253056391215E-3</c:v>
                </c:pt>
                <c:pt idx="158">
                  <c:v>1.3114885475239211E-3</c:v>
                </c:pt>
                <c:pt idx="159">
                  <c:v>1.3117484382370226E-3</c:v>
                </c:pt>
                <c:pt idx="160">
                  <c:v>1.3120049954929525E-3</c:v>
                </c:pt>
                <c:pt idx="161">
                  <c:v>1.3127548436629793E-3</c:v>
                </c:pt>
                <c:pt idx="162">
                  <c:v>1.3129982442354892E-3</c:v>
                </c:pt>
                <c:pt idx="163">
                  <c:v>1.3132383999234611E-3</c:v>
                </c:pt>
                <c:pt idx="164">
                  <c:v>1.3134753284414209E-3</c:v>
                </c:pt>
                <c:pt idx="165">
                  <c:v>1.3137090475038955E-3</c:v>
                </c:pt>
                <c:pt idx="166">
                  <c:v>1.3143911251036749E-3</c:v>
                </c:pt>
                <c:pt idx="167">
                  <c:v>1.3146121834894746E-3</c:v>
                </c:pt>
                <c:pt idx="168">
                  <c:v>1.3148301209924228E-3</c:v>
                </c:pt>
                <c:pt idx="169">
                  <c:v>1.3150449553270449E-3</c:v>
                </c:pt>
                <c:pt idx="170">
                  <c:v>1.315256704207869E-3</c:v>
                </c:pt>
                <c:pt idx="171">
                  <c:v>1.3158736152728125E-3</c:v>
                </c:pt>
                <c:pt idx="172">
                  <c:v>1.3160731994837067E-3</c:v>
                </c:pt>
                <c:pt idx="173">
                  <c:v>1.3162697868134357E-3</c:v>
                </c:pt>
                <c:pt idx="174">
                  <c:v>1.3164633949765249E-3</c:v>
                </c:pt>
                <c:pt idx="175">
                  <c:v>1.3166540416875018E-3</c:v>
                </c:pt>
                <c:pt idx="176">
                  <c:v>1.3172083902530233E-3</c:v>
                </c:pt>
                <c:pt idx="177">
                  <c:v>1.317387368300816E-3</c:v>
                </c:pt>
                <c:pt idx="178">
                  <c:v>1.3175634734691292E-3</c:v>
                </c:pt>
                <c:pt idx="179">
                  <c:v>1.3177367234724895E-3</c:v>
                </c:pt>
                <c:pt idx="180">
                  <c:v>1.3179071360254241E-3</c:v>
                </c:pt>
                <c:pt idx="181">
                  <c:v>1.3184015261269359E-3</c:v>
                </c:pt>
                <c:pt idx="182">
                  <c:v>1.3185607660234312E-3</c:v>
                </c:pt>
                <c:pt idx="183">
                  <c:v>1.3187172570421337E-3</c:v>
                </c:pt>
                <c:pt idx="184">
                  <c:v>1.3188710168975696E-3</c:v>
                </c:pt>
                <c:pt idx="185">
                  <c:v>1.3190220633042659E-3</c:v>
                </c:pt>
                <c:pt idx="186">
                  <c:v>1.3194590989771804E-3</c:v>
                </c:pt>
                <c:pt idx="187">
                  <c:v>1.3195994687341828E-3</c:v>
                </c:pt>
                <c:pt idx="188">
                  <c:v>1.3197372136150788E-3</c:v>
                </c:pt>
                <c:pt idx="189">
                  <c:v>1.3198723513343944E-3</c:v>
                </c:pt>
                <c:pt idx="190">
                  <c:v>1.3200048996066562E-3</c:v>
                </c:pt>
                <c:pt idx="191">
                  <c:v>1.3203871848863867E-3</c:v>
                </c:pt>
                <c:pt idx="192">
                  <c:v>1.3205095525157002E-3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249728"/>
        <c:axId val="652263808"/>
      </c:scatterChart>
      <c:valAx>
        <c:axId val="65224972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52263808"/>
        <c:crosses val="autoZero"/>
        <c:crossBetween val="midCat"/>
      </c:valAx>
      <c:valAx>
        <c:axId val="65226380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5224972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4341151726895061"/>
          <c:y val="0.39793589936640678"/>
          <c:w val="0.19328056178408162"/>
          <c:h val="0.11319504807091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'3MSynthDepo_allScenario'!$BE$6:$BE$135</c:f>
              <c:numCache>
                <c:formatCode>0.0000%</c:formatCode>
                <c:ptCount val="130"/>
                <c:pt idx="0">
                  <c:v>1.3514681471220571E-3</c:v>
                </c:pt>
                <c:pt idx="1">
                  <c:v>1.3449068093229343E-3</c:v>
                </c:pt>
                <c:pt idx="2">
                  <c:v>1.3252227959255662E-3</c:v>
                </c:pt>
                <c:pt idx="3">
                  <c:v>1.3186614581264433E-3</c:v>
                </c:pt>
                <c:pt idx="4">
                  <c:v>1.3121001203273204E-3</c:v>
                </c:pt>
                <c:pt idx="5">
                  <c:v>1.3055387825281978E-3</c:v>
                </c:pt>
                <c:pt idx="6">
                  <c:v>1.298977444729075E-3</c:v>
                </c:pt>
                <c:pt idx="7">
                  <c:v>1.2792934313317066E-3</c:v>
                </c:pt>
                <c:pt idx="8">
                  <c:v>1.272732093532584E-3</c:v>
                </c:pt>
                <c:pt idx="9">
                  <c:v>1.2661707557334611E-3</c:v>
                </c:pt>
                <c:pt idx="10">
                  <c:v>1.2596094179343385E-3</c:v>
                </c:pt>
                <c:pt idx="11">
                  <c:v>1.2530480801352156E-3</c:v>
                </c:pt>
                <c:pt idx="12">
                  <c:v>1.2333640667378473E-3</c:v>
                </c:pt>
                <c:pt idx="13">
                  <c:v>1.2268027289387246E-3</c:v>
                </c:pt>
                <c:pt idx="14">
                  <c:v>1.2202413911396018E-3</c:v>
                </c:pt>
                <c:pt idx="15">
                  <c:v>1.2136800533404789E-3</c:v>
                </c:pt>
                <c:pt idx="16">
                  <c:v>1.2071187155413563E-3</c:v>
                </c:pt>
                <c:pt idx="17">
                  <c:v>1.1874347021439879E-3</c:v>
                </c:pt>
                <c:pt idx="18">
                  <c:v>1.1808733643448653E-3</c:v>
                </c:pt>
                <c:pt idx="19">
                  <c:v>1.1743120265457424E-3</c:v>
                </c:pt>
                <c:pt idx="20">
                  <c:v>1.1677506887466196E-3</c:v>
                </c:pt>
                <c:pt idx="21">
                  <c:v>1.1611893509474967E-3</c:v>
                </c:pt>
                <c:pt idx="22">
                  <c:v>1.1415053375501286E-3</c:v>
                </c:pt>
                <c:pt idx="23">
                  <c:v>1.1349439997510057E-3</c:v>
                </c:pt>
                <c:pt idx="24">
                  <c:v>1.1283826619518831E-3</c:v>
                </c:pt>
                <c:pt idx="25">
                  <c:v>1.1218213241527602E-3</c:v>
                </c:pt>
                <c:pt idx="26">
                  <c:v>1.1152599863536374E-3</c:v>
                </c:pt>
                <c:pt idx="27">
                  <c:v>1.095575972956269E-3</c:v>
                </c:pt>
                <c:pt idx="28">
                  <c:v>1.0890146351571464E-3</c:v>
                </c:pt>
                <c:pt idx="29">
                  <c:v>1.0824532973580238E-3</c:v>
                </c:pt>
                <c:pt idx="30">
                  <c:v>1.0758919595589009E-3</c:v>
                </c:pt>
                <c:pt idx="31">
                  <c:v>1.0693306217597781E-3</c:v>
                </c:pt>
                <c:pt idx="32">
                  <c:v>1.0496466083624099E-3</c:v>
                </c:pt>
                <c:pt idx="33">
                  <c:v>1.0430852705632871E-3</c:v>
                </c:pt>
                <c:pt idx="34">
                  <c:v>1.0365239327641642E-3</c:v>
                </c:pt>
                <c:pt idx="35">
                  <c:v>1.0299625949650416E-3</c:v>
                </c:pt>
                <c:pt idx="36">
                  <c:v>1.0234012571659187E-3</c:v>
                </c:pt>
                <c:pt idx="37">
                  <c:v>1.0037172437685504E-3</c:v>
                </c:pt>
                <c:pt idx="38">
                  <c:v>9.9715590596942774E-4</c:v>
                </c:pt>
                <c:pt idx="39">
                  <c:v>9.9059456817030488E-4</c:v>
                </c:pt>
                <c:pt idx="40">
                  <c:v>9.8403323037118203E-4</c:v>
                </c:pt>
                <c:pt idx="41">
                  <c:v>9.7747189257205939E-4</c:v>
                </c:pt>
                <c:pt idx="42">
                  <c:v>9.5778787917469104E-4</c:v>
                </c:pt>
                <c:pt idx="43">
                  <c:v>9.5122654137556818E-4</c:v>
                </c:pt>
                <c:pt idx="44">
                  <c:v>9.4466520357644555E-4</c:v>
                </c:pt>
                <c:pt idx="45">
                  <c:v>9.3810386577732269E-4</c:v>
                </c:pt>
                <c:pt idx="46">
                  <c:v>9.3154252797819994E-4</c:v>
                </c:pt>
                <c:pt idx="47">
                  <c:v>9.118585145808317E-4</c:v>
                </c:pt>
                <c:pt idx="48">
                  <c:v>9.0529717678170885E-4</c:v>
                </c:pt>
                <c:pt idx="49">
                  <c:v>8.987358389825861E-4</c:v>
                </c:pt>
                <c:pt idx="50">
                  <c:v>8.9217450118346336E-4</c:v>
                </c:pt>
                <c:pt idx="51">
                  <c:v>8.8561316338434061E-4</c:v>
                </c:pt>
                <c:pt idx="52">
                  <c:v>8.6592914998697237E-4</c:v>
                </c:pt>
                <c:pt idx="53">
                  <c:v>8.5936781218784951E-4</c:v>
                </c:pt>
                <c:pt idx="54">
                  <c:v>8.5280647438872677E-4</c:v>
                </c:pt>
                <c:pt idx="55">
                  <c:v>8.4624513658960402E-4</c:v>
                </c:pt>
                <c:pt idx="56">
                  <c:v>8.3968379879048117E-4</c:v>
                </c:pt>
                <c:pt idx="57">
                  <c:v>8.1999978539311293E-4</c:v>
                </c:pt>
                <c:pt idx="58">
                  <c:v>8.1343844759399018E-4</c:v>
                </c:pt>
                <c:pt idx="59">
                  <c:v>8.0687710979486732E-4</c:v>
                </c:pt>
                <c:pt idx="60">
                  <c:v>8.0031577199574458E-4</c:v>
                </c:pt>
                <c:pt idx="61">
                  <c:v>7.9375443419662183E-4</c:v>
                </c:pt>
                <c:pt idx="62">
                  <c:v>7.7407042079925359E-4</c:v>
                </c:pt>
                <c:pt idx="63">
                  <c:v>7.6750908300013073E-4</c:v>
                </c:pt>
                <c:pt idx="64">
                  <c:v>7.6094774520100799E-4</c:v>
                </c:pt>
                <c:pt idx="65">
                  <c:v>7.5438640740188524E-4</c:v>
                </c:pt>
                <c:pt idx="66">
                  <c:v>7.4782506960276249E-4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'3MSynthDepo_allScenario'!$BF$6:$BF$135</c:f>
              <c:numCache>
                <c:formatCode>0.0000%</c:formatCode>
                <c:ptCount val="130"/>
                <c:pt idx="0">
                  <c:v>1.9934553548412175E-3</c:v>
                </c:pt>
                <c:pt idx="1">
                  <c:v>1.9499734088511311E-3</c:v>
                </c:pt>
                <c:pt idx="2">
                  <c:v>1.8240950688014036E-3</c:v>
                </c:pt>
                <c:pt idx="3">
                  <c:v>1.7836581214250051E-3</c:v>
                </c:pt>
                <c:pt idx="4">
                  <c:v>1.7439824237020284E-3</c:v>
                </c:pt>
                <c:pt idx="5">
                  <c:v>1.7050679756324735E-3</c:v>
                </c:pt>
                <c:pt idx="6">
                  <c:v>1.6669147772163406E-3</c:v>
                </c:pt>
                <c:pt idx="7">
                  <c:v>1.5570226798884738E-3</c:v>
                </c:pt>
                <c:pt idx="8">
                  <c:v>1.5219144800860287E-3</c:v>
                </c:pt>
                <c:pt idx="9">
                  <c:v>1.4875675299370053E-3</c:v>
                </c:pt>
                <c:pt idx="10">
                  <c:v>1.453981829441404E-3</c:v>
                </c:pt>
                <c:pt idx="11">
                  <c:v>1.4211573785992248E-3</c:v>
                </c:pt>
                <c:pt idx="12">
                  <c:v>1.3272515239932184E-3</c:v>
                </c:pt>
                <c:pt idx="13">
                  <c:v>1.2974720717647268E-3</c:v>
                </c:pt>
                <c:pt idx="14">
                  <c:v>1.268453869189657E-3</c:v>
                </c:pt>
                <c:pt idx="15">
                  <c:v>1.2401969162680092E-3</c:v>
                </c:pt>
                <c:pt idx="16">
                  <c:v>1.2127012129997834E-3</c:v>
                </c:pt>
                <c:pt idx="17">
                  <c:v>1.1347816011156374E-3</c:v>
                </c:pt>
                <c:pt idx="18">
                  <c:v>1.1103308964610994E-3</c:v>
                </c:pt>
                <c:pt idx="19">
                  <c:v>1.0866414414599831E-3</c:v>
                </c:pt>
                <c:pt idx="20">
                  <c:v>1.0637132361122888E-3</c:v>
                </c:pt>
                <c:pt idx="21">
                  <c:v>1.0415462804180165E-3</c:v>
                </c:pt>
                <c:pt idx="22">
                  <c:v>9.7961291125573118E-4</c:v>
                </c:pt>
                <c:pt idx="23">
                  <c:v>9.604909541751466E-4</c:v>
                </c:pt>
                <c:pt idx="24">
                  <c:v>9.4213024674798381E-4</c:v>
                </c:pt>
                <c:pt idx="25">
                  <c:v>9.2453078897424316E-4</c:v>
                </c:pt>
                <c:pt idx="26">
                  <c:v>9.0769258085392429E-4</c:v>
                </c:pt>
                <c:pt idx="27">
                  <c:v>8.6174545441349937E-4</c:v>
                </c:pt>
                <c:pt idx="28">
                  <c:v>8.4795224490686835E-4</c:v>
                </c:pt>
                <c:pt idx="29">
                  <c:v>8.3492028505365923E-4</c:v>
                </c:pt>
                <c:pt idx="30">
                  <c:v>8.2264957485387192E-4</c:v>
                </c:pt>
                <c:pt idx="31">
                  <c:v>8.111401143075064E-4</c:v>
                </c:pt>
                <c:pt idx="32">
                  <c:v>7.8117923058894226E-4</c:v>
                </c:pt>
                <c:pt idx="33">
                  <c:v>7.7271476865626448E-4</c:v>
                </c:pt>
                <c:pt idx="34">
                  <c:v>7.6501155637700893E-4</c:v>
                </c:pt>
                <c:pt idx="35">
                  <c:v>7.5806959375117539E-4</c:v>
                </c:pt>
                <c:pt idx="36">
                  <c:v>7.5188888077876333E-4</c:v>
                </c:pt>
                <c:pt idx="37">
                  <c:v>7.3791423978205955E-4</c:v>
                </c:pt>
                <c:pt idx="38">
                  <c:v>7.3477852542333543E-4</c:v>
                </c:pt>
                <c:pt idx="39">
                  <c:v>7.3240406071803333E-4</c:v>
                </c:pt>
                <c:pt idx="40">
                  <c:v>7.3079084566615303E-4</c:v>
                </c:pt>
                <c:pt idx="41">
                  <c:v>7.2993888026769474E-4</c:v>
                </c:pt>
                <c:pt idx="42">
                  <c:v>7.3195048199285154E-4</c:v>
                </c:pt>
                <c:pt idx="43">
                  <c:v>7.3414351520808088E-4</c:v>
                </c:pt>
                <c:pt idx="44">
                  <c:v>7.3709779807673201E-4</c:v>
                </c:pt>
                <c:pt idx="45">
                  <c:v>7.4081333059880538E-4</c:v>
                </c:pt>
                <c:pt idx="46">
                  <c:v>7.4529011277430076E-4</c:v>
                </c:pt>
                <c:pt idx="47">
                  <c:v>7.6328795722131791E-4</c:v>
                </c:pt>
                <c:pt idx="48">
                  <c:v>7.7080973801050071E-4</c:v>
                </c:pt>
                <c:pt idx="49">
                  <c:v>7.7909276845310573E-4</c:v>
                </c:pt>
                <c:pt idx="50">
                  <c:v>7.8813704854913255E-4</c:v>
                </c:pt>
                <c:pt idx="51">
                  <c:v>7.9794257829858095E-4</c:v>
                </c:pt>
                <c:pt idx="52">
                  <c:v>8.3192666546745868E-4</c:v>
                </c:pt>
                <c:pt idx="53">
                  <c:v>8.4477719383059535E-4</c:v>
                </c:pt>
                <c:pt idx="54">
                  <c:v>8.5838897184715383E-4</c:v>
                </c:pt>
                <c:pt idx="55">
                  <c:v>8.7276199951713367E-4</c:v>
                </c:pt>
                <c:pt idx="56">
                  <c:v>8.8789627684053617E-4</c:v>
                </c:pt>
                <c:pt idx="57">
                  <c:v>9.3786660673127447E-4</c:v>
                </c:pt>
                <c:pt idx="58">
                  <c:v>9.560458826683646E-4</c:v>
                </c:pt>
                <c:pt idx="59">
                  <c:v>9.7498640825887609E-4</c:v>
                </c:pt>
                <c:pt idx="60">
                  <c:v>9.9468818350281025E-4</c:v>
                </c:pt>
                <c:pt idx="61">
                  <c:v>1.0151512084001658E-3</c:v>
                </c:pt>
                <c:pt idx="62">
                  <c:v>1.0811077810127649E-3</c:v>
                </c:pt>
                <c:pt idx="63">
                  <c:v>1.104615804523808E-3</c:v>
                </c:pt>
                <c:pt idx="64">
                  <c:v>1.1288850776882734E-3</c:v>
                </c:pt>
                <c:pt idx="65">
                  <c:v>1.1539156005061606E-3</c:v>
                </c:pt>
                <c:pt idx="66">
                  <c:v>1.1797073729774695E-3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'3MSynthDepo_allScenario'!$BG$6:$BG$135</c:f>
              <c:numCache>
                <c:formatCode>0.0000%</c:formatCode>
                <c:ptCount val="130"/>
                <c:pt idx="0">
                  <c:v>6.7852345349707268E-4</c:v>
                </c:pt>
                <c:pt idx="1">
                  <c:v>6.8490335980612267E-4</c:v>
                </c:pt>
                <c:pt idx="2">
                  <c:v>7.0404307873327273E-4</c:v>
                </c:pt>
                <c:pt idx="3">
                  <c:v>7.1042298504232272E-4</c:v>
                </c:pt>
                <c:pt idx="4">
                  <c:v>7.168028913513727E-4</c:v>
                </c:pt>
                <c:pt idx="5">
                  <c:v>7.231827976604228E-4</c:v>
                </c:pt>
                <c:pt idx="6">
                  <c:v>7.2956270396947278E-4</c:v>
                </c:pt>
                <c:pt idx="7">
                  <c:v>7.4870242289662285E-4</c:v>
                </c:pt>
                <c:pt idx="8">
                  <c:v>7.5508232920567283E-4</c:v>
                </c:pt>
                <c:pt idx="9">
                  <c:v>7.6146223551472282E-4</c:v>
                </c:pt>
                <c:pt idx="10">
                  <c:v>7.678421418237728E-4</c:v>
                </c:pt>
                <c:pt idx="11">
                  <c:v>7.742220481328229E-4</c:v>
                </c:pt>
                <c:pt idx="12">
                  <c:v>7.9336176705997285E-4</c:v>
                </c:pt>
                <c:pt idx="13">
                  <c:v>7.9974167336902295E-4</c:v>
                </c:pt>
                <c:pt idx="14">
                  <c:v>8.0612157967807293E-4</c:v>
                </c:pt>
                <c:pt idx="15">
                  <c:v>8.1250148598712292E-4</c:v>
                </c:pt>
                <c:pt idx="16">
                  <c:v>8.188813922961729E-4</c:v>
                </c:pt>
                <c:pt idx="17">
                  <c:v>8.3802111122332297E-4</c:v>
                </c:pt>
                <c:pt idx="18">
                  <c:v>8.4440101753237296E-4</c:v>
                </c:pt>
                <c:pt idx="19">
                  <c:v>8.5078092384142305E-4</c:v>
                </c:pt>
                <c:pt idx="20">
                  <c:v>8.5716083015047303E-4</c:v>
                </c:pt>
                <c:pt idx="21">
                  <c:v>8.6354073645952302E-4</c:v>
                </c:pt>
                <c:pt idx="22">
                  <c:v>8.8268045538667309E-4</c:v>
                </c:pt>
                <c:pt idx="23">
                  <c:v>8.8906036169572307E-4</c:v>
                </c:pt>
                <c:pt idx="24">
                  <c:v>8.9544026800477306E-4</c:v>
                </c:pt>
                <c:pt idx="25">
                  <c:v>9.0182017431382315E-4</c:v>
                </c:pt>
                <c:pt idx="26">
                  <c:v>9.0820008062287314E-4</c:v>
                </c:pt>
                <c:pt idx="27">
                  <c:v>9.2733979955002309E-4</c:v>
                </c:pt>
                <c:pt idx="28">
                  <c:v>9.3371970585907319E-4</c:v>
                </c:pt>
                <c:pt idx="29">
                  <c:v>9.4009961216812317E-4</c:v>
                </c:pt>
                <c:pt idx="30">
                  <c:v>9.4647951847717316E-4</c:v>
                </c:pt>
                <c:pt idx="31">
                  <c:v>9.5285942478622325E-4</c:v>
                </c:pt>
                <c:pt idx="32">
                  <c:v>9.7199914371337321E-4</c:v>
                </c:pt>
                <c:pt idx="33">
                  <c:v>9.7837905002242319E-4</c:v>
                </c:pt>
                <c:pt idx="34">
                  <c:v>9.8475895633147329E-4</c:v>
                </c:pt>
                <c:pt idx="35">
                  <c:v>9.9113886264052316E-4</c:v>
                </c:pt>
                <c:pt idx="36">
                  <c:v>9.9751876894957326E-4</c:v>
                </c:pt>
                <c:pt idx="37">
                  <c:v>1.0166584878767233E-3</c:v>
                </c:pt>
                <c:pt idx="38">
                  <c:v>1.0230383941857734E-3</c:v>
                </c:pt>
                <c:pt idx="39">
                  <c:v>1.0294183004948233E-3</c:v>
                </c:pt>
                <c:pt idx="40">
                  <c:v>1.0357982068038734E-3</c:v>
                </c:pt>
                <c:pt idx="41">
                  <c:v>1.0421781131129235E-3</c:v>
                </c:pt>
                <c:pt idx="42">
                  <c:v>1.0613178320400733E-3</c:v>
                </c:pt>
                <c:pt idx="43">
                  <c:v>1.0676977383491234E-3</c:v>
                </c:pt>
                <c:pt idx="44">
                  <c:v>1.0740776446581733E-3</c:v>
                </c:pt>
                <c:pt idx="45">
                  <c:v>1.0804575509672234E-3</c:v>
                </c:pt>
                <c:pt idx="46">
                  <c:v>1.0868374572762735E-3</c:v>
                </c:pt>
                <c:pt idx="47">
                  <c:v>1.1059771762034236E-3</c:v>
                </c:pt>
                <c:pt idx="48">
                  <c:v>1.1123570825124734E-3</c:v>
                </c:pt>
                <c:pt idx="49">
                  <c:v>1.1187369888215235E-3</c:v>
                </c:pt>
                <c:pt idx="50">
                  <c:v>1.1251168951305736E-3</c:v>
                </c:pt>
                <c:pt idx="51">
                  <c:v>1.1314968014396235E-3</c:v>
                </c:pt>
                <c:pt idx="52">
                  <c:v>1.1506365203667736E-3</c:v>
                </c:pt>
                <c:pt idx="53">
                  <c:v>1.1570164266758237E-3</c:v>
                </c:pt>
                <c:pt idx="54">
                  <c:v>1.1633963329848735E-3</c:v>
                </c:pt>
                <c:pt idx="55">
                  <c:v>1.1697762392939236E-3</c:v>
                </c:pt>
                <c:pt idx="56">
                  <c:v>1.1761561456029735E-3</c:v>
                </c:pt>
                <c:pt idx="57">
                  <c:v>1.1952958645301236E-3</c:v>
                </c:pt>
                <c:pt idx="58">
                  <c:v>1.2016757708391737E-3</c:v>
                </c:pt>
                <c:pt idx="59">
                  <c:v>1.2080556771482238E-3</c:v>
                </c:pt>
                <c:pt idx="60">
                  <c:v>1.2144355834572736E-3</c:v>
                </c:pt>
                <c:pt idx="61">
                  <c:v>1.2208154897663237E-3</c:v>
                </c:pt>
                <c:pt idx="62">
                  <c:v>1.2399552086934736E-3</c:v>
                </c:pt>
                <c:pt idx="63">
                  <c:v>1.2463351150025239E-3</c:v>
                </c:pt>
                <c:pt idx="64">
                  <c:v>1.2527150213115738E-3</c:v>
                </c:pt>
                <c:pt idx="65">
                  <c:v>1.2590949276206236E-3</c:v>
                </c:pt>
                <c:pt idx="66">
                  <c:v>1.2654748339296737E-3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'3MSynthDepo_allScenario'!$BH$6:$BH$135</c:f>
              <c:numCache>
                <c:formatCode>0.0000%</c:formatCode>
                <c:ptCount val="130"/>
                <c:pt idx="0">
                  <c:v>4.9016714939429057E-4</c:v>
                </c:pt>
                <c:pt idx="1">
                  <c:v>5.0368947441352906E-4</c:v>
                </c:pt>
                <c:pt idx="2">
                  <c:v>5.4360218210847914E-4</c:v>
                </c:pt>
                <c:pt idx="3">
                  <c:v>5.56688328885874E-4</c:v>
                </c:pt>
                <c:pt idx="4">
                  <c:v>5.696654311028082E-4</c:v>
                </c:pt>
                <c:pt idx="5">
                  <c:v>5.825334887592813E-4</c:v>
                </c:pt>
                <c:pt idx="6">
                  <c:v>5.9529250185529352E-4</c:v>
                </c:pt>
                <c:pt idx="7">
                  <c:v>6.329152737805649E-4</c:v>
                </c:pt>
                <c:pt idx="8">
                  <c:v>6.452381086347335E-4</c:v>
                </c:pt>
                <c:pt idx="9">
                  <c:v>6.5745189892844132E-4</c:v>
                </c:pt>
                <c:pt idx="10">
                  <c:v>6.6955664466168815E-4</c:v>
                </c:pt>
                <c:pt idx="11">
                  <c:v>6.8155234583447421E-4</c:v>
                </c:pt>
                <c:pt idx="12">
                  <c:v>7.1688518199006679E-4</c:v>
                </c:pt>
                <c:pt idx="13">
                  <c:v>7.2844470492100923E-4</c:v>
                </c:pt>
                <c:pt idx="14">
                  <c:v>7.3989518329149078E-4</c:v>
                </c:pt>
                <c:pt idx="15">
                  <c:v>7.5123661710151135E-4</c:v>
                </c:pt>
                <c:pt idx="16">
                  <c:v>7.6246900635107125E-4</c:v>
                </c:pt>
                <c:pt idx="17">
                  <c:v>7.9551190673698502E-4</c:v>
                </c:pt>
                <c:pt idx="18">
                  <c:v>8.0630811774470119E-4</c:v>
                </c:pt>
                <c:pt idx="19">
                  <c:v>8.1699528419195647E-4</c:v>
                </c:pt>
                <c:pt idx="20">
                  <c:v>8.2757340607875088E-4</c:v>
                </c:pt>
                <c:pt idx="21">
                  <c:v>8.380424834050844E-4</c:v>
                </c:pt>
                <c:pt idx="22">
                  <c:v>8.6879544802131938E-4</c:v>
                </c:pt>
                <c:pt idx="23">
                  <c:v>8.7882834710580938E-4</c:v>
                </c:pt>
                <c:pt idx="24">
                  <c:v>8.8875220162983829E-4</c:v>
                </c:pt>
                <c:pt idx="25">
                  <c:v>8.9856701159340654E-4</c:v>
                </c:pt>
                <c:pt idx="26">
                  <c:v>9.0827277699651369E-4</c:v>
                </c:pt>
                <c:pt idx="27">
                  <c:v>9.3673580584307007E-4</c:v>
                </c:pt>
                <c:pt idx="28">
                  <c:v>9.460053930043337E-4</c:v>
                </c:pt>
                <c:pt idx="29">
                  <c:v>9.5516593560513656E-4</c:v>
                </c:pt>
                <c:pt idx="30">
                  <c:v>9.6421743364547854E-4</c:v>
                </c:pt>
                <c:pt idx="31">
                  <c:v>9.7315988712535931E-4</c:v>
                </c:pt>
                <c:pt idx="32">
                  <c:v>9.99332980202237E-4</c:v>
                </c:pt>
                <c:pt idx="33">
                  <c:v>1.0078392554402746E-3</c:v>
                </c:pt>
                <c:pt idx="34">
                  <c:v>1.0162364861178511E-3</c:v>
                </c:pt>
                <c:pt idx="35">
                  <c:v>1.0245246722349667E-3</c:v>
                </c:pt>
                <c:pt idx="36">
                  <c:v>1.0327038137916212E-3</c:v>
                </c:pt>
                <c:pt idx="37">
                  <c:v>1.0565869710988203E-3</c:v>
                </c:pt>
                <c:pt idx="38">
                  <c:v>1.0643299344136312E-3</c:v>
                </c:pt>
                <c:pt idx="39">
                  <c:v>1.0719638531679818E-3</c:v>
                </c:pt>
                <c:pt idx="40">
                  <c:v>1.079488727361871E-3</c:v>
                </c:pt>
                <c:pt idx="41">
                  <c:v>1.0869045569952994E-3</c:v>
                </c:pt>
                <c:pt idx="42">
                  <c:v>1.1084977785328195E-3</c:v>
                </c:pt>
                <c:pt idx="43">
                  <c:v>1.1154774299244044E-3</c:v>
                </c:pt>
                <c:pt idx="44">
                  <c:v>1.1223480367555285E-3</c:v>
                </c:pt>
                <c:pt idx="45">
                  <c:v>1.1291095990261916E-3</c:v>
                </c:pt>
                <c:pt idx="46">
                  <c:v>1.1357621167363938E-3</c:v>
                </c:pt>
                <c:pt idx="47">
                  <c:v>1.1550654025042353E-3</c:v>
                </c:pt>
                <c:pt idx="48">
                  <c:v>1.1612817419725937E-3</c:v>
                </c:pt>
                <c:pt idx="49">
                  <c:v>1.1673890368804917E-3</c:v>
                </c:pt>
                <c:pt idx="50">
                  <c:v>1.1733872872279286E-3</c:v>
                </c:pt>
                <c:pt idx="51">
                  <c:v>1.1792764930149044E-3</c:v>
                </c:pt>
                <c:pt idx="52">
                  <c:v>1.1962898430130672E-3</c:v>
                </c:pt>
                <c:pt idx="53">
                  <c:v>1.2017428705581993E-3</c:v>
                </c:pt>
                <c:pt idx="54">
                  <c:v>1.2070868535428709E-3</c:v>
                </c:pt>
                <c:pt idx="55">
                  <c:v>1.2123217919670819E-3</c:v>
                </c:pt>
                <c:pt idx="56">
                  <c:v>1.2174476858308313E-3</c:v>
                </c:pt>
                <c:pt idx="57">
                  <c:v>1.2321711000593152E-3</c:v>
                </c:pt>
                <c:pt idx="58">
                  <c:v>1.2368608156812214E-3</c:v>
                </c:pt>
                <c:pt idx="59">
                  <c:v>1.2414414867426664E-3</c:v>
                </c:pt>
                <c:pt idx="60">
                  <c:v>1.2459131132436512E-3</c:v>
                </c:pt>
                <c:pt idx="61">
                  <c:v>1.2502756951841745E-3</c:v>
                </c:pt>
                <c:pt idx="62">
                  <c:v>1.2627091736429796E-3</c:v>
                </c:pt>
                <c:pt idx="63">
                  <c:v>1.2666355773416594E-3</c:v>
                </c:pt>
                <c:pt idx="64">
                  <c:v>1.2704529364798785E-3</c:v>
                </c:pt>
                <c:pt idx="65">
                  <c:v>1.2741612510576365E-3</c:v>
                </c:pt>
                <c:pt idx="66">
                  <c:v>1.277760521074934E-3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96864"/>
        <c:axId val="652202752"/>
      </c:lineChart>
      <c:dateAx>
        <c:axId val="65219686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52202752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65220275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52196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'3MSynthDepo_allScenario'!$BI$6:$BI$135</c:f>
              <c:numCache>
                <c:formatCode>0.0000%</c:formatCode>
                <c:ptCount val="130"/>
                <c:pt idx="0">
                  <c:v>1.3515917310784609E-3</c:v>
                </c:pt>
                <c:pt idx="1">
                  <c:v>1.3450311459461755E-3</c:v>
                </c:pt>
                <c:pt idx="2">
                  <c:v>1.325349390549319E-3</c:v>
                </c:pt>
                <c:pt idx="3">
                  <c:v>1.3187888054170336E-3</c:v>
                </c:pt>
                <c:pt idx="4">
                  <c:v>1.3122282202847483E-3</c:v>
                </c:pt>
                <c:pt idx="5">
                  <c:v>1.3056676351524627E-3</c:v>
                </c:pt>
                <c:pt idx="6">
                  <c:v>1.2991070500201773E-3</c:v>
                </c:pt>
                <c:pt idx="7">
                  <c:v>1.279425294623321E-3</c:v>
                </c:pt>
                <c:pt idx="8">
                  <c:v>1.2728647094910357E-3</c:v>
                </c:pt>
                <c:pt idx="9">
                  <c:v>1.2663041243587501E-3</c:v>
                </c:pt>
                <c:pt idx="10">
                  <c:v>1.2597435392264647E-3</c:v>
                </c:pt>
                <c:pt idx="11">
                  <c:v>1.2531829540941791E-3</c:v>
                </c:pt>
                <c:pt idx="12">
                  <c:v>1.2335011986973228E-3</c:v>
                </c:pt>
                <c:pt idx="13">
                  <c:v>1.2269406135650375E-3</c:v>
                </c:pt>
                <c:pt idx="14">
                  <c:v>1.2203800284327519E-3</c:v>
                </c:pt>
                <c:pt idx="15">
                  <c:v>1.2138194433004665E-3</c:v>
                </c:pt>
                <c:pt idx="16">
                  <c:v>1.2072588581681812E-3</c:v>
                </c:pt>
                <c:pt idx="17">
                  <c:v>1.1875771027713249E-3</c:v>
                </c:pt>
                <c:pt idx="18">
                  <c:v>1.1810165176390393E-3</c:v>
                </c:pt>
                <c:pt idx="19">
                  <c:v>1.1744559325067539E-3</c:v>
                </c:pt>
                <c:pt idx="20">
                  <c:v>1.1678953473744683E-3</c:v>
                </c:pt>
                <c:pt idx="21">
                  <c:v>1.161334762242183E-3</c:v>
                </c:pt>
                <c:pt idx="22">
                  <c:v>1.1416530068453267E-3</c:v>
                </c:pt>
                <c:pt idx="23">
                  <c:v>1.1350924217130413E-3</c:v>
                </c:pt>
                <c:pt idx="24">
                  <c:v>1.1285318365807557E-3</c:v>
                </c:pt>
                <c:pt idx="25">
                  <c:v>1.1219712514484704E-3</c:v>
                </c:pt>
                <c:pt idx="26">
                  <c:v>1.1154106663161848E-3</c:v>
                </c:pt>
                <c:pt idx="27">
                  <c:v>1.0957289109193285E-3</c:v>
                </c:pt>
                <c:pt idx="28">
                  <c:v>1.0891683257870431E-3</c:v>
                </c:pt>
                <c:pt idx="29">
                  <c:v>1.0826077406547578E-3</c:v>
                </c:pt>
                <c:pt idx="30">
                  <c:v>1.0760471555224722E-3</c:v>
                </c:pt>
                <c:pt idx="31">
                  <c:v>1.0694865703901868E-3</c:v>
                </c:pt>
                <c:pt idx="32">
                  <c:v>1.0498048149933305E-3</c:v>
                </c:pt>
                <c:pt idx="33">
                  <c:v>1.0432442298610449E-3</c:v>
                </c:pt>
                <c:pt idx="34">
                  <c:v>1.0366836447287596E-3</c:v>
                </c:pt>
                <c:pt idx="35">
                  <c:v>1.030123059596474E-3</c:v>
                </c:pt>
                <c:pt idx="36">
                  <c:v>1.0235624744641886E-3</c:v>
                </c:pt>
                <c:pt idx="37">
                  <c:v>1.0038807190673323E-3</c:v>
                </c:pt>
                <c:pt idx="38">
                  <c:v>9.9732013393504697E-4</c:v>
                </c:pt>
                <c:pt idx="39">
                  <c:v>9.9075954880276139E-4</c:v>
                </c:pt>
                <c:pt idx="40">
                  <c:v>9.8419896367047603E-4</c:v>
                </c:pt>
                <c:pt idx="41">
                  <c:v>9.7763837853819067E-4</c:v>
                </c:pt>
                <c:pt idx="42">
                  <c:v>9.5795662314133426E-4</c:v>
                </c:pt>
                <c:pt idx="43">
                  <c:v>9.5139603800904879E-4</c:v>
                </c:pt>
                <c:pt idx="44">
                  <c:v>9.4483545287676331E-4</c:v>
                </c:pt>
                <c:pt idx="45">
                  <c:v>9.3827486774447784E-4</c:v>
                </c:pt>
                <c:pt idx="46">
                  <c:v>9.3171428261219248E-4</c:v>
                </c:pt>
                <c:pt idx="47">
                  <c:v>9.1203252721533618E-4</c:v>
                </c:pt>
                <c:pt idx="48">
                  <c:v>9.054719420830506E-4</c:v>
                </c:pt>
                <c:pt idx="49">
                  <c:v>8.9891135695076524E-4</c:v>
                </c:pt>
                <c:pt idx="50">
                  <c:v>8.9235077181847977E-4</c:v>
                </c:pt>
                <c:pt idx="51">
                  <c:v>8.857901866861943E-4</c:v>
                </c:pt>
                <c:pt idx="52">
                  <c:v>8.6610843128933799E-4</c:v>
                </c:pt>
                <c:pt idx="53">
                  <c:v>8.5954784615705252E-4</c:v>
                </c:pt>
                <c:pt idx="54">
                  <c:v>8.5298726102476716E-4</c:v>
                </c:pt>
                <c:pt idx="55">
                  <c:v>8.4642667589248169E-4</c:v>
                </c:pt>
                <c:pt idx="56">
                  <c:v>8.3986609076019622E-4</c:v>
                </c:pt>
                <c:pt idx="57">
                  <c:v>8.2018433536333992E-4</c:v>
                </c:pt>
                <c:pt idx="58">
                  <c:v>8.1362375023105444E-4</c:v>
                </c:pt>
                <c:pt idx="59">
                  <c:v>8.0706316509876897E-4</c:v>
                </c:pt>
                <c:pt idx="60">
                  <c:v>8.005025799664835E-4</c:v>
                </c:pt>
                <c:pt idx="61">
                  <c:v>7.9394199483419814E-4</c:v>
                </c:pt>
                <c:pt idx="62">
                  <c:v>7.7426023943734184E-4</c:v>
                </c:pt>
                <c:pt idx="63">
                  <c:v>7.6769965430505637E-4</c:v>
                </c:pt>
                <c:pt idx="64">
                  <c:v>7.611390691727709E-4</c:v>
                </c:pt>
                <c:pt idx="65">
                  <c:v>7.5457848404048543E-4</c:v>
                </c:pt>
                <c:pt idx="66">
                  <c:v>7.4801789890820006E-4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'3MSynthDepo_allScenario'!$BJ$6:$BJ$135</c:f>
              <c:numCache>
                <c:formatCode>0.0000%</c:formatCode>
                <c:ptCount val="130"/>
                <c:pt idx="0">
                  <c:v>1.9935868301500076E-3</c:v>
                </c:pt>
                <c:pt idx="1">
                  <c:v>1.9501051829960187E-3</c:v>
                </c:pt>
                <c:pt idx="2">
                  <c:v>1.8242277955985923E-3</c:v>
                </c:pt>
                <c:pt idx="3">
                  <c:v>1.7837911844876305E-3</c:v>
                </c:pt>
                <c:pt idx="4">
                  <c:v>1.7441158323874253E-3</c:v>
                </c:pt>
                <c:pt idx="5">
                  <c:v>1.7052017392979767E-3</c:v>
                </c:pt>
                <c:pt idx="6">
                  <c:v>1.6670489052192853E-3</c:v>
                </c:pt>
                <c:pt idx="7">
                  <c:v>1.5571579570477514E-3</c:v>
                </c:pt>
                <c:pt idx="8">
                  <c:v>1.5220501590120868E-3</c:v>
                </c:pt>
                <c:pt idx="9">
                  <c:v>1.4877036199871792E-3</c:v>
                </c:pt>
                <c:pt idx="10">
                  <c:v>1.4541183399730279E-3</c:v>
                </c:pt>
                <c:pt idx="11">
                  <c:v>1.4212943189696339E-3</c:v>
                </c:pt>
                <c:pt idx="12">
                  <c:v>1.3273898100239919E-3</c:v>
                </c:pt>
                <c:pt idx="13">
                  <c:v>1.2976108250636247E-3</c:v>
                </c:pt>
                <c:pt idx="14">
                  <c:v>1.2685930991140145E-3</c:v>
                </c:pt>
                <c:pt idx="15">
                  <c:v>1.240336632175161E-3</c:v>
                </c:pt>
                <c:pt idx="16">
                  <c:v>1.2128414242470644E-3</c:v>
                </c:pt>
                <c:pt idx="17">
                  <c:v>1.1349233545273145E-3</c:v>
                </c:pt>
                <c:pt idx="18">
                  <c:v>1.1104731826422449E-3</c:v>
                </c:pt>
                <c:pt idx="19">
                  <c:v>1.0867842697679319E-3</c:v>
                </c:pt>
                <c:pt idx="20">
                  <c:v>1.0638566159043759E-3</c:v>
                </c:pt>
                <c:pt idx="21">
                  <c:v>1.0416902210515764E-3</c:v>
                </c:pt>
                <c:pt idx="22">
                  <c:v>9.7975859055771889E-4</c:v>
                </c:pt>
                <c:pt idx="23">
                  <c:v>9.6063723174794665E-4</c:v>
                </c:pt>
                <c:pt idx="24">
                  <c:v>9.4227713194893121E-4</c:v>
                </c:pt>
                <c:pt idx="25">
                  <c:v>9.2467829116067257E-4</c:v>
                </c:pt>
                <c:pt idx="26">
                  <c:v>9.0784070938317051E-4</c:v>
                </c:pt>
                <c:pt idx="27">
                  <c:v>8.6189551811520525E-4</c:v>
                </c:pt>
                <c:pt idx="28">
                  <c:v>8.481029723807304E-4</c:v>
                </c:pt>
                <c:pt idx="29">
                  <c:v>8.3507168565701223E-4</c:v>
                </c:pt>
                <c:pt idx="30">
                  <c:v>8.2280165794405087E-4</c:v>
                </c:pt>
                <c:pt idx="31">
                  <c:v>8.1129288924184641E-4</c:v>
                </c:pt>
                <c:pt idx="32">
                  <c:v>7.813341371997732E-4</c:v>
                </c:pt>
                <c:pt idx="33">
                  <c:v>7.7287040454059584E-4</c:v>
                </c:pt>
                <c:pt idx="34">
                  <c:v>7.6516793089217506E-4</c:v>
                </c:pt>
                <c:pt idx="35">
                  <c:v>7.5822671625451108E-4</c:v>
                </c:pt>
                <c:pt idx="36">
                  <c:v>7.5204676062760433E-4</c:v>
                </c:pt>
                <c:pt idx="37">
                  <c:v>7.3807444781142338E-4</c:v>
                </c:pt>
                <c:pt idx="38">
                  <c:v>7.3493952822754329E-4</c:v>
                </c:pt>
                <c:pt idx="39">
                  <c:v>7.3256586765441979E-4</c:v>
                </c:pt>
                <c:pt idx="40">
                  <c:v>7.3095346609205331E-4</c:v>
                </c:pt>
                <c:pt idx="41">
                  <c:v>7.3010232354044362E-4</c:v>
                </c:pt>
                <c:pt idx="42">
                  <c:v>7.3211644995015536E-4</c:v>
                </c:pt>
                <c:pt idx="43">
                  <c:v>7.3431034344157244E-4</c:v>
                </c:pt>
                <c:pt idx="44">
                  <c:v>7.3726549594374654E-4</c:v>
                </c:pt>
                <c:pt idx="45">
                  <c:v>7.4098190745667744E-4</c:v>
                </c:pt>
                <c:pt idx="46">
                  <c:v>7.4545957798036492E-4</c:v>
                </c:pt>
                <c:pt idx="47">
                  <c:v>7.6346014361596839E-4</c:v>
                </c:pt>
                <c:pt idx="48">
                  <c:v>7.709828501826835E-4</c:v>
                </c:pt>
                <c:pt idx="49">
                  <c:v>7.792668157601552E-4</c:v>
                </c:pt>
                <c:pt idx="50">
                  <c:v>7.8831204034838349E-4</c:v>
                </c:pt>
                <c:pt idx="51">
                  <c:v>7.9811852394736835E-4</c:v>
                </c:pt>
                <c:pt idx="52">
                  <c:v>8.3210552880886397E-4</c:v>
                </c:pt>
                <c:pt idx="53">
                  <c:v>8.4495704845087647E-4</c:v>
                </c:pt>
                <c:pt idx="54">
                  <c:v>8.5856982710364512E-4</c:v>
                </c:pt>
                <c:pt idx="55">
                  <c:v>8.7294386476717122E-4</c:v>
                </c:pt>
                <c:pt idx="56">
                  <c:v>8.8807916144145347E-4</c:v>
                </c:pt>
                <c:pt idx="57">
                  <c:v>9.3805260552884146E-4</c:v>
                </c:pt>
                <c:pt idx="58">
                  <c:v>9.5623293824615091E-4</c:v>
                </c:pt>
                <c:pt idx="59">
                  <c:v>9.7517452997421738E-4</c:v>
                </c:pt>
                <c:pt idx="60">
                  <c:v>9.9487738071304043E-4</c:v>
                </c:pt>
                <c:pt idx="61">
                  <c:v>1.0153414904626201E-3</c:v>
                </c:pt>
                <c:pt idx="62">
                  <c:v>1.0813013737759006E-3</c:v>
                </c:pt>
                <c:pt idx="63">
                  <c:v>1.1048105195685079E-3</c:v>
                </c:pt>
                <c:pt idx="64">
                  <c:v>1.1290809243718713E-3</c:v>
                </c:pt>
                <c:pt idx="65">
                  <c:v>1.1541125881859918E-3</c:v>
                </c:pt>
                <c:pt idx="66">
                  <c:v>1.1799055110108684E-3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'3MSynthDepo_allScenario'!$BK$6:$BK$135</c:f>
              <c:numCache>
                <c:formatCode>0.0000%</c:formatCode>
                <c:ptCount val="130"/>
                <c:pt idx="0">
                  <c:v>6.786387655694729E-4</c:v>
                </c:pt>
                <c:pt idx="1">
                  <c:v>6.850195836200526E-4</c:v>
                </c:pt>
                <c:pt idx="2">
                  <c:v>7.0416203777179181E-4</c:v>
                </c:pt>
                <c:pt idx="3">
                  <c:v>7.1054285582237162E-4</c:v>
                </c:pt>
                <c:pt idx="4">
                  <c:v>7.1692367387295132E-4</c:v>
                </c:pt>
                <c:pt idx="5">
                  <c:v>7.2330449192353102E-4</c:v>
                </c:pt>
                <c:pt idx="6">
                  <c:v>7.2968530997411082E-4</c:v>
                </c:pt>
                <c:pt idx="7">
                  <c:v>7.4882776412585003E-4</c:v>
                </c:pt>
                <c:pt idx="8">
                  <c:v>7.5520858217642973E-4</c:v>
                </c:pt>
                <c:pt idx="9">
                  <c:v>7.6158940022700943E-4</c:v>
                </c:pt>
                <c:pt idx="10">
                  <c:v>7.6797021827758924E-4</c:v>
                </c:pt>
                <c:pt idx="11">
                  <c:v>7.7435103632816893E-4</c:v>
                </c:pt>
                <c:pt idx="12">
                  <c:v>7.9349349047990814E-4</c:v>
                </c:pt>
                <c:pt idx="13">
                  <c:v>7.9987430853048784E-4</c:v>
                </c:pt>
                <c:pt idx="14">
                  <c:v>8.0625512658106754E-4</c:v>
                </c:pt>
                <c:pt idx="15">
                  <c:v>8.1263594463164735E-4</c:v>
                </c:pt>
                <c:pt idx="16">
                  <c:v>8.1901676268222705E-4</c:v>
                </c:pt>
                <c:pt idx="17">
                  <c:v>8.3815921683396636E-4</c:v>
                </c:pt>
                <c:pt idx="18">
                  <c:v>8.4454003488454595E-4</c:v>
                </c:pt>
                <c:pt idx="19">
                  <c:v>8.5092085293512576E-4</c:v>
                </c:pt>
                <c:pt idx="20">
                  <c:v>8.5730167098570546E-4</c:v>
                </c:pt>
                <c:pt idx="21">
                  <c:v>8.6368248903628527E-4</c:v>
                </c:pt>
                <c:pt idx="22">
                  <c:v>8.8282494318802447E-4</c:v>
                </c:pt>
                <c:pt idx="23">
                  <c:v>8.8920576123860417E-4</c:v>
                </c:pt>
                <c:pt idx="24">
                  <c:v>8.9558657928918387E-4</c:v>
                </c:pt>
                <c:pt idx="25">
                  <c:v>9.0196739733976368E-4</c:v>
                </c:pt>
                <c:pt idx="26">
                  <c:v>9.0834821539034338E-4</c:v>
                </c:pt>
                <c:pt idx="27">
                  <c:v>9.2749066954208258E-4</c:v>
                </c:pt>
                <c:pt idx="28">
                  <c:v>9.3387148759266228E-4</c:v>
                </c:pt>
                <c:pt idx="29">
                  <c:v>9.4025230564324198E-4</c:v>
                </c:pt>
                <c:pt idx="30">
                  <c:v>9.4663312369382179E-4</c:v>
                </c:pt>
                <c:pt idx="31">
                  <c:v>9.530139417444016E-4</c:v>
                </c:pt>
                <c:pt idx="32">
                  <c:v>9.7215639589614069E-4</c:v>
                </c:pt>
                <c:pt idx="33">
                  <c:v>9.7853721394672039E-4</c:v>
                </c:pt>
                <c:pt idx="34">
                  <c:v>9.849180319973002E-4</c:v>
                </c:pt>
                <c:pt idx="35">
                  <c:v>9.9129885004788001E-4</c:v>
                </c:pt>
                <c:pt idx="36">
                  <c:v>9.9767966809845982E-4</c:v>
                </c:pt>
                <c:pt idx="37">
                  <c:v>1.0168221222501988E-3</c:v>
                </c:pt>
                <c:pt idx="38">
                  <c:v>1.0232029403007786E-3</c:v>
                </c:pt>
                <c:pt idx="39">
                  <c:v>1.0295837583513584E-3</c:v>
                </c:pt>
                <c:pt idx="40">
                  <c:v>1.035964576401938E-3</c:v>
                </c:pt>
                <c:pt idx="41">
                  <c:v>1.0423453944525178E-3</c:v>
                </c:pt>
                <c:pt idx="42">
                  <c:v>1.061487848604257E-3</c:v>
                </c:pt>
                <c:pt idx="43">
                  <c:v>1.0678686666548368E-3</c:v>
                </c:pt>
                <c:pt idx="44">
                  <c:v>1.0742494847054164E-3</c:v>
                </c:pt>
                <c:pt idx="45">
                  <c:v>1.0806303027559962E-3</c:v>
                </c:pt>
                <c:pt idx="46">
                  <c:v>1.087011120806576E-3</c:v>
                </c:pt>
                <c:pt idx="47">
                  <c:v>1.1061535749583152E-3</c:v>
                </c:pt>
                <c:pt idx="48">
                  <c:v>1.1125343930088948E-3</c:v>
                </c:pt>
                <c:pt idx="49">
                  <c:v>1.1189152110594746E-3</c:v>
                </c:pt>
                <c:pt idx="50">
                  <c:v>1.1252960291100544E-3</c:v>
                </c:pt>
                <c:pt idx="51">
                  <c:v>1.131676847160634E-3</c:v>
                </c:pt>
                <c:pt idx="52">
                  <c:v>1.1508193013123732E-3</c:v>
                </c:pt>
                <c:pt idx="53">
                  <c:v>1.1572001193629531E-3</c:v>
                </c:pt>
                <c:pt idx="54">
                  <c:v>1.1635809374135329E-3</c:v>
                </c:pt>
                <c:pt idx="55">
                  <c:v>1.1699617554641125E-3</c:v>
                </c:pt>
                <c:pt idx="56">
                  <c:v>1.1763425735146923E-3</c:v>
                </c:pt>
                <c:pt idx="57">
                  <c:v>1.1954850276664315E-3</c:v>
                </c:pt>
                <c:pt idx="58">
                  <c:v>1.2018658457170111E-3</c:v>
                </c:pt>
                <c:pt idx="59">
                  <c:v>1.2082466637675909E-3</c:v>
                </c:pt>
                <c:pt idx="60">
                  <c:v>1.2146274818181707E-3</c:v>
                </c:pt>
                <c:pt idx="61">
                  <c:v>1.2210082998687505E-3</c:v>
                </c:pt>
                <c:pt idx="62">
                  <c:v>1.2401507540204895E-3</c:v>
                </c:pt>
                <c:pt idx="63">
                  <c:v>1.2465315720710693E-3</c:v>
                </c:pt>
                <c:pt idx="64">
                  <c:v>1.2529123901216491E-3</c:v>
                </c:pt>
                <c:pt idx="65">
                  <c:v>1.2592932081722289E-3</c:v>
                </c:pt>
                <c:pt idx="66">
                  <c:v>1.2656740262228085E-3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'3MSynthDepo_allScenario'!$BL$6:$BL$135</c:f>
              <c:numCache>
                <c:formatCode>0.0000%</c:formatCode>
                <c:ptCount val="130"/>
                <c:pt idx="0">
                  <c:v>4.8917745072110251E-4</c:v>
                </c:pt>
                <c:pt idx="1">
                  <c:v>5.0274258918227754E-4</c:v>
                </c:pt>
                <c:pt idx="2">
                  <c:v>5.4277989887933605E-4</c:v>
                </c:pt>
                <c:pt idx="3">
                  <c:v>5.5590630021619988E-4</c:v>
                </c:pt>
                <c:pt idx="4">
                  <c:v>5.6892301727198597E-4</c:v>
                </c:pt>
                <c:pt idx="5">
                  <c:v>5.8183005004669441E-4</c:v>
                </c:pt>
                <c:pt idx="6">
                  <c:v>5.9462739854032501E-4</c:v>
                </c:pt>
                <c:pt idx="7">
                  <c:v>6.3236133833474977E-4</c:v>
                </c:pt>
                <c:pt idx="8">
                  <c:v>6.4471994970406916E-4</c:v>
                </c:pt>
                <c:pt idx="9">
                  <c:v>6.569688767923107E-4</c:v>
                </c:pt>
                <c:pt idx="10">
                  <c:v>6.6910811959947449E-4</c:v>
                </c:pt>
                <c:pt idx="11">
                  <c:v>6.8113767812556043E-4</c:v>
                </c:pt>
                <c:pt idx="12">
                  <c:v>7.1656824801735177E-4</c:v>
                </c:pt>
                <c:pt idx="13">
                  <c:v>7.2815906941912651E-4</c:v>
                </c:pt>
                <c:pt idx="14">
                  <c:v>7.3964020653982351E-4</c:v>
                </c:pt>
                <c:pt idx="15">
                  <c:v>7.5101165937944275E-4</c:v>
                </c:pt>
                <c:pt idx="16">
                  <c:v>7.6227342793798436E-4</c:v>
                </c:pt>
                <c:pt idx="17">
                  <c:v>7.9540062792714185E-4</c:v>
                </c:pt>
                <c:pt idx="18">
                  <c:v>8.0622365936137215E-4</c:v>
                </c:pt>
                <c:pt idx="19">
                  <c:v>8.169370065145246E-4</c:v>
                </c:pt>
                <c:pt idx="20">
                  <c:v>8.2754066938659941E-4</c:v>
                </c:pt>
                <c:pt idx="21">
                  <c:v>8.3803464797759626E-4</c:v>
                </c:pt>
                <c:pt idx="22">
                  <c:v>8.6885847806412021E-4</c:v>
                </c:pt>
                <c:pt idx="23">
                  <c:v>8.7891371953080597E-4</c:v>
                </c:pt>
                <c:pt idx="24">
                  <c:v>8.8885927671641398E-4</c:v>
                </c:pt>
                <c:pt idx="25">
                  <c:v>8.9869514962094424E-4</c:v>
                </c:pt>
                <c:pt idx="26">
                  <c:v>9.0842133824439644E-4</c:v>
                </c:pt>
                <c:pt idx="27">
                  <c:v>9.3694179842828697E-4</c:v>
                </c:pt>
                <c:pt idx="28">
                  <c:v>9.4622924992742807E-4</c:v>
                </c:pt>
                <c:pt idx="29">
                  <c:v>9.5540701714549154E-4</c:v>
                </c:pt>
                <c:pt idx="30">
                  <c:v>9.6447510008247726E-4</c:v>
                </c:pt>
                <c:pt idx="31">
                  <c:v>9.7343349873838501E-4</c:v>
                </c:pt>
                <c:pt idx="32">
                  <c:v>9.9965058901964202E-4</c:v>
                </c:pt>
                <c:pt idx="33">
                  <c:v>1.0081702505512385E-3</c:v>
                </c:pt>
                <c:pt idx="34">
                  <c:v>1.0165802278017573E-3</c:v>
                </c:pt>
                <c:pt idx="35">
                  <c:v>1.0248805207711984E-3</c:v>
                </c:pt>
                <c:pt idx="36">
                  <c:v>1.0330711294595618E-3</c:v>
                </c:pt>
                <c:pt idx="37">
                  <c:v>1.056984849838185E-3</c:v>
                </c:pt>
                <c:pt idx="38">
                  <c:v>1.0647367214022371E-3</c:v>
                </c:pt>
                <c:pt idx="39">
                  <c:v>1.0723789086852112E-3</c:v>
                </c:pt>
                <c:pt idx="40">
                  <c:v>1.0799114116871078E-3</c:v>
                </c:pt>
                <c:pt idx="41">
                  <c:v>1.0873342304079266E-3</c:v>
                </c:pt>
                <c:pt idx="42">
                  <c:v>1.1089445808839162E-3</c:v>
                </c:pt>
                <c:pt idx="43">
                  <c:v>1.1159286624804238E-3</c:v>
                </c:pt>
                <c:pt idx="44">
                  <c:v>1.1228030597958535E-3</c:v>
                </c:pt>
                <c:pt idx="45">
                  <c:v>1.1295677728302056E-3</c:v>
                </c:pt>
                <c:pt idx="46">
                  <c:v>1.13622280158348E-3</c:v>
                </c:pt>
                <c:pt idx="47">
                  <c:v>1.1555297821568358E-3</c:v>
                </c:pt>
                <c:pt idx="48">
                  <c:v>1.1617460737857988E-3</c:v>
                </c:pt>
                <c:pt idx="49">
                  <c:v>1.1678526811336842E-3</c:v>
                </c:pt>
                <c:pt idx="50">
                  <c:v>1.1738496042004915E-3</c:v>
                </c:pt>
                <c:pt idx="51">
                  <c:v>1.179736842986221E-3</c:v>
                </c:pt>
                <c:pt idx="52">
                  <c:v>1.1967404536569436E-3</c:v>
                </c:pt>
                <c:pt idx="53">
                  <c:v>1.202188955318362E-3</c:v>
                </c:pt>
                <c:pt idx="54">
                  <c:v>1.2075277726987029E-3</c:v>
                </c:pt>
                <c:pt idx="55">
                  <c:v>1.2127569057979657E-3</c:v>
                </c:pt>
                <c:pt idx="56">
                  <c:v>1.2178763546161508E-3</c:v>
                </c:pt>
                <c:pt idx="57">
                  <c:v>1.2325765953842395E-3</c:v>
                </c:pt>
                <c:pt idx="58">
                  <c:v>1.2372573070781137E-3</c:v>
                </c:pt>
                <c:pt idx="59">
                  <c:v>1.2418283344909097E-3</c:v>
                </c:pt>
                <c:pt idx="60">
                  <c:v>1.2462896776226282E-3</c:v>
                </c:pt>
                <c:pt idx="61">
                  <c:v>1.2506413364732688E-3</c:v>
                </c:pt>
                <c:pt idx="62">
                  <c:v>1.2630382073387238E-3</c:v>
                </c:pt>
                <c:pt idx="63">
                  <c:v>1.2669511290650532E-3</c:v>
                </c:pt>
                <c:pt idx="64">
                  <c:v>1.270754366510305E-3</c:v>
                </c:pt>
                <c:pt idx="65">
                  <c:v>1.2744479196744787E-3</c:v>
                </c:pt>
                <c:pt idx="66">
                  <c:v>1.2780317885575749E-3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23552"/>
        <c:axId val="652833536"/>
      </c:lineChart>
      <c:dateAx>
        <c:axId val="65282355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5283353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65283353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52823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'3MSynthDepo_allScenario'!$BM$6:$BM$135</c:f>
              <c:numCache>
                <c:formatCode>0.0000%</c:formatCode>
                <c:ptCount val="130"/>
                <c:pt idx="0">
                  <c:v>9.0196462372958079E-4</c:v>
                </c:pt>
                <c:pt idx="1">
                  <c:v>9.048830248030589E-4</c:v>
                </c:pt>
                <c:pt idx="2">
                  <c:v>9.1363822802349314E-4</c:v>
                </c:pt>
                <c:pt idx="3">
                  <c:v>9.1655662909697125E-4</c:v>
                </c:pt>
                <c:pt idx="4">
                  <c:v>9.1947503017044937E-4</c:v>
                </c:pt>
                <c:pt idx="5">
                  <c:v>9.2239343124392748E-4</c:v>
                </c:pt>
                <c:pt idx="6">
                  <c:v>9.2531183231740559E-4</c:v>
                </c:pt>
                <c:pt idx="7">
                  <c:v>9.3406703553783983E-4</c:v>
                </c:pt>
                <c:pt idx="8">
                  <c:v>9.3698543661131794E-4</c:v>
                </c:pt>
                <c:pt idx="9">
                  <c:v>9.3990383768479606E-4</c:v>
                </c:pt>
                <c:pt idx="10">
                  <c:v>9.4282223875827406E-4</c:v>
                </c:pt>
                <c:pt idx="11">
                  <c:v>9.4574063983175218E-4</c:v>
                </c:pt>
                <c:pt idx="12">
                  <c:v>9.5449584305218652E-4</c:v>
                </c:pt>
                <c:pt idx="13">
                  <c:v>9.5741424412566464E-4</c:v>
                </c:pt>
                <c:pt idx="14">
                  <c:v>9.6033264519914264E-4</c:v>
                </c:pt>
                <c:pt idx="15">
                  <c:v>9.6325104627262076E-4</c:v>
                </c:pt>
                <c:pt idx="16">
                  <c:v>9.6616944734609887E-4</c:v>
                </c:pt>
                <c:pt idx="17">
                  <c:v>9.7492465056653321E-4</c:v>
                </c:pt>
                <c:pt idx="18">
                  <c:v>9.7784305164001122E-4</c:v>
                </c:pt>
                <c:pt idx="19">
                  <c:v>9.8076145271348944E-4</c:v>
                </c:pt>
                <c:pt idx="20">
                  <c:v>9.8367985378696745E-4</c:v>
                </c:pt>
                <c:pt idx="21">
                  <c:v>9.8659825486044545E-4</c:v>
                </c:pt>
                <c:pt idx="22">
                  <c:v>9.9535345808087991E-4</c:v>
                </c:pt>
                <c:pt idx="23">
                  <c:v>9.9827185915435791E-4</c:v>
                </c:pt>
                <c:pt idx="24">
                  <c:v>1.0011902602278359E-3</c:v>
                </c:pt>
                <c:pt idx="25">
                  <c:v>1.0041086613013141E-3</c:v>
                </c:pt>
                <c:pt idx="26">
                  <c:v>1.0070270623747921E-3</c:v>
                </c:pt>
                <c:pt idx="27">
                  <c:v>1.0157822655952266E-3</c:v>
                </c:pt>
                <c:pt idx="28">
                  <c:v>1.0187006666687046E-3</c:v>
                </c:pt>
                <c:pt idx="29">
                  <c:v>1.0216190677421826E-3</c:v>
                </c:pt>
                <c:pt idx="30">
                  <c:v>1.0245374688156608E-3</c:v>
                </c:pt>
                <c:pt idx="31">
                  <c:v>1.0274558698891388E-3</c:v>
                </c:pt>
                <c:pt idx="32">
                  <c:v>1.0362110731095731E-3</c:v>
                </c:pt>
                <c:pt idx="33">
                  <c:v>1.0391294741830513E-3</c:v>
                </c:pt>
                <c:pt idx="34">
                  <c:v>1.0420478752565293E-3</c:v>
                </c:pt>
                <c:pt idx="35">
                  <c:v>1.0449662763300075E-3</c:v>
                </c:pt>
                <c:pt idx="36">
                  <c:v>1.0478846774034855E-3</c:v>
                </c:pt>
                <c:pt idx="37">
                  <c:v>1.0566398806239198E-3</c:v>
                </c:pt>
                <c:pt idx="38">
                  <c:v>1.059558281697398E-3</c:v>
                </c:pt>
                <c:pt idx="39">
                  <c:v>1.062476682770876E-3</c:v>
                </c:pt>
                <c:pt idx="40">
                  <c:v>1.065395083844354E-3</c:v>
                </c:pt>
                <c:pt idx="41">
                  <c:v>1.0683134849178322E-3</c:v>
                </c:pt>
                <c:pt idx="42">
                  <c:v>1.0770686881382665E-3</c:v>
                </c:pt>
                <c:pt idx="43">
                  <c:v>1.0799870892117447E-3</c:v>
                </c:pt>
                <c:pt idx="44">
                  <c:v>1.0829054902852227E-3</c:v>
                </c:pt>
                <c:pt idx="45">
                  <c:v>1.0858238913587007E-3</c:v>
                </c:pt>
                <c:pt idx="46">
                  <c:v>1.0887422924321789E-3</c:v>
                </c:pt>
                <c:pt idx="47">
                  <c:v>1.0974974956526131E-3</c:v>
                </c:pt>
                <c:pt idx="48">
                  <c:v>1.1004158967260912E-3</c:v>
                </c:pt>
                <c:pt idx="49">
                  <c:v>1.1033342977995694E-3</c:v>
                </c:pt>
                <c:pt idx="50">
                  <c:v>1.1062526988730474E-3</c:v>
                </c:pt>
                <c:pt idx="51">
                  <c:v>1.1091710999465256E-3</c:v>
                </c:pt>
                <c:pt idx="52">
                  <c:v>1.1179263031669598E-3</c:v>
                </c:pt>
                <c:pt idx="53">
                  <c:v>1.1208447042404378E-3</c:v>
                </c:pt>
                <c:pt idx="54">
                  <c:v>1.1237631053139161E-3</c:v>
                </c:pt>
                <c:pt idx="55">
                  <c:v>1.1266815063873941E-3</c:v>
                </c:pt>
                <c:pt idx="56">
                  <c:v>1.1295999074608723E-3</c:v>
                </c:pt>
                <c:pt idx="57">
                  <c:v>1.1383551106813065E-3</c:v>
                </c:pt>
                <c:pt idx="58">
                  <c:v>1.1412735117547845E-3</c:v>
                </c:pt>
                <c:pt idx="59">
                  <c:v>1.1441919128282628E-3</c:v>
                </c:pt>
                <c:pt idx="60">
                  <c:v>1.1471103139017408E-3</c:v>
                </c:pt>
                <c:pt idx="61">
                  <c:v>1.1500287149752188E-3</c:v>
                </c:pt>
                <c:pt idx="62">
                  <c:v>1.1587839181956532E-3</c:v>
                </c:pt>
                <c:pt idx="63">
                  <c:v>1.1617023192691312E-3</c:v>
                </c:pt>
                <c:pt idx="64">
                  <c:v>1.1646207203426092E-3</c:v>
                </c:pt>
                <c:pt idx="65">
                  <c:v>1.1675391214160875E-3</c:v>
                </c:pt>
                <c:pt idx="66">
                  <c:v>1.1704575224895655E-3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'3MSynthDepo_allScenario'!$BN$6:$BN$135</c:f>
              <c:numCache>
                <c:formatCode>0.0000%</c:formatCode>
                <c:ptCount val="130"/>
                <c:pt idx="0">
                  <c:v>6.0512155990559012E-4</c:v>
                </c:pt>
                <c:pt idx="1">
                  <c:v>6.1851335527943164E-4</c:v>
                </c:pt>
                <c:pt idx="2">
                  <c:v>6.5781048728721675E-4</c:v>
                </c:pt>
                <c:pt idx="3">
                  <c:v>6.7061677991856535E-4</c:v>
                </c:pt>
                <c:pt idx="4">
                  <c:v>6.832766968642908E-4</c:v>
                </c:pt>
                <c:pt idx="5">
                  <c:v>6.9579023812439309E-4</c:v>
                </c:pt>
                <c:pt idx="6">
                  <c:v>7.0815740369887213E-4</c:v>
                </c:pt>
                <c:pt idx="7">
                  <c:v>7.4438064630856981E-4</c:v>
                </c:pt>
                <c:pt idx="8">
                  <c:v>7.5616230914055604E-4</c:v>
                </c:pt>
                <c:pt idx="9">
                  <c:v>7.6779759628691901E-4</c:v>
                </c:pt>
                <c:pt idx="10">
                  <c:v>7.7928650774765872E-4</c:v>
                </c:pt>
                <c:pt idx="11">
                  <c:v>7.9062904352277528E-4</c:v>
                </c:pt>
                <c:pt idx="12">
                  <c:v>8.2377839673438563E-4</c:v>
                </c:pt>
                <c:pt idx="13">
                  <c:v>8.3453542976700938E-4</c:v>
                </c:pt>
                <c:pt idx="14">
                  <c:v>8.4514608711400998E-4</c:v>
                </c:pt>
                <c:pt idx="15">
                  <c:v>8.5561036877538732E-4</c:v>
                </c:pt>
                <c:pt idx="16">
                  <c:v>8.6592827475114129E-4</c:v>
                </c:pt>
                <c:pt idx="17">
                  <c:v>8.9600373856466432E-4</c:v>
                </c:pt>
                <c:pt idx="18">
                  <c:v>9.0573614179792559E-4</c:v>
                </c:pt>
                <c:pt idx="19">
                  <c:v>9.153221693455636E-4</c:v>
                </c:pt>
                <c:pt idx="20">
                  <c:v>9.2476182120757857E-4</c:v>
                </c:pt>
                <c:pt idx="21">
                  <c:v>9.3405509738397007E-4</c:v>
                </c:pt>
                <c:pt idx="22">
                  <c:v>9.6105667179940566E-4</c:v>
                </c:pt>
                <c:pt idx="23">
                  <c:v>9.6976444523330467E-4</c:v>
                </c:pt>
                <c:pt idx="24">
                  <c:v>9.783258429815801E-4</c:v>
                </c:pt>
                <c:pt idx="25">
                  <c:v>9.867408650442327E-4</c:v>
                </c:pt>
                <c:pt idx="26">
                  <c:v>9.9500951142126172E-4</c:v>
                </c:pt>
                <c:pt idx="27">
                  <c:v>1.0189371964386101E-3</c:v>
                </c:pt>
                <c:pt idx="28">
                  <c:v>1.0266203400731463E-3</c:v>
                </c:pt>
                <c:pt idx="29">
                  <c:v>1.0341571080220594E-3</c:v>
                </c:pt>
                <c:pt idx="30">
                  <c:v>1.0415475002853495E-3</c:v>
                </c:pt>
                <c:pt idx="31">
                  <c:v>1.0487915168630162E-3</c:v>
                </c:pt>
                <c:pt idx="32">
                  <c:v>1.069645312482277E-3</c:v>
                </c:pt>
                <c:pt idx="33">
                  <c:v>1.0763038263174509E-3</c:v>
                </c:pt>
                <c:pt idx="34">
                  <c:v>1.0828159644670015E-3</c:v>
                </c:pt>
                <c:pt idx="35">
                  <c:v>1.0891817269309291E-3</c:v>
                </c:pt>
                <c:pt idx="36">
                  <c:v>1.0954011137092332E-3</c:v>
                </c:pt>
                <c:pt idx="37">
                  <c:v>1.1131810199304069E-3</c:v>
                </c:pt>
                <c:pt idx="38">
                  <c:v>1.1188149039662184E-3</c:v>
                </c:pt>
                <c:pt idx="39">
                  <c:v>1.1243024123164065E-3</c:v>
                </c:pt>
                <c:pt idx="40">
                  <c:v>1.1296435449809714E-3</c:v>
                </c:pt>
                <c:pt idx="41">
                  <c:v>1.1348383019599132E-3</c:v>
                </c:pt>
                <c:pt idx="42">
                  <c:v>1.1495443187829993E-3</c:v>
                </c:pt>
                <c:pt idx="43">
                  <c:v>1.1541535730194485E-3</c:v>
                </c:pt>
                <c:pt idx="44">
                  <c:v>1.1586164515702741E-3</c:v>
                </c:pt>
                <c:pt idx="45">
                  <c:v>1.1629329544354768E-3</c:v>
                </c:pt>
                <c:pt idx="46">
                  <c:v>1.1671030816150559E-3</c:v>
                </c:pt>
                <c:pt idx="47">
                  <c:v>1.178735209040055E-3</c:v>
                </c:pt>
                <c:pt idx="48">
                  <c:v>1.1823198334771413E-3</c:v>
                </c:pt>
                <c:pt idx="49">
                  <c:v>1.1857580822286044E-3</c:v>
                </c:pt>
                <c:pt idx="50">
                  <c:v>1.1890499552944444E-3</c:v>
                </c:pt>
                <c:pt idx="51">
                  <c:v>1.1921954526746617E-3</c:v>
                </c:pt>
                <c:pt idx="52">
                  <c:v>1.2007536907015729E-3</c:v>
                </c:pt>
                <c:pt idx="53">
                  <c:v>1.2033136853392969E-3</c:v>
                </c:pt>
                <c:pt idx="54">
                  <c:v>1.2057273042913978E-3</c:v>
                </c:pt>
                <c:pt idx="55">
                  <c:v>1.2079945475578753E-3</c:v>
                </c:pt>
                <c:pt idx="56">
                  <c:v>1.2101154151387299E-3</c:v>
                </c:pt>
                <c:pt idx="57">
                  <c:v>1.2155997637675539E-3</c:v>
                </c:pt>
                <c:pt idx="58">
                  <c:v>1.2171351286059157E-3</c:v>
                </c:pt>
                <c:pt idx="59">
                  <c:v>1.2185241177586539E-3</c:v>
                </c:pt>
                <c:pt idx="60">
                  <c:v>1.2197667312257691E-3</c:v>
                </c:pt>
                <c:pt idx="61">
                  <c:v>1.220862969007261E-3</c:v>
                </c:pt>
                <c:pt idx="62">
                  <c:v>1.2232734282379976E-3</c:v>
                </c:pt>
                <c:pt idx="63">
                  <c:v>1.2237841632769969E-3</c:v>
                </c:pt>
                <c:pt idx="64">
                  <c:v>1.2241485226303726E-3</c:v>
                </c:pt>
                <c:pt idx="65">
                  <c:v>1.2243665062981253E-3</c:v>
                </c:pt>
                <c:pt idx="66">
                  <c:v>1.224438114280255E-3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'3MSynthDepo_allScenario'!$BO$6:$BO$135</c:f>
              <c:numCache>
                <c:formatCode>0.0000%</c:formatCode>
                <c:ptCount val="130"/>
                <c:pt idx="0">
                  <c:v>8.6581744334555716E-4</c:v>
                </c:pt>
                <c:pt idx="1">
                  <c:v>8.6916009587424963E-4</c:v>
                </c:pt>
                <c:pt idx="2">
                  <c:v>8.7918805346032692E-4</c:v>
                </c:pt>
                <c:pt idx="3">
                  <c:v>8.8253070598901927E-4</c:v>
                </c:pt>
                <c:pt idx="4">
                  <c:v>8.8587335851771174E-4</c:v>
                </c:pt>
                <c:pt idx="5">
                  <c:v>8.892160110464041E-4</c:v>
                </c:pt>
                <c:pt idx="6">
                  <c:v>8.9255866357509657E-4</c:v>
                </c:pt>
                <c:pt idx="7">
                  <c:v>9.0258662116117386E-4</c:v>
                </c:pt>
                <c:pt idx="8">
                  <c:v>9.0592927368986632E-4</c:v>
                </c:pt>
                <c:pt idx="9">
                  <c:v>9.0927192621855868E-4</c:v>
                </c:pt>
                <c:pt idx="10">
                  <c:v>9.1261457874725115E-4</c:v>
                </c:pt>
                <c:pt idx="11">
                  <c:v>9.159572312759435E-4</c:v>
                </c:pt>
                <c:pt idx="12">
                  <c:v>9.2598518886202079E-4</c:v>
                </c:pt>
                <c:pt idx="13">
                  <c:v>9.2932784139071326E-4</c:v>
                </c:pt>
                <c:pt idx="14">
                  <c:v>9.3267049391940573E-4</c:v>
                </c:pt>
                <c:pt idx="15">
                  <c:v>9.3601314644809809E-4</c:v>
                </c:pt>
                <c:pt idx="16">
                  <c:v>9.3935579897679055E-4</c:v>
                </c:pt>
                <c:pt idx="17">
                  <c:v>9.4938375656286784E-4</c:v>
                </c:pt>
                <c:pt idx="18">
                  <c:v>9.527264090915602E-4</c:v>
                </c:pt>
                <c:pt idx="19">
                  <c:v>9.5606906162025267E-4</c:v>
                </c:pt>
                <c:pt idx="20">
                  <c:v>9.5941171414894513E-4</c:v>
                </c:pt>
                <c:pt idx="21">
                  <c:v>9.6275436667763749E-4</c:v>
                </c:pt>
                <c:pt idx="22">
                  <c:v>9.7278232426371478E-4</c:v>
                </c:pt>
                <c:pt idx="23">
                  <c:v>9.7612497679240725E-4</c:v>
                </c:pt>
                <c:pt idx="24">
                  <c:v>9.7946762932109971E-4</c:v>
                </c:pt>
                <c:pt idx="25">
                  <c:v>9.8281028184979218E-4</c:v>
                </c:pt>
                <c:pt idx="26">
                  <c:v>9.8615293437848443E-4</c:v>
                </c:pt>
                <c:pt idx="27">
                  <c:v>9.9618089196456183E-4</c:v>
                </c:pt>
                <c:pt idx="28">
                  <c:v>9.9952354449325429E-4</c:v>
                </c:pt>
                <c:pt idx="29">
                  <c:v>1.0028661970219468E-3</c:v>
                </c:pt>
                <c:pt idx="30">
                  <c:v>1.006208849550639E-3</c:v>
                </c:pt>
                <c:pt idx="31">
                  <c:v>1.0095515020793315E-3</c:v>
                </c:pt>
                <c:pt idx="32">
                  <c:v>1.0195794596654087E-3</c:v>
                </c:pt>
                <c:pt idx="33">
                  <c:v>1.0229221121941011E-3</c:v>
                </c:pt>
                <c:pt idx="34">
                  <c:v>1.0262647647227936E-3</c:v>
                </c:pt>
                <c:pt idx="35">
                  <c:v>1.0296074172514861E-3</c:v>
                </c:pt>
                <c:pt idx="36">
                  <c:v>1.0329500697801785E-3</c:v>
                </c:pt>
                <c:pt idx="37">
                  <c:v>1.0429780273662557E-3</c:v>
                </c:pt>
                <c:pt idx="38">
                  <c:v>1.0463206798949482E-3</c:v>
                </c:pt>
                <c:pt idx="39">
                  <c:v>1.0496633324236406E-3</c:v>
                </c:pt>
                <c:pt idx="40">
                  <c:v>1.0530059849523331E-3</c:v>
                </c:pt>
                <c:pt idx="41">
                  <c:v>1.0563486374810254E-3</c:v>
                </c:pt>
                <c:pt idx="42">
                  <c:v>1.0663765950671028E-3</c:v>
                </c:pt>
                <c:pt idx="43">
                  <c:v>1.0697192475957952E-3</c:v>
                </c:pt>
                <c:pt idx="44">
                  <c:v>1.0730619001244877E-3</c:v>
                </c:pt>
                <c:pt idx="45">
                  <c:v>1.0764045526531799E-3</c:v>
                </c:pt>
                <c:pt idx="46">
                  <c:v>1.0797472051818724E-3</c:v>
                </c:pt>
                <c:pt idx="47">
                  <c:v>1.0897751627679498E-3</c:v>
                </c:pt>
                <c:pt idx="48">
                  <c:v>1.0931178152966421E-3</c:v>
                </c:pt>
                <c:pt idx="49">
                  <c:v>1.0964604678253345E-3</c:v>
                </c:pt>
                <c:pt idx="50">
                  <c:v>1.099803120354027E-3</c:v>
                </c:pt>
                <c:pt idx="51">
                  <c:v>1.1031457728827194E-3</c:v>
                </c:pt>
                <c:pt idx="52">
                  <c:v>1.1131737304687968E-3</c:v>
                </c:pt>
                <c:pt idx="53">
                  <c:v>1.1165163829974891E-3</c:v>
                </c:pt>
                <c:pt idx="54">
                  <c:v>1.1198590355261816E-3</c:v>
                </c:pt>
                <c:pt idx="55">
                  <c:v>1.123201688054874E-3</c:v>
                </c:pt>
                <c:pt idx="56">
                  <c:v>1.1265443405835665E-3</c:v>
                </c:pt>
                <c:pt idx="57">
                  <c:v>1.1365722981696437E-3</c:v>
                </c:pt>
                <c:pt idx="58">
                  <c:v>1.1399149506983361E-3</c:v>
                </c:pt>
                <c:pt idx="59">
                  <c:v>1.1432576032270286E-3</c:v>
                </c:pt>
                <c:pt idx="60">
                  <c:v>1.1466002557557211E-3</c:v>
                </c:pt>
                <c:pt idx="61">
                  <c:v>1.1499429082844135E-3</c:v>
                </c:pt>
                <c:pt idx="62">
                  <c:v>1.1599708658704907E-3</c:v>
                </c:pt>
                <c:pt idx="63">
                  <c:v>1.1633135183991832E-3</c:v>
                </c:pt>
                <c:pt idx="64">
                  <c:v>1.1666561709278754E-3</c:v>
                </c:pt>
                <c:pt idx="65">
                  <c:v>1.1699988234565679E-3</c:v>
                </c:pt>
                <c:pt idx="66">
                  <c:v>1.1733414759852604E-3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'3MSynthDepo_allScenario'!$BP$6:$BP$135</c:f>
              <c:numCache>
                <c:formatCode>0.0000%</c:formatCode>
                <c:ptCount val="130"/>
                <c:pt idx="0">
                  <c:v>2.6184588401420648E-4</c:v>
                </c:pt>
                <c:pt idx="1">
                  <c:v>2.8448574499016928E-4</c:v>
                </c:pt>
                <c:pt idx="2">
                  <c:v>3.5087126633935188E-4</c:v>
                </c:pt>
                <c:pt idx="3">
                  <c:v>3.7248841959617739E-4</c:v>
                </c:pt>
                <c:pt idx="4">
                  <c:v>3.9384989592321858E-4</c:v>
                </c:pt>
                <c:pt idx="5">
                  <c:v>4.1495569532047546E-4</c:v>
                </c:pt>
                <c:pt idx="6">
                  <c:v>4.3580581778794803E-4</c:v>
                </c:pt>
                <c:pt idx="7">
                  <c:v>4.9682212361165971E-4</c:v>
                </c:pt>
                <c:pt idx="8">
                  <c:v>5.1664953835999492E-4</c:v>
                </c:pt>
                <c:pt idx="9">
                  <c:v>5.3622127617854577E-4</c:v>
                </c:pt>
                <c:pt idx="10">
                  <c:v>5.5553733706731237E-4</c:v>
                </c:pt>
                <c:pt idx="11">
                  <c:v>5.7459772102629448E-4</c:v>
                </c:pt>
                <c:pt idx="12">
                  <c:v>6.302448113245353E-4</c:v>
                </c:pt>
                <c:pt idx="13">
                  <c:v>6.4828248756438017E-4</c:v>
                </c:pt>
                <c:pt idx="14">
                  <c:v>6.6606448687444079E-4</c:v>
                </c:pt>
                <c:pt idx="15">
                  <c:v>6.8359080925471704E-4</c:v>
                </c:pt>
                <c:pt idx="16">
                  <c:v>7.0086145470520892E-4</c:v>
                </c:pt>
                <c:pt idx="17">
                  <c:v>7.5113932947797881E-4</c:v>
                </c:pt>
                <c:pt idx="18">
                  <c:v>7.6738726720933324E-4</c:v>
                </c:pt>
                <c:pt idx="19">
                  <c:v>7.8337952801090362E-4</c:v>
                </c:pt>
                <c:pt idx="20">
                  <c:v>7.9911611188268953E-4</c:v>
                </c:pt>
                <c:pt idx="21">
                  <c:v>8.1459701882469128E-4</c:v>
                </c:pt>
                <c:pt idx="22">
                  <c:v>8.5950567807199004E-4</c:v>
                </c:pt>
                <c:pt idx="23">
                  <c:v>8.7396387729485434E-4</c:v>
                </c:pt>
                <c:pt idx="24">
                  <c:v>8.8816639958793427E-4</c:v>
                </c:pt>
                <c:pt idx="25">
                  <c:v>9.0211324495123005E-4</c:v>
                </c:pt>
                <c:pt idx="26">
                  <c:v>9.1580441338474136E-4</c:v>
                </c:pt>
                <c:pt idx="27">
                  <c:v>9.553438571065693E-4</c:v>
                </c:pt>
                <c:pt idx="28">
                  <c:v>9.6801231782094326E-4</c:v>
                </c:pt>
                <c:pt idx="29">
                  <c:v>9.8042510160553284E-4</c:v>
                </c:pt>
                <c:pt idx="30">
                  <c:v>9.9258220846033807E-4</c:v>
                </c:pt>
                <c:pt idx="31">
                  <c:v>1.0044836383853591E-3</c:v>
                </c:pt>
                <c:pt idx="32">
                  <c:v>1.0386538665817162E-3</c:v>
                </c:pt>
                <c:pt idx="33">
                  <c:v>1.0495325887876002E-3</c:v>
                </c:pt>
                <c:pt idx="34">
                  <c:v>1.0601556340636992E-3</c:v>
                </c:pt>
                <c:pt idx="35">
                  <c:v>1.0705230024100141E-3</c:v>
                </c:pt>
                <c:pt idx="36">
                  <c:v>1.0806346938265453E-3</c:v>
                </c:pt>
                <c:pt idx="37">
                  <c:v>1.1094357064974313E-3</c:v>
                </c:pt>
                <c:pt idx="38">
                  <c:v>1.1185246901948246E-3</c:v>
                </c:pt>
                <c:pt idx="39">
                  <c:v>1.1273579969624335E-3</c:v>
                </c:pt>
                <c:pt idx="40">
                  <c:v>1.1359356268002582E-3</c:v>
                </c:pt>
                <c:pt idx="41">
                  <c:v>1.1442575797082988E-3</c:v>
                </c:pt>
                <c:pt idx="42">
                  <c:v>1.1676893768537138E-3</c:v>
                </c:pt>
                <c:pt idx="43">
                  <c:v>1.1749886220426167E-3</c:v>
                </c:pt>
                <c:pt idx="44">
                  <c:v>1.1820321903017357E-3</c:v>
                </c:pt>
                <c:pt idx="45">
                  <c:v>1.1888200816310701E-3</c:v>
                </c:pt>
                <c:pt idx="46">
                  <c:v>1.1953522960306199E-3</c:v>
                </c:pt>
                <c:pt idx="47">
                  <c:v>1.2134148776505645E-3</c:v>
                </c:pt>
                <c:pt idx="48">
                  <c:v>1.2189243843309769E-3</c:v>
                </c:pt>
                <c:pt idx="49">
                  <c:v>1.2241782140816058E-3</c:v>
                </c:pt>
                <c:pt idx="50">
                  <c:v>1.2291763669024498E-3</c:v>
                </c:pt>
                <c:pt idx="51">
                  <c:v>1.2339188427935095E-3</c:v>
                </c:pt>
                <c:pt idx="52">
                  <c:v>1.2466122088879831E-3</c:v>
                </c:pt>
                <c:pt idx="53">
                  <c:v>1.2503319770599051E-3</c:v>
                </c:pt>
                <c:pt idx="54">
                  <c:v>1.2537960683020434E-3</c:v>
                </c:pt>
                <c:pt idx="55">
                  <c:v>1.2570044826143972E-3</c:v>
                </c:pt>
                <c:pt idx="56">
                  <c:v>1.2599572199969665E-3</c:v>
                </c:pt>
                <c:pt idx="57">
                  <c:v>1.2672813705659688E-3</c:v>
                </c:pt>
                <c:pt idx="58">
                  <c:v>1.269211400229401E-3</c:v>
                </c:pt>
                <c:pt idx="59">
                  <c:v>1.2708857529630494E-3</c:v>
                </c:pt>
                <c:pt idx="60">
                  <c:v>1.2723044287669123E-3</c:v>
                </c:pt>
                <c:pt idx="61">
                  <c:v>1.2734674276409915E-3</c:v>
                </c:pt>
                <c:pt idx="62">
                  <c:v>1.2754223626845235E-3</c:v>
                </c:pt>
                <c:pt idx="63">
                  <c:v>1.275562653839465E-3</c:v>
                </c:pt>
                <c:pt idx="64">
                  <c:v>1.2754472680646227E-3</c:v>
                </c:pt>
                <c:pt idx="65">
                  <c:v>1.2750762053599959E-3</c:v>
                </c:pt>
                <c:pt idx="66">
                  <c:v>1.2744494657255848E-3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'3MSynthDepo_allScenario'!$BQ$5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val>
            <c:numRef>
              <c:f>'3MSynthDepo_allScenario'!$BQ$6:$BQ$135</c:f>
              <c:numCache>
                <c:formatCode>0.0000%</c:formatCode>
                <c:ptCount val="130"/>
                <c:pt idx="0">
                  <c:v>9.5721791607622226E-4</c:v>
                </c:pt>
                <c:pt idx="1">
                  <c:v>9.5949447403892354E-4</c:v>
                </c:pt>
                <c:pt idx="2">
                  <c:v>9.6626859063198207E-4</c:v>
                </c:pt>
                <c:pt idx="3">
                  <c:v>9.6850817194108895E-4</c:v>
                </c:pt>
                <c:pt idx="4">
                  <c:v>9.7073855524412451E-4</c:v>
                </c:pt>
                <c:pt idx="5">
                  <c:v>9.7295975900401927E-4</c:v>
                </c:pt>
                <c:pt idx="6">
                  <c:v>9.7517180168370428E-4</c:v>
                </c:pt>
                <c:pt idx="7">
                  <c:v>9.8175314787080775E-4</c:v>
                </c:pt>
                <c:pt idx="8">
                  <c:v>9.8392873085896126E-4</c:v>
                </c:pt>
                <c:pt idx="9">
                  <c:v>9.8609524508155876E-4</c:v>
                </c:pt>
                <c:pt idx="10">
                  <c:v>9.8825270900153176E-4</c:v>
                </c:pt>
                <c:pt idx="11">
                  <c:v>9.9040114108181043E-4</c:v>
                </c:pt>
                <c:pt idx="12">
                  <c:v>9.9679243091378863E-4</c:v>
                </c:pt>
                <c:pt idx="13">
                  <c:v>9.9890492026459901E-4</c:v>
                </c:pt>
                <c:pt idx="14">
                  <c:v>1.0010084700903686E-3</c:v>
                </c:pt>
                <c:pt idx="15">
                  <c:v>1.0031030988540291E-3</c:v>
                </c:pt>
                <c:pt idx="16">
                  <c:v>1.0051888250185111E-3</c:v>
                </c:pt>
                <c:pt idx="17">
                  <c:v>1.011392772546195E-3</c:v>
                </c:pt>
                <c:pt idx="18">
                  <c:v>1.0134430729432712E-3</c:v>
                </c:pt>
                <c:pt idx="19">
                  <c:v>1.0154845630558232E-3</c:v>
                </c:pt>
                <c:pt idx="20">
                  <c:v>1.0175172613467816E-3</c:v>
                </c:pt>
                <c:pt idx="21">
                  <c:v>1.0195411862790771E-3</c:v>
                </c:pt>
                <c:pt idx="22">
                  <c:v>1.0255605055532956E-3</c:v>
                </c:pt>
                <c:pt idx="23">
                  <c:v>1.0275495216802483E-3</c:v>
                </c:pt>
                <c:pt idx="24">
                  <c:v>1.0295298567631925E-3</c:v>
                </c:pt>
                <c:pt idx="25">
                  <c:v>1.0315015292650586E-3</c:v>
                </c:pt>
                <c:pt idx="26">
                  <c:v>1.0334645576487776E-3</c:v>
                </c:pt>
                <c:pt idx="27">
                  <c:v>1.0393019627203607E-3</c:v>
                </c:pt>
                <c:pt idx="28">
                  <c:v>1.0412305992607998E-3</c:v>
                </c:pt>
                <c:pt idx="29">
                  <c:v>1.0431506839977459E-3</c:v>
                </c:pt>
                <c:pt idx="30">
                  <c:v>1.04506223539413E-3</c:v>
                </c:pt>
                <c:pt idx="31">
                  <c:v>1.0469652719128824E-3</c:v>
                </c:pt>
                <c:pt idx="32">
                  <c:v>1.0526234768326601E-3</c:v>
                </c:pt>
                <c:pt idx="33">
                  <c:v>1.0544926384701955E-3</c:v>
                </c:pt>
                <c:pt idx="34">
                  <c:v>1.0563533775447536E-3</c:v>
                </c:pt>
                <c:pt idx="35">
                  <c:v>1.0582057125192652E-3</c:v>
                </c:pt>
                <c:pt idx="36">
                  <c:v>1.0600496618566612E-3</c:v>
                </c:pt>
                <c:pt idx="37">
                  <c:v>1.0655313806754636E-3</c:v>
                </c:pt>
                <c:pt idx="38">
                  <c:v>1.0673419720937051E-3</c:v>
                </c:pt>
                <c:pt idx="39">
                  <c:v>1.0691442701894853E-3</c:v>
                </c:pt>
                <c:pt idx="40">
                  <c:v>1.0709382934257345E-3</c:v>
                </c:pt>
                <c:pt idx="41">
                  <c:v>1.0727240602653838E-3</c:v>
                </c:pt>
                <c:pt idx="42">
                  <c:v>1.0780320070340405E-3</c:v>
                </c:pt>
                <c:pt idx="43">
                  <c:v>1.0797849329165984E-3</c:v>
                </c:pt>
                <c:pt idx="44">
                  <c:v>1.0815296947172103E-3</c:v>
                </c:pt>
                <c:pt idx="45">
                  <c:v>1.0832663108988074E-3</c:v>
                </c:pt>
                <c:pt idx="46">
                  <c:v>1.0849947999243201E-3</c:v>
                </c:pt>
                <c:pt idx="47">
                  <c:v>1.0901316886936612E-3</c:v>
                </c:pt>
                <c:pt idx="48">
                  <c:v>1.0918278537241453E-3</c:v>
                </c:pt>
                <c:pt idx="49">
                  <c:v>1.0935159839131989E-3</c:v>
                </c:pt>
                <c:pt idx="50">
                  <c:v>1.0951960977237535E-3</c:v>
                </c:pt>
                <c:pt idx="51">
                  <c:v>1.0968682136187399E-3</c:v>
                </c:pt>
                <c:pt idx="52">
                  <c:v>1.1018367584395949E-3</c:v>
                </c:pt>
                <c:pt idx="53">
                  <c:v>1.1034770673016151E-3</c:v>
                </c:pt>
                <c:pt idx="54">
                  <c:v>1.1051094705627211E-3</c:v>
                </c:pt>
                <c:pt idx="55">
                  <c:v>1.106733986685843E-3</c:v>
                </c:pt>
                <c:pt idx="56">
                  <c:v>1.1083506341339122E-3</c:v>
                </c:pt>
                <c:pt idx="57">
                  <c:v>1.1131535490571116E-3</c:v>
                </c:pt>
                <c:pt idx="58">
                  <c:v>1.114738906434278E-3</c:v>
                </c:pt>
                <c:pt idx="59">
                  <c:v>1.1163164874510455E-3</c:v>
                </c:pt>
                <c:pt idx="60">
                  <c:v>1.1178863105703451E-3</c:v>
                </c:pt>
                <c:pt idx="61">
                  <c:v>1.1194483942551078E-3</c:v>
                </c:pt>
                <c:pt idx="62">
                  <c:v>1.1240883933314812E-3</c:v>
                </c:pt>
                <c:pt idx="63">
                  <c:v>1.1256197039074033E-3</c:v>
                </c:pt>
                <c:pt idx="64">
                  <c:v>1.1271433673634428E-3</c:v>
                </c:pt>
                <c:pt idx="65">
                  <c:v>1.1286594021625298E-3</c:v>
                </c:pt>
                <c:pt idx="66">
                  <c:v>1.1301678267675956E-3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607488"/>
        <c:axId val="652609024"/>
      </c:lineChart>
      <c:dateAx>
        <c:axId val="6526074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52609024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65260902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52607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'12MSynthDepo_used'!$G$4</c:f>
              <c:numCache>
                <c:formatCode>d\-mmm\-yy</c:formatCode>
                <c:ptCount val="1"/>
                <c:pt idx="0">
                  <c:v>42138</c:v>
                </c:pt>
              </c:numCache>
            </c:numRef>
          </c:xVal>
          <c:yVal>
            <c:numRef>
              <c:f>'12MSynthDepo_used'!$K$4</c:f>
              <c:numCache>
                <c:formatCode>0.0000%</c:formatCode>
                <c:ptCount val="1"/>
                <c:pt idx="0">
                  <c:v>2.9465159296482063E-3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'12MSynthDepo_used'!$G$5:$G$16</c:f>
              <c:numCache>
                <c:formatCode>d\-mmm\-yy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'12MSynthDepo_used'!$K$5:$K$16</c:f>
              <c:numCache>
                <c:formatCode>0.0000%</c:formatCode>
                <c:ptCount val="12"/>
                <c:pt idx="0">
                  <c:v>2.9694435636715968E-3</c:v>
                </c:pt>
                <c:pt idx="1">
                  <c:v>2.9904444096462181E-3</c:v>
                </c:pt>
                <c:pt idx="2">
                  <c:v>2.9971667222796271E-3</c:v>
                </c:pt>
                <c:pt idx="3">
                  <c:v>3.0014747437742454E-3</c:v>
                </c:pt>
                <c:pt idx="4">
                  <c:v>3.0365923415604651E-3</c:v>
                </c:pt>
                <c:pt idx="5">
                  <c:v>3.0533029851947512E-3</c:v>
                </c:pt>
                <c:pt idx="6">
                  <c:v>3.0605329521017502E-3</c:v>
                </c:pt>
                <c:pt idx="7">
                  <c:v>3.0711607709210513E-3</c:v>
                </c:pt>
                <c:pt idx="8">
                  <c:v>3.0861047056561968E-3</c:v>
                </c:pt>
                <c:pt idx="9">
                  <c:v>3.075982823532978E-3</c:v>
                </c:pt>
                <c:pt idx="10">
                  <c:v>3.0889093958863831E-3</c:v>
                </c:pt>
                <c:pt idx="11">
                  <c:v>3.0897142664171964E-3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'12MSynthDepo_used'!$S$2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'12MSynthDepo_used'!$R$3:$R$262</c:f>
              <c:numCache>
                <c:formatCode>d\-mmm\-yy</c:formatCode>
                <c:ptCount val="26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</c:numCache>
            </c:numRef>
          </c:xVal>
          <c:yVal>
            <c:numRef>
              <c:f>'12MSynthDepo_used'!$S$3:$S$262</c:f>
              <c:numCache>
                <c:formatCode>0.0000%</c:formatCode>
                <c:ptCount val="260"/>
                <c:pt idx="0">
                  <c:v>2.9418922236715246E-3</c:v>
                </c:pt>
                <c:pt idx="1">
                  <c:v>2.9427521872498106E-3</c:v>
                </c:pt>
                <c:pt idx="2">
                  <c:v>2.9453076383270521E-3</c:v>
                </c:pt>
                <c:pt idx="3">
                  <c:v>2.9461513558622825E-3</c:v>
                </c:pt>
                <c:pt idx="4">
                  <c:v>2.9469910471832663E-3</c:v>
                </c:pt>
                <c:pt idx="5">
                  <c:v>2.9478267264086092E-3</c:v>
                </c:pt>
                <c:pt idx="6">
                  <c:v>2.9486584076569189E-3</c:v>
                </c:pt>
                <c:pt idx="7">
                  <c:v>2.9511296047257107E-3</c:v>
                </c:pt>
                <c:pt idx="8">
                  <c:v>2.9519454352519518E-3</c:v>
                </c:pt>
                <c:pt idx="9">
                  <c:v>2.9527573383941919E-3</c:v>
                </c:pt>
                <c:pt idx="10">
                  <c:v>2.9535653282710397E-3</c:v>
                </c:pt>
                <c:pt idx="11">
                  <c:v>2.9543694190010991E-3</c:v>
                </c:pt>
                <c:pt idx="12">
                  <c:v>2.9567584374966234E-3</c:v>
                </c:pt>
                <c:pt idx="13">
                  <c:v>2.9575470728256028E-3</c:v>
                </c:pt>
                <c:pt idx="14">
                  <c:v>2.9583318796008277E-3</c:v>
                </c:pt>
                <c:pt idx="15">
                  <c:v>2.9591128719409065E-3</c:v>
                </c:pt>
                <c:pt idx="16">
                  <c:v>2.9598900639644442E-3</c:v>
                </c:pt>
                <c:pt idx="17">
                  <c:v>2.962198979321885E-3</c:v>
                </c:pt>
                <c:pt idx="18">
                  <c:v>2.962961111265329E-3</c:v>
                </c:pt>
                <c:pt idx="19">
                  <c:v>2.9637195134852661E-3</c:v>
                </c:pt>
                <c:pt idx="20">
                  <c:v>2.9644742001003034E-3</c:v>
                </c:pt>
                <c:pt idx="21">
                  <c:v>2.9652251852290471E-3</c:v>
                </c:pt>
                <c:pt idx="22">
                  <c:v>2.9674560728835853E-3</c:v>
                </c:pt>
                <c:pt idx="23">
                  <c:v>2.9681923932532222E-3</c:v>
                </c:pt>
                <c:pt idx="24">
                  <c:v>2.9689250827295995E-3</c:v>
                </c:pt>
                <c:pt idx="25">
                  <c:v>2.9696541554313232E-3</c:v>
                </c:pt>
                <c:pt idx="26">
                  <c:v>2.9703796254770005E-3</c:v>
                </c:pt>
                <c:pt idx="27">
                  <c:v>2.9725345608638183E-3</c:v>
                </c:pt>
                <c:pt idx="28">
                  <c:v>2.9732457614713762E-3</c:v>
                </c:pt>
                <c:pt idx="29">
                  <c:v>2.9739534300159201E-3</c:v>
                </c:pt>
                <c:pt idx="30">
                  <c:v>2.9746575806160577E-3</c:v>
                </c:pt>
                <c:pt idx="31">
                  <c:v>2.9753582273903951E-3</c:v>
                </c:pt>
                <c:pt idx="32">
                  <c:v>2.9774392859446761E-3</c:v>
                </c:pt>
                <c:pt idx="33">
                  <c:v>2.9781260586018818E-3</c:v>
                </c:pt>
                <c:pt idx="34">
                  <c:v>2.97880939802632E-3</c:v>
                </c:pt>
                <c:pt idx="35">
                  <c:v>2.9794893183365994E-3</c:v>
                </c:pt>
                <c:pt idx="36">
                  <c:v>2.980165833651325E-3</c:v>
                </c:pt>
                <c:pt idx="37">
                  <c:v>2.9821750908082512E-3</c:v>
                </c:pt>
                <c:pt idx="38">
                  <c:v>2.9828381273268316E-3</c:v>
                </c:pt>
                <c:pt idx="39">
                  <c:v>2.9834978294428927E-3</c:v>
                </c:pt>
                <c:pt idx="40">
                  <c:v>2.9841542112750406E-3</c:v>
                </c:pt>
                <c:pt idx="41">
                  <c:v>2.9848072869418821E-3</c:v>
                </c:pt>
                <c:pt idx="42">
                  <c:v>2.9867468181366363E-3</c:v>
                </c:pt>
                <c:pt idx="43">
                  <c:v>2.9873868103283191E-3</c:v>
                </c:pt>
                <c:pt idx="44">
                  <c:v>2.9880235669477299E-3</c:v>
                </c:pt>
                <c:pt idx="45">
                  <c:v>2.9886571021134744E-3</c:v>
                </c:pt>
                <c:pt idx="46">
                  <c:v>2.989287429944159E-3</c:v>
                </c:pt>
                <c:pt idx="47">
                  <c:v>2.9911593106119231E-3</c:v>
                </c:pt>
                <c:pt idx="48">
                  <c:v>2.9917769502884367E-3</c:v>
                </c:pt>
                <c:pt idx="49">
                  <c:v>2.9923914532229241E-3</c:v>
                </c:pt>
                <c:pt idx="50">
                  <c:v>2.9930028335339925E-3</c:v>
                </c:pt>
                <c:pt idx="51">
                  <c:v>2.9936111053402476E-3</c:v>
                </c:pt>
                <c:pt idx="52">
                  <c:v>2.9954174109162045E-3</c:v>
                </c:pt>
                <c:pt idx="53">
                  <c:v>2.9960133898892759E-3</c:v>
                </c:pt>
                <c:pt idx="54">
                  <c:v>2.9966063309505679E-3</c:v>
                </c:pt>
                <c:pt idx="55">
                  <c:v>2.9971962482186879E-3</c:v>
                </c:pt>
                <c:pt idx="56">
                  <c:v>2.9977831558122411E-3</c:v>
                </c:pt>
                <c:pt idx="57">
                  <c:v>2.9995259617315731E-3</c:v>
                </c:pt>
                <c:pt idx="58">
                  <c:v>3.0001009718129299E-3</c:v>
                </c:pt>
                <c:pt idx="59">
                  <c:v>3.0006730428127539E-3</c:v>
                </c:pt>
                <c:pt idx="60">
                  <c:v>3.0012421888496528E-3</c:v>
                </c:pt>
                <c:pt idx="61">
                  <c:v>3.0018084240422318E-3</c:v>
                </c:pt>
                <c:pt idx="62">
                  <c:v>3.0034898057401216E-3</c:v>
                </c:pt>
                <c:pt idx="63">
                  <c:v>3.0040445387414906E-3</c:v>
                </c:pt>
                <c:pt idx="64">
                  <c:v>3.0045964314915747E-3</c:v>
                </c:pt>
                <c:pt idx="65">
                  <c:v>3.0051454981089793E-3</c:v>
                </c:pt>
                <c:pt idx="66">
                  <c:v>3.0056917527123118E-3</c:v>
                </c:pt>
                <c:pt idx="67">
                  <c:v>3.0073137856239415E-3</c:v>
                </c:pt>
                <c:pt idx="68">
                  <c:v>3.0078489333570514E-3</c:v>
                </c:pt>
                <c:pt idx="69">
                  <c:v>3.0083813396691219E-3</c:v>
                </c:pt>
                <c:pt idx="70">
                  <c:v>3.0089110186787608E-3</c:v>
                </c:pt>
                <c:pt idx="71">
                  <c:v>3.0094379845045736E-3</c:v>
                </c:pt>
                <c:pt idx="72">
                  <c:v>3.0110027440651255E-3</c:v>
                </c:pt>
                <c:pt idx="73">
                  <c:v>3.0115189983417035E-3</c:v>
                </c:pt>
                <c:pt idx="74">
                  <c:v>3.0120326100274886E-3</c:v>
                </c:pt>
                <c:pt idx="75">
                  <c:v>3.0125435932410885E-3</c:v>
                </c:pt>
                <c:pt idx="76">
                  <c:v>3.0130519621011098E-3</c:v>
                </c:pt>
                <c:pt idx="77">
                  <c:v>3.0145615237457675E-3</c:v>
                </c:pt>
                <c:pt idx="78">
                  <c:v>3.0150595763775399E-3</c:v>
                </c:pt>
                <c:pt idx="79">
                  <c:v>3.0155550852487677E-3</c:v>
                </c:pt>
                <c:pt idx="80">
                  <c:v>3.016048064478056E-3</c:v>
                </c:pt>
                <c:pt idx="81">
                  <c:v>3.0165385281840131E-3</c:v>
                </c:pt>
                <c:pt idx="82">
                  <c:v>3.0179949673479582E-3</c:v>
                </c:pt>
                <c:pt idx="83">
                  <c:v>3.0184755101466533E-3</c:v>
                </c:pt>
                <c:pt idx="84">
                  <c:v>3.0189536080150506E-3</c:v>
                </c:pt>
                <c:pt idx="85">
                  <c:v>3.0194292750717554E-3</c:v>
                </c:pt>
                <c:pt idx="86">
                  <c:v>3.0199025254353754E-3</c:v>
                </c:pt>
                <c:pt idx="87">
                  <c:v>3.0213079175537903E-3</c:v>
                </c:pt>
                <c:pt idx="88">
                  <c:v>3.0217716423311365E-3</c:v>
                </c:pt>
                <c:pt idx="89">
                  <c:v>3.0222330210084303E-3</c:v>
                </c:pt>
                <c:pt idx="90">
                  <c:v>3.0226920677042792E-3</c:v>
                </c:pt>
                <c:pt idx="91">
                  <c:v>3.0231487965372895E-3</c:v>
                </c:pt>
                <c:pt idx="92">
                  <c:v>3.0245052170453572E-3</c:v>
                </c:pt>
                <c:pt idx="93">
                  <c:v>3.0249528156130806E-3</c:v>
                </c:pt>
                <c:pt idx="94">
                  <c:v>3.0253981669109988E-3</c:v>
                </c:pt>
                <c:pt idx="95">
                  <c:v>3.0258412850577192E-3</c:v>
                </c:pt>
                <c:pt idx="96">
                  <c:v>3.0262821841718474E-3</c:v>
                </c:pt>
                <c:pt idx="97">
                  <c:v>3.0275917085047506E-3</c:v>
                </c:pt>
                <c:pt idx="98">
                  <c:v>3.0280238726745788E-3</c:v>
                </c:pt>
                <c:pt idx="99">
                  <c:v>3.0284538884048496E-3</c:v>
                </c:pt>
                <c:pt idx="100">
                  <c:v>3.0288817698141688E-3</c:v>
                </c:pt>
                <c:pt idx="101">
                  <c:v>3.0293075310211426E-3</c:v>
                </c:pt>
                <c:pt idx="102">
                  <c:v>3.0305722346140626E-3</c:v>
                </c:pt>
                <c:pt idx="103">
                  <c:v>3.0309896561977238E-3</c:v>
                </c:pt>
                <c:pt idx="104">
                  <c:v>3.0314050281720745E-3</c:v>
                </c:pt>
                <c:pt idx="105">
                  <c:v>3.0318183646557196E-3</c:v>
                </c:pt>
                <c:pt idx="106">
                  <c:v>3.0322296797672668E-3</c:v>
                </c:pt>
                <c:pt idx="107">
                  <c:v>3.0334516380553862E-3</c:v>
                </c:pt>
                <c:pt idx="108">
                  <c:v>3.0338550088646085E-3</c:v>
                </c:pt>
                <c:pt idx="109">
                  <c:v>3.0342564288947651E-3</c:v>
                </c:pt>
                <c:pt idx="110">
                  <c:v>3.0346559122644647E-3</c:v>
                </c:pt>
                <c:pt idx="111">
                  <c:v>3.0350534730923121E-3</c:v>
                </c:pt>
                <c:pt idx="112">
                  <c:v>3.0362347615108141E-3</c:v>
                </c:pt>
                <c:pt idx="113">
                  <c:v>3.0366247733573238E-3</c:v>
                </c:pt>
                <c:pt idx="114">
                  <c:v>3.0370129332550158E-3</c:v>
                </c:pt>
                <c:pt idx="115">
                  <c:v>3.0373992553224959E-3</c:v>
                </c:pt>
                <c:pt idx="116">
                  <c:v>3.0377837536783715E-3</c:v>
                </c:pt>
                <c:pt idx="117">
                  <c:v>3.0389264476624392E-3</c:v>
                </c:pt>
                <c:pt idx="118">
                  <c:v>3.0393037923579637E-3</c:v>
                </c:pt>
                <c:pt idx="119">
                  <c:v>3.0396793839349173E-3</c:v>
                </c:pt>
                <c:pt idx="120">
                  <c:v>3.0400532365119064E-3</c:v>
                </c:pt>
                <c:pt idx="121">
                  <c:v>3.0404253642075376E-3</c:v>
                </c:pt>
                <c:pt idx="122">
                  <c:v>3.0415315391923523E-3</c:v>
                </c:pt>
                <c:pt idx="123">
                  <c:v>3.0418969085486197E-3</c:v>
                </c:pt>
                <c:pt idx="124">
                  <c:v>3.0422606236165627E-3</c:v>
                </c:pt>
                <c:pt idx="125">
                  <c:v>3.0426226985147881E-3</c:v>
                </c:pt>
                <c:pt idx="126">
                  <c:v>3.0429831473619026E-3</c:v>
                </c:pt>
                <c:pt idx="127">
                  <c:v>3.0440548787826469E-3</c:v>
                </c:pt>
                <c:pt idx="128">
                  <c:v>3.0444089646113849E-3</c:v>
                </c:pt>
                <c:pt idx="129">
                  <c:v>3.0447614949820445E-3</c:v>
                </c:pt>
                <c:pt idx="130">
                  <c:v>3.0451124840132336E-3</c:v>
                </c:pt>
                <c:pt idx="131">
                  <c:v>3.0454619458235585E-3</c:v>
                </c:pt>
                <c:pt idx="132">
                  <c:v>3.0465013091154152E-3</c:v>
                </c:pt>
                <c:pt idx="133">
                  <c:v>3.0468448032283505E-3</c:v>
                </c:pt>
                <c:pt idx="134">
                  <c:v>3.0471868407134549E-3</c:v>
                </c:pt>
                <c:pt idx="135">
                  <c:v>3.0475274356893357E-3</c:v>
                </c:pt>
                <c:pt idx="136">
                  <c:v>3.0478666022745985E-3</c:v>
                </c:pt>
                <c:pt idx="137">
                  <c:v>3.0488756728727505E-3</c:v>
                </c:pt>
                <c:pt idx="138">
                  <c:v>3.0492092670816105E-3</c:v>
                </c:pt>
                <c:pt idx="139">
                  <c:v>3.0495415034928874E-3</c:v>
                </c:pt>
                <c:pt idx="140">
                  <c:v>3.0498723962251863E-3</c:v>
                </c:pt>
                <c:pt idx="141">
                  <c:v>3.0502019593971149E-3</c:v>
                </c:pt>
                <c:pt idx="142">
                  <c:v>3.0511828127367437E-3</c:v>
                </c:pt>
                <c:pt idx="143">
                  <c:v>3.0515071988532565E-3</c:v>
                </c:pt>
                <c:pt idx="144">
                  <c:v>3.0518303260024327E-3</c:v>
                </c:pt>
                <c:pt idx="145">
                  <c:v>3.0521522083028778E-3</c:v>
                </c:pt>
                <c:pt idx="146">
                  <c:v>3.0524728598732001E-3</c:v>
                </c:pt>
                <c:pt idx="147">
                  <c:v>3.0534275713894883E-3</c:v>
                </c:pt>
                <c:pt idx="148">
                  <c:v>3.0537434412253816E-3</c:v>
                </c:pt>
                <c:pt idx="149">
                  <c:v>3.0540581509241843E-3</c:v>
                </c:pt>
                <c:pt idx="150">
                  <c:v>3.0543717146045038E-3</c:v>
                </c:pt>
                <c:pt idx="151">
                  <c:v>3.0546841463849456E-3</c:v>
                </c:pt>
                <c:pt idx="152">
                  <c:v>3.0556147915130768E-3</c:v>
                </c:pt>
                <c:pt idx="153">
                  <c:v>3.0559228368800774E-3</c:v>
                </c:pt>
                <c:pt idx="154">
                  <c:v>3.0562298209402343E-3</c:v>
                </c:pt>
                <c:pt idx="155">
                  <c:v>3.0565357578121555E-3</c:v>
                </c:pt>
                <c:pt idx="156">
                  <c:v>3.056840661614445E-3</c:v>
                </c:pt>
                <c:pt idx="157">
                  <c:v>3.0577493157896009E-3</c:v>
                </c:pt>
                <c:pt idx="158">
                  <c:v>3.0580502284994369E-3</c:v>
                </c:pt>
                <c:pt idx="159">
                  <c:v>3.0583501787326763E-3</c:v>
                </c:pt>
                <c:pt idx="160">
                  <c:v>3.0586491806079254E-3</c:v>
                </c:pt>
                <c:pt idx="161">
                  <c:v>3.0598359869011536E-3</c:v>
                </c:pt>
                <c:pt idx="162">
                  <c:v>3.0601304587655519E-3</c:v>
                </c:pt>
                <c:pt idx="163">
                  <c:v>3.0604240669836009E-3</c:v>
                </c:pt>
                <c:pt idx="164">
                  <c:v>3.0607168256739062E-3</c:v>
                </c:pt>
                <c:pt idx="165">
                  <c:v>3.0618796475298275E-3</c:v>
                </c:pt>
                <c:pt idx="166">
                  <c:v>3.0621683703605167E-3</c:v>
                </c:pt>
                <c:pt idx="167">
                  <c:v>3.0624563283751021E-3</c:v>
                </c:pt>
                <c:pt idx="168">
                  <c:v>3.0627435356921913E-3</c:v>
                </c:pt>
                <c:pt idx="169">
                  <c:v>3.0630300064303901E-3</c:v>
                </c:pt>
                <c:pt idx="170">
                  <c:v>3.0638851403577147E-3</c:v>
                </c:pt>
                <c:pt idx="171">
                  <c:v>3.0641688059664211E-3</c:v>
                </c:pt>
                <c:pt idx="172">
                  <c:v>3.0644518055892708E-3</c:v>
                </c:pt>
                <c:pt idx="173">
                  <c:v>3.0647341533448715E-3</c:v>
                </c:pt>
                <c:pt idx="174">
                  <c:v>3.0650158633518283E-3</c:v>
                </c:pt>
                <c:pt idx="175">
                  <c:v>3.0658573080669079E-3</c:v>
                </c:pt>
                <c:pt idx="176">
                  <c:v>3.0661366082653592E-3</c:v>
                </c:pt>
                <c:pt idx="177">
                  <c:v>3.0664153413082012E-3</c:v>
                </c:pt>
                <c:pt idx="178">
                  <c:v>3.0666935213140402E-3</c:v>
                </c:pt>
                <c:pt idx="179">
                  <c:v>3.0669711624014824E-3</c:v>
                </c:pt>
                <c:pt idx="180">
                  <c:v>3.0678009933394991E-3</c:v>
                </c:pt>
                <c:pt idx="181">
                  <c:v>3.068076619939423E-3</c:v>
                </c:pt>
                <c:pt idx="182">
                  <c:v>3.0683517782139846E-3</c:v>
                </c:pt>
                <c:pt idx="183">
                  <c:v>3.0686264822817892E-3</c:v>
                </c:pt>
                <c:pt idx="184">
                  <c:v>3.0689007462614453E-3</c:v>
                </c:pt>
                <c:pt idx="185">
                  <c:v>3.0697210388575813E-3</c:v>
                </c:pt>
                <c:pt idx="186">
                  <c:v>3.0699936836707056E-3</c:v>
                </c:pt>
                <c:pt idx="187">
                  <c:v>3.0702659589887135E-3</c:v>
                </c:pt>
                <c:pt idx="188">
                  <c:v>3.0705378789302124E-3</c:v>
                </c:pt>
                <c:pt idx="189">
                  <c:v>3.0708094576138083E-3</c:v>
                </c:pt>
                <c:pt idx="190">
                  <c:v>3.0716222873032463E-3</c:v>
                </c:pt>
                <c:pt idx="191">
                  <c:v>3.0718926421412986E-3</c:v>
                </c:pt>
                <c:pt idx="192">
                  <c:v>3.072162726314481E-3</c:v>
                </c:pt>
                <c:pt idx="193">
                  <c:v>3.0724325539414009E-3</c:v>
                </c:pt>
                <c:pt idx="194">
                  <c:v>3.0727021391406648E-3</c:v>
                </c:pt>
                <c:pt idx="195">
                  <c:v>3.0735095813585879E-3</c:v>
                </c:pt>
                <c:pt idx="196">
                  <c:v>3.0737783380332946E-3</c:v>
                </c:pt>
                <c:pt idx="197">
                  <c:v>3.0740469228733793E-3</c:v>
                </c:pt>
                <c:pt idx="198">
                  <c:v>3.0743153499974475E-3</c:v>
                </c:pt>
                <c:pt idx="199">
                  <c:v>3.0745836335241074E-3</c:v>
                </c:pt>
                <c:pt idx="200">
                  <c:v>3.0753877637056969E-3</c:v>
                </c:pt>
                <c:pt idx="201">
                  <c:v>3.0756556140287866E-3</c:v>
                </c:pt>
                <c:pt idx="202">
                  <c:v>3.0759233913475004E-3</c:v>
                </c:pt>
                <c:pt idx="203">
                  <c:v>3.0761911097804445E-3</c:v>
                </c:pt>
                <c:pt idx="204">
                  <c:v>3.076458783446227E-3</c:v>
                </c:pt>
                <c:pt idx="205">
                  <c:v>3.0772616770266665E-3</c:v>
                </c:pt>
                <c:pt idx="206">
                  <c:v>3.0775293128098664E-3</c:v>
                </c:pt>
                <c:pt idx="207">
                  <c:v>3.0777969744189364E-3</c:v>
                </c:pt>
                <c:pt idx="208">
                  <c:v>3.0780646759724852E-3</c:v>
                </c:pt>
                <c:pt idx="209">
                  <c:v>3.0783324315891173E-3</c:v>
                </c:pt>
                <c:pt idx="210">
                  <c:v>3.079136164003589E-3</c:v>
                </c:pt>
                <c:pt idx="211">
                  <c:v>3.079404277058626E-3</c:v>
                </c:pt>
                <c:pt idx="212">
                  <c:v>3.0796725147697809E-3</c:v>
                </c:pt>
                <c:pt idx="213">
                  <c:v>3.079940891255661E-3</c:v>
                </c:pt>
                <c:pt idx="214">
                  <c:v>3.0802094206348715E-3</c:v>
                </c:pt>
                <c:pt idx="215">
                  <c:v>3.0810160673185572E-3</c:v>
                </c:pt>
                <c:pt idx="216">
                  <c:v>3.0812853494571594E-3</c:v>
                </c:pt>
                <c:pt idx="217">
                  <c:v>3.0815548550821264E-3</c:v>
                </c:pt>
                <c:pt idx="218">
                  <c:v>3.0818245983120643E-3</c:v>
                </c:pt>
                <c:pt idx="219">
                  <c:v>3.0820945932655808E-3</c:v>
                </c:pt>
                <c:pt idx="220">
                  <c:v>3.0829062296536635E-3</c:v>
                </c:pt>
                <c:pt idx="221">
                  <c:v>3.0831773726875582E-3</c:v>
                </c:pt>
                <c:pt idx="222">
                  <c:v>3.0834488380380646E-3</c:v>
                </c:pt>
                <c:pt idx="223">
                  <c:v>3.0837206398237884E-3</c:v>
                </c:pt>
                <c:pt idx="224">
                  <c:v>3.085085189431915E-3</c:v>
                </c:pt>
                <c:pt idx="225">
                  <c:v>3.0853593063196877E-3</c:v>
                </c:pt>
                <c:pt idx="226">
                  <c:v>3.0856338584729259E-3</c:v>
                </c:pt>
                <c:pt idx="227">
                  <c:v>3.085908860010235E-3</c:v>
                </c:pt>
                <c:pt idx="228">
                  <c:v>3.0867367021126598E-3</c:v>
                </c:pt>
                <c:pt idx="229">
                  <c:v>3.0870136423723216E-3</c:v>
                </c:pt>
                <c:pt idx="230">
                  <c:v>3.087291102609089E-3</c:v>
                </c:pt>
                <c:pt idx="231">
                  <c:v>3.0875690969415677E-3</c:v>
                </c:pt>
                <c:pt idx="232">
                  <c:v>3.0878476394883654E-3</c:v>
                </c:pt>
                <c:pt idx="233">
                  <c:v>3.0886866976007339E-3</c:v>
                </c:pt>
                <c:pt idx="234">
                  <c:v>3.0889675741908708E-3</c:v>
                </c:pt>
                <c:pt idx="235">
                  <c:v>3.0892490695883608E-3</c:v>
                </c:pt>
                <c:pt idx="236">
                  <c:v>3.0895311979118076E-3</c:v>
                </c:pt>
                <c:pt idx="237">
                  <c:v>3.0898139732798207E-3</c:v>
                </c:pt>
                <c:pt idx="238">
                  <c:v>3.0906663228373161E-3</c:v>
                </c:pt>
                <c:pt idx="239">
                  <c:v>3.0909518275696558E-3</c:v>
                </c:pt>
                <c:pt idx="240">
                  <c:v>3.0912380499395942E-3</c:v>
                </c:pt>
                <c:pt idx="241">
                  <c:v>3.0915250040657377E-3</c:v>
                </c:pt>
                <c:pt idx="242">
                  <c:v>3.0918127040666936E-3</c:v>
                </c:pt>
                <c:pt idx="243">
                  <c:v>3.0926804205044984E-3</c:v>
                </c:pt>
                <c:pt idx="244">
                  <c:v>3.0929712451907686E-3</c:v>
                </c:pt>
                <c:pt idx="245">
                  <c:v>3.0932628863448836E-3</c:v>
                </c:pt>
                <c:pt idx="246">
                  <c:v>3.0935553580854511E-3</c:v>
                </c:pt>
                <c:pt idx="247">
                  <c:v>3.0938486745310766E-3</c:v>
                </c:pt>
                <c:pt idx="248">
                  <c:v>3.0947338332843735E-3</c:v>
                </c:pt>
                <c:pt idx="249">
                  <c:v>3.0950306697363011E-3</c:v>
                </c:pt>
                <c:pt idx="250">
                  <c:v>3.0953284214863203E-3</c:v>
                </c:pt>
                <c:pt idx="251">
                  <c:v>3.0956271026530389E-3</c:v>
                </c:pt>
                <c:pt idx="252">
                  <c:v>3.0959267273550626E-3</c:v>
                </c:pt>
                <c:pt idx="253">
                  <c:v>3.0968314038590339E-3</c:v>
                </c:pt>
                <c:pt idx="254">
                  <c:v>3.097134943888346E-3</c:v>
                </c:pt>
                <c:pt idx="255">
                  <c:v>3.0974394980459977E-3</c:v>
                </c:pt>
                <c:pt idx="256">
                  <c:v>3.0977450804505944E-3</c:v>
                </c:pt>
                <c:pt idx="257">
                  <c:v>3.0980517052207439E-3</c:v>
                </c:pt>
                <c:pt idx="258">
                  <c:v>3.0989779749105713E-3</c:v>
                </c:pt>
                <c:pt idx="259">
                  <c:v>3.0992889103289962E-3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979840"/>
        <c:axId val="656981376"/>
      </c:scatterChart>
      <c:valAx>
        <c:axId val="65697984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56981376"/>
        <c:crosses val="autoZero"/>
        <c:crossBetween val="midCat"/>
      </c:valAx>
      <c:valAx>
        <c:axId val="65698137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56979840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3984531312743334"/>
          <c:h val="0.328034631853248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'12MSynthDepo_used'!$R$3:$R$262</c:f>
              <c:numCache>
                <c:formatCode>d\-mmm\-yy</c:formatCode>
                <c:ptCount val="26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</c:numCache>
            </c:numRef>
          </c:xVal>
          <c:yVal>
            <c:numRef>
              <c:f>'12MSynthDepo_used'!$U$3:$U$262</c:f>
              <c:numCache>
                <c:formatCode>0.0000%</c:formatCode>
                <c:ptCount val="260"/>
                <c:pt idx="0">
                  <c:v>2.7335525109286095E-3</c:v>
                </c:pt>
                <c:pt idx="1">
                  <c:v>2.7353392295528006E-3</c:v>
                </c:pt>
                <c:pt idx="2">
                  <c:v>2.7406591423406765E-3</c:v>
                </c:pt>
                <c:pt idx="3">
                  <c:v>2.7424190793037583E-3</c:v>
                </c:pt>
                <c:pt idx="4">
                  <c:v>2.7441723561480798E-3</c:v>
                </c:pt>
                <c:pt idx="5">
                  <c:v>2.7459189869922466E-3</c:v>
                </c:pt>
                <c:pt idx="6">
                  <c:v>2.7476589859548664E-3</c:v>
                </c:pt>
                <c:pt idx="7">
                  <c:v>2.7528393327395087E-3</c:v>
                </c:pt>
                <c:pt idx="8">
                  <c:v>2.7545529453620061E-3</c:v>
                </c:pt>
                <c:pt idx="9">
                  <c:v>2.7562599966959901E-3</c:v>
                </c:pt>
                <c:pt idx="10">
                  <c:v>2.7579605008600668E-3</c:v>
                </c:pt>
                <c:pt idx="11">
                  <c:v>2.7596544719728422E-3</c:v>
                </c:pt>
                <c:pt idx="12">
                  <c:v>2.7646973281894335E-3</c:v>
                </c:pt>
                <c:pt idx="13">
                  <c:v>2.7663653082830742E-3</c:v>
                </c:pt>
                <c:pt idx="14">
                  <c:v>2.768026825918448E-3</c:v>
                </c:pt>
                <c:pt idx="15">
                  <c:v>2.7696818952141614E-3</c:v>
                </c:pt>
                <c:pt idx="16">
                  <c:v>2.7713305302888209E-3</c:v>
                </c:pt>
                <c:pt idx="17">
                  <c:v>2.776237971372544E-3</c:v>
                </c:pt>
                <c:pt idx="18">
                  <c:v>2.7778610107490553E-3</c:v>
                </c:pt>
                <c:pt idx="19">
                  <c:v>2.7794776864975461E-3</c:v>
                </c:pt>
                <c:pt idx="20">
                  <c:v>2.781088012736624E-3</c:v>
                </c:pt>
                <c:pt idx="21">
                  <c:v>2.7826920035848948E-3</c:v>
                </c:pt>
                <c:pt idx="22">
                  <c:v>2.7874661049709314E-3</c:v>
                </c:pt>
                <c:pt idx="23">
                  <c:v>2.7890448954420413E-3</c:v>
                </c:pt>
                <c:pt idx="24">
                  <c:v>2.7906174211153774E-3</c:v>
                </c:pt>
                <c:pt idx="25">
                  <c:v>2.7921836961095469E-3</c:v>
                </c:pt>
                <c:pt idx="26">
                  <c:v>2.7937437345431559E-3</c:v>
                </c:pt>
                <c:pt idx="27">
                  <c:v>2.7983865716666892E-3</c:v>
                </c:pt>
                <c:pt idx="28">
                  <c:v>2.799921805044125E-3</c:v>
                </c:pt>
                <c:pt idx="29">
                  <c:v>2.8014508724540335E-3</c:v>
                </c:pt>
                <c:pt idx="30">
                  <c:v>2.802973788015022E-3</c:v>
                </c:pt>
                <c:pt idx="31">
                  <c:v>2.8044905658456969E-3</c:v>
                </c:pt>
                <c:pt idx="32">
                  <c:v>2.8090042141419099E-3</c:v>
                </c:pt>
                <c:pt idx="33">
                  <c:v>2.8104965822373985E-3</c:v>
                </c:pt>
                <c:pt idx="34">
                  <c:v>2.8119828831956071E-3</c:v>
                </c:pt>
                <c:pt idx="35">
                  <c:v>2.8134631311351427E-3</c:v>
                </c:pt>
                <c:pt idx="36">
                  <c:v>2.8149373401746111E-3</c:v>
                </c:pt>
                <c:pt idx="37">
                  <c:v>2.8193238750786847E-3</c:v>
                </c:pt>
                <c:pt idx="38">
                  <c:v>2.8207740697039538E-3</c:v>
                </c:pt>
                <c:pt idx="39">
                  <c:v>2.8222182960221903E-3</c:v>
                </c:pt>
                <c:pt idx="40">
                  <c:v>2.8236565681520002E-3</c:v>
                </c:pt>
                <c:pt idx="41">
                  <c:v>2.8250889002119899E-3</c:v>
                </c:pt>
                <c:pt idx="42">
                  <c:v>2.8293503971591073E-3</c:v>
                </c:pt>
                <c:pt idx="43">
                  <c:v>2.8307591101258849E-3</c:v>
                </c:pt>
                <c:pt idx="44">
                  <c:v>2.8321619536158761E-3</c:v>
                </c:pt>
                <c:pt idx="45">
                  <c:v>2.833558941747688E-3</c:v>
                </c:pt>
                <c:pt idx="46">
                  <c:v>2.8349500886399263E-3</c:v>
                </c:pt>
                <c:pt idx="47">
                  <c:v>2.8390886230652704E-3</c:v>
                </c:pt>
                <c:pt idx="48">
                  <c:v>2.8404565461852831E-3</c:v>
                </c:pt>
                <c:pt idx="49">
                  <c:v>2.8418186986587566E-3</c:v>
                </c:pt>
                <c:pt idx="50">
                  <c:v>2.8431750946042974E-3</c:v>
                </c:pt>
                <c:pt idx="51">
                  <c:v>2.8445257481405123E-3</c:v>
                </c:pt>
                <c:pt idx="52">
                  <c:v>2.848543395479265E-3</c:v>
                </c:pt>
                <c:pt idx="53">
                  <c:v>2.8498712205642413E-3</c:v>
                </c:pt>
                <c:pt idx="54">
                  <c:v>2.8511933738329248E-3</c:v>
                </c:pt>
                <c:pt idx="55">
                  <c:v>2.8525098694039226E-3</c:v>
                </c:pt>
                <c:pt idx="56">
                  <c:v>2.8538207213958402E-3</c:v>
                </c:pt>
                <c:pt idx="57">
                  <c:v>2.8577195570831846E-3</c:v>
                </c:pt>
                <c:pt idx="58">
                  <c:v>2.8590079759448516E-3</c:v>
                </c:pt>
                <c:pt idx="59">
                  <c:v>2.8602908218204725E-3</c:v>
                </c:pt>
                <c:pt idx="60">
                  <c:v>2.8615681088286545E-3</c:v>
                </c:pt>
                <c:pt idx="61">
                  <c:v>2.8628398510880033E-3</c:v>
                </c:pt>
                <c:pt idx="62">
                  <c:v>2.8666219505591216E-3</c:v>
                </c:pt>
                <c:pt idx="63">
                  <c:v>2.8678716550092067E-3</c:v>
                </c:pt>
                <c:pt idx="64">
                  <c:v>2.8691158853034926E-3</c:v>
                </c:pt>
                <c:pt idx="65">
                  <c:v>2.8703546555605857E-3</c:v>
                </c:pt>
                <c:pt idx="66">
                  <c:v>2.8715879798990934E-3</c:v>
                </c:pt>
                <c:pt idx="67">
                  <c:v>2.8752554185891678E-3</c:v>
                </c:pt>
                <c:pt idx="68">
                  <c:v>2.8764671004393987E-3</c:v>
                </c:pt>
                <c:pt idx="69">
                  <c:v>2.8776734069640773E-3</c:v>
                </c:pt>
                <c:pt idx="70">
                  <c:v>2.8788743522818096E-3</c:v>
                </c:pt>
                <c:pt idx="71">
                  <c:v>2.8800699505112035E-3</c:v>
                </c:pt>
                <c:pt idx="72">
                  <c:v>2.8836248038554163E-3</c:v>
                </c:pt>
                <c:pt idx="73">
                  <c:v>2.8847991549175202E-3</c:v>
                </c:pt>
                <c:pt idx="74">
                  <c:v>2.8859682294843187E-3</c:v>
                </c:pt>
                <c:pt idx="75">
                  <c:v>2.8871320416744184E-3</c:v>
                </c:pt>
                <c:pt idx="76">
                  <c:v>2.8882906056064256E-3</c:v>
                </c:pt>
                <c:pt idx="77">
                  <c:v>2.8917349490399599E-3</c:v>
                </c:pt>
                <c:pt idx="78">
                  <c:v>2.8928726611256645E-3</c:v>
                </c:pt>
                <c:pt idx="79">
                  <c:v>2.8940051955463103E-3</c:v>
                </c:pt>
                <c:pt idx="80">
                  <c:v>2.8951325664205037E-3</c:v>
                </c:pt>
                <c:pt idx="81">
                  <c:v>2.8962547878668521E-3</c:v>
                </c:pt>
                <c:pt idx="82">
                  <c:v>2.89959069682489E-3</c:v>
                </c:pt>
                <c:pt idx="83">
                  <c:v>2.9006924617459226E-3</c:v>
                </c:pt>
                <c:pt idx="84">
                  <c:v>2.9017891478321433E-3</c:v>
                </c:pt>
                <c:pt idx="85">
                  <c:v>2.9028807692021586E-3</c:v>
                </c:pt>
                <c:pt idx="86">
                  <c:v>2.9039673399745753E-3</c:v>
                </c:pt>
                <c:pt idx="87">
                  <c:v>2.9071968898922995E-3</c:v>
                </c:pt>
                <c:pt idx="88">
                  <c:v>2.9082633994603883E-3</c:v>
                </c:pt>
                <c:pt idx="89">
                  <c:v>2.9093249290239116E-3</c:v>
                </c:pt>
                <c:pt idx="90">
                  <c:v>2.9103814927014761E-3</c:v>
                </c:pt>
                <c:pt idx="91">
                  <c:v>2.911433104611688E-3</c:v>
                </c:pt>
                <c:pt idx="92">
                  <c:v>2.9145583709242816E-3</c:v>
                </c:pt>
                <c:pt idx="93">
                  <c:v>2.9155903169511528E-3</c:v>
                </c:pt>
                <c:pt idx="94">
                  <c:v>2.9166173818037061E-3</c:v>
                </c:pt>
                <c:pt idx="95">
                  <c:v>2.9176395796005469E-3</c:v>
                </c:pt>
                <c:pt idx="96">
                  <c:v>2.918656924460283E-3</c:v>
                </c:pt>
                <c:pt idx="97">
                  <c:v>2.9216799826029269E-3</c:v>
                </c:pt>
                <c:pt idx="98">
                  <c:v>2.9226780569003097E-3</c:v>
                </c:pt>
                <c:pt idx="99">
                  <c:v>2.9236713488536201E-3</c:v>
                </c:pt>
                <c:pt idx="100">
                  <c:v>2.9246598725814654E-3</c:v>
                </c:pt>
                <c:pt idx="101">
                  <c:v>2.9256436422024521E-3</c:v>
                </c:pt>
                <c:pt idx="102">
                  <c:v>2.9285665676103299E-3</c:v>
                </c:pt>
                <c:pt idx="103">
                  <c:v>2.9295314619899506E-3</c:v>
                </c:pt>
                <c:pt idx="104">
                  <c:v>2.9304916728557463E-3</c:v>
                </c:pt>
                <c:pt idx="105">
                  <c:v>2.931447214326323E-3</c:v>
                </c:pt>
                <c:pt idx="106">
                  <c:v>2.9323981005202884E-3</c:v>
                </c:pt>
                <c:pt idx="107">
                  <c:v>2.9352229686285818E-3</c:v>
                </c:pt>
                <c:pt idx="108">
                  <c:v>2.9361553749021681E-3</c:v>
                </c:pt>
                <c:pt idx="109">
                  <c:v>2.9370831964921754E-3</c:v>
                </c:pt>
                <c:pt idx="110">
                  <c:v>2.938006447517212E-3</c:v>
                </c:pt>
                <c:pt idx="111">
                  <c:v>2.9389251420958839E-3</c:v>
                </c:pt>
                <c:pt idx="112">
                  <c:v>2.941654028339776E-3</c:v>
                </c:pt>
                <c:pt idx="113">
                  <c:v>2.9425546383190552E-3</c:v>
                </c:pt>
                <c:pt idx="114">
                  <c:v>2.9434507624450028E-3</c:v>
                </c:pt>
                <c:pt idx="115">
                  <c:v>2.9443424148362257E-3</c:v>
                </c:pt>
                <c:pt idx="116">
                  <c:v>2.9452296096113308E-3</c:v>
                </c:pt>
                <c:pt idx="117">
                  <c:v>2.9478645894260038E-3</c:v>
                </c:pt>
                <c:pt idx="118">
                  <c:v>2.9487340949227035E-3</c:v>
                </c:pt>
                <c:pt idx="119">
                  <c:v>2.9495992133963186E-3</c:v>
                </c:pt>
                <c:pt idx="120">
                  <c:v>2.9504599589654555E-3</c:v>
                </c:pt>
                <c:pt idx="121">
                  <c:v>2.9513163457487212E-3</c:v>
                </c:pt>
                <c:pt idx="122">
                  <c:v>2.9538594945693586E-3</c:v>
                </c:pt>
                <c:pt idx="123">
                  <c:v>2.9546985873952067E-3</c:v>
                </c:pt>
                <c:pt idx="124">
                  <c:v>2.9555333920282165E-3</c:v>
                </c:pt>
                <c:pt idx="125">
                  <c:v>2.9563639225869951E-3</c:v>
                </c:pt>
                <c:pt idx="126">
                  <c:v>2.9571901931901494E-3</c:v>
                </c:pt>
                <c:pt idx="127">
                  <c:v>2.9596435864519327E-3</c:v>
                </c:pt>
                <c:pt idx="128">
                  <c:v>2.9604529584186558E-3</c:v>
                </c:pt>
                <c:pt idx="129">
                  <c:v>2.9612581410227877E-3</c:v>
                </c:pt>
                <c:pt idx="130">
                  <c:v>2.9620591483829357E-3</c:v>
                </c:pt>
                <c:pt idx="131">
                  <c:v>2.9628559946177058E-3</c:v>
                </c:pt>
                <c:pt idx="132">
                  <c:v>2.9652217077558172E-3</c:v>
                </c:pt>
                <c:pt idx="133">
                  <c:v>2.9660020506751435E-3</c:v>
                </c:pt>
                <c:pt idx="134">
                  <c:v>2.966778303062126E-3</c:v>
                </c:pt>
                <c:pt idx="135">
                  <c:v>2.9675504790353706E-3</c:v>
                </c:pt>
                <c:pt idx="136">
                  <c:v>2.9683185927134844E-3</c:v>
                </c:pt>
                <c:pt idx="137">
                  <c:v>2.9705987011631064E-3</c:v>
                </c:pt>
                <c:pt idx="138">
                  <c:v>2.9713507068467636E-3</c:v>
                </c:pt>
                <c:pt idx="139">
                  <c:v>2.9720987208283235E-3</c:v>
                </c:pt>
                <c:pt idx="140">
                  <c:v>2.9728427572263921E-3</c:v>
                </c:pt>
                <c:pt idx="141">
                  <c:v>2.9735828301595763E-3</c:v>
                </c:pt>
                <c:pt idx="142">
                  <c:v>2.9757794093558921E-3</c:v>
                </c:pt>
                <c:pt idx="143">
                  <c:v>2.9765037696156071E-3</c:v>
                </c:pt>
                <c:pt idx="144">
                  <c:v>2.9772242370034716E-3</c:v>
                </c:pt>
                <c:pt idx="145">
                  <c:v>2.9779408256380918E-3</c:v>
                </c:pt>
                <c:pt idx="146">
                  <c:v>2.9786535496380754E-3</c:v>
                </c:pt>
                <c:pt idx="147">
                  <c:v>2.9807686750162668E-3</c:v>
                </c:pt>
                <c:pt idx="148">
                  <c:v>2.9814660816637672E-3</c:v>
                </c:pt>
                <c:pt idx="149">
                  <c:v>2.9821596942696642E-3</c:v>
                </c:pt>
                <c:pt idx="150">
                  <c:v>2.9828495269525633E-3</c:v>
                </c:pt>
                <c:pt idx="151">
                  <c:v>2.9835355938310723E-3</c:v>
                </c:pt>
                <c:pt idx="152">
                  <c:v>2.9855713408263227E-3</c:v>
                </c:pt>
                <c:pt idx="153">
                  <c:v>2.9862424856733362E-3</c:v>
                </c:pt>
                <c:pt idx="154">
                  <c:v>2.9869099353089924E-3</c:v>
                </c:pt>
                <c:pt idx="155">
                  <c:v>2.987573703851899E-3</c:v>
                </c:pt>
                <c:pt idx="156">
                  <c:v>2.988233805420661E-3</c:v>
                </c:pt>
                <c:pt idx="157">
                  <c:v>2.9901922494681523E-3</c:v>
                </c:pt>
                <c:pt idx="158">
                  <c:v>2.9908378243264067E-3</c:v>
                </c:pt>
                <c:pt idx="159">
                  <c:v>2.9914798028035502E-3</c:v>
                </c:pt>
                <c:pt idx="160">
                  <c:v>2.9921181990181902E-3</c:v>
                </c:pt>
                <c:pt idx="161">
                  <c:v>2.9946362436238483E-3</c:v>
                </c:pt>
                <c:pt idx="162">
                  <c:v>2.9952569403050699E-3</c:v>
                </c:pt>
                <c:pt idx="163">
                  <c:v>2.9958741394354288E-3</c:v>
                </c:pt>
                <c:pt idx="164">
                  <c:v>2.9964878551335308E-3</c:v>
                </c:pt>
                <c:pt idx="165">
                  <c:v>2.9989081659755027E-3</c:v>
                </c:pt>
                <c:pt idx="166">
                  <c:v>2.9995046762914201E-3</c:v>
                </c:pt>
                <c:pt idx="167">
                  <c:v>3.0000977878867213E-3</c:v>
                </c:pt>
                <c:pt idx="168">
                  <c:v>3.000687514880012E-3</c:v>
                </c:pt>
                <c:pt idx="169">
                  <c:v>3.0012738713898995E-3</c:v>
                </c:pt>
                <c:pt idx="170">
                  <c:v>3.0030128592052081E-3</c:v>
                </c:pt>
                <c:pt idx="171">
                  <c:v>3.0035858749675485E-3</c:v>
                </c:pt>
                <c:pt idx="172">
                  <c:v>3.0041555908395198E-3</c:v>
                </c:pt>
                <c:pt idx="173">
                  <c:v>3.004722020939727E-3</c:v>
                </c:pt>
                <c:pt idx="174">
                  <c:v>3.0052851793867779E-3</c:v>
                </c:pt>
                <c:pt idx="175">
                  <c:v>3.0069551659950575E-3</c:v>
                </c:pt>
                <c:pt idx="176">
                  <c:v>3.0075053790155483E-3</c:v>
                </c:pt>
                <c:pt idx="177">
                  <c:v>3.0080523909759163E-3</c:v>
                </c:pt>
                <c:pt idx="178">
                  <c:v>3.0085962159947677E-3</c:v>
                </c:pt>
                <c:pt idx="179">
                  <c:v>3.0091368681907094E-3</c:v>
                </c:pt>
                <c:pt idx="180">
                  <c:v>3.0107399290271427E-3</c:v>
                </c:pt>
                <c:pt idx="181">
                  <c:v>3.0112680311175114E-3</c:v>
                </c:pt>
                <c:pt idx="182">
                  <c:v>3.011793030978004E-3</c:v>
                </c:pt>
                <c:pt idx="183">
                  <c:v>3.0123149427272273E-3</c:v>
                </c:pt>
                <c:pt idx="184">
                  <c:v>3.0128337804837878E-3</c:v>
                </c:pt>
                <c:pt idx="185">
                  <c:v>3.0143719909835561E-3</c:v>
                </c:pt>
                <c:pt idx="186">
                  <c:v>3.0148786739555311E-3</c:v>
                </c:pt>
                <c:pt idx="187">
                  <c:v>3.0153823535278759E-3</c:v>
                </c:pt>
                <c:pt idx="188">
                  <c:v>3.0158830438191979E-3</c:v>
                </c:pt>
                <c:pt idx="189">
                  <c:v>3.0163807589481039E-3</c:v>
                </c:pt>
                <c:pt idx="190">
                  <c:v>3.0178561945463905E-3</c:v>
                </c:pt>
                <c:pt idx="191">
                  <c:v>3.0183421502116988E-3</c:v>
                </c:pt>
                <c:pt idx="192">
                  <c:v>3.0188252013076235E-3</c:v>
                </c:pt>
                <c:pt idx="193">
                  <c:v>3.0193053619527719E-3</c:v>
                </c:pt>
                <c:pt idx="194">
                  <c:v>3.0197826462657514E-3</c:v>
                </c:pt>
                <c:pt idx="195">
                  <c:v>3.0211973823977391E-3</c:v>
                </c:pt>
                <c:pt idx="196">
                  <c:v>3.0216633025681072E-3</c:v>
                </c:pt>
                <c:pt idx="197">
                  <c:v>3.0221264169993396E-3</c:v>
                </c:pt>
                <c:pt idx="198">
                  <c:v>3.0225867398100421E-3</c:v>
                </c:pt>
                <c:pt idx="199">
                  <c:v>3.0230442851188221E-3</c:v>
                </c:pt>
                <c:pt idx="200">
                  <c:v>3.0244003972196925E-3</c:v>
                </c:pt>
                <c:pt idx="201">
                  <c:v>3.0248469737068485E-3</c:v>
                </c:pt>
                <c:pt idx="202">
                  <c:v>3.0252908432851153E-3</c:v>
                </c:pt>
                <c:pt idx="203">
                  <c:v>3.0257320200730996E-3</c:v>
                </c:pt>
                <c:pt idx="204">
                  <c:v>3.0261705181894084E-3</c:v>
                </c:pt>
                <c:pt idx="205">
                  <c:v>3.0274700816943449E-3</c:v>
                </c:pt>
                <c:pt idx="206">
                  <c:v>3.0278980063100161E-3</c:v>
                </c:pt>
                <c:pt idx="207">
                  <c:v>3.028323322847045E-3</c:v>
                </c:pt>
                <c:pt idx="208">
                  <c:v>3.0287460454240388E-3</c:v>
                </c:pt>
                <c:pt idx="209">
                  <c:v>3.0291661881596032E-3</c:v>
                </c:pt>
                <c:pt idx="210">
                  <c:v>3.0304112785037875E-3</c:v>
                </c:pt>
                <c:pt idx="211">
                  <c:v>3.0308212430597021E-3</c:v>
                </c:pt>
                <c:pt idx="212">
                  <c:v>3.0312286983672208E-3</c:v>
                </c:pt>
                <c:pt idx="213">
                  <c:v>3.0316336585449509E-3</c:v>
                </c:pt>
                <c:pt idx="214">
                  <c:v>3.0320361377114981E-3</c:v>
                </c:pt>
                <c:pt idx="215">
                  <c:v>3.0332288303301135E-3</c:v>
                </c:pt>
                <c:pt idx="216">
                  <c:v>3.0336215266379986E-3</c:v>
                </c:pt>
                <c:pt idx="217">
                  <c:v>3.0340118125277344E-3</c:v>
                </c:pt>
                <c:pt idx="218">
                  <c:v>3.0343997021179286E-3</c:v>
                </c:pt>
                <c:pt idx="219">
                  <c:v>3.0347852095271867E-3</c:v>
                </c:pt>
                <c:pt idx="220">
                  <c:v>3.0359275798554153E-3</c:v>
                </c:pt>
                <c:pt idx="221">
                  <c:v>3.0363036997269983E-3</c:v>
                </c:pt>
                <c:pt idx="222">
                  <c:v>3.0366775080106793E-3</c:v>
                </c:pt>
                <c:pt idx="223">
                  <c:v>3.0370490188250643E-3</c:v>
                </c:pt>
                <c:pt idx="224">
                  <c:v>3.0388726050087933E-3</c:v>
                </c:pt>
                <c:pt idx="225">
                  <c:v>3.0392306274981467E-3</c:v>
                </c:pt>
                <c:pt idx="226">
                  <c:v>3.0395864513484507E-3</c:v>
                </c:pt>
                <c:pt idx="227">
                  <c:v>3.039940090678313E-3</c:v>
                </c:pt>
                <c:pt idx="228">
                  <c:v>3.0409880427313151E-3</c:v>
                </c:pt>
                <c:pt idx="229">
                  <c:v>3.0413330851654769E-3</c:v>
                </c:pt>
                <c:pt idx="230">
                  <c:v>3.0416760136722297E-3</c:v>
                </c:pt>
                <c:pt idx="231">
                  <c:v>3.0420168423701799E-3</c:v>
                </c:pt>
                <c:pt idx="232">
                  <c:v>3.0423555853779363E-3</c:v>
                </c:pt>
                <c:pt idx="233">
                  <c:v>3.0433594414460987E-3</c:v>
                </c:pt>
                <c:pt idx="234">
                  <c:v>3.0436899828791401E-3</c:v>
                </c:pt>
                <c:pt idx="235">
                  <c:v>3.0440185092150203E-3</c:v>
                </c:pt>
                <c:pt idx="236">
                  <c:v>3.0443450345723445E-3</c:v>
                </c:pt>
                <c:pt idx="237">
                  <c:v>3.0446695730697213E-3</c:v>
                </c:pt>
                <c:pt idx="238">
                  <c:v>3.0456314085882271E-3</c:v>
                </c:pt>
                <c:pt idx="239">
                  <c:v>3.0459481408318763E-3</c:v>
                </c:pt>
                <c:pt idx="240">
                  <c:v>3.0462629568086112E-3</c:v>
                </c:pt>
                <c:pt idx="241">
                  <c:v>3.0465758706370379E-3</c:v>
                </c:pt>
                <c:pt idx="242">
                  <c:v>3.0468868964357628E-3</c:v>
                </c:pt>
                <c:pt idx="243">
                  <c:v>3.0478087868397938E-3</c:v>
                </c:pt>
                <c:pt idx="244">
                  <c:v>3.0481124017057788E-3</c:v>
                </c:pt>
                <c:pt idx="245">
                  <c:v>3.0484141991350957E-3</c:v>
                </c:pt>
                <c:pt idx="246">
                  <c:v>3.0487141932463509E-3</c:v>
                </c:pt>
                <c:pt idx="247">
                  <c:v>3.0490123981581512E-3</c:v>
                </c:pt>
                <c:pt idx="248">
                  <c:v>3.0498964188828909E-3</c:v>
                </c:pt>
                <c:pt idx="249">
                  <c:v>3.0501876081829387E-3</c:v>
                </c:pt>
                <c:pt idx="250">
                  <c:v>3.0504770788765652E-3</c:v>
                </c:pt>
                <c:pt idx="251">
                  <c:v>3.0507648450823766E-3</c:v>
                </c:pt>
                <c:pt idx="252">
                  <c:v>3.0510509209189804E-3</c:v>
                </c:pt>
                <c:pt idx="253">
                  <c:v>3.0518991473996106E-3</c:v>
                </c:pt>
                <c:pt idx="254">
                  <c:v>3.0521786029454488E-3</c:v>
                </c:pt>
                <c:pt idx="255">
                  <c:v>3.0524564387151122E-3</c:v>
                </c:pt>
                <c:pt idx="256">
                  <c:v>3.0527326688272083E-3</c:v>
                </c:pt>
                <c:pt idx="257">
                  <c:v>3.0530073074003425E-3</c:v>
                </c:pt>
                <c:pt idx="258">
                  <c:v>3.053821815072045E-3</c:v>
                </c:pt>
                <c:pt idx="259">
                  <c:v>3.0540902286754013E-3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266368"/>
        <c:axId val="676267904"/>
      </c:scatterChart>
      <c:valAx>
        <c:axId val="6762663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76267904"/>
        <c:crosses val="autoZero"/>
        <c:crossBetween val="midCat"/>
      </c:valAx>
      <c:valAx>
        <c:axId val="67626790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626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'12MSynthDepo_allScenario'!$BE$6:$BE$264</c:f>
              <c:numCache>
                <c:formatCode>0.0000%</c:formatCode>
                <c:ptCount val="259"/>
                <c:pt idx="0">
                  <c:v>2.7834720186711093E-3</c:v>
                </c:pt>
                <c:pt idx="1">
                  <c:v>2.7843329980461115E-3</c:v>
                </c:pt>
                <c:pt idx="2">
                  <c:v>2.7869159361711185E-3</c:v>
                </c:pt>
                <c:pt idx="3">
                  <c:v>2.7877769155461207E-3</c:v>
                </c:pt>
                <c:pt idx="4">
                  <c:v>2.7886378949211229E-3</c:v>
                </c:pt>
                <c:pt idx="5">
                  <c:v>2.7894988742961251E-3</c:v>
                </c:pt>
                <c:pt idx="6">
                  <c:v>2.7903598536711273E-3</c:v>
                </c:pt>
                <c:pt idx="7">
                  <c:v>2.7929427917961339E-3</c:v>
                </c:pt>
                <c:pt idx="8">
                  <c:v>2.7938037711711366E-3</c:v>
                </c:pt>
                <c:pt idx="9">
                  <c:v>2.7946647505461388E-3</c:v>
                </c:pt>
                <c:pt idx="10">
                  <c:v>2.795525729921141E-3</c:v>
                </c:pt>
                <c:pt idx="11">
                  <c:v>2.7963867092961432E-3</c:v>
                </c:pt>
                <c:pt idx="12">
                  <c:v>2.7989696474211498E-3</c:v>
                </c:pt>
                <c:pt idx="13">
                  <c:v>2.7998306267961524E-3</c:v>
                </c:pt>
                <c:pt idx="14">
                  <c:v>2.8006916061711546E-3</c:v>
                </c:pt>
                <c:pt idx="15">
                  <c:v>2.8015525855461568E-3</c:v>
                </c:pt>
                <c:pt idx="16">
                  <c:v>2.802413564921159E-3</c:v>
                </c:pt>
                <c:pt idx="17">
                  <c:v>2.8049965030461656E-3</c:v>
                </c:pt>
                <c:pt idx="18">
                  <c:v>2.8058574824211678E-3</c:v>
                </c:pt>
                <c:pt idx="19">
                  <c:v>2.8067184617961705E-3</c:v>
                </c:pt>
                <c:pt idx="20">
                  <c:v>2.8075794411711727E-3</c:v>
                </c:pt>
                <c:pt idx="21">
                  <c:v>2.8084404205461749E-3</c:v>
                </c:pt>
                <c:pt idx="22">
                  <c:v>2.8110233586711815E-3</c:v>
                </c:pt>
                <c:pt idx="23">
                  <c:v>2.8118843380461837E-3</c:v>
                </c:pt>
                <c:pt idx="24">
                  <c:v>2.8127453174211863E-3</c:v>
                </c:pt>
                <c:pt idx="25">
                  <c:v>2.8136062967961885E-3</c:v>
                </c:pt>
                <c:pt idx="26">
                  <c:v>2.8144672761711907E-3</c:v>
                </c:pt>
                <c:pt idx="27">
                  <c:v>2.8170502142961973E-3</c:v>
                </c:pt>
                <c:pt idx="28">
                  <c:v>2.8179111936711995E-3</c:v>
                </c:pt>
                <c:pt idx="29">
                  <c:v>2.8187721730462017E-3</c:v>
                </c:pt>
                <c:pt idx="30">
                  <c:v>2.8196331524212043E-3</c:v>
                </c:pt>
                <c:pt idx="31">
                  <c:v>2.8204941317962065E-3</c:v>
                </c:pt>
                <c:pt idx="32">
                  <c:v>2.8230770699212131E-3</c:v>
                </c:pt>
                <c:pt idx="33">
                  <c:v>2.8239380492962153E-3</c:v>
                </c:pt>
                <c:pt idx="34">
                  <c:v>2.8247990286712175E-3</c:v>
                </c:pt>
                <c:pt idx="35">
                  <c:v>2.8256600080462202E-3</c:v>
                </c:pt>
                <c:pt idx="36">
                  <c:v>2.8265209874212224E-3</c:v>
                </c:pt>
                <c:pt idx="37">
                  <c:v>2.829103925546229E-3</c:v>
                </c:pt>
                <c:pt idx="38">
                  <c:v>2.8299649049212312E-3</c:v>
                </c:pt>
                <c:pt idx="39">
                  <c:v>2.8308258842962334E-3</c:v>
                </c:pt>
                <c:pt idx="40">
                  <c:v>2.8316868636712356E-3</c:v>
                </c:pt>
                <c:pt idx="41">
                  <c:v>2.8325478430462382E-3</c:v>
                </c:pt>
                <c:pt idx="42">
                  <c:v>2.8351307811712448E-3</c:v>
                </c:pt>
                <c:pt idx="43">
                  <c:v>2.835991760546247E-3</c:v>
                </c:pt>
                <c:pt idx="44">
                  <c:v>2.8368527399212492E-3</c:v>
                </c:pt>
                <c:pt idx="45">
                  <c:v>2.8377137192962514E-3</c:v>
                </c:pt>
                <c:pt idx="46">
                  <c:v>2.8385746986712541E-3</c:v>
                </c:pt>
                <c:pt idx="47">
                  <c:v>2.8411576367962607E-3</c:v>
                </c:pt>
                <c:pt idx="48">
                  <c:v>2.8420186161712629E-3</c:v>
                </c:pt>
                <c:pt idx="49">
                  <c:v>2.8428795955462651E-3</c:v>
                </c:pt>
                <c:pt idx="50">
                  <c:v>2.8437405749212673E-3</c:v>
                </c:pt>
                <c:pt idx="51">
                  <c:v>2.8446015542962699E-3</c:v>
                </c:pt>
                <c:pt idx="52">
                  <c:v>2.8471844924212765E-3</c:v>
                </c:pt>
                <c:pt idx="53">
                  <c:v>2.8480454717962787E-3</c:v>
                </c:pt>
                <c:pt idx="54">
                  <c:v>2.8489064511712809E-3</c:v>
                </c:pt>
                <c:pt idx="55">
                  <c:v>2.8497674305462831E-3</c:v>
                </c:pt>
                <c:pt idx="56">
                  <c:v>2.8506284099212853E-3</c:v>
                </c:pt>
                <c:pt idx="57">
                  <c:v>2.8532113480462923E-3</c:v>
                </c:pt>
                <c:pt idx="58">
                  <c:v>2.8540723274212945E-3</c:v>
                </c:pt>
                <c:pt idx="59">
                  <c:v>2.8549333067962967E-3</c:v>
                </c:pt>
                <c:pt idx="60">
                  <c:v>2.8557942861712989E-3</c:v>
                </c:pt>
                <c:pt idx="61">
                  <c:v>2.8566552655463011E-3</c:v>
                </c:pt>
                <c:pt idx="62">
                  <c:v>2.8592382036713082E-3</c:v>
                </c:pt>
                <c:pt idx="63">
                  <c:v>2.8600991830463104E-3</c:v>
                </c:pt>
                <c:pt idx="64">
                  <c:v>2.8609601624213126E-3</c:v>
                </c:pt>
                <c:pt idx="65">
                  <c:v>2.8618211417963148E-3</c:v>
                </c:pt>
                <c:pt idx="66">
                  <c:v>2.862682121171317E-3</c:v>
                </c:pt>
                <c:pt idx="67">
                  <c:v>2.865265059296324E-3</c:v>
                </c:pt>
                <c:pt idx="68">
                  <c:v>2.8661260386713262E-3</c:v>
                </c:pt>
                <c:pt idx="69">
                  <c:v>2.8669870180463284E-3</c:v>
                </c:pt>
                <c:pt idx="70">
                  <c:v>2.8678479974213306E-3</c:v>
                </c:pt>
                <c:pt idx="71">
                  <c:v>2.8687089767963328E-3</c:v>
                </c:pt>
                <c:pt idx="72">
                  <c:v>2.8712919149213399E-3</c:v>
                </c:pt>
                <c:pt idx="73">
                  <c:v>2.8721528942963421E-3</c:v>
                </c:pt>
                <c:pt idx="74">
                  <c:v>2.8730138736713443E-3</c:v>
                </c:pt>
                <c:pt idx="75">
                  <c:v>2.8738748530463465E-3</c:v>
                </c:pt>
                <c:pt idx="76">
                  <c:v>2.8747358324213487E-3</c:v>
                </c:pt>
                <c:pt idx="77">
                  <c:v>2.8773187705463557E-3</c:v>
                </c:pt>
                <c:pt idx="78">
                  <c:v>2.8781797499213579E-3</c:v>
                </c:pt>
                <c:pt idx="79">
                  <c:v>2.8790407292963601E-3</c:v>
                </c:pt>
                <c:pt idx="80">
                  <c:v>2.8799017086713623E-3</c:v>
                </c:pt>
                <c:pt idx="81">
                  <c:v>2.8807626880463645E-3</c:v>
                </c:pt>
                <c:pt idx="82">
                  <c:v>2.8833456261713715E-3</c:v>
                </c:pt>
                <c:pt idx="83">
                  <c:v>2.8842066055463737E-3</c:v>
                </c:pt>
                <c:pt idx="84">
                  <c:v>2.8850675849213759E-3</c:v>
                </c:pt>
                <c:pt idx="85">
                  <c:v>2.8859285642963781E-3</c:v>
                </c:pt>
                <c:pt idx="86">
                  <c:v>2.8867895436713803E-3</c:v>
                </c:pt>
                <c:pt idx="87">
                  <c:v>2.8893724817963869E-3</c:v>
                </c:pt>
                <c:pt idx="88">
                  <c:v>2.8902334611713896E-3</c:v>
                </c:pt>
                <c:pt idx="89">
                  <c:v>2.8910944405463918E-3</c:v>
                </c:pt>
                <c:pt idx="90">
                  <c:v>2.891955419921394E-3</c:v>
                </c:pt>
                <c:pt idx="91">
                  <c:v>2.8928163992963962E-3</c:v>
                </c:pt>
                <c:pt idx="92">
                  <c:v>2.8953993374214028E-3</c:v>
                </c:pt>
                <c:pt idx="93">
                  <c:v>2.8962603167964054E-3</c:v>
                </c:pt>
                <c:pt idx="94">
                  <c:v>2.8971212961714076E-3</c:v>
                </c:pt>
                <c:pt idx="95">
                  <c:v>2.8979822755464098E-3</c:v>
                </c:pt>
                <c:pt idx="96">
                  <c:v>2.898843254921412E-3</c:v>
                </c:pt>
                <c:pt idx="97">
                  <c:v>2.9014261930464186E-3</c:v>
                </c:pt>
                <c:pt idx="98">
                  <c:v>2.9022871724214208E-3</c:v>
                </c:pt>
                <c:pt idx="99">
                  <c:v>2.9031481517964234E-3</c:v>
                </c:pt>
                <c:pt idx="100">
                  <c:v>2.9040091311714256E-3</c:v>
                </c:pt>
                <c:pt idx="101">
                  <c:v>2.9048701105464278E-3</c:v>
                </c:pt>
                <c:pt idx="102">
                  <c:v>2.9074530486714345E-3</c:v>
                </c:pt>
                <c:pt idx="103">
                  <c:v>2.9083140280464367E-3</c:v>
                </c:pt>
                <c:pt idx="104">
                  <c:v>2.9091750074214393E-3</c:v>
                </c:pt>
                <c:pt idx="105">
                  <c:v>2.9100359867964415E-3</c:v>
                </c:pt>
                <c:pt idx="106">
                  <c:v>2.9108969661714437E-3</c:v>
                </c:pt>
                <c:pt idx="107">
                  <c:v>2.9134799042964503E-3</c:v>
                </c:pt>
                <c:pt idx="108">
                  <c:v>2.9143408836714525E-3</c:v>
                </c:pt>
                <c:pt idx="109">
                  <c:v>2.9152018630464547E-3</c:v>
                </c:pt>
                <c:pt idx="110">
                  <c:v>2.9160628424214573E-3</c:v>
                </c:pt>
                <c:pt idx="111">
                  <c:v>2.9169238217964595E-3</c:v>
                </c:pt>
                <c:pt idx="112">
                  <c:v>2.9195067599214661E-3</c:v>
                </c:pt>
                <c:pt idx="113">
                  <c:v>2.9203677392964683E-3</c:v>
                </c:pt>
                <c:pt idx="114">
                  <c:v>2.9212287186714705E-3</c:v>
                </c:pt>
                <c:pt idx="115">
                  <c:v>2.9220896980464732E-3</c:v>
                </c:pt>
                <c:pt idx="116">
                  <c:v>2.9229506774214754E-3</c:v>
                </c:pt>
                <c:pt idx="117">
                  <c:v>2.925533615546482E-3</c:v>
                </c:pt>
                <c:pt idx="118">
                  <c:v>2.9263945949214842E-3</c:v>
                </c:pt>
                <c:pt idx="119">
                  <c:v>2.9272555742964864E-3</c:v>
                </c:pt>
                <c:pt idx="120">
                  <c:v>2.9281165536714886E-3</c:v>
                </c:pt>
                <c:pt idx="121">
                  <c:v>2.9289775330464912E-3</c:v>
                </c:pt>
                <c:pt idx="122">
                  <c:v>2.9315604711714978E-3</c:v>
                </c:pt>
                <c:pt idx="123">
                  <c:v>2.9324214505465E-3</c:v>
                </c:pt>
                <c:pt idx="124">
                  <c:v>2.9332824299215022E-3</c:v>
                </c:pt>
                <c:pt idx="125">
                  <c:v>2.9341434092965044E-3</c:v>
                </c:pt>
                <c:pt idx="126">
                  <c:v>2.935004388671507E-3</c:v>
                </c:pt>
                <c:pt idx="127">
                  <c:v>2.9375873267965136E-3</c:v>
                </c:pt>
                <c:pt idx="128">
                  <c:v>2.9384483061715158E-3</c:v>
                </c:pt>
                <c:pt idx="129">
                  <c:v>2.939309285546518E-3</c:v>
                </c:pt>
                <c:pt idx="130">
                  <c:v>2.9401702649215202E-3</c:v>
                </c:pt>
                <c:pt idx="131">
                  <c:v>2.9410312442965224E-3</c:v>
                </c:pt>
                <c:pt idx="132">
                  <c:v>2.9436141824215295E-3</c:v>
                </c:pt>
                <c:pt idx="133">
                  <c:v>2.9444751617965317E-3</c:v>
                </c:pt>
                <c:pt idx="134">
                  <c:v>2.9453361411715339E-3</c:v>
                </c:pt>
                <c:pt idx="135">
                  <c:v>2.9461971205465361E-3</c:v>
                </c:pt>
                <c:pt idx="136">
                  <c:v>2.9470580999215383E-3</c:v>
                </c:pt>
                <c:pt idx="137">
                  <c:v>2.9496410380465453E-3</c:v>
                </c:pt>
                <c:pt idx="138">
                  <c:v>2.9505020174215475E-3</c:v>
                </c:pt>
                <c:pt idx="139">
                  <c:v>2.9513629967965497E-3</c:v>
                </c:pt>
                <c:pt idx="140">
                  <c:v>2.9522239761715519E-3</c:v>
                </c:pt>
                <c:pt idx="141">
                  <c:v>2.9530849555465541E-3</c:v>
                </c:pt>
                <c:pt idx="142">
                  <c:v>2.9556678936715612E-3</c:v>
                </c:pt>
                <c:pt idx="143">
                  <c:v>2.9565288730465634E-3</c:v>
                </c:pt>
                <c:pt idx="144">
                  <c:v>2.9573898524215656E-3</c:v>
                </c:pt>
                <c:pt idx="145">
                  <c:v>2.9582508317965678E-3</c:v>
                </c:pt>
                <c:pt idx="146">
                  <c:v>2.95911181117157E-3</c:v>
                </c:pt>
                <c:pt idx="147">
                  <c:v>2.961694749296577E-3</c:v>
                </c:pt>
                <c:pt idx="148">
                  <c:v>2.9625557286715792E-3</c:v>
                </c:pt>
                <c:pt idx="149">
                  <c:v>2.9634167080465814E-3</c:v>
                </c:pt>
                <c:pt idx="150">
                  <c:v>2.9642776874215836E-3</c:v>
                </c:pt>
                <c:pt idx="151">
                  <c:v>2.9651386667965858E-3</c:v>
                </c:pt>
                <c:pt idx="152">
                  <c:v>2.9677216049215928E-3</c:v>
                </c:pt>
                <c:pt idx="153">
                  <c:v>2.968582584296595E-3</c:v>
                </c:pt>
                <c:pt idx="154">
                  <c:v>2.9694435636715972E-3</c:v>
                </c:pt>
                <c:pt idx="155">
                  <c:v>2.9703045430465994E-3</c:v>
                </c:pt>
                <c:pt idx="156">
                  <c:v>2.9711655224216016E-3</c:v>
                </c:pt>
                <c:pt idx="157">
                  <c:v>2.9737484605466087E-3</c:v>
                </c:pt>
                <c:pt idx="158">
                  <c:v>2.9746094399216109E-3</c:v>
                </c:pt>
                <c:pt idx="159">
                  <c:v>2.9754704192966131E-3</c:v>
                </c:pt>
                <c:pt idx="160">
                  <c:v>2.9763313986716153E-3</c:v>
                </c:pt>
                <c:pt idx="161">
                  <c:v>2.9797753161716241E-3</c:v>
                </c:pt>
                <c:pt idx="162">
                  <c:v>2.9806362955466267E-3</c:v>
                </c:pt>
                <c:pt idx="163">
                  <c:v>2.9814972749216289E-3</c:v>
                </c:pt>
                <c:pt idx="164">
                  <c:v>2.9823582542966311E-3</c:v>
                </c:pt>
                <c:pt idx="165">
                  <c:v>2.9858021717966399E-3</c:v>
                </c:pt>
                <c:pt idx="166">
                  <c:v>2.9866631511716426E-3</c:v>
                </c:pt>
                <c:pt idx="167">
                  <c:v>2.9875241305466448E-3</c:v>
                </c:pt>
                <c:pt idx="168">
                  <c:v>2.988385109921647E-3</c:v>
                </c:pt>
                <c:pt idx="169">
                  <c:v>2.9892460892966492E-3</c:v>
                </c:pt>
                <c:pt idx="170">
                  <c:v>2.9918290274216558E-3</c:v>
                </c:pt>
                <c:pt idx="171">
                  <c:v>2.992690006796658E-3</c:v>
                </c:pt>
                <c:pt idx="172">
                  <c:v>2.9935509861716606E-3</c:v>
                </c:pt>
                <c:pt idx="173">
                  <c:v>2.9944119655466628E-3</c:v>
                </c:pt>
                <c:pt idx="174">
                  <c:v>2.995272944921665E-3</c:v>
                </c:pt>
                <c:pt idx="175">
                  <c:v>2.9978558830466716E-3</c:v>
                </c:pt>
                <c:pt idx="176">
                  <c:v>2.9987168624216738E-3</c:v>
                </c:pt>
                <c:pt idx="177">
                  <c:v>2.9995778417966764E-3</c:v>
                </c:pt>
                <c:pt idx="178">
                  <c:v>3.0004388211716786E-3</c:v>
                </c:pt>
                <c:pt idx="179">
                  <c:v>3.0012998005466808E-3</c:v>
                </c:pt>
                <c:pt idx="180">
                  <c:v>3.0038827386716874E-3</c:v>
                </c:pt>
                <c:pt idx="181">
                  <c:v>3.0047437180466896E-3</c:v>
                </c:pt>
                <c:pt idx="182">
                  <c:v>3.0056046974216918E-3</c:v>
                </c:pt>
                <c:pt idx="183">
                  <c:v>3.0064656767966945E-3</c:v>
                </c:pt>
                <c:pt idx="184">
                  <c:v>3.0073266561716967E-3</c:v>
                </c:pt>
                <c:pt idx="185">
                  <c:v>3.0099095942967033E-3</c:v>
                </c:pt>
                <c:pt idx="186">
                  <c:v>3.0107705736717055E-3</c:v>
                </c:pt>
                <c:pt idx="187">
                  <c:v>3.0116315530467077E-3</c:v>
                </c:pt>
                <c:pt idx="188">
                  <c:v>3.0124925324217103E-3</c:v>
                </c:pt>
                <c:pt idx="189">
                  <c:v>3.0133535117967125E-3</c:v>
                </c:pt>
                <c:pt idx="190">
                  <c:v>3.0159364499217191E-3</c:v>
                </c:pt>
                <c:pt idx="191">
                  <c:v>3.0167974292967213E-3</c:v>
                </c:pt>
                <c:pt idx="192">
                  <c:v>3.0176584086717235E-3</c:v>
                </c:pt>
                <c:pt idx="193">
                  <c:v>3.0185193880467257E-3</c:v>
                </c:pt>
                <c:pt idx="194">
                  <c:v>3.0193803674217284E-3</c:v>
                </c:pt>
                <c:pt idx="195">
                  <c:v>3.021963305546735E-3</c:v>
                </c:pt>
                <c:pt idx="196">
                  <c:v>3.0228242849217372E-3</c:v>
                </c:pt>
                <c:pt idx="197">
                  <c:v>3.0236852642967394E-3</c:v>
                </c:pt>
                <c:pt idx="198">
                  <c:v>3.0245462436717416E-3</c:v>
                </c:pt>
                <c:pt idx="199">
                  <c:v>3.0254072230467442E-3</c:v>
                </c:pt>
                <c:pt idx="200">
                  <c:v>3.0279901611717508E-3</c:v>
                </c:pt>
                <c:pt idx="201">
                  <c:v>3.028851140546753E-3</c:v>
                </c:pt>
                <c:pt idx="202">
                  <c:v>3.0297121199217552E-3</c:v>
                </c:pt>
                <c:pt idx="203">
                  <c:v>3.0305730992967574E-3</c:v>
                </c:pt>
                <c:pt idx="204">
                  <c:v>3.0314340786717596E-3</c:v>
                </c:pt>
                <c:pt idx="205">
                  <c:v>3.0340170167967666E-3</c:v>
                </c:pt>
                <c:pt idx="206">
                  <c:v>3.0348779961717688E-3</c:v>
                </c:pt>
                <c:pt idx="207">
                  <c:v>3.035738975546771E-3</c:v>
                </c:pt>
                <c:pt idx="208">
                  <c:v>3.0365999549217732E-3</c:v>
                </c:pt>
                <c:pt idx="209">
                  <c:v>3.0374609342967754E-3</c:v>
                </c:pt>
                <c:pt idx="210">
                  <c:v>3.0400438724217825E-3</c:v>
                </c:pt>
                <c:pt idx="211">
                  <c:v>3.0409048517967847E-3</c:v>
                </c:pt>
                <c:pt idx="212">
                  <c:v>3.0417658311717869E-3</c:v>
                </c:pt>
                <c:pt idx="213">
                  <c:v>3.0426268105467891E-3</c:v>
                </c:pt>
                <c:pt idx="214">
                  <c:v>3.0434877899217913E-3</c:v>
                </c:pt>
                <c:pt idx="215">
                  <c:v>3.0460707280467983E-3</c:v>
                </c:pt>
                <c:pt idx="216">
                  <c:v>3.0469317074218005E-3</c:v>
                </c:pt>
                <c:pt idx="217">
                  <c:v>3.0477926867968027E-3</c:v>
                </c:pt>
                <c:pt idx="218">
                  <c:v>3.0486536661718049E-3</c:v>
                </c:pt>
                <c:pt idx="219">
                  <c:v>3.0495146455468071E-3</c:v>
                </c:pt>
                <c:pt idx="220">
                  <c:v>3.0520975836718141E-3</c:v>
                </c:pt>
                <c:pt idx="221">
                  <c:v>3.0529585630468163E-3</c:v>
                </c:pt>
                <c:pt idx="222">
                  <c:v>3.0538195424218186E-3</c:v>
                </c:pt>
                <c:pt idx="223">
                  <c:v>3.0546805217968208E-3</c:v>
                </c:pt>
                <c:pt idx="224">
                  <c:v>3.0589854186718322E-3</c:v>
                </c:pt>
                <c:pt idx="225">
                  <c:v>3.0598463980468344E-3</c:v>
                </c:pt>
                <c:pt idx="226">
                  <c:v>3.0607073774218366E-3</c:v>
                </c:pt>
                <c:pt idx="227">
                  <c:v>3.0615683567968388E-3</c:v>
                </c:pt>
                <c:pt idx="228">
                  <c:v>3.0641512949218458E-3</c:v>
                </c:pt>
                <c:pt idx="229">
                  <c:v>3.065012274296848E-3</c:v>
                </c:pt>
                <c:pt idx="230">
                  <c:v>3.0658732536718502E-3</c:v>
                </c:pt>
                <c:pt idx="231">
                  <c:v>3.0667342330468524E-3</c:v>
                </c:pt>
                <c:pt idx="232">
                  <c:v>3.0675952124218546E-3</c:v>
                </c:pt>
                <c:pt idx="233">
                  <c:v>3.0701781505468612E-3</c:v>
                </c:pt>
                <c:pt idx="234">
                  <c:v>3.0710391299218639E-3</c:v>
                </c:pt>
                <c:pt idx="235">
                  <c:v>3.0719001092968661E-3</c:v>
                </c:pt>
                <c:pt idx="236">
                  <c:v>3.0727610886718683E-3</c:v>
                </c:pt>
                <c:pt idx="237">
                  <c:v>3.0736220680468705E-3</c:v>
                </c:pt>
                <c:pt idx="238">
                  <c:v>3.0762050061718771E-3</c:v>
                </c:pt>
                <c:pt idx="239">
                  <c:v>3.0770659855468797E-3</c:v>
                </c:pt>
                <c:pt idx="240">
                  <c:v>3.0779269649218819E-3</c:v>
                </c:pt>
                <c:pt idx="241">
                  <c:v>3.0787879442968841E-3</c:v>
                </c:pt>
                <c:pt idx="242">
                  <c:v>3.0796489236718863E-3</c:v>
                </c:pt>
                <c:pt idx="243">
                  <c:v>3.0822318617968929E-3</c:v>
                </c:pt>
                <c:pt idx="244">
                  <c:v>3.0830928411718951E-3</c:v>
                </c:pt>
                <c:pt idx="245">
                  <c:v>3.0839538205468977E-3</c:v>
                </c:pt>
                <c:pt idx="246">
                  <c:v>3.0848147999218999E-3</c:v>
                </c:pt>
                <c:pt idx="247">
                  <c:v>3.0856757792969021E-3</c:v>
                </c:pt>
                <c:pt idx="248">
                  <c:v>3.0882587174219087E-3</c:v>
                </c:pt>
                <c:pt idx="249">
                  <c:v>3.0891196967969114E-3</c:v>
                </c:pt>
                <c:pt idx="250">
                  <c:v>3.0899806761719136E-3</c:v>
                </c:pt>
                <c:pt idx="251">
                  <c:v>3.0908416555469158E-3</c:v>
                </c:pt>
                <c:pt idx="252">
                  <c:v>3.091702634921918E-3</c:v>
                </c:pt>
                <c:pt idx="253">
                  <c:v>3.0942855730469246E-3</c:v>
                </c:pt>
                <c:pt idx="254">
                  <c:v>3.0951465524219268E-3</c:v>
                </c:pt>
                <c:pt idx="255">
                  <c:v>3.096007531796929E-3</c:v>
                </c:pt>
                <c:pt idx="256">
                  <c:v>3.0968685111719316E-3</c:v>
                </c:pt>
                <c:pt idx="257">
                  <c:v>3.0977294905469338E-3</c:v>
                </c:pt>
                <c:pt idx="258">
                  <c:v>3.1003124286719404E-3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'12MSynthDepo_allScenario'!$BF$6:$BF$264</c:f>
              <c:numCache>
                <c:formatCode>0.0000%</c:formatCode>
                <c:ptCount val="259"/>
                <c:pt idx="0">
                  <c:v>2.66007068304959E-3</c:v>
                </c:pt>
                <c:pt idx="1">
                  <c:v>2.6626617903146195E-3</c:v>
                </c:pt>
                <c:pt idx="2">
                  <c:v>2.670383078188203E-3</c:v>
                </c:pt>
                <c:pt idx="3">
                  <c:v>2.6729394961722292E-3</c:v>
                </c:pt>
                <c:pt idx="4">
                  <c:v>2.675487241836005E-3</c:v>
                </c:pt>
                <c:pt idx="5">
                  <c:v>2.6780263151795301E-3</c:v>
                </c:pt>
                <c:pt idx="6">
                  <c:v>2.6805567162028043E-3</c:v>
                </c:pt>
                <c:pt idx="7">
                  <c:v>2.6880958853511216E-3</c:v>
                </c:pt>
                <c:pt idx="8">
                  <c:v>2.6905915970933925E-3</c:v>
                </c:pt>
                <c:pt idx="9">
                  <c:v>2.6930786365154131E-3</c:v>
                </c:pt>
                <c:pt idx="10">
                  <c:v>2.6955570036171824E-3</c:v>
                </c:pt>
                <c:pt idx="11">
                  <c:v>2.6980266983987009E-3</c:v>
                </c:pt>
                <c:pt idx="12">
                  <c:v>2.7053837488217529E-3</c:v>
                </c:pt>
                <c:pt idx="13">
                  <c:v>2.7078187543222686E-3</c:v>
                </c:pt>
                <c:pt idx="14">
                  <c:v>2.7102450875025334E-3</c:v>
                </c:pt>
                <c:pt idx="15">
                  <c:v>2.7126627483625475E-3</c:v>
                </c:pt>
                <c:pt idx="16">
                  <c:v>2.7150717369023108E-3</c:v>
                </c:pt>
                <c:pt idx="17">
                  <c:v>2.7222466686000965E-3</c:v>
                </c:pt>
                <c:pt idx="18">
                  <c:v>2.7246209678588569E-3</c:v>
                </c:pt>
                <c:pt idx="19">
                  <c:v>2.7269865947973661E-3</c:v>
                </c:pt>
                <c:pt idx="20">
                  <c:v>2.7293435494156254E-3</c:v>
                </c:pt>
                <c:pt idx="21">
                  <c:v>2.7316918317136334E-3</c:v>
                </c:pt>
                <c:pt idx="22">
                  <c:v>2.7386846446861533E-3</c:v>
                </c:pt>
                <c:pt idx="23">
                  <c:v>2.7409982377031576E-3</c:v>
                </c:pt>
                <c:pt idx="24">
                  <c:v>2.743303158399912E-3</c:v>
                </c:pt>
                <c:pt idx="25">
                  <c:v>2.7455994067764155E-3</c:v>
                </c:pt>
                <c:pt idx="26">
                  <c:v>2.7478869828326687E-3</c:v>
                </c:pt>
                <c:pt idx="27">
                  <c:v>2.754697677079922E-3</c:v>
                </c:pt>
                <c:pt idx="28">
                  <c:v>2.7569505638551715E-3</c:v>
                </c:pt>
                <c:pt idx="29">
                  <c:v>2.7591947783101706E-3</c:v>
                </c:pt>
                <c:pt idx="30">
                  <c:v>2.7614303204449189E-3</c:v>
                </c:pt>
                <c:pt idx="31">
                  <c:v>2.7636571902594164E-3</c:v>
                </c:pt>
                <c:pt idx="32">
                  <c:v>2.7702857657814035E-3</c:v>
                </c:pt>
                <c:pt idx="33">
                  <c:v>2.7724779463148982E-3</c:v>
                </c:pt>
                <c:pt idx="34">
                  <c:v>2.7746614545281416E-3</c:v>
                </c:pt>
                <c:pt idx="35">
                  <c:v>2.7768362904211346E-3</c:v>
                </c:pt>
                <c:pt idx="36">
                  <c:v>2.7790024539938764E-3</c:v>
                </c:pt>
                <c:pt idx="37">
                  <c:v>2.7854489107905982E-3</c:v>
                </c:pt>
                <c:pt idx="38">
                  <c:v>2.7875803850823371E-3</c:v>
                </c:pt>
                <c:pt idx="39">
                  <c:v>2.7897031870538253E-3</c:v>
                </c:pt>
                <c:pt idx="40">
                  <c:v>2.7918173167050626E-3</c:v>
                </c:pt>
                <c:pt idx="41">
                  <c:v>2.7939227740360491E-3</c:v>
                </c:pt>
                <c:pt idx="42">
                  <c:v>2.8001871121075051E-3</c:v>
                </c:pt>
                <c:pt idx="43">
                  <c:v>2.8022578801574888E-3</c:v>
                </c:pt>
                <c:pt idx="44">
                  <c:v>2.8043199758872213E-3</c:v>
                </c:pt>
                <c:pt idx="45">
                  <c:v>2.8063733992967034E-3</c:v>
                </c:pt>
                <c:pt idx="46">
                  <c:v>2.8084181503859351E-3</c:v>
                </c:pt>
                <c:pt idx="47">
                  <c:v>2.8145003697321244E-3</c:v>
                </c:pt>
                <c:pt idx="48">
                  <c:v>2.8165104315403524E-3</c:v>
                </c:pt>
                <c:pt idx="49">
                  <c:v>2.8185118210283301E-3</c:v>
                </c:pt>
                <c:pt idx="50">
                  <c:v>2.8205045381960573E-3</c:v>
                </c:pt>
                <c:pt idx="51">
                  <c:v>2.8224885830435333E-3</c:v>
                </c:pt>
                <c:pt idx="52">
                  <c:v>2.8283886836644565E-3</c:v>
                </c:pt>
                <c:pt idx="53">
                  <c:v>2.8303380392309297E-3</c:v>
                </c:pt>
                <c:pt idx="54">
                  <c:v>2.832278722477152E-3</c:v>
                </c:pt>
                <c:pt idx="55">
                  <c:v>2.8342107334031232E-3</c:v>
                </c:pt>
                <c:pt idx="56">
                  <c:v>2.8361340720088443E-3</c:v>
                </c:pt>
                <c:pt idx="57">
                  <c:v>2.8418520539045013E-3</c:v>
                </c:pt>
                <c:pt idx="58">
                  <c:v>2.8437407032292192E-3</c:v>
                </c:pt>
                <c:pt idx="59">
                  <c:v>2.8456206802336859E-3</c:v>
                </c:pt>
                <c:pt idx="60">
                  <c:v>2.8474919849179022E-3</c:v>
                </c:pt>
                <c:pt idx="61">
                  <c:v>2.8493546172818672E-3</c:v>
                </c:pt>
                <c:pt idx="62">
                  <c:v>2.8548904804522588E-3</c:v>
                </c:pt>
                <c:pt idx="63">
                  <c:v>2.8567184235352215E-3</c:v>
                </c:pt>
                <c:pt idx="64">
                  <c:v>2.8585376942979329E-3</c:v>
                </c:pt>
                <c:pt idx="65">
                  <c:v>2.8603482927403935E-3</c:v>
                </c:pt>
                <c:pt idx="66">
                  <c:v>2.8621502188626033E-3</c:v>
                </c:pt>
                <c:pt idx="67">
                  <c:v>2.8675039633077291E-3</c:v>
                </c:pt>
                <c:pt idx="68">
                  <c:v>2.8692712001489357E-3</c:v>
                </c:pt>
                <c:pt idx="69">
                  <c:v>2.8710297646698918E-3</c:v>
                </c:pt>
                <c:pt idx="70">
                  <c:v>2.8727796568705976E-3</c:v>
                </c:pt>
                <c:pt idx="71">
                  <c:v>2.8745208767510522E-3</c:v>
                </c:pt>
                <c:pt idx="72">
                  <c:v>2.8796925024709118E-3</c:v>
                </c:pt>
                <c:pt idx="73">
                  <c:v>2.8813990330703631E-3</c:v>
                </c:pt>
                <c:pt idx="74">
                  <c:v>2.883096891349564E-3</c:v>
                </c:pt>
                <c:pt idx="75">
                  <c:v>2.8847860773085141E-3</c:v>
                </c:pt>
                <c:pt idx="76">
                  <c:v>2.8864665909472138E-3</c:v>
                </c:pt>
                <c:pt idx="77">
                  <c:v>2.8914560979418067E-3</c:v>
                </c:pt>
                <c:pt idx="78">
                  <c:v>2.8931019222995032E-3</c:v>
                </c:pt>
                <c:pt idx="79">
                  <c:v>2.8947390743369488E-3</c:v>
                </c:pt>
                <c:pt idx="80">
                  <c:v>2.8963675540541437E-3</c:v>
                </c:pt>
                <c:pt idx="81">
                  <c:v>2.8979873614510877E-3</c:v>
                </c:pt>
                <c:pt idx="82">
                  <c:v>2.9027947497204149E-3</c:v>
                </c:pt>
                <c:pt idx="83">
                  <c:v>2.9043798678363561E-3</c:v>
                </c:pt>
                <c:pt idx="84">
                  <c:v>2.905956313632046E-3</c:v>
                </c:pt>
                <c:pt idx="85">
                  <c:v>2.9075240871074856E-3</c:v>
                </c:pt>
                <c:pt idx="86">
                  <c:v>2.9090831882626739E-3</c:v>
                </c:pt>
                <c:pt idx="87">
                  <c:v>2.9137084578067358E-3</c:v>
                </c:pt>
                <c:pt idx="88">
                  <c:v>2.9152328696809213E-3</c:v>
                </c:pt>
                <c:pt idx="89">
                  <c:v>2.9167486092348555E-3</c:v>
                </c:pt>
                <c:pt idx="90">
                  <c:v>2.9182556764685398E-3</c:v>
                </c:pt>
                <c:pt idx="91">
                  <c:v>2.9197540713819733E-3</c:v>
                </c:pt>
                <c:pt idx="92">
                  <c:v>2.924197222200769E-3</c:v>
                </c:pt>
                <c:pt idx="93">
                  <c:v>2.9256609278331992E-3</c:v>
                </c:pt>
                <c:pt idx="94">
                  <c:v>2.9271159611453782E-3</c:v>
                </c:pt>
                <c:pt idx="95">
                  <c:v>2.9285623221373073E-3</c:v>
                </c:pt>
                <c:pt idx="96">
                  <c:v>2.9300000108089851E-3</c:v>
                </c:pt>
                <c:pt idx="97">
                  <c:v>2.9342610429025145E-3</c:v>
                </c:pt>
                <c:pt idx="98">
                  <c:v>2.9356640422931895E-3</c:v>
                </c:pt>
                <c:pt idx="99">
                  <c:v>2.9370583693636137E-3</c:v>
                </c:pt>
                <c:pt idx="100">
                  <c:v>2.938444024113787E-3</c:v>
                </c:pt>
                <c:pt idx="101">
                  <c:v>2.9398210065437096E-3</c:v>
                </c:pt>
                <c:pt idx="102">
                  <c:v>2.9438999199119728E-3</c:v>
                </c:pt>
                <c:pt idx="103">
                  <c:v>2.9452422130608925E-3</c:v>
                </c:pt>
                <c:pt idx="104">
                  <c:v>2.9465758338895615E-3</c:v>
                </c:pt>
                <c:pt idx="105">
                  <c:v>2.9479007823979796E-3</c:v>
                </c:pt>
                <c:pt idx="106">
                  <c:v>2.9492170585861469E-3</c:v>
                </c:pt>
                <c:pt idx="107">
                  <c:v>2.9531138532291443E-3</c:v>
                </c:pt>
                <c:pt idx="108">
                  <c:v>2.9543954401363083E-3</c:v>
                </c:pt>
                <c:pt idx="109">
                  <c:v>2.955668354723222E-3</c:v>
                </c:pt>
                <c:pt idx="110">
                  <c:v>2.9569325969898844E-3</c:v>
                </c:pt>
                <c:pt idx="111">
                  <c:v>2.9581881669362969E-3</c:v>
                </c:pt>
                <c:pt idx="112">
                  <c:v>2.9619028428540281E-3</c:v>
                </c:pt>
                <c:pt idx="113">
                  <c:v>2.9631237235194369E-3</c:v>
                </c:pt>
                <c:pt idx="114">
                  <c:v>2.9643359318645953E-3</c:v>
                </c:pt>
                <c:pt idx="115">
                  <c:v>2.965539467889502E-3</c:v>
                </c:pt>
                <c:pt idx="116">
                  <c:v>2.9667343315941588E-3</c:v>
                </c:pt>
                <c:pt idx="117">
                  <c:v>2.9702668887866242E-3</c:v>
                </c:pt>
                <c:pt idx="118">
                  <c:v>2.9714270632102782E-3</c:v>
                </c:pt>
                <c:pt idx="119">
                  <c:v>2.9725785653136804E-3</c:v>
                </c:pt>
                <c:pt idx="120">
                  <c:v>2.9737213950968328E-3</c:v>
                </c:pt>
                <c:pt idx="121">
                  <c:v>2.9748555525597339E-3</c:v>
                </c:pt>
                <c:pt idx="122">
                  <c:v>2.9782059910269335E-3</c:v>
                </c:pt>
                <c:pt idx="123">
                  <c:v>2.9793054592088314E-3</c:v>
                </c:pt>
                <c:pt idx="124">
                  <c:v>2.9803962550704788E-3</c:v>
                </c:pt>
                <c:pt idx="125">
                  <c:v>2.9814783786118759E-3</c:v>
                </c:pt>
                <c:pt idx="126">
                  <c:v>2.9825518298330217E-3</c:v>
                </c:pt>
                <c:pt idx="127">
                  <c:v>2.9857201495749547E-3</c:v>
                </c:pt>
                <c:pt idx="128">
                  <c:v>2.9867589115150977E-3</c:v>
                </c:pt>
                <c:pt idx="129">
                  <c:v>2.9877890011349899E-3</c:v>
                </c:pt>
                <c:pt idx="130">
                  <c:v>2.9888104184346313E-3</c:v>
                </c:pt>
                <c:pt idx="131">
                  <c:v>2.9898231634140219E-3</c:v>
                </c:pt>
                <c:pt idx="132">
                  <c:v>2.9928093644306891E-3</c:v>
                </c:pt>
                <c:pt idx="133">
                  <c:v>2.9937874201290769E-3</c:v>
                </c:pt>
                <c:pt idx="134">
                  <c:v>2.9947568035072133E-3</c:v>
                </c:pt>
                <c:pt idx="135">
                  <c:v>2.9957175145650999E-3</c:v>
                </c:pt>
                <c:pt idx="136">
                  <c:v>2.9966695533027348E-3</c:v>
                </c:pt>
                <c:pt idx="137">
                  <c:v>2.9994736355941362E-3</c:v>
                </c:pt>
                <c:pt idx="138">
                  <c:v>3.0003909850507683E-3</c:v>
                </c:pt>
                <c:pt idx="139">
                  <c:v>3.0012996621871495E-3</c:v>
                </c:pt>
                <c:pt idx="140">
                  <c:v>3.0021996670032804E-3</c:v>
                </c:pt>
                <c:pt idx="141">
                  <c:v>3.00309099949916E-3</c:v>
                </c:pt>
                <c:pt idx="142">
                  <c:v>3.0057129630652957E-3</c:v>
                </c:pt>
                <c:pt idx="143">
                  <c:v>3.0065696062801725E-3</c:v>
                </c:pt>
                <c:pt idx="144">
                  <c:v>3.0074175771747985E-3</c:v>
                </c:pt>
                <c:pt idx="145">
                  <c:v>3.0082568757491737E-3</c:v>
                </c:pt>
                <c:pt idx="146">
                  <c:v>3.0090875020032984E-3</c:v>
                </c:pt>
                <c:pt idx="147">
                  <c:v>3.0115273468441675E-3</c:v>
                </c:pt>
                <c:pt idx="148">
                  <c:v>3.012323283817289E-3</c:v>
                </c:pt>
                <c:pt idx="149">
                  <c:v>3.0131105484701597E-3</c:v>
                </c:pt>
                <c:pt idx="150">
                  <c:v>3.0138891408027801E-3</c:v>
                </c:pt>
                <c:pt idx="151">
                  <c:v>3.0146590608151492E-3</c:v>
                </c:pt>
                <c:pt idx="152">
                  <c:v>3.0169167869307525E-3</c:v>
                </c:pt>
                <c:pt idx="153">
                  <c:v>3.0176520176621187E-3</c:v>
                </c:pt>
                <c:pt idx="154">
                  <c:v>3.0183785760732342E-3</c:v>
                </c:pt>
                <c:pt idx="155">
                  <c:v>3.0190964621640989E-3</c:v>
                </c:pt>
                <c:pt idx="156">
                  <c:v>3.0198056759347127E-3</c:v>
                </c:pt>
                <c:pt idx="157">
                  <c:v>3.0218812833250498E-3</c:v>
                </c:pt>
                <c:pt idx="158">
                  <c:v>3.0225558078146608E-3</c:v>
                </c:pt>
                <c:pt idx="159">
                  <c:v>3.023221659984021E-3</c:v>
                </c:pt>
                <c:pt idx="160">
                  <c:v>3.0238788398331299E-3</c:v>
                </c:pt>
                <c:pt idx="161">
                  <c:v>3.0264208360270598E-3</c:v>
                </c:pt>
                <c:pt idx="162">
                  <c:v>3.0270346542749156E-3</c:v>
                </c:pt>
                <c:pt idx="163">
                  <c:v>3.0276398002025205E-3</c:v>
                </c:pt>
                <c:pt idx="164">
                  <c:v>3.0282362738098738E-3</c:v>
                </c:pt>
                <c:pt idx="165">
                  <c:v>3.0305354450367826E-3</c:v>
                </c:pt>
                <c:pt idx="166">
                  <c:v>3.0310885570428827E-3</c:v>
                </c:pt>
                <c:pt idx="167">
                  <c:v>3.0316329967287319E-3</c:v>
                </c:pt>
                <c:pt idx="168">
                  <c:v>3.0321687640943308E-3</c:v>
                </c:pt>
                <c:pt idx="169">
                  <c:v>3.0326958591396789E-3</c:v>
                </c:pt>
                <c:pt idx="170">
                  <c:v>3.0342251103542177E-3</c:v>
                </c:pt>
                <c:pt idx="171">
                  <c:v>3.0347175161185625E-3</c:v>
                </c:pt>
                <c:pt idx="172">
                  <c:v>3.0352012495626565E-3</c:v>
                </c:pt>
                <c:pt idx="173">
                  <c:v>3.0356763106865001E-3</c:v>
                </c:pt>
                <c:pt idx="174">
                  <c:v>3.0361426994900925E-3</c:v>
                </c:pt>
                <c:pt idx="175">
                  <c:v>3.0374898319793656E-3</c:v>
                </c:pt>
                <c:pt idx="176">
                  <c:v>3.0379215315019551E-3</c:v>
                </c:pt>
                <c:pt idx="177">
                  <c:v>3.0383445587042939E-3</c:v>
                </c:pt>
                <c:pt idx="178">
                  <c:v>3.0387589135863822E-3</c:v>
                </c:pt>
                <c:pt idx="179">
                  <c:v>3.0391645961482189E-3</c:v>
                </c:pt>
                <c:pt idx="180">
                  <c:v>3.0403296099122262E-3</c:v>
                </c:pt>
                <c:pt idx="181">
                  <c:v>3.0407006031930605E-3</c:v>
                </c:pt>
                <c:pt idx="182">
                  <c:v>3.041062924153644E-3</c:v>
                </c:pt>
                <c:pt idx="183">
                  <c:v>3.0414165727939767E-3</c:v>
                </c:pt>
                <c:pt idx="184">
                  <c:v>3.0417615491140581E-3</c:v>
                </c:pt>
                <c:pt idx="185">
                  <c:v>3.0427444441527996E-3</c:v>
                </c:pt>
                <c:pt idx="186">
                  <c:v>3.0430547311918782E-3</c:v>
                </c:pt>
                <c:pt idx="187">
                  <c:v>3.0433563459107064E-3</c:v>
                </c:pt>
                <c:pt idx="188">
                  <c:v>3.0436492883092838E-3</c:v>
                </c:pt>
                <c:pt idx="189">
                  <c:v>3.04393355838761E-3</c:v>
                </c:pt>
                <c:pt idx="190">
                  <c:v>3.0447343347010853E-3</c:v>
                </c:pt>
                <c:pt idx="191">
                  <c:v>3.0449839154984091E-3</c:v>
                </c:pt>
                <c:pt idx="192">
                  <c:v>3.0452248239754812E-3</c:v>
                </c:pt>
                <c:pt idx="193">
                  <c:v>3.0454570601323033E-3</c:v>
                </c:pt>
                <c:pt idx="194">
                  <c:v>3.0456806239688747E-3</c:v>
                </c:pt>
                <c:pt idx="195">
                  <c:v>3.0462992815570833E-3</c:v>
                </c:pt>
                <c:pt idx="196">
                  <c:v>3.0464881561126523E-3</c:v>
                </c:pt>
                <c:pt idx="197">
                  <c:v>3.0466683583479691E-3</c:v>
                </c:pt>
                <c:pt idx="198">
                  <c:v>3.046839888263036E-3</c:v>
                </c:pt>
                <c:pt idx="199">
                  <c:v>3.0470027458578517E-3</c:v>
                </c:pt>
                <c:pt idx="200">
                  <c:v>3.0474392847207946E-3</c:v>
                </c:pt>
                <c:pt idx="201">
                  <c:v>3.0475674530346074E-3</c:v>
                </c:pt>
                <c:pt idx="202">
                  <c:v>3.0476869490281694E-3</c:v>
                </c:pt>
                <c:pt idx="203">
                  <c:v>3.047797772701481E-3</c:v>
                </c:pt>
                <c:pt idx="204">
                  <c:v>3.0478999240545414E-3</c:v>
                </c:pt>
                <c:pt idx="205">
                  <c:v>3.0481543441922181E-3</c:v>
                </c:pt>
                <c:pt idx="206">
                  <c:v>3.0482218062642757E-3</c:v>
                </c:pt>
                <c:pt idx="207">
                  <c:v>3.0482805960160828E-3</c:v>
                </c:pt>
                <c:pt idx="208">
                  <c:v>3.0483307134476383E-3</c:v>
                </c:pt>
                <c:pt idx="209">
                  <c:v>3.0483721585589435E-3</c:v>
                </c:pt>
                <c:pt idx="210">
                  <c:v>3.0484444599713548E-3</c:v>
                </c:pt>
                <c:pt idx="211">
                  <c:v>3.0484512158016567E-3</c:v>
                </c:pt>
                <c:pt idx="212">
                  <c:v>3.0484492993117082E-3</c:v>
                </c:pt>
                <c:pt idx="213">
                  <c:v>3.0484387105015084E-3</c:v>
                </c:pt>
                <c:pt idx="214">
                  <c:v>3.0484194493710587E-3</c:v>
                </c:pt>
                <c:pt idx="215">
                  <c:v>3.0483096320582039E-3</c:v>
                </c:pt>
                <c:pt idx="216">
                  <c:v>3.04825568164675E-3</c:v>
                </c:pt>
                <c:pt idx="217">
                  <c:v>3.0481930589150463E-3</c:v>
                </c:pt>
                <c:pt idx="218">
                  <c:v>3.0481217638630917E-3</c:v>
                </c:pt>
                <c:pt idx="219">
                  <c:v>3.0480417964908863E-3</c:v>
                </c:pt>
                <c:pt idx="220">
                  <c:v>3.0477498604527652E-3</c:v>
                </c:pt>
                <c:pt idx="221">
                  <c:v>3.0476352037995566E-3</c:v>
                </c:pt>
                <c:pt idx="222">
                  <c:v>3.0475118748260971E-3</c:v>
                </c:pt>
                <c:pt idx="223">
                  <c:v>3.0473798735323873E-3</c:v>
                </c:pt>
                <c:pt idx="224">
                  <c:v>3.0465897822600754E-3</c:v>
                </c:pt>
                <c:pt idx="225">
                  <c:v>3.0464057470448607E-3</c:v>
                </c:pt>
                <c:pt idx="226">
                  <c:v>3.0462130395093956E-3</c:v>
                </c:pt>
                <c:pt idx="227">
                  <c:v>3.0460116596536793E-3</c:v>
                </c:pt>
                <c:pt idx="228">
                  <c:v>3.0453554861650262E-3</c:v>
                </c:pt>
                <c:pt idx="229">
                  <c:v>3.0451194170283071E-3</c:v>
                </c:pt>
                <c:pt idx="230">
                  <c:v>3.0448746755713371E-3</c:v>
                </c:pt>
                <c:pt idx="231">
                  <c:v>3.0446212617941167E-3</c:v>
                </c:pt>
                <c:pt idx="232">
                  <c:v>3.0443591756966447E-3</c:v>
                </c:pt>
                <c:pt idx="233">
                  <c:v>3.0435208834827259E-3</c:v>
                </c:pt>
                <c:pt idx="234">
                  <c:v>3.043224108104251E-3</c:v>
                </c:pt>
                <c:pt idx="235">
                  <c:v>3.0429186604055258E-3</c:v>
                </c:pt>
                <c:pt idx="236">
                  <c:v>3.0426045403865497E-3</c:v>
                </c:pt>
                <c:pt idx="237">
                  <c:v>3.0422817480473228E-3</c:v>
                </c:pt>
                <c:pt idx="238">
                  <c:v>3.0412613371081378E-3</c:v>
                </c:pt>
                <c:pt idx="239">
                  <c:v>3.0409038554879081E-3</c:v>
                </c:pt>
                <c:pt idx="240">
                  <c:v>3.0405377015474272E-3</c:v>
                </c:pt>
                <c:pt idx="241">
                  <c:v>3.0401628752866959E-3</c:v>
                </c:pt>
                <c:pt idx="242">
                  <c:v>3.0397793767057138E-3</c:v>
                </c:pt>
                <c:pt idx="243">
                  <c:v>3.0385768470412621E-3</c:v>
                </c:pt>
                <c:pt idx="244">
                  <c:v>3.0381586591792771E-3</c:v>
                </c:pt>
                <c:pt idx="245">
                  <c:v>3.0377317989970414E-3</c:v>
                </c:pt>
                <c:pt idx="246">
                  <c:v>3.0372962664945544E-3</c:v>
                </c:pt>
                <c:pt idx="247">
                  <c:v>3.036852061671817E-3</c:v>
                </c:pt>
                <c:pt idx="248">
                  <c:v>3.0354674132820995E-3</c:v>
                </c:pt>
                <c:pt idx="249">
                  <c:v>3.0349885191783589E-3</c:v>
                </c:pt>
                <c:pt idx="250">
                  <c:v>3.0345009527543679E-3</c:v>
                </c:pt>
                <c:pt idx="251">
                  <c:v>3.0340047140101261E-3</c:v>
                </c:pt>
                <c:pt idx="252">
                  <c:v>3.033499802945633E-3</c:v>
                </c:pt>
                <c:pt idx="253">
                  <c:v>3.0319330358306498E-3</c:v>
                </c:pt>
                <c:pt idx="254">
                  <c:v>3.0313934354851539E-3</c:v>
                </c:pt>
                <c:pt idx="255">
                  <c:v>3.0308451628194072E-3</c:v>
                </c:pt>
                <c:pt idx="256">
                  <c:v>3.0302882178334096E-3</c:v>
                </c:pt>
                <c:pt idx="257">
                  <c:v>3.0297226005271613E-3</c:v>
                </c:pt>
                <c:pt idx="258">
                  <c:v>3.0279737146869127E-3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'12MSynthDepo_allScenario'!$BG$6:$BG$264</c:f>
              <c:numCache>
                <c:formatCode>0.0000%</c:formatCode>
                <c:ptCount val="259"/>
                <c:pt idx="0">
                  <c:v>2.8696401926826855E-3</c:v>
                </c:pt>
                <c:pt idx="1">
                  <c:v>2.8701022453261529E-3</c:v>
                </c:pt>
                <c:pt idx="2">
                  <c:v>2.8714884032565542E-3</c:v>
                </c:pt>
                <c:pt idx="3">
                  <c:v>2.8719504559000216E-3</c:v>
                </c:pt>
                <c:pt idx="4">
                  <c:v>2.8724125085434885E-3</c:v>
                </c:pt>
                <c:pt idx="5">
                  <c:v>2.8728745611869559E-3</c:v>
                </c:pt>
                <c:pt idx="6">
                  <c:v>2.8733366138304229E-3</c:v>
                </c:pt>
                <c:pt idx="7">
                  <c:v>2.8747227717608246E-3</c:v>
                </c:pt>
                <c:pt idx="8">
                  <c:v>2.8751848244042916E-3</c:v>
                </c:pt>
                <c:pt idx="9">
                  <c:v>2.875646877047759E-3</c:v>
                </c:pt>
                <c:pt idx="10">
                  <c:v>2.876108929691226E-3</c:v>
                </c:pt>
                <c:pt idx="11">
                  <c:v>2.8765709823346934E-3</c:v>
                </c:pt>
                <c:pt idx="12">
                  <c:v>2.8779571402650947E-3</c:v>
                </c:pt>
                <c:pt idx="13">
                  <c:v>2.8784191929085621E-3</c:v>
                </c:pt>
                <c:pt idx="14">
                  <c:v>2.878881245552029E-3</c:v>
                </c:pt>
                <c:pt idx="15">
                  <c:v>2.8793432981954964E-3</c:v>
                </c:pt>
                <c:pt idx="16">
                  <c:v>2.8798053508389634E-3</c:v>
                </c:pt>
                <c:pt idx="17">
                  <c:v>2.8811915087693651E-3</c:v>
                </c:pt>
                <c:pt idx="18">
                  <c:v>2.8816535614128321E-3</c:v>
                </c:pt>
                <c:pt idx="19">
                  <c:v>2.8821156140562995E-3</c:v>
                </c:pt>
                <c:pt idx="20">
                  <c:v>2.8825776666997665E-3</c:v>
                </c:pt>
                <c:pt idx="21">
                  <c:v>2.8830397193432339E-3</c:v>
                </c:pt>
                <c:pt idx="22">
                  <c:v>2.8844258772736352E-3</c:v>
                </c:pt>
                <c:pt idx="23">
                  <c:v>2.8848879299171026E-3</c:v>
                </c:pt>
                <c:pt idx="24">
                  <c:v>2.8853499825605695E-3</c:v>
                </c:pt>
                <c:pt idx="25">
                  <c:v>2.8858120352040369E-3</c:v>
                </c:pt>
                <c:pt idx="26">
                  <c:v>2.8862740878475039E-3</c:v>
                </c:pt>
                <c:pt idx="27">
                  <c:v>2.8876602457779056E-3</c:v>
                </c:pt>
                <c:pt idx="28">
                  <c:v>2.8881222984213726E-3</c:v>
                </c:pt>
                <c:pt idx="29">
                  <c:v>2.88858435106484E-3</c:v>
                </c:pt>
                <c:pt idx="30">
                  <c:v>2.889046403708307E-3</c:v>
                </c:pt>
                <c:pt idx="31">
                  <c:v>2.8895084563517743E-3</c:v>
                </c:pt>
                <c:pt idx="32">
                  <c:v>2.8908946142821761E-3</c:v>
                </c:pt>
                <c:pt idx="33">
                  <c:v>2.8913566669256431E-3</c:v>
                </c:pt>
                <c:pt idx="34">
                  <c:v>2.8918187195691105E-3</c:v>
                </c:pt>
                <c:pt idx="35">
                  <c:v>2.8922807722125774E-3</c:v>
                </c:pt>
                <c:pt idx="36">
                  <c:v>2.8927428248560448E-3</c:v>
                </c:pt>
                <c:pt idx="37">
                  <c:v>2.8941289827864461E-3</c:v>
                </c:pt>
                <c:pt idx="38">
                  <c:v>2.8945910354299135E-3</c:v>
                </c:pt>
                <c:pt idx="39">
                  <c:v>2.8950530880733805E-3</c:v>
                </c:pt>
                <c:pt idx="40">
                  <c:v>2.8955151407168479E-3</c:v>
                </c:pt>
                <c:pt idx="41">
                  <c:v>2.8959771933603148E-3</c:v>
                </c:pt>
                <c:pt idx="42">
                  <c:v>2.8973633512907166E-3</c:v>
                </c:pt>
                <c:pt idx="43">
                  <c:v>2.8978254039341836E-3</c:v>
                </c:pt>
                <c:pt idx="44">
                  <c:v>2.8982874565776509E-3</c:v>
                </c:pt>
                <c:pt idx="45">
                  <c:v>2.8987495092211179E-3</c:v>
                </c:pt>
                <c:pt idx="46">
                  <c:v>2.8992115618645853E-3</c:v>
                </c:pt>
                <c:pt idx="47">
                  <c:v>2.9005977197949866E-3</c:v>
                </c:pt>
                <c:pt idx="48">
                  <c:v>2.901059772438454E-3</c:v>
                </c:pt>
                <c:pt idx="49">
                  <c:v>2.901521825081921E-3</c:v>
                </c:pt>
                <c:pt idx="50">
                  <c:v>2.9019838777253884E-3</c:v>
                </c:pt>
                <c:pt idx="51">
                  <c:v>2.9024459303688553E-3</c:v>
                </c:pt>
                <c:pt idx="52">
                  <c:v>2.9038320882992571E-3</c:v>
                </c:pt>
                <c:pt idx="53">
                  <c:v>2.904294140942724E-3</c:v>
                </c:pt>
                <c:pt idx="54">
                  <c:v>2.9047561935861914E-3</c:v>
                </c:pt>
                <c:pt idx="55">
                  <c:v>2.9052182462296584E-3</c:v>
                </c:pt>
                <c:pt idx="56">
                  <c:v>2.9056802988731258E-3</c:v>
                </c:pt>
                <c:pt idx="57">
                  <c:v>2.9070664568035271E-3</c:v>
                </c:pt>
                <c:pt idx="58">
                  <c:v>2.9075285094469945E-3</c:v>
                </c:pt>
                <c:pt idx="59">
                  <c:v>2.9079905620904615E-3</c:v>
                </c:pt>
                <c:pt idx="60">
                  <c:v>2.9084526147339289E-3</c:v>
                </c:pt>
                <c:pt idx="61">
                  <c:v>2.9089146673773958E-3</c:v>
                </c:pt>
                <c:pt idx="62">
                  <c:v>2.9103008253077976E-3</c:v>
                </c:pt>
                <c:pt idx="63">
                  <c:v>2.9107628779512645E-3</c:v>
                </c:pt>
                <c:pt idx="64">
                  <c:v>2.9112249305947319E-3</c:v>
                </c:pt>
                <c:pt idx="65">
                  <c:v>2.9116869832381993E-3</c:v>
                </c:pt>
                <c:pt idx="66">
                  <c:v>2.9121490358816663E-3</c:v>
                </c:pt>
                <c:pt idx="67">
                  <c:v>2.913535193812068E-3</c:v>
                </c:pt>
                <c:pt idx="68">
                  <c:v>2.913997246455535E-3</c:v>
                </c:pt>
                <c:pt idx="69">
                  <c:v>2.9144592990990024E-3</c:v>
                </c:pt>
                <c:pt idx="70">
                  <c:v>2.9149213517424694E-3</c:v>
                </c:pt>
                <c:pt idx="71">
                  <c:v>2.9153834043859368E-3</c:v>
                </c:pt>
                <c:pt idx="72">
                  <c:v>2.9167695623163381E-3</c:v>
                </c:pt>
                <c:pt idx="73">
                  <c:v>2.9172316149598055E-3</c:v>
                </c:pt>
                <c:pt idx="74">
                  <c:v>2.9176936676032724E-3</c:v>
                </c:pt>
                <c:pt idx="75">
                  <c:v>2.9181557202467398E-3</c:v>
                </c:pt>
                <c:pt idx="76">
                  <c:v>2.9186177728902068E-3</c:v>
                </c:pt>
                <c:pt idx="77">
                  <c:v>2.9200039308206085E-3</c:v>
                </c:pt>
                <c:pt idx="78">
                  <c:v>2.9204659834640755E-3</c:v>
                </c:pt>
                <c:pt idx="79">
                  <c:v>2.9209280361075429E-3</c:v>
                </c:pt>
                <c:pt idx="80">
                  <c:v>2.9213900887510099E-3</c:v>
                </c:pt>
                <c:pt idx="81">
                  <c:v>2.9218521413944772E-3</c:v>
                </c:pt>
                <c:pt idx="82">
                  <c:v>2.9232382993248786E-3</c:v>
                </c:pt>
                <c:pt idx="83">
                  <c:v>2.923700351968346E-3</c:v>
                </c:pt>
                <c:pt idx="84">
                  <c:v>2.9241624046118129E-3</c:v>
                </c:pt>
                <c:pt idx="85">
                  <c:v>2.9246244572552803E-3</c:v>
                </c:pt>
                <c:pt idx="86">
                  <c:v>2.9250865098987473E-3</c:v>
                </c:pt>
                <c:pt idx="87">
                  <c:v>2.926472667829149E-3</c:v>
                </c:pt>
                <c:pt idx="88">
                  <c:v>2.926934720472616E-3</c:v>
                </c:pt>
                <c:pt idx="89">
                  <c:v>2.9273967731160834E-3</c:v>
                </c:pt>
                <c:pt idx="90">
                  <c:v>2.9278588257595503E-3</c:v>
                </c:pt>
                <c:pt idx="91">
                  <c:v>2.9283208784030177E-3</c:v>
                </c:pt>
                <c:pt idx="92">
                  <c:v>2.9297070363334191E-3</c:v>
                </c:pt>
                <c:pt idx="93">
                  <c:v>2.9301690889768865E-3</c:v>
                </c:pt>
                <c:pt idx="94">
                  <c:v>2.9306311416203534E-3</c:v>
                </c:pt>
                <c:pt idx="95">
                  <c:v>2.9310931942638208E-3</c:v>
                </c:pt>
                <c:pt idx="96">
                  <c:v>2.9315552469072878E-3</c:v>
                </c:pt>
                <c:pt idx="97">
                  <c:v>2.9329414048376895E-3</c:v>
                </c:pt>
                <c:pt idx="98">
                  <c:v>2.9334034574811569E-3</c:v>
                </c:pt>
                <c:pt idx="99">
                  <c:v>2.9338655101246239E-3</c:v>
                </c:pt>
                <c:pt idx="100">
                  <c:v>2.9343275627680913E-3</c:v>
                </c:pt>
                <c:pt idx="101">
                  <c:v>2.9347896154115582E-3</c:v>
                </c:pt>
                <c:pt idx="102">
                  <c:v>2.93617577334196E-3</c:v>
                </c:pt>
                <c:pt idx="103">
                  <c:v>2.9366378259854269E-3</c:v>
                </c:pt>
                <c:pt idx="104">
                  <c:v>2.9370998786288943E-3</c:v>
                </c:pt>
                <c:pt idx="105">
                  <c:v>2.9375619312723613E-3</c:v>
                </c:pt>
                <c:pt idx="106">
                  <c:v>2.9380239839158287E-3</c:v>
                </c:pt>
                <c:pt idx="107">
                  <c:v>2.93941014184623E-3</c:v>
                </c:pt>
                <c:pt idx="108">
                  <c:v>2.9398721944896974E-3</c:v>
                </c:pt>
                <c:pt idx="109">
                  <c:v>2.9403342471331644E-3</c:v>
                </c:pt>
                <c:pt idx="110">
                  <c:v>2.9407962997766318E-3</c:v>
                </c:pt>
                <c:pt idx="111">
                  <c:v>2.9412583524200987E-3</c:v>
                </c:pt>
                <c:pt idx="112">
                  <c:v>2.9426445103505005E-3</c:v>
                </c:pt>
                <c:pt idx="113">
                  <c:v>2.9431065629939674E-3</c:v>
                </c:pt>
                <c:pt idx="114">
                  <c:v>2.9435686156374348E-3</c:v>
                </c:pt>
                <c:pt idx="115">
                  <c:v>2.9440306682809018E-3</c:v>
                </c:pt>
                <c:pt idx="116">
                  <c:v>2.9444927209243692E-3</c:v>
                </c:pt>
                <c:pt idx="117">
                  <c:v>2.9458788788547705E-3</c:v>
                </c:pt>
                <c:pt idx="118">
                  <c:v>2.9463409314982379E-3</c:v>
                </c:pt>
                <c:pt idx="119">
                  <c:v>2.9468029841417049E-3</c:v>
                </c:pt>
                <c:pt idx="120">
                  <c:v>2.9472650367851723E-3</c:v>
                </c:pt>
                <c:pt idx="121">
                  <c:v>2.9477270894286392E-3</c:v>
                </c:pt>
                <c:pt idx="122">
                  <c:v>2.949113247359041E-3</c:v>
                </c:pt>
                <c:pt idx="123">
                  <c:v>2.9495753000025079E-3</c:v>
                </c:pt>
                <c:pt idx="124">
                  <c:v>2.9500373526459753E-3</c:v>
                </c:pt>
                <c:pt idx="125">
                  <c:v>2.9504994052894423E-3</c:v>
                </c:pt>
                <c:pt idx="126">
                  <c:v>2.9509614579329097E-3</c:v>
                </c:pt>
                <c:pt idx="127">
                  <c:v>2.952347615863311E-3</c:v>
                </c:pt>
                <c:pt idx="128">
                  <c:v>2.9528096685067784E-3</c:v>
                </c:pt>
                <c:pt idx="129">
                  <c:v>2.9532717211502458E-3</c:v>
                </c:pt>
                <c:pt idx="130">
                  <c:v>2.9537337737937128E-3</c:v>
                </c:pt>
                <c:pt idx="131">
                  <c:v>2.9541958264371801E-3</c:v>
                </c:pt>
                <c:pt idx="132">
                  <c:v>2.9555819843675815E-3</c:v>
                </c:pt>
                <c:pt idx="133">
                  <c:v>2.9560440370110489E-3</c:v>
                </c:pt>
                <c:pt idx="134">
                  <c:v>2.9565060896545158E-3</c:v>
                </c:pt>
                <c:pt idx="135">
                  <c:v>2.9569681422979832E-3</c:v>
                </c:pt>
                <c:pt idx="136">
                  <c:v>2.9574301949414502E-3</c:v>
                </c:pt>
                <c:pt idx="137">
                  <c:v>2.9588163528718519E-3</c:v>
                </c:pt>
                <c:pt idx="138">
                  <c:v>2.9592784055153189E-3</c:v>
                </c:pt>
                <c:pt idx="139">
                  <c:v>2.9597404581587863E-3</c:v>
                </c:pt>
                <c:pt idx="140">
                  <c:v>2.9602025108022532E-3</c:v>
                </c:pt>
                <c:pt idx="141">
                  <c:v>2.9606645634457206E-3</c:v>
                </c:pt>
                <c:pt idx="142">
                  <c:v>2.962050721376122E-3</c:v>
                </c:pt>
                <c:pt idx="143">
                  <c:v>2.9625127740195894E-3</c:v>
                </c:pt>
                <c:pt idx="144">
                  <c:v>2.9629748266630563E-3</c:v>
                </c:pt>
                <c:pt idx="145">
                  <c:v>2.9634368793065237E-3</c:v>
                </c:pt>
                <c:pt idx="146">
                  <c:v>2.9638989319499907E-3</c:v>
                </c:pt>
                <c:pt idx="147">
                  <c:v>2.9652850898803924E-3</c:v>
                </c:pt>
                <c:pt idx="148">
                  <c:v>2.9657471425238594E-3</c:v>
                </c:pt>
                <c:pt idx="149">
                  <c:v>2.9662091951673268E-3</c:v>
                </c:pt>
                <c:pt idx="150">
                  <c:v>2.9666712478107937E-3</c:v>
                </c:pt>
                <c:pt idx="151">
                  <c:v>2.9671333004542611E-3</c:v>
                </c:pt>
                <c:pt idx="152">
                  <c:v>2.9685194583846625E-3</c:v>
                </c:pt>
                <c:pt idx="153">
                  <c:v>2.9689815110281298E-3</c:v>
                </c:pt>
                <c:pt idx="154">
                  <c:v>2.9694435636715968E-3</c:v>
                </c:pt>
                <c:pt idx="155">
                  <c:v>2.9699056163150642E-3</c:v>
                </c:pt>
                <c:pt idx="156">
                  <c:v>2.9703676689585312E-3</c:v>
                </c:pt>
                <c:pt idx="157">
                  <c:v>2.9717538268889329E-3</c:v>
                </c:pt>
                <c:pt idx="158">
                  <c:v>2.9722158795323999E-3</c:v>
                </c:pt>
                <c:pt idx="159">
                  <c:v>2.9726779321758673E-3</c:v>
                </c:pt>
                <c:pt idx="160">
                  <c:v>2.9731399848193342E-3</c:v>
                </c:pt>
                <c:pt idx="161">
                  <c:v>2.9749881953932034E-3</c:v>
                </c:pt>
                <c:pt idx="162">
                  <c:v>2.9754502480366703E-3</c:v>
                </c:pt>
                <c:pt idx="163">
                  <c:v>2.9759123006801377E-3</c:v>
                </c:pt>
                <c:pt idx="164">
                  <c:v>2.9763743533236047E-3</c:v>
                </c:pt>
                <c:pt idx="165">
                  <c:v>2.9782225638974734E-3</c:v>
                </c:pt>
                <c:pt idx="166">
                  <c:v>2.9786846165409408E-3</c:v>
                </c:pt>
                <c:pt idx="167">
                  <c:v>2.9791466691844078E-3</c:v>
                </c:pt>
                <c:pt idx="168">
                  <c:v>2.9796087218278752E-3</c:v>
                </c:pt>
                <c:pt idx="169">
                  <c:v>2.9800707744713421E-3</c:v>
                </c:pt>
                <c:pt idx="170">
                  <c:v>2.9814569324017439E-3</c:v>
                </c:pt>
                <c:pt idx="171">
                  <c:v>2.9819189850452108E-3</c:v>
                </c:pt>
                <c:pt idx="172">
                  <c:v>2.9823810376886782E-3</c:v>
                </c:pt>
                <c:pt idx="173">
                  <c:v>2.9828430903321452E-3</c:v>
                </c:pt>
                <c:pt idx="174">
                  <c:v>2.9833051429756126E-3</c:v>
                </c:pt>
                <c:pt idx="175">
                  <c:v>2.9846913009060139E-3</c:v>
                </c:pt>
                <c:pt idx="176">
                  <c:v>2.9851533535494813E-3</c:v>
                </c:pt>
                <c:pt idx="177">
                  <c:v>2.9856154061929483E-3</c:v>
                </c:pt>
                <c:pt idx="178">
                  <c:v>2.9860774588364157E-3</c:v>
                </c:pt>
                <c:pt idx="179">
                  <c:v>2.9865395114798826E-3</c:v>
                </c:pt>
                <c:pt idx="180">
                  <c:v>2.9879256694102844E-3</c:v>
                </c:pt>
                <c:pt idx="181">
                  <c:v>2.9883877220537513E-3</c:v>
                </c:pt>
                <c:pt idx="182">
                  <c:v>2.9888497746972187E-3</c:v>
                </c:pt>
                <c:pt idx="183">
                  <c:v>2.9893118273406857E-3</c:v>
                </c:pt>
                <c:pt idx="184">
                  <c:v>2.9897738799841531E-3</c:v>
                </c:pt>
                <c:pt idx="185">
                  <c:v>2.9911600379145544E-3</c:v>
                </c:pt>
                <c:pt idx="186">
                  <c:v>2.9916220905580218E-3</c:v>
                </c:pt>
                <c:pt idx="187">
                  <c:v>2.9920841432014888E-3</c:v>
                </c:pt>
                <c:pt idx="188">
                  <c:v>2.9925461958449561E-3</c:v>
                </c:pt>
                <c:pt idx="189">
                  <c:v>2.9930082484884235E-3</c:v>
                </c:pt>
                <c:pt idx="190">
                  <c:v>2.9943944064188249E-3</c:v>
                </c:pt>
                <c:pt idx="191">
                  <c:v>2.9948564590622923E-3</c:v>
                </c:pt>
                <c:pt idx="192">
                  <c:v>2.9953185117057592E-3</c:v>
                </c:pt>
                <c:pt idx="193">
                  <c:v>2.9957805643492262E-3</c:v>
                </c:pt>
                <c:pt idx="194">
                  <c:v>2.9962426169926936E-3</c:v>
                </c:pt>
                <c:pt idx="195">
                  <c:v>2.9976287749230953E-3</c:v>
                </c:pt>
                <c:pt idx="196">
                  <c:v>2.9980908275665623E-3</c:v>
                </c:pt>
                <c:pt idx="197">
                  <c:v>2.9985528802100297E-3</c:v>
                </c:pt>
                <c:pt idx="198">
                  <c:v>2.9990149328534966E-3</c:v>
                </c:pt>
                <c:pt idx="199">
                  <c:v>2.999476985496964E-3</c:v>
                </c:pt>
                <c:pt idx="200">
                  <c:v>3.0008631434273654E-3</c:v>
                </c:pt>
                <c:pt idx="201">
                  <c:v>3.0013251960708327E-3</c:v>
                </c:pt>
                <c:pt idx="202">
                  <c:v>3.0017872487142997E-3</c:v>
                </c:pt>
                <c:pt idx="203">
                  <c:v>3.0022493013577671E-3</c:v>
                </c:pt>
                <c:pt idx="204">
                  <c:v>3.0027113540012341E-3</c:v>
                </c:pt>
                <c:pt idx="205">
                  <c:v>3.0040975119316358E-3</c:v>
                </c:pt>
                <c:pt idx="206">
                  <c:v>3.0045595645751028E-3</c:v>
                </c:pt>
                <c:pt idx="207">
                  <c:v>3.0050216172185702E-3</c:v>
                </c:pt>
                <c:pt idx="208">
                  <c:v>3.0054836698620371E-3</c:v>
                </c:pt>
                <c:pt idx="209">
                  <c:v>3.0059457225055045E-3</c:v>
                </c:pt>
                <c:pt idx="210">
                  <c:v>3.0073318804359058E-3</c:v>
                </c:pt>
                <c:pt idx="211">
                  <c:v>3.0077939330793732E-3</c:v>
                </c:pt>
                <c:pt idx="212">
                  <c:v>3.0082559857228402E-3</c:v>
                </c:pt>
                <c:pt idx="213">
                  <c:v>3.0087180383663076E-3</c:v>
                </c:pt>
                <c:pt idx="214">
                  <c:v>3.0091800910097746E-3</c:v>
                </c:pt>
                <c:pt idx="215">
                  <c:v>3.0105662489401763E-3</c:v>
                </c:pt>
                <c:pt idx="216">
                  <c:v>3.0110283015836433E-3</c:v>
                </c:pt>
                <c:pt idx="217">
                  <c:v>3.0114903542271107E-3</c:v>
                </c:pt>
                <c:pt idx="218">
                  <c:v>3.0119524068705776E-3</c:v>
                </c:pt>
                <c:pt idx="219">
                  <c:v>3.012414459514045E-3</c:v>
                </c:pt>
                <c:pt idx="220">
                  <c:v>3.0138006174444468E-3</c:v>
                </c:pt>
                <c:pt idx="221">
                  <c:v>3.0142626700879137E-3</c:v>
                </c:pt>
                <c:pt idx="222">
                  <c:v>3.0147247227313807E-3</c:v>
                </c:pt>
                <c:pt idx="223">
                  <c:v>3.0151867753748481E-3</c:v>
                </c:pt>
                <c:pt idx="224">
                  <c:v>3.0174970385921842E-3</c:v>
                </c:pt>
                <c:pt idx="225">
                  <c:v>3.0179590912356512E-3</c:v>
                </c:pt>
                <c:pt idx="226">
                  <c:v>3.0184211438791186E-3</c:v>
                </c:pt>
                <c:pt idx="227">
                  <c:v>3.0188831965225855E-3</c:v>
                </c:pt>
                <c:pt idx="228">
                  <c:v>3.0202693544529873E-3</c:v>
                </c:pt>
                <c:pt idx="229">
                  <c:v>3.0207314070964542E-3</c:v>
                </c:pt>
                <c:pt idx="230">
                  <c:v>3.0211934597399216E-3</c:v>
                </c:pt>
                <c:pt idx="231">
                  <c:v>3.0216555123833886E-3</c:v>
                </c:pt>
                <c:pt idx="232">
                  <c:v>3.022117565026856E-3</c:v>
                </c:pt>
                <c:pt idx="233">
                  <c:v>3.0235037229572573E-3</c:v>
                </c:pt>
                <c:pt idx="234">
                  <c:v>3.0239657756007247E-3</c:v>
                </c:pt>
                <c:pt idx="235">
                  <c:v>3.0244278282441917E-3</c:v>
                </c:pt>
                <c:pt idx="236">
                  <c:v>3.024889880887659E-3</c:v>
                </c:pt>
                <c:pt idx="237">
                  <c:v>3.025351933531126E-3</c:v>
                </c:pt>
                <c:pt idx="238">
                  <c:v>3.0267380914615278E-3</c:v>
                </c:pt>
                <c:pt idx="239">
                  <c:v>3.0272001441049947E-3</c:v>
                </c:pt>
                <c:pt idx="240">
                  <c:v>3.0276621967484621E-3</c:v>
                </c:pt>
                <c:pt idx="241">
                  <c:v>3.0281242493919291E-3</c:v>
                </c:pt>
                <c:pt idx="242">
                  <c:v>3.0285863020353965E-3</c:v>
                </c:pt>
                <c:pt idx="243">
                  <c:v>3.0299724599657978E-3</c:v>
                </c:pt>
                <c:pt idx="244">
                  <c:v>3.0304345126092652E-3</c:v>
                </c:pt>
                <c:pt idx="245">
                  <c:v>3.0308965652527321E-3</c:v>
                </c:pt>
                <c:pt idx="246">
                  <c:v>3.0313586178961995E-3</c:v>
                </c:pt>
                <c:pt idx="247">
                  <c:v>3.0318206705396665E-3</c:v>
                </c:pt>
                <c:pt idx="248">
                  <c:v>3.0332068284700683E-3</c:v>
                </c:pt>
                <c:pt idx="249">
                  <c:v>3.0336688811135352E-3</c:v>
                </c:pt>
                <c:pt idx="250">
                  <c:v>3.0341309337570026E-3</c:v>
                </c:pt>
                <c:pt idx="251">
                  <c:v>3.03459298640047E-3</c:v>
                </c:pt>
                <c:pt idx="252">
                  <c:v>3.035055039043937E-3</c:v>
                </c:pt>
                <c:pt idx="253">
                  <c:v>3.0364411969743387E-3</c:v>
                </c:pt>
                <c:pt idx="254">
                  <c:v>3.0369032496178057E-3</c:v>
                </c:pt>
                <c:pt idx="255">
                  <c:v>3.0373653022612726E-3</c:v>
                </c:pt>
                <c:pt idx="256">
                  <c:v>3.03782735490474E-3</c:v>
                </c:pt>
                <c:pt idx="257">
                  <c:v>3.0382894075482074E-3</c:v>
                </c:pt>
                <c:pt idx="258">
                  <c:v>3.0396755654786087E-3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'12MSynthDepo_allScenario'!$BH$6:$BH$264</c:f>
              <c:numCache>
                <c:formatCode>0.0000%</c:formatCode>
                <c:ptCount val="259"/>
                <c:pt idx="0">
                  <c:v>2.9120524374492036E-3</c:v>
                </c:pt>
                <c:pt idx="1">
                  <c:v>2.9120836164131499E-3</c:v>
                </c:pt>
                <c:pt idx="2">
                  <c:v>2.912187683822615E-3</c:v>
                </c:pt>
                <c:pt idx="3">
                  <c:v>2.9122258831316451E-3</c:v>
                </c:pt>
                <c:pt idx="4">
                  <c:v>2.9122658375269461E-3</c:v>
                </c:pt>
                <c:pt idx="5">
                  <c:v>2.9123075470085182E-3</c:v>
                </c:pt>
                <c:pt idx="6">
                  <c:v>2.9123510115763615E-3</c:v>
                </c:pt>
                <c:pt idx="7">
                  <c:v>2.9124919357975164E-3</c:v>
                </c:pt>
                <c:pt idx="8">
                  <c:v>2.9125424207104432E-3</c:v>
                </c:pt>
                <c:pt idx="9">
                  <c:v>2.9125946607096412E-3</c:v>
                </c:pt>
                <c:pt idx="10">
                  <c:v>2.9126486557951099E-3</c:v>
                </c:pt>
                <c:pt idx="11">
                  <c:v>2.9127044059668499E-3</c:v>
                </c:pt>
                <c:pt idx="12">
                  <c:v>2.9128821869996951E-3</c:v>
                </c:pt>
                <c:pt idx="13">
                  <c:v>2.9129449575165185E-3</c:v>
                </c:pt>
                <c:pt idx="14">
                  <c:v>2.9130094831196131E-3</c:v>
                </c:pt>
                <c:pt idx="15">
                  <c:v>2.913075763808979E-3</c:v>
                </c:pt>
                <c:pt idx="16">
                  <c:v>2.9131437995846155E-3</c:v>
                </c:pt>
                <c:pt idx="17">
                  <c:v>2.9133584374291511E-3</c:v>
                </c:pt>
                <c:pt idx="18">
                  <c:v>2.9134334935498715E-3</c:v>
                </c:pt>
                <c:pt idx="19">
                  <c:v>2.9135103047568628E-3</c:v>
                </c:pt>
                <c:pt idx="20">
                  <c:v>2.9135888710501252E-3</c:v>
                </c:pt>
                <c:pt idx="21">
                  <c:v>2.9136691924296584E-3</c:v>
                </c:pt>
                <c:pt idx="22">
                  <c:v>2.9139206870858838E-3</c:v>
                </c:pt>
                <c:pt idx="23">
                  <c:v>2.9140080288105009E-3</c:v>
                </c:pt>
                <c:pt idx="24">
                  <c:v>2.9140971256213892E-3</c:v>
                </c:pt>
                <c:pt idx="25">
                  <c:v>2.9141879775185483E-3</c:v>
                </c:pt>
                <c:pt idx="26">
                  <c:v>2.9142805845019781E-3</c:v>
                </c:pt>
                <c:pt idx="27">
                  <c:v>2.9145689359698938E-3</c:v>
                </c:pt>
                <c:pt idx="28">
                  <c:v>2.9146685632984075E-3</c:v>
                </c:pt>
                <c:pt idx="29">
                  <c:v>2.9147699457131924E-3</c:v>
                </c:pt>
                <c:pt idx="30">
                  <c:v>2.9148730832142481E-3</c:v>
                </c:pt>
                <c:pt idx="31">
                  <c:v>2.914977975801575E-3</c:v>
                </c:pt>
                <c:pt idx="32">
                  <c:v>2.9153031840811806E-3</c:v>
                </c:pt>
                <c:pt idx="33">
                  <c:v>2.9154150970135914E-3</c:v>
                </c:pt>
                <c:pt idx="34">
                  <c:v>2.9155287650322725E-3</c:v>
                </c:pt>
                <c:pt idx="35">
                  <c:v>2.9156441881372252E-3</c:v>
                </c:pt>
                <c:pt idx="36">
                  <c:v>2.9157613663284487E-3</c:v>
                </c:pt>
                <c:pt idx="37">
                  <c:v>2.9161234314197446E-3</c:v>
                </c:pt>
                <c:pt idx="38">
                  <c:v>2.916247629956052E-3</c:v>
                </c:pt>
                <c:pt idx="39">
                  <c:v>2.9163735835786302E-3</c:v>
                </c:pt>
                <c:pt idx="40">
                  <c:v>2.9165012922874791E-3</c:v>
                </c:pt>
                <c:pt idx="41">
                  <c:v>2.9166307560825992E-3</c:v>
                </c:pt>
                <c:pt idx="42">
                  <c:v>2.9170296779855854E-3</c:v>
                </c:pt>
                <c:pt idx="43">
                  <c:v>2.9171661621257895E-3</c:v>
                </c:pt>
                <c:pt idx="44">
                  <c:v>2.9173044013522647E-3</c:v>
                </c:pt>
                <c:pt idx="45">
                  <c:v>2.9174443956650107E-3</c:v>
                </c:pt>
                <c:pt idx="46">
                  <c:v>2.9175861450640274E-3</c:v>
                </c:pt>
                <c:pt idx="47">
                  <c:v>2.9180219237787039E-3</c:v>
                </c:pt>
                <c:pt idx="48">
                  <c:v>2.9181706935228046E-3</c:v>
                </c:pt>
                <c:pt idx="49">
                  <c:v>2.918321218353176E-3</c:v>
                </c:pt>
                <c:pt idx="50">
                  <c:v>2.9184734982698186E-3</c:v>
                </c:pt>
                <c:pt idx="51">
                  <c:v>2.9186275332727329E-3</c:v>
                </c:pt>
                <c:pt idx="52">
                  <c:v>2.9191001687990993E-3</c:v>
                </c:pt>
                <c:pt idx="53">
                  <c:v>2.919261224147097E-3</c:v>
                </c:pt>
                <c:pt idx="54">
                  <c:v>2.919424034581365E-3</c:v>
                </c:pt>
                <c:pt idx="55">
                  <c:v>2.9195886001019047E-3</c:v>
                </c:pt>
                <c:pt idx="56">
                  <c:v>2.9197549207087147E-3</c:v>
                </c:pt>
                <c:pt idx="57">
                  <c:v>2.9202644130467714E-3</c:v>
                </c:pt>
                <c:pt idx="58">
                  <c:v>2.9204377539986657E-3</c:v>
                </c:pt>
                <c:pt idx="59">
                  <c:v>2.9206128500368308E-3</c:v>
                </c:pt>
                <c:pt idx="60">
                  <c:v>2.9207897011612671E-3</c:v>
                </c:pt>
                <c:pt idx="61">
                  <c:v>2.9209683073719741E-3</c:v>
                </c:pt>
                <c:pt idx="62">
                  <c:v>2.9215146565217207E-3</c:v>
                </c:pt>
                <c:pt idx="63">
                  <c:v>2.9217002830775117E-3</c:v>
                </c:pt>
                <c:pt idx="64">
                  <c:v>2.9218876647195738E-3</c:v>
                </c:pt>
                <c:pt idx="65">
                  <c:v>2.9220768014479063E-3</c:v>
                </c:pt>
                <c:pt idx="66">
                  <c:v>2.92226769326251E-3</c:v>
                </c:pt>
                <c:pt idx="67">
                  <c:v>2.9228508992239473E-3</c:v>
                </c:pt>
                <c:pt idx="68">
                  <c:v>2.9230488113836349E-3</c:v>
                </c:pt>
                <c:pt idx="69">
                  <c:v>2.9232484786295932E-3</c:v>
                </c:pt>
                <c:pt idx="70">
                  <c:v>2.9234499009618228E-3</c:v>
                </c:pt>
                <c:pt idx="71">
                  <c:v>2.9236530783803235E-3</c:v>
                </c:pt>
                <c:pt idx="72">
                  <c:v>2.9242731411534507E-3</c:v>
                </c:pt>
                <c:pt idx="73">
                  <c:v>2.9244833389170349E-3</c:v>
                </c:pt>
                <c:pt idx="74">
                  <c:v>2.9246952917668903E-3</c:v>
                </c:pt>
                <c:pt idx="75">
                  <c:v>2.9249089997030165E-3</c:v>
                </c:pt>
                <c:pt idx="76">
                  <c:v>2.9251244627254138E-3</c:v>
                </c:pt>
                <c:pt idx="77">
                  <c:v>2.9257813823102313E-3</c:v>
                </c:pt>
                <c:pt idx="78">
                  <c:v>2.9260038656777122E-3</c:v>
                </c:pt>
                <c:pt idx="79">
                  <c:v>2.9262281041314642E-3</c:v>
                </c:pt>
                <c:pt idx="80">
                  <c:v>2.9264540976714874E-3</c:v>
                </c:pt>
                <c:pt idx="81">
                  <c:v>2.9266818462977814E-3</c:v>
                </c:pt>
                <c:pt idx="82">
                  <c:v>2.9273756226942888E-3</c:v>
                </c:pt>
                <c:pt idx="83">
                  <c:v>2.9276103916656667E-3</c:v>
                </c:pt>
                <c:pt idx="84">
                  <c:v>2.9278469157233158E-3</c:v>
                </c:pt>
                <c:pt idx="85">
                  <c:v>2.9280851948672356E-3</c:v>
                </c:pt>
                <c:pt idx="86">
                  <c:v>2.9283252290974262E-3</c:v>
                </c:pt>
                <c:pt idx="87">
                  <c:v>2.9290558623056239E-3</c:v>
                </c:pt>
                <c:pt idx="88">
                  <c:v>2.9293029168808984E-3</c:v>
                </c:pt>
                <c:pt idx="89">
                  <c:v>2.9295517265424437E-3</c:v>
                </c:pt>
                <c:pt idx="90">
                  <c:v>2.9298022912902602E-3</c:v>
                </c:pt>
                <c:pt idx="91">
                  <c:v>2.9300546111243478E-3</c:v>
                </c:pt>
                <c:pt idx="92">
                  <c:v>2.9308221011442354E-3</c:v>
                </c:pt>
                <c:pt idx="93">
                  <c:v>2.9310814413234069E-3</c:v>
                </c:pt>
                <c:pt idx="94">
                  <c:v>2.9313425365888489E-3</c:v>
                </c:pt>
                <c:pt idx="95">
                  <c:v>2.9316053869405619E-3</c:v>
                </c:pt>
                <c:pt idx="96">
                  <c:v>2.9318699923785462E-3</c:v>
                </c:pt>
                <c:pt idx="97">
                  <c:v>2.9326743392101245E-3</c:v>
                </c:pt>
                <c:pt idx="98">
                  <c:v>2.9329459649931923E-3</c:v>
                </c:pt>
                <c:pt idx="99">
                  <c:v>2.9332193458625313E-3</c:v>
                </c:pt>
                <c:pt idx="100">
                  <c:v>2.933494481818141E-3</c:v>
                </c:pt>
                <c:pt idx="101">
                  <c:v>2.9337713728600219E-3</c:v>
                </c:pt>
                <c:pt idx="102">
                  <c:v>2.9346125765032901E-3</c:v>
                </c:pt>
                <c:pt idx="103">
                  <c:v>2.9348964878902549E-3</c:v>
                </c:pt>
                <c:pt idx="104">
                  <c:v>2.9351821543634905E-3</c:v>
                </c:pt>
                <c:pt idx="105">
                  <c:v>2.9354695759229972E-3</c:v>
                </c:pt>
                <c:pt idx="106">
                  <c:v>2.9357587525687748E-3</c:v>
                </c:pt>
                <c:pt idx="107">
                  <c:v>2.9366368130237333E-3</c:v>
                </c:pt>
                <c:pt idx="108">
                  <c:v>2.9369330100145947E-3</c:v>
                </c:pt>
                <c:pt idx="109">
                  <c:v>2.9372309620917269E-3</c:v>
                </c:pt>
                <c:pt idx="110">
                  <c:v>2.9375306692551303E-3</c:v>
                </c:pt>
                <c:pt idx="111">
                  <c:v>2.9378321315048045E-3</c:v>
                </c:pt>
                <c:pt idx="112">
                  <c:v>2.9387470487714533E-3</c:v>
                </c:pt>
                <c:pt idx="113">
                  <c:v>2.9390555313662113E-3</c:v>
                </c:pt>
                <c:pt idx="114">
                  <c:v>2.9393657690472402E-3</c:v>
                </c:pt>
                <c:pt idx="115">
                  <c:v>2.9396777618145402E-3</c:v>
                </c:pt>
                <c:pt idx="116">
                  <c:v>2.9399915096681114E-3</c:v>
                </c:pt>
                <c:pt idx="117">
                  <c:v>2.9409432837464505E-3</c:v>
                </c:pt>
                <c:pt idx="118">
                  <c:v>2.9412640519451056E-3</c:v>
                </c:pt>
                <c:pt idx="119">
                  <c:v>2.9415865752300311E-3</c:v>
                </c:pt>
                <c:pt idx="120">
                  <c:v>2.9419108536012282E-3</c:v>
                </c:pt>
                <c:pt idx="121">
                  <c:v>2.9422368870586956E-3</c:v>
                </c:pt>
                <c:pt idx="122">
                  <c:v>2.9432255179487245E-3</c:v>
                </c:pt>
                <c:pt idx="123">
                  <c:v>2.9435585717512763E-3</c:v>
                </c:pt>
                <c:pt idx="124">
                  <c:v>2.9438933806400988E-3</c:v>
                </c:pt>
                <c:pt idx="125">
                  <c:v>2.9442299446151925E-3</c:v>
                </c:pt>
                <c:pt idx="126">
                  <c:v>2.944568263676557E-3</c:v>
                </c:pt>
                <c:pt idx="127">
                  <c:v>2.9455937513782758E-3</c:v>
                </c:pt>
                <c:pt idx="128">
                  <c:v>2.9459390907847242E-3</c:v>
                </c:pt>
                <c:pt idx="129">
                  <c:v>2.9462861852774433E-3</c:v>
                </c:pt>
                <c:pt idx="130">
                  <c:v>2.9466350348564337E-3</c:v>
                </c:pt>
                <c:pt idx="131">
                  <c:v>2.9469856395216948E-3</c:v>
                </c:pt>
                <c:pt idx="132">
                  <c:v>2.9480479840351043E-3</c:v>
                </c:pt>
                <c:pt idx="133">
                  <c:v>2.9484056090454494E-3</c:v>
                </c:pt>
                <c:pt idx="134">
                  <c:v>2.9487649891420651E-3</c:v>
                </c:pt>
                <c:pt idx="135">
                  <c:v>2.9491261243249521E-3</c:v>
                </c:pt>
                <c:pt idx="136">
                  <c:v>2.9494890145941102E-3</c:v>
                </c:pt>
                <c:pt idx="137">
                  <c:v>2.9505882159192097E-3</c:v>
                </c:pt>
                <c:pt idx="138">
                  <c:v>2.9509581265334513E-3</c:v>
                </c:pt>
                <c:pt idx="139">
                  <c:v>2.9513297922339641E-3</c:v>
                </c:pt>
                <c:pt idx="140">
                  <c:v>2.9517032130207477E-3</c:v>
                </c:pt>
                <c:pt idx="141">
                  <c:v>2.9520783888938021E-3</c:v>
                </c:pt>
                <c:pt idx="142">
                  <c:v>2.9532144470305918E-3</c:v>
                </c:pt>
                <c:pt idx="143">
                  <c:v>2.9535966432487305E-3</c:v>
                </c:pt>
                <c:pt idx="144">
                  <c:v>2.9539805945531399E-3</c:v>
                </c:pt>
                <c:pt idx="145">
                  <c:v>2.9543663009438201E-3</c:v>
                </c:pt>
                <c:pt idx="146">
                  <c:v>2.9547537624207715E-3</c:v>
                </c:pt>
                <c:pt idx="147">
                  <c:v>2.9559266773692512E-3</c:v>
                </c:pt>
                <c:pt idx="148">
                  <c:v>2.9563211591912865E-3</c:v>
                </c:pt>
                <c:pt idx="149">
                  <c:v>2.9567173960995926E-3</c:v>
                </c:pt>
                <c:pt idx="150">
                  <c:v>2.9571153880941698E-3</c:v>
                </c:pt>
                <c:pt idx="151">
                  <c:v>2.9575151351750179E-3</c:v>
                </c:pt>
                <c:pt idx="152">
                  <c:v>2.9587249069351882E-3</c:v>
                </c:pt>
                <c:pt idx="153">
                  <c:v>2.9591316743611202E-3</c:v>
                </c:pt>
                <c:pt idx="154">
                  <c:v>2.9595401968733233E-3</c:v>
                </c:pt>
                <c:pt idx="155">
                  <c:v>2.9599504744717967E-3</c:v>
                </c:pt>
                <c:pt idx="156">
                  <c:v>2.9603625071565418E-3</c:v>
                </c:pt>
                <c:pt idx="157">
                  <c:v>2.9616091357284021E-3</c:v>
                </c:pt>
                <c:pt idx="158">
                  <c:v>2.9620281887582306E-3</c:v>
                </c:pt>
                <c:pt idx="159">
                  <c:v>2.9624489968743299E-3</c:v>
                </c:pt>
                <c:pt idx="160">
                  <c:v>2.9628715600767009E-3</c:v>
                </c:pt>
                <c:pt idx="161">
                  <c:v>2.9645793637488927E-3</c:v>
                </c:pt>
                <c:pt idx="162">
                  <c:v>2.9650107023826179E-3</c:v>
                </c:pt>
                <c:pt idx="163">
                  <c:v>2.9654437961026143E-3</c:v>
                </c:pt>
                <c:pt idx="164">
                  <c:v>2.9658786449088814E-3</c:v>
                </c:pt>
                <c:pt idx="165">
                  <c:v>2.9676355909966602E-3</c:v>
                </c:pt>
                <c:pt idx="166">
                  <c:v>2.9680792152342824E-3</c:v>
                </c:pt>
                <c:pt idx="167">
                  <c:v>2.9685245945581754E-3</c:v>
                </c:pt>
                <c:pt idx="168">
                  <c:v>2.9689717289683396E-3</c:v>
                </c:pt>
                <c:pt idx="169">
                  <c:v>2.9694206184647746E-3</c:v>
                </c:pt>
                <c:pt idx="170">
                  <c:v>2.9707778174717053E-3</c:v>
                </c:pt>
                <c:pt idx="171">
                  <c:v>2.9712337273132237E-3</c:v>
                </c:pt>
                <c:pt idx="172">
                  <c:v>2.9716913922410138E-3</c:v>
                </c:pt>
                <c:pt idx="173">
                  <c:v>2.9721508122550746E-3</c:v>
                </c:pt>
                <c:pt idx="174">
                  <c:v>2.9726119873554062E-3</c:v>
                </c:pt>
                <c:pt idx="175">
                  <c:v>2.9740060431740268E-3</c:v>
                </c:pt>
                <c:pt idx="176">
                  <c:v>2.9744742386194423E-3</c:v>
                </c:pt>
                <c:pt idx="177">
                  <c:v>2.974944189151129E-3</c:v>
                </c:pt>
                <c:pt idx="178">
                  <c:v>2.9754158947690864E-3</c:v>
                </c:pt>
                <c:pt idx="179">
                  <c:v>2.9758893554733151E-3</c:v>
                </c:pt>
                <c:pt idx="180">
                  <c:v>2.977320268103626E-3</c:v>
                </c:pt>
                <c:pt idx="181">
                  <c:v>2.9778007491529381E-3</c:v>
                </c:pt>
                <c:pt idx="182">
                  <c:v>2.9782829852885214E-3</c:v>
                </c:pt>
                <c:pt idx="183">
                  <c:v>2.9787669765103759E-3</c:v>
                </c:pt>
                <c:pt idx="184">
                  <c:v>2.9792527228185012E-3</c:v>
                </c:pt>
                <c:pt idx="185">
                  <c:v>2.9807204922605024E-3</c:v>
                </c:pt>
                <c:pt idx="186">
                  <c:v>2.9812132589137111E-3</c:v>
                </c:pt>
                <c:pt idx="187">
                  <c:v>2.9817077806531911E-3</c:v>
                </c:pt>
                <c:pt idx="188">
                  <c:v>2.9822040574789422E-3</c:v>
                </c:pt>
                <c:pt idx="189">
                  <c:v>2.9827020893909641E-3</c:v>
                </c:pt>
                <c:pt idx="190">
                  <c:v>2.9842067156446556E-3</c:v>
                </c:pt>
                <c:pt idx="191">
                  <c:v>2.984711767901761E-3</c:v>
                </c:pt>
                <c:pt idx="192">
                  <c:v>2.985218575245138E-3</c:v>
                </c:pt>
                <c:pt idx="193">
                  <c:v>2.9857271376747853E-3</c:v>
                </c:pt>
                <c:pt idx="194">
                  <c:v>2.9862374551907038E-3</c:v>
                </c:pt>
                <c:pt idx="195">
                  <c:v>2.9877789382560856E-3</c:v>
                </c:pt>
                <c:pt idx="196">
                  <c:v>2.9882962761170881E-3</c:v>
                </c:pt>
                <c:pt idx="197">
                  <c:v>2.9888153690643612E-3</c:v>
                </c:pt>
                <c:pt idx="198">
                  <c:v>2.9893362170979056E-3</c:v>
                </c:pt>
                <c:pt idx="199">
                  <c:v>2.9898588202177212E-3</c:v>
                </c:pt>
                <c:pt idx="200">
                  <c:v>2.9914371600947929E-3</c:v>
                </c:pt>
                <c:pt idx="201">
                  <c:v>2.9919667835596919E-3</c:v>
                </c:pt>
                <c:pt idx="202">
                  <c:v>2.9924981621108622E-3</c:v>
                </c:pt>
                <c:pt idx="203">
                  <c:v>2.9930312957483032E-3</c:v>
                </c:pt>
                <c:pt idx="204">
                  <c:v>2.9935661844720154E-3</c:v>
                </c:pt>
                <c:pt idx="205">
                  <c:v>2.995181381160777E-3</c:v>
                </c:pt>
                <c:pt idx="206">
                  <c:v>2.9957232902295731E-3</c:v>
                </c:pt>
                <c:pt idx="207">
                  <c:v>2.9962669543846399E-3</c:v>
                </c:pt>
                <c:pt idx="208">
                  <c:v>2.9968123736259776E-3</c:v>
                </c:pt>
                <c:pt idx="209">
                  <c:v>2.9973595479535864E-3</c:v>
                </c:pt>
                <c:pt idx="210">
                  <c:v>2.9990116014540383E-3</c:v>
                </c:pt>
                <c:pt idx="211">
                  <c:v>2.999565796126731E-3</c:v>
                </c:pt>
                <c:pt idx="212">
                  <c:v>3.0001217458856945E-3</c:v>
                </c:pt>
                <c:pt idx="213">
                  <c:v>3.0006794507309292E-3</c:v>
                </c:pt>
                <c:pt idx="214">
                  <c:v>3.0012389106624346E-3</c:v>
                </c:pt>
                <c:pt idx="215">
                  <c:v>3.0029278209745768E-3</c:v>
                </c:pt>
                <c:pt idx="216">
                  <c:v>3.0034943012511666E-3</c:v>
                </c:pt>
                <c:pt idx="217">
                  <c:v>3.0040625366140267E-3</c:v>
                </c:pt>
                <c:pt idx="218">
                  <c:v>3.004632527063158E-3</c:v>
                </c:pt>
                <c:pt idx="219">
                  <c:v>3.0052042725985601E-3</c:v>
                </c:pt>
                <c:pt idx="220">
                  <c:v>3.0069300397223926E-3</c:v>
                </c:pt>
                <c:pt idx="221">
                  <c:v>3.0075088056028786E-3</c:v>
                </c:pt>
                <c:pt idx="222">
                  <c:v>3.0080893265696357E-3</c:v>
                </c:pt>
                <c:pt idx="223">
                  <c:v>3.0086716026226637E-3</c:v>
                </c:pt>
                <c:pt idx="224">
                  <c:v>3.0116093091818682E-3</c:v>
                </c:pt>
                <c:pt idx="225">
                  <c:v>3.0122021157525216E-3</c:v>
                </c:pt>
                <c:pt idx="226">
                  <c:v>3.0127966774094466E-3</c:v>
                </c:pt>
                <c:pt idx="227">
                  <c:v>3.0133929941526423E-3</c:v>
                </c:pt>
                <c:pt idx="228">
                  <c:v>3.015192474899855E-3</c:v>
                </c:pt>
                <c:pt idx="229">
                  <c:v>3.0157958119881342E-3</c:v>
                </c:pt>
                <c:pt idx="230">
                  <c:v>3.0164009041626846E-3</c:v>
                </c:pt>
                <c:pt idx="231">
                  <c:v>3.0170077514235063E-3</c:v>
                </c:pt>
                <c:pt idx="232">
                  <c:v>3.0176163537705986E-3</c:v>
                </c:pt>
                <c:pt idx="233">
                  <c:v>3.0194526913295016E-3</c:v>
                </c:pt>
                <c:pt idx="234">
                  <c:v>3.0200683140216779E-3</c:v>
                </c:pt>
                <c:pt idx="235">
                  <c:v>3.0206856918001249E-3</c:v>
                </c:pt>
                <c:pt idx="236">
                  <c:v>3.0213048246648432E-3</c:v>
                </c:pt>
                <c:pt idx="237">
                  <c:v>3.0219257126158322E-3</c:v>
                </c:pt>
                <c:pt idx="238">
                  <c:v>3.0237989069864255E-3</c:v>
                </c:pt>
                <c:pt idx="239">
                  <c:v>3.0244268152824984E-3</c:v>
                </c:pt>
                <c:pt idx="240">
                  <c:v>3.0250564786648421E-3</c:v>
                </c:pt>
                <c:pt idx="241">
                  <c:v>3.0256878971334569E-3</c:v>
                </c:pt>
                <c:pt idx="242">
                  <c:v>3.026321070688343E-3</c:v>
                </c:pt>
                <c:pt idx="243">
                  <c:v>3.0282311218706262E-3</c:v>
                </c:pt>
                <c:pt idx="244">
                  <c:v>3.0288713157705957E-3</c:v>
                </c:pt>
                <c:pt idx="245">
                  <c:v>3.0295132647568364E-3</c:v>
                </c:pt>
                <c:pt idx="246">
                  <c:v>3.0301569688293479E-3</c:v>
                </c:pt>
                <c:pt idx="247">
                  <c:v>3.0308024279881306E-3</c:v>
                </c:pt>
                <c:pt idx="248">
                  <c:v>3.0327493359821045E-3</c:v>
                </c:pt>
                <c:pt idx="249">
                  <c:v>3.0334018154859707E-3</c:v>
                </c:pt>
                <c:pt idx="250">
                  <c:v>3.034056050076108E-3</c:v>
                </c:pt>
                <c:pt idx="251">
                  <c:v>3.0347120397525166E-3</c:v>
                </c:pt>
                <c:pt idx="252">
                  <c:v>3.0353697845151959E-3</c:v>
                </c:pt>
                <c:pt idx="253">
                  <c:v>3.0373535493208592E-3</c:v>
                </c:pt>
                <c:pt idx="254">
                  <c:v>3.0380183144286224E-3</c:v>
                </c:pt>
                <c:pt idx="255">
                  <c:v>3.0386848346226564E-3</c:v>
                </c:pt>
                <c:pt idx="256">
                  <c:v>3.0393531099029616E-3</c:v>
                </c:pt>
                <c:pt idx="257">
                  <c:v>3.0400231402695375E-3</c:v>
                </c:pt>
                <c:pt idx="258">
                  <c:v>3.0420437618868912E-3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600384"/>
        <c:axId val="627614464"/>
      </c:lineChart>
      <c:dateAx>
        <c:axId val="6276003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27614464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627614464"/>
        <c:scaling>
          <c:orientation val="minMax"/>
          <c:max val="3.1000000000000008E-3"/>
          <c:min val="2.5000000000000005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27600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'12MSynthDepo_allScenario'!$BI$6:$BI$264</c:f>
              <c:numCache>
                <c:formatCode>0.0000%</c:formatCode>
                <c:ptCount val="259"/>
                <c:pt idx="0">
                  <c:v>2.7775111721905707E-3</c:v>
                </c:pt>
                <c:pt idx="1">
                  <c:v>2.7784007289385288E-3</c:v>
                </c:pt>
                <c:pt idx="2">
                  <c:v>2.7810693991824026E-3</c:v>
                </c:pt>
                <c:pt idx="3">
                  <c:v>2.7819589559303607E-3</c:v>
                </c:pt>
                <c:pt idx="4">
                  <c:v>2.7828485126783187E-3</c:v>
                </c:pt>
                <c:pt idx="5">
                  <c:v>2.7837380694262764E-3</c:v>
                </c:pt>
                <c:pt idx="6">
                  <c:v>2.7846276261742344E-3</c:v>
                </c:pt>
                <c:pt idx="7">
                  <c:v>2.7872962964181087E-3</c:v>
                </c:pt>
                <c:pt idx="8">
                  <c:v>2.7881858531660663E-3</c:v>
                </c:pt>
                <c:pt idx="9">
                  <c:v>2.7890754099140244E-3</c:v>
                </c:pt>
                <c:pt idx="10">
                  <c:v>2.7899649666619825E-3</c:v>
                </c:pt>
                <c:pt idx="11">
                  <c:v>2.7908545234099406E-3</c:v>
                </c:pt>
                <c:pt idx="12">
                  <c:v>2.7935231936538144E-3</c:v>
                </c:pt>
                <c:pt idx="13">
                  <c:v>2.7944127504017724E-3</c:v>
                </c:pt>
                <c:pt idx="14">
                  <c:v>2.7953023071497305E-3</c:v>
                </c:pt>
                <c:pt idx="15">
                  <c:v>2.7961918638976881E-3</c:v>
                </c:pt>
                <c:pt idx="16">
                  <c:v>2.7970814206456462E-3</c:v>
                </c:pt>
                <c:pt idx="17">
                  <c:v>2.79975009088952E-3</c:v>
                </c:pt>
                <c:pt idx="18">
                  <c:v>2.8006396476374781E-3</c:v>
                </c:pt>
                <c:pt idx="19">
                  <c:v>2.8015292043854362E-3</c:v>
                </c:pt>
                <c:pt idx="20">
                  <c:v>2.8024187611333943E-3</c:v>
                </c:pt>
                <c:pt idx="21">
                  <c:v>2.8033083178813523E-3</c:v>
                </c:pt>
                <c:pt idx="22">
                  <c:v>2.8059769881252261E-3</c:v>
                </c:pt>
                <c:pt idx="23">
                  <c:v>2.8068665448731842E-3</c:v>
                </c:pt>
                <c:pt idx="24">
                  <c:v>2.8077561016211419E-3</c:v>
                </c:pt>
                <c:pt idx="25">
                  <c:v>2.8086456583690999E-3</c:v>
                </c:pt>
                <c:pt idx="26">
                  <c:v>2.809535215117058E-3</c:v>
                </c:pt>
                <c:pt idx="27">
                  <c:v>2.8122038853609318E-3</c:v>
                </c:pt>
                <c:pt idx="28">
                  <c:v>2.8130934421088899E-3</c:v>
                </c:pt>
                <c:pt idx="29">
                  <c:v>2.813982998856848E-3</c:v>
                </c:pt>
                <c:pt idx="30">
                  <c:v>2.814872555604806E-3</c:v>
                </c:pt>
                <c:pt idx="31">
                  <c:v>2.8157621123527637E-3</c:v>
                </c:pt>
                <c:pt idx="32">
                  <c:v>2.8184307825966379E-3</c:v>
                </c:pt>
                <c:pt idx="33">
                  <c:v>2.819320339344596E-3</c:v>
                </c:pt>
                <c:pt idx="34">
                  <c:v>2.8202098960925536E-3</c:v>
                </c:pt>
                <c:pt idx="35">
                  <c:v>2.8210994528405117E-3</c:v>
                </c:pt>
                <c:pt idx="36">
                  <c:v>2.8219890095884698E-3</c:v>
                </c:pt>
                <c:pt idx="37">
                  <c:v>2.8246576798323436E-3</c:v>
                </c:pt>
                <c:pt idx="38">
                  <c:v>2.8255472365803017E-3</c:v>
                </c:pt>
                <c:pt idx="39">
                  <c:v>2.8264367933282597E-3</c:v>
                </c:pt>
                <c:pt idx="40">
                  <c:v>2.8273263500762178E-3</c:v>
                </c:pt>
                <c:pt idx="41">
                  <c:v>2.8282159068241755E-3</c:v>
                </c:pt>
                <c:pt idx="42">
                  <c:v>2.8308845770680497E-3</c:v>
                </c:pt>
                <c:pt idx="43">
                  <c:v>2.8317741338160073E-3</c:v>
                </c:pt>
                <c:pt idx="44">
                  <c:v>2.8326636905639654E-3</c:v>
                </c:pt>
                <c:pt idx="45">
                  <c:v>2.8335532473119235E-3</c:v>
                </c:pt>
                <c:pt idx="46">
                  <c:v>2.8344428040598816E-3</c:v>
                </c:pt>
                <c:pt idx="47">
                  <c:v>2.8371114743037554E-3</c:v>
                </c:pt>
                <c:pt idx="48">
                  <c:v>2.8380010310517134E-3</c:v>
                </c:pt>
                <c:pt idx="49">
                  <c:v>2.8388905877996715E-3</c:v>
                </c:pt>
                <c:pt idx="50">
                  <c:v>2.8397801445476292E-3</c:v>
                </c:pt>
                <c:pt idx="51">
                  <c:v>2.8406697012955872E-3</c:v>
                </c:pt>
                <c:pt idx="52">
                  <c:v>2.8433383715394615E-3</c:v>
                </c:pt>
                <c:pt idx="53">
                  <c:v>2.8442279282874191E-3</c:v>
                </c:pt>
                <c:pt idx="54">
                  <c:v>2.8451174850353772E-3</c:v>
                </c:pt>
                <c:pt idx="55">
                  <c:v>2.8460070417833353E-3</c:v>
                </c:pt>
                <c:pt idx="56">
                  <c:v>2.8468965985312933E-3</c:v>
                </c:pt>
                <c:pt idx="57">
                  <c:v>2.8495652687751671E-3</c:v>
                </c:pt>
                <c:pt idx="58">
                  <c:v>2.8504548255231252E-3</c:v>
                </c:pt>
                <c:pt idx="59">
                  <c:v>2.8513443822710833E-3</c:v>
                </c:pt>
                <c:pt idx="60">
                  <c:v>2.8522339390190409E-3</c:v>
                </c:pt>
                <c:pt idx="61">
                  <c:v>2.853123495766999E-3</c:v>
                </c:pt>
                <c:pt idx="62">
                  <c:v>2.8557921660108728E-3</c:v>
                </c:pt>
                <c:pt idx="63">
                  <c:v>2.8566817227588309E-3</c:v>
                </c:pt>
                <c:pt idx="64">
                  <c:v>2.857571279506789E-3</c:v>
                </c:pt>
                <c:pt idx="65">
                  <c:v>2.858460836254747E-3</c:v>
                </c:pt>
                <c:pt idx="66">
                  <c:v>2.8593503930027051E-3</c:v>
                </c:pt>
                <c:pt idx="67">
                  <c:v>2.8620190632465789E-3</c:v>
                </c:pt>
                <c:pt idx="68">
                  <c:v>2.862908619994537E-3</c:v>
                </c:pt>
                <c:pt idx="69">
                  <c:v>2.8637981767424946E-3</c:v>
                </c:pt>
                <c:pt idx="70">
                  <c:v>2.8646877334904527E-3</c:v>
                </c:pt>
                <c:pt idx="71">
                  <c:v>2.8655772902384108E-3</c:v>
                </c:pt>
                <c:pt idx="72">
                  <c:v>2.8682459604822846E-3</c:v>
                </c:pt>
                <c:pt idx="73">
                  <c:v>2.8691355172302427E-3</c:v>
                </c:pt>
                <c:pt idx="74">
                  <c:v>2.8700250739782007E-3</c:v>
                </c:pt>
                <c:pt idx="75">
                  <c:v>2.8709146307261588E-3</c:v>
                </c:pt>
                <c:pt idx="76">
                  <c:v>2.8718041874741165E-3</c:v>
                </c:pt>
                <c:pt idx="77">
                  <c:v>2.8744728577179907E-3</c:v>
                </c:pt>
                <c:pt idx="78">
                  <c:v>2.8753624144659488E-3</c:v>
                </c:pt>
                <c:pt idx="79">
                  <c:v>2.8762519712139064E-3</c:v>
                </c:pt>
                <c:pt idx="80">
                  <c:v>2.8771415279618645E-3</c:v>
                </c:pt>
                <c:pt idx="81">
                  <c:v>2.8780310847098226E-3</c:v>
                </c:pt>
                <c:pt idx="82">
                  <c:v>2.8806997549536964E-3</c:v>
                </c:pt>
                <c:pt idx="83">
                  <c:v>2.8815893117016544E-3</c:v>
                </c:pt>
                <c:pt idx="84">
                  <c:v>2.8824788684496125E-3</c:v>
                </c:pt>
                <c:pt idx="85">
                  <c:v>2.8833684251975706E-3</c:v>
                </c:pt>
                <c:pt idx="86">
                  <c:v>2.8842579819455282E-3</c:v>
                </c:pt>
                <c:pt idx="87">
                  <c:v>2.8869266521894025E-3</c:v>
                </c:pt>
                <c:pt idx="88">
                  <c:v>2.8878162089373601E-3</c:v>
                </c:pt>
                <c:pt idx="89">
                  <c:v>2.8887057656853182E-3</c:v>
                </c:pt>
                <c:pt idx="90">
                  <c:v>2.8895953224332763E-3</c:v>
                </c:pt>
                <c:pt idx="91">
                  <c:v>2.8904848791812343E-3</c:v>
                </c:pt>
                <c:pt idx="92">
                  <c:v>2.8931535494251081E-3</c:v>
                </c:pt>
                <c:pt idx="93">
                  <c:v>2.8940431061730662E-3</c:v>
                </c:pt>
                <c:pt idx="94">
                  <c:v>2.8949326629210243E-3</c:v>
                </c:pt>
                <c:pt idx="95">
                  <c:v>2.8958222196689819E-3</c:v>
                </c:pt>
                <c:pt idx="96">
                  <c:v>2.89671177641694E-3</c:v>
                </c:pt>
                <c:pt idx="97">
                  <c:v>2.8993804466608143E-3</c:v>
                </c:pt>
                <c:pt idx="98">
                  <c:v>2.9002700034087719E-3</c:v>
                </c:pt>
                <c:pt idx="99">
                  <c:v>2.90115956015673E-3</c:v>
                </c:pt>
                <c:pt idx="100">
                  <c:v>2.902049116904688E-3</c:v>
                </c:pt>
                <c:pt idx="101">
                  <c:v>2.9029386736526461E-3</c:v>
                </c:pt>
                <c:pt idx="102">
                  <c:v>2.9056073438965199E-3</c:v>
                </c:pt>
                <c:pt idx="103">
                  <c:v>2.906496900644478E-3</c:v>
                </c:pt>
                <c:pt idx="104">
                  <c:v>2.9073864573924361E-3</c:v>
                </c:pt>
                <c:pt idx="105">
                  <c:v>2.9082760141403937E-3</c:v>
                </c:pt>
                <c:pt idx="106">
                  <c:v>2.9091655708883518E-3</c:v>
                </c:pt>
                <c:pt idx="107">
                  <c:v>2.9118342411322256E-3</c:v>
                </c:pt>
                <c:pt idx="108">
                  <c:v>2.9127237978801837E-3</c:v>
                </c:pt>
                <c:pt idx="109">
                  <c:v>2.9136133546281417E-3</c:v>
                </c:pt>
                <c:pt idx="110">
                  <c:v>2.9145029113760998E-3</c:v>
                </c:pt>
                <c:pt idx="111">
                  <c:v>2.9153924681240579E-3</c:v>
                </c:pt>
                <c:pt idx="112">
                  <c:v>2.9180611383679317E-3</c:v>
                </c:pt>
                <c:pt idx="113">
                  <c:v>2.9189506951158898E-3</c:v>
                </c:pt>
                <c:pt idx="114">
                  <c:v>2.9198402518638474E-3</c:v>
                </c:pt>
                <c:pt idx="115">
                  <c:v>2.9207298086118055E-3</c:v>
                </c:pt>
                <c:pt idx="116">
                  <c:v>2.9216193653597636E-3</c:v>
                </c:pt>
                <c:pt idx="117">
                  <c:v>2.9242880356036374E-3</c:v>
                </c:pt>
                <c:pt idx="118">
                  <c:v>2.9251775923515955E-3</c:v>
                </c:pt>
                <c:pt idx="119">
                  <c:v>2.9260671490995535E-3</c:v>
                </c:pt>
                <c:pt idx="120">
                  <c:v>2.9269567058475116E-3</c:v>
                </c:pt>
                <c:pt idx="121">
                  <c:v>2.9278462625954692E-3</c:v>
                </c:pt>
                <c:pt idx="122">
                  <c:v>2.9305149328393435E-3</c:v>
                </c:pt>
                <c:pt idx="123">
                  <c:v>2.9314044895873016E-3</c:v>
                </c:pt>
                <c:pt idx="124">
                  <c:v>2.9322940463352592E-3</c:v>
                </c:pt>
                <c:pt idx="125">
                  <c:v>2.9331836030832173E-3</c:v>
                </c:pt>
                <c:pt idx="126">
                  <c:v>2.9340731598311754E-3</c:v>
                </c:pt>
                <c:pt idx="127">
                  <c:v>2.9367418300750492E-3</c:v>
                </c:pt>
                <c:pt idx="128">
                  <c:v>2.9376313868230072E-3</c:v>
                </c:pt>
                <c:pt idx="129">
                  <c:v>2.9385209435709653E-3</c:v>
                </c:pt>
                <c:pt idx="130">
                  <c:v>2.9394105003189234E-3</c:v>
                </c:pt>
                <c:pt idx="131">
                  <c:v>2.940300057066881E-3</c:v>
                </c:pt>
                <c:pt idx="132">
                  <c:v>2.9429687273107553E-3</c:v>
                </c:pt>
                <c:pt idx="133">
                  <c:v>2.9438582840587129E-3</c:v>
                </c:pt>
                <c:pt idx="134">
                  <c:v>2.944747840806671E-3</c:v>
                </c:pt>
                <c:pt idx="135">
                  <c:v>2.9456373975546291E-3</c:v>
                </c:pt>
                <c:pt idx="136">
                  <c:v>2.9465269543025871E-3</c:v>
                </c:pt>
                <c:pt idx="137">
                  <c:v>2.9491956245464609E-3</c:v>
                </c:pt>
                <c:pt idx="138">
                  <c:v>2.950085181294419E-3</c:v>
                </c:pt>
                <c:pt idx="139">
                  <c:v>2.9509747380423771E-3</c:v>
                </c:pt>
                <c:pt idx="140">
                  <c:v>2.9518642947903347E-3</c:v>
                </c:pt>
                <c:pt idx="141">
                  <c:v>2.9527538515382928E-3</c:v>
                </c:pt>
                <c:pt idx="142">
                  <c:v>2.955422521782167E-3</c:v>
                </c:pt>
                <c:pt idx="143">
                  <c:v>2.9563120785301247E-3</c:v>
                </c:pt>
                <c:pt idx="144">
                  <c:v>2.9572016352780828E-3</c:v>
                </c:pt>
                <c:pt idx="145">
                  <c:v>2.9580911920260408E-3</c:v>
                </c:pt>
                <c:pt idx="146">
                  <c:v>2.9589807487739989E-3</c:v>
                </c:pt>
                <c:pt idx="147">
                  <c:v>2.9616494190178727E-3</c:v>
                </c:pt>
                <c:pt idx="148">
                  <c:v>2.9625389757658308E-3</c:v>
                </c:pt>
                <c:pt idx="149">
                  <c:v>2.9634285325137889E-3</c:v>
                </c:pt>
                <c:pt idx="150">
                  <c:v>2.9643180892617465E-3</c:v>
                </c:pt>
                <c:pt idx="151">
                  <c:v>2.9652076460097046E-3</c:v>
                </c:pt>
                <c:pt idx="152">
                  <c:v>2.9678763162535784E-3</c:v>
                </c:pt>
                <c:pt idx="153">
                  <c:v>2.9687658730015365E-3</c:v>
                </c:pt>
                <c:pt idx="154">
                  <c:v>2.9696554297494945E-3</c:v>
                </c:pt>
                <c:pt idx="155">
                  <c:v>2.9705449864974526E-3</c:v>
                </c:pt>
                <c:pt idx="156">
                  <c:v>2.9714345432454107E-3</c:v>
                </c:pt>
                <c:pt idx="157">
                  <c:v>2.9741032134892845E-3</c:v>
                </c:pt>
                <c:pt idx="158">
                  <c:v>2.9749927702372426E-3</c:v>
                </c:pt>
                <c:pt idx="159">
                  <c:v>2.9758823269852002E-3</c:v>
                </c:pt>
                <c:pt idx="160">
                  <c:v>2.9767718837331583E-3</c:v>
                </c:pt>
                <c:pt idx="161">
                  <c:v>2.9803301107249902E-3</c:v>
                </c:pt>
                <c:pt idx="162">
                  <c:v>2.9812196674729482E-3</c:v>
                </c:pt>
                <c:pt idx="163">
                  <c:v>2.9821092242209063E-3</c:v>
                </c:pt>
                <c:pt idx="164">
                  <c:v>2.9829987809688644E-3</c:v>
                </c:pt>
                <c:pt idx="165">
                  <c:v>2.9865570079606963E-3</c:v>
                </c:pt>
                <c:pt idx="166">
                  <c:v>2.9874465647086543E-3</c:v>
                </c:pt>
                <c:pt idx="167">
                  <c:v>2.988336121456612E-3</c:v>
                </c:pt>
                <c:pt idx="168">
                  <c:v>2.9892256782045701E-3</c:v>
                </c:pt>
                <c:pt idx="169">
                  <c:v>2.9901152349525281E-3</c:v>
                </c:pt>
                <c:pt idx="170">
                  <c:v>2.9927839051964019E-3</c:v>
                </c:pt>
                <c:pt idx="171">
                  <c:v>2.99367346194436E-3</c:v>
                </c:pt>
                <c:pt idx="172">
                  <c:v>2.9945630186923181E-3</c:v>
                </c:pt>
                <c:pt idx="173">
                  <c:v>2.9954525754402762E-3</c:v>
                </c:pt>
                <c:pt idx="174">
                  <c:v>2.9963421321882338E-3</c:v>
                </c:pt>
                <c:pt idx="175">
                  <c:v>2.999010802432108E-3</c:v>
                </c:pt>
                <c:pt idx="176">
                  <c:v>2.9999003591800657E-3</c:v>
                </c:pt>
                <c:pt idx="177">
                  <c:v>3.0007899159280238E-3</c:v>
                </c:pt>
                <c:pt idx="178">
                  <c:v>3.0016794726759818E-3</c:v>
                </c:pt>
                <c:pt idx="179">
                  <c:v>3.0025690294239399E-3</c:v>
                </c:pt>
                <c:pt idx="180">
                  <c:v>3.0052376996678137E-3</c:v>
                </c:pt>
                <c:pt idx="181">
                  <c:v>3.0061272564157718E-3</c:v>
                </c:pt>
                <c:pt idx="182">
                  <c:v>3.0070168131637299E-3</c:v>
                </c:pt>
                <c:pt idx="183">
                  <c:v>3.0079063699116875E-3</c:v>
                </c:pt>
                <c:pt idx="184">
                  <c:v>3.0087959266596456E-3</c:v>
                </c:pt>
                <c:pt idx="185">
                  <c:v>3.0114645969035198E-3</c:v>
                </c:pt>
                <c:pt idx="186">
                  <c:v>3.0123541536514775E-3</c:v>
                </c:pt>
                <c:pt idx="187">
                  <c:v>3.0132437103994355E-3</c:v>
                </c:pt>
                <c:pt idx="188">
                  <c:v>3.0141332671473936E-3</c:v>
                </c:pt>
                <c:pt idx="189">
                  <c:v>3.0150228238953517E-3</c:v>
                </c:pt>
                <c:pt idx="190">
                  <c:v>3.0176914941392255E-3</c:v>
                </c:pt>
                <c:pt idx="191">
                  <c:v>3.0185810508871836E-3</c:v>
                </c:pt>
                <c:pt idx="192">
                  <c:v>3.0194706076351416E-3</c:v>
                </c:pt>
                <c:pt idx="193">
                  <c:v>3.0203601643830993E-3</c:v>
                </c:pt>
                <c:pt idx="194">
                  <c:v>3.0212497211310574E-3</c:v>
                </c:pt>
                <c:pt idx="195">
                  <c:v>3.0239183913749312E-3</c:v>
                </c:pt>
                <c:pt idx="196">
                  <c:v>3.0248079481228892E-3</c:v>
                </c:pt>
                <c:pt idx="197">
                  <c:v>3.0256975048708473E-3</c:v>
                </c:pt>
                <c:pt idx="198">
                  <c:v>3.0265870616188054E-3</c:v>
                </c:pt>
                <c:pt idx="199">
                  <c:v>3.0274766183667635E-3</c:v>
                </c:pt>
                <c:pt idx="200">
                  <c:v>3.0301452886106373E-3</c:v>
                </c:pt>
                <c:pt idx="201">
                  <c:v>3.0310348453585953E-3</c:v>
                </c:pt>
                <c:pt idx="202">
                  <c:v>3.031924402106553E-3</c:v>
                </c:pt>
                <c:pt idx="203">
                  <c:v>3.0328139588545111E-3</c:v>
                </c:pt>
                <c:pt idx="204">
                  <c:v>3.0337035156024691E-3</c:v>
                </c:pt>
                <c:pt idx="205">
                  <c:v>3.0363721858463429E-3</c:v>
                </c:pt>
                <c:pt idx="206">
                  <c:v>3.037261742594301E-3</c:v>
                </c:pt>
                <c:pt idx="207">
                  <c:v>3.0381512993422591E-3</c:v>
                </c:pt>
                <c:pt idx="208">
                  <c:v>3.0390408560902172E-3</c:v>
                </c:pt>
                <c:pt idx="209">
                  <c:v>3.0399304128381748E-3</c:v>
                </c:pt>
                <c:pt idx="210">
                  <c:v>3.0425990830820491E-3</c:v>
                </c:pt>
                <c:pt idx="211">
                  <c:v>3.0434886398300071E-3</c:v>
                </c:pt>
                <c:pt idx="212">
                  <c:v>3.0443781965779648E-3</c:v>
                </c:pt>
                <c:pt idx="213">
                  <c:v>3.0452677533259228E-3</c:v>
                </c:pt>
                <c:pt idx="214">
                  <c:v>3.0461573100738809E-3</c:v>
                </c:pt>
                <c:pt idx="215">
                  <c:v>3.0488259803177547E-3</c:v>
                </c:pt>
                <c:pt idx="216">
                  <c:v>3.0497155370657128E-3</c:v>
                </c:pt>
                <c:pt idx="217">
                  <c:v>3.0506050938136709E-3</c:v>
                </c:pt>
                <c:pt idx="218">
                  <c:v>3.051494650561629E-3</c:v>
                </c:pt>
                <c:pt idx="219">
                  <c:v>3.0523842073095866E-3</c:v>
                </c:pt>
                <c:pt idx="220">
                  <c:v>3.0550528775534608E-3</c:v>
                </c:pt>
                <c:pt idx="221">
                  <c:v>3.0559424343014185E-3</c:v>
                </c:pt>
                <c:pt idx="222">
                  <c:v>3.0568319910493765E-3</c:v>
                </c:pt>
                <c:pt idx="223">
                  <c:v>3.0577215477973346E-3</c:v>
                </c:pt>
                <c:pt idx="224">
                  <c:v>3.0621693315371246E-3</c:v>
                </c:pt>
                <c:pt idx="225">
                  <c:v>3.0630588882850827E-3</c:v>
                </c:pt>
                <c:pt idx="226">
                  <c:v>3.0639484450330403E-3</c:v>
                </c:pt>
                <c:pt idx="227">
                  <c:v>3.0648380017809984E-3</c:v>
                </c:pt>
                <c:pt idx="228">
                  <c:v>3.0675066720248726E-3</c:v>
                </c:pt>
                <c:pt idx="229">
                  <c:v>3.0683962287728303E-3</c:v>
                </c:pt>
                <c:pt idx="230">
                  <c:v>3.0692857855207883E-3</c:v>
                </c:pt>
                <c:pt idx="231">
                  <c:v>3.0701753422687464E-3</c:v>
                </c:pt>
                <c:pt idx="232">
                  <c:v>3.0710648990167045E-3</c:v>
                </c:pt>
                <c:pt idx="233">
                  <c:v>3.0737335692605783E-3</c:v>
                </c:pt>
                <c:pt idx="234">
                  <c:v>3.0746231260085364E-3</c:v>
                </c:pt>
                <c:pt idx="235">
                  <c:v>3.0755126827564944E-3</c:v>
                </c:pt>
                <c:pt idx="236">
                  <c:v>3.0764022395044521E-3</c:v>
                </c:pt>
                <c:pt idx="237">
                  <c:v>3.0772917962524102E-3</c:v>
                </c:pt>
                <c:pt idx="238">
                  <c:v>3.079960466496284E-3</c:v>
                </c:pt>
                <c:pt idx="239">
                  <c:v>3.080850023244242E-3</c:v>
                </c:pt>
                <c:pt idx="240">
                  <c:v>3.0817395799922001E-3</c:v>
                </c:pt>
                <c:pt idx="241">
                  <c:v>3.0826291367401582E-3</c:v>
                </c:pt>
                <c:pt idx="242">
                  <c:v>3.0835186934881163E-3</c:v>
                </c:pt>
                <c:pt idx="243">
                  <c:v>3.0861873637319901E-3</c:v>
                </c:pt>
                <c:pt idx="244">
                  <c:v>3.0870769204799481E-3</c:v>
                </c:pt>
                <c:pt idx="245">
                  <c:v>3.0879664772279058E-3</c:v>
                </c:pt>
                <c:pt idx="246">
                  <c:v>3.0888560339758639E-3</c:v>
                </c:pt>
                <c:pt idx="247">
                  <c:v>3.0897455907238219E-3</c:v>
                </c:pt>
                <c:pt idx="248">
                  <c:v>3.0924142609676957E-3</c:v>
                </c:pt>
                <c:pt idx="249">
                  <c:v>3.0933038177156538E-3</c:v>
                </c:pt>
                <c:pt idx="250">
                  <c:v>3.0941933744636119E-3</c:v>
                </c:pt>
                <c:pt idx="251">
                  <c:v>3.09508293121157E-3</c:v>
                </c:pt>
                <c:pt idx="252">
                  <c:v>3.0959724879595276E-3</c:v>
                </c:pt>
                <c:pt idx="253">
                  <c:v>3.0986411582034018E-3</c:v>
                </c:pt>
                <c:pt idx="254">
                  <c:v>3.0995307149513599E-3</c:v>
                </c:pt>
                <c:pt idx="255">
                  <c:v>3.1004202716993176E-3</c:v>
                </c:pt>
                <c:pt idx="256">
                  <c:v>3.1013098284472756E-3</c:v>
                </c:pt>
                <c:pt idx="257">
                  <c:v>3.1021993851952337E-3</c:v>
                </c:pt>
                <c:pt idx="258">
                  <c:v>3.1048680554391075E-3</c:v>
                </c:pt>
              </c:numCache>
            </c:numRef>
          </c:val>
          <c:smooth val="0"/>
        </c:ser>
        <c:ser>
          <c:idx val="1"/>
          <c:order val="1"/>
          <c:spPr>
            <a:ln>
              <a:prstDash val="sys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'12MSynthDepo_allScenario'!$BJ$6:$BJ$264</c:f>
              <c:numCache>
                <c:formatCode>0.0000%</c:formatCode>
                <c:ptCount val="259"/>
                <c:pt idx="0">
                  <c:v>2.6539067046631483E-3</c:v>
                </c:pt>
                <c:pt idx="1">
                  <c:v>2.6565642960063147E-3</c:v>
                </c:pt>
                <c:pt idx="2">
                  <c:v>2.6644832286133713E-3</c:v>
                </c:pt>
                <c:pt idx="3">
                  <c:v>2.6671049256749091E-3</c:v>
                </c:pt>
                <c:pt idx="4">
                  <c:v>2.6697176491660402E-3</c:v>
                </c:pt>
                <c:pt idx="5">
                  <c:v>2.6723213990867637E-3</c:v>
                </c:pt>
                <c:pt idx="6">
                  <c:v>2.6749161754370809E-3</c:v>
                </c:pt>
                <c:pt idx="7">
                  <c:v>2.6826466630655884E-3</c:v>
                </c:pt>
                <c:pt idx="8">
                  <c:v>2.6852055451342767E-3</c:v>
                </c:pt>
                <c:pt idx="9">
                  <c:v>2.6877554536325577E-3</c:v>
                </c:pt>
                <c:pt idx="10">
                  <c:v>2.6902963885604321E-3</c:v>
                </c:pt>
                <c:pt idx="11">
                  <c:v>2.6928283499178993E-3</c:v>
                </c:pt>
                <c:pt idx="12">
                  <c:v>2.7003703925678581E-3</c:v>
                </c:pt>
                <c:pt idx="13">
                  <c:v>2.7028664596436963E-3</c:v>
                </c:pt>
                <c:pt idx="14">
                  <c:v>2.7053535531491282E-3</c:v>
                </c:pt>
                <c:pt idx="15">
                  <c:v>2.7078316730841526E-3</c:v>
                </c:pt>
                <c:pt idx="16">
                  <c:v>2.7103008194487702E-3</c:v>
                </c:pt>
                <c:pt idx="17">
                  <c:v>2.7176544171201799E-3</c:v>
                </c:pt>
                <c:pt idx="18">
                  <c:v>2.7200876692031689E-3</c:v>
                </c:pt>
                <c:pt idx="19">
                  <c:v>2.7225119477157509E-3</c:v>
                </c:pt>
                <c:pt idx="20">
                  <c:v>2.7249272526579256E-3</c:v>
                </c:pt>
                <c:pt idx="21">
                  <c:v>2.7273335840296933E-3</c:v>
                </c:pt>
                <c:pt idx="22">
                  <c:v>2.7344987367225542E-3</c:v>
                </c:pt>
                <c:pt idx="23">
                  <c:v>2.7368691738126937E-3</c:v>
                </c:pt>
                <c:pt idx="24">
                  <c:v>2.739230637332426E-3</c:v>
                </c:pt>
                <c:pt idx="25">
                  <c:v>2.7415831272817512E-3</c:v>
                </c:pt>
                <c:pt idx="26">
                  <c:v>2.7439266436606693E-3</c:v>
                </c:pt>
                <c:pt idx="27">
                  <c:v>2.750903351374981E-3</c:v>
                </c:pt>
                <c:pt idx="28">
                  <c:v>2.753210973472271E-3</c:v>
                </c:pt>
                <c:pt idx="29">
                  <c:v>2.7555096219991533E-3</c:v>
                </c:pt>
                <c:pt idx="30">
                  <c:v>2.7577992969556289E-3</c:v>
                </c:pt>
                <c:pt idx="31">
                  <c:v>2.7600799983416974E-3</c:v>
                </c:pt>
                <c:pt idx="32">
                  <c:v>2.76686826107746E-3</c:v>
                </c:pt>
                <c:pt idx="33">
                  <c:v>2.7691130681819004E-3</c:v>
                </c:pt>
                <c:pt idx="34">
                  <c:v>2.7713489017159331E-3</c:v>
                </c:pt>
                <c:pt idx="35">
                  <c:v>2.7735757616795592E-3</c:v>
                </c:pt>
                <c:pt idx="36">
                  <c:v>2.7757936480727777E-3</c:v>
                </c:pt>
                <c:pt idx="37">
                  <c:v>2.7823934658299915E-3</c:v>
                </c:pt>
                <c:pt idx="38">
                  <c:v>2.7845754579415819E-3</c:v>
                </c:pt>
                <c:pt idx="39">
                  <c:v>2.7867484764827655E-3</c:v>
                </c:pt>
                <c:pt idx="40">
                  <c:v>2.7889125214535415E-3</c:v>
                </c:pt>
                <c:pt idx="41">
                  <c:v>2.7910675928539109E-3</c:v>
                </c:pt>
                <c:pt idx="42">
                  <c:v>2.7974789656325756E-3</c:v>
                </c:pt>
                <c:pt idx="43">
                  <c:v>2.7995981427513163E-3</c:v>
                </c:pt>
                <c:pt idx="44">
                  <c:v>2.80170834629965E-3</c:v>
                </c:pt>
                <c:pt idx="45">
                  <c:v>2.8038095762775769E-3</c:v>
                </c:pt>
                <c:pt idx="46">
                  <c:v>2.8059018326850962E-3</c:v>
                </c:pt>
                <c:pt idx="47">
                  <c:v>2.8121247604852122E-3</c:v>
                </c:pt>
                <c:pt idx="48">
                  <c:v>2.8141811226111029E-3</c:v>
                </c:pt>
                <c:pt idx="49">
                  <c:v>2.8162285111665874E-3</c:v>
                </c:pt>
                <c:pt idx="50">
                  <c:v>2.8182669261516639E-3</c:v>
                </c:pt>
                <c:pt idx="51">
                  <c:v>2.8202963675663341E-3</c:v>
                </c:pt>
                <c:pt idx="52">
                  <c:v>2.8263308503879009E-3</c:v>
                </c:pt>
                <c:pt idx="53">
                  <c:v>2.8283243975209425E-3</c:v>
                </c:pt>
                <c:pt idx="54">
                  <c:v>2.8303089710835765E-3</c:v>
                </c:pt>
                <c:pt idx="55">
                  <c:v>2.8322845710758043E-3</c:v>
                </c:pt>
                <c:pt idx="56">
                  <c:v>2.834251197497624E-3</c:v>
                </c:pt>
                <c:pt idx="57">
                  <c:v>2.8400972353406421E-3</c:v>
                </c:pt>
                <c:pt idx="58">
                  <c:v>2.8420279674808337E-3</c:v>
                </c:pt>
                <c:pt idx="59">
                  <c:v>2.8439497260506186E-3</c:v>
                </c:pt>
                <c:pt idx="60">
                  <c:v>2.8458625110499959E-3</c:v>
                </c:pt>
                <c:pt idx="61">
                  <c:v>2.847766322478967E-3</c:v>
                </c:pt>
                <c:pt idx="62">
                  <c:v>2.8534239153434355E-3</c:v>
                </c:pt>
                <c:pt idx="63">
                  <c:v>2.855291832490778E-3</c:v>
                </c:pt>
                <c:pt idx="64">
                  <c:v>2.8571507760677128E-3</c:v>
                </c:pt>
                <c:pt idx="65">
                  <c:v>2.8590007460742406E-3</c:v>
                </c:pt>
                <c:pt idx="66">
                  <c:v>2.8608417425103616E-3</c:v>
                </c:pt>
                <c:pt idx="67">
                  <c:v>2.8663108903962814E-3</c:v>
                </c:pt>
                <c:pt idx="68">
                  <c:v>2.8681159925507743E-3</c:v>
                </c:pt>
                <c:pt idx="69">
                  <c:v>2.8699121211348592E-3</c:v>
                </c:pt>
                <c:pt idx="70">
                  <c:v>2.8716992761485378E-3</c:v>
                </c:pt>
                <c:pt idx="71">
                  <c:v>2.8734774575918088E-3</c:v>
                </c:pt>
                <c:pt idx="72">
                  <c:v>2.8787581604991803E-3</c:v>
                </c:pt>
                <c:pt idx="73">
                  <c:v>2.8805004476608227E-3</c:v>
                </c:pt>
                <c:pt idx="74">
                  <c:v>2.8822337612520589E-3</c:v>
                </c:pt>
                <c:pt idx="75">
                  <c:v>2.883958101272887E-3</c:v>
                </c:pt>
                <c:pt idx="76">
                  <c:v>2.8856734677233089E-3</c:v>
                </c:pt>
                <c:pt idx="77">
                  <c:v>2.8907657256521308E-3</c:v>
                </c:pt>
                <c:pt idx="78">
                  <c:v>2.8924451978209241E-3</c:v>
                </c:pt>
                <c:pt idx="79">
                  <c:v>2.8941156964193099E-3</c:v>
                </c:pt>
                <c:pt idx="80">
                  <c:v>2.8957772214472893E-3</c:v>
                </c:pt>
                <c:pt idx="81">
                  <c:v>2.8974297729048607E-3</c:v>
                </c:pt>
                <c:pt idx="82">
                  <c:v>2.9023335858551344E-3</c:v>
                </c:pt>
                <c:pt idx="83">
                  <c:v>2.9039502430310777E-3</c:v>
                </c:pt>
                <c:pt idx="84">
                  <c:v>2.9055579266366142E-3</c:v>
                </c:pt>
                <c:pt idx="85">
                  <c:v>2.9071566366717433E-3</c:v>
                </c:pt>
                <c:pt idx="86">
                  <c:v>2.908746373136466E-3</c:v>
                </c:pt>
                <c:pt idx="87">
                  <c:v>2.9134617411081896E-3</c:v>
                </c:pt>
                <c:pt idx="88">
                  <c:v>2.9150155832912837E-3</c:v>
                </c:pt>
                <c:pt idx="89">
                  <c:v>2.9165604519039703E-3</c:v>
                </c:pt>
                <c:pt idx="90">
                  <c:v>2.9180963469462502E-3</c:v>
                </c:pt>
                <c:pt idx="91">
                  <c:v>2.9196232684181225E-3</c:v>
                </c:pt>
                <c:pt idx="92">
                  <c:v>2.9241501914112982E-3</c:v>
                </c:pt>
                <c:pt idx="93">
                  <c:v>2.9256412186015419E-3</c:v>
                </c:pt>
                <c:pt idx="94">
                  <c:v>2.9271232722213789E-3</c:v>
                </c:pt>
                <c:pt idx="95">
                  <c:v>2.9285963522708092E-3</c:v>
                </c:pt>
                <c:pt idx="96">
                  <c:v>2.9300604587498323E-3</c:v>
                </c:pt>
                <c:pt idx="97">
                  <c:v>2.9343989367644585E-3</c:v>
                </c:pt>
                <c:pt idx="98">
                  <c:v>2.9358271489618531E-3</c:v>
                </c:pt>
                <c:pt idx="99">
                  <c:v>2.9372463875888405E-3</c:v>
                </c:pt>
                <c:pt idx="100">
                  <c:v>2.9386566526454203E-3</c:v>
                </c:pt>
                <c:pt idx="101">
                  <c:v>2.9400579441315939E-3</c:v>
                </c:pt>
                <c:pt idx="102">
                  <c:v>2.9442079771676709E-3</c:v>
                </c:pt>
                <c:pt idx="103">
                  <c:v>2.9455733743722159E-3</c:v>
                </c:pt>
                <c:pt idx="104">
                  <c:v>2.9469297980063537E-3</c:v>
                </c:pt>
                <c:pt idx="105">
                  <c:v>2.9482772480700845E-3</c:v>
                </c:pt>
                <c:pt idx="106">
                  <c:v>2.949615724563408E-3</c:v>
                </c:pt>
                <c:pt idx="107">
                  <c:v>2.9535773126209367E-3</c:v>
                </c:pt>
                <c:pt idx="108">
                  <c:v>2.9548798948326317E-3</c:v>
                </c:pt>
                <c:pt idx="109">
                  <c:v>2.95617350347392E-3</c:v>
                </c:pt>
                <c:pt idx="110">
                  <c:v>2.9574581385448007E-3</c:v>
                </c:pt>
                <c:pt idx="111">
                  <c:v>2.9587338000452747E-3</c:v>
                </c:pt>
                <c:pt idx="112">
                  <c:v>2.9625069431242542E-3</c:v>
                </c:pt>
                <c:pt idx="113">
                  <c:v>2.9637467103430996E-3</c:v>
                </c:pt>
                <c:pt idx="114">
                  <c:v>2.9649775039915379E-3</c:v>
                </c:pt>
                <c:pt idx="115">
                  <c:v>2.9661993240695699E-3</c:v>
                </c:pt>
                <c:pt idx="116">
                  <c:v>2.9674121705771939E-3</c:v>
                </c:pt>
                <c:pt idx="117">
                  <c:v>2.9709968686776242E-3</c:v>
                </c:pt>
                <c:pt idx="118">
                  <c:v>2.9721738209036201E-3</c:v>
                </c:pt>
                <c:pt idx="119">
                  <c:v>2.9733417995592092E-3</c:v>
                </c:pt>
                <c:pt idx="120">
                  <c:v>2.9745008046443908E-3</c:v>
                </c:pt>
                <c:pt idx="121">
                  <c:v>2.9756508361591656E-3</c:v>
                </c:pt>
                <c:pt idx="122">
                  <c:v>2.9790470892810468E-3</c:v>
                </c:pt>
                <c:pt idx="123">
                  <c:v>2.9801612265141931E-3</c:v>
                </c:pt>
                <c:pt idx="124">
                  <c:v>2.9812663901769322E-3</c:v>
                </c:pt>
                <c:pt idx="125">
                  <c:v>2.9823625802692646E-3</c:v>
                </c:pt>
                <c:pt idx="126">
                  <c:v>2.983449796791189E-3</c:v>
                </c:pt>
                <c:pt idx="127">
                  <c:v>2.9866576049345219E-3</c:v>
                </c:pt>
                <c:pt idx="128">
                  <c:v>2.9877089271748182E-3</c:v>
                </c:pt>
                <c:pt idx="129">
                  <c:v>2.9887512758447073E-3</c:v>
                </c:pt>
                <c:pt idx="130">
                  <c:v>2.9897846509441901E-3</c:v>
                </c:pt>
                <c:pt idx="131">
                  <c:v>2.9908090524732654E-3</c:v>
                </c:pt>
                <c:pt idx="132">
                  <c:v>2.9938284156380487E-3</c:v>
                </c:pt>
                <c:pt idx="133">
                  <c:v>2.9948169228854963E-3</c:v>
                </c:pt>
                <c:pt idx="134">
                  <c:v>2.9957964565625358E-3</c:v>
                </c:pt>
                <c:pt idx="135">
                  <c:v>2.9967670166691682E-3</c:v>
                </c:pt>
                <c:pt idx="136">
                  <c:v>2.9977286032053943E-3</c:v>
                </c:pt>
                <c:pt idx="137">
                  <c:v>3.0005595213916285E-3</c:v>
                </c:pt>
                <c:pt idx="138">
                  <c:v>3.0014852136462261E-3</c:v>
                </c:pt>
                <c:pt idx="139">
                  <c:v>3.002401932330416E-3</c:v>
                </c:pt>
                <c:pt idx="140">
                  <c:v>3.0033096774441993E-3</c:v>
                </c:pt>
                <c:pt idx="141">
                  <c:v>3.0042084489875749E-3</c:v>
                </c:pt>
                <c:pt idx="142">
                  <c:v>3.0068509221952608E-3</c:v>
                </c:pt>
                <c:pt idx="143">
                  <c:v>3.0077137994570084E-3</c:v>
                </c:pt>
                <c:pt idx="144">
                  <c:v>3.0085677031483492E-3</c:v>
                </c:pt>
                <c:pt idx="145">
                  <c:v>3.0094126332692824E-3</c:v>
                </c:pt>
                <c:pt idx="146">
                  <c:v>3.010248589819809E-3</c:v>
                </c:pt>
                <c:pt idx="147">
                  <c:v>3.0127026180489453E-3</c:v>
                </c:pt>
                <c:pt idx="148">
                  <c:v>3.0135026803178432E-3</c:v>
                </c:pt>
                <c:pt idx="149">
                  <c:v>3.014293769016334E-3</c:v>
                </c:pt>
                <c:pt idx="150">
                  <c:v>3.0150758841444181E-3</c:v>
                </c:pt>
                <c:pt idx="151">
                  <c:v>3.0158490257020947E-3</c:v>
                </c:pt>
                <c:pt idx="152">
                  <c:v>3.0181146089526818E-3</c:v>
                </c:pt>
                <c:pt idx="153">
                  <c:v>3.0188518562287306E-3</c:v>
                </c:pt>
                <c:pt idx="154">
                  <c:v>3.0195801299343719E-3</c:v>
                </c:pt>
                <c:pt idx="155">
                  <c:v>3.020299430069606E-3</c:v>
                </c:pt>
                <c:pt idx="156">
                  <c:v>3.0210097566344329E-3</c:v>
                </c:pt>
                <c:pt idx="157">
                  <c:v>3.0230868949064713E-3</c:v>
                </c:pt>
                <c:pt idx="158">
                  <c:v>3.0237613271896701E-3</c:v>
                </c:pt>
                <c:pt idx="159">
                  <c:v>3.0244267859024618E-3</c:v>
                </c:pt>
                <c:pt idx="160">
                  <c:v>3.0250832710448463E-3</c:v>
                </c:pt>
                <c:pt idx="161">
                  <c:v>3.0276194759103134E-3</c:v>
                </c:pt>
                <c:pt idx="162">
                  <c:v>3.0282310932006626E-3</c:v>
                </c:pt>
                <c:pt idx="163">
                  <c:v>3.0288337369206043E-3</c:v>
                </c:pt>
                <c:pt idx="164">
                  <c:v>3.0294274070701392E-3</c:v>
                </c:pt>
                <c:pt idx="165">
                  <c:v>3.0317123519642076E-3</c:v>
                </c:pt>
                <c:pt idx="166">
                  <c:v>3.0322611542617072E-3</c:v>
                </c:pt>
                <c:pt idx="167">
                  <c:v>3.0328009829887993E-3</c:v>
                </c:pt>
                <c:pt idx="168">
                  <c:v>3.0333318381454842E-3</c:v>
                </c:pt>
                <c:pt idx="169">
                  <c:v>3.0338537197317625E-3</c:v>
                </c:pt>
                <c:pt idx="170">
                  <c:v>3.0353655230681538E-3</c:v>
                </c:pt>
                <c:pt idx="171">
                  <c:v>3.0358515103728039E-3</c:v>
                </c:pt>
                <c:pt idx="172">
                  <c:v>3.0363285241070464E-3</c:v>
                </c:pt>
                <c:pt idx="173">
                  <c:v>3.0367965642708818E-3</c:v>
                </c:pt>
                <c:pt idx="174">
                  <c:v>3.03725563086431E-3</c:v>
                </c:pt>
                <c:pt idx="175">
                  <c:v>3.0385789892221531E-3</c:v>
                </c:pt>
                <c:pt idx="176">
                  <c:v>3.0390021615339532E-3</c:v>
                </c:pt>
                <c:pt idx="177">
                  <c:v>3.0394163602753461E-3</c:v>
                </c:pt>
                <c:pt idx="178">
                  <c:v>3.0398215854463319E-3</c:v>
                </c:pt>
                <c:pt idx="179">
                  <c:v>3.040217837046911E-3</c:v>
                </c:pt>
                <c:pt idx="180">
                  <c:v>3.0413527504262045E-3</c:v>
                </c:pt>
                <c:pt idx="181">
                  <c:v>3.041713107745155E-3</c:v>
                </c:pt>
                <c:pt idx="182">
                  <c:v>3.0420644914936979E-3</c:v>
                </c:pt>
                <c:pt idx="183">
                  <c:v>3.0424069016718341E-3</c:v>
                </c:pt>
                <c:pt idx="184">
                  <c:v>3.0427403382795636E-3</c:v>
                </c:pt>
                <c:pt idx="185">
                  <c:v>3.0436868066803079E-3</c:v>
                </c:pt>
                <c:pt idx="186">
                  <c:v>3.0439843490064089E-3</c:v>
                </c:pt>
                <c:pt idx="187">
                  <c:v>3.0442729177621026E-3</c:v>
                </c:pt>
                <c:pt idx="188">
                  <c:v>3.0445525129473893E-3</c:v>
                </c:pt>
                <c:pt idx="189">
                  <c:v>3.0448231345622683E-3</c:v>
                </c:pt>
                <c:pt idx="190">
                  <c:v>3.0455811579844644E-3</c:v>
                </c:pt>
                <c:pt idx="191">
                  <c:v>3.0458158853177153E-3</c:v>
                </c:pt>
                <c:pt idx="192">
                  <c:v>3.0460416390805595E-3</c:v>
                </c:pt>
                <c:pt idx="193">
                  <c:v>3.0462584192729966E-3</c:v>
                </c:pt>
                <c:pt idx="194">
                  <c:v>3.0464662258950261E-3</c:v>
                </c:pt>
                <c:pt idx="195">
                  <c:v>3.0470358043386734E-3</c:v>
                </c:pt>
                <c:pt idx="196">
                  <c:v>3.0472077166790743E-3</c:v>
                </c:pt>
                <c:pt idx="197">
                  <c:v>3.0473706554490685E-3</c:v>
                </c:pt>
                <c:pt idx="198">
                  <c:v>3.047524620648656E-3</c:v>
                </c:pt>
                <c:pt idx="199">
                  <c:v>3.0476696122778363E-3</c:v>
                </c:pt>
                <c:pt idx="200">
                  <c:v>3.048050745742934E-3</c:v>
                </c:pt>
                <c:pt idx="201">
                  <c:v>3.0481598430904858E-3</c:v>
                </c:pt>
                <c:pt idx="202">
                  <c:v>3.0482599668676304E-3</c:v>
                </c:pt>
                <c:pt idx="203">
                  <c:v>3.0483511170743679E-3</c:v>
                </c:pt>
                <c:pt idx="204">
                  <c:v>3.0484332937106987E-3</c:v>
                </c:pt>
                <c:pt idx="205">
                  <c:v>3.0486259821972473E-3</c:v>
                </c:pt>
                <c:pt idx="206">
                  <c:v>3.0486722645519495E-3</c:v>
                </c:pt>
                <c:pt idx="207">
                  <c:v>3.0487095733362445E-3</c:v>
                </c:pt>
                <c:pt idx="208">
                  <c:v>3.0487379085501324E-3</c:v>
                </c:pt>
                <c:pt idx="209">
                  <c:v>3.0487572701936132E-3</c:v>
                </c:pt>
                <c:pt idx="210">
                  <c:v>3.0487615137016135E-3</c:v>
                </c:pt>
                <c:pt idx="211">
                  <c:v>3.0487449810634656E-3</c:v>
                </c:pt>
                <c:pt idx="212">
                  <c:v>3.0487194748549111E-3</c:v>
                </c:pt>
                <c:pt idx="213">
                  <c:v>3.048684995075949E-3</c:v>
                </c:pt>
                <c:pt idx="214">
                  <c:v>3.0486415417265806E-3</c:v>
                </c:pt>
                <c:pt idx="215">
                  <c:v>3.0484573402560313E-3</c:v>
                </c:pt>
                <c:pt idx="216">
                  <c:v>3.0483779926250344E-3</c:v>
                </c:pt>
                <c:pt idx="217">
                  <c:v>3.0482896714236298E-3</c:v>
                </c:pt>
                <c:pt idx="218">
                  <c:v>3.0481923766518182E-3</c:v>
                </c:pt>
                <c:pt idx="219">
                  <c:v>3.0480861083096002E-3</c:v>
                </c:pt>
                <c:pt idx="220">
                  <c:v>3.0477134618605017E-3</c:v>
                </c:pt>
                <c:pt idx="221">
                  <c:v>3.0475712992366552E-3</c:v>
                </c:pt>
                <c:pt idx="222">
                  <c:v>3.0474201630424015E-3</c:v>
                </c:pt>
                <c:pt idx="223">
                  <c:v>3.0472600532777403E-3</c:v>
                </c:pt>
                <c:pt idx="224">
                  <c:v>3.0463249008983286E-3</c:v>
                </c:pt>
                <c:pt idx="225">
                  <c:v>3.0461109497112249E-3</c:v>
                </c:pt>
                <c:pt idx="226">
                  <c:v>3.0458880249537145E-3</c:v>
                </c:pt>
                <c:pt idx="227">
                  <c:v>3.0456561266257965E-3</c:v>
                </c:pt>
                <c:pt idx="228">
                  <c:v>3.0449065902196011E-3</c:v>
                </c:pt>
                <c:pt idx="229">
                  <c:v>3.0446387976100545E-3</c:v>
                </c:pt>
                <c:pt idx="230">
                  <c:v>3.0443620314301008E-3</c:v>
                </c:pt>
                <c:pt idx="231">
                  <c:v>3.0440762916797409E-3</c:v>
                </c:pt>
                <c:pt idx="232">
                  <c:v>3.0437815783589733E-3</c:v>
                </c:pt>
                <c:pt idx="233">
                  <c:v>3.0428435969742287E-3</c:v>
                </c:pt>
                <c:pt idx="234">
                  <c:v>3.0425129893718325E-3</c:v>
                </c:pt>
                <c:pt idx="235">
                  <c:v>3.0421734081990297E-3</c:v>
                </c:pt>
                <c:pt idx="236">
                  <c:v>3.0418248534558197E-3</c:v>
                </c:pt>
                <c:pt idx="237">
                  <c:v>3.0414673251422026E-3</c:v>
                </c:pt>
                <c:pt idx="238">
                  <c:v>3.0403408987789088E-3</c:v>
                </c:pt>
                <c:pt idx="239">
                  <c:v>3.0399474761836636E-3</c:v>
                </c:pt>
                <c:pt idx="240">
                  <c:v>3.0395450800180107E-3</c:v>
                </c:pt>
                <c:pt idx="241">
                  <c:v>3.0391337102819512E-3</c:v>
                </c:pt>
                <c:pt idx="242">
                  <c:v>3.038713366975484E-3</c:v>
                </c:pt>
                <c:pt idx="243">
                  <c:v>3.0373984956336415E-3</c:v>
                </c:pt>
                <c:pt idx="244">
                  <c:v>3.0369422580455462E-3</c:v>
                </c:pt>
                <c:pt idx="245">
                  <c:v>3.0364770468870438E-3</c:v>
                </c:pt>
                <c:pt idx="246">
                  <c:v>3.0360028621581347E-3</c:v>
                </c:pt>
                <c:pt idx="247">
                  <c:v>3.0355197038588184E-3</c:v>
                </c:pt>
                <c:pt idx="248">
                  <c:v>3.0340163875384263E-3</c:v>
                </c:pt>
                <c:pt idx="249">
                  <c:v>3.0334973349574819E-3</c:v>
                </c:pt>
                <c:pt idx="250">
                  <c:v>3.0329693088061299E-3</c:v>
                </c:pt>
                <c:pt idx="251">
                  <c:v>3.0324323090843708E-3</c:v>
                </c:pt>
                <c:pt idx="252">
                  <c:v>3.0318863357922049E-3</c:v>
                </c:pt>
                <c:pt idx="253">
                  <c:v>3.0301945744932637E-3</c:v>
                </c:pt>
                <c:pt idx="254">
                  <c:v>3.0296127069194697E-3</c:v>
                </c:pt>
                <c:pt idx="255">
                  <c:v>3.0290218657752681E-3</c:v>
                </c:pt>
                <c:pt idx="256">
                  <c:v>3.0284220510606594E-3</c:v>
                </c:pt>
                <c:pt idx="257">
                  <c:v>3.0278132627756436E-3</c:v>
                </c:pt>
                <c:pt idx="258">
                  <c:v>3.025933056498154E-3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'12MSynthDepo_allScenario'!$BK$6:$BK$264</c:f>
              <c:numCache>
                <c:formatCode>0.0000%</c:formatCode>
                <c:ptCount val="259"/>
                <c:pt idx="0">
                  <c:v>2.8705581859419012E-3</c:v>
                </c:pt>
                <c:pt idx="1">
                  <c:v>2.8710149658817134E-3</c:v>
                </c:pt>
                <c:pt idx="2">
                  <c:v>2.8723853057011505E-3</c:v>
                </c:pt>
                <c:pt idx="3">
                  <c:v>2.8728420856409627E-3</c:v>
                </c:pt>
                <c:pt idx="4">
                  <c:v>2.8732988655807748E-3</c:v>
                </c:pt>
                <c:pt idx="5">
                  <c:v>2.873755645520587E-3</c:v>
                </c:pt>
                <c:pt idx="6">
                  <c:v>2.8742124254603992E-3</c:v>
                </c:pt>
                <c:pt idx="7">
                  <c:v>2.8755827652798363E-3</c:v>
                </c:pt>
                <c:pt idx="8">
                  <c:v>2.8760395452196484E-3</c:v>
                </c:pt>
                <c:pt idx="9">
                  <c:v>2.8764963251594606E-3</c:v>
                </c:pt>
                <c:pt idx="10">
                  <c:v>2.8769531050992728E-3</c:v>
                </c:pt>
                <c:pt idx="11">
                  <c:v>2.877409885039085E-3</c:v>
                </c:pt>
                <c:pt idx="12">
                  <c:v>2.878780224858522E-3</c:v>
                </c:pt>
                <c:pt idx="13">
                  <c:v>2.8792370047983342E-3</c:v>
                </c:pt>
                <c:pt idx="14">
                  <c:v>2.8796937847381464E-3</c:v>
                </c:pt>
                <c:pt idx="15">
                  <c:v>2.8801505646779586E-3</c:v>
                </c:pt>
                <c:pt idx="16">
                  <c:v>2.8806073446177708E-3</c:v>
                </c:pt>
                <c:pt idx="17">
                  <c:v>2.8819776844372078E-3</c:v>
                </c:pt>
                <c:pt idx="18">
                  <c:v>2.88243446437702E-3</c:v>
                </c:pt>
                <c:pt idx="19">
                  <c:v>2.8828912443168322E-3</c:v>
                </c:pt>
                <c:pt idx="20">
                  <c:v>2.8833480242566444E-3</c:v>
                </c:pt>
                <c:pt idx="21">
                  <c:v>2.8838048041964571E-3</c:v>
                </c:pt>
                <c:pt idx="22">
                  <c:v>2.8851751440158936E-3</c:v>
                </c:pt>
                <c:pt idx="23">
                  <c:v>2.8856319239557058E-3</c:v>
                </c:pt>
                <c:pt idx="24">
                  <c:v>2.886088703895518E-3</c:v>
                </c:pt>
                <c:pt idx="25">
                  <c:v>2.8865454838353302E-3</c:v>
                </c:pt>
                <c:pt idx="26">
                  <c:v>2.8870022637751428E-3</c:v>
                </c:pt>
                <c:pt idx="27">
                  <c:v>2.8883726035945794E-3</c:v>
                </c:pt>
                <c:pt idx="28">
                  <c:v>2.8888293835343916E-3</c:v>
                </c:pt>
                <c:pt idx="29">
                  <c:v>2.8892861634742038E-3</c:v>
                </c:pt>
                <c:pt idx="30">
                  <c:v>2.8897429434140164E-3</c:v>
                </c:pt>
                <c:pt idx="31">
                  <c:v>2.8901997233538286E-3</c:v>
                </c:pt>
                <c:pt idx="32">
                  <c:v>2.8915700631732652E-3</c:v>
                </c:pt>
                <c:pt idx="33">
                  <c:v>2.8920268431130774E-3</c:v>
                </c:pt>
                <c:pt idx="34">
                  <c:v>2.8924836230528896E-3</c:v>
                </c:pt>
                <c:pt idx="35">
                  <c:v>2.8929404029927022E-3</c:v>
                </c:pt>
                <c:pt idx="36">
                  <c:v>2.8933971829325144E-3</c:v>
                </c:pt>
                <c:pt idx="37">
                  <c:v>2.894767522751951E-3</c:v>
                </c:pt>
                <c:pt idx="38">
                  <c:v>2.8952243026917632E-3</c:v>
                </c:pt>
                <c:pt idx="39">
                  <c:v>2.8956810826315758E-3</c:v>
                </c:pt>
                <c:pt idx="40">
                  <c:v>2.896137862571388E-3</c:v>
                </c:pt>
                <c:pt idx="41">
                  <c:v>2.8965946425112002E-3</c:v>
                </c:pt>
                <c:pt idx="42">
                  <c:v>2.8979649823306368E-3</c:v>
                </c:pt>
                <c:pt idx="43">
                  <c:v>2.898421762270449E-3</c:v>
                </c:pt>
                <c:pt idx="44">
                  <c:v>2.8988785422102616E-3</c:v>
                </c:pt>
                <c:pt idx="45">
                  <c:v>2.8993353221500738E-3</c:v>
                </c:pt>
                <c:pt idx="46">
                  <c:v>2.899792102089886E-3</c:v>
                </c:pt>
                <c:pt idx="47">
                  <c:v>2.9011624419093226E-3</c:v>
                </c:pt>
                <c:pt idx="48">
                  <c:v>2.9016192218491352E-3</c:v>
                </c:pt>
                <c:pt idx="49">
                  <c:v>2.9020760017889474E-3</c:v>
                </c:pt>
                <c:pt idx="50">
                  <c:v>2.9025327817287596E-3</c:v>
                </c:pt>
                <c:pt idx="51">
                  <c:v>2.9029895616685718E-3</c:v>
                </c:pt>
                <c:pt idx="52">
                  <c:v>2.9043599014880088E-3</c:v>
                </c:pt>
                <c:pt idx="53">
                  <c:v>2.904816681427821E-3</c:v>
                </c:pt>
                <c:pt idx="54">
                  <c:v>2.9052734613676332E-3</c:v>
                </c:pt>
                <c:pt idx="55">
                  <c:v>2.9057302413074454E-3</c:v>
                </c:pt>
                <c:pt idx="56">
                  <c:v>2.9061870212472576E-3</c:v>
                </c:pt>
                <c:pt idx="57">
                  <c:v>2.9075573610666946E-3</c:v>
                </c:pt>
                <c:pt idx="58">
                  <c:v>2.9080141410065068E-3</c:v>
                </c:pt>
                <c:pt idx="59">
                  <c:v>2.908470920946319E-3</c:v>
                </c:pt>
                <c:pt idx="60">
                  <c:v>2.9089277008861312E-3</c:v>
                </c:pt>
                <c:pt idx="61">
                  <c:v>2.9093844808259434E-3</c:v>
                </c:pt>
                <c:pt idx="62">
                  <c:v>2.9107548206453804E-3</c:v>
                </c:pt>
                <c:pt idx="63">
                  <c:v>2.9112116005851926E-3</c:v>
                </c:pt>
                <c:pt idx="64">
                  <c:v>2.9116683805250048E-3</c:v>
                </c:pt>
                <c:pt idx="65">
                  <c:v>2.912125160464817E-3</c:v>
                </c:pt>
                <c:pt idx="66">
                  <c:v>2.9125819404046292E-3</c:v>
                </c:pt>
                <c:pt idx="67">
                  <c:v>2.9139522802240662E-3</c:v>
                </c:pt>
                <c:pt idx="68">
                  <c:v>2.9144090601638784E-3</c:v>
                </c:pt>
                <c:pt idx="69">
                  <c:v>2.9148658401036906E-3</c:v>
                </c:pt>
                <c:pt idx="70">
                  <c:v>2.9153226200435028E-3</c:v>
                </c:pt>
                <c:pt idx="71">
                  <c:v>2.915779399983315E-3</c:v>
                </c:pt>
                <c:pt idx="72">
                  <c:v>2.917149739802752E-3</c:v>
                </c:pt>
                <c:pt idx="73">
                  <c:v>2.9176065197425642E-3</c:v>
                </c:pt>
                <c:pt idx="74">
                  <c:v>2.9180632996823764E-3</c:v>
                </c:pt>
                <c:pt idx="75">
                  <c:v>2.9185200796221886E-3</c:v>
                </c:pt>
                <c:pt idx="76">
                  <c:v>2.9189768595620008E-3</c:v>
                </c:pt>
                <c:pt idx="77">
                  <c:v>2.9203471993814378E-3</c:v>
                </c:pt>
                <c:pt idx="78">
                  <c:v>2.92080397932125E-3</c:v>
                </c:pt>
                <c:pt idx="79">
                  <c:v>2.9212607592610622E-3</c:v>
                </c:pt>
                <c:pt idx="80">
                  <c:v>2.9217175392008744E-3</c:v>
                </c:pt>
                <c:pt idx="81">
                  <c:v>2.922174319140687E-3</c:v>
                </c:pt>
                <c:pt idx="82">
                  <c:v>2.9235446589601236E-3</c:v>
                </c:pt>
                <c:pt idx="83">
                  <c:v>2.9240014388999358E-3</c:v>
                </c:pt>
                <c:pt idx="84">
                  <c:v>2.924458218839748E-3</c:v>
                </c:pt>
                <c:pt idx="85">
                  <c:v>2.9249149987795606E-3</c:v>
                </c:pt>
                <c:pt idx="86">
                  <c:v>2.9253717787193728E-3</c:v>
                </c:pt>
                <c:pt idx="87">
                  <c:v>2.9267421185388094E-3</c:v>
                </c:pt>
                <c:pt idx="88">
                  <c:v>2.9271988984786216E-3</c:v>
                </c:pt>
                <c:pt idx="89">
                  <c:v>2.9276556784184338E-3</c:v>
                </c:pt>
                <c:pt idx="90">
                  <c:v>2.9281124583582464E-3</c:v>
                </c:pt>
                <c:pt idx="91">
                  <c:v>2.9285692382980586E-3</c:v>
                </c:pt>
                <c:pt idx="92">
                  <c:v>2.9299395781174952E-3</c:v>
                </c:pt>
                <c:pt idx="93">
                  <c:v>2.9303963580573074E-3</c:v>
                </c:pt>
                <c:pt idx="94">
                  <c:v>2.93085313799712E-3</c:v>
                </c:pt>
                <c:pt idx="95">
                  <c:v>2.9313099179369322E-3</c:v>
                </c:pt>
                <c:pt idx="96">
                  <c:v>2.9317666978767444E-3</c:v>
                </c:pt>
                <c:pt idx="97">
                  <c:v>2.933137037696181E-3</c:v>
                </c:pt>
                <c:pt idx="98">
                  <c:v>2.9335938176359932E-3</c:v>
                </c:pt>
                <c:pt idx="99">
                  <c:v>2.9340505975758058E-3</c:v>
                </c:pt>
                <c:pt idx="100">
                  <c:v>2.934507377515618E-3</c:v>
                </c:pt>
                <c:pt idx="101">
                  <c:v>2.9349641574554302E-3</c:v>
                </c:pt>
                <c:pt idx="102">
                  <c:v>2.9363344972748668E-3</c:v>
                </c:pt>
                <c:pt idx="103">
                  <c:v>2.9367912772146794E-3</c:v>
                </c:pt>
                <c:pt idx="104">
                  <c:v>2.9372480571544916E-3</c:v>
                </c:pt>
                <c:pt idx="105">
                  <c:v>2.9377048370943038E-3</c:v>
                </c:pt>
                <c:pt idx="106">
                  <c:v>2.938161617034116E-3</c:v>
                </c:pt>
                <c:pt idx="107">
                  <c:v>2.9395319568535526E-3</c:v>
                </c:pt>
                <c:pt idx="108">
                  <c:v>2.9399887367933652E-3</c:v>
                </c:pt>
                <c:pt idx="109">
                  <c:v>2.9404455167331774E-3</c:v>
                </c:pt>
                <c:pt idx="110">
                  <c:v>2.9409022966729896E-3</c:v>
                </c:pt>
                <c:pt idx="111">
                  <c:v>2.9413590766128018E-3</c:v>
                </c:pt>
                <c:pt idx="112">
                  <c:v>2.9427294164322388E-3</c:v>
                </c:pt>
                <c:pt idx="113">
                  <c:v>2.943186196372051E-3</c:v>
                </c:pt>
                <c:pt idx="114">
                  <c:v>2.9436429763118632E-3</c:v>
                </c:pt>
                <c:pt idx="115">
                  <c:v>2.9440997562516754E-3</c:v>
                </c:pt>
                <c:pt idx="116">
                  <c:v>2.9445565361914876E-3</c:v>
                </c:pt>
                <c:pt idx="117">
                  <c:v>2.9459268760109246E-3</c:v>
                </c:pt>
                <c:pt idx="118">
                  <c:v>2.9463836559507368E-3</c:v>
                </c:pt>
                <c:pt idx="119">
                  <c:v>2.946840435890549E-3</c:v>
                </c:pt>
                <c:pt idx="120">
                  <c:v>2.9472972158303612E-3</c:v>
                </c:pt>
                <c:pt idx="121">
                  <c:v>2.9477539957701734E-3</c:v>
                </c:pt>
                <c:pt idx="122">
                  <c:v>2.9491243355896104E-3</c:v>
                </c:pt>
                <c:pt idx="123">
                  <c:v>2.9495811155294226E-3</c:v>
                </c:pt>
                <c:pt idx="124">
                  <c:v>2.9500378954692348E-3</c:v>
                </c:pt>
                <c:pt idx="125">
                  <c:v>2.950494675409047E-3</c:v>
                </c:pt>
                <c:pt idx="126">
                  <c:v>2.9509514553488591E-3</c:v>
                </c:pt>
                <c:pt idx="127">
                  <c:v>2.9523217951682962E-3</c:v>
                </c:pt>
                <c:pt idx="128">
                  <c:v>2.9527785751081084E-3</c:v>
                </c:pt>
                <c:pt idx="129">
                  <c:v>2.9532353550479206E-3</c:v>
                </c:pt>
                <c:pt idx="130">
                  <c:v>2.9536921349877327E-3</c:v>
                </c:pt>
                <c:pt idx="131">
                  <c:v>2.9541489149275449E-3</c:v>
                </c:pt>
                <c:pt idx="132">
                  <c:v>2.955519254746982E-3</c:v>
                </c:pt>
                <c:pt idx="133">
                  <c:v>2.9559760346867942E-3</c:v>
                </c:pt>
                <c:pt idx="134">
                  <c:v>2.9564328146266063E-3</c:v>
                </c:pt>
                <c:pt idx="135">
                  <c:v>2.9568895945664185E-3</c:v>
                </c:pt>
                <c:pt idx="136">
                  <c:v>2.9573463745062312E-3</c:v>
                </c:pt>
                <c:pt idx="137">
                  <c:v>2.9587167143256678E-3</c:v>
                </c:pt>
                <c:pt idx="138">
                  <c:v>2.9591734942654799E-3</c:v>
                </c:pt>
                <c:pt idx="139">
                  <c:v>2.9596302742052921E-3</c:v>
                </c:pt>
                <c:pt idx="140">
                  <c:v>2.9600870541451043E-3</c:v>
                </c:pt>
                <c:pt idx="141">
                  <c:v>2.960543834084917E-3</c:v>
                </c:pt>
                <c:pt idx="142">
                  <c:v>2.9619141739043535E-3</c:v>
                </c:pt>
                <c:pt idx="143">
                  <c:v>2.9623709538441657E-3</c:v>
                </c:pt>
                <c:pt idx="144">
                  <c:v>2.9628277337839779E-3</c:v>
                </c:pt>
                <c:pt idx="145">
                  <c:v>2.9632845137237906E-3</c:v>
                </c:pt>
                <c:pt idx="146">
                  <c:v>2.9637412936636028E-3</c:v>
                </c:pt>
                <c:pt idx="147">
                  <c:v>2.9651116334830393E-3</c:v>
                </c:pt>
                <c:pt idx="148">
                  <c:v>2.9655684134228515E-3</c:v>
                </c:pt>
                <c:pt idx="149">
                  <c:v>2.9660251933626642E-3</c:v>
                </c:pt>
                <c:pt idx="150">
                  <c:v>2.9664819733024764E-3</c:v>
                </c:pt>
                <c:pt idx="151">
                  <c:v>2.9669387532422885E-3</c:v>
                </c:pt>
                <c:pt idx="152">
                  <c:v>2.9683090930617251E-3</c:v>
                </c:pt>
                <c:pt idx="153">
                  <c:v>2.9687658730015373E-3</c:v>
                </c:pt>
                <c:pt idx="154">
                  <c:v>2.96922265294135E-3</c:v>
                </c:pt>
                <c:pt idx="155">
                  <c:v>2.9696794328811621E-3</c:v>
                </c:pt>
                <c:pt idx="156">
                  <c:v>2.9701362128209743E-3</c:v>
                </c:pt>
                <c:pt idx="157">
                  <c:v>2.9715065526404109E-3</c:v>
                </c:pt>
                <c:pt idx="158">
                  <c:v>2.9719633325802236E-3</c:v>
                </c:pt>
                <c:pt idx="159">
                  <c:v>2.9724201125200357E-3</c:v>
                </c:pt>
                <c:pt idx="160">
                  <c:v>2.9728768924598479E-3</c:v>
                </c:pt>
                <c:pt idx="161">
                  <c:v>2.9747040122190967E-3</c:v>
                </c:pt>
                <c:pt idx="162">
                  <c:v>2.9751607921589093E-3</c:v>
                </c:pt>
                <c:pt idx="163">
                  <c:v>2.9756175720987215E-3</c:v>
                </c:pt>
                <c:pt idx="164">
                  <c:v>2.9760743520385337E-3</c:v>
                </c:pt>
                <c:pt idx="165">
                  <c:v>2.9779014717977829E-3</c:v>
                </c:pt>
                <c:pt idx="166">
                  <c:v>2.9783582517375951E-3</c:v>
                </c:pt>
                <c:pt idx="167">
                  <c:v>2.9788150316774073E-3</c:v>
                </c:pt>
                <c:pt idx="168">
                  <c:v>2.9792718116172195E-3</c:v>
                </c:pt>
                <c:pt idx="169">
                  <c:v>2.9797285915570317E-3</c:v>
                </c:pt>
                <c:pt idx="170">
                  <c:v>2.9810989313764687E-3</c:v>
                </c:pt>
                <c:pt idx="171">
                  <c:v>2.9815557113162809E-3</c:v>
                </c:pt>
                <c:pt idx="172">
                  <c:v>2.9820124912560931E-3</c:v>
                </c:pt>
                <c:pt idx="173">
                  <c:v>2.9824692711959053E-3</c:v>
                </c:pt>
                <c:pt idx="174">
                  <c:v>2.9829260511357175E-3</c:v>
                </c:pt>
                <c:pt idx="175">
                  <c:v>2.9842963909551545E-3</c:v>
                </c:pt>
                <c:pt idx="176">
                  <c:v>2.9847531708949667E-3</c:v>
                </c:pt>
                <c:pt idx="177">
                  <c:v>2.9852099508347789E-3</c:v>
                </c:pt>
                <c:pt idx="178">
                  <c:v>2.9856667307745911E-3</c:v>
                </c:pt>
                <c:pt idx="179">
                  <c:v>2.9861235107144033E-3</c:v>
                </c:pt>
                <c:pt idx="180">
                  <c:v>2.9874938505338403E-3</c:v>
                </c:pt>
                <c:pt idx="181">
                  <c:v>2.9879506304736525E-3</c:v>
                </c:pt>
                <c:pt idx="182">
                  <c:v>2.9884074104134647E-3</c:v>
                </c:pt>
                <c:pt idx="183">
                  <c:v>2.9888641903532769E-3</c:v>
                </c:pt>
                <c:pt idx="184">
                  <c:v>2.9893209702930891E-3</c:v>
                </c:pt>
                <c:pt idx="185">
                  <c:v>2.9906913101125261E-3</c:v>
                </c:pt>
                <c:pt idx="186">
                  <c:v>2.9911480900523383E-3</c:v>
                </c:pt>
                <c:pt idx="187">
                  <c:v>2.9916048699921505E-3</c:v>
                </c:pt>
                <c:pt idx="188">
                  <c:v>2.9920616499319627E-3</c:v>
                </c:pt>
                <c:pt idx="189">
                  <c:v>2.9925184298717753E-3</c:v>
                </c:pt>
                <c:pt idx="190">
                  <c:v>2.9938887696912119E-3</c:v>
                </c:pt>
                <c:pt idx="191">
                  <c:v>2.9943455496310241E-3</c:v>
                </c:pt>
                <c:pt idx="192">
                  <c:v>2.9948023295708363E-3</c:v>
                </c:pt>
                <c:pt idx="193">
                  <c:v>2.9952591095106485E-3</c:v>
                </c:pt>
                <c:pt idx="194">
                  <c:v>2.9957158894504611E-3</c:v>
                </c:pt>
                <c:pt idx="195">
                  <c:v>2.9970862292698977E-3</c:v>
                </c:pt>
                <c:pt idx="196">
                  <c:v>2.9975430092097099E-3</c:v>
                </c:pt>
                <c:pt idx="197">
                  <c:v>2.9979997891495221E-3</c:v>
                </c:pt>
                <c:pt idx="198">
                  <c:v>2.9984565690893347E-3</c:v>
                </c:pt>
                <c:pt idx="199">
                  <c:v>2.9989133490291469E-3</c:v>
                </c:pt>
                <c:pt idx="200">
                  <c:v>3.0002836888485835E-3</c:v>
                </c:pt>
                <c:pt idx="201">
                  <c:v>3.0007404687883957E-3</c:v>
                </c:pt>
                <c:pt idx="202">
                  <c:v>3.0011972487282079E-3</c:v>
                </c:pt>
                <c:pt idx="203">
                  <c:v>3.0016540286680205E-3</c:v>
                </c:pt>
                <c:pt idx="204">
                  <c:v>3.0021108086078327E-3</c:v>
                </c:pt>
                <c:pt idx="205">
                  <c:v>3.0034811484272693E-3</c:v>
                </c:pt>
                <c:pt idx="206">
                  <c:v>3.0039379283670815E-3</c:v>
                </c:pt>
                <c:pt idx="207">
                  <c:v>3.0043947083068941E-3</c:v>
                </c:pt>
                <c:pt idx="208">
                  <c:v>3.0048514882467063E-3</c:v>
                </c:pt>
                <c:pt idx="209">
                  <c:v>3.0053082681865185E-3</c:v>
                </c:pt>
                <c:pt idx="210">
                  <c:v>3.0066786080059551E-3</c:v>
                </c:pt>
                <c:pt idx="211">
                  <c:v>3.0071353879457677E-3</c:v>
                </c:pt>
                <c:pt idx="212">
                  <c:v>3.0075921678855799E-3</c:v>
                </c:pt>
                <c:pt idx="213">
                  <c:v>3.0080489478253921E-3</c:v>
                </c:pt>
                <c:pt idx="214">
                  <c:v>3.0085057277652043E-3</c:v>
                </c:pt>
                <c:pt idx="215">
                  <c:v>3.0098760675846409E-3</c:v>
                </c:pt>
                <c:pt idx="216">
                  <c:v>3.0103328475244535E-3</c:v>
                </c:pt>
                <c:pt idx="217">
                  <c:v>3.0107896274642657E-3</c:v>
                </c:pt>
                <c:pt idx="218">
                  <c:v>3.0112464074040779E-3</c:v>
                </c:pt>
                <c:pt idx="219">
                  <c:v>3.0117031873438901E-3</c:v>
                </c:pt>
                <c:pt idx="220">
                  <c:v>3.0130735271633271E-3</c:v>
                </c:pt>
                <c:pt idx="221">
                  <c:v>3.0135303071031393E-3</c:v>
                </c:pt>
                <c:pt idx="222">
                  <c:v>3.0139870870429515E-3</c:v>
                </c:pt>
                <c:pt idx="223">
                  <c:v>3.0144438669827637E-3</c:v>
                </c:pt>
                <c:pt idx="224">
                  <c:v>3.0167277666818251E-3</c:v>
                </c:pt>
                <c:pt idx="225">
                  <c:v>3.0171845466216373E-3</c:v>
                </c:pt>
                <c:pt idx="226">
                  <c:v>3.0176413265614495E-3</c:v>
                </c:pt>
                <c:pt idx="227">
                  <c:v>3.0180981065012617E-3</c:v>
                </c:pt>
                <c:pt idx="228">
                  <c:v>3.0194684463206987E-3</c:v>
                </c:pt>
                <c:pt idx="229">
                  <c:v>3.0199252262605109E-3</c:v>
                </c:pt>
                <c:pt idx="230">
                  <c:v>3.0203820062003231E-3</c:v>
                </c:pt>
                <c:pt idx="231">
                  <c:v>3.0208387861401353E-3</c:v>
                </c:pt>
                <c:pt idx="232">
                  <c:v>3.0212955660799475E-3</c:v>
                </c:pt>
                <c:pt idx="233">
                  <c:v>3.0226659058993845E-3</c:v>
                </c:pt>
                <c:pt idx="234">
                  <c:v>3.0231226858391967E-3</c:v>
                </c:pt>
                <c:pt idx="235">
                  <c:v>3.0235794657790089E-3</c:v>
                </c:pt>
                <c:pt idx="236">
                  <c:v>3.0240362457188211E-3</c:v>
                </c:pt>
                <c:pt idx="237">
                  <c:v>3.0244930256586333E-3</c:v>
                </c:pt>
                <c:pt idx="238">
                  <c:v>3.0258633654780703E-3</c:v>
                </c:pt>
                <c:pt idx="239">
                  <c:v>3.0263201454178825E-3</c:v>
                </c:pt>
                <c:pt idx="240">
                  <c:v>3.0267769253576947E-3</c:v>
                </c:pt>
                <c:pt idx="241">
                  <c:v>3.0272337052975069E-3</c:v>
                </c:pt>
                <c:pt idx="242">
                  <c:v>3.0276904852373195E-3</c:v>
                </c:pt>
                <c:pt idx="243">
                  <c:v>3.0290608250567561E-3</c:v>
                </c:pt>
                <c:pt idx="244">
                  <c:v>3.0295176049965683E-3</c:v>
                </c:pt>
                <c:pt idx="245">
                  <c:v>3.0299743849363805E-3</c:v>
                </c:pt>
                <c:pt idx="246">
                  <c:v>3.0304311648761927E-3</c:v>
                </c:pt>
                <c:pt idx="247">
                  <c:v>3.0308879448160053E-3</c:v>
                </c:pt>
                <c:pt idx="248">
                  <c:v>3.0322582846354419E-3</c:v>
                </c:pt>
                <c:pt idx="249">
                  <c:v>3.0327150645752541E-3</c:v>
                </c:pt>
                <c:pt idx="250">
                  <c:v>3.0331718445150663E-3</c:v>
                </c:pt>
                <c:pt idx="251">
                  <c:v>3.0336286244548789E-3</c:v>
                </c:pt>
                <c:pt idx="252">
                  <c:v>3.0340854043946911E-3</c:v>
                </c:pt>
                <c:pt idx="253">
                  <c:v>3.0354557442141277E-3</c:v>
                </c:pt>
                <c:pt idx="254">
                  <c:v>3.0359125241539399E-3</c:v>
                </c:pt>
                <c:pt idx="255">
                  <c:v>3.036369304093752E-3</c:v>
                </c:pt>
                <c:pt idx="256">
                  <c:v>3.0368260840335647E-3</c:v>
                </c:pt>
                <c:pt idx="257">
                  <c:v>3.0372828639733769E-3</c:v>
                </c:pt>
                <c:pt idx="258">
                  <c:v>3.0386532037928135E-3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'12MSynthDepo_allScenario'!$BL$6:$BL$264</c:f>
              <c:numCache>
                <c:formatCode>0.0000%</c:formatCode>
                <c:ptCount val="259"/>
                <c:pt idx="0">
                  <c:v>2.915280197346588E-3</c:v>
                </c:pt>
                <c:pt idx="1">
                  <c:v>2.9152826775414851E-3</c:v>
                </c:pt>
                <c:pt idx="2">
                  <c:v>2.9153012322745524E-3</c:v>
                </c:pt>
                <c:pt idx="3">
                  <c:v>2.9153111219016995E-3</c:v>
                </c:pt>
                <c:pt idx="4">
                  <c:v>2.9153228638869088E-3</c:v>
                </c:pt>
                <c:pt idx="5">
                  <c:v>2.9153364582301809E-3</c:v>
                </c:pt>
                <c:pt idx="6">
                  <c:v>2.9153519049315152E-3</c:v>
                </c:pt>
                <c:pt idx="7">
                  <c:v>2.9154093591838934E-3</c:v>
                </c:pt>
                <c:pt idx="8">
                  <c:v>2.9154322153174777E-3</c:v>
                </c:pt>
                <c:pt idx="9">
                  <c:v>2.9154569238091241E-3</c:v>
                </c:pt>
                <c:pt idx="10">
                  <c:v>2.9154834846588334E-3</c:v>
                </c:pt>
                <c:pt idx="11">
                  <c:v>2.9155118978666048E-3</c:v>
                </c:pt>
                <c:pt idx="12">
                  <c:v>2.9156082516382945E-3</c:v>
                </c:pt>
                <c:pt idx="13">
                  <c:v>2.9156440742783155E-3</c:v>
                </c:pt>
                <c:pt idx="14">
                  <c:v>2.9156817492763994E-3</c:v>
                </c:pt>
                <c:pt idx="15">
                  <c:v>2.9157212766325455E-3</c:v>
                </c:pt>
                <c:pt idx="16">
                  <c:v>2.915762656346754E-3</c:v>
                </c:pt>
                <c:pt idx="17">
                  <c:v>2.9158979096377551E-3</c:v>
                </c:pt>
                <c:pt idx="18">
                  <c:v>2.9159466987842132E-3</c:v>
                </c:pt>
                <c:pt idx="19">
                  <c:v>2.9159973402887343E-3</c:v>
                </c:pt>
                <c:pt idx="20">
                  <c:v>2.9160498341513174E-3</c:v>
                </c:pt>
                <c:pt idx="21">
                  <c:v>2.9161041803719636E-3</c:v>
                </c:pt>
                <c:pt idx="22">
                  <c:v>2.9162783331822752E-3</c:v>
                </c:pt>
                <c:pt idx="23">
                  <c:v>2.9163400888351709E-3</c:v>
                </c:pt>
                <c:pt idx="24">
                  <c:v>2.9164036968461287E-3</c:v>
                </c:pt>
                <c:pt idx="25">
                  <c:v>2.916469157215149E-3</c:v>
                </c:pt>
                <c:pt idx="26">
                  <c:v>2.9165364699422322E-3</c:v>
                </c:pt>
                <c:pt idx="27">
                  <c:v>2.9167495222718553E-3</c:v>
                </c:pt>
                <c:pt idx="28">
                  <c:v>2.9168242444311877E-3</c:v>
                </c:pt>
                <c:pt idx="29">
                  <c:v>2.9169008189485826E-3</c:v>
                </c:pt>
                <c:pt idx="30">
                  <c:v>2.9169792458240405E-3</c:v>
                </c:pt>
                <c:pt idx="31">
                  <c:v>2.9170595250575604E-3</c:v>
                </c:pt>
                <c:pt idx="32">
                  <c:v>2.9173114769064949E-3</c:v>
                </c:pt>
                <c:pt idx="33">
                  <c:v>2.9173991655722644E-3</c:v>
                </c:pt>
                <c:pt idx="34">
                  <c:v>2.9174887065960965E-3</c:v>
                </c:pt>
                <c:pt idx="35">
                  <c:v>2.9175800999779915E-3</c:v>
                </c:pt>
                <c:pt idx="36">
                  <c:v>2.9176733457179486E-3</c:v>
                </c:pt>
                <c:pt idx="37">
                  <c:v>2.917964197086194E-3</c:v>
                </c:pt>
                <c:pt idx="38">
                  <c:v>2.9180648522584007E-3</c:v>
                </c:pt>
                <c:pt idx="39">
                  <c:v>2.9181673597886704E-3</c:v>
                </c:pt>
                <c:pt idx="40">
                  <c:v>2.9182717196770021E-3</c:v>
                </c:pt>
                <c:pt idx="41">
                  <c:v>2.9183779319233963E-3</c:v>
                </c:pt>
                <c:pt idx="42">
                  <c:v>2.9187076828109532E-3</c:v>
                </c:pt>
                <c:pt idx="43">
                  <c:v>2.918821304489597E-3</c:v>
                </c:pt>
                <c:pt idx="44">
                  <c:v>2.9189367785263038E-3</c:v>
                </c:pt>
                <c:pt idx="45">
                  <c:v>2.9190541049210726E-3</c:v>
                </c:pt>
                <c:pt idx="46">
                  <c:v>2.9191732836739035E-3</c:v>
                </c:pt>
                <c:pt idx="47">
                  <c:v>2.9195419340807718E-3</c:v>
                </c:pt>
                <c:pt idx="48">
                  <c:v>2.9196685222658532E-3</c:v>
                </c:pt>
                <c:pt idx="49">
                  <c:v>2.9197969628089967E-3</c:v>
                </c:pt>
                <c:pt idx="50">
                  <c:v>2.9199272557102027E-3</c:v>
                </c:pt>
                <c:pt idx="51">
                  <c:v>2.9200594009694708E-3</c:v>
                </c:pt>
                <c:pt idx="52">
                  <c:v>2.9204669508956509E-3</c:v>
                </c:pt>
                <c:pt idx="53">
                  <c:v>2.920606505587169E-3</c:v>
                </c:pt>
                <c:pt idx="54">
                  <c:v>2.9207479126367492E-3</c:v>
                </c:pt>
                <c:pt idx="55">
                  <c:v>2.9208911720443923E-3</c:v>
                </c:pt>
                <c:pt idx="56">
                  <c:v>2.9210362838100975E-3</c:v>
                </c:pt>
                <c:pt idx="57">
                  <c:v>2.921482733255589E-3</c:v>
                </c:pt>
                <c:pt idx="58">
                  <c:v>2.9216352544535439E-3</c:v>
                </c:pt>
                <c:pt idx="59">
                  <c:v>2.9217896280095616E-3</c:v>
                </c:pt>
                <c:pt idx="60">
                  <c:v>2.9219458539236414E-3</c:v>
                </c:pt>
                <c:pt idx="61">
                  <c:v>2.9221039321957842E-3</c:v>
                </c:pt>
                <c:pt idx="62">
                  <c:v>2.9225892811605867E-3</c:v>
                </c:pt>
                <c:pt idx="63">
                  <c:v>2.9227547688649787E-3</c:v>
                </c:pt>
                <c:pt idx="64">
                  <c:v>2.9229221089274336E-3</c:v>
                </c:pt>
                <c:pt idx="65">
                  <c:v>2.9230913013479506E-3</c:v>
                </c:pt>
                <c:pt idx="66">
                  <c:v>2.9232623461265305E-3</c:v>
                </c:pt>
                <c:pt idx="67">
                  <c:v>2.923786594610644E-3</c:v>
                </c:pt>
                <c:pt idx="68">
                  <c:v>2.9239650488214735E-3</c:v>
                </c:pt>
                <c:pt idx="69">
                  <c:v>2.9241453553903651E-3</c:v>
                </c:pt>
                <c:pt idx="70">
                  <c:v>2.9243275143173196E-3</c:v>
                </c:pt>
                <c:pt idx="71">
                  <c:v>2.9245115256023363E-3</c:v>
                </c:pt>
                <c:pt idx="72">
                  <c:v>2.9250746736057612E-3</c:v>
                </c:pt>
                <c:pt idx="73">
                  <c:v>2.9252660943230278E-3</c:v>
                </c:pt>
                <c:pt idx="74">
                  <c:v>2.9254593673983566E-3</c:v>
                </c:pt>
                <c:pt idx="75">
                  <c:v>2.9256544928317478E-3</c:v>
                </c:pt>
                <c:pt idx="76">
                  <c:v>2.9258514706232016E-3</c:v>
                </c:pt>
                <c:pt idx="77">
                  <c:v>2.9264535181459379E-3</c:v>
                </c:pt>
                <c:pt idx="78">
                  <c:v>2.9266579053696417E-3</c:v>
                </c:pt>
                <c:pt idx="79">
                  <c:v>2.9268641449514076E-3</c:v>
                </c:pt>
                <c:pt idx="80">
                  <c:v>2.927072236891236E-3</c:v>
                </c:pt>
                <c:pt idx="81">
                  <c:v>2.9272821811891273E-3</c:v>
                </c:pt>
                <c:pt idx="82">
                  <c:v>2.9279231282311746E-3</c:v>
                </c:pt>
                <c:pt idx="83">
                  <c:v>2.9281404819613151E-3</c:v>
                </c:pt>
                <c:pt idx="84">
                  <c:v>2.9283596880495186E-3</c:v>
                </c:pt>
                <c:pt idx="85">
                  <c:v>2.9285807464957845E-3</c:v>
                </c:pt>
                <c:pt idx="86">
                  <c:v>2.9288036573001121E-3</c:v>
                </c:pt>
                <c:pt idx="87">
                  <c:v>2.9294835038614709E-3</c:v>
                </c:pt>
                <c:pt idx="88">
                  <c:v>2.9297138240980485E-3</c:v>
                </c:pt>
                <c:pt idx="89">
                  <c:v>2.9299459966926887E-3</c:v>
                </c:pt>
                <c:pt idx="90">
                  <c:v>2.9301800216453918E-3</c:v>
                </c:pt>
                <c:pt idx="91">
                  <c:v>2.9304158989561569E-3</c:v>
                </c:pt>
                <c:pt idx="92">
                  <c:v>2.9311346450368266E-3</c:v>
                </c:pt>
                <c:pt idx="93">
                  <c:v>2.9313779317798419E-3</c:v>
                </c:pt>
                <c:pt idx="94">
                  <c:v>2.9316230708809191E-3</c:v>
                </c:pt>
                <c:pt idx="95">
                  <c:v>2.9318700623400589E-3</c:v>
                </c:pt>
                <c:pt idx="96">
                  <c:v>2.9321189061572613E-3</c:v>
                </c:pt>
                <c:pt idx="97">
                  <c:v>2.9328765517572424E-3</c:v>
                </c:pt>
                <c:pt idx="98">
                  <c:v>2.9331328050066943E-3</c:v>
                </c:pt>
                <c:pt idx="99">
                  <c:v>2.9333909106142092E-3</c:v>
                </c:pt>
                <c:pt idx="100">
                  <c:v>2.9336508685797861E-3</c:v>
                </c:pt>
                <c:pt idx="101">
                  <c:v>2.9339126789034251E-3</c:v>
                </c:pt>
                <c:pt idx="102">
                  <c:v>2.9347092240227177E-3</c:v>
                </c:pt>
                <c:pt idx="103">
                  <c:v>2.9349784437786072E-3</c:v>
                </c:pt>
                <c:pt idx="104">
                  <c:v>2.9352495158925587E-3</c:v>
                </c:pt>
                <c:pt idx="105">
                  <c:v>2.9355224403645724E-3</c:v>
                </c:pt>
                <c:pt idx="106">
                  <c:v>2.935797217194649E-3</c:v>
                </c:pt>
                <c:pt idx="107">
                  <c:v>2.9366326618332525E-3</c:v>
                </c:pt>
                <c:pt idx="108">
                  <c:v>2.9369148480955791E-3</c:v>
                </c:pt>
                <c:pt idx="109">
                  <c:v>2.9371988867159678E-3</c:v>
                </c:pt>
                <c:pt idx="110">
                  <c:v>2.937484777694419E-3</c:v>
                </c:pt>
                <c:pt idx="111">
                  <c:v>2.9377725210309323E-3</c:v>
                </c:pt>
                <c:pt idx="112">
                  <c:v>2.9386468651888477E-3</c:v>
                </c:pt>
                <c:pt idx="113">
                  <c:v>2.938942017957611E-3</c:v>
                </c:pt>
                <c:pt idx="114">
                  <c:v>2.9392390230844369E-3</c:v>
                </c:pt>
                <c:pt idx="115">
                  <c:v>2.9395378805693248E-3</c:v>
                </c:pt>
                <c:pt idx="116">
                  <c:v>2.9398385904122752E-3</c:v>
                </c:pt>
                <c:pt idx="117">
                  <c:v>2.940751834089502E-3</c:v>
                </c:pt>
                <c:pt idx="118">
                  <c:v>2.9410599533647025E-3</c:v>
                </c:pt>
                <c:pt idx="119">
                  <c:v>2.941369924997965E-3</c:v>
                </c:pt>
                <c:pt idx="120">
                  <c:v>2.9416817489892905E-3</c:v>
                </c:pt>
                <c:pt idx="121">
                  <c:v>2.9419954253386781E-3</c:v>
                </c:pt>
                <c:pt idx="122">
                  <c:v>2.9429475685352163E-3</c:v>
                </c:pt>
                <c:pt idx="123">
                  <c:v>2.9432686543168535E-3</c:v>
                </c:pt>
                <c:pt idx="124">
                  <c:v>2.9435915924565536E-3</c:v>
                </c:pt>
                <c:pt idx="125">
                  <c:v>2.9439163829543158E-3</c:v>
                </c:pt>
                <c:pt idx="126">
                  <c:v>2.9442430258101405E-3</c:v>
                </c:pt>
                <c:pt idx="127">
                  <c:v>2.9452340685259901E-3</c:v>
                </c:pt>
                <c:pt idx="128">
                  <c:v>2.9455681208140645E-3</c:v>
                </c:pt>
                <c:pt idx="129">
                  <c:v>2.9459040254602013E-3</c:v>
                </c:pt>
                <c:pt idx="130">
                  <c:v>2.946241782464401E-3</c:v>
                </c:pt>
                <c:pt idx="131">
                  <c:v>2.9465813918266629E-3</c:v>
                </c:pt>
                <c:pt idx="132">
                  <c:v>2.9476113340618235E-3</c:v>
                </c:pt>
                <c:pt idx="133">
                  <c:v>2.947958352856335E-3</c:v>
                </c:pt>
                <c:pt idx="134">
                  <c:v>2.9483072240089089E-3</c:v>
                </c:pt>
                <c:pt idx="135">
                  <c:v>2.9486579475195454E-3</c:v>
                </c:pt>
                <c:pt idx="136">
                  <c:v>2.9490105233882448E-3</c:v>
                </c:pt>
                <c:pt idx="137">
                  <c:v>2.9500793651427164E-3</c:v>
                </c:pt>
                <c:pt idx="138">
                  <c:v>2.950439350443665E-3</c:v>
                </c:pt>
                <c:pt idx="139">
                  <c:v>2.9508011881026765E-3</c:v>
                </c:pt>
                <c:pt idx="140">
                  <c:v>2.9511648781197501E-3</c:v>
                </c:pt>
                <c:pt idx="141">
                  <c:v>2.9515304204948863E-3</c:v>
                </c:pt>
                <c:pt idx="142">
                  <c:v>2.9526381617686693E-3</c:v>
                </c:pt>
                <c:pt idx="143">
                  <c:v>2.953011113576055E-3</c:v>
                </c:pt>
                <c:pt idx="144">
                  <c:v>2.9533859177415032E-3</c:v>
                </c:pt>
                <c:pt idx="145">
                  <c:v>2.9537625742650144E-3</c:v>
                </c:pt>
                <c:pt idx="146">
                  <c:v>2.9541410831465877E-3</c:v>
                </c:pt>
                <c:pt idx="147">
                  <c:v>2.9552877239396817E-3</c:v>
                </c:pt>
                <c:pt idx="148">
                  <c:v>2.9556736422535045E-3</c:v>
                </c:pt>
                <c:pt idx="149">
                  <c:v>2.9560614129253903E-3</c:v>
                </c:pt>
                <c:pt idx="150">
                  <c:v>2.9564510359553382E-3</c:v>
                </c:pt>
                <c:pt idx="151">
                  <c:v>2.9568425113433486E-3</c:v>
                </c:pt>
                <c:pt idx="152">
                  <c:v>2.958028051655754E-3</c:v>
                </c:pt>
                <c:pt idx="153">
                  <c:v>2.958426936476014E-3</c:v>
                </c:pt>
                <c:pt idx="154">
                  <c:v>2.958827673654337E-3</c:v>
                </c:pt>
                <c:pt idx="155">
                  <c:v>2.9592302631907216E-3</c:v>
                </c:pt>
                <c:pt idx="156">
                  <c:v>2.9596347050851691E-3</c:v>
                </c:pt>
                <c:pt idx="157">
                  <c:v>2.9608591449168859E-3</c:v>
                </c:pt>
                <c:pt idx="158">
                  <c:v>2.9612709962435835E-3</c:v>
                </c:pt>
                <c:pt idx="159">
                  <c:v>2.9616846999283427E-3</c:v>
                </c:pt>
                <c:pt idx="160">
                  <c:v>2.9621002559711649E-3</c:v>
                </c:pt>
                <c:pt idx="161">
                  <c:v>2.9637810037230774E-3</c:v>
                </c:pt>
                <c:pt idx="162">
                  <c:v>2.9642058215562121E-3</c:v>
                </c:pt>
                <c:pt idx="163">
                  <c:v>2.9646324917474084E-3</c:v>
                </c:pt>
                <c:pt idx="164">
                  <c:v>2.9650610142966678E-3</c:v>
                </c:pt>
                <c:pt idx="165">
                  <c:v>2.9667936280743292E-3</c:v>
                </c:pt>
                <c:pt idx="166">
                  <c:v>2.9672314124139002E-3</c:v>
                </c:pt>
                <c:pt idx="167">
                  <c:v>2.9676710491115341E-3</c:v>
                </c:pt>
                <c:pt idx="168">
                  <c:v>2.9681125381672301E-3</c:v>
                </c:pt>
                <c:pt idx="169">
                  <c:v>2.9685558795809891E-3</c:v>
                </c:pt>
                <c:pt idx="170">
                  <c:v>2.9698970179706402E-3</c:v>
                </c:pt>
                <c:pt idx="171">
                  <c:v>2.9703477688166483E-3</c:v>
                </c:pt>
                <c:pt idx="172">
                  <c:v>2.9708003720207194E-3</c:v>
                </c:pt>
                <c:pt idx="173">
                  <c:v>2.9712548275828525E-3</c:v>
                </c:pt>
                <c:pt idx="174">
                  <c:v>2.9717111355030482E-3</c:v>
                </c:pt>
                <c:pt idx="175">
                  <c:v>2.9730911734120106E-3</c:v>
                </c:pt>
                <c:pt idx="176">
                  <c:v>2.9735548907644559E-3</c:v>
                </c:pt>
                <c:pt idx="177">
                  <c:v>2.9740204604749641E-3</c:v>
                </c:pt>
                <c:pt idx="178">
                  <c:v>2.9744878825435344E-3</c:v>
                </c:pt>
                <c:pt idx="179">
                  <c:v>2.9749571569701672E-3</c:v>
                </c:pt>
                <c:pt idx="180">
                  <c:v>2.9763760943984411E-3</c:v>
                </c:pt>
                <c:pt idx="181">
                  <c:v>2.9768527782573235E-3</c:v>
                </c:pt>
                <c:pt idx="182">
                  <c:v>2.9773313144742684E-3</c:v>
                </c:pt>
                <c:pt idx="183">
                  <c:v>2.9778117030492763E-3</c:v>
                </c:pt>
                <c:pt idx="184">
                  <c:v>2.9782939439823462E-3</c:v>
                </c:pt>
                <c:pt idx="185">
                  <c:v>2.9797517809299311E-3</c:v>
                </c:pt>
                <c:pt idx="186">
                  <c:v>2.9802414312952506E-3</c:v>
                </c:pt>
                <c:pt idx="187">
                  <c:v>2.9807329340186327E-3</c:v>
                </c:pt>
                <c:pt idx="188">
                  <c:v>2.9812262891000772E-3</c:v>
                </c:pt>
                <c:pt idx="189">
                  <c:v>2.9817214965395847E-3</c:v>
                </c:pt>
                <c:pt idx="190">
                  <c:v>2.9832182330064806E-3</c:v>
                </c:pt>
                <c:pt idx="191">
                  <c:v>2.9837208498782373E-3</c:v>
                </c:pt>
                <c:pt idx="192">
                  <c:v>2.9842253191080565E-3</c:v>
                </c:pt>
                <c:pt idx="193">
                  <c:v>2.9847316406959382E-3</c:v>
                </c:pt>
                <c:pt idx="194">
                  <c:v>2.9852398146418828E-3</c:v>
                </c:pt>
                <c:pt idx="195">
                  <c:v>2.9867754506280901E-3</c:v>
                </c:pt>
                <c:pt idx="196">
                  <c:v>2.9872910340062839E-3</c:v>
                </c:pt>
                <c:pt idx="197">
                  <c:v>2.9878084697425402E-3</c:v>
                </c:pt>
                <c:pt idx="198">
                  <c:v>2.9883277578368595E-3</c:v>
                </c:pt>
                <c:pt idx="199">
                  <c:v>2.9888488982892408E-3</c:v>
                </c:pt>
                <c:pt idx="200">
                  <c:v>2.9904234337947591E-3</c:v>
                </c:pt>
                <c:pt idx="201">
                  <c:v>2.9909519836793901E-3</c:v>
                </c:pt>
                <c:pt idx="202">
                  <c:v>2.9914823859220835E-3</c:v>
                </c:pt>
                <c:pt idx="203">
                  <c:v>2.9920146405228399E-3</c:v>
                </c:pt>
                <c:pt idx="204">
                  <c:v>2.992548747481658E-3</c:v>
                </c:pt>
                <c:pt idx="205">
                  <c:v>2.9941621825064877E-3</c:v>
                </c:pt>
                <c:pt idx="206">
                  <c:v>2.9947036988975557E-3</c:v>
                </c:pt>
                <c:pt idx="207">
                  <c:v>2.9952470676466868E-3</c:v>
                </c:pt>
                <c:pt idx="208">
                  <c:v>2.9957922887538799E-3</c:v>
                </c:pt>
                <c:pt idx="209">
                  <c:v>2.9963393622191351E-3</c:v>
                </c:pt>
                <c:pt idx="210">
                  <c:v>2.9979916967632762E-3</c:v>
                </c:pt>
                <c:pt idx="211">
                  <c:v>2.9985461796607818E-3</c:v>
                </c:pt>
                <c:pt idx="212">
                  <c:v>2.9991025149163496E-3</c:v>
                </c:pt>
                <c:pt idx="213">
                  <c:v>2.9996607025299794E-3</c:v>
                </c:pt>
                <c:pt idx="214">
                  <c:v>3.0002207425016722E-3</c:v>
                </c:pt>
                <c:pt idx="215">
                  <c:v>3.0019119765651242E-3</c:v>
                </c:pt>
                <c:pt idx="216">
                  <c:v>3.002479425969067E-3</c:v>
                </c:pt>
                <c:pt idx="217">
                  <c:v>3.0030487277310719E-3</c:v>
                </c:pt>
                <c:pt idx="218">
                  <c:v>3.0036198818511389E-3</c:v>
                </c:pt>
                <c:pt idx="219">
                  <c:v>3.0041928883292688E-3</c:v>
                </c:pt>
                <c:pt idx="220">
                  <c:v>3.0059230219120327E-3</c:v>
                </c:pt>
                <c:pt idx="221">
                  <c:v>3.0065034378224118E-3</c:v>
                </c:pt>
                <c:pt idx="222">
                  <c:v>3.0070857060908538E-3</c:v>
                </c:pt>
                <c:pt idx="223">
                  <c:v>3.0076698267173579E-3</c:v>
                </c:pt>
                <c:pt idx="224">
                  <c:v>3.0106182152208165E-3</c:v>
                </c:pt>
                <c:pt idx="225">
                  <c:v>3.0112134499956957E-3</c:v>
                </c:pt>
                <c:pt idx="226">
                  <c:v>3.0118105371286369E-3</c:v>
                </c:pt>
                <c:pt idx="227">
                  <c:v>3.0124094766196406E-3</c:v>
                </c:pt>
                <c:pt idx="228">
                  <c:v>3.0142174092410274E-3</c:v>
                </c:pt>
                <c:pt idx="229">
                  <c:v>3.0148237581642807E-3</c:v>
                </c:pt>
                <c:pt idx="230">
                  <c:v>3.015431959445597E-3</c:v>
                </c:pt>
                <c:pt idx="231">
                  <c:v>3.0160420130849754E-3</c:v>
                </c:pt>
                <c:pt idx="232">
                  <c:v>3.0166539190824163E-3</c:v>
                </c:pt>
                <c:pt idx="233">
                  <c:v>3.018500751223114E-3</c:v>
                </c:pt>
                <c:pt idx="234">
                  <c:v>3.0191200666528049E-3</c:v>
                </c:pt>
                <c:pt idx="235">
                  <c:v>3.0197412344405579E-3</c:v>
                </c:pt>
                <c:pt idx="236">
                  <c:v>3.0203642545863735E-3</c:v>
                </c:pt>
                <c:pt idx="237">
                  <c:v>3.0209891270902515E-3</c:v>
                </c:pt>
                <c:pt idx="238">
                  <c:v>3.0228748587502606E-3</c:v>
                </c:pt>
                <c:pt idx="239">
                  <c:v>3.0235071406863887E-3</c:v>
                </c:pt>
                <c:pt idx="240">
                  <c:v>3.0241412749805788E-3</c:v>
                </c:pt>
                <c:pt idx="241">
                  <c:v>3.0247772616328315E-3</c:v>
                </c:pt>
                <c:pt idx="242">
                  <c:v>3.0254151006431471E-3</c:v>
                </c:pt>
                <c:pt idx="243">
                  <c:v>3.0273397318224672E-3</c:v>
                </c:pt>
                <c:pt idx="244">
                  <c:v>3.027984980265032E-3</c:v>
                </c:pt>
                <c:pt idx="245">
                  <c:v>3.0286320810656592E-3</c:v>
                </c:pt>
                <c:pt idx="246">
                  <c:v>3.029281034224349E-3</c:v>
                </c:pt>
                <c:pt idx="247">
                  <c:v>3.0299318397411018E-3</c:v>
                </c:pt>
                <c:pt idx="248">
                  <c:v>3.0318953704397329E-3</c:v>
                </c:pt>
                <c:pt idx="249">
                  <c:v>3.0325535853887348E-3</c:v>
                </c:pt>
                <c:pt idx="250">
                  <c:v>3.0332136526957992E-3</c:v>
                </c:pt>
                <c:pt idx="251">
                  <c:v>3.0338755723609266E-3</c:v>
                </c:pt>
                <c:pt idx="252">
                  <c:v>3.034539344384116E-3</c:v>
                </c:pt>
                <c:pt idx="253">
                  <c:v>3.0365417746020585E-3</c:v>
                </c:pt>
                <c:pt idx="254">
                  <c:v>3.0372129560574976E-3</c:v>
                </c:pt>
                <c:pt idx="255">
                  <c:v>3.0378859898709991E-3</c:v>
                </c:pt>
                <c:pt idx="256">
                  <c:v>3.0385608760425636E-3</c:v>
                </c:pt>
                <c:pt idx="257">
                  <c:v>3.0392376145721902E-3</c:v>
                </c:pt>
                <c:pt idx="258">
                  <c:v>3.0412789443094437E-3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670016"/>
        <c:axId val="627725056"/>
      </c:lineChart>
      <c:dateAx>
        <c:axId val="62767001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2772505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627725056"/>
        <c:scaling>
          <c:orientation val="minMax"/>
          <c:max val="3.1000000000000008E-3"/>
          <c:min val="2.5000000000000005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276700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'12MSynthDepo_allScenario'!$BM$6:$BM$264</c:f>
              <c:numCache>
                <c:formatCode>0.0000%</c:formatCode>
                <c:ptCount val="259"/>
                <c:pt idx="0">
                  <c:v>2.8510631325848086E-3</c:v>
                </c:pt>
                <c:pt idx="1">
                  <c:v>2.8515981152755425E-3</c:v>
                </c:pt>
                <c:pt idx="2">
                  <c:v>2.8532030633477436E-3</c:v>
                </c:pt>
                <c:pt idx="3">
                  <c:v>2.8537380460384775E-3</c:v>
                </c:pt>
                <c:pt idx="4">
                  <c:v>2.8542730287292113E-3</c:v>
                </c:pt>
                <c:pt idx="5">
                  <c:v>2.8548080114199452E-3</c:v>
                </c:pt>
                <c:pt idx="6">
                  <c:v>2.8553429941106791E-3</c:v>
                </c:pt>
                <c:pt idx="7">
                  <c:v>2.8569479421828802E-3</c:v>
                </c:pt>
                <c:pt idx="8">
                  <c:v>2.8574829248736141E-3</c:v>
                </c:pt>
                <c:pt idx="9">
                  <c:v>2.8580179075643479E-3</c:v>
                </c:pt>
                <c:pt idx="10">
                  <c:v>2.8585528902550818E-3</c:v>
                </c:pt>
                <c:pt idx="11">
                  <c:v>2.8590878729458156E-3</c:v>
                </c:pt>
                <c:pt idx="12">
                  <c:v>2.8606928210180168E-3</c:v>
                </c:pt>
                <c:pt idx="13">
                  <c:v>2.8612278037087506E-3</c:v>
                </c:pt>
                <c:pt idx="14">
                  <c:v>2.8617627863994845E-3</c:v>
                </c:pt>
                <c:pt idx="15">
                  <c:v>2.8622977690902184E-3</c:v>
                </c:pt>
                <c:pt idx="16">
                  <c:v>2.8628327517809522E-3</c:v>
                </c:pt>
                <c:pt idx="17">
                  <c:v>2.8644376998531534E-3</c:v>
                </c:pt>
                <c:pt idx="18">
                  <c:v>2.8649726825438872E-3</c:v>
                </c:pt>
                <c:pt idx="19">
                  <c:v>2.8655076652346211E-3</c:v>
                </c:pt>
                <c:pt idx="20">
                  <c:v>2.8660426479253549E-3</c:v>
                </c:pt>
                <c:pt idx="21">
                  <c:v>2.8665776306160888E-3</c:v>
                </c:pt>
                <c:pt idx="22">
                  <c:v>2.8681825786882899E-3</c:v>
                </c:pt>
                <c:pt idx="23">
                  <c:v>2.8687175613790238E-3</c:v>
                </c:pt>
                <c:pt idx="24">
                  <c:v>2.8692525440697576E-3</c:v>
                </c:pt>
                <c:pt idx="25">
                  <c:v>2.8697875267604915E-3</c:v>
                </c:pt>
                <c:pt idx="26">
                  <c:v>2.8703225094512254E-3</c:v>
                </c:pt>
                <c:pt idx="27">
                  <c:v>2.8719274575234265E-3</c:v>
                </c:pt>
                <c:pt idx="28">
                  <c:v>2.8724624402141604E-3</c:v>
                </c:pt>
                <c:pt idx="29">
                  <c:v>2.8729974229048942E-3</c:v>
                </c:pt>
                <c:pt idx="30">
                  <c:v>2.8735324055956281E-3</c:v>
                </c:pt>
                <c:pt idx="31">
                  <c:v>2.8740673882863619E-3</c:v>
                </c:pt>
                <c:pt idx="32">
                  <c:v>2.8756723363585631E-3</c:v>
                </c:pt>
                <c:pt idx="33">
                  <c:v>2.8762073190492969E-3</c:v>
                </c:pt>
                <c:pt idx="34">
                  <c:v>2.8767423017400308E-3</c:v>
                </c:pt>
                <c:pt idx="35">
                  <c:v>2.8772772844307647E-3</c:v>
                </c:pt>
                <c:pt idx="36">
                  <c:v>2.8778122671214985E-3</c:v>
                </c:pt>
                <c:pt idx="37">
                  <c:v>2.8794172151937001E-3</c:v>
                </c:pt>
                <c:pt idx="38">
                  <c:v>2.8799521978844335E-3</c:v>
                </c:pt>
                <c:pt idx="39">
                  <c:v>2.8804871805751674E-3</c:v>
                </c:pt>
                <c:pt idx="40">
                  <c:v>2.8810221632659012E-3</c:v>
                </c:pt>
                <c:pt idx="41">
                  <c:v>2.8815571459566351E-3</c:v>
                </c:pt>
                <c:pt idx="42">
                  <c:v>2.8831620940288367E-3</c:v>
                </c:pt>
                <c:pt idx="43">
                  <c:v>2.8836970767195701E-3</c:v>
                </c:pt>
                <c:pt idx="44">
                  <c:v>2.884232059410304E-3</c:v>
                </c:pt>
                <c:pt idx="45">
                  <c:v>2.8847670421010378E-3</c:v>
                </c:pt>
                <c:pt idx="46">
                  <c:v>2.8853020247917717E-3</c:v>
                </c:pt>
                <c:pt idx="47">
                  <c:v>2.8869069728639733E-3</c:v>
                </c:pt>
                <c:pt idx="48">
                  <c:v>2.8874419555547067E-3</c:v>
                </c:pt>
                <c:pt idx="49">
                  <c:v>2.8879769382454405E-3</c:v>
                </c:pt>
                <c:pt idx="50">
                  <c:v>2.8885119209361744E-3</c:v>
                </c:pt>
                <c:pt idx="51">
                  <c:v>2.8890469036269083E-3</c:v>
                </c:pt>
                <c:pt idx="52">
                  <c:v>2.8906518516991098E-3</c:v>
                </c:pt>
                <c:pt idx="53">
                  <c:v>2.8911868343898433E-3</c:v>
                </c:pt>
                <c:pt idx="54">
                  <c:v>2.8917218170805771E-3</c:v>
                </c:pt>
                <c:pt idx="55">
                  <c:v>2.892256799771311E-3</c:v>
                </c:pt>
                <c:pt idx="56">
                  <c:v>2.8927917824620448E-3</c:v>
                </c:pt>
                <c:pt idx="57">
                  <c:v>2.8943967305342464E-3</c:v>
                </c:pt>
                <c:pt idx="58">
                  <c:v>2.8949317132249798E-3</c:v>
                </c:pt>
                <c:pt idx="59">
                  <c:v>2.8954666959157137E-3</c:v>
                </c:pt>
                <c:pt idx="60">
                  <c:v>2.8960016786064476E-3</c:v>
                </c:pt>
                <c:pt idx="61">
                  <c:v>2.8965366612971814E-3</c:v>
                </c:pt>
                <c:pt idx="62">
                  <c:v>2.898141609369383E-3</c:v>
                </c:pt>
                <c:pt idx="63">
                  <c:v>2.8986765920601164E-3</c:v>
                </c:pt>
                <c:pt idx="64">
                  <c:v>2.8992115747508503E-3</c:v>
                </c:pt>
                <c:pt idx="65">
                  <c:v>2.8997465574415841E-3</c:v>
                </c:pt>
                <c:pt idx="66">
                  <c:v>2.900281540132318E-3</c:v>
                </c:pt>
                <c:pt idx="67">
                  <c:v>2.9018864882045196E-3</c:v>
                </c:pt>
                <c:pt idx="68">
                  <c:v>2.902421470895253E-3</c:v>
                </c:pt>
                <c:pt idx="69">
                  <c:v>2.9029564535859869E-3</c:v>
                </c:pt>
                <c:pt idx="70">
                  <c:v>2.9034914362767207E-3</c:v>
                </c:pt>
                <c:pt idx="71">
                  <c:v>2.9040264189674546E-3</c:v>
                </c:pt>
                <c:pt idx="72">
                  <c:v>2.9056313670396561E-3</c:v>
                </c:pt>
                <c:pt idx="73">
                  <c:v>2.9061663497303896E-3</c:v>
                </c:pt>
                <c:pt idx="74">
                  <c:v>2.9067013324211234E-3</c:v>
                </c:pt>
                <c:pt idx="75">
                  <c:v>2.9072363151118573E-3</c:v>
                </c:pt>
                <c:pt idx="76">
                  <c:v>2.9077712978025911E-3</c:v>
                </c:pt>
                <c:pt idx="77">
                  <c:v>2.9093762458747927E-3</c:v>
                </c:pt>
                <c:pt idx="78">
                  <c:v>2.9099112285655261E-3</c:v>
                </c:pt>
                <c:pt idx="79">
                  <c:v>2.91044621125626E-3</c:v>
                </c:pt>
                <c:pt idx="80">
                  <c:v>2.9109811939469939E-3</c:v>
                </c:pt>
                <c:pt idx="81">
                  <c:v>2.9115161766377277E-3</c:v>
                </c:pt>
                <c:pt idx="82">
                  <c:v>2.9131211247099293E-3</c:v>
                </c:pt>
                <c:pt idx="83">
                  <c:v>2.9136561074006627E-3</c:v>
                </c:pt>
                <c:pt idx="84">
                  <c:v>2.9141910900913966E-3</c:v>
                </c:pt>
                <c:pt idx="85">
                  <c:v>2.9147260727821304E-3</c:v>
                </c:pt>
                <c:pt idx="86">
                  <c:v>2.9152610554728643E-3</c:v>
                </c:pt>
                <c:pt idx="87">
                  <c:v>2.9168660035450659E-3</c:v>
                </c:pt>
                <c:pt idx="88">
                  <c:v>2.9174009862357993E-3</c:v>
                </c:pt>
                <c:pt idx="89">
                  <c:v>2.9179359689265332E-3</c:v>
                </c:pt>
                <c:pt idx="90">
                  <c:v>2.918470951617267E-3</c:v>
                </c:pt>
                <c:pt idx="91">
                  <c:v>2.9190059343080009E-3</c:v>
                </c:pt>
                <c:pt idx="92">
                  <c:v>2.9206108823802025E-3</c:v>
                </c:pt>
                <c:pt idx="93">
                  <c:v>2.9211458650709359E-3</c:v>
                </c:pt>
                <c:pt idx="94">
                  <c:v>2.9216808477616697E-3</c:v>
                </c:pt>
                <c:pt idx="95">
                  <c:v>2.9222158304524036E-3</c:v>
                </c:pt>
                <c:pt idx="96">
                  <c:v>2.9227508131431375E-3</c:v>
                </c:pt>
                <c:pt idx="97">
                  <c:v>2.924355761215339E-3</c:v>
                </c:pt>
                <c:pt idx="98">
                  <c:v>2.9248907439060725E-3</c:v>
                </c:pt>
                <c:pt idx="99">
                  <c:v>2.9254257265968063E-3</c:v>
                </c:pt>
                <c:pt idx="100">
                  <c:v>2.9259607092875402E-3</c:v>
                </c:pt>
                <c:pt idx="101">
                  <c:v>2.926495691978274E-3</c:v>
                </c:pt>
                <c:pt idx="102">
                  <c:v>2.9281006400504756E-3</c:v>
                </c:pt>
                <c:pt idx="103">
                  <c:v>2.928635622741209E-3</c:v>
                </c:pt>
                <c:pt idx="104">
                  <c:v>2.9291706054319429E-3</c:v>
                </c:pt>
                <c:pt idx="105">
                  <c:v>2.9297055881226768E-3</c:v>
                </c:pt>
                <c:pt idx="106">
                  <c:v>2.9302405708134106E-3</c:v>
                </c:pt>
                <c:pt idx="107">
                  <c:v>2.9318455188856122E-3</c:v>
                </c:pt>
                <c:pt idx="108">
                  <c:v>2.9323805015763461E-3</c:v>
                </c:pt>
                <c:pt idx="109">
                  <c:v>2.9329154842670795E-3</c:v>
                </c:pt>
                <c:pt idx="110">
                  <c:v>2.9334504669578133E-3</c:v>
                </c:pt>
                <c:pt idx="111">
                  <c:v>2.9339854496485472E-3</c:v>
                </c:pt>
                <c:pt idx="112">
                  <c:v>2.9355903977207488E-3</c:v>
                </c:pt>
                <c:pt idx="113">
                  <c:v>2.9361253804114826E-3</c:v>
                </c:pt>
                <c:pt idx="114">
                  <c:v>2.9366603631022161E-3</c:v>
                </c:pt>
                <c:pt idx="115">
                  <c:v>2.9371953457929499E-3</c:v>
                </c:pt>
                <c:pt idx="116">
                  <c:v>2.9377303284836838E-3</c:v>
                </c:pt>
                <c:pt idx="117">
                  <c:v>2.9393352765558853E-3</c:v>
                </c:pt>
                <c:pt idx="118">
                  <c:v>2.9398702592466192E-3</c:v>
                </c:pt>
                <c:pt idx="119">
                  <c:v>2.9404052419373526E-3</c:v>
                </c:pt>
                <c:pt idx="120">
                  <c:v>2.9409402246280865E-3</c:v>
                </c:pt>
                <c:pt idx="121">
                  <c:v>2.9414752073188204E-3</c:v>
                </c:pt>
                <c:pt idx="122">
                  <c:v>2.9430801553910219E-3</c:v>
                </c:pt>
                <c:pt idx="123">
                  <c:v>2.9436151380817558E-3</c:v>
                </c:pt>
                <c:pt idx="124">
                  <c:v>2.9441501207724892E-3</c:v>
                </c:pt>
                <c:pt idx="125">
                  <c:v>2.9446851034632231E-3</c:v>
                </c:pt>
                <c:pt idx="126">
                  <c:v>2.9452200861539569E-3</c:v>
                </c:pt>
                <c:pt idx="127">
                  <c:v>2.9468250342261585E-3</c:v>
                </c:pt>
                <c:pt idx="128">
                  <c:v>2.9473600169168924E-3</c:v>
                </c:pt>
                <c:pt idx="129">
                  <c:v>2.9478949996076258E-3</c:v>
                </c:pt>
                <c:pt idx="130">
                  <c:v>2.9484299822983596E-3</c:v>
                </c:pt>
                <c:pt idx="131">
                  <c:v>2.9489649649890935E-3</c:v>
                </c:pt>
                <c:pt idx="132">
                  <c:v>2.9505699130612951E-3</c:v>
                </c:pt>
                <c:pt idx="133">
                  <c:v>2.9511048957520289E-3</c:v>
                </c:pt>
                <c:pt idx="134">
                  <c:v>2.9516398784427624E-3</c:v>
                </c:pt>
                <c:pt idx="135">
                  <c:v>2.9521748611334962E-3</c:v>
                </c:pt>
                <c:pt idx="136">
                  <c:v>2.9527098438242301E-3</c:v>
                </c:pt>
                <c:pt idx="137">
                  <c:v>2.9543147918964317E-3</c:v>
                </c:pt>
                <c:pt idx="138">
                  <c:v>2.9548497745871655E-3</c:v>
                </c:pt>
                <c:pt idx="139">
                  <c:v>2.9553847572778989E-3</c:v>
                </c:pt>
                <c:pt idx="140">
                  <c:v>2.9559197399686328E-3</c:v>
                </c:pt>
                <c:pt idx="141">
                  <c:v>2.9564547226593667E-3</c:v>
                </c:pt>
                <c:pt idx="142">
                  <c:v>2.9580596707315682E-3</c:v>
                </c:pt>
                <c:pt idx="143">
                  <c:v>2.9585946534223021E-3</c:v>
                </c:pt>
                <c:pt idx="144">
                  <c:v>2.9591296361130355E-3</c:v>
                </c:pt>
                <c:pt idx="145">
                  <c:v>2.9596646188037694E-3</c:v>
                </c:pt>
                <c:pt idx="146">
                  <c:v>2.9601996014945032E-3</c:v>
                </c:pt>
                <c:pt idx="147">
                  <c:v>2.9618045495667048E-3</c:v>
                </c:pt>
                <c:pt idx="148">
                  <c:v>2.9623395322574387E-3</c:v>
                </c:pt>
                <c:pt idx="149">
                  <c:v>2.9628745149481725E-3</c:v>
                </c:pt>
                <c:pt idx="150">
                  <c:v>2.963409497638906E-3</c:v>
                </c:pt>
                <c:pt idx="151">
                  <c:v>2.9639444803296398E-3</c:v>
                </c:pt>
                <c:pt idx="152">
                  <c:v>2.9655494284018414E-3</c:v>
                </c:pt>
                <c:pt idx="153">
                  <c:v>2.9660844110925753E-3</c:v>
                </c:pt>
                <c:pt idx="154">
                  <c:v>2.9666193937833087E-3</c:v>
                </c:pt>
                <c:pt idx="155">
                  <c:v>2.9671543764740425E-3</c:v>
                </c:pt>
                <c:pt idx="156">
                  <c:v>2.9676893591647764E-3</c:v>
                </c:pt>
                <c:pt idx="157">
                  <c:v>2.969294307236978E-3</c:v>
                </c:pt>
                <c:pt idx="158">
                  <c:v>2.9698292899277118E-3</c:v>
                </c:pt>
                <c:pt idx="159">
                  <c:v>2.9703642726184457E-3</c:v>
                </c:pt>
                <c:pt idx="160">
                  <c:v>2.9708992553091791E-3</c:v>
                </c:pt>
                <c:pt idx="161">
                  <c:v>2.9730391860721146E-3</c:v>
                </c:pt>
                <c:pt idx="162">
                  <c:v>2.9735741687628484E-3</c:v>
                </c:pt>
                <c:pt idx="163">
                  <c:v>2.9741091514535823E-3</c:v>
                </c:pt>
                <c:pt idx="164">
                  <c:v>2.9746441341443157E-3</c:v>
                </c:pt>
                <c:pt idx="165">
                  <c:v>2.9767840649072511E-3</c:v>
                </c:pt>
                <c:pt idx="166">
                  <c:v>2.977319047597985E-3</c:v>
                </c:pt>
                <c:pt idx="167">
                  <c:v>2.9778540302887188E-3</c:v>
                </c:pt>
                <c:pt idx="168">
                  <c:v>2.9783890129794523E-3</c:v>
                </c:pt>
                <c:pt idx="169">
                  <c:v>2.9789239956701861E-3</c:v>
                </c:pt>
                <c:pt idx="170">
                  <c:v>2.9805289437423877E-3</c:v>
                </c:pt>
                <c:pt idx="171">
                  <c:v>2.9810639264331216E-3</c:v>
                </c:pt>
                <c:pt idx="172">
                  <c:v>2.9815989091238554E-3</c:v>
                </c:pt>
                <c:pt idx="173">
                  <c:v>2.9821338918145888E-3</c:v>
                </c:pt>
                <c:pt idx="174">
                  <c:v>2.9826688745053227E-3</c:v>
                </c:pt>
                <c:pt idx="175">
                  <c:v>2.9842738225775243E-3</c:v>
                </c:pt>
                <c:pt idx="176">
                  <c:v>2.9848088052682581E-3</c:v>
                </c:pt>
                <c:pt idx="177">
                  <c:v>2.985343787958992E-3</c:v>
                </c:pt>
                <c:pt idx="178">
                  <c:v>2.9858787706497254E-3</c:v>
                </c:pt>
                <c:pt idx="179">
                  <c:v>2.9864137533404593E-3</c:v>
                </c:pt>
                <c:pt idx="180">
                  <c:v>2.9880187014126609E-3</c:v>
                </c:pt>
                <c:pt idx="181">
                  <c:v>2.9885536841033947E-3</c:v>
                </c:pt>
                <c:pt idx="182">
                  <c:v>2.9890886667941286E-3</c:v>
                </c:pt>
                <c:pt idx="183">
                  <c:v>2.989623649484862E-3</c:v>
                </c:pt>
                <c:pt idx="184">
                  <c:v>2.9901586321755959E-3</c:v>
                </c:pt>
                <c:pt idx="185">
                  <c:v>2.9917635802477974E-3</c:v>
                </c:pt>
                <c:pt idx="186">
                  <c:v>2.9922985629385313E-3</c:v>
                </c:pt>
                <c:pt idx="187">
                  <c:v>2.9928335456292652E-3</c:v>
                </c:pt>
                <c:pt idx="188">
                  <c:v>2.9933685283199986E-3</c:v>
                </c:pt>
                <c:pt idx="189">
                  <c:v>2.9939035110107324E-3</c:v>
                </c:pt>
                <c:pt idx="190">
                  <c:v>2.995508459082934E-3</c:v>
                </c:pt>
                <c:pt idx="191">
                  <c:v>2.9960434417736679E-3</c:v>
                </c:pt>
                <c:pt idx="192">
                  <c:v>2.9965784244644017E-3</c:v>
                </c:pt>
                <c:pt idx="193">
                  <c:v>2.9971134071551352E-3</c:v>
                </c:pt>
                <c:pt idx="194">
                  <c:v>2.997648389845869E-3</c:v>
                </c:pt>
                <c:pt idx="195">
                  <c:v>2.9992533379180706E-3</c:v>
                </c:pt>
                <c:pt idx="196">
                  <c:v>2.9997883206088045E-3</c:v>
                </c:pt>
                <c:pt idx="197">
                  <c:v>3.0003233032995383E-3</c:v>
                </c:pt>
                <c:pt idx="198">
                  <c:v>3.0008582859902717E-3</c:v>
                </c:pt>
                <c:pt idx="199">
                  <c:v>3.0013932686810056E-3</c:v>
                </c:pt>
                <c:pt idx="200">
                  <c:v>3.0029982167532072E-3</c:v>
                </c:pt>
                <c:pt idx="201">
                  <c:v>3.003533199443941E-3</c:v>
                </c:pt>
                <c:pt idx="202">
                  <c:v>3.0040681821346749E-3</c:v>
                </c:pt>
                <c:pt idx="203">
                  <c:v>3.0046031648254083E-3</c:v>
                </c:pt>
                <c:pt idx="204">
                  <c:v>3.0051381475161422E-3</c:v>
                </c:pt>
                <c:pt idx="205">
                  <c:v>3.0067430955883438E-3</c:v>
                </c:pt>
                <c:pt idx="206">
                  <c:v>3.0072780782790776E-3</c:v>
                </c:pt>
                <c:pt idx="207">
                  <c:v>3.0078130609698115E-3</c:v>
                </c:pt>
                <c:pt idx="208">
                  <c:v>3.0083480436605449E-3</c:v>
                </c:pt>
                <c:pt idx="209">
                  <c:v>3.0088830263512788E-3</c:v>
                </c:pt>
                <c:pt idx="210">
                  <c:v>3.0104879744234803E-3</c:v>
                </c:pt>
                <c:pt idx="211">
                  <c:v>3.0110229571142142E-3</c:v>
                </c:pt>
                <c:pt idx="212">
                  <c:v>3.011557939804948E-3</c:v>
                </c:pt>
                <c:pt idx="213">
                  <c:v>3.0120929224956815E-3</c:v>
                </c:pt>
                <c:pt idx="214">
                  <c:v>3.0126279051864153E-3</c:v>
                </c:pt>
                <c:pt idx="215">
                  <c:v>3.0142328532586169E-3</c:v>
                </c:pt>
                <c:pt idx="216">
                  <c:v>3.0147678359493508E-3</c:v>
                </c:pt>
                <c:pt idx="217">
                  <c:v>3.0153028186400846E-3</c:v>
                </c:pt>
                <c:pt idx="218">
                  <c:v>3.0158378013308181E-3</c:v>
                </c:pt>
                <c:pt idx="219">
                  <c:v>3.0163727840215519E-3</c:v>
                </c:pt>
                <c:pt idx="220">
                  <c:v>3.0179777320937535E-3</c:v>
                </c:pt>
                <c:pt idx="221">
                  <c:v>3.0185127147844873E-3</c:v>
                </c:pt>
                <c:pt idx="222">
                  <c:v>3.0190476974752212E-3</c:v>
                </c:pt>
                <c:pt idx="223">
                  <c:v>3.0195826801659546E-3</c:v>
                </c:pt>
                <c:pt idx="224">
                  <c:v>3.0222575936196239E-3</c:v>
                </c:pt>
                <c:pt idx="225">
                  <c:v>3.0227925763103578E-3</c:v>
                </c:pt>
                <c:pt idx="226">
                  <c:v>3.0233275590010912E-3</c:v>
                </c:pt>
                <c:pt idx="227">
                  <c:v>3.0238625416918251E-3</c:v>
                </c:pt>
                <c:pt idx="228">
                  <c:v>3.0254674897640266E-3</c:v>
                </c:pt>
                <c:pt idx="229">
                  <c:v>3.0260024724547605E-3</c:v>
                </c:pt>
                <c:pt idx="230">
                  <c:v>3.0265374551454944E-3</c:v>
                </c:pt>
                <c:pt idx="231">
                  <c:v>3.0270724378362278E-3</c:v>
                </c:pt>
                <c:pt idx="232">
                  <c:v>3.0276074205269616E-3</c:v>
                </c:pt>
                <c:pt idx="233">
                  <c:v>3.0292123685991632E-3</c:v>
                </c:pt>
                <c:pt idx="234">
                  <c:v>3.0297473512898971E-3</c:v>
                </c:pt>
                <c:pt idx="235">
                  <c:v>3.0302823339806309E-3</c:v>
                </c:pt>
                <c:pt idx="236">
                  <c:v>3.0308173166713644E-3</c:v>
                </c:pt>
                <c:pt idx="237">
                  <c:v>3.0313522993620982E-3</c:v>
                </c:pt>
                <c:pt idx="238">
                  <c:v>3.0329572474342998E-3</c:v>
                </c:pt>
                <c:pt idx="239">
                  <c:v>3.0334922301250337E-3</c:v>
                </c:pt>
                <c:pt idx="240">
                  <c:v>3.0340272128157675E-3</c:v>
                </c:pt>
                <c:pt idx="241">
                  <c:v>3.0345621955065009E-3</c:v>
                </c:pt>
                <c:pt idx="242">
                  <c:v>3.0350971781972348E-3</c:v>
                </c:pt>
                <c:pt idx="243">
                  <c:v>3.0367021262694364E-3</c:v>
                </c:pt>
                <c:pt idx="244">
                  <c:v>3.0372371089601702E-3</c:v>
                </c:pt>
                <c:pt idx="245">
                  <c:v>3.0377720916509041E-3</c:v>
                </c:pt>
                <c:pt idx="246">
                  <c:v>3.038307074341638E-3</c:v>
                </c:pt>
                <c:pt idx="247">
                  <c:v>3.0388420570323714E-3</c:v>
                </c:pt>
                <c:pt idx="248">
                  <c:v>3.040447005104573E-3</c:v>
                </c:pt>
                <c:pt idx="249">
                  <c:v>3.0409819877953068E-3</c:v>
                </c:pt>
                <c:pt idx="250">
                  <c:v>3.0415169704860407E-3</c:v>
                </c:pt>
                <c:pt idx="251">
                  <c:v>3.0420519531767745E-3</c:v>
                </c:pt>
                <c:pt idx="252">
                  <c:v>3.042586935867508E-3</c:v>
                </c:pt>
                <c:pt idx="253">
                  <c:v>3.0441918839397095E-3</c:v>
                </c:pt>
                <c:pt idx="254">
                  <c:v>3.0447268666304434E-3</c:v>
                </c:pt>
                <c:pt idx="255">
                  <c:v>3.0452618493211773E-3</c:v>
                </c:pt>
                <c:pt idx="256">
                  <c:v>3.0457968320119111E-3</c:v>
                </c:pt>
                <c:pt idx="257">
                  <c:v>3.0463318147026445E-3</c:v>
                </c:pt>
                <c:pt idx="258">
                  <c:v>3.0479367627748461E-3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'12MSynthDepo_allScenario'!$BN$6:$BN$264</c:f>
              <c:numCache>
                <c:formatCode>0.0000%</c:formatCode>
                <c:ptCount val="259"/>
                <c:pt idx="0">
                  <c:v>2.7955028711774748E-3</c:v>
                </c:pt>
                <c:pt idx="1">
                  <c:v>2.7964937116496239E-3</c:v>
                </c:pt>
                <c:pt idx="2">
                  <c:v>2.7994572957399811E-3</c:v>
                </c:pt>
                <c:pt idx="3">
                  <c:v>2.8004421779947359E-3</c:v>
                </c:pt>
                <c:pt idx="4">
                  <c:v>2.8014255706951432E-3</c:v>
                </c:pt>
                <c:pt idx="5">
                  <c:v>2.8024074738412013E-3</c:v>
                </c:pt>
                <c:pt idx="6">
                  <c:v>2.8033878874329106E-3</c:v>
                </c:pt>
                <c:pt idx="7">
                  <c:v>2.8063201908819484E-3</c:v>
                </c:pt>
                <c:pt idx="8">
                  <c:v>2.8072946462562639E-3</c:v>
                </c:pt>
                <c:pt idx="9">
                  <c:v>2.808267612076231E-3</c:v>
                </c:pt>
                <c:pt idx="10">
                  <c:v>2.8092390883418493E-3</c:v>
                </c:pt>
                <c:pt idx="11">
                  <c:v>2.8102090750531192E-3</c:v>
                </c:pt>
                <c:pt idx="12">
                  <c:v>2.8131100978608377E-3</c:v>
                </c:pt>
                <c:pt idx="13">
                  <c:v>2.8140741263547133E-3</c:v>
                </c:pt>
                <c:pt idx="14">
                  <c:v>2.8150366652942406E-3</c:v>
                </c:pt>
                <c:pt idx="15">
                  <c:v>2.8159977146794196E-3</c:v>
                </c:pt>
                <c:pt idx="16">
                  <c:v>2.8169572745102493E-3</c:v>
                </c:pt>
                <c:pt idx="17">
                  <c:v>2.8198270166766488E-3</c:v>
                </c:pt>
                <c:pt idx="18">
                  <c:v>2.8207806182900847E-3</c:v>
                </c:pt>
                <c:pt idx="19">
                  <c:v>2.8217327303491726E-3</c:v>
                </c:pt>
                <c:pt idx="20">
                  <c:v>2.8226833528539113E-3</c:v>
                </c:pt>
                <c:pt idx="21">
                  <c:v>2.8236324858043017E-3</c:v>
                </c:pt>
                <c:pt idx="22">
                  <c:v>2.8264709473293818E-3</c:v>
                </c:pt>
                <c:pt idx="23">
                  <c:v>2.8274141220623779E-3</c:v>
                </c:pt>
                <c:pt idx="24">
                  <c:v>2.828355807241026E-3</c:v>
                </c:pt>
                <c:pt idx="25">
                  <c:v>2.8292960028653254E-3</c:v>
                </c:pt>
                <c:pt idx="26">
                  <c:v>2.830234708935276E-3</c:v>
                </c:pt>
                <c:pt idx="27">
                  <c:v>2.8330418898190367E-3</c:v>
                </c:pt>
                <c:pt idx="28">
                  <c:v>2.8339746376715934E-3</c:v>
                </c:pt>
                <c:pt idx="29">
                  <c:v>2.8349058959698018E-3</c:v>
                </c:pt>
                <c:pt idx="30">
                  <c:v>2.8358356647136609E-3</c:v>
                </c:pt>
                <c:pt idx="31">
                  <c:v>2.8367639439031717E-3</c:v>
                </c:pt>
                <c:pt idx="32">
                  <c:v>2.8395398441456135E-3</c:v>
                </c:pt>
                <c:pt idx="33">
                  <c:v>2.8404621651177304E-3</c:v>
                </c:pt>
                <c:pt idx="34">
                  <c:v>2.841382996535499E-3</c:v>
                </c:pt>
                <c:pt idx="35">
                  <c:v>2.8423023383989188E-3</c:v>
                </c:pt>
                <c:pt idx="36">
                  <c:v>2.8432201907079898E-3</c:v>
                </c:pt>
                <c:pt idx="37">
                  <c:v>2.8459648103091126E-3</c:v>
                </c:pt>
                <c:pt idx="38">
                  <c:v>2.8468767044007894E-3</c:v>
                </c:pt>
                <c:pt idx="39">
                  <c:v>2.8477871089381181E-3</c:v>
                </c:pt>
                <c:pt idx="40">
                  <c:v>2.8486960239210981E-3</c:v>
                </c:pt>
                <c:pt idx="41">
                  <c:v>2.8496034493497298E-3</c:v>
                </c:pt>
                <c:pt idx="42">
                  <c:v>2.8523167883095332E-3</c:v>
                </c:pt>
                <c:pt idx="43">
                  <c:v>2.8532182555207702E-3</c:v>
                </c:pt>
                <c:pt idx="44">
                  <c:v>2.8541182331776596E-3</c:v>
                </c:pt>
                <c:pt idx="45">
                  <c:v>2.8550167212801998E-3</c:v>
                </c:pt>
                <c:pt idx="46">
                  <c:v>2.8559137198283916E-3</c:v>
                </c:pt>
                <c:pt idx="47">
                  <c:v>2.8585957781468757E-3</c:v>
                </c:pt>
                <c:pt idx="48">
                  <c:v>2.8594868184776733E-3</c:v>
                </c:pt>
                <c:pt idx="49">
                  <c:v>2.8603763692541225E-3</c:v>
                </c:pt>
                <c:pt idx="50">
                  <c:v>2.8612644304762233E-3</c:v>
                </c:pt>
                <c:pt idx="51">
                  <c:v>2.8621510021439749E-3</c:v>
                </c:pt>
                <c:pt idx="52">
                  <c:v>2.8648017798211401E-3</c:v>
                </c:pt>
                <c:pt idx="53">
                  <c:v>2.8656823932714979E-3</c:v>
                </c:pt>
                <c:pt idx="54">
                  <c:v>2.8665615171675077E-3</c:v>
                </c:pt>
                <c:pt idx="55">
                  <c:v>2.8674391515091683E-3</c:v>
                </c:pt>
                <c:pt idx="56">
                  <c:v>2.8683152962964806E-3</c:v>
                </c:pt>
                <c:pt idx="57">
                  <c:v>2.8709347933323264E-3</c:v>
                </c:pt>
                <c:pt idx="58">
                  <c:v>2.8718049799022444E-3</c:v>
                </c:pt>
                <c:pt idx="59">
                  <c:v>2.8726736769178144E-3</c:v>
                </c:pt>
                <c:pt idx="60">
                  <c:v>2.8735408843790357E-3</c:v>
                </c:pt>
                <c:pt idx="61">
                  <c:v>2.8744066022859081E-3</c:v>
                </c:pt>
                <c:pt idx="62">
                  <c:v>2.8769948186804345E-3</c:v>
                </c:pt>
                <c:pt idx="63">
                  <c:v>2.8778545783699132E-3</c:v>
                </c:pt>
                <c:pt idx="64">
                  <c:v>2.8787128485050434E-3</c:v>
                </c:pt>
                <c:pt idx="65">
                  <c:v>2.8795696290858245E-3</c:v>
                </c:pt>
                <c:pt idx="66">
                  <c:v>2.8804249201122576E-3</c:v>
                </c:pt>
                <c:pt idx="67">
                  <c:v>2.882981855865465E-3</c:v>
                </c:pt>
                <c:pt idx="68">
                  <c:v>2.8838311886745034E-3</c:v>
                </c:pt>
                <c:pt idx="69">
                  <c:v>2.8846790319291939E-3</c:v>
                </c:pt>
                <c:pt idx="70">
                  <c:v>2.8855253856295356E-3</c:v>
                </c:pt>
                <c:pt idx="71">
                  <c:v>2.8863702497755285E-3</c:v>
                </c:pt>
                <c:pt idx="72">
                  <c:v>2.888895904887417E-3</c:v>
                </c:pt>
                <c:pt idx="73">
                  <c:v>2.8897348108160156E-3</c:v>
                </c:pt>
                <c:pt idx="74">
                  <c:v>2.8905722271902667E-3</c:v>
                </c:pt>
                <c:pt idx="75">
                  <c:v>2.8914081540101686E-3</c:v>
                </c:pt>
                <c:pt idx="76">
                  <c:v>2.8922425912757217E-3</c:v>
                </c:pt>
                <c:pt idx="77">
                  <c:v>2.8947369657462908E-3</c:v>
                </c:pt>
                <c:pt idx="78">
                  <c:v>2.8955654447944501E-3</c:v>
                </c:pt>
                <c:pt idx="79">
                  <c:v>2.896392434288261E-3</c:v>
                </c:pt>
                <c:pt idx="80">
                  <c:v>2.8972179342277231E-3</c:v>
                </c:pt>
                <c:pt idx="81">
                  <c:v>2.8980419446128368E-3</c:v>
                </c:pt>
                <c:pt idx="82">
                  <c:v>2.9005050384420866E-3</c:v>
                </c:pt>
                <c:pt idx="83">
                  <c:v>2.901323090609806E-3</c:v>
                </c:pt>
                <c:pt idx="84">
                  <c:v>2.9021396532231776E-3</c:v>
                </c:pt>
                <c:pt idx="85">
                  <c:v>2.9029547262821999E-3</c:v>
                </c:pt>
                <c:pt idx="86">
                  <c:v>2.9037683097868738E-3</c:v>
                </c:pt>
                <c:pt idx="87">
                  <c:v>2.9062001229748047E-3</c:v>
                </c:pt>
                <c:pt idx="88">
                  <c:v>2.9070077482620843E-3</c:v>
                </c:pt>
                <c:pt idx="89">
                  <c:v>2.9078138839950156E-3</c:v>
                </c:pt>
                <c:pt idx="90">
                  <c:v>2.9086185301735986E-3</c:v>
                </c:pt>
                <c:pt idx="91">
                  <c:v>2.9094216867978327E-3</c:v>
                </c:pt>
                <c:pt idx="92">
                  <c:v>2.9118222193444442E-3</c:v>
                </c:pt>
                <c:pt idx="93">
                  <c:v>2.9126194177512841E-3</c:v>
                </c:pt>
                <c:pt idx="94">
                  <c:v>2.913415126603776E-3</c:v>
                </c:pt>
                <c:pt idx="95">
                  <c:v>2.9142093459019187E-3</c:v>
                </c:pt>
                <c:pt idx="96">
                  <c:v>2.9150020756457131E-3</c:v>
                </c:pt>
                <c:pt idx="97">
                  <c:v>2.9173713275510056E-3</c:v>
                </c:pt>
                <c:pt idx="98">
                  <c:v>2.9181580990774057E-3</c:v>
                </c:pt>
                <c:pt idx="99">
                  <c:v>2.9189433810494578E-3</c:v>
                </c:pt>
                <c:pt idx="100">
                  <c:v>2.9197271734671612E-3</c:v>
                </c:pt>
                <c:pt idx="101">
                  <c:v>2.9205094763305158E-3</c:v>
                </c:pt>
                <c:pt idx="102">
                  <c:v>2.9228474475944889E-3</c:v>
                </c:pt>
                <c:pt idx="103">
                  <c:v>2.9236237922404497E-3</c:v>
                </c:pt>
                <c:pt idx="104">
                  <c:v>2.924398647332062E-3</c:v>
                </c:pt>
                <c:pt idx="105">
                  <c:v>2.9251720128693256E-3</c:v>
                </c:pt>
                <c:pt idx="106">
                  <c:v>2.9259438888522404E-3</c:v>
                </c:pt>
                <c:pt idx="107">
                  <c:v>2.9282505794748946E-3</c:v>
                </c:pt>
                <c:pt idx="108">
                  <c:v>2.9290164972404151E-3</c:v>
                </c:pt>
                <c:pt idx="109">
                  <c:v>2.9297809254515881E-3</c:v>
                </c:pt>
                <c:pt idx="110">
                  <c:v>2.9305438641084114E-3</c:v>
                </c:pt>
                <c:pt idx="111">
                  <c:v>2.9313053132108868E-3</c:v>
                </c:pt>
                <c:pt idx="112">
                  <c:v>2.9335807231922217E-3</c:v>
                </c:pt>
                <c:pt idx="113">
                  <c:v>2.9343362140773028E-3</c:v>
                </c:pt>
                <c:pt idx="114">
                  <c:v>2.9350902154080356E-3</c:v>
                </c:pt>
                <c:pt idx="115">
                  <c:v>2.9358427271844196E-3</c:v>
                </c:pt>
                <c:pt idx="116">
                  <c:v>2.9365937494064552E-3</c:v>
                </c:pt>
                <c:pt idx="117">
                  <c:v>2.9388378787464707E-3</c:v>
                </c:pt>
                <c:pt idx="118">
                  <c:v>2.939582942751112E-3</c:v>
                </c:pt>
                <c:pt idx="119">
                  <c:v>2.9403265172014055E-3</c:v>
                </c:pt>
                <c:pt idx="120">
                  <c:v>2.9410686020973496E-3</c:v>
                </c:pt>
                <c:pt idx="121">
                  <c:v>2.9418091974389455E-3</c:v>
                </c:pt>
                <c:pt idx="122">
                  <c:v>2.9440220461376416E-3</c:v>
                </c:pt>
                <c:pt idx="123">
                  <c:v>2.9447566832618436E-3</c:v>
                </c:pt>
                <c:pt idx="124">
                  <c:v>2.9454898308316968E-3</c:v>
                </c:pt>
                <c:pt idx="125">
                  <c:v>2.9462214888472016E-3</c:v>
                </c:pt>
                <c:pt idx="126">
                  <c:v>2.9469516573083577E-3</c:v>
                </c:pt>
                <c:pt idx="127">
                  <c:v>2.9491332253657348E-3</c:v>
                </c:pt>
                <c:pt idx="128">
                  <c:v>2.9498574356094966E-3</c:v>
                </c:pt>
                <c:pt idx="129">
                  <c:v>2.9505801562989104E-3</c:v>
                </c:pt>
                <c:pt idx="130">
                  <c:v>2.951301387433975E-3</c:v>
                </c:pt>
                <c:pt idx="131">
                  <c:v>2.9520211290146913E-3</c:v>
                </c:pt>
                <c:pt idx="132">
                  <c:v>2.9541714164307495E-3</c:v>
                </c:pt>
                <c:pt idx="133">
                  <c:v>2.9548851997940723E-3</c:v>
                </c:pt>
                <c:pt idx="134">
                  <c:v>2.9555974936030459E-3</c:v>
                </c:pt>
                <c:pt idx="135">
                  <c:v>2.9563082978576708E-3</c:v>
                </c:pt>
                <c:pt idx="136">
                  <c:v>2.9570176125579472E-3</c:v>
                </c:pt>
                <c:pt idx="137">
                  <c:v>2.9591366193326865E-3</c:v>
                </c:pt>
                <c:pt idx="138">
                  <c:v>2.9598399758155687E-3</c:v>
                </c:pt>
                <c:pt idx="139">
                  <c:v>2.9605418427441029E-3</c:v>
                </c:pt>
                <c:pt idx="140">
                  <c:v>2.9612422201182884E-3</c:v>
                </c:pt>
                <c:pt idx="141">
                  <c:v>2.9619411079381251E-3</c:v>
                </c:pt>
                <c:pt idx="142">
                  <c:v>2.964028834071545E-3</c:v>
                </c:pt>
                <c:pt idx="143">
                  <c:v>2.9647217636739878E-3</c:v>
                </c:pt>
                <c:pt idx="144">
                  <c:v>2.9654132037220822E-3</c:v>
                </c:pt>
                <c:pt idx="145">
                  <c:v>2.9661031542158279E-3</c:v>
                </c:pt>
                <c:pt idx="146">
                  <c:v>2.9667916151552248E-3</c:v>
                </c:pt>
                <c:pt idx="147">
                  <c:v>2.9688480606473253E-3</c:v>
                </c:pt>
                <c:pt idx="148">
                  <c:v>2.9695305633693284E-3</c:v>
                </c:pt>
                <c:pt idx="149">
                  <c:v>2.9702115765369835E-3</c:v>
                </c:pt>
                <c:pt idx="150">
                  <c:v>2.9708911001502893E-3</c:v>
                </c:pt>
                <c:pt idx="151">
                  <c:v>2.9715691342092464E-3</c:v>
                </c:pt>
                <c:pt idx="152">
                  <c:v>2.973594299060028E-3</c:v>
                </c:pt>
                <c:pt idx="153">
                  <c:v>2.9742663749015913E-3</c:v>
                </c:pt>
                <c:pt idx="154">
                  <c:v>2.9749369611888061E-3</c:v>
                </c:pt>
                <c:pt idx="155">
                  <c:v>2.9756060579216722E-3</c:v>
                </c:pt>
                <c:pt idx="156">
                  <c:v>2.97627366510019E-3</c:v>
                </c:pt>
                <c:pt idx="157">
                  <c:v>2.9782675493096522E-3</c:v>
                </c:pt>
                <c:pt idx="158">
                  <c:v>2.9789291982707756E-3</c:v>
                </c:pt>
                <c:pt idx="159">
                  <c:v>2.9795893576775511E-3</c:v>
                </c:pt>
                <c:pt idx="160">
                  <c:v>2.9802480275299774E-3</c:v>
                </c:pt>
                <c:pt idx="161">
                  <c:v>2.9828678113961982E-3</c:v>
                </c:pt>
                <c:pt idx="162">
                  <c:v>2.9835190334768823E-3</c:v>
                </c:pt>
                <c:pt idx="163">
                  <c:v>2.984168766003218E-3</c:v>
                </c:pt>
                <c:pt idx="164">
                  <c:v>2.9848170089752045E-3</c:v>
                </c:pt>
                <c:pt idx="165">
                  <c:v>2.9873950853196666E-3</c:v>
                </c:pt>
                <c:pt idx="166">
                  <c:v>2.9880358805199105E-3</c:v>
                </c:pt>
                <c:pt idx="167">
                  <c:v>2.9886751861658064E-3</c:v>
                </c:pt>
                <c:pt idx="168">
                  <c:v>2.9893130022573535E-3</c:v>
                </c:pt>
                <c:pt idx="169">
                  <c:v>2.9899493287945519E-3</c:v>
                </c:pt>
                <c:pt idx="170">
                  <c:v>2.9918493710800564E-3</c:v>
                </c:pt>
                <c:pt idx="171">
                  <c:v>2.9924797393998614E-3</c:v>
                </c:pt>
                <c:pt idx="172">
                  <c:v>2.9931086181653171E-3</c:v>
                </c:pt>
                <c:pt idx="173">
                  <c:v>2.9937360073764244E-3</c:v>
                </c:pt>
                <c:pt idx="174">
                  <c:v>2.994361907033183E-3</c:v>
                </c:pt>
                <c:pt idx="175">
                  <c:v>2.9962306686773686E-3</c:v>
                </c:pt>
                <c:pt idx="176">
                  <c:v>2.9968506101167329E-3</c:v>
                </c:pt>
                <c:pt idx="177">
                  <c:v>2.9974690620017497E-3</c:v>
                </c:pt>
                <c:pt idx="178">
                  <c:v>2.9980860243324172E-3</c:v>
                </c:pt>
                <c:pt idx="179">
                  <c:v>2.998701497108736E-3</c:v>
                </c:pt>
                <c:pt idx="180">
                  <c:v>3.0005389781116022E-3</c:v>
                </c:pt>
                <c:pt idx="181">
                  <c:v>3.0011484926705276E-3</c:v>
                </c:pt>
                <c:pt idx="182">
                  <c:v>3.0017565176751037E-3</c:v>
                </c:pt>
                <c:pt idx="183">
                  <c:v>3.0023630531253315E-3</c:v>
                </c:pt>
                <c:pt idx="184">
                  <c:v>3.0029680990212109E-3</c:v>
                </c:pt>
                <c:pt idx="185">
                  <c:v>3.0047742993827582E-3</c:v>
                </c:pt>
                <c:pt idx="186">
                  <c:v>3.0053733870612433E-3</c:v>
                </c:pt>
                <c:pt idx="187">
                  <c:v>3.0059709851853801E-3</c:v>
                </c:pt>
                <c:pt idx="188">
                  <c:v>3.006567093755168E-3</c:v>
                </c:pt>
                <c:pt idx="189">
                  <c:v>3.0071617127706077E-3</c:v>
                </c:pt>
                <c:pt idx="190">
                  <c:v>3.0089366324908356E-3</c:v>
                </c:pt>
                <c:pt idx="191">
                  <c:v>3.0095252932888809E-3</c:v>
                </c:pt>
                <c:pt idx="192">
                  <c:v>3.0101124645325783E-3</c:v>
                </c:pt>
                <c:pt idx="193">
                  <c:v>3.0106981462219265E-3</c:v>
                </c:pt>
                <c:pt idx="194">
                  <c:v>3.0112823383569264E-3</c:v>
                </c:pt>
                <c:pt idx="195">
                  <c:v>3.0130259774358349E-3</c:v>
                </c:pt>
                <c:pt idx="196">
                  <c:v>3.0136042113534413E-3</c:v>
                </c:pt>
                <c:pt idx="197">
                  <c:v>3.0141809557166985E-3</c:v>
                </c:pt>
                <c:pt idx="198">
                  <c:v>3.0147562105256069E-3</c:v>
                </c:pt>
                <c:pt idx="199">
                  <c:v>3.0153299757801669E-3</c:v>
                </c:pt>
                <c:pt idx="200">
                  <c:v>3.0170423342177565E-3</c:v>
                </c:pt>
                <c:pt idx="201">
                  <c:v>3.0176101412549223E-3</c:v>
                </c:pt>
                <c:pt idx="202">
                  <c:v>3.0181764587377401E-3</c:v>
                </c:pt>
                <c:pt idx="203">
                  <c:v>3.0187412866662091E-3</c:v>
                </c:pt>
                <c:pt idx="204">
                  <c:v>3.0193046250403294E-3</c:v>
                </c:pt>
                <c:pt idx="205">
                  <c:v>3.0209857028365996E-3</c:v>
                </c:pt>
                <c:pt idx="206">
                  <c:v>3.0215430829933264E-3</c:v>
                </c:pt>
                <c:pt idx="207">
                  <c:v>3.022098973595704E-3</c:v>
                </c:pt>
                <c:pt idx="208">
                  <c:v>3.0226533746437333E-3</c:v>
                </c:pt>
                <c:pt idx="209">
                  <c:v>3.0232062861374137E-3</c:v>
                </c:pt>
                <c:pt idx="210">
                  <c:v>3.024856083292365E-3</c:v>
                </c:pt>
                <c:pt idx="211">
                  <c:v>3.025403036568652E-3</c:v>
                </c:pt>
                <c:pt idx="212">
                  <c:v>3.0259485002905899E-3</c:v>
                </c:pt>
                <c:pt idx="213">
                  <c:v>3.0264924744581793E-3</c:v>
                </c:pt>
                <c:pt idx="214">
                  <c:v>3.02703495907142E-3</c:v>
                </c:pt>
                <c:pt idx="215">
                  <c:v>3.0286534755850519E-3</c:v>
                </c:pt>
                <c:pt idx="216">
                  <c:v>3.0291900019808987E-3</c:v>
                </c:pt>
                <c:pt idx="217">
                  <c:v>3.0297250388223976E-3</c:v>
                </c:pt>
                <c:pt idx="218">
                  <c:v>3.0302585861095473E-3</c:v>
                </c:pt>
                <c:pt idx="219">
                  <c:v>3.0307906438423481E-3</c:v>
                </c:pt>
                <c:pt idx="220">
                  <c:v>3.0323778797146611E-3</c:v>
                </c:pt>
                <c:pt idx="221">
                  <c:v>3.0329039792300685E-3</c:v>
                </c:pt>
                <c:pt idx="222">
                  <c:v>3.0334285891911268E-3</c:v>
                </c:pt>
                <c:pt idx="223">
                  <c:v>3.0339517095978371E-3</c:v>
                </c:pt>
                <c:pt idx="224">
                  <c:v>3.0365449683161594E-3</c:v>
                </c:pt>
                <c:pt idx="225">
                  <c:v>3.0370591513967783E-3</c:v>
                </c:pt>
                <c:pt idx="226">
                  <c:v>3.0375718449230488E-3</c:v>
                </c:pt>
                <c:pt idx="227">
                  <c:v>3.0380830488949706E-3</c:v>
                </c:pt>
                <c:pt idx="228">
                  <c:v>3.0396077234846447E-3</c:v>
                </c:pt>
                <c:pt idx="229">
                  <c:v>3.0401129692391726E-3</c:v>
                </c:pt>
                <c:pt idx="230">
                  <c:v>3.0406167254393517E-3</c:v>
                </c:pt>
                <c:pt idx="231">
                  <c:v>3.0411189920851824E-3</c:v>
                </c:pt>
                <c:pt idx="232">
                  <c:v>3.0416197691766644E-3</c:v>
                </c:pt>
                <c:pt idx="233">
                  <c:v>3.0431131631250196E-3</c:v>
                </c:pt>
                <c:pt idx="234">
                  <c:v>3.0436079819991077E-3</c:v>
                </c:pt>
                <c:pt idx="235">
                  <c:v>3.044101311318847E-3</c:v>
                </c:pt>
                <c:pt idx="236">
                  <c:v>3.044593151084238E-3</c:v>
                </c:pt>
                <c:pt idx="237">
                  <c:v>3.0450835012952801E-3</c:v>
                </c:pt>
                <c:pt idx="238">
                  <c:v>3.046545614602316E-3</c:v>
                </c:pt>
                <c:pt idx="239">
                  <c:v>3.0470300065959643E-3</c:v>
                </c:pt>
                <c:pt idx="240">
                  <c:v>3.0475129090352642E-3</c:v>
                </c:pt>
                <c:pt idx="241">
                  <c:v>3.0479943219202154E-3</c:v>
                </c:pt>
                <c:pt idx="242">
                  <c:v>3.0484742452508177E-3</c:v>
                </c:pt>
                <c:pt idx="243">
                  <c:v>3.0499050779165347E-3</c:v>
                </c:pt>
                <c:pt idx="244">
                  <c:v>3.0503790430297432E-3</c:v>
                </c:pt>
                <c:pt idx="245">
                  <c:v>3.0508515185886033E-3</c:v>
                </c:pt>
                <c:pt idx="246">
                  <c:v>3.0513225045931147E-3</c:v>
                </c:pt>
                <c:pt idx="247">
                  <c:v>3.0517920010432772E-3</c:v>
                </c:pt>
                <c:pt idx="248">
                  <c:v>3.0531915530676748E-3</c:v>
                </c:pt>
                <c:pt idx="249">
                  <c:v>3.0536550913004439E-3</c:v>
                </c:pt>
                <c:pt idx="250">
                  <c:v>3.0541171399788643E-3</c:v>
                </c:pt>
                <c:pt idx="251">
                  <c:v>3.0545776991029359E-3</c:v>
                </c:pt>
                <c:pt idx="252">
                  <c:v>3.0550367686726586E-3</c:v>
                </c:pt>
                <c:pt idx="253">
                  <c:v>3.0564050400557373E-3</c:v>
                </c:pt>
                <c:pt idx="254">
                  <c:v>3.0568581514080662E-3</c:v>
                </c:pt>
                <c:pt idx="255">
                  <c:v>3.0573097732060467E-3</c:v>
                </c:pt>
                <c:pt idx="256">
                  <c:v>3.0577599054496789E-3</c:v>
                </c:pt>
                <c:pt idx="257">
                  <c:v>3.0582085481389619E-3</c:v>
                </c:pt>
                <c:pt idx="258">
                  <c:v>3.0595455388807212E-3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'12MSynthDepo_allScenario'!$BO$6:$BO$264</c:f>
              <c:numCache>
                <c:formatCode>0.0000%</c:formatCode>
                <c:ptCount val="259"/>
                <c:pt idx="0">
                  <c:v>2.8654549241243581E-3</c:v>
                </c:pt>
                <c:pt idx="1">
                  <c:v>2.8659468309607077E-3</c:v>
                </c:pt>
                <c:pt idx="2">
                  <c:v>2.8674225514697558E-3</c:v>
                </c:pt>
                <c:pt idx="3">
                  <c:v>2.8679144583061049E-3</c:v>
                </c:pt>
                <c:pt idx="4">
                  <c:v>2.8684063651424545E-3</c:v>
                </c:pt>
                <c:pt idx="5">
                  <c:v>2.868898271978804E-3</c:v>
                </c:pt>
                <c:pt idx="6">
                  <c:v>2.8693901788151535E-3</c:v>
                </c:pt>
                <c:pt idx="7">
                  <c:v>2.8708658993242017E-3</c:v>
                </c:pt>
                <c:pt idx="8">
                  <c:v>2.8713578061605508E-3</c:v>
                </c:pt>
                <c:pt idx="9">
                  <c:v>2.8718497129969003E-3</c:v>
                </c:pt>
                <c:pt idx="10">
                  <c:v>2.8723416198332499E-3</c:v>
                </c:pt>
                <c:pt idx="11">
                  <c:v>2.8728335266695994E-3</c:v>
                </c:pt>
                <c:pt idx="12">
                  <c:v>2.8743092471786476E-3</c:v>
                </c:pt>
                <c:pt idx="13">
                  <c:v>2.8748011540149967E-3</c:v>
                </c:pt>
                <c:pt idx="14">
                  <c:v>2.8752930608513462E-3</c:v>
                </c:pt>
                <c:pt idx="15">
                  <c:v>2.8757849676876958E-3</c:v>
                </c:pt>
                <c:pt idx="16">
                  <c:v>2.8762768745240449E-3</c:v>
                </c:pt>
                <c:pt idx="17">
                  <c:v>2.877752595033093E-3</c:v>
                </c:pt>
                <c:pt idx="18">
                  <c:v>2.8782445018694426E-3</c:v>
                </c:pt>
                <c:pt idx="19">
                  <c:v>2.8787364087057921E-3</c:v>
                </c:pt>
                <c:pt idx="20">
                  <c:v>2.8792283155421416E-3</c:v>
                </c:pt>
                <c:pt idx="21">
                  <c:v>2.8797202223784907E-3</c:v>
                </c:pt>
                <c:pt idx="22">
                  <c:v>2.8811959428875389E-3</c:v>
                </c:pt>
                <c:pt idx="23">
                  <c:v>2.8816878497238884E-3</c:v>
                </c:pt>
                <c:pt idx="24">
                  <c:v>2.882179756560238E-3</c:v>
                </c:pt>
                <c:pt idx="25">
                  <c:v>2.8826716633965875E-3</c:v>
                </c:pt>
                <c:pt idx="26">
                  <c:v>2.8831635702329366E-3</c:v>
                </c:pt>
                <c:pt idx="27">
                  <c:v>2.8846392907419848E-3</c:v>
                </c:pt>
                <c:pt idx="28">
                  <c:v>2.8851311975783343E-3</c:v>
                </c:pt>
                <c:pt idx="29">
                  <c:v>2.8856231044146839E-3</c:v>
                </c:pt>
                <c:pt idx="30">
                  <c:v>2.886115011251033E-3</c:v>
                </c:pt>
                <c:pt idx="31">
                  <c:v>2.8866069180873825E-3</c:v>
                </c:pt>
                <c:pt idx="32">
                  <c:v>2.8880826385964307E-3</c:v>
                </c:pt>
                <c:pt idx="33">
                  <c:v>2.8885745454327802E-3</c:v>
                </c:pt>
                <c:pt idx="34">
                  <c:v>2.8890664522691297E-3</c:v>
                </c:pt>
                <c:pt idx="35">
                  <c:v>2.8895583591054788E-3</c:v>
                </c:pt>
                <c:pt idx="36">
                  <c:v>2.8900502659418284E-3</c:v>
                </c:pt>
                <c:pt idx="37">
                  <c:v>2.8915259864508765E-3</c:v>
                </c:pt>
                <c:pt idx="38">
                  <c:v>2.8920178932872261E-3</c:v>
                </c:pt>
                <c:pt idx="39">
                  <c:v>2.8925098001235756E-3</c:v>
                </c:pt>
                <c:pt idx="40">
                  <c:v>2.8930017069599247E-3</c:v>
                </c:pt>
                <c:pt idx="41">
                  <c:v>2.8934936137962742E-3</c:v>
                </c:pt>
                <c:pt idx="42">
                  <c:v>2.8949693343053224E-3</c:v>
                </c:pt>
                <c:pt idx="43">
                  <c:v>2.895461241141672E-3</c:v>
                </c:pt>
                <c:pt idx="44">
                  <c:v>2.8959531479780211E-3</c:v>
                </c:pt>
                <c:pt idx="45">
                  <c:v>2.8964450548143706E-3</c:v>
                </c:pt>
                <c:pt idx="46">
                  <c:v>2.8969369616507201E-3</c:v>
                </c:pt>
                <c:pt idx="47">
                  <c:v>2.8984126821597683E-3</c:v>
                </c:pt>
                <c:pt idx="48">
                  <c:v>2.8989045889961178E-3</c:v>
                </c:pt>
                <c:pt idx="49">
                  <c:v>2.8993964958324669E-3</c:v>
                </c:pt>
                <c:pt idx="50">
                  <c:v>2.8998884026688165E-3</c:v>
                </c:pt>
                <c:pt idx="51">
                  <c:v>2.900380309505166E-3</c:v>
                </c:pt>
                <c:pt idx="52">
                  <c:v>2.9018560300142142E-3</c:v>
                </c:pt>
                <c:pt idx="53">
                  <c:v>2.9023479368505637E-3</c:v>
                </c:pt>
                <c:pt idx="54">
                  <c:v>2.9028398436869128E-3</c:v>
                </c:pt>
                <c:pt idx="55">
                  <c:v>2.9033317505232623E-3</c:v>
                </c:pt>
                <c:pt idx="56">
                  <c:v>2.9038236573596119E-3</c:v>
                </c:pt>
                <c:pt idx="57">
                  <c:v>2.90529937786866E-3</c:v>
                </c:pt>
                <c:pt idx="58">
                  <c:v>2.9057912847050092E-3</c:v>
                </c:pt>
                <c:pt idx="59">
                  <c:v>2.9062831915413587E-3</c:v>
                </c:pt>
                <c:pt idx="60">
                  <c:v>2.9067750983777082E-3</c:v>
                </c:pt>
                <c:pt idx="61">
                  <c:v>2.9072670052140573E-3</c:v>
                </c:pt>
                <c:pt idx="62">
                  <c:v>2.9087427257231059E-3</c:v>
                </c:pt>
                <c:pt idx="63">
                  <c:v>2.909234632559455E-3</c:v>
                </c:pt>
                <c:pt idx="64">
                  <c:v>2.9097265393958046E-3</c:v>
                </c:pt>
                <c:pt idx="65">
                  <c:v>2.9102184462321541E-3</c:v>
                </c:pt>
                <c:pt idx="66">
                  <c:v>2.9107103530685032E-3</c:v>
                </c:pt>
                <c:pt idx="67">
                  <c:v>2.9121860735775518E-3</c:v>
                </c:pt>
                <c:pt idx="68">
                  <c:v>2.9126779804139009E-3</c:v>
                </c:pt>
                <c:pt idx="69">
                  <c:v>2.9131698872502504E-3</c:v>
                </c:pt>
                <c:pt idx="70">
                  <c:v>2.9136617940866E-3</c:v>
                </c:pt>
                <c:pt idx="71">
                  <c:v>2.9141537009229491E-3</c:v>
                </c:pt>
                <c:pt idx="72">
                  <c:v>2.9156294214319972E-3</c:v>
                </c:pt>
                <c:pt idx="73">
                  <c:v>2.9161213282683468E-3</c:v>
                </c:pt>
                <c:pt idx="74">
                  <c:v>2.9166132351046963E-3</c:v>
                </c:pt>
                <c:pt idx="75">
                  <c:v>2.9171051419410454E-3</c:v>
                </c:pt>
                <c:pt idx="76">
                  <c:v>2.917597048777395E-3</c:v>
                </c:pt>
                <c:pt idx="77">
                  <c:v>2.9190727692864431E-3</c:v>
                </c:pt>
                <c:pt idx="78">
                  <c:v>2.9195646761227927E-3</c:v>
                </c:pt>
                <c:pt idx="79">
                  <c:v>2.9200565829591422E-3</c:v>
                </c:pt>
                <c:pt idx="80">
                  <c:v>2.9205484897954913E-3</c:v>
                </c:pt>
                <c:pt idx="81">
                  <c:v>2.9210403966318408E-3</c:v>
                </c:pt>
                <c:pt idx="82">
                  <c:v>2.922516117140889E-3</c:v>
                </c:pt>
                <c:pt idx="83">
                  <c:v>2.9230080239772385E-3</c:v>
                </c:pt>
                <c:pt idx="84">
                  <c:v>2.9234999308135881E-3</c:v>
                </c:pt>
                <c:pt idx="85">
                  <c:v>2.9239918376499372E-3</c:v>
                </c:pt>
                <c:pt idx="86">
                  <c:v>2.9244837444862867E-3</c:v>
                </c:pt>
                <c:pt idx="87">
                  <c:v>2.9259594649953349E-3</c:v>
                </c:pt>
                <c:pt idx="88">
                  <c:v>2.9264513718316844E-3</c:v>
                </c:pt>
                <c:pt idx="89">
                  <c:v>2.9269432786680335E-3</c:v>
                </c:pt>
                <c:pt idx="90">
                  <c:v>2.9274351855043831E-3</c:v>
                </c:pt>
                <c:pt idx="91">
                  <c:v>2.9279270923407326E-3</c:v>
                </c:pt>
                <c:pt idx="92">
                  <c:v>2.9294028128497808E-3</c:v>
                </c:pt>
                <c:pt idx="93">
                  <c:v>2.9298947196861303E-3</c:v>
                </c:pt>
                <c:pt idx="94">
                  <c:v>2.9303866265224794E-3</c:v>
                </c:pt>
                <c:pt idx="95">
                  <c:v>2.9308785333588289E-3</c:v>
                </c:pt>
                <c:pt idx="96">
                  <c:v>2.9313704401951785E-3</c:v>
                </c:pt>
                <c:pt idx="97">
                  <c:v>2.9328461607042266E-3</c:v>
                </c:pt>
                <c:pt idx="98">
                  <c:v>2.9333380675405762E-3</c:v>
                </c:pt>
                <c:pt idx="99">
                  <c:v>2.9338299743769253E-3</c:v>
                </c:pt>
                <c:pt idx="100">
                  <c:v>2.9343218812132748E-3</c:v>
                </c:pt>
                <c:pt idx="101">
                  <c:v>2.9348137880496243E-3</c:v>
                </c:pt>
                <c:pt idx="102">
                  <c:v>2.9362895085586725E-3</c:v>
                </c:pt>
                <c:pt idx="103">
                  <c:v>2.9367814153950216E-3</c:v>
                </c:pt>
                <c:pt idx="104">
                  <c:v>2.9372733222313712E-3</c:v>
                </c:pt>
                <c:pt idx="105">
                  <c:v>2.9377652290677207E-3</c:v>
                </c:pt>
                <c:pt idx="106">
                  <c:v>2.9382571359040702E-3</c:v>
                </c:pt>
                <c:pt idx="107">
                  <c:v>2.9397328564131184E-3</c:v>
                </c:pt>
                <c:pt idx="108">
                  <c:v>2.9402247632494675E-3</c:v>
                </c:pt>
                <c:pt idx="109">
                  <c:v>2.940716670085817E-3</c:v>
                </c:pt>
                <c:pt idx="110">
                  <c:v>2.9412085769221666E-3</c:v>
                </c:pt>
                <c:pt idx="111">
                  <c:v>2.9417004837585161E-3</c:v>
                </c:pt>
                <c:pt idx="112">
                  <c:v>2.9431762042675643E-3</c:v>
                </c:pt>
                <c:pt idx="113">
                  <c:v>2.9436681111039134E-3</c:v>
                </c:pt>
                <c:pt idx="114">
                  <c:v>2.9441600179402629E-3</c:v>
                </c:pt>
                <c:pt idx="115">
                  <c:v>2.9446519247766124E-3</c:v>
                </c:pt>
                <c:pt idx="116">
                  <c:v>2.9451438316129615E-3</c:v>
                </c:pt>
                <c:pt idx="117">
                  <c:v>2.9466195521220097E-3</c:v>
                </c:pt>
                <c:pt idx="118">
                  <c:v>2.9471114589583593E-3</c:v>
                </c:pt>
                <c:pt idx="119">
                  <c:v>2.9476033657947088E-3</c:v>
                </c:pt>
                <c:pt idx="120">
                  <c:v>2.9480952726310583E-3</c:v>
                </c:pt>
                <c:pt idx="121">
                  <c:v>2.9485871794674074E-3</c:v>
                </c:pt>
                <c:pt idx="122">
                  <c:v>2.9500628999764556E-3</c:v>
                </c:pt>
                <c:pt idx="123">
                  <c:v>2.9505548068128051E-3</c:v>
                </c:pt>
                <c:pt idx="124">
                  <c:v>2.9510467136491547E-3</c:v>
                </c:pt>
                <c:pt idx="125">
                  <c:v>2.9515386204855042E-3</c:v>
                </c:pt>
                <c:pt idx="126">
                  <c:v>2.9520305273218533E-3</c:v>
                </c:pt>
                <c:pt idx="127">
                  <c:v>2.9535062478309015E-3</c:v>
                </c:pt>
                <c:pt idx="128">
                  <c:v>2.953998154667251E-3</c:v>
                </c:pt>
                <c:pt idx="129">
                  <c:v>2.9544900615036005E-3</c:v>
                </c:pt>
                <c:pt idx="130">
                  <c:v>2.9549819683399496E-3</c:v>
                </c:pt>
                <c:pt idx="131">
                  <c:v>2.9554738751762992E-3</c:v>
                </c:pt>
                <c:pt idx="132">
                  <c:v>2.9569495956853474E-3</c:v>
                </c:pt>
                <c:pt idx="133">
                  <c:v>2.9574415025216969E-3</c:v>
                </c:pt>
                <c:pt idx="134">
                  <c:v>2.9579334093580464E-3</c:v>
                </c:pt>
                <c:pt idx="135">
                  <c:v>2.9584253161943955E-3</c:v>
                </c:pt>
                <c:pt idx="136">
                  <c:v>2.9589172230307451E-3</c:v>
                </c:pt>
                <c:pt idx="137">
                  <c:v>2.9603929435397932E-3</c:v>
                </c:pt>
                <c:pt idx="138">
                  <c:v>2.9608848503761428E-3</c:v>
                </c:pt>
                <c:pt idx="139">
                  <c:v>2.9613767572124923E-3</c:v>
                </c:pt>
                <c:pt idx="140">
                  <c:v>2.9618686640488414E-3</c:v>
                </c:pt>
                <c:pt idx="141">
                  <c:v>2.9623605708851909E-3</c:v>
                </c:pt>
                <c:pt idx="142">
                  <c:v>2.9638362913942391E-3</c:v>
                </c:pt>
                <c:pt idx="143">
                  <c:v>2.9643281982305886E-3</c:v>
                </c:pt>
                <c:pt idx="144">
                  <c:v>2.9648201050669377E-3</c:v>
                </c:pt>
                <c:pt idx="145">
                  <c:v>2.9653120119032873E-3</c:v>
                </c:pt>
                <c:pt idx="146">
                  <c:v>2.9658039187396368E-3</c:v>
                </c:pt>
                <c:pt idx="147">
                  <c:v>2.967279639248685E-3</c:v>
                </c:pt>
                <c:pt idx="148">
                  <c:v>2.9677715460850345E-3</c:v>
                </c:pt>
                <c:pt idx="149">
                  <c:v>2.9682634529213836E-3</c:v>
                </c:pt>
                <c:pt idx="150">
                  <c:v>2.9687553597577332E-3</c:v>
                </c:pt>
                <c:pt idx="151">
                  <c:v>2.9692472665940827E-3</c:v>
                </c:pt>
                <c:pt idx="152">
                  <c:v>2.9707229871031309E-3</c:v>
                </c:pt>
                <c:pt idx="153">
                  <c:v>2.9712148939394804E-3</c:v>
                </c:pt>
                <c:pt idx="154">
                  <c:v>2.9717068007758295E-3</c:v>
                </c:pt>
                <c:pt idx="155">
                  <c:v>2.972198707612179E-3</c:v>
                </c:pt>
                <c:pt idx="156">
                  <c:v>2.9726906144485286E-3</c:v>
                </c:pt>
                <c:pt idx="157">
                  <c:v>2.9741663349575767E-3</c:v>
                </c:pt>
                <c:pt idx="158">
                  <c:v>2.9746582417939258E-3</c:v>
                </c:pt>
                <c:pt idx="159">
                  <c:v>2.9751501486302754E-3</c:v>
                </c:pt>
                <c:pt idx="160">
                  <c:v>2.9756420554666249E-3</c:v>
                </c:pt>
                <c:pt idx="161">
                  <c:v>2.9776096828120226E-3</c:v>
                </c:pt>
                <c:pt idx="162">
                  <c:v>2.9781015896483717E-3</c:v>
                </c:pt>
                <c:pt idx="163">
                  <c:v>2.9785934964847213E-3</c:v>
                </c:pt>
                <c:pt idx="164">
                  <c:v>2.9790854033210708E-3</c:v>
                </c:pt>
                <c:pt idx="165">
                  <c:v>2.9810530306664685E-3</c:v>
                </c:pt>
                <c:pt idx="166">
                  <c:v>2.9815449375028176E-3</c:v>
                </c:pt>
                <c:pt idx="167">
                  <c:v>2.9820368443391671E-3</c:v>
                </c:pt>
                <c:pt idx="168">
                  <c:v>2.9825287511755167E-3</c:v>
                </c:pt>
                <c:pt idx="169">
                  <c:v>2.9830206580118658E-3</c:v>
                </c:pt>
                <c:pt idx="170">
                  <c:v>2.9844963785209139E-3</c:v>
                </c:pt>
                <c:pt idx="171">
                  <c:v>2.9849882853572635E-3</c:v>
                </c:pt>
                <c:pt idx="172">
                  <c:v>2.985480192193613E-3</c:v>
                </c:pt>
                <c:pt idx="173">
                  <c:v>2.9859720990299621E-3</c:v>
                </c:pt>
                <c:pt idx="174">
                  <c:v>2.9864640058663116E-3</c:v>
                </c:pt>
                <c:pt idx="175">
                  <c:v>2.9879397263753598E-3</c:v>
                </c:pt>
                <c:pt idx="176">
                  <c:v>2.9884316332117094E-3</c:v>
                </c:pt>
                <c:pt idx="177">
                  <c:v>2.9889235400480589E-3</c:v>
                </c:pt>
                <c:pt idx="178">
                  <c:v>2.989415446884408E-3</c:v>
                </c:pt>
                <c:pt idx="179">
                  <c:v>2.9899073537207575E-3</c:v>
                </c:pt>
                <c:pt idx="180">
                  <c:v>2.9913830742298057E-3</c:v>
                </c:pt>
                <c:pt idx="181">
                  <c:v>2.9918749810661552E-3</c:v>
                </c:pt>
                <c:pt idx="182">
                  <c:v>2.9923668879025048E-3</c:v>
                </c:pt>
                <c:pt idx="183">
                  <c:v>2.9928587947388539E-3</c:v>
                </c:pt>
                <c:pt idx="184">
                  <c:v>2.9933507015752034E-3</c:v>
                </c:pt>
                <c:pt idx="185">
                  <c:v>2.9948264220842516E-3</c:v>
                </c:pt>
                <c:pt idx="186">
                  <c:v>2.9953183289206011E-3</c:v>
                </c:pt>
                <c:pt idx="187">
                  <c:v>2.9958102357569502E-3</c:v>
                </c:pt>
                <c:pt idx="188">
                  <c:v>2.9963021425932997E-3</c:v>
                </c:pt>
                <c:pt idx="189">
                  <c:v>2.9967940494296493E-3</c:v>
                </c:pt>
                <c:pt idx="190">
                  <c:v>2.9982697699386975E-3</c:v>
                </c:pt>
                <c:pt idx="191">
                  <c:v>2.998761676775047E-3</c:v>
                </c:pt>
                <c:pt idx="192">
                  <c:v>2.9992535836113961E-3</c:v>
                </c:pt>
                <c:pt idx="193">
                  <c:v>2.9997454904477456E-3</c:v>
                </c:pt>
                <c:pt idx="194">
                  <c:v>3.0002373972840952E-3</c:v>
                </c:pt>
                <c:pt idx="195">
                  <c:v>3.0017131177931433E-3</c:v>
                </c:pt>
                <c:pt idx="196">
                  <c:v>3.0022050246294929E-3</c:v>
                </c:pt>
                <c:pt idx="197">
                  <c:v>3.002696931465842E-3</c:v>
                </c:pt>
                <c:pt idx="198">
                  <c:v>3.0031888383021915E-3</c:v>
                </c:pt>
                <c:pt idx="199">
                  <c:v>3.003680745138541E-3</c:v>
                </c:pt>
                <c:pt idx="200">
                  <c:v>3.0051564656475892E-3</c:v>
                </c:pt>
                <c:pt idx="201">
                  <c:v>3.0056483724839383E-3</c:v>
                </c:pt>
                <c:pt idx="202">
                  <c:v>3.0061402793202878E-3</c:v>
                </c:pt>
                <c:pt idx="203">
                  <c:v>3.0066321861566374E-3</c:v>
                </c:pt>
                <c:pt idx="204">
                  <c:v>3.0071240929929869E-3</c:v>
                </c:pt>
                <c:pt idx="205">
                  <c:v>3.0085998135020351E-3</c:v>
                </c:pt>
                <c:pt idx="206">
                  <c:v>3.0090917203383842E-3</c:v>
                </c:pt>
                <c:pt idx="207">
                  <c:v>3.0095836271747337E-3</c:v>
                </c:pt>
                <c:pt idx="208">
                  <c:v>3.0100755340110833E-3</c:v>
                </c:pt>
                <c:pt idx="209">
                  <c:v>3.0105674408474328E-3</c:v>
                </c:pt>
                <c:pt idx="210">
                  <c:v>3.012043161356481E-3</c:v>
                </c:pt>
                <c:pt idx="211">
                  <c:v>3.0125350681928301E-3</c:v>
                </c:pt>
                <c:pt idx="212">
                  <c:v>3.0130269750291796E-3</c:v>
                </c:pt>
                <c:pt idx="213">
                  <c:v>3.0135188818655291E-3</c:v>
                </c:pt>
                <c:pt idx="214">
                  <c:v>3.0140107887018782E-3</c:v>
                </c:pt>
                <c:pt idx="215">
                  <c:v>3.0154865092109264E-3</c:v>
                </c:pt>
                <c:pt idx="216">
                  <c:v>3.0159784160472759E-3</c:v>
                </c:pt>
                <c:pt idx="217">
                  <c:v>3.0164703228836255E-3</c:v>
                </c:pt>
                <c:pt idx="218">
                  <c:v>3.016962229719975E-3</c:v>
                </c:pt>
                <c:pt idx="219">
                  <c:v>3.0174541365563241E-3</c:v>
                </c:pt>
                <c:pt idx="220">
                  <c:v>3.0189298570653723E-3</c:v>
                </c:pt>
                <c:pt idx="221">
                  <c:v>3.0194217639017218E-3</c:v>
                </c:pt>
                <c:pt idx="222">
                  <c:v>3.0199136707380714E-3</c:v>
                </c:pt>
                <c:pt idx="223">
                  <c:v>3.0204055775744209E-3</c:v>
                </c:pt>
                <c:pt idx="224">
                  <c:v>3.0228651117561677E-3</c:v>
                </c:pt>
                <c:pt idx="225">
                  <c:v>3.0233570185925172E-3</c:v>
                </c:pt>
                <c:pt idx="226">
                  <c:v>3.0238489254288663E-3</c:v>
                </c:pt>
                <c:pt idx="227">
                  <c:v>3.0243408322652159E-3</c:v>
                </c:pt>
                <c:pt idx="228">
                  <c:v>3.025816552774264E-3</c:v>
                </c:pt>
                <c:pt idx="229">
                  <c:v>3.0263084596106136E-3</c:v>
                </c:pt>
                <c:pt idx="230">
                  <c:v>3.0268003664469631E-3</c:v>
                </c:pt>
                <c:pt idx="231">
                  <c:v>3.0272922732833122E-3</c:v>
                </c:pt>
                <c:pt idx="232">
                  <c:v>3.0277841801196618E-3</c:v>
                </c:pt>
                <c:pt idx="233">
                  <c:v>3.0292599006287099E-3</c:v>
                </c:pt>
                <c:pt idx="234">
                  <c:v>3.0297518074650595E-3</c:v>
                </c:pt>
                <c:pt idx="235">
                  <c:v>3.030243714301409E-3</c:v>
                </c:pt>
                <c:pt idx="236">
                  <c:v>3.0307356211377581E-3</c:v>
                </c:pt>
                <c:pt idx="237">
                  <c:v>3.0312275279741076E-3</c:v>
                </c:pt>
                <c:pt idx="238">
                  <c:v>3.0327032484831558E-3</c:v>
                </c:pt>
                <c:pt idx="239">
                  <c:v>3.0331951553195053E-3</c:v>
                </c:pt>
                <c:pt idx="240">
                  <c:v>3.0336870621558544E-3</c:v>
                </c:pt>
                <c:pt idx="241">
                  <c:v>3.034178968992204E-3</c:v>
                </c:pt>
                <c:pt idx="242">
                  <c:v>3.0346708758285535E-3</c:v>
                </c:pt>
                <c:pt idx="243">
                  <c:v>3.0361465963376017E-3</c:v>
                </c:pt>
                <c:pt idx="244">
                  <c:v>3.0366385031739512E-3</c:v>
                </c:pt>
                <c:pt idx="245">
                  <c:v>3.0371304100103003E-3</c:v>
                </c:pt>
                <c:pt idx="246">
                  <c:v>3.0376223168466499E-3</c:v>
                </c:pt>
                <c:pt idx="247">
                  <c:v>3.0381142236829994E-3</c:v>
                </c:pt>
                <c:pt idx="248">
                  <c:v>3.0395899441920476E-3</c:v>
                </c:pt>
                <c:pt idx="249">
                  <c:v>3.0400818510283971E-3</c:v>
                </c:pt>
                <c:pt idx="250">
                  <c:v>3.0405737578647462E-3</c:v>
                </c:pt>
                <c:pt idx="251">
                  <c:v>3.0410656647010957E-3</c:v>
                </c:pt>
                <c:pt idx="252">
                  <c:v>3.0415575715374453E-3</c:v>
                </c:pt>
                <c:pt idx="253">
                  <c:v>3.0430332920464934E-3</c:v>
                </c:pt>
                <c:pt idx="254">
                  <c:v>3.0435251988828425E-3</c:v>
                </c:pt>
                <c:pt idx="255">
                  <c:v>3.0440171057191921E-3</c:v>
                </c:pt>
                <c:pt idx="256">
                  <c:v>3.0445090125555416E-3</c:v>
                </c:pt>
                <c:pt idx="257">
                  <c:v>3.0450009193918907E-3</c:v>
                </c:pt>
                <c:pt idx="258">
                  <c:v>3.0464766399009393E-3</c:v>
                </c:pt>
              </c:numCache>
            </c:numRef>
          </c:val>
          <c:smooth val="0"/>
        </c:ser>
        <c:ser>
          <c:idx val="3"/>
          <c:order val="3"/>
          <c:spPr>
            <a:ln>
              <a:prstDash val="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'12MSynthDepo_allScenario'!$BP$6:$BP$264</c:f>
              <c:numCache>
                <c:formatCode>0.0000%</c:formatCode>
                <c:ptCount val="259"/>
                <c:pt idx="0">
                  <c:v>2.8334388042214804E-3</c:v>
                </c:pt>
                <c:pt idx="1">
                  <c:v>2.8341684377122226E-3</c:v>
                </c:pt>
                <c:pt idx="2">
                  <c:v>2.8363529584409419E-3</c:v>
                </c:pt>
                <c:pt idx="3">
                  <c:v>2.8370796721026784E-3</c:v>
                </c:pt>
                <c:pt idx="4">
                  <c:v>2.8378056558071635E-3</c:v>
                </c:pt>
                <c:pt idx="5">
                  <c:v>2.8385309095543972E-3</c:v>
                </c:pt>
                <c:pt idx="6">
                  <c:v>2.8392554333443792E-3</c:v>
                </c:pt>
                <c:pt idx="7">
                  <c:v>2.8414246249708172E-3</c:v>
                </c:pt>
                <c:pt idx="8">
                  <c:v>2.8421462289317939E-3</c:v>
                </c:pt>
                <c:pt idx="9">
                  <c:v>2.8428671029355188E-3</c:v>
                </c:pt>
                <c:pt idx="10">
                  <c:v>2.843587246981992E-3</c:v>
                </c:pt>
                <c:pt idx="11">
                  <c:v>2.8443066610712143E-3</c:v>
                </c:pt>
                <c:pt idx="12">
                  <c:v>2.8464605235953718E-3</c:v>
                </c:pt>
                <c:pt idx="13">
                  <c:v>2.8471770178555879E-3</c:v>
                </c:pt>
                <c:pt idx="14">
                  <c:v>2.8478927821585526E-3</c:v>
                </c:pt>
                <c:pt idx="15">
                  <c:v>2.8486078165042661E-3</c:v>
                </c:pt>
                <c:pt idx="16">
                  <c:v>2.8493221208927277E-3</c:v>
                </c:pt>
                <c:pt idx="17">
                  <c:v>2.8514606543146048E-3</c:v>
                </c:pt>
                <c:pt idx="18">
                  <c:v>2.8521720388740603E-3</c:v>
                </c:pt>
                <c:pt idx="19">
                  <c:v>2.8528826934762649E-3</c:v>
                </c:pt>
                <c:pt idx="20">
                  <c:v>2.8535926181212181E-3</c:v>
                </c:pt>
                <c:pt idx="21">
                  <c:v>2.8543018128089196E-3</c:v>
                </c:pt>
                <c:pt idx="22">
                  <c:v>2.8564250171285157E-3</c:v>
                </c:pt>
                <c:pt idx="23">
                  <c:v>2.8571312919872115E-3</c:v>
                </c:pt>
                <c:pt idx="24">
                  <c:v>2.8578368368886559E-3</c:v>
                </c:pt>
                <c:pt idx="25">
                  <c:v>2.8585416518328486E-3</c:v>
                </c:pt>
                <c:pt idx="26">
                  <c:v>2.8592457368197899E-3</c:v>
                </c:pt>
                <c:pt idx="27">
                  <c:v>2.8613536120371055E-3</c:v>
                </c:pt>
                <c:pt idx="28">
                  <c:v>2.8620547771950407E-3</c:v>
                </c:pt>
                <c:pt idx="29">
                  <c:v>2.8627552123957254E-3</c:v>
                </c:pt>
                <c:pt idx="30">
                  <c:v>2.8634549176391579E-3</c:v>
                </c:pt>
                <c:pt idx="31">
                  <c:v>2.8641538929253386E-3</c:v>
                </c:pt>
                <c:pt idx="32">
                  <c:v>2.8662464390403737E-3</c:v>
                </c:pt>
                <c:pt idx="33">
                  <c:v>2.8669424944975492E-3</c:v>
                </c:pt>
                <c:pt idx="34">
                  <c:v>2.8676378199974728E-3</c:v>
                </c:pt>
                <c:pt idx="35">
                  <c:v>2.8683324155401452E-3</c:v>
                </c:pt>
                <c:pt idx="36">
                  <c:v>2.8690262811255662E-3</c:v>
                </c:pt>
                <c:pt idx="37">
                  <c:v>2.8711034981383204E-3</c:v>
                </c:pt>
                <c:pt idx="38">
                  <c:v>2.8717944438947356E-3</c:v>
                </c:pt>
                <c:pt idx="39">
                  <c:v>2.8724846596938991E-3</c:v>
                </c:pt>
                <c:pt idx="40">
                  <c:v>2.8731741455358109E-3</c:v>
                </c:pt>
                <c:pt idx="41">
                  <c:v>2.8738629014204722E-3</c:v>
                </c:pt>
                <c:pt idx="42">
                  <c:v>2.8759247893309454E-3</c:v>
                </c:pt>
                <c:pt idx="43">
                  <c:v>2.8766106253866001E-3</c:v>
                </c:pt>
                <c:pt idx="44">
                  <c:v>2.8772957314850038E-3</c:v>
                </c:pt>
                <c:pt idx="45">
                  <c:v>2.8779801076261559E-3</c:v>
                </c:pt>
                <c:pt idx="46">
                  <c:v>2.8786637538100561E-3</c:v>
                </c:pt>
                <c:pt idx="47">
                  <c:v>2.8807103126182493E-3</c:v>
                </c:pt>
                <c:pt idx="48">
                  <c:v>2.8813910389731438E-3</c:v>
                </c:pt>
                <c:pt idx="49">
                  <c:v>2.882071035370787E-3</c:v>
                </c:pt>
                <c:pt idx="50">
                  <c:v>2.8827503018111788E-3</c:v>
                </c:pt>
                <c:pt idx="51">
                  <c:v>2.8834288382943189E-3</c:v>
                </c:pt>
                <c:pt idx="52">
                  <c:v>2.8854600680002312E-3</c:v>
                </c:pt>
                <c:pt idx="53">
                  <c:v>2.8861356846543659E-3</c:v>
                </c:pt>
                <c:pt idx="54">
                  <c:v>2.8868105713512485E-3</c:v>
                </c:pt>
                <c:pt idx="55">
                  <c:v>2.8874847280908797E-3</c:v>
                </c:pt>
                <c:pt idx="56">
                  <c:v>2.8881581548732601E-3</c:v>
                </c:pt>
                <c:pt idx="57">
                  <c:v>2.8901740554768919E-3</c:v>
                </c:pt>
                <c:pt idx="58">
                  <c:v>2.8908445624302656E-3</c:v>
                </c:pt>
                <c:pt idx="59">
                  <c:v>2.8915143394263889E-3</c:v>
                </c:pt>
                <c:pt idx="60">
                  <c:v>2.89218338646526E-3</c:v>
                </c:pt>
                <c:pt idx="61">
                  <c:v>2.8928517035468797E-3</c:v>
                </c:pt>
                <c:pt idx="62">
                  <c:v>2.8948522750482306E-3</c:v>
                </c:pt>
                <c:pt idx="63">
                  <c:v>2.8955176723008446E-3</c:v>
                </c:pt>
                <c:pt idx="64">
                  <c:v>2.8961823395962072E-3</c:v>
                </c:pt>
                <c:pt idx="65">
                  <c:v>2.8968462769343186E-3</c:v>
                </c:pt>
                <c:pt idx="66">
                  <c:v>2.8975094843151782E-3</c:v>
                </c:pt>
                <c:pt idx="67">
                  <c:v>2.8994947267142481E-3</c:v>
                </c:pt>
                <c:pt idx="68">
                  <c:v>2.9001550142661024E-3</c:v>
                </c:pt>
                <c:pt idx="69">
                  <c:v>2.9008145718607044E-3</c:v>
                </c:pt>
                <c:pt idx="70">
                  <c:v>2.9014733994980552E-3</c:v>
                </c:pt>
                <c:pt idx="71">
                  <c:v>2.9021314971781546E-3</c:v>
                </c:pt>
                <c:pt idx="72">
                  <c:v>2.904101410474944E-3</c:v>
                </c:pt>
                <c:pt idx="73">
                  <c:v>2.9047565883260377E-3</c:v>
                </c:pt>
                <c:pt idx="74">
                  <c:v>2.9054110362198801E-3</c:v>
                </c:pt>
                <c:pt idx="75">
                  <c:v>2.9060647541564706E-3</c:v>
                </c:pt>
                <c:pt idx="76">
                  <c:v>2.9067177421358095E-3</c:v>
                </c:pt>
                <c:pt idx="77">
                  <c:v>2.9086723263303188E-3</c:v>
                </c:pt>
                <c:pt idx="78">
                  <c:v>2.9093223944806519E-3</c:v>
                </c:pt>
                <c:pt idx="79">
                  <c:v>2.9099717326737337E-3</c:v>
                </c:pt>
                <c:pt idx="80">
                  <c:v>2.9106203409095645E-3</c:v>
                </c:pt>
                <c:pt idx="81">
                  <c:v>2.9112682191881432E-3</c:v>
                </c:pt>
                <c:pt idx="82">
                  <c:v>2.9132074742803716E-3</c:v>
                </c:pt>
                <c:pt idx="83">
                  <c:v>2.913852432729945E-3</c:v>
                </c:pt>
                <c:pt idx="84">
                  <c:v>2.9144966612222665E-3</c:v>
                </c:pt>
                <c:pt idx="85">
                  <c:v>2.9151401597573364E-3</c:v>
                </c:pt>
                <c:pt idx="86">
                  <c:v>2.9157829283351553E-3</c:v>
                </c:pt>
                <c:pt idx="87">
                  <c:v>2.9177068543251028E-3</c:v>
                </c:pt>
                <c:pt idx="88">
                  <c:v>2.9183467030739155E-3</c:v>
                </c:pt>
                <c:pt idx="89">
                  <c:v>2.9189858218654774E-3</c:v>
                </c:pt>
                <c:pt idx="90">
                  <c:v>2.9196242106997875E-3</c:v>
                </c:pt>
                <c:pt idx="91">
                  <c:v>2.9202618695768458E-3</c:v>
                </c:pt>
                <c:pt idx="92">
                  <c:v>2.9221704664645124E-3</c:v>
                </c:pt>
                <c:pt idx="93">
                  <c:v>2.9228052055125654E-3</c:v>
                </c:pt>
                <c:pt idx="94">
                  <c:v>2.9234392146033667E-3</c:v>
                </c:pt>
                <c:pt idx="95">
                  <c:v>2.9240724937369166E-3</c:v>
                </c:pt>
                <c:pt idx="96">
                  <c:v>2.9247050429132147E-3</c:v>
                </c:pt>
                <c:pt idx="97">
                  <c:v>2.9265983106986013E-3</c:v>
                </c:pt>
                <c:pt idx="98">
                  <c:v>2.9272279400458937E-3</c:v>
                </c:pt>
                <c:pt idx="99">
                  <c:v>2.9278568394359348E-3</c:v>
                </c:pt>
                <c:pt idx="100">
                  <c:v>2.9284850088687241E-3</c:v>
                </c:pt>
                <c:pt idx="101">
                  <c:v>2.9291124483442625E-3</c:v>
                </c:pt>
                <c:pt idx="102">
                  <c:v>2.9309903870273681E-3</c:v>
                </c:pt>
                <c:pt idx="103">
                  <c:v>2.9316149066738999E-3</c:v>
                </c:pt>
                <c:pt idx="104">
                  <c:v>2.9322386963631813E-3</c:v>
                </c:pt>
                <c:pt idx="105">
                  <c:v>2.9328617560952105E-3</c:v>
                </c:pt>
                <c:pt idx="106">
                  <c:v>2.9334840858699883E-3</c:v>
                </c:pt>
                <c:pt idx="107">
                  <c:v>2.9353466954508134E-3</c:v>
                </c:pt>
                <c:pt idx="108">
                  <c:v>2.9359661053965855E-3</c:v>
                </c:pt>
                <c:pt idx="109">
                  <c:v>2.9365847853851058E-3</c:v>
                </c:pt>
                <c:pt idx="110">
                  <c:v>2.9372027354163752E-3</c:v>
                </c:pt>
                <c:pt idx="111">
                  <c:v>2.9378199554903929E-3</c:v>
                </c:pt>
                <c:pt idx="112">
                  <c:v>2.9396672359689371E-3</c:v>
                </c:pt>
                <c:pt idx="113">
                  <c:v>2.940281536213949E-3</c:v>
                </c:pt>
                <c:pt idx="114">
                  <c:v>2.9408951065017092E-3</c:v>
                </c:pt>
                <c:pt idx="115">
                  <c:v>2.941507946832218E-3</c:v>
                </c:pt>
                <c:pt idx="116">
                  <c:v>2.9421200572054759E-3</c:v>
                </c:pt>
                <c:pt idx="117">
                  <c:v>2.9439520085817392E-3</c:v>
                </c:pt>
                <c:pt idx="118">
                  <c:v>2.9445611991259909E-3</c:v>
                </c:pt>
                <c:pt idx="119">
                  <c:v>2.9451696597129914E-3</c:v>
                </c:pt>
                <c:pt idx="120">
                  <c:v>2.9457773903427396E-3</c:v>
                </c:pt>
                <c:pt idx="121">
                  <c:v>2.9463843910152369E-3</c:v>
                </c:pt>
                <c:pt idx="122">
                  <c:v>2.9482010132892197E-3</c:v>
                </c:pt>
                <c:pt idx="123">
                  <c:v>2.9488050941327113E-3</c:v>
                </c:pt>
                <c:pt idx="124">
                  <c:v>2.9494084450189511E-3</c:v>
                </c:pt>
                <c:pt idx="125">
                  <c:v>2.95001106594794E-3</c:v>
                </c:pt>
                <c:pt idx="126">
                  <c:v>2.9506129569196768E-3</c:v>
                </c:pt>
                <c:pt idx="127">
                  <c:v>2.952414250091379E-3</c:v>
                </c:pt>
                <c:pt idx="128">
                  <c:v>2.9530132212341105E-3</c:v>
                </c:pt>
                <c:pt idx="129">
                  <c:v>2.9536114624195901E-3</c:v>
                </c:pt>
                <c:pt idx="130">
                  <c:v>2.954208973647818E-3</c:v>
                </c:pt>
                <c:pt idx="131">
                  <c:v>2.954805754918795E-3</c:v>
                </c:pt>
                <c:pt idx="132">
                  <c:v>2.9565917189882168E-3</c:v>
                </c:pt>
                <c:pt idx="133">
                  <c:v>2.9571855804301876E-3</c:v>
                </c:pt>
                <c:pt idx="134">
                  <c:v>2.9577787119149076E-3</c:v>
                </c:pt>
                <c:pt idx="135">
                  <c:v>2.9583711134423753E-3</c:v>
                </c:pt>
                <c:pt idx="136">
                  <c:v>2.9589627850125917E-3</c:v>
                </c:pt>
                <c:pt idx="137">
                  <c:v>2.960733419979733E-3</c:v>
                </c:pt>
                <c:pt idx="138">
                  <c:v>2.9613221717209436E-3</c:v>
                </c:pt>
                <c:pt idx="139">
                  <c:v>2.961910193504903E-3</c:v>
                </c:pt>
                <c:pt idx="140">
                  <c:v>2.962497485331611E-3</c:v>
                </c:pt>
                <c:pt idx="141">
                  <c:v>2.9630840472010672E-3</c:v>
                </c:pt>
                <c:pt idx="142">
                  <c:v>2.9648393530659276E-3</c:v>
                </c:pt>
                <c:pt idx="143">
                  <c:v>2.9654229951063781E-3</c:v>
                </c:pt>
                <c:pt idx="144">
                  <c:v>2.9660059071895772E-3</c:v>
                </c:pt>
                <c:pt idx="145">
                  <c:v>2.9665880893155246E-3</c:v>
                </c:pt>
                <c:pt idx="146">
                  <c:v>2.9671695414842211E-3</c:v>
                </c:pt>
                <c:pt idx="147">
                  <c:v>2.9689095182468006E-3</c:v>
                </c:pt>
                <c:pt idx="148">
                  <c:v>2.9694880505864909E-3</c:v>
                </c:pt>
                <c:pt idx="149">
                  <c:v>2.9700658529689299E-3</c:v>
                </c:pt>
                <c:pt idx="150">
                  <c:v>2.9706429253941171E-3</c:v>
                </c:pt>
                <c:pt idx="151">
                  <c:v>2.9712192678620531E-3</c:v>
                </c:pt>
                <c:pt idx="152">
                  <c:v>2.972943915522352E-3</c:v>
                </c:pt>
                <c:pt idx="153">
                  <c:v>2.9735173381612821E-3</c:v>
                </c:pt>
                <c:pt idx="154">
                  <c:v>2.9740900308429605E-3</c:v>
                </c:pt>
                <c:pt idx="155">
                  <c:v>2.9746619935673881E-3</c:v>
                </c:pt>
                <c:pt idx="156">
                  <c:v>2.9752332263345638E-3</c:v>
                </c:pt>
                <c:pt idx="157">
                  <c:v>2.9769425448925822E-3</c:v>
                </c:pt>
                <c:pt idx="158">
                  <c:v>2.9775108578307522E-3</c:v>
                </c:pt>
                <c:pt idx="159">
                  <c:v>2.9780784408116705E-3</c:v>
                </c:pt>
                <c:pt idx="160">
                  <c:v>2.9786452938353374E-3</c:v>
                </c:pt>
                <c:pt idx="161">
                  <c:v>2.9809054063574909E-3</c:v>
                </c:pt>
                <c:pt idx="162">
                  <c:v>2.9814686095949003E-3</c:v>
                </c:pt>
                <c:pt idx="163">
                  <c:v>2.9820310828750588E-3</c:v>
                </c:pt>
                <c:pt idx="164">
                  <c:v>2.9825928261979651E-3</c:v>
                </c:pt>
                <c:pt idx="165">
                  <c:v>2.984832499917078E-3</c:v>
                </c:pt>
                <c:pt idx="166">
                  <c:v>2.9853905934537272E-3</c:v>
                </c:pt>
                <c:pt idx="167">
                  <c:v>2.9859479570331247E-3</c:v>
                </c:pt>
                <c:pt idx="168">
                  <c:v>2.9865045906552717E-3</c:v>
                </c:pt>
                <c:pt idx="169">
                  <c:v>2.9870604943201665E-3</c:v>
                </c:pt>
                <c:pt idx="170">
                  <c:v>2.988723825571343E-3</c:v>
                </c:pt>
                <c:pt idx="171">
                  <c:v>2.9892768094072326E-3</c:v>
                </c:pt>
                <c:pt idx="172">
                  <c:v>2.9898290632858699E-3</c:v>
                </c:pt>
                <c:pt idx="173">
                  <c:v>2.9903805872072563E-3</c:v>
                </c:pt>
                <c:pt idx="174">
                  <c:v>2.9909313811713914E-3</c:v>
                </c:pt>
                <c:pt idx="175">
                  <c:v>2.992579383320287E-3</c:v>
                </c:pt>
                <c:pt idx="176">
                  <c:v>2.9931272574554159E-3</c:v>
                </c:pt>
                <c:pt idx="177">
                  <c:v>2.9936744016332939E-3</c:v>
                </c:pt>
                <c:pt idx="178">
                  <c:v>2.9942208158539197E-3</c:v>
                </c:pt>
                <c:pt idx="179">
                  <c:v>2.9947665001172942E-3</c:v>
                </c:pt>
                <c:pt idx="180">
                  <c:v>2.9963991731639093E-3</c:v>
                </c:pt>
                <c:pt idx="181">
                  <c:v>2.996941937598278E-3</c:v>
                </c:pt>
                <c:pt idx="182">
                  <c:v>2.9974839720753954E-3</c:v>
                </c:pt>
                <c:pt idx="183">
                  <c:v>2.9980252765952615E-3</c:v>
                </c:pt>
                <c:pt idx="184">
                  <c:v>2.9985658511578759E-3</c:v>
                </c:pt>
                <c:pt idx="185">
                  <c:v>3.00018319510221E-3</c:v>
                </c:pt>
                <c:pt idx="186">
                  <c:v>3.000720849835819E-3</c:v>
                </c:pt>
                <c:pt idx="187">
                  <c:v>3.0012577746121758E-3</c:v>
                </c:pt>
                <c:pt idx="188">
                  <c:v>3.0017939694312813E-3</c:v>
                </c:pt>
                <c:pt idx="189">
                  <c:v>3.0023294342931359E-3</c:v>
                </c:pt>
                <c:pt idx="190">
                  <c:v>3.0039314491351896E-3</c:v>
                </c:pt>
                <c:pt idx="191">
                  <c:v>3.0044639941680376E-3</c:v>
                </c:pt>
                <c:pt idx="192">
                  <c:v>3.0049958092436351E-3</c:v>
                </c:pt>
                <c:pt idx="193">
                  <c:v>3.00552689436198E-3</c:v>
                </c:pt>
                <c:pt idx="194">
                  <c:v>3.006057249523074E-3</c:v>
                </c:pt>
                <c:pt idx="195">
                  <c:v>3.0076439352628476E-3</c:v>
                </c:pt>
                <c:pt idx="196">
                  <c:v>3.0081713705949354E-3</c:v>
                </c:pt>
                <c:pt idx="197">
                  <c:v>3.0086980759697719E-3</c:v>
                </c:pt>
                <c:pt idx="198">
                  <c:v>3.0092240513873575E-3</c:v>
                </c:pt>
                <c:pt idx="199">
                  <c:v>3.0097492968476909E-3</c:v>
                </c:pt>
                <c:pt idx="200">
                  <c:v>3.0113206534851836E-3</c:v>
                </c:pt>
                <c:pt idx="201">
                  <c:v>3.0118429791165116E-3</c:v>
                </c:pt>
                <c:pt idx="202">
                  <c:v>3.012364574790588E-3</c:v>
                </c:pt>
                <c:pt idx="203">
                  <c:v>3.012885440507413E-3</c:v>
                </c:pt>
                <c:pt idx="204">
                  <c:v>3.0134055762669866E-3</c:v>
                </c:pt>
                <c:pt idx="205">
                  <c:v>3.0149616038021984E-3</c:v>
                </c:pt>
                <c:pt idx="206">
                  <c:v>3.0154788197327659E-3</c:v>
                </c:pt>
                <c:pt idx="207">
                  <c:v>3.0159953057060825E-3</c:v>
                </c:pt>
                <c:pt idx="208">
                  <c:v>3.0165110617221469E-3</c:v>
                </c:pt>
                <c:pt idx="209">
                  <c:v>3.0170260877809604E-3</c:v>
                </c:pt>
                <c:pt idx="210">
                  <c:v>3.0185667862138912E-3</c:v>
                </c:pt>
                <c:pt idx="211">
                  <c:v>3.0190788924436989E-3</c:v>
                </c:pt>
                <c:pt idx="212">
                  <c:v>3.0195902687162549E-3</c:v>
                </c:pt>
                <c:pt idx="213">
                  <c:v>3.0201009150315596E-3</c:v>
                </c:pt>
                <c:pt idx="214">
                  <c:v>3.0206108313896129E-3</c:v>
                </c:pt>
                <c:pt idx="215">
                  <c:v>3.0221362007202632E-3</c:v>
                </c:pt>
                <c:pt idx="216">
                  <c:v>3.0226431972493108E-3</c:v>
                </c:pt>
                <c:pt idx="217">
                  <c:v>3.0231494638211062E-3</c:v>
                </c:pt>
                <c:pt idx="218">
                  <c:v>3.0236550004356507E-3</c:v>
                </c:pt>
                <c:pt idx="219">
                  <c:v>3.0241598070929439E-3</c:v>
                </c:pt>
                <c:pt idx="220">
                  <c:v>3.0256698473213133E-3</c:v>
                </c:pt>
                <c:pt idx="221">
                  <c:v>3.0261717341496003E-3</c:v>
                </c:pt>
                <c:pt idx="222">
                  <c:v>3.0266728910206364E-3</c:v>
                </c:pt>
                <c:pt idx="223">
                  <c:v>3.0271733179344203E-3</c:v>
                </c:pt>
                <c:pt idx="224">
                  <c:v>3.029664503144569E-3</c:v>
                </c:pt>
                <c:pt idx="225">
                  <c:v>3.0301605503148441E-3</c:v>
                </c:pt>
                <c:pt idx="226">
                  <c:v>3.0306558675278683E-3</c:v>
                </c:pt>
                <c:pt idx="227">
                  <c:v>3.0311504547836407E-3</c:v>
                </c:pt>
                <c:pt idx="228">
                  <c:v>3.0326298368074491E-3</c:v>
                </c:pt>
                <c:pt idx="229">
                  <c:v>3.0331215042342162E-3</c:v>
                </c:pt>
                <c:pt idx="230">
                  <c:v>3.0336124417037311E-3</c:v>
                </c:pt>
                <c:pt idx="231">
                  <c:v>3.0341026492159947E-3</c:v>
                </c:pt>
                <c:pt idx="232">
                  <c:v>3.0345921267710069E-3</c:v>
                </c:pt>
                <c:pt idx="233">
                  <c:v>3.0360561796925348E-3</c:v>
                </c:pt>
                <c:pt idx="234">
                  <c:v>3.0365427374185409E-3</c:v>
                </c:pt>
                <c:pt idx="235">
                  <c:v>3.0370285651872965E-3</c:v>
                </c:pt>
                <c:pt idx="236">
                  <c:v>3.0375136629987995E-3</c:v>
                </c:pt>
                <c:pt idx="237">
                  <c:v>3.0379980308530515E-3</c:v>
                </c:pt>
                <c:pt idx="238">
                  <c:v>3.0394467546722985E-3</c:v>
                </c:pt>
                <c:pt idx="239">
                  <c:v>3.0399282026975453E-3</c:v>
                </c:pt>
                <c:pt idx="240">
                  <c:v>3.0404089207655394E-3</c:v>
                </c:pt>
                <c:pt idx="241">
                  <c:v>3.0408889088762831E-3</c:v>
                </c:pt>
                <c:pt idx="242">
                  <c:v>3.0413681670297746E-3</c:v>
                </c:pt>
                <c:pt idx="243">
                  <c:v>3.0428015617467415E-3</c:v>
                </c:pt>
                <c:pt idx="244">
                  <c:v>3.0432779000712277E-3</c:v>
                </c:pt>
                <c:pt idx="245">
                  <c:v>3.0437535084384621E-3</c:v>
                </c:pt>
                <c:pt idx="246">
                  <c:v>3.0442283868484447E-3</c:v>
                </c:pt>
                <c:pt idx="247">
                  <c:v>3.0447025353011765E-3</c:v>
                </c:pt>
                <c:pt idx="248">
                  <c:v>3.0461206009158625E-3</c:v>
                </c:pt>
                <c:pt idx="249">
                  <c:v>3.046591829539588E-3</c:v>
                </c:pt>
                <c:pt idx="250">
                  <c:v>3.0470623282060627E-3</c:v>
                </c:pt>
                <c:pt idx="251">
                  <c:v>3.0475320969152852E-3</c:v>
                </c:pt>
                <c:pt idx="252">
                  <c:v>3.0480011356672563E-3</c:v>
                </c:pt>
                <c:pt idx="253">
                  <c:v>3.0494038721796623E-3</c:v>
                </c:pt>
                <c:pt idx="254">
                  <c:v>3.0498699911026272E-3</c:v>
                </c:pt>
                <c:pt idx="255">
                  <c:v>3.0503353800683413E-3</c:v>
                </c:pt>
                <c:pt idx="256">
                  <c:v>3.0508000390768041E-3</c:v>
                </c:pt>
                <c:pt idx="257">
                  <c:v>3.0512639681280151E-3</c:v>
                </c:pt>
                <c:pt idx="258">
                  <c:v>3.0526513755381396E-3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'12MSynthDepo_allScenario'!$BQ$5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</c:numCache>
            </c:numRef>
          </c:cat>
          <c:val>
            <c:numRef>
              <c:f>'12MSynthDepo_allScenario'!$BQ$6:$BQ$264</c:f>
              <c:numCache>
                <c:formatCode>0.0000%</c:formatCode>
                <c:ptCount val="259"/>
                <c:pt idx="0">
                  <c:v>2.7335525109286095E-3</c:v>
                </c:pt>
                <c:pt idx="1">
                  <c:v>2.7353639977657444E-3</c:v>
                </c:pt>
                <c:pt idx="2">
                  <c:v>2.7407570915818124E-3</c:v>
                </c:pt>
                <c:pt idx="3">
                  <c:v>2.7425410496723572E-3</c:v>
                </c:pt>
                <c:pt idx="4">
                  <c:v>2.7443181623639807E-3</c:v>
                </c:pt>
                <c:pt idx="5">
                  <c:v>2.7460884443717718E-3</c:v>
                </c:pt>
                <c:pt idx="6">
                  <c:v>2.7478519104108222E-3</c:v>
                </c:pt>
                <c:pt idx="7">
                  <c:v>2.7531015598664284E-3</c:v>
                </c:pt>
                <c:pt idx="8">
                  <c:v>2.7548379091814163E-3</c:v>
                </c:pt>
                <c:pt idx="9">
                  <c:v>2.7565675161031148E-3</c:v>
                </c:pt>
                <c:pt idx="10">
                  <c:v>2.7582903953466131E-3</c:v>
                </c:pt>
                <c:pt idx="11">
                  <c:v>2.7600065616270029E-3</c:v>
                </c:pt>
                <c:pt idx="12">
                  <c:v>2.7651149298404181E-3</c:v>
                </c:pt>
                <c:pt idx="13">
                  <c:v>2.7668043914192732E-3</c:v>
                </c:pt>
                <c:pt idx="14">
                  <c:v>2.7684872136104701E-3</c:v>
                </c:pt>
                <c:pt idx="15">
                  <c:v>2.770163411129099E-3</c:v>
                </c:pt>
                <c:pt idx="16">
                  <c:v>2.7718329986902513E-3</c:v>
                </c:pt>
                <c:pt idx="17">
                  <c:v>2.7768022487797465E-3</c:v>
                </c:pt>
                <c:pt idx="18">
                  <c:v>2.778445543661892E-3</c:v>
                </c:pt>
                <c:pt idx="19">
                  <c:v>2.7800823021620112E-3</c:v>
                </c:pt>
                <c:pt idx="20">
                  <c:v>2.7817125389951953E-3</c:v>
                </c:pt>
                <c:pt idx="21">
                  <c:v>2.7833362688765339E-3</c:v>
                </c:pt>
                <c:pt idx="22">
                  <c:v>2.7881685639603794E-3</c:v>
                </c:pt>
                <c:pt idx="23">
                  <c:v>2.789766413185239E-3</c:v>
                </c:pt>
                <c:pt idx="24">
                  <c:v>2.7913578290337045E-3</c:v>
                </c:pt>
                <c:pt idx="25">
                  <c:v>2.7929428262208665E-3</c:v>
                </c:pt>
                <c:pt idx="26">
                  <c:v>2.7945214194618146E-3</c:v>
                </c:pt>
                <c:pt idx="27">
                  <c:v>2.7992189226582823E-3</c:v>
                </c:pt>
                <c:pt idx="28">
                  <c:v>2.8007720472652798E-3</c:v>
                </c:pt>
                <c:pt idx="29">
                  <c:v>2.802318841501515E-3</c:v>
                </c:pt>
                <c:pt idx="30">
                  <c:v>2.803859320082079E-3</c:v>
                </c:pt>
                <c:pt idx="31">
                  <c:v>2.8053934977220608E-3</c:v>
                </c:pt>
                <c:pt idx="32">
                  <c:v>2.8099583721494206E-3</c:v>
                </c:pt>
                <c:pt idx="33">
                  <c:v>2.8114674931779796E-3</c:v>
                </c:pt>
                <c:pt idx="34">
                  <c:v>2.8129703868414084E-3</c:v>
                </c:pt>
                <c:pt idx="35">
                  <c:v>2.8144670678547971E-3</c:v>
                </c:pt>
                <c:pt idx="36">
                  <c:v>2.8159575509332365E-3</c:v>
                </c:pt>
                <c:pt idx="37">
                  <c:v>2.8203919597097602E-3</c:v>
                </c:pt>
                <c:pt idx="38">
                  <c:v>2.8218577981993045E-3</c:v>
                </c:pt>
                <c:pt idx="39">
                  <c:v>2.8233175123293501E-3</c:v>
                </c:pt>
                <c:pt idx="40">
                  <c:v>2.824771116814988E-3</c:v>
                </c:pt>
                <c:pt idx="41">
                  <c:v>2.8262186263713083E-3</c:v>
                </c:pt>
                <c:pt idx="42">
                  <c:v>2.8305247326152663E-3</c:v>
                </c:pt>
                <c:pt idx="43">
                  <c:v>2.8319480096052189E-3</c:v>
                </c:pt>
                <c:pt idx="44">
                  <c:v>2.8333652652413051E-3</c:v>
                </c:pt>
                <c:pt idx="45">
                  <c:v>2.8347765142386159E-3</c:v>
                </c:pt>
                <c:pt idx="46">
                  <c:v>2.8361817713122408E-3</c:v>
                </c:pt>
                <c:pt idx="47">
                  <c:v>2.8403617381419044E-3</c:v>
                </c:pt>
                <c:pt idx="48">
                  <c:v>2.8417431746716889E-3</c:v>
                </c:pt>
                <c:pt idx="49">
                  <c:v>2.8431186928532396E-3</c:v>
                </c:pt>
                <c:pt idx="50">
                  <c:v>2.8444883074016463E-3</c:v>
                </c:pt>
                <c:pt idx="51">
                  <c:v>2.8458520330319997E-3</c:v>
                </c:pt>
                <c:pt idx="52">
                  <c:v>2.849908023565639E-3</c:v>
                </c:pt>
                <c:pt idx="53">
                  <c:v>2.8512483406746801E-3</c:v>
                </c:pt>
                <c:pt idx="54">
                  <c:v>2.8525828424411188E-3</c:v>
                </c:pt>
                <c:pt idx="55">
                  <c:v>2.8539115435800458E-3</c:v>
                </c:pt>
                <c:pt idx="56">
                  <c:v>2.8552344588065504E-3</c:v>
                </c:pt>
                <c:pt idx="57">
                  <c:v>2.859168636162437E-3</c:v>
                </c:pt>
                <c:pt idx="58">
                  <c:v>2.8604685548901574E-3</c:v>
                </c:pt>
                <c:pt idx="59">
                  <c:v>2.861762761280908E-3</c:v>
                </c:pt>
                <c:pt idx="60">
                  <c:v>2.8630512700497778E-3</c:v>
                </c:pt>
                <c:pt idx="61">
                  <c:v>2.8643340959118584E-3</c:v>
                </c:pt>
                <c:pt idx="62">
                  <c:v>2.8681486232082628E-3</c:v>
                </c:pt>
                <c:pt idx="63">
                  <c:v>2.8694088645940872E-3</c:v>
                </c:pt>
                <c:pt idx="64">
                  <c:v>2.8706634966485724E-3</c:v>
                </c:pt>
                <c:pt idx="65">
                  <c:v>2.8719125340868094E-3</c:v>
                </c:pt>
                <c:pt idx="66">
                  <c:v>2.873155991623889E-3</c:v>
                </c:pt>
                <c:pt idx="67">
                  <c:v>2.8768530319790825E-3</c:v>
                </c:pt>
                <c:pt idx="68">
                  <c:v>2.8780743170624336E-3</c:v>
                </c:pt>
                <c:pt idx="69">
                  <c:v>2.8792900958200776E-3</c:v>
                </c:pt>
                <c:pt idx="70">
                  <c:v>2.8805003829671058E-3</c:v>
                </c:pt>
                <c:pt idx="71">
                  <c:v>2.8817051932186082E-3</c:v>
                </c:pt>
                <c:pt idx="72">
                  <c:v>2.8852869097508618E-3</c:v>
                </c:pt>
                <c:pt idx="73">
                  <c:v>2.8864699595711634E-3</c:v>
                </c:pt>
                <c:pt idx="74">
                  <c:v>2.8876476060713903E-3</c:v>
                </c:pt>
                <c:pt idx="75">
                  <c:v>2.8888198639666325E-3</c:v>
                </c:pt>
                <c:pt idx="76">
                  <c:v>2.889986747971981E-3</c:v>
                </c:pt>
                <c:pt idx="77">
                  <c:v>2.8934553037995654E-3</c:v>
                </c:pt>
                <c:pt idx="78">
                  <c:v>2.8946008393962411E-3</c:v>
                </c:pt>
                <c:pt idx="79">
                  <c:v>2.8957410746784742E-3</c:v>
                </c:pt>
                <c:pt idx="80">
                  <c:v>2.8968760243613546E-3</c:v>
                </c:pt>
                <c:pt idx="81">
                  <c:v>2.8980057031599729E-3</c:v>
                </c:pt>
                <c:pt idx="82">
                  <c:v>2.9013632614011595E-3</c:v>
                </c:pt>
                <c:pt idx="83">
                  <c:v>2.9024720038136327E-3</c:v>
                </c:pt>
                <c:pt idx="84">
                  <c:v>2.9035755489172956E-3</c:v>
                </c:pt>
                <c:pt idx="85">
                  <c:v>2.9046739114272379E-3</c:v>
                </c:pt>
                <c:pt idx="86">
                  <c:v>2.90576710605855E-3</c:v>
                </c:pt>
                <c:pt idx="87">
                  <c:v>2.9090158298316088E-3</c:v>
                </c:pt>
                <c:pt idx="88">
                  <c:v>2.9100885000993039E-3</c:v>
                </c:pt>
                <c:pt idx="89">
                  <c:v>2.9111560760638196E-3</c:v>
                </c:pt>
                <c:pt idx="90">
                  <c:v>2.9122185724402474E-3</c:v>
                </c:pt>
                <c:pt idx="91">
                  <c:v>2.9132760039436768E-3</c:v>
                </c:pt>
                <c:pt idx="92">
                  <c:v>2.9164180563668795E-3</c:v>
                </c:pt>
                <c:pt idx="93">
                  <c:v>2.9174553755292195E-3</c:v>
                </c:pt>
                <c:pt idx="94">
                  <c:v>2.9184877033940123E-3</c:v>
                </c:pt>
                <c:pt idx="95">
                  <c:v>2.9195150546763491E-3</c:v>
                </c:pt>
                <c:pt idx="96">
                  <c:v>2.9205374440913197E-3</c:v>
                </c:pt>
                <c:pt idx="97">
                  <c:v>2.9235749882829368E-3</c:v>
                </c:pt>
                <c:pt idx="98">
                  <c:v>2.9245776773793451E-3</c:v>
                </c:pt>
                <c:pt idx="99">
                  <c:v>2.925575478183839E-3</c:v>
                </c:pt>
                <c:pt idx="100">
                  <c:v>2.9265684054115082E-3</c:v>
                </c:pt>
                <c:pt idx="101">
                  <c:v>2.9275564737774435E-3</c:v>
                </c:pt>
                <c:pt idx="102">
                  <c:v>2.9304916728557463E-3</c:v>
                </c:pt>
                <c:pt idx="103">
                  <c:v>2.931460452925647E-3</c:v>
                </c:pt>
                <c:pt idx="104">
                  <c:v>2.9324244477092649E-3</c:v>
                </c:pt>
                <c:pt idx="105">
                  <c:v>2.9333836719216905E-3</c:v>
                </c:pt>
                <c:pt idx="106">
                  <c:v>2.9343381402780139E-3</c:v>
                </c:pt>
                <c:pt idx="107">
                  <c:v>2.9371731573612728E-3</c:v>
                </c:pt>
                <c:pt idx="108">
                  <c:v>2.9381087494440893E-3</c:v>
                </c:pt>
                <c:pt idx="109">
                  <c:v>2.9390396592462553E-3</c:v>
                </c:pt>
                <c:pt idx="110">
                  <c:v>2.9399659014828607E-3</c:v>
                </c:pt>
                <c:pt idx="111">
                  <c:v>2.9408874908689962E-3</c:v>
                </c:pt>
                <c:pt idx="112">
                  <c:v>2.9436244890754817E-3</c:v>
                </c:pt>
                <c:pt idx="113">
                  <c:v>2.9445276142106382E-3</c:v>
                </c:pt>
                <c:pt idx="114">
                  <c:v>2.9454261600707758E-3</c:v>
                </c:pt>
                <c:pt idx="115">
                  <c:v>2.9463201413709849E-3</c:v>
                </c:pt>
                <c:pt idx="116">
                  <c:v>2.9472095728263555E-3</c:v>
                </c:pt>
                <c:pt idx="117">
                  <c:v>2.9498507152743397E-3</c:v>
                </c:pt>
                <c:pt idx="118">
                  <c:v>2.9507220945012595E-3</c:v>
                </c:pt>
                <c:pt idx="119">
                  <c:v>2.9515889974587929E-3</c:v>
                </c:pt>
                <c:pt idx="120">
                  <c:v>2.9524514388620288E-3</c:v>
                </c:pt>
                <c:pt idx="121">
                  <c:v>2.9533094334260584E-3</c:v>
                </c:pt>
                <c:pt idx="122">
                  <c:v>2.9558568832338118E-3</c:v>
                </c:pt>
                <c:pt idx="123">
                  <c:v>2.9566972375919182E-3</c:v>
                </c:pt>
                <c:pt idx="124">
                  <c:v>2.9575332186862701E-3</c:v>
                </c:pt>
                <c:pt idx="125">
                  <c:v>2.9583648412319571E-3</c:v>
                </c:pt>
                <c:pt idx="126">
                  <c:v>2.9591921199440692E-3</c:v>
                </c:pt>
                <c:pt idx="127">
                  <c:v>2.9616480402298627E-3</c:v>
                </c:pt>
                <c:pt idx="128">
                  <c:v>2.9624580907585802E-3</c:v>
                </c:pt>
                <c:pt idx="129">
                  <c:v>2.9632638710291744E-3</c:v>
                </c:pt>
                <c:pt idx="130">
                  <c:v>2.9640653957567356E-3</c:v>
                </c:pt>
                <c:pt idx="131">
                  <c:v>2.9648626796563546E-3</c:v>
                </c:pt>
                <c:pt idx="132">
                  <c:v>2.9672292335384586E-3</c:v>
                </c:pt>
                <c:pt idx="133">
                  <c:v>2.9680097012772105E-3</c:v>
                </c:pt>
                <c:pt idx="134">
                  <c:v>2.9687860017634706E-3</c:v>
                </c:pt>
                <c:pt idx="135">
                  <c:v>2.9695581497123304E-3</c:v>
                </c:pt>
                <c:pt idx="136">
                  <c:v>2.9703261598388792E-3</c:v>
                </c:pt>
                <c:pt idx="137">
                  <c:v>2.972605510435565E-3</c:v>
                </c:pt>
                <c:pt idx="138">
                  <c:v>2.9733571164237745E-3</c:v>
                </c:pt>
                <c:pt idx="139">
                  <c:v>2.9741046581651248E-3</c:v>
                </c:pt>
                <c:pt idx="140">
                  <c:v>2.9748481503747062E-3</c:v>
                </c:pt>
                <c:pt idx="141">
                  <c:v>2.9755876077676088E-3</c:v>
                </c:pt>
                <c:pt idx="142">
                  <c:v>2.9777819181971469E-3</c:v>
                </c:pt>
                <c:pt idx="143">
                  <c:v>2.9785053834742383E-3</c:v>
                </c:pt>
                <c:pt idx="144">
                  <c:v>2.9792248875101018E-3</c:v>
                </c:pt>
                <c:pt idx="145">
                  <c:v>2.9799404450198282E-3</c:v>
                </c:pt>
                <c:pt idx="146">
                  <c:v>2.9806520707185082E-3</c:v>
                </c:pt>
                <c:pt idx="147">
                  <c:v>2.9827635040991698E-3</c:v>
                </c:pt>
                <c:pt idx="148">
                  <c:v>2.9834595497045657E-3</c:v>
                </c:pt>
                <c:pt idx="149">
                  <c:v>2.9841517370743672E-3</c:v>
                </c:pt>
                <c:pt idx="150">
                  <c:v>2.9848400809236622E-3</c:v>
                </c:pt>
                <c:pt idx="151">
                  <c:v>2.9855245959675429E-3</c:v>
                </c:pt>
                <c:pt idx="152">
                  <c:v>2.9875553154175998E-3</c:v>
                </c:pt>
                <c:pt idx="153">
                  <c:v>2.9882246623907246E-3</c:v>
                </c:pt>
                <c:pt idx="154">
                  <c:v>2.9888902541338864E-3</c:v>
                </c:pt>
                <c:pt idx="155">
                  <c:v>2.9895521053621742E-3</c:v>
                </c:pt>
                <c:pt idx="156">
                  <c:v>2.9902102307906796E-3</c:v>
                </c:pt>
                <c:pt idx="157">
                  <c:v>2.9921623994284018E-3</c:v>
                </c:pt>
                <c:pt idx="158">
                  <c:v>2.9928057688086789E-3</c:v>
                </c:pt>
                <c:pt idx="159">
                  <c:v>2.9934454859646248E-3</c:v>
                </c:pt>
                <c:pt idx="160">
                  <c:v>2.994081565611329E-3</c:v>
                </c:pt>
                <c:pt idx="161">
                  <c:v>2.9965898034075419E-3</c:v>
                </c:pt>
                <c:pt idx="162">
                  <c:v>2.9972079162343952E-3</c:v>
                </c:pt>
                <c:pt idx="163">
                  <c:v>2.9978224798425488E-3</c:v>
                </c:pt>
                <c:pt idx="164">
                  <c:v>2.9984335089470932E-3</c:v>
                </c:pt>
                <c:pt idx="165">
                  <c:v>3.0008425746309848E-3</c:v>
                </c:pt>
                <c:pt idx="166">
                  <c:v>3.0014361519438374E-3</c:v>
                </c:pt>
                <c:pt idx="167">
                  <c:v>3.0020262830436225E-3</c:v>
                </c:pt>
                <c:pt idx="168">
                  <c:v>3.0026129826454307E-3</c:v>
                </c:pt>
                <c:pt idx="169">
                  <c:v>3.0031962654643515E-3</c:v>
                </c:pt>
                <c:pt idx="170">
                  <c:v>3.0049257603746962E-3</c:v>
                </c:pt>
                <c:pt idx="171">
                  <c:v>3.005495523212972E-3</c:v>
                </c:pt>
                <c:pt idx="172">
                  <c:v>3.0060619428438125E-3</c:v>
                </c:pt>
                <c:pt idx="173">
                  <c:v>3.006625033982308E-3</c:v>
                </c:pt>
                <c:pt idx="174">
                  <c:v>3.0071848113435479E-3</c:v>
                </c:pt>
                <c:pt idx="175">
                  <c:v>3.0088444079146414E-3</c:v>
                </c:pt>
                <c:pt idx="176">
                  <c:v>3.0093910773177643E-3</c:v>
                </c:pt>
                <c:pt idx="177">
                  <c:v>3.0099345065190838E-3</c:v>
                </c:pt>
                <c:pt idx="178">
                  <c:v>3.0104747102336895E-3</c:v>
                </c:pt>
                <c:pt idx="179">
                  <c:v>3.0110117031766728E-3</c:v>
                </c:pt>
                <c:pt idx="180">
                  <c:v>3.012603564526786E-3</c:v>
                </c:pt>
                <c:pt idx="181">
                  <c:v>3.0131278615341799E-3</c:v>
                </c:pt>
                <c:pt idx="182">
                  <c:v>3.0136490213454018E-3</c:v>
                </c:pt>
                <c:pt idx="183">
                  <c:v>3.0141670586755422E-3</c:v>
                </c:pt>
                <c:pt idx="184">
                  <c:v>3.0146819882396919E-3</c:v>
                </c:pt>
                <c:pt idx="185">
                  <c:v>3.0162082774870961E-3</c:v>
                </c:pt>
                <c:pt idx="186">
                  <c:v>3.0167109231381841E-3</c:v>
                </c:pt>
                <c:pt idx="187">
                  <c:v>3.0172105345987318E-3</c:v>
                </c:pt>
                <c:pt idx="188">
                  <c:v>3.0177071265838308E-3</c:v>
                </c:pt>
                <c:pt idx="189">
                  <c:v>3.0182007138085699E-3</c:v>
                </c:pt>
                <c:pt idx="190">
                  <c:v>3.019663594071536E-3</c:v>
                </c:pt>
                <c:pt idx="191">
                  <c:v>3.020145309405742E-3</c:v>
                </c:pt>
                <c:pt idx="192">
                  <c:v>3.0206240935550395E-3</c:v>
                </c:pt>
                <c:pt idx="193">
                  <c:v>3.0210999612345201E-3</c:v>
                </c:pt>
                <c:pt idx="194">
                  <c:v>3.0215729271592731E-3</c:v>
                </c:pt>
                <c:pt idx="195">
                  <c:v>3.0229745615560719E-3</c:v>
                </c:pt>
                <c:pt idx="196">
                  <c:v>3.0234360676128194E-3</c:v>
                </c:pt>
                <c:pt idx="197">
                  <c:v>3.0238947454902907E-3</c:v>
                </c:pt>
                <c:pt idx="198">
                  <c:v>3.0243506099035759E-3</c:v>
                </c:pt>
                <c:pt idx="199">
                  <c:v>3.0248036755677666E-3</c:v>
                </c:pt>
                <c:pt idx="200">
                  <c:v>3.0261462272166695E-3</c:v>
                </c:pt>
                <c:pt idx="201">
                  <c:v>3.0265882450353815E-3</c:v>
                </c:pt>
                <c:pt idx="202">
                  <c:v>3.0270275376804499E-3</c:v>
                </c:pt>
                <c:pt idx="203">
                  <c:v>3.027464119866965E-3</c:v>
                </c:pt>
                <c:pt idx="204">
                  <c:v>3.0278980063100161E-3</c:v>
                </c:pt>
                <c:pt idx="205">
                  <c:v>3.0291836383292935E-3</c:v>
                </c:pt>
                <c:pt idx="206">
                  <c:v>3.0296068889493944E-3</c:v>
                </c:pt>
                <c:pt idx="207">
                  <c:v>3.0300275174014834E-3</c:v>
                </c:pt>
                <c:pt idx="208">
                  <c:v>3.0304455384006514E-3</c:v>
                </c:pt>
                <c:pt idx="209">
                  <c:v>3.0308609666619872E-3</c:v>
                </c:pt>
                <c:pt idx="210">
                  <c:v>3.0320918421699104E-3</c:v>
                </c:pt>
                <c:pt idx="211">
                  <c:v>3.0324970466308237E-3</c:v>
                </c:pt>
                <c:pt idx="212">
                  <c:v>3.0328997319293573E-3</c:v>
                </c:pt>
                <c:pt idx="213">
                  <c:v>3.0332999127806008E-3</c:v>
                </c:pt>
                <c:pt idx="214">
                  <c:v>3.0336976038996453E-3</c:v>
                </c:pt>
                <c:pt idx="215">
                  <c:v>3.0348758860144842E-3</c:v>
                </c:pt>
                <c:pt idx="216">
                  <c:v>3.0352637653556342E-3</c:v>
                </c:pt>
                <c:pt idx="217">
                  <c:v>3.0356492285400355E-3</c:v>
                </c:pt>
                <c:pt idx="218">
                  <c:v>3.0360322902827789E-3</c:v>
                </c:pt>
                <c:pt idx="219">
                  <c:v>3.0364129652989554E-3</c:v>
                </c:pt>
                <c:pt idx="220">
                  <c:v>3.0375408171389819E-3</c:v>
                </c:pt>
                <c:pt idx="221">
                  <c:v>3.0379120923997912E-3</c:v>
                </c:pt>
                <c:pt idx="222">
                  <c:v>3.038281054509484E-3</c:v>
                </c:pt>
                <c:pt idx="223">
                  <c:v>3.0386477181831512E-3</c:v>
                </c:pt>
                <c:pt idx="224">
                  <c:v>3.0404470750392603E-3</c:v>
                </c:pt>
                <c:pt idx="225">
                  <c:v>3.0408002571136691E-3</c:v>
                </c:pt>
                <c:pt idx="226">
                  <c:v>3.0411512437576835E-3</c:v>
                </c:pt>
                <c:pt idx="227">
                  <c:v>3.0415000496863947E-3</c:v>
                </c:pt>
                <c:pt idx="228">
                  <c:v>3.0425335303316081E-3</c:v>
                </c:pt>
                <c:pt idx="229">
                  <c:v>3.0428737605500077E-3</c:v>
                </c:pt>
                <c:pt idx="230">
                  <c:v>3.043211883628555E-3</c:v>
                </c:pt>
                <c:pt idx="231">
                  <c:v>3.0435479142823406E-3</c:v>
                </c:pt>
                <c:pt idx="232">
                  <c:v>3.0438818672264543E-3</c:v>
                </c:pt>
                <c:pt idx="233">
                  <c:v>3.0448714069516683E-3</c:v>
                </c:pt>
                <c:pt idx="234">
                  <c:v>3.0451971962079981E-3</c:v>
                </c:pt>
                <c:pt idx="235">
                  <c:v>3.0455209813301078E-3</c:v>
                </c:pt>
                <c:pt idx="236">
                  <c:v>3.045842777033088E-3</c:v>
                </c:pt>
                <c:pt idx="237">
                  <c:v>3.0461625980320278E-3</c:v>
                </c:pt>
                <c:pt idx="238">
                  <c:v>3.0471103599555133E-3</c:v>
                </c:pt>
                <c:pt idx="239">
                  <c:v>3.0474224292891977E-3</c:v>
                </c:pt>
                <c:pt idx="240">
                  <c:v>3.0477325974942937E-3</c:v>
                </c:pt>
                <c:pt idx="241">
                  <c:v>3.0480408792858916E-3</c:v>
                </c:pt>
                <c:pt idx="242">
                  <c:v>3.0483472893790822E-3</c:v>
                </c:pt>
                <c:pt idx="243">
                  <c:v>3.0492554366191092E-3</c:v>
                </c:pt>
                <c:pt idx="244">
                  <c:v>3.0495545070695716E-3</c:v>
                </c:pt>
                <c:pt idx="245">
                  <c:v>3.0498517793970774E-3</c:v>
                </c:pt>
                <c:pt idx="246">
                  <c:v>3.0501472683167165E-3</c:v>
                </c:pt>
                <c:pt idx="247">
                  <c:v>3.0504409885435809E-3</c:v>
                </c:pt>
                <c:pt idx="248">
                  <c:v>3.0513116842184208E-3</c:v>
                </c:pt>
                <c:pt idx="249">
                  <c:v>3.0515984768250842E-3</c:v>
                </c:pt>
                <c:pt idx="250">
                  <c:v>3.0518835743144237E-3</c:v>
                </c:pt>
                <c:pt idx="251">
                  <c:v>3.0521669914015288E-3</c:v>
                </c:pt>
                <c:pt idx="252">
                  <c:v>3.0524487428014902E-3</c:v>
                </c:pt>
                <c:pt idx="253">
                  <c:v>3.0532841500294141E-3</c:v>
                </c:pt>
                <c:pt idx="254">
                  <c:v>3.0535593858317029E-3</c:v>
                </c:pt>
                <c:pt idx="255">
                  <c:v>3.0538330295222988E-3</c:v>
                </c:pt>
                <c:pt idx="256">
                  <c:v>3.0541050958162934E-3</c:v>
                </c:pt>
                <c:pt idx="257">
                  <c:v>3.0543755994287759E-3</c:v>
                </c:pt>
                <c:pt idx="258">
                  <c:v>3.0551778813280544E-3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589952"/>
        <c:axId val="676591488"/>
      </c:lineChart>
      <c:dateAx>
        <c:axId val="67658995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76591488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676591488"/>
        <c:scaling>
          <c:orientation val="minMax"/>
          <c:max val="3.1000000000000008E-3"/>
          <c:min val="2.5000000000000005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76589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'1MSynthDepo_used'!$G$4</c:f>
              <c:numCache>
                <c:formatCode>d\-mmm\-yy</c:formatCode>
                <c:ptCount val="1"/>
                <c:pt idx="0">
                  <c:v>42138</c:v>
                </c:pt>
              </c:numCache>
            </c:numRef>
          </c:xVal>
          <c:yVal>
            <c:numRef>
              <c:f>'1MSynthDepo_used'!$K$4</c:f>
              <c:numCache>
                <c:formatCode>0.0000%</c:formatCode>
                <c:ptCount val="1"/>
                <c:pt idx="0">
                  <c:v>6.521855532326537E-4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'1MSynthDepo_used'!$G$5:$G$16</c:f>
              <c:numCache>
                <c:formatCode>d\-mmm\-yy</c:formatCode>
                <c:ptCount val="12"/>
                <c:pt idx="0">
                  <c:v>42138</c:v>
                </c:pt>
                <c:pt idx="1">
                  <c:v>42170</c:v>
                </c:pt>
                <c:pt idx="2">
                  <c:v>42199</c:v>
                </c:pt>
                <c:pt idx="3">
                  <c:v>42230</c:v>
                </c:pt>
              </c:numCache>
            </c:numRef>
          </c:xVal>
          <c:yVal>
            <c:numRef>
              <c:f>'1MSynthDepo_used'!$K$5:$K$22</c:f>
              <c:numCache>
                <c:formatCode>0.0000%</c:formatCode>
                <c:ptCount val="18"/>
                <c:pt idx="0">
                  <c:v>6.521855532326537E-4</c:v>
                </c:pt>
                <c:pt idx="1">
                  <c:v>4.7602844250960175E-4</c:v>
                </c:pt>
                <c:pt idx="2">
                  <c:v>6.1773821962997388E-4</c:v>
                </c:pt>
                <c:pt idx="3">
                  <c:v>6.3909617906197523E-4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'1MSynthDepo_used'!$S$2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'1MSynthDepo_used'!$R$3:$R$70</c:f>
              <c:numCache>
                <c:formatCode>d\-mmm\-yy</c:formatCode>
                <c:ptCount val="68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xVal>
          <c:yVal>
            <c:numRef>
              <c:f>'1MSynthDepo_used'!$S$3:$S$70</c:f>
              <c:numCache>
                <c:formatCode>0.0000%</c:formatCode>
                <c:ptCount val="68"/>
                <c:pt idx="0">
                  <c:v>6.521855532326537E-4</c:v>
                </c:pt>
                <c:pt idx="1">
                  <c:v>6.3654127265375679E-4</c:v>
                </c:pt>
                <c:pt idx="2">
                  <c:v>5.9441100743423474E-4</c:v>
                </c:pt>
                <c:pt idx="3">
                  <c:v>5.8191620294050352E-4</c:v>
                </c:pt>
                <c:pt idx="4">
                  <c:v>5.701695862733539E-4</c:v>
                </c:pt>
                <c:pt idx="5">
                  <c:v>5.5915548495490185E-4</c:v>
                </c:pt>
                <c:pt idx="6">
                  <c:v>5.4885822650726308E-4</c:v>
                </c:pt>
                <c:pt idx="7">
                  <c:v>5.2211078361038806E-4</c:v>
                </c:pt>
                <c:pt idx="8">
                  <c:v>5.1452417186716355E-4</c:v>
                </c:pt>
                <c:pt idx="9">
                  <c:v>5.0757604060533239E-4</c:v>
                </c:pt>
                <c:pt idx="10">
                  <c:v>5.0125071734701074E-4</c:v>
                </c:pt>
                <c:pt idx="11">
                  <c:v>4.9553252961431478E-4</c:v>
                </c:pt>
                <c:pt idx="12">
                  <c:v>4.8186405479114008E-4</c:v>
                </c:pt>
                <c:pt idx="13">
                  <c:v>4.7841768438210629E-4</c:v>
                </c:pt>
                <c:pt idx="14">
                  <c:v>4.7550008710927814E-4</c:v>
                </c:pt>
                <c:pt idx="15">
                  <c:v>4.7309559049477155E-4</c:v>
                </c:pt>
                <c:pt idx="16">
                  <c:v>4.7118852206070255E-4</c:v>
                </c:pt>
                <c:pt idx="17">
                  <c:v>4.6829516106228111E-4</c:v>
                </c:pt>
                <c:pt idx="18">
                  <c:v>4.6822108057112258E-4</c:v>
                </c:pt>
                <c:pt idx="19">
                  <c:v>4.685660658709817E-4</c:v>
                </c:pt>
                <c:pt idx="20">
                  <c:v>4.6931444448397445E-4</c:v>
                </c:pt>
                <c:pt idx="21">
                  <c:v>4.7045054393221662E-4</c:v>
                </c:pt>
                <c:pt idx="22">
                  <c:v>4.7602844250960175E-4</c:v>
                </c:pt>
                <c:pt idx="23">
                  <c:v>4.785587005200027E-4</c:v>
                </c:pt>
                <c:pt idx="24">
                  <c:v>4.8139831697623347E-4</c:v>
                </c:pt>
                <c:pt idx="25">
                  <c:v>4.8453161940040977E-4</c:v>
                </c:pt>
                <c:pt idx="26">
                  <c:v>4.8794293531464794E-4</c:v>
                </c:pt>
                <c:pt idx="27">
                  <c:v>4.996882392188925E-4</c:v>
                </c:pt>
                <c:pt idx="28">
                  <c:v>5.0405488431453738E-4</c:v>
                </c:pt>
                <c:pt idx="29">
                  <c:v>5.0862118051082418E-4</c:v>
                </c:pt>
                <c:pt idx="30">
                  <c:v>5.1337145532986863E-4</c:v>
                </c:pt>
                <c:pt idx="31">
                  <c:v>5.182900362937868E-4</c:v>
                </c:pt>
                <c:pt idx="32">
                  <c:v>5.3389889127594399E-4</c:v>
                </c:pt>
                <c:pt idx="33">
                  <c:v>5.3933397204051711E-4</c:v>
                </c:pt>
                <c:pt idx="34">
                  <c:v>5.4485899656054422E-4</c:v>
                </c:pt>
                <c:pt idx="35">
                  <c:v>5.5045829235814093E-4</c:v>
                </c:pt>
                <c:pt idx="36">
                  <c:v>5.5611618695542353E-4</c:v>
                </c:pt>
                <c:pt idx="37">
                  <c:v>5.7328473876654639E-4</c:v>
                </c:pt>
                <c:pt idx="38">
                  <c:v>5.790203037837324E-4</c:v>
                </c:pt>
                <c:pt idx="39">
                  <c:v>5.8473610521118415E-4</c:v>
                </c:pt>
                <c:pt idx="40">
                  <c:v>5.9041647057101767E-4</c:v>
                </c:pt>
                <c:pt idx="41">
                  <c:v>5.9604572738534913E-4</c:v>
                </c:pt>
                <c:pt idx="42">
                  <c:v>6.1247012177649085E-4</c:v>
                </c:pt>
                <c:pt idx="43">
                  <c:v>6.1773821962997366E-4</c:v>
                </c:pt>
                <c:pt idx="44">
                  <c:v>6.2287684654853436E-4</c:v>
                </c:pt>
                <c:pt idx="45">
                  <c:v>6.2787033005428934E-4</c:v>
                </c:pt>
                <c:pt idx="46">
                  <c:v>6.3270299766935388E-4</c:v>
                </c:pt>
                <c:pt idx="47">
                  <c:v>6.4607938039156745E-4</c:v>
                </c:pt>
                <c:pt idx="48">
                  <c:v>6.501120596650317E-4</c:v>
                </c:pt>
                <c:pt idx="49">
                  <c:v>6.5390556065838591E-4</c:v>
                </c:pt>
                <c:pt idx="50">
                  <c:v>6.5744421089374591E-4</c:v>
                </c:pt>
                <c:pt idx="51">
                  <c:v>6.6071233789322798E-4</c:v>
                </c:pt>
                <c:pt idx="52">
                  <c:v>6.6873685469756648E-4</c:v>
                </c:pt>
                <c:pt idx="53">
                  <c:v>6.7076616397469661E-4</c:v>
                </c:pt>
                <c:pt idx="54">
                  <c:v>6.7244658762652854E-4</c:v>
                </c:pt>
                <c:pt idx="55">
                  <c:v>6.7376245317517908E-4</c:v>
                </c:pt>
                <c:pt idx="56">
                  <c:v>6.746980881427631E-4</c:v>
                </c:pt>
                <c:pt idx="57">
                  <c:v>6.7506688478027941E-4</c:v>
                </c:pt>
                <c:pt idx="58">
                  <c:v>6.7432487264476007E-4</c:v>
                </c:pt>
                <c:pt idx="59">
                  <c:v>6.7312426753875351E-4</c:v>
                </c:pt>
                <c:pt idx="60">
                  <c:v>6.7144939698437827E-4</c:v>
                </c:pt>
                <c:pt idx="61">
                  <c:v>6.6928458850374836E-4</c:v>
                </c:pt>
                <c:pt idx="62">
                  <c:v>6.5969381072549611E-4</c:v>
                </c:pt>
                <c:pt idx="63">
                  <c:v>6.5541252576101E-4</c:v>
                </c:pt>
                <c:pt idx="64">
                  <c:v>6.5056294048085133E-4</c:v>
                </c:pt>
                <c:pt idx="65">
                  <c:v>6.451293824071341E-4</c:v>
                </c:pt>
                <c:pt idx="66">
                  <c:v>6.3909617906197577E-4</c:v>
                </c:pt>
                <c:pt idx="67">
                  <c:v>6.1724197261900675E-4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226048"/>
        <c:axId val="364227584"/>
      </c:scatterChart>
      <c:valAx>
        <c:axId val="3642260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64227584"/>
        <c:crosses val="autoZero"/>
        <c:crossBetween val="midCat"/>
      </c:valAx>
      <c:valAx>
        <c:axId val="36422758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6422604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3984531312743334"/>
          <c:h val="0.328034631853248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tx>
            <c:v>Cont Basis</c:v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'1MSynthDepo_used'!$R$3:$R$70</c:f>
              <c:numCache>
                <c:formatCode>d\-mmm\-yy</c:formatCode>
                <c:ptCount val="68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xVal>
          <c:yVal>
            <c:numRef>
              <c:f>'1MSynthDepo_used'!$U$3:$U$70</c:f>
              <c:numCache>
                <c:formatCode>0.0000%</c:formatCode>
                <c:ptCount val="68"/>
                <c:pt idx="0">
                  <c:v>9.851375372000096E-4</c:v>
                </c:pt>
                <c:pt idx="1">
                  <c:v>9.5483710420899955E-4</c:v>
                </c:pt>
                <c:pt idx="2">
                  <c:v>8.7026383626717966E-4</c:v>
                </c:pt>
                <c:pt idx="3">
                  <c:v>8.441298490373633E-4</c:v>
                </c:pt>
                <c:pt idx="4">
                  <c:v>8.189982920531354E-4</c:v>
                </c:pt>
                <c:pt idx="5">
                  <c:v>7.94853492836612E-4</c:v>
                </c:pt>
                <c:pt idx="6">
                  <c:v>7.7167977890990895E-4</c:v>
                </c:pt>
                <c:pt idx="7">
                  <c:v>7.0782842408988319E-4</c:v>
                </c:pt>
                <c:pt idx="8">
                  <c:v>6.883823265436223E-4</c:v>
                </c:pt>
                <c:pt idx="9">
                  <c:v>6.6982895189776192E-4</c:v>
                </c:pt>
                <c:pt idx="10">
                  <c:v>6.5215262767441789E-4</c:v>
                </c:pt>
                <c:pt idx="11">
                  <c:v>6.353376813957066E-4</c:v>
                </c:pt>
                <c:pt idx="12">
                  <c:v>5.8990438544852773E-4</c:v>
                </c:pt>
                <c:pt idx="13">
                  <c:v>5.7637822616950652E-4</c:v>
                </c:pt>
                <c:pt idx="14">
                  <c:v>5.6363508244569799E-4</c:v>
                </c:pt>
                <c:pt idx="15">
                  <c:v>5.516592817992181E-4</c:v>
                </c:pt>
                <c:pt idx="16">
                  <c:v>5.4043515175218257E-4</c:v>
                </c:pt>
                <c:pt idx="17">
                  <c:v>5.11116060428904E-4</c:v>
                </c:pt>
                <c:pt idx="18">
                  <c:v>5.0274188800080713E-4</c:v>
                </c:pt>
                <c:pt idx="19">
                  <c:v>4.9504102378273467E-4</c:v>
                </c:pt>
                <c:pt idx="20">
                  <c:v>4.8799779529680291E-4</c:v>
                </c:pt>
                <c:pt idx="21">
                  <c:v>4.8159653006512779E-4</c:v>
                </c:pt>
                <c:pt idx="22">
                  <c:v>4.6608778911680251E-4</c:v>
                </c:pt>
                <c:pt idx="23">
                  <c:v>4.6209765212331397E-4</c:v>
                </c:pt>
                <c:pt idx="24">
                  <c:v>4.5867111599466219E-4</c:v>
                </c:pt>
                <c:pt idx="25">
                  <c:v>4.557925082529631E-4</c:v>
                </c:pt>
                <c:pt idx="26">
                  <c:v>4.5344615642033261E-4</c:v>
                </c:pt>
                <c:pt idx="27">
                  <c:v>4.4944391159801355E-4</c:v>
                </c:pt>
                <c:pt idx="28">
                  <c:v>4.4906985862281778E-4</c:v>
                </c:pt>
                <c:pt idx="29">
                  <c:v>4.491496991672712E-4</c:v>
                </c:pt>
                <c:pt idx="30">
                  <c:v>4.4966776075348902E-4</c:v>
                </c:pt>
                <c:pt idx="31">
                  <c:v>4.5060837090358754E-4</c:v>
                </c:pt>
                <c:pt idx="32">
                  <c:v>4.5580876795832794E-4</c:v>
                </c:pt>
                <c:pt idx="33">
                  <c:v>4.5828284758510937E-4</c:v>
                </c:pt>
                <c:pt idx="34">
                  <c:v>4.611011133863519E-4</c:v>
                </c:pt>
                <c:pt idx="35">
                  <c:v>4.6424789288417094E-4</c:v>
                </c:pt>
                <c:pt idx="36">
                  <c:v>4.6770751360068297E-4</c:v>
                </c:pt>
                <c:pt idx="37">
                  <c:v>4.7980669828353575E-4</c:v>
                </c:pt>
                <c:pt idx="38">
                  <c:v>4.8436095909597926E-4</c:v>
                </c:pt>
                <c:pt idx="39">
                  <c:v>4.8914969873769523E-4</c:v>
                </c:pt>
                <c:pt idx="40">
                  <c:v>4.9415724473080025E-4</c:v>
                </c:pt>
                <c:pt idx="41">
                  <c:v>4.9936792459740983E-4</c:v>
                </c:pt>
                <c:pt idx="42">
                  <c:v>5.1606204265942826E-4</c:v>
                </c:pt>
                <c:pt idx="43">
                  <c:v>5.2192853324121719E-4</c:v>
                </c:pt>
                <c:pt idx="44">
                  <c:v>5.2791979530709152E-4</c:v>
                </c:pt>
                <c:pt idx="45">
                  <c:v>5.3402015637916674E-4</c:v>
                </c:pt>
                <c:pt idx="46">
                  <c:v>5.4021394397955858E-4</c:v>
                </c:pt>
                <c:pt idx="47">
                  <c:v>5.5919914117179574E-4</c:v>
                </c:pt>
                <c:pt idx="48">
                  <c:v>5.656099101066153E-4</c:v>
                </c:pt>
                <c:pt idx="49">
                  <c:v>5.7203574318033165E-4</c:v>
                </c:pt>
                <c:pt idx="50">
                  <c:v>5.7846096791506108E-4</c:v>
                </c:pt>
                <c:pt idx="51">
                  <c:v>5.8486991183291919E-4</c:v>
                </c:pt>
                <c:pt idx="52">
                  <c:v>6.0384233390642817E-4</c:v>
                </c:pt>
                <c:pt idx="53">
                  <c:v>6.1002942977796191E-4</c:v>
                </c:pt>
                <c:pt idx="54">
                  <c:v>6.1612188244320517E-4</c:v>
                </c:pt>
                <c:pt idx="55">
                  <c:v>6.2210401942427345E-4</c:v>
                </c:pt>
                <c:pt idx="56">
                  <c:v>6.2796016824328291E-4</c:v>
                </c:pt>
                <c:pt idx="57">
                  <c:v>6.4461596094911723E-4</c:v>
                </c:pt>
                <c:pt idx="58">
                  <c:v>6.4981143234105047E-4</c:v>
                </c:pt>
                <c:pt idx="59">
                  <c:v>6.5480255318150441E-4</c:v>
                </c:pt>
                <c:pt idx="60">
                  <c:v>6.5957365099259587E-4</c:v>
                </c:pt>
                <c:pt idx="61">
                  <c:v>6.6410905329643971E-4</c:v>
                </c:pt>
                <c:pt idx="62">
                  <c:v>6.7614436238565149E-4</c:v>
                </c:pt>
                <c:pt idx="63">
                  <c:v>6.7958025788166778E-4</c:v>
                </c:pt>
                <c:pt idx="64">
                  <c:v>6.8270209548101815E-4</c:v>
                </c:pt>
                <c:pt idx="65">
                  <c:v>6.8549420270581658E-4</c:v>
                </c:pt>
                <c:pt idx="66">
                  <c:v>6.879409070781814E-4</c:v>
                </c:pt>
                <c:pt idx="67">
                  <c:v>6.9305187830182372E-4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625536"/>
        <c:axId val="578627072"/>
      </c:scatterChart>
      <c:valAx>
        <c:axId val="57862553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78627072"/>
        <c:crosses val="autoZero"/>
        <c:crossBetween val="midCat"/>
      </c:valAx>
      <c:valAx>
        <c:axId val="57862707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862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cat>
          <c:val>
            <c:numRef>
              <c:f>'1MSynthDepo_allScenario'!$BE$6:$BE$135</c:f>
              <c:numCache>
                <c:formatCode>0.0000%</c:formatCode>
                <c:ptCount val="130"/>
                <c:pt idx="0">
                  <c:v>7.4026410859417968E-4</c:v>
                </c:pt>
                <c:pt idx="1">
                  <c:v>7.3475919888408431E-4</c:v>
                </c:pt>
                <c:pt idx="2">
                  <c:v>7.1824446975379819E-4</c:v>
                </c:pt>
                <c:pt idx="3">
                  <c:v>7.1273956004370281E-4</c:v>
                </c:pt>
                <c:pt idx="4">
                  <c:v>7.0723465033360744E-4</c:v>
                </c:pt>
                <c:pt idx="5">
                  <c:v>7.0172974062351207E-4</c:v>
                </c:pt>
                <c:pt idx="6">
                  <c:v>6.9622483091341669E-4</c:v>
                </c:pt>
                <c:pt idx="7">
                  <c:v>6.7971010178313057E-4</c:v>
                </c:pt>
                <c:pt idx="8">
                  <c:v>6.742051920730352E-4</c:v>
                </c:pt>
                <c:pt idx="9">
                  <c:v>6.6870028236293982E-4</c:v>
                </c:pt>
                <c:pt idx="10">
                  <c:v>6.6319537265284445E-4</c:v>
                </c:pt>
                <c:pt idx="11">
                  <c:v>6.5769046294274908E-4</c:v>
                </c:pt>
                <c:pt idx="12">
                  <c:v>6.4117573381246296E-4</c:v>
                </c:pt>
                <c:pt idx="13">
                  <c:v>6.3567082410236758E-4</c:v>
                </c:pt>
                <c:pt idx="14">
                  <c:v>6.3016591439227221E-4</c:v>
                </c:pt>
                <c:pt idx="15">
                  <c:v>6.2466100468217683E-4</c:v>
                </c:pt>
                <c:pt idx="16">
                  <c:v>6.1915609497208146E-4</c:v>
                </c:pt>
                <c:pt idx="17">
                  <c:v>6.0264136584179534E-4</c:v>
                </c:pt>
                <c:pt idx="18">
                  <c:v>5.9713645613169997E-4</c:v>
                </c:pt>
                <c:pt idx="19">
                  <c:v>5.9163154642160459E-4</c:v>
                </c:pt>
                <c:pt idx="20">
                  <c:v>5.8612663671150922E-4</c:v>
                </c:pt>
                <c:pt idx="21">
                  <c:v>5.8062172700141385E-4</c:v>
                </c:pt>
                <c:pt idx="22">
                  <c:v>5.6410699787112772E-4</c:v>
                </c:pt>
                <c:pt idx="23">
                  <c:v>5.5860208816103235E-4</c:v>
                </c:pt>
                <c:pt idx="24">
                  <c:v>5.5309717845093698E-4</c:v>
                </c:pt>
                <c:pt idx="25">
                  <c:v>5.475922687408416E-4</c:v>
                </c:pt>
                <c:pt idx="26">
                  <c:v>5.4208735903074623E-4</c:v>
                </c:pt>
                <c:pt idx="27">
                  <c:v>5.2557262990046011E-4</c:v>
                </c:pt>
                <c:pt idx="28">
                  <c:v>5.2006772019036474E-4</c:v>
                </c:pt>
                <c:pt idx="29">
                  <c:v>5.1456281048026936E-4</c:v>
                </c:pt>
                <c:pt idx="30">
                  <c:v>5.0905790077017399E-4</c:v>
                </c:pt>
                <c:pt idx="31">
                  <c:v>5.0355299106007861E-4</c:v>
                </c:pt>
                <c:pt idx="32">
                  <c:v>4.8703826192979249E-4</c:v>
                </c:pt>
                <c:pt idx="33">
                  <c:v>4.8153335221969712E-4</c:v>
                </c:pt>
                <c:pt idx="34">
                  <c:v>4.7602844250960175E-4</c:v>
                </c:pt>
                <c:pt idx="35">
                  <c:v>4.7052353279950637E-4</c:v>
                </c:pt>
                <c:pt idx="36">
                  <c:v>4.65018623089411E-4</c:v>
                </c:pt>
                <c:pt idx="37">
                  <c:v>4.4850389395912488E-4</c:v>
                </c:pt>
                <c:pt idx="38">
                  <c:v>4.429989842490295E-4</c:v>
                </c:pt>
                <c:pt idx="39">
                  <c:v>4.3749407453893413E-4</c:v>
                </c:pt>
                <c:pt idx="40">
                  <c:v>4.3198916482883876E-4</c:v>
                </c:pt>
                <c:pt idx="41">
                  <c:v>4.2648425511874338E-4</c:v>
                </c:pt>
                <c:pt idx="42">
                  <c:v>4.0996952598845726E-4</c:v>
                </c:pt>
                <c:pt idx="43">
                  <c:v>4.0446461627836189E-4</c:v>
                </c:pt>
                <c:pt idx="44">
                  <c:v>3.9895970656826651E-4</c:v>
                </c:pt>
                <c:pt idx="45">
                  <c:v>3.9345479685817114E-4</c:v>
                </c:pt>
                <c:pt idx="46">
                  <c:v>3.8794988714807577E-4</c:v>
                </c:pt>
                <c:pt idx="47">
                  <c:v>3.7143515801778965E-4</c:v>
                </c:pt>
                <c:pt idx="48">
                  <c:v>3.6593024830769427E-4</c:v>
                </c:pt>
                <c:pt idx="49">
                  <c:v>3.604253385975989E-4</c:v>
                </c:pt>
                <c:pt idx="50">
                  <c:v>3.5492042888750353E-4</c:v>
                </c:pt>
                <c:pt idx="51">
                  <c:v>3.4941551917740815E-4</c:v>
                </c:pt>
                <c:pt idx="52">
                  <c:v>3.3290079004712203E-4</c:v>
                </c:pt>
                <c:pt idx="53">
                  <c:v>3.2739588033702666E-4</c:v>
                </c:pt>
                <c:pt idx="54">
                  <c:v>3.2189097062693128E-4</c:v>
                </c:pt>
                <c:pt idx="55">
                  <c:v>3.1638606091683591E-4</c:v>
                </c:pt>
                <c:pt idx="56">
                  <c:v>3.1088115120674054E-4</c:v>
                </c:pt>
                <c:pt idx="57">
                  <c:v>2.9436642207645441E-4</c:v>
                </c:pt>
                <c:pt idx="58">
                  <c:v>2.8886151236635904E-4</c:v>
                </c:pt>
                <c:pt idx="59">
                  <c:v>2.8335660265626367E-4</c:v>
                </c:pt>
                <c:pt idx="60">
                  <c:v>2.7785169294616829E-4</c:v>
                </c:pt>
                <c:pt idx="61">
                  <c:v>2.7234678323607292E-4</c:v>
                </c:pt>
                <c:pt idx="62">
                  <c:v>2.558320541057868E-4</c:v>
                </c:pt>
                <c:pt idx="63">
                  <c:v>2.5032714439569143E-4</c:v>
                </c:pt>
                <c:pt idx="64">
                  <c:v>2.4482223468559605E-4</c:v>
                </c:pt>
                <c:pt idx="65">
                  <c:v>2.3931732497550068E-4</c:v>
                </c:pt>
                <c:pt idx="66">
                  <c:v>2.338124152654053E-4</c:v>
                </c:pt>
                <c:pt idx="67">
                  <c:v>2.1729768613511918E-4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cat>
          <c:val>
            <c:numRef>
              <c:f>'1MSynthDepo_allScenario'!$BF$6:$BF$135</c:f>
              <c:numCache>
                <c:formatCode>0.0000%</c:formatCode>
                <c:ptCount val="130"/>
                <c:pt idx="0">
                  <c:v>8.5655753633951737E-4</c:v>
                </c:pt>
                <c:pt idx="1">
                  <c:v>8.4032046947909544E-4</c:v>
                </c:pt>
                <c:pt idx="2">
                  <c:v>7.9365348930741562E-4</c:v>
                </c:pt>
                <c:pt idx="3">
                  <c:v>7.7877923605338436E-4</c:v>
                </c:pt>
                <c:pt idx="4">
                  <c:v>7.6424568620095076E-4</c:v>
                </c:pt>
                <c:pt idx="5">
                  <c:v>7.5005283975011479E-4</c:v>
                </c:pt>
                <c:pt idx="6">
                  <c:v>7.3620069670087657E-4</c:v>
                </c:pt>
                <c:pt idx="7">
                  <c:v>6.9668848796274779E-4</c:v>
                </c:pt>
                <c:pt idx="8">
                  <c:v>6.8419915851990014E-4</c:v>
                </c:pt>
                <c:pt idx="9">
                  <c:v>6.7205053247865036E-4</c:v>
                </c:pt>
                <c:pt idx="10">
                  <c:v>6.6024260983899811E-4</c:v>
                </c:pt>
                <c:pt idx="11">
                  <c:v>6.487753906009435E-4</c:v>
                </c:pt>
                <c:pt idx="12">
                  <c:v>6.1641795329636575E-4</c:v>
                </c:pt>
                <c:pt idx="13">
                  <c:v>6.0631354766470182E-4</c:v>
                </c:pt>
                <c:pt idx="14">
                  <c:v>5.9654984543463553E-4</c:v>
                </c:pt>
                <c:pt idx="15">
                  <c:v>5.87126846606167E-4</c:v>
                </c:pt>
                <c:pt idx="16">
                  <c:v>5.780445511792961E-4</c:v>
                </c:pt>
                <c:pt idx="17">
                  <c:v>5.528418853082695E-4</c:v>
                </c:pt>
                <c:pt idx="18">
                  <c:v>5.4512240348778928E-4</c:v>
                </c:pt>
                <c:pt idx="19">
                  <c:v>5.3774362506890671E-4</c:v>
                </c:pt>
                <c:pt idx="20">
                  <c:v>5.3070555005162179E-4</c:v>
                </c:pt>
                <c:pt idx="21">
                  <c:v>5.2400817843593461E-4</c:v>
                </c:pt>
                <c:pt idx="22">
                  <c:v>5.0596028399845893E-4</c:v>
                </c:pt>
                <c:pt idx="23">
                  <c:v>5.0062572598916243E-4</c:v>
                </c:pt>
                <c:pt idx="24">
                  <c:v>4.9563187138146358E-4</c:v>
                </c:pt>
                <c:pt idx="25">
                  <c:v>4.9097872017536226E-4</c:v>
                </c:pt>
                <c:pt idx="26">
                  <c:v>4.866662723708588E-4</c:v>
                </c:pt>
                <c:pt idx="27">
                  <c:v>4.7577314936693421E-4</c:v>
                </c:pt>
                <c:pt idx="28">
                  <c:v>4.7282351516882138E-4</c:v>
                </c:pt>
                <c:pt idx="29">
                  <c:v>4.7021458437230618E-4</c:v>
                </c:pt>
                <c:pt idx="30">
                  <c:v>4.6794635697738863E-4</c:v>
                </c:pt>
                <c:pt idx="31">
                  <c:v>4.6601883298406878E-4</c:v>
                </c:pt>
                <c:pt idx="32">
                  <c:v>4.6228048141369523E-4</c:v>
                </c:pt>
                <c:pt idx="33">
                  <c:v>4.6171577102676611E-4</c:v>
                </c:pt>
                <c:pt idx="34">
                  <c:v>4.6149176404143458E-4</c:v>
                </c:pt>
                <c:pt idx="35">
                  <c:v>4.6160846045770079E-4</c:v>
                </c:pt>
                <c:pt idx="36">
                  <c:v>4.620658602755646E-4</c:v>
                </c:pt>
                <c:pt idx="37">
                  <c:v>4.6548228013874209E-4</c:v>
                </c:pt>
                <c:pt idx="38">
                  <c:v>4.6730249356299663E-4</c:v>
                </c:pt>
                <c:pt idx="39">
                  <c:v>4.6946341038884871E-4</c:v>
                </c:pt>
                <c:pt idx="40">
                  <c:v>4.7196503061629864E-4</c:v>
                </c:pt>
                <c:pt idx="41">
                  <c:v>4.7480735424534611E-4</c:v>
                </c:pt>
                <c:pt idx="42">
                  <c:v>4.8537854554207458E-4</c:v>
                </c:pt>
                <c:pt idx="43">
                  <c:v>4.8958368277751284E-4</c:v>
                </c:pt>
                <c:pt idx="44">
                  <c:v>4.9412952341454863E-4</c:v>
                </c:pt>
                <c:pt idx="45">
                  <c:v>4.9901606745318228E-4</c:v>
                </c:pt>
                <c:pt idx="46">
                  <c:v>5.0424331489341335E-4</c:v>
                </c:pt>
                <c:pt idx="47">
                  <c:v>5.2196927762369308E-4</c:v>
                </c:pt>
                <c:pt idx="48">
                  <c:v>5.2855933867031483E-4</c:v>
                </c:pt>
                <c:pt idx="49">
                  <c:v>5.3549010311853445E-4</c:v>
                </c:pt>
                <c:pt idx="50">
                  <c:v>5.4276157096835159E-4</c:v>
                </c:pt>
                <c:pt idx="51">
                  <c:v>5.5037374221976649E-4</c:v>
                </c:pt>
                <c:pt idx="52">
                  <c:v>5.7525447638359704E-4</c:v>
                </c:pt>
                <c:pt idx="53">
                  <c:v>5.8422946124140284E-4</c:v>
                </c:pt>
                <c:pt idx="54">
                  <c:v>5.9354514950080595E-4</c:v>
                </c:pt>
                <c:pt idx="55">
                  <c:v>6.0320154116180692E-4</c:v>
                </c:pt>
                <c:pt idx="56">
                  <c:v>6.1319863622440543E-4</c:v>
                </c:pt>
                <c:pt idx="57">
                  <c:v>6.4523414182178723E-4</c:v>
                </c:pt>
                <c:pt idx="58">
                  <c:v>6.5659405049077631E-4</c:v>
                </c:pt>
                <c:pt idx="59">
                  <c:v>6.6829466256136335E-4</c:v>
                </c:pt>
                <c:pt idx="60">
                  <c:v>6.8033597803354772E-4</c:v>
                </c:pt>
                <c:pt idx="61">
                  <c:v>6.9271799690733004E-4</c:v>
                </c:pt>
                <c:pt idx="62">
                  <c:v>7.3190827393826267E-4</c:v>
                </c:pt>
                <c:pt idx="63">
                  <c:v>7.4565310641843579E-4</c:v>
                </c:pt>
                <c:pt idx="64">
                  <c:v>7.5973864230020622E-4</c:v>
                </c:pt>
                <c:pt idx="65">
                  <c:v>7.7416488158357419E-4</c:v>
                </c:pt>
                <c:pt idx="66">
                  <c:v>7.8893182426854013E-4</c:v>
                </c:pt>
                <c:pt idx="67">
                  <c:v>8.3527687273302401E-4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cat>
          <c:val>
            <c:numRef>
              <c:f>'1MSynthDepo_allScenario'!$BG$6:$BG$135</c:f>
              <c:numCache>
                <c:formatCode>0.0000%</c:formatCode>
                <c:ptCount val="130"/>
                <c:pt idx="0">
                  <c:v>2.4147432865519262E-4</c:v>
                </c:pt>
                <c:pt idx="1">
                  <c:v>2.4636087269382616E-4</c:v>
                </c:pt>
                <c:pt idx="2">
                  <c:v>2.6102050480972673E-4</c:v>
                </c:pt>
                <c:pt idx="3">
                  <c:v>2.6590704884836027E-4</c:v>
                </c:pt>
                <c:pt idx="4">
                  <c:v>2.7079359288699375E-4</c:v>
                </c:pt>
                <c:pt idx="5">
                  <c:v>2.7568013692562729E-4</c:v>
                </c:pt>
                <c:pt idx="6">
                  <c:v>2.8056668096426083E-4</c:v>
                </c:pt>
                <c:pt idx="7">
                  <c:v>2.952263130801614E-4</c:v>
                </c:pt>
                <c:pt idx="8">
                  <c:v>3.0011285711879489E-4</c:v>
                </c:pt>
                <c:pt idx="9">
                  <c:v>3.0499940115742843E-4</c:v>
                </c:pt>
                <c:pt idx="10">
                  <c:v>3.0988594519606197E-4</c:v>
                </c:pt>
                <c:pt idx="11">
                  <c:v>3.1477248923469545E-4</c:v>
                </c:pt>
                <c:pt idx="12">
                  <c:v>3.2943212135059608E-4</c:v>
                </c:pt>
                <c:pt idx="13">
                  <c:v>3.3431866538922956E-4</c:v>
                </c:pt>
                <c:pt idx="14">
                  <c:v>3.392052094278631E-4</c:v>
                </c:pt>
                <c:pt idx="15">
                  <c:v>3.4409175346649664E-4</c:v>
                </c:pt>
                <c:pt idx="16">
                  <c:v>3.4897829750513013E-4</c:v>
                </c:pt>
                <c:pt idx="17">
                  <c:v>3.6363792962103075E-4</c:v>
                </c:pt>
                <c:pt idx="18">
                  <c:v>3.6852447365966424E-4</c:v>
                </c:pt>
                <c:pt idx="19">
                  <c:v>3.7341101769829778E-4</c:v>
                </c:pt>
                <c:pt idx="20">
                  <c:v>3.7829756173693126E-4</c:v>
                </c:pt>
                <c:pt idx="21">
                  <c:v>3.831841057755648E-4</c:v>
                </c:pt>
                <c:pt idx="22">
                  <c:v>3.9784373789146542E-4</c:v>
                </c:pt>
                <c:pt idx="23">
                  <c:v>4.0273028193009891E-4</c:v>
                </c:pt>
                <c:pt idx="24">
                  <c:v>4.076168259687324E-4</c:v>
                </c:pt>
                <c:pt idx="25">
                  <c:v>4.1250337000736594E-4</c:v>
                </c:pt>
                <c:pt idx="26">
                  <c:v>4.1738991404599948E-4</c:v>
                </c:pt>
                <c:pt idx="27">
                  <c:v>4.320495461619001E-4</c:v>
                </c:pt>
                <c:pt idx="28">
                  <c:v>4.3693609020053359E-4</c:v>
                </c:pt>
                <c:pt idx="29">
                  <c:v>4.4182263423916707E-4</c:v>
                </c:pt>
                <c:pt idx="30">
                  <c:v>4.4670917827780061E-4</c:v>
                </c:pt>
                <c:pt idx="31">
                  <c:v>4.5159572231643415E-4</c:v>
                </c:pt>
                <c:pt idx="32">
                  <c:v>4.6625535443233472E-4</c:v>
                </c:pt>
                <c:pt idx="33">
                  <c:v>4.7114189847096826E-4</c:v>
                </c:pt>
                <c:pt idx="34">
                  <c:v>4.7602844250960175E-4</c:v>
                </c:pt>
                <c:pt idx="35">
                  <c:v>4.8091498654823529E-4</c:v>
                </c:pt>
                <c:pt idx="36">
                  <c:v>4.8580153058686883E-4</c:v>
                </c:pt>
                <c:pt idx="37">
                  <c:v>5.0046116270276945E-4</c:v>
                </c:pt>
                <c:pt idx="38">
                  <c:v>5.0534770674140299E-4</c:v>
                </c:pt>
                <c:pt idx="39">
                  <c:v>5.1023425078003653E-4</c:v>
                </c:pt>
                <c:pt idx="40">
                  <c:v>5.1512079481866996E-4</c:v>
                </c:pt>
                <c:pt idx="41">
                  <c:v>5.200073388573035E-4</c:v>
                </c:pt>
                <c:pt idx="42">
                  <c:v>5.3466697097320401E-4</c:v>
                </c:pt>
                <c:pt idx="43">
                  <c:v>5.3955351501183755E-4</c:v>
                </c:pt>
                <c:pt idx="44">
                  <c:v>5.4444005905047109E-4</c:v>
                </c:pt>
                <c:pt idx="45">
                  <c:v>5.4932660308910464E-4</c:v>
                </c:pt>
                <c:pt idx="46">
                  <c:v>5.5421314712773818E-4</c:v>
                </c:pt>
                <c:pt idx="47">
                  <c:v>5.688727792436388E-4</c:v>
                </c:pt>
                <c:pt idx="48">
                  <c:v>5.7375932328227223E-4</c:v>
                </c:pt>
                <c:pt idx="49">
                  <c:v>5.7864586732090588E-4</c:v>
                </c:pt>
                <c:pt idx="50">
                  <c:v>5.8353241135953931E-4</c:v>
                </c:pt>
                <c:pt idx="51">
                  <c:v>5.8841895539817274E-4</c:v>
                </c:pt>
                <c:pt idx="52">
                  <c:v>6.0307858751407336E-4</c:v>
                </c:pt>
                <c:pt idx="53">
                  <c:v>6.079651315527069E-4</c:v>
                </c:pt>
                <c:pt idx="54">
                  <c:v>6.1285167559134044E-4</c:v>
                </c:pt>
                <c:pt idx="55">
                  <c:v>6.1773821962997398E-4</c:v>
                </c:pt>
                <c:pt idx="56">
                  <c:v>6.2262476366860752E-4</c:v>
                </c:pt>
                <c:pt idx="57">
                  <c:v>6.3728439578450815E-4</c:v>
                </c:pt>
                <c:pt idx="58">
                  <c:v>6.4217093982314158E-4</c:v>
                </c:pt>
                <c:pt idx="59">
                  <c:v>6.4705748386177523E-4</c:v>
                </c:pt>
                <c:pt idx="60">
                  <c:v>6.5194402790040866E-4</c:v>
                </c:pt>
                <c:pt idx="61">
                  <c:v>6.5683057193904209E-4</c:v>
                </c:pt>
                <c:pt idx="62">
                  <c:v>6.7149020405494271E-4</c:v>
                </c:pt>
                <c:pt idx="63">
                  <c:v>6.7637674809357625E-4</c:v>
                </c:pt>
                <c:pt idx="64">
                  <c:v>6.8126329213220979E-4</c:v>
                </c:pt>
                <c:pt idx="65">
                  <c:v>6.8614983617084333E-4</c:v>
                </c:pt>
                <c:pt idx="66">
                  <c:v>6.9103638020947687E-4</c:v>
                </c:pt>
                <c:pt idx="67">
                  <c:v>7.056960123253775E-4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cat>
          <c:val>
            <c:numRef>
              <c:f>'1MSynthDepo_allScenario'!$BH$6:$BH$135</c:f>
              <c:numCache>
                <c:formatCode>0.0000%</c:formatCode>
                <c:ptCount val="130"/>
                <c:pt idx="0">
                  <c:v>-1.1126563684124268E-5</c:v>
                </c:pt>
                <c:pt idx="1">
                  <c:v>2.4349740722184311E-6</c:v>
                </c:pt>
                <c:pt idx="2">
                  <c:v>4.2280071820177899E-5</c:v>
                </c:pt>
                <c:pt idx="3">
                  <c:v>5.5281932562474842E-5</c:v>
                </c:pt>
                <c:pt idx="4">
                  <c:v>6.8143874051260352E-5</c:v>
                </c:pt>
                <c:pt idx="5">
                  <c:v>8.0865896286534417E-5</c:v>
                </c:pt>
                <c:pt idx="6">
                  <c:v>9.3447999268297057E-5</c:v>
                </c:pt>
                <c:pt idx="7">
                  <c:v>1.3035479269251634E-4</c:v>
                </c:pt>
                <c:pt idx="8">
                  <c:v>1.4237721866023321E-4</c:v>
                </c:pt>
                <c:pt idx="9">
                  <c:v>1.5425972537443859E-4</c:v>
                </c:pt>
                <c:pt idx="10">
                  <c:v>1.6600231283513266E-4</c:v>
                </c:pt>
                <c:pt idx="11">
                  <c:v>1.7760498104231522E-4</c:v>
                </c:pt>
                <c:pt idx="12">
                  <c:v>2.1157347014279427E-4</c:v>
                </c:pt>
                <c:pt idx="13">
                  <c:v>2.226164613359311E-4</c:v>
                </c:pt>
                <c:pt idx="14">
                  <c:v>2.3351953327555648E-4</c:v>
                </c:pt>
                <c:pt idx="15">
                  <c:v>2.442826859616704E-4</c:v>
                </c:pt>
                <c:pt idx="16">
                  <c:v>2.5490591939427289E-4</c:v>
                </c:pt>
                <c:pt idx="17">
                  <c:v>2.8593610417101175E-4</c:v>
                </c:pt>
                <c:pt idx="18">
                  <c:v>2.9599966058956848E-4</c:v>
                </c:pt>
                <c:pt idx="19">
                  <c:v>3.0592329775461382E-4</c:v>
                </c:pt>
                <c:pt idx="20">
                  <c:v>3.1570701566614772E-4</c:v>
                </c:pt>
                <c:pt idx="21">
                  <c:v>3.2535081432417013E-4</c:v>
                </c:pt>
                <c:pt idx="22">
                  <c:v>3.5344269477716878E-4</c:v>
                </c:pt>
                <c:pt idx="23">
                  <c:v>3.6252681642114543E-4</c:v>
                </c:pt>
                <c:pt idx="24">
                  <c:v>3.7147101881161075E-4</c:v>
                </c:pt>
                <c:pt idx="25">
                  <c:v>3.8027530194856453E-4</c:v>
                </c:pt>
                <c:pt idx="26">
                  <c:v>3.8893966583200686E-4</c:v>
                </c:pt>
                <c:pt idx="27">
                  <c:v>4.1409324196126529E-4</c:v>
                </c:pt>
                <c:pt idx="28">
                  <c:v>4.2219792883066193E-4</c:v>
                </c:pt>
                <c:pt idx="29">
                  <c:v>4.3016269644654707E-4</c:v>
                </c:pt>
                <c:pt idx="30">
                  <c:v>4.3798754480892078E-4</c:v>
                </c:pt>
                <c:pt idx="31">
                  <c:v>4.4567247391778309E-4</c:v>
                </c:pt>
                <c:pt idx="32">
                  <c:v>4.6788774572330142E-4</c:v>
                </c:pt>
                <c:pt idx="33">
                  <c:v>4.7501299781811787E-4</c:v>
                </c:pt>
                <c:pt idx="34">
                  <c:v>4.8199833065942299E-4</c:v>
                </c:pt>
                <c:pt idx="35">
                  <c:v>4.8884374424721657E-4</c:v>
                </c:pt>
                <c:pt idx="36">
                  <c:v>4.9554923858149893E-4</c:v>
                </c:pt>
                <c:pt idx="37">
                  <c:v>5.1482620606327692E-4</c:v>
                </c:pt>
                <c:pt idx="38">
                  <c:v>5.2097202338351341E-4</c:v>
                </c:pt>
                <c:pt idx="39">
                  <c:v>5.2697792145023857E-4</c:v>
                </c:pt>
                <c:pt idx="40">
                  <c:v>5.3284390026345208E-4</c:v>
                </c:pt>
                <c:pt idx="41">
                  <c:v>5.3856995982315425E-4</c:v>
                </c:pt>
                <c:pt idx="42">
                  <c:v>5.5490862298119214E-4</c:v>
                </c:pt>
                <c:pt idx="43">
                  <c:v>5.6007500552684845E-4</c:v>
                </c:pt>
                <c:pt idx="44">
                  <c:v>5.6510146881899354E-4</c:v>
                </c:pt>
                <c:pt idx="45">
                  <c:v>5.6998801285762697E-4</c:v>
                </c:pt>
                <c:pt idx="46">
                  <c:v>5.7473463764274907E-4</c:v>
                </c:pt>
                <c:pt idx="47">
                  <c:v>5.8813499647704685E-4</c:v>
                </c:pt>
                <c:pt idx="48">
                  <c:v>5.923219442481232E-4</c:v>
                </c:pt>
                <c:pt idx="49">
                  <c:v>5.963689727656881E-4</c:v>
                </c:pt>
                <c:pt idx="50">
                  <c:v>6.0027608202974157E-4</c:v>
                </c:pt>
                <c:pt idx="51">
                  <c:v>6.040432720402836E-4</c:v>
                </c:pt>
                <c:pt idx="52">
                  <c:v>6.1450532655084105E-4</c:v>
                </c:pt>
                <c:pt idx="53">
                  <c:v>6.1771283954733733E-4</c:v>
                </c:pt>
                <c:pt idx="54">
                  <c:v>6.2078043329032216E-4</c:v>
                </c:pt>
                <c:pt idx="55">
                  <c:v>6.2370810777979545E-4</c:v>
                </c:pt>
                <c:pt idx="56">
                  <c:v>6.2649586301575752E-4</c:v>
                </c:pt>
                <c:pt idx="57">
                  <c:v>6.3401961320257486E-4</c:v>
                </c:pt>
                <c:pt idx="58">
                  <c:v>6.3624769142449095E-4</c:v>
                </c:pt>
                <c:pt idx="59">
                  <c:v>6.3833585039289572E-4</c:v>
                </c:pt>
                <c:pt idx="60">
                  <c:v>6.4028409010778904E-4</c:v>
                </c:pt>
                <c:pt idx="61">
                  <c:v>6.4209241056917092E-4</c:v>
                </c:pt>
                <c:pt idx="62">
                  <c:v>6.4667785643224805E-4</c:v>
                </c:pt>
                <c:pt idx="63">
                  <c:v>6.4792649987958418E-4</c:v>
                </c:pt>
                <c:pt idx="64">
                  <c:v>6.4903522407340887E-4</c:v>
                </c:pt>
                <c:pt idx="65">
                  <c:v>6.5000402901372212E-4</c:v>
                </c:pt>
                <c:pt idx="66">
                  <c:v>6.5083291470052415E-4</c:v>
                </c:pt>
                <c:pt idx="67">
                  <c:v>6.5248005623986085E-4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768768"/>
        <c:axId val="578355968"/>
      </c:lineChart>
      <c:dateAx>
        <c:axId val="6767687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78355968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57835596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76768768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cat>
          <c:val>
            <c:numRef>
              <c:f>'1MSynthDepo_allScenario'!$BI$6:$BI$135</c:f>
              <c:numCache>
                <c:formatCode>0.0000%</c:formatCode>
                <c:ptCount val="130"/>
                <c:pt idx="0">
                  <c:v>7.4314563637545121E-4</c:v>
                </c:pt>
                <c:pt idx="1">
                  <c:v>7.3746304475604733E-4</c:v>
                </c:pt>
                <c:pt idx="2">
                  <c:v>7.2041526989783582E-4</c:v>
                </c:pt>
                <c:pt idx="3">
                  <c:v>7.1473267827843194E-4</c:v>
                </c:pt>
                <c:pt idx="4">
                  <c:v>7.0905008665902807E-4</c:v>
                </c:pt>
                <c:pt idx="5">
                  <c:v>7.033674950396243E-4</c:v>
                </c:pt>
                <c:pt idx="6">
                  <c:v>6.9768490342022042E-4</c:v>
                </c:pt>
                <c:pt idx="7">
                  <c:v>6.8063712856200891E-4</c:v>
                </c:pt>
                <c:pt idx="8">
                  <c:v>6.7495453694260503E-4</c:v>
                </c:pt>
                <c:pt idx="9">
                  <c:v>6.6927194532320116E-4</c:v>
                </c:pt>
                <c:pt idx="10">
                  <c:v>6.6358935370379728E-4</c:v>
                </c:pt>
                <c:pt idx="11">
                  <c:v>6.5790676208439341E-4</c:v>
                </c:pt>
                <c:pt idx="12">
                  <c:v>6.4085898722618189E-4</c:v>
                </c:pt>
                <c:pt idx="13">
                  <c:v>6.3517639560677801E-4</c:v>
                </c:pt>
                <c:pt idx="14">
                  <c:v>6.2949380398737414E-4</c:v>
                </c:pt>
                <c:pt idx="15">
                  <c:v>6.2381121236797037E-4</c:v>
                </c:pt>
                <c:pt idx="16">
                  <c:v>6.181286207485665E-4</c:v>
                </c:pt>
                <c:pt idx="17">
                  <c:v>6.0108084589035487E-4</c:v>
                </c:pt>
                <c:pt idx="18">
                  <c:v>5.953982542709511E-4</c:v>
                </c:pt>
                <c:pt idx="19">
                  <c:v>5.8971566265154723E-4</c:v>
                </c:pt>
                <c:pt idx="20">
                  <c:v>5.8403307103214335E-4</c:v>
                </c:pt>
                <c:pt idx="21">
                  <c:v>5.7835047941273948E-4</c:v>
                </c:pt>
                <c:pt idx="22">
                  <c:v>5.6130270455452796E-4</c:v>
                </c:pt>
                <c:pt idx="23">
                  <c:v>5.5562011293512409E-4</c:v>
                </c:pt>
                <c:pt idx="24">
                  <c:v>5.4993752131572032E-4</c:v>
                </c:pt>
                <c:pt idx="25">
                  <c:v>5.4425492969631644E-4</c:v>
                </c:pt>
                <c:pt idx="26">
                  <c:v>5.3857233807691257E-4</c:v>
                </c:pt>
                <c:pt idx="27">
                  <c:v>5.2152456321870105E-4</c:v>
                </c:pt>
                <c:pt idx="28">
                  <c:v>5.1584197159929718E-4</c:v>
                </c:pt>
                <c:pt idx="29">
                  <c:v>5.101593799798933E-4</c:v>
                </c:pt>
                <c:pt idx="30">
                  <c:v>5.0447678836048942E-4</c:v>
                </c:pt>
                <c:pt idx="31">
                  <c:v>4.9879419674108555E-4</c:v>
                </c:pt>
                <c:pt idx="32">
                  <c:v>4.8174642188287409E-4</c:v>
                </c:pt>
                <c:pt idx="33">
                  <c:v>4.7606383026347021E-4</c:v>
                </c:pt>
                <c:pt idx="34">
                  <c:v>4.7038123864406634E-4</c:v>
                </c:pt>
                <c:pt idx="35">
                  <c:v>4.6469864702466251E-4</c:v>
                </c:pt>
                <c:pt idx="36">
                  <c:v>4.5901605540525864E-4</c:v>
                </c:pt>
                <c:pt idx="37">
                  <c:v>4.4196828054704707E-4</c:v>
                </c:pt>
                <c:pt idx="38">
                  <c:v>4.3628568892764325E-4</c:v>
                </c:pt>
                <c:pt idx="39">
                  <c:v>4.3060309730823937E-4</c:v>
                </c:pt>
                <c:pt idx="40">
                  <c:v>4.2492050568883555E-4</c:v>
                </c:pt>
                <c:pt idx="41">
                  <c:v>4.1923791406943173E-4</c:v>
                </c:pt>
                <c:pt idx="42">
                  <c:v>4.0219013921122016E-4</c:v>
                </c:pt>
                <c:pt idx="43">
                  <c:v>3.9650754759181628E-4</c:v>
                </c:pt>
                <c:pt idx="44">
                  <c:v>3.9082495597241246E-4</c:v>
                </c:pt>
                <c:pt idx="45">
                  <c:v>3.8514236435300859E-4</c:v>
                </c:pt>
                <c:pt idx="46">
                  <c:v>3.7945977273360471E-4</c:v>
                </c:pt>
                <c:pt idx="47">
                  <c:v>3.6241199787539319E-4</c:v>
                </c:pt>
                <c:pt idx="48">
                  <c:v>3.5672940625598932E-4</c:v>
                </c:pt>
                <c:pt idx="49">
                  <c:v>3.5104681463658544E-4</c:v>
                </c:pt>
                <c:pt idx="50">
                  <c:v>3.4536422301718162E-4</c:v>
                </c:pt>
                <c:pt idx="51">
                  <c:v>3.396816313977778E-4</c:v>
                </c:pt>
                <c:pt idx="52">
                  <c:v>3.2263385653956623E-4</c:v>
                </c:pt>
                <c:pt idx="53">
                  <c:v>3.1695126492016235E-4</c:v>
                </c:pt>
                <c:pt idx="54">
                  <c:v>3.1126867330075853E-4</c:v>
                </c:pt>
                <c:pt idx="55">
                  <c:v>3.0558608168135471E-4</c:v>
                </c:pt>
                <c:pt idx="56">
                  <c:v>2.9990349006195078E-4</c:v>
                </c:pt>
                <c:pt idx="57">
                  <c:v>2.8285571520373926E-4</c:v>
                </c:pt>
                <c:pt idx="58">
                  <c:v>2.7717312358433544E-4</c:v>
                </c:pt>
                <c:pt idx="59">
                  <c:v>2.7149053196493151E-4</c:v>
                </c:pt>
                <c:pt idx="60">
                  <c:v>2.6580794034552769E-4</c:v>
                </c:pt>
                <c:pt idx="61">
                  <c:v>2.6012534872612387E-4</c:v>
                </c:pt>
                <c:pt idx="62">
                  <c:v>2.4307757386791235E-4</c:v>
                </c:pt>
                <c:pt idx="63">
                  <c:v>2.3739498224850848E-4</c:v>
                </c:pt>
                <c:pt idx="64">
                  <c:v>2.317123906291046E-4</c:v>
                </c:pt>
                <c:pt idx="65">
                  <c:v>2.2602979900970073E-4</c:v>
                </c:pt>
                <c:pt idx="66">
                  <c:v>2.2034720739029696E-4</c:v>
                </c:pt>
                <c:pt idx="67">
                  <c:v>2.0329943253208534E-4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cat>
          <c:val>
            <c:numRef>
              <c:f>'1MSynthDepo_allScenario'!$BJ$6:$BJ$135</c:f>
              <c:numCache>
                <c:formatCode>0.0000%</c:formatCode>
                <c:ptCount val="130"/>
                <c:pt idx="0">
                  <c:v>8.568277197498565E-4</c:v>
                </c:pt>
                <c:pt idx="1">
                  <c:v>8.4054473225128688E-4</c:v>
                </c:pt>
                <c:pt idx="2">
                  <c:v>7.9375854949422636E-4</c:v>
                </c:pt>
                <c:pt idx="3">
                  <c:v>7.7885074848808909E-4</c:v>
                </c:pt>
                <c:pt idx="4">
                  <c:v>7.6428674410505988E-4</c:v>
                </c:pt>
                <c:pt idx="5">
                  <c:v>7.5006653634513874E-4</c:v>
                </c:pt>
                <c:pt idx="6">
                  <c:v>7.3619012520832565E-4</c:v>
                </c:pt>
                <c:pt idx="7">
                  <c:v>6.9662367153653488E-4</c:v>
                </c:pt>
                <c:pt idx="8">
                  <c:v>6.8412244689215426E-4</c:v>
                </c:pt>
                <c:pt idx="9">
                  <c:v>6.7196501887088148E-4</c:v>
                </c:pt>
                <c:pt idx="10">
                  <c:v>6.6015138747271688E-4</c:v>
                </c:pt>
                <c:pt idx="11">
                  <c:v>6.4868155269766034E-4</c:v>
                </c:pt>
                <c:pt idx="12">
                  <c:v>6.1633482811113919E-4</c:v>
                </c:pt>
                <c:pt idx="13">
                  <c:v>6.0624017982851511E-4</c:v>
                </c:pt>
                <c:pt idx="14">
                  <c:v>5.9648932816899888E-4</c:v>
                </c:pt>
                <c:pt idx="15">
                  <c:v>5.8708227313259082E-4</c:v>
                </c:pt>
                <c:pt idx="16">
                  <c:v>5.7801901471929093E-4</c:v>
                </c:pt>
                <c:pt idx="17">
                  <c:v>5.5289201921803952E-4</c:v>
                </c:pt>
                <c:pt idx="18">
                  <c:v>5.4520394729717188E-4</c:v>
                </c:pt>
                <c:pt idx="19">
                  <c:v>5.3785967199941229E-4</c:v>
                </c:pt>
                <c:pt idx="20">
                  <c:v>5.3085919332476078E-4</c:v>
                </c:pt>
                <c:pt idx="21">
                  <c:v>5.2420251127321743E-4</c:v>
                </c:pt>
                <c:pt idx="22">
                  <c:v>5.0629524485723575E-4</c:v>
                </c:pt>
                <c:pt idx="23">
                  <c:v>5.0101374929812455E-4</c:v>
                </c:pt>
                <c:pt idx="24">
                  <c:v>4.9607605036212162E-4</c:v>
                </c:pt>
                <c:pt idx="25">
                  <c:v>4.9148214804922664E-4</c:v>
                </c:pt>
                <c:pt idx="26">
                  <c:v>4.8723204235943984E-4</c:v>
                </c:pt>
                <c:pt idx="27">
                  <c:v>4.7654450502872774E-4</c:v>
                </c:pt>
                <c:pt idx="28">
                  <c:v>4.7366958583137318E-4</c:v>
                </c:pt>
                <c:pt idx="29">
                  <c:v>4.7113846325712679E-4</c:v>
                </c:pt>
                <c:pt idx="30">
                  <c:v>4.6895113730598831E-4</c:v>
                </c:pt>
                <c:pt idx="31">
                  <c:v>4.6710760797795804E-4</c:v>
                </c:pt>
                <c:pt idx="32">
                  <c:v>4.6363979973251557E-4</c:v>
                </c:pt>
                <c:pt idx="33">
                  <c:v>4.6317145689691767E-4</c:v>
                </c:pt>
                <c:pt idx="34">
                  <c:v>4.6304691068442782E-4</c:v>
                </c:pt>
                <c:pt idx="35">
                  <c:v>4.6326616109504593E-4</c:v>
                </c:pt>
                <c:pt idx="36">
                  <c:v>4.6382920812877221E-4</c:v>
                </c:pt>
                <c:pt idx="37">
                  <c:v>4.6758112896859953E-4</c:v>
                </c:pt>
                <c:pt idx="38">
                  <c:v>4.6951936249475812E-4</c:v>
                </c:pt>
                <c:pt idx="39">
                  <c:v>4.7180139264402471E-4</c:v>
                </c:pt>
                <c:pt idx="40">
                  <c:v>4.7442721941639947E-4</c:v>
                </c:pt>
                <c:pt idx="41">
                  <c:v>4.7739684281188229E-4</c:v>
                </c:pt>
                <c:pt idx="42">
                  <c:v>4.8836849273697913E-4</c:v>
                </c:pt>
                <c:pt idx="43">
                  <c:v>4.9271330262489431E-4</c:v>
                </c:pt>
                <c:pt idx="44">
                  <c:v>4.9740190913591755E-4</c:v>
                </c:pt>
                <c:pt idx="45">
                  <c:v>5.0243431227004897E-4</c:v>
                </c:pt>
                <c:pt idx="46">
                  <c:v>5.0781051202728833E-4</c:v>
                </c:pt>
                <c:pt idx="47">
                  <c:v>5.260018910376548E-4</c:v>
                </c:pt>
                <c:pt idx="48">
                  <c:v>5.3275327728732663E-4</c:v>
                </c:pt>
                <c:pt idx="49">
                  <c:v>5.3984846016010642E-4</c:v>
                </c:pt>
                <c:pt idx="50">
                  <c:v>5.4728743965599415E-4</c:v>
                </c:pt>
                <c:pt idx="51">
                  <c:v>5.5507021577499006E-4</c:v>
                </c:pt>
                <c:pt idx="52">
                  <c:v>5.8048132387062627E-4</c:v>
                </c:pt>
                <c:pt idx="53">
                  <c:v>5.8963928648205464E-4</c:v>
                </c:pt>
                <c:pt idx="54">
                  <c:v>5.9914104571659086E-4</c:v>
                </c:pt>
                <c:pt idx="55">
                  <c:v>6.0898660157423536E-4</c:v>
                </c:pt>
                <c:pt idx="56">
                  <c:v>6.1917595405498792E-4</c:v>
                </c:pt>
                <c:pt idx="57">
                  <c:v>6.5180679123589375E-4</c:v>
                </c:pt>
                <c:pt idx="58">
                  <c:v>6.6337133020907878E-4</c:v>
                </c:pt>
                <c:pt idx="59">
                  <c:v>6.7527966580537165E-4</c:v>
                </c:pt>
                <c:pt idx="60">
                  <c:v>6.8753179802477236E-4</c:v>
                </c:pt>
                <c:pt idx="61">
                  <c:v>7.0012772686728157E-4</c:v>
                </c:pt>
                <c:pt idx="62">
                  <c:v>7.3997829313345693E-4</c:v>
                </c:pt>
                <c:pt idx="63">
                  <c:v>7.5394940846839861E-4</c:v>
                </c:pt>
                <c:pt idx="64">
                  <c:v>7.6826432042644791E-4</c:v>
                </c:pt>
                <c:pt idx="65">
                  <c:v>7.8292302900760528E-4</c:v>
                </c:pt>
                <c:pt idx="66">
                  <c:v>7.979255342118707E-4</c:v>
                </c:pt>
                <c:pt idx="67">
                  <c:v>8.4499582956331645E-4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cat>
          <c:val>
            <c:numRef>
              <c:f>'1MSynthDepo_allScenario'!$BK$6:$BK$135</c:f>
              <c:numCache>
                <c:formatCode>0.0000%</c:formatCode>
                <c:ptCount val="130"/>
                <c:pt idx="0">
                  <c:v>2.5026753183565124E-4</c:v>
                </c:pt>
                <c:pt idx="1">
                  <c:v>2.5507170839794528E-4</c:v>
                </c:pt>
                <c:pt idx="2">
                  <c:v>2.6948423808482731E-4</c:v>
                </c:pt>
                <c:pt idx="3">
                  <c:v>2.7428841464712135E-4</c:v>
                </c:pt>
                <c:pt idx="4">
                  <c:v>2.790925912094154E-4</c:v>
                </c:pt>
                <c:pt idx="5">
                  <c:v>2.8389676777170939E-4</c:v>
                </c:pt>
                <c:pt idx="6">
                  <c:v>2.8870094433400343E-4</c:v>
                </c:pt>
                <c:pt idx="7">
                  <c:v>3.0311347402088551E-4</c:v>
                </c:pt>
                <c:pt idx="8">
                  <c:v>3.0791765058317951E-4</c:v>
                </c:pt>
                <c:pt idx="9">
                  <c:v>3.1272182714547355E-4</c:v>
                </c:pt>
                <c:pt idx="10">
                  <c:v>3.1752600370776754E-4</c:v>
                </c:pt>
                <c:pt idx="11">
                  <c:v>3.2233018027006159E-4</c:v>
                </c:pt>
                <c:pt idx="12">
                  <c:v>3.3674270995694367E-4</c:v>
                </c:pt>
                <c:pt idx="13">
                  <c:v>3.4154688651923766E-4</c:v>
                </c:pt>
                <c:pt idx="14">
                  <c:v>3.463510630815317E-4</c:v>
                </c:pt>
                <c:pt idx="15">
                  <c:v>3.5115523964382575E-4</c:v>
                </c:pt>
                <c:pt idx="16">
                  <c:v>3.5595941620611974E-4</c:v>
                </c:pt>
                <c:pt idx="17">
                  <c:v>3.7037194589300182E-4</c:v>
                </c:pt>
                <c:pt idx="18">
                  <c:v>3.7517612245529586E-4</c:v>
                </c:pt>
                <c:pt idx="19">
                  <c:v>3.7998029901758985E-4</c:v>
                </c:pt>
                <c:pt idx="20">
                  <c:v>3.847844755798839E-4</c:v>
                </c:pt>
                <c:pt idx="21">
                  <c:v>3.8958865214217789E-4</c:v>
                </c:pt>
                <c:pt idx="22">
                  <c:v>4.0400118182906002E-4</c:v>
                </c:pt>
                <c:pt idx="23">
                  <c:v>4.0880535839135396E-4</c:v>
                </c:pt>
                <c:pt idx="24">
                  <c:v>4.1360953495364801E-4</c:v>
                </c:pt>
                <c:pt idx="25">
                  <c:v>4.1841371151594205E-4</c:v>
                </c:pt>
                <c:pt idx="26">
                  <c:v>4.232178880782361E-4</c:v>
                </c:pt>
                <c:pt idx="27">
                  <c:v>4.3763041776511812E-4</c:v>
                </c:pt>
                <c:pt idx="28">
                  <c:v>4.4243459432741217E-4</c:v>
                </c:pt>
                <c:pt idx="29">
                  <c:v>4.4723877088970621E-4</c:v>
                </c:pt>
                <c:pt idx="30">
                  <c:v>4.5204294745200026E-4</c:v>
                </c:pt>
                <c:pt idx="31">
                  <c:v>4.5684712401429425E-4</c:v>
                </c:pt>
                <c:pt idx="32">
                  <c:v>4.7125965370117633E-4</c:v>
                </c:pt>
                <c:pt idx="33">
                  <c:v>4.7606383026347037E-4</c:v>
                </c:pt>
                <c:pt idx="34">
                  <c:v>4.8086800682576431E-4</c:v>
                </c:pt>
                <c:pt idx="35">
                  <c:v>4.8567218338805835E-4</c:v>
                </c:pt>
                <c:pt idx="36">
                  <c:v>4.904763599503524E-4</c:v>
                </c:pt>
                <c:pt idx="37">
                  <c:v>5.0488888963723453E-4</c:v>
                </c:pt>
                <c:pt idx="38">
                  <c:v>5.0969306619952847E-4</c:v>
                </c:pt>
                <c:pt idx="39">
                  <c:v>5.1449724276182252E-4</c:v>
                </c:pt>
                <c:pt idx="40">
                  <c:v>5.1930141932411656E-4</c:v>
                </c:pt>
                <c:pt idx="41">
                  <c:v>5.241055958864105E-4</c:v>
                </c:pt>
                <c:pt idx="42">
                  <c:v>5.3851812557329263E-4</c:v>
                </c:pt>
                <c:pt idx="43">
                  <c:v>5.4332230213558668E-4</c:v>
                </c:pt>
                <c:pt idx="44">
                  <c:v>5.4812647869788072E-4</c:v>
                </c:pt>
                <c:pt idx="45">
                  <c:v>5.5293065526017466E-4</c:v>
                </c:pt>
                <c:pt idx="46">
                  <c:v>5.5773483182246881E-4</c:v>
                </c:pt>
                <c:pt idx="47">
                  <c:v>5.7214736150935073E-4</c:v>
                </c:pt>
                <c:pt idx="48">
                  <c:v>5.7695153807164478E-4</c:v>
                </c:pt>
                <c:pt idx="49">
                  <c:v>5.8175571463393882E-4</c:v>
                </c:pt>
                <c:pt idx="50">
                  <c:v>5.8655989119623286E-4</c:v>
                </c:pt>
                <c:pt idx="51">
                  <c:v>5.9136406775852691E-4</c:v>
                </c:pt>
                <c:pt idx="52">
                  <c:v>6.0577659744540894E-4</c:v>
                </c:pt>
                <c:pt idx="53">
                  <c:v>6.1058077400770298E-4</c:v>
                </c:pt>
                <c:pt idx="54">
                  <c:v>6.1538495056999703E-4</c:v>
                </c:pt>
                <c:pt idx="55">
                  <c:v>6.2018912713229096E-4</c:v>
                </c:pt>
                <c:pt idx="56">
                  <c:v>6.2499330369458501E-4</c:v>
                </c:pt>
                <c:pt idx="57">
                  <c:v>6.3940583338146714E-4</c:v>
                </c:pt>
                <c:pt idx="58">
                  <c:v>6.4421000994376119E-4</c:v>
                </c:pt>
                <c:pt idx="59">
                  <c:v>6.4901418650605523E-4</c:v>
                </c:pt>
                <c:pt idx="60">
                  <c:v>6.5381836306834928E-4</c:v>
                </c:pt>
                <c:pt idx="61">
                  <c:v>6.5862253963064321E-4</c:v>
                </c:pt>
                <c:pt idx="62">
                  <c:v>6.7303506931752524E-4</c:v>
                </c:pt>
                <c:pt idx="63">
                  <c:v>6.7783924587981929E-4</c:v>
                </c:pt>
                <c:pt idx="64">
                  <c:v>6.8264342244211333E-4</c:v>
                </c:pt>
                <c:pt idx="65">
                  <c:v>6.8744759900440737E-4</c:v>
                </c:pt>
                <c:pt idx="66">
                  <c:v>6.9225177556670142E-4</c:v>
                </c:pt>
                <c:pt idx="67">
                  <c:v>7.0666430525358345E-4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cat>
          <c:val>
            <c:numRef>
              <c:f>'1MSynthDepo_allScenario'!$BL$6:$BL$135</c:f>
              <c:numCache>
                <c:formatCode>0.0000%</c:formatCode>
                <c:ptCount val="130"/>
                <c:pt idx="0">
                  <c:v>9.5710315895602797E-6</c:v>
                </c:pt>
                <c:pt idx="1">
                  <c:v>2.2743061319103311E-5</c:v>
                </c:pt>
                <c:pt idx="2">
                  <c:v>6.1440593876809147E-5</c:v>
                </c:pt>
                <c:pt idx="3">
                  <c:v>7.4066919185736659E-5</c:v>
                </c:pt>
                <c:pt idx="4">
                  <c:v>8.6556818389510297E-5</c:v>
                </c:pt>
                <c:pt idx="5">
                  <c:v>9.891029148813006E-5</c:v>
                </c:pt>
                <c:pt idx="6">
                  <c:v>1.1112733848159595E-4</c:v>
                </c:pt>
                <c:pt idx="7">
                  <c:v>1.4695992283107032E-4</c:v>
                </c:pt>
                <c:pt idx="8">
                  <c:v>1.5863126540392072E-4</c:v>
                </c:pt>
                <c:pt idx="9">
                  <c:v>1.7016618187161721E-4</c:v>
                </c:pt>
                <c:pt idx="10">
                  <c:v>1.8156467223415983E-4</c:v>
                </c:pt>
                <c:pt idx="11">
                  <c:v>1.9282673649154857E-4</c:v>
                </c:pt>
                <c:pt idx="12">
                  <c:v>2.2579437263279154E-4</c:v>
                </c:pt>
                <c:pt idx="13">
                  <c:v>2.3651073246956476E-4</c:v>
                </c:pt>
                <c:pt idx="14">
                  <c:v>2.4709066620118411E-4</c:v>
                </c:pt>
                <c:pt idx="15">
                  <c:v>2.5753417382764956E-4</c:v>
                </c:pt>
                <c:pt idx="16">
                  <c:v>2.6784125534896116E-4</c:v>
                </c:pt>
                <c:pt idx="17">
                  <c:v>2.9794394328197272E-4</c:v>
                </c:pt>
                <c:pt idx="18">
                  <c:v>3.0770532038266877E-4</c:v>
                </c:pt>
                <c:pt idx="19">
                  <c:v>3.1733027137821097E-4</c:v>
                </c:pt>
                <c:pt idx="20">
                  <c:v>3.2681879626859938E-4</c:v>
                </c:pt>
                <c:pt idx="21">
                  <c:v>3.3617089505383379E-4</c:v>
                </c:pt>
                <c:pt idx="22">
                  <c:v>3.6340863477861391E-4</c:v>
                </c:pt>
                <c:pt idx="23">
                  <c:v>3.7221502914323282E-4</c:v>
                </c:pt>
                <c:pt idx="24">
                  <c:v>3.8088499740269793E-4</c:v>
                </c:pt>
                <c:pt idx="25">
                  <c:v>3.8941853955700909E-4</c:v>
                </c:pt>
                <c:pt idx="26">
                  <c:v>3.978156556061664E-4</c:v>
                </c:pt>
                <c:pt idx="27">
                  <c:v>4.2218844712271515E-4</c:v>
                </c:pt>
                <c:pt idx="28">
                  <c:v>4.3003985875125685E-4</c:v>
                </c:pt>
                <c:pt idx="29">
                  <c:v>4.3775484427464482E-4</c:v>
                </c:pt>
                <c:pt idx="30">
                  <c:v>4.4533340369287878E-4</c:v>
                </c:pt>
                <c:pt idx="31">
                  <c:v>4.52775537005959E-4</c:v>
                </c:pt>
                <c:pt idx="32">
                  <c:v>4.742833803142762E-4</c:v>
                </c:pt>
                <c:pt idx="33">
                  <c:v>4.8117980920674093E-4</c:v>
                </c:pt>
                <c:pt idx="34">
                  <c:v>4.879398119940517E-4</c:v>
                </c:pt>
                <c:pt idx="35">
                  <c:v>4.9456338867620857E-4</c:v>
                </c:pt>
                <c:pt idx="36">
                  <c:v>5.0105053925321159E-4</c:v>
                </c:pt>
                <c:pt idx="37">
                  <c:v>5.1969343435329736E-4</c:v>
                </c:pt>
                <c:pt idx="38">
                  <c:v>5.2563488050968489E-4</c:v>
                </c:pt>
                <c:pt idx="39">
                  <c:v>5.3143990056091857E-4</c:v>
                </c:pt>
                <c:pt idx="40">
                  <c:v>5.3710849450699829E-4</c:v>
                </c:pt>
                <c:pt idx="41">
                  <c:v>5.4264066234792417E-4</c:v>
                </c:pt>
                <c:pt idx="42">
                  <c:v>5.5841860923977851E-4</c:v>
                </c:pt>
                <c:pt idx="43">
                  <c:v>5.6340507266008889E-4</c:v>
                </c:pt>
                <c:pt idx="44">
                  <c:v>5.6825510997524542E-4</c:v>
                </c:pt>
                <c:pt idx="45">
                  <c:v>5.7296872118524789E-4</c:v>
                </c:pt>
                <c:pt idx="46">
                  <c:v>5.7754590629009684E-4</c:v>
                </c:pt>
                <c:pt idx="47">
                  <c:v>5.9045890497371964E-4</c:v>
                </c:pt>
                <c:pt idx="48">
                  <c:v>5.9449038565795287E-4</c:v>
                </c:pt>
                <c:pt idx="49">
                  <c:v>5.9838544023703226E-4</c:v>
                </c:pt>
                <c:pt idx="50">
                  <c:v>6.021440687109577E-4</c:v>
                </c:pt>
                <c:pt idx="51">
                  <c:v>6.0576627107972918E-4</c:v>
                </c:pt>
                <c:pt idx="52">
                  <c:v>6.1581432155512076E-4</c:v>
                </c:pt>
                <c:pt idx="53">
                  <c:v>6.1889081950327685E-4</c:v>
                </c:pt>
                <c:pt idx="54">
                  <c:v>6.2183089134627909E-4</c:v>
                </c:pt>
                <c:pt idx="55">
                  <c:v>6.2463453708412728E-4</c:v>
                </c:pt>
                <c:pt idx="56">
                  <c:v>6.2730175671682194E-4</c:v>
                </c:pt>
                <c:pt idx="57">
                  <c:v>6.3448485898398186E-4</c:v>
                </c:pt>
                <c:pt idx="58">
                  <c:v>6.3660637419606092E-4</c:v>
                </c:pt>
                <c:pt idx="59">
                  <c:v>6.3859146330298602E-4</c:v>
                </c:pt>
                <c:pt idx="60">
                  <c:v>6.4044012630475695E-4</c:v>
                </c:pt>
                <c:pt idx="61">
                  <c:v>6.4215236320137436E-4</c:v>
                </c:pt>
                <c:pt idx="62">
                  <c:v>6.4647051726030296E-4</c:v>
                </c:pt>
                <c:pt idx="63">
                  <c:v>6.4763704973630465E-4</c:v>
                </c:pt>
                <c:pt idx="64">
                  <c:v>6.4866715610715272E-4</c:v>
                </c:pt>
                <c:pt idx="65">
                  <c:v>6.4956083637284694E-4</c:v>
                </c:pt>
                <c:pt idx="66">
                  <c:v>6.5031809053338688E-4</c:v>
                </c:pt>
                <c:pt idx="67">
                  <c:v>6.5177129638408404E-4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386944"/>
        <c:axId val="578388736"/>
      </c:lineChart>
      <c:dateAx>
        <c:axId val="57838694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7838873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57838873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78386944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cat>
          <c:val>
            <c:numRef>
              <c:f>'1MSynthDepo_allScenario'!$BM$6:$BM$135</c:f>
              <c:numCache>
                <c:formatCode>0.0000%</c:formatCode>
                <c:ptCount val="130"/>
                <c:pt idx="0">
                  <c:v>5.7748706527217494E-4</c:v>
                </c:pt>
                <c:pt idx="1">
                  <c:v>5.7778867223339935E-4</c:v>
                </c:pt>
                <c:pt idx="2">
                  <c:v>5.786934931170727E-4</c:v>
                </c:pt>
                <c:pt idx="3">
                  <c:v>5.7899510007829711E-4</c:v>
                </c:pt>
                <c:pt idx="4">
                  <c:v>5.7929670703952153E-4</c:v>
                </c:pt>
                <c:pt idx="5">
                  <c:v>5.7959831400074594E-4</c:v>
                </c:pt>
                <c:pt idx="6">
                  <c:v>5.7989992096197035E-4</c:v>
                </c:pt>
                <c:pt idx="7">
                  <c:v>5.808047418456437E-4</c:v>
                </c:pt>
                <c:pt idx="8">
                  <c:v>5.8110634880686812E-4</c:v>
                </c:pt>
                <c:pt idx="9">
                  <c:v>5.8140795576809253E-4</c:v>
                </c:pt>
                <c:pt idx="10">
                  <c:v>5.8170956272931694E-4</c:v>
                </c:pt>
                <c:pt idx="11">
                  <c:v>5.8201116969054147E-4</c:v>
                </c:pt>
                <c:pt idx="12">
                  <c:v>5.8291599057421471E-4</c:v>
                </c:pt>
                <c:pt idx="13">
                  <c:v>5.8321759753543912E-4</c:v>
                </c:pt>
                <c:pt idx="14">
                  <c:v>5.8351920449666364E-4</c:v>
                </c:pt>
                <c:pt idx="15">
                  <c:v>5.8382081145788806E-4</c:v>
                </c:pt>
                <c:pt idx="16">
                  <c:v>5.8412241841911247E-4</c:v>
                </c:pt>
                <c:pt idx="17">
                  <c:v>5.8502723930278571E-4</c:v>
                </c:pt>
                <c:pt idx="18">
                  <c:v>5.8532884626401023E-4</c:v>
                </c:pt>
                <c:pt idx="19">
                  <c:v>5.8563045322523465E-4</c:v>
                </c:pt>
                <c:pt idx="20">
                  <c:v>5.8593206018645906E-4</c:v>
                </c:pt>
                <c:pt idx="21">
                  <c:v>5.8623366714768347E-4</c:v>
                </c:pt>
                <c:pt idx="22">
                  <c:v>5.8713848803135682E-4</c:v>
                </c:pt>
                <c:pt idx="23">
                  <c:v>5.8744009499258124E-4</c:v>
                </c:pt>
                <c:pt idx="24">
                  <c:v>5.8774170195380565E-4</c:v>
                </c:pt>
                <c:pt idx="25">
                  <c:v>5.8804330891503007E-4</c:v>
                </c:pt>
                <c:pt idx="26">
                  <c:v>5.8834491587625448E-4</c:v>
                </c:pt>
                <c:pt idx="27">
                  <c:v>5.8924973675992783E-4</c:v>
                </c:pt>
                <c:pt idx="28">
                  <c:v>5.8955134372115224E-4</c:v>
                </c:pt>
                <c:pt idx="29">
                  <c:v>5.8985295068237666E-4</c:v>
                </c:pt>
                <c:pt idx="30">
                  <c:v>5.9015455764360107E-4</c:v>
                </c:pt>
                <c:pt idx="31">
                  <c:v>5.9045616460482559E-4</c:v>
                </c:pt>
                <c:pt idx="32">
                  <c:v>5.9136098548849883E-4</c:v>
                </c:pt>
                <c:pt idx="33">
                  <c:v>5.9166259244972325E-4</c:v>
                </c:pt>
                <c:pt idx="34">
                  <c:v>5.9196419941094777E-4</c:v>
                </c:pt>
                <c:pt idx="35">
                  <c:v>5.9226580637217218E-4</c:v>
                </c:pt>
                <c:pt idx="36">
                  <c:v>5.925674133333966E-4</c:v>
                </c:pt>
                <c:pt idx="37">
                  <c:v>5.9347223421706984E-4</c:v>
                </c:pt>
                <c:pt idx="38">
                  <c:v>5.9377384117829436E-4</c:v>
                </c:pt>
                <c:pt idx="39">
                  <c:v>5.9407544813951877E-4</c:v>
                </c:pt>
                <c:pt idx="40">
                  <c:v>5.9437705510074319E-4</c:v>
                </c:pt>
                <c:pt idx="41">
                  <c:v>5.946786620619676E-4</c:v>
                </c:pt>
                <c:pt idx="42">
                  <c:v>5.9558348294564095E-4</c:v>
                </c:pt>
                <c:pt idx="43">
                  <c:v>5.9588508990686536E-4</c:v>
                </c:pt>
                <c:pt idx="44">
                  <c:v>5.9618669686808978E-4</c:v>
                </c:pt>
                <c:pt idx="45">
                  <c:v>5.9648830382931419E-4</c:v>
                </c:pt>
                <c:pt idx="46">
                  <c:v>5.967899107905386E-4</c:v>
                </c:pt>
                <c:pt idx="47">
                  <c:v>5.9769473167421195E-4</c:v>
                </c:pt>
                <c:pt idx="48">
                  <c:v>5.9799633863543637E-4</c:v>
                </c:pt>
                <c:pt idx="49">
                  <c:v>5.9829794559666078E-4</c:v>
                </c:pt>
                <c:pt idx="50">
                  <c:v>5.985995525578852E-4</c:v>
                </c:pt>
                <c:pt idx="51">
                  <c:v>5.9890115951910972E-4</c:v>
                </c:pt>
                <c:pt idx="52">
                  <c:v>5.9980598040278296E-4</c:v>
                </c:pt>
                <c:pt idx="53">
                  <c:v>6.0010758736400737E-4</c:v>
                </c:pt>
                <c:pt idx="54">
                  <c:v>6.0040919432523179E-4</c:v>
                </c:pt>
                <c:pt idx="55">
                  <c:v>6.0071080128645631E-4</c:v>
                </c:pt>
                <c:pt idx="56">
                  <c:v>6.0101240824768072E-4</c:v>
                </c:pt>
                <c:pt idx="57">
                  <c:v>6.0191722913135396E-4</c:v>
                </c:pt>
                <c:pt idx="58">
                  <c:v>6.0221883609257849E-4</c:v>
                </c:pt>
                <c:pt idx="59">
                  <c:v>6.025204430538029E-4</c:v>
                </c:pt>
                <c:pt idx="60">
                  <c:v>6.0282205001502731E-4</c:v>
                </c:pt>
                <c:pt idx="61">
                  <c:v>6.0312365697625173E-4</c:v>
                </c:pt>
                <c:pt idx="62">
                  <c:v>6.0402847785992508E-4</c:v>
                </c:pt>
                <c:pt idx="63">
                  <c:v>6.0433008482114949E-4</c:v>
                </c:pt>
                <c:pt idx="64">
                  <c:v>6.046316917823739E-4</c:v>
                </c:pt>
                <c:pt idx="65">
                  <c:v>6.0493329874359832E-4</c:v>
                </c:pt>
                <c:pt idx="66">
                  <c:v>6.0523490570482273E-4</c:v>
                </c:pt>
                <c:pt idx="67">
                  <c:v>6.0613972658849608E-4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cat>
          <c:val>
            <c:numRef>
              <c:f>'1MSynthDepo_allScenario'!$BN$6:$BN$135</c:f>
              <c:numCache>
                <c:formatCode>0.0000%</c:formatCode>
                <c:ptCount val="130"/>
                <c:pt idx="0">
                  <c:v>7.1319801622629761E-4</c:v>
                </c:pt>
                <c:pt idx="1">
                  <c:v>7.070564169404435E-4</c:v>
                </c:pt>
                <c:pt idx="2">
                  <c:v>6.892608097418218E-4</c:v>
                </c:pt>
                <c:pt idx="3">
                  <c:v>6.8353867089526125E-4</c:v>
                </c:pt>
                <c:pt idx="4">
                  <c:v>6.7792139715852412E-4</c:v>
                </c:pt>
                <c:pt idx="5">
                  <c:v>6.724089885316104E-4</c:v>
                </c:pt>
                <c:pt idx="6">
                  <c:v>6.6700144501451999E-4</c:v>
                </c:pt>
                <c:pt idx="7">
                  <c:v>6.5140800512218904E-4</c:v>
                </c:pt>
                <c:pt idx="8">
                  <c:v>6.4641992204439208E-4</c:v>
                </c:pt>
                <c:pt idx="9">
                  <c:v>6.4153670407641875E-4</c:v>
                </c:pt>
                <c:pt idx="10">
                  <c:v>6.3675835121826852E-4</c:v>
                </c:pt>
                <c:pt idx="11">
                  <c:v>6.3208486346994191E-4</c:v>
                </c:pt>
                <c:pt idx="12">
                  <c:v>6.1869359088390194E-4</c:v>
                </c:pt>
                <c:pt idx="13">
                  <c:v>6.1443956357486867E-4</c:v>
                </c:pt>
                <c:pt idx="14">
                  <c:v>6.1029040137565882E-4</c:v>
                </c:pt>
                <c:pt idx="15">
                  <c:v>6.0624610428627228E-4</c:v>
                </c:pt>
                <c:pt idx="16">
                  <c:v>6.0230667230670915E-4</c:v>
                </c:pt>
                <c:pt idx="17">
                  <c:v>5.9111756702696016E-4</c:v>
                </c:pt>
                <c:pt idx="18">
                  <c:v>5.8759759548669059E-4</c:v>
                </c:pt>
                <c:pt idx="19">
                  <c:v>5.8418248905624433E-4</c:v>
                </c:pt>
                <c:pt idx="20">
                  <c:v>5.8087224773562148E-4</c:v>
                </c:pt>
                <c:pt idx="21">
                  <c:v>5.7766687152482205E-4</c:v>
                </c:pt>
                <c:pt idx="22">
                  <c:v>5.6867993355136403E-4</c:v>
                </c:pt>
                <c:pt idx="23">
                  <c:v>5.6589401777985804E-4</c:v>
                </c:pt>
                <c:pt idx="24">
                  <c:v>5.6321296711817547E-4</c:v>
                </c:pt>
                <c:pt idx="25">
                  <c:v>5.6063678156631621E-4</c:v>
                </c:pt>
                <c:pt idx="26">
                  <c:v>5.5816546112428048E-4</c:v>
                </c:pt>
                <c:pt idx="27">
                  <c:v>5.5138069045711333E-4</c:v>
                </c:pt>
                <c:pt idx="28">
                  <c:v>5.4932883045437093E-4</c:v>
                </c:pt>
                <c:pt idx="29">
                  <c:v>5.4738183556145206E-4</c:v>
                </c:pt>
                <c:pt idx="30">
                  <c:v>5.4553970577835649E-4</c:v>
                </c:pt>
                <c:pt idx="31">
                  <c:v>5.4380244110508434E-4</c:v>
                </c:pt>
                <c:pt idx="32">
                  <c:v>5.3921983774420806E-4</c:v>
                </c:pt>
                <c:pt idx="33">
                  <c:v>5.3790203351022946E-4</c:v>
                </c:pt>
                <c:pt idx="34">
                  <c:v>5.3668909438607418E-4</c:v>
                </c:pt>
                <c:pt idx="35">
                  <c:v>5.3558102037174231E-4</c:v>
                </c:pt>
                <c:pt idx="36">
                  <c:v>5.3457781146723374E-4</c:v>
                </c:pt>
                <c:pt idx="37">
                  <c:v>5.3219737541264844E-4</c:v>
                </c:pt>
                <c:pt idx="38">
                  <c:v>5.3161362694743343E-4</c:v>
                </c:pt>
                <c:pt idx="39">
                  <c:v>5.3113474359204173E-4</c:v>
                </c:pt>
                <c:pt idx="40">
                  <c:v>5.3076072534647344E-4</c:v>
                </c:pt>
                <c:pt idx="41">
                  <c:v>5.3049157221072857E-4</c:v>
                </c:pt>
                <c:pt idx="42">
                  <c:v>5.3031330346243425E-4</c:v>
                </c:pt>
                <c:pt idx="43">
                  <c:v>5.3046361076598283E-4</c:v>
                </c:pt>
                <c:pt idx="44">
                  <c:v>5.3071878317935482E-4</c:v>
                </c:pt>
                <c:pt idx="45">
                  <c:v>5.3107882070255023E-4</c:v>
                </c:pt>
                <c:pt idx="46">
                  <c:v>5.3154372333556895E-4</c:v>
                </c:pt>
                <c:pt idx="47">
                  <c:v>5.3356762189356549E-4</c:v>
                </c:pt>
                <c:pt idx="48">
                  <c:v>5.3445198496587776E-4</c:v>
                </c:pt>
                <c:pt idx="49">
                  <c:v>5.3544121314801345E-4</c:v>
                </c:pt>
                <c:pt idx="50">
                  <c:v>5.3653530643997245E-4</c:v>
                </c:pt>
                <c:pt idx="51">
                  <c:v>5.3773426484175486E-4</c:v>
                </c:pt>
                <c:pt idx="52">
                  <c:v>5.4196033070604227E-4</c:v>
                </c:pt>
                <c:pt idx="53">
                  <c:v>5.4357874954711824E-4</c:v>
                </c:pt>
                <c:pt idx="54">
                  <c:v>5.4530203349801752E-4</c:v>
                </c:pt>
                <c:pt idx="55">
                  <c:v>5.4713018255874021E-4</c:v>
                </c:pt>
                <c:pt idx="56">
                  <c:v>5.4906319672928632E-4</c:v>
                </c:pt>
                <c:pt idx="57">
                  <c:v>5.5549142989986459E-4</c:v>
                </c:pt>
                <c:pt idx="58">
                  <c:v>5.5784390450970426E-4</c:v>
                </c:pt>
                <c:pt idx="59">
                  <c:v>5.6030124422936712E-4</c:v>
                </c:pt>
                <c:pt idx="60">
                  <c:v>5.6286344905885351E-4</c:v>
                </c:pt>
                <c:pt idx="61">
                  <c:v>5.6553051899816309E-4</c:v>
                </c:pt>
                <c:pt idx="62">
                  <c:v>5.7416091947503235E-4</c:v>
                </c:pt>
                <c:pt idx="63">
                  <c:v>5.772474498536356E-4</c:v>
                </c:pt>
                <c:pt idx="64">
                  <c:v>5.8043884534206215E-4</c:v>
                </c:pt>
                <c:pt idx="65">
                  <c:v>5.8373510594031223E-4</c:v>
                </c:pt>
                <c:pt idx="66">
                  <c:v>5.8713623164838541E-4</c:v>
                </c:pt>
                <c:pt idx="67">
                  <c:v>5.9796879943154586E-4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cat>
          <c:val>
            <c:numRef>
              <c:f>'1MSynthDepo_allScenario'!$BO$6:$BO$135</c:f>
              <c:numCache>
                <c:formatCode>0.0000%</c:formatCode>
                <c:ptCount val="130"/>
                <c:pt idx="0">
                  <c:v>3.6834731619110752E-4</c:v>
                </c:pt>
                <c:pt idx="1">
                  <c:v>3.7104182645989728E-4</c:v>
                </c:pt>
                <c:pt idx="2">
                  <c:v>3.791253572662665E-4</c:v>
                </c:pt>
                <c:pt idx="3">
                  <c:v>3.818198675350562E-4</c:v>
                </c:pt>
                <c:pt idx="4">
                  <c:v>3.8451437780384596E-4</c:v>
                </c:pt>
                <c:pt idx="5">
                  <c:v>3.8720888807263572E-4</c:v>
                </c:pt>
                <c:pt idx="6">
                  <c:v>3.8990339834142542E-4</c:v>
                </c:pt>
                <c:pt idx="7">
                  <c:v>3.9798692914779464E-4</c:v>
                </c:pt>
                <c:pt idx="8">
                  <c:v>4.006814394165844E-4</c:v>
                </c:pt>
                <c:pt idx="9">
                  <c:v>4.0337594968537416E-4</c:v>
                </c:pt>
                <c:pt idx="10">
                  <c:v>4.0607045995416386E-4</c:v>
                </c:pt>
                <c:pt idx="11">
                  <c:v>4.0876497022295362E-4</c:v>
                </c:pt>
                <c:pt idx="12">
                  <c:v>4.1684850102932284E-4</c:v>
                </c:pt>
                <c:pt idx="13">
                  <c:v>4.195430112981126E-4</c:v>
                </c:pt>
                <c:pt idx="14">
                  <c:v>4.222375215669023E-4</c:v>
                </c:pt>
                <c:pt idx="15">
                  <c:v>4.2493203183569206E-4</c:v>
                </c:pt>
                <c:pt idx="16">
                  <c:v>4.2762654210448182E-4</c:v>
                </c:pt>
                <c:pt idx="17">
                  <c:v>4.3571007291085104E-4</c:v>
                </c:pt>
                <c:pt idx="18">
                  <c:v>4.3840458317964074E-4</c:v>
                </c:pt>
                <c:pt idx="19">
                  <c:v>4.410990934484305E-4</c:v>
                </c:pt>
                <c:pt idx="20">
                  <c:v>4.4379360371722026E-4</c:v>
                </c:pt>
                <c:pt idx="21">
                  <c:v>4.4648811398600996E-4</c:v>
                </c:pt>
                <c:pt idx="22">
                  <c:v>4.5457164479237918E-4</c:v>
                </c:pt>
                <c:pt idx="23">
                  <c:v>4.5726615506116894E-4</c:v>
                </c:pt>
                <c:pt idx="24">
                  <c:v>4.599606653299587E-4</c:v>
                </c:pt>
                <c:pt idx="25">
                  <c:v>4.626551755987484E-4</c:v>
                </c:pt>
                <c:pt idx="26">
                  <c:v>4.6534968586753816E-4</c:v>
                </c:pt>
                <c:pt idx="27">
                  <c:v>4.7343321667390738E-4</c:v>
                </c:pt>
                <c:pt idx="28">
                  <c:v>4.7612772694269708E-4</c:v>
                </c:pt>
                <c:pt idx="29">
                  <c:v>4.7882223721148684E-4</c:v>
                </c:pt>
                <c:pt idx="30">
                  <c:v>4.815167474802766E-4</c:v>
                </c:pt>
                <c:pt idx="31">
                  <c:v>4.8421125774906636E-4</c:v>
                </c:pt>
                <c:pt idx="32">
                  <c:v>4.9229478855543547E-4</c:v>
                </c:pt>
                <c:pt idx="33">
                  <c:v>4.9498929882422528E-4</c:v>
                </c:pt>
                <c:pt idx="34">
                  <c:v>4.9768380909301498E-4</c:v>
                </c:pt>
                <c:pt idx="35">
                  <c:v>5.0037831936180469E-4</c:v>
                </c:pt>
                <c:pt idx="36">
                  <c:v>5.030728296305945E-4</c:v>
                </c:pt>
                <c:pt idx="37">
                  <c:v>5.1115636043696372E-4</c:v>
                </c:pt>
                <c:pt idx="38">
                  <c:v>5.1385087070575342E-4</c:v>
                </c:pt>
                <c:pt idx="39">
                  <c:v>5.1654538097454324E-4</c:v>
                </c:pt>
                <c:pt idx="40">
                  <c:v>5.1923989124333294E-4</c:v>
                </c:pt>
                <c:pt idx="41">
                  <c:v>5.2193440151212264E-4</c:v>
                </c:pt>
                <c:pt idx="42">
                  <c:v>5.3001793231849186E-4</c:v>
                </c:pt>
                <c:pt idx="43">
                  <c:v>5.3271244258728168E-4</c:v>
                </c:pt>
                <c:pt idx="44">
                  <c:v>5.3540695285607138E-4</c:v>
                </c:pt>
                <c:pt idx="45">
                  <c:v>5.3810146312486108E-4</c:v>
                </c:pt>
                <c:pt idx="46">
                  <c:v>5.4079597339365089E-4</c:v>
                </c:pt>
                <c:pt idx="47">
                  <c:v>5.4887950420002011E-4</c:v>
                </c:pt>
                <c:pt idx="48">
                  <c:v>5.5157401446880982E-4</c:v>
                </c:pt>
                <c:pt idx="49">
                  <c:v>5.5426852473759963E-4</c:v>
                </c:pt>
                <c:pt idx="50">
                  <c:v>5.5696303500638933E-4</c:v>
                </c:pt>
                <c:pt idx="51">
                  <c:v>5.5965754527517904E-4</c:v>
                </c:pt>
                <c:pt idx="52">
                  <c:v>5.6774107608154826E-4</c:v>
                </c:pt>
                <c:pt idx="53">
                  <c:v>5.7043558635033796E-4</c:v>
                </c:pt>
                <c:pt idx="54">
                  <c:v>5.7313009661912767E-4</c:v>
                </c:pt>
                <c:pt idx="55">
                  <c:v>5.7582460688791748E-4</c:v>
                </c:pt>
                <c:pt idx="56">
                  <c:v>5.7851911715670718E-4</c:v>
                </c:pt>
                <c:pt idx="57">
                  <c:v>5.866026479630764E-4</c:v>
                </c:pt>
                <c:pt idx="58">
                  <c:v>5.8929715823186611E-4</c:v>
                </c:pt>
                <c:pt idx="59">
                  <c:v>5.9199166850065592E-4</c:v>
                </c:pt>
                <c:pt idx="60">
                  <c:v>5.9468617876944562E-4</c:v>
                </c:pt>
                <c:pt idx="61">
                  <c:v>5.9738068903823533E-4</c:v>
                </c:pt>
                <c:pt idx="62">
                  <c:v>6.0546421984460455E-4</c:v>
                </c:pt>
                <c:pt idx="63">
                  <c:v>6.0815873011339436E-4</c:v>
                </c:pt>
                <c:pt idx="64">
                  <c:v>6.1085324038218406E-4</c:v>
                </c:pt>
                <c:pt idx="65">
                  <c:v>6.1354775065097377E-4</c:v>
                </c:pt>
                <c:pt idx="66">
                  <c:v>6.1624226091976358E-4</c:v>
                </c:pt>
                <c:pt idx="67">
                  <c:v>6.243257917261328E-4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</c:numCache>
            </c:numRef>
          </c:cat>
          <c:val>
            <c:numRef>
              <c:f>'1MSynthDepo_allScenario'!$BP$6:$BP$135</c:f>
              <c:numCache>
                <c:formatCode>0.0000%</c:formatCode>
                <c:ptCount val="130"/>
                <c:pt idx="0">
                  <c:v>-1.1126563684124942E-5</c:v>
                </c:pt>
                <c:pt idx="1">
                  <c:v>2.4349740722177852E-6</c:v>
                </c:pt>
                <c:pt idx="2">
                  <c:v>4.2280071820177337E-5</c:v>
                </c:pt>
                <c:pt idx="3">
                  <c:v>5.5281932562474293E-5</c:v>
                </c:pt>
                <c:pt idx="4">
                  <c:v>6.8143874051259837E-5</c:v>
                </c:pt>
                <c:pt idx="5">
                  <c:v>8.0865896286533929E-5</c:v>
                </c:pt>
                <c:pt idx="6">
                  <c:v>9.3447999268296583E-5</c:v>
                </c:pt>
                <c:pt idx="7">
                  <c:v>1.3035479269251594E-4</c:v>
                </c:pt>
                <c:pt idx="8">
                  <c:v>1.4237721866023283E-4</c:v>
                </c:pt>
                <c:pt idx="9">
                  <c:v>1.5425972537443826E-4</c:v>
                </c:pt>
                <c:pt idx="10">
                  <c:v>1.6600231283513231E-4</c:v>
                </c:pt>
                <c:pt idx="11">
                  <c:v>1.7760498104231492E-4</c:v>
                </c:pt>
                <c:pt idx="12">
                  <c:v>2.1157347014279406E-4</c:v>
                </c:pt>
                <c:pt idx="13">
                  <c:v>2.2261646133593083E-4</c:v>
                </c:pt>
                <c:pt idx="14">
                  <c:v>2.3351953327555619E-4</c:v>
                </c:pt>
                <c:pt idx="15">
                  <c:v>2.4428268596167013E-4</c:v>
                </c:pt>
                <c:pt idx="16">
                  <c:v>2.5490591939427272E-4</c:v>
                </c:pt>
                <c:pt idx="17">
                  <c:v>2.8593610417101164E-4</c:v>
                </c:pt>
                <c:pt idx="18">
                  <c:v>2.9599966058956831E-4</c:v>
                </c:pt>
                <c:pt idx="19">
                  <c:v>3.0592329775461365E-4</c:v>
                </c:pt>
                <c:pt idx="20">
                  <c:v>3.1570701566614756E-4</c:v>
                </c:pt>
                <c:pt idx="21">
                  <c:v>3.2535081432417002E-4</c:v>
                </c:pt>
                <c:pt idx="22">
                  <c:v>3.5344269477716867E-4</c:v>
                </c:pt>
                <c:pt idx="23">
                  <c:v>3.6252681642114537E-4</c:v>
                </c:pt>
                <c:pt idx="24">
                  <c:v>3.7147101881161064E-4</c:v>
                </c:pt>
                <c:pt idx="25">
                  <c:v>3.8027530194856447E-4</c:v>
                </c:pt>
                <c:pt idx="26">
                  <c:v>3.8893966583200681E-4</c:v>
                </c:pt>
                <c:pt idx="27">
                  <c:v>4.1409324196126535E-4</c:v>
                </c:pt>
                <c:pt idx="28">
                  <c:v>4.2219792883066182E-4</c:v>
                </c:pt>
                <c:pt idx="29">
                  <c:v>4.3016269644654707E-4</c:v>
                </c:pt>
                <c:pt idx="30">
                  <c:v>4.3798754480892078E-4</c:v>
                </c:pt>
                <c:pt idx="31">
                  <c:v>4.4567247391778315E-4</c:v>
                </c:pt>
                <c:pt idx="32">
                  <c:v>4.6788774572330142E-4</c:v>
                </c:pt>
                <c:pt idx="33">
                  <c:v>4.7501299781811792E-4</c:v>
                </c:pt>
                <c:pt idx="34">
                  <c:v>4.8199833065942305E-4</c:v>
                </c:pt>
                <c:pt idx="35">
                  <c:v>4.8884374424721668E-4</c:v>
                </c:pt>
                <c:pt idx="36">
                  <c:v>4.9554923858149893E-4</c:v>
                </c:pt>
                <c:pt idx="37">
                  <c:v>5.1482620606327692E-4</c:v>
                </c:pt>
                <c:pt idx="38">
                  <c:v>5.2097202338351341E-4</c:v>
                </c:pt>
                <c:pt idx="39">
                  <c:v>5.2697792145023846E-4</c:v>
                </c:pt>
                <c:pt idx="40">
                  <c:v>5.3284390026345208E-4</c:v>
                </c:pt>
                <c:pt idx="41">
                  <c:v>5.3856995982315425E-4</c:v>
                </c:pt>
                <c:pt idx="42">
                  <c:v>5.5490862298119203E-4</c:v>
                </c:pt>
                <c:pt idx="43">
                  <c:v>5.6007500552684845E-4</c:v>
                </c:pt>
                <c:pt idx="44">
                  <c:v>5.6510146881899332E-4</c:v>
                </c:pt>
                <c:pt idx="45">
                  <c:v>5.6998801285762686E-4</c:v>
                </c:pt>
                <c:pt idx="46">
                  <c:v>5.7473463764274907E-4</c:v>
                </c:pt>
                <c:pt idx="47">
                  <c:v>5.8813499647704663E-4</c:v>
                </c:pt>
                <c:pt idx="48">
                  <c:v>5.9232194424812298E-4</c:v>
                </c:pt>
                <c:pt idx="49">
                  <c:v>5.9636897276568789E-4</c:v>
                </c:pt>
                <c:pt idx="50">
                  <c:v>6.0027608202974135E-4</c:v>
                </c:pt>
                <c:pt idx="51">
                  <c:v>6.0404327204028338E-4</c:v>
                </c:pt>
                <c:pt idx="52">
                  <c:v>6.1450532655084084E-4</c:v>
                </c:pt>
                <c:pt idx="53">
                  <c:v>6.1771283954733711E-4</c:v>
                </c:pt>
                <c:pt idx="54">
                  <c:v>6.2078043329032184E-4</c:v>
                </c:pt>
                <c:pt idx="55">
                  <c:v>6.2370810777979523E-4</c:v>
                </c:pt>
                <c:pt idx="56">
                  <c:v>6.264958630157573E-4</c:v>
                </c:pt>
                <c:pt idx="57">
                  <c:v>6.3401961320257421E-4</c:v>
                </c:pt>
                <c:pt idx="58">
                  <c:v>6.3624769142449052E-4</c:v>
                </c:pt>
                <c:pt idx="59">
                  <c:v>6.3833585039289528E-4</c:v>
                </c:pt>
                <c:pt idx="60">
                  <c:v>6.402840901077885E-4</c:v>
                </c:pt>
                <c:pt idx="61">
                  <c:v>6.4209241056917049E-4</c:v>
                </c:pt>
                <c:pt idx="62">
                  <c:v>6.4667785643224751E-4</c:v>
                </c:pt>
                <c:pt idx="63">
                  <c:v>6.4792649987958364E-4</c:v>
                </c:pt>
                <c:pt idx="64">
                  <c:v>6.4903522407340822E-4</c:v>
                </c:pt>
                <c:pt idx="65">
                  <c:v>6.5000402901372136E-4</c:v>
                </c:pt>
                <c:pt idx="66">
                  <c:v>6.5083291470052339E-4</c:v>
                </c:pt>
                <c:pt idx="67">
                  <c:v>6.5248005623985998E-4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'1MSynthDepo_allScenario'!$BQ$5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val>
            <c:numRef>
              <c:f>'1MSynthDepo_allScenario'!$BQ$6:$BQ$135</c:f>
              <c:numCache>
                <c:formatCode>0.0000%</c:formatCode>
                <c:ptCount val="130"/>
                <c:pt idx="0">
                  <c:v>9.851375372000096E-4</c:v>
                </c:pt>
                <c:pt idx="1">
                  <c:v>9.5442380053304234E-4</c:v>
                </c:pt>
                <c:pt idx="2">
                  <c:v>8.6878538327036451E-4</c:v>
                </c:pt>
                <c:pt idx="3">
                  <c:v>8.4235239306385912E-4</c:v>
                </c:pt>
                <c:pt idx="4">
                  <c:v>8.1694875294870356E-4</c:v>
                </c:pt>
                <c:pt idx="5">
                  <c:v>7.9255812831539136E-4</c:v>
                </c:pt>
                <c:pt idx="6">
                  <c:v>7.6916418455441659E-4</c:v>
                </c:pt>
                <c:pt idx="7">
                  <c:v>7.0479909241045276E-4</c:v>
                </c:pt>
                <c:pt idx="8">
                  <c:v>6.8522852604376429E-4</c:v>
                </c:pt>
                <c:pt idx="9">
                  <c:v>6.665729675018816E-4</c:v>
                </c:pt>
                <c:pt idx="10">
                  <c:v>6.4881608217529855E-4</c:v>
                </c:pt>
                <c:pt idx="11">
                  <c:v>6.3194153545450887E-4</c:v>
                </c:pt>
                <c:pt idx="12">
                  <c:v>5.864485808318371E-4</c:v>
                </c:pt>
                <c:pt idx="13">
                  <c:v>5.7294004243915795E-4</c:v>
                </c:pt>
                <c:pt idx="14">
                  <c:v>5.6023216960474098E-4</c:v>
                </c:pt>
                <c:pt idx="15">
                  <c:v>5.4830862771907958E-4</c:v>
                </c:pt>
                <c:pt idx="16">
                  <c:v>5.3715308217266772E-4</c:v>
                </c:pt>
                <c:pt idx="17">
                  <c:v>5.0813107747386585E-4</c:v>
                </c:pt>
                <c:pt idx="18">
                  <c:v>4.9988417118938897E-4</c:v>
                </c:pt>
                <c:pt idx="19">
                  <c:v>4.923235881966301E-4</c:v>
                </c:pt>
                <c:pt idx="20">
                  <c:v>4.8543299388608313E-4</c:v>
                </c:pt>
                <c:pt idx="21">
                  <c:v>4.791960536482417E-4</c:v>
                </c:pt>
                <c:pt idx="22">
                  <c:v>4.6424381127588759E-4</c:v>
                </c:pt>
                <c:pt idx="23">
                  <c:v>4.6045814123380559E-4</c:v>
                </c:pt>
                <c:pt idx="24">
                  <c:v>4.5724445221689781E-4</c:v>
                </c:pt>
                <c:pt idx="25">
                  <c:v>4.5458640961565779E-4</c:v>
                </c:pt>
                <c:pt idx="26">
                  <c:v>4.5246767882057941E-4</c:v>
                </c:pt>
                <c:pt idx="27">
                  <c:v>4.4918401117725139E-4</c:v>
                </c:pt>
                <c:pt idx="28">
                  <c:v>4.4905918151175682E-4</c:v>
                </c:pt>
                <c:pt idx="29">
                  <c:v>4.4939199060489243E-4</c:v>
                </c:pt>
                <c:pt idx="30">
                  <c:v>4.5016610384715201E-4</c:v>
                </c:pt>
                <c:pt idx="31">
                  <c:v>4.5136518662902952E-4</c:v>
                </c:pt>
                <c:pt idx="32">
                  <c:v>4.5734890611730505E-4</c:v>
                </c:pt>
                <c:pt idx="33">
                  <c:v>4.6008452096259092E-4</c:v>
                </c:pt>
                <c:pt idx="34">
                  <c:v>4.631634322999627E-4</c:v>
                </c:pt>
                <c:pt idx="35">
                  <c:v>4.6656930551991461E-4</c:v>
                </c:pt>
                <c:pt idx="36">
                  <c:v>4.7028580601294039E-4</c:v>
                </c:pt>
                <c:pt idx="37">
                  <c:v>4.8313572503539792E-4</c:v>
                </c:pt>
                <c:pt idx="38">
                  <c:v>4.8793138852565624E-4</c:v>
                </c:pt>
                <c:pt idx="39">
                  <c:v>4.9295600624145691E-4</c:v>
                </c:pt>
                <c:pt idx="40">
                  <c:v>4.9819324357329377E-4</c:v>
                </c:pt>
                <c:pt idx="41">
                  <c:v>5.0362676591166077E-4</c:v>
                </c:pt>
                <c:pt idx="42">
                  <c:v>5.2094169687087787E-4</c:v>
                </c:pt>
                <c:pt idx="43">
                  <c:v>5.2699701314030142E-4</c:v>
                </c:pt>
                <c:pt idx="44">
                  <c:v>5.3316694136872381E-4</c:v>
                </c:pt>
                <c:pt idx="45">
                  <c:v>5.3943514694663845E-4</c:v>
                </c:pt>
                <c:pt idx="46">
                  <c:v>5.4578529526453886E-4</c:v>
                </c:pt>
                <c:pt idx="47">
                  <c:v>5.6516405056309402E-4</c:v>
                </c:pt>
                <c:pt idx="48">
                  <c:v>5.7167862374587596E-4</c:v>
                </c:pt>
                <c:pt idx="49">
                  <c:v>5.7819346662111269E-4</c:v>
                </c:pt>
                <c:pt idx="50">
                  <c:v>5.8469224457929729E-4</c:v>
                </c:pt>
                <c:pt idx="51">
                  <c:v>5.9115862301092426E-4</c:v>
                </c:pt>
                <c:pt idx="52">
                  <c:v>6.1020001505139457E-4</c:v>
                </c:pt>
                <c:pt idx="53">
                  <c:v>6.1637344928172741E-4</c:v>
                </c:pt>
                <c:pt idx="54">
                  <c:v>6.2243281093797044E-4</c:v>
                </c:pt>
                <c:pt idx="55">
                  <c:v>6.2836176541061837E-4</c:v>
                </c:pt>
                <c:pt idx="56">
                  <c:v>6.3414397809016441E-4</c:v>
                </c:pt>
                <c:pt idx="57">
                  <c:v>6.5044681927512891E-4</c:v>
                </c:pt>
                <c:pt idx="58">
                  <c:v>6.5547871868720429E-4</c:v>
                </c:pt>
                <c:pt idx="59">
                  <c:v>6.6028220325864699E-4</c:v>
                </c:pt>
                <c:pt idx="60">
                  <c:v>6.6484093837995066E-4</c:v>
                </c:pt>
                <c:pt idx="61">
                  <c:v>6.6913858944160805E-4</c:v>
                </c:pt>
                <c:pt idx="62">
                  <c:v>6.8030169217364448E-4</c:v>
                </c:pt>
                <c:pt idx="63">
                  <c:v>6.8339166090165587E-4</c:v>
                </c:pt>
                <c:pt idx="64">
                  <c:v>6.8613887252249109E-4</c:v>
                </c:pt>
                <c:pt idx="65">
                  <c:v>6.8852699242664224E-4</c:v>
                </c:pt>
                <c:pt idx="66">
                  <c:v>6.9053968600460381E-4</c:v>
                </c:pt>
                <c:pt idx="67">
                  <c:v>6.9416186268628916E-4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421120"/>
        <c:axId val="578422656"/>
      </c:lineChart>
      <c:dateAx>
        <c:axId val="5784211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7842265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57842265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784211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57149</xdr:rowOff>
    </xdr:from>
    <xdr:to>
      <xdr:col>15</xdr:col>
      <xdr:colOff>104775</xdr:colOff>
      <xdr:row>50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51</xdr:row>
      <xdr:rowOff>38100</xdr:rowOff>
    </xdr:from>
    <xdr:to>
      <xdr:col>15</xdr:col>
      <xdr:colOff>104775</xdr:colOff>
      <xdr:row>79</xdr:row>
      <xdr:rowOff>95251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60</xdr:row>
      <xdr:rowOff>66675</xdr:rowOff>
    </xdr:from>
    <xdr:to>
      <xdr:col>18</xdr:col>
      <xdr:colOff>429450</xdr:colOff>
      <xdr:row>86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476250</xdr:colOff>
      <xdr:row>60</xdr:row>
      <xdr:rowOff>66675</xdr:rowOff>
    </xdr:from>
    <xdr:to>
      <xdr:col>26</xdr:col>
      <xdr:colOff>48450</xdr:colOff>
      <xdr:row>86</xdr:row>
      <xdr:rowOff>133350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114300</xdr:colOff>
      <xdr:row>60</xdr:row>
      <xdr:rowOff>76200</xdr:rowOff>
    </xdr:from>
    <xdr:to>
      <xdr:col>43</xdr:col>
      <xdr:colOff>19050</xdr:colOff>
      <xdr:row>87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57149</xdr:rowOff>
    </xdr:from>
    <xdr:to>
      <xdr:col>15</xdr:col>
      <xdr:colOff>104775</xdr:colOff>
      <xdr:row>50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51</xdr:row>
      <xdr:rowOff>38100</xdr:rowOff>
    </xdr:from>
    <xdr:to>
      <xdr:col>15</xdr:col>
      <xdr:colOff>104775</xdr:colOff>
      <xdr:row>79</xdr:row>
      <xdr:rowOff>95251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63</xdr:row>
      <xdr:rowOff>76200</xdr:rowOff>
    </xdr:from>
    <xdr:to>
      <xdr:col>18</xdr:col>
      <xdr:colOff>429450</xdr:colOff>
      <xdr:row>90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504825</xdr:colOff>
      <xdr:row>63</xdr:row>
      <xdr:rowOff>76200</xdr:rowOff>
    </xdr:from>
    <xdr:to>
      <xdr:col>26</xdr:col>
      <xdr:colOff>77025</xdr:colOff>
      <xdr:row>90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114300</xdr:colOff>
      <xdr:row>63</xdr:row>
      <xdr:rowOff>95250</xdr:rowOff>
    </xdr:from>
    <xdr:to>
      <xdr:col>43</xdr:col>
      <xdr:colOff>19050</xdr:colOff>
      <xdr:row>90</xdr:row>
      <xdr:rowOff>19050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95249</xdr:rowOff>
    </xdr:from>
    <xdr:to>
      <xdr:col>15</xdr:col>
      <xdr:colOff>104775</xdr:colOff>
      <xdr:row>48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48</xdr:row>
      <xdr:rowOff>57150</xdr:rowOff>
    </xdr:from>
    <xdr:to>
      <xdr:col>15</xdr:col>
      <xdr:colOff>104775</xdr:colOff>
      <xdr:row>76</xdr:row>
      <xdr:rowOff>114301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78</xdr:row>
      <xdr:rowOff>19050</xdr:rowOff>
    </xdr:from>
    <xdr:to>
      <xdr:col>18</xdr:col>
      <xdr:colOff>429450</xdr:colOff>
      <xdr:row>104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438150</xdr:colOff>
      <xdr:row>78</xdr:row>
      <xdr:rowOff>19050</xdr:rowOff>
    </xdr:from>
    <xdr:to>
      <xdr:col>26</xdr:col>
      <xdr:colOff>10350</xdr:colOff>
      <xdr:row>104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28575</xdr:colOff>
      <xdr:row>78</xdr:row>
      <xdr:rowOff>9525</xdr:rowOff>
    </xdr:from>
    <xdr:to>
      <xdr:col>42</xdr:col>
      <xdr:colOff>266700</xdr:colOff>
      <xdr:row>104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</xdr:row>
      <xdr:rowOff>57149</xdr:rowOff>
    </xdr:from>
    <xdr:to>
      <xdr:col>15</xdr:col>
      <xdr:colOff>38100</xdr:colOff>
      <xdr:row>46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46</xdr:row>
      <xdr:rowOff>114300</xdr:rowOff>
    </xdr:from>
    <xdr:to>
      <xdr:col>15</xdr:col>
      <xdr:colOff>38100</xdr:colOff>
      <xdr:row>75</xdr:row>
      <xdr:rowOff>28576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46</xdr:row>
      <xdr:rowOff>76200</xdr:rowOff>
    </xdr:from>
    <xdr:to>
      <xdr:col>18</xdr:col>
      <xdr:colOff>429450</xdr:colOff>
      <xdr:row>73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466725</xdr:colOff>
      <xdr:row>46</xdr:row>
      <xdr:rowOff>85725</xdr:rowOff>
    </xdr:from>
    <xdr:to>
      <xdr:col>26</xdr:col>
      <xdr:colOff>38925</xdr:colOff>
      <xdr:row>73</xdr:row>
      <xdr:rowOff>9525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95250</xdr:colOff>
      <xdr:row>46</xdr:row>
      <xdr:rowOff>95250</xdr:rowOff>
    </xdr:from>
    <xdr:to>
      <xdr:col>43</xdr:col>
      <xdr:colOff>0</xdr:colOff>
      <xdr:row>73</xdr:row>
      <xdr:rowOff>19050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UR_SynthQuotesFe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</sheetNames>
    <definedNames>
      <definedName name="LastFixingsTrigger" refersTo="='General Settings'!$D$7"/>
      <definedName name="TriggerCounter" refersTo="='General Settings'!$D$6"/>
    </definedNames>
    <sheetDataSet>
      <sheetData sheetId="0">
        <row r="6">
          <cell r="D6">
            <v>2</v>
          </cell>
        </row>
        <row r="7">
          <cell r="D7">
            <v>1</v>
          </cell>
        </row>
      </sheetData>
      <sheetData sheetId="1">
        <row r="7">
          <cell r="D7" t="str">
            <v>EURSTD</v>
          </cell>
        </row>
      </sheetData>
      <sheetData sheetId="2">
        <row r="6">
          <cell r="D6" t="str">
            <v>EUR6M#0001</v>
          </cell>
        </row>
        <row r="7">
          <cell r="D7" t="str">
            <v>EUR6M#0001</v>
          </cell>
        </row>
      </sheetData>
      <sheetData sheetId="3">
        <row r="6">
          <cell r="D6" t="str">
            <v>6E</v>
          </cell>
        </row>
        <row r="7">
          <cell r="D7" t="str">
            <v>6E</v>
          </cell>
        </row>
      </sheetData>
      <sheetData sheetId="4">
        <row r="6">
          <cell r="D6" t="str">
            <v>6E</v>
          </cell>
        </row>
        <row r="7">
          <cell r="D7" t="str">
            <v>6E</v>
          </cell>
        </row>
      </sheetData>
      <sheetData sheetId="5">
        <row r="6">
          <cell r="D6" t="str">
            <v>3E</v>
          </cell>
        </row>
        <row r="7">
          <cell r="D7" t="str">
            <v>3E</v>
          </cell>
        </row>
      </sheetData>
      <sheetData sheetId="6">
        <row r="6">
          <cell r="D6" t="str">
            <v>12E</v>
          </cell>
        </row>
        <row r="7">
          <cell r="D7" t="str">
            <v>12E</v>
          </cell>
        </row>
      </sheetData>
      <sheetData sheetId="7">
        <row r="6">
          <cell r="D6" t="str">
            <v>EURTND_Quote#0001</v>
          </cell>
        </row>
        <row r="7">
          <cell r="D7" t="str">
            <v>EURSND_Quote#0001</v>
          </cell>
        </row>
      </sheetData>
      <sheetData sheetId="8">
        <row r="6">
          <cell r="D6" t="str">
            <v>EUR2x5F_Quote</v>
          </cell>
        </row>
        <row r="7">
          <cell r="D7" t="str">
            <v>EUR3x6F_Quote</v>
          </cell>
        </row>
      </sheetData>
      <sheetData sheetId="9">
        <row r="6">
          <cell r="D6" t="str">
            <v>K5</v>
          </cell>
        </row>
        <row r="7">
          <cell r="D7" t="str">
            <v>M5</v>
          </cell>
        </row>
      </sheetData>
      <sheetData sheetId="10">
        <row r="6">
          <cell r="D6" t="str">
            <v>Future Code</v>
          </cell>
        </row>
        <row r="7">
          <cell r="D7" t="str">
            <v>K5</v>
          </cell>
        </row>
      </sheetData>
      <sheetData sheetId="11">
        <row r="6">
          <cell r="D6" t="str">
            <v>K5</v>
          </cell>
        </row>
        <row r="7">
          <cell r="D7" t="str">
            <v>M5</v>
          </cell>
        </row>
      </sheetData>
      <sheetData sheetId="12">
        <row r="6">
          <cell r="D6" t="str">
            <v/>
          </cell>
        </row>
      </sheetData>
      <sheetData sheetId="13">
        <row r="6">
          <cell r="D6" t="str">
            <v>2W</v>
          </cell>
        </row>
        <row r="7">
          <cell r="D7" t="str">
            <v>3W</v>
          </cell>
        </row>
      </sheetData>
      <sheetData sheetId="14">
        <row r="6">
          <cell r="D6" t="str">
            <v>OIS</v>
          </cell>
        </row>
        <row r="7">
          <cell r="D7" t="str">
            <v>OIS</v>
          </cell>
        </row>
      </sheetData>
      <sheetData sheetId="15">
        <row r="6">
          <cell r="D6" t="str">
            <v>Z5</v>
          </cell>
        </row>
        <row r="7">
          <cell r="D7" t="str">
            <v>H6</v>
          </cell>
        </row>
      </sheetData>
      <sheetData sheetId="16">
        <row r="6">
          <cell r="D6" t="str">
            <v>X1S</v>
          </cell>
        </row>
        <row r="7">
          <cell r="D7" t="str">
            <v>X1S</v>
          </cell>
        </row>
      </sheetData>
      <sheetData sheetId="17">
        <row r="6">
          <cell r="D6" t="str">
            <v>1E</v>
          </cell>
        </row>
        <row r="7">
          <cell r="D7" t="str">
            <v>1E</v>
          </cell>
        </row>
      </sheetData>
      <sheetData sheetId="18">
        <row r="6">
          <cell r="D6">
            <v>12</v>
          </cell>
        </row>
        <row r="7">
          <cell r="D7">
            <v>12</v>
          </cell>
        </row>
      </sheetData>
      <sheetData sheetId="19">
        <row r="6">
          <cell r="D6" t="str">
            <v>3E</v>
          </cell>
        </row>
        <row r="7">
          <cell r="D7" t="str">
            <v>3E</v>
          </cell>
        </row>
      </sheetData>
      <sheetData sheetId="20"/>
      <sheetData sheetId="21">
        <row r="6">
          <cell r="D6" t="str">
            <v>6E</v>
          </cell>
        </row>
        <row r="7">
          <cell r="D7" t="str">
            <v>6E</v>
          </cell>
        </row>
      </sheetData>
      <sheetData sheetId="22">
        <row r="6">
          <cell r="D6" t="str">
            <v>EUR1F2Y_Quote</v>
          </cell>
        </row>
        <row r="7">
          <cell r="D7" t="str">
            <v>EUR1F3Y_Quote</v>
          </cell>
        </row>
      </sheetData>
      <sheetData sheetId="23">
        <row r="6">
          <cell r="D6" t="str">
            <v>1E</v>
          </cell>
        </row>
        <row r="7">
          <cell r="D7" t="str">
            <v>1E</v>
          </cell>
        </row>
      </sheetData>
      <sheetData sheetId="24">
        <row r="6">
          <cell r="D6" t="str">
            <v>3E</v>
          </cell>
        </row>
        <row r="7">
          <cell r="D7" t="str">
            <v>3E</v>
          </cell>
        </row>
      </sheetData>
      <sheetData sheetId="25">
        <row r="6">
          <cell r="D6" t="str">
            <v>3E</v>
          </cell>
        </row>
        <row r="7">
          <cell r="D7" t="str">
            <v>3E</v>
          </cell>
        </row>
      </sheetData>
      <sheetData sheetId="26">
        <row r="6">
          <cell r="D6" t="str">
            <v>6E</v>
          </cell>
        </row>
        <row r="7">
          <cell r="D7" t="str">
            <v>6E</v>
          </cell>
        </row>
      </sheetData>
      <sheetData sheetId="27">
        <row r="6">
          <cell r="D6" t="str">
            <v>12E</v>
          </cell>
        </row>
        <row r="7">
          <cell r="D7" t="str">
            <v>12E</v>
          </cell>
        </row>
      </sheetData>
      <sheetData sheetId="28">
        <row r="6">
          <cell r="D6">
            <v>42136</v>
          </cell>
        </row>
        <row r="7">
          <cell r="D7">
            <v>42135</v>
          </cell>
        </row>
      </sheetData>
      <sheetData sheetId="29">
        <row r="6">
          <cell r="D6">
            <v>42136</v>
          </cell>
        </row>
        <row r="7">
          <cell r="D7">
            <v>42135</v>
          </cell>
        </row>
      </sheetData>
      <sheetData sheetId="30">
        <row r="6">
          <cell r="D6">
            <v>42137</v>
          </cell>
        </row>
        <row r="7">
          <cell r="D7">
            <v>42136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1MSynthDepo"/>
      <sheetName val="3MSynthDepo"/>
      <sheetName val="6MSynthDepo"/>
      <sheetName val="1YSynthDepo"/>
      <sheetName val="SynthFra"/>
      <sheetName val="Contribution"/>
    </sheetNames>
    <definedNames>
      <definedName name="iborindex1M" refersTo="='General Settings'!$D$28"/>
      <definedName name="TenorBasis12M" refersTo="='1YSynthDepo'!$R$18"/>
      <definedName name="TenorBasis1M" refersTo="='1MSynthDepo'!$AE$18"/>
      <definedName name="TenorBasis3M" refersTo="='3MSynthDepo'!$R$18"/>
      <definedName name="TenorBasis6M" refersTo="='6MSynthDepo'!$R$18"/>
    </definedNames>
    <sheetDataSet>
      <sheetData sheetId="0">
        <row r="28">
          <cell r="D28" t="str">
            <v>obj_005dc#0001</v>
          </cell>
        </row>
      </sheetData>
      <sheetData sheetId="1">
        <row r="18">
          <cell r="AE18" t="str">
            <v>obj_00869#0006</v>
          </cell>
        </row>
      </sheetData>
      <sheetData sheetId="2">
        <row r="18">
          <cell r="R18" t="str">
            <v>obj_005e1#0002</v>
          </cell>
        </row>
      </sheetData>
      <sheetData sheetId="3">
        <row r="18">
          <cell r="R18" t="str">
            <v>obj_005e0#0002</v>
          </cell>
        </row>
      </sheetData>
      <sheetData sheetId="4">
        <row r="18">
          <cell r="R18" t="str">
            <v>obj_0086a#0004</v>
          </cell>
        </row>
      </sheetData>
      <sheetData sheetId="5"/>
      <sheetData sheetId="6">
        <row r="28">
          <cell r="D28" t="str">
            <v>EUR3WD_SYNTH1Y_Quote#0001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20"/>
  <sheetViews>
    <sheetView tabSelected="1" workbookViewId="0">
      <selection activeCell="D15" sqref="D15"/>
    </sheetView>
  </sheetViews>
  <sheetFormatPr defaultColWidth="10.6640625" defaultRowHeight="11.25" x14ac:dyDescent="0.2"/>
  <cols>
    <col min="1" max="2" width="2.83203125" style="15" customWidth="1"/>
    <col min="3" max="3" width="27.5" style="15" bestFit="1" customWidth="1"/>
    <col min="4" max="4" width="35.83203125" style="15" customWidth="1"/>
    <col min="5" max="7" width="2.83203125" style="15" customWidth="1"/>
    <col min="8" max="8" width="27.5" style="15" bestFit="1" customWidth="1"/>
    <col min="9" max="9" width="39.33203125" style="15" bestFit="1" customWidth="1"/>
    <col min="10" max="10" width="2.83203125" style="15" customWidth="1"/>
    <col min="11" max="16384" width="10.6640625" style="15"/>
  </cols>
  <sheetData>
    <row r="1" spans="1:34" x14ac:dyDescent="0.2">
      <c r="B1" s="15" t="str">
        <f>_xll.qlxlVersion(TRUE,EvaluationDate)</f>
        <v>QuantLibXL 1.6.0 - MS VC++ (version unknown) - Multithreaded Dynamic Runtime library - Release Configuration - Jun 19 2015 10:33:41</v>
      </c>
    </row>
    <row r="2" spans="1:34" ht="19.5" thickBot="1" x14ac:dyDescent="0.25">
      <c r="B2" s="68" t="s">
        <v>0</v>
      </c>
      <c r="C2" s="69"/>
      <c r="D2" s="69"/>
      <c r="E2" s="70"/>
      <c r="G2" s="68" t="s">
        <v>54</v>
      </c>
      <c r="H2" s="69"/>
      <c r="I2" s="69"/>
      <c r="J2" s="70"/>
    </row>
    <row r="3" spans="1:34" x14ac:dyDescent="0.2">
      <c r="B3" s="71"/>
      <c r="C3" s="1"/>
      <c r="D3" s="1"/>
      <c r="E3" s="72"/>
      <c r="G3" s="77"/>
      <c r="H3" s="5"/>
      <c r="I3" s="5"/>
      <c r="J3" s="78"/>
    </row>
    <row r="4" spans="1:34" x14ac:dyDescent="0.2">
      <c r="B4" s="71"/>
      <c r="C4" s="2" t="s">
        <v>1</v>
      </c>
      <c r="D4" s="3" t="s">
        <v>2</v>
      </c>
      <c r="E4" s="72"/>
      <c r="G4" s="77"/>
      <c r="H4" s="7" t="s">
        <v>8</v>
      </c>
      <c r="I4" s="17" t="b">
        <v>1</v>
      </c>
      <c r="J4" s="79"/>
    </row>
    <row r="5" spans="1:34" s="16" customFormat="1" x14ac:dyDescent="0.2">
      <c r="A5" s="15"/>
      <c r="B5" s="71"/>
      <c r="C5" s="2" t="s">
        <v>3</v>
      </c>
      <c r="D5" s="4" t="s">
        <v>4</v>
      </c>
      <c r="E5" s="72"/>
      <c r="F5" s="15"/>
      <c r="G5" s="77"/>
      <c r="H5" s="7" t="s">
        <v>9</v>
      </c>
      <c r="I5" s="17" t="b">
        <v>1</v>
      </c>
      <c r="J5" s="79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</row>
    <row r="6" spans="1:34" s="16" customFormat="1" x14ac:dyDescent="0.2">
      <c r="A6" s="15"/>
      <c r="B6" s="71"/>
      <c r="C6" s="2" t="s">
        <v>5</v>
      </c>
      <c r="D6" s="4" t="str">
        <f>IF(UPPER(Currency)&lt;&gt;"EUR","L","")&amp;"ibor"</f>
        <v>ibor</v>
      </c>
      <c r="E6" s="72"/>
      <c r="F6" s="15"/>
      <c r="G6" s="77"/>
      <c r="H6" s="7" t="s">
        <v>12</v>
      </c>
      <c r="I6" s="18" t="s">
        <v>13</v>
      </c>
      <c r="J6" s="79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</row>
    <row r="7" spans="1:34" x14ac:dyDescent="0.2">
      <c r="B7" s="71"/>
      <c r="C7" s="2" t="s">
        <v>6</v>
      </c>
      <c r="D7" s="6" t="s">
        <v>7</v>
      </c>
      <c r="E7" s="72"/>
      <c r="G7" s="80"/>
      <c r="H7" s="81"/>
      <c r="I7" s="81"/>
      <c r="J7" s="302"/>
    </row>
    <row r="8" spans="1:34" x14ac:dyDescent="0.2">
      <c r="B8" s="71"/>
      <c r="C8" s="2" t="s">
        <v>51</v>
      </c>
      <c r="D8" s="9" t="s">
        <v>52</v>
      </c>
      <c r="E8" s="72"/>
    </row>
    <row r="9" spans="1:34" x14ac:dyDescent="0.2">
      <c r="B9" s="71"/>
      <c r="C9" s="2" t="s">
        <v>58</v>
      </c>
      <c r="D9" s="9" t="s">
        <v>11</v>
      </c>
      <c r="E9" s="72"/>
    </row>
    <row r="10" spans="1:34" x14ac:dyDescent="0.2">
      <c r="B10" s="73"/>
      <c r="C10" s="11" t="s">
        <v>10</v>
      </c>
      <c r="D10" s="8">
        <f>_xll.qlCalendarAdvance(Calendar,_xll.qlCalendarAdjust(Calendar,EvaluationDate,"f",Trigger),"2D","f")</f>
        <v>42138</v>
      </c>
      <c r="E10" s="72"/>
    </row>
    <row r="11" spans="1:34" x14ac:dyDescent="0.2">
      <c r="B11" s="74"/>
      <c r="C11" s="75"/>
      <c r="D11" s="303"/>
      <c r="E11" s="76"/>
    </row>
    <row r="13" spans="1:34" ht="18.75" x14ac:dyDescent="0.2">
      <c r="B13" s="84" t="s">
        <v>40</v>
      </c>
      <c r="C13" s="85"/>
      <c r="D13" s="85"/>
      <c r="E13" s="86"/>
    </row>
    <row r="14" spans="1:34" x14ac:dyDescent="0.2">
      <c r="B14" s="82"/>
      <c r="C14" s="10"/>
      <c r="D14" s="10"/>
      <c r="E14" s="57"/>
    </row>
    <row r="15" spans="1:34" x14ac:dyDescent="0.2">
      <c r="B15" s="82"/>
      <c r="C15" s="2" t="s">
        <v>14</v>
      </c>
      <c r="D15" s="87"/>
      <c r="E15" s="57"/>
    </row>
    <row r="16" spans="1:34" x14ac:dyDescent="0.2">
      <c r="B16" s="82"/>
      <c r="C16" s="2" t="s">
        <v>15</v>
      </c>
      <c r="D16" s="12">
        <f>_xll.qlSettingsEvaluationDate(Trigger)</f>
        <v>42136</v>
      </c>
      <c r="E16" s="57"/>
    </row>
    <row r="17" spans="2:5" x14ac:dyDescent="0.2">
      <c r="B17" s="82"/>
      <c r="C17" s="2" t="s">
        <v>16</v>
      </c>
      <c r="D17" s="13">
        <f>[1]!TriggerCounter</f>
        <v>2</v>
      </c>
      <c r="E17" s="57"/>
    </row>
    <row r="18" spans="2:5" x14ac:dyDescent="0.2">
      <c r="B18" s="82"/>
      <c r="C18" s="2" t="s">
        <v>17</v>
      </c>
      <c r="D18" s="14">
        <f>[1]!LastFixingsTrigger</f>
        <v>1</v>
      </c>
      <c r="E18" s="57"/>
    </row>
    <row r="19" spans="2:5" x14ac:dyDescent="0.2">
      <c r="B19" s="82"/>
      <c r="C19" s="2" t="s">
        <v>19</v>
      </c>
      <c r="D19" s="3">
        <v>0</v>
      </c>
      <c r="E19" s="57"/>
    </row>
    <row r="20" spans="2:5" x14ac:dyDescent="0.2">
      <c r="B20" s="83"/>
      <c r="C20" s="58"/>
      <c r="D20" s="58"/>
      <c r="E20" s="59"/>
    </row>
  </sheetData>
  <dataValidations count="3"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9" customWidth="1"/>
    <col min="2" max="2" width="2.33203125" style="19" customWidth="1"/>
    <col min="3" max="3" width="3.1640625" style="19" customWidth="1"/>
    <col min="4" max="4" width="23.1640625" style="19" customWidth="1"/>
    <col min="5" max="5" width="34.83203125" style="19" hidden="1" customWidth="1" outlineLevel="1"/>
    <col min="6" max="6" width="9.33203125" style="19" hidden="1" customWidth="1" outlineLevel="1"/>
    <col min="7" max="7" width="12.83203125" style="19" bestFit="1" customWidth="1" collapsed="1"/>
    <col min="8" max="8" width="12.83203125" style="19" customWidth="1"/>
    <col min="9" max="10" width="11.33203125" style="19" customWidth="1"/>
    <col min="11" max="12" width="9.33203125" style="19" bestFit="1" customWidth="1"/>
    <col min="13" max="13" width="8.1640625" style="19" bestFit="1" customWidth="1"/>
    <col min="14" max="14" width="2.83203125" style="19" customWidth="1"/>
    <col min="15" max="15" width="14.1640625" style="19" bestFit="1" customWidth="1"/>
    <col min="16" max="16" width="17.83203125" style="19" bestFit="1" customWidth="1"/>
    <col min="17" max="17" width="2.83203125" style="19" customWidth="1"/>
    <col min="18" max="18" width="12.83203125" style="19" bestFit="1" customWidth="1"/>
    <col min="19" max="19" width="9.33203125" style="19"/>
    <col min="20" max="20" width="0" style="19" hidden="1" customWidth="1" outlineLevel="1"/>
    <col min="21" max="21" width="9.33203125" style="19" collapsed="1"/>
    <col min="22" max="22" width="3.5" style="19" bestFit="1" customWidth="1"/>
    <col min="23" max="24" width="9.33203125" style="19"/>
    <col min="25" max="25" width="12.83203125" style="19" bestFit="1" customWidth="1"/>
    <col min="26" max="26" width="16.5" style="19" bestFit="1" customWidth="1"/>
    <col min="27" max="16384" width="9.33203125" style="19"/>
  </cols>
  <sheetData>
    <row r="1" spans="1:27" x14ac:dyDescent="0.2">
      <c r="G1" s="126" t="s">
        <v>49</v>
      </c>
      <c r="H1" s="127" t="s">
        <v>24</v>
      </c>
    </row>
    <row r="2" spans="1:27" ht="26.25" customHeight="1" x14ac:dyDescent="0.2">
      <c r="D2" s="36" t="str">
        <f>H1&amp;" Instruments"</f>
        <v>6M Instruments</v>
      </c>
      <c r="E2" s="36" t="s">
        <v>84</v>
      </c>
      <c r="F2" s="36" t="s">
        <v>85</v>
      </c>
      <c r="G2" s="36" t="s">
        <v>50</v>
      </c>
      <c r="H2" s="36" t="s">
        <v>96</v>
      </c>
      <c r="I2" s="36" t="str">
        <f>"F "&amp;H1</f>
        <v>F 6M</v>
      </c>
      <c r="J2" s="36" t="s">
        <v>56</v>
      </c>
      <c r="K2" s="36" t="s">
        <v>61</v>
      </c>
      <c r="L2" s="36" t="s">
        <v>83</v>
      </c>
      <c r="M2" s="36" t="s">
        <v>63</v>
      </c>
      <c r="N2" s="21"/>
      <c r="R2" s="36" t="s">
        <v>71</v>
      </c>
      <c r="S2" s="36" t="s">
        <v>98</v>
      </c>
      <c r="T2" s="36" t="s">
        <v>89</v>
      </c>
      <c r="U2" s="36" t="s">
        <v>97</v>
      </c>
    </row>
    <row r="3" spans="1:27" ht="11.25" customHeight="1" x14ac:dyDescent="0.2">
      <c r="A3" s="104">
        <v>0</v>
      </c>
      <c r="B3" s="105" t="s">
        <v>20</v>
      </c>
      <c r="C3" s="106" t="str">
        <f>SUBSTITUTE($H$1,"M","")</f>
        <v>6</v>
      </c>
      <c r="D3" s="108" t="str">
        <f>Currency&amp;A3&amp;B3&amp;C3&amp;"F"&amp;"_Estimated"</f>
        <v>EUR0x6F_Estimated</v>
      </c>
      <c r="E3" s="108" t="str">
        <f>_xll.qlSimpleQuote(UPPER("B"&amp;$H$1&amp;"_"&amp;A3&amp;B3&amp;C3&amp;"Estimated"),,,Permanent,Trigger,ObjectOverwrite)</f>
        <v>B6M_0X6ESTIMATED#0010</v>
      </c>
      <c r="F3" s="197" t="e">
        <f>_xll.qlSimpleQuoteSetValue(E3,L3,AllTriggers)</f>
        <v>#N/A</v>
      </c>
      <c r="G3" s="210">
        <f>SettlementDate</f>
        <v>42138</v>
      </c>
      <c r="H3" s="210">
        <f>_xll.qlInterestRateIndexMaturity(PROPER(Currency)&amp;"ibor"&amp;$H$1,G3)</f>
        <v>42324</v>
      </c>
      <c r="I3" s="107">
        <f>L3+$J$4</f>
        <v>6.5791999173084727E-4</v>
      </c>
      <c r="J3" s="89"/>
      <c r="K3" s="89"/>
      <c r="L3" s="66">
        <f>_xll.qlTenorBasisValue($P$3,G3,Trigger)</f>
        <v>1.8211623395594731E-3</v>
      </c>
      <c r="M3" s="89"/>
      <c r="N3" s="21"/>
      <c r="O3" s="192" t="s">
        <v>82</v>
      </c>
      <c r="P3" s="66" t="str">
        <f>[2]!TenorBasis6M</f>
        <v>obj_005e0#0002</v>
      </c>
      <c r="R3" s="211">
        <f>SettlementDate</f>
        <v>42138</v>
      </c>
      <c r="S3" s="52">
        <f>_xll.qlTenorBasisValue($P$3,R3,AllTriggers)</f>
        <v>1.8211623395594731E-3</v>
      </c>
      <c r="T3" s="46">
        <f>_xll.qlDayCounterYearFraction("actual/365 (fixed)",SettlementDate,R3,,,Trigger)</f>
        <v>0</v>
      </c>
      <c r="U3" s="52">
        <f>_xll.qlPolynomialFunctionValue($P$18,T3,AllTriggers)</f>
        <v>1.6944000054027728E-3</v>
      </c>
    </row>
    <row r="4" spans="1:27" ht="11.25" customHeight="1" x14ac:dyDescent="0.2">
      <c r="A4" s="104">
        <v>0</v>
      </c>
      <c r="B4" s="105" t="s">
        <v>20</v>
      </c>
      <c r="C4" s="106">
        <v>6</v>
      </c>
      <c r="D4" s="97" t="str">
        <f>PROPER(Currency&amp;IborType)&amp;H1&amp;"LastFixing"&amp;QuoteSuffix</f>
        <v>Euribor6MLastFixing_Quote</v>
      </c>
      <c r="E4" s="97" t="str">
        <f>_xll.qlSimpleQuote(UPPER("B"&amp;$H$1&amp;"_"&amp;A4&amp;B4&amp;C4&amp;"FIXING"),,,Permanent,Trigger,ObjectOverwrite)</f>
        <v>B6M_0X6FIXING#0010</v>
      </c>
      <c r="F4" s="198" t="e">
        <f>_xll.qlSimpleQuoteSetValue(E4,K4,AllTriggers)</f>
        <v>#N/A</v>
      </c>
      <c r="G4" s="210">
        <f>SettlementDate</f>
        <v>42138</v>
      </c>
      <c r="H4" s="210">
        <f>_xll.qlInterestRateIndexMaturity(ON_6M_index,G4)</f>
        <v>42324</v>
      </c>
      <c r="I4" s="66">
        <f>_xll.qlQuoteValue(D4,LastFixingsTrigger)</f>
        <v>7.1299999999978455E-4</v>
      </c>
      <c r="J4" s="66">
        <f>_xll.qlIndexFixing(ON_6M_index,_xll.qlInterestRateIndexFixingDate(ON_6M_index,G4),,AllTriggers)</f>
        <v>-1.1632423478286258E-3</v>
      </c>
      <c r="K4" s="107">
        <f t="shared" ref="K4:K22" si="0">I4-J4</f>
        <v>1.8762423478284104E-3</v>
      </c>
      <c r="L4" s="62">
        <f>_xll.qlTenorBasisValue($P$3,G4,Trigger)</f>
        <v>1.8211623395594731E-3</v>
      </c>
      <c r="M4" s="63">
        <f>(K4-L4)*10000</f>
        <v>0.55080008268937286</v>
      </c>
      <c r="N4" s="21"/>
      <c r="R4" s="212">
        <f>_xll.qlCalendarAdvance(Calendar,R3,"1D","f")</f>
        <v>42139</v>
      </c>
      <c r="S4" s="47">
        <f>_xll.qlTenorBasisValue($P$3,R4,AllTriggers)</f>
        <v>1.822389244640911E-3</v>
      </c>
      <c r="T4" s="41">
        <f>_xll.qlDayCounterYearFraction("actual/365 (fixed)",SettlementDate,R4,,,Trigger)</f>
        <v>2.7397260273972603E-3</v>
      </c>
      <c r="U4" s="47">
        <f>_xll.qlPolynomialFunctionValue($P$18,T4,AllTriggers)</f>
        <v>1.6960029796853509E-3</v>
      </c>
    </row>
    <row r="5" spans="1:27" ht="11.25" customHeight="1" x14ac:dyDescent="0.2">
      <c r="A5" s="94">
        <v>1</v>
      </c>
      <c r="B5" s="21" t="s">
        <v>20</v>
      </c>
      <c r="C5" s="101">
        <f t="shared" ref="C5:C22" si="1">A5+SUBSTITUTE($H$1,"M","")</f>
        <v>7</v>
      </c>
      <c r="D5" s="98" t="str">
        <f t="shared" ref="D5:D22" si="2">Currency&amp;A5&amp;B5&amp;C5&amp;"F"&amp;QuoteSuffix</f>
        <v>EUR1x7F_Quote</v>
      </c>
      <c r="E5" s="98" t="str">
        <f>_xll.qlSimpleQuote(UPPER("B"&amp;$H$1&amp;"_"&amp;A5&amp;B5&amp;C5),,,Permanent,Trigger,ObjectOverwrite)</f>
        <v>B6M_1X7#0010</v>
      </c>
      <c r="F5" s="199" t="e">
        <f>_xll.qlSimpleQuoteSetValue(E5,K5,AllTriggers)</f>
        <v>#N/A</v>
      </c>
      <c r="G5" s="211">
        <f>_xll.qlCalendarAdvance("target",SettlementDate,A5&amp;"M","mf",,Trigger)</f>
        <v>42170</v>
      </c>
      <c r="H5" s="211">
        <f>_xll.qlInterestRateIndexMaturity(ON_6M_index,G5)</f>
        <v>42353</v>
      </c>
      <c r="I5" s="52">
        <f>_xll.qlQuoteValue(D5,AllTriggers)</f>
        <v>6.3000000000000003E-4</v>
      </c>
      <c r="J5" s="52">
        <f>_xll.qlIndexFixing(ON_6M_index,_xll.qlInterestRateIndexFixingDate(ON_6M_index,G5),,AllTriggers)</f>
        <v>-1.2305122846826952E-3</v>
      </c>
      <c r="K5" s="193">
        <f t="shared" si="0"/>
        <v>1.8605122846826953E-3</v>
      </c>
      <c r="L5" s="52">
        <f>_xll.qlTenorBasisValue($P$3,G5,Trigger)</f>
        <v>1.858653336404951E-3</v>
      </c>
      <c r="M5" s="91">
        <f t="shared" ref="M5:M22" si="3">(K5-L5)*10000</f>
        <v>1.8589482777442868E-2</v>
      </c>
      <c r="N5" s="21"/>
      <c r="O5" s="119" t="s">
        <v>94</v>
      </c>
      <c r="P5" s="120"/>
      <c r="Q5" s="20"/>
      <c r="R5" s="212">
        <f>_xll.qlCalendarAdvance(Calendar,R4,"1D","f")</f>
        <v>42142</v>
      </c>
      <c r="S5" s="47">
        <f>_xll.qlTenorBasisValue($P$3,R5,AllTriggers)</f>
        <v>1.8260479882397668E-3</v>
      </c>
      <c r="T5" s="41">
        <f>_xll.qlDayCounterYearFraction("actual/365 (fixed)",SettlementDate,R5,,,Trigger)</f>
        <v>1.0958904109589041E-2</v>
      </c>
      <c r="U5" s="47">
        <f>_xll.qlPolynomialFunctionValue($P$18,T5,AllTriggers)</f>
        <v>1.7007842656154152E-3</v>
      </c>
    </row>
    <row r="6" spans="1:27" ht="11.25" customHeight="1" x14ac:dyDescent="0.2">
      <c r="A6" s="94">
        <v>2</v>
      </c>
      <c r="B6" s="21" t="s">
        <v>20</v>
      </c>
      <c r="C6" s="101">
        <f t="shared" si="1"/>
        <v>8</v>
      </c>
      <c r="D6" s="99" t="str">
        <f t="shared" si="2"/>
        <v>EUR2x8F_Quote</v>
      </c>
      <c r="E6" s="99" t="str">
        <f>_xll.qlSimpleQuote(UPPER("B"&amp;$H$1&amp;"_"&amp;A6&amp;B6&amp;C6),,,Permanent,Trigger,ObjectOverwrite)</f>
        <v>B6M_2X8#0010</v>
      </c>
      <c r="F6" s="200" t="e">
        <f>_xll.qlSimpleQuoteSetValue(E6,K6,AllTriggers)</f>
        <v>#N/A</v>
      </c>
      <c r="G6" s="212">
        <f>_xll.qlCalendarAdvance("target",SettlementDate,A6&amp;"M","mf",,Trigger)</f>
        <v>42199</v>
      </c>
      <c r="H6" s="212">
        <f>_xll.qlInterestRateIndexMaturity(ON_6M_index,G6)</f>
        <v>42383</v>
      </c>
      <c r="I6" s="47">
        <f>_xll.qlQuoteValue(D6,AllTriggers)</f>
        <v>6.4000000000000005E-4</v>
      </c>
      <c r="J6" s="47">
        <f>_xll.qlIndexFixing(ON_6M_index,_xll.qlInterestRateIndexFixingDate(ON_6M_index,G6),,AllTriggers)</f>
        <v>-1.2520227137032052E-3</v>
      </c>
      <c r="K6" s="128">
        <f t="shared" si="0"/>
        <v>1.8920227137032052E-3</v>
      </c>
      <c r="L6" s="47">
        <f>_xll.qlTenorBasisValue($P$3,G6,Trigger)</f>
        <v>1.8896503753291711E-3</v>
      </c>
      <c r="M6" s="64">
        <f t="shared" si="3"/>
        <v>2.3723383740341386E-2</v>
      </c>
      <c r="N6" s="21"/>
      <c r="O6" s="192" t="s">
        <v>77</v>
      </c>
      <c r="P6" s="66">
        <f t="array" ref="P6:P10">_xll.qlTenorBasisCoefficients(P3)</f>
        <v>1.8211623395594731E-3</v>
      </c>
      <c r="Q6" s="20"/>
      <c r="R6" s="212">
        <f>_xll.qlCalendarAdvance(Calendar,R5,"1D","f")</f>
        <v>42143</v>
      </c>
      <c r="S6" s="47">
        <f>_xll.qlTenorBasisValue($P$3,R6,AllTriggers)</f>
        <v>1.8272602789366926E-3</v>
      </c>
      <c r="T6" s="41">
        <f>_xll.qlDayCounterYearFraction("actual/365 (fixed)",SettlementDate,R6,,,Trigger)</f>
        <v>1.3698630136986301E-2</v>
      </c>
      <c r="U6" s="47">
        <f>_xll.qlPolynomialFunctionValue($P$18,T6,AllTriggers)</f>
        <v>1.7023688486653397E-3</v>
      </c>
    </row>
    <row r="7" spans="1:27" ht="11.25" customHeight="1" x14ac:dyDescent="0.2">
      <c r="A7" s="94">
        <f>A6+1</f>
        <v>3</v>
      </c>
      <c r="B7" s="21" t="s">
        <v>20</v>
      </c>
      <c r="C7" s="101">
        <f t="shared" si="1"/>
        <v>9</v>
      </c>
      <c r="D7" s="99" t="str">
        <f t="shared" si="2"/>
        <v>EUR3x9F_Quote</v>
      </c>
      <c r="E7" s="99" t="str">
        <f>_xll.qlSimpleQuote(UPPER("B"&amp;$H$1&amp;"_"&amp;A7&amp;B7&amp;C7),,,Permanent,Trigger,ObjectOverwrite)</f>
        <v>B6M_3X9#0010</v>
      </c>
      <c r="F7" s="200" t="e">
        <f>_xll.qlSimpleQuoteSetValue(E7,K7,AllTriggers)</f>
        <v>#N/A</v>
      </c>
      <c r="G7" s="212">
        <f>_xll.qlCalendarAdvance("target",SettlementDate,A7&amp;"M","mf",,Trigger)</f>
        <v>42230</v>
      </c>
      <c r="H7" s="212">
        <f>_xll.qlInterestRateIndexMaturity(ON_6M_index,G7)</f>
        <v>42415</v>
      </c>
      <c r="I7" s="47">
        <f>_xll.qlQuoteValue(D7,AllTriggers)</f>
        <v>6.4000000000000005E-4</v>
      </c>
      <c r="J7" s="47">
        <f>_xll.qlIndexFixing(ON_6M_index,_xll.qlInterestRateIndexFixingDate(ON_6M_index,G7),,AllTriggers)</f>
        <v>-1.2678296020085104E-3</v>
      </c>
      <c r="K7" s="128">
        <f t="shared" si="0"/>
        <v>1.9078296020085105E-3</v>
      </c>
      <c r="L7" s="47">
        <f>_xll.qlTenorBasisValue($P$3,G7,Trigger)</f>
        <v>1.9199383026042192E-3</v>
      </c>
      <c r="M7" s="64">
        <f t="shared" si="3"/>
        <v>-0.12108700595708657</v>
      </c>
      <c r="N7" s="21"/>
      <c r="O7" s="192" t="s">
        <v>78</v>
      </c>
      <c r="P7" s="66">
        <v>4.4849109561700685E-4</v>
      </c>
      <c r="Q7" s="20"/>
      <c r="R7" s="212">
        <f>_xll.qlCalendarAdvance(Calendar,R6,"1D","f")</f>
        <v>42144</v>
      </c>
      <c r="S7" s="47">
        <f>_xll.qlTenorBasisValue($P$3,R7,AllTriggers)</f>
        <v>1.8284689410718352E-3</v>
      </c>
      <c r="T7" s="41">
        <f>_xll.qlDayCounterYearFraction("actual/365 (fixed)",SettlementDate,R7,,,Trigger)</f>
        <v>1.643835616438356E-2</v>
      </c>
      <c r="U7" s="47">
        <f>_xll.qlPolynomialFunctionValue($P$18,T7,AllTriggers)</f>
        <v>1.7039488589414456E-3</v>
      </c>
    </row>
    <row r="8" spans="1:27" ht="11.25" customHeight="1" x14ac:dyDescent="0.2">
      <c r="A8" s="94">
        <f t="shared" ref="A8:A22" si="4">A7+1</f>
        <v>4</v>
      </c>
      <c r="B8" s="21" t="s">
        <v>20</v>
      </c>
      <c r="C8" s="101">
        <f t="shared" si="1"/>
        <v>10</v>
      </c>
      <c r="D8" s="99" t="str">
        <f t="shared" si="2"/>
        <v>EUR4x10F_Quote</v>
      </c>
      <c r="E8" s="99" t="str">
        <f>_xll.qlSimpleQuote(UPPER("B"&amp;$H$1&amp;"_"&amp;A8&amp;B8&amp;C8),,,Permanent,Trigger,ObjectOverwrite)</f>
        <v>B6M_4X10#0010</v>
      </c>
      <c r="F8" s="200" t="e">
        <f>_xll.qlSimpleQuoteSetValue(E8,K8,AllTriggers)</f>
        <v>#N/A</v>
      </c>
      <c r="G8" s="212">
        <f>_xll.qlCalendarAdvance("target",SettlementDate,A8&amp;"M","mf",,Trigger)</f>
        <v>42261</v>
      </c>
      <c r="H8" s="212">
        <f>_xll.qlInterestRateIndexMaturity(ON_6M_index,G8)</f>
        <v>42443</v>
      </c>
      <c r="I8" s="47">
        <f>_xll.qlQuoteValue(D8,AllTriggers)</f>
        <v>6.4999999999999997E-4</v>
      </c>
      <c r="J8" s="47">
        <f>_xll.qlIndexFixing(ON_6M_index,_xll.qlInterestRateIndexFixingDate(ON_6M_index,G8),,AllTriggers)</f>
        <v>-1.2863441141031473E-3</v>
      </c>
      <c r="K8" s="128">
        <f t="shared" si="0"/>
        <v>1.9363441141031473E-3</v>
      </c>
      <c r="L8" s="47">
        <f>_xll.qlTenorBasisValue($P$3,G8,Trigger)</f>
        <v>1.9475764005894777E-3</v>
      </c>
      <c r="M8" s="64">
        <f t="shared" si="3"/>
        <v>-0.11232286486330444</v>
      </c>
      <c r="N8" s="21"/>
      <c r="O8" s="192" t="s">
        <v>79</v>
      </c>
      <c r="P8" s="66">
        <v>-2.4504277236402186E-4</v>
      </c>
      <c r="Q8" s="20"/>
      <c r="R8" s="212">
        <f>_xll.qlCalendarAdvance(Calendar,R7,"1D","f")</f>
        <v>42145</v>
      </c>
      <c r="S8" s="47">
        <f>_xll.qlTenorBasisValue($P$3,R8,AllTriggers)</f>
        <v>1.8296739846589323E-3</v>
      </c>
      <c r="T8" s="41">
        <f>_xll.qlDayCounterYearFraction("actual/365 (fixed)",SettlementDate,R8,,,Trigger)</f>
        <v>1.9178082191780823E-2</v>
      </c>
      <c r="U8" s="47">
        <f>_xll.qlPolynomialFunctionValue($P$18,T8,AllTriggers)</f>
        <v>1.7055243064574707E-3</v>
      </c>
    </row>
    <row r="9" spans="1:27" ht="11.25" customHeight="1" x14ac:dyDescent="0.2">
      <c r="A9" s="94">
        <f t="shared" si="4"/>
        <v>5</v>
      </c>
      <c r="B9" s="21" t="s">
        <v>20</v>
      </c>
      <c r="C9" s="101">
        <f t="shared" si="1"/>
        <v>11</v>
      </c>
      <c r="D9" s="99" t="str">
        <f t="shared" si="2"/>
        <v>EUR5x11F_Quote</v>
      </c>
      <c r="E9" s="99" t="str">
        <f>_xll.qlSimpleQuote(UPPER("B"&amp;$H$1&amp;"_"&amp;A9&amp;B9&amp;C9),,,Permanent,Trigger,ObjectOverwrite)</f>
        <v>B6M_5X11#0010</v>
      </c>
      <c r="F9" s="200" t="e">
        <f>_xll.qlSimpleQuoteSetValue(E9,K9,AllTriggers)</f>
        <v>#N/A</v>
      </c>
      <c r="G9" s="212">
        <f>_xll.qlCalendarAdvance("target",SettlementDate,A9&amp;"M","mf",,Trigger)</f>
        <v>42291</v>
      </c>
      <c r="H9" s="212">
        <f>_xll.qlInterestRateIndexMaturity(ON_6M_index,G9)</f>
        <v>42474</v>
      </c>
      <c r="I9" s="47">
        <f>_xll.qlQuoteValue(D9,AllTriggers)</f>
        <v>6.8000000000000005E-4</v>
      </c>
      <c r="J9" s="47">
        <f>_xll.qlIndexFixing(ON_6M_index,_xll.qlInterestRateIndexFixingDate(ON_6M_index,G9),,AllTriggers)</f>
        <v>-1.3129880212073787E-3</v>
      </c>
      <c r="K9" s="128">
        <f t="shared" si="0"/>
        <v>1.992988021207379E-3</v>
      </c>
      <c r="L9" s="47">
        <f>_xll.qlTenorBasisValue($P$3,G9,Trigger)</f>
        <v>1.9720809420852681E-3</v>
      </c>
      <c r="M9" s="64">
        <f t="shared" si="3"/>
        <v>0.20907079122110903</v>
      </c>
      <c r="N9" s="21"/>
      <c r="O9" s="192" t="s">
        <v>80</v>
      </c>
      <c r="P9" s="66">
        <v>8.1156547364020544E-5</v>
      </c>
      <c r="Q9" s="20"/>
      <c r="R9" s="212">
        <f>_xll.qlCalendarAdvance(Calendar,R8,"1D","f")</f>
        <v>42146</v>
      </c>
      <c r="S9" s="47">
        <f>_xll.qlTenorBasisValue($P$3,R9,AllTriggers)</f>
        <v>1.830875419711722E-3</v>
      </c>
      <c r="T9" s="41">
        <f>_xll.qlDayCounterYearFraction("actual/365 (fixed)",SettlementDate,R9,,,Trigger)</f>
        <v>2.1917808219178082E-2</v>
      </c>
      <c r="U9" s="47">
        <f>_xll.qlPolynomialFunctionValue($P$18,T9,AllTriggers)</f>
        <v>1.7070952012271526E-3</v>
      </c>
    </row>
    <row r="10" spans="1:27" ht="11.25" customHeight="1" x14ac:dyDescent="0.2">
      <c r="A10" s="94">
        <f t="shared" si="4"/>
        <v>6</v>
      </c>
      <c r="B10" s="21" t="s">
        <v>20</v>
      </c>
      <c r="C10" s="101">
        <f t="shared" si="1"/>
        <v>12</v>
      </c>
      <c r="D10" s="99" t="str">
        <f t="shared" si="2"/>
        <v>EUR6x12F_Quote</v>
      </c>
      <c r="E10" s="99" t="str">
        <f>_xll.qlSimpleQuote(UPPER("B"&amp;$H$1&amp;"_"&amp;A10&amp;B10&amp;C10),,,Permanent,Trigger,ObjectOverwrite)</f>
        <v>B6M_6X12#0010</v>
      </c>
      <c r="F10" s="200" t="e">
        <f>_xll.qlSimpleQuoteSetValue(E10,K10,AllTriggers)</f>
        <v>#N/A</v>
      </c>
      <c r="G10" s="212">
        <f>_xll.qlCalendarAdvance("target",SettlementDate,A10&amp;"M","mf",,Trigger)</f>
        <v>42324</v>
      </c>
      <c r="H10" s="212">
        <f>_xll.qlInterestRateIndexMaturity(ON_6M_index,G10)</f>
        <v>42506</v>
      </c>
      <c r="I10" s="47">
        <f>_xll.qlQuoteValue(D10,AllTriggers)</f>
        <v>7.000000000000001E-4</v>
      </c>
      <c r="J10" s="47">
        <f>_xll.qlIndexFixing(ON_6M_index,_xll.qlInterestRateIndexFixingDate(ON_6M_index,G10),,AllTriggers)</f>
        <v>-1.3121885563962153E-3</v>
      </c>
      <c r="K10" s="128">
        <f t="shared" si="0"/>
        <v>2.0121885563962154E-3</v>
      </c>
      <c r="L10" s="47">
        <f>_xll.qlTenorBasisValue($P$3,G10,Trigger)</f>
        <v>1.996815030557186E-3</v>
      </c>
      <c r="M10" s="64">
        <f t="shared" si="3"/>
        <v>0.15373525839029387</v>
      </c>
      <c r="N10" s="21"/>
      <c r="O10" s="192" t="s">
        <v>81</v>
      </c>
      <c r="P10" s="66" t="e">
        <v>#N/A</v>
      </c>
      <c r="Q10" s="20"/>
      <c r="R10" s="212">
        <f>_xll.qlCalendarAdvance(Calendar,R9,"1D","f")</f>
        <v>42149</v>
      </c>
      <c r="S10" s="47">
        <f>_xll.qlTenorBasisValue($P$3,R10,AllTriggers)</f>
        <v>1.8344581738016254E-3</v>
      </c>
      <c r="T10" s="41">
        <f>_xll.qlDayCounterYearFraction("actual/365 (fixed)",SettlementDate,R10,,,Trigger)</f>
        <v>3.0136986301369864E-2</v>
      </c>
      <c r="U10" s="47">
        <f>_xll.qlPolynomialFunctionValue($P$18,T10,AllTriggers)</f>
        <v>1.7117806691955215E-3</v>
      </c>
    </row>
    <row r="11" spans="1:27" ht="11.25" customHeight="1" x14ac:dyDescent="0.2">
      <c r="A11" s="92">
        <f t="shared" si="4"/>
        <v>7</v>
      </c>
      <c r="B11" s="93" t="s">
        <v>20</v>
      </c>
      <c r="C11" s="102">
        <f t="shared" si="1"/>
        <v>13</v>
      </c>
      <c r="D11" s="98" t="str">
        <f t="shared" si="2"/>
        <v>EUR7x13F_Quote</v>
      </c>
      <c r="E11" s="98" t="str">
        <f>_xll.qlSimpleQuote(UPPER("B"&amp;$H$1&amp;"_"&amp;A11&amp;B11&amp;C11),,,Permanent,Trigger,ObjectOverwrite)</f>
        <v>B6M_7X13#0010</v>
      </c>
      <c r="F11" s="199" t="e">
        <f>_xll.qlSimpleQuoteSetValue(E11,K11,AllTriggers)</f>
        <v>#N/A</v>
      </c>
      <c r="G11" s="211">
        <f>_xll.qlCalendarAdvance("target",SettlementDate,A11&amp;"M","mf",,Trigger)</f>
        <v>42352</v>
      </c>
      <c r="H11" s="211">
        <f>_xll.qlInterestRateIndexMaturity(ON_6M_index,G11)</f>
        <v>42535</v>
      </c>
      <c r="I11" s="52">
        <f>_xll.qlQuoteValue(D11,AllTriggers)</f>
        <v>7.2000000000000005E-4</v>
      </c>
      <c r="J11" s="52">
        <f>_xll.qlIndexFixing(ON_6M_index,_xll.qlInterestRateIndexFixingDate(ON_6M_index,G11),,AllTriggers)</f>
        <v>-1.2900638096647859E-3</v>
      </c>
      <c r="K11" s="193">
        <f t="shared" si="0"/>
        <v>2.010063809664786E-3</v>
      </c>
      <c r="L11" s="52">
        <f>_xll.qlTenorBasisValue($P$3,G11,Trigger)</f>
        <v>2.0162363487377494E-3</v>
      </c>
      <c r="M11" s="91">
        <f t="shared" si="3"/>
        <v>-6.1725390729633865E-2</v>
      </c>
      <c r="N11" s="21"/>
      <c r="Q11" s="20"/>
      <c r="R11" s="212">
        <f>_xll.qlCalendarAdvance(Calendar,R10,"1D","f")</f>
        <v>42150</v>
      </c>
      <c r="S11" s="47">
        <f>_xll.qlTenorBasisValue($P$3,R11,AllTriggers)</f>
        <v>1.8356452748545641E-3</v>
      </c>
      <c r="T11" s="41">
        <f>_xll.qlDayCounterYearFraction("actual/365 (fixed)",SettlementDate,R11,,,Trigger)</f>
        <v>3.287671232876712E-2</v>
      </c>
      <c r="U11" s="47">
        <f>_xll.qlPolynomialFunctionValue($P$18,T11,AllTriggers)</f>
        <v>1.7133334531172111E-3</v>
      </c>
    </row>
    <row r="12" spans="1:27" ht="11.25" customHeight="1" x14ac:dyDescent="0.2">
      <c r="A12" s="94">
        <f t="shared" si="4"/>
        <v>8</v>
      </c>
      <c r="B12" s="21" t="s">
        <v>20</v>
      </c>
      <c r="C12" s="101">
        <f t="shared" si="1"/>
        <v>14</v>
      </c>
      <c r="D12" s="99" t="str">
        <f t="shared" si="2"/>
        <v>EUR8x14F_Quote</v>
      </c>
      <c r="E12" s="99" t="str">
        <f>_xll.qlSimpleQuote(UPPER("B"&amp;$H$1&amp;"_"&amp;A12&amp;B12&amp;C12),,,Permanent,Trigger,ObjectOverwrite)</f>
        <v>B6M_8X14#0010</v>
      </c>
      <c r="F12" s="200" t="e">
        <f>_xll.qlSimpleQuoteSetValue(E12,K12,AllTriggers)</f>
        <v>#N/A</v>
      </c>
      <c r="G12" s="212">
        <f>_xll.qlCalendarAdvance("target",SettlementDate,A12&amp;"M","mf",,Trigger)</f>
        <v>42383</v>
      </c>
      <c r="H12" s="212">
        <f>_xll.qlInterestRateIndexMaturity(ON_6M_index,G12)</f>
        <v>42565</v>
      </c>
      <c r="I12" s="47">
        <f>_xll.qlQuoteValue(D12,AllTriggers)</f>
        <v>7.7000000000000018E-4</v>
      </c>
      <c r="J12" s="47">
        <f>_xll.qlIndexFixing(ON_6M_index,_xll.qlInterestRateIndexFixingDate(ON_6M_index,G12),,AllTriggers)</f>
        <v>-1.2697712071434027E-3</v>
      </c>
      <c r="K12" s="128">
        <f t="shared" si="0"/>
        <v>2.0397712071434028E-3</v>
      </c>
      <c r="L12" s="47">
        <f>_xll.qlTenorBasisValue($P$3,G12,Trigger)</f>
        <v>2.0363432909803079E-3</v>
      </c>
      <c r="M12" s="64">
        <f t="shared" si="3"/>
        <v>3.4279161630948983E-2</v>
      </c>
      <c r="N12" s="21"/>
      <c r="O12" s="119" t="s">
        <v>95</v>
      </c>
      <c r="P12" s="120"/>
      <c r="Q12" s="20"/>
      <c r="R12" s="212">
        <f>_xll.qlCalendarAdvance(Calendar,R11,"1D","f")</f>
        <v>42151</v>
      </c>
      <c r="S12" s="47">
        <f>_xll.qlTenorBasisValue($P$3,R12,AllTriggers)</f>
        <v>1.8368288174418848E-3</v>
      </c>
      <c r="T12" s="41">
        <f>_xll.qlDayCounterYearFraction("actual/365 (fixed)",SettlementDate,R12,,,Trigger)</f>
        <v>3.5616438356164383E-2</v>
      </c>
      <c r="U12" s="47">
        <f>_xll.qlPolynomialFunctionValue($P$18,T12,AllTriggers)</f>
        <v>1.7148817343612473E-3</v>
      </c>
    </row>
    <row r="13" spans="1:27" ht="11.25" customHeight="1" x14ac:dyDescent="0.2">
      <c r="A13" s="94">
        <f t="shared" si="4"/>
        <v>9</v>
      </c>
      <c r="B13" s="21" t="s">
        <v>20</v>
      </c>
      <c r="C13" s="101">
        <f t="shared" si="1"/>
        <v>15</v>
      </c>
      <c r="D13" s="99" t="str">
        <f t="shared" si="2"/>
        <v>EUR9x15F_Quote</v>
      </c>
      <c r="E13" s="99" t="str">
        <f>_xll.qlSimpleQuote(UPPER("B"&amp;$H$1&amp;"_"&amp;A13&amp;B13&amp;C13),,,Permanent,Trigger,ObjectOverwrite)</f>
        <v>B6M_9X15#0010</v>
      </c>
      <c r="F13" s="200" t="e">
        <f>_xll.qlSimpleQuoteSetValue(E13,K13,AllTriggers)</f>
        <v>#N/A</v>
      </c>
      <c r="G13" s="212">
        <f>_xll.qlCalendarAdvance("target",SettlementDate,A13&amp;"M","mf",,Trigger)</f>
        <v>42415</v>
      </c>
      <c r="H13" s="212">
        <f>_xll.qlInterestRateIndexMaturity(ON_6M_index,G13)</f>
        <v>42597</v>
      </c>
      <c r="I13" s="47">
        <f>_xll.qlQuoteValue(D13,AllTriggers)</f>
        <v>8.200000000000002E-4</v>
      </c>
      <c r="J13" s="47">
        <f>_xll.qlIndexFixing(ON_6M_index,_xll.qlInterestRateIndexFixingDate(ON_6M_index,G13),,AllTriggers)</f>
        <v>-1.2269626406820715E-3</v>
      </c>
      <c r="K13" s="128">
        <f t="shared" si="0"/>
        <v>2.0469626406820719E-3</v>
      </c>
      <c r="L13" s="47">
        <f>_xll.qlTenorBasisValue($P$3,G13,Trigger)</f>
        <v>2.0558671420721495E-3</v>
      </c>
      <c r="M13" s="64">
        <f t="shared" si="3"/>
        <v>-8.9045013900775766E-2</v>
      </c>
      <c r="N13" s="21"/>
      <c r="O13" s="192" t="s">
        <v>77</v>
      </c>
      <c r="P13" s="66">
        <f t="array" ref="P13:P17">_xll.qlTenorInstCoefficients(P3)</f>
        <v>1.6944000054027728E-3</v>
      </c>
      <c r="Q13" s="20"/>
      <c r="R13" s="212">
        <f>_xll.qlCalendarAdvance(Calendar,R12,"1D","f")</f>
        <v>42152</v>
      </c>
      <c r="S13" s="47">
        <f>_xll.qlTenorBasisValue($P$3,R13,AllTriggers)</f>
        <v>1.8380088115773254E-3</v>
      </c>
      <c r="T13" s="41">
        <f>_xll.qlDayCounterYearFraction("actual/365 (fixed)",SettlementDate,R13,,,Trigger)</f>
        <v>3.8356164383561646E-2</v>
      </c>
      <c r="U13" s="47">
        <f>_xll.qlPolynomialFunctionValue($P$18,T13,AllTriggers)</f>
        <v>1.7164255229413681E-3</v>
      </c>
    </row>
    <row r="14" spans="1:27" ht="11.25" customHeight="1" thickBot="1" x14ac:dyDescent="0.25">
      <c r="A14" s="94">
        <f t="shared" si="4"/>
        <v>10</v>
      </c>
      <c r="B14" s="21" t="s">
        <v>20</v>
      </c>
      <c r="C14" s="101">
        <f t="shared" si="1"/>
        <v>16</v>
      </c>
      <c r="D14" s="99" t="str">
        <f t="shared" si="2"/>
        <v>EUR10x16F_Quote</v>
      </c>
      <c r="E14" s="99" t="str">
        <f>_xll.qlSimpleQuote(UPPER("B"&amp;$H$1&amp;"_"&amp;A14&amp;B14&amp;C14),,,Permanent,Trigger,ObjectOverwrite)</f>
        <v>B6M_10X16#0010</v>
      </c>
      <c r="F14" s="200" t="e">
        <f>_xll.qlSimpleQuoteSetValue(E14,K14,AllTriggers)</f>
        <v>#N/A</v>
      </c>
      <c r="G14" s="212">
        <f>_xll.qlCalendarAdvance("target",SettlementDate,A14&amp;"M","mf",,Trigger)</f>
        <v>42443</v>
      </c>
      <c r="H14" s="212">
        <f>_xll.qlInterestRateIndexMaturity(ON_6M_index,G14)</f>
        <v>42627</v>
      </c>
      <c r="I14" s="47">
        <f>_xll.qlQuoteValue(D14,AllTriggers)</f>
        <v>8.7000000000000011E-4</v>
      </c>
      <c r="J14" s="47">
        <f>_xll.qlIndexFixing(ON_6M_index,_xll.qlInterestRateIndexFixingDate(ON_6M_index,G14),,AllTriggers)</f>
        <v>-1.1779678338170586E-3</v>
      </c>
      <c r="K14" s="128">
        <f t="shared" si="0"/>
        <v>2.0479678338170587E-3</v>
      </c>
      <c r="L14" s="47">
        <f>_xll.qlTenorBasisValue($P$3,G14,Trigger)</f>
        <v>2.0721792433266635E-3</v>
      </c>
      <c r="M14" s="64">
        <f t="shared" si="3"/>
        <v>-0.24211409509604723</v>
      </c>
      <c r="N14" s="21"/>
      <c r="O14" s="192" t="s">
        <v>78</v>
      </c>
      <c r="P14" s="66">
        <v>5.8592867272964379E-4</v>
      </c>
      <c r="Q14" s="20"/>
      <c r="R14" s="212">
        <f>_xll.qlCalendarAdvance(Calendar,R13,"1D","f")</f>
        <v>42153</v>
      </c>
      <c r="S14" s="47">
        <f>_xll.qlTenorBasisValue($P$3,R14,AllTriggers)</f>
        <v>1.8391852672746236E-3</v>
      </c>
      <c r="T14" s="41">
        <f>_xll.qlDayCounterYearFraction("actual/365 (fixed)",SettlementDate,R14,,,Trigger)</f>
        <v>4.1095890410958902E-2</v>
      </c>
      <c r="U14" s="47">
        <f>_xll.qlPolynomialFunctionValue($P$18,T14,AllTriggers)</f>
        <v>1.7179648288713112E-3</v>
      </c>
      <c r="W14" s="36"/>
      <c r="X14" s="36" t="s">
        <v>49</v>
      </c>
      <c r="Y14" s="36" t="s">
        <v>38</v>
      </c>
      <c r="Z14" s="36" t="s">
        <v>39</v>
      </c>
      <c r="AA14" s="204" t="s">
        <v>93</v>
      </c>
    </row>
    <row r="15" spans="1:27" ht="11.25" customHeight="1" x14ac:dyDescent="0.2">
      <c r="A15" s="94">
        <f t="shared" si="4"/>
        <v>11</v>
      </c>
      <c r="B15" s="21" t="s">
        <v>20</v>
      </c>
      <c r="C15" s="101">
        <f t="shared" si="1"/>
        <v>17</v>
      </c>
      <c r="D15" s="99" t="str">
        <f t="shared" si="2"/>
        <v>EUR11x17F_Quote</v>
      </c>
      <c r="E15" s="99" t="str">
        <f>_xll.qlSimpleQuote(UPPER("B"&amp;$H$1&amp;"_"&amp;A15&amp;B15&amp;C15),,,Permanent,Trigger,ObjectOverwrite)</f>
        <v>B6M_11X17#0010</v>
      </c>
      <c r="F15" s="200" t="e">
        <f>_xll.qlSimpleQuoteSetValue(E15,K15,AllTriggers)</f>
        <v>#N/A</v>
      </c>
      <c r="G15" s="212">
        <f>_xll.qlCalendarAdvance("target",SettlementDate,A15&amp;"M","mf",,Trigger)</f>
        <v>42474</v>
      </c>
      <c r="H15" s="212">
        <f>_xll.qlInterestRateIndexMaturity(ON_6M_index,G15)</f>
        <v>42657</v>
      </c>
      <c r="I15" s="47">
        <f>_xll.qlQuoteValue(D15,AllTriggers)</f>
        <v>9.5E-4</v>
      </c>
      <c r="J15" s="47">
        <f>_xll.qlIndexFixing(ON_6M_index,_xll.qlInterestRateIndexFixingDate(ON_6M_index,G15),,AllTriggers)</f>
        <v>-1.140958177993909E-3</v>
      </c>
      <c r="K15" s="128">
        <f t="shared" si="0"/>
        <v>2.0909581779939091E-3</v>
      </c>
      <c r="L15" s="47">
        <f>_xll.qlTenorBasisValue($P$3,G15,Trigger)</f>
        <v>2.0896771765187287E-3</v>
      </c>
      <c r="M15" s="64">
        <f t="shared" si="3"/>
        <v>1.2810014751803329E-2</v>
      </c>
      <c r="N15" s="21"/>
      <c r="O15" s="192" t="s">
        <v>79</v>
      </c>
      <c r="P15" s="66">
        <v>-3.0793909657113783E-4</v>
      </c>
      <c r="Q15" s="20"/>
      <c r="R15" s="212">
        <f>_xll.qlCalendarAdvance(Calendar,R14,"1D","f")</f>
        <v>42156</v>
      </c>
      <c r="S15" s="47">
        <f>_xll.qlTenorBasisValue($P$3,R15,AllTriggers)</f>
        <v>1.8426935038750442E-3</v>
      </c>
      <c r="T15" s="41">
        <f>_xll.qlDayCounterYearFraction("actual/365 (fixed)",SettlementDate,R15,,,Trigger)</f>
        <v>4.9315068493150684E-2</v>
      </c>
      <c r="U15" s="47">
        <f>_xll.qlPolynomialFunctionValue($P$18,T15,AllTriggers)</f>
        <v>1.7225559508974538E-3</v>
      </c>
      <c r="W15" s="45">
        <v>0</v>
      </c>
      <c r="X15" s="45" t="s">
        <v>25</v>
      </c>
      <c r="Y15" s="175">
        <f>_xll.qlCalendarAdvance(Calendar,SettlementDate,W15&amp;"M","mf",TRUE,Trigger)</f>
        <v>42138</v>
      </c>
      <c r="Z15" s="176">
        <f>_xll.qlCalendarAdvance(Calendar,SettlementDate,X15,"Following",,Trigger)</f>
        <v>42139</v>
      </c>
      <c r="AA15" s="205">
        <f>_xll.qlTenorBasisForwardRate2(TenorBasis6M,Y15,Z15,AllTriggers)</f>
        <v>6.8197105091094556E-4</v>
      </c>
    </row>
    <row r="16" spans="1:27" ht="11.25" customHeight="1" x14ac:dyDescent="0.2">
      <c r="A16" s="94">
        <f t="shared" si="4"/>
        <v>12</v>
      </c>
      <c r="B16" s="21" t="s">
        <v>20</v>
      </c>
      <c r="C16" s="101">
        <f t="shared" si="1"/>
        <v>18</v>
      </c>
      <c r="D16" s="99" t="str">
        <f t="shared" si="2"/>
        <v>EUR12x18F_Quote</v>
      </c>
      <c r="E16" s="99" t="str">
        <f>_xll.qlSimpleQuote(UPPER("B"&amp;$H$1&amp;"_"&amp;A16&amp;B16&amp;C16),,,Permanent,Trigger,ObjectOverwrite)</f>
        <v>B6M_12X18#0010</v>
      </c>
      <c r="F16" s="200" t="e">
        <f>_xll.qlSimpleQuoteSetValue(E16,K16,AllTriggers)</f>
        <v>#N/A</v>
      </c>
      <c r="G16" s="212">
        <f>_xll.qlCalendarAdvance("target",SettlementDate,A16&amp;"M","mf",,Trigger)</f>
        <v>42506</v>
      </c>
      <c r="H16" s="212">
        <f>_xll.qlInterestRateIndexMaturity(ON_6M_index,G16)</f>
        <v>42690</v>
      </c>
      <c r="I16" s="47">
        <f>_xll.qlQuoteValue(D16,AllTriggers)</f>
        <v>1.0300000000000001E-3</v>
      </c>
      <c r="J16" s="47">
        <f>_xll.qlIndexFixing(ON_6M_index,_xll.qlInterestRateIndexFixingDate(ON_6M_index,G16),,AllTriggers)</f>
        <v>-1.0963282396588307E-3</v>
      </c>
      <c r="K16" s="128">
        <f t="shared" si="0"/>
        <v>2.1263282396588308E-3</v>
      </c>
      <c r="L16" s="47">
        <f>_xll.qlTenorBasisValue($P$3,G16,Trigger)</f>
        <v>2.1074263971271471E-3</v>
      </c>
      <c r="M16" s="64">
        <f t="shared" si="3"/>
        <v>0.1890184253168373</v>
      </c>
      <c r="N16" s="21"/>
      <c r="O16" s="192" t="s">
        <v>80</v>
      </c>
      <c r="P16" s="66">
        <v>8.1156547364020544E-5</v>
      </c>
      <c r="Q16" s="20"/>
      <c r="R16" s="212">
        <f>_xll.qlCalendarAdvance(Calendar,R15,"1D","f")</f>
        <v>42157</v>
      </c>
      <c r="S16" s="47">
        <f>_xll.qlTenorBasisValue($P$3,R16,AllTriggers)</f>
        <v>1.8438559059571528E-3</v>
      </c>
      <c r="T16" s="41">
        <f>_xll.qlDayCounterYearFraction("actual/365 (fixed)",SettlementDate,R16,,,Trigger)</f>
        <v>5.2054794520547946E-2</v>
      </c>
      <c r="U16" s="47">
        <f>_xll.qlPolynomialFunctionValue($P$18,T16,AllTriggers)</f>
        <v>1.7240774263640659E-3</v>
      </c>
      <c r="W16" s="48">
        <v>0</v>
      </c>
      <c r="X16" s="48" t="s">
        <v>26</v>
      </c>
      <c r="Y16" s="177">
        <f>_xll.qlCalendarAdvance(Calendar,SettlementDate,W16&amp;"M","mf",TRUE,Trigger)</f>
        <v>42138</v>
      </c>
      <c r="Z16" s="178">
        <f>_xll.qlCalendarAdvance(Calendar,SettlementDate,X16,"Following",,Trigger)</f>
        <v>42145</v>
      </c>
      <c r="AA16" s="206">
        <f>_xll.qlTenorBasisForwardRate2(TenorBasis6M,Y16,Z16,AllTriggers)</f>
        <v>6.8668853549677265E-4</v>
      </c>
    </row>
    <row r="17" spans="1:27" ht="11.25" customHeight="1" x14ac:dyDescent="0.2">
      <c r="A17" s="94">
        <f t="shared" si="4"/>
        <v>13</v>
      </c>
      <c r="B17" s="21" t="s">
        <v>20</v>
      </c>
      <c r="C17" s="101">
        <f t="shared" si="1"/>
        <v>19</v>
      </c>
      <c r="D17" s="99" t="str">
        <f t="shared" si="2"/>
        <v>EUR13x19F_Quote</v>
      </c>
      <c r="E17" s="99" t="str">
        <f>_xll.qlSimpleQuote(UPPER("B"&amp;$H$1&amp;"_"&amp;A17&amp;B17&amp;C17),,,Permanent,Trigger,ObjectOverwrite)</f>
        <v>B6M_13X19#0010</v>
      </c>
      <c r="F17" s="200" t="e">
        <f>_xll.qlSimpleQuoteSetValue(E17,K17,AllTriggers)</f>
        <v>#N/A</v>
      </c>
      <c r="G17" s="212">
        <f>_xll.qlCalendarAdvance("target",SettlementDate,A17&amp;"M","mf",,Trigger)</f>
        <v>42535</v>
      </c>
      <c r="H17" s="212">
        <f>_xll.qlInterestRateIndexMaturity(ON_6M_index,G17)</f>
        <v>42718</v>
      </c>
      <c r="I17" s="47">
        <f>_xll.qlQuoteValue(D17,AllTriggers)</f>
        <v>1.1099999999999999E-3</v>
      </c>
      <c r="J17" s="47">
        <f>_xll.qlIndexFixing(ON_6M_index,_xll.qlInterestRateIndexFixingDate(ON_6M_index,G17),,AllTriggers)</f>
        <v>-1.0516917755336514E-3</v>
      </c>
      <c r="K17" s="128">
        <f t="shared" si="0"/>
        <v>2.1616917755336515E-3</v>
      </c>
      <c r="L17" s="47">
        <f>_xll.qlTenorBasisValue($P$3,G17,Trigger)</f>
        <v>2.1235084541280855E-3</v>
      </c>
      <c r="M17" s="64">
        <f t="shared" si="3"/>
        <v>0.38183321405566018</v>
      </c>
      <c r="N17" s="21"/>
      <c r="O17" s="192" t="s">
        <v>81</v>
      </c>
      <c r="P17" s="66" t="e">
        <v>#N/A</v>
      </c>
      <c r="Q17" s="20"/>
      <c r="R17" s="212">
        <f>_xll.qlCalendarAdvance(Calendar,R16,"1D","f")</f>
        <v>42158</v>
      </c>
      <c r="S17" s="47">
        <f>_xll.qlTenorBasisValue($P$3,R17,AllTriggers)</f>
        <v>1.8450148196698082E-3</v>
      </c>
      <c r="T17" s="41">
        <f>_xll.qlDayCounterYearFraction("actual/365 (fixed)",SettlementDate,R17,,,Trigger)</f>
        <v>5.4794520547945202E-2</v>
      </c>
      <c r="U17" s="47">
        <f>_xll.qlPolynomialFunctionValue($P$18,T17,AllTriggers)</f>
        <v>1.725594469249189E-3</v>
      </c>
      <c r="W17" s="48">
        <v>0</v>
      </c>
      <c r="X17" s="48" t="s">
        <v>27</v>
      </c>
      <c r="Y17" s="177">
        <f>_xll.qlCalendarAdvance(Calendar,SettlementDate,W17&amp;"M","mf",TRUE,Trigger)</f>
        <v>42138</v>
      </c>
      <c r="Z17" s="178">
        <f>_xll.qlCalendarAdvance(Calendar,SettlementDate,X17,"Following",,Trigger)</f>
        <v>42152</v>
      </c>
      <c r="AA17" s="206">
        <f>_xll.qlTenorBasisForwardRate2(TenorBasis6M,Y17,Z17,AllTriggers)</f>
        <v>6.8211389028555961E-4</v>
      </c>
    </row>
    <row r="18" spans="1:27" ht="11.25" customHeight="1" x14ac:dyDescent="0.2">
      <c r="A18" s="94">
        <f t="shared" si="4"/>
        <v>14</v>
      </c>
      <c r="B18" s="21" t="s">
        <v>20</v>
      </c>
      <c r="C18" s="101">
        <f t="shared" si="1"/>
        <v>20</v>
      </c>
      <c r="D18" s="99" t="str">
        <f t="shared" si="2"/>
        <v>EUR14x20F_Quote</v>
      </c>
      <c r="E18" s="99" t="str">
        <f>_xll.qlSimpleQuote(UPPER("B"&amp;$H$1&amp;"_"&amp;A18&amp;B18&amp;C18),,,Permanent,Trigger,ObjectOverwrite)</f>
        <v>B6M_14X20#0010</v>
      </c>
      <c r="F18" s="200" t="e">
        <f>_xll.qlSimpleQuoteSetValue(E18,K18,AllTriggers)</f>
        <v>#N/A</v>
      </c>
      <c r="G18" s="212">
        <f>_xll.qlCalendarAdvance("target",SettlementDate,A18&amp;"M","mf",,Trigger)</f>
        <v>42565</v>
      </c>
      <c r="H18" s="212">
        <f>_xll.qlInterestRateIndexMaturity(ON_6M_index,G18)</f>
        <v>42751</v>
      </c>
      <c r="I18" s="47">
        <f>_xll.qlQuoteValue(D18,AllTriggers)</f>
        <v>1.23E-3</v>
      </c>
      <c r="J18" s="47">
        <f>_xll.qlIndexFixing(ON_6M_index,_xll.qlInterestRateIndexFixingDate(ON_6M_index,G18),,AllTriggers)</f>
        <v>-9.3677772057014985E-4</v>
      </c>
      <c r="K18" s="128">
        <f t="shared" si="0"/>
        <v>2.1667777205701499E-3</v>
      </c>
      <c r="L18" s="47">
        <f>_xll.qlTenorBasisValue($P$3,G18,Trigger)</f>
        <v>2.1404107076426443E-3</v>
      </c>
      <c r="M18" s="64">
        <f t="shared" si="3"/>
        <v>0.26367012927505651</v>
      </c>
      <c r="N18" s="21"/>
      <c r="O18" s="192" t="s">
        <v>99</v>
      </c>
      <c r="P18" s="66" t="str">
        <f>_xll.qlPolynomialFunction(,_xll.ohPack(P13:P17),,Trigger)</f>
        <v>obj_0086b#0010</v>
      </c>
      <c r="Q18" s="20"/>
      <c r="R18" s="212">
        <f>_xll.qlCalendarAdvance(Calendar,R17,"1D","f")</f>
        <v>42159</v>
      </c>
      <c r="S18" s="47">
        <f>_xll.qlTenorBasisValue($P$3,R18,AllTriggers)</f>
        <v>1.8461702550267489E-3</v>
      </c>
      <c r="T18" s="41">
        <f>_xll.qlDayCounterYearFraction("actual/365 (fixed)",SettlementDate,R18,,,Trigger)</f>
        <v>5.7534246575342465E-2</v>
      </c>
      <c r="U18" s="47">
        <f>_xll.qlPolynomialFunctionValue($P$18,T18,AllTriggers)</f>
        <v>1.7271070895665624E-3</v>
      </c>
      <c r="W18" s="48">
        <v>0</v>
      </c>
      <c r="X18" s="48" t="s">
        <v>28</v>
      </c>
      <c r="Y18" s="177">
        <f>_xll.qlCalendarAdvance(Calendar,SettlementDate,W18&amp;"M","mf",TRUE,Trigger)</f>
        <v>42138</v>
      </c>
      <c r="Z18" s="178">
        <f>_xll.qlCalendarAdvance(Calendar,SettlementDate,X18,"Following",,Trigger)</f>
        <v>42159</v>
      </c>
      <c r="AA18" s="206">
        <f>_xll.qlTenorBasisForwardRate2(TenorBasis6M,Y18,Z18,AllTriggers)</f>
        <v>7.6747480950243945E-4</v>
      </c>
    </row>
    <row r="19" spans="1:27" ht="11.25" customHeight="1" x14ac:dyDescent="0.2">
      <c r="A19" s="94">
        <f t="shared" si="4"/>
        <v>15</v>
      </c>
      <c r="B19" s="21" t="s">
        <v>20</v>
      </c>
      <c r="C19" s="101">
        <f t="shared" si="1"/>
        <v>21</v>
      </c>
      <c r="D19" s="99" t="str">
        <f t="shared" si="2"/>
        <v>EUR15x21F_Quote</v>
      </c>
      <c r="E19" s="99" t="str">
        <f>_xll.qlSimpleQuote(UPPER("B"&amp;$H$1&amp;"_"&amp;A19&amp;B19&amp;C19),,,Permanent,Trigger,ObjectOverwrite)</f>
        <v>B6M_15X21#0010</v>
      </c>
      <c r="F19" s="200" t="e">
        <f>_xll.qlSimpleQuoteSetValue(E19,K19,AllTriggers)</f>
        <v>#N/A</v>
      </c>
      <c r="G19" s="212">
        <f>_xll.qlCalendarAdvance("target",SettlementDate,A19&amp;"M","mf",,Trigger)</f>
        <v>42597</v>
      </c>
      <c r="H19" s="212">
        <f>_xll.qlInterestRateIndexMaturity(ON_6M_index,G19)</f>
        <v>42781</v>
      </c>
      <c r="I19" s="47">
        <f>_xll.qlQuoteValue(D19,AllTriggers)</f>
        <v>1.34E-3</v>
      </c>
      <c r="J19" s="47">
        <f>_xll.qlIndexFixing(ON_6M_index,_xll.qlInterestRateIndexFixingDate(ON_6M_index,G19),,AllTriggers)</f>
        <v>-8.6775088169510639E-4</v>
      </c>
      <c r="K19" s="128">
        <f t="shared" si="0"/>
        <v>2.2077508816951063E-3</v>
      </c>
      <c r="L19" s="47">
        <f>_xll.qlTenorBasisValue($P$3,G19,Trigger)</f>
        <v>2.159038858199075E-3</v>
      </c>
      <c r="M19" s="64">
        <f t="shared" si="3"/>
        <v>0.48712023496031309</v>
      </c>
      <c r="N19" s="21"/>
      <c r="Q19" s="20"/>
      <c r="R19" s="212">
        <f>_xll.qlCalendarAdvance(Calendar,R18,"1D","f")</f>
        <v>42160</v>
      </c>
      <c r="S19" s="47">
        <f>_xll.qlTenorBasisValue($P$3,R19,AllTriggers)</f>
        <v>1.8473222220417127E-3</v>
      </c>
      <c r="T19" s="41">
        <f>_xll.qlDayCounterYearFraction("actual/365 (fixed)",SettlementDate,R19,,,Trigger)</f>
        <v>6.0273972602739728E-2</v>
      </c>
      <c r="U19" s="47">
        <f>_xll.qlPolynomialFunctionValue($P$18,T19,AllTriggers)</f>
        <v>1.728615297329923E-3</v>
      </c>
      <c r="W19" s="129">
        <v>0</v>
      </c>
      <c r="X19" s="129" t="s">
        <v>22</v>
      </c>
      <c r="Y19" s="179">
        <f>_xll.qlCalendarAdvance(Calendar,SettlementDate,W19&amp;"M","mf",TRUE,Trigger)</f>
        <v>42138</v>
      </c>
      <c r="Z19" s="180">
        <f>_xll.qlCalendarAdvance(Calendar,SettlementDate,X19,"mf",TRUE,Trigger)</f>
        <v>42170</v>
      </c>
      <c r="AA19" s="207">
        <f>_xll.qlTenorBasisForwardRate2(TenorBasis6M,Y19,Z19,AllTriggers)</f>
        <v>7.035497652763123E-4</v>
      </c>
    </row>
    <row r="20" spans="1:27" ht="11.25" customHeight="1" x14ac:dyDescent="0.2">
      <c r="A20" s="94">
        <f t="shared" si="4"/>
        <v>16</v>
      </c>
      <c r="B20" s="21" t="s">
        <v>20</v>
      </c>
      <c r="C20" s="101">
        <f t="shared" si="1"/>
        <v>22</v>
      </c>
      <c r="D20" s="99" t="str">
        <f t="shared" si="2"/>
        <v>EUR16x22F_Quote</v>
      </c>
      <c r="E20" s="99" t="str">
        <f>_xll.qlSimpleQuote(UPPER("B"&amp;$H$1&amp;"_"&amp;A20&amp;B20&amp;C20),,,Permanent,Trigger,ObjectOverwrite)</f>
        <v>B6M_16X22#0010</v>
      </c>
      <c r="F20" s="200" t="e">
        <f>_xll.qlSimpleQuoteSetValue(E20,K20,AllTriggers)</f>
        <v>#N/A</v>
      </c>
      <c r="G20" s="212">
        <f>_xll.qlCalendarAdvance("target",SettlementDate,A20&amp;"M","mf",,Trigger)</f>
        <v>42627</v>
      </c>
      <c r="H20" s="212">
        <f>_xll.qlInterestRateIndexMaturity(ON_6M_index,G20)</f>
        <v>42808</v>
      </c>
      <c r="I20" s="47">
        <f>_xll.qlQuoteValue(D20,AllTriggers)</f>
        <v>1.4499999999999999E-3</v>
      </c>
      <c r="J20" s="47">
        <f>_xll.qlIndexFixing(ON_6M_index,_xll.qlInterestRateIndexFixingDate(ON_6M_index,G20),,AllTriggers)</f>
        <v>-7.7111426205052705E-4</v>
      </c>
      <c r="K20" s="128">
        <f t="shared" si="0"/>
        <v>2.2211142620505268E-3</v>
      </c>
      <c r="L20" s="47">
        <f>_xll.qlTenorBasisValue($P$3,G20,Trigger)</f>
        <v>2.1773499787825002E-3</v>
      </c>
      <c r="M20" s="64">
        <f t="shared" si="3"/>
        <v>0.4376428326802661</v>
      </c>
      <c r="N20" s="21"/>
      <c r="Q20" s="20"/>
      <c r="R20" s="212">
        <f>_xll.qlCalendarAdvance(Calendar,R19,"1D","f")</f>
        <v>42163</v>
      </c>
      <c r="S20" s="47">
        <f>_xll.qlTenorBasisValue($P$3,R20,AllTriggers)</f>
        <v>1.8507574131721206E-3</v>
      </c>
      <c r="T20" s="41">
        <f>_xll.qlDayCounterYearFraction("actual/365 (fixed)",SettlementDate,R20,,,Trigger)</f>
        <v>6.8493150684931503E-2</v>
      </c>
      <c r="U20" s="47">
        <f>_xll.qlPolynomialFunctionValue($P$18,T20,AllTriggers)</f>
        <v>1.7331135454333099E-3</v>
      </c>
      <c r="W20" s="48">
        <v>0</v>
      </c>
      <c r="X20" s="48" t="s">
        <v>29</v>
      </c>
      <c r="Y20" s="177">
        <f>_xll.qlCalendarAdvance(Calendar,SettlementDate,W20&amp;"M","mf",TRUE,Trigger)</f>
        <v>42138</v>
      </c>
      <c r="Z20" s="178">
        <f>_xll.qlCalendarAdvance(Calendar,SettlementDate,X20,"mf",TRUE,Trigger)</f>
        <v>42199</v>
      </c>
      <c r="AA20" s="206">
        <f>_xll.qlTenorBasisForwardRate2(TenorBasis6M,Y20,Z20,AllTriggers)</f>
        <v>6.5901978488882174E-4</v>
      </c>
    </row>
    <row r="21" spans="1:27" ht="11.25" customHeight="1" x14ac:dyDescent="0.2">
      <c r="A21" s="94">
        <f t="shared" si="4"/>
        <v>17</v>
      </c>
      <c r="B21" s="21" t="s">
        <v>20</v>
      </c>
      <c r="C21" s="101">
        <f t="shared" si="1"/>
        <v>23</v>
      </c>
      <c r="D21" s="99" t="str">
        <f t="shared" si="2"/>
        <v>EUR17x23F_Quote</v>
      </c>
      <c r="E21" s="99" t="str">
        <f>_xll.qlSimpleQuote(UPPER("B"&amp;$H$1&amp;"_"&amp;A21&amp;B21&amp;C21),,,Permanent,Trigger,ObjectOverwrite)</f>
        <v>B6M_17X23#0010</v>
      </c>
      <c r="F21" s="200" t="e">
        <f>_xll.qlSimpleQuoteSetValue(E21,K21,AllTriggers)</f>
        <v>#N/A</v>
      </c>
      <c r="G21" s="212">
        <f>_xll.qlCalendarAdvance("target",SettlementDate,A21&amp;"M","mf",,Trigger)</f>
        <v>42657</v>
      </c>
      <c r="H21" s="212">
        <f>_xll.qlInterestRateIndexMaturity(ON_6M_index,G21)</f>
        <v>42843</v>
      </c>
      <c r="I21" s="47">
        <f>_xll.qlQuoteValue(D21,AllTriggers)</f>
        <v>1.6099999999999997E-3</v>
      </c>
      <c r="J21" s="47">
        <f>_xll.qlIndexFixing(ON_6M_index,_xll.qlInterestRateIndexFixingDate(ON_6M_index,G21),,AllTriggers)</f>
        <v>-6.2144763863612674E-4</v>
      </c>
      <c r="K21" s="128">
        <f t="shared" si="0"/>
        <v>2.2314476386361263E-3</v>
      </c>
      <c r="L21" s="47">
        <f>_xll.qlTenorBasisValue($P$3,G21,Trigger)</f>
        <v>2.1967573779866807E-3</v>
      </c>
      <c r="M21" s="64">
        <f t="shared" si="3"/>
        <v>0.34690260649445587</v>
      </c>
      <c r="N21" s="21"/>
      <c r="Q21" s="20"/>
      <c r="R21" s="212">
        <f>_xll.qlCalendarAdvance(Calendar,R20,"1D","f")</f>
        <v>42164</v>
      </c>
      <c r="S21" s="47">
        <f>_xll.qlTenorBasisValue($P$3,R21,AllTriggers)</f>
        <v>1.8518956069565552E-3</v>
      </c>
      <c r="T21" s="41">
        <f>_xll.qlDayCounterYearFraction("actual/365 (fixed)",SettlementDate,R21,,,Trigger)</f>
        <v>7.1232876712328766E-2</v>
      </c>
      <c r="U21" s="47">
        <f>_xll.qlPolynomialFunctionValue($P$18,T21,AllTriggers)</f>
        <v>1.7346042031180006E-3</v>
      </c>
      <c r="W21" s="48">
        <v>0</v>
      </c>
      <c r="X21" s="48" t="s">
        <v>23</v>
      </c>
      <c r="Y21" s="177">
        <f>_xll.qlCalendarAdvance(Calendar,SettlementDate,W21&amp;"M","mf",TRUE,Trigger)</f>
        <v>42138</v>
      </c>
      <c r="Z21" s="178">
        <f>_xll.qlCalendarAdvance(Calendar,SettlementDate,X21,"mf",TRUE,Trigger)</f>
        <v>42230</v>
      </c>
      <c r="AA21" s="206">
        <f>_xll.qlTenorBasisForwardRate2(TenorBasis6M,Y21,Z21,AllTriggers)</f>
        <v>6.2330056032250641E-4</v>
      </c>
    </row>
    <row r="22" spans="1:27" ht="11.25" customHeight="1" x14ac:dyDescent="0.2">
      <c r="A22" s="95">
        <f t="shared" si="4"/>
        <v>18</v>
      </c>
      <c r="B22" s="96" t="s">
        <v>20</v>
      </c>
      <c r="C22" s="103">
        <f t="shared" si="1"/>
        <v>24</v>
      </c>
      <c r="D22" s="100" t="str">
        <f t="shared" si="2"/>
        <v>EUR18x24F_Quote</v>
      </c>
      <c r="E22" s="100" t="str">
        <f>_xll.qlSimpleQuote(UPPER("B"&amp;$H$1&amp;"_"&amp;A22&amp;B22&amp;C22),,,Permanent,Trigger,ObjectOverwrite)</f>
        <v>B6M_18X24#0010</v>
      </c>
      <c r="F22" s="201" t="e">
        <f>_xll.qlSimpleQuoteSetValue(E22,K22,AllTriggers)</f>
        <v>#N/A</v>
      </c>
      <c r="G22" s="213">
        <f>_xll.qlCalendarAdvance("target",SettlementDate,A22&amp;"M","mf",,Trigger)</f>
        <v>42688</v>
      </c>
      <c r="H22" s="213">
        <f>_xll.qlInterestRateIndexMaturity(ON_6M_index,G22)</f>
        <v>42870</v>
      </c>
      <c r="I22" s="50">
        <f>_xll.qlQuoteValue(D22,AllTriggers)</f>
        <v>1.7499999999999998E-3</v>
      </c>
      <c r="J22" s="50">
        <f>_xll.qlIndexFixing(ON_6M_index,_xll.qlInterestRateIndexFixingDate(ON_6M_index,G22),,AllTriggers)</f>
        <v>-4.6675777329724085E-4</v>
      </c>
      <c r="K22" s="115">
        <f t="shared" si="0"/>
        <v>2.2167577732972407E-3</v>
      </c>
      <c r="L22" s="50">
        <f>_xll.qlTenorBasisValue($P$3,G22,Trigger)</f>
        <v>2.2182505877648322E-3</v>
      </c>
      <c r="M22" s="65">
        <f t="shared" si="3"/>
        <v>-1.4928144675915335E-2</v>
      </c>
      <c r="N22" s="21"/>
      <c r="Q22" s="20"/>
      <c r="R22" s="212">
        <f>_xll.qlCalendarAdvance(Calendar,R21,"1D","f")</f>
        <v>42165</v>
      </c>
      <c r="S22" s="47">
        <f>_xll.qlTenorBasisValue($P$3,R22,AllTriggers)</f>
        <v>1.8530303824677023E-3</v>
      </c>
      <c r="T22" s="41">
        <f>_xll.qlDayCounterYearFraction("actual/365 (fixed)",SettlementDate,R22,,,Trigger)</f>
        <v>7.3972602739726029E-2</v>
      </c>
      <c r="U22" s="47">
        <f>_xll.qlPolynomialFunctionValue($P$18,T22,AllTriggers)</f>
        <v>1.7360904983173677E-3</v>
      </c>
      <c r="W22" s="48">
        <v>0</v>
      </c>
      <c r="X22" s="48" t="s">
        <v>30</v>
      </c>
      <c r="Y22" s="177">
        <f>_xll.qlCalendarAdvance(Calendar,SettlementDate,W22&amp;"M","mf",TRUE,Trigger)</f>
        <v>42138</v>
      </c>
      <c r="Z22" s="178">
        <f>_xll.qlCalendarAdvance(Calendar,SettlementDate,X22,"mf",TRUE,Trigger)</f>
        <v>42261</v>
      </c>
      <c r="AA22" s="206">
        <f>_xll.qlTenorBasisForwardRate2(TenorBasis6M,Y22,Z22,AllTriggers)</f>
        <v>6.0945620187230075E-4</v>
      </c>
    </row>
    <row r="23" spans="1:27" ht="11.25" customHeight="1" x14ac:dyDescent="0.2">
      <c r="G23" s="60"/>
      <c r="H23" s="60"/>
      <c r="I23" s="35"/>
      <c r="J23" s="35"/>
      <c r="K23" s="35"/>
      <c r="L23" s="21"/>
      <c r="M23" s="21"/>
      <c r="N23" s="21"/>
      <c r="Q23" s="20"/>
      <c r="R23" s="212">
        <f>_xll.qlCalendarAdvance(Calendar,R22,"1D","f")</f>
        <v>42166</v>
      </c>
      <c r="S23" s="47">
        <f>_xll.qlTenorBasisValue($P$3,R23,AllTriggers)</f>
        <v>1.8541617497193001E-3</v>
      </c>
      <c r="T23" s="41">
        <f>_xll.qlDayCounterYearFraction("actual/365 (fixed)",SettlementDate,R23,,,Trigger)</f>
        <v>7.6712328767123292E-2</v>
      </c>
      <c r="U23" s="47">
        <f>_xll.qlPolynomialFunctionValue($P$18,T23,AllTriggers)</f>
        <v>1.73757244104515E-3</v>
      </c>
      <c r="W23" s="49">
        <v>0</v>
      </c>
      <c r="X23" s="49" t="s">
        <v>31</v>
      </c>
      <c r="Y23" s="181">
        <f>_xll.qlCalendarAdvance(Calendar,SettlementDate,W23&amp;"M","mf",TRUE,Trigger)</f>
        <v>42138</v>
      </c>
      <c r="Z23" s="182">
        <f>_xll.qlCalendarAdvance(Calendar,SettlementDate,X23,"mf",TRUE,Trigger)</f>
        <v>42291</v>
      </c>
      <c r="AA23" s="208">
        <f>_xll.qlTenorBasisForwardRate2(TenorBasis6M,Y23,Z23,AllTriggers)</f>
        <v>6.3672294381501111E-4</v>
      </c>
    </row>
    <row r="24" spans="1:27" ht="11.25" customHeight="1" thickBot="1" x14ac:dyDescent="0.25">
      <c r="G24" s="60"/>
      <c r="H24" s="60"/>
      <c r="I24" s="35"/>
      <c r="J24" s="35"/>
      <c r="K24" s="35"/>
      <c r="Q24" s="20"/>
      <c r="R24" s="212">
        <f>_xll.qlCalendarAdvance(Calendar,R23,"1D","f")</f>
        <v>42167</v>
      </c>
      <c r="S24" s="47">
        <f>_xll.qlTenorBasisValue($P$3,R24,AllTriggers)</f>
        <v>1.8552897187250855E-3</v>
      </c>
      <c r="T24" s="41">
        <f>_xll.qlDayCounterYearFraction("actual/365 (fixed)",SettlementDate,R24,,,Trigger)</f>
        <v>7.9452054794520555E-2</v>
      </c>
      <c r="U24" s="47">
        <f>_xll.qlPolynomialFunctionValue($P$18,T24,AllTriggers)</f>
        <v>1.739050041315085E-3</v>
      </c>
      <c r="W24" s="127">
        <v>0</v>
      </c>
      <c r="X24" s="127" t="s">
        <v>24</v>
      </c>
      <c r="Y24" s="183">
        <f>_xll.qlCalendarAdvance(Calendar,SettlementDate,W24&amp;"M","mf",TRUE,Trigger)</f>
        <v>42138</v>
      </c>
      <c r="Z24" s="184">
        <f>_xll.qlCalendarAdvance(Calendar,SettlementDate,X24,"mf",TRUE,Trigger)</f>
        <v>42324</v>
      </c>
      <c r="AA24" s="209">
        <f>_xll.qlTenorBasisForwardRate2(TenorBasis6M,Y24,Z24,AllTriggers)</f>
        <v>6.3130418724289053E-4</v>
      </c>
    </row>
    <row r="25" spans="1:27" ht="11.25" customHeight="1" x14ac:dyDescent="0.2">
      <c r="G25" s="60"/>
      <c r="H25" s="60"/>
      <c r="I25" s="35"/>
      <c r="J25" s="35"/>
      <c r="K25" s="35"/>
      <c r="R25" s="212">
        <f>_xll.qlCalendarAdvance(Calendar,R24,"1D","f")</f>
        <v>42170</v>
      </c>
      <c r="S25" s="47">
        <f>_xll.qlTenorBasisValue($P$3,R25,AllTriggers)</f>
        <v>1.858653336404951E-3</v>
      </c>
      <c r="T25" s="41">
        <f>_xll.qlDayCounterYearFraction("actual/365 (fixed)",SettlementDate,R25,,,Trigger)</f>
        <v>8.7671232876712329E-2</v>
      </c>
      <c r="U25" s="47">
        <f>_xll.qlPolynomialFunctionValue($P$18,T25,AllTriggers)</f>
        <v>1.7434568875151866E-3</v>
      </c>
      <c r="W25" s="45">
        <v>1</v>
      </c>
      <c r="X25" s="45" t="str">
        <f t="shared" ref="X25:X30" si="5">W25+SUBSTITUTE($H$1,"M","")&amp;"M"</f>
        <v>7M</v>
      </c>
      <c r="Y25" s="175">
        <f>_xll.qlCalendarAdvance(Calendar,SettlementDate,W25&amp;"M","mf",TRUE,Trigger)</f>
        <v>42170</v>
      </c>
      <c r="Z25" s="175">
        <f>_xll.qlCalendarAdvance(Calendar,SettlementDate,X25,"mf",TRUE,Trigger)</f>
        <v>42352</v>
      </c>
      <c r="AA25" s="151">
        <f>_xll.qlTenorBasisTenorForwardRate(TenorBasis6M,Y25,AllTriggers)</f>
        <v>6.2814105172225585E-4</v>
      </c>
    </row>
    <row r="26" spans="1:27" ht="11.25" customHeight="1" x14ac:dyDescent="0.2">
      <c r="R26" s="212">
        <f>_xll.qlCalendarAdvance(Calendar,R25,"1D","f")</f>
        <v>42171</v>
      </c>
      <c r="S26" s="47">
        <f>_xll.qlTenorBasisValue($P$3,R26,AllTriggers)</f>
        <v>1.8597678125648687E-3</v>
      </c>
      <c r="T26" s="41">
        <f>_xll.qlDayCounterYearFraction("actual/365 (fixed)",SettlementDate,R26,,,Trigger)</f>
        <v>9.0410958904109592E-2</v>
      </c>
      <c r="U26" s="47">
        <f>_xll.qlPolynomialFunctionValue($P$18,T26,AllTriggers)</f>
        <v>1.7449172180911124E-3</v>
      </c>
      <c r="W26" s="48">
        <v>2</v>
      </c>
      <c r="X26" s="48" t="str">
        <f t="shared" si="5"/>
        <v>8M</v>
      </c>
      <c r="Y26" s="177">
        <f>_xll.qlCalendarAdvance(Calendar,SettlementDate,W26&amp;"M","mf",TRUE,Trigger)</f>
        <v>42199</v>
      </c>
      <c r="Z26" s="177">
        <f>_xll.qlCalendarAdvance(Calendar,SettlementDate,X26,"mf",TRUE,Trigger)</f>
        <v>42383</v>
      </c>
      <c r="AA26" s="47">
        <f>_xll.qlTenorBasisTenorForwardRate(TenorBasis6M,Y26,AllTriggers)</f>
        <v>6.3762766162596581E-4</v>
      </c>
    </row>
    <row r="27" spans="1:27" ht="11.25" customHeight="1" x14ac:dyDescent="0.2">
      <c r="R27" s="212">
        <f>_xll.qlCalendarAdvance(Calendar,R26,"1D","f")</f>
        <v>42172</v>
      </c>
      <c r="S27" s="47">
        <f>_xll.qlTenorBasisValue($P$3,R27,AllTriggers)</f>
        <v>1.8608789405476643E-3</v>
      </c>
      <c r="T27" s="41">
        <f>_xll.qlDayCounterYearFraction("actual/365 (fixed)",SettlementDate,R27,,,Trigger)</f>
        <v>9.3150684931506855E-2</v>
      </c>
      <c r="U27" s="47">
        <f>_xll.qlPolynomialFunctionValue($P$18,T27,AllTriggers)</f>
        <v>1.7463732562778803E-3</v>
      </c>
      <c r="W27" s="48">
        <v>3</v>
      </c>
      <c r="X27" s="48" t="str">
        <f t="shared" si="5"/>
        <v>9M</v>
      </c>
      <c r="Y27" s="177">
        <f>_xll.qlCalendarAdvance(Calendar,SettlementDate,W27&amp;"M","mf",TRUE,Trigger)</f>
        <v>42230</v>
      </c>
      <c r="Z27" s="177">
        <f>_xll.qlCalendarAdvance(Calendar,SettlementDate,X27,"mf",TRUE,Trigger)</f>
        <v>42415</v>
      </c>
      <c r="AA27" s="47">
        <f>_xll.qlTenorBasisTenorForwardRate(TenorBasis6M,Y27,AllTriggers)</f>
        <v>6.5210870059570882E-4</v>
      </c>
    </row>
    <row r="28" spans="1:27" ht="11.25" customHeight="1" x14ac:dyDescent="0.2">
      <c r="R28" s="212">
        <f>_xll.qlCalendarAdvance(Calendar,R27,"1D","f")</f>
        <v>42173</v>
      </c>
      <c r="S28" s="47">
        <f>_xll.qlTenorBasisValue($P$3,R28,AllTriggers)</f>
        <v>1.8619867303670751E-3</v>
      </c>
      <c r="T28" s="41">
        <f>_xll.qlDayCounterYearFraction("actual/365 (fixed)",SettlementDate,R28,,,Trigger)</f>
        <v>9.5890410958904104E-2</v>
      </c>
      <c r="U28" s="47">
        <f>_xll.qlPolynomialFunctionValue($P$18,T28,AllTriggers)</f>
        <v>1.7478250120892282E-3</v>
      </c>
      <c r="W28" s="48">
        <v>4</v>
      </c>
      <c r="X28" s="48" t="str">
        <f t="shared" si="5"/>
        <v>10M</v>
      </c>
      <c r="Y28" s="177">
        <f>_xll.qlCalendarAdvance(Calendar,SettlementDate,W28&amp;"M","mf",TRUE,Trigger)</f>
        <v>42261</v>
      </c>
      <c r="Z28" s="177">
        <f>_xll.qlCalendarAdvance(Calendar,SettlementDate,X28,"mf",TRUE,Trigger)</f>
        <v>42443</v>
      </c>
      <c r="AA28" s="47">
        <f>_xll.qlTenorBasisTenorForwardRate(TenorBasis6M,Y28,AllTriggers)</f>
        <v>6.6123228648633041E-4</v>
      </c>
    </row>
    <row r="29" spans="1:27" ht="11.25" customHeight="1" x14ac:dyDescent="0.2">
      <c r="R29" s="212">
        <f>_xll.qlCalendarAdvance(Calendar,R28,"1D","f")</f>
        <v>42174</v>
      </c>
      <c r="S29" s="47">
        <f>_xll.qlTenorBasisValue($P$3,R29,AllTriggers)</f>
        <v>1.8630911920368397E-3</v>
      </c>
      <c r="T29" s="41">
        <f>_xll.qlDayCounterYearFraction("actual/365 (fixed)",SettlementDate,R29,,,Trigger)</f>
        <v>9.8630136986301367E-2</v>
      </c>
      <c r="U29" s="47">
        <f>_xll.qlPolynomialFunctionValue($P$18,T29,AllTriggers)</f>
        <v>1.7492724955388945E-3</v>
      </c>
      <c r="W29" s="48">
        <v>5</v>
      </c>
      <c r="X29" s="48" t="str">
        <f t="shared" si="5"/>
        <v>11M</v>
      </c>
      <c r="Y29" s="177">
        <f>_xll.qlCalendarAdvance(Calendar,SettlementDate,W29&amp;"M","mf",TRUE,Trigger)</f>
        <v>42291</v>
      </c>
      <c r="Z29" s="177">
        <f>_xll.qlCalendarAdvance(Calendar,SettlementDate,X29,"mf",TRUE,Trigger)</f>
        <v>42474</v>
      </c>
      <c r="AA29" s="47">
        <f>_xll.qlTenorBasisTenorForwardRate(TenorBasis6M,Y29,AllTriggers)</f>
        <v>6.5909292087788936E-4</v>
      </c>
    </row>
    <row r="30" spans="1:27" ht="11.25" customHeight="1" x14ac:dyDescent="0.2">
      <c r="R30" s="212">
        <f>_xll.qlCalendarAdvance(Calendar,R29,"1D","f")</f>
        <v>42177</v>
      </c>
      <c r="S30" s="47">
        <f>_xll.qlTenorBasisValue($P$3,R30,AllTriggers)</f>
        <v>1.8663847082856331E-3</v>
      </c>
      <c r="T30" s="41">
        <f>_xll.qlDayCounterYearFraction("actual/365 (fixed)",SettlementDate,R30,,,Trigger)</f>
        <v>0.10684931506849316</v>
      </c>
      <c r="U30" s="47">
        <f>_xll.qlPolynomialFunctionValue($P$18,T30,AllTriggers)</f>
        <v>1.7535894118551804E-3</v>
      </c>
      <c r="W30" s="162">
        <v>6</v>
      </c>
      <c r="X30" s="162" t="str">
        <f t="shared" si="5"/>
        <v>12M</v>
      </c>
      <c r="Y30" s="185">
        <f>_xll.qlCalendarAdvance(Calendar,SettlementDate,W30&amp;"M","mf",TRUE,Trigger)</f>
        <v>42324</v>
      </c>
      <c r="Z30" s="185">
        <f>_xll.qlCalendarAdvance(Calendar,SettlementDate,X30,"mf",TRUE,Trigger)</f>
        <v>42506</v>
      </c>
      <c r="AA30" s="159">
        <f>_xll.qlTenorBasisTenorForwardRate(TenorBasis6M,Y30,AllTriggers)</f>
        <v>6.8462647416097071E-4</v>
      </c>
    </row>
    <row r="31" spans="1:27" ht="11.25" customHeight="1" x14ac:dyDescent="0.2">
      <c r="R31" s="212">
        <f>_xll.qlCalendarAdvance(Calendar,R30,"1D","f")</f>
        <v>42178</v>
      </c>
      <c r="S31" s="47">
        <f>_xll.qlTenorBasisValue($P$3,R31,AllTriggers)</f>
        <v>1.8674759574941902E-3</v>
      </c>
      <c r="T31" s="41">
        <f>_xll.qlDayCounterYearFraction("actual/365 (fixed)",SettlementDate,R31,,,Trigger)</f>
        <v>0.1095890410958904</v>
      </c>
      <c r="U31" s="47">
        <f>_xll.qlPolynomialFunctionValue($P$18,T31,AllTriggers)</f>
        <v>1.755019905995498E-3</v>
      </c>
    </row>
    <row r="32" spans="1:27" ht="11.25" customHeight="1" x14ac:dyDescent="0.2">
      <c r="R32" s="212">
        <f>_xll.qlCalendarAdvance(Calendar,R31,"1D","f")</f>
        <v>42179</v>
      </c>
      <c r="S32" s="47">
        <f>_xll.qlTenorBasisValue($P$3,R32,AllTriggers)</f>
        <v>1.8685639286217905E-3</v>
      </c>
      <c r="T32" s="41">
        <f>_xll.qlDayCounterYearFraction("actual/365 (fixed)",SettlementDate,R32,,,Trigger)</f>
        <v>0.11232876712328767</v>
      </c>
      <c r="U32" s="47">
        <f>_xll.qlPolynomialFunctionValue($P$18,T32,AllTriggers)</f>
        <v>1.7564461778428232E-3</v>
      </c>
    </row>
    <row r="33" spans="7:21" ht="11.25" customHeight="1" x14ac:dyDescent="0.2">
      <c r="R33" s="212">
        <f>_xll.qlCalendarAdvance(Calendar,R32,"1D","f")</f>
        <v>42180</v>
      </c>
      <c r="S33" s="47">
        <f>_xll.qlTenorBasisValue($P$3,R33,AllTriggers)</f>
        <v>1.8696486316821719E-3</v>
      </c>
      <c r="T33" s="41">
        <f>_xll.qlDayCounterYearFraction("actual/365 (fixed)",SettlementDate,R33,,,Trigger)</f>
        <v>0.11506849315068493</v>
      </c>
      <c r="U33" s="47">
        <f>_xll.qlPolynomialFunctionValue($P$18,T33,AllTriggers)</f>
        <v>1.7578682374108938E-3</v>
      </c>
    </row>
    <row r="34" spans="7:21" ht="11.25" customHeight="1" x14ac:dyDescent="0.2">
      <c r="R34" s="212">
        <f>_xll.qlCalendarAdvance(Calendar,R33,"1D","f")</f>
        <v>42181</v>
      </c>
      <c r="S34" s="47">
        <f>_xll.qlTenorBasisValue($P$3,R34,AllTriggers)</f>
        <v>1.8707300766890717E-3</v>
      </c>
      <c r="T34" s="41">
        <f>_xll.qlDayCounterYearFraction("actual/365 (fixed)",SettlementDate,R34,,,Trigger)</f>
        <v>0.11780821917808219</v>
      </c>
      <c r="U34" s="47">
        <f>_xll.qlPolynomialFunctionValue($P$18,T34,AllTriggers)</f>
        <v>1.7592860947134477E-3</v>
      </c>
    </row>
    <row r="35" spans="7:21" ht="11.25" customHeight="1" x14ac:dyDescent="0.2">
      <c r="R35" s="212">
        <f>_xll.qlCalendarAdvance(Calendar,R34,"1D","f")</f>
        <v>42184</v>
      </c>
      <c r="S35" s="47">
        <f>_xll.qlTenorBasisValue($P$3,R35,AllTriggers)</f>
        <v>1.8739549635262628E-3</v>
      </c>
      <c r="T35" s="41">
        <f>_xll.qlDayCounterYearFraction("actual/365 (fixed)",SettlementDate,R35,,,Trigger)</f>
        <v>0.12602739726027398</v>
      </c>
      <c r="U35" s="47">
        <f>_xll.qlPolynomialFunctionValue($P$18,T35,AllTriggers)</f>
        <v>1.7635145531653886E-3</v>
      </c>
    </row>
    <row r="36" spans="7:21" ht="11.25" customHeight="1" x14ac:dyDescent="0.2">
      <c r="R36" s="212">
        <f>_xll.qlCalendarAdvance(Calendar,R35,"1D","f")</f>
        <v>42185</v>
      </c>
      <c r="S36" s="47">
        <f>_xll.qlTenorBasisValue($P$3,R36,AllTriggers)</f>
        <v>1.8750234764566167E-3</v>
      </c>
      <c r="T36" s="41">
        <f>_xll.qlDayCounterYearFraction("actual/365 (fixed)",SettlementDate,R36,,,Trigger)</f>
        <v>0.12876712328767123</v>
      </c>
      <c r="U36" s="47">
        <f>_xll.qlPolynomialFunctionValue($P$18,T36,AllTriggers)</f>
        <v>1.7649157015432548E-3</v>
      </c>
    </row>
    <row r="37" spans="7:21" ht="11.25" customHeight="1" x14ac:dyDescent="0.2">
      <c r="R37" s="212">
        <f>_xll.qlCalendarAdvance(Calendar,R36,"1D","f")</f>
        <v>42186</v>
      </c>
      <c r="S37" s="47">
        <f>_xll.qlTenorBasisValue($P$3,R37,AllTriggers)</f>
        <v>1.8760887814021786E-3</v>
      </c>
      <c r="T37" s="41">
        <f>_xll.qlDayCounterYearFraction("actual/365 (fixed)",SettlementDate,R37,,,Trigger)</f>
        <v>0.13150684931506848</v>
      </c>
      <c r="U37" s="47">
        <f>_xll.qlPolynomialFunctionValue($P$18,T37,AllTriggers)</f>
        <v>1.7663126977242941E-3</v>
      </c>
    </row>
    <row r="38" spans="7:21" ht="11.25" customHeight="1" x14ac:dyDescent="0.2">
      <c r="R38" s="212">
        <f>_xll.qlCalendarAdvance(Calendar,R37,"1D","f")</f>
        <v>42187</v>
      </c>
      <c r="S38" s="47">
        <f>_xll.qlTenorBasisValue($P$3,R38,AllTriggers)</f>
        <v>1.8771508883766866E-3</v>
      </c>
      <c r="T38" s="41">
        <f>_xll.qlDayCounterYearFraction("actual/365 (fixed)",SettlementDate,R38,,,Trigger)</f>
        <v>0.13424657534246576</v>
      </c>
      <c r="U38" s="47">
        <f>_xll.qlPolynomialFunctionValue($P$18,T38,AllTriggers)</f>
        <v>1.7677055517222437E-3</v>
      </c>
    </row>
    <row r="39" spans="7:21" ht="11.25" customHeight="1" x14ac:dyDescent="0.2">
      <c r="R39" s="212">
        <f>_xll.qlCalendarAdvance(Calendar,R38,"1D","f")</f>
        <v>42188</v>
      </c>
      <c r="S39" s="47">
        <f>_xll.qlTenorBasisValue($P$3,R39,AllTriggers)</f>
        <v>1.8782098073938788E-3</v>
      </c>
      <c r="T39" s="41">
        <f>_xll.qlDayCounterYearFraction("actual/365 (fixed)",SettlementDate,R39,,,Trigger)</f>
        <v>0.13698630136986301</v>
      </c>
      <c r="U39" s="47">
        <f>_xll.qlPolynomialFunctionValue($P$18,T39,AllTriggers)</f>
        <v>1.7690942735508421E-3</v>
      </c>
    </row>
    <row r="40" spans="7:21" ht="11.25" customHeight="1" x14ac:dyDescent="0.2">
      <c r="R40" s="212">
        <f>_xll.qlCalendarAdvance(Calendar,R39,"1D","f")</f>
        <v>42191</v>
      </c>
      <c r="S40" s="47">
        <f>_xll.qlTenorBasisValue($P$3,R40,AllTriggers)</f>
        <v>1.8813675368389378E-3</v>
      </c>
      <c r="T40" s="41">
        <f>_xll.qlDayCounterYearFraction("actual/365 (fixed)",SettlementDate,R40,,,Trigger)</f>
        <v>0.14520547945205478</v>
      </c>
      <c r="U40" s="47">
        <f>_xll.qlPolynomialFunctionValue($P$18,T40,AllTriggers)</f>
        <v>1.7732357461579076E-3</v>
      </c>
    </row>
    <row r="41" spans="7:21" ht="11.25" customHeight="1" x14ac:dyDescent="0.2">
      <c r="R41" s="212">
        <f>_xll.qlCalendarAdvance(Calendar,R40,"1D","f")</f>
        <v>42192</v>
      </c>
      <c r="S41" s="47">
        <f>_xll.qlTenorBasisValue($P$3,R41,AllTriggers)</f>
        <v>1.8824138041642444E-3</v>
      </c>
      <c r="T41" s="41">
        <f>_xll.qlDayCounterYearFraction("actual/365 (fixed)",SettlementDate,R41,,,Trigger)</f>
        <v>0.14794520547945206</v>
      </c>
      <c r="U41" s="47">
        <f>_xll.qlPolynomialFunctionValue($P$18,T41,AllTriggers)</f>
        <v>1.7746080394464793E-3</v>
      </c>
    </row>
    <row r="42" spans="7:21" ht="11.25" customHeight="1" x14ac:dyDescent="0.2">
      <c r="R42" s="212">
        <f>_xll.qlCalendarAdvance(Calendar,R41,"1D","f")</f>
        <v>42193</v>
      </c>
      <c r="S42" s="47">
        <f>_xll.qlTenorBasisValue($P$3,R42,AllTriggers)</f>
        <v>1.8834569336009248E-3</v>
      </c>
      <c r="T42" s="41">
        <f>_xll.qlDayCounterYearFraction("actual/365 (fixed)",SettlementDate,R42,,,Trigger)</f>
        <v>0.15068493150684931</v>
      </c>
      <c r="U42" s="47">
        <f>_xll.qlPolynomialFunctionValue($P$18,T42,AllTriggers)</f>
        <v>1.775976250634389E-3</v>
      </c>
    </row>
    <row r="43" spans="7:21" ht="11.25" customHeight="1" x14ac:dyDescent="0.2">
      <c r="G43" s="60"/>
      <c r="H43" s="60"/>
      <c r="I43" s="35"/>
      <c r="J43" s="35"/>
      <c r="K43" s="35"/>
      <c r="R43" s="212">
        <f>_xll.qlCalendarAdvance(Calendar,R42,"1D","f")</f>
        <v>42194</v>
      </c>
      <c r="S43" s="47">
        <f>_xll.qlTenorBasisValue($P$3,R43,AllTriggers)</f>
        <v>1.8844969351627162E-3</v>
      </c>
      <c r="T43" s="41">
        <f>_xll.qlDayCounterYearFraction("actual/365 (fixed)",SettlementDate,R43,,,Trigger)</f>
        <v>0.15342465753424658</v>
      </c>
      <c r="U43" s="47">
        <f>_xll.qlPolynomialFunctionValue($P$18,T43,AllTriggers)</f>
        <v>1.7773403897353747E-3</v>
      </c>
    </row>
    <row r="44" spans="7:21" ht="11.25" customHeight="1" x14ac:dyDescent="0.2">
      <c r="G44" s="60"/>
      <c r="H44" s="60"/>
      <c r="I44" s="35"/>
      <c r="J44" s="35"/>
      <c r="K44" s="35"/>
      <c r="R44" s="212">
        <f>_xll.qlCalendarAdvance(Calendar,R43,"1D","f")</f>
        <v>42195</v>
      </c>
      <c r="S44" s="47">
        <f>_xll.qlTenorBasisValue($P$3,R44,AllTriggers)</f>
        <v>1.8855338188633573E-3</v>
      </c>
      <c r="T44" s="41">
        <f>_xll.qlDayCounterYearFraction("actual/365 (fixed)",SettlementDate,R44,,,Trigger)</f>
        <v>0.15616438356164383</v>
      </c>
      <c r="U44" s="47">
        <f>_xll.qlPolynomialFunctionValue($P$18,T44,AllTriggers)</f>
        <v>1.7787004667631744E-3</v>
      </c>
    </row>
    <row r="45" spans="7:21" ht="11.25" customHeight="1" x14ac:dyDescent="0.2">
      <c r="G45" s="60"/>
      <c r="H45" s="60"/>
      <c r="I45" s="35"/>
      <c r="J45" s="35"/>
      <c r="K45" s="35"/>
      <c r="R45" s="212">
        <f>_xll.qlCalendarAdvance(Calendar,R44,"1D","f")</f>
        <v>42198</v>
      </c>
      <c r="S45" s="47">
        <f>_xll.qlTenorBasisValue($P$3,R45,AllTriggers)</f>
        <v>1.8886258629357542E-3</v>
      </c>
      <c r="T45" s="41">
        <f>_xll.qlDayCounterYearFraction("actual/365 (fixed)",SettlementDate,R45,,,Trigger)</f>
        <v>0.16438356164383561</v>
      </c>
      <c r="U45" s="47">
        <f>_xll.qlPolynomialFunctionValue($P$18,T45,AllTriggers)</f>
        <v>1.7827564255448345E-3</v>
      </c>
    </row>
    <row r="46" spans="7:21" ht="11.25" customHeight="1" x14ac:dyDescent="0.2">
      <c r="G46" s="60"/>
      <c r="H46" s="60"/>
      <c r="I46" s="35"/>
      <c r="J46" s="35"/>
      <c r="K46" s="35"/>
      <c r="R46" s="212">
        <f>_xll.qlCalendarAdvance(Calendar,R45,"1D","f")</f>
        <v>42199</v>
      </c>
      <c r="S46" s="47">
        <f>_xll.qlTenorBasisValue($P$3,R46,AllTriggers)</f>
        <v>1.8896503753291711E-3</v>
      </c>
      <c r="T46" s="41">
        <f>_xll.qlDayCounterYearFraction("actual/365 (fixed)",SettlementDate,R46,,,Trigger)</f>
        <v>0.16712328767123288</v>
      </c>
      <c r="U46" s="47">
        <f>_xll.qlPolynomialFunctionValue($P$18,T46,AllTriggers)</f>
        <v>1.7841003544172684E-3</v>
      </c>
    </row>
    <row r="47" spans="7:21" ht="11.25" customHeight="1" x14ac:dyDescent="0.2">
      <c r="G47" s="60"/>
      <c r="H47" s="60"/>
      <c r="I47" s="35"/>
      <c r="J47" s="35"/>
      <c r="K47" s="35"/>
      <c r="R47" s="212">
        <f>_xll.qlCalendarAdvance(Calendar,R46,"1D","f")</f>
        <v>42200</v>
      </c>
      <c r="S47" s="47">
        <f>_xll.qlTenorBasisValue($P$3,R47,AllTriggers)</f>
        <v>1.8906718199301262E-3</v>
      </c>
      <c r="T47" s="41">
        <f>_xll.qlDayCounterYearFraction("actual/365 (fixed)",SettlementDate,R47,,,Trigger)</f>
        <v>0.16986301369863013</v>
      </c>
      <c r="U47" s="47">
        <f>_xll.qlPolynomialFunctionValue($P$18,T47,AllTriggers)</f>
        <v>1.7854402712852054E-3</v>
      </c>
    </row>
    <row r="48" spans="7:21" ht="11.25" customHeight="1" x14ac:dyDescent="0.2">
      <c r="G48" s="60"/>
      <c r="H48" s="60"/>
      <c r="I48" s="35"/>
      <c r="J48" s="35"/>
      <c r="K48" s="35"/>
      <c r="R48" s="212">
        <f>_xll.qlCalendarAdvance(Calendar,R47,"1D","f")</f>
        <v>42201</v>
      </c>
      <c r="S48" s="47">
        <f>_xll.qlTenorBasisValue($P$3,R48,AllTriggers)</f>
        <v>1.8916902067523584E-3</v>
      </c>
      <c r="T48" s="41">
        <f>_xll.qlDayCounterYearFraction("actual/365 (fixed)",SettlementDate,R48,,,Trigger)</f>
        <v>0.17260273972602741</v>
      </c>
      <c r="U48" s="47">
        <f>_xll.qlPolynomialFunctionValue($P$18,T48,AllTriggers)</f>
        <v>1.786776186162384E-3</v>
      </c>
    </row>
    <row r="49" spans="7:21" ht="11.25" customHeight="1" x14ac:dyDescent="0.2">
      <c r="G49" s="60"/>
      <c r="H49" s="60"/>
      <c r="I49" s="35"/>
      <c r="J49" s="35"/>
      <c r="K49" s="35"/>
      <c r="R49" s="212">
        <f>_xll.qlCalendarAdvance(Calendar,R48,"1D","f")</f>
        <v>42202</v>
      </c>
      <c r="S49" s="47">
        <f>_xll.qlTenorBasisValue($P$3,R49,AllTriggers)</f>
        <v>1.8927055458096049E-3</v>
      </c>
      <c r="T49" s="41">
        <f>_xll.qlDayCounterYearFraction("actual/365 (fixed)",SettlementDate,R49,,,Trigger)</f>
        <v>0.17534246575342466</v>
      </c>
      <c r="U49" s="47">
        <f>_xll.qlPolynomialFunctionValue($P$18,T49,AllTriggers)</f>
        <v>1.7881081090625414E-3</v>
      </c>
    </row>
    <row r="50" spans="7:21" ht="11.25" customHeight="1" x14ac:dyDescent="0.2">
      <c r="G50" s="60"/>
      <c r="H50" s="60"/>
      <c r="I50" s="35"/>
      <c r="J50" s="35"/>
      <c r="K50" s="35"/>
      <c r="R50" s="212">
        <f>_xll.qlCalendarAdvance(Calendar,R49,"1D","f")</f>
        <v>42205</v>
      </c>
      <c r="S50" s="47">
        <f>_xll.qlTenorBasisValue($P$3,R50,AllTriggers)</f>
        <v>1.8957333765288098E-3</v>
      </c>
      <c r="T50" s="41">
        <f>_xll.qlDayCounterYearFraction("actual/365 (fixed)",SettlementDate,R50,,,Trigger)</f>
        <v>0.18356164383561643</v>
      </c>
      <c r="U50" s="47">
        <f>_xll.qlPolynomialFunctionValue($P$18,T50,AllTriggers)</f>
        <v>1.7920800260382667E-3</v>
      </c>
    </row>
    <row r="51" spans="7:21" ht="11.25" customHeight="1" x14ac:dyDescent="0.2">
      <c r="G51" s="60"/>
      <c r="H51" s="60"/>
      <c r="I51" s="35"/>
      <c r="J51" s="35"/>
      <c r="K51" s="35"/>
      <c r="R51" s="212">
        <f>_xll.qlCalendarAdvance(Calendar,R50,"1D","f")</f>
        <v>42206</v>
      </c>
      <c r="S51" s="47">
        <f>_xll.qlTenorBasisValue($P$3,R51,AllTriggers)</f>
        <v>1.896736624663493E-3</v>
      </c>
      <c r="T51" s="41">
        <f>_xll.qlDayCounterYearFraction("actual/365 (fixed)",SettlementDate,R51,,,Trigger)</f>
        <v>0.18630136986301371</v>
      </c>
      <c r="U51" s="47">
        <f>_xll.qlPolynomialFunctionValue($P$18,T51,AllTriggers)</f>
        <v>1.7933960811677193E-3</v>
      </c>
    </row>
    <row r="52" spans="7:21" ht="11.25" customHeight="1" x14ac:dyDescent="0.2">
      <c r="G52" s="60"/>
      <c r="H52" s="60"/>
      <c r="I52" s="35"/>
      <c r="J52" s="35"/>
      <c r="K52" s="35"/>
      <c r="R52" s="212">
        <f>_xll.qlCalendarAdvance(Calendar,R51,"1D","f")</f>
        <v>42207</v>
      </c>
      <c r="S52" s="47">
        <f>_xll.qlTenorBasisValue($P$3,R52,AllTriggers)</f>
        <v>1.8977368751018802E-3</v>
      </c>
      <c r="T52" s="41">
        <f>_xll.qlDayCounterYearFraction("actual/365 (fixed)",SettlementDate,R52,,,Trigger)</f>
        <v>0.18904109589041096</v>
      </c>
      <c r="U52" s="47">
        <f>_xll.qlPolynomialFunctionValue($P$18,T52,AllTriggers)</f>
        <v>1.7947081943888402E-3</v>
      </c>
    </row>
    <row r="53" spans="7:21" ht="11.25" customHeight="1" x14ac:dyDescent="0.2">
      <c r="G53" s="60"/>
      <c r="H53" s="60"/>
      <c r="I53" s="35"/>
      <c r="J53" s="35"/>
      <c r="K53" s="35"/>
      <c r="R53" s="212">
        <f>_xll.qlCalendarAdvance(Calendar,R52,"1D","f")</f>
        <v>42208</v>
      </c>
      <c r="S53" s="47">
        <f>_xll.qlTenorBasisValue($P$3,R53,AllTriggers)</f>
        <v>1.8987341378577088E-3</v>
      </c>
      <c r="T53" s="41">
        <f>_xll.qlDayCounterYearFraction("actual/365 (fixed)",SettlementDate,R53,,,Trigger)</f>
        <v>0.19178082191780821</v>
      </c>
      <c r="U53" s="47">
        <f>_xll.qlPolynomialFunctionValue($P$18,T53,AllTriggers)</f>
        <v>1.796016375715368E-3</v>
      </c>
    </row>
    <row r="54" spans="7:21" x14ac:dyDescent="0.2">
      <c r="R54" s="212">
        <f>_xll.qlCalendarAdvance(Calendar,R53,"1D","f")</f>
        <v>42209</v>
      </c>
      <c r="S54" s="47">
        <f>_xll.qlTenorBasisValue($P$3,R54,AllTriggers)</f>
        <v>1.8997284229447177E-3</v>
      </c>
      <c r="T54" s="41">
        <f>_xll.qlDayCounterYearFraction("actual/365 (fixed)",SettlementDate,R54,,,Trigger)</f>
        <v>0.19452054794520549</v>
      </c>
      <c r="U54" s="47">
        <f>_xll.qlPolynomialFunctionValue($P$18,T54,AllTriggers)</f>
        <v>1.7973206351610401E-3</v>
      </c>
    </row>
    <row r="55" spans="7:21" x14ac:dyDescent="0.2">
      <c r="R55" s="212">
        <f>_xll.qlCalendarAdvance(Calendar,R54,"1D","f")</f>
        <v>42212</v>
      </c>
      <c r="S55" s="47">
        <f>_xll.qlTenorBasisValue($P$3,R55,AllTriggers)</f>
        <v>1.9026935123302008E-3</v>
      </c>
      <c r="T55" s="41">
        <f>_xll.qlDayCounterYearFraction("actual/365 (fixed)",SettlementDate,R55,,,Trigger)</f>
        <v>0.20273972602739726</v>
      </c>
      <c r="U55" s="47">
        <f>_xll.qlPolynomialFunctionValue($P$18,T55,AllTriggers)</f>
        <v>1.8012099823503003E-3</v>
      </c>
    </row>
    <row r="56" spans="7:21" x14ac:dyDescent="0.2">
      <c r="R56" s="212">
        <f>_xll.qlCalendarAdvance(Calendar,R55,"1D","f")</f>
        <v>42213</v>
      </c>
      <c r="S56" s="47">
        <f>_xll.qlTenorBasisValue($P$3,R56,AllTriggers)</f>
        <v>1.9036759868793071E-3</v>
      </c>
      <c r="T56" s="41">
        <f>_xll.qlDayCounterYearFraction("actual/365 (fixed)",SettlementDate,R56,,,Trigger)</f>
        <v>0.20547945205479451</v>
      </c>
      <c r="U56" s="47">
        <f>_xll.qlPolynomialFunctionValue($P$18,T56,AllTriggers)</f>
        <v>1.8024986544099284E-3</v>
      </c>
    </row>
    <row r="57" spans="7:21" x14ac:dyDescent="0.2">
      <c r="R57" s="212">
        <f>_xll.qlCalendarAdvance(Calendar,R56,"1D","f")</f>
        <v>42214</v>
      </c>
      <c r="S57" s="47">
        <f>_xll.qlTenorBasisValue($P$3,R57,AllTriggers)</f>
        <v>1.9046555338282829E-3</v>
      </c>
      <c r="T57" s="41">
        <f>_xll.qlDayCounterYearFraction("actual/365 (fixed)",SettlementDate,R57,,,Trigger)</f>
        <v>0.20821917808219179</v>
      </c>
      <c r="U57" s="47">
        <f>_xll.qlPolynomialFunctionValue($P$18,T57,AllTriggers)</f>
        <v>1.8037834546573905E-3</v>
      </c>
    </row>
    <row r="58" spans="7:21" x14ac:dyDescent="0.2">
      <c r="R58" s="212">
        <f>_xll.qlCalendarAdvance(Calendar,R57,"1D","f")</f>
        <v>42215</v>
      </c>
      <c r="S58" s="47">
        <f>_xll.qlTenorBasisValue($P$3,R58,AllTriggers)</f>
        <v>1.9056321631908655E-3</v>
      </c>
      <c r="T58" s="41">
        <f>_xll.qlDayCounterYearFraction("actual/365 (fixed)",SettlementDate,R58,,,Trigger)</f>
        <v>0.21095890410958903</v>
      </c>
      <c r="U58" s="47">
        <f>_xll.qlPolynomialFunctionValue($P$18,T58,AllTriggers)</f>
        <v>1.805064393106424E-3</v>
      </c>
    </row>
    <row r="59" spans="7:21" x14ac:dyDescent="0.2">
      <c r="R59" s="212">
        <f>_xll.qlCalendarAdvance(Calendar,R58,"1D","f")</f>
        <v>42216</v>
      </c>
      <c r="S59" s="47">
        <f>_xll.qlTenorBasisValue($P$3,R59,AllTriggers)</f>
        <v>1.9066058849807931E-3</v>
      </c>
      <c r="T59" s="41">
        <f>_xll.qlDayCounterYearFraction("actual/365 (fixed)",SettlementDate,R59,,,Trigger)</f>
        <v>0.21369863013698631</v>
      </c>
      <c r="U59" s="47">
        <f>_xll.qlPolynomialFunctionValue($P$18,T59,AllTriggers)</f>
        <v>1.8063414797707673E-3</v>
      </c>
    </row>
    <row r="60" spans="7:21" x14ac:dyDescent="0.2">
      <c r="R60" s="212">
        <f>_xll.qlCalendarAdvance(Calendar,R59,"1D","f")</f>
        <v>42219</v>
      </c>
      <c r="S60" s="47">
        <f>_xll.qlTenorBasisValue($P$3,R60,AllTriggers)</f>
        <v>1.9095097050520246E-3</v>
      </c>
      <c r="T60" s="41">
        <f>_xll.qlDayCounterYearFraction("actual/365 (fixed)",SettlementDate,R60,,,Trigger)</f>
        <v>0.22191780821917809</v>
      </c>
      <c r="U60" s="47">
        <f>_xll.qlPolynomialFunctionValue($P$18,T60,AllTriggers)</f>
        <v>1.8101497291930328E-3</v>
      </c>
    </row>
    <row r="61" spans="7:21" x14ac:dyDescent="0.2">
      <c r="R61" s="212">
        <f>_xll.qlCalendarAdvance(Calendar,R60,"1D","f")</f>
        <v>42220</v>
      </c>
      <c r="S61" s="47">
        <f>_xll.qlTenorBasisValue($P$3,R61,AllTriggers)</f>
        <v>1.9104718966887109E-3</v>
      </c>
      <c r="T61" s="41">
        <f>_xll.qlDayCounterYearFraction("actual/365 (fixed)",SettlementDate,R61,,,Trigger)</f>
        <v>0.22465753424657534</v>
      </c>
      <c r="U61" s="47">
        <f>_xll.qlPolynomialFunctionValue($P$18,T61,AllTriggers)</f>
        <v>1.8114115088559933E-3</v>
      </c>
    </row>
    <row r="62" spans="7:21" x14ac:dyDescent="0.2">
      <c r="R62" s="212">
        <f>_xll.qlCalendarAdvance(Calendar,R61,"1D","f")</f>
        <v>42221</v>
      </c>
      <c r="S62" s="47">
        <f>_xll.qlTenorBasisValue($P$3,R62,AllTriggers)</f>
        <v>1.9114312308214317E-3</v>
      </c>
      <c r="T62" s="41">
        <f>_xll.qlDayCounterYearFraction("actual/365 (fixed)",SettlementDate,R62,,,Trigger)</f>
        <v>0.22739726027397261</v>
      </c>
      <c r="U62" s="47">
        <f>_xll.qlPolynomialFunctionValue($P$18,T62,AllTriggers)</f>
        <v>1.8126694868029526E-3</v>
      </c>
    </row>
    <row r="63" spans="7:21" x14ac:dyDescent="0.2">
      <c r="R63" s="212">
        <f>_xll.qlCalendarAdvance(Calendar,R62,"1D","f")</f>
        <v>42222</v>
      </c>
      <c r="S63" s="47">
        <f>_xll.qlTenorBasisValue($P$3,R63,AllTriggers)</f>
        <v>1.9123877174639246E-3</v>
      </c>
      <c r="T63" s="41">
        <f>_xll.qlDayCounterYearFraction("actual/365 (fixed)",SettlementDate,R63,,,Trigger)</f>
        <v>0.23013698630136986</v>
      </c>
      <c r="U63" s="47">
        <f>_xll.qlPolynomialFunctionValue($P$18,T63,AllTriggers)</f>
        <v>1.8139236730476489E-3</v>
      </c>
    </row>
    <row r="64" spans="7:21" x14ac:dyDescent="0.2">
      <c r="R64" s="212">
        <f>_xll.qlCalendarAdvance(Calendar,R63,"1D","f")</f>
        <v>42223</v>
      </c>
      <c r="S64" s="47">
        <f>_xll.qlTenorBasisValue($P$3,R64,AllTriggers)</f>
        <v>1.9133413666299281E-3</v>
      </c>
      <c r="T64" s="41">
        <f>_xll.qlDayCounterYearFraction("actual/365 (fixed)",SettlementDate,R64,,,Trigger)</f>
        <v>0.23287671232876711</v>
      </c>
      <c r="U64" s="47">
        <f>_xll.qlPolynomialFunctionValue($P$18,T64,AllTriggers)</f>
        <v>1.8151740776038202E-3</v>
      </c>
    </row>
    <row r="65" spans="18:21" x14ac:dyDescent="0.2">
      <c r="R65" s="212">
        <f>_xll.qlCalendarAdvance(Calendar,R64,"1D","f")</f>
        <v>42226</v>
      </c>
      <c r="S65" s="47">
        <f>_xll.qlTenorBasisValue($P$3,R65,AllTriggers)</f>
        <v>1.916185389406378E-3</v>
      </c>
      <c r="T65" s="41">
        <f>_xll.qlDayCounterYearFraction("actual/365 (fixed)",SettlementDate,R65,,,Trigger)</f>
        <v>0.24109589041095891</v>
      </c>
      <c r="U65" s="47">
        <f>_xll.qlPolynomialFunctionValue($P$18,T65,AllTriggers)</f>
        <v>1.8189027012785611E-3</v>
      </c>
    </row>
    <row r="66" spans="18:21" x14ac:dyDescent="0.2">
      <c r="R66" s="212">
        <f>_xll.qlCalendarAdvance(Calendar,R65,"1D","f")</f>
        <v>42227</v>
      </c>
      <c r="S66" s="47">
        <f>_xll.qlTenorBasisValue($P$3,R66,AllTriggers)</f>
        <v>1.9171277888038007E-3</v>
      </c>
      <c r="T66" s="41">
        <f>_xll.qlDayCounterYearFraction("actual/365 (fixed)",SettlementDate,R66,,,Trigger)</f>
        <v>0.24383561643835616</v>
      </c>
      <c r="U66" s="47">
        <f>_xll.qlPolynomialFunctionValue($P$18,T66,AllTriggers)</f>
        <v>1.8201380792180102E-3</v>
      </c>
    </row>
    <row r="67" spans="18:21" x14ac:dyDescent="0.2">
      <c r="R67" s="212">
        <f>_xll.qlCalendarAdvance(Calendar,R66,"1D","f")</f>
        <v>42228</v>
      </c>
      <c r="S67" s="47">
        <f>_xll.qlTenorBasisValue($P$3,R67,AllTriggers)</f>
        <v>1.9180674007934235E-3</v>
      </c>
      <c r="T67" s="41">
        <f>_xll.qlDayCounterYearFraction("actual/365 (fixed)",SettlementDate,R67,,,Trigger)</f>
        <v>0.24657534246575341</v>
      </c>
      <c r="U67" s="47">
        <f>_xll.qlPolynomialFunctionValue($P$18,T67,AllTriggers)</f>
        <v>1.8213697255376237E-3</v>
      </c>
    </row>
    <row r="68" spans="18:21" x14ac:dyDescent="0.2">
      <c r="R68" s="212">
        <f>_xll.qlCalendarAdvance(Calendar,R67,"1D","f")</f>
        <v>42229</v>
      </c>
      <c r="S68" s="47">
        <f>_xll.qlTenorBasisValue($P$3,R68,AllTriggers)</f>
        <v>1.9190042353889837E-3</v>
      </c>
      <c r="T68" s="41">
        <f>_xll.qlDayCounterYearFraction("actual/365 (fixed)",SettlementDate,R68,,,Trigger)</f>
        <v>0.24931506849315069</v>
      </c>
      <c r="U68" s="47">
        <f>_xll.qlPolynomialFunctionValue($P$18,T68,AllTriggers)</f>
        <v>1.8225976502511396E-3</v>
      </c>
    </row>
    <row r="69" spans="18:21" x14ac:dyDescent="0.2">
      <c r="R69" s="212">
        <f>_xll.qlCalendarAdvance(Calendar,R68,"1D","f")</f>
        <v>42230</v>
      </c>
      <c r="S69" s="47">
        <f>_xll.qlTenorBasisValue($P$3,R69,AllTriggers)</f>
        <v>1.9199383026042192E-3</v>
      </c>
      <c r="T69" s="41">
        <f>_xll.qlDayCounterYearFraction("actual/365 (fixed)",SettlementDate,R69,,,Trigger)</f>
        <v>0.25205479452054796</v>
      </c>
      <c r="U69" s="47">
        <f>_xll.qlPolynomialFunctionValue($P$18,T69,AllTriggers)</f>
        <v>1.8238218633722953E-3</v>
      </c>
    </row>
    <row r="70" spans="18:21" x14ac:dyDescent="0.2">
      <c r="R70" s="212">
        <f>_xll.qlCalendarAdvance(Calendar,R69,"1D","f")</f>
        <v>42233</v>
      </c>
      <c r="S70" s="47">
        <f>_xll.qlTenorBasisValue($P$3,R70,AllTriggers)</f>
        <v>1.9227240001053574E-3</v>
      </c>
      <c r="T70" s="41">
        <f>_xll.qlDayCounterYearFraction("actual/365 (fixed)",SettlementDate,R70,,,Trigger)</f>
        <v>0.26027397260273971</v>
      </c>
      <c r="U70" s="47">
        <f>_xll.qlPolynomialFunctionValue($P$18,T70,AllTriggers)</f>
        <v>1.8274723333189815E-3</v>
      </c>
    </row>
    <row r="71" spans="18:21" x14ac:dyDescent="0.2">
      <c r="R71" s="212">
        <f>_xll.qlCalendarAdvance(Calendar,R70,"1D","f")</f>
        <v>42234</v>
      </c>
      <c r="S71" s="47">
        <f>_xll.qlTenorBasisValue($P$3,R71,AllTriggers)</f>
        <v>1.9236470979366736E-3</v>
      </c>
      <c r="T71" s="41">
        <f>_xll.qlDayCounterYearFraction("actual/365 (fixed)",SettlementDate,R71,,,Trigger)</f>
        <v>0.26301369863013696</v>
      </c>
      <c r="U71" s="47">
        <f>_xll.qlPolynomialFunctionValue($P$18,T71,AllTriggers)</f>
        <v>1.8286818002080764E-3</v>
      </c>
    </row>
    <row r="72" spans="18:21" x14ac:dyDescent="0.2">
      <c r="R72" s="212">
        <f>_xll.qlCalendarAdvance(Calendar,R71,"1D","f")</f>
        <v>42235</v>
      </c>
      <c r="S72" s="47">
        <f>_xll.qlTenorBasisValue($P$3,R72,AllTriggers)</f>
        <v>1.9245674784563547E-3</v>
      </c>
      <c r="T72" s="41">
        <f>_xll.qlDayCounterYearFraction("actual/365 (fixed)",SettlementDate,R72,,,Trigger)</f>
        <v>0.26575342465753427</v>
      </c>
      <c r="U72" s="47">
        <f>_xll.qlPolynomialFunctionValue($P$18,T72,AllTriggers)</f>
        <v>1.8298876055735007E-3</v>
      </c>
    </row>
    <row r="73" spans="18:21" x14ac:dyDescent="0.2">
      <c r="R73" s="212">
        <f>_xll.qlCalendarAdvance(Calendar,R72,"1D","f")</f>
        <v>42236</v>
      </c>
      <c r="S73" s="47">
        <f>_xll.qlTenorBasisValue($P$3,R73,AllTriggers)</f>
        <v>1.9254851516781388E-3</v>
      </c>
      <c r="T73" s="41">
        <f>_xll.qlDayCounterYearFraction("actual/365 (fixed)",SettlementDate,R73,,,Trigger)</f>
        <v>0.26849315068493151</v>
      </c>
      <c r="U73" s="47">
        <f>_xll.qlPolynomialFunctionValue($P$18,T73,AllTriggers)</f>
        <v>1.8310897594289927E-3</v>
      </c>
    </row>
    <row r="74" spans="18:21" x14ac:dyDescent="0.2">
      <c r="R74" s="212">
        <f>_xll.qlCalendarAdvance(Calendar,R73,"1D","f")</f>
        <v>42237</v>
      </c>
      <c r="S74" s="47">
        <f>_xll.qlTenorBasisValue($P$3,R74,AllTriggers)</f>
        <v>1.9264001276157636E-3</v>
      </c>
      <c r="T74" s="41">
        <f>_xll.qlDayCounterYearFraction("actual/365 (fixed)",SettlementDate,R74,,,Trigger)</f>
        <v>0.27123287671232876</v>
      </c>
      <c r="U74" s="47">
        <f>_xll.qlPolynomialFunctionValue($P$18,T74,AllTriggers)</f>
        <v>1.8322882717882896E-3</v>
      </c>
    </row>
    <row r="75" spans="18:21" x14ac:dyDescent="0.2">
      <c r="R75" s="212">
        <f>_xll.qlCalendarAdvance(Calendar,R74,"1D","f")</f>
        <v>42240</v>
      </c>
      <c r="S75" s="47">
        <f>_xll.qlTenorBasisValue($P$3,R75,AllTriggers)</f>
        <v>1.9291289718610606E-3</v>
      </c>
      <c r="T75" s="41">
        <f>_xll.qlDayCounterYearFraction("actual/365 (fixed)",SettlementDate,R75,,,Trigger)</f>
        <v>0.27945205479452057</v>
      </c>
      <c r="U75" s="47">
        <f>_xll.qlPolynomialFunctionValue($P$18,T75,AllTriggers)</f>
        <v>1.8358620600263916E-3</v>
      </c>
    </row>
    <row r="76" spans="18:21" x14ac:dyDescent="0.2">
      <c r="R76" s="212">
        <f>_xll.qlCalendarAdvance(Calendar,R75,"1D","f")</f>
        <v>42241</v>
      </c>
      <c r="S76" s="47">
        <f>_xll.qlTenorBasisValue($P$3,R76,AllTriggers)</f>
        <v>1.9300332587994266E-3</v>
      </c>
      <c r="T76" s="41">
        <f>_xll.qlDayCounterYearFraction("actual/365 (fixed)",SettlementDate,R76,,,Trigger)</f>
        <v>0.28219178082191781</v>
      </c>
      <c r="U76" s="47">
        <f>_xll.qlPolynomialFunctionValue($P$18,T76,AllTriggers)</f>
        <v>1.8370461065382888E-3</v>
      </c>
    </row>
    <row r="77" spans="18:21" x14ac:dyDescent="0.2">
      <c r="R77" s="212">
        <f>_xll.qlCalendarAdvance(Calendar,R76,"1D","f")</f>
        <v>42242</v>
      </c>
      <c r="S77" s="47">
        <f>_xll.qlTenorBasisValue($P$3,R77,AllTriggers)</f>
        <v>1.930934898522323E-3</v>
      </c>
      <c r="T77" s="41">
        <f>_xll.qlDayCounterYearFraction("actual/365 (fixed)",SettlementDate,R77,,,Trigger)</f>
        <v>0.28493150684931506</v>
      </c>
      <c r="U77" s="47">
        <f>_xll.qlPolynomialFunctionValue($P$18,T77,AllTriggers)</f>
        <v>1.8382265616226805E-3</v>
      </c>
    </row>
    <row r="78" spans="18:21" x14ac:dyDescent="0.2">
      <c r="R78" s="212">
        <f>_xll.qlCalendarAdvance(Calendar,R77,"1D","f")</f>
        <v>42243</v>
      </c>
      <c r="S78" s="47">
        <f>_xll.qlTenorBasisValue($P$3,R78,AllTriggers)</f>
        <v>1.9318339010434876E-3</v>
      </c>
      <c r="T78" s="41">
        <f>_xll.qlDayCounterYearFraction("actual/365 (fixed)",SettlementDate,R78,,,Trigger)</f>
        <v>0.28767123287671231</v>
      </c>
      <c r="U78" s="47">
        <f>_xll.qlPolynomialFunctionValue($P$18,T78,AllTriggers)</f>
        <v>1.8394034352933052E-3</v>
      </c>
    </row>
    <row r="79" spans="18:21" x14ac:dyDescent="0.2">
      <c r="R79" s="212">
        <f>_xll.qlCalendarAdvance(Calendar,R78,"1D","f")</f>
        <v>42244</v>
      </c>
      <c r="S79" s="47">
        <f>_xll.qlTenorBasisValue($P$3,R79,AllTriggers)</f>
        <v>1.9327302763766578E-3</v>
      </c>
      <c r="T79" s="41">
        <f>_xll.qlDayCounterYearFraction("actual/365 (fixed)",SettlementDate,R79,,,Trigger)</f>
        <v>0.29041095890410956</v>
      </c>
      <c r="U79" s="47">
        <f>_xll.qlPolynomialFunctionValue($P$18,T79,AllTriggers)</f>
        <v>1.8405767375639002E-3</v>
      </c>
    </row>
    <row r="80" spans="18:21" x14ac:dyDescent="0.2">
      <c r="R80" s="212">
        <f>_xll.qlCalendarAdvance(Calendar,R79,"1D","f")</f>
        <v>42247</v>
      </c>
      <c r="S80" s="47">
        <f>_xll.qlTenorBasisValue($P$3,R80,AllTriggers)</f>
        <v>1.9354037393855836E-3</v>
      </c>
      <c r="T80" s="41">
        <f>_xll.qlDayCounterYearFraction("actual/365 (fixed)",SettlementDate,R80,,,Trigger)</f>
        <v>0.29863013698630136</v>
      </c>
      <c r="U80" s="47">
        <f>_xll.qlPolynomialFunctionValue($P$18,T80,AllTriggers)</f>
        <v>1.844075316112888E-3</v>
      </c>
    </row>
    <row r="81" spans="18:21" x14ac:dyDescent="0.2">
      <c r="R81" s="212">
        <f>_xll.qlCalendarAdvance(Calendar,R80,"1D","f")</f>
        <v>42248</v>
      </c>
      <c r="S81" s="47">
        <f>_xll.qlTenorBasisValue($P$3,R81,AllTriggers)</f>
        <v>1.9362897061041564E-3</v>
      </c>
      <c r="T81" s="41">
        <f>_xll.qlDayCounterYearFraction("actual/365 (fixed)",SettlementDate,R81,,,Trigger)</f>
        <v>0.30136986301369861</v>
      </c>
      <c r="U81" s="47">
        <f>_xll.qlPolynomialFunctionValue($P$18,T81,AllTriggers)</f>
        <v>1.845234432920744E-3</v>
      </c>
    </row>
    <row r="82" spans="18:21" x14ac:dyDescent="0.2">
      <c r="R82" s="212">
        <f>_xll.qlCalendarAdvance(Calendar,R81,"1D","f")</f>
        <v>42249</v>
      </c>
      <c r="S82" s="47">
        <f>_xll.qlTenorBasisValue($P$3,R82,AllTriggers)</f>
        <v>1.9371730957034252E-3</v>
      </c>
      <c r="T82" s="41">
        <f>_xll.qlDayCounterYearFraction("actual/365 (fixed)",SettlementDate,R82,,,Trigger)</f>
        <v>0.30410958904109592</v>
      </c>
      <c r="U82" s="47">
        <f>_xll.qlPolynomialFunctionValue($P$18,T82,AllTriggers)</f>
        <v>1.8463900283972603E-3</v>
      </c>
    </row>
    <row r="83" spans="18:21" x14ac:dyDescent="0.2">
      <c r="R83" s="212">
        <f>_xll.qlCalendarAdvance(Calendar,R82,"1D","f")</f>
        <v>42250</v>
      </c>
      <c r="S83" s="47">
        <f>_xll.qlTenorBasisValue($P$3,R83,AllTriggers)</f>
        <v>1.9380539181971265E-3</v>
      </c>
      <c r="T83" s="41">
        <f>_xll.qlDayCounterYearFraction("actual/365 (fixed)",SettlementDate,R83,,,Trigger)</f>
        <v>0.30684931506849317</v>
      </c>
      <c r="U83" s="47">
        <f>_xll.qlPolynomialFunctionValue($P$18,T83,AllTriggers)</f>
        <v>1.8475421125561744E-3</v>
      </c>
    </row>
    <row r="84" spans="18:21" x14ac:dyDescent="0.2">
      <c r="R84" s="212">
        <f>_xll.qlCalendarAdvance(Calendar,R83,"1D","f")</f>
        <v>42251</v>
      </c>
      <c r="S84" s="47">
        <f>_xll.qlTenorBasisValue($P$3,R84,AllTriggers)</f>
        <v>1.9389321835989993E-3</v>
      </c>
      <c r="T84" s="41">
        <f>_xll.qlDayCounterYearFraction("actual/365 (fixed)",SettlementDate,R84,,,Trigger)</f>
        <v>0.30958904109589042</v>
      </c>
      <c r="U84" s="47">
        <f>_xll.qlPolynomialFunctionValue($P$18,T84,AllTriggers)</f>
        <v>1.8486906954112243E-3</v>
      </c>
    </row>
    <row r="85" spans="18:21" x14ac:dyDescent="0.2">
      <c r="R85" s="212">
        <f>_xll.qlCalendarAdvance(Calendar,R84,"1D","f")</f>
        <v>42254</v>
      </c>
      <c r="S85" s="47">
        <f>_xll.qlTenorBasisValue($P$3,R85,AllTriggers)</f>
        <v>1.9415517373910236E-3</v>
      </c>
      <c r="T85" s="41">
        <f>_xll.qlDayCounterYearFraction("actual/365 (fixed)",SettlementDate,R85,,,Trigger)</f>
        <v>0.31780821917808222</v>
      </c>
      <c r="U85" s="47">
        <f>_xll.qlPolynomialFunctionValue($P$18,T85,AllTriggers)</f>
        <v>1.8521155362905674E-3</v>
      </c>
    </row>
    <row r="86" spans="18:21" x14ac:dyDescent="0.2">
      <c r="R86" s="212">
        <f>_xll.qlCalendarAdvance(Calendar,R85,"1D","f")</f>
        <v>42255</v>
      </c>
      <c r="S86" s="47">
        <f>_xll.qlTenorBasisValue($P$3,R86,AllTriggers)</f>
        <v>1.9424198745629604E-3</v>
      </c>
      <c r="T86" s="41">
        <f>_xll.qlDayCounterYearFraction("actual/365 (fixed)",SettlementDate,R86,,,Trigger)</f>
        <v>0.32054794520547947</v>
      </c>
      <c r="U86" s="47">
        <f>_xll.qlPolynomialFunctionValue($P$18,T86,AllTriggers)</f>
        <v>1.8532502140675394E-3</v>
      </c>
    </row>
    <row r="87" spans="18:21" x14ac:dyDescent="0.2">
      <c r="R87" s="212">
        <f>_xll.qlCalendarAdvance(Calendar,R86,"1D","f")</f>
        <v>42256</v>
      </c>
      <c r="S87" s="47">
        <f>_xll.qlTenorBasisValue($P$3,R87,AllTriggers)</f>
        <v>1.9432855047117573E-3</v>
      </c>
      <c r="T87" s="41">
        <f>_xll.qlDayCounterYearFraction("actual/365 (fixed)",SettlementDate,R87,,,Trigger)</f>
        <v>0.32328767123287672</v>
      </c>
      <c r="U87" s="47">
        <f>_xll.qlPolynomialFunctionValue($P$18,T87,AllTriggers)</f>
        <v>1.8543814406093363E-3</v>
      </c>
    </row>
    <row r="88" spans="18:21" x14ac:dyDescent="0.2">
      <c r="R88" s="212">
        <f>_xll.qlCalendarAdvance(Calendar,R87,"1D","f")</f>
        <v>42257</v>
      </c>
      <c r="S88" s="47">
        <f>_xll.qlTenorBasisValue($P$3,R88,AllTriggers)</f>
        <v>1.9441486378511527E-3</v>
      </c>
      <c r="T88" s="41">
        <f>_xll.qlDayCounterYearFraction("actual/365 (fixed)",SettlementDate,R88,,,Trigger)</f>
        <v>0.32602739726027397</v>
      </c>
      <c r="U88" s="47">
        <f>_xll.qlPolynomialFunctionValue($P$18,T88,AllTriggers)</f>
        <v>1.8555092259296966E-3</v>
      </c>
    </row>
    <row r="89" spans="18:21" x14ac:dyDescent="0.2">
      <c r="R89" s="212">
        <f>_xll.qlCalendarAdvance(Calendar,R88,"1D","f")</f>
        <v>42258</v>
      </c>
      <c r="S89" s="47">
        <f>_xll.qlTenorBasisValue($P$3,R89,AllTriggers)</f>
        <v>1.9450092839948844E-3</v>
      </c>
      <c r="T89" s="41">
        <f>_xll.qlDayCounterYearFraction("actual/365 (fixed)",SettlementDate,R89,,,Trigger)</f>
        <v>0.32876712328767121</v>
      </c>
      <c r="U89" s="47">
        <f>_xll.qlPolynomialFunctionValue($P$18,T89,AllTriggers)</f>
        <v>1.856633580042358E-3</v>
      </c>
    </row>
    <row r="90" spans="18:21" x14ac:dyDescent="0.2">
      <c r="R90" s="212">
        <f>_xll.qlCalendarAdvance(Calendar,R89,"1D","f")</f>
        <v>42261</v>
      </c>
      <c r="S90" s="47">
        <f>_xll.qlTenorBasisValue($P$3,R90,AllTriggers)</f>
        <v>1.9475764005894777E-3</v>
      </c>
      <c r="T90" s="41">
        <f>_xll.qlDayCounterYearFraction("actual/365 (fixed)",SettlementDate,R90,,,Trigger)</f>
        <v>0.33698630136986302</v>
      </c>
      <c r="U90" s="47">
        <f>_xll.qlPolynomialFunctionValue($P$18,T90,AllTriggers)</f>
        <v>1.8599861552715271E-3</v>
      </c>
    </row>
    <row r="91" spans="18:21" x14ac:dyDescent="0.2">
      <c r="R91" s="212">
        <f>_xll.qlCalendarAdvance(Calendar,R90,"1D","f")</f>
        <v>42262</v>
      </c>
      <c r="S91" s="47">
        <f>_xll.qlTenorBasisValue($P$3,R91,AllTriggers)</f>
        <v>1.9484271988879347E-3</v>
      </c>
      <c r="T91" s="41">
        <f>_xll.qlDayCounterYearFraction("actual/365 (fixed)",SettlementDate,R91,,,Trigger)</f>
        <v>0.33972602739726027</v>
      </c>
      <c r="U91" s="47">
        <f>_xll.qlPolynomialFunctionValue($P$18,T91,AllTriggers)</f>
        <v>1.8610968846907716E-3</v>
      </c>
    </row>
    <row r="92" spans="18:21" x14ac:dyDescent="0.2">
      <c r="R92" s="212">
        <f>_xll.qlCalendarAdvance(Calendar,R91,"1D","f")</f>
        <v>42263</v>
      </c>
      <c r="S92" s="47">
        <f>_xll.qlTenorBasisValue($P$3,R92,AllTriggers)</f>
        <v>1.9492755602594169E-3</v>
      </c>
      <c r="T92" s="41">
        <f>_xll.qlDayCounterYearFraction("actual/365 (fixed)",SettlementDate,R92,,,Trigger)</f>
        <v>0.34246575342465752</v>
      </c>
      <c r="U92" s="47">
        <f>_xll.qlPolynomialFunctionValue($P$18,T92,AllTriggers)</f>
        <v>1.8622042329710061E-3</v>
      </c>
    </row>
    <row r="93" spans="18:21" x14ac:dyDescent="0.2">
      <c r="R93" s="212">
        <f>_xll.qlCalendarAdvance(Calendar,R92,"1D","f")</f>
        <v>42264</v>
      </c>
      <c r="S93" s="47">
        <f>_xll.qlTenorBasisValue($P$3,R93,AllTriggers)</f>
        <v>1.9501214947176631E-3</v>
      </c>
      <c r="T93" s="41">
        <f>_xll.qlDayCounterYearFraction("actual/365 (fixed)",SettlementDate,R93,,,Trigger)</f>
        <v>0.34520547945205482</v>
      </c>
      <c r="U93" s="47">
        <f>_xll.qlPolynomialFunctionValue($P$18,T93,AllTriggers)</f>
        <v>1.8633082101259695E-3</v>
      </c>
    </row>
    <row r="94" spans="18:21" x14ac:dyDescent="0.2">
      <c r="R94" s="212">
        <f>_xll.qlCalendarAdvance(Calendar,R93,"1D","f")</f>
        <v>42265</v>
      </c>
      <c r="S94" s="47">
        <f>_xll.qlTenorBasisValue($P$3,R94,AllTriggers)</f>
        <v>1.950965012276411E-3</v>
      </c>
      <c r="T94" s="41">
        <f>_xll.qlDayCounterYearFraction("actual/365 (fixed)",SettlementDate,R94,,,Trigger)</f>
        <v>0.34794520547945207</v>
      </c>
      <c r="U94" s="47">
        <f>_xll.qlPolynomialFunctionValue($P$18,T94,AllTriggers)</f>
        <v>1.8644088261693986E-3</v>
      </c>
    </row>
    <row r="95" spans="18:21" x14ac:dyDescent="0.2">
      <c r="R95" s="212">
        <f>_xll.qlCalendarAdvance(Calendar,R94,"1D","f")</f>
        <v>42268</v>
      </c>
      <c r="S95" s="47">
        <f>_xll.qlTenorBasisValue($P$3,R95,AllTriggers)</f>
        <v>1.9534811636930435E-3</v>
      </c>
      <c r="T95" s="41">
        <f>_xll.qlDayCounterYearFraction("actual/365 (fixed)",SettlementDate,R95,,,Trigger)</f>
        <v>0.35616438356164382</v>
      </c>
      <c r="U95" s="47">
        <f>_xll.qlPolynomialFunctionValue($P$18,T95,AllTriggers)</f>
        <v>1.8676906077678638E-3</v>
      </c>
    </row>
    <row r="96" spans="18:21" x14ac:dyDescent="0.2">
      <c r="R96" s="212">
        <f>_xll.qlCalendarAdvance(Calendar,R95,"1D","f")</f>
        <v>42269</v>
      </c>
      <c r="S96" s="47">
        <f>_xll.qlTenorBasisValue($P$3,R96,AllTriggers)</f>
        <v>1.9543151137911764E-3</v>
      </c>
      <c r="T96" s="41">
        <f>_xll.qlDayCounterYearFraction("actual/365 (fixed)",SettlementDate,R96,,,Trigger)</f>
        <v>0.35890410958904112</v>
      </c>
      <c r="U96" s="47">
        <f>_xll.qlPolynomialFunctionValue($P$18,T96,AllTriggers)</f>
        <v>1.8687778795025371E-3</v>
      </c>
    </row>
    <row r="97" spans="18:21" x14ac:dyDescent="0.2">
      <c r="R97" s="212">
        <f>_xll.qlCalendarAdvance(Calendar,R96,"1D","f")</f>
        <v>42270</v>
      </c>
      <c r="S97" s="47">
        <f>_xll.qlTenorBasisValue($P$3,R97,AllTriggers)</f>
        <v>1.9551466970585008E-3</v>
      </c>
      <c r="T97" s="41">
        <f>_xll.qlDayCounterYearFraction("actual/365 (fixed)",SettlementDate,R97,,,Trigger)</f>
        <v>0.36164383561643837</v>
      </c>
      <c r="U97" s="47">
        <f>_xll.qlPolynomialFunctionValue($P$18,T97,AllTriggers)</f>
        <v>1.8698618401943663E-3</v>
      </c>
    </row>
    <row r="98" spans="18:21" x14ac:dyDescent="0.2">
      <c r="R98" s="212">
        <f>_xll.qlCalendarAdvance(Calendar,R97,"1D","f")</f>
        <v>42271</v>
      </c>
      <c r="S98" s="47">
        <f>_xll.qlTenorBasisValue($P$3,R98,AllTriggers)</f>
        <v>1.9559759235087547E-3</v>
      </c>
      <c r="T98" s="41">
        <f>_xll.qlDayCounterYearFraction("actual/365 (fixed)",SettlementDate,R98,,,Trigger)</f>
        <v>0.36438356164383562</v>
      </c>
      <c r="U98" s="47">
        <f>_xll.qlPolynomialFunctionValue($P$18,T98,AllTriggers)</f>
        <v>1.8709424998570891E-3</v>
      </c>
    </row>
    <row r="99" spans="18:21" x14ac:dyDescent="0.2">
      <c r="R99" s="212">
        <f>_xll.qlCalendarAdvance(Calendar,R98,"1D","f")</f>
        <v>42272</v>
      </c>
      <c r="S99" s="47">
        <f>_xll.qlTenorBasisValue($P$3,R99,AllTriggers)</f>
        <v>1.9568028031556749E-3</v>
      </c>
      <c r="T99" s="41">
        <f>_xll.qlDayCounterYearFraction("actual/365 (fixed)",SettlementDate,R99,,,Trigger)</f>
        <v>0.36712328767123287</v>
      </c>
      <c r="U99" s="47">
        <f>_xll.qlPolynomialFunctionValue($P$18,T99,AllTriggers)</f>
        <v>1.8720198685044434E-3</v>
      </c>
    </row>
    <row r="100" spans="18:21" x14ac:dyDescent="0.2">
      <c r="R100" s="212">
        <f>_xll.qlCalendarAdvance(Calendar,R99,"1D","f")</f>
        <v>42275</v>
      </c>
      <c r="S100" s="47">
        <f>_xll.qlTenorBasisValue($P$3,R100,AllTriggers)</f>
        <v>1.9592694614138165E-3</v>
      </c>
      <c r="T100" s="41">
        <f>_xll.qlDayCounterYearFraction("actual/365 (fixed)",SettlementDate,R100,,,Trigger)</f>
        <v>0.37534246575342467</v>
      </c>
      <c r="U100" s="47">
        <f>_xll.qlPolynomialFunctionValue($P$18,T100,AllTriggers)</f>
        <v>1.8752323284916745E-3</v>
      </c>
    </row>
    <row r="101" spans="18:21" x14ac:dyDescent="0.2">
      <c r="R101" s="212">
        <f>_xll.qlCalendarAdvance(Calendar,R100,"1D","f")</f>
        <v>42276</v>
      </c>
      <c r="S101" s="47">
        <f>_xll.qlTenorBasisValue($P$3,R101,AllTriggers)</f>
        <v>1.9600870539847829E-3</v>
      </c>
      <c r="T101" s="41">
        <f>_xll.qlDayCounterYearFraction("actual/365 (fixed)",SettlementDate,R101,,,Trigger)</f>
        <v>0.37808219178082192</v>
      </c>
      <c r="U101" s="47">
        <f>_xll.qlPolynomialFunctionValue($P$18,T101,AllTriggers)</f>
        <v>1.8762966332149336E-3</v>
      </c>
    </row>
    <row r="102" spans="18:21" x14ac:dyDescent="0.2">
      <c r="R102" s="212">
        <f>_xll.qlCalendarAdvance(Calendar,R101,"1D","f")</f>
        <v>42277</v>
      </c>
      <c r="S102" s="47">
        <f>_xll.qlTenorBasisValue($P$3,R102,AllTriggers)</f>
        <v>1.9609023498211057E-3</v>
      </c>
      <c r="T102" s="41">
        <f>_xll.qlDayCounterYearFraction("actual/365 (fixed)",SettlementDate,R102,,,Trigger)</f>
        <v>0.38082191780821917</v>
      </c>
      <c r="U102" s="47">
        <f>_xll.qlPolynomialFunctionValue($P$18,T102,AllTriggers)</f>
        <v>1.8773576969915138E-3</v>
      </c>
    </row>
    <row r="103" spans="18:21" x14ac:dyDescent="0.2">
      <c r="R103" s="212">
        <f>_xll.qlCalendarAdvance(Calendar,R102,"1D","f")</f>
        <v>42278</v>
      </c>
      <c r="S103" s="47">
        <f>_xll.qlTenorBasisValue($P$3,R103,AllTriggers)</f>
        <v>1.9617153589365239E-3</v>
      </c>
      <c r="T103" s="41">
        <f>_xll.qlDayCounterYearFraction("actual/365 (fixed)",SettlementDate,R103,,,Trigger)</f>
        <v>0.38356164383561642</v>
      </c>
      <c r="U103" s="47">
        <f>_xll.qlPolynomialFunctionValue($P$18,T103,AllTriggers)</f>
        <v>1.878415529835153E-3</v>
      </c>
    </row>
    <row r="104" spans="18:21" x14ac:dyDescent="0.2">
      <c r="R104" s="212">
        <f>_xll.qlCalendarAdvance(Calendar,R103,"1D","f")</f>
        <v>42279</v>
      </c>
      <c r="S104" s="47">
        <f>_xll.qlTenorBasisValue($P$3,R104,AllTriggers)</f>
        <v>1.9625260913447729E-3</v>
      </c>
      <c r="T104" s="41">
        <f>_xll.qlDayCounterYearFraction("actual/365 (fixed)",SettlementDate,R104,,,Trigger)</f>
        <v>0.38630136986301372</v>
      </c>
      <c r="U104" s="47">
        <f>_xll.qlPolynomialFunctionValue($P$18,T104,AllTriggers)</f>
        <v>1.8794701417595887E-3</v>
      </c>
    </row>
    <row r="105" spans="18:21" x14ac:dyDescent="0.2">
      <c r="R105" s="212">
        <f>_xll.qlCalendarAdvance(Calendar,R104,"1D","f")</f>
        <v>42282</v>
      </c>
      <c r="S105" s="47">
        <f>_xll.qlTenorBasisValue($P$3,R105,AllTriggers)</f>
        <v>1.964944728463894E-3</v>
      </c>
      <c r="T105" s="41">
        <f>_xll.qlDayCounterYearFraction("actual/365 (fixed)",SettlementDate,R105,,,Trigger)</f>
        <v>0.39452054794520547</v>
      </c>
      <c r="U105" s="47">
        <f>_xll.qlPolynomialFunctionValue($P$18,T105,AllTriggers)</f>
        <v>1.8826147521550558E-3</v>
      </c>
    </row>
    <row r="106" spans="18:21" x14ac:dyDescent="0.2">
      <c r="R106" s="212">
        <f>_xll.qlCalendarAdvance(Calendar,R105,"1D","f")</f>
        <v>42283</v>
      </c>
      <c r="S106" s="47">
        <f>_xll.qlTenorBasisValue($P$3,R106,AllTriggers)</f>
        <v>1.9657464541808509E-3</v>
      </c>
      <c r="T106" s="41">
        <f>_xll.qlDayCounterYearFraction("actual/365 (fixed)",SettlementDate,R106,,,Trigger)</f>
        <v>0.39726027397260272</v>
      </c>
      <c r="U106" s="47">
        <f>_xll.qlPolynomialFunctionValue($P$18,T106,AllTriggers)</f>
        <v>1.8836565805400575E-3</v>
      </c>
    </row>
    <row r="107" spans="18:21" x14ac:dyDescent="0.2">
      <c r="R107" s="212">
        <f>_xll.qlCalendarAdvance(Calendar,R106,"1D","f")</f>
        <v>42284</v>
      </c>
      <c r="S107" s="47">
        <f>_xll.qlTenorBasisValue($P$3,R107,AllTriggers)</f>
        <v>1.9665459532593296E-3</v>
      </c>
      <c r="T107" s="41">
        <f>_xll.qlDayCounterYearFraction("actual/365 (fixed)",SettlementDate,R107,,,Trigger)</f>
        <v>0.4</v>
      </c>
      <c r="U107" s="47">
        <f>_xll.qlPolynomialFunctionValue($P$18,T107,AllTriggers)</f>
        <v>1.8846952380745458E-3</v>
      </c>
    </row>
    <row r="108" spans="18:21" x14ac:dyDescent="0.2">
      <c r="R108" s="212">
        <f>_xll.qlCalendarAdvance(Calendar,R107,"1D","f")</f>
        <v>42285</v>
      </c>
      <c r="S108" s="47">
        <f>_xll.qlTenorBasisValue($P$3,R108,AllTriggers)</f>
        <v>1.9673432357130679E-3</v>
      </c>
      <c r="T108" s="41">
        <f>_xll.qlDayCounterYearFraction("actual/365 (fixed)",SettlementDate,R108,,,Trigger)</f>
        <v>0.40273972602739727</v>
      </c>
      <c r="U108" s="47">
        <f>_xll.qlPolynomialFunctionValue($P$18,T108,AllTriggers)</f>
        <v>1.8857307347722578E-3</v>
      </c>
    </row>
    <row r="109" spans="18:21" x14ac:dyDescent="0.2">
      <c r="R109" s="212">
        <f>_xll.qlCalendarAdvance(Calendar,R108,"1D","f")</f>
        <v>42286</v>
      </c>
      <c r="S109" s="47">
        <f>_xll.qlTenorBasisValue($P$3,R109,AllTriggers)</f>
        <v>1.9681383115558032E-3</v>
      </c>
      <c r="T109" s="41">
        <f>_xll.qlDayCounterYearFraction("actual/365 (fixed)",SettlementDate,R109,,,Trigger)</f>
        <v>0.40547945205479452</v>
      </c>
      <c r="U109" s="47">
        <f>_xll.qlPolynomialFunctionValue($P$18,T109,AllTriggers)</f>
        <v>1.8867630806469317E-3</v>
      </c>
    </row>
    <row r="110" spans="18:21" x14ac:dyDescent="0.2">
      <c r="R110" s="212">
        <f>_xll.qlCalendarAdvance(Calendar,R109,"1D","f")</f>
        <v>42289</v>
      </c>
      <c r="S110" s="47">
        <f>_xll.qlTenorBasisValue($P$3,R110,AllTriggers)</f>
        <v>1.9705103995553731E-3</v>
      </c>
      <c r="T110" s="41">
        <f>_xll.qlDayCounterYearFraction("actual/365 (fixed)",SettlementDate,R110,,,Trigger)</f>
        <v>0.41369863013698632</v>
      </c>
      <c r="U110" s="47">
        <f>_xll.qlPolynomialFunctionValue($P$18,T110,AllTriggers)</f>
        <v>1.8898413134701051E-3</v>
      </c>
    </row>
    <row r="111" spans="18:21" x14ac:dyDescent="0.2">
      <c r="R111" s="212">
        <f>_xll.qlCalendarAdvance(Calendar,R110,"1D","f")</f>
        <v>42290</v>
      </c>
      <c r="S111" s="47">
        <f>_xll.qlTenorBasisValue($P$3,R111,AllTriggers)</f>
        <v>1.9712967490914772E-3</v>
      </c>
      <c r="T111" s="41">
        <f>_xll.qlDayCounterYearFraction("actual/365 (fixed)",SettlementDate,R111,,,Trigger)</f>
        <v>0.41643835616438357</v>
      </c>
      <c r="U111" s="47">
        <f>_xll.qlPolynomialFunctionValue($P$18,T111,AllTriggers)</f>
        <v>1.890861156190006E-3</v>
      </c>
    </row>
    <row r="112" spans="18:21" x14ac:dyDescent="0.2">
      <c r="R112" s="212">
        <f>_xll.qlCalendarAdvance(Calendar,R111,"1D","f")</f>
        <v>42291</v>
      </c>
      <c r="S112" s="47">
        <f>_xll.qlTenorBasisValue($P$3,R112,AllTriggers)</f>
        <v>1.9720809420852681E-3</v>
      </c>
      <c r="T112" s="41">
        <f>_xll.qlDayCounterYearFraction("actual/365 (fixed)",SettlementDate,R112,,,Trigger)</f>
        <v>0.41917808219178082</v>
      </c>
      <c r="U112" s="47">
        <f>_xll.qlPolynomialFunctionValue($P$18,T112,AllTriggers)</f>
        <v>1.8918778981555585E-3</v>
      </c>
    </row>
    <row r="113" spans="18:21" x14ac:dyDescent="0.2">
      <c r="R113" s="212">
        <f>_xll.qlCalendarAdvance(Calendar,R112,"1D","f")</f>
        <v>42292</v>
      </c>
      <c r="S113" s="47">
        <f>_xll.qlTenorBasisValue($P$3,R113,AllTriggers)</f>
        <v>1.9728629885504838E-3</v>
      </c>
      <c r="T113" s="41">
        <f>_xll.qlDayCounterYearFraction("actual/365 (fixed)",SettlementDate,R113,,,Trigger)</f>
        <v>0.42191780821917807</v>
      </c>
      <c r="U113" s="47">
        <f>_xll.qlPolynomialFunctionValue($P$18,T113,AllTriggers)</f>
        <v>1.8928915493805004E-3</v>
      </c>
    </row>
    <row r="114" spans="18:21" x14ac:dyDescent="0.2">
      <c r="R114" s="212">
        <f>_xll.qlCalendarAdvance(Calendar,R113,"1D","f")</f>
        <v>42293</v>
      </c>
      <c r="S114" s="47">
        <f>_xll.qlTenorBasisValue($P$3,R114,AllTriggers)</f>
        <v>1.9736428985008621E-3</v>
      </c>
      <c r="T114" s="41">
        <f>_xll.qlDayCounterYearFraction("actual/365 (fixed)",SettlementDate,R114,,,Trigger)</f>
        <v>0.42465753424657532</v>
      </c>
      <c r="U114" s="47">
        <f>_xll.qlPolynomialFunctionValue($P$18,T114,AllTriggers)</f>
        <v>1.8939021198785694E-3</v>
      </c>
    </row>
    <row r="115" spans="18:21" x14ac:dyDescent="0.2">
      <c r="R115" s="212">
        <f>_xll.qlCalendarAdvance(Calendar,R114,"1D","f")</f>
        <v>42296</v>
      </c>
      <c r="S115" s="47">
        <f>_xll.qlTenorBasisValue($P$3,R115,AllTriggers)</f>
        <v>1.9759699094003512E-3</v>
      </c>
      <c r="T115" s="41">
        <f>_xll.qlDayCounterYearFraction("actual/365 (fixed)",SettlementDate,R115,,,Trigger)</f>
        <v>0.43287671232876712</v>
      </c>
      <c r="U115" s="47">
        <f>_xll.qlPolynomialFunctionValue($P$18,T115,AllTriggers)</f>
        <v>1.8969154471489189E-3</v>
      </c>
    </row>
    <row r="116" spans="18:21" x14ac:dyDescent="0.2">
      <c r="R116" s="212">
        <f>_xll.qlCalendarAdvance(Calendar,R115,"1D","f")</f>
        <v>42297</v>
      </c>
      <c r="S116" s="47">
        <f>_xll.qlTenorBasisValue($P$3,R116,AllTriggers)</f>
        <v>1.976741373428759E-3</v>
      </c>
      <c r="T116" s="41">
        <f>_xll.qlDayCounterYearFraction("actual/365 (fixed)",SettlementDate,R116,,,Trigger)</f>
        <v>0.43561643835616437</v>
      </c>
      <c r="U116" s="47">
        <f>_xll.qlPolynomialFunctionValue($P$18,T116,AllTriggers)</f>
        <v>1.8979137948768759E-3</v>
      </c>
    </row>
    <row r="117" spans="18:21" x14ac:dyDescent="0.2">
      <c r="R117" s="212">
        <f>_xll.qlCalendarAdvance(Calendar,R116,"1D","f")</f>
        <v>42298</v>
      </c>
      <c r="S117" s="47">
        <f>_xll.qlTenorBasisValue($P$3,R117,AllTriggers)</f>
        <v>1.9775107510110182E-3</v>
      </c>
      <c r="T117" s="41">
        <f>_xll.qlDayCounterYearFraction("actual/365 (fixed)",SettlementDate,R117,,,Trigger)</f>
        <v>0.43835616438356162</v>
      </c>
      <c r="U117" s="47">
        <f>_xll.qlPolynomialFunctionValue($P$18,T117,AllTriggers)</f>
        <v>1.8989091119466495E-3</v>
      </c>
    </row>
    <row r="118" spans="18:21" x14ac:dyDescent="0.2">
      <c r="R118" s="212">
        <f>_xll.qlCalendarAdvance(Calendar,R117,"1D","f")</f>
        <v>42299</v>
      </c>
      <c r="S118" s="47">
        <f>_xll.qlTenorBasisValue($P$3,R118,AllTriggers)</f>
        <v>1.9782780521608685E-3</v>
      </c>
      <c r="T118" s="41">
        <f>_xll.qlDayCounterYearFraction("actual/365 (fixed)",SettlementDate,R118,,,Trigger)</f>
        <v>0.44109589041095892</v>
      </c>
      <c r="U118" s="47">
        <f>_xll.qlPolynomialFunctionValue($P$18,T118,AllTriggers)</f>
        <v>1.8999014083719776E-3</v>
      </c>
    </row>
    <row r="119" spans="18:21" x14ac:dyDescent="0.2">
      <c r="R119" s="212">
        <f>_xll.qlCalendarAdvance(Calendar,R118,"1D","f")</f>
        <v>42300</v>
      </c>
      <c r="S119" s="47">
        <f>_xll.qlTenorBasisValue($P$3,R119,AllTriggers)</f>
        <v>1.9790432868920455E-3</v>
      </c>
      <c r="T119" s="41">
        <f>_xll.qlDayCounterYearFraction("actual/365 (fixed)",SettlementDate,R119,,,Trigger)</f>
        <v>0.44383561643835617</v>
      </c>
      <c r="U119" s="47">
        <f>_xll.qlPolynomialFunctionValue($P$18,T119,AllTriggers)</f>
        <v>1.9008906941665982E-3</v>
      </c>
    </row>
    <row r="120" spans="18:21" x14ac:dyDescent="0.2">
      <c r="R120" s="212">
        <f>_xll.qlCalendarAdvance(Calendar,R119,"1D","f")</f>
        <v>42303</v>
      </c>
      <c r="S120" s="47">
        <f>_xll.qlTenorBasisValue($P$3,R120,AllTriggers)</f>
        <v>1.9813266927109245E-3</v>
      </c>
      <c r="T120" s="41">
        <f>_xll.qlDayCounterYearFraction("actual/365 (fixed)",SettlementDate,R120,,,Trigger)</f>
        <v>0.45205479452054792</v>
      </c>
      <c r="U120" s="47">
        <f>_xll.qlPolynomialFunctionValue($P$18,T120,AllTriggers)</f>
        <v>1.9038405879035943E-3</v>
      </c>
    </row>
    <row r="121" spans="18:21" x14ac:dyDescent="0.2">
      <c r="R121" s="212">
        <f>_xll.qlCalendarAdvance(Calendar,R120,"1D","f")</f>
        <v>42304</v>
      </c>
      <c r="S121" s="47">
        <f>_xll.qlTenorBasisValue($P$3,R121,AllTriggers)</f>
        <v>1.9820837619047922E-3</v>
      </c>
      <c r="T121" s="41">
        <f>_xll.qlDayCounterYearFraction("actual/365 (fixed)",SettlementDate,R121,,,Trigger)</f>
        <v>0.45479452054794522</v>
      </c>
      <c r="U121" s="47">
        <f>_xll.qlPolynomialFunctionValue($P$18,T121,AllTriggers)</f>
        <v>1.9048179313127637E-3</v>
      </c>
    </row>
    <row r="122" spans="18:21" x14ac:dyDescent="0.2">
      <c r="R122" s="212">
        <f>_xll.qlCalendarAdvance(Calendar,R121,"1D","f")</f>
        <v>42305</v>
      </c>
      <c r="S122" s="47">
        <f>_xll.qlTenorBasisValue($P$3,R122,AllTriggers)</f>
        <v>1.9828388147486772E-3</v>
      </c>
      <c r="T122" s="41">
        <f>_xll.qlDayCounterYearFraction("actual/365 (fixed)",SettlementDate,R122,,,Trigger)</f>
        <v>0.45753424657534247</v>
      </c>
      <c r="U122" s="47">
        <f>_xll.qlPolynomialFunctionValue($P$18,T122,AllTriggers)</f>
        <v>1.9057923141599154E-3</v>
      </c>
    </row>
    <row r="123" spans="18:21" x14ac:dyDescent="0.2">
      <c r="R123" s="212">
        <f>_xll.qlCalendarAdvance(Calendar,R122,"1D","f")</f>
        <v>42306</v>
      </c>
      <c r="S123" s="47">
        <f>_xll.qlTenorBasisValue($P$3,R123,AllTriggers)</f>
        <v>1.9835918612563183E-3</v>
      </c>
      <c r="T123" s="41">
        <f>_xll.qlDayCounterYearFraction("actual/365 (fixed)",SettlementDate,R123,,,Trigger)</f>
        <v>0.46027397260273972</v>
      </c>
      <c r="U123" s="47">
        <f>_xll.qlPolynomialFunctionValue($P$18,T123,AllTriggers)</f>
        <v>1.9067637464587862E-3</v>
      </c>
    </row>
    <row r="124" spans="18:21" x14ac:dyDescent="0.2">
      <c r="R124" s="212">
        <f>_xll.qlCalendarAdvance(Calendar,R123,"1D","f")</f>
        <v>42307</v>
      </c>
      <c r="S124" s="47">
        <f>_xll.qlTenorBasisValue($P$3,R124,AllTriggers)</f>
        <v>1.9843429114414514E-3</v>
      </c>
      <c r="T124" s="41">
        <f>_xll.qlDayCounterYearFraction("actual/365 (fixed)",SettlementDate,R124,,,Trigger)</f>
        <v>0.46301369863013697</v>
      </c>
      <c r="U124" s="47">
        <f>_xll.qlPolynomialFunctionValue($P$18,T124,AllTriggers)</f>
        <v>1.9077322382231156E-3</v>
      </c>
    </row>
    <row r="125" spans="18:21" x14ac:dyDescent="0.2">
      <c r="R125" s="212">
        <f>_xll.qlCalendarAdvance(Calendar,R124,"1D","f")</f>
        <v>42310</v>
      </c>
      <c r="S125" s="47">
        <f>_xll.qlTenorBasisValue($P$3,R125,AllTriggers)</f>
        <v>1.9865841841991898E-3</v>
      </c>
      <c r="T125" s="41">
        <f>_xll.qlDayCounterYearFraction("actual/365 (fixed)",SettlementDate,R125,,,Trigger)</f>
        <v>0.47123287671232877</v>
      </c>
      <c r="U125" s="47">
        <f>_xll.qlPolynomialFunctionValue($P$18,T125,AllTriggers)</f>
        <v>1.9106201704462281E-3</v>
      </c>
    </row>
    <row r="126" spans="18:21" x14ac:dyDescent="0.2">
      <c r="R126" s="212">
        <f>_xll.qlCalendarAdvance(Calendar,R125,"1D","f")</f>
        <v>42311</v>
      </c>
      <c r="S126" s="47">
        <f>_xll.qlTenorBasisValue($P$3,R126,AllTriggers)</f>
        <v>1.9873273492316749E-3</v>
      </c>
      <c r="T126" s="41">
        <f>_xll.qlDayCounterYearFraction("actual/365 (fixed)",SettlementDate,R126,,,Trigger)</f>
        <v>0.47397260273972602</v>
      </c>
      <c r="U126" s="47">
        <f>_xll.qlPolynomialFunctionValue($P$18,T126,AllTriggers)</f>
        <v>1.9115770002097667E-3</v>
      </c>
    </row>
    <row r="127" spans="18:21" x14ac:dyDescent="0.2">
      <c r="R127" s="212">
        <f>_xll.qlCalendarAdvance(Calendar,R126,"1D","f")</f>
        <v>42312</v>
      </c>
      <c r="S127" s="47">
        <f>_xll.qlTenorBasisValue($P$3,R127,AllTriggers)</f>
        <v>1.9880685680103427E-3</v>
      </c>
      <c r="T127" s="41">
        <f>_xll.qlDayCounterYearFraction("actual/365 (fixed)",SettlementDate,R127,,,Trigger)</f>
        <v>0.47671232876712327</v>
      </c>
      <c r="U127" s="47">
        <f>_xll.qlPolynomialFunctionValue($P$18,T127,AllTriggers)</f>
        <v>1.9125309395074531E-3</v>
      </c>
    </row>
    <row r="128" spans="18:21" x14ac:dyDescent="0.2">
      <c r="R128" s="212">
        <f>_xll.qlCalendarAdvance(Calendar,R127,"1D","f")</f>
        <v>42313</v>
      </c>
      <c r="S128" s="47">
        <f>_xll.qlTenorBasisValue($P$3,R128,AllTriggers)</f>
        <v>1.9888078505489303E-3</v>
      </c>
      <c r="T128" s="41">
        <f>_xll.qlDayCounterYearFraction("actual/365 (fixed)",SettlementDate,R128,,,Trigger)</f>
        <v>0.47945205479452052</v>
      </c>
      <c r="U128" s="47">
        <f>_xll.qlPolynomialFunctionValue($P$18,T128,AllTriggers)</f>
        <v>1.9134819983530238E-3</v>
      </c>
    </row>
    <row r="129" spans="18:21" x14ac:dyDescent="0.2">
      <c r="R129" s="212">
        <f>_xll.qlCalendarAdvance(Calendar,R128,"1D","f")</f>
        <v>42314</v>
      </c>
      <c r="S129" s="47">
        <f>_xll.qlTenorBasisValue($P$3,R129,AllTriggers)</f>
        <v>1.9895452068611767E-3</v>
      </c>
      <c r="T129" s="41">
        <f>_xll.qlDayCounterYearFraction("actual/365 (fixed)",SettlementDate,R129,,,Trigger)</f>
        <v>0.48219178082191783</v>
      </c>
      <c r="U129" s="47">
        <f>_xll.qlPolynomialFunctionValue($P$18,T129,AllTriggers)</f>
        <v>1.9144301867602181E-3</v>
      </c>
    </row>
    <row r="130" spans="18:21" x14ac:dyDescent="0.2">
      <c r="R130" s="212">
        <f>_xll.qlCalendarAdvance(Calendar,R129,"1D","f")</f>
        <v>42317</v>
      </c>
      <c r="S130" s="47">
        <f>_xll.qlTenorBasisValue($P$3,R130,AllTriggers)</f>
        <v>1.9917458185772447E-3</v>
      </c>
      <c r="T130" s="41">
        <f>_xll.qlDayCounterYearFraction("actual/365 (fixed)",SettlementDate,R130,,,Trigger)</f>
        <v>0.49041095890410957</v>
      </c>
      <c r="U130" s="47">
        <f>_xll.qlPolynomialFunctionValue($P$18,T130,AllTriggers)</f>
        <v>1.9172576294889173E-3</v>
      </c>
    </row>
    <row r="131" spans="18:21" x14ac:dyDescent="0.2">
      <c r="R131" s="212">
        <f>_xll.qlCalendarAdvance(Calendar,R130,"1D","f")</f>
        <v>42318</v>
      </c>
      <c r="S131" s="47">
        <f>_xll.qlTenorBasisValue($P$3,R131,AllTriggers)</f>
        <v>1.9924755701215039E-3</v>
      </c>
      <c r="T131" s="41">
        <f>_xll.qlDayCounterYearFraction("actual/365 (fixed)",SettlementDate,R131,,,Trigger)</f>
        <v>0.49315068493150682</v>
      </c>
      <c r="U131" s="47">
        <f>_xll.qlPolynomialFunctionValue($P$18,T131,AllTriggers)</f>
        <v>1.918194436279982E-3</v>
      </c>
    </row>
    <row r="132" spans="18:21" x14ac:dyDescent="0.2">
      <c r="R132" s="212">
        <f>_xll.qlCalendarAdvance(Calendar,R131,"1D","f")</f>
        <v>42319</v>
      </c>
      <c r="S132" s="47">
        <f>_xll.qlTenorBasisValue($P$3,R132,AllTriggers)</f>
        <v>1.9932034455081103E-3</v>
      </c>
      <c r="T132" s="41">
        <f>_xll.qlDayCounterYearFraction("actual/365 (fixed)",SettlementDate,R132,,,Trigger)</f>
        <v>0.49589041095890413</v>
      </c>
      <c r="U132" s="47">
        <f>_xll.qlPolynomialFunctionValue($P$18,T132,AllTriggers)</f>
        <v>1.9191284227013596E-3</v>
      </c>
    </row>
    <row r="133" spans="18:21" x14ac:dyDescent="0.2">
      <c r="R133" s="213">
        <f>_xll.qlCalendarAdvance(Calendar,R132,"1D","f")</f>
        <v>42320</v>
      </c>
      <c r="S133" s="50">
        <f>_xll.qlTenorBasisValue($P$3,R133,AllTriggers)</f>
        <v>1.9939294547508019E-3</v>
      </c>
      <c r="T133" s="44">
        <f>_xll.qlDayCounterYearFraction("actual/365 (fixed)",SettlementDate,R133,,,Trigger)</f>
        <v>0.49863013698630138</v>
      </c>
      <c r="U133" s="50">
        <f>_xll.qlPolynomialFunctionValue($P$18,T133,AllTriggers)</f>
        <v>1.9200595987667868E-3</v>
      </c>
    </row>
    <row r="134" spans="18:21" x14ac:dyDescent="0.2">
      <c r="R134" s="211">
        <f>_xll.qlCalendarAdvance(Calendar,R133,"1D","f")</f>
        <v>42321</v>
      </c>
      <c r="S134" s="52">
        <f>_xll.qlTenorBasisValue($P$3,R134,AllTriggers)</f>
        <v>1.9946536078633182E-3</v>
      </c>
      <c r="T134" s="46">
        <f>_xll.qlDayCounterYearFraction("actual/365 (fixed)",SettlementDate,R134,,,Trigger)</f>
        <v>0.50136986301369868</v>
      </c>
      <c r="U134" s="52">
        <f>_xll.qlPolynomialFunctionValue($P$18,T134,AllTriggers)</f>
        <v>1.9209879744900029E-3</v>
      </c>
    </row>
    <row r="135" spans="18:21" x14ac:dyDescent="0.2">
      <c r="R135" s="212">
        <f>_xll.qlCalendarAdvance(Calendar,R134,"1D","f")</f>
        <v>42324</v>
      </c>
      <c r="S135" s="47">
        <f>_xll.qlTenorBasisValue($P$3,R135,AllTriggers)</f>
        <v>1.996815030557186E-3</v>
      </c>
      <c r="T135" s="41">
        <f>_xll.qlDayCounterYearFraction("actual/365 (fixed)",SettlementDate,R135,,,Trigger)</f>
        <v>0.50958904109589043</v>
      </c>
      <c r="U135" s="47">
        <f>_xll.qlPolynomialFunctionValue($P$18,T135,AllTriggers)</f>
        <v>1.9237563997437587E-3</v>
      </c>
    </row>
    <row r="136" spans="18:21" x14ac:dyDescent="0.2">
      <c r="R136" s="212">
        <f>_xll.qlCalendarAdvance(Calendar,R135,"1D","f")</f>
        <v>42325</v>
      </c>
      <c r="S136" s="47">
        <f>_xll.qlTenorBasisValue($P$3,R136,AllTriggers)</f>
        <v>1.997531859286375E-3</v>
      </c>
      <c r="T136" s="41">
        <f>_xll.qlDayCounterYearFraction("actual/365 (fixed)",SettlementDate,R136,,,Trigger)</f>
        <v>0.51232876712328768</v>
      </c>
      <c r="U136" s="47">
        <f>_xll.qlPolynomialFunctionValue($P$18,T136,AllTriggers)</f>
        <v>1.9246736742355062E-3</v>
      </c>
    </row>
    <row r="137" spans="18:21" x14ac:dyDescent="0.2">
      <c r="R137" s="212">
        <f>_xll.qlCalendarAdvance(Calendar,R136,"1D","f")</f>
        <v>42326</v>
      </c>
      <c r="S137" s="47">
        <f>_xll.qlTenorBasisValue($P$3,R137,AllTriggers)</f>
        <v>1.9982468819540774E-3</v>
      </c>
      <c r="T137" s="41">
        <f>_xll.qlDayCounterYearFraction("actual/365 (fixed)",SettlementDate,R137,,,Trigger)</f>
        <v>0.51506849315068493</v>
      </c>
      <c r="U137" s="47">
        <f>_xll.qlPolynomialFunctionValue($P$18,T137,AllTriggers)</f>
        <v>1.9255881984537315E-3</v>
      </c>
    </row>
    <row r="138" spans="18:21" x14ac:dyDescent="0.2">
      <c r="R138" s="212">
        <f>_xll.qlCalendarAdvance(Calendar,R137,"1D","f")</f>
        <v>42327</v>
      </c>
      <c r="S138" s="47">
        <f>_xll.qlTenorBasisValue($P$3,R138,AllTriggers)</f>
        <v>1.9989601085740301E-3</v>
      </c>
      <c r="T138" s="41">
        <f>_xll.qlDayCounterYearFraction("actual/365 (fixed)",SettlementDate,R138,,,Trigger)</f>
        <v>0.51780821917808217</v>
      </c>
      <c r="U138" s="47">
        <f>_xll.qlPolynomialFunctionValue($P$18,T138,AllTriggers)</f>
        <v>1.9264999824121724E-3</v>
      </c>
    </row>
    <row r="139" spans="18:21" x14ac:dyDescent="0.2">
      <c r="R139" s="212">
        <f>_xll.qlCalendarAdvance(Calendar,R138,"1D","f")</f>
        <v>42328</v>
      </c>
      <c r="S139" s="47">
        <f>_xll.qlTenorBasisValue($P$3,R139,AllTriggers)</f>
        <v>1.9996715491599724E-3</v>
      </c>
      <c r="T139" s="41">
        <f>_xll.qlDayCounterYearFraction("actual/365 (fixed)",SettlementDate,R139,,,Trigger)</f>
        <v>0.52054794520547942</v>
      </c>
      <c r="U139" s="47">
        <f>_xll.qlPolynomialFunctionValue($P$18,T139,AllTriggers)</f>
        <v>1.9274090361245668E-3</v>
      </c>
    </row>
    <row r="140" spans="18:21" x14ac:dyDescent="0.2">
      <c r="R140" s="212">
        <f>_xll.qlCalendarAdvance(Calendar,R139,"1D","f")</f>
        <v>42331</v>
      </c>
      <c r="S140" s="47">
        <f>_xll.qlTenorBasisValue($P$3,R140,AllTriggers)</f>
        <v>2.0017952548511105E-3</v>
      </c>
      <c r="T140" s="41">
        <f>_xll.qlDayCounterYearFraction("actual/365 (fixed)",SettlementDate,R140,,,Trigger)</f>
        <v>0.52876712328767128</v>
      </c>
      <c r="U140" s="47">
        <f>_xll.qlPolynomialFunctionValue($P$18,T140,AllTriggers)</f>
        <v>1.9301199159228494E-3</v>
      </c>
    </row>
    <row r="141" spans="18:21" x14ac:dyDescent="0.2">
      <c r="R141" s="212">
        <f>_xll.qlCalendarAdvance(Calendar,R140,"1D","f")</f>
        <v>42332</v>
      </c>
      <c r="S141" s="47">
        <f>_xll.qlTenorBasisValue($P$3,R141,AllTriggers)</f>
        <v>2.0024996514383863E-3</v>
      </c>
      <c r="T141" s="41">
        <f>_xll.qlDayCounterYearFraction("actual/365 (fixed)",SettlementDate,R141,,,Trigger)</f>
        <v>0.53150684931506853</v>
      </c>
      <c r="U141" s="47">
        <f>_xll.qlPolynomialFunctionValue($P$18,T141,AllTriggers)</f>
        <v>1.9310181487884361E-3</v>
      </c>
    </row>
    <row r="142" spans="18:21" x14ac:dyDescent="0.2">
      <c r="R142" s="212">
        <f>_xll.qlCalendarAdvance(Calendar,R141,"1D","f")</f>
        <v>42333</v>
      </c>
      <c r="S142" s="47">
        <f>_xll.qlTenorBasisValue($P$3,R142,AllTriggers)</f>
        <v>2.003202312060341E-3</v>
      </c>
      <c r="T142" s="41">
        <f>_xll.qlDayCounterYearFraction("actual/365 (fixed)",SettlementDate,R142,,,Trigger)</f>
        <v>0.53424657534246578</v>
      </c>
      <c r="U142" s="47">
        <f>_xll.qlPolynomialFunctionValue($P$18,T142,AllTriggers)</f>
        <v>1.9319137014766662E-3</v>
      </c>
    </row>
    <row r="143" spans="18:21" x14ac:dyDescent="0.2">
      <c r="R143" s="212">
        <f>_xll.qlCalendarAdvance(Calendar,R142,"1D","f")</f>
        <v>42334</v>
      </c>
      <c r="S143" s="47">
        <f>_xll.qlTenorBasisValue($P$3,R143,AllTriggers)</f>
        <v>2.0039032467307118E-3</v>
      </c>
      <c r="T143" s="41">
        <f>_xll.qlDayCounterYearFraction("actual/365 (fixed)",SettlementDate,R143,,,Trigger)</f>
        <v>0.53698630136986303</v>
      </c>
      <c r="U143" s="47">
        <f>_xll.qlPolynomialFunctionValue($P$18,T143,AllTriggers)</f>
        <v>1.9328065840012768E-3</v>
      </c>
    </row>
    <row r="144" spans="18:21" x14ac:dyDescent="0.2">
      <c r="R144" s="212">
        <f>_xll.qlCalendarAdvance(Calendar,R143,"1D","f")</f>
        <v>42335</v>
      </c>
      <c r="S144" s="47">
        <f>_xll.qlTenorBasisValue($P$3,R144,AllTriggers)</f>
        <v>2.004602465463236E-3</v>
      </c>
      <c r="T144" s="41">
        <f>_xll.qlDayCounterYearFraction("actual/365 (fixed)",SettlementDate,R144,,,Trigger)</f>
        <v>0.53972602739726028</v>
      </c>
      <c r="U144" s="47">
        <f>_xll.qlPolynomialFunctionValue($P$18,T144,AllTriggers)</f>
        <v>1.9336968063760065E-3</v>
      </c>
    </row>
    <row r="145" spans="18:21" x14ac:dyDescent="0.2">
      <c r="R145" s="212">
        <f>_xll.qlCalendarAdvance(Calendar,R144,"1D","f")</f>
        <v>42338</v>
      </c>
      <c r="S145" s="47">
        <f>_xll.qlTenorBasisValue($P$3,R145,AllTriggers)</f>
        <v>2.0066899261711145E-3</v>
      </c>
      <c r="T145" s="41">
        <f>_xll.qlDayCounterYearFraction("actual/365 (fixed)",SettlementDate,R145,,,Trigger)</f>
        <v>0.54794520547945202</v>
      </c>
      <c r="U145" s="47">
        <f>_xll.qlPolynomialFunctionValue($P$18,T145,AllTriggers)</f>
        <v>1.9363516127382859E-3</v>
      </c>
    </row>
    <row r="146" spans="18:21" x14ac:dyDescent="0.2">
      <c r="R146" s="212">
        <f>_xll.qlCalendarAdvance(Calendar,R145,"1D","f")</f>
        <v>42339</v>
      </c>
      <c r="S146" s="47">
        <f>_xll.qlTenorBasisValue($P$3,R146,AllTriggers)</f>
        <v>2.0073823812896342E-3</v>
      </c>
      <c r="T146" s="41">
        <f>_xll.qlDayCounterYearFraction("actual/365 (fixed)",SettlementDate,R146,,,Trigger)</f>
        <v>0.55068493150684927</v>
      </c>
      <c r="U146" s="47">
        <f>_xll.qlPolynomialFunctionValue($P$18,T146,AllTriggers)</f>
        <v>1.937231294650869E-3</v>
      </c>
    </row>
    <row r="147" spans="18:21" x14ac:dyDescent="0.2">
      <c r="R147" s="212">
        <f>_xll.qlCalendarAdvance(Calendar,R146,"1D","f")</f>
        <v>42340</v>
      </c>
      <c r="S147" s="47">
        <f>_xll.qlTenorBasisValue($P$3,R147,AllTriggers)</f>
        <v>2.0080731705389974E-3</v>
      </c>
      <c r="T147" s="41">
        <f>_xll.qlDayCounterYearFraction("actual/365 (fixed)",SettlementDate,R147,,,Trigger)</f>
        <v>0.55342465753424652</v>
      </c>
      <c r="U147" s="47">
        <f>_xll.qlPolynomialFunctionValue($P$18,T147,AllTriggers)</f>
        <v>1.9381083664822606E-3</v>
      </c>
    </row>
    <row r="148" spans="18:21" x14ac:dyDescent="0.2">
      <c r="R148" s="212">
        <f>_xll.qlCalendarAdvance(Calendar,R147,"1D","f")</f>
        <v>42341</v>
      </c>
      <c r="S148" s="47">
        <f>_xll.qlTenorBasisValue($P$3,R148,AllTriggers)</f>
        <v>2.0087623039329429E-3</v>
      </c>
      <c r="T148" s="41">
        <f>_xll.qlDayCounterYearFraction("actual/365 (fixed)",SettlementDate,R148,,,Trigger)</f>
        <v>0.55616438356164388</v>
      </c>
      <c r="U148" s="47">
        <f>_xll.qlPolynomialFunctionValue($P$18,T148,AllTriggers)</f>
        <v>1.9389828382461976E-3</v>
      </c>
    </row>
    <row r="149" spans="18:21" x14ac:dyDescent="0.2">
      <c r="R149" s="212">
        <f>_xll.qlCalendarAdvance(Calendar,R148,"1D","f")</f>
        <v>42342</v>
      </c>
      <c r="S149" s="47">
        <f>_xll.qlTenorBasisValue($P$3,R149,AllTriggers)</f>
        <v>2.0094497914852068E-3</v>
      </c>
      <c r="T149" s="41">
        <f>_xll.qlDayCounterYearFraction("actual/365 (fixed)",SettlementDate,R149,,,Trigger)</f>
        <v>0.55890410958904113</v>
      </c>
      <c r="U149" s="47">
        <f>_xll.qlPolynomialFunctionValue($P$18,T149,AllTriggers)</f>
        <v>1.9398547199564191E-3</v>
      </c>
    </row>
    <row r="150" spans="18:21" x14ac:dyDescent="0.2">
      <c r="R150" s="212">
        <f>_xll.qlCalendarAdvance(Calendar,R149,"1D","f")</f>
        <v>42345</v>
      </c>
      <c r="S150" s="47">
        <f>_xll.qlTenorBasisValue($P$3,R150,AllTriggers)</f>
        <v>2.0115024792292948E-3</v>
      </c>
      <c r="T150" s="41">
        <f>_xll.qlDayCounterYearFraction("actual/365 (fixed)",SettlementDate,R150,,,Trigger)</f>
        <v>0.56712328767123288</v>
      </c>
      <c r="U150" s="47">
        <f>_xll.qlPolynomialFunctionValue($P$18,T150,AllTriggers)</f>
        <v>1.9424549249021656E-3</v>
      </c>
    </row>
    <row r="151" spans="18:21" x14ac:dyDescent="0.2">
      <c r="R151" s="212">
        <f>_xll.qlCalendarAdvance(Calendar,R150,"1D","f")</f>
        <v>42346</v>
      </c>
      <c r="S151" s="47">
        <f>_xll.qlTenorBasisValue($P$3,R151,AllTriggers)</f>
        <v>2.0121834835522155E-3</v>
      </c>
      <c r="T151" s="41">
        <f>_xll.qlDayCounterYearFraction("actual/365 (fixed)",SettlementDate,R151,,,Trigger)</f>
        <v>0.56986301369863013</v>
      </c>
      <c r="U151" s="47">
        <f>_xll.qlPolynomialFunctionValue($P$18,T151,AllTriggers)</f>
        <v>1.9433165465349014E-3</v>
      </c>
    </row>
    <row r="152" spans="18:21" x14ac:dyDescent="0.2">
      <c r="R152" s="212">
        <f>_xll.qlCalendarAdvance(Calendar,R151,"1D","f")</f>
        <v>42347</v>
      </c>
      <c r="S152" s="47">
        <f>_xll.qlTenorBasisValue($P$3,R152,AllTriggers)</f>
        <v>2.012862892102145E-3</v>
      </c>
      <c r="T152" s="41">
        <f>_xll.qlDayCounterYearFraction("actual/365 (fixed)",SettlementDate,R152,,,Trigger)</f>
        <v>0.57260273972602738</v>
      </c>
      <c r="U152" s="47">
        <f>_xll.qlPolynomialFunctionValue($P$18,T152,AllTriggers)</f>
        <v>1.944175628182611E-3</v>
      </c>
    </row>
    <row r="153" spans="18:21" x14ac:dyDescent="0.2">
      <c r="R153" s="212">
        <f>_xll.qlCalendarAdvance(Calendar,R152,"1D","f")</f>
        <v>42348</v>
      </c>
      <c r="S153" s="47">
        <f>_xll.qlTenorBasisValue($P$3,R153,AllTriggers)</f>
        <v>2.0135407148928206E-3</v>
      </c>
      <c r="T153" s="41">
        <f>_xll.qlDayCounterYearFraction("actual/365 (fixed)",SettlementDate,R153,,,Trigger)</f>
        <v>0.57534246575342463</v>
      </c>
      <c r="U153" s="47">
        <f>_xll.qlPolynomialFunctionValue($P$18,T153,AllTriggers)</f>
        <v>1.9450321798590313E-3</v>
      </c>
    </row>
    <row r="154" spans="18:21" x14ac:dyDescent="0.2">
      <c r="R154" s="212">
        <f>_xll.qlCalendarAdvance(Calendar,R153,"1D","f")</f>
        <v>42349</v>
      </c>
      <c r="S154" s="47">
        <f>_xll.qlTenorBasisValue($P$3,R154,AllTriggers)</f>
        <v>2.0142169619379816E-3</v>
      </c>
      <c r="T154" s="41">
        <f>_xll.qlDayCounterYearFraction("actual/365 (fixed)",SettlementDate,R154,,,Trigger)</f>
        <v>0.57808219178082187</v>
      </c>
      <c r="U154" s="47">
        <f>_xll.qlPolynomialFunctionValue($P$18,T154,AllTriggers)</f>
        <v>1.9458862115779014E-3</v>
      </c>
    </row>
    <row r="155" spans="18:21" x14ac:dyDescent="0.2">
      <c r="R155" s="212">
        <f>_xll.qlCalendarAdvance(Calendar,R154,"1D","f")</f>
        <v>42352</v>
      </c>
      <c r="S155" s="47">
        <f>_xll.qlTenorBasisValue($P$3,R155,AllTriggers)</f>
        <v>2.0162363487377494E-3</v>
      </c>
      <c r="T155" s="41">
        <f>_xll.qlDayCounterYearFraction("actual/365 (fixed)",SettlementDate,R155,,,Trigger)</f>
        <v>0.58630136986301373</v>
      </c>
      <c r="U155" s="47">
        <f>_xll.qlPolynomialFunctionValue($P$18,T155,AllTriggers)</f>
        <v>1.9484332871265852E-3</v>
      </c>
    </row>
    <row r="156" spans="18:21" x14ac:dyDescent="0.2">
      <c r="R156" s="212">
        <f>_xll.qlCalendarAdvance(Calendar,R155,"1D","f")</f>
        <v>42353</v>
      </c>
      <c r="S156" s="47">
        <f>_xll.qlTenorBasisValue($P$3,R156,AllTriggers)</f>
        <v>2.0169063929382273E-3</v>
      </c>
      <c r="T156" s="41">
        <f>_xll.qlDayCounterYearFraction("actual/365 (fixed)",SettlementDate,R156,,,Trigger)</f>
        <v>0.58904109589041098</v>
      </c>
      <c r="U156" s="47">
        <f>_xll.qlPolynomialFunctionValue($P$18,T156,AllTriggers)</f>
        <v>1.9492773391526306E-3</v>
      </c>
    </row>
    <row r="157" spans="18:21" x14ac:dyDescent="0.2">
      <c r="R157" s="212">
        <f>_xll.qlCalendarAdvance(Calendar,R156,"1D","f")</f>
        <v>42354</v>
      </c>
      <c r="S157" s="47">
        <f>_xll.qlTenorBasisValue($P$3,R157,AllTriggers)</f>
        <v>2.0175749114618793E-3</v>
      </c>
      <c r="T157" s="41">
        <f>_xll.qlDayCounterYearFraction("actual/365 (fixed)",SettlementDate,R157,,,Trigger)</f>
        <v>0.59178082191780823</v>
      </c>
      <c r="U157" s="47">
        <f>_xll.qlPolynomialFunctionValue($P$18,T157,AllTriggers)</f>
        <v>1.9501189212898149E-3</v>
      </c>
    </row>
    <row r="158" spans="18:21" x14ac:dyDescent="0.2">
      <c r="R158" s="212">
        <f>_xll.qlCalendarAdvance(Calendar,R157,"1D","f")</f>
        <v>42355</v>
      </c>
      <c r="S158" s="47">
        <f>_xll.qlTenorBasisValue($P$3,R158,AllTriggers)</f>
        <v>2.0182419143224429E-3</v>
      </c>
      <c r="T158" s="41">
        <f>_xll.qlDayCounterYearFraction("actual/365 (fixed)",SettlementDate,R158,,,Trigger)</f>
        <v>0.59452054794520548</v>
      </c>
      <c r="U158" s="47">
        <f>_xll.qlPolynomialFunctionValue($P$18,T158,AllTriggers)</f>
        <v>1.950958043551875E-3</v>
      </c>
    </row>
    <row r="159" spans="18:21" x14ac:dyDescent="0.2">
      <c r="R159" s="212">
        <f>_xll.qlCalendarAdvance(Calendar,R158,"1D","f")</f>
        <v>42356</v>
      </c>
      <c r="S159" s="47">
        <f>_xll.qlTenorBasisValue($P$3,R159,AllTriggers)</f>
        <v>2.0189074115336569E-3</v>
      </c>
      <c r="T159" s="41">
        <f>_xll.qlDayCounterYearFraction("actual/365 (fixed)",SettlementDate,R159,,,Trigger)</f>
        <v>0.59726027397260273</v>
      </c>
      <c r="U159" s="47">
        <f>_xll.qlPolynomialFunctionValue($P$18,T159,AllTriggers)</f>
        <v>1.9517947159525505E-3</v>
      </c>
    </row>
    <row r="160" spans="18:21" x14ac:dyDescent="0.2">
      <c r="R160" s="212">
        <f>_xll.qlCalendarAdvance(Calendar,R159,"1D","f")</f>
        <v>42359</v>
      </c>
      <c r="S160" s="47">
        <f>_xll.qlTenorBasisValue($P$3,R160,AllTriggers)</f>
        <v>2.0208949694085748E-3</v>
      </c>
      <c r="T160" s="41">
        <f>_xll.qlDayCounterYearFraction("actual/365 (fixed)",SettlementDate,R160,,,Trigger)</f>
        <v>0.60547945205479448</v>
      </c>
      <c r="U160" s="47">
        <f>_xll.qlPolynomialFunctionValue($P$18,T160,AllTriggers)</f>
        <v>1.9542901341236415E-3</v>
      </c>
    </row>
    <row r="161" spans="18:21" x14ac:dyDescent="0.2">
      <c r="R161" s="212">
        <f>_xll.qlCalendarAdvance(Calendar,R160,"1D","f")</f>
        <v>42360</v>
      </c>
      <c r="S161" s="47">
        <f>_xll.qlTenorBasisValue($P$3,R161,AllTriggers)</f>
        <v>2.0215545441597668E-3</v>
      </c>
      <c r="T161" s="41">
        <f>_xll.qlDayCounterYearFraction("actual/365 (fixed)",SettlementDate,R161,,,Trigger)</f>
        <v>0.60821917808219184</v>
      </c>
      <c r="U161" s="47">
        <f>_xll.qlPolynomialFunctionValue($P$18,T161,AllTriggers)</f>
        <v>1.9551171072161528E-3</v>
      </c>
    </row>
    <row r="162" spans="18:21" x14ac:dyDescent="0.2">
      <c r="R162" s="212">
        <f>_xll.qlCalendarAdvance(Calendar,R161,"1D","f")</f>
        <v>42361</v>
      </c>
      <c r="S162" s="47">
        <f>_xll.qlTenorBasisValue($P$3,R162,AllTriggers)</f>
        <v>2.0222126633302972E-3</v>
      </c>
      <c r="T162" s="41">
        <f>_xll.qlDayCounterYearFraction("actual/365 (fixed)",SettlementDate,R162,,,Trigger)</f>
        <v>0.61095890410958908</v>
      </c>
      <c r="U162" s="47">
        <f>_xll.qlPolynomialFunctionValue($P$18,T162,AllTriggers)</f>
        <v>1.9559416805159688E-3</v>
      </c>
    </row>
    <row r="163" spans="18:21" x14ac:dyDescent="0.2">
      <c r="R163" s="212">
        <f>_xll.qlCalendarAdvance(Calendar,R162,"1D","f")</f>
        <v>42362</v>
      </c>
      <c r="S163" s="47">
        <f>_xll.qlTenorBasisValue($P$3,R163,AllTriggers)</f>
        <v>2.0228693369339062E-3</v>
      </c>
      <c r="T163" s="41">
        <f>_xll.qlDayCounterYearFraction("actual/365 (fixed)",SettlementDate,R163,,,Trigger)</f>
        <v>0.61369863013698633</v>
      </c>
      <c r="U163" s="47">
        <f>_xll.qlPolynomialFunctionValue($P$18,T163,AllTriggers)</f>
        <v>1.9567638640368258E-3</v>
      </c>
    </row>
    <row r="164" spans="18:21" x14ac:dyDescent="0.2">
      <c r="R164" s="212">
        <f>_xll.qlCalendarAdvance(Calendar,R163,"1D","f")</f>
        <v>42366</v>
      </c>
      <c r="S164" s="47">
        <f>_xll.qlTenorBasisValue($P$3,R164,AllTriggers)</f>
        <v>2.025481775953868E-3</v>
      </c>
      <c r="T164" s="41">
        <f>_xll.qlDayCounterYearFraction("actual/365 (fixed)",SettlementDate,R164,,,Trigger)</f>
        <v>0.62465753424657533</v>
      </c>
      <c r="U164" s="47">
        <f>_xll.qlPolynomialFunctionValue($P$18,T164,AllTriggers)</f>
        <v>1.9600289006054318E-3</v>
      </c>
    </row>
    <row r="165" spans="18:21" x14ac:dyDescent="0.2">
      <c r="R165" s="212">
        <f>_xll.qlCalendarAdvance(Calendar,R164,"1D","f")</f>
        <v>42367</v>
      </c>
      <c r="S165" s="47">
        <f>_xll.qlTenorBasisValue($P$3,R165,AllTriggers)</f>
        <v>2.0261313719289304E-3</v>
      </c>
      <c r="T165" s="41">
        <f>_xll.qlDayCounterYearFraction("actual/365 (fixed)",SettlementDate,R165,,,Trigger)</f>
        <v>0.62739726027397258</v>
      </c>
      <c r="U165" s="47">
        <f>_xll.qlPolynomialFunctionValue($P$18,T165,AllTriggers)</f>
        <v>1.9608392854375658E-3</v>
      </c>
    </row>
    <row r="166" spans="18:21" x14ac:dyDescent="0.2">
      <c r="R166" s="212">
        <f>_xll.qlCalendarAdvance(Calendar,R165,"1D","f")</f>
        <v>42368</v>
      </c>
      <c r="S166" s="47">
        <f>_xll.qlTenorBasisValue($P$3,R166,AllTriggers)</f>
        <v>2.0267795824194966E-3</v>
      </c>
      <c r="T166" s="41">
        <f>_xll.qlDayCounterYearFraction("actual/365 (fixed)",SettlementDate,R166,,,Trigger)</f>
        <v>0.63013698630136983</v>
      </c>
      <c r="U166" s="47">
        <f>_xll.qlPolynomialFunctionValue($P$18,T166,AllTriggers)</f>
        <v>1.9616473405731699E-3</v>
      </c>
    </row>
    <row r="167" spans="18:21" x14ac:dyDescent="0.2">
      <c r="R167" s="212">
        <f>_xll.qlCalendarAdvance(Calendar,R166,"1D","f")</f>
        <v>42369</v>
      </c>
      <c r="S167" s="47">
        <f>_xll.qlTenorBasisValue($P$3,R167,AllTriggers)</f>
        <v>2.0274264174393068E-3</v>
      </c>
      <c r="T167" s="41">
        <f>_xll.qlDayCounterYearFraction("actual/365 (fixed)",SettlementDate,R167,,,Trigger)</f>
        <v>0.63287671232876708</v>
      </c>
      <c r="U167" s="47">
        <f>_xll.qlPolynomialFunctionValue($P$18,T167,AllTriggers)</f>
        <v>1.9624530760259805E-3</v>
      </c>
    </row>
    <row r="168" spans="18:21" x14ac:dyDescent="0.2">
      <c r="R168" s="212">
        <f>_xll.qlCalendarAdvance(Calendar,R167,"1D","f")</f>
        <v>42373</v>
      </c>
      <c r="S168" s="47">
        <f>_xll.qlTenorBasisValue($P$3,R168,AllTriggers)</f>
        <v>2.030000203085725E-3</v>
      </c>
      <c r="T168" s="41">
        <f>_xll.qlDayCounterYearFraction("actual/365 (fixed)",SettlementDate,R168,,,Trigger)</f>
        <v>0.64383561643835618</v>
      </c>
      <c r="U168" s="47">
        <f>_xll.qlPolynomialFunctionValue($P$18,T168,AllTriggers)</f>
        <v>1.9656530212840517E-3</v>
      </c>
    </row>
    <row r="169" spans="18:21" x14ac:dyDescent="0.2">
      <c r="R169" s="212">
        <f>_xll.qlCalendarAdvance(Calendar,R168,"1D","f")</f>
        <v>42374</v>
      </c>
      <c r="S169" s="47">
        <f>_xll.qlTenorBasisValue($P$3,R169,AllTriggers)</f>
        <v>2.0306403109578144E-3</v>
      </c>
      <c r="T169" s="41">
        <f>_xll.qlDayCounterYearFraction("actual/365 (fixed)",SettlementDate,R169,,,Trigger)</f>
        <v>0.64657534246575343</v>
      </c>
      <c r="U169" s="47">
        <f>_xll.qlPolynomialFunctionValue($P$18,T169,AllTriggers)</f>
        <v>1.9664473085289659E-3</v>
      </c>
    </row>
    <row r="170" spans="18:21" x14ac:dyDescent="0.2">
      <c r="R170" s="212">
        <f>_xll.qlCalendarAdvance(Calendar,R169,"1D","f")</f>
        <v>42375</v>
      </c>
      <c r="S170" s="47">
        <f>_xll.qlTenorBasisValue($P$3,R170,AllTriggers)</f>
        <v>2.0312791034415747E-3</v>
      </c>
      <c r="T170" s="41">
        <f>_xll.qlDayCounterYearFraction("actual/365 (fixed)",SettlementDate,R170,,,Trigger)</f>
        <v>0.64931506849315068</v>
      </c>
      <c r="U170" s="47">
        <f>_xll.qlPolynomialFunctionValue($P$18,T170,AllTriggers)</f>
        <v>1.9672393361735148E-3</v>
      </c>
    </row>
    <row r="171" spans="18:21" x14ac:dyDescent="0.2">
      <c r="R171" s="212">
        <f>_xll.qlCalendarAdvance(Calendar,R170,"1D","f")</f>
        <v>42376</v>
      </c>
      <c r="S171" s="47">
        <f>_xll.qlTenorBasisValue($P$3,R171,AllTriggers)</f>
        <v>2.0319165905507415E-3</v>
      </c>
      <c r="T171" s="41">
        <f>_xll.qlDayCounterYearFraction("actual/365 (fixed)",SettlementDate,R171,,,Trigger)</f>
        <v>0.65205479452054793</v>
      </c>
      <c r="U171" s="47">
        <f>_xll.qlPolynomialFunctionValue($P$18,T171,AllTriggers)</f>
        <v>1.9680291142314356E-3</v>
      </c>
    </row>
    <row r="172" spans="18:21" x14ac:dyDescent="0.2">
      <c r="R172" s="212">
        <f>_xll.qlCalendarAdvance(Calendar,R171,"1D","f")</f>
        <v>42377</v>
      </c>
      <c r="S172" s="47">
        <f>_xll.qlTenorBasisValue($P$3,R172,AllTriggers)</f>
        <v>2.0325527822990541E-3</v>
      </c>
      <c r="T172" s="41">
        <f>_xll.qlDayCounterYearFraction("actual/365 (fixed)",SettlementDate,R172,,,Trigger)</f>
        <v>0.65479452054794518</v>
      </c>
      <c r="U172" s="47">
        <f>_xll.qlPolynomialFunctionValue($P$18,T172,AllTriggers)</f>
        <v>1.9688166527164668E-3</v>
      </c>
    </row>
    <row r="173" spans="18:21" x14ac:dyDescent="0.2">
      <c r="R173" s="212">
        <f>_xll.qlCalendarAdvance(Calendar,R172,"1D","f")</f>
        <v>42380</v>
      </c>
      <c r="S173" s="47">
        <f>_xll.qlTenorBasisValue($P$3,R173,AllTriggers)</f>
        <v>2.0344536855162439E-3</v>
      </c>
      <c r="T173" s="41">
        <f>_xll.qlDayCounterYearFraction("actual/365 (fixed)",SettlementDate,R173,,,Trigger)</f>
        <v>0.66301369863013704</v>
      </c>
      <c r="U173" s="47">
        <f>_xll.qlPolynomialFunctionValue($P$18,T173,AllTriggers)</f>
        <v>1.9711659308715998E-3</v>
      </c>
    </row>
    <row r="174" spans="18:21" x14ac:dyDescent="0.2">
      <c r="R174" s="212">
        <f>_xll.qlCalendarAdvance(Calendar,R173,"1D","f")</f>
        <v>42381</v>
      </c>
      <c r="S174" s="47">
        <f>_xll.qlTenorBasisValue($P$3,R174,AllTriggers)</f>
        <v>2.0350847959585178E-3</v>
      </c>
      <c r="T174" s="41">
        <f>_xll.qlDayCounterYearFraction("actual/365 (fixed)",SettlementDate,R174,,,Trigger)</f>
        <v>0.66575342465753429</v>
      </c>
      <c r="U174" s="47">
        <f>_xll.qlPolynomialFunctionValue($P$18,T174,AllTriggers)</f>
        <v>1.9719446112024504E-3</v>
      </c>
    </row>
    <row r="175" spans="18:21" x14ac:dyDescent="0.2">
      <c r="R175" s="212">
        <f>_xll.qlCalendarAdvance(Calendar,R174,"1D","f")</f>
        <v>42382</v>
      </c>
      <c r="S175" s="47">
        <f>_xll.qlTenorBasisValue($P$3,R175,AllTriggers)</f>
        <v>2.0357146611086263E-3</v>
      </c>
      <c r="T175" s="41">
        <f>_xll.qlDayCounterYearFraction("actual/365 (fixed)",SettlementDate,R175,,,Trigger)</f>
        <v>0.66849315068493154</v>
      </c>
      <c r="U175" s="47">
        <f>_xll.qlPolynomialFunctionValue($P$18,T175,AllTriggers)</f>
        <v>1.9727211020291006E-3</v>
      </c>
    </row>
    <row r="176" spans="18:21" x14ac:dyDescent="0.2">
      <c r="R176" s="212">
        <f>_xll.qlCalendarAdvance(Calendar,R175,"1D","f")</f>
        <v>42383</v>
      </c>
      <c r="S176" s="47">
        <f>_xll.qlTenorBasisValue($P$3,R176,AllTriggers)</f>
        <v>2.0363432909803079E-3</v>
      </c>
      <c r="T176" s="41">
        <f>_xll.qlDayCounterYearFraction("actual/365 (fixed)",SettlementDate,R176,,,Trigger)</f>
        <v>0.67123287671232879</v>
      </c>
      <c r="U176" s="47">
        <f>_xll.qlPolynomialFunctionValue($P$18,T176,AllTriggers)</f>
        <v>1.9734954133652882E-3</v>
      </c>
    </row>
    <row r="177" spans="18:21" x14ac:dyDescent="0.2">
      <c r="R177" s="212">
        <f>_xll.qlCalendarAdvance(Calendar,R176,"1D","f")</f>
        <v>42384</v>
      </c>
      <c r="S177" s="47">
        <f>_xll.qlTenorBasisValue($P$3,R177,AllTriggers)</f>
        <v>2.0369706955872999E-3</v>
      </c>
      <c r="T177" s="41">
        <f>_xll.qlDayCounterYearFraction("actual/365 (fixed)",SettlementDate,R177,,,Trigger)</f>
        <v>0.67397260273972603</v>
      </c>
      <c r="U177" s="47">
        <f>_xll.qlPolynomialFunctionValue($P$18,T177,AllTriggers)</f>
        <v>1.9742675552247516E-3</v>
      </c>
    </row>
    <row r="178" spans="18:21" x14ac:dyDescent="0.2">
      <c r="R178" s="212">
        <f>_xll.qlCalendarAdvance(Calendar,R177,"1D","f")</f>
        <v>42387</v>
      </c>
      <c r="S178" s="47">
        <f>_xll.qlTenorBasisValue($P$3,R178,AllTriggers)</f>
        <v>2.0388456579575206E-3</v>
      </c>
      <c r="T178" s="41">
        <f>_xll.qlDayCounterYearFraction("actual/365 (fixed)",SettlementDate,R178,,,Trigger)</f>
        <v>0.68219178082191778</v>
      </c>
      <c r="U178" s="47">
        <f>_xll.qlPolynomialFunctionValue($P$18,T178,AllTriggers)</f>
        <v>1.976571064080172E-3</v>
      </c>
    </row>
    <row r="179" spans="18:21" x14ac:dyDescent="0.2">
      <c r="R179" s="212">
        <f>_xll.qlCalendarAdvance(Calendar,R178,"1D","f")</f>
        <v>42388</v>
      </c>
      <c r="S179" s="47">
        <f>_xll.qlTenorBasisValue($P$3,R179,AllTriggers)</f>
        <v>2.0394682616431356E-3</v>
      </c>
      <c r="T179" s="41">
        <f>_xll.qlDayCounterYearFraction("actual/365 (fixed)",SettlementDate,R179,,,Trigger)</f>
        <v>0.68493150684931503</v>
      </c>
      <c r="U179" s="47">
        <f>_xll.qlPolynomialFunctionValue($P$18,T179,AllTriggers)</f>
        <v>1.977334628170116E-3</v>
      </c>
    </row>
    <row r="180" spans="18:21" x14ac:dyDescent="0.2">
      <c r="R180" s="212">
        <f>_xll.qlCalendarAdvance(Calendar,R179,"1D","f")</f>
        <v>42389</v>
      </c>
      <c r="S180" s="47">
        <f>_xll.qlTenorBasisValue($P$3,R180,AllTriggers)</f>
        <v>2.0400896901327501E-3</v>
      </c>
      <c r="T180" s="41">
        <f>_xll.qlDayCounterYearFraction("actual/365 (fixed)",SettlementDate,R180,,,Trigger)</f>
        <v>0.68767123287671228</v>
      </c>
      <c r="U180" s="47">
        <f>_xll.qlPolynomialFunctionValue($P$18,T180,AllTriggers)</f>
        <v>1.9780960728520247E-3</v>
      </c>
    </row>
    <row r="181" spans="18:21" x14ac:dyDescent="0.2">
      <c r="R181" s="212">
        <f>_xll.qlCalendarAdvance(Calendar,R180,"1D","f")</f>
        <v>42390</v>
      </c>
      <c r="S181" s="47">
        <f>_xll.qlTenorBasisValue($P$3,R181,AllTriggers)</f>
        <v>2.0407099534401024E-3</v>
      </c>
      <c r="T181" s="41">
        <f>_xll.qlDayCounterYearFraction("actual/365 (fixed)",SettlementDate,R181,,,Trigger)</f>
        <v>0.69041095890410964</v>
      </c>
      <c r="U181" s="47">
        <f>_xll.qlPolynomialFunctionValue($P$18,T181,AllTriggers)</f>
        <v>1.9788554081396357E-3</v>
      </c>
    </row>
    <row r="182" spans="18:21" x14ac:dyDescent="0.2">
      <c r="R182" s="212">
        <f>_xll.qlCalendarAdvance(Calendar,R181,"1D","f")</f>
        <v>42391</v>
      </c>
      <c r="S182" s="47">
        <f>_xll.qlTenorBasisValue($P$3,R182,AllTriggers)</f>
        <v>2.0413290615789318E-3</v>
      </c>
      <c r="T182" s="41">
        <f>_xll.qlDayCounterYearFraction("actual/365 (fixed)",SettlementDate,R182,,,Trigger)</f>
        <v>0.69315068493150689</v>
      </c>
      <c r="U182" s="47">
        <f>_xll.qlPolynomialFunctionValue($P$18,T182,AllTriggers)</f>
        <v>1.9796126440466875E-3</v>
      </c>
    </row>
    <row r="183" spans="18:21" x14ac:dyDescent="0.2">
      <c r="R183" s="212">
        <f>_xll.qlCalendarAdvance(Calendar,R182,"1D","f")</f>
        <v>42394</v>
      </c>
      <c r="S183" s="47">
        <f>_xll.qlTenorBasisValue($P$3,R183,AllTriggers)</f>
        <v>2.0431795551216535E-3</v>
      </c>
      <c r="T183" s="41">
        <f>_xll.qlDayCounterYearFraction("actual/365 (fixed)",SettlementDate,R183,,,Trigger)</f>
        <v>0.70136986301369864</v>
      </c>
      <c r="U183" s="47">
        <f>_xll.qlPolynomialFunctionValue($P$18,T183,AllTriggers)</f>
        <v>1.981871855621866E-3</v>
      </c>
    </row>
    <row r="184" spans="18:21" x14ac:dyDescent="0.2">
      <c r="R184" s="212">
        <f>_xll.qlCalendarAdvance(Calendar,R183,"1D","f")</f>
        <v>42395</v>
      </c>
      <c r="S184" s="47">
        <f>_xll.qlTenorBasisValue($P$3,R184,AllTriggers)</f>
        <v>2.0437941427237649E-3</v>
      </c>
      <c r="T184" s="41">
        <f>_xll.qlDayCounterYearFraction("actual/365 (fixed)",SettlementDate,R184,,,Trigger)</f>
        <v>0.70410958904109588</v>
      </c>
      <c r="U184" s="47">
        <f>_xll.qlPolynomialFunctionValue($P$18,T184,AllTriggers)</f>
        <v>1.9826207941440591E-3</v>
      </c>
    </row>
    <row r="185" spans="18:21" x14ac:dyDescent="0.2">
      <c r="R185" s="212">
        <f>_xll.qlCalendarAdvance(Calendar,R184,"1D","f")</f>
        <v>42396</v>
      </c>
      <c r="S185" s="47">
        <f>_xll.qlTenorBasisValue($P$3,R185,AllTriggers)</f>
        <v>2.0444076252260422E-3</v>
      </c>
      <c r="T185" s="41">
        <f>_xll.qlDayCounterYearFraction("actual/365 (fixed)",SettlementDate,R185,,,Trigger)</f>
        <v>0.70684931506849313</v>
      </c>
      <c r="U185" s="47">
        <f>_xll.qlPolynomialFunctionValue($P$18,T185,AllTriggers)</f>
        <v>1.9833676833543828E-3</v>
      </c>
    </row>
    <row r="186" spans="18:21" x14ac:dyDescent="0.2">
      <c r="R186" s="212">
        <f>_xll.qlCalendarAdvance(Calendar,R185,"1D","f")</f>
        <v>42397</v>
      </c>
      <c r="S186" s="47">
        <f>_xll.qlTenorBasisValue($P$3,R186,AllTriggers)</f>
        <v>2.0450200126422226E-3</v>
      </c>
      <c r="T186" s="41">
        <f>_xll.qlDayCounterYearFraction("actual/365 (fixed)",SettlementDate,R186,,,Trigger)</f>
        <v>0.70958904109589038</v>
      </c>
      <c r="U186" s="47">
        <f>_xll.qlPolynomialFunctionValue($P$18,T186,AllTriggers)</f>
        <v>1.9841125332665738E-3</v>
      </c>
    </row>
    <row r="187" spans="18:21" x14ac:dyDescent="0.2">
      <c r="R187" s="212">
        <f>_xll.qlCalendarAdvance(Calendar,R186,"1D","f")</f>
        <v>42398</v>
      </c>
      <c r="S187" s="47">
        <f>_xll.qlTenorBasisValue($P$3,R187,AllTriggers)</f>
        <v>2.0456313149860451E-3</v>
      </c>
      <c r="T187" s="41">
        <f>_xll.qlDayCounterYearFraction("actual/365 (fixed)",SettlementDate,R187,,,Trigger)</f>
        <v>0.71232876712328763</v>
      </c>
      <c r="U187" s="47">
        <f>_xll.qlPolynomialFunctionValue($P$18,T187,AllTriggers)</f>
        <v>1.9848553538943719E-3</v>
      </c>
    </row>
    <row r="188" spans="18:21" x14ac:dyDescent="0.2">
      <c r="R188" s="212">
        <f>_xll.qlCalendarAdvance(Calendar,R187,"1D","f")</f>
        <v>42401</v>
      </c>
      <c r="S188" s="47">
        <f>_xll.qlTenorBasisValue($P$3,R188,AllTriggers)</f>
        <v>2.0474588117207373E-3</v>
      </c>
      <c r="T188" s="41">
        <f>_xll.qlDayCounterYearFraction("actual/365 (fixed)",SettlementDate,R188,,,Trigger)</f>
        <v>0.72054794520547949</v>
      </c>
      <c r="U188" s="47">
        <f>_xll.qlPolynomialFunctionValue($P$18,T188,AllTriggers)</f>
        <v>1.9870717402087779E-3</v>
      </c>
    </row>
    <row r="189" spans="18:21" x14ac:dyDescent="0.2">
      <c r="R189" s="212">
        <f>_xll.qlCalendarAdvance(Calendar,R188,"1D","f")</f>
        <v>42402</v>
      </c>
      <c r="S189" s="47">
        <f>_xll.qlTenorBasisValue($P$3,R189,AllTriggers)</f>
        <v>2.0480658739125035E-3</v>
      </c>
      <c r="T189" s="41">
        <f>_xll.qlDayCounterYearFraction("actual/365 (fixed)",SettlementDate,R189,,,Trigger)</f>
        <v>0.72328767123287674</v>
      </c>
      <c r="U189" s="47">
        <f>_xll.qlPolynomialFunctionValue($P$18,T189,AllTriggers)</f>
        <v>1.9878065438363778E-3</v>
      </c>
    </row>
    <row r="190" spans="18:21" x14ac:dyDescent="0.2">
      <c r="R190" s="212">
        <f>_xll.qlCalendarAdvance(Calendar,R189,"1D","f")</f>
        <v>42403</v>
      </c>
      <c r="S190" s="47">
        <f>_xll.qlTenorBasisValue($P$3,R190,AllTriggers)</f>
        <v>2.0486719011005997E-3</v>
      </c>
      <c r="T190" s="41">
        <f>_xll.qlDayCounterYearFraction("actual/365 (fixed)",SettlementDate,R190,,,Trigger)</f>
        <v>0.72602739726027399</v>
      </c>
      <c r="U190" s="47">
        <f>_xll.qlPolynomialFunctionValue($P$18,T190,AllTriggers)</f>
        <v>1.9885393682482727E-3</v>
      </c>
    </row>
    <row r="191" spans="18:21" x14ac:dyDescent="0.2">
      <c r="R191" s="212">
        <f>_xll.qlCalendarAdvance(Calendar,R190,"1D","f")</f>
        <v>42404</v>
      </c>
      <c r="S191" s="47">
        <f>_xll.qlTenorBasisValue($P$3,R191,AllTriggers)</f>
        <v>2.0492769032987653E-3</v>
      </c>
      <c r="T191" s="41">
        <f>_xll.qlDayCounterYearFraction("actual/365 (fixed)",SettlementDate,R191,,,Trigger)</f>
        <v>0.72876712328767124</v>
      </c>
      <c r="U191" s="47">
        <f>_xll.qlPolynomialFunctionValue($P$18,T191,AllTriggers)</f>
        <v>1.9892702234582012E-3</v>
      </c>
    </row>
    <row r="192" spans="18:21" x14ac:dyDescent="0.2">
      <c r="R192" s="212">
        <f>_xll.qlCalendarAdvance(Calendar,R191,"1D","f")</f>
        <v>42405</v>
      </c>
      <c r="S192" s="47">
        <f>_xll.qlTenorBasisValue($P$3,R192,AllTriggers)</f>
        <v>2.0498808905207375E-3</v>
      </c>
      <c r="T192" s="41">
        <f>_xll.qlDayCounterYearFraction("actual/365 (fixed)",SettlementDate,R192,,,Trigger)</f>
        <v>0.73150684931506849</v>
      </c>
      <c r="U192" s="47">
        <f>_xll.qlPolynomialFunctionValue($P$18,T192,AllTriggers)</f>
        <v>1.9899991194799009E-3</v>
      </c>
    </row>
    <row r="193" spans="18:21" x14ac:dyDescent="0.2">
      <c r="R193" s="212">
        <f>_xll.qlCalendarAdvance(Calendar,R192,"1D","f")</f>
        <v>42408</v>
      </c>
      <c r="S193" s="47">
        <f>_xll.qlTenorBasisValue($P$3,R193,AllTriggers)</f>
        <v>2.051686862466871E-3</v>
      </c>
      <c r="T193" s="41">
        <f>_xll.qlDayCounterYearFraction("actual/365 (fixed)",SettlementDate,R193,,,Trigger)</f>
        <v>0.73972602739726023</v>
      </c>
      <c r="U193" s="47">
        <f>_xll.qlPolynomialFunctionValue($P$18,T193,AllTriggers)</f>
        <v>1.9921741525530047E-3</v>
      </c>
    </row>
    <row r="194" spans="18:21" x14ac:dyDescent="0.2">
      <c r="R194" s="212">
        <f>_xll.qlCalendarAdvance(Calendar,R193,"1D","f")</f>
        <v>42409</v>
      </c>
      <c r="S194" s="47">
        <f>_xll.qlTenorBasisValue($P$3,R194,AllTriggers)</f>
        <v>2.0522868899214473E-3</v>
      </c>
      <c r="T194" s="41">
        <f>_xll.qlDayCounterYearFraction("actual/365 (fixed)",SettlementDate,R194,,,Trigger)</f>
        <v>0.74246575342465748</v>
      </c>
      <c r="U194" s="47">
        <f>_xll.qlPolynomialFunctionValue($P$18,T194,AllTriggers)</f>
        <v>1.9928953119591679E-3</v>
      </c>
    </row>
    <row r="195" spans="18:21" x14ac:dyDescent="0.2">
      <c r="R195" s="212">
        <f>_xll.qlCalendarAdvance(Calendar,R194,"1D","f")</f>
        <v>42410</v>
      </c>
      <c r="S195" s="47">
        <f>_xll.qlTenorBasisValue($P$3,R195,AllTriggers)</f>
        <v>2.0528859524685207E-3</v>
      </c>
      <c r="T195" s="41">
        <f>_xll.qlDayCounterYearFraction("actual/365 (fixed)",SettlementDate,R195,,,Trigger)</f>
        <v>0.74520547945205484</v>
      </c>
      <c r="U195" s="47">
        <f>_xll.qlPolynomialFunctionValue($P$18,T195,AllTriggers)</f>
        <v>1.9936145622457915E-3</v>
      </c>
    </row>
    <row r="196" spans="18:21" x14ac:dyDescent="0.2">
      <c r="R196" s="212">
        <f>_xll.qlCalendarAdvance(Calendar,R195,"1D","f")</f>
        <v>42411</v>
      </c>
      <c r="S196" s="47">
        <f>_xll.qlTenorBasisValue($P$3,R196,AllTriggers)</f>
        <v>2.0534840601218267E-3</v>
      </c>
      <c r="T196" s="41">
        <f>_xll.qlDayCounterYearFraction("actual/365 (fixed)",SettlementDate,R196,,,Trigger)</f>
        <v>0.74794520547945209</v>
      </c>
      <c r="U196" s="47">
        <f>_xll.qlPolynomialFunctionValue($P$18,T196,AllTriggers)</f>
        <v>1.9943319134266132E-3</v>
      </c>
    </row>
    <row r="197" spans="18:21" x14ac:dyDescent="0.2">
      <c r="R197" s="212">
        <f>_xll.qlCalendarAdvance(Calendar,R196,"1D","f")</f>
        <v>42412</v>
      </c>
      <c r="S197" s="47">
        <f>_xll.qlTenorBasisValue($P$3,R197,AllTriggers)</f>
        <v>2.0540812228951049E-3</v>
      </c>
      <c r="T197" s="41">
        <f>_xll.qlDayCounterYearFraction("actual/365 (fixed)",SettlementDate,R197,,,Trigger)</f>
        <v>0.75068493150684934</v>
      </c>
      <c r="U197" s="47">
        <f>_xll.qlPolynomialFunctionValue($P$18,T197,AllTriggers)</f>
        <v>1.9950473755153716E-3</v>
      </c>
    </row>
    <row r="198" spans="18:21" x14ac:dyDescent="0.2">
      <c r="R198" s="212">
        <f>_xll.qlCalendarAdvance(Calendar,R197,"1D","f")</f>
        <v>42415</v>
      </c>
      <c r="S198" s="47">
        <f>_xll.qlTenorBasisValue($P$3,R198,AllTriggers)</f>
        <v>2.0558671420721495E-3</v>
      </c>
      <c r="T198" s="41">
        <f>_xll.qlDayCounterYearFraction("actual/365 (fixed)",SettlementDate,R198,,,Trigger)</f>
        <v>0.75890410958904109</v>
      </c>
      <c r="U198" s="47">
        <f>_xll.qlPolynomialFunctionValue($P$18,T198,AllTriggers)</f>
        <v>1.9971825273666435E-3</v>
      </c>
    </row>
    <row r="199" spans="18:21" x14ac:dyDescent="0.2">
      <c r="R199" s="212">
        <f>_xll.qlCalendarAdvance(Calendar,R198,"1D","f")</f>
        <v>42416</v>
      </c>
      <c r="S199" s="47">
        <f>_xll.qlTenorBasisValue($P$3,R199,AllTriggers)</f>
        <v>2.0564606254626942E-3</v>
      </c>
      <c r="T199" s="41">
        <f>_xll.qlDayCounterYearFraction("actual/365 (fixed)",SettlementDate,R199,,,Trigger)</f>
        <v>0.76164383561643834</v>
      </c>
      <c r="U199" s="47">
        <f>_xll.qlPolynomialFunctionValue($P$18,T199,AllTriggers)</f>
        <v>1.9978905332245266E-3</v>
      </c>
    </row>
    <row r="200" spans="18:21" x14ac:dyDescent="0.2">
      <c r="R200" s="212">
        <f>_xll.qlCalendarAdvance(Calendar,R199,"1D","f")</f>
        <v>42417</v>
      </c>
      <c r="S200" s="47">
        <f>_xll.qlTenorBasisValue($P$3,R200,AllTriggers)</f>
        <v>2.0570532140418997E-3</v>
      </c>
      <c r="T200" s="41">
        <f>_xll.qlDayCounterYearFraction("actual/365 (fixed)",SettlementDate,R200,,,Trigger)</f>
        <v>0.76438356164383559</v>
      </c>
      <c r="U200" s="47">
        <f>_xll.qlPolynomialFunctionValue($P$18,T200,AllTriggers)</f>
        <v>1.9985967000590355E-3</v>
      </c>
    </row>
    <row r="201" spans="18:21" x14ac:dyDescent="0.2">
      <c r="R201" s="212">
        <f>_xll.qlCalendarAdvance(Calendar,R200,"1D","f")</f>
        <v>42418</v>
      </c>
      <c r="S201" s="47">
        <f>_xll.qlTenorBasisValue($P$3,R201,AllTriggers)</f>
        <v>2.0576449178235042E-3</v>
      </c>
      <c r="T201" s="41">
        <f>_xll.qlDayCounterYearFraction("actual/365 (fixed)",SettlementDate,R201,,,Trigger)</f>
        <v>0.76712328767123283</v>
      </c>
      <c r="U201" s="47">
        <f>_xll.qlPolynomialFunctionValue($P$18,T201,AllTriggers)</f>
        <v>1.9993010378839076E-3</v>
      </c>
    </row>
    <row r="202" spans="18:21" x14ac:dyDescent="0.2">
      <c r="R202" s="212">
        <f>_xll.qlCalendarAdvance(Calendar,R201,"1D","f")</f>
        <v>42419</v>
      </c>
      <c r="S202" s="47">
        <f>_xll.qlTenorBasisValue($P$3,R202,AllTriggers)</f>
        <v>2.0582357468212462E-3</v>
      </c>
      <c r="T202" s="41">
        <f>_xll.qlDayCounterYearFraction("actual/365 (fixed)",SettlementDate,R202,,,Trigger)</f>
        <v>0.76986301369863008</v>
      </c>
      <c r="U202" s="47">
        <f>_xll.qlPolynomialFunctionValue($P$18,T202,AllTriggers)</f>
        <v>2.0000035567128813E-3</v>
      </c>
    </row>
    <row r="203" spans="18:21" x14ac:dyDescent="0.2">
      <c r="R203" s="212">
        <f>_xll.qlCalendarAdvance(Calendar,R202,"1D","f")</f>
        <v>42422</v>
      </c>
      <c r="S203" s="47">
        <f>_xll.qlTenorBasisValue($P$3,R203,AllTriggers)</f>
        <v>2.0600030852486718E-3</v>
      </c>
      <c r="T203" s="41">
        <f>_xll.qlDayCounterYearFraction("actual/365 (fixed)",SettlementDate,R203,,,Trigger)</f>
        <v>0.77808219178082194</v>
      </c>
      <c r="U203" s="47">
        <f>_xll.qlPolynomialFunctionValue($P$18,T203,AllTriggers)</f>
        <v>2.0021002993617916E-3</v>
      </c>
    </row>
    <row r="204" spans="18:21" x14ac:dyDescent="0.2">
      <c r="R204" s="212">
        <f>_xll.qlCalendarAdvance(Calendar,R203,"1D","f")</f>
        <v>42423</v>
      </c>
      <c r="S204" s="47">
        <f>_xll.qlTenorBasisValue($P$3,R204,AllTriggers)</f>
        <v>2.0605905152483403E-3</v>
      </c>
      <c r="T204" s="41">
        <f>_xll.qlDayCounterYearFraction("actual/365 (fixed)",SettlementDate,R204,,,Trigger)</f>
        <v>0.78082191780821919</v>
      </c>
      <c r="U204" s="47">
        <f>_xll.qlPolynomialFunctionValue($P$18,T204,AllTriggers)</f>
        <v>2.0027956423445512E-3</v>
      </c>
    </row>
    <row r="205" spans="18:21" x14ac:dyDescent="0.2">
      <c r="R205" s="212">
        <f>_xll.qlCalendarAdvance(Calendar,R204,"1D","f")</f>
        <v>42424</v>
      </c>
      <c r="S205" s="47">
        <f>_xll.qlTenorBasisValue($P$3,R205,AllTriggers)</f>
        <v>2.0611771205328354E-3</v>
      </c>
      <c r="T205" s="41">
        <f>_xll.qlDayCounterYearFraction("actual/365 (fixed)",SettlementDate,R205,,,Trigger)</f>
        <v>0.78356164383561644</v>
      </c>
      <c r="U205" s="47">
        <f>_xll.qlPolynomialFunctionValue($P$18,T205,AllTriggers)</f>
        <v>2.0034892164001016E-3</v>
      </c>
    </row>
    <row r="206" spans="18:21" x14ac:dyDescent="0.2">
      <c r="R206" s="212">
        <f>_xll.qlCalendarAdvance(Calendar,R205,"1D","f")</f>
        <v>42425</v>
      </c>
      <c r="S206" s="47">
        <f>_xll.qlTenorBasisValue($P$3,R206,AllTriggers)</f>
        <v>2.0617629111158945E-3</v>
      </c>
      <c r="T206" s="41">
        <f>_xll.qlDayCounterYearFraction("actual/365 (fixed)",SettlementDate,R206,,,Trigger)</f>
        <v>0.78630136986301369</v>
      </c>
      <c r="U206" s="47">
        <f>_xll.qlPolynomialFunctionValue($P$18,T206,AllTriggers)</f>
        <v>2.0041810315421806E-3</v>
      </c>
    </row>
    <row r="207" spans="18:21" x14ac:dyDescent="0.2">
      <c r="R207" s="212">
        <f>_xll.qlCalendarAdvance(Calendar,R206,"1D","f")</f>
        <v>42426</v>
      </c>
      <c r="S207" s="47">
        <f>_xll.qlTenorBasisValue($P$3,R207,AllTriggers)</f>
        <v>2.0623478970112565E-3</v>
      </c>
      <c r="T207" s="41">
        <f>_xll.qlDayCounterYearFraction("actual/365 (fixed)",SettlementDate,R207,,,Trigger)</f>
        <v>0.78904109589041094</v>
      </c>
      <c r="U207" s="47">
        <f>_xll.qlPolynomialFunctionValue($P$18,T207,AllTriggers)</f>
        <v>2.0048710977845271E-3</v>
      </c>
    </row>
    <row r="208" spans="18:21" x14ac:dyDescent="0.2">
      <c r="R208" s="212">
        <f>_xll.qlCalendarAdvance(Calendar,R207,"1D","f")</f>
        <v>42429</v>
      </c>
      <c r="S208" s="47">
        <f>_xll.qlTenorBasisValue($P$3,R208,AllTriggers)</f>
        <v>2.0640981267085337E-3</v>
      </c>
      <c r="T208" s="41">
        <f>_xll.qlDayCounterYearFraction("actual/365 (fixed)",SettlementDate,R208,,,Trigger)</f>
        <v>0.79726027397260268</v>
      </c>
      <c r="U208" s="47">
        <f>_xll.qlPolynomialFunctionValue($P$18,T208,AllTriggers)</f>
        <v>2.0069309032505456E-3</v>
      </c>
    </row>
    <row r="209" spans="18:21" x14ac:dyDescent="0.2">
      <c r="R209" s="212">
        <f>_xll.qlCalendarAdvance(Calendar,R208,"1D","f")</f>
        <v>42430</v>
      </c>
      <c r="S209" s="47">
        <f>_xll.qlTenorBasisValue($P$3,R209,AllTriggers)</f>
        <v>2.0646799939904831E-3</v>
      </c>
      <c r="T209" s="41">
        <f>_xll.qlDayCounterYearFraction("actual/365 (fixed)",SettlementDate,R209,,,Trigger)</f>
        <v>0.8</v>
      </c>
      <c r="U209" s="47">
        <f>_xll.qlPolynomialFunctionValue($P$18,T209,AllTriggers)</f>
        <v>2.0076140740313379E-3</v>
      </c>
    </row>
    <row r="210" spans="18:21" x14ac:dyDescent="0.2">
      <c r="R210" s="212">
        <f>_xll.qlCalendarAdvance(Calendar,R209,"1D","f")</f>
        <v>42431</v>
      </c>
      <c r="S210" s="47">
        <f>_xll.qlTenorBasisValue($P$3,R210,AllTriggers)</f>
        <v>2.065261106653424E-3</v>
      </c>
      <c r="T210" s="41">
        <f>_xll.qlDayCounterYearFraction("actual/365 (fixed)",SettlementDate,R210,,,Trigger)</f>
        <v>0.80273972602739729</v>
      </c>
      <c r="U210" s="47">
        <f>_xll.qlPolynomialFunctionValue($P$18,T210,AllTriggers)</f>
        <v>2.0082955459810869E-3</v>
      </c>
    </row>
    <row r="211" spans="18:21" x14ac:dyDescent="0.2">
      <c r="R211" s="212">
        <f>_xll.qlCalendarAdvance(Calendar,R210,"1D","f")</f>
        <v>42432</v>
      </c>
      <c r="S211" s="47">
        <f>_xll.qlTenorBasisValue($P$3,R211,AllTriggers)</f>
        <v>2.0658414747110952E-3</v>
      </c>
      <c r="T211" s="41">
        <f>_xll.qlDayCounterYearFraction("actual/365 (fixed)",SettlementDate,R211,,,Trigger)</f>
        <v>0.80547945205479454</v>
      </c>
      <c r="U211" s="47">
        <f>_xll.qlPolynomialFunctionValue($P$18,T211,AllTriggers)</f>
        <v>2.0089753291135303E-3</v>
      </c>
    </row>
    <row r="212" spans="18:21" x14ac:dyDescent="0.2">
      <c r="R212" s="212">
        <f>_xll.qlCalendarAdvance(Calendar,R211,"1D","f")</f>
        <v>42433</v>
      </c>
      <c r="S212" s="47">
        <f>_xll.qlTenorBasisValue($P$3,R212,AllTriggers)</f>
        <v>2.0664211081772334E-3</v>
      </c>
      <c r="T212" s="41">
        <f>_xll.qlDayCounterYearFraction("actual/365 (fixed)",SettlementDate,R212,,,Trigger)</f>
        <v>0.80821917808219179</v>
      </c>
      <c r="U212" s="47">
        <f>_xll.qlPolynomialFunctionValue($P$18,T212,AllTriggers)</f>
        <v>2.0096534334424054E-3</v>
      </c>
    </row>
    <row r="213" spans="18:21" x14ac:dyDescent="0.2">
      <c r="R213" s="212">
        <f>_xll.qlCalendarAdvance(Calendar,R212,"1D","f")</f>
        <v>42436</v>
      </c>
      <c r="S213" s="47">
        <f>_xll.qlTenorBasisValue($P$3,R213,AllTriggers)</f>
        <v>2.0681557011638322E-3</v>
      </c>
      <c r="T213" s="41">
        <f>_xll.qlDayCounterYearFraction("actual/365 (fixed)",SettlementDate,R213,,,Trigger)</f>
        <v>0.81643835616438354</v>
      </c>
      <c r="U213" s="47">
        <f>_xll.qlPolynomialFunctionValue($P$18,T213,AllTriggers)</f>
        <v>2.011677773745002E-3</v>
      </c>
    </row>
    <row r="214" spans="18:21" x14ac:dyDescent="0.2">
      <c r="R214" s="212">
        <f>_xll.qlCalendarAdvance(Calendar,R213,"1D","f")</f>
        <v>42437</v>
      </c>
      <c r="S214" s="47">
        <f>_xll.qlTenorBasisValue($P$3,R214,AllTriggers)</f>
        <v>2.068732496401219E-3</v>
      </c>
      <c r="T214" s="41">
        <f>_xll.qlDayCounterYearFraction("actual/365 (fixed)",SettlementDate,R214,,,Trigger)</f>
        <v>0.81917808219178079</v>
      </c>
      <c r="U214" s="47">
        <f>_xll.qlPolynomialFunctionValue($P$18,T214,AllTriggers)</f>
        <v>2.0123492629969845E-3</v>
      </c>
    </row>
    <row r="215" spans="18:21" x14ac:dyDescent="0.2">
      <c r="R215" s="212">
        <f>_xll.qlCalendarAdvance(Calendar,R214,"1D","f")</f>
        <v>42438</v>
      </c>
      <c r="S215" s="47">
        <f>_xll.qlTenorBasisValue($P$3,R215,AllTriggers)</f>
        <v>2.0693086071157632E-3</v>
      </c>
      <c r="T215" s="41">
        <f>_xll.qlDayCounterYearFraction("actual/365 (fixed)",SettlementDate,R215,,,Trigger)</f>
        <v>0.82191780821917804</v>
      </c>
      <c r="U215" s="47">
        <f>_xll.qlPolynomialFunctionValue($P$18,T215,AllTriggers)</f>
        <v>2.0130191235140892E-3</v>
      </c>
    </row>
    <row r="216" spans="18:21" x14ac:dyDescent="0.2">
      <c r="R216" s="212">
        <f>_xll.qlCalendarAdvance(Calendar,R215,"1D","f")</f>
        <v>42439</v>
      </c>
      <c r="S216" s="47">
        <f>_xll.qlTenorBasisValue($P$3,R216,AllTriggers)</f>
        <v>2.0698840433212022E-3</v>
      </c>
      <c r="T216" s="41">
        <f>_xll.qlDayCounterYearFraction("actual/365 (fixed)",SettlementDate,R216,,,Trigger)</f>
        <v>0.8246575342465754</v>
      </c>
      <c r="U216" s="47">
        <f>_xll.qlPolynomialFunctionValue($P$18,T216,AllTriggers)</f>
        <v>2.0136873653100523E-3</v>
      </c>
    </row>
    <row r="217" spans="18:21" x14ac:dyDescent="0.2">
      <c r="R217" s="212">
        <f>_xll.qlCalendarAdvance(Calendar,R216,"1D","f")</f>
        <v>42440</v>
      </c>
      <c r="S217" s="47">
        <f>_xll.qlTenorBasisValue($P$3,R217,AllTriggers)</f>
        <v>2.0704588150312737E-3</v>
      </c>
      <c r="T217" s="41">
        <f>_xll.qlDayCounterYearFraction("actual/365 (fixed)",SettlementDate,R217,,,Trigger)</f>
        <v>0.82739726027397265</v>
      </c>
      <c r="U217" s="47">
        <f>_xll.qlPolynomialFunctionValue($P$18,T217,AllTriggers)</f>
        <v>2.0143539983986133E-3</v>
      </c>
    </row>
    <row r="218" spans="18:21" x14ac:dyDescent="0.2">
      <c r="R218" s="212">
        <f>_xll.qlCalendarAdvance(Calendar,R217,"1D","f")</f>
        <v>42443</v>
      </c>
      <c r="S218" s="47">
        <f>_xll.qlTenorBasisValue($P$3,R218,AllTriggers)</f>
        <v>2.0721792433266635E-3</v>
      </c>
      <c r="T218" s="41">
        <f>_xll.qlDayCounterYearFraction("actual/365 (fixed)",SettlementDate,R218,,,Trigger)</f>
        <v>0.83561643835616439</v>
      </c>
      <c r="U218" s="47">
        <f>_xll.qlPolynomialFunctionValue($P$18,T218,AllTriggers)</f>
        <v>2.0163443455572579E-3</v>
      </c>
    </row>
    <row r="219" spans="18:21" x14ac:dyDescent="0.2">
      <c r="R219" s="212">
        <f>_xll.qlCalendarAdvance(Calendar,R218,"1D","f")</f>
        <v>42444</v>
      </c>
      <c r="S219" s="47">
        <f>_xll.qlTenorBasisValue($P$3,R219,AllTriggers)</f>
        <v>2.0727514571926447E-3</v>
      </c>
      <c r="T219" s="41">
        <f>_xll.qlDayCounterYearFraction("actual/365 (fixed)",SettlementDate,R219,,,Trigger)</f>
        <v>0.83835616438356164</v>
      </c>
      <c r="U219" s="47">
        <f>_xll.qlPolynomialFunctionValue($P$18,T219,AllTriggers)</f>
        <v>2.0170046439535873E-3</v>
      </c>
    </row>
    <row r="220" spans="18:21" x14ac:dyDescent="0.2">
      <c r="R220" s="212">
        <f>_xll.qlCalendarAdvance(Calendar,R219,"1D","f")</f>
        <v>42445</v>
      </c>
      <c r="S220" s="47">
        <f>_xll.qlTenorBasisValue($P$3,R220,AllTriggers)</f>
        <v>2.0733230566319489E-3</v>
      </c>
      <c r="T220" s="41">
        <f>_xll.qlDayCounterYearFraction("actual/365 (fixed)",SettlementDate,R220,,,Trigger)</f>
        <v>0.84109589041095889</v>
      </c>
      <c r="U220" s="47">
        <f>_xll.qlPolynomialFunctionValue($P$18,T220,AllTriggers)</f>
        <v>2.0176633837112033E-3</v>
      </c>
    </row>
    <row r="221" spans="18:21" x14ac:dyDescent="0.2">
      <c r="R221" s="212">
        <f>_xll.qlCalendarAdvance(Calendar,R220,"1D","f")</f>
        <v>42446</v>
      </c>
      <c r="S221" s="47">
        <f>_xll.qlTenorBasisValue($P$3,R221,AllTriggers)</f>
        <v>2.0738940516583123E-3</v>
      </c>
      <c r="T221" s="41">
        <f>_xll.qlDayCounterYearFraction("actual/365 (fixed)",SettlementDate,R221,,,Trigger)</f>
        <v>0.84383561643835614</v>
      </c>
      <c r="U221" s="47">
        <f>_xll.qlPolynomialFunctionValue($P$18,T221,AllTriggers)</f>
        <v>2.0183205748438436E-3</v>
      </c>
    </row>
    <row r="222" spans="18:21" x14ac:dyDescent="0.2">
      <c r="R222" s="212">
        <f>_xll.qlCalendarAdvance(Calendar,R221,"1D","f")</f>
        <v>42447</v>
      </c>
      <c r="S222" s="47">
        <f>_xll.qlTenorBasisValue($P$3,R222,AllTriggers)</f>
        <v>2.0744644522854741E-3</v>
      </c>
      <c r="T222" s="41">
        <f>_xll.qlDayCounterYearFraction("actual/365 (fixed)",SettlementDate,R222,,,Trigger)</f>
        <v>0.84657534246575339</v>
      </c>
      <c r="U222" s="47">
        <f>_xll.qlPolynomialFunctionValue($P$18,T222,AllTriggers)</f>
        <v>2.0189762273652464E-3</v>
      </c>
    </row>
    <row r="223" spans="18:21" x14ac:dyDescent="0.2">
      <c r="R223" s="212">
        <f>_xll.qlCalendarAdvance(Calendar,R222,"1D","f")</f>
        <v>42450</v>
      </c>
      <c r="S223" s="47">
        <f>_xll.qlTenorBasisValue($P$3,R223,AllTriggers)</f>
        <v>2.076172187909126E-3</v>
      </c>
      <c r="T223" s="41">
        <f>_xll.qlDayCounterYearFraction("actual/365 (fixed)",SettlementDate,R223,,,Trigger)</f>
        <v>0.85479452054794525</v>
      </c>
      <c r="U223" s="47">
        <f>_xll.qlPolynomialFunctionValue($P$18,T223,AllTriggers)</f>
        <v>2.0209340533994106E-3</v>
      </c>
    </row>
    <row r="224" spans="18:21" x14ac:dyDescent="0.2">
      <c r="R224" s="212">
        <f>_xll.qlCalendarAdvance(Calendar,R223,"1D","f")</f>
        <v>42451</v>
      </c>
      <c r="S224" s="47">
        <f>_xll.qlTenorBasisValue($P$3,R224,AllTriggers)</f>
        <v>2.0767403110768588E-3</v>
      </c>
      <c r="T224" s="41">
        <f>_xll.qlDayCounterYearFraction("actual/365 (fixed)",SettlementDate,R224,,,Trigger)</f>
        <v>0.8575342465753425</v>
      </c>
      <c r="U224" s="47">
        <f>_xll.qlPolynomialFunctionValue($P$18,T224,AllTriggers)</f>
        <v>2.0215836516132434E-3</v>
      </c>
    </row>
    <row r="225" spans="18:21" x14ac:dyDescent="0.2">
      <c r="R225" s="212">
        <f>_xll.qlCalendarAdvance(Calendar,R224,"1D","f")</f>
        <v>42452</v>
      </c>
      <c r="S225" s="47">
        <f>_xll.qlTenorBasisValue($P$3,R225,AllTriggers)</f>
        <v>2.0773078899140782E-3</v>
      </c>
      <c r="T225" s="41">
        <f>_xll.qlDayCounterYearFraction("actual/365 (fixed)",SettlementDate,R225,,,Trigger)</f>
        <v>0.86027397260273974</v>
      </c>
      <c r="U225" s="47">
        <f>_xll.qlPolynomialFunctionValue($P$18,T225,AllTriggers)</f>
        <v>2.0222317612845278E-3</v>
      </c>
    </row>
    <row r="226" spans="18:21" x14ac:dyDescent="0.2">
      <c r="R226" s="212">
        <f>_xll.qlCalendarAdvance(Calendar,R225,"1D","f")</f>
        <v>42453</v>
      </c>
      <c r="S226" s="47">
        <f>_xll.qlTenorBasisValue($P$3,R226,AllTriggers)</f>
        <v>2.0778749344345232E-3</v>
      </c>
      <c r="T226" s="41">
        <f>_xll.qlDayCounterYearFraction("actual/365 (fixed)",SettlementDate,R226,,,Trigger)</f>
        <v>0.86301369863013699</v>
      </c>
      <c r="U226" s="47">
        <f>_xll.qlPolynomialFunctionValue($P$18,T226,AllTriggers)</f>
        <v>2.022878392427002E-3</v>
      </c>
    </row>
    <row r="227" spans="18:21" x14ac:dyDescent="0.2">
      <c r="R227" s="212">
        <f>_xll.qlCalendarAdvance(Calendar,R226,"1D","f")</f>
        <v>42458</v>
      </c>
      <c r="S227" s="47">
        <f>_xll.qlTenorBasisValue($P$3,R227,AllTriggers)</f>
        <v>2.0807024927659555E-3</v>
      </c>
      <c r="T227" s="41">
        <f>_xll.qlDayCounterYearFraction("actual/365 (fixed)",SettlementDate,R227,,,Trigger)</f>
        <v>0.87671232876712324</v>
      </c>
      <c r="U227" s="47">
        <f>_xll.qlPolynomialFunctionValue($P$18,T227,AllTriggers)</f>
        <v>2.0260897206880492E-3</v>
      </c>
    </row>
    <row r="228" spans="18:21" x14ac:dyDescent="0.2">
      <c r="R228" s="212">
        <f>_xll.qlCalendarAdvance(Calendar,R227,"1D","f")</f>
        <v>42459</v>
      </c>
      <c r="S228" s="47">
        <f>_xll.qlTenorBasisValue($P$3,R228,AllTriggers)</f>
        <v>2.0812665416742484E-3</v>
      </c>
      <c r="T228" s="41">
        <f>_xll.qlDayCounterYearFraction("actual/365 (fixed)",SettlementDate,R228,,,Trigger)</f>
        <v>0.8794520547945206</v>
      </c>
      <c r="U228" s="47">
        <f>_xll.qlPolynomialFunctionValue($P$18,T228,AllTriggers)</f>
        <v>2.0267276909461595E-3</v>
      </c>
    </row>
    <row r="229" spans="18:21" x14ac:dyDescent="0.2">
      <c r="R229" s="212">
        <f>_xll.qlCalendarAdvance(Calendar,R228,"1D","f")</f>
        <v>42460</v>
      </c>
      <c r="S229" s="47">
        <f>_xll.qlTenorBasisValue($P$3,R229,AllTriggers)</f>
        <v>2.081830126361932E-3</v>
      </c>
      <c r="T229" s="41">
        <f>_xll.qlDayCounterYearFraction("actual/365 (fixed)",SettlementDate,R229,,,Trigger)</f>
        <v>0.88219178082191785</v>
      </c>
      <c r="U229" s="47">
        <f>_xll.qlPolynomialFunctionValue($P$18,T229,AllTriggers)</f>
        <v>2.0273642527716242E-3</v>
      </c>
    </row>
    <row r="230" spans="18:21" x14ac:dyDescent="0.2">
      <c r="R230" s="212">
        <f>_xll.qlCalendarAdvance(Calendar,R229,"1D","f")</f>
        <v>42461</v>
      </c>
      <c r="S230" s="47">
        <f>_xll.qlTenorBasisValue($P$3,R230,AllTriggers)</f>
        <v>2.0823932568427438E-3</v>
      </c>
      <c r="T230" s="41">
        <f>_xll.qlDayCounterYearFraction("actual/365 (fixed)",SettlementDate,R230,,,Trigger)</f>
        <v>0.8849315068493151</v>
      </c>
      <c r="U230" s="47">
        <f>_xll.qlPolynomialFunctionValue($P$18,T230,AllTriggers)</f>
        <v>2.0279994161781821E-3</v>
      </c>
    </row>
    <row r="231" spans="18:21" x14ac:dyDescent="0.2">
      <c r="R231" s="212">
        <f>_xll.qlCalendarAdvance(Calendar,R230,"1D","f")</f>
        <v>42464</v>
      </c>
      <c r="S231" s="47">
        <f>_xll.qlTenorBasisValue($P$3,R231,AllTriggers)</f>
        <v>2.0840800231813291E-3</v>
      </c>
      <c r="T231" s="41">
        <f>_xll.qlDayCounterYearFraction("actual/365 (fixed)",SettlementDate,R231,,,Trigger)</f>
        <v>0.89315068493150684</v>
      </c>
      <c r="U231" s="47">
        <f>_xll.qlPolynomialFunctionValue($P$18,T231,AllTriggers)</f>
        <v>2.0298966160217928E-3</v>
      </c>
    </row>
    <row r="232" spans="18:21" x14ac:dyDescent="0.2">
      <c r="R232" s="212">
        <f>_xll.qlCalendarAdvance(Calendar,R231,"1D","f")</f>
        <v>42465</v>
      </c>
      <c r="S232" s="47">
        <f>_xll.qlTenorBasisValue($P$3,R232,AllTriggers)</f>
        <v>2.0846414369720336E-3</v>
      </c>
      <c r="T232" s="41">
        <f>_xll.qlDayCounterYearFraction("actual/365 (fixed)",SettlementDate,R232,,,Trigger)</f>
        <v>0.89589041095890409</v>
      </c>
      <c r="U232" s="47">
        <f>_xll.qlPolynomialFunctionValue($P$18,T232,AllTriggers)</f>
        <v>2.0305262858901023E-3</v>
      </c>
    </row>
    <row r="233" spans="18:21" x14ac:dyDescent="0.2">
      <c r="R233" s="212">
        <f>_xll.qlCalendarAdvance(Calendar,R232,"1D","f")</f>
        <v>42466</v>
      </c>
      <c r="S233" s="47">
        <f>_xll.qlTenorBasisValue($P$3,R233,AllTriggers)</f>
        <v>2.0852024466245563E-3</v>
      </c>
      <c r="T233" s="41">
        <f>_xll.qlDayCounterYearFraction("actual/365 (fixed)",SettlementDate,R233,,,Trigger)</f>
        <v>0.89863013698630134</v>
      </c>
      <c r="U233" s="47">
        <f>_xll.qlPolynomialFunctionValue($P$18,T233,AllTriggers)</f>
        <v>2.0311546074081943E-3</v>
      </c>
    </row>
    <row r="234" spans="18:21" x14ac:dyDescent="0.2">
      <c r="R234" s="212">
        <f>_xll.qlCalendarAdvance(Calendar,R233,"1D","f")</f>
        <v>42467</v>
      </c>
      <c r="S234" s="47">
        <f>_xll.qlTenorBasisValue($P$3,R234,AllTriggers)</f>
        <v>2.0857630621526346E-3</v>
      </c>
      <c r="T234" s="41">
        <f>_xll.qlDayCounterYearFraction("actual/365 (fixed)",SettlementDate,R234,,,Trigger)</f>
        <v>0.90136986301369859</v>
      </c>
      <c r="U234" s="47">
        <f>_xll.qlPolynomialFunctionValue($P$18,T234,AllTriggers)</f>
        <v>2.0317815905898061E-3</v>
      </c>
    </row>
    <row r="235" spans="18:21" x14ac:dyDescent="0.2">
      <c r="R235" s="212">
        <f>_xll.qlCalendarAdvance(Calendar,R234,"1D","f")</f>
        <v>42468</v>
      </c>
      <c r="S235" s="47">
        <f>_xll.qlTenorBasisValue($P$3,R235,AllTriggers)</f>
        <v>2.0863232935700066E-3</v>
      </c>
      <c r="T235" s="41">
        <f>_xll.qlDayCounterYearFraction("actual/365 (fixed)",SettlementDate,R235,,,Trigger)</f>
        <v>0.90410958904109584</v>
      </c>
      <c r="U235" s="47">
        <f>_xll.qlPolynomialFunctionValue($P$18,T235,AllTriggers)</f>
        <v>2.0324072454486765E-3</v>
      </c>
    </row>
    <row r="236" spans="18:21" x14ac:dyDescent="0.2">
      <c r="R236" s="212">
        <f>_xll.qlCalendarAdvance(Calendar,R235,"1D","f")</f>
        <v>42471</v>
      </c>
      <c r="S236" s="47">
        <f>_xll.qlTenorBasisValue($P$3,R236,AllTriggers)</f>
        <v>2.0880017832952641E-3</v>
      </c>
      <c r="T236" s="41">
        <f>_xll.qlDayCounterYearFraction("actual/365 (fixed)",SettlementDate,R236,,,Trigger)</f>
        <v>0.9123287671232877</v>
      </c>
      <c r="U236" s="47">
        <f>_xll.qlPolynomialFunctionValue($P$18,T236,AllTriggers)</f>
        <v>2.0342763402262168E-3</v>
      </c>
    </row>
    <row r="237" spans="18:21" x14ac:dyDescent="0.2">
      <c r="R237" s="212">
        <f>_xll.qlCalendarAdvance(Calendar,R236,"1D","f")</f>
        <v>42472</v>
      </c>
      <c r="S237" s="47">
        <f>_xll.qlTenorBasisValue($P$3,R237,AllTriggers)</f>
        <v>2.0885605784071899E-3</v>
      </c>
      <c r="T237" s="41">
        <f>_xll.qlDayCounterYearFraction("actual/365 (fixed)",SettlementDate,R237,,,Trigger)</f>
        <v>0.91506849315068495</v>
      </c>
      <c r="U237" s="47">
        <f>_xll.qlPolynomialFunctionValue($P$18,T237,AllTriggers)</f>
        <v>2.0348967819314996E-3</v>
      </c>
    </row>
    <row r="238" spans="18:21" x14ac:dyDescent="0.2">
      <c r="R238" s="212">
        <f>_xll.qlCalendarAdvance(Calendar,R237,"1D","f")</f>
        <v>42473</v>
      </c>
      <c r="S238" s="47">
        <f>_xll.qlTenorBasisValue($P$3,R238,AllTriggers)</f>
        <v>2.0891190394770991E-3</v>
      </c>
      <c r="T238" s="41">
        <f>_xll.qlDayCounterYearFraction("actual/365 (fixed)",SettlementDate,R238,,,Trigger)</f>
        <v>0.9178082191780822</v>
      </c>
      <c r="U238" s="47">
        <f>_xll.qlPolynomialFunctionValue($P$18,T238,AllTriggers)</f>
        <v>2.0355159453827303E-3</v>
      </c>
    </row>
    <row r="239" spans="18:21" x14ac:dyDescent="0.2">
      <c r="R239" s="212">
        <f>_xll.qlCalendarAdvance(Calendar,R238,"1D","f")</f>
        <v>42474</v>
      </c>
      <c r="S239" s="47">
        <f>_xll.qlTenorBasisValue($P$3,R239,AllTriggers)</f>
        <v>2.0896771765187287E-3</v>
      </c>
      <c r="T239" s="41">
        <f>_xll.qlDayCounterYearFraction("actual/365 (fixed)",SettlementDate,R239,,,Trigger)</f>
        <v>0.92054794520547945</v>
      </c>
      <c r="U239" s="47">
        <f>_xll.qlPolynomialFunctionValue($P$18,T239,AllTriggers)</f>
        <v>2.0361338405936462E-3</v>
      </c>
    </row>
    <row r="240" spans="18:21" x14ac:dyDescent="0.2">
      <c r="R240" s="212">
        <f>_xll.qlCalendarAdvance(Calendar,R239,"1D","f")</f>
        <v>42475</v>
      </c>
      <c r="S240" s="47">
        <f>_xll.qlTenorBasisValue($P$3,R240,AllTriggers)</f>
        <v>2.0902349995458175E-3</v>
      </c>
      <c r="T240" s="41">
        <f>_xll.qlDayCounterYearFraction("actual/365 (fixed)",SettlementDate,R240,,,Trigger)</f>
        <v>0.92328767123287669</v>
      </c>
      <c r="U240" s="47">
        <f>_xll.qlPolynomialFunctionValue($P$18,T240,AllTriggers)</f>
        <v>2.0367504775779853E-3</v>
      </c>
    </row>
    <row r="241" spans="18:21" x14ac:dyDescent="0.2">
      <c r="R241" s="212">
        <f>_xll.qlCalendarAdvance(Calendar,R240,"1D","f")</f>
        <v>42478</v>
      </c>
      <c r="S241" s="47">
        <f>_xll.qlTenorBasisValue($P$3,R241,AllTriggers)</f>
        <v>2.091906684677217E-3</v>
      </c>
      <c r="T241" s="41">
        <f>_xll.qlDayCounterYearFraction("actual/365 (fixed)",SettlementDate,R241,,,Trigger)</f>
        <v>0.93150684931506844</v>
      </c>
      <c r="U241" s="47">
        <f>_xll.qlPolynomialFunctionValue($P$18,T241,AllTriggers)</f>
        <v>2.0385929393089246E-3</v>
      </c>
    </row>
    <row r="242" spans="18:21" x14ac:dyDescent="0.2">
      <c r="R242" s="212">
        <f>_xll.qlCalendarAdvance(Calendar,R241,"1D","f")</f>
        <v>42479</v>
      </c>
      <c r="S242" s="47">
        <f>_xll.qlTenorBasisValue($P$3,R242,AllTriggers)</f>
        <v>2.0924633517835209E-3</v>
      </c>
      <c r="T242" s="41">
        <f>_xll.qlDayCounterYearFraction("actual/365 (fixed)",SettlementDate,R242,,,Trigger)</f>
        <v>0.9342465753424658</v>
      </c>
      <c r="U242" s="47">
        <f>_xll.qlPolynomialFunctionValue($P$18,T242,AllTriggers)</f>
        <v>2.0392046435243373E-3</v>
      </c>
    </row>
    <row r="243" spans="18:21" x14ac:dyDescent="0.2">
      <c r="R243" s="212">
        <f>_xll.qlCalendarAdvance(Calendar,R242,"1D","f")</f>
        <v>42480</v>
      </c>
      <c r="S243" s="47">
        <f>_xll.qlTenorBasisValue($P$3,R243,AllTriggers)</f>
        <v>2.0930197549439726E-3</v>
      </c>
      <c r="T243" s="41">
        <f>_xll.qlDayCounterYearFraction("actual/365 (fixed)",SettlementDate,R243,,,Trigger)</f>
        <v>0.93698630136986305</v>
      </c>
      <c r="U243" s="47">
        <f>_xll.qlPolynomialFunctionValue($P$18,T243,AllTriggers)</f>
        <v>2.0398151395818634E-3</v>
      </c>
    </row>
    <row r="244" spans="18:21" x14ac:dyDescent="0.2">
      <c r="R244" s="212">
        <f>_xll.qlCalendarAdvance(Calendar,R243,"1D","f")</f>
        <v>42481</v>
      </c>
      <c r="S244" s="47">
        <f>_xll.qlTenorBasisValue($P$3,R244,AllTriggers)</f>
        <v>2.0935759041723111E-3</v>
      </c>
      <c r="T244" s="41">
        <f>_xll.qlDayCounterYearFraction("actual/365 (fixed)",SettlementDate,R244,,,Trigger)</f>
        <v>0.9397260273972603</v>
      </c>
      <c r="U244" s="47">
        <f>_xll.qlPolynomialFunctionValue($P$18,T244,AllTriggers)</f>
        <v>2.04042443749524E-3</v>
      </c>
    </row>
    <row r="245" spans="18:21" x14ac:dyDescent="0.2">
      <c r="R245" s="212">
        <f>_xll.qlCalendarAdvance(Calendar,R244,"1D","f")</f>
        <v>42482</v>
      </c>
      <c r="S245" s="47">
        <f>_xll.qlTenorBasisValue($P$3,R245,AllTriggers)</f>
        <v>2.0941318094822737E-3</v>
      </c>
      <c r="T245" s="41">
        <f>_xll.qlDayCounterYearFraction("actual/365 (fixed)",SettlementDate,R245,,,Trigger)</f>
        <v>0.94246575342465755</v>
      </c>
      <c r="U245" s="47">
        <f>_xll.qlPolynomialFunctionValue($P$18,T245,AllTriggers)</f>
        <v>2.0410325472782053E-3</v>
      </c>
    </row>
    <row r="246" spans="18:21" x14ac:dyDescent="0.2">
      <c r="R246" s="212">
        <f>_xll.qlCalendarAdvance(Calendar,R245,"1D","f")</f>
        <v>42485</v>
      </c>
      <c r="S246" s="47">
        <f>_xll.qlTenorBasisValue($P$3,R246,AllTriggers)</f>
        <v>2.0957981620392846E-3</v>
      </c>
      <c r="T246" s="41">
        <f>_xll.qlDayCounterYearFraction("actual/365 (fixed)",SettlementDate,R246,,,Trigger)</f>
        <v>0.9506849315068493</v>
      </c>
      <c r="U246" s="47">
        <f>_xll.qlPolynomialFunctionValue($P$18,T246,AllTriggers)</f>
        <v>2.0428498479820134E-3</v>
      </c>
    </row>
    <row r="247" spans="18:21" x14ac:dyDescent="0.2">
      <c r="R247" s="212">
        <f>_xll.qlCalendarAdvance(Calendar,R246,"1D","f")</f>
        <v>42486</v>
      </c>
      <c r="S247" s="47">
        <f>_xll.qlTenorBasisValue($P$3,R247,AllTriggers)</f>
        <v>2.0963531918131231E-3</v>
      </c>
      <c r="T247" s="41">
        <f>_xll.qlDayCounterYearFraction("actual/365 (fixed)",SettlementDate,R247,,,Trigger)</f>
        <v>0.95342465753424654</v>
      </c>
      <c r="U247" s="47">
        <f>_xll.qlPolynomialFunctionValue($P$18,T247,AllTriggers)</f>
        <v>2.0434533053807131E-3</v>
      </c>
    </row>
    <row r="248" spans="18:21" x14ac:dyDescent="0.2">
      <c r="R248" s="212">
        <f>_xll.qlCalendarAdvance(Calendar,R247,"1D","f")</f>
        <v>42487</v>
      </c>
      <c r="S248" s="47">
        <f>_xll.qlTenorBasisValue($P$3,R248,AllTriggers)</f>
        <v>2.0969080277372749E-3</v>
      </c>
      <c r="T248" s="41">
        <f>_xll.qlDayCounterYearFraction("actual/365 (fixed)",SettlementDate,R248,,,Trigger)</f>
        <v>0.95616438356164379</v>
      </c>
      <c r="U248" s="47">
        <f>_xll.qlPolynomialFunctionValue($P$18,T248,AllTriggers)</f>
        <v>2.0440556247176907E-3</v>
      </c>
    </row>
    <row r="249" spans="18:21" x14ac:dyDescent="0.2">
      <c r="R249" s="212">
        <f>_xll.qlCalendarAdvance(Calendar,R248,"1D","f")</f>
        <v>42488</v>
      </c>
      <c r="S249" s="47">
        <f>_xll.qlTenorBasisValue($P$3,R249,AllTriggers)</f>
        <v>2.0974626798254781E-3</v>
      </c>
      <c r="T249" s="41">
        <f>_xll.qlDayCounterYearFraction("actual/365 (fixed)",SettlementDate,R249,,,Trigger)</f>
        <v>0.95890410958904104</v>
      </c>
      <c r="U249" s="47">
        <f>_xll.qlPolynomialFunctionValue($P$18,T249,AllTriggers)</f>
        <v>2.0446568160066851E-3</v>
      </c>
    </row>
    <row r="250" spans="18:21" x14ac:dyDescent="0.2">
      <c r="R250" s="212">
        <f>_xll.qlCalendarAdvance(Calendar,R249,"1D","f")</f>
        <v>42489</v>
      </c>
      <c r="S250" s="47">
        <f>_xll.qlTenorBasisValue($P$3,R250,AllTriggers)</f>
        <v>2.0980171580914711E-3</v>
      </c>
      <c r="T250" s="41">
        <f>_xll.qlDayCounterYearFraction("actual/365 (fixed)",SettlementDate,R250,,,Trigger)</f>
        <v>0.9616438356164384</v>
      </c>
      <c r="U250" s="47">
        <f>_xll.qlPolynomialFunctionValue($P$18,T250,AllTriggers)</f>
        <v>2.0452568892614328E-3</v>
      </c>
    </row>
    <row r="251" spans="18:21" x14ac:dyDescent="0.2">
      <c r="R251" s="212">
        <f>_xll.qlCalendarAdvance(Calendar,R250,"1D","f")</f>
        <v>42492</v>
      </c>
      <c r="S251" s="47">
        <f>_xll.qlTenorBasisValue($P$3,R251,AllTriggers)</f>
        <v>2.0996796500935646E-3</v>
      </c>
      <c r="T251" s="41">
        <f>_xll.qlDayCounterYearFraction("actual/365 (fixed)",SettlementDate,R251,,,Trigger)</f>
        <v>0.96986301369863015</v>
      </c>
      <c r="U251" s="47">
        <f>_xll.qlPolynomialFunctionValue($P$18,T251,AllTriggers)</f>
        <v>2.04705050095758E-3</v>
      </c>
    </row>
    <row r="252" spans="18:21" x14ac:dyDescent="0.2">
      <c r="R252" s="212">
        <f>_xll.qlCalendarAdvance(Calendar,R251,"1D","f")</f>
        <v>42493</v>
      </c>
      <c r="S252" s="47">
        <f>_xll.qlTenorBasisValue($P$3,R252,AllTriggers)</f>
        <v>2.100233533208094E-3</v>
      </c>
      <c r="T252" s="41">
        <f>_xll.qlDayCounterYearFraction("actual/365 (fixed)",SettlementDate,R252,,,Trigger)</f>
        <v>0.9726027397260274</v>
      </c>
      <c r="U252" s="47">
        <f>_xll.qlPolynomialFunctionValue($P$18,T252,AllTriggers)</f>
        <v>2.0476462022127238E-3</v>
      </c>
    </row>
    <row r="253" spans="18:21" x14ac:dyDescent="0.2">
      <c r="R253" s="212">
        <f>_xll.qlCalendarAdvance(Calendar,R252,"1D","f")</f>
        <v>42494</v>
      </c>
      <c r="S253" s="47">
        <f>_xll.qlTenorBasisValue($P$3,R253,AllTriggers)</f>
        <v>2.100787292569102E-3</v>
      </c>
      <c r="T253" s="41">
        <f>_xll.qlDayCounterYearFraction("actual/365 (fixed)",SettlementDate,R253,,,Trigger)</f>
        <v>0.97534246575342465</v>
      </c>
      <c r="U253" s="47">
        <f>_xll.qlPolynomialFunctionValue($P$18,T253,AllTriggers)</f>
        <v>2.0482408355023095E-3</v>
      </c>
    </row>
    <row r="254" spans="18:21" x14ac:dyDescent="0.2">
      <c r="R254" s="212">
        <f>_xll.qlCalendarAdvance(Calendar,R253,"1D","f")</f>
        <v>42495</v>
      </c>
      <c r="S254" s="47">
        <f>_xll.qlTenorBasisValue($P$3,R254,AllTriggers)</f>
        <v>2.1013409381903272E-3</v>
      </c>
      <c r="T254" s="41">
        <f>_xll.qlDayCounterYearFraction("actual/365 (fixed)",SettlementDate,R254,,,Trigger)</f>
        <v>0.9780821917808219</v>
      </c>
      <c r="U254" s="47">
        <f>_xll.qlPolynomialFunctionValue($P$18,T254,AllTriggers)</f>
        <v>2.0488344108400779E-3</v>
      </c>
    </row>
    <row r="255" spans="18:21" x14ac:dyDescent="0.2">
      <c r="R255" s="212">
        <f>_xll.qlCalendarAdvance(Calendar,R254,"1D","f")</f>
        <v>42496</v>
      </c>
      <c r="S255" s="47">
        <f>_xll.qlTenorBasisValue($P$3,R255,AllTriggers)</f>
        <v>2.1018944800855069E-3</v>
      </c>
      <c r="T255" s="41">
        <f>_xll.qlDayCounterYearFraction("actual/365 (fixed)",SettlementDate,R255,,,Trigger)</f>
        <v>0.98082191780821915</v>
      </c>
      <c r="U255" s="47">
        <f>_xll.qlPolynomialFunctionValue($P$18,T255,AllTriggers)</f>
        <v>2.0494269382397654E-3</v>
      </c>
    </row>
    <row r="256" spans="18:21" x14ac:dyDescent="0.2">
      <c r="R256" s="212">
        <f>_xll.qlCalendarAdvance(Calendar,R255,"1D","f")</f>
        <v>42499</v>
      </c>
      <c r="S256" s="47">
        <f>_xll.qlTenorBasisValue($P$3,R256,AllTriggers)</f>
        <v>2.1035545835521529E-3</v>
      </c>
      <c r="T256" s="41">
        <f>_xll.qlDayCounterYearFraction("actual/365 (fixed)",SettlementDate,R256,,,Trigger)</f>
        <v>0.989041095890411</v>
      </c>
      <c r="U256" s="47">
        <f>_xll.qlPolynomialFunctionValue($P$18,T256,AllTriggers)</f>
        <v>2.0511983329477216E-3</v>
      </c>
    </row>
    <row r="257" spans="18:21" x14ac:dyDescent="0.2">
      <c r="R257" s="212">
        <f>_xll.qlCalendarAdvance(Calendar,R256,"1D","f")</f>
        <v>42500</v>
      </c>
      <c r="S257" s="47">
        <f>_xll.qlTenorBasisValue($P$3,R257,AllTriggers)</f>
        <v>2.1041078106805305E-3</v>
      </c>
      <c r="T257" s="41">
        <f>_xll.qlDayCounterYearFraction("actual/365 (fixed)",SettlementDate,R257,,,Trigger)</f>
        <v>0.99178082191780825</v>
      </c>
      <c r="U257" s="47">
        <f>_xll.qlPolynomialFunctionValue($P$18,T257,AllTriggers)</f>
        <v>2.0517867687324656E-3</v>
      </c>
    </row>
    <row r="258" spans="18:21" x14ac:dyDescent="0.2">
      <c r="R258" s="212">
        <f>_xll.qlCalendarAdvance(Calendar,R257,"1D","f")</f>
        <v>42501</v>
      </c>
      <c r="S258" s="47">
        <f>_xll.qlTenorBasisValue($P$3,R258,AllTriggers)</f>
        <v>2.1046609841515519E-3</v>
      </c>
      <c r="T258" s="41">
        <f>_xll.qlDayCounterYearFraction("actual/365 (fixed)",SettlementDate,R258,,,Trigger)</f>
        <v>0.9945205479452055</v>
      </c>
      <c r="U258" s="47">
        <f>_xll.qlPolynomialFunctionValue($P$18,T258,AllTriggers)</f>
        <v>2.0523742066478174E-3</v>
      </c>
    </row>
    <row r="259" spans="18:21" x14ac:dyDescent="0.2">
      <c r="R259" s="212">
        <f>_xll.qlCalendarAdvance(Calendar,R258,"1D","f")</f>
        <v>42502</v>
      </c>
      <c r="S259" s="47">
        <f>_xll.qlTenorBasisValue($P$3,R259,AllTriggers)</f>
        <v>2.105214113978955E-3</v>
      </c>
      <c r="T259" s="41">
        <f>_xll.qlDayCounterYearFraction("actual/365 (fixed)",SettlementDate,R259,,,Trigger)</f>
        <v>0.99726027397260275</v>
      </c>
      <c r="U259" s="47">
        <f>_xll.qlPolynomialFunctionValue($P$18,T259,AllTriggers)</f>
        <v>2.052960656707516E-3</v>
      </c>
    </row>
    <row r="260" spans="18:21" x14ac:dyDescent="0.2">
      <c r="R260" s="212">
        <f>_xll.qlCalendarAdvance(Calendar,R259,"1D","f")</f>
        <v>42503</v>
      </c>
      <c r="S260" s="47">
        <f>_xll.qlTenorBasisValue($P$3,R260,AllTriggers)</f>
        <v>2.1057672101764788E-3</v>
      </c>
      <c r="T260" s="41">
        <f>_xll.qlDayCounterYearFraction("actual/365 (fixed)",SettlementDate,R260,,,Trigger)</f>
        <v>1</v>
      </c>
      <c r="U260" s="47">
        <f>_xll.qlPolynomialFunctionValue($P$18,T260,AllTriggers)</f>
        <v>2.0535461289252991E-3</v>
      </c>
    </row>
    <row r="261" spans="18:21" x14ac:dyDescent="0.2">
      <c r="R261" s="212">
        <f>_xll.qlCalendarAdvance(Calendar,R260,"1D","f")</f>
        <v>42506</v>
      </c>
      <c r="S261" s="47">
        <f>_xll.qlTenorBasisValue($P$3,R261,AllTriggers)</f>
        <v>2.1074263971271471E-3</v>
      </c>
      <c r="T261" s="41">
        <f>_xll.qlDayCounterYearFraction("actual/365 (fixed)",SettlementDate,R261,,,Trigger)</f>
        <v>1.0082191780821919</v>
      </c>
      <c r="U261" s="47">
        <f>_xll.qlPolynomialFunctionValue($P$18,T261,AllTriggers)</f>
        <v>2.0552967786645351E-3</v>
      </c>
    </row>
    <row r="262" spans="18:21" x14ac:dyDescent="0.2">
      <c r="R262" s="213">
        <f>_xll.qlCalendarAdvance(Calendar,R261,"1D","f")</f>
        <v>42507</v>
      </c>
      <c r="S262" s="50">
        <f>_xll.qlTenorBasisValue($P$3,R262,AllTriggers)</f>
        <v>2.1079794589425288E-3</v>
      </c>
      <c r="T262" s="44">
        <f>_xll.qlDayCounterYearFraction("actual/365 (fixed)",SettlementDate,R262,,,Trigger)</f>
        <v>1.010958904109589</v>
      </c>
      <c r="U262" s="50">
        <f>_xll.qlPolynomialFunctionValue($P$18,T262,AllTriggers)</f>
        <v>2.0558784396520354E-3</v>
      </c>
    </row>
    <row r="263" spans="18:21" x14ac:dyDescent="0.2">
      <c r="R263" s="61"/>
    </row>
    <row r="264" spans="18:21" x14ac:dyDescent="0.2">
      <c r="R264" s="61"/>
    </row>
    <row r="265" spans="18:21" x14ac:dyDescent="0.2">
      <c r="R265" s="61"/>
    </row>
    <row r="266" spans="18:21" x14ac:dyDescent="0.2">
      <c r="R266" s="61"/>
    </row>
    <row r="267" spans="18:21" x14ac:dyDescent="0.2">
      <c r="R267" s="61"/>
    </row>
    <row r="268" spans="18:21" x14ac:dyDescent="0.2">
      <c r="R268" s="61"/>
    </row>
    <row r="269" spans="18:21" x14ac:dyDescent="0.2">
      <c r="R269" s="61"/>
    </row>
    <row r="270" spans="18:21" x14ac:dyDescent="0.2">
      <c r="R270" s="61"/>
    </row>
    <row r="271" spans="18:21" x14ac:dyDescent="0.2">
      <c r="R271" s="61"/>
    </row>
    <row r="272" spans="18:21" x14ac:dyDescent="0.2">
      <c r="R272" s="61"/>
    </row>
    <row r="273" spans="18:18" x14ac:dyDescent="0.2">
      <c r="R273" s="61"/>
    </row>
    <row r="274" spans="18:18" x14ac:dyDescent="0.2">
      <c r="R274" s="61"/>
    </row>
    <row r="275" spans="18:18" x14ac:dyDescent="0.2">
      <c r="R275" s="61"/>
    </row>
    <row r="276" spans="18:18" x14ac:dyDescent="0.2">
      <c r="R276" s="61"/>
    </row>
    <row r="277" spans="18:18" x14ac:dyDescent="0.2">
      <c r="R277" s="61"/>
    </row>
    <row r="278" spans="18:18" x14ac:dyDescent="0.2">
      <c r="R278" s="61"/>
    </row>
    <row r="279" spans="18:18" x14ac:dyDescent="0.2">
      <c r="R279" s="61"/>
    </row>
    <row r="280" spans="18:18" x14ac:dyDescent="0.2">
      <c r="R280" s="61"/>
    </row>
    <row r="281" spans="18:18" x14ac:dyDescent="0.2">
      <c r="R281" s="61"/>
    </row>
    <row r="282" spans="18:18" x14ac:dyDescent="0.2">
      <c r="R282" s="61"/>
    </row>
    <row r="283" spans="18:18" x14ac:dyDescent="0.2">
      <c r="R283" s="61"/>
    </row>
    <row r="284" spans="18:18" x14ac:dyDescent="0.2">
      <c r="R284" s="61"/>
    </row>
    <row r="285" spans="18:18" x14ac:dyDescent="0.2">
      <c r="R285" s="61"/>
    </row>
    <row r="286" spans="18:18" x14ac:dyDescent="0.2">
      <c r="R286" s="61"/>
    </row>
    <row r="287" spans="18:18" x14ac:dyDescent="0.2">
      <c r="R287" s="61"/>
    </row>
    <row r="288" spans="18:18" x14ac:dyDescent="0.2">
      <c r="R288" s="61"/>
    </row>
    <row r="289" spans="18:18" x14ac:dyDescent="0.2">
      <c r="R289" s="61"/>
    </row>
    <row r="290" spans="18:18" x14ac:dyDescent="0.2">
      <c r="R290" s="61"/>
    </row>
    <row r="291" spans="18:18" x14ac:dyDescent="0.2">
      <c r="R291" s="61"/>
    </row>
    <row r="292" spans="18:18" x14ac:dyDescent="0.2">
      <c r="R292" s="61"/>
    </row>
    <row r="293" spans="18:18" x14ac:dyDescent="0.2">
      <c r="R293" s="61"/>
    </row>
    <row r="294" spans="18:18" x14ac:dyDescent="0.2">
      <c r="R294" s="61"/>
    </row>
    <row r="295" spans="18:18" x14ac:dyDescent="0.2">
      <c r="R295" s="61"/>
    </row>
    <row r="296" spans="18:18" x14ac:dyDescent="0.2">
      <c r="R296" s="61"/>
    </row>
    <row r="297" spans="18:18" x14ac:dyDescent="0.2">
      <c r="R297" s="61"/>
    </row>
    <row r="298" spans="18:18" x14ac:dyDescent="0.2">
      <c r="R298" s="61"/>
    </row>
    <row r="299" spans="18:18" x14ac:dyDescent="0.2">
      <c r="R299" s="61"/>
    </row>
    <row r="300" spans="18:18" x14ac:dyDescent="0.2">
      <c r="R300" s="61"/>
    </row>
    <row r="301" spans="18:18" x14ac:dyDescent="0.2">
      <c r="R301" s="61"/>
    </row>
    <row r="302" spans="18:18" x14ac:dyDescent="0.2">
      <c r="R302" s="61"/>
    </row>
    <row r="303" spans="18:18" x14ac:dyDescent="0.2">
      <c r="R303" s="61"/>
    </row>
    <row r="304" spans="18:18" x14ac:dyDescent="0.2">
      <c r="R304" s="61"/>
    </row>
    <row r="305" spans="18:18" x14ac:dyDescent="0.2">
      <c r="R305" s="61"/>
    </row>
    <row r="306" spans="18:18" x14ac:dyDescent="0.2">
      <c r="R306" s="61"/>
    </row>
    <row r="307" spans="18:18" x14ac:dyDescent="0.2">
      <c r="R307" s="61"/>
    </row>
    <row r="308" spans="18:18" x14ac:dyDescent="0.2">
      <c r="R308" s="61"/>
    </row>
    <row r="309" spans="18:18" x14ac:dyDescent="0.2">
      <c r="R309" s="61"/>
    </row>
    <row r="310" spans="18:18" x14ac:dyDescent="0.2">
      <c r="R310" s="61"/>
    </row>
    <row r="311" spans="18:18" x14ac:dyDescent="0.2">
      <c r="R311" s="61"/>
    </row>
    <row r="312" spans="18:18" x14ac:dyDescent="0.2">
      <c r="R312" s="61"/>
    </row>
    <row r="313" spans="18:18" x14ac:dyDescent="0.2">
      <c r="R313" s="61"/>
    </row>
    <row r="314" spans="18:18" x14ac:dyDescent="0.2">
      <c r="R314" s="61"/>
    </row>
    <row r="315" spans="18:18" x14ac:dyDescent="0.2">
      <c r="R315" s="61"/>
    </row>
    <row r="316" spans="18:18" x14ac:dyDescent="0.2">
      <c r="R316" s="61"/>
    </row>
    <row r="317" spans="18:18" x14ac:dyDescent="0.2">
      <c r="R317" s="61"/>
    </row>
    <row r="318" spans="18:18" x14ac:dyDescent="0.2">
      <c r="R318" s="61"/>
    </row>
    <row r="319" spans="18:18" x14ac:dyDescent="0.2">
      <c r="R319" s="61"/>
    </row>
    <row r="320" spans="18:18" x14ac:dyDescent="0.2">
      <c r="R320" s="61"/>
    </row>
    <row r="321" spans="18:18" x14ac:dyDescent="0.2">
      <c r="R321" s="61"/>
    </row>
    <row r="322" spans="18:18" x14ac:dyDescent="0.2">
      <c r="R322" s="61"/>
    </row>
    <row r="323" spans="18:18" x14ac:dyDescent="0.2">
      <c r="R323" s="61"/>
    </row>
    <row r="324" spans="18:18" x14ac:dyDescent="0.2">
      <c r="R324" s="61"/>
    </row>
    <row r="325" spans="18:18" x14ac:dyDescent="0.2">
      <c r="R325" s="61"/>
    </row>
    <row r="326" spans="18:18" x14ac:dyDescent="0.2">
      <c r="R326" s="61"/>
    </row>
    <row r="327" spans="18:18" x14ac:dyDescent="0.2">
      <c r="R327" s="61"/>
    </row>
    <row r="328" spans="18:18" x14ac:dyDescent="0.2">
      <c r="R328" s="61"/>
    </row>
    <row r="329" spans="18:18" x14ac:dyDescent="0.2">
      <c r="R329" s="61"/>
    </row>
    <row r="330" spans="18:18" x14ac:dyDescent="0.2">
      <c r="R330" s="61"/>
    </row>
    <row r="331" spans="18:18" x14ac:dyDescent="0.2">
      <c r="R331" s="61"/>
    </row>
    <row r="332" spans="18:18" x14ac:dyDescent="0.2">
      <c r="R332" s="61"/>
    </row>
    <row r="333" spans="18:18" x14ac:dyDescent="0.2">
      <c r="R333" s="61"/>
    </row>
    <row r="334" spans="18:18" x14ac:dyDescent="0.2">
      <c r="R334" s="61"/>
    </row>
    <row r="335" spans="18:18" x14ac:dyDescent="0.2">
      <c r="R335" s="61"/>
    </row>
    <row r="336" spans="18:18" x14ac:dyDescent="0.2">
      <c r="R336" s="61"/>
    </row>
    <row r="337" spans="18:18" x14ac:dyDescent="0.2">
      <c r="R337" s="61"/>
    </row>
    <row r="338" spans="18:18" x14ac:dyDescent="0.2">
      <c r="R338" s="61"/>
    </row>
    <row r="339" spans="18:18" x14ac:dyDescent="0.2">
      <c r="R339" s="61"/>
    </row>
    <row r="340" spans="18:18" x14ac:dyDescent="0.2">
      <c r="R340" s="61"/>
    </row>
    <row r="341" spans="18:18" x14ac:dyDescent="0.2">
      <c r="R341" s="61"/>
    </row>
    <row r="342" spans="18:18" x14ac:dyDescent="0.2">
      <c r="R342" s="61"/>
    </row>
    <row r="343" spans="18:18" x14ac:dyDescent="0.2">
      <c r="R343" s="61"/>
    </row>
    <row r="344" spans="18:18" x14ac:dyDescent="0.2">
      <c r="R344" s="61"/>
    </row>
    <row r="345" spans="18:18" x14ac:dyDescent="0.2">
      <c r="R345" s="61"/>
    </row>
    <row r="346" spans="18:18" x14ac:dyDescent="0.2">
      <c r="R346" s="61"/>
    </row>
    <row r="347" spans="18:18" x14ac:dyDescent="0.2">
      <c r="R347" s="61"/>
    </row>
    <row r="348" spans="18:18" x14ac:dyDescent="0.2">
      <c r="R348" s="61"/>
    </row>
    <row r="349" spans="18:18" x14ac:dyDescent="0.2">
      <c r="R349" s="61"/>
    </row>
    <row r="350" spans="18:18" x14ac:dyDescent="0.2">
      <c r="R350" s="61"/>
    </row>
    <row r="351" spans="18:18" x14ac:dyDescent="0.2">
      <c r="R351" s="61"/>
    </row>
    <row r="352" spans="18:18" x14ac:dyDescent="0.2">
      <c r="R352" s="61"/>
    </row>
    <row r="353" spans="18:18" x14ac:dyDescent="0.2">
      <c r="R353" s="61"/>
    </row>
    <row r="354" spans="18:18" x14ac:dyDescent="0.2">
      <c r="R354" s="61"/>
    </row>
    <row r="355" spans="18:18" x14ac:dyDescent="0.2">
      <c r="R355" s="61"/>
    </row>
    <row r="356" spans="18:18" x14ac:dyDescent="0.2">
      <c r="R356" s="61"/>
    </row>
    <row r="357" spans="18:18" x14ac:dyDescent="0.2">
      <c r="R357" s="61"/>
    </row>
    <row r="358" spans="18:18" x14ac:dyDescent="0.2">
      <c r="R358" s="61"/>
    </row>
    <row r="359" spans="18:18" x14ac:dyDescent="0.2">
      <c r="R359" s="61"/>
    </row>
    <row r="360" spans="18:18" x14ac:dyDescent="0.2">
      <c r="R360" s="61"/>
    </row>
    <row r="361" spans="18:18" x14ac:dyDescent="0.2">
      <c r="R361" s="61"/>
    </row>
    <row r="362" spans="18:18" x14ac:dyDescent="0.2">
      <c r="R362" s="61"/>
    </row>
    <row r="363" spans="18:18" x14ac:dyDescent="0.2">
      <c r="R363" s="61"/>
    </row>
    <row r="364" spans="18:18" x14ac:dyDescent="0.2">
      <c r="R364" s="61"/>
    </row>
    <row r="365" spans="18:18" x14ac:dyDescent="0.2">
      <c r="R365" s="61"/>
    </row>
    <row r="366" spans="18:18" x14ac:dyDescent="0.2">
      <c r="R366" s="61"/>
    </row>
    <row r="367" spans="18:18" x14ac:dyDescent="0.2">
      <c r="R367" s="61"/>
    </row>
    <row r="368" spans="18:18" x14ac:dyDescent="0.2">
      <c r="R368" s="61"/>
    </row>
    <row r="369" spans="18:18" x14ac:dyDescent="0.2">
      <c r="R369" s="61"/>
    </row>
    <row r="370" spans="18:18" x14ac:dyDescent="0.2">
      <c r="R370" s="61"/>
    </row>
    <row r="371" spans="18:18" x14ac:dyDescent="0.2">
      <c r="R371" s="61"/>
    </row>
    <row r="372" spans="18:18" x14ac:dyDescent="0.2">
      <c r="R372" s="61"/>
    </row>
    <row r="373" spans="18:18" x14ac:dyDescent="0.2">
      <c r="R373" s="61"/>
    </row>
    <row r="374" spans="18:18" x14ac:dyDescent="0.2">
      <c r="R374" s="61"/>
    </row>
    <row r="375" spans="18:18" x14ac:dyDescent="0.2">
      <c r="R375" s="61"/>
    </row>
    <row r="376" spans="18:18" x14ac:dyDescent="0.2">
      <c r="R376" s="61"/>
    </row>
    <row r="377" spans="18:18" x14ac:dyDescent="0.2">
      <c r="R377" s="61"/>
    </row>
    <row r="378" spans="18:18" x14ac:dyDescent="0.2">
      <c r="R378" s="61"/>
    </row>
    <row r="379" spans="18:18" x14ac:dyDescent="0.2">
      <c r="R379" s="61"/>
    </row>
    <row r="380" spans="18:18" x14ac:dyDescent="0.2">
      <c r="R380" s="61"/>
    </row>
    <row r="381" spans="18:18" x14ac:dyDescent="0.2">
      <c r="R381" s="61"/>
    </row>
    <row r="382" spans="18:18" x14ac:dyDescent="0.2">
      <c r="R382" s="61"/>
    </row>
    <row r="383" spans="18:18" x14ac:dyDescent="0.2">
      <c r="R383" s="61"/>
    </row>
    <row r="384" spans="18:18" x14ac:dyDescent="0.2">
      <c r="R384" s="6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154"/>
  <sheetViews>
    <sheetView topLeftCell="A34" workbookViewId="0">
      <selection activeCell="D24" sqref="D24"/>
    </sheetView>
  </sheetViews>
  <sheetFormatPr defaultColWidth="9.5" defaultRowHeight="11.25" outlineLevelCol="1" x14ac:dyDescent="0.2"/>
  <cols>
    <col min="1" max="2" width="3.5" style="19" customWidth="1"/>
    <col min="3" max="3" width="19.5" style="19" customWidth="1"/>
    <col min="4" max="4" width="17.83203125" style="19" bestFit="1" customWidth="1"/>
    <col min="5" max="5" width="12.83203125" style="19" bestFit="1" customWidth="1"/>
    <col min="6" max="6" width="16.83203125" style="19" customWidth="1"/>
    <col min="7" max="8" width="14.83203125" style="19" customWidth="1"/>
    <col min="9" max="18" width="14.83203125" style="19" hidden="1" customWidth="1" outlineLevel="1"/>
    <col min="19" max="19" width="14.83203125" style="19" customWidth="1" collapsed="1"/>
    <col min="20" max="30" width="14.83203125" style="19" customWidth="1"/>
    <col min="31" max="33" width="5.83203125" style="19" bestFit="1" customWidth="1"/>
    <col min="34" max="34" width="2.33203125" style="19" bestFit="1" customWidth="1"/>
    <col min="35" max="35" width="10.5" style="19" bestFit="1" customWidth="1"/>
    <col min="36" max="36" width="2.33203125" style="19" bestFit="1" customWidth="1" collapsed="1"/>
    <col min="37" max="37" width="9.33203125" style="19" bestFit="1" customWidth="1"/>
    <col min="38" max="38" width="8.1640625" style="19" hidden="1" customWidth="1" outlineLevel="1"/>
    <col min="39" max="39" width="9.33203125" style="19" hidden="1" customWidth="1" outlineLevel="1"/>
    <col min="40" max="40" width="8.1640625" style="19" hidden="1" customWidth="1" outlineLevel="1"/>
    <col min="41" max="41" width="2.83203125" style="19" customWidth="1" collapsed="1"/>
    <col min="42" max="42" width="2.83203125" style="19" customWidth="1"/>
    <col min="43" max="45" width="5.83203125" style="19" bestFit="1" customWidth="1"/>
    <col min="46" max="46" width="2.33203125" style="19" bestFit="1" customWidth="1"/>
    <col min="47" max="47" width="10.5" style="19" bestFit="1" customWidth="1"/>
    <col min="48" max="48" width="2.33203125" style="19" bestFit="1" customWidth="1"/>
    <col min="49" max="49" width="9.33203125" style="19" bestFit="1" customWidth="1"/>
    <col min="50" max="52" width="9.33203125" style="19" hidden="1" customWidth="1" outlineLevel="1"/>
    <col min="53" max="53" width="2.83203125" style="19" customWidth="1" collapsed="1"/>
    <col min="54" max="54" width="2.83203125" style="19" customWidth="1"/>
    <col min="55" max="55" width="12.83203125" style="19" bestFit="1" customWidth="1"/>
    <col min="56" max="56" width="8.1640625" style="19" bestFit="1" customWidth="1"/>
    <col min="57" max="69" width="14.83203125" style="19" customWidth="1"/>
    <col min="70" max="16384" width="9.5" style="19"/>
  </cols>
  <sheetData>
    <row r="1" spans="1:69" x14ac:dyDescent="0.2">
      <c r="C1" s="116" t="s">
        <v>66</v>
      </c>
      <c r="D1" s="117"/>
      <c r="E1" s="117"/>
      <c r="F1" s="117"/>
      <c r="G1" s="117"/>
      <c r="H1" s="117"/>
      <c r="I1" s="117"/>
      <c r="J1" s="117"/>
      <c r="K1" s="117"/>
      <c r="L1" s="117"/>
      <c r="M1" s="223"/>
      <c r="N1" s="223"/>
      <c r="O1" s="223"/>
      <c r="P1" s="223"/>
      <c r="Q1" s="223"/>
      <c r="R1" s="223"/>
      <c r="S1" s="116" t="str">
        <f>"with 0X"&amp;SUBSTITUTE($D$24,"M","")</f>
        <v>with 0X6</v>
      </c>
      <c r="T1" s="118"/>
      <c r="U1" s="117" t="str">
        <f>"without 0X"&amp;SUBSTITUTE($D$24,"M","")</f>
        <v>without 0X6</v>
      </c>
      <c r="V1" s="118"/>
      <c r="AG1" s="88"/>
      <c r="AH1" s="88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E1" s="19" t="str">
        <f>_xll.qlPolynomialFunction(,_xll.qlTenorInstCoefficients(G$27),,_xll.ohTrigger(Trigger,G$28:G$31))</f>
        <v>obj_008d4#0023</v>
      </c>
      <c r="BF1" s="19" t="str">
        <f>_xll.qlPolynomialFunction(,_xll.qlTenorInstCoefficients(H$27),,_xll.ohTrigger(Trigger,H$28:H$31))</f>
        <v>obj_008de#0006</v>
      </c>
      <c r="BG1" s="19" t="str">
        <f>_xll.qlPolynomialFunction(,_xll.qlTenorInstCoefficients(S$27),,_xll.ohTrigger(Trigger,S$28:S$31))</f>
        <v>obj_008db#0007</v>
      </c>
      <c r="BH1" s="19" t="str">
        <f>_xll.qlPolynomialFunction(,_xll.qlTenorInstCoefficients(T$27),,_xll.ohTrigger(Trigger,T$28:T$31))</f>
        <v>obj_008e2#0003</v>
      </c>
      <c r="BI1" s="19" t="str">
        <f>_xll.qlPolynomialFunction(,U$28:U$31,,_xll.ohTrigger(Trigger,G$28:G$31))</f>
        <v>obj_008d5#0023</v>
      </c>
      <c r="BJ1" s="19" t="str">
        <f>_xll.qlPolynomialFunction(,V$28:V$31,,_xll.ohTrigger(Trigger,H$28:H$31))</f>
        <v>obj_008dc#0007</v>
      </c>
      <c r="BK1" s="19" t="str">
        <f>_xll.qlPolynomialFunction(,W$28:W$31,,_xll.ohTrigger(Trigger,S$28:S$31))</f>
        <v>obj_008d9#0015</v>
      </c>
      <c r="BL1" s="19" t="str">
        <f>_xll.qlPolynomialFunction(,X$28:X$31,,_xll.ohTrigger(Trigger,T$28:T$31))</f>
        <v>obj_008e1#0005</v>
      </c>
      <c r="BM1" s="19" t="str">
        <f>_xll.qlPolynomialFunction(,_xll.qlTenorInstCoefficients(Y$27),,_xll.ohTrigger(Trigger,G$28:G$31))</f>
        <v>obj_008ee#0005</v>
      </c>
      <c r="BN1" s="19" t="str">
        <f>_xll.qlPolynomialFunction(,_xll.qlTenorInstCoefficients(Z$27),,_xll.ohTrigger(Trigger,H$28:H$31))</f>
        <v>obj_008ec#0005</v>
      </c>
      <c r="BO1" s="19" t="str">
        <f>_xll.qlPolynomialFunction(,_xll.qlTenorInstCoefficients(AA$27),,_xll.ohTrigger(Trigger,S$28:S$31))</f>
        <v>obj_008eb#0005</v>
      </c>
      <c r="BP1" s="19" t="str">
        <f>_xll.qlPolynomialFunction(,_xll.qlTenorInstCoefficients(AB$27),,_xll.ohTrigger(Trigger,T$28:T$31))</f>
        <v>obj_008ed#0005</v>
      </c>
    </row>
    <row r="2" spans="1:69" ht="21.75" customHeight="1" x14ac:dyDescent="0.2">
      <c r="C2" s="36" t="s">
        <v>43</v>
      </c>
      <c r="D2" s="36" t="s">
        <v>101</v>
      </c>
      <c r="E2" s="36" t="s">
        <v>102</v>
      </c>
      <c r="F2" s="36" t="s">
        <v>56</v>
      </c>
      <c r="G2" s="36" t="str">
        <f>"F "&amp;$D$24</f>
        <v>F 6M</v>
      </c>
      <c r="H2" s="36" t="str">
        <f>"B "&amp;$D$24</f>
        <v>B 6M</v>
      </c>
      <c r="I2" s="36" t="s">
        <v>89</v>
      </c>
      <c r="J2" s="36" t="s">
        <v>46</v>
      </c>
      <c r="K2" s="37" t="s">
        <v>47</v>
      </c>
      <c r="L2" s="36" t="s">
        <v>48</v>
      </c>
      <c r="M2" s="36" t="s">
        <v>57</v>
      </c>
      <c r="N2" s="36" t="s">
        <v>59</v>
      </c>
      <c r="O2" s="36" t="s">
        <v>60</v>
      </c>
      <c r="P2" s="36" t="s">
        <v>46</v>
      </c>
      <c r="Q2" s="37" t="s">
        <v>47</v>
      </c>
      <c r="R2" s="36" t="s">
        <v>48</v>
      </c>
      <c r="S2" s="36" t="s">
        <v>41</v>
      </c>
      <c r="T2" s="36" t="s">
        <v>42</v>
      </c>
      <c r="U2" s="36" t="s">
        <v>41</v>
      </c>
      <c r="V2" s="36" t="s">
        <v>42</v>
      </c>
      <c r="AD2" s="19" t="s">
        <v>103</v>
      </c>
      <c r="AP2" s="19" t="s">
        <v>100</v>
      </c>
      <c r="BE2" s="125" t="s">
        <v>66</v>
      </c>
      <c r="BF2" s="121"/>
      <c r="BG2" s="121"/>
      <c r="BH2" s="120"/>
      <c r="BI2" s="121"/>
      <c r="BJ2" s="121"/>
      <c r="BK2" s="121"/>
      <c r="BL2" s="121"/>
      <c r="BM2" s="125" t="s">
        <v>67</v>
      </c>
      <c r="BN2" s="121"/>
      <c r="BO2" s="121"/>
      <c r="BP2" s="120"/>
    </row>
    <row r="3" spans="1:69" ht="12" customHeight="1" x14ac:dyDescent="0.2">
      <c r="A3" s="21">
        <f>'6MSynthDepo_used'!A3</f>
        <v>0</v>
      </c>
      <c r="B3" s="55">
        <f t="shared" ref="B3:B9" si="0">A3+SUBSTITUTE($D$24,"M","")</f>
        <v>6</v>
      </c>
      <c r="C3" s="171" t="str">
        <f>"B"&amp;$D$24&amp;"_"&amp;A3&amp;"X"&amp;B3&amp;$D$27</f>
        <v>B6M_0X6ESTIMATED</v>
      </c>
      <c r="D3" s="186">
        <f>SettlementDate</f>
        <v>42138</v>
      </c>
      <c r="E3" s="186">
        <f>_xll.qlInterestRateIndexMaturity($D$25,D3)</f>
        <v>42324</v>
      </c>
      <c r="F3" s="172">
        <f>_xll.qlIndexFixing(ON_6M_index,_xll.qlInterestRateIndexFixingDate(ON_6M_index,D3,Trigger),,AllTriggers)</f>
        <v>-1.1632423478286258E-3</v>
      </c>
      <c r="G3" s="172">
        <f>H3+F3</f>
        <v>6.5791999173084727E-4</v>
      </c>
      <c r="H3" s="226">
        <f>_xll.qlQuoteValue(C3,_xll.ohTrigger(InterestRatesTrigger,'6MSynthDepo_used'!E3))</f>
        <v>1.8211623395594731E-3</v>
      </c>
      <c r="I3" s="173">
        <f>_xll.qlDayCounterYearFraction(DayCounter,SettlementDate,D3,,,Trigger)</f>
        <v>0</v>
      </c>
      <c r="J3" s="173">
        <f>1</f>
        <v>1</v>
      </c>
      <c r="K3" s="173">
        <f t="shared" ref="K3:K9" si="1">I3</f>
        <v>0</v>
      </c>
      <c r="L3" s="173">
        <f t="shared" ref="L3:L9" si="2">I3^2</f>
        <v>0</v>
      </c>
      <c r="M3" s="217">
        <f>LN((1+G3*_xll.qlDayCounterYearFraction(DayCounter,D3,E3,,,Trigger))/(1+F3*_xll.qlDayCounterYearFraction(DayCounter,D3,E3,,,Trigger)))</f>
        <v>9.410567919466708E-4</v>
      </c>
      <c r="N3" s="173">
        <f>_xll.qlDayCounterYearFraction(DayCounter,SettlementDate,D3,,,Trigger)</f>
        <v>0</v>
      </c>
      <c r="O3" s="173">
        <f>_xll.qlDayCounterYearFraction(DayCounter,SettlementDate,E3,,,Trigger)</f>
        <v>0.51666666666666672</v>
      </c>
      <c r="P3" s="173">
        <f>O3-N3</f>
        <v>0.51666666666666672</v>
      </c>
      <c r="Q3" s="173">
        <f>(O3^2-N3^2)/2</f>
        <v>0.13347222222222224</v>
      </c>
      <c r="R3" s="173">
        <f>(O3^3-N3^3)/3</f>
        <v>4.5973765432098773E-2</v>
      </c>
      <c r="S3" s="174" t="b">
        <v>1</v>
      </c>
      <c r="T3" s="174" t="b">
        <v>1</v>
      </c>
      <c r="U3" s="174" t="b">
        <v>0</v>
      </c>
      <c r="V3" s="174" t="b">
        <v>0</v>
      </c>
      <c r="AD3" s="219" t="s">
        <v>41</v>
      </c>
      <c r="AE3" s="220"/>
      <c r="AF3" s="220"/>
      <c r="AG3" s="220"/>
      <c r="AH3" s="220"/>
      <c r="AI3" s="220"/>
      <c r="AJ3" s="220"/>
      <c r="AK3" s="220"/>
      <c r="AL3" s="220"/>
      <c r="AM3" s="221"/>
      <c r="AN3" s="221"/>
      <c r="AO3" s="222"/>
      <c r="AP3" s="219"/>
      <c r="AQ3" s="220"/>
      <c r="AR3" s="220"/>
      <c r="AS3" s="220"/>
      <c r="AT3" s="220"/>
      <c r="AU3" s="220"/>
      <c r="AV3" s="220"/>
      <c r="AW3" s="220"/>
      <c r="AX3" s="220"/>
      <c r="AY3" s="221"/>
      <c r="AZ3" s="221"/>
      <c r="BA3" s="222"/>
      <c r="BE3" s="125" t="s">
        <v>109</v>
      </c>
      <c r="BF3" s="121"/>
      <c r="BG3" s="121"/>
      <c r="BH3" s="120"/>
      <c r="BI3" s="125" t="s">
        <v>108</v>
      </c>
      <c r="BJ3" s="121"/>
      <c r="BK3" s="121"/>
      <c r="BL3" s="120"/>
      <c r="BM3" s="125" t="s">
        <v>109</v>
      </c>
      <c r="BN3" s="121"/>
      <c r="BO3" s="121"/>
      <c r="BP3" s="120"/>
    </row>
    <row r="4" spans="1:69" ht="12" customHeight="1" x14ac:dyDescent="0.2">
      <c r="A4" s="21">
        <f>'6MSynthDepo_used'!A5</f>
        <v>1</v>
      </c>
      <c r="B4" s="55">
        <f t="shared" si="0"/>
        <v>7</v>
      </c>
      <c r="C4" s="39" t="str">
        <f t="shared" ref="C4:C9" si="3">"B"&amp;$D$24&amp;"_"&amp;A4&amp;"X"&amp;B4</f>
        <v>B6M_1X7</v>
      </c>
      <c r="D4" s="177">
        <f>_xll.qlCalendarAdvance(Calendar,SettlementDate,A4&amp;"M","mf")</f>
        <v>42170</v>
      </c>
      <c r="E4" s="177">
        <f>_xll.qlInterestRateIndexMaturity($D$25,D4)</f>
        <v>42353</v>
      </c>
      <c r="F4" s="53">
        <f>_xll.qlIndexFixing(ON_6M_index,_xll.qlInterestRateIndexFixingDate(ON_6M_index,D4,Trigger),,AllTriggers)</f>
        <v>-1.2305122846826952E-3</v>
      </c>
      <c r="G4" s="53">
        <f t="shared" ref="G4:G9" si="4">H4+F4</f>
        <v>6.3000000000000013E-4</v>
      </c>
      <c r="H4" s="202">
        <f>_xll.qlQuoteValue(C4,_xll.ohTrigger(InterestRatesTrigger,'6MSynthDepo_used'!E4))</f>
        <v>1.8605122846826953E-3</v>
      </c>
      <c r="I4" s="41">
        <f>_xll.qlDayCounterYearFraction(DayCounter,SettlementDate,D4,,,Trigger)</f>
        <v>8.8888888888888892E-2</v>
      </c>
      <c r="J4" s="41">
        <f>1</f>
        <v>1</v>
      </c>
      <c r="K4" s="41">
        <f t="shared" si="1"/>
        <v>8.8888888888888892E-2</v>
      </c>
      <c r="L4" s="41">
        <f t="shared" si="2"/>
        <v>7.9012345679012348E-3</v>
      </c>
      <c r="M4" s="40">
        <f>LN((1+G4*_xll.qlDayCounterYearFraction(DayCounter,D4,E4,,,Trigger))/(1+F4*_xll.qlDayCounterYearFraction(DayCounter,D4,E4,,,Trigger)))</f>
        <v>9.4590485555004445E-4</v>
      </c>
      <c r="N4" s="41">
        <f>_xll.qlDayCounterYearFraction(DayCounter,SettlementDate,D4,,,Trigger)</f>
        <v>8.8888888888888892E-2</v>
      </c>
      <c r="O4" s="41">
        <f>_xll.qlDayCounterYearFraction(DayCounter,SettlementDate,E4,,,Trigger)</f>
        <v>0.59722222222222221</v>
      </c>
      <c r="P4" s="41">
        <f t="shared" ref="P4:P9" si="5">O4-N4</f>
        <v>0.5083333333333333</v>
      </c>
      <c r="Q4" s="41">
        <f t="shared" ref="Q4:Q9" si="6">(O4^2-N4^2)/2</f>
        <v>0.17438657407407404</v>
      </c>
      <c r="R4" s="41">
        <f t="shared" ref="R4:R9" si="7">(O4^3-N4^3)/3</f>
        <v>7.0770511831275709E-2</v>
      </c>
      <c r="S4" s="114" t="b">
        <v>1</v>
      </c>
      <c r="T4" s="114" t="b">
        <v>1</v>
      </c>
      <c r="U4" s="114" t="b">
        <v>1</v>
      </c>
      <c r="V4" s="114" t="b">
        <v>1</v>
      </c>
      <c r="AD4" s="94" t="s">
        <v>64</v>
      </c>
      <c r="AE4" s="21"/>
      <c r="AF4" s="21"/>
      <c r="AG4" s="21"/>
      <c r="AH4" s="21"/>
      <c r="AI4" s="112" t="s">
        <v>45</v>
      </c>
      <c r="AJ4" s="33"/>
      <c r="AK4" s="22"/>
      <c r="AL4" s="21"/>
      <c r="AM4" s="21"/>
      <c r="AN4" s="21"/>
      <c r="AO4" s="101"/>
      <c r="AP4" s="94"/>
      <c r="AQ4" s="21"/>
      <c r="AR4" s="21"/>
      <c r="AS4" s="21"/>
      <c r="AT4" s="21"/>
      <c r="AU4" s="112" t="s">
        <v>45</v>
      </c>
      <c r="AV4" s="33"/>
      <c r="AW4" s="22"/>
      <c r="AX4" s="21"/>
      <c r="AY4" s="21"/>
      <c r="AZ4" s="21"/>
      <c r="BA4" s="101"/>
      <c r="BE4" s="116" t="str">
        <f>G34</f>
        <v>with 0X6</v>
      </c>
      <c r="BF4" s="118"/>
      <c r="BG4" s="117" t="str">
        <f>S34</f>
        <v>without 0X6</v>
      </c>
      <c r="BH4" s="118"/>
      <c r="BI4" s="116" t="str">
        <f>U34</f>
        <v>with 0X6</v>
      </c>
      <c r="BJ4" s="118"/>
      <c r="BK4" s="117" t="str">
        <f>W34</f>
        <v>without 0X6</v>
      </c>
      <c r="BL4" s="118"/>
      <c r="BM4" s="116" t="str">
        <f>Y34</f>
        <v>with 0X6</v>
      </c>
      <c r="BN4" s="118"/>
      <c r="BO4" s="117" t="str">
        <f>AA34</f>
        <v>without 0X6</v>
      </c>
      <c r="BP4" s="118"/>
    </row>
    <row r="5" spans="1:69" ht="12" customHeight="1" x14ac:dyDescent="0.2">
      <c r="A5" s="21">
        <f>'6MSynthDepo_used'!A6</f>
        <v>2</v>
      </c>
      <c r="B5" s="55">
        <f t="shared" si="0"/>
        <v>8</v>
      </c>
      <c r="C5" s="39" t="str">
        <f t="shared" si="3"/>
        <v>B6M_2X8</v>
      </c>
      <c r="D5" s="177">
        <f>_xll.qlCalendarAdvance(Calendar,SettlementDate,A5&amp;"M","mf")</f>
        <v>42199</v>
      </c>
      <c r="E5" s="177">
        <f>_xll.qlInterestRateIndexMaturity($D$25,D5)</f>
        <v>42383</v>
      </c>
      <c r="F5" s="53">
        <f>_xll.qlIndexFixing(ON_6M_index,_xll.qlInterestRateIndexFixingDate(ON_6M_index,D5,Trigger),,AllTriggers)</f>
        <v>-1.2520227137032052E-3</v>
      </c>
      <c r="G5" s="53">
        <f t="shared" si="4"/>
        <v>6.3999999999999994E-4</v>
      </c>
      <c r="H5" s="202">
        <f>_xll.qlQuoteValue(C5,_xll.ohTrigger(InterestRatesTrigger,'6MSynthDepo_used'!E5))</f>
        <v>1.8920227137032052E-3</v>
      </c>
      <c r="I5" s="41">
        <f>_xll.qlDayCounterYearFraction(DayCounter,SettlementDate,D5,,,Trigger)</f>
        <v>0.16944444444444445</v>
      </c>
      <c r="J5" s="41">
        <f>1</f>
        <v>1</v>
      </c>
      <c r="K5" s="41">
        <f t="shared" si="1"/>
        <v>0.16944444444444445</v>
      </c>
      <c r="L5" s="41">
        <f t="shared" si="2"/>
        <v>2.8711419753086422E-2</v>
      </c>
      <c r="M5" s="40">
        <f>LN((1+G5*_xll.qlDayCounterYearFraction(DayCounter,D5,E5,,,Trigger))/(1+F5*_xll.qlDayCounterYearFraction(DayCounter,D5,E5,,,Trigger)))</f>
        <v>9.6718518020878026E-4</v>
      </c>
      <c r="N5" s="41">
        <f>_xll.qlDayCounterYearFraction(DayCounter,SettlementDate,D5,,,Trigger)</f>
        <v>0.16944444444444445</v>
      </c>
      <c r="O5" s="41">
        <f>_xll.qlDayCounterYearFraction(DayCounter,SettlementDate,E5,,,Trigger)</f>
        <v>0.68055555555555558</v>
      </c>
      <c r="P5" s="41">
        <f t="shared" si="5"/>
        <v>0.51111111111111107</v>
      </c>
      <c r="Q5" s="41">
        <f t="shared" si="6"/>
        <v>0.21722222222222223</v>
      </c>
      <c r="R5" s="41">
        <f t="shared" si="7"/>
        <v>0.10344610196616372</v>
      </c>
      <c r="S5" s="114" t="b">
        <v>1</v>
      </c>
      <c r="T5" s="114" t="b">
        <v>1</v>
      </c>
      <c r="U5" s="114" t="b">
        <v>1</v>
      </c>
      <c r="V5" s="114" t="b">
        <v>1</v>
      </c>
      <c r="AD5" s="94"/>
      <c r="AE5" s="124"/>
      <c r="AF5" s="27">
        <f t="array" ref="AF5:AF6">_xll.ohFilter(K3:K9,S3:S9)</f>
        <v>0</v>
      </c>
      <c r="AG5" s="28">
        <f t="array" ref="AG5:AG6">_xll.ohFilter(J3:J9,S3:S9)</f>
        <v>1</v>
      </c>
      <c r="AH5" s="280" t="s">
        <v>20</v>
      </c>
      <c r="AI5" s="29">
        <f t="array" ref="AI5:AI6">MMULT(AL5:AM6,AK5:AK6)</f>
        <v>4.4268688263624997E-4</v>
      </c>
      <c r="AJ5" s="280" t="s">
        <v>21</v>
      </c>
      <c r="AK5" s="30">
        <f t="array" ref="AK5:AK6">_xll.ohFilter(H3:H9,S3:S9)</f>
        <v>1.8211623395594731E-3</v>
      </c>
      <c r="AL5" s="27">
        <f t="array" ref="AL5:AM6">MINVERSE(AF5:AG6)</f>
        <v>-11.25</v>
      </c>
      <c r="AM5" s="28">
        <v>11.25</v>
      </c>
      <c r="AN5" s="21"/>
      <c r="AO5" s="101"/>
      <c r="AP5" s="94"/>
      <c r="AQ5" s="124"/>
      <c r="AR5" s="27">
        <f t="array" ref="AR5:AR6">_xll.ohFilter(Q3:Q9,S3:S9)</f>
        <v>0.13347222222222224</v>
      </c>
      <c r="AS5" s="28">
        <f t="array" ref="AS5:AS6">_xll.ohFilter(P3:P9,S3:S9)</f>
        <v>0.51666666666666672</v>
      </c>
      <c r="AT5" s="280" t="s">
        <v>20</v>
      </c>
      <c r="AU5" s="29">
        <f t="array" ref="AU5:AU6">MMULT(AX5:AY6,AW5:AW6)</f>
        <v>4.6500426495975702E-4</v>
      </c>
      <c r="AV5" s="280" t="s">
        <v>21</v>
      </c>
      <c r="AW5" s="56">
        <f t="array" ref="AW5:AW6">_xll.ohFilter(M3:M9,S3:S9)</f>
        <v>9.410567919466708E-4</v>
      </c>
      <c r="AX5" s="27">
        <f t="array" ref="AX5:AY6">MINVERSE(AR5:AS6)</f>
        <v>-22.845055526176647</v>
      </c>
      <c r="AY5" s="28">
        <v>23.219564633163156</v>
      </c>
      <c r="AZ5" s="21"/>
      <c r="BA5" s="101"/>
      <c r="BC5" s="36" t="s">
        <v>38</v>
      </c>
      <c r="BD5" s="36" t="s">
        <v>55</v>
      </c>
      <c r="BE5" s="36" t="str">
        <f>G35</f>
        <v>Linear</v>
      </c>
      <c r="BF5" s="36" t="str">
        <f>H35</f>
        <v>Quadratic</v>
      </c>
      <c r="BG5" s="36" t="str">
        <f>S35</f>
        <v>Linear</v>
      </c>
      <c r="BH5" s="36" t="str">
        <f>T35</f>
        <v>Quadratic</v>
      </c>
      <c r="BI5" s="36" t="str">
        <f>U35</f>
        <v>Linear</v>
      </c>
      <c r="BJ5" s="36" t="str">
        <f>V35</f>
        <v>Quadratic</v>
      </c>
      <c r="BK5" s="36" t="str">
        <f>W35</f>
        <v>Linear</v>
      </c>
      <c r="BL5" s="36" t="str">
        <f>X35</f>
        <v>Quadratic</v>
      </c>
      <c r="BM5" s="36" t="str">
        <f>Y35</f>
        <v>Linear</v>
      </c>
      <c r="BN5" s="36" t="str">
        <f>Z35</f>
        <v>Quadratic</v>
      </c>
      <c r="BO5" s="36" t="str">
        <f>AA35</f>
        <v>Linear</v>
      </c>
      <c r="BP5" s="36" t="str">
        <f>AB35</f>
        <v>Quadratic</v>
      </c>
      <c r="BQ5" s="36" t="s">
        <v>105</v>
      </c>
    </row>
    <row r="6" spans="1:69" ht="12" customHeight="1" x14ac:dyDescent="0.2">
      <c r="A6" s="21">
        <f>'6MSynthDepo_used'!A7</f>
        <v>3</v>
      </c>
      <c r="B6" s="55">
        <f t="shared" si="0"/>
        <v>9</v>
      </c>
      <c r="C6" s="39" t="str">
        <f t="shared" si="3"/>
        <v>B6M_3X9</v>
      </c>
      <c r="D6" s="177">
        <f>_xll.qlCalendarAdvance(Calendar,SettlementDate,A6&amp;"M","mf")</f>
        <v>42230</v>
      </c>
      <c r="E6" s="177">
        <f>_xll.qlInterestRateIndexMaturity($D$25,D6)</f>
        <v>42415</v>
      </c>
      <c r="F6" s="53">
        <f>_xll.qlIndexFixing(ON_6M_index,_xll.qlInterestRateIndexFixingDate(ON_6M_index,D6,Trigger),,AllTriggers)</f>
        <v>-1.2678296020085104E-3</v>
      </c>
      <c r="G6" s="53">
        <f t="shared" si="4"/>
        <v>6.4000000000000016E-4</v>
      </c>
      <c r="H6" s="202">
        <f>_xll.qlQuoteValue(C6,_xll.ohTrigger(InterestRatesTrigger,'6MSynthDepo_used'!E6))</f>
        <v>1.9078296020085105E-3</v>
      </c>
      <c r="I6" s="41">
        <f>_xll.qlDayCounterYearFraction(DayCounter,SettlementDate,D6,,,Trigger)</f>
        <v>0.25555555555555554</v>
      </c>
      <c r="J6" s="41">
        <f>1</f>
        <v>1</v>
      </c>
      <c r="K6" s="41">
        <f t="shared" si="1"/>
        <v>0.25555555555555554</v>
      </c>
      <c r="L6" s="41">
        <f t="shared" si="2"/>
        <v>6.5308641975308626E-2</v>
      </c>
      <c r="M6" s="40">
        <f>LN((1+G6*_xll.qlDayCounterYearFraction(DayCounter,D6,E6,,,Trigger))/(1+F6*_xll.qlDayCounterYearFraction(DayCounter,D6,E6,,,Trigger)))</f>
        <v>9.8057069596735715E-4</v>
      </c>
      <c r="N6" s="41">
        <f>_xll.qlDayCounterYearFraction(DayCounter,SettlementDate,D6,,,Trigger)</f>
        <v>0.25555555555555554</v>
      </c>
      <c r="O6" s="41">
        <f>_xll.qlDayCounterYearFraction(DayCounter,SettlementDate,E6,,,Trigger)</f>
        <v>0.76944444444444449</v>
      </c>
      <c r="P6" s="41">
        <f t="shared" si="5"/>
        <v>0.51388888888888895</v>
      </c>
      <c r="Q6" s="41">
        <f t="shared" si="6"/>
        <v>0.26336805555555559</v>
      </c>
      <c r="R6" s="41">
        <f t="shared" si="7"/>
        <v>0.14628518661408324</v>
      </c>
      <c r="S6" s="114" t="b">
        <v>0</v>
      </c>
      <c r="T6" s="114" t="b">
        <v>0</v>
      </c>
      <c r="U6" s="114" t="b">
        <v>1</v>
      </c>
      <c r="V6" s="114" t="b">
        <v>1</v>
      </c>
      <c r="AD6" s="94"/>
      <c r="AE6" s="21"/>
      <c r="AF6" s="27">
        <v>8.8888888888888892E-2</v>
      </c>
      <c r="AG6" s="28">
        <v>1</v>
      </c>
      <c r="AH6" s="280"/>
      <c r="AI6" s="29">
        <v>1.8211623395594731E-3</v>
      </c>
      <c r="AJ6" s="280"/>
      <c r="AK6" s="30">
        <v>1.8605122846826953E-3</v>
      </c>
      <c r="AL6" s="27">
        <v>1</v>
      </c>
      <c r="AM6" s="28">
        <v>0</v>
      </c>
      <c r="AN6" s="21"/>
      <c r="AO6" s="101"/>
      <c r="AP6" s="94"/>
      <c r="AQ6" s="21"/>
      <c r="AR6" s="27">
        <v>0.17438657407407404</v>
      </c>
      <c r="AS6" s="28">
        <v>0.5083333333333333</v>
      </c>
      <c r="AT6" s="280"/>
      <c r="AU6" s="29">
        <v>1.701274140696157E-3</v>
      </c>
      <c r="AV6" s="280"/>
      <c r="AW6" s="56">
        <v>9.4590485555004445E-4</v>
      </c>
      <c r="AX6" s="27">
        <v>7.8371232152300436</v>
      </c>
      <c r="AY6" s="28">
        <v>-5.9983875302338161</v>
      </c>
      <c r="AZ6" s="21"/>
      <c r="BA6" s="101"/>
      <c r="BC6" s="176">
        <f>SettlementDate</f>
        <v>42138</v>
      </c>
      <c r="BD6" s="41">
        <f>_xll.qlDayCounterYearFraction(DayCounter,SettlementDate,BC6,,,Trigger)</f>
        <v>0</v>
      </c>
      <c r="BE6" s="47">
        <f>_xll.qlPolynomialFunctionValue(BE$1,$BD6,AllTriggers)</f>
        <v>1.7068015615451084E-3</v>
      </c>
      <c r="BF6" s="52">
        <f>_xll.qlPolynomialFunctionValue(BF$1,$BD6,AllTriggers)</f>
        <v>1.6862909282099705E-3</v>
      </c>
      <c r="BG6" s="47">
        <f>_xll.qlPolynomialFunctionValue(BG$1,$BD6,AllTriggers)</f>
        <v>1.7246914699391173E-3</v>
      </c>
      <c r="BH6" s="52">
        <f>_xll.qlPolynomialFunctionValue(BH$1,$BD6,AllTriggers)</f>
        <v>1.5673863520443479E-3</v>
      </c>
      <c r="BI6" s="52">
        <f>_xll.qlPolynomialFunctionValue(BI$1,$BD6,AllTriggers)</f>
        <v>1.701274140696157E-3</v>
      </c>
      <c r="BJ6" s="52">
        <f>_xll.qlPolynomialFunctionValue(BJ$1,$BD6,AllTriggers)</f>
        <v>1.6722917138015901E-3</v>
      </c>
      <c r="BK6" s="52">
        <f>_xll.qlPolynomialFunctionValue(BK$1,$BD6,AllTriggers)</f>
        <v>1.7288298059133511E-3</v>
      </c>
      <c r="BL6" s="52">
        <f>_xll.qlPolynomialFunctionValue(BL$1,$BD6,AllTriggers)</f>
        <v>1.5779617406501134E-3</v>
      </c>
      <c r="BM6" s="52">
        <f>_xll.qlPolynomialFunctionValue(BM$1,$BD6,AllTriggers)</f>
        <v>1.7315852850430648E-3</v>
      </c>
      <c r="BN6" s="52">
        <f>_xll.qlPolynomialFunctionValue(BN$1,$BD6,AllTriggers)</f>
        <v>1.7281437179784867E-3</v>
      </c>
      <c r="BO6" s="52">
        <f>_xll.qlPolynomialFunctionValue(BO$1,$BD6,AllTriggers)</f>
        <v>1.7432830787416295E-3</v>
      </c>
      <c r="BP6" s="52">
        <f>_xll.qlPolynomialFunctionValue(BP$1,$BD6,AllTriggers)</f>
        <v>1.8266217598038798E-3</v>
      </c>
      <c r="BQ6" s="52">
        <f>_xll.qlPolynomialFunctionValue('6MSynthDepo_used'!$P$18,BD6,AllTriggers)</f>
        <v>1.6944000054027728E-3</v>
      </c>
    </row>
    <row r="7" spans="1:69" ht="12" customHeight="1" x14ac:dyDescent="0.2">
      <c r="A7" s="21">
        <f>'6MSynthDepo_used'!A8</f>
        <v>4</v>
      </c>
      <c r="B7" s="55">
        <f t="shared" si="0"/>
        <v>10</v>
      </c>
      <c r="C7" s="39" t="str">
        <f t="shared" si="3"/>
        <v>B6M_4X10</v>
      </c>
      <c r="D7" s="177">
        <f>_xll.qlCalendarAdvance(Calendar,SettlementDate,A7&amp;"M","mf")</f>
        <v>42261</v>
      </c>
      <c r="E7" s="177">
        <f>_xll.qlInterestRateIndexMaturity($D$25,D7)</f>
        <v>42443</v>
      </c>
      <c r="F7" s="53">
        <f>_xll.qlIndexFixing(ON_6M_index,_xll.qlInterestRateIndexFixingDate(ON_6M_index,D7,Trigger),,AllTriggers)</f>
        <v>-1.2863441141031473E-3</v>
      </c>
      <c r="G7" s="53">
        <f t="shared" si="4"/>
        <v>6.4999999999999997E-4</v>
      </c>
      <c r="H7" s="202">
        <f>_xll.qlQuoteValue(C7,_xll.ohTrigger(InterestRatesTrigger,'6MSynthDepo_used'!E7))</f>
        <v>1.9363441141031473E-3</v>
      </c>
      <c r="I7" s="41">
        <f>_xll.qlDayCounterYearFraction(DayCounter,SettlementDate,D7,,,Trigger)</f>
        <v>0.34166666666666667</v>
      </c>
      <c r="J7" s="41">
        <f>1</f>
        <v>1</v>
      </c>
      <c r="K7" s="41">
        <f t="shared" si="1"/>
        <v>0.34166666666666667</v>
      </c>
      <c r="L7" s="41">
        <f t="shared" si="2"/>
        <v>0.11673611111111111</v>
      </c>
      <c r="M7" s="40">
        <f>LN((1+G7*_xll.qlDayCounterYearFraction(DayCounter,D7,E7,,,Trigger))/(1+F7*_xll.qlDayCounterYearFraction(DayCounter,D7,E7,,,Trigger)))</f>
        <v>9.7908709228678305E-4</v>
      </c>
      <c r="N7" s="41">
        <f>_xll.qlDayCounterYearFraction(DayCounter,SettlementDate,D7,,,Trigger)</f>
        <v>0.34166666666666667</v>
      </c>
      <c r="O7" s="41">
        <f>_xll.qlDayCounterYearFraction(DayCounter,SettlementDate,E7,,,Trigger)</f>
        <v>0.84722222222222221</v>
      </c>
      <c r="P7" s="41">
        <f t="shared" si="5"/>
        <v>0.50555555555555554</v>
      </c>
      <c r="Q7" s="41">
        <f t="shared" si="6"/>
        <v>0.30052469135802468</v>
      </c>
      <c r="R7" s="41">
        <f t="shared" si="7"/>
        <v>0.18941299439871973</v>
      </c>
      <c r="S7" s="114" t="b">
        <v>0</v>
      </c>
      <c r="T7" s="114" t="b">
        <v>0</v>
      </c>
      <c r="U7" s="114" t="b">
        <v>0</v>
      </c>
      <c r="V7" s="114" t="b">
        <v>0</v>
      </c>
      <c r="AD7" s="94"/>
      <c r="AE7" s="21"/>
      <c r="AF7" s="21"/>
      <c r="AG7" s="21"/>
      <c r="AH7" s="21"/>
      <c r="AI7" s="111"/>
      <c r="AJ7" s="33"/>
      <c r="AK7" s="22"/>
      <c r="AL7" s="21"/>
      <c r="AM7" s="21"/>
      <c r="AN7" s="21"/>
      <c r="AO7" s="101"/>
      <c r="AP7" s="94"/>
      <c r="AQ7" s="21"/>
      <c r="AR7" s="21"/>
      <c r="AS7" s="21"/>
      <c r="AT7" s="21"/>
      <c r="AU7" s="111"/>
      <c r="AV7" s="33"/>
      <c r="AW7" s="218"/>
      <c r="AX7" s="21"/>
      <c r="AY7" s="21"/>
      <c r="AZ7" s="21"/>
      <c r="BA7" s="101"/>
      <c r="BC7" s="178">
        <f>_xll.qlCalendarAdvance(Calendar,BC6,"1d","mf",,Trigger)</f>
        <v>42139</v>
      </c>
      <c r="BD7" s="41">
        <f>_xll.qlDayCounterYearFraction(DayCounter,SettlementDate,BC7,,,Trigger)</f>
        <v>2.7777777777777779E-3</v>
      </c>
      <c r="BE7" s="47">
        <f>_xll.qlPolynomialFunctionValue(BE$1,$BD7,AllTriggers)</f>
        <v>1.7080312473302091E-3</v>
      </c>
      <c r="BF7" s="47">
        <f>_xll.qlPolynomialFunctionValue(BF$1,$BD7,AllTriggers)</f>
        <v>1.6880297431913333E-3</v>
      </c>
      <c r="BG7" s="47">
        <f>_xll.qlPolynomialFunctionValue(BG$1,$BD7,AllTriggers)</f>
        <v>1.725778036457066E-3</v>
      </c>
      <c r="BH7" s="47">
        <f>_xll.qlPolynomialFunctionValue(BH$1,$BD7,AllTriggers)</f>
        <v>1.5711448085100417E-3</v>
      </c>
      <c r="BI7" s="47">
        <f>_xll.qlPolynomialFunctionValue(BI$1,$BD7,AllTriggers)</f>
        <v>1.7025658192099341E-3</v>
      </c>
      <c r="BJ7" s="47">
        <f>_xll.qlPolynomialFunctionValue(BJ$1,$BD7,AllTriggers)</f>
        <v>1.6743234350167792E-3</v>
      </c>
      <c r="BK7" s="47">
        <f>_xll.qlPolynomialFunctionValue(BK$1,$BD7,AllTriggers)</f>
        <v>1.7298983616318472E-3</v>
      </c>
      <c r="BL7" s="47">
        <f>_xll.qlPolynomialFunctionValue(BL$1,$BD7,AllTriggers)</f>
        <v>1.5816004381895806E-3</v>
      </c>
      <c r="BM7" s="47">
        <f>_xll.qlPolynomialFunctionValue(BM$1,$BD7,AllTriggers)</f>
        <v>1.732582649298981E-3</v>
      </c>
      <c r="BN7" s="47">
        <f>_xll.qlPolynomialFunctionValue(BN$1,$BD7,AllTriggers)</f>
        <v>1.7291959001500441E-3</v>
      </c>
      <c r="BO7" s="47">
        <f>_xll.qlPolynomialFunctionValue(BO$1,$BD7,AllTriggers)</f>
        <v>1.7442173736499133E-3</v>
      </c>
      <c r="BP7" s="47">
        <f>_xll.qlPolynomialFunctionValue(BP$1,$BD7,AllTriggers)</f>
        <v>1.8264609183674077E-3</v>
      </c>
      <c r="BQ7" s="47">
        <f>_xll.qlPolynomialFunctionValue('6MSynthDepo_used'!$P$18,BD7,AllTriggers)</f>
        <v>1.6960252107154343E-3</v>
      </c>
    </row>
    <row r="8" spans="1:69" ht="12" customHeight="1" x14ac:dyDescent="0.2">
      <c r="A8" s="21">
        <f>'6MSynthDepo_used'!A9</f>
        <v>5</v>
      </c>
      <c r="B8" s="55">
        <f t="shared" si="0"/>
        <v>11</v>
      </c>
      <c r="C8" s="39" t="str">
        <f t="shared" si="3"/>
        <v>B6M_5X11</v>
      </c>
      <c r="D8" s="177">
        <f>_xll.qlCalendarAdvance(Calendar,SettlementDate,A8&amp;"M","mf")</f>
        <v>42291</v>
      </c>
      <c r="E8" s="177">
        <f>_xll.qlInterestRateIndexMaturity($D$25,D8)</f>
        <v>42474</v>
      </c>
      <c r="F8" s="53">
        <f>_xll.qlIndexFixing(ON_6M_index,_xll.qlInterestRateIndexFixingDate(ON_6M_index,D8,Trigger),,AllTriggers)</f>
        <v>-1.3129880212073787E-3</v>
      </c>
      <c r="G8" s="53">
        <f t="shared" si="4"/>
        <v>6.8000000000000027E-4</v>
      </c>
      <c r="H8" s="202">
        <f>_xll.qlQuoteValue(C8,_xll.ohTrigger(InterestRatesTrigger,'6MSynthDepo_used'!E8))</f>
        <v>1.992988021207379E-3</v>
      </c>
      <c r="I8" s="41">
        <f>_xll.qlDayCounterYearFraction(DayCounter,SettlementDate,D8,,,Trigger)</f>
        <v>0.42499999999999999</v>
      </c>
      <c r="J8" s="41">
        <f>1</f>
        <v>1</v>
      </c>
      <c r="K8" s="41">
        <f t="shared" si="1"/>
        <v>0.42499999999999999</v>
      </c>
      <c r="L8" s="41">
        <f t="shared" si="2"/>
        <v>0.18062499999999998</v>
      </c>
      <c r="M8" s="40">
        <f>LN((1+G8*_xll.qlDayCounterYearFraction(DayCounter,D8,E8,,,Trigger))/(1+F8*_xll.qlDayCounterYearFraction(DayCounter,D8,E8,,,Trigger)))</f>
        <v>1.0132653494374106E-3</v>
      </c>
      <c r="N8" s="41">
        <f>_xll.qlDayCounterYearFraction(DayCounter,SettlementDate,D8,,,Trigger)</f>
        <v>0.42499999999999999</v>
      </c>
      <c r="O8" s="41">
        <f>_xll.qlDayCounterYearFraction(DayCounter,SettlementDate,E8,,,Trigger)</f>
        <v>0.93333333333333335</v>
      </c>
      <c r="P8" s="41">
        <f t="shared" si="5"/>
        <v>0.5083333333333333</v>
      </c>
      <c r="Q8" s="41">
        <f t="shared" si="6"/>
        <v>0.34524305555555557</v>
      </c>
      <c r="R8" s="41">
        <f t="shared" si="7"/>
        <v>0.24542380401234573</v>
      </c>
      <c r="S8" s="114" t="b">
        <v>0</v>
      </c>
      <c r="T8" s="114" t="b">
        <v>0</v>
      </c>
      <c r="U8" s="114" t="b">
        <v>0</v>
      </c>
      <c r="V8" s="114" t="b">
        <v>0</v>
      </c>
      <c r="AD8" s="94" t="s">
        <v>65</v>
      </c>
      <c r="AE8" s="21"/>
      <c r="AF8" s="21"/>
      <c r="AG8" s="21"/>
      <c r="AH8" s="21"/>
      <c r="AI8" s="112" t="s">
        <v>45</v>
      </c>
      <c r="AJ8" s="33"/>
      <c r="AK8" s="22"/>
      <c r="AL8" s="21"/>
      <c r="AM8" s="21"/>
      <c r="AN8" s="21"/>
      <c r="AO8" s="101"/>
      <c r="AP8" s="94"/>
      <c r="AQ8" s="21"/>
      <c r="AR8" s="21"/>
      <c r="AS8" s="21"/>
      <c r="AT8" s="21"/>
      <c r="AU8" s="112" t="s">
        <v>45</v>
      </c>
      <c r="AV8" s="33"/>
      <c r="AW8" s="218"/>
      <c r="AX8" s="21"/>
      <c r="AY8" s="21"/>
      <c r="AZ8" s="21"/>
      <c r="BA8" s="101"/>
      <c r="BC8" s="178">
        <f>_xll.qlCalendarAdvance(Calendar,BC7,"1d","mf",,Trigger)</f>
        <v>42142</v>
      </c>
      <c r="BD8" s="41">
        <f>_xll.qlDayCounterYearFraction(DayCounter,SettlementDate,BC8,,,Trigger)</f>
        <v>1.1111111111111112E-2</v>
      </c>
      <c r="BE8" s="47">
        <f>_xll.qlPolynomialFunctionValue(BE$1,$BD8,AllTriggers)</f>
        <v>1.7117203046855111E-3</v>
      </c>
      <c r="BF8" s="47">
        <f>_xll.qlPolynomialFunctionValue(BF$1,$BD8,AllTriggers)</f>
        <v>1.693218033525491E-3</v>
      </c>
      <c r="BG8" s="47">
        <f>_xll.qlPolynomialFunctionValue(BG$1,$BD8,AllTriggers)</f>
        <v>1.7290377360109118E-3</v>
      </c>
      <c r="BH8" s="47">
        <f>_xll.qlPolynomialFunctionValue(BH$1,$BD8,AllTriggers)</f>
        <v>1.5823048445280838E-3</v>
      </c>
      <c r="BI8" s="47">
        <f>_xll.qlPolynomialFunctionValue(BI$1,$BD8,AllTriggers)</f>
        <v>1.7064408547512655E-3</v>
      </c>
      <c r="BJ8" s="47">
        <f>_xll.qlPolynomialFunctionValue(BJ$1,$BD8,AllTriggers)</f>
        <v>1.6803768031791713E-3</v>
      </c>
      <c r="BK8" s="47">
        <f>_xll.qlPolynomialFunctionValue(BK$1,$BD8,AllTriggers)</f>
        <v>1.7331040287873359E-3</v>
      </c>
      <c r="BL8" s="47">
        <f>_xll.qlPolynomialFunctionValue(BL$1,$BD8,AllTriggers)</f>
        <v>1.5924050023950515E-3</v>
      </c>
      <c r="BM8" s="47">
        <f>_xll.qlPolynomialFunctionValue(BM$1,$BD8,AllTriggers)</f>
        <v>1.7355747420667294E-3</v>
      </c>
      <c r="BN8" s="47">
        <f>_xll.qlPolynomialFunctionValue(BN$1,$BD8,AllTriggers)</f>
        <v>1.7323503561380421E-3</v>
      </c>
      <c r="BO8" s="47">
        <f>_xll.qlPolynomialFunctionValue(BO$1,$BD8,AllTriggers)</f>
        <v>1.7470202583747642E-3</v>
      </c>
      <c r="BP8" s="47">
        <f>_xll.qlPolynomialFunctionValue(BP$1,$BD8,AllTriggers)</f>
        <v>1.8260156249390095E-3</v>
      </c>
      <c r="BQ8" s="47">
        <f>_xll.qlPolynomialFunctionValue('6MSynthDepo_used'!$P$18,BD8,AllTriggers)</f>
        <v>1.7008724181420954E-3</v>
      </c>
    </row>
    <row r="9" spans="1:69" ht="12" customHeight="1" x14ac:dyDescent="0.2">
      <c r="A9" s="21">
        <f>'6MSynthDepo_used'!A10</f>
        <v>6</v>
      </c>
      <c r="B9" s="55">
        <f t="shared" si="0"/>
        <v>12</v>
      </c>
      <c r="C9" s="42" t="str">
        <f t="shared" si="3"/>
        <v>B6M_6X12</v>
      </c>
      <c r="D9" s="181">
        <f>_xll.qlCalendarAdvance(Calendar,SettlementDate,A9&amp;"M","mf")</f>
        <v>42324</v>
      </c>
      <c r="E9" s="181">
        <f>_xll.qlInterestRateIndexMaturity($D$25,D9)</f>
        <v>42506</v>
      </c>
      <c r="F9" s="54">
        <f>_xll.qlIndexFixing(ON_6M_index,_xll.qlInterestRateIndexFixingDate(ON_6M_index,D9,Trigger),,AllTriggers)</f>
        <v>-1.3121885563962153E-3</v>
      </c>
      <c r="G9" s="54">
        <f t="shared" si="4"/>
        <v>7.000000000000001E-4</v>
      </c>
      <c r="H9" s="203">
        <f>_xll.qlQuoteValue(C9,_xll.ohTrigger(InterestRatesTrigger,'6MSynthDepo_used'!E9))</f>
        <v>2.0121885563962154E-3</v>
      </c>
      <c r="I9" s="44">
        <f>_xll.qlDayCounterYearFraction(DayCounter,SettlementDate,D9,,,Trigger)</f>
        <v>0.51666666666666672</v>
      </c>
      <c r="J9" s="44">
        <f>1</f>
        <v>1</v>
      </c>
      <c r="K9" s="44">
        <f t="shared" si="1"/>
        <v>0.51666666666666672</v>
      </c>
      <c r="L9" s="44">
        <f t="shared" si="2"/>
        <v>0.26694444444444448</v>
      </c>
      <c r="M9" s="43">
        <f>LN((1+G9*_xll.qlDayCounterYearFraction(DayCounter,D9,E9,,,Trigger))/(1+F9*_xll.qlDayCounterYearFraction(DayCounter,D9,E9,,,Trigger)))</f>
        <v>1.0174306362784617E-3</v>
      </c>
      <c r="N9" s="44">
        <f>_xll.qlDayCounterYearFraction(DayCounter,SettlementDate,D9,,,Trigger)</f>
        <v>0.51666666666666672</v>
      </c>
      <c r="O9" s="44">
        <f>_xll.qlDayCounterYearFraction(DayCounter,SettlementDate,E9,,,Trigger)</f>
        <v>1.0222222222222221</v>
      </c>
      <c r="P9" s="44">
        <f t="shared" si="5"/>
        <v>0.50555555555555542</v>
      </c>
      <c r="Q9" s="44">
        <f t="shared" si="6"/>
        <v>0.38899691358024679</v>
      </c>
      <c r="R9" s="44">
        <f t="shared" si="7"/>
        <v>0.31007927526291712</v>
      </c>
      <c r="S9" s="150" t="b">
        <v>0</v>
      </c>
      <c r="T9" s="150" t="b">
        <v>0</v>
      </c>
      <c r="U9" s="150" t="b">
        <v>0</v>
      </c>
      <c r="V9" s="150" t="b">
        <v>0</v>
      </c>
      <c r="AD9" s="94"/>
      <c r="AE9" s="32"/>
      <c r="AF9" s="27">
        <f t="array" ref="AF9:AF10">_xll.ohFilter(K3:K9,U3:U9)</f>
        <v>8.8888888888888892E-2</v>
      </c>
      <c r="AG9" s="28">
        <f t="array" ref="AG9:AG10">_xll.ohFilter(J3:J9,U3:U9)</f>
        <v>1</v>
      </c>
      <c r="AH9" s="280" t="s">
        <v>20</v>
      </c>
      <c r="AI9" s="29">
        <f t="array" ref="AI9:AI10">MMULT(AL9:AM10,AK9:AK10)</f>
        <v>3.9116394646150632E-4</v>
      </c>
      <c r="AJ9" s="280" t="s">
        <v>21</v>
      </c>
      <c r="AK9" s="30">
        <f t="array" ref="AK9:AK10">_xll.ohFilter(H3:H9,U3:U9)</f>
        <v>1.8605122846826953E-3</v>
      </c>
      <c r="AL9" s="27">
        <f t="array" ref="AL9:AM10">MINVERSE(AF9:AG10)</f>
        <v>-12.413793103448276</v>
      </c>
      <c r="AM9" s="28">
        <v>12.413793103448278</v>
      </c>
      <c r="AN9" s="21"/>
      <c r="AO9" s="101"/>
      <c r="AP9" s="94"/>
      <c r="AQ9" s="32"/>
      <c r="AR9" s="27">
        <f t="array" ref="AR9:AR10">_xll.ohFilter(Q3:Q9,U3:U9)</f>
        <v>0.17438657407407404</v>
      </c>
      <c r="AS9" s="28">
        <f t="array" ref="AS9:AS10">_xll.ohFilter(P3:P9,U3:U9)</f>
        <v>0.5083333333333333</v>
      </c>
      <c r="AT9" s="280" t="s">
        <v>20</v>
      </c>
      <c r="AU9" s="29">
        <f t="array" ref="AU9:AU10">MMULT(AX9:AY10,AW9:AW10)</f>
        <v>3.8468005865862492E-4</v>
      </c>
      <c r="AV9" s="280" t="s">
        <v>21</v>
      </c>
      <c r="AW9" s="56">
        <f t="array" ref="AW9:AW10">_xll.ohFilter(M3:M9,U3:U9)</f>
        <v>9.4590485555004445E-4</v>
      </c>
      <c r="AX9" s="27">
        <f t="array" ref="AX9:AY10">MINVERSE(AR9:AS10)</f>
        <v>-24.006668519033028</v>
      </c>
      <c r="AY9" s="28">
        <v>23.876197494473065</v>
      </c>
      <c r="AZ9" s="21"/>
      <c r="BA9" s="101"/>
      <c r="BC9" s="178">
        <f>_xll.qlCalendarAdvance(Calendar,BC8,"1d","mf",,Trigger)</f>
        <v>42143</v>
      </c>
      <c r="BD9" s="41">
        <f>_xll.qlDayCounterYearFraction(DayCounter,SettlementDate,BC9,,,Trigger)</f>
        <v>1.3888888888888888E-2</v>
      </c>
      <c r="BE9" s="47">
        <f>_xll.qlPolynomialFunctionValue(BE$1,$BD9,AllTriggers)</f>
        <v>1.7129499904706118E-3</v>
      </c>
      <c r="BF9" s="47">
        <f>_xll.qlPolynomialFunctionValue(BF$1,$BD9,AllTriggers)</f>
        <v>1.6949380787668995E-3</v>
      </c>
      <c r="BG9" s="47">
        <f>_xll.qlPolynomialFunctionValue(BG$1,$BD9,AllTriggers)</f>
        <v>1.7301243025288605E-3</v>
      </c>
      <c r="BH9" s="47">
        <f>_xll.qlPolynomialFunctionValue(BH$1,$BD9,AllTriggers)</f>
        <v>1.5859864120744182E-3</v>
      </c>
      <c r="BI9" s="47">
        <f>_xll.qlPolynomialFunctionValue(BI$1,$BD9,AllTriggers)</f>
        <v>1.7077325332650426E-3</v>
      </c>
      <c r="BJ9" s="47">
        <f>_xll.qlPolynomialFunctionValue(BJ$1,$BD9,AllTriggers)</f>
        <v>1.6823806607389104E-3</v>
      </c>
      <c r="BK9" s="47">
        <f>_xll.qlPolynomialFunctionValue(BK$1,$BD9,AllTriggers)</f>
        <v>1.7341725845058319E-3</v>
      </c>
      <c r="BL9" s="47">
        <f>_xll.qlPolynomialFunctionValue(BL$1,$BD9,AllTriggers)</f>
        <v>1.5959693476592313E-3</v>
      </c>
      <c r="BM9" s="47">
        <f>_xll.qlPolynomialFunctionValue(BM$1,$BD9,AllTriggers)</f>
        <v>1.7365721063226456E-3</v>
      </c>
      <c r="BN9" s="47">
        <f>_xll.qlPolynomialFunctionValue(BN$1,$BD9,AllTriggers)</f>
        <v>1.7334011446251498E-3</v>
      </c>
      <c r="BO9" s="47">
        <f>_xll.qlPolynomialFunctionValue(BO$1,$BD9,AllTriggers)</f>
        <v>1.7479545532830478E-3</v>
      </c>
      <c r="BP9" s="47">
        <f>_xll.qlPolynomialFunctionValue(BP$1,$BD9,AllTriggers)</f>
        <v>1.8258796040898826E-3</v>
      </c>
      <c r="BQ9" s="47">
        <f>_xll.qlPolynomialFunctionValue('6MSynthDepo_used'!$P$18,BD9,AllTriggers)</f>
        <v>1.7024787192365368E-3</v>
      </c>
    </row>
    <row r="10" spans="1:69" ht="12" customHeight="1" x14ac:dyDescent="0.2">
      <c r="A10" s="21"/>
      <c r="B10" s="55"/>
      <c r="C10" s="22"/>
      <c r="D10" s="23"/>
      <c r="E10" s="23"/>
      <c r="F10" s="122"/>
      <c r="G10" s="122"/>
      <c r="H10" s="123"/>
      <c r="I10" s="2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  <c r="U10" s="26"/>
      <c r="V10" s="26"/>
      <c r="W10" s="26"/>
      <c r="AD10" s="94"/>
      <c r="AE10" s="32"/>
      <c r="AF10" s="27">
        <v>0.16944444444444445</v>
      </c>
      <c r="AG10" s="28">
        <v>1</v>
      </c>
      <c r="AH10" s="280"/>
      <c r="AI10" s="29">
        <v>1.8257421561083398E-3</v>
      </c>
      <c r="AJ10" s="280"/>
      <c r="AK10" s="30">
        <v>1.8920227137032052E-3</v>
      </c>
      <c r="AL10" s="27">
        <v>2.103448275862069</v>
      </c>
      <c r="AM10" s="28">
        <v>-1.1034482758620692</v>
      </c>
      <c r="AN10" s="21"/>
      <c r="AO10" s="101"/>
      <c r="AP10" s="94"/>
      <c r="AQ10" s="32"/>
      <c r="AR10" s="27">
        <v>0.21722222222222223</v>
      </c>
      <c r="AS10" s="28">
        <v>0.51111111111111107</v>
      </c>
      <c r="AT10" s="280"/>
      <c r="AU10" s="29">
        <v>1.7288298059133511E-3</v>
      </c>
      <c r="AV10" s="280"/>
      <c r="AW10" s="56">
        <v>9.6718518020878026E-4</v>
      </c>
      <c r="AX10" s="27">
        <v>10.202834120589038</v>
      </c>
      <c r="AY10" s="28">
        <v>-8.1908621960206194</v>
      </c>
      <c r="AZ10" s="21"/>
      <c r="BA10" s="101"/>
      <c r="BC10" s="178">
        <f>_xll.qlCalendarAdvance(Calendar,BC9,"1d","mf",,Trigger)</f>
        <v>42144</v>
      </c>
      <c r="BD10" s="41">
        <f>_xll.qlDayCounterYearFraction(DayCounter,SettlementDate,BC10,,,Trigger)</f>
        <v>1.6666666666666666E-2</v>
      </c>
      <c r="BE10" s="47">
        <f>_xll.qlPolynomialFunctionValue(BE$1,$BD10,AllTriggers)</f>
        <v>1.7141796762557126E-3</v>
      </c>
      <c r="BF10" s="47">
        <f>_xll.qlPolynomialFunctionValue(BF$1,$BD10,AllTriggers)</f>
        <v>1.6966534315733196E-3</v>
      </c>
      <c r="BG10" s="47">
        <f>_xll.qlPolynomialFunctionValue(BG$1,$BD10,AllTriggers)</f>
        <v>1.7312108690468091E-3</v>
      </c>
      <c r="BH10" s="47">
        <f>_xll.qlPolynomialFunctionValue(BH$1,$BD10,AllTriggers)</f>
        <v>1.5896487573909125E-3</v>
      </c>
      <c r="BI10" s="47">
        <f>_xll.qlPolynomialFunctionValue(BI$1,$BD10,AllTriggers)</f>
        <v>1.7090242117788197E-3</v>
      </c>
      <c r="BJ10" s="47">
        <f>_xll.qlPolynomialFunctionValue(BJ$1,$BD10,AllTriggers)</f>
        <v>1.6843775523847869E-3</v>
      </c>
      <c r="BK10" s="47">
        <f>_xll.qlPolynomialFunctionValue(BK$1,$BD10,AllTriggers)</f>
        <v>1.7352411402243282E-3</v>
      </c>
      <c r="BL10" s="47">
        <f>_xll.qlPolynomialFunctionValue(BL$1,$BD10,AllTriggers)</f>
        <v>1.5995151048545893E-3</v>
      </c>
      <c r="BM10" s="47">
        <f>_xll.qlPolynomialFunctionValue(BM$1,$BD10,AllTriggers)</f>
        <v>1.7375694705785618E-3</v>
      </c>
      <c r="BN10" s="47">
        <f>_xll.qlPolynomialFunctionValue(BN$1,$BD10,AllTriggers)</f>
        <v>1.734451584691145E-3</v>
      </c>
      <c r="BO10" s="47">
        <f>_xll.qlPolynomialFunctionValue(BO$1,$BD10,AllTriggers)</f>
        <v>1.7488888481913315E-3</v>
      </c>
      <c r="BP10" s="47">
        <f>_xll.qlPolynomialFunctionValue(BP$1,$BD10,AllTriggers)</f>
        <v>1.8257497883875924E-3</v>
      </c>
      <c r="BQ10" s="47">
        <f>_xll.qlPolynomialFunctionValue('6MSynthDepo_used'!$P$18,BD10,AllTriggers)</f>
        <v>1.7040803203684199E-3</v>
      </c>
    </row>
    <row r="11" spans="1:69" ht="12" customHeight="1" x14ac:dyDescent="0.2">
      <c r="A11" s="21"/>
      <c r="B11" s="55"/>
      <c r="C11" s="21"/>
      <c r="D11" s="21"/>
      <c r="E11" s="21"/>
      <c r="F11" s="21"/>
      <c r="G11" s="21"/>
      <c r="AD11" s="94"/>
      <c r="AE11" s="21"/>
      <c r="AF11" s="21"/>
      <c r="AG11" s="21"/>
      <c r="AH11" s="21"/>
      <c r="AI11" s="111"/>
      <c r="AJ11" s="33"/>
      <c r="AK11" s="22"/>
      <c r="AL11" s="21"/>
      <c r="AM11" s="21"/>
      <c r="AN11" s="21"/>
      <c r="AO11" s="101"/>
      <c r="AP11" s="94"/>
      <c r="AQ11" s="21"/>
      <c r="AR11" s="21"/>
      <c r="AS11" s="21"/>
      <c r="AT11" s="21"/>
      <c r="AU11" s="111"/>
      <c r="AV11" s="33"/>
      <c r="AW11" s="22"/>
      <c r="AX11" s="21"/>
      <c r="AY11" s="21"/>
      <c r="AZ11" s="21"/>
      <c r="BA11" s="101"/>
      <c r="BC11" s="178">
        <f>_xll.qlCalendarAdvance(Calendar,BC10,"1d","mf",,Trigger)</f>
        <v>42145</v>
      </c>
      <c r="BD11" s="41">
        <f>_xll.qlDayCounterYearFraction(DayCounter,SettlementDate,BC11,,,Trigger)</f>
        <v>1.9444444444444445E-2</v>
      </c>
      <c r="BE11" s="47">
        <f>_xll.qlPolynomialFunctionValue(BE$1,$BD11,AllTriggers)</f>
        <v>1.7154093620408131E-3</v>
      </c>
      <c r="BF11" s="47">
        <f>_xll.qlPolynomialFunctionValue(BF$1,$BD11,AllTriggers)</f>
        <v>1.698364091944751E-3</v>
      </c>
      <c r="BG11" s="47">
        <f>_xll.qlPolynomialFunctionValue(BG$1,$BD11,AllTriggers)</f>
        <v>1.7322974355647577E-3</v>
      </c>
      <c r="BH11" s="47">
        <f>_xll.qlPolynomialFunctionValue(BH$1,$BD11,AllTriggers)</f>
        <v>1.5932918804775667E-3</v>
      </c>
      <c r="BI11" s="47">
        <f>_xll.qlPolynomialFunctionValue(BI$1,$BD11,AllTriggers)</f>
        <v>1.7103158902925968E-3</v>
      </c>
      <c r="BJ11" s="47">
        <f>_xll.qlPolynomialFunctionValue(BJ$1,$BD11,AllTriggers)</f>
        <v>1.6863674781168007E-3</v>
      </c>
      <c r="BK11" s="47">
        <f>_xll.qlPolynomialFunctionValue(BK$1,$BD11,AllTriggers)</f>
        <v>1.7363096959428243E-3</v>
      </c>
      <c r="BL11" s="47">
        <f>_xll.qlPolynomialFunctionValue(BL$1,$BD11,AllTriggers)</f>
        <v>1.6030422739811254E-3</v>
      </c>
      <c r="BM11" s="47">
        <f>_xll.qlPolynomialFunctionValue(BM$1,$BD11,AllTriggers)</f>
        <v>1.738566834834478E-3</v>
      </c>
      <c r="BN11" s="47">
        <f>_xll.qlPolynomialFunctionValue(BN$1,$BD11,AllTriggers)</f>
        <v>1.7355016763360275E-3</v>
      </c>
      <c r="BO11" s="47">
        <f>_xll.qlPolynomialFunctionValue(BO$1,$BD11,AllTriggers)</f>
        <v>1.7498231430996152E-3</v>
      </c>
      <c r="BP11" s="47">
        <f>_xll.qlPolynomialFunctionValue(BP$1,$BD11,AllTriggers)</f>
        <v>1.8256261778321387E-3</v>
      </c>
      <c r="BQ11" s="47">
        <f>_xll.qlPolynomialFunctionValue('6MSynthDepo_used'!$P$18,BD11,AllTriggers)</f>
        <v>1.7056772319745445E-3</v>
      </c>
    </row>
    <row r="12" spans="1:69" ht="12" customHeight="1" x14ac:dyDescent="0.2">
      <c r="B12" s="21"/>
      <c r="C12" s="116" t="s">
        <v>67</v>
      </c>
      <c r="D12" s="117"/>
      <c r="E12" s="117"/>
      <c r="F12" s="117"/>
      <c r="G12" s="117"/>
      <c r="H12" s="117"/>
      <c r="I12" s="116"/>
      <c r="J12" s="116"/>
      <c r="P12" s="55"/>
      <c r="Q12" s="55"/>
      <c r="R12" s="55"/>
      <c r="S12" s="116" t="str">
        <f>"with 0X"&amp;SUBSTITUTE($D$24,"M","")</f>
        <v>with 0X6</v>
      </c>
      <c r="T12" s="118"/>
      <c r="U12" s="117" t="str">
        <f>"without 0X"&amp;SUBSTITUTE($D$24,"M","")</f>
        <v>without 0X6</v>
      </c>
      <c r="V12" s="118"/>
      <c r="AD12" s="219" t="s">
        <v>42</v>
      </c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2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2"/>
      <c r="BC12" s="178">
        <f>_xll.qlCalendarAdvance(Calendar,BC11,"1d","mf",,Trigger)</f>
        <v>42146</v>
      </c>
      <c r="BD12" s="41">
        <f>_xll.qlDayCounterYearFraction(DayCounter,SettlementDate,BC12,,,Trigger)</f>
        <v>2.2222222222222223E-2</v>
      </c>
      <c r="BE12" s="47">
        <f>_xll.qlPolynomialFunctionValue(BE$1,$BD12,AllTriggers)</f>
        <v>1.7166390478259139E-3</v>
      </c>
      <c r="BF12" s="47">
        <f>_xll.qlPolynomialFunctionValue(BF$1,$BD12,AllTriggers)</f>
        <v>1.7000700598811937E-3</v>
      </c>
      <c r="BG12" s="47">
        <f>_xll.qlPolynomialFunctionValue(BG$1,$BD12,AllTriggers)</f>
        <v>1.7333840020827063E-3</v>
      </c>
      <c r="BH12" s="47">
        <f>_xll.qlPolynomialFunctionValue(BH$1,$BD12,AllTriggers)</f>
        <v>1.5969157813343813E-3</v>
      </c>
      <c r="BI12" s="47">
        <f>_xll.qlPolynomialFunctionValue(BI$1,$BD12,AllTriggers)</f>
        <v>1.7116075688063737E-3</v>
      </c>
      <c r="BJ12" s="47">
        <f>_xll.qlPolynomialFunctionValue(BJ$1,$BD12,AllTriggers)</f>
        <v>1.6883504379349521E-3</v>
      </c>
      <c r="BK12" s="47">
        <f>_xll.qlPolynomialFunctionValue(BK$1,$BD12,AllTriggers)</f>
        <v>1.7373782516613206E-3</v>
      </c>
      <c r="BL12" s="47">
        <f>_xll.qlPolynomialFunctionValue(BL$1,$BD12,AllTriggers)</f>
        <v>1.6065508550388399E-3</v>
      </c>
      <c r="BM12" s="47">
        <f>_xll.qlPolynomialFunctionValue(BM$1,$BD12,AllTriggers)</f>
        <v>1.7395641990903942E-3</v>
      </c>
      <c r="BN12" s="47">
        <f>_xll.qlPolynomialFunctionValue(BN$1,$BD12,AllTriggers)</f>
        <v>1.7365514195597977E-3</v>
      </c>
      <c r="BO12" s="47">
        <f>_xll.qlPolynomialFunctionValue(BO$1,$BD12,AllTriggers)</f>
        <v>1.7507574380078988E-3</v>
      </c>
      <c r="BP12" s="47">
        <f>_xll.qlPolynomialFunctionValue(BP$1,$BD12,AllTriggers)</f>
        <v>1.8255087724235212E-3</v>
      </c>
      <c r="BQ12" s="47">
        <f>_xll.qlPolynomialFunctionValue('6MSynthDepo_used'!$P$18,BD12,AllTriggers)</f>
        <v>1.7072694644917077E-3</v>
      </c>
    </row>
    <row r="13" spans="1:69" ht="22.5" customHeight="1" x14ac:dyDescent="0.2">
      <c r="C13" s="36" t="s">
        <v>43</v>
      </c>
      <c r="D13" s="36" t="s">
        <v>101</v>
      </c>
      <c r="E13" s="36" t="s">
        <v>102</v>
      </c>
      <c r="F13" s="36" t="s">
        <v>56</v>
      </c>
      <c r="G13" s="36" t="str">
        <f>"F "&amp;$D$24</f>
        <v>F 6M</v>
      </c>
      <c r="H13" s="36" t="str">
        <f>"B "&amp;$D$24</f>
        <v>B 6M</v>
      </c>
      <c r="I13" s="36" t="s">
        <v>89</v>
      </c>
      <c r="J13" s="36" t="s">
        <v>104</v>
      </c>
      <c r="P13" s="55"/>
      <c r="Q13" s="55"/>
      <c r="R13" s="55"/>
      <c r="S13" s="36" t="s">
        <v>41</v>
      </c>
      <c r="T13" s="36" t="s">
        <v>42</v>
      </c>
      <c r="U13" s="36" t="s">
        <v>41</v>
      </c>
      <c r="V13" s="36" t="s">
        <v>42</v>
      </c>
      <c r="AD13" s="94" t="s">
        <v>64</v>
      </c>
      <c r="AE13" s="21"/>
      <c r="AF13" s="21"/>
      <c r="AG13" s="21"/>
      <c r="AH13" s="21"/>
      <c r="AI13" s="113" t="s">
        <v>44</v>
      </c>
      <c r="AJ13" s="21"/>
      <c r="AK13" s="21"/>
      <c r="AL13" s="21"/>
      <c r="AM13" s="21"/>
      <c r="AN13" s="21"/>
      <c r="AO13" s="101"/>
      <c r="AP13" s="94"/>
      <c r="AQ13" s="21"/>
      <c r="AR13" s="21"/>
      <c r="AS13" s="21"/>
      <c r="AT13" s="21"/>
      <c r="AU13" s="113" t="s">
        <v>44</v>
      </c>
      <c r="AV13" s="21"/>
      <c r="AW13" s="21"/>
      <c r="AX13" s="21"/>
      <c r="AY13" s="21"/>
      <c r="AZ13" s="21"/>
      <c r="BA13" s="101"/>
      <c r="BC13" s="178">
        <f>_xll.qlCalendarAdvance(Calendar,BC12,"1d","mf",,Trigger)</f>
        <v>42149</v>
      </c>
      <c r="BD13" s="41">
        <f>_xll.qlDayCounterYearFraction(DayCounter,SettlementDate,BC13,,,Trigger)</f>
        <v>3.0555555555555555E-2</v>
      </c>
      <c r="BE13" s="47">
        <f>_xll.qlPolynomialFunctionValue(BE$1,$BD13,AllTriggers)</f>
        <v>1.7203281051812161E-3</v>
      </c>
      <c r="BF13" s="47">
        <f>_xll.qlPolynomialFunctionValue(BF$1,$BD13,AllTriggers)</f>
        <v>1.7051598090805909E-3</v>
      </c>
      <c r="BG13" s="47">
        <f>_xll.qlPolynomialFunctionValue(BG$1,$BD13,AllTriggers)</f>
        <v>1.7366437016365522E-3</v>
      </c>
      <c r="BH13" s="47">
        <f>_xll.qlPolynomialFunctionValue(BH$1,$BD13,AllTriggers)</f>
        <v>1.6076721505257855E-3</v>
      </c>
      <c r="BI13" s="47">
        <f>_xll.qlPolynomialFunctionValue(BI$1,$BD13,AllTriggers)</f>
        <v>1.7154826043477051E-3</v>
      </c>
      <c r="BJ13" s="47">
        <f>_xll.qlPolynomialFunctionValue(BJ$1,$BD13,AllTriggers)</f>
        <v>1.6942575219062311E-3</v>
      </c>
      <c r="BK13" s="47">
        <f>_xll.qlPolynomialFunctionValue(BK$1,$BD13,AllTriggers)</f>
        <v>1.7405839188168091E-3</v>
      </c>
      <c r="BL13" s="47">
        <f>_xll.qlPolynomialFunctionValue(BL$1,$BD13,AllTriggers)</f>
        <v>1.6169650697990512E-3</v>
      </c>
      <c r="BM13" s="47">
        <f>_xll.qlPolynomialFunctionValue(BM$1,$BD13,AllTriggers)</f>
        <v>1.7425562918581426E-3</v>
      </c>
      <c r="BN13" s="47">
        <f>_xll.qlPolynomialFunctionValue(BN$1,$BD13,AllTriggers)</f>
        <v>1.7396985587044328E-3</v>
      </c>
      <c r="BO13" s="47">
        <f>_xll.qlPolynomialFunctionValue(BO$1,$BD13,AllTriggers)</f>
        <v>1.7535603227327497E-3</v>
      </c>
      <c r="BP13" s="47">
        <f>_xll.qlPolynomialFunctionValue(BP$1,$BD13,AllTriggers)</f>
        <v>1.8251937870786869E-3</v>
      </c>
      <c r="BQ13" s="47">
        <f>_xll.qlPolynomialFunctionValue('6MSynthDepo_used'!$P$18,BD13,AllTriggers)</f>
        <v>1.7120181918774231E-3</v>
      </c>
    </row>
    <row r="14" spans="1:69" ht="12" customHeight="1" x14ac:dyDescent="0.2">
      <c r="A14" s="19">
        <f>A3</f>
        <v>0</v>
      </c>
      <c r="B14" s="55">
        <f t="shared" ref="B14:B20" si="8">A14+SUBSTITUTE($D$24,"M","")</f>
        <v>6</v>
      </c>
      <c r="C14" s="171" t="str">
        <f>"B"&amp;$D$24&amp;"_"&amp;A14&amp;"X"&amp;B14&amp;$D$28</f>
        <v>B6M_0X6ESTIMATED</v>
      </c>
      <c r="D14" s="186">
        <f>SettlementDate</f>
        <v>42138</v>
      </c>
      <c r="E14" s="186">
        <f>_xll.qlInterestRateIndexMaturity($D$25,D14)</f>
        <v>42324</v>
      </c>
      <c r="F14" s="172">
        <f>_xll.qlIndexFixing(ON_6M_index,_xll.qlInterestRateIndexFixingDate(ON_6M_index,D14,Trigger),,AllTriggers)</f>
        <v>-1.1632423478286258E-3</v>
      </c>
      <c r="G14" s="172">
        <f>H14+F14</f>
        <v>6.5791999173084727E-4</v>
      </c>
      <c r="H14" s="226">
        <f>_xll.qlQuoteValue(C14,_xll.ohTrigger(InterestRatesTrigger,'6MSynthDepo_used'!E3))</f>
        <v>1.8211623395594731E-3</v>
      </c>
      <c r="I14" s="173">
        <f>_xll.qlDayCounterYearFraction(DayCounter,SettlementDate,D14,,,Trigger)</f>
        <v>0</v>
      </c>
      <c r="J14" s="244">
        <f>IF(($E$14-SettlementDate)-($D14-SettlementDate)&lt;0,0,($E$14-SettlementDate)-($D14-SettlementDate))</f>
        <v>186</v>
      </c>
      <c r="P14" s="55"/>
      <c r="Q14" s="55"/>
      <c r="R14" s="55"/>
      <c r="S14" s="174" t="b">
        <v>1</v>
      </c>
      <c r="T14" s="174" t="b">
        <v>1</v>
      </c>
      <c r="U14" s="174" t="b">
        <v>0</v>
      </c>
      <c r="V14" s="174" t="b">
        <v>0</v>
      </c>
      <c r="AD14" s="94"/>
      <c r="AE14" s="27">
        <f t="array" ref="AE14:AE16">_xll.ohFilter(L3:L9,T3:T9)</f>
        <v>0</v>
      </c>
      <c r="AF14" s="31">
        <f t="array" ref="AF14:AF16">_xll.ohFilter(K3:K9,T3:T9)</f>
        <v>0</v>
      </c>
      <c r="AG14" s="28">
        <f t="array" ref="AG14:AG16">_xll.ohFilter(J3:J9,T3:T9)</f>
        <v>1</v>
      </c>
      <c r="AH14" s="280" t="s">
        <v>20</v>
      </c>
      <c r="AI14" s="29">
        <f t="array" ref="AI14:AI16">MMULT(AL14:AN16,AK14:AK16)</f>
        <v>-3.0406978726080225E-4</v>
      </c>
      <c r="AJ14" s="280" t="s">
        <v>21</v>
      </c>
      <c r="AK14" s="56">
        <f t="array" ref="AK14:AK16">_xll.ohFilter(H3:H9,T3:T9)</f>
        <v>1.8211623395594731E-3</v>
      </c>
      <c r="AL14" s="27">
        <f t="array" ref="AL14:AN16">MINVERSE(AE14:AG16)</f>
        <v>66.393442622950829</v>
      </c>
      <c r="AM14" s="31">
        <v>-139.65517241379308</v>
      </c>
      <c r="AN14" s="28">
        <v>73.261729790842267</v>
      </c>
      <c r="AO14" s="101"/>
      <c r="AP14" s="94"/>
      <c r="AQ14" s="27">
        <f t="array" ref="AQ14:AQ16">_xll.ohFilter(R3:R9,T3:T9)</f>
        <v>4.5973765432098773E-2</v>
      </c>
      <c r="AR14" s="31">
        <f t="array" ref="AR14:AR16">_xll.ohFilter(Q3:Q9,T3:T9)</f>
        <v>0.13347222222222224</v>
      </c>
      <c r="AS14" s="28">
        <f t="array" ref="AS14:AS16">_xll.ohFilter(P3:P9,T3:T9)</f>
        <v>0.51666666666666672</v>
      </c>
      <c r="AT14" s="280" t="s">
        <v>20</v>
      </c>
      <c r="AU14" s="29">
        <f t="array" ref="AU14:AU16">MMULT(AX14:AZ16,AW14:AW16)</f>
        <v>-4.5139121829193551E-4</v>
      </c>
      <c r="AV14" s="280" t="s">
        <v>21</v>
      </c>
      <c r="AW14" s="56">
        <f t="array" ref="AW14:AW16">_xll.ohFilter(M3:M9,T3:T9)</f>
        <v>9.410567919466708E-4</v>
      </c>
      <c r="AX14" s="27">
        <f t="array" ref="AX14:AZ16">MINVERSE(AQ14:AS16)</f>
        <v>128.38044620383519</v>
      </c>
      <c r="AY14" s="31">
        <v>-265.39330918492169</v>
      </c>
      <c r="AZ14" s="28">
        <v>134.17506840721367</v>
      </c>
      <c r="BA14" s="101"/>
      <c r="BC14" s="178">
        <f>_xll.qlCalendarAdvance(Calendar,BC13,"1d","mf",,Trigger)</f>
        <v>42150</v>
      </c>
      <c r="BD14" s="41">
        <f>_xll.qlDayCounterYearFraction(DayCounter,SettlementDate,BC14,,,Trigger)</f>
        <v>3.3333333333333333E-2</v>
      </c>
      <c r="BE14" s="47">
        <f>_xll.qlPolynomialFunctionValue(BE$1,$BD14,AllTriggers)</f>
        <v>1.7215577909663166E-3</v>
      </c>
      <c r="BF14" s="47">
        <f>_xll.qlPolynomialFunctionValue(BF$1,$BD14,AllTriggers)</f>
        <v>1.7068470072770792E-3</v>
      </c>
      <c r="BG14" s="47">
        <f>_xll.qlPolynomialFunctionValue(BG$1,$BD14,AllTriggers)</f>
        <v>1.7377302681545008E-3</v>
      </c>
      <c r="BH14" s="47">
        <f>_xll.qlPolynomialFunctionValue(BH$1,$BD14,AllTriggers)</f>
        <v>1.6112191624632404E-3</v>
      </c>
      <c r="BI14" s="47">
        <f>_xll.qlPolynomialFunctionValue(BI$1,$BD14,AllTriggers)</f>
        <v>1.7167742828614822E-3</v>
      </c>
      <c r="BJ14" s="47">
        <f>_xll.qlPolynomialFunctionValue(BJ$1,$BD14,AllTriggers)</f>
        <v>1.6962126180689323E-3</v>
      </c>
      <c r="BK14" s="47">
        <f>_xll.qlPolynomialFunctionValue(BK$1,$BD14,AllTriggers)</f>
        <v>1.7416524745353054E-3</v>
      </c>
      <c r="BL14" s="47">
        <f>_xll.qlPolynomialFunctionValue(BL$1,$BD14,AllTriggers)</f>
        <v>1.6203992985814779E-3</v>
      </c>
      <c r="BM14" s="47">
        <f>_xll.qlPolynomialFunctionValue(BM$1,$BD14,AllTriggers)</f>
        <v>1.7435536561140588E-3</v>
      </c>
      <c r="BN14" s="47">
        <f>_xll.qlPolynomialFunctionValue(BN$1,$BD14,AllTriggers)</f>
        <v>1.740746908243753E-3</v>
      </c>
      <c r="BO14" s="47">
        <f>_xll.qlPolynomialFunctionValue(BO$1,$BD14,AllTriggers)</f>
        <v>1.7544946176410335E-3</v>
      </c>
      <c r="BP14" s="47">
        <f>_xll.qlPolynomialFunctionValue(BP$1,$BD14,AllTriggers)</f>
        <v>1.8251012022574146E-3</v>
      </c>
      <c r="BQ14" s="47">
        <f>_xll.qlPolynomialFunctionValue('6MSynthDepo_used'!$P$18,BD14,AllTriggers)</f>
        <v>1.7135918124067324E-3</v>
      </c>
    </row>
    <row r="15" spans="1:69" ht="12" customHeight="1" x14ac:dyDescent="0.2">
      <c r="A15" s="21">
        <f t="shared" ref="A15:A20" si="9">A4</f>
        <v>1</v>
      </c>
      <c r="B15" s="55">
        <f t="shared" si="8"/>
        <v>7</v>
      </c>
      <c r="C15" s="39" t="str">
        <f t="shared" ref="C15:C20" si="10">"B"&amp;$D$24&amp;"_"&amp;A15&amp;"X"&amp;B15</f>
        <v>B6M_1X7</v>
      </c>
      <c r="D15" s="177">
        <f>_xll.qlCalendarAdvance(Calendar,SettlementDate,A15&amp;"M","mf")</f>
        <v>42170</v>
      </c>
      <c r="E15" s="177">
        <f>_xll.qlInterestRateIndexMaturity($D$25,D15)</f>
        <v>42353</v>
      </c>
      <c r="F15" s="53">
        <f>_xll.qlIndexFixing(ON_6M_index,_xll.qlInterestRateIndexFixingDate(ON_6M_index,D15,Trigger),,AllTriggers)</f>
        <v>-1.2305122846826952E-3</v>
      </c>
      <c r="G15" s="53">
        <f t="shared" ref="G15:G20" si="11">H15+F15</f>
        <v>6.3000000000000013E-4</v>
      </c>
      <c r="H15" s="202">
        <f>_xll.qlQuoteValue(C15,_xll.ohTrigger(InterestRatesTrigger,'6MSynthDepo_used'!E4))</f>
        <v>1.8605122846826953E-3</v>
      </c>
      <c r="I15" s="41">
        <f>_xll.qlDayCounterYearFraction(DayCounter,SettlementDate,D15,,,Trigger)</f>
        <v>8.8888888888888892E-2</v>
      </c>
      <c r="J15" s="242">
        <f>IF(($E$14-SettlementDate)-($D15-SettlementDate)&lt;0,0,($E$14-SettlementDate)-($D15-SettlementDate))</f>
        <v>154</v>
      </c>
      <c r="P15" s="55"/>
      <c r="Q15" s="55"/>
      <c r="R15" s="55"/>
      <c r="S15" s="114" t="b">
        <v>1</v>
      </c>
      <c r="T15" s="114" t="b">
        <v>1</v>
      </c>
      <c r="U15" s="114" t="b">
        <v>1</v>
      </c>
      <c r="V15" s="114" t="b">
        <v>1</v>
      </c>
      <c r="AD15" s="94"/>
      <c r="AE15" s="27">
        <v>7.9012345679012348E-3</v>
      </c>
      <c r="AF15" s="31">
        <v>8.8888888888888892E-2</v>
      </c>
      <c r="AG15" s="28">
        <v>1</v>
      </c>
      <c r="AH15" s="280"/>
      <c r="AI15" s="29">
        <v>4.6971530817054193E-4</v>
      </c>
      <c r="AJ15" s="280"/>
      <c r="AK15" s="56">
        <v>1.8605122846826953E-3</v>
      </c>
      <c r="AL15" s="27">
        <v>-17.151639344262296</v>
      </c>
      <c r="AM15" s="31">
        <v>23.663793103448274</v>
      </c>
      <c r="AN15" s="28">
        <v>-6.5121537591859795</v>
      </c>
      <c r="AO15" s="101"/>
      <c r="AP15" s="94"/>
      <c r="AQ15" s="27">
        <v>7.0770511831275709E-2</v>
      </c>
      <c r="AR15" s="31">
        <v>0.17438657407407404</v>
      </c>
      <c r="AS15" s="28">
        <v>0.5083333333333333</v>
      </c>
      <c r="AT15" s="280"/>
      <c r="AU15" s="29">
        <v>7.3267350196333514E-4</v>
      </c>
      <c r="AV15" s="280"/>
      <c r="AW15" s="56">
        <v>9.4590485555004445E-4</v>
      </c>
      <c r="AX15" s="27">
        <v>-98.97302321590081</v>
      </c>
      <c r="AY15" s="31">
        <v>180.59441309427663</v>
      </c>
      <c r="AZ15" s="28">
        <v>-79.564104772255789</v>
      </c>
      <c r="BA15" s="101"/>
      <c r="BC15" s="178">
        <f>_xll.qlCalendarAdvance(Calendar,BC14,"1d","mf",,Trigger)</f>
        <v>42151</v>
      </c>
      <c r="BD15" s="41">
        <f>_xll.qlDayCounterYearFraction(DayCounter,SettlementDate,BC15,,,Trigger)</f>
        <v>3.6111111111111108E-2</v>
      </c>
      <c r="BE15" s="47">
        <f>_xll.qlPolynomialFunctionValue(BE$1,$BD15,AllTriggers)</f>
        <v>1.7227874767514174E-3</v>
      </c>
      <c r="BF15" s="47">
        <f>_xll.qlPolynomialFunctionValue(BF$1,$BD15,AllTriggers)</f>
        <v>1.7085295130385791E-3</v>
      </c>
      <c r="BG15" s="47">
        <f>_xll.qlPolynomialFunctionValue(BG$1,$BD15,AllTriggers)</f>
        <v>1.7388168346724494E-3</v>
      </c>
      <c r="BH15" s="47">
        <f>_xll.qlPolynomialFunctionValue(BH$1,$BD15,AllTriggers)</f>
        <v>1.6147469521708556E-3</v>
      </c>
      <c r="BI15" s="47">
        <f>_xll.qlPolynomialFunctionValue(BI$1,$BD15,AllTriggers)</f>
        <v>1.7180659613752593E-3</v>
      </c>
      <c r="BJ15" s="47">
        <f>_xll.qlPolynomialFunctionValue(BJ$1,$BD15,AllTriggers)</f>
        <v>1.6981607483177712E-3</v>
      </c>
      <c r="BK15" s="47">
        <f>_xll.qlPolynomialFunctionValue(BK$1,$BD15,AllTriggers)</f>
        <v>1.7427210302538014E-3</v>
      </c>
      <c r="BL15" s="47">
        <f>_xll.qlPolynomialFunctionValue(BL$1,$BD15,AllTriggers)</f>
        <v>1.623814939295083E-3</v>
      </c>
      <c r="BM15" s="47">
        <f>_xll.qlPolynomialFunctionValue(BM$1,$BD15,AllTriggers)</f>
        <v>1.744551020369975E-3</v>
      </c>
      <c r="BN15" s="47">
        <f>_xll.qlPolynomialFunctionValue(BN$1,$BD15,AllTriggers)</f>
        <v>1.7417949093619606E-3</v>
      </c>
      <c r="BO15" s="47">
        <f>_xll.qlPolynomialFunctionValue(BO$1,$BD15,AllTriggers)</f>
        <v>1.7554289125493172E-3</v>
      </c>
      <c r="BP15" s="47">
        <f>_xll.qlPolynomialFunctionValue(BP$1,$BD15,AllTriggers)</f>
        <v>1.825014822582979E-3</v>
      </c>
      <c r="BQ15" s="47">
        <f>_xll.qlPolynomialFunctionValue('6MSynthDepo_used'!$P$18,BD15,AllTriggers)</f>
        <v>1.7151608060310751E-3</v>
      </c>
    </row>
    <row r="16" spans="1:69" ht="12" customHeight="1" x14ac:dyDescent="0.2">
      <c r="A16" s="21">
        <f t="shared" si="9"/>
        <v>2</v>
      </c>
      <c r="B16" s="55">
        <f t="shared" si="8"/>
        <v>8</v>
      </c>
      <c r="C16" s="39" t="str">
        <f t="shared" si="10"/>
        <v>B6M_2X8</v>
      </c>
      <c r="D16" s="177">
        <f>_xll.qlCalendarAdvance(Calendar,SettlementDate,A16&amp;"M","mf")</f>
        <v>42199</v>
      </c>
      <c r="E16" s="177">
        <f>_xll.qlInterestRateIndexMaturity($D$25,D16)</f>
        <v>42383</v>
      </c>
      <c r="F16" s="53">
        <f>_xll.qlIndexFixing(ON_6M_index,_xll.qlInterestRateIndexFixingDate(ON_6M_index,D16,Trigger),,AllTriggers)</f>
        <v>-1.2520227137032052E-3</v>
      </c>
      <c r="G16" s="53">
        <f t="shared" si="11"/>
        <v>6.3999999999999994E-4</v>
      </c>
      <c r="H16" s="202">
        <f>_xll.qlQuoteValue(C16,_xll.ohTrigger(InterestRatesTrigger,'6MSynthDepo_used'!E5))</f>
        <v>1.8920227137032052E-3</v>
      </c>
      <c r="I16" s="41">
        <f>_xll.qlDayCounterYearFraction(DayCounter,SettlementDate,D16,,,Trigger)</f>
        <v>0.16944444444444445</v>
      </c>
      <c r="J16" s="242">
        <f>IF(($E$14-SettlementDate)-($D16-SettlementDate)&lt;0,0,($E$14-SettlementDate)-($D16-SettlementDate))</f>
        <v>125</v>
      </c>
      <c r="P16" s="55"/>
      <c r="Q16" s="55"/>
      <c r="R16" s="55"/>
      <c r="S16" s="114" t="b">
        <v>1</v>
      </c>
      <c r="T16" s="114" t="b">
        <v>1</v>
      </c>
      <c r="U16" s="114" t="b">
        <v>1</v>
      </c>
      <c r="V16" s="114" t="b">
        <v>1</v>
      </c>
      <c r="AD16" s="94"/>
      <c r="AE16" s="27">
        <v>2.8711419753086422E-2</v>
      </c>
      <c r="AF16" s="31">
        <v>0.16944444444444445</v>
      </c>
      <c r="AG16" s="28">
        <v>1</v>
      </c>
      <c r="AH16" s="280"/>
      <c r="AI16" s="29">
        <v>1.8211623395594731E-3</v>
      </c>
      <c r="AJ16" s="280"/>
      <c r="AK16" s="56">
        <v>1.8920227137032052E-3</v>
      </c>
      <c r="AL16" s="27">
        <v>1</v>
      </c>
      <c r="AM16" s="31">
        <v>0</v>
      </c>
      <c r="AN16" s="28">
        <v>0</v>
      </c>
      <c r="AO16" s="101"/>
      <c r="AP16" s="94"/>
      <c r="AQ16" s="27">
        <v>0.10344610196616372</v>
      </c>
      <c r="AR16" s="31">
        <v>0.21722222222222223</v>
      </c>
      <c r="AS16" s="28">
        <v>0.51111111111111107</v>
      </c>
      <c r="AT16" s="280"/>
      <c r="AU16" s="29">
        <v>1.6722917138015901E-3</v>
      </c>
      <c r="AV16" s="280"/>
      <c r="AW16" s="56">
        <v>9.6718518020878026E-4</v>
      </c>
      <c r="AX16" s="27">
        <v>16.080032571937895</v>
      </c>
      <c r="AY16" s="31">
        <v>-23.038466889474265</v>
      </c>
      <c r="AZ16" s="28">
        <v>8.6149640347464196</v>
      </c>
      <c r="BA16" s="101"/>
      <c r="BC16" s="178">
        <f>_xll.qlCalendarAdvance(Calendar,BC15,"1d","mf",,Trigger)</f>
        <v>42152</v>
      </c>
      <c r="BD16" s="41">
        <f>_xll.qlDayCounterYearFraction(DayCounter,SettlementDate,BC16,,,Trigger)</f>
        <v>3.888888888888889E-2</v>
      </c>
      <c r="BE16" s="47">
        <f>_xll.qlPolynomialFunctionValue(BE$1,$BD16,AllTriggers)</f>
        <v>1.7240171625365181E-3</v>
      </c>
      <c r="BF16" s="47">
        <f>_xll.qlPolynomialFunctionValue(BF$1,$BD16,AllTriggers)</f>
        <v>1.7102073263650904E-3</v>
      </c>
      <c r="BG16" s="47">
        <f>_xll.qlPolynomialFunctionValue(BG$1,$BD16,AllTriggers)</f>
        <v>1.7399034011903981E-3</v>
      </c>
      <c r="BH16" s="47">
        <f>_xll.qlPolynomialFunctionValue(BH$1,$BD16,AllTriggers)</f>
        <v>1.6182555196486309E-3</v>
      </c>
      <c r="BI16" s="47">
        <f>_xll.qlPolynomialFunctionValue(BI$1,$BD16,AllTriggers)</f>
        <v>1.7193576398890364E-3</v>
      </c>
      <c r="BJ16" s="47">
        <f>_xll.qlPolynomialFunctionValue(BJ$1,$BD16,AllTriggers)</f>
        <v>1.7001019126527475E-3</v>
      </c>
      <c r="BK16" s="47">
        <f>_xll.qlPolynomialFunctionValue(BK$1,$BD16,AllTriggers)</f>
        <v>1.7437895859722977E-3</v>
      </c>
      <c r="BL16" s="47">
        <f>_xll.qlPolynomialFunctionValue(BL$1,$BD16,AllTriggers)</f>
        <v>1.6272119919398661E-3</v>
      </c>
      <c r="BM16" s="47">
        <f>_xll.qlPolynomialFunctionValue(BM$1,$BD16,AllTriggers)</f>
        <v>1.7455483846258912E-3</v>
      </c>
      <c r="BN16" s="47">
        <f>_xll.qlPolynomialFunctionValue(BN$1,$BD16,AllTriggers)</f>
        <v>1.7428425620590556E-3</v>
      </c>
      <c r="BO16" s="47">
        <f>_xll.qlPolynomialFunctionValue(BO$1,$BD16,AllTriggers)</f>
        <v>1.7563632074576007E-3</v>
      </c>
      <c r="BP16" s="47">
        <f>_xll.qlPolynomialFunctionValue(BP$1,$BD16,AllTriggers)</f>
        <v>1.8249346480553798E-3</v>
      </c>
      <c r="BQ16" s="47">
        <f>_xll.qlPolynomialFunctionValue('6MSynthDepo_used'!$P$18,BD16,AllTriggers)</f>
        <v>1.71672518318725E-3</v>
      </c>
    </row>
    <row r="17" spans="1:69" ht="12" customHeight="1" x14ac:dyDescent="0.2">
      <c r="A17" s="21">
        <f t="shared" si="9"/>
        <v>3</v>
      </c>
      <c r="B17" s="55">
        <f t="shared" si="8"/>
        <v>9</v>
      </c>
      <c r="C17" s="39" t="str">
        <f t="shared" si="10"/>
        <v>B6M_3X9</v>
      </c>
      <c r="D17" s="177">
        <f>_xll.qlCalendarAdvance(Calendar,SettlementDate,A17&amp;"M","mf")</f>
        <v>42230</v>
      </c>
      <c r="E17" s="177">
        <f>_xll.qlInterestRateIndexMaturity($D$25,D17)</f>
        <v>42415</v>
      </c>
      <c r="F17" s="53">
        <f>_xll.qlIndexFixing(ON_6M_index,_xll.qlInterestRateIndexFixingDate(ON_6M_index,D17,Trigger),,AllTriggers)</f>
        <v>-1.2678296020085104E-3</v>
      </c>
      <c r="G17" s="53">
        <f t="shared" si="11"/>
        <v>6.4000000000000016E-4</v>
      </c>
      <c r="H17" s="202">
        <f>_xll.qlQuoteValue(C17,_xll.ohTrigger(InterestRatesTrigger,'6MSynthDepo_used'!E6))</f>
        <v>1.9078296020085105E-3</v>
      </c>
      <c r="I17" s="41">
        <f>_xll.qlDayCounterYearFraction(DayCounter,SettlementDate,D17,,,Trigger)</f>
        <v>0.25555555555555554</v>
      </c>
      <c r="J17" s="242">
        <f>IF(($E$14-SettlementDate)-($D17-SettlementDate)&lt;0,0,($E$14-SettlementDate)-($D17-SettlementDate))</f>
        <v>94</v>
      </c>
      <c r="P17" s="55"/>
      <c r="Q17" s="55"/>
      <c r="R17" s="55"/>
      <c r="S17" s="114" t="b">
        <v>1</v>
      </c>
      <c r="T17" s="114" t="b">
        <v>1</v>
      </c>
      <c r="U17" s="114" t="b">
        <v>1</v>
      </c>
      <c r="V17" s="114" t="b">
        <v>1</v>
      </c>
      <c r="AD17" s="94"/>
      <c r="AE17" s="21"/>
      <c r="AF17" s="21"/>
      <c r="AG17" s="21"/>
      <c r="AH17" s="21"/>
      <c r="AI17" s="111"/>
      <c r="AJ17" s="33"/>
      <c r="AK17" s="22"/>
      <c r="AL17" s="21"/>
      <c r="AM17" s="21"/>
      <c r="AN17" s="21"/>
      <c r="AO17" s="101"/>
      <c r="AP17" s="94"/>
      <c r="AQ17" s="21"/>
      <c r="AR17" s="21"/>
      <c r="AS17" s="21"/>
      <c r="AT17" s="21"/>
      <c r="AU17" s="111"/>
      <c r="AV17" s="33"/>
      <c r="AW17" s="22"/>
      <c r="AX17" s="21"/>
      <c r="AY17" s="21"/>
      <c r="AZ17" s="21"/>
      <c r="BA17" s="101"/>
      <c r="BC17" s="178">
        <f>_xll.qlCalendarAdvance(Calendar,BC16,"1d","mf",,Trigger)</f>
        <v>42153</v>
      </c>
      <c r="BD17" s="41">
        <f>_xll.qlDayCounterYearFraction(DayCounter,SettlementDate,BC17,,,Trigger)</f>
        <v>4.1666666666666664E-2</v>
      </c>
      <c r="BE17" s="47">
        <f>_xll.qlPolynomialFunctionValue(BE$1,$BD17,AllTriggers)</f>
        <v>1.7252468483216188E-3</v>
      </c>
      <c r="BF17" s="47">
        <f>_xll.qlPolynomialFunctionValue(BF$1,$BD17,AllTriggers)</f>
        <v>1.7118804472566131E-3</v>
      </c>
      <c r="BG17" s="47">
        <f>_xll.qlPolynomialFunctionValue(BG$1,$BD17,AllTriggers)</f>
        <v>1.7409899677083467E-3</v>
      </c>
      <c r="BH17" s="47">
        <f>_xll.qlPolynomialFunctionValue(BH$1,$BD17,AllTriggers)</f>
        <v>1.6217448648965661E-3</v>
      </c>
      <c r="BI17" s="47">
        <f>_xll.qlPolynomialFunctionValue(BI$1,$BD17,AllTriggers)</f>
        <v>1.7206493184028135E-3</v>
      </c>
      <c r="BJ17" s="47">
        <f>_xll.qlPolynomialFunctionValue(BJ$1,$BD17,AllTriggers)</f>
        <v>1.7020361110738611E-3</v>
      </c>
      <c r="BK17" s="47">
        <f>_xll.qlPolynomialFunctionValue(BK$1,$BD17,AllTriggers)</f>
        <v>1.7448581416907938E-3</v>
      </c>
      <c r="BL17" s="47">
        <f>_xll.qlPolynomialFunctionValue(BL$1,$BD17,AllTriggers)</f>
        <v>1.6305904565158272E-3</v>
      </c>
      <c r="BM17" s="47">
        <f>_xll.qlPolynomialFunctionValue(BM$1,$BD17,AllTriggers)</f>
        <v>1.7465457488818074E-3</v>
      </c>
      <c r="BN17" s="47">
        <f>_xll.qlPolynomialFunctionValue(BN$1,$BD17,AllTriggers)</f>
        <v>1.7438898663350382E-3</v>
      </c>
      <c r="BO17" s="47">
        <f>_xll.qlPolynomialFunctionValue(BO$1,$BD17,AllTriggers)</f>
        <v>1.7572975023658845E-3</v>
      </c>
      <c r="BP17" s="47">
        <f>_xll.qlPolynomialFunctionValue(BP$1,$BD17,AllTriggers)</f>
        <v>1.8248606786746167E-3</v>
      </c>
      <c r="BQ17" s="47">
        <f>_xll.qlPolynomialFunctionValue('6MSynthDepo_used'!$P$18,BD17,AllTriggers)</f>
        <v>1.7182849543120563E-3</v>
      </c>
    </row>
    <row r="18" spans="1:69" ht="12" customHeight="1" x14ac:dyDescent="0.2">
      <c r="A18" s="21">
        <f t="shared" si="9"/>
        <v>4</v>
      </c>
      <c r="B18" s="55">
        <f t="shared" si="8"/>
        <v>10</v>
      </c>
      <c r="C18" s="39" t="str">
        <f t="shared" si="10"/>
        <v>B6M_4X10</v>
      </c>
      <c r="D18" s="177">
        <f>_xll.qlCalendarAdvance(Calendar,SettlementDate,A18&amp;"M","mf")</f>
        <v>42261</v>
      </c>
      <c r="E18" s="177">
        <f>_xll.qlInterestRateIndexMaturity($D$25,D18)</f>
        <v>42443</v>
      </c>
      <c r="F18" s="53">
        <f>_xll.qlIndexFixing(ON_6M_index,_xll.qlInterestRateIndexFixingDate(ON_6M_index,D18,Trigger),,AllTriggers)</f>
        <v>-1.2863441141031473E-3</v>
      </c>
      <c r="G18" s="53">
        <f t="shared" si="11"/>
        <v>6.4999999999999997E-4</v>
      </c>
      <c r="H18" s="202">
        <f>_xll.qlQuoteValue(C18,_xll.ohTrigger(InterestRatesTrigger,'6MSynthDepo_used'!E7))</f>
        <v>1.9363441141031473E-3</v>
      </c>
      <c r="I18" s="41">
        <f>_xll.qlDayCounterYearFraction(DayCounter,SettlementDate,D18,,,Trigger)</f>
        <v>0.34166666666666667</v>
      </c>
      <c r="J18" s="242">
        <f>IF(($E$14-SettlementDate)-($D18-SettlementDate)&lt;0,0,($E$14-SettlementDate)-($D18-SettlementDate))</f>
        <v>63</v>
      </c>
      <c r="P18" s="55"/>
      <c r="Q18" s="55"/>
      <c r="R18" s="55"/>
      <c r="S18" s="114" t="b">
        <v>1</v>
      </c>
      <c r="T18" s="114" t="b">
        <v>1</v>
      </c>
      <c r="U18" s="114" t="b">
        <v>1</v>
      </c>
      <c r="V18" s="114" t="b">
        <v>1</v>
      </c>
      <c r="AD18" s="94" t="s">
        <v>65</v>
      </c>
      <c r="AE18" s="21"/>
      <c r="AF18" s="21"/>
      <c r="AG18" s="21"/>
      <c r="AH18" s="21"/>
      <c r="AI18" s="113" t="s">
        <v>44</v>
      </c>
      <c r="AJ18" s="21"/>
      <c r="AK18" s="21"/>
      <c r="AL18" s="21"/>
      <c r="AM18" s="21"/>
      <c r="AN18" s="21"/>
      <c r="AO18" s="101"/>
      <c r="AP18" s="94"/>
      <c r="AQ18" s="21"/>
      <c r="AR18" s="21"/>
      <c r="AS18" s="21"/>
      <c r="AT18" s="21"/>
      <c r="AU18" s="113" t="s">
        <v>44</v>
      </c>
      <c r="AV18" s="21"/>
      <c r="AW18" s="21"/>
      <c r="AX18" s="21"/>
      <c r="AY18" s="21"/>
      <c r="AZ18" s="21"/>
      <c r="BA18" s="101"/>
      <c r="BC18" s="178">
        <f>_xll.qlCalendarAdvance(Calendar,BC17,"1d","mf",,Trigger)</f>
        <v>42156</v>
      </c>
      <c r="BD18" s="41">
        <f>_xll.qlDayCounterYearFraction(DayCounter,SettlementDate,BC18,,,Trigger)</f>
        <v>0.05</v>
      </c>
      <c r="BE18" s="47">
        <f>_xll.qlPolynomialFunctionValue(BE$1,$BD18,AllTriggers)</f>
        <v>1.7289359056769208E-3</v>
      </c>
      <c r="BF18" s="47">
        <f>_xll.qlPolynomialFunctionValue(BF$1,$BD18,AllTriggers)</f>
        <v>1.7168716553212495E-3</v>
      </c>
      <c r="BG18" s="47">
        <f>_xll.qlPolynomialFunctionValue(BG$1,$BD18,AllTriggers)</f>
        <v>1.7442496672621926E-3</v>
      </c>
      <c r="BH18" s="47">
        <f>_xll.qlPolynomialFunctionValue(BH$1,$BD18,AllTriggers)</f>
        <v>1.6320975672613328E-3</v>
      </c>
      <c r="BI18" s="47">
        <f>_xll.qlPolynomialFunctionValue(BI$1,$BD18,AllTriggers)</f>
        <v>1.7245243539441449E-3</v>
      </c>
      <c r="BJ18" s="47">
        <f>_xll.qlPolynomialFunctionValue(BJ$1,$BD18,AllTriggers)</f>
        <v>1.7077969108540269E-3</v>
      </c>
      <c r="BK18" s="47">
        <f>_xll.qlPolynomialFunctionValue(BK$1,$BD18,AllTriggers)</f>
        <v>1.7480638088462823E-3</v>
      </c>
      <c r="BL18" s="47">
        <f>_xll.qlPolynomialFunctionValue(BL$1,$BD18,AllTriggers)</f>
        <v>1.6406143218307798E-3</v>
      </c>
      <c r="BM18" s="47">
        <f>_xll.qlPolynomialFunctionValue(BM$1,$BD18,AllTriggers)</f>
        <v>1.7495378416495558E-3</v>
      </c>
      <c r="BN18" s="47">
        <f>_xll.qlPolynomialFunctionValue(BN$1,$BD18,AllTriggers)</f>
        <v>1.7470296886363109E-3</v>
      </c>
      <c r="BO18" s="47">
        <f>_xll.qlPolynomialFunctionValue(BO$1,$BD18,AllTriggers)</f>
        <v>1.7601003870907355E-3</v>
      </c>
      <c r="BP18" s="47">
        <f>_xll.qlPolynomialFunctionValue(BP$1,$BD18,AllTriggers)</f>
        <v>1.8246760014133463E-3</v>
      </c>
      <c r="BQ18" s="47">
        <f>_xll.qlPolynomialFunctionValue('6MSynthDepo_used'!$P$18,BD18,AllTriggers)</f>
        <v>1.7229367358662477E-3</v>
      </c>
    </row>
    <row r="19" spans="1:69" ht="12" customHeight="1" x14ac:dyDescent="0.2">
      <c r="A19" s="21">
        <f t="shared" si="9"/>
        <v>5</v>
      </c>
      <c r="B19" s="55">
        <f t="shared" si="8"/>
        <v>11</v>
      </c>
      <c r="C19" s="39" t="str">
        <f t="shared" si="10"/>
        <v>B6M_5X11</v>
      </c>
      <c r="D19" s="177">
        <f>_xll.qlCalendarAdvance(Calendar,SettlementDate,A19&amp;"M","mf")</f>
        <v>42291</v>
      </c>
      <c r="E19" s="177">
        <f>_xll.qlInterestRateIndexMaturity($D$25,D19)</f>
        <v>42474</v>
      </c>
      <c r="F19" s="53">
        <f>_xll.qlIndexFixing(ON_6M_index,_xll.qlInterestRateIndexFixingDate(ON_6M_index,D19,Trigger),,AllTriggers)</f>
        <v>-1.3129880212073787E-3</v>
      </c>
      <c r="G19" s="53">
        <f t="shared" si="11"/>
        <v>6.8000000000000027E-4</v>
      </c>
      <c r="H19" s="202">
        <f>_xll.qlQuoteValue(C19,_xll.ohTrigger(InterestRatesTrigger,'6MSynthDepo_used'!E8))</f>
        <v>1.992988021207379E-3</v>
      </c>
      <c r="I19" s="41">
        <f>_xll.qlDayCounterYearFraction(DayCounter,SettlementDate,D19,,,Trigger)</f>
        <v>0.42499999999999999</v>
      </c>
      <c r="J19" s="242">
        <f>IF(($E$14-SettlementDate)-($D19-SettlementDate)&lt;0,0,($E$14-SettlementDate)-($D19-SettlementDate))</f>
        <v>33</v>
      </c>
      <c r="P19" s="55"/>
      <c r="Q19" s="55"/>
      <c r="R19" s="55"/>
      <c r="S19" s="114" t="b">
        <v>1</v>
      </c>
      <c r="T19" s="114" t="b">
        <v>1</v>
      </c>
      <c r="U19" s="114" t="b">
        <v>1</v>
      </c>
      <c r="V19" s="114" t="b">
        <v>1</v>
      </c>
      <c r="AD19" s="94"/>
      <c r="AE19" s="27">
        <f t="array" ref="AE19:AE21">_xll.ohFilter(L3:L9,V3:V9)</f>
        <v>7.9012345679012348E-3</v>
      </c>
      <c r="AF19" s="31">
        <f t="array" ref="AF19:AF21">_xll.ohFilter(K3:K9,V3:V9)</f>
        <v>8.8888888888888892E-2</v>
      </c>
      <c r="AG19" s="28">
        <f t="array" ref="AG19:AG21">_xll.ohFilter(J3:J9,V3:V9)</f>
        <v>1</v>
      </c>
      <c r="AH19" s="280" t="s">
        <v>20</v>
      </c>
      <c r="AI19" s="29">
        <f t="array" ref="AI19:AI21">MMULT(AL19:AN21,AK19:AK21)</f>
        <v>-1.2456004936250709E-3</v>
      </c>
      <c r="AJ19" s="280" t="s">
        <v>21</v>
      </c>
      <c r="AK19" s="56">
        <f t="array" ref="AK19:AK21">_xll.ohFilter(H3:H9,V3:V9)</f>
        <v>1.8605122846826953E-3</v>
      </c>
      <c r="AL19" s="27">
        <f t="array" ref="AL19:AN21">MINVERSE(AE19:AG21)</f>
        <v>74.482758620689708</v>
      </c>
      <c r="AM19" s="31">
        <v>-144.16017797552843</v>
      </c>
      <c r="AN19" s="28">
        <v>69.677419354838776</v>
      </c>
      <c r="AO19" s="101"/>
      <c r="AP19" s="94"/>
      <c r="AQ19" s="27">
        <f t="array" ref="AQ19:AQ21">_xll.ohFilter(R3:R9,V3:V9)</f>
        <v>7.0770511831275709E-2</v>
      </c>
      <c r="AR19" s="31">
        <f t="array" ref="AR19:AR21">_xll.ohFilter(Q3:Q9,V3:V9)</f>
        <v>0.17438657407407404</v>
      </c>
      <c r="AS19" s="28">
        <f t="array" ref="AS19:AS21">_xll.ohFilter(P3:P9,V3:V9)</f>
        <v>0.5083333333333333</v>
      </c>
      <c r="AT19" s="280" t="s">
        <v>20</v>
      </c>
      <c r="AU19" s="29">
        <f t="array" ref="AU19:AU21">MMULT(AX19:AZ21,AW19:AW21)</f>
        <v>-1.204506859656812E-3</v>
      </c>
      <c r="AV19" s="280" t="s">
        <v>21</v>
      </c>
      <c r="AW19" s="56">
        <f t="array" ref="AW19:AW21">_xll.ohFilter(M3:M9,V3:V9)</f>
        <v>9.4590485555004445E-4</v>
      </c>
      <c r="AX19" s="27">
        <f t="array" ref="AX19:AZ21">MINVERSE(AQ19:AS21)</f>
        <v>141.81943243046052</v>
      </c>
      <c r="AY19" s="31">
        <v>-273.14187788496076</v>
      </c>
      <c r="AZ19" s="28">
        <v>131.3791859246405</v>
      </c>
      <c r="BA19" s="101"/>
      <c r="BC19" s="178">
        <f>_xll.qlCalendarAdvance(Calendar,BC18,"1d","mf",,Trigger)</f>
        <v>42157</v>
      </c>
      <c r="BD19" s="41">
        <f>_xll.qlDayCounterYearFraction(DayCounter,SettlementDate,BC19,,,Trigger)</f>
        <v>5.2777777777777778E-2</v>
      </c>
      <c r="BE19" s="47">
        <f>_xll.qlPolynomialFunctionValue(BE$1,$BD19,AllTriggers)</f>
        <v>1.7301655914620216E-3</v>
      </c>
      <c r="BF19" s="47">
        <f>_xll.qlPolynomialFunctionValue(BF$1,$BD19,AllTriggers)</f>
        <v>1.7185260064728179E-3</v>
      </c>
      <c r="BG19" s="47">
        <f>_xll.qlPolynomialFunctionValue(BG$1,$BD19,AllTriggers)</f>
        <v>1.7453362337801412E-3</v>
      </c>
      <c r="BH19" s="47">
        <f>_xll.qlPolynomialFunctionValue(BH$1,$BD19,AllTriggers)</f>
        <v>1.6355100235899084E-3</v>
      </c>
      <c r="BI19" s="47">
        <f>_xll.qlPolynomialFunctionValue(BI$1,$BD19,AllTriggers)</f>
        <v>1.725816032457922E-3</v>
      </c>
      <c r="BJ19" s="47">
        <f>_xll.qlPolynomialFunctionValue(BJ$1,$BD19,AllTriggers)</f>
        <v>1.7097032456196907E-3</v>
      </c>
      <c r="BK19" s="47">
        <f>_xll.qlPolynomialFunctionValue(BK$1,$BD19,AllTriggers)</f>
        <v>1.7491323645647786E-3</v>
      </c>
      <c r="BL19" s="47">
        <f>_xll.qlPolynomialFunctionValue(BL$1,$BD19,AllTriggers)</f>
        <v>1.6439184341314535E-3</v>
      </c>
      <c r="BM19" s="47">
        <f>_xll.qlPolynomialFunctionValue(BM$1,$BD19,AllTriggers)</f>
        <v>1.750535205905472E-3</v>
      </c>
      <c r="BN19" s="47">
        <f>_xll.qlPolynomialFunctionValue(BN$1,$BD19,AllTriggers)</f>
        <v>1.7480755992278433E-3</v>
      </c>
      <c r="BO19" s="47">
        <f>_xll.qlPolynomialFunctionValue(BO$1,$BD19,AllTriggers)</f>
        <v>1.7610346819990192E-3</v>
      </c>
      <c r="BP19" s="47">
        <f>_xll.qlPolynomialFunctionValue(BP$1,$BD19,AllTriggers)</f>
        <v>1.8246268526199291E-3</v>
      </c>
      <c r="BQ19" s="47">
        <f>_xll.qlPolynomialFunctionValue('6MSynthDepo_used'!$P$18,BD19,AllTriggers)</f>
        <v>1.7244781872335654E-3</v>
      </c>
    </row>
    <row r="20" spans="1:69" ht="12" customHeight="1" x14ac:dyDescent="0.2">
      <c r="A20" s="21">
        <f t="shared" si="9"/>
        <v>6</v>
      </c>
      <c r="B20" s="55">
        <f t="shared" si="8"/>
        <v>12</v>
      </c>
      <c r="C20" s="42" t="str">
        <f t="shared" si="10"/>
        <v>B6M_6X12</v>
      </c>
      <c r="D20" s="181">
        <f>_xll.qlCalendarAdvance(Calendar,SettlementDate,A20&amp;"M","mf")</f>
        <v>42324</v>
      </c>
      <c r="E20" s="181">
        <f>_xll.qlInterestRateIndexMaturity($D$25,D20)</f>
        <v>42506</v>
      </c>
      <c r="F20" s="54">
        <f>_xll.qlIndexFixing(ON_6M_index,_xll.qlInterestRateIndexFixingDate(ON_6M_index,D20,Trigger),,AllTriggers)</f>
        <v>-1.3121885563962153E-3</v>
      </c>
      <c r="G20" s="54">
        <f t="shared" si="11"/>
        <v>7.000000000000001E-4</v>
      </c>
      <c r="H20" s="203">
        <f>_xll.qlQuoteValue(C20,_xll.ohTrigger(InterestRatesTrigger,'6MSynthDepo_used'!E9))</f>
        <v>2.0121885563962154E-3</v>
      </c>
      <c r="I20" s="44">
        <f>_xll.qlDayCounterYearFraction(DayCounter,SettlementDate,D20,,,Trigger)</f>
        <v>0.51666666666666672</v>
      </c>
      <c r="J20" s="243">
        <f>IF(($E$14-SettlementDate)-($D20-SettlementDate)&lt;0,0,($E$14-SettlementDate)-($D20-SettlementDate))</f>
        <v>0</v>
      </c>
      <c r="P20" s="55"/>
      <c r="Q20" s="55"/>
      <c r="R20" s="55"/>
      <c r="S20" s="150" t="b">
        <v>1</v>
      </c>
      <c r="T20" s="150" t="b">
        <v>1</v>
      </c>
      <c r="U20" s="150" t="b">
        <v>1</v>
      </c>
      <c r="V20" s="150" t="b">
        <v>1</v>
      </c>
      <c r="AD20" s="94"/>
      <c r="AE20" s="27">
        <v>2.8711419753086422E-2</v>
      </c>
      <c r="AF20" s="31">
        <v>0.16944444444444445</v>
      </c>
      <c r="AG20" s="28">
        <v>1</v>
      </c>
      <c r="AH20" s="280"/>
      <c r="AI20" s="29">
        <v>7.1294407398132809E-4</v>
      </c>
      <c r="AJ20" s="280"/>
      <c r="AK20" s="56">
        <v>1.8920227137032052E-3</v>
      </c>
      <c r="AL20" s="27">
        <v>-31.655172413793114</v>
      </c>
      <c r="AM20" s="31">
        <v>49.655172413793125</v>
      </c>
      <c r="AN20" s="28">
        <v>-18.000000000000018</v>
      </c>
      <c r="AO20" s="101"/>
      <c r="AP20" s="94"/>
      <c r="AQ20" s="27">
        <v>0.10344610196616372</v>
      </c>
      <c r="AR20" s="31">
        <v>0.21722222222222223</v>
      </c>
      <c r="AS20" s="28">
        <v>0.51111111111111107</v>
      </c>
      <c r="AT20" s="280"/>
      <c r="AU20" s="29">
        <v>1.3132769665961663E-3</v>
      </c>
      <c r="AV20" s="280"/>
      <c r="AW20" s="56">
        <v>9.6718518020878026E-4</v>
      </c>
      <c r="AX20" s="27">
        <v>-133.34028117932718</v>
      </c>
      <c r="AY20" s="31">
        <v>234.4509245695015</v>
      </c>
      <c r="AZ20" s="28">
        <v>-101.28485764849403</v>
      </c>
      <c r="BA20" s="101"/>
      <c r="BC20" s="178">
        <f>_xll.qlCalendarAdvance(Calendar,BC19,"1d","mf",,Trigger)</f>
        <v>42158</v>
      </c>
      <c r="BD20" s="41">
        <f>_xll.qlDayCounterYearFraction(DayCounter,SettlementDate,BC20,,,Trigger)</f>
        <v>5.5555555555555552E-2</v>
      </c>
      <c r="BE20" s="47">
        <f>_xll.qlPolynomialFunctionValue(BE$1,$BD20,AllTriggers)</f>
        <v>1.7313952772471223E-3</v>
      </c>
      <c r="BF20" s="47">
        <f>_xll.qlPolynomialFunctionValue(BF$1,$BD20,AllTriggers)</f>
        <v>1.7201756651893977E-3</v>
      </c>
      <c r="BG20" s="47">
        <f>_xll.qlPolynomialFunctionValue(BG$1,$BD20,AllTriggers)</f>
        <v>1.7464228002980898E-3</v>
      </c>
      <c r="BH20" s="47">
        <f>_xll.qlPolynomialFunctionValue(BH$1,$BD20,AllTriggers)</f>
        <v>1.638903257688644E-3</v>
      </c>
      <c r="BI20" s="47">
        <f>_xll.qlPolynomialFunctionValue(BI$1,$BD20,AllTriggers)</f>
        <v>1.7271077109716991E-3</v>
      </c>
      <c r="BJ20" s="47">
        <f>_xll.qlPolynomialFunctionValue(BJ$1,$BD20,AllTriggers)</f>
        <v>1.7116026144714915E-3</v>
      </c>
      <c r="BK20" s="47">
        <f>_xll.qlPolynomialFunctionValue(BK$1,$BD20,AllTriggers)</f>
        <v>1.7502009202832746E-3</v>
      </c>
      <c r="BL20" s="47">
        <f>_xll.qlPolynomialFunctionValue(BL$1,$BD20,AllTriggers)</f>
        <v>1.6472039583633052E-3</v>
      </c>
      <c r="BM20" s="47">
        <f>_xll.qlPolynomialFunctionValue(BM$1,$BD20,AllTriggers)</f>
        <v>1.7515325701613882E-3</v>
      </c>
      <c r="BN20" s="47">
        <f>_xll.qlPolynomialFunctionValue(BN$1,$BD20,AllTriggers)</f>
        <v>1.7491211613982634E-3</v>
      </c>
      <c r="BO20" s="47">
        <f>_xll.qlPolynomialFunctionValue(BO$1,$BD20,AllTriggers)</f>
        <v>1.7619689769073027E-3</v>
      </c>
      <c r="BP20" s="47">
        <f>_xll.qlPolynomialFunctionValue(BP$1,$BD20,AllTriggers)</f>
        <v>1.8245839089733483E-3</v>
      </c>
      <c r="BQ20" s="47">
        <f>_xll.qlPolynomialFunctionValue('6MSynthDepo_used'!$P$18,BD20,AllTriggers)</f>
        <v>1.7260150847535083E-3</v>
      </c>
    </row>
    <row r="21" spans="1:69" ht="12" customHeight="1" x14ac:dyDescent="0.2">
      <c r="A21" s="21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W21" s="55"/>
      <c r="AD21" s="94"/>
      <c r="AE21" s="27">
        <v>6.5308641975308626E-2</v>
      </c>
      <c r="AF21" s="31">
        <v>0.25555555555555554</v>
      </c>
      <c r="AG21" s="28">
        <v>1</v>
      </c>
      <c r="AH21" s="280"/>
      <c r="AI21" s="29">
        <v>1.8069812597846027E-3</v>
      </c>
      <c r="AJ21" s="280"/>
      <c r="AK21" s="56">
        <v>1.9078296020085105E-3</v>
      </c>
      <c r="AL21" s="27">
        <v>3.2252873563218398</v>
      </c>
      <c r="AM21" s="31">
        <v>-3.2747497219132384</v>
      </c>
      <c r="AN21" s="28">
        <v>1.0494623655913988</v>
      </c>
      <c r="AO21" s="101"/>
      <c r="AP21" s="94"/>
      <c r="AQ21" s="27">
        <v>0.14628518661408324</v>
      </c>
      <c r="AR21" s="31">
        <v>0.26336805555555559</v>
      </c>
      <c r="AS21" s="28">
        <v>0.51388888888888895</v>
      </c>
      <c r="AT21" s="280"/>
      <c r="AU21" s="29">
        <v>1.5779617406501134E-3</v>
      </c>
      <c r="AV21" s="280"/>
      <c r="AW21" s="56">
        <v>9.8057069596735715E-4</v>
      </c>
      <c r="AX21" s="27">
        <v>27.966139672547978</v>
      </c>
      <c r="AY21" s="31">
        <v>-42.402694472852538</v>
      </c>
      <c r="AZ21" s="28">
        <v>16.455633637451818</v>
      </c>
      <c r="BA21" s="101"/>
      <c r="BC21" s="178">
        <f>_xll.qlCalendarAdvance(Calendar,BC20,"1d","mf",,Trigger)</f>
        <v>42159</v>
      </c>
      <c r="BD21" s="41">
        <f>_xll.qlDayCounterYearFraction(DayCounter,SettlementDate,BC21,,,Trigger)</f>
        <v>5.8333333333333334E-2</v>
      </c>
      <c r="BE21" s="47">
        <f>_xll.qlPolynomialFunctionValue(BE$1,$BD21,AllTriggers)</f>
        <v>1.7326249630322229E-3</v>
      </c>
      <c r="BF21" s="47">
        <f>_xll.qlPolynomialFunctionValue(BF$1,$BD21,AllTriggers)</f>
        <v>1.721820631470989E-3</v>
      </c>
      <c r="BG21" s="47">
        <f>_xll.qlPolynomialFunctionValue(BG$1,$BD21,AllTriggers)</f>
        <v>1.7475093668160384E-3</v>
      </c>
      <c r="BH21" s="47">
        <f>_xll.qlPolynomialFunctionValue(BH$1,$BD21,AllTriggers)</f>
        <v>1.6422772695575401E-3</v>
      </c>
      <c r="BI21" s="47">
        <f>_xll.qlPolynomialFunctionValue(BI$1,$BD21,AllTriggers)</f>
        <v>1.7283993894854762E-3</v>
      </c>
      <c r="BJ21" s="47">
        <f>_xll.qlPolynomialFunctionValue(BJ$1,$BD21,AllTriggers)</f>
        <v>1.7134950174094302E-3</v>
      </c>
      <c r="BK21" s="47">
        <f>_xll.qlPolynomialFunctionValue(BK$1,$BD21,AllTriggers)</f>
        <v>1.7512694760017709E-3</v>
      </c>
      <c r="BL21" s="47">
        <f>_xll.qlPolynomialFunctionValue(BL$1,$BD21,AllTriggers)</f>
        <v>1.6504708945263354E-3</v>
      </c>
      <c r="BM21" s="47">
        <f>_xll.qlPolynomialFunctionValue(BM$1,$BD21,AllTriggers)</f>
        <v>1.7525299344173044E-3</v>
      </c>
      <c r="BN21" s="47">
        <f>_xll.qlPolynomialFunctionValue(BN$1,$BD21,AllTriggers)</f>
        <v>1.750166375147571E-3</v>
      </c>
      <c r="BO21" s="47">
        <f>_xll.qlPolynomialFunctionValue(BO$1,$BD21,AllTriggers)</f>
        <v>1.7629032718155864E-3</v>
      </c>
      <c r="BP21" s="47">
        <f>_xll.qlPolynomialFunctionValue(BP$1,$BD21,AllTriggers)</f>
        <v>1.8245471704736035E-3</v>
      </c>
      <c r="BQ21" s="47">
        <f>_xll.qlPolynomialFunctionValue('6MSynthDepo_used'!$P$18,BD21,AllTriggers)</f>
        <v>1.7275474388628745E-3</v>
      </c>
    </row>
    <row r="22" spans="1:69" ht="12" customHeight="1" x14ac:dyDescent="0.2">
      <c r="H22" s="21"/>
      <c r="I22" s="21"/>
      <c r="J22" s="21"/>
      <c r="L22" s="21"/>
      <c r="M22" s="21"/>
      <c r="N22" s="21"/>
      <c r="P22" s="21"/>
      <c r="Q22" s="21"/>
      <c r="R22" s="21"/>
      <c r="X22" s="21"/>
      <c r="Y22" s="21"/>
      <c r="Z22" s="21"/>
      <c r="AA22" s="21"/>
      <c r="AB22" s="21"/>
      <c r="AC22" s="21"/>
      <c r="AD22" s="95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103"/>
      <c r="AP22" s="95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103"/>
      <c r="BC22" s="178">
        <f>_xll.qlCalendarAdvance(Calendar,BC21,"1d","mf",,Trigger)</f>
        <v>42160</v>
      </c>
      <c r="BD22" s="41">
        <f>_xll.qlDayCounterYearFraction(DayCounter,SettlementDate,BC22,,,Trigger)</f>
        <v>6.1111111111111109E-2</v>
      </c>
      <c r="BE22" s="47">
        <f>_xll.qlPolynomialFunctionValue(BE$1,$BD22,AllTriggers)</f>
        <v>1.7338546488173236E-3</v>
      </c>
      <c r="BF22" s="47">
        <f>_xll.qlPolynomialFunctionValue(BF$1,$BD22,AllTriggers)</f>
        <v>1.7234609053175913E-3</v>
      </c>
      <c r="BG22" s="47">
        <f>_xll.qlPolynomialFunctionValue(BG$1,$BD22,AllTriggers)</f>
        <v>1.7485959333339871E-3</v>
      </c>
      <c r="BH22" s="47">
        <f>_xll.qlPolynomialFunctionValue(BH$1,$BD22,AllTriggers)</f>
        <v>1.6456320591965961E-3</v>
      </c>
      <c r="BI22" s="47">
        <f>_xll.qlPolynomialFunctionValue(BI$1,$BD22,AllTriggers)</f>
        <v>1.7296910679992534E-3</v>
      </c>
      <c r="BJ22" s="47">
        <f>_xll.qlPolynomialFunctionValue(BJ$1,$BD22,AllTriggers)</f>
        <v>1.7153804544335063E-3</v>
      </c>
      <c r="BK22" s="47">
        <f>_xll.qlPolynomialFunctionValue(BK$1,$BD22,AllTriggers)</f>
        <v>1.752338031720267E-3</v>
      </c>
      <c r="BL22" s="47">
        <f>_xll.qlPolynomialFunctionValue(BL$1,$BD22,AllTriggers)</f>
        <v>1.6537192426205433E-3</v>
      </c>
      <c r="BM22" s="47">
        <f>_xll.qlPolynomialFunctionValue(BM$1,$BD22,AllTriggers)</f>
        <v>1.7535272986732207E-3</v>
      </c>
      <c r="BN22" s="47">
        <f>_xll.qlPolynomialFunctionValue(BN$1,$BD22,AllTriggers)</f>
        <v>1.7512112404757659E-3</v>
      </c>
      <c r="BO22" s="47">
        <f>_xll.qlPolynomialFunctionValue(BO$1,$BD22,AllTriggers)</f>
        <v>1.7638375667238702E-3</v>
      </c>
      <c r="BP22" s="47">
        <f>_xll.qlPolynomialFunctionValue(BP$1,$BD22,AllTriggers)</f>
        <v>1.8245166371206952E-3</v>
      </c>
      <c r="BQ22" s="47">
        <f>_xll.qlPolynomialFunctionValue('6MSynthDepo_used'!$P$18,BD22,AllTriggers)</f>
        <v>1.7290752599984631E-3</v>
      </c>
    </row>
    <row r="23" spans="1:69" ht="12" customHeight="1" x14ac:dyDescent="0.2">
      <c r="W23" s="21"/>
      <c r="X23" s="21"/>
      <c r="Y23" s="21"/>
      <c r="Z23" s="21"/>
      <c r="AA23" s="21"/>
      <c r="AB23" s="21"/>
      <c r="AC23" s="21"/>
      <c r="AD23" s="93"/>
      <c r="AE23" s="93"/>
      <c r="AF23" s="93"/>
      <c r="AG23" s="93"/>
      <c r="AH23" s="93"/>
      <c r="BC23" s="178">
        <f>_xll.qlCalendarAdvance(Calendar,BC22,"1d","mf",,Trigger)</f>
        <v>42163</v>
      </c>
      <c r="BD23" s="41">
        <f>_xll.qlDayCounterYearFraction(DayCounter,SettlementDate,BC23,,,Trigger)</f>
        <v>6.9444444444444448E-2</v>
      </c>
      <c r="BE23" s="47">
        <f>_xll.qlPolynomialFunctionValue(BE$1,$BD23,AllTriggers)</f>
        <v>1.7375437061726256E-3</v>
      </c>
      <c r="BF23" s="47">
        <f>_xll.qlPolynomialFunctionValue(BF$1,$BD23,AllTriggers)</f>
        <v>1.7283535722474673E-3</v>
      </c>
      <c r="BG23" s="47">
        <f>_xll.qlPolynomialFunctionValue(BG$1,$BD23,AllTriggers)</f>
        <v>1.7518556328878331E-3</v>
      </c>
      <c r="BH23" s="47">
        <f>_xll.qlPolynomialFunctionValue(BH$1,$BD23,AllTriggers)</f>
        <v>1.655581094734725E-3</v>
      </c>
      <c r="BI23" s="47">
        <f>_xll.qlPolynomialFunctionValue(BI$1,$BD23,AllTriggers)</f>
        <v>1.7335661035405845E-3</v>
      </c>
      <c r="BJ23" s="47">
        <f>_xll.qlPolynomialFunctionValue(BJ$1,$BD23,AllTriggers)</f>
        <v>1.720994970022559E-3</v>
      </c>
      <c r="BK23" s="47">
        <f>_xll.qlPolynomialFunctionValue(BK$1,$BD23,AllTriggers)</f>
        <v>1.7555436988757557E-3</v>
      </c>
      <c r="BL23" s="47">
        <f>_xll.qlPolynomialFunctionValue(BL$1,$BD23,AllTriggers)</f>
        <v>1.6633527584902369E-3</v>
      </c>
      <c r="BM23" s="47">
        <f>_xll.qlPolynomialFunctionValue(BM$1,$BD23,AllTriggers)</f>
        <v>1.7565193914409693E-3</v>
      </c>
      <c r="BN23" s="47">
        <f>_xll.qlPolynomialFunctionValue(BN$1,$BD23,AllTriggers)</f>
        <v>1.7543437459336759E-3</v>
      </c>
      <c r="BO23" s="47">
        <f>_xll.qlPolynomialFunctionValue(BO$1,$BD23,AllTriggers)</f>
        <v>1.7666404514487212E-3</v>
      </c>
      <c r="BP23" s="47">
        <f>_xll.qlPolynomialFunctionValue(BP$1,$BD23,AllTriggers)</f>
        <v>1.8244622679429888E-3</v>
      </c>
      <c r="BQ23" s="47">
        <f>_xll.qlPolynomialFunctionValue('6MSynthDepo_used'!$P$18,BD23,AllTriggers)</f>
        <v>1.7336316299305528E-3</v>
      </c>
    </row>
    <row r="24" spans="1:69" ht="12" customHeight="1" x14ac:dyDescent="0.2">
      <c r="A24" s="21"/>
      <c r="B24" s="55"/>
      <c r="C24" s="36" t="s">
        <v>62</v>
      </c>
      <c r="D24" s="51" t="s">
        <v>24</v>
      </c>
      <c r="F24" s="187" t="s">
        <v>90</v>
      </c>
      <c r="G24" s="188" t="b">
        <v>1</v>
      </c>
      <c r="H24" s="235"/>
      <c r="S24" s="236"/>
      <c r="T24" s="237"/>
      <c r="U24" s="188" t="b">
        <v>0</v>
      </c>
      <c r="V24" s="235"/>
      <c r="W24" s="236"/>
      <c r="X24" s="237"/>
      <c r="Y24" s="188" t="b">
        <v>1</v>
      </c>
      <c r="Z24" s="235"/>
      <c r="AA24" s="236"/>
      <c r="AB24" s="236"/>
      <c r="BC24" s="178">
        <f>_xll.qlCalendarAdvance(Calendar,BC23,"1d","mf",,Trigger)</f>
        <v>42164</v>
      </c>
      <c r="BD24" s="41">
        <f>_xll.qlDayCounterYearFraction(DayCounter,SettlementDate,BC24,,,Trigger)</f>
        <v>7.2222222222222215E-2</v>
      </c>
      <c r="BE24" s="47">
        <f>_xll.qlPolynomialFunctionValue(BE$1,$BD24,AllTriggers)</f>
        <v>1.7387733919577264E-3</v>
      </c>
      <c r="BF24" s="47">
        <f>_xll.qlPolynomialFunctionValue(BF$1,$BD24,AllTriggers)</f>
        <v>1.7299750763541157E-3</v>
      </c>
      <c r="BG24" s="47">
        <f>_xll.qlPolynomialFunctionValue(BG$1,$BD24,AllTriggers)</f>
        <v>1.7529421994057818E-3</v>
      </c>
      <c r="BH24" s="47">
        <f>_xll.qlPolynomialFunctionValue(BH$1,$BD24,AllTriggers)</f>
        <v>1.6588589954544214E-3</v>
      </c>
      <c r="BI24" s="47">
        <f>_xll.qlPolynomialFunctionValue(BI$1,$BD24,AllTriggers)</f>
        <v>1.7348577820543616E-3</v>
      </c>
      <c r="BJ24" s="47">
        <f>_xll.qlPolynomialFunctionValue(BJ$1,$BD24,AllTriggers)</f>
        <v>1.7228525433911847E-3</v>
      </c>
      <c r="BK24" s="47">
        <f>_xll.qlPolynomialFunctionValue(BK$1,$BD24,AllTriggers)</f>
        <v>1.7566122545942518E-3</v>
      </c>
      <c r="BL24" s="47">
        <f>_xll.qlPolynomialFunctionValue(BL$1,$BD24,AllTriggers)</f>
        <v>1.6665267543091574E-3</v>
      </c>
      <c r="BM24" s="47">
        <f>_xll.qlPolynomialFunctionValue(BM$1,$BD24,AllTriggers)</f>
        <v>1.7575167556968853E-3</v>
      </c>
      <c r="BN24" s="47">
        <f>_xll.qlPolynomialFunctionValue(BN$1,$BD24,AllTriggers)</f>
        <v>1.7553872175774209E-3</v>
      </c>
      <c r="BO24" s="47">
        <f>_xll.qlPolynomialFunctionValue(BO$1,$BD24,AllTriggers)</f>
        <v>1.7675747463570047E-3</v>
      </c>
      <c r="BP24" s="47">
        <f>_xll.qlPolynomialFunctionValue(BP$1,$BD24,AllTriggers)</f>
        <v>1.8244565551774261E-3</v>
      </c>
      <c r="BQ24" s="47">
        <f>_xll.qlPolynomialFunctionValue('6MSynthDepo_used'!$P$18,BD24,AllTriggers)</f>
        <v>1.7351414235390196E-3</v>
      </c>
    </row>
    <row r="25" spans="1:69" ht="12" customHeight="1" x14ac:dyDescent="0.2">
      <c r="A25" s="21"/>
      <c r="B25" s="55"/>
      <c r="C25" s="36" t="s">
        <v>53</v>
      </c>
      <c r="D25" s="51" t="str">
        <f>PROPER(Currency)&amp;IborType&amp;$D$24</f>
        <v>Euribor6M</v>
      </c>
      <c r="E25" s="23"/>
      <c r="F25" s="187" t="s">
        <v>91</v>
      </c>
      <c r="G25" s="89"/>
      <c r="H25" s="89"/>
      <c r="S25" s="89"/>
      <c r="T25" s="89"/>
      <c r="U25" s="89"/>
      <c r="V25" s="89"/>
      <c r="W25" s="89"/>
      <c r="X25" s="238"/>
      <c r="Y25" s="228" t="str">
        <f>_xll.qlPolynomialCalibration(,_xll.ohFilter($I$14:$I$20,$S$14:$S$20),_xll.ohFilter($H$14:$H$20,$S$14:$S$20),_xll.ohFilter($J$14:$J$20,$S$14:$S$20),G$28:G$29,,,,,Trigger)</f>
        <v>obj_008e5#0005</v>
      </c>
      <c r="Z25" s="188" t="str">
        <f>_xll.qlPolynomialCalibration(,_xll.ohFilter($I$14:$I$20,$T$14:$T$20),_xll.ohFilter($H$14:$H$20,$T$14:$T$20),_xll.ohFilter($J$14:$J$20,$T$14:$T$20),H$28:H$30,,,,,Trigger)</f>
        <v>obj_008e6#0005</v>
      </c>
      <c r="AA25" s="188" t="str">
        <f>_xll.qlPolynomialCalibration(,_xll.ohFilter($I$14:$I$20,$U$14:$U$20),_xll.ohFilter($H$14:$H$20,$U$14:$U$20),_xll.ohFilter($J$14:$J$20,$U$14:$U$20),S$28:S$29,,,,,Trigger)</f>
        <v>obj_008e4#0005</v>
      </c>
      <c r="AB25" s="188" t="str">
        <f>_xll.qlPolynomialCalibration(,_xll.ohFilter($I$14:$I$20,$V$14:$V$20),_xll.ohFilter($H$14:$H$20,$V$14:$V$20),_xll.ohFilter($J$14:$J$20,$V$14:$V$20),T$28:T$30,,,,,Trigger)</f>
        <v>obj_008e3#0005</v>
      </c>
      <c r="AC25" s="19" t="s">
        <v>70</v>
      </c>
      <c r="BC25" s="178">
        <f>_xll.qlCalendarAdvance(Calendar,BC24,"1d","mf",,Trigger)</f>
        <v>42165</v>
      </c>
      <c r="BD25" s="41">
        <f>_xll.qlDayCounterYearFraction(DayCounter,SettlementDate,BC25,,,Trigger)</f>
        <v>7.4999999999999997E-2</v>
      </c>
      <c r="BE25" s="47">
        <f>_xll.qlPolynomialFunctionValue(BE$1,$BD25,AllTriggers)</f>
        <v>1.7400030777428271E-3</v>
      </c>
      <c r="BF25" s="47">
        <f>_xll.qlPolynomialFunctionValue(BF$1,$BD25,AllTriggers)</f>
        <v>1.7315918880257751E-3</v>
      </c>
      <c r="BG25" s="47">
        <f>_xll.qlPolynomialFunctionValue(BG$1,$BD25,AllTriggers)</f>
        <v>1.7540287659237304E-3</v>
      </c>
      <c r="BH25" s="47">
        <f>_xll.qlPolynomialFunctionValue(BH$1,$BD25,AllTriggers)</f>
        <v>1.6621176739442781E-3</v>
      </c>
      <c r="BI25" s="47">
        <f>_xll.qlPolynomialFunctionValue(BI$1,$BD25,AllTriggers)</f>
        <v>1.7361494605681387E-3</v>
      </c>
      <c r="BJ25" s="47">
        <f>_xll.qlPolynomialFunctionValue(BJ$1,$BD25,AllTriggers)</f>
        <v>1.7247031508459481E-3</v>
      </c>
      <c r="BK25" s="47">
        <f>_xll.qlPolynomialFunctionValue(BK$1,$BD25,AllTriggers)</f>
        <v>1.7576808103127481E-3</v>
      </c>
      <c r="BL25" s="47">
        <f>_xll.qlPolynomialFunctionValue(BL$1,$BD25,AllTriggers)</f>
        <v>1.6696821620592562E-3</v>
      </c>
      <c r="BM25" s="47">
        <f>_xll.qlPolynomialFunctionValue(BM$1,$BD25,AllTriggers)</f>
        <v>1.7585141199528015E-3</v>
      </c>
      <c r="BN25" s="47">
        <f>_xll.qlPolynomialFunctionValue(BN$1,$BD25,AllTriggers)</f>
        <v>1.7564303408000536E-3</v>
      </c>
      <c r="BO25" s="47">
        <f>_xll.qlPolynomialFunctionValue(BO$1,$BD25,AllTriggers)</f>
        <v>1.7685090412652884E-3</v>
      </c>
      <c r="BP25" s="47">
        <f>_xll.qlPolynomialFunctionValue(BP$1,$BD25,AllTriggers)</f>
        <v>1.8244570475586998E-3</v>
      </c>
      <c r="BQ25" s="47">
        <f>_xll.qlPolynomialFunctionValue('6MSynthDepo_used'!$P$18,BD25,AllTriggers)</f>
        <v>1.7366467363577026E-3</v>
      </c>
    </row>
    <row r="26" spans="1:69" ht="12" customHeight="1" x14ac:dyDescent="0.2">
      <c r="A26" s="21"/>
      <c r="B26" s="55"/>
      <c r="C26" s="36" t="s">
        <v>72</v>
      </c>
      <c r="D26" s="51" t="str">
        <f>_xll.qlIborIndex(,,'6MSynthDepo_allScenario'!D24,2,Currency,Calendar,"mf",TRUE,DayCounter,Discounting,,Trigger)</f>
        <v>obj_00878#0010</v>
      </c>
      <c r="E26" s="23"/>
      <c r="F26" s="187" t="s">
        <v>92</v>
      </c>
      <c r="G26" s="89"/>
      <c r="H26" s="89"/>
      <c r="S26" s="89"/>
      <c r="T26" s="89"/>
      <c r="U26" s="89"/>
      <c r="V26" s="89"/>
      <c r="W26" s="89"/>
      <c r="X26" s="238"/>
      <c r="Y26" s="239" t="b">
        <f>_xll.qlPolynomialCalibrationCompute(Y$25,AllTriggers)</f>
        <v>1</v>
      </c>
      <c r="Z26" s="188" t="b">
        <f>_xll.qlPolynomialCalibrationCompute(Z$25,AllTriggers)</f>
        <v>1</v>
      </c>
      <c r="AA26" s="188" t="b">
        <f>_xll.qlPolynomialCalibrationCompute(AA$25,AllTriggers)</f>
        <v>1</v>
      </c>
      <c r="AB26" s="188" t="b">
        <f>_xll.qlPolynomialCalibrationCompute(AB$25,AllTriggers)</f>
        <v>1</v>
      </c>
      <c r="AC26" s="19" t="s">
        <v>70</v>
      </c>
      <c r="BC26" s="178">
        <f>_xll.qlCalendarAdvance(Calendar,BC25,"1d","mf",,Trigger)</f>
        <v>42166</v>
      </c>
      <c r="BD26" s="41">
        <f>_xll.qlDayCounterYearFraction(DayCounter,SettlementDate,BC26,,,Trigger)</f>
        <v>7.7777777777777779E-2</v>
      </c>
      <c r="BE26" s="47">
        <f>_xll.qlPolynomialFunctionValue(BE$1,$BD26,AllTriggers)</f>
        <v>1.7412327635279278E-3</v>
      </c>
      <c r="BF26" s="47">
        <f>_xll.qlPolynomialFunctionValue(BF$1,$BD26,AllTriggers)</f>
        <v>1.7332040072624462E-3</v>
      </c>
      <c r="BG26" s="47">
        <f>_xll.qlPolynomialFunctionValue(BG$1,$BD26,AllTriggers)</f>
        <v>1.755115332441679E-3</v>
      </c>
      <c r="BH26" s="47">
        <f>_xll.qlPolynomialFunctionValue(BH$1,$BD26,AllTriggers)</f>
        <v>1.6653571302042947E-3</v>
      </c>
      <c r="BI26" s="47">
        <f>_xll.qlPolynomialFunctionValue(BI$1,$BD26,AllTriggers)</f>
        <v>1.7374411390819158E-3</v>
      </c>
      <c r="BJ26" s="47">
        <f>_xll.qlPolynomialFunctionValue(BJ$1,$BD26,AllTriggers)</f>
        <v>1.7265467923868489E-3</v>
      </c>
      <c r="BK26" s="47">
        <f>_xll.qlPolynomialFunctionValue(BK$1,$BD26,AllTriggers)</f>
        <v>1.7587493660312441E-3</v>
      </c>
      <c r="BL26" s="47">
        <f>_xll.qlPolynomialFunctionValue(BL$1,$BD26,AllTriggers)</f>
        <v>1.6728189817405334E-3</v>
      </c>
      <c r="BM26" s="47">
        <f>_xll.qlPolynomialFunctionValue(BM$1,$BD26,AllTriggers)</f>
        <v>1.7595114842087177E-3</v>
      </c>
      <c r="BN26" s="47">
        <f>_xll.qlPolynomialFunctionValue(BN$1,$BD26,AllTriggers)</f>
        <v>1.7574731156015735E-3</v>
      </c>
      <c r="BO26" s="47">
        <f>_xll.qlPolynomialFunctionValue(BO$1,$BD26,AllTriggers)</f>
        <v>1.7694433361735722E-3</v>
      </c>
      <c r="BP26" s="47">
        <f>_xll.qlPolynomialFunctionValue(BP$1,$BD26,AllTriggers)</f>
        <v>1.8244637450868097E-3</v>
      </c>
      <c r="BQ26" s="47">
        <f>_xll.qlPolynomialFunctionValue('6MSynthDepo_used'!$P$18,BD26,AllTriggers)</f>
        <v>1.7381475788234011E-3</v>
      </c>
    </row>
    <row r="27" spans="1:69" ht="12" customHeight="1" x14ac:dyDescent="0.2">
      <c r="B27" s="22"/>
      <c r="C27" s="36" t="s">
        <v>87</v>
      </c>
      <c r="D27" s="51" t="s">
        <v>86</v>
      </c>
      <c r="E27" s="23"/>
      <c r="F27" s="187" t="s">
        <v>82</v>
      </c>
      <c r="G27" s="188" t="str">
        <f>_xll.qlPolynomialTenorBasis(,$D$25,Discounting,SettlementDate,IsSimple,G$28:G$31,,Trigger)</f>
        <v>obj_008d3#0023</v>
      </c>
      <c r="H27" s="188" t="str">
        <f>_xll.qlPolynomialTenorBasis(,$D$25,Discounting,SettlementDate,IsSimple,H$28:H$31,,Trigger)</f>
        <v>obj_008dd#0007</v>
      </c>
      <c r="S27" s="188" t="str">
        <f>_xll.qlPolynomialTenorBasis(,$D$25,Discounting,SettlementDate,IsSimple,S$28:S$31,,Trigger)</f>
        <v>obj_008da#0013</v>
      </c>
      <c r="T27" s="188" t="str">
        <f>_xll.qlPolynomialTenorBasis(,$D$25,Discounting,SettlementDate,IsSimple,T$28:T$31,,Trigger)</f>
        <v>obj_008e0#0005</v>
      </c>
      <c r="U27" s="188" t="str">
        <f>_xll.qlPolynomialTenorBasis(,$D$25,Discounting,SettlementDate,$U$24,U$28:U$31,,Trigger)</f>
        <v>obj_008d6#0023</v>
      </c>
      <c r="V27" s="188" t="str">
        <f>_xll.qlPolynomialTenorBasis(,$D$25,Discounting,SettlementDate,$U$24,V$28:V$31,,Trigger)</f>
        <v>obj_008d7#0019</v>
      </c>
      <c r="W27" s="188" t="str">
        <f>_xll.qlPolynomialTenorBasis(,$D$25,Discounting,SettlementDate,$U$24,W$28:W$31,,Trigger)</f>
        <v>obj_008d8#0019</v>
      </c>
      <c r="X27" s="227" t="str">
        <f>_xll.qlPolynomialTenorBasis(,$D$25,Discounting,SettlementDate,$U$24,X$28:X$31,,Trigger)</f>
        <v>obj_008df#0015</v>
      </c>
      <c r="Y27" s="228" t="str">
        <f>_xll.qlPolynomialTenorBasis(,$D$25,Discounting,SettlementDate,$Y$24,Y$28:Y$31,,Trigger)</f>
        <v>obj_008e9#0005</v>
      </c>
      <c r="Z27" s="188" t="str">
        <f>_xll.qlPolynomialTenorBasis(,$D$25,Discounting,SettlementDate,$Y$24,Z$28:Z$31,,Trigger)</f>
        <v>obj_008e7#0005</v>
      </c>
      <c r="AA27" s="188" t="str">
        <f>_xll.qlPolynomialTenorBasis(,$D$25,Discounting,SettlementDate,$Y$24,AA$28:AA$31,,Trigger)</f>
        <v>obj_008e8#0005</v>
      </c>
      <c r="AB27" s="188" t="str">
        <f>_xll.qlPolynomialTenorBasis(,$D$25,Discounting,SettlementDate,$Y$24,AB$28:AB$31,,Trigger)</f>
        <v>obj_008ea#0005</v>
      </c>
      <c r="AC27" s="19" t="s">
        <v>70</v>
      </c>
      <c r="BC27" s="178">
        <f>_xll.qlCalendarAdvance(Calendar,BC26,"1d","mf",,Trigger)</f>
        <v>42167</v>
      </c>
      <c r="BD27" s="41">
        <f>_xll.qlDayCounterYearFraction(DayCounter,SettlementDate,BC27,,,Trigger)</f>
        <v>8.0555555555555561E-2</v>
      </c>
      <c r="BE27" s="47">
        <f>_xll.qlPolynomialFunctionValue(BE$1,$BD27,AllTriggers)</f>
        <v>1.7424624493130286E-3</v>
      </c>
      <c r="BF27" s="47">
        <f>_xll.qlPolynomialFunctionValue(BF$1,$BD27,AllTriggers)</f>
        <v>1.7348114340641286E-3</v>
      </c>
      <c r="BG27" s="47">
        <f>_xll.qlPolynomialFunctionValue(BG$1,$BD27,AllTriggers)</f>
        <v>1.7562018989596276E-3</v>
      </c>
      <c r="BH27" s="47">
        <f>_xll.qlPolynomialFunctionValue(BH$1,$BD27,AllTriggers)</f>
        <v>1.6685773642344714E-3</v>
      </c>
      <c r="BI27" s="47">
        <f>_xll.qlPolynomialFunctionValue(BI$1,$BD27,AllTriggers)</f>
        <v>1.738732817595693E-3</v>
      </c>
      <c r="BJ27" s="47">
        <f>_xll.qlPolynomialFunctionValue(BJ$1,$BD27,AllTriggers)</f>
        <v>1.7283834680138872E-3</v>
      </c>
      <c r="BK27" s="47">
        <f>_xll.qlPolynomialFunctionValue(BK$1,$BD27,AllTriggers)</f>
        <v>1.7598179217497404E-3</v>
      </c>
      <c r="BL27" s="47">
        <f>_xll.qlPolynomialFunctionValue(BL$1,$BD27,AllTriggers)</f>
        <v>1.6759372133529884E-3</v>
      </c>
      <c r="BM27" s="47">
        <f>_xll.qlPolynomialFunctionValue(BM$1,$BD27,AllTriggers)</f>
        <v>1.7605088484646339E-3</v>
      </c>
      <c r="BN27" s="47">
        <f>_xll.qlPolynomialFunctionValue(BN$1,$BD27,AllTriggers)</f>
        <v>1.758515541981981E-3</v>
      </c>
      <c r="BO27" s="47">
        <f>_xll.qlPolynomialFunctionValue(BO$1,$BD27,AllTriggers)</f>
        <v>1.7703776310818557E-3</v>
      </c>
      <c r="BP27" s="47">
        <f>_xll.qlPolynomialFunctionValue(BP$1,$BD27,AllTriggers)</f>
        <v>1.8244766477617561E-3</v>
      </c>
      <c r="BQ27" s="47">
        <f>_xll.qlPolynomialFunctionValue('6MSynthDepo_used'!$P$18,BD27,AllTriggers)</f>
        <v>1.7396439613729133E-3</v>
      </c>
    </row>
    <row r="28" spans="1:69" ht="12" customHeight="1" x14ac:dyDescent="0.2">
      <c r="C28" s="36" t="s">
        <v>88</v>
      </c>
      <c r="D28" s="51" t="s">
        <v>86</v>
      </c>
      <c r="E28" s="35"/>
      <c r="F28" s="133" t="s">
        <v>73</v>
      </c>
      <c r="G28" s="90">
        <f>AI6</f>
        <v>1.8211623395594731E-3</v>
      </c>
      <c r="H28" s="90">
        <f>AI16</f>
        <v>1.8211623395594731E-3</v>
      </c>
      <c r="S28" s="90">
        <f>AI10</f>
        <v>1.8257421561083398E-3</v>
      </c>
      <c r="T28" s="90">
        <f>AI21</f>
        <v>1.8069812597846027E-3</v>
      </c>
      <c r="U28" s="90">
        <f>AU6</f>
        <v>1.701274140696157E-3</v>
      </c>
      <c r="V28" s="90">
        <f>AU16</f>
        <v>1.6722917138015901E-3</v>
      </c>
      <c r="W28" s="90">
        <f>AU10</f>
        <v>1.7288298059133511E-3</v>
      </c>
      <c r="X28" s="229">
        <f>AU21</f>
        <v>1.5779617406501134E-3</v>
      </c>
      <c r="Y28" s="230">
        <f t="array" ref="Y28:Y29">_xll.qlPolynomialCalibrationCoefficients($Y$25,$Y$26)</f>
        <v>1.8243401608432691E-3</v>
      </c>
      <c r="Z28" s="90">
        <f t="array" ref="Z28:Z30">_xll.qlPolynomialCalibrationCoefficients($Z$25,$Z$26)</f>
        <v>1.8240038653803711E-3</v>
      </c>
      <c r="AA28" s="90">
        <f t="array" ref="AA28:AA29">_xll.qlPolynomialCalibrationCoefficients($AA$25,$AA$26)</f>
        <v>1.8301725052120102E-3</v>
      </c>
      <c r="AB28" s="90">
        <f t="array" ref="AB28:AB30">_xll.qlPolynomialCalibrationCoefficients($AB$25,$AB$26)</f>
        <v>1.8471538435426307E-3</v>
      </c>
      <c r="AC28" s="19" t="s">
        <v>70</v>
      </c>
      <c r="BC28" s="178">
        <f>_xll.qlCalendarAdvance(Calendar,BC27,"1d","mf",,Trigger)</f>
        <v>42170</v>
      </c>
      <c r="BD28" s="41">
        <f>_xll.qlDayCounterYearFraction(DayCounter,SettlementDate,BC28,,,Trigger)</f>
        <v>8.8888888888888892E-2</v>
      </c>
      <c r="BE28" s="47">
        <f>_xll.qlPolynomialFunctionValue(BE$1,$BD28,AllTriggers)</f>
        <v>1.7461515066683306E-3</v>
      </c>
      <c r="BF28" s="47">
        <f>_xll.qlPolynomialFunctionValue(BF$1,$BD28,AllTriggers)</f>
        <v>1.7396055598592442E-3</v>
      </c>
      <c r="BG28" s="47">
        <f>_xll.qlPolynomialFunctionValue(BG$1,$BD28,AllTriggers)</f>
        <v>1.7594615985134735E-3</v>
      </c>
      <c r="BH28" s="47">
        <f>_xll.qlPolynomialFunctionValue(BH$1,$BD28,AllTriggers)</f>
        <v>1.6781227329459626E-3</v>
      </c>
      <c r="BI28" s="47">
        <f>_xll.qlPolynomialFunctionValue(BI$1,$BD28,AllTriggers)</f>
        <v>1.7426078531370243E-3</v>
      </c>
      <c r="BJ28" s="47">
        <f>_xll.qlPolynomialFunctionValue(BJ$1,$BD28,AllTriggers)</f>
        <v>1.7338516994118269E-3</v>
      </c>
      <c r="BK28" s="47">
        <f>_xll.qlPolynomialFunctionValue(BK$1,$BD28,AllTriggers)</f>
        <v>1.7630235889052289E-3</v>
      </c>
      <c r="BL28" s="47">
        <f>_xll.qlPolynomialFunctionValue(BL$1,$BD28,AllTriggers)</f>
        <v>1.6851803797774225E-3</v>
      </c>
      <c r="BM28" s="47">
        <f>_xll.qlPolynomialFunctionValue(BM$1,$BD28,AllTriggers)</f>
        <v>1.7635009412323825E-3</v>
      </c>
      <c r="BN28" s="47">
        <f>_xll.qlPolynomialFunctionValue(BN$1,$BD28,AllTriggers)</f>
        <v>1.7616407305965285E-3</v>
      </c>
      <c r="BO28" s="47">
        <f>_xll.qlPolynomialFunctionValue(BO$1,$BD28,AllTriggers)</f>
        <v>1.7731805158067067E-3</v>
      </c>
      <c r="BP28" s="47">
        <f>_xll.qlPolynomialFunctionValue(BP$1,$BD28,AllTriggers)</f>
        <v>1.8245525866676137E-3</v>
      </c>
      <c r="BQ28" s="47">
        <f>_xll.qlPolynomialFunctionValue('6MSynthDepo_used'!$P$18,BD28,AllTriggers)</f>
        <v>1.7441064538923222E-3</v>
      </c>
    </row>
    <row r="29" spans="1:69" ht="12" customHeight="1" x14ac:dyDescent="0.2">
      <c r="E29" s="35"/>
      <c r="F29" s="133" t="s">
        <v>74</v>
      </c>
      <c r="G29" s="90">
        <f>AI5</f>
        <v>4.4268688263624997E-4</v>
      </c>
      <c r="H29" s="90">
        <f>AI15</f>
        <v>4.6971530817054193E-4</v>
      </c>
      <c r="S29" s="90">
        <f>AI9</f>
        <v>3.9116394646150632E-4</v>
      </c>
      <c r="T29" s="90">
        <f>AI20</f>
        <v>7.1294407398132809E-4</v>
      </c>
      <c r="U29" s="90">
        <f>AU5</f>
        <v>4.6500426495975702E-4</v>
      </c>
      <c r="V29" s="90">
        <f>AU15</f>
        <v>7.3267350196333514E-4</v>
      </c>
      <c r="W29" s="90">
        <f>AU9</f>
        <v>3.8468005865862492E-4</v>
      </c>
      <c r="X29" s="229">
        <f>AU20</f>
        <v>1.3132769665961663E-3</v>
      </c>
      <c r="Y29" s="230">
        <v>3.5905113212982302E-4</v>
      </c>
      <c r="Z29" s="90">
        <v>3.6718315871431208E-4</v>
      </c>
      <c r="AA29" s="90">
        <v>3.3634616698211846E-4</v>
      </c>
      <c r="AB29" s="90">
        <v>1.4872847252140166E-4</v>
      </c>
      <c r="AC29" s="19" t="s">
        <v>70</v>
      </c>
      <c r="BC29" s="178">
        <f>_xll.qlCalendarAdvance(Calendar,BC28,"1d","mf",,Trigger)</f>
        <v>42171</v>
      </c>
      <c r="BD29" s="41">
        <f>_xll.qlDayCounterYearFraction(DayCounter,SettlementDate,BC29,,,Trigger)</f>
        <v>9.166666666666666E-2</v>
      </c>
      <c r="BE29" s="47">
        <f>_xll.qlPolynomialFunctionValue(BE$1,$BD29,AllTriggers)</f>
        <v>1.7473811924534313E-3</v>
      </c>
      <c r="BF29" s="47">
        <f>_xll.qlPolynomialFunctionValue(BF$1,$BD29,AllTriggers)</f>
        <v>1.7411942169209722E-3</v>
      </c>
      <c r="BG29" s="47">
        <f>_xll.qlPolynomialFunctionValue(BG$1,$BD29,AllTriggers)</f>
        <v>1.7605481650314221E-3</v>
      </c>
      <c r="BH29" s="47">
        <f>_xll.qlPolynomialFunctionValue(BH$1,$BD29,AllTriggers)</f>
        <v>1.6812660780567796E-3</v>
      </c>
      <c r="BI29" s="47">
        <f>_xll.qlPolynomialFunctionValue(BI$1,$BD29,AllTriggers)</f>
        <v>1.7438995316508014E-3</v>
      </c>
      <c r="BJ29" s="47">
        <f>_xll.qlPolynomialFunctionValue(BJ$1,$BD29,AllTriggers)</f>
        <v>1.735660511383415E-3</v>
      </c>
      <c r="BK29" s="47">
        <f>_xll.qlPolynomialFunctionValue(BK$1,$BD29,AllTriggers)</f>
        <v>1.764092144623725E-3</v>
      </c>
      <c r="BL29" s="47">
        <f>_xll.qlPolynomialFunctionValue(BL$1,$BD29,AllTriggers)</f>
        <v>1.6882242591145903E-3</v>
      </c>
      <c r="BM29" s="47">
        <f>_xll.qlPolynomialFunctionValue(BM$1,$BD29,AllTriggers)</f>
        <v>1.7644983054882985E-3</v>
      </c>
      <c r="BN29" s="47">
        <f>_xll.qlPolynomialFunctionValue(BN$1,$BD29,AllTriggers)</f>
        <v>1.762681763292486E-3</v>
      </c>
      <c r="BO29" s="47">
        <f>_xll.qlPolynomialFunctionValue(BO$1,$BD29,AllTriggers)</f>
        <v>1.7741148107149904E-3</v>
      </c>
      <c r="BP29" s="47">
        <f>_xll.qlPolynomialFunctionValue(BP$1,$BD29,AllTriggers)</f>
        <v>1.8245903099299056E-3</v>
      </c>
      <c r="BQ29" s="47">
        <f>_xll.qlPolynomialFunctionValue('6MSynthDepo_used'!$P$18,BD29,AllTriggers)</f>
        <v>1.7455851011450784E-3</v>
      </c>
    </row>
    <row r="30" spans="1:69" ht="12" customHeight="1" x14ac:dyDescent="0.2">
      <c r="F30" s="133" t="s">
        <v>75</v>
      </c>
      <c r="G30" s="89"/>
      <c r="H30" s="90">
        <f>AI14</f>
        <v>-3.0406978726080225E-4</v>
      </c>
      <c r="S30" s="89"/>
      <c r="T30" s="90">
        <f>AI19</f>
        <v>-1.2456004936250709E-3</v>
      </c>
      <c r="U30" s="89"/>
      <c r="V30" s="90">
        <f>AU14</f>
        <v>-4.5139121829193551E-4</v>
      </c>
      <c r="W30" s="89"/>
      <c r="X30" s="229">
        <f>AU19</f>
        <v>-1.204506859656812E-3</v>
      </c>
      <c r="Y30" s="231"/>
      <c r="Z30" s="90">
        <v>-2.2577688090367153E-5</v>
      </c>
      <c r="AA30" s="89"/>
      <c r="AB30" s="90">
        <v>4.0209351499728881E-4</v>
      </c>
      <c r="AC30" s="19" t="s">
        <v>70</v>
      </c>
      <c r="BC30" s="178">
        <f>_xll.qlCalendarAdvance(Calendar,BC29,"1d","mf",,Trigger)</f>
        <v>42172</v>
      </c>
      <c r="BD30" s="41">
        <f>_xll.qlDayCounterYearFraction(DayCounter,SettlementDate,BC30,,,Trigger)</f>
        <v>9.4444444444444442E-2</v>
      </c>
      <c r="BE30" s="47">
        <f>_xll.qlPolynomialFunctionValue(BE$1,$BD30,AllTriggers)</f>
        <v>1.7486108782385319E-3</v>
      </c>
      <c r="BF30" s="47">
        <f>_xll.qlPolynomialFunctionValue(BF$1,$BD30,AllTriggers)</f>
        <v>1.7427781815477117E-3</v>
      </c>
      <c r="BG30" s="47">
        <f>_xll.qlPolynomialFunctionValue(BG$1,$BD30,AllTriggers)</f>
        <v>1.7616347315493708E-3</v>
      </c>
      <c r="BH30" s="47">
        <f>_xll.qlPolynomialFunctionValue(BH$1,$BD30,AllTriggers)</f>
        <v>1.6843902009377569E-3</v>
      </c>
      <c r="BI30" s="47">
        <f>_xll.qlPolynomialFunctionValue(BI$1,$BD30,AllTriggers)</f>
        <v>1.7451912101645786E-3</v>
      </c>
      <c r="BJ30" s="47">
        <f>_xll.qlPolynomialFunctionValue(BJ$1,$BD30,AllTriggers)</f>
        <v>1.7374623574411407E-3</v>
      </c>
      <c r="BK30" s="47">
        <f>_xll.qlPolynomialFunctionValue(BK$1,$BD30,AllTriggers)</f>
        <v>1.7651607003422213E-3</v>
      </c>
      <c r="BL30" s="47">
        <f>_xll.qlPolynomialFunctionValue(BL$1,$BD30,AllTriggers)</f>
        <v>1.691249550382936E-3</v>
      </c>
      <c r="BM30" s="47">
        <f>_xll.qlPolynomialFunctionValue(BM$1,$BD30,AllTriggers)</f>
        <v>1.7654956697442147E-3</v>
      </c>
      <c r="BN30" s="47">
        <f>_xll.qlPolynomialFunctionValue(BN$1,$BD30,AllTriggers)</f>
        <v>1.7637224475673308E-3</v>
      </c>
      <c r="BO30" s="47">
        <f>_xll.qlPolynomialFunctionValue(BO$1,$BD30,AllTriggers)</f>
        <v>1.7750491056232741E-3</v>
      </c>
      <c r="BP30" s="47">
        <f>_xll.qlPolynomialFunctionValue(BP$1,$BD30,AllTriggers)</f>
        <v>1.8246342383390337E-3</v>
      </c>
      <c r="BQ30" s="47">
        <f>_xll.qlPolynomialFunctionValue('6MSynthDepo_used'!$P$18,BD30,AllTriggers)</f>
        <v>1.7470593406656426E-3</v>
      </c>
    </row>
    <row r="31" spans="1:69" ht="12" customHeight="1" thickBot="1" x14ac:dyDescent="0.25">
      <c r="F31" s="133" t="s">
        <v>76</v>
      </c>
      <c r="G31" s="89"/>
      <c r="H31" s="89"/>
      <c r="S31" s="89"/>
      <c r="T31" s="89"/>
      <c r="U31" s="89"/>
      <c r="V31" s="89"/>
      <c r="W31" s="89"/>
      <c r="X31" s="232"/>
      <c r="Y31" s="233"/>
      <c r="Z31" s="89"/>
      <c r="AA31" s="89"/>
      <c r="AB31" s="234"/>
      <c r="BC31" s="178">
        <f>_xll.qlCalendarAdvance(Calendar,BC30,"1d","mf",,Trigger)</f>
        <v>42173</v>
      </c>
      <c r="BD31" s="41">
        <f>_xll.qlDayCounterYearFraction(DayCounter,SettlementDate,BC31,,,Trigger)</f>
        <v>9.7222222222222224E-2</v>
      </c>
      <c r="BE31" s="47">
        <f>_xll.qlPolynomialFunctionValue(BE$1,$BD31,AllTriggers)</f>
        <v>1.7498405640236326E-3</v>
      </c>
      <c r="BF31" s="47">
        <f>_xll.qlPolynomialFunctionValue(BF$1,$BD31,AllTriggers)</f>
        <v>1.7443574537394627E-3</v>
      </c>
      <c r="BG31" s="47">
        <f>_xll.qlPolynomialFunctionValue(BG$1,$BD31,AllTriggers)</f>
        <v>1.7627212980673194E-3</v>
      </c>
      <c r="BH31" s="47">
        <f>_xll.qlPolynomialFunctionValue(BH$1,$BD31,AllTriggers)</f>
        <v>1.6874951015888944E-3</v>
      </c>
      <c r="BI31" s="47">
        <f>_xll.qlPolynomialFunctionValue(BI$1,$BD31,AllTriggers)</f>
        <v>1.7464828886783557E-3</v>
      </c>
      <c r="BJ31" s="47">
        <f>_xll.qlPolynomialFunctionValue(BJ$1,$BD31,AllTriggers)</f>
        <v>1.7392572375850037E-3</v>
      </c>
      <c r="BK31" s="47">
        <f>_xll.qlPolynomialFunctionValue(BK$1,$BD31,AllTriggers)</f>
        <v>1.7662292560607174E-3</v>
      </c>
      <c r="BL31" s="47">
        <f>_xll.qlPolynomialFunctionValue(BL$1,$BD31,AllTriggers)</f>
        <v>1.6942562535824598E-3</v>
      </c>
      <c r="BM31" s="47">
        <f>_xll.qlPolynomialFunctionValue(BM$1,$BD31,AllTriggers)</f>
        <v>1.7664930340001309E-3</v>
      </c>
      <c r="BN31" s="47">
        <f>_xll.qlPolynomialFunctionValue(BN$1,$BD31,AllTriggers)</f>
        <v>1.7647627834210633E-3</v>
      </c>
      <c r="BO31" s="47">
        <f>_xll.qlPolynomialFunctionValue(BO$1,$BD31,AllTriggers)</f>
        <v>1.7759834005315576E-3</v>
      </c>
      <c r="BP31" s="47">
        <f>_xll.qlPolynomialFunctionValue(BP$1,$BD31,AllTriggers)</f>
        <v>1.8246843718949985E-3</v>
      </c>
      <c r="BQ31" s="47">
        <f>_xll.qlPolynomialFunctionValue('6MSynthDepo_used'!$P$18,BD31,AllTriggers)</f>
        <v>1.7485291828908136E-3</v>
      </c>
    </row>
    <row r="32" spans="1:69" ht="12" customHeight="1" x14ac:dyDescent="0.2">
      <c r="G32" s="147" t="s">
        <v>66</v>
      </c>
      <c r="H32" s="148"/>
      <c r="S32" s="148"/>
      <c r="T32" s="148"/>
      <c r="U32" s="148"/>
      <c r="V32" s="148"/>
      <c r="W32" s="148"/>
      <c r="X32" s="149"/>
      <c r="Y32" s="147" t="s">
        <v>67</v>
      </c>
      <c r="Z32" s="148"/>
      <c r="AA32" s="148"/>
      <c r="AB32" s="149"/>
      <c r="BC32" s="178">
        <f>_xll.qlCalendarAdvance(Calendar,BC31,"1d","mf",,Trigger)</f>
        <v>42174</v>
      </c>
      <c r="BD32" s="41">
        <f>_xll.qlDayCounterYearFraction(DayCounter,SettlementDate,BC32,,,Trigger)</f>
        <v>0.1</v>
      </c>
      <c r="BE32" s="47">
        <f>_xll.qlPolynomialFunctionValue(BE$1,$BD32,AllTriggers)</f>
        <v>1.7510702498087333E-3</v>
      </c>
      <c r="BF32" s="47">
        <f>_xll.qlPolynomialFunctionValue(BF$1,$BD32,AllTriggers)</f>
        <v>1.7459320334962248E-3</v>
      </c>
      <c r="BG32" s="47">
        <f>_xll.qlPolynomialFunctionValue(BG$1,$BD32,AllTriggers)</f>
        <v>1.763807864585268E-3</v>
      </c>
      <c r="BH32" s="47">
        <f>_xll.qlPolynomialFunctionValue(BH$1,$BD32,AllTriggers)</f>
        <v>1.690580780010192E-3</v>
      </c>
      <c r="BI32" s="47">
        <f>_xll.qlPolynomialFunctionValue(BI$1,$BD32,AllTriggers)</f>
        <v>1.7477745671921328E-3</v>
      </c>
      <c r="BJ32" s="47">
        <f>_xll.qlPolynomialFunctionValue(BJ$1,$BD32,AllTriggers)</f>
        <v>1.7410451518150042E-3</v>
      </c>
      <c r="BK32" s="47">
        <f>_xll.qlPolynomialFunctionValue(BK$1,$BD32,AllTriggers)</f>
        <v>1.7672978117792136E-3</v>
      </c>
      <c r="BL32" s="47">
        <f>_xll.qlPolynomialFunctionValue(BL$1,$BD32,AllTriggers)</f>
        <v>1.6972443687131619E-3</v>
      </c>
      <c r="BM32" s="47">
        <f>_xll.qlPolynomialFunctionValue(BM$1,$BD32,AllTriggers)</f>
        <v>1.7674903982560471E-3</v>
      </c>
      <c r="BN32" s="47">
        <f>_xll.qlPolynomialFunctionValue(BN$1,$BD32,AllTriggers)</f>
        <v>1.7658027708536831E-3</v>
      </c>
      <c r="BO32" s="47">
        <f>_xll.qlPolynomialFunctionValue(BO$1,$BD32,AllTriggers)</f>
        <v>1.7769176954398414E-3</v>
      </c>
      <c r="BP32" s="47">
        <f>_xll.qlPolynomialFunctionValue(BP$1,$BD32,AllTriggers)</f>
        <v>1.8247407105977996E-3</v>
      </c>
      <c r="BQ32" s="47">
        <f>_xll.qlPolynomialFunctionValue('6MSynthDepo_used'!$P$18,BD32,AllTriggers)</f>
        <v>1.7499946382573898E-3</v>
      </c>
    </row>
    <row r="33" spans="3:69" ht="12" customHeight="1" x14ac:dyDescent="0.2">
      <c r="G33" s="214" t="s">
        <v>106</v>
      </c>
      <c r="H33" s="215"/>
      <c r="S33" s="215"/>
      <c r="T33" s="216"/>
      <c r="U33" s="214" t="s">
        <v>107</v>
      </c>
      <c r="V33" s="215"/>
      <c r="W33" s="215"/>
      <c r="X33" s="216"/>
      <c r="Y33" s="214" t="s">
        <v>106</v>
      </c>
      <c r="Z33" s="215"/>
      <c r="AA33" s="215"/>
      <c r="AB33" s="216"/>
      <c r="BC33" s="178">
        <f>_xll.qlCalendarAdvance(Calendar,BC32,"1d","mf",,Trigger)</f>
        <v>42177</v>
      </c>
      <c r="BD33" s="41">
        <f>_xll.qlDayCounterYearFraction(DayCounter,SettlementDate,BC33,,,Trigger)</f>
        <v>0.10833333333333334</v>
      </c>
      <c r="BE33" s="47">
        <f>_xll.qlPolynomialFunctionValue(BE$1,$BD33,AllTriggers)</f>
        <v>1.7547593071640354E-3</v>
      </c>
      <c r="BF33" s="47">
        <f>_xll.qlPolynomialFunctionValue(BF$1,$BD33,AllTriggers)</f>
        <v>1.75062761815658E-3</v>
      </c>
      <c r="BG33" s="47">
        <f>_xll.qlPolynomialFunctionValue(BG$1,$BD33,AllTriggers)</f>
        <v>1.7670675641391139E-3</v>
      </c>
      <c r="BH33" s="47">
        <f>_xll.qlPolynomialFunctionValue(BH$1,$BD33,AllTriggers)</f>
        <v>1.6997224818950452E-3</v>
      </c>
      <c r="BI33" s="47">
        <f>_xll.qlPolynomialFunctionValue(BI$1,$BD33,AllTriggers)</f>
        <v>1.7516496027334639E-3</v>
      </c>
      <c r="BJ33" s="47">
        <f>_xll.qlPolynomialFunctionValue(BJ$1,$BD33,AllTriggers)</f>
        <v>1.7463670990218306E-3</v>
      </c>
      <c r="BK33" s="47">
        <f>_xll.qlPolynomialFunctionValue(BK$1,$BD33,AllTriggers)</f>
        <v>1.7705034789347021E-3</v>
      </c>
      <c r="BL33" s="47">
        <f>_xll.qlPolynomialFunctionValue(BL$1,$BD33,AllTriggers)</f>
        <v>1.7060971856923369E-3</v>
      </c>
      <c r="BM33" s="47">
        <f>_xll.qlPolynomialFunctionValue(BM$1,$BD33,AllTriggers)</f>
        <v>1.7704824910237957E-3</v>
      </c>
      <c r="BN33" s="47">
        <f>_xll.qlPolynomialFunctionValue(BN$1,$BD33,AllTriggers)</f>
        <v>1.768920642624868E-3</v>
      </c>
      <c r="BO33" s="47">
        <f>_xll.qlPolynomialFunctionValue(BO$1,$BD33,AllTriggers)</f>
        <v>1.7797205801646924E-3</v>
      </c>
      <c r="BP33" s="47">
        <f>_xll.qlPolynomialFunctionValue(BP$1,$BD33,AllTriggers)</f>
        <v>1.8249469575872211E-3</v>
      </c>
      <c r="BQ33" s="47">
        <f>_xll.qlPolynomialFunctionValue('6MSynthDepo_used'!$P$18,BD33,AllTriggers)</f>
        <v>1.7543647875735398E-3</v>
      </c>
    </row>
    <row r="34" spans="3:69" ht="12" customHeight="1" thickBot="1" x14ac:dyDescent="0.25">
      <c r="G34" s="134" t="str">
        <f>"with 0X"&amp;SUBSTITUTE($D$24,"M","")</f>
        <v>with 0X6</v>
      </c>
      <c r="H34" s="110"/>
      <c r="S34" s="109" t="str">
        <f>"without 0X"&amp;SUBSTITUTE($D$24,"M","")</f>
        <v>without 0X6</v>
      </c>
      <c r="T34" s="135"/>
      <c r="U34" s="134" t="str">
        <f>"with 0X"&amp;SUBSTITUTE($D$24,"M","")</f>
        <v>with 0X6</v>
      </c>
      <c r="V34" s="110"/>
      <c r="W34" s="109" t="str">
        <f>"without 0X"&amp;SUBSTITUTE($D$24,"M","")</f>
        <v>without 0X6</v>
      </c>
      <c r="X34" s="135"/>
      <c r="Y34" s="134" t="str">
        <f>"with 0X"&amp;SUBSTITUTE($D$24,"M","")</f>
        <v>with 0X6</v>
      </c>
      <c r="Z34" s="110"/>
      <c r="AA34" s="109" t="str">
        <f>"without 0X"&amp;SUBSTITUTE($D$24,"M","")</f>
        <v>without 0X6</v>
      </c>
      <c r="AB34" s="135"/>
      <c r="BC34" s="178">
        <f>_xll.qlCalendarAdvance(Calendar,BC33,"1d","mf",,Trigger)</f>
        <v>42178</v>
      </c>
      <c r="BD34" s="41">
        <f>_xll.qlDayCounterYearFraction(DayCounter,SettlementDate,BC34,,,Trigger)</f>
        <v>0.1111111111111111</v>
      </c>
      <c r="BE34" s="47">
        <f>_xll.qlPolynomialFunctionValue(BE$1,$BD34,AllTriggers)</f>
        <v>1.7559889929491361E-3</v>
      </c>
      <c r="BF34" s="47">
        <f>_xll.qlPolynomialFunctionValue(BF$1,$BD34,AllTriggers)</f>
        <v>1.7521834281733878E-3</v>
      </c>
      <c r="BG34" s="47">
        <f>_xll.qlPolynomialFunctionValue(BG$1,$BD34,AllTriggers)</f>
        <v>1.7681541306570625E-3</v>
      </c>
      <c r="BH34" s="47">
        <f>_xll.qlPolynomialFunctionValue(BH$1,$BD34,AllTriggers)</f>
        <v>1.7027312713969833E-3</v>
      </c>
      <c r="BI34" s="47">
        <f>_xll.qlPolynomialFunctionValue(BI$1,$BD34,AllTriggers)</f>
        <v>1.752941281247241E-3</v>
      </c>
      <c r="BJ34" s="47">
        <f>_xll.qlPolynomialFunctionValue(BJ$1,$BD34,AllTriggers)</f>
        <v>1.7481271495963812E-3</v>
      </c>
      <c r="BK34" s="47">
        <f>_xll.qlPolynomialFunctionValue(BK$1,$BD34,AllTriggers)</f>
        <v>1.7715720346531984E-3</v>
      </c>
      <c r="BL34" s="47">
        <f>_xll.qlPolynomialFunctionValue(BL$1,$BD34,AllTriggers)</f>
        <v>1.7090109485477516E-3</v>
      </c>
      <c r="BM34" s="47">
        <f>_xll.qlPolynomialFunctionValue(BM$1,$BD34,AllTriggers)</f>
        <v>1.7714798552797117E-3</v>
      </c>
      <c r="BN34" s="47">
        <f>_xll.qlPolynomialFunctionValue(BN$1,$BD34,AllTriggers)</f>
        <v>1.7699592363730379E-3</v>
      </c>
      <c r="BO34" s="47">
        <f>_xll.qlPolynomialFunctionValue(BO$1,$BD34,AllTriggers)</f>
        <v>1.7806548750729761E-3</v>
      </c>
      <c r="BP34" s="47">
        <f>_xll.qlPolynomialFunctionValue(BP$1,$BD34,AllTriggers)</f>
        <v>1.8250281168773676E-3</v>
      </c>
      <c r="BQ34" s="47">
        <f>_xll.qlPolynomialFunctionValue('6MSynthDepo_used'!$P$18,BD34,AllTriggers)</f>
        <v>1.7558127998737261E-3</v>
      </c>
    </row>
    <row r="35" spans="3:69" ht="12" customHeight="1" x14ac:dyDescent="0.2">
      <c r="D35" s="36" t="s">
        <v>49</v>
      </c>
      <c r="E35" s="36" t="s">
        <v>38</v>
      </c>
      <c r="F35" s="36" t="s">
        <v>39</v>
      </c>
      <c r="G35" s="136" t="str">
        <f>IF(COUNT(G$28:G$31)=2,"Linear","Quadratic")</f>
        <v>Linear</v>
      </c>
      <c r="H35" s="38" t="str">
        <f>IF(COUNT(H$28:H$31)=2,"Linear","Quadratic")</f>
        <v>Quadratic</v>
      </c>
      <c r="S35" s="38" t="str">
        <f t="shared" ref="S35:AB35" si="12">IF(COUNT(S$28:S$31)=2,"Linear","Quadratic")</f>
        <v>Linear</v>
      </c>
      <c r="T35" s="137" t="str">
        <f t="shared" si="12"/>
        <v>Quadratic</v>
      </c>
      <c r="U35" s="136" t="str">
        <f t="shared" si="12"/>
        <v>Linear</v>
      </c>
      <c r="V35" s="38" t="str">
        <f t="shared" si="12"/>
        <v>Quadratic</v>
      </c>
      <c r="W35" s="38" t="str">
        <f t="shared" si="12"/>
        <v>Linear</v>
      </c>
      <c r="X35" s="137" t="str">
        <f t="shared" si="12"/>
        <v>Quadratic</v>
      </c>
      <c r="Y35" s="136" t="str">
        <f t="shared" si="12"/>
        <v>Linear</v>
      </c>
      <c r="Z35" s="38" t="str">
        <f t="shared" si="12"/>
        <v>Quadratic</v>
      </c>
      <c r="AA35" s="38" t="str">
        <f t="shared" si="12"/>
        <v>Linear</v>
      </c>
      <c r="AB35" s="137" t="str">
        <f t="shared" si="12"/>
        <v>Quadratic</v>
      </c>
      <c r="AC35" s="255" t="s">
        <v>105</v>
      </c>
      <c r="BC35" s="178">
        <f>_xll.qlCalendarAdvance(Calendar,BC34,"1d","mf",,Trigger)</f>
        <v>42179</v>
      </c>
      <c r="BD35" s="41">
        <f>_xll.qlDayCounterYearFraction(DayCounter,SettlementDate,BC35,,,Trigger)</f>
        <v>0.11388888888888889</v>
      </c>
      <c r="BE35" s="47">
        <f>_xll.qlPolynomialFunctionValue(BE$1,$BD35,AllTriggers)</f>
        <v>1.7572186787342368E-3</v>
      </c>
      <c r="BF35" s="47">
        <f>_xll.qlPolynomialFunctionValue(BF$1,$BD35,AllTriggers)</f>
        <v>1.7537345457552072E-3</v>
      </c>
      <c r="BG35" s="47">
        <f>_xll.qlPolynomialFunctionValue(BG$1,$BD35,AllTriggers)</f>
        <v>1.7692406971750111E-3</v>
      </c>
      <c r="BH35" s="47">
        <f>_xll.qlPolynomialFunctionValue(BH$1,$BD35,AllTriggers)</f>
        <v>1.7057208386690814E-3</v>
      </c>
      <c r="BI35" s="47">
        <f>_xll.qlPolynomialFunctionValue(BI$1,$BD35,AllTriggers)</f>
        <v>1.7542329597610182E-3</v>
      </c>
      <c r="BJ35" s="47">
        <f>_xll.qlPolynomialFunctionValue(BJ$1,$BD35,AllTriggers)</f>
        <v>1.7498802342570694E-3</v>
      </c>
      <c r="BK35" s="47">
        <f>_xll.qlPolynomialFunctionValue(BK$1,$BD35,AllTriggers)</f>
        <v>1.7726405903716945E-3</v>
      </c>
      <c r="BL35" s="47">
        <f>_xll.qlPolynomialFunctionValue(BL$1,$BD35,AllTriggers)</f>
        <v>1.7119061233343443E-3</v>
      </c>
      <c r="BM35" s="47">
        <f>_xll.qlPolynomialFunctionValue(BM$1,$BD35,AllTriggers)</f>
        <v>1.7724772195356279E-3</v>
      </c>
      <c r="BN35" s="47">
        <f>_xll.qlPolynomialFunctionValue(BN$1,$BD35,AllTriggers)</f>
        <v>1.7709974817000952E-3</v>
      </c>
      <c r="BO35" s="47">
        <f>_xll.qlPolynomialFunctionValue(BO$1,$BD35,AllTriggers)</f>
        <v>1.7815891699812596E-3</v>
      </c>
      <c r="BP35" s="47">
        <f>_xll.qlPolynomialFunctionValue(BP$1,$BD35,AllTriggers)</f>
        <v>1.8251154813143506E-3</v>
      </c>
      <c r="BQ35" s="47">
        <f>_xll.qlPolynomialFunctionValue('6MSynthDepo_used'!$P$18,BD35,AllTriggers)</f>
        <v>1.7572564774993116E-3</v>
      </c>
    </row>
    <row r="36" spans="3:69" ht="12" customHeight="1" x14ac:dyDescent="0.2">
      <c r="C36" s="19">
        <v>0</v>
      </c>
      <c r="D36" s="45" t="s">
        <v>25</v>
      </c>
      <c r="E36" s="175">
        <f>_xll.qlCalendarAdvance(Calendar,SettlementDate,C36&amp;"M","mf",TRUE,Trigger)</f>
        <v>42138</v>
      </c>
      <c r="F36" s="245">
        <f>_xll.qlCalendarAdvance(Calendar,SettlementDate,D36,"Following",,Trigger)</f>
        <v>42139</v>
      </c>
      <c r="G36" s="253">
        <f>_xll.qlTenorBasisForwardRate2(G$27,$E36,$F36,InterestRatesTrigger)</f>
        <v>6.9400997157131883E-4</v>
      </c>
      <c r="H36" s="193">
        <f>_xll.qlTenorBasisForwardRate2(H$27,$E36,$F36,InterestRatesTrigger)</f>
        <v>6.7402829661666885E-4</v>
      </c>
      <c r="S36" s="193">
        <f>_xll.qlTenorBasisForwardRate2(S$27,$E36,$F36,InterestRatesTrigger)</f>
        <v>7.1158523449632582E-4</v>
      </c>
      <c r="T36" s="254">
        <f>_xll.qlTenorBasisForwardRate2(T$27,$E36,$F36,InterestRatesTrigger)</f>
        <v>5.5773590537988582E-4</v>
      </c>
      <c r="U36" s="253">
        <f>_xll.qlTenorBasisForwardRate2(U$27,$E36,$F36,InterestRatesTrigger)</f>
        <v>6.8858841133057069E-4</v>
      </c>
      <c r="V36" s="193">
        <f>_xll.qlTenorBasisForwardRate2(V$27,$E36,$F36,InterestRatesTrigger)</f>
        <v>6.6036348445486226E-4</v>
      </c>
      <c r="W36" s="193">
        <f>_xll.qlTenorBasisForwardRate2(W$27,$E36,$F36,InterestRatesTrigger)</f>
        <v>7.1565812867824263E-4</v>
      </c>
      <c r="X36" s="254">
        <f>_xll.qlTenorBasisForwardRate2(X$27,$E36,$F36,InterestRatesTrigger)</f>
        <v>5.6810813893193313E-4</v>
      </c>
      <c r="Y36" s="253">
        <f>_xll.qlTenorBasisForwardRate2(Y$27,$E36,$F36,InterestRatesTrigger)</f>
        <v>7.1834123969161112E-4</v>
      </c>
      <c r="Z36" s="193">
        <f>_xll.qlTenorBasisForwardRate2(Z$27,$E36,$F36,InterestRatesTrigger)</f>
        <v>7.1497350288218797E-4</v>
      </c>
      <c r="AA36" s="193">
        <f>_xll.qlTenorBasisForwardRate2(AA$27,$E36,$F36,InterestRatesTrigger)</f>
        <v>7.29848136087341E-4</v>
      </c>
      <c r="AB36" s="254">
        <f>_xll.qlTenorBasisForwardRate2(AB$27,$E36,$F36,InterestRatesTrigger)</f>
        <v>8.1151218041419781E-4</v>
      </c>
      <c r="AC36" s="254">
        <f>'6MSynthDepo_used'!AA15</f>
        <v>6.8197105091094556E-4</v>
      </c>
      <c r="BC36" s="178">
        <f>_xll.qlCalendarAdvance(Calendar,BC35,"1d","mf",,Trigger)</f>
        <v>42180</v>
      </c>
      <c r="BD36" s="41">
        <f>_xll.qlDayCounterYearFraction(DayCounter,SettlementDate,BC36,,,Trigger)</f>
        <v>0.11666666666666667</v>
      </c>
      <c r="BE36" s="47">
        <f>_xll.qlPolynomialFunctionValue(BE$1,$BD36,AllTriggers)</f>
        <v>1.7584483645193376E-3</v>
      </c>
      <c r="BF36" s="47">
        <f>_xll.qlPolynomialFunctionValue(BF$1,$BD36,AllTriggers)</f>
        <v>1.7552809709020377E-3</v>
      </c>
      <c r="BG36" s="47">
        <f>_xll.qlPolynomialFunctionValue(BG$1,$BD36,AllTriggers)</f>
        <v>1.7703272636929598E-3</v>
      </c>
      <c r="BH36" s="47">
        <f>_xll.qlPolynomialFunctionValue(BH$1,$BD36,AllTriggers)</f>
        <v>1.7086911837113396E-3</v>
      </c>
      <c r="BI36" s="47">
        <f>_xll.qlPolynomialFunctionValue(BI$1,$BD36,AllTriggers)</f>
        <v>1.7555246382747953E-3</v>
      </c>
      <c r="BJ36" s="47">
        <f>_xll.qlPolynomialFunctionValue(BJ$1,$BD36,AllTriggers)</f>
        <v>1.7516263530038946E-3</v>
      </c>
      <c r="BK36" s="47">
        <f>_xll.qlPolynomialFunctionValue(BK$1,$BD36,AllTriggers)</f>
        <v>1.7737091460901908E-3</v>
      </c>
      <c r="BL36" s="47">
        <f>_xll.qlPolynomialFunctionValue(BL$1,$BD36,AllTriggers)</f>
        <v>1.714782710052115E-3</v>
      </c>
      <c r="BM36" s="47">
        <f>_xll.qlPolynomialFunctionValue(BM$1,$BD36,AllTriggers)</f>
        <v>1.7734745837915441E-3</v>
      </c>
      <c r="BN36" s="47">
        <f>_xll.qlPolynomialFunctionValue(BN$1,$BD36,AllTriggers)</f>
        <v>1.7720353786060403E-3</v>
      </c>
      <c r="BO36" s="47">
        <f>_xll.qlPolynomialFunctionValue(BO$1,$BD36,AllTriggers)</f>
        <v>1.7825234648895434E-3</v>
      </c>
      <c r="BP36" s="47">
        <f>_xll.qlPolynomialFunctionValue(BP$1,$BD36,AllTriggers)</f>
        <v>1.82520905089817E-3</v>
      </c>
      <c r="BQ36" s="47">
        <f>_xll.qlPolynomialFunctionValue('6MSynthDepo_used'!$P$18,BD36,AllTriggers)</f>
        <v>1.7586958308870959E-3</v>
      </c>
    </row>
    <row r="37" spans="3:69" ht="12" customHeight="1" x14ac:dyDescent="0.2">
      <c r="C37" s="19">
        <v>0</v>
      </c>
      <c r="D37" s="48" t="s">
        <v>26</v>
      </c>
      <c r="E37" s="177">
        <f>_xll.qlCalendarAdvance(Calendar,SettlementDate,C37&amp;"M","mf",TRUE,Trigger)</f>
        <v>42138</v>
      </c>
      <c r="F37" s="246">
        <f>_xll.qlCalendarAdvance(Calendar,SettlementDate,D37,"Following",,Trigger)</f>
        <v>42145</v>
      </c>
      <c r="G37" s="138">
        <f>_xll.qlTenorBasisForwardRate2(G$27,$E37,$F37,InterestRatesTrigger)</f>
        <v>6.9760271344674967E-4</v>
      </c>
      <c r="H37" s="128">
        <f>_xll.qlTenorBasisForwardRate2(H$27,$E37,$F37,InterestRatesTrigger)</f>
        <v>6.7907748586623227E-4</v>
      </c>
      <c r="S37" s="128">
        <f>_xll.qlTenorBasisForwardRate2(S$27,$E37,$F37,InterestRatesTrigger)</f>
        <v>7.1476050253340057E-4</v>
      </c>
      <c r="T37" s="139">
        <f>_xll.qlTenorBasisForwardRate2(T$27,$E37,$F37,InterestRatesTrigger)</f>
        <v>5.6858769192353568E-4</v>
      </c>
      <c r="U37" s="138">
        <f>_xll.qlTenorBasisForwardRate2(U$27,$E37,$F37,InterestRatesTrigger)</f>
        <v>6.923620106378893E-4</v>
      </c>
      <c r="V37" s="128">
        <f>_xll.qlTenorBasisForwardRate2(V$27,$E37,$F37,InterestRatesTrigger)</f>
        <v>6.662532072900161E-4</v>
      </c>
      <c r="W37" s="128">
        <f>_xll.qlTenorBasisForwardRate2(W$27,$E37,$F37,InterestRatesTrigger)</f>
        <v>7.1878088244809693E-4</v>
      </c>
      <c r="X37" s="139">
        <f>_xll.qlTenorBasisForwardRate2(X$27,$E37,$F37,InterestRatesTrigger)</f>
        <v>5.7861446232035764E-4</v>
      </c>
      <c r="Y37" s="138">
        <f>_xll.qlTenorBasisForwardRate2(Y$27,$E37,$F37,InterestRatesTrigger)</f>
        <v>7.2125625964274728E-4</v>
      </c>
      <c r="Z37" s="128">
        <f>_xll.qlTenorBasisForwardRate2(Z$27,$E37,$F37,InterestRatesTrigger)</f>
        <v>7.1804629765510289E-4</v>
      </c>
      <c r="AA37" s="128">
        <f>_xll.qlTenorBasisForwardRate2(AA$27,$E37,$F37,InterestRatesTrigger)</f>
        <v>7.3257923323006527E-4</v>
      </c>
      <c r="AB37" s="139">
        <f>_xll.qlTenorBasisForwardRate2(AB$27,$E37,$F37,InterestRatesTrigger)</f>
        <v>8.1108684102762897E-4</v>
      </c>
      <c r="AC37" s="139">
        <f>'6MSynthDepo_used'!AA16</f>
        <v>6.8668853549677265E-4</v>
      </c>
      <c r="BC37" s="178">
        <f>_xll.qlCalendarAdvance(Calendar,BC36,"1d","mf",,Trigger)</f>
        <v>42181</v>
      </c>
      <c r="BD37" s="41">
        <f>_xll.qlDayCounterYearFraction(DayCounter,SettlementDate,BC37,,,Trigger)</f>
        <v>0.11944444444444445</v>
      </c>
      <c r="BE37" s="47">
        <f>_xll.qlPolynomialFunctionValue(BE$1,$BD37,AllTriggers)</f>
        <v>1.7596780503044381E-3</v>
      </c>
      <c r="BF37" s="47">
        <f>_xll.qlPolynomialFunctionValue(BF$1,$BD37,AllTriggers)</f>
        <v>1.7568227036138799E-3</v>
      </c>
      <c r="BG37" s="47">
        <f>_xll.qlPolynomialFunctionValue(BG$1,$BD37,AllTriggers)</f>
        <v>1.7714138302109084E-3</v>
      </c>
      <c r="BH37" s="47">
        <f>_xll.qlPolynomialFunctionValue(BH$1,$BD37,AllTriggers)</f>
        <v>1.711642306523758E-3</v>
      </c>
      <c r="BI37" s="47">
        <f>_xll.qlPolynomialFunctionValue(BI$1,$BD37,AllTriggers)</f>
        <v>1.7568163167885724E-3</v>
      </c>
      <c r="BJ37" s="47">
        <f>_xll.qlPolynomialFunctionValue(BJ$1,$BD37,AllTriggers)</f>
        <v>1.7533655058368574E-3</v>
      </c>
      <c r="BK37" s="47">
        <f>_xll.qlPolynomialFunctionValue(BK$1,$BD37,AllTriggers)</f>
        <v>1.7747777018086869E-3</v>
      </c>
      <c r="BL37" s="47">
        <f>_xll.qlPolynomialFunctionValue(BL$1,$BD37,AllTriggers)</f>
        <v>1.7176407087010643E-3</v>
      </c>
      <c r="BM37" s="47">
        <f>_xll.qlPolynomialFunctionValue(BM$1,$BD37,AllTriggers)</f>
        <v>1.7744719480474603E-3</v>
      </c>
      <c r="BN37" s="47">
        <f>_xll.qlPolynomialFunctionValue(BN$1,$BD37,AllTriggers)</f>
        <v>1.7730729270908725E-3</v>
      </c>
      <c r="BO37" s="47">
        <f>_xll.qlPolynomialFunctionValue(BO$1,$BD37,AllTriggers)</f>
        <v>1.7834577597978271E-3</v>
      </c>
      <c r="BP37" s="47">
        <f>_xll.qlPolynomialFunctionValue(BP$1,$BD37,AllTriggers)</f>
        <v>1.8253088256288256E-3</v>
      </c>
      <c r="BQ37" s="47">
        <f>_xll.qlPolynomialFunctionValue('6MSynthDepo_used'!$P$18,BD37,AllTriggers)</f>
        <v>1.7601308704738765E-3</v>
      </c>
    </row>
    <row r="38" spans="3:69" ht="12" customHeight="1" x14ac:dyDescent="0.2">
      <c r="C38" s="19">
        <v>0</v>
      </c>
      <c r="D38" s="48" t="s">
        <v>27</v>
      </c>
      <c r="E38" s="177">
        <f>_xll.qlCalendarAdvance(Calendar,SettlementDate,C38&amp;"M","mf",TRUE,Trigger)</f>
        <v>42138</v>
      </c>
      <c r="F38" s="246">
        <f>_xll.qlCalendarAdvance(Calendar,SettlementDate,D38,"Following",,Trigger)</f>
        <v>42152</v>
      </c>
      <c r="G38" s="138">
        <f>_xll.qlTenorBasisForwardRate2(G$27,$E38,$F38,InterestRatesTrigger)</f>
        <v>6.9178416411297405E-4</v>
      </c>
      <c r="H38" s="128">
        <f>_xll.qlTenorBasisForwardRate2(H$27,$E38,$F38,InterestRatesTrigger)</f>
        <v>6.7488988531990855E-4</v>
      </c>
      <c r="S38" s="128">
        <f>_xll.qlTenorBasisForwardRate2(S$27,$E38,$F38,InterestRatesTrigger)</f>
        <v>7.0845488380909065E-4</v>
      </c>
      <c r="T38" s="139">
        <f>_xll.qlTenorBasisForwardRate2(T$27,$E38,$F38,InterestRatesTrigger)</f>
        <v>5.7095850649105774E-4</v>
      </c>
      <c r="U38" s="138">
        <f>_xll.qlTenorBasisForwardRate2(U$27,$E38,$F38,InterestRatesTrigger)</f>
        <v>6.8675446805332996E-4</v>
      </c>
      <c r="V38" s="128">
        <f>_xll.qlTenorBasisForwardRate2(V$27,$E38,$F38,InterestRatesTrigger)</f>
        <v>6.6301317074238643E-4</v>
      </c>
      <c r="W38" s="128">
        <f>_xll.qlTenorBasisForwardRate2(W$27,$E38,$F38,InterestRatesTrigger)</f>
        <v>7.1241399450551663E-4</v>
      </c>
      <c r="X38" s="139">
        <f>_xll.qlTenorBasisForwardRate2(X$27,$E38,$F38,InterestRatesTrigger)</f>
        <v>5.8059145714534869E-4</v>
      </c>
      <c r="Y38" s="138">
        <f>_xll.qlTenorBasisForwardRate2(Y$27,$E38,$F38,InterestRatesTrigger)</f>
        <v>7.1464700870763455E-4</v>
      </c>
      <c r="Z38" s="128">
        <f>_xll.qlTenorBasisForwardRate2(Z$27,$E38,$F38,InterestRatesTrigger)</f>
        <v>7.1161605263864961E-4</v>
      </c>
      <c r="AA38" s="128">
        <f>_xll.qlTenorBasisForwardRate2(AA$27,$E38,$F38,InterestRatesTrigger)</f>
        <v>7.257553969854312E-4</v>
      </c>
      <c r="AB38" s="139">
        <f>_xll.qlTenorBasisForwardRate2(AB$27,$E38,$F38,InterestRatesTrigger)</f>
        <v>8.0067066671597937E-4</v>
      </c>
      <c r="AC38" s="139">
        <f>'6MSynthDepo_used'!AA17</f>
        <v>6.8211389028555961E-4</v>
      </c>
      <c r="BC38" s="178">
        <f>_xll.qlCalendarAdvance(Calendar,BC37,"1d","mf",,Trigger)</f>
        <v>42184</v>
      </c>
      <c r="BD38" s="41">
        <f>_xll.qlDayCounterYearFraction(DayCounter,SettlementDate,BC38,,,Trigger)</f>
        <v>0.12777777777777777</v>
      </c>
      <c r="BE38" s="47">
        <f>_xll.qlPolynomialFunctionValue(BE$1,$BD38,AllTriggers)</f>
        <v>1.7633671076597403E-3</v>
      </c>
      <c r="BF38" s="47">
        <f>_xll.qlPolynomialFunctionValue(BF$1,$BD38,AllTriggers)</f>
        <v>1.7614197471394746E-3</v>
      </c>
      <c r="BG38" s="47">
        <f>_xll.qlPolynomialFunctionValue(BG$1,$BD38,AllTriggers)</f>
        <v>1.7746735297647542E-3</v>
      </c>
      <c r="BH38" s="47">
        <f>_xll.qlPolynomialFunctionValue(BH$1,$BD38,AllTriggers)</f>
        <v>1.7203803415819733E-3</v>
      </c>
      <c r="BI38" s="47">
        <f>_xll.qlPolynomialFunctionValue(BI$1,$BD38,AllTriggers)</f>
        <v>1.7606913523299037E-3</v>
      </c>
      <c r="BJ38" s="47">
        <f>_xll.qlPolynomialFunctionValue(BJ$1,$BD38,AllTriggers)</f>
        <v>1.7585411688525708E-3</v>
      </c>
      <c r="BK38" s="47">
        <f>_xll.qlPolynomialFunctionValue(BK$1,$BD38,AllTriggers)</f>
        <v>1.7779833689641753E-3</v>
      </c>
      <c r="BL38" s="47">
        <f>_xll.qlPolynomialFunctionValue(BL$1,$BD38,AllTriggers)</f>
        <v>1.7261031762349798E-3</v>
      </c>
      <c r="BM38" s="47">
        <f>_xll.qlPolynomialFunctionValue(BM$1,$BD38,AllTriggers)</f>
        <v>1.7774640408152089E-3</v>
      </c>
      <c r="BN38" s="47">
        <f>_xll.qlPolynomialFunctionValue(BN$1,$BD38,AllTriggers)</f>
        <v>1.7761834820186949E-3</v>
      </c>
      <c r="BO38" s="47">
        <f>_xll.qlPolynomialFunctionValue(BO$1,$BD38,AllTriggers)</f>
        <v>1.7862606445226781E-3</v>
      </c>
      <c r="BP38" s="47">
        <f>_xll.qlPolynomialFunctionValue(BP$1,$BD38,AllTriggers)</f>
        <v>1.8256453807018111E-3</v>
      </c>
      <c r="BQ38" s="47">
        <f>_xll.qlPolynomialFunctionValue('6MSynthDepo_used'!$P$18,BD38,AllTriggers)</f>
        <v>1.7644102107961892E-3</v>
      </c>
    </row>
    <row r="39" spans="3:69" x14ac:dyDescent="0.2">
      <c r="C39" s="19">
        <v>0</v>
      </c>
      <c r="D39" s="48" t="s">
        <v>28</v>
      </c>
      <c r="E39" s="177">
        <f>_xll.qlCalendarAdvance(Calendar,SettlementDate,C39&amp;"M","mf",TRUE,Trigger)</f>
        <v>42138</v>
      </c>
      <c r="F39" s="246">
        <f>_xll.qlCalendarAdvance(Calendar,SettlementDate,D39,"Following",,Trigger)</f>
        <v>42159</v>
      </c>
      <c r="G39" s="138">
        <f>_xll.qlTenorBasisForwardRate2(G$27,$E39,$F39,InterestRatesTrigger)</f>
        <v>7.759739702871217E-4</v>
      </c>
      <c r="H39" s="128">
        <f>_xll.qlTenorBasisForwardRate2(H$27,$E39,$F39,InterestRatesTrigger)</f>
        <v>7.6063706654392964E-4</v>
      </c>
      <c r="S39" s="128">
        <f>_xll.qlTenorBasisForwardRate2(S$27,$E39,$F39,InterestRatesTrigger)</f>
        <v>7.9215768859925665E-4</v>
      </c>
      <c r="T39" s="139">
        <f>_xll.qlTenorBasisForwardRate2(T$27,$E39,$F39,InterestRatesTrigger)</f>
        <v>6.630360452180334E-4</v>
      </c>
      <c r="U39" s="138">
        <f>_xll.qlTenorBasisForwardRate2(U$27,$E39,$F39,InterestRatesTrigger)</f>
        <v>7.7115526237062472E-4</v>
      </c>
      <c r="V39" s="128">
        <f>_xll.qlTenorBasisForwardRate2(V$27,$E39,$F39,InterestRatesTrigger)</f>
        <v>7.4967225490242735E-4</v>
      </c>
      <c r="W39" s="128">
        <f>_xll.qlTenorBasisForwardRate2(W$27,$E39,$F39,InterestRatesTrigger)</f>
        <v>7.9605554789934682E-4</v>
      </c>
      <c r="X39" s="139">
        <f>_xll.qlTenorBasisForwardRate2(X$27,$E39,$F39,InterestRatesTrigger)</f>
        <v>6.7228515489046819E-4</v>
      </c>
      <c r="Y39" s="138">
        <f>_xll.qlTenorBasisForwardRate2(Y$27,$E39,$F39,InterestRatesTrigger)</f>
        <v>7.9804620239773015E-4</v>
      </c>
      <c r="Z39" s="128">
        <f>_xll.qlTenorBasisForwardRate2(Z$27,$E39,$F39,InterestRatesTrigger)</f>
        <v>7.9518878245516636E-4</v>
      </c>
      <c r="AA39" s="128">
        <f>_xll.qlTenorBasisForwardRate2(AA$27,$E39,$F39,InterestRatesTrigger)</f>
        <v>8.0894005374254618E-4</v>
      </c>
      <c r="AB39" s="139">
        <f>_xll.qlTenorBasisForwardRate2(AB$27,$E39,$F39,InterestRatesTrigger)</f>
        <v>8.8036047794964086E-4</v>
      </c>
      <c r="AC39" s="139">
        <f>'6MSynthDepo_used'!AA18</f>
        <v>7.6747480950243945E-4</v>
      </c>
      <c r="BC39" s="178">
        <f>_xll.qlCalendarAdvance(Calendar,BC38,"1d","mf",,Trigger)</f>
        <v>42185</v>
      </c>
      <c r="BD39" s="41">
        <f>_xll.qlDayCounterYearFraction(DayCounter,SettlementDate,BC39,,,Trigger)</f>
        <v>0.13055555555555556</v>
      </c>
      <c r="BE39" s="47">
        <f>_xll.qlPolynomialFunctionValue(BE$1,$BD39,AllTriggers)</f>
        <v>1.7645967934448411E-3</v>
      </c>
      <c r="BF39" s="47">
        <f>_xll.qlPolynomialFunctionValue(BF$1,$BD39,AllTriggers)</f>
        <v>1.7629427101113625E-3</v>
      </c>
      <c r="BG39" s="47">
        <f>_xll.qlPolynomialFunctionValue(BG$1,$BD39,AllTriggers)</f>
        <v>1.7757600962827029E-3</v>
      </c>
      <c r="BH39" s="47">
        <f>_xll.qlPolynomialFunctionValue(BH$1,$BD39,AllTriggers)</f>
        <v>1.723254575475032E-3</v>
      </c>
      <c r="BI39" s="47">
        <f>_xll.qlPolynomialFunctionValue(BI$1,$BD39,AllTriggers)</f>
        <v>1.7619830308436809E-3</v>
      </c>
      <c r="BJ39" s="47">
        <f>_xll.qlPolynomialFunctionValue(BJ$1,$BD39,AllTriggers)</f>
        <v>1.7602524580300834E-3</v>
      </c>
      <c r="BK39" s="47">
        <f>_xll.qlPolynomialFunctionValue(BK$1,$BD39,AllTriggers)</f>
        <v>1.7790519246826716E-3</v>
      </c>
      <c r="BL39" s="47">
        <f>_xll.qlPolynomialFunctionValue(BL$1,$BD39,AllTriggers)</f>
        <v>1.7288868226086414E-3</v>
      </c>
      <c r="BM39" s="47">
        <f>_xll.qlPolynomialFunctionValue(BM$1,$BD39,AllTriggers)</f>
        <v>1.7784614050711249E-3</v>
      </c>
      <c r="BN39" s="47">
        <f>_xll.qlPolynomialFunctionValue(BN$1,$BD39,AllTriggers)</f>
        <v>1.7772196368190771E-3</v>
      </c>
      <c r="BO39" s="47">
        <f>_xll.qlPolynomialFunctionValue(BO$1,$BD39,AllTriggers)</f>
        <v>1.7871949394309616E-3</v>
      </c>
      <c r="BP39" s="47">
        <f>_xll.qlPolynomialFunctionValue(BP$1,$BD39,AllTriggers)</f>
        <v>1.8257699760198122E-3</v>
      </c>
      <c r="BQ39" s="47">
        <f>_xll.qlPolynomialFunctionValue('6MSynthDepo_used'!$P$18,BD39,AllTriggers)</f>
        <v>1.7658280995469463E-3</v>
      </c>
    </row>
    <row r="40" spans="3:69" x14ac:dyDescent="0.2">
      <c r="C40" s="19">
        <v>0</v>
      </c>
      <c r="D40" s="129" t="s">
        <v>22</v>
      </c>
      <c r="E40" s="179">
        <f>_xll.qlCalendarAdvance(Calendar,SettlementDate,C40&amp;"M","mf",TRUE,Trigger)</f>
        <v>42138</v>
      </c>
      <c r="F40" s="247">
        <f>_xll.qlCalendarAdvance(Calendar,SettlementDate,D40,"mf",TRUE,Trigger)</f>
        <v>42170</v>
      </c>
      <c r="G40" s="140">
        <f>_xll.qlTenorBasisForwardRate2(G$27,$E40,$F40,InterestRatesTrigger)</f>
        <v>7.1035345997644272E-4</v>
      </c>
      <c r="H40" s="131">
        <f>_xll.qlTenorBasisForwardRate2(H$27,$E40,$F40,InterestRatesTrigger)</f>
        <v>6.9731553277857516E-4</v>
      </c>
      <c r="S40" s="131">
        <f>_xll.qlTenorBasisForwardRate2(S$27,$E40,$F40,InterestRatesTrigger)</f>
        <v>7.2577168441112505E-4</v>
      </c>
      <c r="T40" s="141">
        <f>_xll.qlTenorBasisForwardRate2(T$27,$E40,$F40,InterestRatesTrigger)</f>
        <v>6.092035174695698E-4</v>
      </c>
      <c r="U40" s="140">
        <f>_xll.qlTenorBasisForwardRate2(U$27,$E40,$F40,InterestRatesTrigger)</f>
        <v>7.058663697021017E-4</v>
      </c>
      <c r="V40" s="131">
        <f>_xll.qlTenorBasisForwardRate2(V$27,$E40,$F40,InterestRatesTrigger)</f>
        <v>6.8771189316751968E-4</v>
      </c>
      <c r="W40" s="131">
        <f>_xll.qlTenorBasisForwardRate2(W$27,$E40,$F40,InterestRatesTrigger)</f>
        <v>7.2957324500744214E-4</v>
      </c>
      <c r="X40" s="141">
        <f>_xll.qlTenorBasisForwardRate2(X$27,$E40,$F40,InterestRatesTrigger)</f>
        <v>6.1786941273095364E-4</v>
      </c>
      <c r="Y40" s="140">
        <f>_xll.qlTenorBasisForwardRate2(Y$27,$E40,$F40,InterestRatesTrigger)</f>
        <v>7.3118301241931194E-4</v>
      </c>
      <c r="Z40" s="131">
        <f>_xll.qlTenorBasisForwardRate2(Z$27,$E40,$F40,InterestRatesTrigger)</f>
        <v>7.2858730123331883E-4</v>
      </c>
      <c r="AA40" s="131">
        <f>_xll.qlTenorBasisForwardRate2(AA$27,$E40,$F40,InterestRatesTrigger)</f>
        <v>7.4173960130485828E-4</v>
      </c>
      <c r="AB40" s="141">
        <f>_xll.qlTenorBasisForwardRate2(AB$27,$E40,$F40,InterestRatesTrigger)</f>
        <v>8.0786359419354747E-4</v>
      </c>
      <c r="AC40" s="141">
        <f>'6MSynthDepo_used'!AA19</f>
        <v>7.035497652763123E-4</v>
      </c>
      <c r="BC40" s="178">
        <f>_xll.qlCalendarAdvance(Calendar,BC39,"1d","mf",,Trigger)</f>
        <v>42186</v>
      </c>
      <c r="BD40" s="41">
        <f>_xll.qlDayCounterYearFraction(DayCounter,SettlementDate,BC40,,,Trigger)</f>
        <v>0.13333333333333333</v>
      </c>
      <c r="BE40" s="47">
        <f>_xll.qlPolynomialFunctionValue(BE$1,$BD40,AllTriggers)</f>
        <v>1.7658264792299416E-3</v>
      </c>
      <c r="BF40" s="47">
        <f>_xll.qlPolynomialFunctionValue(BF$1,$BD40,AllTriggers)</f>
        <v>1.7644609806482616E-3</v>
      </c>
      <c r="BG40" s="47">
        <f>_xll.qlPolynomialFunctionValue(BG$1,$BD40,AllTriggers)</f>
        <v>1.7768466628006515E-3</v>
      </c>
      <c r="BH40" s="47">
        <f>_xll.qlPolynomialFunctionValue(BH$1,$BD40,AllTriggers)</f>
        <v>1.7261095871382508E-3</v>
      </c>
      <c r="BI40" s="47">
        <f>_xll.qlPolynomialFunctionValue(BI$1,$BD40,AllTriggers)</f>
        <v>1.763274709357458E-3</v>
      </c>
      <c r="BJ40" s="47">
        <f>_xll.qlPolynomialFunctionValue(BJ$1,$BD40,AllTriggers)</f>
        <v>1.7619567812937338E-3</v>
      </c>
      <c r="BK40" s="47">
        <f>_xll.qlPolynomialFunctionValue(BK$1,$BD40,AllTriggers)</f>
        <v>1.7801204804011677E-3</v>
      </c>
      <c r="BL40" s="47">
        <f>_xll.qlPolynomialFunctionValue(BL$1,$BD40,AllTriggers)</f>
        <v>1.7316518809134813E-3</v>
      </c>
      <c r="BM40" s="47">
        <f>_xll.qlPolynomialFunctionValue(BM$1,$BD40,AllTriggers)</f>
        <v>1.7794587693270411E-3</v>
      </c>
      <c r="BN40" s="47">
        <f>_xll.qlPolynomialFunctionValue(BN$1,$BD40,AllTriggers)</f>
        <v>1.778255443198347E-3</v>
      </c>
      <c r="BO40" s="47">
        <f>_xll.qlPolynomialFunctionValue(BO$1,$BD40,AllTriggers)</f>
        <v>1.7881292343392453E-3</v>
      </c>
      <c r="BP40" s="47">
        <f>_xll.qlPolynomialFunctionValue(BP$1,$BD40,AllTriggers)</f>
        <v>1.8259007764846497E-3</v>
      </c>
      <c r="BQ40" s="47">
        <f>_xll.qlPolynomialFunctionValue('6MSynthDepo_used'!$P$18,BD40,AllTriggers)</f>
        <v>1.7672417266806938E-3</v>
      </c>
    </row>
    <row r="41" spans="3:69" x14ac:dyDescent="0.2">
      <c r="C41" s="19">
        <v>0</v>
      </c>
      <c r="D41" s="48" t="s">
        <v>29</v>
      </c>
      <c r="E41" s="177">
        <f>_xll.qlCalendarAdvance(Calendar,SettlementDate,C41&amp;"M","mf",TRUE,Trigger)</f>
        <v>42138</v>
      </c>
      <c r="F41" s="246">
        <f>_xll.qlCalendarAdvance(Calendar,SettlementDate,D41,"mf",TRUE,Trigger)</f>
        <v>42199</v>
      </c>
      <c r="G41" s="138">
        <f>_xll.qlTenorBasisForwardRate2(G$27,$E41,$F41,InterestRatesTrigger)</f>
        <v>6.6218050879699754E-4</v>
      </c>
      <c r="H41" s="128">
        <f>_xll.qlTenorBasisForwardRate2(H$27,$E41,$F41,InterestRatesTrigger)</f>
        <v>6.5433336838936513E-4</v>
      </c>
      <c r="S41" s="128">
        <f>_xll.qlTenorBasisForwardRate2(S$27,$E41,$F41,InterestRatesTrigger)</f>
        <v>6.7558050454607143E-4</v>
      </c>
      <c r="T41" s="139">
        <f>_xll.qlTenorBasisForwardRate2(T$27,$E41,$F41,InterestRatesTrigger)</f>
        <v>5.8854359099951763E-4</v>
      </c>
      <c r="U41" s="138">
        <f>_xll.qlTenorBasisForwardRate2(U$27,$E41,$F41,InterestRatesTrigger)</f>
        <v>6.5856773272000911E-4</v>
      </c>
      <c r="V41" s="128">
        <f>_xll.qlTenorBasisForwardRate2(V$27,$E41,$F41,InterestRatesTrigger)</f>
        <v>6.4789671708822877E-4</v>
      </c>
      <c r="W41" s="128">
        <f>_xll.qlTenorBasisForwardRate2(W$27,$E41,$F41,InterestRatesTrigger)</f>
        <v>6.7912817577302426E-4</v>
      </c>
      <c r="X41" s="139">
        <f>_xll.qlTenorBasisForwardRate2(X$27,$E41,$F41,InterestRatesTrigger)</f>
        <v>5.9578951378064693E-4</v>
      </c>
      <c r="Y41" s="138">
        <f>_xll.qlTenorBasisForwardRate2(Y$27,$E41,$F41,InterestRatesTrigger)</f>
        <v>6.797337200094175E-4</v>
      </c>
      <c r="Z41" s="128">
        <f>_xll.qlTenorBasisForwardRate2(Z$27,$E41,$F41,InterestRatesTrigger)</f>
        <v>6.777633730995254E-4</v>
      </c>
      <c r="AA41" s="128">
        <f>_xll.qlTenorBasisForwardRate2(AA$27,$E41,$F41,InterestRatesTrigger)</f>
        <v>6.8940111691864346E-4</v>
      </c>
      <c r="AB41" s="139">
        <f>_xll.qlTenorBasisForwardRate2(AB$27,$E41,$F41,InterestRatesTrigger)</f>
        <v>7.4271200904435226E-4</v>
      </c>
      <c r="AC41" s="139">
        <f>'6MSynthDepo_used'!AA20</f>
        <v>6.5901978488882174E-4</v>
      </c>
      <c r="AD41" s="21"/>
      <c r="BC41" s="178">
        <f>_xll.qlCalendarAdvance(Calendar,BC40,"1d","mf",,Trigger)</f>
        <v>42187</v>
      </c>
      <c r="BD41" s="41">
        <f>_xll.qlDayCounterYearFraction(DayCounter,SettlementDate,BC41,,,Trigger)</f>
        <v>0.1361111111111111</v>
      </c>
      <c r="BE41" s="47">
        <f>_xll.qlPolynomialFunctionValue(BE$1,$BD41,AllTriggers)</f>
        <v>1.7670561650150424E-3</v>
      </c>
      <c r="BF41" s="47">
        <f>_xll.qlPolynomialFunctionValue(BF$1,$BD41,AllTriggers)</f>
        <v>1.765974558750172E-3</v>
      </c>
      <c r="BG41" s="47">
        <f>_xll.qlPolynomialFunctionValue(BG$1,$BD41,AllTriggers)</f>
        <v>1.7779332293186001E-3</v>
      </c>
      <c r="BH41" s="47">
        <f>_xll.qlPolynomialFunctionValue(BH$1,$BD41,AllTriggers)</f>
        <v>1.7289453765716297E-3</v>
      </c>
      <c r="BI41" s="47">
        <f>_xll.qlPolynomialFunctionValue(BI$1,$BD41,AllTriggers)</f>
        <v>1.7645663878712351E-3</v>
      </c>
      <c r="BJ41" s="47">
        <f>_xll.qlPolynomialFunctionValue(BJ$1,$BD41,AllTriggers)</f>
        <v>1.7636541386435213E-3</v>
      </c>
      <c r="BK41" s="47">
        <f>_xll.qlPolynomialFunctionValue(BK$1,$BD41,AllTriggers)</f>
        <v>1.781189036119664E-3</v>
      </c>
      <c r="BL41" s="47">
        <f>_xll.qlPolynomialFunctionValue(BL$1,$BD41,AllTriggers)</f>
        <v>1.7343983511494991E-3</v>
      </c>
      <c r="BM41" s="47">
        <f>_xll.qlPolynomialFunctionValue(BM$1,$BD41,AllTriggers)</f>
        <v>1.7804561335829573E-3</v>
      </c>
      <c r="BN41" s="47">
        <f>_xll.qlPolynomialFunctionValue(BN$1,$BD41,AllTriggers)</f>
        <v>1.7792909011565044E-3</v>
      </c>
      <c r="BO41" s="47">
        <f>_xll.qlPolynomialFunctionValue(BO$1,$BD41,AllTriggers)</f>
        <v>1.7890635292475291E-3</v>
      </c>
      <c r="BP41" s="47">
        <f>_xll.qlPolynomialFunctionValue(BP$1,$BD41,AllTriggers)</f>
        <v>1.8260377820963237E-3</v>
      </c>
      <c r="BQ41" s="47">
        <f>_xll.qlPolynomialFunctionValue('6MSynthDepo_used'!$P$18,BD41,AllTriggers)</f>
        <v>1.7686511026342312E-3</v>
      </c>
    </row>
    <row r="42" spans="3:69" x14ac:dyDescent="0.2">
      <c r="C42" s="19">
        <v>0</v>
      </c>
      <c r="D42" s="48" t="s">
        <v>23</v>
      </c>
      <c r="E42" s="177">
        <f>_xll.qlCalendarAdvance(Calendar,SettlementDate,C42&amp;"M","mf",TRUE,Trigger)</f>
        <v>42138</v>
      </c>
      <c r="F42" s="246">
        <f>_xll.qlCalendarAdvance(Calendar,SettlementDate,D42,"mf",TRUE,Trigger)</f>
        <v>42230</v>
      </c>
      <c r="G42" s="138">
        <f>_xll.qlTenorBasisForwardRate2(G$27,$E42,$F42,InterestRatesTrigger)</f>
        <v>6.2383872961337681E-4</v>
      </c>
      <c r="H42" s="128">
        <f>_xll.qlTenorBasisForwardRate2(H$27,$E42,$F42,InterestRatesTrigger)</f>
        <v>6.2014502335426005E-4</v>
      </c>
      <c r="S42" s="128">
        <f>_xll.qlTenorBasisForwardRate2(S$27,$E42,$F42,InterestRatesTrigger)</f>
        <v>6.3508102672662212E-4</v>
      </c>
      <c r="T42" s="139">
        <f>_xll.qlTenorBasisForwardRate2(T$27,$E42,$F42,InterestRatesTrigger)</f>
        <v>5.7389710109808604E-4</v>
      </c>
      <c r="U42" s="138">
        <f>_xll.qlTenorBasisForwardRate2(U$27,$E42,$F42,InterestRatesTrigger)</f>
        <v>6.2116067371112058E-4</v>
      </c>
      <c r="V42" s="128">
        <f>_xll.qlTenorBasisForwardRate2(V$27,$E42,$F42,InterestRatesTrigger)</f>
        <v>6.1641781182180506E-4</v>
      </c>
      <c r="W42" s="128">
        <f>_xll.qlTenorBasisForwardRate2(W$27,$E42,$F42,InterestRatesTrigger)</f>
        <v>6.3835725247557678E-4</v>
      </c>
      <c r="X42" s="139">
        <f>_xll.qlTenorBasisForwardRate2(X$27,$E42,$F42,InterestRatesTrigger)</f>
        <v>5.7981361646180824E-4</v>
      </c>
      <c r="Y42" s="138">
        <f>_xll.qlTenorBasisForwardRate2(Y$27,$E42,$F42,InterestRatesTrigger)</f>
        <v>6.378892079454871E-4</v>
      </c>
      <c r="Z42" s="128">
        <f>_xll.qlTenorBasisForwardRate2(Z$27,$E42,$F42,InterestRatesTrigger)</f>
        <v>6.3648378156586452E-4</v>
      </c>
      <c r="AA42" s="128">
        <f>_xll.qlTenorBasisForwardRate2(AA$27,$E42,$F42,InterestRatesTrigger)</f>
        <v>6.4660593858712411E-4</v>
      </c>
      <c r="AB42" s="139">
        <f>_xll.qlTenorBasisForwardRate2(AB$27,$E42,$F42,InterestRatesTrigger)</f>
        <v>6.8806424527740023E-4</v>
      </c>
      <c r="AC42" s="139">
        <f>'6MSynthDepo_used'!AA21</f>
        <v>6.2330056032250641E-4</v>
      </c>
      <c r="AD42" s="21"/>
      <c r="BC42" s="178">
        <f>_xll.qlCalendarAdvance(Calendar,BC41,"1d","mf",,Trigger)</f>
        <v>42188</v>
      </c>
      <c r="BD42" s="41">
        <f>_xll.qlDayCounterYearFraction(DayCounter,SettlementDate,BC42,,,Trigger)</f>
        <v>0.1388888888888889</v>
      </c>
      <c r="BE42" s="47">
        <f>_xll.qlPolynomialFunctionValue(BE$1,$BD42,AllTriggers)</f>
        <v>1.7682858508001431E-3</v>
      </c>
      <c r="BF42" s="47">
        <f>_xll.qlPolynomialFunctionValue(BF$1,$BD42,AllTriggers)</f>
        <v>1.7674834444170941E-3</v>
      </c>
      <c r="BG42" s="47">
        <f>_xll.qlPolynomialFunctionValue(BG$1,$BD42,AllTriggers)</f>
        <v>1.7790197958365487E-3</v>
      </c>
      <c r="BH42" s="47">
        <f>_xll.qlPolynomialFunctionValue(BH$1,$BD42,AllTriggers)</f>
        <v>1.7317619437751688E-3</v>
      </c>
      <c r="BI42" s="47">
        <f>_xll.qlPolynomialFunctionValue(BI$1,$BD42,AllTriggers)</f>
        <v>1.7658580663850122E-3</v>
      </c>
      <c r="BJ42" s="47">
        <f>_xll.qlPolynomialFunctionValue(BJ$1,$BD42,AllTriggers)</f>
        <v>1.7653445300794466E-3</v>
      </c>
      <c r="BK42" s="47">
        <f>_xll.qlPolynomialFunctionValue(BK$1,$BD42,AllTriggers)</f>
        <v>1.7822575918381601E-3</v>
      </c>
      <c r="BL42" s="47">
        <f>_xll.qlPolynomialFunctionValue(BL$1,$BD42,AllTriggers)</f>
        <v>1.7371262333166948E-3</v>
      </c>
      <c r="BM42" s="47">
        <f>_xll.qlPolynomialFunctionValue(BM$1,$BD42,AllTriggers)</f>
        <v>1.7814534978388735E-3</v>
      </c>
      <c r="BN42" s="47">
        <f>_xll.qlPolynomialFunctionValue(BN$1,$BD42,AllTriggers)</f>
        <v>1.7803260106935494E-3</v>
      </c>
      <c r="BO42" s="47">
        <f>_xll.qlPolynomialFunctionValue(BO$1,$BD42,AllTriggers)</f>
        <v>1.7899978241558126E-3</v>
      </c>
      <c r="BP42" s="47">
        <f>_xll.qlPolynomialFunctionValue(BP$1,$BD42,AllTriggers)</f>
        <v>1.8261809928548339E-3</v>
      </c>
      <c r="BQ42" s="47">
        <f>_xll.qlPolynomialFunctionValue('6MSynthDepo_used'!$P$18,BD42,AllTriggers)</f>
        <v>1.7700562378443576E-3</v>
      </c>
    </row>
    <row r="43" spans="3:69" ht="11.25" customHeight="1" x14ac:dyDescent="0.2">
      <c r="C43" s="19">
        <v>0</v>
      </c>
      <c r="D43" s="48" t="s">
        <v>30</v>
      </c>
      <c r="E43" s="177">
        <f>_xll.qlCalendarAdvance(Calendar,SettlementDate,C43&amp;"M","mf",TRUE,Trigger)</f>
        <v>42138</v>
      </c>
      <c r="F43" s="246">
        <f>_xll.qlCalendarAdvance(Calendar,SettlementDate,D43,"mf",TRUE,Trigger)</f>
        <v>42261</v>
      </c>
      <c r="G43" s="138">
        <f>_xll.qlTenorBasisForwardRate2(G$27,$E43,$F43,InterestRatesTrigger)</f>
        <v>6.0861408685588213E-4</v>
      </c>
      <c r="H43" s="128">
        <f>_xll.qlTenorBasisForwardRate2(H$27,$E43,$F43,InterestRatesTrigger)</f>
        <v>6.0763169691412946E-4</v>
      </c>
      <c r="S43" s="128">
        <f>_xll.qlTenorBasisForwardRate2(S$27,$E43,$F43,InterestRatesTrigger)</f>
        <v>6.1769849029740952E-4</v>
      </c>
      <c r="T43" s="139">
        <f>_xll.qlTenorBasisForwardRate2(T$27,$E43,$F43,InterestRatesTrigger)</f>
        <v>5.7646079890309092E-4</v>
      </c>
      <c r="U43" s="138">
        <f>_xll.qlTenorBasisForwardRate2(U$27,$E43,$F43,InterestRatesTrigger)</f>
        <v>6.0687083694462929E-4</v>
      </c>
      <c r="V43" s="128">
        <f>_xll.qlTenorBasisForwardRate2(V$27,$E43,$F43,InterestRatesTrigger)</f>
        <v>6.0591528674371303E-4</v>
      </c>
      <c r="W43" s="128">
        <f>_xll.qlTenorBasisForwardRate2(W$27,$E43,$F43,InterestRatesTrigger)</f>
        <v>6.2070324723108273E-4</v>
      </c>
      <c r="X43" s="139">
        <f>_xll.qlTenorBasisForwardRate2(X$27,$E43,$F43,InterestRatesTrigger)</f>
        <v>5.8124274364766183E-4</v>
      </c>
      <c r="Y43" s="138">
        <f>_xll.qlTenorBasisForwardRate2(Y$27,$E43,$F43,InterestRatesTrigger)</f>
        <v>6.1916150978053161E-4</v>
      </c>
      <c r="Z43" s="128">
        <f>_xll.qlTenorBasisForwardRate2(Z$27,$E43,$F43,InterestRatesTrigger)</f>
        <v>6.1821394803309132E-4</v>
      </c>
      <c r="AA43" s="128">
        <f>_xll.qlTenorBasisForwardRate2(AA$27,$E43,$F43,InterestRatesTrigger)</f>
        <v>6.269274873410693E-4</v>
      </c>
      <c r="AB43" s="139">
        <f>_xll.qlTenorBasisForwardRate2(AB$27,$E43,$F43,InterestRatesTrigger)</f>
        <v>6.584395981792065E-4</v>
      </c>
      <c r="AC43" s="139">
        <f>'6MSynthDepo_used'!AA22</f>
        <v>6.0945620187230075E-4</v>
      </c>
      <c r="AD43" s="21"/>
      <c r="BC43" s="178">
        <f>_xll.qlCalendarAdvance(Calendar,BC42,"1d","mf",,Trigger)</f>
        <v>42191</v>
      </c>
      <c r="BD43" s="41">
        <f>_xll.qlDayCounterYearFraction(DayCounter,SettlementDate,BC43,,,Trigger)</f>
        <v>0.14722222222222223</v>
      </c>
      <c r="BE43" s="47">
        <f>_xll.qlPolynomialFunctionValue(BE$1,$BD43,AllTriggers)</f>
        <v>1.7719749081554451E-3</v>
      </c>
      <c r="BF43" s="47">
        <f>_xll.qlPolynomialFunctionValue(BF$1,$BD43,AllTriggers)</f>
        <v>1.7719819468079282E-3</v>
      </c>
      <c r="BG43" s="47">
        <f>_xll.qlPolynomialFunctionValue(BG$1,$BD43,AllTriggers)</f>
        <v>1.7822794953903946E-3</v>
      </c>
      <c r="BH43" s="47">
        <f>_xll.qlPolynomialFunctionValue(BH$1,$BD43,AllTriggers)</f>
        <v>1.7400963120067466E-3</v>
      </c>
      <c r="BI43" s="47">
        <f>_xll.qlPolynomialFunctionValue(BI$1,$BD43,AllTriggers)</f>
        <v>1.7697331019263436E-3</v>
      </c>
      <c r="BJ43" s="47">
        <f>_xll.qlPolynomialFunctionValue(BJ$1,$BD43,AllTriggers)</f>
        <v>1.7703739089040469E-3</v>
      </c>
      <c r="BK43" s="47">
        <f>_xll.qlPolynomialFunctionValue(BK$1,$BD43,AllTriggers)</f>
        <v>1.7854632589936487E-3</v>
      </c>
      <c r="BL43" s="47">
        <f>_xll.qlPolynomialFunctionValue(BL$1,$BD43,AllTriggers)</f>
        <v>1.7451983514053518E-3</v>
      </c>
      <c r="BM43" s="47">
        <f>_xll.qlPolynomialFunctionValue(BM$1,$BD43,AllTriggers)</f>
        <v>1.7844455906066222E-3</v>
      </c>
      <c r="BN43" s="47">
        <f>_xll.qlPolynomialFunctionValue(BN$1,$BD43,AllTriggers)</f>
        <v>1.7834292487780088E-3</v>
      </c>
      <c r="BO43" s="47">
        <f>_xll.qlPolynomialFunctionValue(BO$1,$BD43,AllTriggers)</f>
        <v>1.7928007088806636E-3</v>
      </c>
      <c r="BP43" s="47">
        <f>_xll.qlPolynomialFunctionValue(BP$1,$BD43,AllTriggers)</f>
        <v>1.8266478560113831E-3</v>
      </c>
      <c r="BQ43" s="47">
        <f>_xll.qlPolynomialFunctionValue('6MSynthDepo_used'!$P$18,BD43,AllTriggers)</f>
        <v>1.7742463033822544E-3</v>
      </c>
    </row>
    <row r="44" spans="3:69" x14ac:dyDescent="0.2">
      <c r="C44" s="19">
        <v>0</v>
      </c>
      <c r="D44" s="49" t="s">
        <v>31</v>
      </c>
      <c r="E44" s="181">
        <f>_xll.qlCalendarAdvance(Calendar,SettlementDate,C44&amp;"M","mf",TRUE,Trigger)</f>
        <v>42138</v>
      </c>
      <c r="F44" s="248">
        <f>_xll.qlCalendarAdvance(Calendar,SettlementDate,D44,"mf",TRUE,Trigger)</f>
        <v>42291</v>
      </c>
      <c r="G44" s="142">
        <f>_xll.qlTenorBasisForwardRate2(G$27,$E44,$F44,InterestRatesTrigger)</f>
        <v>6.356587258270289E-4</v>
      </c>
      <c r="H44" s="115">
        <f>_xll.qlTenorBasisForwardRate2(H$27,$E44,$F44,InterestRatesTrigger)</f>
        <v>6.3592691774694288E-4</v>
      </c>
      <c r="S44" s="115">
        <f>_xll.qlTenorBasisForwardRate2(S$27,$E44,$F44,InterestRatesTrigger)</f>
        <v>6.4265475070487477E-4</v>
      </c>
      <c r="T44" s="143">
        <f>_xll.qlTenorBasisForwardRate2(T$27,$E44,$F44,InterestRatesTrigger)</f>
        <v>6.1509477823495267E-4</v>
      </c>
      <c r="U44" s="142">
        <f>_xll.qlTenorBasisForwardRate2(U$27,$E44,$F44,InterestRatesTrigger)</f>
        <v>6.348202004602399E-4</v>
      </c>
      <c r="V44" s="115">
        <f>_xll.qlTenorBasisForwardRate2(V$27,$E44,$F44,InterestRatesTrigger)</f>
        <v>6.3549115360374199E-4</v>
      </c>
      <c r="W44" s="115">
        <f>_xll.qlTenorBasisForwardRate2(W$27,$E44,$F44,InterestRatesTrigger)</f>
        <v>6.4539681142296876E-4</v>
      </c>
      <c r="X44" s="143">
        <f>_xll.qlTenorBasisForwardRate2(X$27,$E44,$F44,InterestRatesTrigger)</f>
        <v>6.1896432798590282E-4</v>
      </c>
      <c r="Y44" s="142">
        <f>_xll.qlTenorBasisForwardRate2(Y$27,$E44,$F44,InterestRatesTrigger)</f>
        <v>6.4281587857200197E-4</v>
      </c>
      <c r="Z44" s="115">
        <f>_xll.qlTenorBasisForwardRate2(Z$27,$E44,$F44,InterestRatesTrigger)</f>
        <v>6.4220945790511728E-4</v>
      </c>
      <c r="AA44" s="115">
        <f>_xll.qlTenorBasisForwardRate2(AA$27,$E44,$F44,InterestRatesTrigger)</f>
        <v>6.4966178420366354E-4</v>
      </c>
      <c r="AB44" s="143">
        <f>_xll.qlTenorBasisForwardRate2(AB$27,$E44,$F44,InterestRatesTrigger)</f>
        <v>6.7336428787847906E-4</v>
      </c>
      <c r="AC44" s="143">
        <f>'6MSynthDepo_used'!AA23</f>
        <v>6.3672294381501111E-4</v>
      </c>
      <c r="AD44" s="132" t="str">
        <f>"Fixing "&amp;DAY(_xll.qlInterestRateIndexFixingDate($D$25,'6MSynthDepo_used'!G4))&amp;"/"&amp;MONTH(_xll.qlInterestRateIndexFixingDate($D$25,'6MSynthDepo_used'!G4))</f>
        <v>Fixing 12/5</v>
      </c>
      <c r="BC44" s="178">
        <f>_xll.qlCalendarAdvance(Calendar,BC43,"1d","mf",,Trigger)</f>
        <v>42192</v>
      </c>
      <c r="BD44" s="41">
        <f>_xll.qlDayCounterYearFraction(DayCounter,SettlementDate,BC44,,,Trigger)</f>
        <v>0.15</v>
      </c>
      <c r="BE44" s="47">
        <f>_xll.qlPolynomialFunctionValue(BE$1,$BD44,AllTriggers)</f>
        <v>1.7732045939405458E-3</v>
      </c>
      <c r="BF44" s="47">
        <f>_xll.qlPolynomialFunctionValue(BF$1,$BD44,AllTriggers)</f>
        <v>1.7734720627348959E-3</v>
      </c>
      <c r="BG44" s="47">
        <f>_xll.qlPolynomialFunctionValue(BG$1,$BD44,AllTriggers)</f>
        <v>1.7833660619083432E-3</v>
      </c>
      <c r="BH44" s="47">
        <f>_xll.qlPolynomialFunctionValue(BH$1,$BD44,AllTriggers)</f>
        <v>1.7428359902909262E-3</v>
      </c>
      <c r="BI44" s="47">
        <f>_xll.qlPolynomialFunctionValue(BI$1,$BD44,AllTriggers)</f>
        <v>1.7710247804401205E-3</v>
      </c>
      <c r="BJ44" s="47">
        <f>_xll.qlPolynomialFunctionValue(BJ$1,$BD44,AllTriggers)</f>
        <v>1.7720364366845219E-3</v>
      </c>
      <c r="BK44" s="47">
        <f>_xll.qlPolynomialFunctionValue(BK$1,$BD44,AllTriggers)</f>
        <v>1.7865318147121448E-3</v>
      </c>
      <c r="BL44" s="47">
        <f>_xll.qlPolynomialFunctionValue(BL$1,$BD44,AllTriggers)</f>
        <v>1.7478518812972601E-3</v>
      </c>
      <c r="BM44" s="47">
        <f>_xll.qlPolynomialFunctionValue(BM$1,$BD44,AllTriggers)</f>
        <v>1.7854429548625381E-3</v>
      </c>
      <c r="BN44" s="47">
        <f>_xll.qlPolynomialFunctionValue(BN$1,$BD44,AllTriggers)</f>
        <v>1.7844629646306038E-3</v>
      </c>
      <c r="BO44" s="47">
        <f>_xll.qlPolynomialFunctionValue(BO$1,$BD44,AllTriggers)</f>
        <v>1.7937350037889473E-3</v>
      </c>
      <c r="BP44" s="47">
        <f>_xll.qlPolynomialFunctionValue(BP$1,$BD44,AllTriggers)</f>
        <v>1.8268158873572392E-3</v>
      </c>
      <c r="BQ44" s="47">
        <f>_xll.qlPolynomialFunctionValue('6MSynthDepo_used'!$P$18,BD44,AllTriggers)</f>
        <v>1.7756345799867224E-3</v>
      </c>
    </row>
    <row r="45" spans="3:69" ht="12" thickBot="1" x14ac:dyDescent="0.25">
      <c r="C45" s="19">
        <v>0</v>
      </c>
      <c r="D45" s="127" t="s">
        <v>24</v>
      </c>
      <c r="E45" s="183">
        <f>_xll.qlCalendarAdvance(Calendar,SettlementDate,C45&amp;"M","mf",TRUE,Trigger)</f>
        <v>42138</v>
      </c>
      <c r="F45" s="249">
        <f>_xll.qlCalendarAdvance(Calendar,SettlementDate,D45,"mf",TRUE,Trigger)</f>
        <v>42324</v>
      </c>
      <c r="G45" s="144">
        <f>_xll.qlTenorBasisForwardRate2(G$27,$E45,$F45,InterestRatesTrigger)</f>
        <v>6.3118063187222475E-4</v>
      </c>
      <c r="H45" s="145">
        <f>_xll.qlTenorBasisForwardRate(H$27,$E45,InterestRatesTrigger)</f>
        <v>6.3126409354076886E-4</v>
      </c>
      <c r="S45" s="145">
        <f>_xll.qlTenorBasisForwardRate(S$27,$E45,InterestRatesTrigger)</f>
        <v>6.3587908097254453E-4</v>
      </c>
      <c r="T45" s="146">
        <f>_xll.qlTenorBasisForwardRate(T$27,$E45,InterestRatesTrigger)</f>
        <v>6.1697417936837807E-4</v>
      </c>
      <c r="U45" s="145">
        <f>_xll.qlTenorBasisForwardRate(U$27,$E45,InterestRatesTrigger)</f>
        <v>6.3133743180913027E-4</v>
      </c>
      <c r="V45" s="145">
        <f>_xll.qlTenorBasisForwardRate(V$27,$E45,InterestRatesTrigger)</f>
        <v>6.3148113847763076E-4</v>
      </c>
      <c r="W45" s="145">
        <f>_xll.qlTenorBasisForwardRate(W$27,$E45,InterestRatesTrigger)</f>
        <v>6.3833210647440939E-4</v>
      </c>
      <c r="X45" s="146">
        <f>_xll.qlTenorBasisForwardRate(X$27,$E45,InterestRatesTrigger)</f>
        <v>6.200508168641149E-4</v>
      </c>
      <c r="Y45" s="144">
        <f>_xll.qlTenorBasisTenorForwardRate(Y$27,$E45,InterestRatesTrigger)</f>
        <v>6.6109781301464327E-4</v>
      </c>
      <c r="Z45" s="145">
        <f>_xll.qlTenorBasisTenorForwardRate(Z$27,$E45,InterestRatesTrigger)</f>
        <v>6.6076151755174533E-4</v>
      </c>
      <c r="AA45" s="145">
        <f>_xll.qlTenorBasisTenorForwardRate(AA$27,$E45,InterestRatesTrigger)</f>
        <v>6.6693015738338436E-4</v>
      </c>
      <c r="AB45" s="146">
        <f>_xll.qlTenorBasisTenorForwardRate(AB$27,$E45,InterestRatesTrigger)</f>
        <v>6.8391149571400494E-4</v>
      </c>
      <c r="AC45" s="146">
        <f>'6MSynthDepo_used'!AA24</f>
        <v>6.3130418724289053E-4</v>
      </c>
      <c r="AD45" s="144">
        <f>'6MSynthDepo_used'!$I$4</f>
        <v>7.1299999999978455E-4</v>
      </c>
      <c r="BC45" s="178">
        <f>_xll.qlCalendarAdvance(Calendar,BC44,"1d","mf",,Trigger)</f>
        <v>42193</v>
      </c>
      <c r="BD45" s="41">
        <f>_xll.qlDayCounterYearFraction(DayCounter,SettlementDate,BC45,,,Trigger)</f>
        <v>0.15277777777777779</v>
      </c>
      <c r="BE45" s="47">
        <f>_xll.qlPolynomialFunctionValue(BE$1,$BD45,AllTriggers)</f>
        <v>1.7744342797256466E-3</v>
      </c>
      <c r="BF45" s="47">
        <f>_xll.qlPolynomialFunctionValue(BF$1,$BD45,AllTriggers)</f>
        <v>1.7749574862268749E-3</v>
      </c>
      <c r="BG45" s="47">
        <f>_xll.qlPolynomialFunctionValue(BG$1,$BD45,AllTriggers)</f>
        <v>1.7844526284262919E-3</v>
      </c>
      <c r="BH45" s="47">
        <f>_xll.qlPolynomialFunctionValue(BH$1,$BD45,AllTriggers)</f>
        <v>1.7455564463452658E-3</v>
      </c>
      <c r="BI45" s="47">
        <f>_xll.qlPolynomialFunctionValue(BI$1,$BD45,AllTriggers)</f>
        <v>1.7723164589538976E-3</v>
      </c>
      <c r="BJ45" s="47">
        <f>_xll.qlPolynomialFunctionValue(BJ$1,$BD45,AllTriggers)</f>
        <v>1.7736919985511343E-3</v>
      </c>
      <c r="BK45" s="47">
        <f>_xll.qlPolynomialFunctionValue(BK$1,$BD45,AllTriggers)</f>
        <v>1.7876003704306411E-3</v>
      </c>
      <c r="BL45" s="47">
        <f>_xll.qlPolynomialFunctionValue(BL$1,$BD45,AllTriggers)</f>
        <v>1.7504868231203467E-3</v>
      </c>
      <c r="BM45" s="47">
        <f>_xll.qlPolynomialFunctionValue(BM$1,$BD45,AllTriggers)</f>
        <v>1.7864403191184544E-3</v>
      </c>
      <c r="BN45" s="47">
        <f>_xll.qlPolynomialFunctionValue(BN$1,$BD45,AllTriggers)</f>
        <v>1.7854963320620861E-3</v>
      </c>
      <c r="BO45" s="47">
        <f>_xll.qlPolynomialFunctionValue(BO$1,$BD45,AllTriggers)</f>
        <v>1.7946692986972311E-3</v>
      </c>
      <c r="BP45" s="47">
        <f>_xll.qlPolynomialFunctionValue(BP$1,$BD45,AllTriggers)</f>
        <v>1.8269901238499315E-3</v>
      </c>
      <c r="BQ45" s="47">
        <f>_xll.qlPolynomialFunctionValue('6MSynthDepo_used'!$P$18,BD45,AllTriggers)</f>
        <v>1.7770186680317729E-3</v>
      </c>
    </row>
    <row r="46" spans="3:69" x14ac:dyDescent="0.2">
      <c r="C46" s="19">
        <v>1</v>
      </c>
      <c r="D46" s="45" t="str">
        <f t="shared" ref="D46:D51" si="13">C46+SUBSTITUTE($D$24,"M","")&amp;"M"</f>
        <v>7M</v>
      </c>
      <c r="E46" s="175">
        <f>_xll.qlCalendarAdvance(Calendar,SettlementDate,C46&amp;"M","mf",TRUE,Trigger)</f>
        <v>42170</v>
      </c>
      <c r="F46" s="250">
        <f>_xll.qlInterestRateIndexMaturity($D$25,E46,Trigger)</f>
        <v>42353</v>
      </c>
      <c r="G46" s="153">
        <f>_xll.qlTenorBasisForwardRate2(G$27,$E46,$F46,InterestRatesTrigger)</f>
        <v>6.0034898657908818E-4</v>
      </c>
      <c r="H46" s="151">
        <f>_xll.qlTenorBasisTenorForwardRate(H$27,$E46,InterestRatesTrigger)</f>
        <v>6.2949342014063134E-4</v>
      </c>
      <c r="S46" s="151">
        <f>_xll.qlTenorBasisTenorForwardRate(S$27,$E46,InterestRatesTrigger)</f>
        <v>6.2952369686884507E-4</v>
      </c>
      <c r="T46" s="152">
        <f>_xll.qlTenorBasisTenorForwardRate(T$27,$E46,InterestRatesTrigger)</f>
        <v>6.2939967038154595E-4</v>
      </c>
      <c r="U46" s="151">
        <f>_xll.qlTenorBasisTenorForwardRate(U$27,$E46,InterestRatesTrigger)</f>
        <v>6.3165545499668362E-4</v>
      </c>
      <c r="V46" s="151">
        <f>_xll.qlTenorBasisTenorForwardRate(V$27,$E46,InterestRatesTrigger)</f>
        <v>6.3120626409422374E-4</v>
      </c>
      <c r="W46" s="151">
        <f>_xll.qlTenorBasisTenorForwardRate(W$27,$E46,InterestRatesTrigger)</f>
        <v>6.3141857805648822E-4</v>
      </c>
      <c r="X46" s="152">
        <f>_xll.qlTenorBasisTenorForwardRate(X$27,$E46,InterestRatesTrigger)</f>
        <v>6.3085203264398766E-4</v>
      </c>
      <c r="Y46" s="153">
        <f>_xll.qlTenorBasisTenorForwardRate(Y$27,$E46,InterestRatesTrigger)</f>
        <v>6.2530633158017473E-4</v>
      </c>
      <c r="Z46" s="151">
        <f>_xll.qlTenorBasisTenorForwardRate(Z$27,$E46,InterestRatesTrigger)</f>
        <v>6.255094432698555E-4</v>
      </c>
      <c r="AA46" s="151">
        <f>_xll.qlTenorBasisTenorForwardRate(AA$27,$E46,InterestRatesTrigger)</f>
        <v>6.2914810366199387E-4</v>
      </c>
      <c r="AB46" s="151">
        <f>_xll.qlTenorBasisTenorForwardRate(AB$27,$E46,InterestRatesTrigger)</f>
        <v>6.3277135670874183E-4</v>
      </c>
      <c r="AC46" s="152">
        <f>'6MSynthDepo_used'!AA25</f>
        <v>6.2814105172225585E-4</v>
      </c>
      <c r="AD46" s="200">
        <f>'6MSynthDepo_used'!I5</f>
        <v>6.3000000000000003E-4</v>
      </c>
      <c r="BC46" s="178">
        <f>_xll.qlCalendarAdvance(Calendar,BC45,"1d","mf",,Trigger)</f>
        <v>42194</v>
      </c>
      <c r="BD46" s="41">
        <f>_xll.qlDayCounterYearFraction(DayCounter,SettlementDate,BC46,,,Trigger)</f>
        <v>0.15555555555555556</v>
      </c>
      <c r="BE46" s="47">
        <f>_xll.qlPolynomialFunctionValue(BE$1,$BD46,AllTriggers)</f>
        <v>1.7756639655107473E-3</v>
      </c>
      <c r="BF46" s="47">
        <f>_xll.qlPolynomialFunctionValue(BF$1,$BD46,AllTriggers)</f>
        <v>1.7764382172838651E-3</v>
      </c>
      <c r="BG46" s="47">
        <f>_xll.qlPolynomialFunctionValue(BG$1,$BD46,AllTriggers)</f>
        <v>1.7855391949442405E-3</v>
      </c>
      <c r="BH46" s="47">
        <f>_xll.qlPolynomialFunctionValue(BH$1,$BD46,AllTriggers)</f>
        <v>1.7482576801697654E-3</v>
      </c>
      <c r="BI46" s="47">
        <f>_xll.qlPolynomialFunctionValue(BI$1,$BD46,AllTriggers)</f>
        <v>1.7736081374676747E-3</v>
      </c>
      <c r="BJ46" s="47">
        <f>_xll.qlPolynomialFunctionValue(BJ$1,$BD46,AllTriggers)</f>
        <v>1.7753405945038843E-3</v>
      </c>
      <c r="BK46" s="47">
        <f>_xll.qlPolynomialFunctionValue(BK$1,$BD46,AllTriggers)</f>
        <v>1.7886689261491372E-3</v>
      </c>
      <c r="BL46" s="47">
        <f>_xll.qlPolynomialFunctionValue(BL$1,$BD46,AllTriggers)</f>
        <v>1.7531031768746115E-3</v>
      </c>
      <c r="BM46" s="47">
        <f>_xll.qlPolynomialFunctionValue(BM$1,$BD46,AllTriggers)</f>
        <v>1.7874376833743706E-3</v>
      </c>
      <c r="BN46" s="47">
        <f>_xll.qlPolynomialFunctionValue(BN$1,$BD46,AllTriggers)</f>
        <v>1.7865293510724559E-3</v>
      </c>
      <c r="BO46" s="47">
        <f>_xll.qlPolynomialFunctionValue(BO$1,$BD46,AllTriggers)</f>
        <v>1.7956035936055146E-3</v>
      </c>
      <c r="BP46" s="47">
        <f>_xll.qlPolynomialFunctionValue(BP$1,$BD46,AllTriggers)</f>
        <v>1.8271705654894601E-3</v>
      </c>
      <c r="BQ46" s="47">
        <f>_xll.qlPolynomialFunctionValue('6MSynthDepo_used'!$P$18,BD46,AllTriggers)</f>
        <v>1.7783985779542043E-3</v>
      </c>
    </row>
    <row r="47" spans="3:69" x14ac:dyDescent="0.2">
      <c r="C47" s="19">
        <v>2</v>
      </c>
      <c r="D47" s="48" t="str">
        <f t="shared" si="13"/>
        <v>8M</v>
      </c>
      <c r="E47" s="177">
        <f>_xll.qlCalendarAdvance(Calendar,SettlementDate,C47&amp;"M","mf",TRUE,Trigger)</f>
        <v>42199</v>
      </c>
      <c r="F47" s="251">
        <f>_xll.qlInterestRateIndexMaturity($D$25,E47,Trigger)</f>
        <v>42383</v>
      </c>
      <c r="G47" s="155">
        <f>_xll.qlTenorBasisForwardRate2(G$27,$E47,$F47,InterestRatesTrigger)</f>
        <v>6.1411625152988909E-4</v>
      </c>
      <c r="H47" s="47">
        <f>_xll.qlTenorBasisTenorForwardRate(H$27,$E47,InterestRatesTrigger)</f>
        <v>6.3914726449781174E-4</v>
      </c>
      <c r="S47" s="47">
        <f>_xll.qlTenorBasisTenorForwardRate(S$27,$E47,InterestRatesTrigger)</f>
        <v>6.3909204715623569E-4</v>
      </c>
      <c r="T47" s="154">
        <f>_xll.qlTenorBasisTenorForwardRate(T$27,$E47,InterestRatesTrigger)</f>
        <v>6.3931824111172482E-4</v>
      </c>
      <c r="U47" s="47">
        <f>_xll.qlTenorBasisTenorForwardRate(U$27,$E47,InterestRatesTrigger)</f>
        <v>6.4709057031544213E-4</v>
      </c>
      <c r="V47" s="47">
        <f>_xll.qlTenorBasisTenorForwardRate(V$27,$E47,InterestRatesTrigger)</f>
        <v>6.4024059728534687E-4</v>
      </c>
      <c r="W47" s="47">
        <f>_xll.qlTenorBasisTenorForwardRate(W$27,$E47,InterestRatesTrigger)</f>
        <v>6.4047177013488261E-4</v>
      </c>
      <c r="X47" s="154">
        <f>_xll.qlTenorBasisTenorForwardRate(X$27,$E47,InterestRatesTrigger)</f>
        <v>6.3985490106040406E-4</v>
      </c>
      <c r="Y47" s="155">
        <f>_xll.qlTenorBasisTenorForwardRate(Y$27,$E47,InterestRatesTrigger)</f>
        <v>6.3232325278367806E-4</v>
      </c>
      <c r="Z47" s="47">
        <f>_xll.qlTenorBasisTenorForwardRate(Z$27,$E47,InterestRatesTrigger)</f>
        <v>6.3271540914678422E-4</v>
      </c>
      <c r="AA47" s="47">
        <f>_xll.qlTenorBasisTenorForwardRate(AA$27,$E47,InterestRatesTrigger)</f>
        <v>6.3436106873047396E-4</v>
      </c>
      <c r="AB47" s="47">
        <f>_xll.qlTenorBasisTenorForwardRate(AB$27,$E47,InterestRatesTrigger)</f>
        <v>6.3121767072885256E-4</v>
      </c>
      <c r="AC47" s="154">
        <f>'6MSynthDepo_used'!AA26</f>
        <v>6.3762766162596581E-4</v>
      </c>
      <c r="AD47" s="200">
        <f>'6MSynthDepo_used'!I6</f>
        <v>6.4000000000000005E-4</v>
      </c>
      <c r="BC47" s="178">
        <f>_xll.qlCalendarAdvance(Calendar,BC46,"1d","mf",,Trigger)</f>
        <v>42195</v>
      </c>
      <c r="BD47" s="41">
        <f>_xll.qlDayCounterYearFraction(DayCounter,SettlementDate,BC47,,,Trigger)</f>
        <v>0.15833333333333333</v>
      </c>
      <c r="BE47" s="47">
        <f>_xll.qlPolynomialFunctionValue(BE$1,$BD47,AllTriggers)</f>
        <v>1.7768936512958479E-3</v>
      </c>
      <c r="BF47" s="47">
        <f>_xll.qlPolynomialFunctionValue(BF$1,$BD47,AllTriggers)</f>
        <v>1.777914255905867E-3</v>
      </c>
      <c r="BG47" s="47">
        <f>_xll.qlPolynomialFunctionValue(BG$1,$BD47,AllTriggers)</f>
        <v>1.7866257614621891E-3</v>
      </c>
      <c r="BH47" s="47">
        <f>_xll.qlPolynomialFunctionValue(BH$1,$BD47,AllTriggers)</f>
        <v>1.750939691764425E-3</v>
      </c>
      <c r="BI47" s="47">
        <f>_xll.qlPolynomialFunctionValue(BI$1,$BD47,AllTriggers)</f>
        <v>1.7748998159814518E-3</v>
      </c>
      <c r="BJ47" s="47">
        <f>_xll.qlPolynomialFunctionValue(BJ$1,$BD47,AllTriggers)</f>
        <v>1.7769822245427716E-3</v>
      </c>
      <c r="BK47" s="47">
        <f>_xll.qlPolynomialFunctionValue(BK$1,$BD47,AllTriggers)</f>
        <v>1.7897374818676335E-3</v>
      </c>
      <c r="BL47" s="47">
        <f>_xll.qlPolynomialFunctionValue(BL$1,$BD47,AllTriggers)</f>
        <v>1.7557009425600543E-3</v>
      </c>
      <c r="BM47" s="47">
        <f>_xll.qlPolynomialFunctionValue(BM$1,$BD47,AllTriggers)</f>
        <v>1.7884350476302868E-3</v>
      </c>
      <c r="BN47" s="47">
        <f>_xll.qlPolynomialFunctionValue(BN$1,$BD47,AllTriggers)</f>
        <v>1.7875620216617131E-3</v>
      </c>
      <c r="BO47" s="47">
        <f>_xll.qlPolynomialFunctionValue(BO$1,$BD47,AllTriggers)</f>
        <v>1.7965378885137983E-3</v>
      </c>
      <c r="BP47" s="47">
        <f>_xll.qlPolynomialFunctionValue(BP$1,$BD47,AllTriggers)</f>
        <v>1.8273572122758249E-3</v>
      </c>
      <c r="BQ47" s="47">
        <f>_xll.qlPolynomialFunctionValue('6MSynthDepo_used'!$P$18,BD47,AllTriggers)</f>
        <v>1.7797743201908159E-3</v>
      </c>
    </row>
    <row r="48" spans="3:69" x14ac:dyDescent="0.2">
      <c r="C48" s="19">
        <v>3</v>
      </c>
      <c r="D48" s="48" t="str">
        <f t="shared" si="13"/>
        <v>9M</v>
      </c>
      <c r="E48" s="177">
        <f>_xll.qlCalendarAdvance(Calendar,SettlementDate,C48&amp;"M","mf",TRUE,Trigger)</f>
        <v>42230</v>
      </c>
      <c r="F48" s="251">
        <f>_xll.qlInterestRateIndexMaturity($D$25,E48,Trigger)</f>
        <v>42415</v>
      </c>
      <c r="G48" s="155">
        <f>_xll.qlTenorBasisForwardRate2(G$27,$E48,$F48,InterestRatesTrigger)</f>
        <v>6.3598562441030541E-4</v>
      </c>
      <c r="H48" s="47">
        <f>_xll.qlTenorBasisTenorForwardRate(H$27,$E48,InterestRatesTrigger)</f>
        <v>6.5240868702734749E-4</v>
      </c>
      <c r="S48" s="47">
        <f>_xll.qlTenorBasisTenorForwardRate(S$27,$E48,InterestRatesTrigger)</f>
        <v>6.5650730224903111E-4</v>
      </c>
      <c r="T48" s="154">
        <f>_xll.qlTenorBasisTenorForwardRate(T$27,$E48,InterestRatesTrigger)</f>
        <v>6.3971761331184309E-4</v>
      </c>
      <c r="U48" s="47">
        <f>_xll.qlTenorBasisTenorForwardRate(U$27,$E48,InterestRatesTrigger)</f>
        <v>6.7077719492452726E-4</v>
      </c>
      <c r="V48" s="47">
        <f>_xll.qlTenorBasisTenorForwardRate(V$27,$E48,InterestRatesTrigger)</f>
        <v>6.5078297862377959E-4</v>
      </c>
      <c r="W48" s="47">
        <f>_xll.qlTenorBasisTenorForwardRate(W$27,$E48,InterestRatesTrigger)</f>
        <v>6.5733633886633745E-4</v>
      </c>
      <c r="X48" s="154">
        <f>_xll.qlTenorBasisTenorForwardRate(X$27,$E48,InterestRatesTrigger)</f>
        <v>6.3984914140631293E-4</v>
      </c>
      <c r="Y48" s="155">
        <f>_xll.qlTenorBasisTenorForwardRate(Y$27,$E48,InterestRatesTrigger)</f>
        <v>6.470111181661113E-4</v>
      </c>
      <c r="Z48" s="47">
        <f>_xll.qlTenorBasisTenorForwardRate(Z$27,$E48,InterestRatesTrigger)</f>
        <v>6.4729014190539219E-4</v>
      </c>
      <c r="AA48" s="47">
        <f>_xll.qlTenorBasisTenorForwardRate(AA$27,$E48,InterestRatesTrigger)</f>
        <v>6.4712056720995169E-4</v>
      </c>
      <c r="AB48" s="47">
        <f>_xll.qlTenorBasisTenorForwardRate(AB$27,$E48,InterestRatesTrigger)</f>
        <v>6.4235761828927685E-4</v>
      </c>
      <c r="AC48" s="154">
        <f>'6MSynthDepo_used'!AA27</f>
        <v>6.5210870059570882E-4</v>
      </c>
      <c r="AD48" s="200">
        <f>'6MSynthDepo_used'!I7</f>
        <v>6.4000000000000005E-4</v>
      </c>
      <c r="BC48" s="178">
        <f>_xll.qlCalendarAdvance(Calendar,BC47,"1d","mf",,Trigger)</f>
        <v>42198</v>
      </c>
      <c r="BD48" s="41">
        <f>_xll.qlDayCounterYearFraction(DayCounter,SettlementDate,BC48,,,Trigger)</f>
        <v>0.16666666666666666</v>
      </c>
      <c r="BE48" s="47">
        <f>_xll.qlPolynomialFunctionValue(BE$1,$BD48,AllTriggers)</f>
        <v>1.7805827086511501E-3</v>
      </c>
      <c r="BF48" s="47">
        <f>_xll.qlPolynomialFunctionValue(BF$1,$BD48,AllTriggers)</f>
        <v>1.7823142171619409E-3</v>
      </c>
      <c r="BG48" s="47">
        <f>_xll.qlPolynomialFunctionValue(BG$1,$BD48,AllTriggers)</f>
        <v>1.789885461016035E-3</v>
      </c>
      <c r="BH48" s="47">
        <f>_xll.qlPolynomialFunctionValue(BH$1,$BD48,AllTriggers)</f>
        <v>1.758870393169365E-3</v>
      </c>
      <c r="BI48" s="47">
        <f>_xll.qlPolynomialFunctionValue(BI$1,$BD48,AllTriggers)</f>
        <v>1.7787748515227832E-3</v>
      </c>
      <c r="BJ48" s="47">
        <f>_xll.qlPolynomialFunctionValue(BJ$1,$BD48,AllTriggers)</f>
        <v>1.7818653191762589E-3</v>
      </c>
      <c r="BK48" s="47">
        <f>_xll.qlPolynomialFunctionValue(BK$1,$BD48,AllTriggers)</f>
        <v>1.7929431490231219E-3</v>
      </c>
      <c r="BL48" s="47">
        <f>_xll.qlPolynomialFunctionValue(BL$1,$BD48,AllTriggers)</f>
        <v>1.763382711203452E-3</v>
      </c>
      <c r="BM48" s="47">
        <f>_xll.qlPolynomialFunctionValue(BM$1,$BD48,AllTriggers)</f>
        <v>1.7914271403980354E-3</v>
      </c>
      <c r="BN48" s="47">
        <f>_xll.qlPolynomialFunctionValue(BN$1,$BD48,AllTriggers)</f>
        <v>1.7906579429028101E-3</v>
      </c>
      <c r="BO48" s="47">
        <f>_xll.qlPolynomialFunctionValue(BO$1,$BD48,AllTriggers)</f>
        <v>1.7993407732386493E-3</v>
      </c>
      <c r="BP48" s="47">
        <f>_xll.qlPolynomialFunctionValue(BP$1,$BD48,AllTriggers)</f>
        <v>1.8279543835159381E-3</v>
      </c>
      <c r="BQ48" s="47">
        <f>_xll.qlPolynomialFunctionValue('6MSynthDepo_used'!$P$18,BD48,AllTriggers)</f>
        <v>1.7838766451537191E-3</v>
      </c>
    </row>
    <row r="49" spans="3:69" x14ac:dyDescent="0.2">
      <c r="C49" s="19">
        <v>4</v>
      </c>
      <c r="D49" s="48" t="str">
        <f t="shared" si="13"/>
        <v>10M</v>
      </c>
      <c r="E49" s="177">
        <f>_xll.qlCalendarAdvance(Calendar,SettlementDate,C49&amp;"M","mf",TRUE,Trigger)</f>
        <v>42261</v>
      </c>
      <c r="F49" s="251">
        <f>_xll.qlInterestRateIndexMaturity($D$25,E49,Trigger)</f>
        <v>42443</v>
      </c>
      <c r="G49" s="155">
        <f>_xll.qlTenorBasisForwardRate2(G$27,$E49,$F49,InterestRatesTrigger)</f>
        <v>6.5275831400498068E-4</v>
      </c>
      <c r="H49" s="47">
        <f>_xll.qlTenorBasisTenorForwardRate(H$27,$E49,InterestRatesTrigger)</f>
        <v>6.5857575556589848E-4</v>
      </c>
      <c r="S49" s="47">
        <f>_xll.qlTenorBasisTenorForwardRate(S$27,$E49,InterestRatesTrigger)</f>
        <v>6.7121493355249448E-4</v>
      </c>
      <c r="T49" s="154">
        <f>_xll.qlTenorBasisTenorForwardRate(T$27,$E49,InterestRatesTrigger)</f>
        <v>6.1943943003752973E-4</v>
      </c>
      <c r="U49" s="47">
        <f>_xll.qlTenorBasisTenorForwardRate(U$27,$E49,InterestRatesTrigger)</f>
        <v>6.9175619574428078E-4</v>
      </c>
      <c r="V49" s="47">
        <f>_xll.qlTenorBasisTenorForwardRate(V$27,$E49,InterestRatesTrigger)</f>
        <v>6.5210564068361688E-4</v>
      </c>
      <c r="W49" s="47">
        <f>_xll.qlTenorBasisTenorForwardRate(W$27,$E49,InterestRatesTrigger)</f>
        <v>6.7149328380846046E-4</v>
      </c>
      <c r="X49" s="154">
        <f>_xll.qlTenorBasisTenorForwardRate(X$27,$E49,InterestRatesTrigger)</f>
        <v>6.1975867269916068E-4</v>
      </c>
      <c r="Y49" s="155">
        <f>_xll.qlTenorBasisTenorForwardRate(Y$27,$E49,InterestRatesTrigger)</f>
        <v>6.5899135975921292E-4</v>
      </c>
      <c r="Z49" s="47">
        <f>_xll.qlTenorBasisTenorForwardRate(Z$27,$E49,InterestRatesTrigger)</f>
        <v>6.5883152885170214E-4</v>
      </c>
      <c r="AA49" s="47">
        <f>_xll.qlTenorBasisTenorForwardRate(AA$27,$E49,InterestRatesTrigger)</f>
        <v>6.5717244190009738E-4</v>
      </c>
      <c r="AB49" s="47">
        <f>_xll.qlTenorBasisTenorForwardRate(AB$27,$E49,InterestRatesTrigger)</f>
        <v>6.5659083330318999E-4</v>
      </c>
      <c r="AC49" s="154">
        <f>'6MSynthDepo_used'!AA28</f>
        <v>6.6123228648633041E-4</v>
      </c>
      <c r="AD49" s="200">
        <f>'6MSynthDepo_used'!I8</f>
        <v>6.4999999999999997E-4</v>
      </c>
      <c r="BC49" s="178">
        <f>_xll.qlCalendarAdvance(Calendar,BC48,"1d","mf",,Trigger)</f>
        <v>42199</v>
      </c>
      <c r="BD49" s="41">
        <f>_xll.qlDayCounterYearFraction(DayCounter,SettlementDate,BC49,,,Trigger)</f>
        <v>0.16944444444444445</v>
      </c>
      <c r="BE49" s="47">
        <f>_xll.qlPolynomialFunctionValue(BE$1,$BD49,AllTriggers)</f>
        <v>1.7818123944362506E-3</v>
      </c>
      <c r="BF49" s="47">
        <f>_xll.qlPolynomialFunctionValue(BF$1,$BD49,AllTriggers)</f>
        <v>1.7837714860439882E-3</v>
      </c>
      <c r="BG49" s="47">
        <f>_xll.qlPolynomialFunctionValue(BG$1,$BD49,AllTriggers)</f>
        <v>1.7909720275339836E-3</v>
      </c>
      <c r="BH49" s="47">
        <f>_xll.qlPolynomialFunctionValue(BH$1,$BD49,AllTriggers)</f>
        <v>1.7614755158446654E-3</v>
      </c>
      <c r="BI49" s="47">
        <f>_xll.qlPolynomialFunctionValue(BI$1,$BD49,AllTriggers)</f>
        <v>1.7800665300365603E-3</v>
      </c>
      <c r="BJ49" s="47">
        <f>_xll.qlPolynomialFunctionValue(BJ$1,$BD49,AllTriggers)</f>
        <v>1.7834790855596962E-3</v>
      </c>
      <c r="BK49" s="47">
        <f>_xll.qlPolynomialFunctionValue(BK$1,$BD49,AllTriggers)</f>
        <v>1.7940117047416182E-3</v>
      </c>
      <c r="BL49" s="47">
        <f>_xll.qlPolynomialFunctionValue(BL$1,$BD49,AllTriggers)</f>
        <v>1.7659061246136072E-3</v>
      </c>
      <c r="BM49" s="47">
        <f>_xll.qlPolynomialFunctionValue(BM$1,$BD49,AllTriggers)</f>
        <v>1.7924245046539514E-3</v>
      </c>
      <c r="BN49" s="47">
        <f>_xll.qlPolynomialFunctionValue(BN$1,$BD49,AllTriggers)</f>
        <v>1.7916892198076174E-3</v>
      </c>
      <c r="BO49" s="47">
        <f>_xll.qlPolynomialFunctionValue(BO$1,$BD49,AllTriggers)</f>
        <v>1.800275068146933E-3</v>
      </c>
      <c r="BP49" s="47">
        <f>_xll.qlPolynomialFunctionValue(BP$1,$BD49,AllTriggers)</f>
        <v>1.8281658508896488E-3</v>
      </c>
      <c r="BQ49" s="47">
        <f>_xll.qlPolynomialFunctionValue('6MSynthDepo_used'!$P$18,BD49,AllTriggers)</f>
        <v>1.7852358210150388E-3</v>
      </c>
    </row>
    <row r="50" spans="3:69" x14ac:dyDescent="0.2">
      <c r="C50" s="19">
        <v>5</v>
      </c>
      <c r="D50" s="48" t="str">
        <f t="shared" si="13"/>
        <v>11M</v>
      </c>
      <c r="E50" s="177">
        <f>_xll.qlCalendarAdvance(Calendar,SettlementDate,C50&amp;"M","mf",TRUE,Trigger)</f>
        <v>42291</v>
      </c>
      <c r="F50" s="251">
        <f>_xll.qlInterestRateIndexMaturity($D$25,E50,Trigger)</f>
        <v>42474</v>
      </c>
      <c r="G50" s="155">
        <f>_xll.qlTenorBasisForwardRate2(G$27,$E50,$F50,InterestRatesTrigger)</f>
        <v>6.6258327628936097E-4</v>
      </c>
      <c r="H50" s="47">
        <f>_xll.qlTenorBasisTenorForwardRate(H$27,$E50,InterestRatesTrigger)</f>
        <v>6.5164049763372892E-4</v>
      </c>
      <c r="S50" s="47">
        <f>_xll.qlTenorBasisTenorForwardRate(S$27,$E50,InterestRatesTrigger)</f>
        <v>6.7672148780126393E-4</v>
      </c>
      <c r="T50" s="154">
        <f>_xll.qlTenorBasisTenorForwardRate(T$27,$E50,InterestRatesTrigger)</f>
        <v>5.7397897591044203E-4</v>
      </c>
      <c r="U50" s="47">
        <f>_xll.qlTenorBasisTenorForwardRate(U$27,$E50,InterestRatesTrigger)</f>
        <v>7.033318172668787E-4</v>
      </c>
      <c r="V50" s="47">
        <f>_xll.qlTenorBasisTenorForwardRate(V$27,$E50,InterestRatesTrigger)</f>
        <v>6.3845861660850683E-4</v>
      </c>
      <c r="W50" s="47">
        <f>_xll.qlTenorBasisTenorForwardRate(W$27,$E50,InterestRatesTrigger)</f>
        <v>6.764669157720614E-4</v>
      </c>
      <c r="X50" s="154">
        <f>_xll.qlTenorBasisTenorForwardRate(X$27,$E50,InterestRatesTrigger)</f>
        <v>5.7504434658769477E-4</v>
      </c>
      <c r="Y50" s="155">
        <f>_xll.qlTenorBasisTenorForwardRate(Y$27,$E50,InterestRatesTrigger)</f>
        <v>6.618585046108572E-4</v>
      </c>
      <c r="Z50" s="47">
        <f>_xll.qlTenorBasisTenorForwardRate(Z$27,$E50,InterestRatesTrigger)</f>
        <v>6.6096384490778987E-4</v>
      </c>
      <c r="AA50" s="47">
        <f>_xll.qlTenorBasisTenorForwardRate(AA$27,$E50,InterestRatesTrigger)</f>
        <v>6.5817342523275218E-4</v>
      </c>
      <c r="AB50" s="47">
        <f>_xll.qlTenorBasisTenorForwardRate(AB$27,$E50,InterestRatesTrigger)</f>
        <v>6.6716149612417483E-4</v>
      </c>
      <c r="AC50" s="154">
        <f>'6MSynthDepo_used'!AA29</f>
        <v>6.5909292087788936E-4</v>
      </c>
      <c r="AD50" s="200">
        <f>'6MSynthDepo_used'!I9</f>
        <v>6.8000000000000005E-4</v>
      </c>
      <c r="BC50" s="178">
        <f>_xll.qlCalendarAdvance(Calendar,BC49,"1d","mf",,Trigger)</f>
        <v>42200</v>
      </c>
      <c r="BD50" s="41">
        <f>_xll.qlDayCounterYearFraction(DayCounter,SettlementDate,BC50,,,Trigger)</f>
        <v>0.17222222222222222</v>
      </c>
      <c r="BE50" s="47">
        <f>_xll.qlPolynomialFunctionValue(BE$1,$BD50,AllTriggers)</f>
        <v>1.7830420802213514E-3</v>
      </c>
      <c r="BF50" s="47">
        <f>_xll.qlPolynomialFunctionValue(BF$1,$BD50,AllTriggers)</f>
        <v>1.7852240624910472E-3</v>
      </c>
      <c r="BG50" s="47">
        <f>_xll.qlPolynomialFunctionValue(BG$1,$BD50,AllTriggers)</f>
        <v>1.7920585940519322E-3</v>
      </c>
      <c r="BH50" s="47">
        <f>_xll.qlPolynomialFunctionValue(BH$1,$BD50,AllTriggers)</f>
        <v>1.7640614162901256E-3</v>
      </c>
      <c r="BI50" s="47">
        <f>_xll.qlPolynomialFunctionValue(BI$1,$BD50,AllTriggers)</f>
        <v>1.7813582085503374E-3</v>
      </c>
      <c r="BJ50" s="47">
        <f>_xll.qlPolynomialFunctionValue(BJ$1,$BD50,AllTriggers)</f>
        <v>1.7850858860292711E-3</v>
      </c>
      <c r="BK50" s="47">
        <f>_xll.qlPolynomialFunctionValue(BK$1,$BD50,AllTriggers)</f>
        <v>1.7950802604601143E-3</v>
      </c>
      <c r="BL50" s="47">
        <f>_xll.qlPolynomialFunctionValue(BL$1,$BD50,AllTriggers)</f>
        <v>1.7684109499549409E-3</v>
      </c>
      <c r="BM50" s="47">
        <f>_xll.qlPolynomialFunctionValue(BM$1,$BD50,AllTriggers)</f>
        <v>1.7934218689098676E-3</v>
      </c>
      <c r="BN50" s="47">
        <f>_xll.qlPolynomialFunctionValue(BN$1,$BD50,AllTriggers)</f>
        <v>1.7927201482913122E-3</v>
      </c>
      <c r="BO50" s="47">
        <f>_xll.qlPolynomialFunctionValue(BO$1,$BD50,AllTriggers)</f>
        <v>1.8012093630552165E-3</v>
      </c>
      <c r="BP50" s="47">
        <f>_xll.qlPolynomialFunctionValue(BP$1,$BD50,AllTriggers)</f>
        <v>1.8283835234101957E-3</v>
      </c>
      <c r="BQ50" s="47">
        <f>_xll.qlPolynomialFunctionValue('6MSynthDepo_used'!$P$18,BD50,AllTriggers)</f>
        <v>1.786590881374532E-3</v>
      </c>
    </row>
    <row r="51" spans="3:69" x14ac:dyDescent="0.2">
      <c r="C51" s="19">
        <v>6</v>
      </c>
      <c r="D51" s="162" t="str">
        <f t="shared" si="13"/>
        <v>12M</v>
      </c>
      <c r="E51" s="185">
        <f>_xll.qlCalendarAdvance(Calendar,SettlementDate,C51&amp;"M","mf",TRUE,Trigger)</f>
        <v>42324</v>
      </c>
      <c r="F51" s="252">
        <f>_xll.qlInterestRateIndexMaturity($D$25,E51,Trigger)</f>
        <v>42506</v>
      </c>
      <c r="G51" s="161">
        <f>_xll.qlTenorBasisForwardRate2(G$27,$E51,$F51,InterestRatesTrigger)</f>
        <v>7.0227611033293197E-4</v>
      </c>
      <c r="H51" s="159">
        <f>_xll.qlTenorBasisTenorForwardRate(H$27,$E51,InterestRatesTrigger)</f>
        <v>6.6937441301218557E-4</v>
      </c>
      <c r="S51" s="159">
        <f>_xll.qlTenorBasisTenorForwardRate(S$27,$E51,InterestRatesTrigger)</f>
        <v>7.1288646010072773E-4</v>
      </c>
      <c r="T51" s="160">
        <f>_xll.qlTenorBasisTenorForwardRate(T$27,$E51,InterestRatesTrigger)</f>
        <v>5.3464242007173791E-4</v>
      </c>
      <c r="U51" s="159">
        <f>_xll.qlTenorBasisTenorForwardRate(U$27,$E51,InterestRatesTrigger)</f>
        <v>7.4617276356755448E-4</v>
      </c>
      <c r="V51" s="159">
        <f>_xll.qlTenorBasisTenorForwardRate(V$27,$E51,InterestRatesTrigger)</f>
        <v>6.4651061189729226E-4</v>
      </c>
      <c r="W51" s="159">
        <f>_xll.qlTenorBasisTenorForwardRate(W$27,$E51,InterestRatesTrigger)</f>
        <v>7.1204567355784027E-4</v>
      </c>
      <c r="X51" s="160">
        <f>_xll.qlTenorBasisTenorForwardRate(X$27,$E51,InterestRatesTrigger)</f>
        <v>5.3716980508856189E-4</v>
      </c>
      <c r="Y51" s="161">
        <f>_xll.qlTenorBasisTenorForwardRate(Y$27,$E51,InterestRatesTrigger)</f>
        <v>6.9512012657348436E-4</v>
      </c>
      <c r="Z51" s="159">
        <f>_xll.qlTenorBasisTenorForwardRate(Z$27,$E51,InterestRatesTrigger)</f>
        <v>6.9306482632654903E-4</v>
      </c>
      <c r="AA51" s="159">
        <f>_xll.qlTenorBasisTenorForwardRate(AA$27,$E51,InterestRatesTrigger)</f>
        <v>6.8938226952449094E-4</v>
      </c>
      <c r="AB51" s="159">
        <f>_xll.qlTenorBasisTenorForwardRate(AB$27,$E51,InterestRatesTrigger)</f>
        <v>7.1517172921302559E-4</v>
      </c>
      <c r="AC51" s="160">
        <f>'6MSynthDepo_used'!AA30</f>
        <v>6.8462647416097071E-4</v>
      </c>
      <c r="AD51" s="241">
        <f>'6MSynthDepo_used'!I10</f>
        <v>7.000000000000001E-4</v>
      </c>
      <c r="BC51" s="178">
        <f>_xll.qlCalendarAdvance(Calendar,BC50,"1d","mf",,Trigger)</f>
        <v>42201</v>
      </c>
      <c r="BD51" s="41">
        <f>_xll.qlDayCounterYearFraction(DayCounter,SettlementDate,BC51,,,Trigger)</f>
        <v>0.17499999999999999</v>
      </c>
      <c r="BE51" s="47">
        <f>_xll.qlPolynomialFunctionValue(BE$1,$BD51,AllTriggers)</f>
        <v>1.7842717660064521E-3</v>
      </c>
      <c r="BF51" s="47">
        <f>_xll.qlPolynomialFunctionValue(BF$1,$BD51,AllTriggers)</f>
        <v>1.7866719465031175E-3</v>
      </c>
      <c r="BG51" s="47">
        <f>_xll.qlPolynomialFunctionValue(BG$1,$BD51,AllTriggers)</f>
        <v>1.7931451605698809E-3</v>
      </c>
      <c r="BH51" s="47">
        <f>_xll.qlPolynomialFunctionValue(BH$1,$BD51,AllTriggers)</f>
        <v>1.766628094505746E-3</v>
      </c>
      <c r="BI51" s="47">
        <f>_xll.qlPolynomialFunctionValue(BI$1,$BD51,AllTriggers)</f>
        <v>1.7826498870641145E-3</v>
      </c>
      <c r="BJ51" s="47">
        <f>_xll.qlPolynomialFunctionValue(BJ$1,$BD51,AllTriggers)</f>
        <v>1.7866857205849833E-3</v>
      </c>
      <c r="BK51" s="47">
        <f>_xll.qlPolynomialFunctionValue(BK$1,$BD51,AllTriggers)</f>
        <v>1.7961488161786104E-3</v>
      </c>
      <c r="BL51" s="47">
        <f>_xll.qlPolynomialFunctionValue(BL$1,$BD51,AllTriggers)</f>
        <v>1.7708971872274527E-3</v>
      </c>
      <c r="BM51" s="47">
        <f>_xll.qlPolynomialFunctionValue(BM$1,$BD51,AllTriggers)</f>
        <v>1.7944192331657838E-3</v>
      </c>
      <c r="BN51" s="47">
        <f>_xll.qlPolynomialFunctionValue(BN$1,$BD51,AllTriggers)</f>
        <v>1.7937507283538945E-3</v>
      </c>
      <c r="BO51" s="47">
        <f>_xll.qlPolynomialFunctionValue(BO$1,$BD51,AllTriggers)</f>
        <v>1.8021436579635003E-3</v>
      </c>
      <c r="BP51" s="47">
        <f>_xll.qlPolynomialFunctionValue(BP$1,$BD51,AllTriggers)</f>
        <v>1.8286074010775788E-3</v>
      </c>
      <c r="BQ51" s="47">
        <f>_xll.qlPolynomialFunctionValue('6MSynthDepo_used'!$P$18,BD51,AllTriggers)</f>
        <v>1.7879418366689985E-3</v>
      </c>
    </row>
    <row r="52" spans="3:69" x14ac:dyDescent="0.2">
      <c r="BC52" s="178">
        <f>_xll.qlCalendarAdvance(Calendar,BC51,"1d","mf",,Trigger)</f>
        <v>42202</v>
      </c>
      <c r="BD52" s="41">
        <f>_xll.qlDayCounterYearFraction(DayCounter,SettlementDate,BC52,,,Trigger)</f>
        <v>0.17777777777777778</v>
      </c>
      <c r="BE52" s="47">
        <f>_xll.qlPolynomialFunctionValue(BE$1,$BD52,AllTriggers)</f>
        <v>1.7855014517915528E-3</v>
      </c>
      <c r="BF52" s="47">
        <f>_xll.qlPolynomialFunctionValue(BF$1,$BD52,AllTriggers)</f>
        <v>1.7881151380801992E-3</v>
      </c>
      <c r="BG52" s="47">
        <f>_xll.qlPolynomialFunctionValue(BG$1,$BD52,AllTriggers)</f>
        <v>1.7942317270878295E-3</v>
      </c>
      <c r="BH52" s="47">
        <f>_xll.qlPolynomialFunctionValue(BH$1,$BD52,AllTriggers)</f>
        <v>1.7691755504915265E-3</v>
      </c>
      <c r="BI52" s="47">
        <f>_xll.qlPolynomialFunctionValue(BI$1,$BD52,AllTriggers)</f>
        <v>1.7839415655778916E-3</v>
      </c>
      <c r="BJ52" s="47">
        <f>_xll.qlPolynomialFunctionValue(BJ$1,$BD52,AllTriggers)</f>
        <v>1.788278589226833E-3</v>
      </c>
      <c r="BK52" s="47">
        <f>_xll.qlPolynomialFunctionValue(BK$1,$BD52,AllTriggers)</f>
        <v>1.7972173718971067E-3</v>
      </c>
      <c r="BL52" s="47">
        <f>_xll.qlPolynomialFunctionValue(BL$1,$BD52,AllTriggers)</f>
        <v>1.7733648364311426E-3</v>
      </c>
      <c r="BM52" s="47">
        <f>_xll.qlPolynomialFunctionValue(BM$1,$BD52,AllTriggers)</f>
        <v>1.7954165974217E-3</v>
      </c>
      <c r="BN52" s="47">
        <f>_xll.qlPolynomialFunctionValue(BN$1,$BD52,AllTriggers)</f>
        <v>1.7947809599953642E-3</v>
      </c>
      <c r="BO52" s="47">
        <f>_xll.qlPolynomialFunctionValue(BO$1,$BD52,AllTriggers)</f>
        <v>1.803077952871784E-3</v>
      </c>
      <c r="BP52" s="47">
        <f>_xll.qlPolynomialFunctionValue(BP$1,$BD52,AllTriggers)</f>
        <v>1.8288374838917984E-3</v>
      </c>
      <c r="BQ52" s="47">
        <f>_xll.qlPolynomialFunctionValue('6MSynthDepo_used'!$P$18,BD52,AllTriggers)</f>
        <v>1.7892886973352362E-3</v>
      </c>
    </row>
    <row r="53" spans="3:69" x14ac:dyDescent="0.2">
      <c r="F53" s="125" t="s">
        <v>69</v>
      </c>
      <c r="G53" s="125" t="s">
        <v>68</v>
      </c>
      <c r="H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0"/>
      <c r="AC53" s="256"/>
      <c r="BC53" s="178">
        <f>_xll.qlCalendarAdvance(Calendar,BC52,"1d","mf",,Trigger)</f>
        <v>42205</v>
      </c>
      <c r="BD53" s="41">
        <f>_xll.qlDayCounterYearFraction(DayCounter,SettlementDate,BC53,,,Trigger)</f>
        <v>0.18611111111111112</v>
      </c>
      <c r="BE53" s="47">
        <f>_xll.qlPolynomialFunctionValue(BE$1,$BD53,AllTriggers)</f>
        <v>1.7891905091468548E-3</v>
      </c>
      <c r="BF53" s="47">
        <f>_xll.qlPolynomialFunctionValue(BF$1,$BD53,AllTriggers)</f>
        <v>1.7924165582015126E-3</v>
      </c>
      <c r="BG53" s="47">
        <f>_xll.qlPolynomialFunctionValue(BG$1,$BD53,AllTriggers)</f>
        <v>1.7974914266416756E-3</v>
      </c>
      <c r="BH53" s="47">
        <f>_xll.qlPolynomialFunctionValue(BH$1,$BD53,AllTriggers)</f>
        <v>1.776702585069829E-3</v>
      </c>
      <c r="BI53" s="47">
        <f>_xll.qlPolynomialFunctionValue(BI$1,$BD53,AllTriggers)</f>
        <v>1.787816601119223E-3</v>
      </c>
      <c r="BJ53" s="47">
        <f>_xll.qlPolynomialFunctionValue(BJ$1,$BD53,AllTriggers)</f>
        <v>1.793015399669207E-3</v>
      </c>
      <c r="BK53" s="47">
        <f>_xll.qlPolynomialFunctionValue(BK$1,$BD53,AllTriggers)</f>
        <v>1.8004230390525951E-3</v>
      </c>
      <c r="BL53" s="47">
        <f>_xll.qlPolynomialFunctionValue(BL$1,$BD53,AllTriggers)</f>
        <v>1.7806562556292808E-3</v>
      </c>
      <c r="BM53" s="47">
        <f>_xll.qlPolynomialFunctionValue(BM$1,$BD53,AllTriggers)</f>
        <v>1.7984086901894486E-3</v>
      </c>
      <c r="BN53" s="47">
        <f>_xll.qlPolynomialFunctionValue(BN$1,$BD53,AllTriggers)</f>
        <v>1.7978695643930986E-3</v>
      </c>
      <c r="BO53" s="47">
        <f>_xll.qlPolynomialFunctionValue(BO$1,$BD53,AllTriggers)</f>
        <v>1.805880837596635E-3</v>
      </c>
      <c r="BP53" s="47">
        <f>_xll.qlPolynomialFunctionValue(BP$1,$BD53,AllTriggers)</f>
        <v>1.8295649632154756E-3</v>
      </c>
      <c r="BQ53" s="47">
        <f>_xll.qlPolynomialFunctionValue('6MSynthDepo_used'!$P$18,BD53,AllTriggers)</f>
        <v>1.7933048159325666E-3</v>
      </c>
    </row>
    <row r="54" spans="3:69" x14ac:dyDescent="0.2">
      <c r="F54" s="189" t="str">
        <f t="shared" ref="F54:F60" si="14">C45&amp;"x"&amp;C45+SUBSTITUTE($D$24,"M","")&amp;"F"</f>
        <v>0x6F</v>
      </c>
      <c r="G54" s="156">
        <f t="shared" ref="G54:H60" si="15">$AD45-G45</f>
        <v>8.1819368127559805E-5</v>
      </c>
      <c r="H54" s="156">
        <f t="shared" si="15"/>
        <v>8.1735906459015693E-5</v>
      </c>
      <c r="S54" s="156">
        <f t="shared" ref="S54:AC54" si="16">$AD45-S45</f>
        <v>7.7120919027240018E-5</v>
      </c>
      <c r="T54" s="157">
        <f t="shared" si="16"/>
        <v>9.6025820631406487E-5</v>
      </c>
      <c r="U54" s="158">
        <f t="shared" si="16"/>
        <v>8.1662568190654281E-5</v>
      </c>
      <c r="V54" s="156">
        <f t="shared" si="16"/>
        <v>8.1518861522153789E-5</v>
      </c>
      <c r="W54" s="156">
        <f t="shared" si="16"/>
        <v>7.4667893525375158E-5</v>
      </c>
      <c r="X54" s="157">
        <f t="shared" si="16"/>
        <v>9.2949183135669655E-5</v>
      </c>
      <c r="Y54" s="158">
        <f t="shared" si="16"/>
        <v>5.1902186985141284E-5</v>
      </c>
      <c r="Z54" s="240">
        <f t="shared" si="16"/>
        <v>5.2238482448039225E-5</v>
      </c>
      <c r="AA54" s="156">
        <f t="shared" si="16"/>
        <v>4.6069842616400193E-5</v>
      </c>
      <c r="AB54" s="156">
        <f t="shared" si="16"/>
        <v>2.9088504285779615E-5</v>
      </c>
      <c r="AC54" s="156">
        <f t="shared" si="16"/>
        <v>8.1695812756894023E-5</v>
      </c>
      <c r="BC54" s="178">
        <f>_xll.qlCalendarAdvance(Calendar,BC53,"1d","mf",,Trigger)</f>
        <v>42206</v>
      </c>
      <c r="BD54" s="41">
        <f>_xll.qlDayCounterYearFraction(DayCounter,SettlementDate,BC54,,,Trigger)</f>
        <v>0.18888888888888888</v>
      </c>
      <c r="BE54" s="47">
        <f>_xll.qlPolynomialFunctionValue(BE$1,$BD54,AllTriggers)</f>
        <v>1.7904201949319556E-3</v>
      </c>
      <c r="BF54" s="47">
        <f>_xll.qlPolynomialFunctionValue(BF$1,$BD54,AllTriggers)</f>
        <v>1.7938409800386398E-3</v>
      </c>
      <c r="BG54" s="47">
        <f>_xll.qlPolynomialFunctionValue(BG$1,$BD54,AllTriggers)</f>
        <v>1.798577993159624E-3</v>
      </c>
      <c r="BH54" s="47">
        <f>_xll.qlPolynomialFunctionValue(BH$1,$BD54,AllTriggers)</f>
        <v>1.7791731521362498E-3</v>
      </c>
      <c r="BI54" s="47">
        <f>_xll.qlPolynomialFunctionValue(BI$1,$BD54,AllTriggers)</f>
        <v>1.7891082796329999E-3</v>
      </c>
      <c r="BJ54" s="47">
        <f>_xll.qlPolynomialFunctionValue(BJ$1,$BD54,AllTriggers)</f>
        <v>1.7945804046556066E-3</v>
      </c>
      <c r="BK54" s="47">
        <f>_xll.qlPolynomialFunctionValue(BK$1,$BD54,AllTriggers)</f>
        <v>1.8014915947710914E-3</v>
      </c>
      <c r="BL54" s="47">
        <f>_xll.qlPolynomialFunctionValue(BL$1,$BD54,AllTriggers)</f>
        <v>1.7830495525576833E-3</v>
      </c>
      <c r="BM54" s="47">
        <f>_xll.qlPolynomialFunctionValue(BM$1,$BD54,AllTriggers)</f>
        <v>1.7994060544453646E-3</v>
      </c>
      <c r="BN54" s="47">
        <f>_xll.qlPolynomialFunctionValue(BN$1,$BD54,AllTriggers)</f>
        <v>1.7988984023501182E-3</v>
      </c>
      <c r="BO54" s="47">
        <f>_xll.qlPolynomialFunctionValue(BO$1,$BD54,AllTriggers)</f>
        <v>1.8068151325049185E-3</v>
      </c>
      <c r="BP54" s="47">
        <f>_xll.qlPolynomialFunctionValue(BP$1,$BD54,AllTriggers)</f>
        <v>1.8298198666170408E-3</v>
      </c>
      <c r="BQ54" s="47">
        <f>_xll.qlPolynomialFunctionValue('6MSynthDepo_used'!$P$18,BD54,AllTriggers)</f>
        <v>1.7946354024538788E-3</v>
      </c>
    </row>
    <row r="55" spans="3:69" x14ac:dyDescent="0.2">
      <c r="F55" s="190" t="str">
        <f t="shared" si="14"/>
        <v>1x7F</v>
      </c>
      <c r="G55" s="47">
        <f t="shared" si="15"/>
        <v>2.9651013420911847E-5</v>
      </c>
      <c r="H55" s="47">
        <f t="shared" si="15"/>
        <v>5.0657985936868998E-7</v>
      </c>
      <c r="S55" s="47">
        <f t="shared" ref="S55:AC55" si="17">$AD46-S46</f>
        <v>4.7630313115495666E-7</v>
      </c>
      <c r="T55" s="154">
        <f t="shared" si="17"/>
        <v>6.0032961845407368E-7</v>
      </c>
      <c r="U55" s="155">
        <f t="shared" si="17"/>
        <v>-1.6554549966835965E-6</v>
      </c>
      <c r="V55" s="47">
        <f t="shared" si="17"/>
        <v>-1.2062640942237185E-6</v>
      </c>
      <c r="W55" s="47">
        <f t="shared" si="17"/>
        <v>-1.4185780564881937E-6</v>
      </c>
      <c r="X55" s="154">
        <f t="shared" si="17"/>
        <v>-8.5203264398763575E-7</v>
      </c>
      <c r="Y55" s="155">
        <f t="shared" si="17"/>
        <v>4.6936684198252985E-6</v>
      </c>
      <c r="Z55" s="200">
        <f t="shared" si="17"/>
        <v>4.4905567301445218E-6</v>
      </c>
      <c r="AA55" s="47">
        <f t="shared" si="17"/>
        <v>8.5189633800615994E-7</v>
      </c>
      <c r="AB55" s="47">
        <f t="shared" si="17"/>
        <v>-2.7713567087417996E-6</v>
      </c>
      <c r="AC55" s="47">
        <f t="shared" si="17"/>
        <v>1.8589482777441784E-6</v>
      </c>
      <c r="BC55" s="178">
        <f>_xll.qlCalendarAdvance(Calendar,BC54,"1d","mf",,Trigger)</f>
        <v>42207</v>
      </c>
      <c r="BD55" s="41">
        <f>_xll.qlDayCounterYearFraction(DayCounter,SettlementDate,BC55,,,Trigger)</f>
        <v>0.19166666666666668</v>
      </c>
      <c r="BE55" s="47">
        <f>_xll.qlPolynomialFunctionValue(BE$1,$BD55,AllTriggers)</f>
        <v>1.7916498807170563E-3</v>
      </c>
      <c r="BF55" s="47">
        <f>_xll.qlPolynomialFunctionValue(BF$1,$BD55,AllTriggers)</f>
        <v>1.7952607094407786E-3</v>
      </c>
      <c r="BG55" s="47">
        <f>_xll.qlPolynomialFunctionValue(BG$1,$BD55,AllTriggers)</f>
        <v>1.7996645596775728E-3</v>
      </c>
      <c r="BH55" s="47">
        <f>_xll.qlPolynomialFunctionValue(BH$1,$BD55,AllTriggers)</f>
        <v>1.781624496972831E-3</v>
      </c>
      <c r="BI55" s="47">
        <f>_xll.qlPolynomialFunctionValue(BI$1,$BD55,AllTriggers)</f>
        <v>1.790399958146777E-3</v>
      </c>
      <c r="BJ55" s="47">
        <f>_xll.qlPolynomialFunctionValue(BJ$1,$BD55,AllTriggers)</f>
        <v>1.7961384437281437E-3</v>
      </c>
      <c r="BK55" s="47">
        <f>_xll.qlPolynomialFunctionValue(BK$1,$BD55,AllTriggers)</f>
        <v>1.8025601504895875E-3</v>
      </c>
      <c r="BL55" s="47">
        <f>_xll.qlPolynomialFunctionValue(BL$1,$BD55,AllTriggers)</f>
        <v>1.7854242614172638E-3</v>
      </c>
      <c r="BM55" s="47">
        <f>_xll.qlPolynomialFunctionValue(BM$1,$BD55,AllTriggers)</f>
        <v>1.8004034187012808E-3</v>
      </c>
      <c r="BN55" s="47">
        <f>_xll.qlPolynomialFunctionValue(BN$1,$BD55,AllTriggers)</f>
        <v>1.7999268918860256E-3</v>
      </c>
      <c r="BO55" s="47">
        <f>_xll.qlPolynomialFunctionValue(BO$1,$BD55,AllTriggers)</f>
        <v>1.8077494274132023E-3</v>
      </c>
      <c r="BP55" s="47">
        <f>_xll.qlPolynomialFunctionValue(BP$1,$BD55,AllTriggers)</f>
        <v>1.8300809751654425E-3</v>
      </c>
      <c r="BQ55" s="47">
        <f>_xll.qlPolynomialFunctionValue('6MSynthDepo_used'!$P$18,BD55,AllTriggers)</f>
        <v>1.7959619465309558E-3</v>
      </c>
    </row>
    <row r="56" spans="3:69" x14ac:dyDescent="0.2">
      <c r="F56" s="190" t="str">
        <f t="shared" si="14"/>
        <v>2x8F</v>
      </c>
      <c r="G56" s="47">
        <f t="shared" si="15"/>
        <v>2.5883748470110959E-5</v>
      </c>
      <c r="H56" s="47">
        <f t="shared" si="15"/>
        <v>8.5273550218831293E-7</v>
      </c>
      <c r="S56" s="47">
        <f t="shared" ref="S56:AC56" si="18">$AD47-S47</f>
        <v>9.0795284376436313E-7</v>
      </c>
      <c r="T56" s="154">
        <f t="shared" si="18"/>
        <v>6.8175888827523481E-7</v>
      </c>
      <c r="U56" s="155">
        <f t="shared" si="18"/>
        <v>-7.090570315442077E-6</v>
      </c>
      <c r="V56" s="47">
        <f t="shared" si="18"/>
        <v>-2.4059728534681687E-7</v>
      </c>
      <c r="W56" s="47">
        <f t="shared" si="18"/>
        <v>-4.7177013488255894E-7</v>
      </c>
      <c r="X56" s="154">
        <f t="shared" si="18"/>
        <v>1.4509893959599712E-7</v>
      </c>
      <c r="Y56" s="155">
        <f t="shared" si="18"/>
        <v>7.6767472163219918E-6</v>
      </c>
      <c r="Z56" s="200">
        <f t="shared" si="18"/>
        <v>7.2845908532158344E-6</v>
      </c>
      <c r="AA56" s="47">
        <f t="shared" si="18"/>
        <v>5.6389312695260966E-6</v>
      </c>
      <c r="AB56" s="47">
        <f t="shared" si="18"/>
        <v>8.7823292711474961E-6</v>
      </c>
      <c r="AC56" s="47">
        <f t="shared" si="18"/>
        <v>2.372338374034247E-6</v>
      </c>
      <c r="BC56" s="178">
        <f>_xll.qlCalendarAdvance(Calendar,BC55,"1d","mf",,Trigger)</f>
        <v>42208</v>
      </c>
      <c r="BD56" s="41">
        <f>_xll.qlDayCounterYearFraction(DayCounter,SettlementDate,BC56,,,Trigger)</f>
        <v>0.19444444444444445</v>
      </c>
      <c r="BE56" s="47">
        <f>_xll.qlPolynomialFunctionValue(BE$1,$BD56,AllTriggers)</f>
        <v>1.7928795665021569E-3</v>
      </c>
      <c r="BF56" s="47">
        <f>_xll.qlPolynomialFunctionValue(BF$1,$BD56,AllTriggers)</f>
        <v>1.7966757464079285E-3</v>
      </c>
      <c r="BG56" s="47">
        <f>_xll.qlPolynomialFunctionValue(BG$1,$BD56,AllTriggers)</f>
        <v>1.8007511261955214E-3</v>
      </c>
      <c r="BH56" s="47">
        <f>_xll.qlPolynomialFunctionValue(BH$1,$BD56,AllTriggers)</f>
        <v>1.7840566195795721E-3</v>
      </c>
      <c r="BI56" s="47">
        <f>_xll.qlPolynomialFunctionValue(BI$1,$BD56,AllTriggers)</f>
        <v>1.7916916366605541E-3</v>
      </c>
      <c r="BJ56" s="47">
        <f>_xll.qlPolynomialFunctionValue(BJ$1,$BD56,AllTriggers)</f>
        <v>1.7976895168868184E-3</v>
      </c>
      <c r="BK56" s="47">
        <f>_xll.qlPolynomialFunctionValue(BK$1,$BD56,AllTriggers)</f>
        <v>1.8036287062080838E-3</v>
      </c>
      <c r="BL56" s="47">
        <f>_xll.qlPolynomialFunctionValue(BL$1,$BD56,AllTriggers)</f>
        <v>1.7877803822080225E-3</v>
      </c>
      <c r="BM56" s="47">
        <f>_xll.qlPolynomialFunctionValue(BM$1,$BD56,AllTriggers)</f>
        <v>1.801400782957197E-3</v>
      </c>
      <c r="BN56" s="47">
        <f>_xll.qlPolynomialFunctionValue(BN$1,$BD56,AllTriggers)</f>
        <v>1.8009550330008203E-3</v>
      </c>
      <c r="BO56" s="47">
        <f>_xll.qlPolynomialFunctionValue(BO$1,$BD56,AllTriggers)</f>
        <v>1.8086837223214858E-3</v>
      </c>
      <c r="BP56" s="47">
        <f>_xll.qlPolynomialFunctionValue(BP$1,$BD56,AllTriggers)</f>
        <v>1.8303482888606803E-3</v>
      </c>
      <c r="BQ56" s="47">
        <f>_xll.qlPolynomialFunctionValue('6MSynthDepo_used'!$P$18,BD56,AllTriggers)</f>
        <v>1.7972844586005973E-3</v>
      </c>
    </row>
    <row r="57" spans="3:69" x14ac:dyDescent="0.2">
      <c r="F57" s="190" t="str">
        <f t="shared" si="14"/>
        <v>3x9F</v>
      </c>
      <c r="G57" s="47">
        <f t="shared" si="15"/>
        <v>4.0143755896946461E-6</v>
      </c>
      <c r="H57" s="47">
        <f t="shared" si="15"/>
        <v>-1.2408687027347441E-5</v>
      </c>
      <c r="S57" s="47">
        <f t="shared" ref="S57:AC57" si="19">$AD48-S48</f>
        <v>-1.6507302249031057E-5</v>
      </c>
      <c r="T57" s="154">
        <f t="shared" si="19"/>
        <v>2.823866881569671E-7</v>
      </c>
      <c r="U57" s="155">
        <f t="shared" si="19"/>
        <v>-3.077719492452721E-5</v>
      </c>
      <c r="V57" s="47">
        <f t="shared" si="19"/>
        <v>-1.078297862377954E-5</v>
      </c>
      <c r="W57" s="47">
        <f t="shared" si="19"/>
        <v>-1.73363388663374E-5</v>
      </c>
      <c r="X57" s="154">
        <f t="shared" si="19"/>
        <v>1.5085859368711794E-7</v>
      </c>
      <c r="Y57" s="155">
        <f t="shared" si="19"/>
        <v>-7.0111181661112456E-6</v>
      </c>
      <c r="Z57" s="200">
        <f t="shared" si="19"/>
        <v>-7.2901419053921336E-6</v>
      </c>
      <c r="AA57" s="47">
        <f t="shared" si="19"/>
        <v>-7.1205672099516415E-6</v>
      </c>
      <c r="AB57" s="47">
        <f t="shared" si="19"/>
        <v>-2.3576182892767967E-6</v>
      </c>
      <c r="AC57" s="47">
        <f t="shared" si="19"/>
        <v>-1.2108700595708766E-5</v>
      </c>
      <c r="BC57" s="178">
        <f>_xll.qlCalendarAdvance(Calendar,BC56,"1d","mf",,Trigger)</f>
        <v>42209</v>
      </c>
      <c r="BD57" s="41">
        <f>_xll.qlDayCounterYearFraction(DayCounter,SettlementDate,BC57,,,Trigger)</f>
        <v>0.19722222222222222</v>
      </c>
      <c r="BE57" s="47">
        <f>_xll.qlPolynomialFunctionValue(BE$1,$BD57,AllTriggers)</f>
        <v>1.7941092522872576E-3</v>
      </c>
      <c r="BF57" s="47">
        <f>_xll.qlPolynomialFunctionValue(BF$1,$BD57,AllTriggers)</f>
        <v>1.7980860909400903E-3</v>
      </c>
      <c r="BG57" s="47">
        <f>_xll.qlPolynomialFunctionValue(BG$1,$BD57,AllTriggers)</f>
        <v>1.8018376927134701E-3</v>
      </c>
      <c r="BH57" s="47">
        <f>_xll.qlPolynomialFunctionValue(BH$1,$BD57,AllTriggers)</f>
        <v>1.7864695199564734E-3</v>
      </c>
      <c r="BI57" s="47">
        <f>_xll.qlPolynomialFunctionValue(BI$1,$BD57,AllTriggers)</f>
        <v>1.7929833151743312E-3</v>
      </c>
      <c r="BJ57" s="47">
        <f>_xll.qlPolynomialFunctionValue(BJ$1,$BD57,AllTriggers)</f>
        <v>1.7992336241316302E-3</v>
      </c>
      <c r="BK57" s="47">
        <f>_xll.qlPolynomialFunctionValue(BK$1,$BD57,AllTriggers)</f>
        <v>1.8046972619265799E-3</v>
      </c>
      <c r="BL57" s="47">
        <f>_xll.qlPolynomialFunctionValue(BL$1,$BD57,AllTriggers)</f>
        <v>1.7901179149299592E-3</v>
      </c>
      <c r="BM57" s="47">
        <f>_xll.qlPolynomialFunctionValue(BM$1,$BD57,AllTriggers)</f>
        <v>1.8023981472131132E-3</v>
      </c>
      <c r="BN57" s="47">
        <f>_xll.qlPolynomialFunctionValue(BN$1,$BD57,AllTriggers)</f>
        <v>1.8019828256945027E-3</v>
      </c>
      <c r="BO57" s="47">
        <f>_xll.qlPolynomialFunctionValue(BO$1,$BD57,AllTriggers)</f>
        <v>1.8096180172297695E-3</v>
      </c>
      <c r="BP57" s="47">
        <f>_xll.qlPolynomialFunctionValue(BP$1,$BD57,AllTriggers)</f>
        <v>1.8306218077027544E-3</v>
      </c>
      <c r="BQ57" s="47">
        <f>_xll.qlPolynomialFunctionValue('6MSynthDepo_used'!$P$18,BD57,AllTriggers)</f>
        <v>1.7986029490996019E-3</v>
      </c>
    </row>
    <row r="58" spans="3:69" x14ac:dyDescent="0.2">
      <c r="F58" s="190" t="str">
        <f t="shared" si="14"/>
        <v>4x10F</v>
      </c>
      <c r="G58" s="47">
        <f t="shared" si="15"/>
        <v>-2.7583140049807116E-6</v>
      </c>
      <c r="H58" s="47">
        <f t="shared" si="15"/>
        <v>-8.5757555658985078E-6</v>
      </c>
      <c r="S58" s="47">
        <f t="shared" ref="S58:AC58" si="20">$AD49-S49</f>
        <v>-2.1214933552494509E-5</v>
      </c>
      <c r="T58" s="154">
        <f t="shared" si="20"/>
        <v>3.0560569962470238E-5</v>
      </c>
      <c r="U58" s="155">
        <f t="shared" si="20"/>
        <v>-4.1756195744280808E-5</v>
      </c>
      <c r="V58" s="47">
        <f t="shared" si="20"/>
        <v>-2.105640683616912E-6</v>
      </c>
      <c r="W58" s="47">
        <f t="shared" si="20"/>
        <v>-2.149328380846049E-5</v>
      </c>
      <c r="X58" s="154">
        <f t="shared" si="20"/>
        <v>3.0241327300839288E-5</v>
      </c>
      <c r="Y58" s="155">
        <f t="shared" si="20"/>
        <v>-8.9913597592129486E-6</v>
      </c>
      <c r="Z58" s="200">
        <f t="shared" si="20"/>
        <v>-8.831528851702174E-6</v>
      </c>
      <c r="AA58" s="47">
        <f t="shared" si="20"/>
        <v>-7.1724419000974114E-6</v>
      </c>
      <c r="AB58" s="47">
        <f t="shared" si="20"/>
        <v>-6.5908333031900173E-6</v>
      </c>
      <c r="AC58" s="47">
        <f t="shared" si="20"/>
        <v>-1.1232286486330444E-5</v>
      </c>
      <c r="BC58" s="178">
        <f>_xll.qlCalendarAdvance(Calendar,BC57,"1d","mf",,Trigger)</f>
        <v>42212</v>
      </c>
      <c r="BD58" s="41">
        <f>_xll.qlDayCounterYearFraction(DayCounter,SettlementDate,BC58,,,Trigger)</f>
        <v>0.20555555555555555</v>
      </c>
      <c r="BE58" s="47">
        <f>_xll.qlPolynomialFunctionValue(BE$1,$BD58,AllTriggers)</f>
        <v>1.7977983096425598E-3</v>
      </c>
      <c r="BF58" s="47">
        <f>_xll.qlPolynomialFunctionValue(BF$1,$BD58,AllTriggers)</f>
        <v>1.8022889699266431E-3</v>
      </c>
      <c r="BG58" s="47">
        <f>_xll.qlPolynomialFunctionValue(BG$1,$BD58,AllTriggers)</f>
        <v>1.8050973922673159E-3</v>
      </c>
      <c r="BH58" s="47">
        <f>_xll.qlPolynomialFunctionValue(BH$1,$BD58,AllTriggers)</f>
        <v>1.7935928877081378E-3</v>
      </c>
      <c r="BI58" s="47">
        <f>_xll.qlPolynomialFunctionValue(BI$1,$BD58,AllTriggers)</f>
        <v>1.7968583507156626E-3</v>
      </c>
      <c r="BJ58" s="47">
        <f>_xll.qlPolynomialFunctionValue(BJ$1,$BD58,AllTriggers)</f>
        <v>1.8038241503828911E-3</v>
      </c>
      <c r="BK58" s="47">
        <f>_xll.qlPolynomialFunctionValue(BK$1,$BD58,AllTriggers)</f>
        <v>1.8079029290820683E-3</v>
      </c>
      <c r="BL58" s="47">
        <f>_xll.qlPolynomialFunctionValue(BL$1,$BD58,AllTriggers)</f>
        <v>1.7970189846828386E-3</v>
      </c>
      <c r="BM58" s="47">
        <f>_xll.qlPolynomialFunctionValue(BM$1,$BD58,AllTriggers)</f>
        <v>1.8053902399808618E-3</v>
      </c>
      <c r="BN58" s="47">
        <f>_xll.qlPolynomialFunctionValue(BN$1,$BD58,AllTriggers)</f>
        <v>1.8050641132488744E-3</v>
      </c>
      <c r="BO58" s="47">
        <f>_xll.qlPolynomialFunctionValue(BO$1,$BD58,AllTriggers)</f>
        <v>1.8124209019546205E-3</v>
      </c>
      <c r="BP58" s="47">
        <f>_xll.qlPolynomialFunctionValue(BP$1,$BD58,AllTriggers)</f>
        <v>1.8314795951099956E-3</v>
      </c>
      <c r="BQ58" s="47">
        <f>_xll.qlPolynomialFunctionValue('6MSynthDepo_used'!$P$18,BD58,AllTriggers)</f>
        <v>1.8025343955407817E-3</v>
      </c>
    </row>
    <row r="59" spans="3:69" x14ac:dyDescent="0.2">
      <c r="F59" s="190" t="str">
        <f t="shared" si="14"/>
        <v>5x11F</v>
      </c>
      <c r="G59" s="47">
        <f t="shared" si="15"/>
        <v>1.7416723710639076E-5</v>
      </c>
      <c r="H59" s="47">
        <f t="shared" si="15"/>
        <v>2.8359502366271131E-5</v>
      </c>
      <c r="S59" s="47">
        <f t="shared" ref="S59:AC59" si="21">$AD50-S50</f>
        <v>3.2785121987361204E-6</v>
      </c>
      <c r="T59" s="154">
        <f t="shared" si="21"/>
        <v>1.0602102408955802E-4</v>
      </c>
      <c r="U59" s="155">
        <f t="shared" si="21"/>
        <v>-2.3331817266878654E-5</v>
      </c>
      <c r="V59" s="47">
        <f t="shared" si="21"/>
        <v>4.1541383391493223E-5</v>
      </c>
      <c r="W59" s="47">
        <f t="shared" si="21"/>
        <v>3.5330842279386512E-6</v>
      </c>
      <c r="X59" s="154">
        <f t="shared" si="21"/>
        <v>1.0495565341230527E-4</v>
      </c>
      <c r="Y59" s="155">
        <f t="shared" si="21"/>
        <v>1.8141495389142849E-5</v>
      </c>
      <c r="Z59" s="200">
        <f t="shared" si="21"/>
        <v>1.9036155092210178E-5</v>
      </c>
      <c r="AA59" s="47">
        <f t="shared" si="21"/>
        <v>2.1826574767247866E-5</v>
      </c>
      <c r="AB59" s="47">
        <f t="shared" si="21"/>
        <v>1.2838503875825221E-5</v>
      </c>
      <c r="AC59" s="47">
        <f t="shared" si="21"/>
        <v>2.0907079122110686E-5</v>
      </c>
      <c r="BC59" s="178">
        <f>_xll.qlCalendarAdvance(Calendar,BC58,"1d","mf",,Trigger)</f>
        <v>42213</v>
      </c>
      <c r="BD59" s="41">
        <f>_xll.qlDayCounterYearFraction(DayCounter,SettlementDate,BC59,,,Trigger)</f>
        <v>0.20833333333333334</v>
      </c>
      <c r="BE59" s="47">
        <f>_xll.qlPolynomialFunctionValue(BE$1,$BD59,AllTriggers)</f>
        <v>1.7990279954276604E-3</v>
      </c>
      <c r="BF59" s="47">
        <f>_xll.qlPolynomialFunctionValue(BF$1,$BD59,AllTriggers)</f>
        <v>1.8036805447188501E-3</v>
      </c>
      <c r="BG59" s="47">
        <f>_xll.qlPolynomialFunctionValue(BG$1,$BD59,AllTriggers)</f>
        <v>1.8061839587852646E-3</v>
      </c>
      <c r="BH59" s="47">
        <f>_xll.qlPolynomialFunctionValue(BH$1,$BD59,AllTriggers)</f>
        <v>1.7959288991656794E-3</v>
      </c>
      <c r="BI59" s="47">
        <f>_xll.qlPolynomialFunctionValue(BI$1,$BD59,AllTriggers)</f>
        <v>1.7981500292294397E-3</v>
      </c>
      <c r="BJ59" s="47">
        <f>_xll.qlPolynomialFunctionValue(BJ$1,$BD59,AllTriggers)</f>
        <v>1.8053403939722532E-3</v>
      </c>
      <c r="BK59" s="47">
        <f>_xll.qlPolynomialFunctionValue(BK$1,$BD59,AllTriggers)</f>
        <v>1.8089714848005646E-3</v>
      </c>
      <c r="BL59" s="47">
        <f>_xll.qlPolynomialFunctionValue(BL$1,$BD59,AllTriggers)</f>
        <v>1.7992821651294879E-3</v>
      </c>
      <c r="BM59" s="47">
        <f>_xll.qlPolynomialFunctionValue(BM$1,$BD59,AllTriggers)</f>
        <v>1.8063876042367778E-3</v>
      </c>
      <c r="BN59" s="47">
        <f>_xll.qlPolynomialFunctionValue(BN$1,$BD59,AllTriggers)</f>
        <v>1.8060905122581066E-3</v>
      </c>
      <c r="BO59" s="47">
        <f>_xll.qlPolynomialFunctionValue(BO$1,$BD59,AllTriggers)</f>
        <v>1.8133551968629042E-3</v>
      </c>
      <c r="BP59" s="47">
        <f>_xll.qlPolynomialFunctionValue(BP$1,$BD59,AllTriggers)</f>
        <v>1.8317779345394154E-3</v>
      </c>
      <c r="BQ59" s="47">
        <f>_xll.qlPolynomialFunctionValue('6MSynthDepo_used'!$P$18,BD59,AllTriggers)</f>
        <v>1.8038369041252259E-3</v>
      </c>
    </row>
    <row r="60" spans="3:69" x14ac:dyDescent="0.2">
      <c r="F60" s="191" t="str">
        <f t="shared" si="14"/>
        <v>6x12F</v>
      </c>
      <c r="G60" s="159">
        <f t="shared" si="15"/>
        <v>-2.2761103329318674E-6</v>
      </c>
      <c r="H60" s="159">
        <f t="shared" si="15"/>
        <v>3.0625586987814528E-5</v>
      </c>
      <c r="K60" s="55"/>
      <c r="L60" s="55"/>
      <c r="M60" s="55"/>
      <c r="N60" s="55"/>
      <c r="S60" s="159">
        <f t="shared" ref="S60:AC60" si="22">$AD51-S51</f>
        <v>-1.288646010072763E-5</v>
      </c>
      <c r="T60" s="160">
        <f t="shared" si="22"/>
        <v>1.6535757992826219E-4</v>
      </c>
      <c r="U60" s="161">
        <f t="shared" si="22"/>
        <v>-4.6172763567554377E-5</v>
      </c>
      <c r="V60" s="159">
        <f t="shared" si="22"/>
        <v>5.3489388102707838E-5</v>
      </c>
      <c r="W60" s="159">
        <f t="shared" si="22"/>
        <v>-1.204567355784017E-5</v>
      </c>
      <c r="X60" s="160">
        <f t="shared" si="22"/>
        <v>1.6283019491143821E-4</v>
      </c>
      <c r="Y60" s="161">
        <f t="shared" si="22"/>
        <v>4.8798734265157427E-6</v>
      </c>
      <c r="Z60" s="241">
        <f t="shared" si="22"/>
        <v>6.9351736734510686E-6</v>
      </c>
      <c r="AA60" s="159">
        <f t="shared" si="22"/>
        <v>1.0617730475509166E-5</v>
      </c>
      <c r="AB60" s="159">
        <f t="shared" si="22"/>
        <v>-1.5171729213025488E-5</v>
      </c>
      <c r="AC60" s="159">
        <f t="shared" si="22"/>
        <v>1.5373525839029387E-5</v>
      </c>
      <c r="BC60" s="178">
        <f>_xll.qlCalendarAdvance(Calendar,BC59,"1d","mf",,Trigger)</f>
        <v>42214</v>
      </c>
      <c r="BD60" s="41">
        <f>_xll.qlDayCounterYearFraction(DayCounter,SettlementDate,BC60,,,Trigger)</f>
        <v>0.21111111111111111</v>
      </c>
      <c r="BE60" s="47">
        <f>_xll.qlPolynomialFunctionValue(BE$1,$BD60,AllTriggers)</f>
        <v>1.8002576812127611E-3</v>
      </c>
      <c r="BF60" s="47">
        <f>_xll.qlPolynomialFunctionValue(BF$1,$BD60,AllTriggers)</f>
        <v>1.8050674270760688E-3</v>
      </c>
      <c r="BG60" s="47">
        <f>_xll.qlPolynomialFunctionValue(BG$1,$BD60,AllTriggers)</f>
        <v>1.8072705253032132E-3</v>
      </c>
      <c r="BH60" s="47">
        <f>_xll.qlPolynomialFunctionValue(BH$1,$BD60,AllTriggers)</f>
        <v>1.7982456883933813E-3</v>
      </c>
      <c r="BI60" s="47">
        <f>_xll.qlPolynomialFunctionValue(BI$1,$BD60,AllTriggers)</f>
        <v>1.7994417077432168E-3</v>
      </c>
      <c r="BJ60" s="47">
        <f>_xll.qlPolynomialFunctionValue(BJ$1,$BD60,AllTriggers)</f>
        <v>1.8068496716477523E-3</v>
      </c>
      <c r="BK60" s="47">
        <f>_xll.qlPolynomialFunctionValue(BK$1,$BD60,AllTriggers)</f>
        <v>1.8100400405190607E-3</v>
      </c>
      <c r="BL60" s="47">
        <f>_xll.qlPolynomialFunctionValue(BL$1,$BD60,AllTriggers)</f>
        <v>1.8015267575073152E-3</v>
      </c>
      <c r="BM60" s="47">
        <f>_xll.qlPolynomialFunctionValue(BM$1,$BD60,AllTriggers)</f>
        <v>1.807384968492694E-3</v>
      </c>
      <c r="BN60" s="47">
        <f>_xll.qlPolynomialFunctionValue(BN$1,$BD60,AllTriggers)</f>
        <v>1.8071165628462263E-3</v>
      </c>
      <c r="BO60" s="47">
        <f>_xll.qlPolynomialFunctionValue(BO$1,$BD60,AllTriggers)</f>
        <v>1.8142894917711878E-3</v>
      </c>
      <c r="BP60" s="47">
        <f>_xll.qlPolynomialFunctionValue(BP$1,$BD60,AllTriggers)</f>
        <v>1.8320824791156715E-3</v>
      </c>
      <c r="BQ60" s="47">
        <f>_xll.qlPolynomialFunctionValue('6MSynthDepo_used'!$P$18,BD60,AllTriggers)</f>
        <v>1.8051354433230274E-3</v>
      </c>
    </row>
    <row r="61" spans="3:69" x14ac:dyDescent="0.2">
      <c r="K61" s="55"/>
      <c r="L61" s="55"/>
      <c r="M61" s="55"/>
      <c r="N61" s="55"/>
      <c r="BC61" s="178">
        <f>_xll.qlCalendarAdvance(Calendar,BC60,"1d","mf",,Trigger)</f>
        <v>42215</v>
      </c>
      <c r="BD61" s="41">
        <f>_xll.qlDayCounterYearFraction(DayCounter,SettlementDate,BC61,,,Trigger)</f>
        <v>0.21388888888888888</v>
      </c>
      <c r="BE61" s="47">
        <f>_xll.qlPolynomialFunctionValue(BE$1,$BD61,AllTriggers)</f>
        <v>1.8014873669978618E-3</v>
      </c>
      <c r="BF61" s="47">
        <f>_xll.qlPolynomialFunctionValue(BF$1,$BD61,AllTriggers)</f>
        <v>1.8064496169982987E-3</v>
      </c>
      <c r="BG61" s="47">
        <f>_xll.qlPolynomialFunctionValue(BG$1,$BD61,AllTriggers)</f>
        <v>1.8083570918211618E-3</v>
      </c>
      <c r="BH61" s="47">
        <f>_xll.qlPolynomialFunctionValue(BH$1,$BD61,AllTriggers)</f>
        <v>1.8005432553912432E-3</v>
      </c>
      <c r="BI61" s="47">
        <f>_xll.qlPolynomialFunctionValue(BI$1,$BD61,AllTriggers)</f>
        <v>1.8007333862569939E-3</v>
      </c>
      <c r="BJ61" s="47">
        <f>_xll.qlPolynomialFunctionValue(BJ$1,$BD61,AllTriggers)</f>
        <v>1.8083519834093892E-3</v>
      </c>
      <c r="BK61" s="47">
        <f>_xll.qlPolynomialFunctionValue(BK$1,$BD61,AllTriggers)</f>
        <v>1.811108596237557E-3</v>
      </c>
      <c r="BL61" s="47">
        <f>_xll.qlPolynomialFunctionValue(BL$1,$BD61,AllTriggers)</f>
        <v>1.8037527618163208E-3</v>
      </c>
      <c r="BM61" s="47">
        <f>_xll.qlPolynomialFunctionValue(BM$1,$BD61,AllTriggers)</f>
        <v>1.8083823327486102E-3</v>
      </c>
      <c r="BN61" s="47">
        <f>_xll.qlPolynomialFunctionValue(BN$1,$BD61,AllTriggers)</f>
        <v>1.8081422650132336E-3</v>
      </c>
      <c r="BO61" s="47">
        <f>_xll.qlPolynomialFunctionValue(BO$1,$BD61,AllTriggers)</f>
        <v>1.8152237866794715E-3</v>
      </c>
      <c r="BP61" s="47">
        <f>_xll.qlPolynomialFunctionValue(BP$1,$BD61,AllTriggers)</f>
        <v>1.8323932288387642E-3</v>
      </c>
      <c r="BQ61" s="47">
        <f>_xll.qlPolynomialFunctionValue('6MSynthDepo_used'!$P$18,BD61,AllTriggers)</f>
        <v>1.8064300235709847E-3</v>
      </c>
    </row>
    <row r="62" spans="3:69" x14ac:dyDescent="0.2">
      <c r="K62" s="55"/>
      <c r="L62" s="55"/>
      <c r="M62" s="55"/>
      <c r="N62" s="55"/>
      <c r="BC62" s="178">
        <f>_xll.qlCalendarAdvance(Calendar,BC61,"1d","mf",,Trigger)</f>
        <v>42216</v>
      </c>
      <c r="BD62" s="41">
        <f>_xll.qlDayCounterYearFraction(DayCounter,SettlementDate,BC62,,,Trigger)</f>
        <v>0.21666666666666667</v>
      </c>
      <c r="BE62" s="47">
        <f>_xll.qlPolynomialFunctionValue(BE$1,$BD62,AllTriggers)</f>
        <v>1.8027170527829626E-3</v>
      </c>
      <c r="BF62" s="47">
        <f>_xll.qlPolynomialFunctionValue(BF$1,$BD62,AllTriggers)</f>
        <v>1.8078271144855401E-3</v>
      </c>
      <c r="BG62" s="47">
        <f>_xll.qlPolynomialFunctionValue(BG$1,$BD62,AllTriggers)</f>
        <v>1.8094436583391104E-3</v>
      </c>
      <c r="BH62" s="47">
        <f>_xll.qlPolynomialFunctionValue(BH$1,$BD62,AllTriggers)</f>
        <v>1.8028216001592654E-3</v>
      </c>
      <c r="BI62" s="47">
        <f>_xll.qlPolynomialFunctionValue(BI$1,$BD62,AllTriggers)</f>
        <v>1.8020250647707711E-3</v>
      </c>
      <c r="BJ62" s="47">
        <f>_xll.qlPolynomialFunctionValue(BJ$1,$BD62,AllTriggers)</f>
        <v>1.8098473292571635E-3</v>
      </c>
      <c r="BK62" s="47">
        <f>_xll.qlPolynomialFunctionValue(BK$1,$BD62,AllTriggers)</f>
        <v>1.8121771519560531E-3</v>
      </c>
      <c r="BL62" s="47">
        <f>_xll.qlPolynomialFunctionValue(BL$1,$BD62,AllTriggers)</f>
        <v>1.8059601780565048E-3</v>
      </c>
      <c r="BM62" s="47">
        <f>_xll.qlPolynomialFunctionValue(BM$1,$BD62,AllTriggers)</f>
        <v>1.8093796970045264E-3</v>
      </c>
      <c r="BN62" s="47">
        <f>_xll.qlPolynomialFunctionValue(BN$1,$BD62,AllTriggers)</f>
        <v>1.8091676187591281E-3</v>
      </c>
      <c r="BO62" s="47">
        <f>_xll.qlPolynomialFunctionValue(BO$1,$BD62,AllTriggers)</f>
        <v>1.8161580815877552E-3</v>
      </c>
      <c r="BP62" s="47">
        <f>_xll.qlPolynomialFunctionValue(BP$1,$BD62,AllTriggers)</f>
        <v>1.8327101837086932E-3</v>
      </c>
      <c r="BQ62" s="47">
        <f>_xll.qlPolynomialFunctionValue('6MSynthDepo_used'!$P$18,BD62,AllTriggers)</f>
        <v>1.8077206553058964E-3</v>
      </c>
    </row>
    <row r="63" spans="3:69" x14ac:dyDescent="0.2">
      <c r="C63" s="194"/>
      <c r="D63" s="194"/>
      <c r="E63" s="195"/>
      <c r="H63" s="35"/>
      <c r="K63" s="55"/>
      <c r="L63" s="55"/>
      <c r="M63" s="55"/>
      <c r="N63" s="55"/>
      <c r="P63" s="35"/>
      <c r="Q63" s="35"/>
      <c r="R63" s="34"/>
      <c r="S63" s="34"/>
      <c r="BC63" s="178">
        <f>_xll.qlCalendarAdvance(Calendar,BC62,"1d","mf",,Trigger)</f>
        <v>42219</v>
      </c>
      <c r="BD63" s="41">
        <f>_xll.qlDayCounterYearFraction(DayCounter,SettlementDate,BC63,,,Trigger)</f>
        <v>0.22500000000000001</v>
      </c>
      <c r="BE63" s="47">
        <f>_xll.qlPolynomialFunctionValue(BE$1,$BD63,AllTriggers)</f>
        <v>1.8064061101382646E-3</v>
      </c>
      <c r="BF63" s="47">
        <f>_xll.qlPolynomialFunctionValue(BF$1,$BD63,AllTriggers)</f>
        <v>1.8119314523373327E-3</v>
      </c>
      <c r="BG63" s="47">
        <f>_xll.qlPolynomialFunctionValue(BG$1,$BD63,AllTriggers)</f>
        <v>1.8127033578929563E-3</v>
      </c>
      <c r="BH63" s="47">
        <f>_xll.qlPolynomialFunctionValue(BH$1,$BD63,AllTriggers)</f>
        <v>1.8095413010842921E-3</v>
      </c>
      <c r="BI63" s="47">
        <f>_xll.qlPolynomialFunctionValue(BI$1,$BD63,AllTriggers)</f>
        <v>1.8059001003121024E-3</v>
      </c>
      <c r="BJ63" s="47">
        <f>_xll.qlPolynomialFunctionValue(BJ$1,$BD63,AllTriggers)</f>
        <v>1.8142915713173112E-3</v>
      </c>
      <c r="BK63" s="47">
        <f>_xll.qlPolynomialFunctionValue(BK$1,$BD63,AllTriggers)</f>
        <v>1.8153828191115418E-3</v>
      </c>
      <c r="BL63" s="47">
        <f>_xll.qlPolynomialFunctionValue(BL$1,$BD63,AllTriggers)</f>
        <v>1.8124708983641247E-3</v>
      </c>
      <c r="BM63" s="47">
        <f>_xll.qlPolynomialFunctionValue(BM$1,$BD63,AllTriggers)</f>
        <v>1.812371789772275E-3</v>
      </c>
      <c r="BN63" s="47">
        <f>_xll.qlPolynomialFunctionValue(BN$1,$BD63,AllTriggers)</f>
        <v>1.8122415894701372E-3</v>
      </c>
      <c r="BO63" s="47">
        <f>_xll.qlPolynomialFunctionValue(BO$1,$BD63,AllTriggers)</f>
        <v>1.8189609663126062E-3</v>
      </c>
      <c r="BP63" s="47">
        <f>_xll.qlPolynomialFunctionValue(BP$1,$BD63,AllTriggers)</f>
        <v>1.8336982791994981E-3</v>
      </c>
      <c r="BQ63" s="47">
        <f>_xll.qlPolynomialFunctionValue('6MSynthDepo_used'!$P$18,BD63,AllTriggers)</f>
        <v>1.811568963800347E-3</v>
      </c>
    </row>
    <row r="64" spans="3:69" x14ac:dyDescent="0.2">
      <c r="C64" s="194"/>
      <c r="D64" s="194"/>
      <c r="E64" s="195"/>
      <c r="H64" s="35"/>
      <c r="K64" s="55"/>
      <c r="L64" s="55"/>
      <c r="M64" s="55"/>
      <c r="N64" s="55"/>
      <c r="P64" s="35"/>
      <c r="Q64" s="35"/>
      <c r="R64" s="35"/>
      <c r="S64" s="35"/>
      <c r="BC64" s="178">
        <f>_xll.qlCalendarAdvance(Calendar,BC63,"1d","mf",,Trigger)</f>
        <v>42220</v>
      </c>
      <c r="BD64" s="41">
        <f>_xll.qlDayCounterYearFraction(DayCounter,SettlementDate,BC64,,,Trigger)</f>
        <v>0.22777777777777777</v>
      </c>
      <c r="BE64" s="47">
        <f>_xll.qlPolynomialFunctionValue(BE$1,$BD64,AllTriggers)</f>
        <v>1.8076357959233653E-3</v>
      </c>
      <c r="BF64" s="47">
        <f>_xll.qlPolynomialFunctionValue(BF$1,$BD64,AllTriggers)</f>
        <v>1.8132901800846195E-3</v>
      </c>
      <c r="BG64" s="47">
        <f>_xll.qlPolynomialFunctionValue(BG$1,$BD64,AllTriggers)</f>
        <v>1.8137899244109049E-3</v>
      </c>
      <c r="BH64" s="47">
        <f>_xll.qlPolynomialFunctionValue(BH$1,$BD64,AllTriggers)</f>
        <v>1.8117427569329543E-3</v>
      </c>
      <c r="BI64" s="47">
        <f>_xll.qlPolynomialFunctionValue(BI$1,$BD64,AllTriggers)</f>
        <v>1.8071917788258793E-3</v>
      </c>
      <c r="BJ64" s="47">
        <f>_xll.qlPolynomialFunctionValue(BJ$1,$BD64,AllTriggers)</f>
        <v>1.8157590535096354E-3</v>
      </c>
      <c r="BK64" s="47">
        <f>_xll.qlPolynomialFunctionValue(BK$1,$BD64,AllTriggers)</f>
        <v>1.8164513748300378E-3</v>
      </c>
      <c r="BL64" s="47">
        <f>_xll.qlPolynomialFunctionValue(BL$1,$BD64,AllTriggers)</f>
        <v>1.8146039623290209E-3</v>
      </c>
      <c r="BM64" s="47">
        <f>_xll.qlPolynomialFunctionValue(BM$1,$BD64,AllTriggers)</f>
        <v>1.8133691540281912E-3</v>
      </c>
      <c r="BN64" s="47">
        <f>_xll.qlPolynomialFunctionValue(BN$1,$BD64,AllTriggers)</f>
        <v>1.813265549531582E-3</v>
      </c>
      <c r="BO64" s="47">
        <f>_xll.qlPolynomialFunctionValue(BO$1,$BD64,AllTriggers)</f>
        <v>1.8198952612208897E-3</v>
      </c>
      <c r="BP64" s="47">
        <f>_xll.qlPolynomialFunctionValue(BP$1,$BD64,AllTriggers)</f>
        <v>1.8340400546567725E-3</v>
      </c>
      <c r="BQ64" s="47">
        <f>_xll.qlPolynomialFunctionValue('6MSynthDepo_used'!$P$18,BD64,AllTriggers)</f>
        <v>1.8128439058510651E-3</v>
      </c>
    </row>
    <row r="65" spans="3:69" x14ac:dyDescent="0.2">
      <c r="C65" s="194"/>
      <c r="D65" s="194"/>
      <c r="E65" s="195"/>
      <c r="H65" s="35"/>
      <c r="K65" s="55"/>
      <c r="L65" s="55"/>
      <c r="M65" s="55"/>
      <c r="N65" s="55"/>
      <c r="P65" s="35"/>
      <c r="Q65" s="35"/>
      <c r="R65" s="35"/>
      <c r="S65" s="35"/>
      <c r="BC65" s="178">
        <f>_xll.qlCalendarAdvance(Calendar,BC64,"1d","mf",,Trigger)</f>
        <v>42221</v>
      </c>
      <c r="BD65" s="41">
        <f>_xll.qlDayCounterYearFraction(DayCounter,SettlementDate,BC65,,,Trigger)</f>
        <v>0.23055555555555557</v>
      </c>
      <c r="BE65" s="47">
        <f>_xll.qlPolynomialFunctionValue(BE$1,$BD65,AllTriggers)</f>
        <v>1.8088654817084661E-3</v>
      </c>
      <c r="BF65" s="47">
        <f>_xll.qlPolynomialFunctionValue(BF$1,$BD65,AllTriggers)</f>
        <v>1.814644215396918E-3</v>
      </c>
      <c r="BG65" s="47">
        <f>_xll.qlPolynomialFunctionValue(BG$1,$BD65,AllTriggers)</f>
        <v>1.8148764909288535E-3</v>
      </c>
      <c r="BH65" s="47">
        <f>_xll.qlPolynomialFunctionValue(BH$1,$BD65,AllTriggers)</f>
        <v>1.8139249905517771E-3</v>
      </c>
      <c r="BI65" s="47">
        <f>_xll.qlPolynomialFunctionValue(BI$1,$BD65,AllTriggers)</f>
        <v>1.8084834573396566E-3</v>
      </c>
      <c r="BJ65" s="47">
        <f>_xll.qlPolynomialFunctionValue(BJ$1,$BD65,AllTriggers)</f>
        <v>1.8172195697880973E-3</v>
      </c>
      <c r="BK65" s="47">
        <f>_xll.qlPolynomialFunctionValue(BK$1,$BD65,AllTriggers)</f>
        <v>1.8175199305485341E-3</v>
      </c>
      <c r="BL65" s="47">
        <f>_xll.qlPolynomialFunctionValue(BL$1,$BD65,AllTriggers)</f>
        <v>1.8167184382250955E-3</v>
      </c>
      <c r="BM65" s="47">
        <f>_xll.qlPolynomialFunctionValue(BM$1,$BD65,AllTriggers)</f>
        <v>1.8143665182841072E-3</v>
      </c>
      <c r="BN65" s="47">
        <f>_xll.qlPolynomialFunctionValue(BN$1,$BD65,AllTriggers)</f>
        <v>1.8142891611719141E-3</v>
      </c>
      <c r="BO65" s="47">
        <f>_xll.qlPolynomialFunctionValue(BO$1,$BD65,AllTriggers)</f>
        <v>1.8208295561291735E-3</v>
      </c>
      <c r="BP65" s="47">
        <f>_xll.qlPolynomialFunctionValue(BP$1,$BD65,AllTriggers)</f>
        <v>1.8343880352608834E-3</v>
      </c>
      <c r="BQ65" s="47">
        <f>_xll.qlPolynomialFunctionValue('6MSynthDepo_used'!$P$18,BD65,AllTriggers)</f>
        <v>1.8141149515727311E-3</v>
      </c>
    </row>
    <row r="66" spans="3:69" x14ac:dyDescent="0.2">
      <c r="C66" s="194"/>
      <c r="D66" s="194"/>
      <c r="E66" s="195"/>
      <c r="H66" s="35"/>
      <c r="K66" s="55"/>
      <c r="L66" s="55"/>
      <c r="M66" s="55"/>
      <c r="N66" s="55"/>
      <c r="P66" s="35"/>
      <c r="Q66" s="35"/>
      <c r="R66" s="35"/>
      <c r="S66" s="35"/>
      <c r="BC66" s="178">
        <f>_xll.qlCalendarAdvance(Calendar,BC65,"1d","mf",,Trigger)</f>
        <v>42222</v>
      </c>
      <c r="BD66" s="41">
        <f>_xll.qlDayCounterYearFraction(DayCounter,SettlementDate,BC66,,,Trigger)</f>
        <v>0.23333333333333334</v>
      </c>
      <c r="BE66" s="47">
        <f>_xll.qlPolynomialFunctionValue(BE$1,$BD66,AllTriggers)</f>
        <v>1.8100951674935666E-3</v>
      </c>
      <c r="BF66" s="47">
        <f>_xll.qlPolynomialFunctionValue(BF$1,$BD66,AllTriggers)</f>
        <v>1.8159935582742277E-3</v>
      </c>
      <c r="BG66" s="47">
        <f>_xll.qlPolynomialFunctionValue(BG$1,$BD66,AllTriggers)</f>
        <v>1.8159630574468022E-3</v>
      </c>
      <c r="BH66" s="47">
        <f>_xll.qlPolynomialFunctionValue(BH$1,$BD66,AllTriggers)</f>
        <v>1.8160880019407596E-3</v>
      </c>
      <c r="BI66" s="47">
        <f>_xll.qlPolynomialFunctionValue(BI$1,$BD66,AllTriggers)</f>
        <v>1.8097751358534335E-3</v>
      </c>
      <c r="BJ66" s="47">
        <f>_xll.qlPolynomialFunctionValue(BJ$1,$BD66,AllTriggers)</f>
        <v>1.8186731201526962E-3</v>
      </c>
      <c r="BK66" s="47">
        <f>_xll.qlPolynomialFunctionValue(BK$1,$BD66,AllTriggers)</f>
        <v>1.8185884862670302E-3</v>
      </c>
      <c r="BL66" s="47">
        <f>_xll.qlPolynomialFunctionValue(BL$1,$BD66,AllTriggers)</f>
        <v>1.8188143260523481E-3</v>
      </c>
      <c r="BM66" s="47">
        <f>_xll.qlPolynomialFunctionValue(BM$1,$BD66,AllTriggers)</f>
        <v>1.8153638825400234E-3</v>
      </c>
      <c r="BN66" s="47">
        <f>_xll.qlPolynomialFunctionValue(BN$1,$BD66,AllTriggers)</f>
        <v>1.8153124243911339E-3</v>
      </c>
      <c r="BO66" s="47">
        <f>_xll.qlPolynomialFunctionValue(BO$1,$BD66,AllTriggers)</f>
        <v>1.8217638510374572E-3</v>
      </c>
      <c r="BP66" s="47">
        <f>_xll.qlPolynomialFunctionValue(BP$1,$BD66,AllTriggers)</f>
        <v>1.8347422210118307E-3</v>
      </c>
      <c r="BQ66" s="47">
        <f>_xll.qlPolynomialFunctionValue('6MSynthDepo_used'!$P$18,BD66,AllTriggers)</f>
        <v>1.8153821114021448E-3</v>
      </c>
    </row>
    <row r="67" spans="3:69" x14ac:dyDescent="0.2">
      <c r="C67" s="194"/>
      <c r="D67" s="194"/>
      <c r="E67" s="195"/>
      <c r="H67" s="35"/>
      <c r="K67" s="55"/>
      <c r="L67" s="55"/>
      <c r="M67" s="55"/>
      <c r="N67" s="55"/>
      <c r="P67" s="35"/>
      <c r="Q67" s="35"/>
      <c r="R67" s="35"/>
      <c r="S67" s="35"/>
      <c r="BC67" s="178">
        <f>_xll.qlCalendarAdvance(Calendar,BC66,"1d","mf",,Trigger)</f>
        <v>42223</v>
      </c>
      <c r="BD67" s="41">
        <f>_xll.qlDayCounterYearFraction(DayCounter,SettlementDate,BC67,,,Trigger)</f>
        <v>0.2361111111111111</v>
      </c>
      <c r="BE67" s="47">
        <f>_xll.qlPolynomialFunctionValue(BE$1,$BD67,AllTriggers)</f>
        <v>1.8113248532786673E-3</v>
      </c>
      <c r="BF67" s="47">
        <f>_xll.qlPolynomialFunctionValue(BF$1,$BD67,AllTriggers)</f>
        <v>1.817338208716549E-3</v>
      </c>
      <c r="BG67" s="47">
        <f>_xll.qlPolynomialFunctionValue(BG$1,$BD67,AllTriggers)</f>
        <v>1.8170496239647508E-3</v>
      </c>
      <c r="BH67" s="47">
        <f>_xll.qlPolynomialFunctionValue(BH$1,$BD67,AllTriggers)</f>
        <v>1.8182317910999024E-3</v>
      </c>
      <c r="BI67" s="47">
        <f>_xll.qlPolynomialFunctionValue(BI$1,$BD67,AllTriggers)</f>
        <v>1.8110668143672107E-3</v>
      </c>
      <c r="BJ67" s="47">
        <f>_xll.qlPolynomialFunctionValue(BJ$1,$BD67,AllTriggers)</f>
        <v>1.8201197046034329E-3</v>
      </c>
      <c r="BK67" s="47">
        <f>_xll.qlPolynomialFunctionValue(BK$1,$BD67,AllTriggers)</f>
        <v>1.8196570419855265E-3</v>
      </c>
      <c r="BL67" s="47">
        <f>_xll.qlPolynomialFunctionValue(BL$1,$BD67,AllTriggers)</f>
        <v>1.8208916258107787E-3</v>
      </c>
      <c r="BM67" s="47">
        <f>_xll.qlPolynomialFunctionValue(BM$1,$BD67,AllTriggers)</f>
        <v>1.8163612467959396E-3</v>
      </c>
      <c r="BN67" s="47">
        <f>_xll.qlPolynomialFunctionValue(BN$1,$BD67,AllTriggers)</f>
        <v>1.8163353391892408E-3</v>
      </c>
      <c r="BO67" s="47">
        <f>_xll.qlPolynomialFunctionValue(BO$1,$BD67,AllTriggers)</f>
        <v>1.8226981459457409E-3</v>
      </c>
      <c r="BP67" s="47">
        <f>_xll.qlPolynomialFunctionValue(BP$1,$BD67,AllTriggers)</f>
        <v>1.8351026119096143E-3</v>
      </c>
      <c r="BQ67" s="47">
        <f>_xll.qlPolynomialFunctionValue('6MSynthDepo_used'!$P$18,BD67,AllTriggers)</f>
        <v>1.8166453957761044E-3</v>
      </c>
    </row>
    <row r="68" spans="3:69" x14ac:dyDescent="0.2">
      <c r="C68" s="194"/>
      <c r="D68" s="194"/>
      <c r="E68" s="195"/>
      <c r="H68" s="35"/>
      <c r="K68" s="55"/>
      <c r="L68" s="55"/>
      <c r="M68" s="55"/>
      <c r="N68" s="55"/>
      <c r="P68" s="35"/>
      <c r="Q68" s="35"/>
      <c r="R68" s="35"/>
      <c r="S68" s="35"/>
      <c r="BC68" s="178">
        <f>_xll.qlCalendarAdvance(Calendar,BC67,"1d","mf",,Trigger)</f>
        <v>42226</v>
      </c>
      <c r="BD68" s="41">
        <f>_xll.qlDayCounterYearFraction(DayCounter,SettlementDate,BC68,,,Trigger)</f>
        <v>0.24444444444444444</v>
      </c>
      <c r="BE68" s="47">
        <f>_xll.qlPolynomialFunctionValue(BE$1,$BD68,AllTriggers)</f>
        <v>1.8150139106339694E-3</v>
      </c>
      <c r="BF68" s="47">
        <f>_xll.qlPolynomialFunctionValue(BF$1,$BD68,AllTriggers)</f>
        <v>1.821344005433581E-3</v>
      </c>
      <c r="BG68" s="47">
        <f>_xll.qlPolynomialFunctionValue(BG$1,$BD68,AllTriggers)</f>
        <v>1.8203093235185967E-3</v>
      </c>
      <c r="BH68" s="47">
        <f>_xll.qlPolynomialFunctionValue(BH$1,$BD68,AllTriggers)</f>
        <v>1.8245478251982916E-3</v>
      </c>
      <c r="BI68" s="47">
        <f>_xll.qlPolynomialFunctionValue(BI$1,$BD68,AllTriggers)</f>
        <v>1.814941849908542E-3</v>
      </c>
      <c r="BJ68" s="47">
        <f>_xll.qlPolynomialFunctionValue(BJ$1,$BD68,AllTriggers)</f>
        <v>1.8244176624724676E-3</v>
      </c>
      <c r="BK68" s="47">
        <f>_xll.qlPolynomialFunctionValue(BK$1,$BD68,AllTriggers)</f>
        <v>1.822862709141015E-3</v>
      </c>
      <c r="BL68" s="47">
        <f>_xll.qlPolynomialFunctionValue(BL$1,$BD68,AllTriggers)</f>
        <v>1.8270119966731398E-3</v>
      </c>
      <c r="BM68" s="47">
        <f>_xll.qlPolynomialFunctionValue(BM$1,$BD68,AllTriggers)</f>
        <v>1.8193533395636883E-3</v>
      </c>
      <c r="BN68" s="47">
        <f>_xll.qlPolynomialFunctionValue(BN$1,$BD68,AllTriggers)</f>
        <v>1.8194019930568874E-3</v>
      </c>
      <c r="BO68" s="47">
        <f>_xll.qlPolynomialFunctionValue(BO$1,$BD68,AllTriggers)</f>
        <v>1.8255010306705917E-3</v>
      </c>
      <c r="BP68" s="47">
        <f>_xll.qlPolynomialFunctionValue(BP$1,$BD68,AllTriggers)</f>
        <v>1.8362210154839831E-3</v>
      </c>
      <c r="BQ68" s="47">
        <f>_xll.qlPolynomialFunctionValue('6MSynthDepo_used'!$P$18,BD68,AllTriggers)</f>
        <v>1.8204121005332473E-3</v>
      </c>
    </row>
    <row r="69" spans="3:69" x14ac:dyDescent="0.2">
      <c r="C69" s="194"/>
      <c r="D69" s="194"/>
      <c r="E69" s="195"/>
      <c r="G69" s="196"/>
      <c r="H69" s="35"/>
      <c r="J69" s="196"/>
      <c r="K69" s="55"/>
      <c r="L69" s="55"/>
      <c r="M69" s="55"/>
      <c r="N69" s="55"/>
      <c r="P69" s="35"/>
      <c r="Q69" s="35"/>
      <c r="R69" s="35"/>
      <c r="S69" s="35"/>
      <c r="BC69" s="178">
        <f>_xll.qlCalendarAdvance(Calendar,BC68,"1d","mf",,Trigger)</f>
        <v>42227</v>
      </c>
      <c r="BD69" s="41">
        <f>_xll.qlDayCounterYearFraction(DayCounter,SettlementDate,BC69,,,Trigger)</f>
        <v>0.24722222222222223</v>
      </c>
      <c r="BE69" s="47">
        <f>_xll.qlPolynomialFunctionValue(BE$1,$BD69,AllTriggers)</f>
        <v>1.8162435964190701E-3</v>
      </c>
      <c r="BF69" s="47">
        <f>_xll.qlPolynomialFunctionValue(BF$1,$BD69,AllTriggers)</f>
        <v>1.8226698861359479E-3</v>
      </c>
      <c r="BG69" s="47">
        <f>_xll.qlPolynomialFunctionValue(BG$1,$BD69,AllTriggers)</f>
        <v>1.8213958900365453E-3</v>
      </c>
      <c r="BH69" s="47">
        <f>_xll.qlPolynomialFunctionValue(BH$1,$BD69,AllTriggers)</f>
        <v>1.8266147254380747E-3</v>
      </c>
      <c r="BI69" s="47">
        <f>_xll.qlPolynomialFunctionValue(BI$1,$BD69,AllTriggers)</f>
        <v>1.8162335284223191E-3</v>
      </c>
      <c r="BJ69" s="47">
        <f>_xll.qlPolynomialFunctionValue(BJ$1,$BD69,AllTriggers)</f>
        <v>1.8258363832677539E-3</v>
      </c>
      <c r="BK69" s="47">
        <f>_xll.qlPolynomialFunctionValue(BK$1,$BD69,AllTriggers)</f>
        <v>1.8239312648595113E-3</v>
      </c>
      <c r="BL69" s="47">
        <f>_xll.qlPolynomialFunctionValue(BL$1,$BD69,AllTriggers)</f>
        <v>1.829014944156283E-3</v>
      </c>
      <c r="BM69" s="47">
        <f>_xll.qlPolynomialFunctionValue(BM$1,$BD69,AllTriggers)</f>
        <v>1.8203507038196045E-3</v>
      </c>
      <c r="BN69" s="47">
        <f>_xll.qlPolynomialFunctionValue(BN$1,$BD69,AllTriggers)</f>
        <v>1.8204235141705445E-3</v>
      </c>
      <c r="BO69" s="47">
        <f>_xll.qlPolynomialFunctionValue(BO$1,$BD69,AllTriggers)</f>
        <v>1.8264353255788754E-3</v>
      </c>
      <c r="BP69" s="47">
        <f>_xll.qlPolynomialFunctionValue(BP$1,$BD69,AllTriggers)</f>
        <v>1.8366062269691121E-3</v>
      </c>
      <c r="BQ69" s="47">
        <f>_xll.qlPolynomialFunctionValue('6MSynthDepo_used'!$P$18,BD69,AllTriggers)</f>
        <v>1.8216599874533788E-3</v>
      </c>
    </row>
    <row r="70" spans="3:69" x14ac:dyDescent="0.2">
      <c r="C70" s="194"/>
      <c r="D70" s="194"/>
      <c r="E70" s="195"/>
      <c r="H70" s="35"/>
      <c r="K70" s="55"/>
      <c r="L70" s="55"/>
      <c r="M70" s="55"/>
      <c r="N70" s="55"/>
      <c r="P70" s="35"/>
      <c r="Q70" s="35"/>
      <c r="R70" s="35"/>
      <c r="S70" s="35"/>
      <c r="T70" s="35"/>
      <c r="BC70" s="178">
        <f>_xll.qlCalendarAdvance(Calendar,BC69,"1d","mf",,Trigger)</f>
        <v>42228</v>
      </c>
      <c r="BD70" s="41">
        <f>_xll.qlDayCounterYearFraction(DayCounter,SettlementDate,BC70,,,Trigger)</f>
        <v>0.25</v>
      </c>
      <c r="BE70" s="47">
        <f>_xll.qlPolynomialFunctionValue(BE$1,$BD70,AllTriggers)</f>
        <v>1.8174732822041708E-3</v>
      </c>
      <c r="BF70" s="47">
        <f>_xll.qlPolynomialFunctionValue(BF$1,$BD70,AllTriggers)</f>
        <v>1.823991074403326E-3</v>
      </c>
      <c r="BG70" s="47">
        <f>_xll.qlPolynomialFunctionValue(BG$1,$BD70,AllTriggers)</f>
        <v>1.8224824565544939E-3</v>
      </c>
      <c r="BH70" s="47">
        <f>_xll.qlPolynomialFunctionValue(BH$1,$BD70,AllTriggers)</f>
        <v>1.828662403448018E-3</v>
      </c>
      <c r="BI70" s="47">
        <f>_xll.qlPolynomialFunctionValue(BI$1,$BD70,AllTriggers)</f>
        <v>1.8175252069360963E-3</v>
      </c>
      <c r="BJ70" s="47">
        <f>_xll.qlPolynomialFunctionValue(BJ$1,$BD70,AllTriggers)</f>
        <v>1.8272481381491779E-3</v>
      </c>
      <c r="BK70" s="47">
        <f>_xll.qlPolynomialFunctionValue(BK$1,$BD70,AllTriggers)</f>
        <v>1.8249998205780073E-3</v>
      </c>
      <c r="BL70" s="47">
        <f>_xll.qlPolynomialFunctionValue(BL$1,$BD70,AllTriggers)</f>
        <v>1.8309993035706042E-3</v>
      </c>
      <c r="BM70" s="47">
        <f>_xll.qlPolynomialFunctionValue(BM$1,$BD70,AllTriggers)</f>
        <v>1.8213480680755205E-3</v>
      </c>
      <c r="BN70" s="47">
        <f>_xll.qlPolynomialFunctionValue(BN$1,$BD70,AllTriggers)</f>
        <v>1.8214446868630892E-3</v>
      </c>
      <c r="BO70" s="47">
        <f>_xll.qlPolynomialFunctionValue(BO$1,$BD70,AllTriggers)</f>
        <v>1.8273696204871592E-3</v>
      </c>
      <c r="BP70" s="47">
        <f>_xll.qlPolynomialFunctionValue(BP$1,$BD70,AllTriggers)</f>
        <v>1.8369976436010777E-3</v>
      </c>
      <c r="BQ70" s="47">
        <f>_xll.qlPolynomialFunctionValue('6MSynthDepo_used'!$P$18,BD70,AllTriggers)</f>
        <v>1.8229040511020505E-3</v>
      </c>
    </row>
    <row r="71" spans="3:69" x14ac:dyDescent="0.2">
      <c r="C71" s="194"/>
      <c r="D71" s="194"/>
      <c r="K71" s="55"/>
      <c r="L71" s="55"/>
      <c r="M71" s="55"/>
      <c r="N71" s="55"/>
      <c r="S71" s="35"/>
      <c r="T71" s="35"/>
      <c r="BC71" s="178">
        <f>_xll.qlCalendarAdvance(Calendar,BC70,"1d","mf",,Trigger)</f>
        <v>42229</v>
      </c>
      <c r="BD71" s="41">
        <f>_xll.qlDayCounterYearFraction(DayCounter,SettlementDate,BC71,,,Trigger)</f>
        <v>0.25277777777777777</v>
      </c>
      <c r="BE71" s="47">
        <f>_xll.qlPolynomialFunctionValue(BE$1,$BD71,AllTriggers)</f>
        <v>1.8187029679892716E-3</v>
      </c>
      <c r="BF71" s="47">
        <f>_xll.qlPolynomialFunctionValue(BF$1,$BD71,AllTriggers)</f>
        <v>1.8253075702357158E-3</v>
      </c>
      <c r="BG71" s="47">
        <f>_xll.qlPolynomialFunctionValue(BG$1,$BD71,AllTriggers)</f>
        <v>1.8235690230724425E-3</v>
      </c>
      <c r="BH71" s="47">
        <f>_xll.qlPolynomialFunctionValue(BH$1,$BD71,AllTriggers)</f>
        <v>1.8306908592281214E-3</v>
      </c>
      <c r="BI71" s="47">
        <f>_xll.qlPolynomialFunctionValue(BI$1,$BD71,AllTriggers)</f>
        <v>1.8188168854498734E-3</v>
      </c>
      <c r="BJ71" s="47">
        <f>_xll.qlPolynomialFunctionValue(BJ$1,$BD71,AllTriggers)</f>
        <v>1.8286529271167393E-3</v>
      </c>
      <c r="BK71" s="47">
        <f>_xll.qlPolynomialFunctionValue(BK$1,$BD71,AllTriggers)</f>
        <v>1.8260683762965034E-3</v>
      </c>
      <c r="BL71" s="47">
        <f>_xll.qlPolynomialFunctionValue(BL$1,$BD71,AllTriggers)</f>
        <v>1.8329650749161037E-3</v>
      </c>
      <c r="BM71" s="47">
        <f>_xll.qlPolynomialFunctionValue(BM$1,$BD71,AllTriggers)</f>
        <v>1.8223454323314367E-3</v>
      </c>
      <c r="BN71" s="47">
        <f>_xll.qlPolynomialFunctionValue(BN$1,$BD71,AllTriggers)</f>
        <v>1.8224655111345213E-3</v>
      </c>
      <c r="BO71" s="47">
        <f>_xll.qlPolynomialFunctionValue(BO$1,$BD71,AllTriggers)</f>
        <v>1.8283039153954427E-3</v>
      </c>
      <c r="BP71" s="47">
        <f>_xll.qlPolynomialFunctionValue(BP$1,$BD71,AllTriggers)</f>
        <v>1.8373952653798794E-3</v>
      </c>
      <c r="BQ71" s="47">
        <f>_xll.qlPolynomialFunctionValue('6MSynthDepo_used'!$P$18,BD71,AllTriggers)</f>
        <v>1.8241443019160607E-3</v>
      </c>
    </row>
    <row r="72" spans="3:69" x14ac:dyDescent="0.2">
      <c r="C72" s="194"/>
      <c r="D72" s="194"/>
      <c r="K72" s="55"/>
      <c r="L72" s="55"/>
      <c r="M72" s="55"/>
      <c r="N72" s="55"/>
      <c r="S72" s="35"/>
      <c r="T72" s="35"/>
      <c r="BC72" s="178">
        <f>_xll.qlCalendarAdvance(Calendar,BC71,"1d","mf",,Trigger)</f>
        <v>42230</v>
      </c>
      <c r="BD72" s="41">
        <f>_xll.qlDayCounterYearFraction(DayCounter,SettlementDate,BC72,,,Trigger)</f>
        <v>0.25555555555555554</v>
      </c>
      <c r="BE72" s="47">
        <f>_xll.qlPolynomialFunctionValue(BE$1,$BD72,AllTriggers)</f>
        <v>1.8199326537743721E-3</v>
      </c>
      <c r="BF72" s="47">
        <f>_xll.qlPolynomialFunctionValue(BF$1,$BD72,AllTriggers)</f>
        <v>1.8266193736331169E-3</v>
      </c>
      <c r="BG72" s="47">
        <f>_xll.qlPolynomialFunctionValue(BG$1,$BD72,AllTriggers)</f>
        <v>1.8246555895903912E-3</v>
      </c>
      <c r="BH72" s="47">
        <f>_xll.qlPolynomialFunctionValue(BH$1,$BD72,AllTriggers)</f>
        <v>1.8327000927783851E-3</v>
      </c>
      <c r="BI72" s="47">
        <f>_xll.qlPolynomialFunctionValue(BI$1,$BD72,AllTriggers)</f>
        <v>1.8201085639636505E-3</v>
      </c>
      <c r="BJ72" s="47">
        <f>_xll.qlPolynomialFunctionValue(BJ$1,$BD72,AllTriggers)</f>
        <v>1.8300507501704381E-3</v>
      </c>
      <c r="BK72" s="47">
        <f>_xll.qlPolynomialFunctionValue(BK$1,$BD72,AllTriggers)</f>
        <v>1.8271369320149997E-3</v>
      </c>
      <c r="BL72" s="47">
        <f>_xll.qlPolynomialFunctionValue(BL$1,$BD72,AllTriggers)</f>
        <v>1.8349122581927813E-3</v>
      </c>
      <c r="BM72" s="47">
        <f>_xll.qlPolynomialFunctionValue(BM$1,$BD72,AllTriggers)</f>
        <v>1.8233427965873529E-3</v>
      </c>
      <c r="BN72" s="47">
        <f>_xll.qlPolynomialFunctionValue(BN$1,$BD72,AllTriggers)</f>
        <v>1.823485986984841E-3</v>
      </c>
      <c r="BO72" s="47">
        <f>_xll.qlPolynomialFunctionValue(BO$1,$BD72,AllTriggers)</f>
        <v>1.8292382103037264E-3</v>
      </c>
      <c r="BP72" s="47">
        <f>_xll.qlPolynomialFunctionValue(BP$1,$BD72,AllTriggers)</f>
        <v>1.8377990923055176E-3</v>
      </c>
      <c r="BQ72" s="47">
        <f>_xll.qlPolynomialFunctionValue('6MSynthDepo_used'!$P$18,BD72,AllTriggers)</f>
        <v>1.8253807503322086E-3</v>
      </c>
    </row>
    <row r="73" spans="3:69" ht="11.25" customHeight="1" x14ac:dyDescent="0.2">
      <c r="C73" s="194"/>
      <c r="D73" s="194"/>
      <c r="K73" s="55"/>
      <c r="L73" s="55"/>
      <c r="M73" s="55"/>
      <c r="N73" s="55"/>
      <c r="S73" s="35"/>
      <c r="T73" s="35"/>
      <c r="BC73" s="178">
        <f>_xll.qlCalendarAdvance(Calendar,BC72,"1d","mf",,Trigger)</f>
        <v>42233</v>
      </c>
      <c r="BD73" s="41">
        <f>_xll.qlDayCounterYearFraction(DayCounter,SettlementDate,BC73,,,Trigger)</f>
        <v>0.2638888888888889</v>
      </c>
      <c r="BE73" s="47">
        <f>_xll.qlPolynomialFunctionValue(BE$1,$BD73,AllTriggers)</f>
        <v>1.8236217111296743E-3</v>
      </c>
      <c r="BF73" s="47">
        <f>_xll.qlPolynomialFunctionValue(BF$1,$BD73,AllTriggers)</f>
        <v>1.8305266292153886E-3</v>
      </c>
      <c r="BG73" s="47">
        <f>_xll.qlPolynomialFunctionValue(BG$1,$BD73,AllTriggers)</f>
        <v>1.827915289144237E-3</v>
      </c>
      <c r="BH73" s="47">
        <f>_xll.qlPolynomialFunctionValue(BH$1,$BD73,AllTriggers)</f>
        <v>1.8386124600501363E-3</v>
      </c>
      <c r="BI73" s="47">
        <f>_xll.qlPolynomialFunctionValue(BI$1,$BD73,AllTriggers)</f>
        <v>1.8239835995049818E-3</v>
      </c>
      <c r="BJ73" s="47">
        <f>_xll.qlPolynomialFunctionValue(BJ$1,$BD73,AllTriggers)</f>
        <v>1.8342024238483597E-3</v>
      </c>
      <c r="BK73" s="47">
        <f>_xll.qlPolynomialFunctionValue(BK$1,$BD73,AllTriggers)</f>
        <v>1.8303425991704882E-3</v>
      </c>
      <c r="BL73" s="47">
        <f>_xll.qlPolynomialFunctionValue(BL$1,$BD73,AllTriggers)</f>
        <v>1.8406422796098832E-3</v>
      </c>
      <c r="BM73" s="47">
        <f>_xll.qlPolynomialFunctionValue(BM$1,$BD73,AllTriggers)</f>
        <v>1.8263348893551015E-3</v>
      </c>
      <c r="BN73" s="47">
        <f>_xll.qlPolynomialFunctionValue(BN$1,$BD73,AllTriggers)</f>
        <v>1.8265453240091248E-3</v>
      </c>
      <c r="BO73" s="47">
        <f>_xll.qlPolynomialFunctionValue(BO$1,$BD73,AllTriggers)</f>
        <v>1.8320410950285774E-3</v>
      </c>
      <c r="BP73" s="47">
        <f>_xll.qlPolynomialFunctionValue(BP$1,$BD73,AllTriggers)</f>
        <v>1.8390478039634506E-3</v>
      </c>
      <c r="BQ73" s="47">
        <f>_xll.qlPolynomialFunctionValue('6MSynthDepo_used'!$P$18,BD73,AllTriggers)</f>
        <v>1.8290673855614658E-3</v>
      </c>
    </row>
    <row r="74" spans="3:69" x14ac:dyDescent="0.2">
      <c r="C74" s="194"/>
      <c r="D74" s="194"/>
      <c r="K74" s="55"/>
      <c r="L74" s="55"/>
      <c r="M74" s="55"/>
      <c r="N74" s="55"/>
      <c r="S74" s="35"/>
      <c r="T74" s="35"/>
      <c r="BC74" s="178">
        <f>_xll.qlCalendarAdvance(Calendar,BC73,"1d","mf",,Trigger)</f>
        <v>42234</v>
      </c>
      <c r="BD74" s="41">
        <f>_xll.qlDayCounterYearFraction(DayCounter,SettlementDate,BC74,,,Trigger)</f>
        <v>0.26666666666666666</v>
      </c>
      <c r="BE74" s="47">
        <f>_xll.qlPolynomialFunctionValue(BE$1,$BD74,AllTriggers)</f>
        <v>1.8248513969147751E-3</v>
      </c>
      <c r="BF74" s="47">
        <f>_xll.qlPolynomialFunctionValue(BF$1,$BD74,AllTriggers)</f>
        <v>1.8318196628728351E-3</v>
      </c>
      <c r="BG74" s="47">
        <f>_xll.qlPolynomialFunctionValue(BG$1,$BD74,AllTriggers)</f>
        <v>1.8290018556621857E-3</v>
      </c>
      <c r="BH74" s="47">
        <f>_xll.qlPolynomialFunctionValue(BH$1,$BD74,AllTriggers)</f>
        <v>1.8405448046810403E-3</v>
      </c>
      <c r="BI74" s="47">
        <f>_xll.qlPolynomialFunctionValue(BI$1,$BD74,AllTriggers)</f>
        <v>1.825275278018759E-3</v>
      </c>
      <c r="BJ74" s="47">
        <f>_xll.qlPolynomialFunctionValue(BJ$1,$BD74,AllTriggers)</f>
        <v>1.8355723832466087E-3</v>
      </c>
      <c r="BK74" s="47">
        <f>_xll.qlPolynomialFunctionValue(BK$1,$BD74,AllTriggers)</f>
        <v>1.8314111548889845E-3</v>
      </c>
      <c r="BL74" s="47">
        <f>_xll.qlPolynomialFunctionValue(BL$1,$BD74,AllTriggers)</f>
        <v>1.8425151106112733E-3</v>
      </c>
      <c r="BM74" s="47">
        <f>_xll.qlPolynomialFunctionValue(BM$1,$BD74,AllTriggers)</f>
        <v>1.8273322536110177E-3</v>
      </c>
      <c r="BN74" s="47">
        <f>_xll.qlPolynomialFunctionValue(BN$1,$BD74,AllTriggers)</f>
        <v>1.8275644061749945E-3</v>
      </c>
      <c r="BO74" s="47">
        <f>_xll.qlPolynomialFunctionValue(BO$1,$BD74,AllTriggers)</f>
        <v>1.8329753899368612E-3</v>
      </c>
      <c r="BP74" s="47">
        <f>_xll.qlPolynomialFunctionValue(BP$1,$BD74,AllTriggers)</f>
        <v>1.8394764514764344E-3</v>
      </c>
      <c r="BQ74" s="47">
        <f>_xll.qlPolynomialFunctionValue('6MSynthDepo_used'!$P$18,BD74,AllTriggers)</f>
        <v>1.8302887287541519E-3</v>
      </c>
    </row>
    <row r="75" spans="3:69" x14ac:dyDescent="0.2">
      <c r="C75" s="194"/>
      <c r="D75" s="194"/>
      <c r="K75" s="55"/>
      <c r="L75" s="55"/>
      <c r="M75" s="55"/>
      <c r="N75" s="55"/>
      <c r="S75" s="35"/>
      <c r="T75" s="35"/>
      <c r="BC75" s="178">
        <f>_xll.qlCalendarAdvance(Calendar,BC74,"1d","mf",,Trigger)</f>
        <v>42235</v>
      </c>
      <c r="BD75" s="41">
        <f>_xll.qlDayCounterYearFraction(DayCounter,SettlementDate,BC75,,,Trigger)</f>
        <v>0.26944444444444443</v>
      </c>
      <c r="BE75" s="47">
        <f>_xll.qlPolynomialFunctionValue(BE$1,$BD75,AllTriggers)</f>
        <v>1.8260810826998756E-3</v>
      </c>
      <c r="BF75" s="47">
        <f>_xll.qlPolynomialFunctionValue(BF$1,$BD75,AllTriggers)</f>
        <v>1.8331080040952931E-3</v>
      </c>
      <c r="BG75" s="47">
        <f>_xll.qlPolynomialFunctionValue(BG$1,$BD75,AllTriggers)</f>
        <v>1.8300884221801343E-3</v>
      </c>
      <c r="BH75" s="47">
        <f>_xll.qlPolynomialFunctionValue(BH$1,$BD75,AllTriggers)</f>
        <v>1.8424579270821043E-3</v>
      </c>
      <c r="BI75" s="47">
        <f>_xll.qlPolynomialFunctionValue(BI$1,$BD75,AllTriggers)</f>
        <v>1.8265669565325359E-3</v>
      </c>
      <c r="BJ75" s="47">
        <f>_xll.qlPolynomialFunctionValue(BJ$1,$BD75,AllTriggers)</f>
        <v>1.8369353767309948E-3</v>
      </c>
      <c r="BK75" s="47">
        <f>_xll.qlPolynomialFunctionValue(BK$1,$BD75,AllTriggers)</f>
        <v>1.8324797106074805E-3</v>
      </c>
      <c r="BL75" s="47">
        <f>_xll.qlPolynomialFunctionValue(BL$1,$BD75,AllTriggers)</f>
        <v>1.8443693535438416E-3</v>
      </c>
      <c r="BM75" s="47">
        <f>_xll.qlPolynomialFunctionValue(BM$1,$BD75,AllTriggers)</f>
        <v>1.8283296178669337E-3</v>
      </c>
      <c r="BN75" s="47">
        <f>_xll.qlPolynomialFunctionValue(BN$1,$BD75,AllTriggers)</f>
        <v>1.8285831399197515E-3</v>
      </c>
      <c r="BO75" s="47">
        <f>_xll.qlPolynomialFunctionValue(BO$1,$BD75,AllTriggers)</f>
        <v>1.8339096848451447E-3</v>
      </c>
      <c r="BP75" s="47">
        <f>_xll.qlPolynomialFunctionValue(BP$1,$BD75,AllTriggers)</f>
        <v>1.8399113041362544E-3</v>
      </c>
      <c r="BQ75" s="47">
        <f>_xll.qlPolynomialFunctionValue('6MSynthDepo_used'!$P$18,BD75,AllTriggers)</f>
        <v>1.8315063217329689E-3</v>
      </c>
    </row>
    <row r="76" spans="3:69" x14ac:dyDescent="0.2">
      <c r="C76" s="194"/>
      <c r="D76" s="194"/>
      <c r="K76" s="55"/>
      <c r="L76" s="55"/>
      <c r="M76" s="55"/>
      <c r="N76" s="55"/>
      <c r="S76" s="35"/>
      <c r="BC76" s="178">
        <f>_xll.qlCalendarAdvance(Calendar,BC75,"1d","mf",,Trigger)</f>
        <v>42236</v>
      </c>
      <c r="BD76" s="41">
        <f>_xll.qlDayCounterYearFraction(DayCounter,SettlementDate,BC76,,,Trigger)</f>
        <v>0.2722222222222222</v>
      </c>
      <c r="BE76" s="47">
        <f>_xll.qlPolynomialFunctionValue(BE$1,$BD76,AllTriggers)</f>
        <v>1.8273107684849764E-3</v>
      </c>
      <c r="BF76" s="47">
        <f>_xll.qlPolynomialFunctionValue(BF$1,$BD76,AllTriggers)</f>
        <v>1.8343916528827627E-3</v>
      </c>
      <c r="BG76" s="47">
        <f>_xll.qlPolynomialFunctionValue(BG$1,$BD76,AllTriggers)</f>
        <v>1.8311749886980829E-3</v>
      </c>
      <c r="BH76" s="47">
        <f>_xll.qlPolynomialFunctionValue(BH$1,$BD76,AllTriggers)</f>
        <v>1.8443518272533283E-3</v>
      </c>
      <c r="BI76" s="47">
        <f>_xll.qlPolynomialFunctionValue(BI$1,$BD76,AllTriggers)</f>
        <v>1.827858635046313E-3</v>
      </c>
      <c r="BJ76" s="47">
        <f>_xll.qlPolynomialFunctionValue(BJ$1,$BD76,AllTriggers)</f>
        <v>1.8382914043015184E-3</v>
      </c>
      <c r="BK76" s="47">
        <f>_xll.qlPolynomialFunctionValue(BK$1,$BD76,AllTriggers)</f>
        <v>1.8335482663259768E-3</v>
      </c>
      <c r="BL76" s="47">
        <f>_xll.qlPolynomialFunctionValue(BL$1,$BD76,AllTriggers)</f>
        <v>1.8462050084075883E-3</v>
      </c>
      <c r="BM76" s="47">
        <f>_xll.qlPolynomialFunctionValue(BM$1,$BD76,AllTriggers)</f>
        <v>1.8293269821228499E-3</v>
      </c>
      <c r="BN76" s="47">
        <f>_xll.qlPolynomialFunctionValue(BN$1,$BD76,AllTriggers)</f>
        <v>1.829601525243396E-3</v>
      </c>
      <c r="BO76" s="47">
        <f>_xll.qlPolynomialFunctionValue(BO$1,$BD76,AllTriggers)</f>
        <v>1.8348439797534284E-3</v>
      </c>
      <c r="BP76" s="47">
        <f>_xll.qlPolynomialFunctionValue(BP$1,$BD76,AllTriggers)</f>
        <v>1.8403523619429107E-3</v>
      </c>
      <c r="BQ76" s="47">
        <f>_xll.qlPolynomialFunctionValue('6MSynthDepo_used'!$P$18,BD76,AllTriggers)</f>
        <v>1.8327201749347168E-3</v>
      </c>
    </row>
    <row r="77" spans="3:69" x14ac:dyDescent="0.2">
      <c r="K77" s="55"/>
      <c r="L77" s="55"/>
      <c r="M77" s="55"/>
      <c r="N77" s="55"/>
      <c r="S77" s="35"/>
      <c r="BC77" s="178">
        <f>_xll.qlCalendarAdvance(Calendar,BC76,"1d","mf",,Trigger)</f>
        <v>42237</v>
      </c>
      <c r="BD77" s="41">
        <f>_xll.qlDayCounterYearFraction(DayCounter,SettlementDate,BC77,,,Trigger)</f>
        <v>0.27500000000000002</v>
      </c>
      <c r="BE77" s="47">
        <f>_xll.qlPolynomialFunctionValue(BE$1,$BD77,AllTriggers)</f>
        <v>1.8285404542700771E-3</v>
      </c>
      <c r="BF77" s="47">
        <f>_xll.qlPolynomialFunctionValue(BF$1,$BD77,AllTriggers)</f>
        <v>1.8356706092352436E-3</v>
      </c>
      <c r="BG77" s="47">
        <f>_xll.qlPolynomialFunctionValue(BG$1,$BD77,AllTriggers)</f>
        <v>1.8322615552160315E-3</v>
      </c>
      <c r="BH77" s="47">
        <f>_xll.qlPolynomialFunctionValue(BH$1,$BD77,AllTriggers)</f>
        <v>1.8462265051947127E-3</v>
      </c>
      <c r="BI77" s="47">
        <f>_xll.qlPolynomialFunctionValue(BI$1,$BD77,AllTriggers)</f>
        <v>1.8291503135600901E-3</v>
      </c>
      <c r="BJ77" s="47">
        <f>_xll.qlPolynomialFunctionValue(BJ$1,$BD77,AllTriggers)</f>
        <v>1.8396404659581798E-3</v>
      </c>
      <c r="BK77" s="47">
        <f>_xll.qlPolynomialFunctionValue(BK$1,$BD77,AllTriggers)</f>
        <v>1.8346168220444729E-3</v>
      </c>
      <c r="BL77" s="47">
        <f>_xll.qlPolynomialFunctionValue(BL$1,$BD77,AllTriggers)</f>
        <v>1.8480220752025128E-3</v>
      </c>
      <c r="BM77" s="47">
        <f>_xll.qlPolynomialFunctionValue(BM$1,$BD77,AllTriggers)</f>
        <v>1.8303243463787661E-3</v>
      </c>
      <c r="BN77" s="47">
        <f>_xll.qlPolynomialFunctionValue(BN$1,$BD77,AllTriggers)</f>
        <v>1.8306195621459282E-3</v>
      </c>
      <c r="BO77" s="47">
        <f>_xll.qlPolynomialFunctionValue(BO$1,$BD77,AllTriggers)</f>
        <v>1.8357782746617121E-3</v>
      </c>
      <c r="BP77" s="47">
        <f>_xll.qlPolynomialFunctionValue(BP$1,$BD77,AllTriggers)</f>
        <v>1.8407996248964037E-3</v>
      </c>
      <c r="BQ77" s="47">
        <f>_xll.qlPolynomialFunctionValue('6MSynthDepo_used'!$P$18,BD77,AllTriggers)</f>
        <v>1.8339302987961936E-3</v>
      </c>
    </row>
    <row r="78" spans="3:69" x14ac:dyDescent="0.2">
      <c r="K78" s="55"/>
      <c r="L78" s="55"/>
      <c r="M78" s="55"/>
      <c r="N78" s="55"/>
      <c r="BC78" s="178">
        <f>_xll.qlCalendarAdvance(Calendar,BC77,"1d","mf",,Trigger)</f>
        <v>42240</v>
      </c>
      <c r="BD78" s="41">
        <f>_xll.qlDayCounterYearFraction(DayCounter,SettlementDate,BC78,,,Trigger)</f>
        <v>0.28333333333333333</v>
      </c>
      <c r="BE78" s="47">
        <f>_xll.qlPolynomialFunctionValue(BE$1,$BD78,AllTriggers)</f>
        <v>1.8322295116253791E-3</v>
      </c>
      <c r="BF78" s="47">
        <f>_xll.qlPolynomialFunctionValue(BF$1,$BD78,AllTriggers)</f>
        <v>1.8394793236827551E-3</v>
      </c>
      <c r="BG78" s="47">
        <f>_xll.qlPolynomialFunctionValue(BG$1,$BD78,AllTriggers)</f>
        <v>1.8355212547698774E-3</v>
      </c>
      <c r="BH78" s="47">
        <f>_xll.qlPolynomialFunctionValue(BH$1,$BD78,AllTriggers)</f>
        <v>1.8517352056398261E-3</v>
      </c>
      <c r="BI78" s="47">
        <f>_xll.qlPolynomialFunctionValue(BI$1,$BD78,AllTriggers)</f>
        <v>1.8330253491014214E-3</v>
      </c>
      <c r="BJ78" s="47">
        <f>_xll.qlPolynomialFunctionValue(BJ$1,$BD78,AllTriggers)</f>
        <v>1.8436458554449882E-3</v>
      </c>
      <c r="BK78" s="47">
        <f>_xll.qlPolynomialFunctionValue(BK$1,$BD78,AllTriggers)</f>
        <v>1.8378224891999616E-3</v>
      </c>
      <c r="BL78" s="47">
        <f>_xll.qlPolynomialFunctionValue(BL$1,$BD78,AllTriggers)</f>
        <v>1.8533617471743554E-3</v>
      </c>
      <c r="BM78" s="47">
        <f>_xll.qlPolynomialFunctionValue(BM$1,$BD78,AllTriggers)</f>
        <v>1.8333164391465147E-3</v>
      </c>
      <c r="BN78" s="47">
        <f>_xll.qlPolynomialFunctionValue(BN$1,$BD78,AllTriggers)</f>
        <v>1.8336715823268493E-3</v>
      </c>
      <c r="BO78" s="47">
        <f>_xll.qlPolynomialFunctionValue(BO$1,$BD78,AllTriggers)</f>
        <v>1.8385811593865631E-3</v>
      </c>
      <c r="BP78" s="47">
        <f>_xll.qlPolynomialFunctionValue(BP$1,$BD78,AllTriggers)</f>
        <v>1.8421786446379007E-3</v>
      </c>
      <c r="BQ78" s="47">
        <f>_xll.qlPolynomialFunctionValue('6MSynthDepo_used'!$P$18,BD78,AllTriggers)</f>
        <v>1.8375383987069862E-3</v>
      </c>
    </row>
    <row r="79" spans="3:69" x14ac:dyDescent="0.2">
      <c r="K79" s="55"/>
      <c r="L79" s="55"/>
      <c r="M79" s="55"/>
      <c r="N79" s="55"/>
      <c r="BC79" s="178">
        <f>_xll.qlCalendarAdvance(Calendar,BC78,"1d","mf",,Trigger)</f>
        <v>42241</v>
      </c>
      <c r="BD79" s="41">
        <f>_xll.qlDayCounterYearFraction(DayCounter,SettlementDate,BC79,,,Trigger)</f>
        <v>0.28611111111111109</v>
      </c>
      <c r="BE79" s="47">
        <f>_xll.qlPolynomialFunctionValue(BE$1,$BD79,AllTriggers)</f>
        <v>1.8334591974104798E-3</v>
      </c>
      <c r="BF79" s="47">
        <f>_xll.qlPolynomialFunctionValue(BF$1,$BD79,AllTriggers)</f>
        <v>1.8407395102952814E-3</v>
      </c>
      <c r="BG79" s="47">
        <f>_xll.qlPolynomialFunctionValue(BG$1,$BD79,AllTriggers)</f>
        <v>1.836607821287826E-3</v>
      </c>
      <c r="BH79" s="47">
        <f>_xll.qlPolynomialFunctionValue(BH$1,$BD79,AllTriggers)</f>
        <v>1.8535329946618507E-3</v>
      </c>
      <c r="BI79" s="47">
        <f>_xll.qlPolynomialFunctionValue(BI$1,$BD79,AllTriggers)</f>
        <v>1.8343170276151986E-3</v>
      </c>
      <c r="BJ79" s="47">
        <f>_xll.qlPolynomialFunctionValue(BJ$1,$BD79,AllTriggers)</f>
        <v>1.8449670534461992E-3</v>
      </c>
      <c r="BK79" s="47">
        <f>_xll.qlPolynomialFunctionValue(BK$1,$BD79,AllTriggers)</f>
        <v>1.8388910449184577E-3</v>
      </c>
      <c r="BL79" s="47">
        <f>_xll.qlPolynomialFunctionValue(BL$1,$BD79,AllTriggers)</f>
        <v>1.8551044616939925E-3</v>
      </c>
      <c r="BM79" s="47">
        <f>_xll.qlPolynomialFunctionValue(BM$1,$BD79,AllTriggers)</f>
        <v>1.8343138034024307E-3</v>
      </c>
      <c r="BN79" s="47">
        <f>_xll.qlPolynomialFunctionValue(BN$1,$BD79,AllTriggers)</f>
        <v>1.8346882255449316E-3</v>
      </c>
      <c r="BO79" s="47">
        <f>_xll.qlPolynomialFunctionValue(BO$1,$BD79,AllTriggers)</f>
        <v>1.8395154542948467E-3</v>
      </c>
      <c r="BP79" s="47">
        <f>_xll.qlPolynomialFunctionValue(BP$1,$BD79,AllTriggers)</f>
        <v>1.842650728178739E-3</v>
      </c>
      <c r="BQ79" s="47">
        <f>_xll.qlPolynomialFunctionValue('6MSynthDepo_used'!$P$18,BD79,AllTriggers)</f>
        <v>1.8387337095753674E-3</v>
      </c>
    </row>
    <row r="80" spans="3:69" x14ac:dyDescent="0.2">
      <c r="K80" s="55"/>
      <c r="L80" s="55"/>
      <c r="M80" s="55"/>
      <c r="N80" s="55"/>
      <c r="R80" s="34"/>
      <c r="BC80" s="178">
        <f>_xll.qlCalendarAdvance(Calendar,BC79,"1d","mf",,Trigger)</f>
        <v>42242</v>
      </c>
      <c r="BD80" s="41">
        <f>_xll.qlDayCounterYearFraction(DayCounter,SettlementDate,BC80,,,Trigger)</f>
        <v>0.28888888888888886</v>
      </c>
      <c r="BE80" s="47">
        <f>_xll.qlPolynomialFunctionValue(BE$1,$BD80,AllTriggers)</f>
        <v>1.8346888831955806E-3</v>
      </c>
      <c r="BF80" s="47">
        <f>_xll.qlPolynomialFunctionValue(BF$1,$BD80,AllTriggers)</f>
        <v>1.8419950044728194E-3</v>
      </c>
      <c r="BG80" s="47">
        <f>_xll.qlPolynomialFunctionValue(BG$1,$BD80,AllTriggers)</f>
        <v>1.8376943878057746E-3</v>
      </c>
      <c r="BH80" s="47">
        <f>_xll.qlPolynomialFunctionValue(BH$1,$BD80,AllTriggers)</f>
        <v>1.8553115614540355E-3</v>
      </c>
      <c r="BI80" s="47">
        <f>_xll.qlPolynomialFunctionValue(BI$1,$BD80,AllTriggers)</f>
        <v>1.8356087061289757E-3</v>
      </c>
      <c r="BJ80" s="47">
        <f>_xll.qlPolynomialFunctionValue(BJ$1,$BD80,AllTriggers)</f>
        <v>1.8462812855335477E-3</v>
      </c>
      <c r="BK80" s="47">
        <f>_xll.qlPolynomialFunctionValue(BK$1,$BD80,AllTriggers)</f>
        <v>1.8399596006369538E-3</v>
      </c>
      <c r="BL80" s="47">
        <f>_xll.qlPolynomialFunctionValue(BL$1,$BD80,AllTriggers)</f>
        <v>1.8568285881448076E-3</v>
      </c>
      <c r="BM80" s="47">
        <f>_xll.qlPolynomialFunctionValue(BM$1,$BD80,AllTriggers)</f>
        <v>1.8353111676583469E-3</v>
      </c>
      <c r="BN80" s="47">
        <f>_xll.qlPolynomialFunctionValue(BN$1,$BD80,AllTriggers)</f>
        <v>1.8357045203419009E-3</v>
      </c>
      <c r="BO80" s="47">
        <f>_xll.qlPolynomialFunctionValue(BO$1,$BD80,AllTriggers)</f>
        <v>1.8404497492031304E-3</v>
      </c>
      <c r="BP80" s="47">
        <f>_xll.qlPolynomialFunctionValue(BP$1,$BD80,AllTriggers)</f>
        <v>1.8431290168664139E-3</v>
      </c>
      <c r="BQ80" s="47">
        <f>_xll.qlPolynomialFunctionValue('6MSynthDepo_used'!$P$18,BD80,AllTriggers)</f>
        <v>1.839925343287471E-3</v>
      </c>
    </row>
    <row r="81" spans="8:69" x14ac:dyDescent="0.2">
      <c r="K81" s="55"/>
      <c r="L81" s="55"/>
      <c r="M81" s="55"/>
      <c r="N81" s="55"/>
      <c r="R81" s="34"/>
      <c r="BC81" s="178">
        <f>_xll.qlCalendarAdvance(Calendar,BC80,"1d","mf",,Trigger)</f>
        <v>42243</v>
      </c>
      <c r="BD81" s="41">
        <f>_xll.qlDayCounterYearFraction(DayCounter,SettlementDate,BC81,,,Trigger)</f>
        <v>0.29166666666666669</v>
      </c>
      <c r="BE81" s="47">
        <f>_xll.qlPolynomialFunctionValue(BE$1,$BD81,AllTriggers)</f>
        <v>1.8359185689806813E-3</v>
      </c>
      <c r="BF81" s="47">
        <f>_xll.qlPolynomialFunctionValue(BF$1,$BD81,AllTriggers)</f>
        <v>1.8432458062153689E-3</v>
      </c>
      <c r="BG81" s="47">
        <f>_xll.qlPolynomialFunctionValue(BG$1,$BD81,AllTriggers)</f>
        <v>1.8387809543237233E-3</v>
      </c>
      <c r="BH81" s="47">
        <f>_xll.qlPolynomialFunctionValue(BH$1,$BD81,AllTriggers)</f>
        <v>1.8570709060163804E-3</v>
      </c>
      <c r="BI81" s="47">
        <f>_xll.qlPolynomialFunctionValue(BI$1,$BD81,AllTriggers)</f>
        <v>1.8369003846427528E-3</v>
      </c>
      <c r="BJ81" s="47">
        <f>_xll.qlPolynomialFunctionValue(BJ$1,$BD81,AllTriggers)</f>
        <v>1.8475885517070336E-3</v>
      </c>
      <c r="BK81" s="47">
        <f>_xll.qlPolynomialFunctionValue(BK$1,$BD81,AllTriggers)</f>
        <v>1.8410281563554501E-3</v>
      </c>
      <c r="BL81" s="47">
        <f>_xll.qlPolynomialFunctionValue(BL$1,$BD81,AllTriggers)</f>
        <v>1.8585341265268012E-3</v>
      </c>
      <c r="BM81" s="47">
        <f>_xll.qlPolynomialFunctionValue(BM$1,$BD81,AllTriggers)</f>
        <v>1.8363085319142631E-3</v>
      </c>
      <c r="BN81" s="47">
        <f>_xll.qlPolynomialFunctionValue(BN$1,$BD81,AllTriggers)</f>
        <v>1.8367204667177582E-3</v>
      </c>
      <c r="BO81" s="47">
        <f>_xll.qlPolynomialFunctionValue(BO$1,$BD81,AllTriggers)</f>
        <v>1.8413840441114141E-3</v>
      </c>
      <c r="BP81" s="47">
        <f>_xll.qlPolynomialFunctionValue(BP$1,$BD81,AllTriggers)</f>
        <v>1.8436135107009247E-3</v>
      </c>
      <c r="BQ81" s="47">
        <f>_xll.qlPolynomialFunctionValue('6MSynthDepo_used'!$P$18,BD81,AllTriggers)</f>
        <v>1.8411133102800967E-3</v>
      </c>
    </row>
    <row r="82" spans="8:69" x14ac:dyDescent="0.2">
      <c r="K82" s="55"/>
      <c r="L82" s="55"/>
      <c r="M82" s="55"/>
      <c r="N82" s="55"/>
      <c r="R82" s="34"/>
      <c r="BC82" s="178">
        <f>_xll.qlCalendarAdvance(Calendar,BC81,"1d","mf",,Trigger)</f>
        <v>42244</v>
      </c>
      <c r="BD82" s="41">
        <f>_xll.qlDayCounterYearFraction(DayCounter,SettlementDate,BC82,,,Trigger)</f>
        <v>0.29444444444444445</v>
      </c>
      <c r="BE82" s="47">
        <f>_xll.qlPolynomialFunctionValue(BE$1,$BD82,AllTriggers)</f>
        <v>1.8371482547657821E-3</v>
      </c>
      <c r="BF82" s="47">
        <f>_xll.qlPolynomialFunctionValue(BF$1,$BD82,AllTriggers)</f>
        <v>1.8444919155229294E-3</v>
      </c>
      <c r="BG82" s="47">
        <f>_xll.qlPolynomialFunctionValue(BG$1,$BD82,AllTriggers)</f>
        <v>1.8398675208416719E-3</v>
      </c>
      <c r="BH82" s="47">
        <f>_xll.qlPolynomialFunctionValue(BH$1,$BD82,AllTriggers)</f>
        <v>1.8588110283488854E-3</v>
      </c>
      <c r="BI82" s="47">
        <f>_xll.qlPolynomialFunctionValue(BI$1,$BD82,AllTriggers)</f>
        <v>1.8381920631565299E-3</v>
      </c>
      <c r="BJ82" s="47">
        <f>_xll.qlPolynomialFunctionValue(BJ$1,$BD82,AllTriggers)</f>
        <v>1.8488888519666571E-3</v>
      </c>
      <c r="BK82" s="47">
        <f>_xll.qlPolynomialFunctionValue(BK$1,$BD82,AllTriggers)</f>
        <v>1.8420967120739463E-3</v>
      </c>
      <c r="BL82" s="47">
        <f>_xll.qlPolynomialFunctionValue(BL$1,$BD82,AllTriggers)</f>
        <v>1.860221076839973E-3</v>
      </c>
      <c r="BM82" s="47">
        <f>_xll.qlPolynomialFunctionValue(BM$1,$BD82,AllTriggers)</f>
        <v>1.8373058961701793E-3</v>
      </c>
      <c r="BN82" s="47">
        <f>_xll.qlPolynomialFunctionValue(BN$1,$BD82,AllTriggers)</f>
        <v>1.8377360646725026E-3</v>
      </c>
      <c r="BO82" s="47">
        <f>_xll.qlPolynomialFunctionValue(BO$1,$BD82,AllTriggers)</f>
        <v>1.8423183390196976E-3</v>
      </c>
      <c r="BP82" s="47">
        <f>_xll.qlPolynomialFunctionValue(BP$1,$BD82,AllTriggers)</f>
        <v>1.8441042096822725E-3</v>
      </c>
      <c r="BQ82" s="47">
        <f>_xll.qlPolynomialFunctionValue('6MSynthDepo_used'!$P$18,BD82,AllTriggers)</f>
        <v>1.8422976209900429E-3</v>
      </c>
    </row>
    <row r="83" spans="8:69" x14ac:dyDescent="0.2">
      <c r="K83" s="55"/>
      <c r="L83" s="55"/>
      <c r="M83" s="55"/>
      <c r="N83" s="55"/>
      <c r="R83" s="34"/>
      <c r="BC83" s="178">
        <f>_xll.qlCalendarAdvance(Calendar,BC82,"1d","mf",,Trigger)</f>
        <v>42247</v>
      </c>
      <c r="BD83" s="41">
        <f>_xll.qlDayCounterYearFraction(DayCounter,SettlementDate,BC83,,,Trigger)</f>
        <v>0.30277777777777776</v>
      </c>
      <c r="BE83" s="47">
        <f>_xll.qlPolynomialFunctionValue(BE$1,$BD83,AllTriggers)</f>
        <v>1.8408373121210841E-3</v>
      </c>
      <c r="BF83" s="47">
        <f>_xll.qlPolynomialFunctionValue(BF$1,$BD83,AllTriggers)</f>
        <v>1.8482020888356801E-3</v>
      </c>
      <c r="BG83" s="47">
        <f>_xll.qlPolynomialFunctionValue(BG$1,$BD83,AllTriggers)</f>
        <v>1.8431272203955178E-3</v>
      </c>
      <c r="BH83" s="47">
        <f>_xll.qlPolynomialFunctionValue(BH$1,$BD83,AllTriggers)</f>
        <v>1.8639160619673613E-3</v>
      </c>
      <c r="BI83" s="47">
        <f>_xll.qlPolynomialFunctionValue(BI$1,$BD83,AllTriggers)</f>
        <v>1.8420670986978613E-3</v>
      </c>
      <c r="BJ83" s="47">
        <f>_xll.qlPolynomialFunctionValue(BJ$1,$BD83,AllTriggers)</f>
        <v>1.8527479572623524E-3</v>
      </c>
      <c r="BK83" s="47">
        <f>_xll.qlPolynomialFunctionValue(BK$1,$BD83,AllTriggers)</f>
        <v>1.8453023792294348E-3</v>
      </c>
      <c r="BL83" s="47">
        <f>_xll.qlPolynomialFunctionValue(BL$1,$BD83,AllTriggers)</f>
        <v>1.8651703993665561E-3</v>
      </c>
      <c r="BM83" s="47">
        <f>_xll.qlPolynomialFunctionValue(BM$1,$BD83,AllTriggers)</f>
        <v>1.8402979889379279E-3</v>
      </c>
      <c r="BN83" s="47">
        <f>_xll.qlPolynomialFunctionValue(BN$1,$BD83,AllTriggers)</f>
        <v>1.8407807680100613E-3</v>
      </c>
      <c r="BO83" s="47">
        <f>_xll.qlPolynomialFunctionValue(BO$1,$BD83,AllTriggers)</f>
        <v>1.8451212237445486E-3</v>
      </c>
      <c r="BP83" s="47">
        <f>_xll.qlPolynomialFunctionValue(BP$1,$BD83,AllTriggers)</f>
        <v>1.8456135375073332E-3</v>
      </c>
      <c r="BQ83" s="47">
        <f>_xll.qlPolynomialFunctionValue('6MSynthDepo_used'!$P$18,BD83,AllTriggers)</f>
        <v>1.8458287197917929E-3</v>
      </c>
    </row>
    <row r="84" spans="8:69" x14ac:dyDescent="0.2">
      <c r="H84" s="35"/>
      <c r="K84" s="55"/>
      <c r="L84" s="55"/>
      <c r="M84" s="55"/>
      <c r="N84" s="55"/>
      <c r="R84" s="34"/>
      <c r="BC84" s="178">
        <f>_xll.qlCalendarAdvance(Calendar,BC83,"1d","mf",,Trigger)</f>
        <v>42248</v>
      </c>
      <c r="BD84" s="41">
        <f>_xll.qlDayCounterYearFraction(DayCounter,SettlementDate,BC84,,,Trigger)</f>
        <v>0.30555555555555558</v>
      </c>
      <c r="BE84" s="47">
        <f>_xll.qlPolynomialFunctionValue(BE$1,$BD84,AllTriggers)</f>
        <v>1.8420669979061848E-3</v>
      </c>
      <c r="BF84" s="47">
        <f>_xll.qlPolynomialFunctionValue(BF$1,$BD84,AllTriggers)</f>
        <v>1.8494294284032867E-3</v>
      </c>
      <c r="BG84" s="47">
        <f>_xll.qlPolynomialFunctionValue(BG$1,$BD84,AllTriggers)</f>
        <v>1.8442137869134666E-3</v>
      </c>
      <c r="BH84" s="47">
        <f>_xll.qlPolynomialFunctionValue(BH$1,$BD84,AllTriggers)</f>
        <v>1.8655792953805068E-3</v>
      </c>
      <c r="BI84" s="47">
        <f>_xll.qlPolynomialFunctionValue(BI$1,$BD84,AllTriggers)</f>
        <v>1.8433587772116384E-3</v>
      </c>
      <c r="BJ84" s="47">
        <f>_xll.qlPolynomialFunctionValue(BJ$1,$BD84,AllTriggers)</f>
        <v>1.8540203938665256E-3</v>
      </c>
      <c r="BK84" s="47">
        <f>_xll.qlPolynomialFunctionValue(BK$1,$BD84,AllTriggers)</f>
        <v>1.8463709349479309E-3</v>
      </c>
      <c r="BL84" s="47">
        <f>_xll.qlPolynomialFunctionValue(BL$1,$BD84,AllTriggers)</f>
        <v>1.8667829974044403E-3</v>
      </c>
      <c r="BM84" s="47">
        <f>_xll.qlPolynomialFunctionValue(BM$1,$BD84,AllTriggers)</f>
        <v>1.8412953531938441E-3</v>
      </c>
      <c r="BN84" s="47">
        <f>_xll.qlPolynomialFunctionValue(BN$1,$BD84,AllTriggers)</f>
        <v>1.8417949722803557E-3</v>
      </c>
      <c r="BO84" s="47">
        <f>_xll.qlPolynomialFunctionValue(BO$1,$BD84,AllTriggers)</f>
        <v>1.8460555186528324E-3</v>
      </c>
      <c r="BP84" s="47">
        <f>_xll.qlPolynomialFunctionValue(BP$1,$BD84,AllTriggers)</f>
        <v>1.8461290570760262E-3</v>
      </c>
      <c r="BQ84" s="47">
        <f>_xll.qlPolynomialFunctionValue('6MSynthDepo_used'!$P$18,BD84,AllTriggers)</f>
        <v>1.8469985097390089E-3</v>
      </c>
    </row>
    <row r="85" spans="8:69" x14ac:dyDescent="0.2">
      <c r="K85" s="55"/>
      <c r="L85" s="55"/>
      <c r="M85" s="55"/>
      <c r="N85" s="55"/>
      <c r="R85" s="34"/>
      <c r="BC85" s="178">
        <f>_xll.qlCalendarAdvance(Calendar,BC84,"1d","mf",,Trigger)</f>
        <v>42249</v>
      </c>
      <c r="BD85" s="41">
        <f>_xll.qlDayCounterYearFraction(DayCounter,SettlementDate,BC85,,,Trigger)</f>
        <v>0.30833333333333335</v>
      </c>
      <c r="BE85" s="47">
        <f>_xll.qlPolynomialFunctionValue(BE$1,$BD85,AllTriggers)</f>
        <v>1.8432966836912854E-3</v>
      </c>
      <c r="BF85" s="47">
        <f>_xll.qlPolynomialFunctionValue(BF$1,$BD85,AllTriggers)</f>
        <v>1.8506520755359043E-3</v>
      </c>
      <c r="BG85" s="47">
        <f>_xll.qlPolynomialFunctionValue(BG$1,$BD85,AllTriggers)</f>
        <v>1.845300353431415E-3</v>
      </c>
      <c r="BH85" s="47">
        <f>_xll.qlPolynomialFunctionValue(BH$1,$BD85,AllTriggers)</f>
        <v>1.8672233065638122E-3</v>
      </c>
      <c r="BI85" s="47">
        <f>_xll.qlPolynomialFunctionValue(BI$1,$BD85,AllTriggers)</f>
        <v>1.8446504557254155E-3</v>
      </c>
      <c r="BJ85" s="47">
        <f>_xll.qlPolynomialFunctionValue(BJ$1,$BD85,AllTriggers)</f>
        <v>1.8552858645568364E-3</v>
      </c>
      <c r="BK85" s="47">
        <f>_xll.qlPolynomialFunctionValue(BK$1,$BD85,AllTriggers)</f>
        <v>1.8474394906664272E-3</v>
      </c>
      <c r="BL85" s="47">
        <f>_xll.qlPolynomialFunctionValue(BL$1,$BD85,AllTriggers)</f>
        <v>1.8683770073735027E-3</v>
      </c>
      <c r="BM85" s="47">
        <f>_xll.qlPolynomialFunctionValue(BM$1,$BD85,AllTriggers)</f>
        <v>1.8422927174497601E-3</v>
      </c>
      <c r="BN85" s="47">
        <f>_xll.qlPolynomialFunctionValue(BN$1,$BD85,AllTriggers)</f>
        <v>1.8428088281295379E-3</v>
      </c>
      <c r="BO85" s="47">
        <f>_xll.qlPolynomialFunctionValue(BO$1,$BD85,AllTriggers)</f>
        <v>1.8469898135611161E-3</v>
      </c>
      <c r="BP85" s="47">
        <f>_xll.qlPolynomialFunctionValue(BP$1,$BD85,AllTriggers)</f>
        <v>1.8466507817915556E-3</v>
      </c>
      <c r="BQ85" s="47">
        <f>_xll.qlPolynomialFunctionValue('6MSynthDepo_used'!$P$18,BD85,AllTriggers)</f>
        <v>1.8481646955875401E-3</v>
      </c>
    </row>
    <row r="86" spans="8:69" x14ac:dyDescent="0.2">
      <c r="K86" s="55"/>
      <c r="L86" s="55"/>
      <c r="M86" s="55"/>
      <c r="N86" s="55"/>
      <c r="R86" s="34"/>
      <c r="S86" s="34"/>
      <c r="BC86" s="178">
        <f>_xll.qlCalendarAdvance(Calendar,BC85,"1d","mf",,Trigger)</f>
        <v>42250</v>
      </c>
      <c r="BD86" s="41">
        <f>_xll.qlDayCounterYearFraction(DayCounter,SettlementDate,BC86,,,Trigger)</f>
        <v>0.31111111111111112</v>
      </c>
      <c r="BE86" s="47">
        <f>_xll.qlPolynomialFunctionValue(BE$1,$BD86,AllTriggers)</f>
        <v>1.8445263694763861E-3</v>
      </c>
      <c r="BF86" s="47">
        <f>_xll.qlPolynomialFunctionValue(BF$1,$BD86,AllTriggers)</f>
        <v>1.8518700302335336E-3</v>
      </c>
      <c r="BG86" s="47">
        <f>_xll.qlPolynomialFunctionValue(BG$1,$BD86,AllTriggers)</f>
        <v>1.8463869199493639E-3</v>
      </c>
      <c r="BH86" s="47">
        <f>_xll.qlPolynomialFunctionValue(BH$1,$BD86,AllTriggers)</f>
        <v>1.8688480955172779E-3</v>
      </c>
      <c r="BI86" s="47">
        <f>_xll.qlPolynomialFunctionValue(BI$1,$BD86,AllTriggers)</f>
        <v>1.8459421342391924E-3</v>
      </c>
      <c r="BJ86" s="47">
        <f>_xll.qlPolynomialFunctionValue(BJ$1,$BD86,AllTriggers)</f>
        <v>1.8565443693332848E-3</v>
      </c>
      <c r="BK86" s="47">
        <f>_xll.qlPolynomialFunctionValue(BK$1,$BD86,AllTriggers)</f>
        <v>1.8485080463849233E-3</v>
      </c>
      <c r="BL86" s="47">
        <f>_xll.qlPolynomialFunctionValue(BL$1,$BD86,AllTriggers)</f>
        <v>1.8699524292737427E-3</v>
      </c>
      <c r="BM86" s="47">
        <f>_xll.qlPolynomialFunctionValue(BM$1,$BD86,AllTriggers)</f>
        <v>1.8432900817056763E-3</v>
      </c>
      <c r="BN86" s="47">
        <f>_xll.qlPolynomialFunctionValue(BN$1,$BD86,AllTriggers)</f>
        <v>1.8438223355576073E-3</v>
      </c>
      <c r="BO86" s="47">
        <f>_xll.qlPolynomialFunctionValue(BO$1,$BD86,AllTriggers)</f>
        <v>1.8479241084693996E-3</v>
      </c>
      <c r="BP86" s="47">
        <f>_xll.qlPolynomialFunctionValue(BP$1,$BD86,AllTriggers)</f>
        <v>1.8471787116539214E-3</v>
      </c>
      <c r="BQ86" s="47">
        <f>_xll.qlPolynomialFunctionValue('6MSynthDepo_used'!$P$18,BD86,AllTriggers)</f>
        <v>1.8493272877741838E-3</v>
      </c>
    </row>
    <row r="87" spans="8:69" x14ac:dyDescent="0.2">
      <c r="K87" s="55"/>
      <c r="L87" s="55"/>
      <c r="M87" s="55"/>
      <c r="N87" s="55"/>
      <c r="R87" s="34"/>
      <c r="S87" s="34"/>
      <c r="BC87" s="178">
        <f>_xll.qlCalendarAdvance(Calendar,BC86,"1d","mf",,Trigger)</f>
        <v>42251</v>
      </c>
      <c r="BD87" s="41">
        <f>_xll.qlDayCounterYearFraction(DayCounter,SettlementDate,BC87,,,Trigger)</f>
        <v>0.31388888888888888</v>
      </c>
      <c r="BE87" s="47">
        <f>_xll.qlPolynomialFunctionValue(BE$1,$BD87,AllTriggers)</f>
        <v>1.8457560552614868E-3</v>
      </c>
      <c r="BF87" s="47">
        <f>_xll.qlPolynomialFunctionValue(BF$1,$BD87,AllTriggers)</f>
        <v>1.8530832924961741E-3</v>
      </c>
      <c r="BG87" s="47">
        <f>_xll.qlPolynomialFunctionValue(BG$1,$BD87,AllTriggers)</f>
        <v>1.8474734864673123E-3</v>
      </c>
      <c r="BH87" s="47">
        <f>_xll.qlPolynomialFunctionValue(BH$1,$BD87,AllTriggers)</f>
        <v>1.8704536622409038E-3</v>
      </c>
      <c r="BI87" s="47">
        <f>_xll.qlPolynomialFunctionValue(BI$1,$BD87,AllTriggers)</f>
        <v>1.8472338127529697E-3</v>
      </c>
      <c r="BJ87" s="47">
        <f>_xll.qlPolynomialFunctionValue(BJ$1,$BD87,AllTriggers)</f>
        <v>1.8577959081958705E-3</v>
      </c>
      <c r="BK87" s="47">
        <f>_xll.qlPolynomialFunctionValue(BK$1,$BD87,AllTriggers)</f>
        <v>1.8495766021034196E-3</v>
      </c>
      <c r="BL87" s="47">
        <f>_xll.qlPolynomialFunctionValue(BL$1,$BD87,AllTriggers)</f>
        <v>1.8715092631051615E-3</v>
      </c>
      <c r="BM87" s="47">
        <f>_xll.qlPolynomialFunctionValue(BM$1,$BD87,AllTriggers)</f>
        <v>1.8442874459615925E-3</v>
      </c>
      <c r="BN87" s="47">
        <f>_xll.qlPolynomialFunctionValue(BN$1,$BD87,AllTriggers)</f>
        <v>1.8448354945645644E-3</v>
      </c>
      <c r="BO87" s="47">
        <f>_xll.qlPolynomialFunctionValue(BO$1,$BD87,AllTriggers)</f>
        <v>1.8488584033776834E-3</v>
      </c>
      <c r="BP87" s="47">
        <f>_xll.qlPolynomialFunctionValue(BP$1,$BD87,AllTriggers)</f>
        <v>1.8477128466631236E-3</v>
      </c>
      <c r="BQ87" s="47">
        <f>_xll.qlPolynomialFunctionValue('6MSynthDepo_used'!$P$18,BD87,AllTriggers)</f>
        <v>1.8504862967357401E-3</v>
      </c>
    </row>
    <row r="88" spans="8:69" x14ac:dyDescent="0.2">
      <c r="K88" s="55"/>
      <c r="L88" s="55"/>
      <c r="M88" s="55"/>
      <c r="N88" s="55"/>
      <c r="R88" s="34"/>
      <c r="S88" s="34"/>
      <c r="BC88" s="178">
        <f>_xll.qlCalendarAdvance(Calendar,BC87,"1d","mf",,Trigger)</f>
        <v>42254</v>
      </c>
      <c r="BD88" s="41">
        <f>_xll.qlDayCounterYearFraction(DayCounter,SettlementDate,BC88,,,Trigger)</f>
        <v>0.32222222222222224</v>
      </c>
      <c r="BE88" s="47">
        <f>_xll.qlPolynomialFunctionValue(BE$1,$BD88,AllTriggers)</f>
        <v>1.8494451126167888E-3</v>
      </c>
      <c r="BF88" s="47">
        <f>_xll.qlPolynomialFunctionValue(BF$1,$BD88,AllTriggers)</f>
        <v>1.8566949246741644E-3</v>
      </c>
      <c r="BG88" s="47">
        <f>_xll.qlPolynomialFunctionValue(BG$1,$BD88,AllTriggers)</f>
        <v>1.8507331860211584E-3</v>
      </c>
      <c r="BH88" s="47">
        <f>_xll.qlPolynomialFunctionValue(BH$1,$BD88,AllTriggers)</f>
        <v>1.8751550290327418E-3</v>
      </c>
      <c r="BI88" s="47">
        <f>_xll.qlPolynomialFunctionValue(BI$1,$BD88,AllTriggers)</f>
        <v>1.8511088482943009E-3</v>
      </c>
      <c r="BJ88" s="47">
        <f>_xll.qlPolynomialFunctionValue(BJ$1,$BD88,AllTriggers)</f>
        <v>1.8615087293004527E-3</v>
      </c>
      <c r="BK88" s="47">
        <f>_xll.qlPolynomialFunctionValue(BK$1,$BD88,AllTriggers)</f>
        <v>1.852782269258908E-3</v>
      </c>
      <c r="BL88" s="47">
        <f>_xll.qlPolynomialFunctionValue(BL$1,$BD88,AllTriggers)</f>
        <v>1.8760682361864858E-3</v>
      </c>
      <c r="BM88" s="47">
        <f>_xll.qlPolynomialFunctionValue(BM$1,$BD88,AllTriggers)</f>
        <v>1.8472795387293412E-3</v>
      </c>
      <c r="BN88" s="47">
        <f>_xll.qlPolynomialFunctionValue(BN$1,$BD88,AllTriggers)</f>
        <v>1.8478728810587602E-3</v>
      </c>
      <c r="BO88" s="47">
        <f>_xll.qlPolynomialFunctionValue(BO$1,$BD88,AllTriggers)</f>
        <v>1.8516612881025343E-3</v>
      </c>
      <c r="BP88" s="47">
        <f>_xll.qlPolynomialFunctionValue(BP$1,$BD88,AllTriggers)</f>
        <v>1.8493524825717483E-3</v>
      </c>
      <c r="BQ88" s="47">
        <f>_xll.qlPolynomialFunctionValue('6MSynthDepo_used'!$P$18,BD88,AllTriggers)</f>
        <v>1.8539419286378691E-3</v>
      </c>
    </row>
    <row r="89" spans="8:69" x14ac:dyDescent="0.2">
      <c r="K89" s="55"/>
      <c r="L89" s="55"/>
      <c r="M89" s="55"/>
      <c r="N89" s="55"/>
      <c r="R89" s="34"/>
      <c r="S89" s="34"/>
      <c r="BC89" s="178">
        <f>_xll.qlCalendarAdvance(Calendar,BC88,"1d","mf",,Trigger)</f>
        <v>42255</v>
      </c>
      <c r="BD89" s="41">
        <f>_xll.qlDayCounterYearFraction(DayCounter,SettlementDate,BC89,,,Trigger)</f>
        <v>0.32500000000000001</v>
      </c>
      <c r="BE89" s="47">
        <f>_xll.qlPolynomialFunctionValue(BE$1,$BD89,AllTriggers)</f>
        <v>1.8506747984018896E-3</v>
      </c>
      <c r="BF89" s="47">
        <f>_xll.qlPolynomialFunctionValue(BF$1,$BD89,AllTriggers)</f>
        <v>1.8578894171968508E-3</v>
      </c>
      <c r="BG89" s="47">
        <f>_xll.qlPolynomialFunctionValue(BG$1,$BD89,AllTriggers)</f>
        <v>1.851819752539107E-3</v>
      </c>
      <c r="BH89" s="47">
        <f>_xll.qlPolynomialFunctionValue(BH$1,$BD89,AllTriggers)</f>
        <v>1.8766837068370081E-3</v>
      </c>
      <c r="BI89" s="47">
        <f>_xll.qlPolynomialFunctionValue(BI$1,$BD89,AllTriggers)</f>
        <v>1.852400526808078E-3</v>
      </c>
      <c r="BJ89" s="47">
        <f>_xll.qlPolynomialFunctionValue(BJ$1,$BD89,AllTriggers)</f>
        <v>1.8627324045075884E-3</v>
      </c>
      <c r="BK89" s="47">
        <f>_xll.qlPolynomialFunctionValue(BK$1,$BD89,AllTriggers)</f>
        <v>1.8538508249774043E-3</v>
      </c>
      <c r="BL89" s="47">
        <f>_xll.qlPolynomialFunctionValue(BL$1,$BD89,AllTriggers)</f>
        <v>1.8775507177426166E-3</v>
      </c>
      <c r="BM89" s="47">
        <f>_xll.qlPolynomialFunctionValue(BM$1,$BD89,AllTriggers)</f>
        <v>1.8482769029852574E-3</v>
      </c>
      <c r="BN89" s="47">
        <f>_xll.qlPolynomialFunctionValue(BN$1,$BD89,AllTriggers)</f>
        <v>1.8488846463812672E-3</v>
      </c>
      <c r="BO89" s="47">
        <f>_xll.qlPolynomialFunctionValue(BO$1,$BD89,AllTriggers)</f>
        <v>1.8525955830108181E-3</v>
      </c>
      <c r="BP89" s="47">
        <f>_xll.qlPolynomialFunctionValue(BP$1,$BD89,AllTriggers)</f>
        <v>1.849911438168296E-3</v>
      </c>
      <c r="BQ89" s="47">
        <f>_xll.qlPolynomialFunctionValue('6MSynthDepo_used'!$P$18,BD89,AllTriggers)</f>
        <v>1.8550867090670613E-3</v>
      </c>
    </row>
    <row r="90" spans="8:69" x14ac:dyDescent="0.2">
      <c r="K90" s="55"/>
      <c r="L90" s="55"/>
      <c r="M90" s="55"/>
      <c r="N90" s="55"/>
      <c r="R90" s="34"/>
      <c r="S90" s="34"/>
      <c r="BC90" s="178">
        <f>_xll.qlCalendarAdvance(Calendar,BC89,"1d","mf",,Trigger)</f>
        <v>42256</v>
      </c>
      <c r="BD90" s="41">
        <f>_xll.qlDayCounterYearFraction(DayCounter,SettlementDate,BC90,,,Trigger)</f>
        <v>0.32777777777777778</v>
      </c>
      <c r="BE90" s="47">
        <f>_xll.qlPolynomialFunctionValue(BE$1,$BD90,AllTriggers)</f>
        <v>1.8519044841869903E-3</v>
      </c>
      <c r="BF90" s="47">
        <f>_xll.qlPolynomialFunctionValue(BF$1,$BD90,AllTriggers)</f>
        <v>1.8590792172845485E-3</v>
      </c>
      <c r="BG90" s="47">
        <f>_xll.qlPolynomialFunctionValue(BG$1,$BD90,AllTriggers)</f>
        <v>1.8529063190570556E-3</v>
      </c>
      <c r="BH90" s="47">
        <f>_xll.qlPolynomialFunctionValue(BH$1,$BD90,AllTriggers)</f>
        <v>1.8781931624114344E-3</v>
      </c>
      <c r="BI90" s="47">
        <f>_xll.qlPolynomialFunctionValue(BI$1,$BD90,AllTriggers)</f>
        <v>1.8536922053218551E-3</v>
      </c>
      <c r="BJ90" s="47">
        <f>_xll.qlPolynomialFunctionValue(BJ$1,$BD90,AllTriggers)</f>
        <v>1.8639491138008615E-3</v>
      </c>
      <c r="BK90" s="47">
        <f>_xll.qlPolynomialFunctionValue(BK$1,$BD90,AllTriggers)</f>
        <v>1.8549193806959004E-3</v>
      </c>
      <c r="BL90" s="47">
        <f>_xll.qlPolynomialFunctionValue(BL$1,$BD90,AllTriggers)</f>
        <v>1.8790146112299261E-3</v>
      </c>
      <c r="BM90" s="47">
        <f>_xll.qlPolynomialFunctionValue(BM$1,$BD90,AllTriggers)</f>
        <v>1.8492742672411733E-3</v>
      </c>
      <c r="BN90" s="47">
        <f>_xll.qlPolynomialFunctionValue(BN$1,$BD90,AllTriggers)</f>
        <v>1.8498960632826616E-3</v>
      </c>
      <c r="BO90" s="47">
        <f>_xll.qlPolynomialFunctionValue(BO$1,$BD90,AllTriggers)</f>
        <v>1.8535298779191016E-3</v>
      </c>
      <c r="BP90" s="47">
        <f>_xll.qlPolynomialFunctionValue(BP$1,$BD90,AllTriggers)</f>
        <v>1.8504765989116798E-3</v>
      </c>
      <c r="BQ90" s="47">
        <f>_xll.qlPolynomialFunctionValue('6MSynthDepo_used'!$P$18,BD90,AllTriggers)</f>
        <v>1.8562279584551594E-3</v>
      </c>
    </row>
    <row r="91" spans="8:69" x14ac:dyDescent="0.2">
      <c r="K91" s="55"/>
      <c r="L91" s="55"/>
      <c r="M91" s="55"/>
      <c r="N91" s="55"/>
      <c r="R91" s="34"/>
      <c r="S91" s="34"/>
      <c r="BC91" s="178">
        <f>_xll.qlCalendarAdvance(Calendar,BC90,"1d","mf",,Trigger)</f>
        <v>42257</v>
      </c>
      <c r="BD91" s="41">
        <f>_xll.qlDayCounterYearFraction(DayCounter,SettlementDate,BC91,,,Trigger)</f>
        <v>0.33055555555555555</v>
      </c>
      <c r="BE91" s="47">
        <f>_xll.qlPolynomialFunctionValue(BE$1,$BD91,AllTriggers)</f>
        <v>1.8531341699720909E-3</v>
      </c>
      <c r="BF91" s="47">
        <f>_xll.qlPolynomialFunctionValue(BF$1,$BD91,AllTriggers)</f>
        <v>1.8602643249372574E-3</v>
      </c>
      <c r="BG91" s="47">
        <f>_xll.qlPolynomialFunctionValue(BG$1,$BD91,AllTriggers)</f>
        <v>1.8539928855750042E-3</v>
      </c>
      <c r="BH91" s="47">
        <f>_xll.qlPolynomialFunctionValue(BH$1,$BD91,AllTriggers)</f>
        <v>1.8796833957560207E-3</v>
      </c>
      <c r="BI91" s="47">
        <f>_xll.qlPolynomialFunctionValue(BI$1,$BD91,AllTriggers)</f>
        <v>1.8549838838356322E-3</v>
      </c>
      <c r="BJ91" s="47">
        <f>_xll.qlPolynomialFunctionValue(BJ$1,$BD91,AllTriggers)</f>
        <v>1.8651588571802721E-3</v>
      </c>
      <c r="BK91" s="47">
        <f>_xll.qlPolynomialFunctionValue(BK$1,$BD91,AllTriggers)</f>
        <v>1.8559879364143965E-3</v>
      </c>
      <c r="BL91" s="47">
        <f>_xll.qlPolynomialFunctionValue(BL$1,$BD91,AllTriggers)</f>
        <v>1.8804599166484131E-3</v>
      </c>
      <c r="BM91" s="47">
        <f>_xll.qlPolynomialFunctionValue(BM$1,$BD91,AllTriggers)</f>
        <v>1.8502716314970896E-3</v>
      </c>
      <c r="BN91" s="47">
        <f>_xll.qlPolynomialFunctionValue(BN$1,$BD91,AllTriggers)</f>
        <v>1.8509071317629436E-3</v>
      </c>
      <c r="BO91" s="47">
        <f>_xll.qlPolynomialFunctionValue(BO$1,$BD91,AllTriggers)</f>
        <v>1.8544641728273853E-3</v>
      </c>
      <c r="BP91" s="47">
        <f>_xll.qlPolynomialFunctionValue(BP$1,$BD91,AllTriggers)</f>
        <v>1.8510479648019005E-3</v>
      </c>
      <c r="BQ91" s="47">
        <f>_xll.qlPolynomialFunctionValue('6MSynthDepo_used'!$P$18,BD91,AllTriggers)</f>
        <v>1.8573656872389625E-3</v>
      </c>
    </row>
    <row r="92" spans="8:69" x14ac:dyDescent="0.2">
      <c r="K92" s="55"/>
      <c r="L92" s="55"/>
      <c r="M92" s="55"/>
      <c r="N92" s="55"/>
      <c r="R92" s="34"/>
      <c r="S92" s="34"/>
      <c r="BC92" s="178">
        <f>_xll.qlCalendarAdvance(Calendar,BC91,"1d","mf",,Trigger)</f>
        <v>42258</v>
      </c>
      <c r="BD92" s="41">
        <f>_xll.qlDayCounterYearFraction(DayCounter,SettlementDate,BC92,,,Trigger)</f>
        <v>0.33333333333333331</v>
      </c>
      <c r="BE92" s="47">
        <f>_xll.qlPolynomialFunctionValue(BE$1,$BD92,AllTriggers)</f>
        <v>1.8543638557571916E-3</v>
      </c>
      <c r="BF92" s="47">
        <f>_xll.qlPolynomialFunctionValue(BF$1,$BD92,AllTriggers)</f>
        <v>1.861444740154978E-3</v>
      </c>
      <c r="BG92" s="47">
        <f>_xll.qlPolynomialFunctionValue(BG$1,$BD92,AllTriggers)</f>
        <v>1.8550794520929528E-3</v>
      </c>
      <c r="BH92" s="47">
        <f>_xll.qlPolynomialFunctionValue(BH$1,$BD92,AllTriggers)</f>
        <v>1.8811544068707672E-3</v>
      </c>
      <c r="BI92" s="47">
        <f>_xll.qlPolynomialFunctionValue(BI$1,$BD92,AllTriggers)</f>
        <v>1.8562755623494093E-3</v>
      </c>
      <c r="BJ92" s="47">
        <f>_xll.qlPolynomialFunctionValue(BJ$1,$BD92,AllTriggers)</f>
        <v>1.86636163464582E-3</v>
      </c>
      <c r="BK92" s="47">
        <f>_xll.qlPolynomialFunctionValue(BK$1,$BD92,AllTriggers)</f>
        <v>1.8570564921328928E-3</v>
      </c>
      <c r="BL92" s="47">
        <f>_xll.qlPolynomialFunctionValue(BL$1,$BD92,AllTriggers)</f>
        <v>1.8818866339980786E-3</v>
      </c>
      <c r="BM92" s="47">
        <f>_xll.qlPolynomialFunctionValue(BM$1,$BD92,AllTriggers)</f>
        <v>1.8512689957530058E-3</v>
      </c>
      <c r="BN92" s="47">
        <f>_xll.qlPolynomialFunctionValue(BN$1,$BD92,AllTriggers)</f>
        <v>1.8519178518221131E-3</v>
      </c>
      <c r="BO92" s="47">
        <f>_xll.qlPolynomialFunctionValue(BO$1,$BD92,AllTriggers)</f>
        <v>1.8553984677356691E-3</v>
      </c>
      <c r="BP92" s="47">
        <f>_xll.qlPolynomialFunctionValue(BP$1,$BD92,AllTriggers)</f>
        <v>1.8516255358389572E-3</v>
      </c>
      <c r="BQ92" s="47">
        <f>_xll.qlPolynomialFunctionValue('6MSynthDepo_used'!$P$18,BD92,AllTriggers)</f>
        <v>1.8584999058552693E-3</v>
      </c>
    </row>
    <row r="93" spans="8:69" x14ac:dyDescent="0.2">
      <c r="K93" s="55"/>
      <c r="L93" s="55"/>
      <c r="M93" s="55"/>
      <c r="N93" s="55"/>
      <c r="R93" s="34"/>
      <c r="S93" s="34"/>
      <c r="BC93" s="178">
        <f>_xll.qlCalendarAdvance(Calendar,BC92,"1d","mf",,Trigger)</f>
        <v>42261</v>
      </c>
      <c r="BD93" s="41">
        <f>_xll.qlDayCounterYearFraction(DayCounter,SettlementDate,BC93,,,Trigger)</f>
        <v>0.34166666666666667</v>
      </c>
      <c r="BE93" s="47">
        <f>_xll.qlPolynomialFunctionValue(BE$1,$BD93,AllTriggers)</f>
        <v>1.8580529131124938E-3</v>
      </c>
      <c r="BF93" s="47">
        <f>_xll.qlPolynomialFunctionValue(BF$1,$BD93,AllTriggers)</f>
        <v>1.8649578311982077E-3</v>
      </c>
      <c r="BG93" s="47">
        <f>_xll.qlPolynomialFunctionValue(BG$1,$BD93,AllTriggers)</f>
        <v>1.8583391516467987E-3</v>
      </c>
      <c r="BH93" s="47">
        <f>_xll.qlPolynomialFunctionValue(BH$1,$BD93,AllTriggers)</f>
        <v>1.8854521068359675E-3</v>
      </c>
      <c r="BI93" s="47">
        <f>_xll.qlPolynomialFunctionValue(BI$1,$BD93,AllTriggers)</f>
        <v>1.8601505978907407E-3</v>
      </c>
      <c r="BJ93" s="47">
        <f>_xll.qlPolynomialFunctionValue(BJ$1,$BD93,AllTriggers)</f>
        <v>1.869928171559289E-3</v>
      </c>
      <c r="BK93" s="47">
        <f>_xll.qlPolynomialFunctionValue(BK$1,$BD93,AllTriggers)</f>
        <v>1.8602621592883812E-3</v>
      </c>
      <c r="BL93" s="47">
        <f>_xll.qlPolynomialFunctionValue(BL$1,$BD93,AllTriggers)</f>
        <v>1.8860552576341438E-3</v>
      </c>
      <c r="BM93" s="47">
        <f>_xll.qlPolynomialFunctionValue(BM$1,$BD93,AllTriggers)</f>
        <v>1.8542610885207544E-3</v>
      </c>
      <c r="BN93" s="47">
        <f>_xll.qlPolynomialFunctionValue(BN$1,$BD93,AllTriggers)</f>
        <v>1.8549479214729464E-3</v>
      </c>
      <c r="BO93" s="47">
        <f>_xll.qlPolynomialFunctionValue(BO$1,$BD93,AllTriggers)</f>
        <v>1.8582013524605201E-3</v>
      </c>
      <c r="BP93" s="47">
        <f>_xll.qlPolynomialFunctionValue(BP$1,$BD93,AllTriggers)</f>
        <v>1.8533954798311458E-3</v>
      </c>
      <c r="BQ93" s="47">
        <f>_xll.qlPolynomialFunctionValue('6MSynthDepo_used'!$P$18,BD93,AllTriggers)</f>
        <v>1.8618816050671985E-3</v>
      </c>
    </row>
    <row r="94" spans="8:69" x14ac:dyDescent="0.2">
      <c r="K94" s="55"/>
      <c r="L94" s="55"/>
      <c r="M94" s="55"/>
      <c r="N94" s="55"/>
      <c r="R94" s="34"/>
      <c r="S94" s="34"/>
      <c r="BC94" s="178">
        <f>_xll.qlCalendarAdvance(Calendar,BC93,"1d","mf",,Trigger)</f>
        <v>42262</v>
      </c>
      <c r="BD94" s="41">
        <f>_xll.qlDayCounterYearFraction(DayCounter,SettlementDate,BC94,,,Trigger)</f>
        <v>0.34444444444444444</v>
      </c>
      <c r="BE94" s="47">
        <f>_xll.qlPolynomialFunctionValue(BE$1,$BD94,AllTriggers)</f>
        <v>1.8592825988975946E-3</v>
      </c>
      <c r="BF94" s="47">
        <f>_xll.qlPolynomialFunctionValue(BF$1,$BD94,AllTriggers)</f>
        <v>1.8661194766759739E-3</v>
      </c>
      <c r="BG94" s="47">
        <f>_xll.qlPolynomialFunctionValue(BG$1,$BD94,AllTriggers)</f>
        <v>1.8594257181647473E-3</v>
      </c>
      <c r="BH94" s="47">
        <f>_xll.qlPolynomialFunctionValue(BH$1,$BD94,AllTriggers)</f>
        <v>1.8868462290313546E-3</v>
      </c>
      <c r="BI94" s="47">
        <f>_xll.qlPolynomialFunctionValue(BI$1,$BD94,AllTriggers)</f>
        <v>1.8614422764045178E-3</v>
      </c>
      <c r="BJ94" s="47">
        <f>_xll.qlPolynomialFunctionValue(BJ$1,$BD94,AllTriggers)</f>
        <v>1.871103085369387E-3</v>
      </c>
      <c r="BK94" s="47">
        <f>_xll.qlPolynomialFunctionValue(BK$1,$BD94,AllTriggers)</f>
        <v>1.8613307150068775E-3</v>
      </c>
      <c r="BL94" s="47">
        <f>_xll.qlPolynomialFunctionValue(BL$1,$BD94,AllTriggers)</f>
        <v>1.8874076227085217E-3</v>
      </c>
      <c r="BM94" s="47">
        <f>_xll.qlPolynomialFunctionValue(BM$1,$BD94,AllTriggers)</f>
        <v>1.8552584527766706E-3</v>
      </c>
      <c r="BN94" s="47">
        <f>_xll.qlPolynomialFunctionValue(BN$1,$BD94,AllTriggers)</f>
        <v>1.8559572478476661E-3</v>
      </c>
      <c r="BO94" s="47">
        <f>_xll.qlPolynomialFunctionValue(BO$1,$BD94,AllTriggers)</f>
        <v>1.8591356473688036E-3</v>
      </c>
      <c r="BP94" s="47">
        <f>_xll.qlPolynomialFunctionValue(BP$1,$BD94,AllTriggers)</f>
        <v>1.8539978714555479E-3</v>
      </c>
      <c r="BQ94" s="47">
        <f>_xll.qlPolynomialFunctionValue('6MSynthDepo_used'!$P$18,BD94,AllTriggers)</f>
        <v>1.863001887381507E-3</v>
      </c>
    </row>
    <row r="95" spans="8:69" x14ac:dyDescent="0.2">
      <c r="K95" s="55"/>
      <c r="L95" s="55"/>
      <c r="M95" s="55"/>
      <c r="N95" s="55"/>
      <c r="R95" s="34"/>
      <c r="S95" s="34"/>
      <c r="BC95" s="178">
        <f>_xll.qlCalendarAdvance(Calendar,BC94,"1d","mf",,Trigger)</f>
        <v>42263</v>
      </c>
      <c r="BD95" s="41">
        <f>_xll.qlDayCounterYearFraction(DayCounter,SettlementDate,BC95,,,Trigger)</f>
        <v>0.34722222222222221</v>
      </c>
      <c r="BE95" s="47">
        <f>_xll.qlPolynomialFunctionValue(BE$1,$BD95,AllTriggers)</f>
        <v>1.8605122846826951E-3</v>
      </c>
      <c r="BF95" s="47">
        <f>_xll.qlPolynomialFunctionValue(BF$1,$BD95,AllTriggers)</f>
        <v>1.8672764297187514E-3</v>
      </c>
      <c r="BG95" s="47">
        <f>_xll.qlPolynomialFunctionValue(BG$1,$BD95,AllTriggers)</f>
        <v>1.860512284682696E-3</v>
      </c>
      <c r="BH95" s="47">
        <f>_xll.qlPolynomialFunctionValue(BH$1,$BD95,AllTriggers)</f>
        <v>1.8882211289969015E-3</v>
      </c>
      <c r="BI95" s="47">
        <f>_xll.qlPolynomialFunctionValue(BI$1,$BD95,AllTriggers)</f>
        <v>1.8627339549182949E-3</v>
      </c>
      <c r="BJ95" s="47">
        <f>_xll.qlPolynomialFunctionValue(BJ$1,$BD95,AllTriggers)</f>
        <v>1.8722710332656225E-3</v>
      </c>
      <c r="BK95" s="47">
        <f>_xll.qlPolynomialFunctionValue(BK$1,$BD95,AllTriggers)</f>
        <v>1.8623992707253736E-3</v>
      </c>
      <c r="BL95" s="47">
        <f>_xll.qlPolynomialFunctionValue(BL$1,$BD95,AllTriggers)</f>
        <v>1.888741399714078E-3</v>
      </c>
      <c r="BM95" s="47">
        <f>_xll.qlPolynomialFunctionValue(BM$1,$BD95,AllTriggers)</f>
        <v>1.8562558170325868E-3</v>
      </c>
      <c r="BN95" s="47">
        <f>_xll.qlPolynomialFunctionValue(BN$1,$BD95,AllTriggers)</f>
        <v>1.8569662258012729E-3</v>
      </c>
      <c r="BO95" s="47">
        <f>_xll.qlPolynomialFunctionValue(BO$1,$BD95,AllTriggers)</f>
        <v>1.8600699422770873E-3</v>
      </c>
      <c r="BP95" s="47">
        <f>_xll.qlPolynomialFunctionValue(BP$1,$BD95,AllTriggers)</f>
        <v>1.8546064682267867E-3</v>
      </c>
      <c r="BQ95" s="47">
        <f>_xll.qlPolynomialFunctionValue('6MSynthDepo_used'!$P$18,BD95,AllTriggers)</f>
        <v>1.8641187117123135E-3</v>
      </c>
    </row>
    <row r="96" spans="8:69" x14ac:dyDescent="0.2">
      <c r="K96" s="55"/>
      <c r="L96" s="55"/>
      <c r="M96" s="55"/>
      <c r="N96" s="55"/>
      <c r="R96" s="34"/>
      <c r="S96" s="34"/>
      <c r="BC96" s="178">
        <f>_xll.qlCalendarAdvance(Calendar,BC95,"1d","mf",,Trigger)</f>
        <v>42264</v>
      </c>
      <c r="BD96" s="41">
        <f>_xll.qlDayCounterYearFraction(DayCounter,SettlementDate,BC96,,,Trigger)</f>
        <v>0.35</v>
      </c>
      <c r="BE96" s="47">
        <f>_xll.qlPolynomialFunctionValue(BE$1,$BD96,AllTriggers)</f>
        <v>1.8617419704677958E-3</v>
      </c>
      <c r="BF96" s="47">
        <f>_xll.qlPolynomialFunctionValue(BF$1,$BD96,AllTriggers)</f>
        <v>1.8684286903265402E-3</v>
      </c>
      <c r="BG96" s="47">
        <f>_xll.qlPolynomialFunctionValue(BG$1,$BD96,AllTriggers)</f>
        <v>1.8615988512006446E-3</v>
      </c>
      <c r="BH96" s="47">
        <f>_xll.qlPolynomialFunctionValue(BH$1,$BD96,AllTriggers)</f>
        <v>1.8895768067326085E-3</v>
      </c>
      <c r="BI96" s="47">
        <f>_xll.qlPolynomialFunctionValue(BI$1,$BD96,AllTriggers)</f>
        <v>1.864025633432072E-3</v>
      </c>
      <c r="BJ96" s="47">
        <f>_xll.qlPolynomialFunctionValue(BJ$1,$BD96,AllTriggers)</f>
        <v>1.8734320152479953E-3</v>
      </c>
      <c r="BK96" s="47">
        <f>_xll.qlPolynomialFunctionValue(BK$1,$BD96,AllTriggers)</f>
        <v>1.8634678264438699E-3</v>
      </c>
      <c r="BL96" s="47">
        <f>_xll.qlPolynomialFunctionValue(BL$1,$BD96,AllTriggers)</f>
        <v>1.8900565886508123E-3</v>
      </c>
      <c r="BM96" s="47">
        <f>_xll.qlPolynomialFunctionValue(BM$1,$BD96,AllTriggers)</f>
        <v>1.8572531812885028E-3</v>
      </c>
      <c r="BN96" s="47">
        <f>_xll.qlPolynomialFunctionValue(BN$1,$BD96,AllTriggers)</f>
        <v>1.8579748553337674E-3</v>
      </c>
      <c r="BO96" s="47">
        <f>_xll.qlPolynomialFunctionValue(BO$1,$BD96,AllTriggers)</f>
        <v>1.861004237185371E-3</v>
      </c>
      <c r="BP96" s="47">
        <f>_xll.qlPolynomialFunctionValue(BP$1,$BD96,AllTriggers)</f>
        <v>1.855221270144862E-3</v>
      </c>
      <c r="BQ96" s="47">
        <f>_xll.qlPolynomialFunctionValue('6MSynthDepo_used'!$P$18,BD96,AllTriggers)</f>
        <v>1.865232088496416E-3</v>
      </c>
    </row>
    <row r="97" spans="11:69" x14ac:dyDescent="0.2">
      <c r="K97" s="55"/>
      <c r="L97" s="55"/>
      <c r="M97" s="55"/>
      <c r="N97" s="55"/>
      <c r="R97" s="34"/>
      <c r="S97" s="34"/>
      <c r="BC97" s="178">
        <f>_xll.qlCalendarAdvance(Calendar,BC96,"1d","mf",,Trigger)</f>
        <v>42265</v>
      </c>
      <c r="BD97" s="41">
        <f>_xll.qlDayCounterYearFraction(DayCounter,SettlementDate,BC97,,,Trigger)</f>
        <v>0.3527777777777778</v>
      </c>
      <c r="BE97" s="47">
        <f>_xll.qlPolynomialFunctionValue(BE$1,$BD97,AllTriggers)</f>
        <v>1.8629716562528966E-3</v>
      </c>
      <c r="BF97" s="47">
        <f>_xll.qlPolynomialFunctionValue(BF$1,$BD97,AllTriggers)</f>
        <v>1.8695762584993406E-3</v>
      </c>
      <c r="BG97" s="47">
        <f>_xll.qlPolynomialFunctionValue(BG$1,$BD97,AllTriggers)</f>
        <v>1.8626854177185932E-3</v>
      </c>
      <c r="BH97" s="47">
        <f>_xll.qlPolynomialFunctionValue(BH$1,$BD97,AllTriggers)</f>
        <v>1.8909132622384761E-3</v>
      </c>
      <c r="BI97" s="47">
        <f>_xll.qlPolynomialFunctionValue(BI$1,$BD97,AllTriggers)</f>
        <v>1.8653173119458492E-3</v>
      </c>
      <c r="BJ97" s="47">
        <f>_xll.qlPolynomialFunctionValue(BJ$1,$BD97,AllTriggers)</f>
        <v>1.8745860313165057E-3</v>
      </c>
      <c r="BK97" s="47">
        <f>_xll.qlPolynomialFunctionValue(BK$1,$BD97,AllTriggers)</f>
        <v>1.864536382162366E-3</v>
      </c>
      <c r="BL97" s="47">
        <f>_xll.qlPolynomialFunctionValue(BL$1,$BD97,AllTriggers)</f>
        <v>1.8913531895187244E-3</v>
      </c>
      <c r="BM97" s="47">
        <f>_xll.qlPolynomialFunctionValue(BM$1,$BD97,AllTriggers)</f>
        <v>1.858250545544419E-3</v>
      </c>
      <c r="BN97" s="47">
        <f>_xll.qlPolynomialFunctionValue(BN$1,$BD97,AllTriggers)</f>
        <v>1.8589831364451493E-3</v>
      </c>
      <c r="BO97" s="47">
        <f>_xll.qlPolynomialFunctionValue(BO$1,$BD97,AllTriggers)</f>
        <v>1.8619385320936546E-3</v>
      </c>
      <c r="BP97" s="47">
        <f>_xll.qlPolynomialFunctionValue(BP$1,$BD97,AllTriggers)</f>
        <v>1.8558422772097733E-3</v>
      </c>
      <c r="BQ97" s="47">
        <f>_xll.qlPolynomialFunctionValue('6MSynthDepo_used'!$P$18,BD97,AllTriggers)</f>
        <v>1.8663420281706138E-3</v>
      </c>
    </row>
    <row r="98" spans="11:69" x14ac:dyDescent="0.2">
      <c r="K98" s="55"/>
      <c r="L98" s="55"/>
      <c r="M98" s="55"/>
      <c r="N98" s="55"/>
      <c r="R98" s="34"/>
      <c r="S98" s="34"/>
      <c r="BC98" s="178">
        <f>_xll.qlCalendarAdvance(Calendar,BC97,"1d","mf",,Trigger)</f>
        <v>42268</v>
      </c>
      <c r="BD98" s="41">
        <f>_xll.qlDayCounterYearFraction(DayCounter,SettlementDate,BC98,,,Trigger)</f>
        <v>0.3611111111111111</v>
      </c>
      <c r="BE98" s="47">
        <f>_xll.qlPolynomialFunctionValue(BE$1,$BD98,AllTriggers)</f>
        <v>1.8666607136081986E-3</v>
      </c>
      <c r="BF98" s="47">
        <f>_xll.qlPolynomialFunctionValue(BF$1,$BD98,AllTriggers)</f>
        <v>1.87299080840781E-3</v>
      </c>
      <c r="BG98" s="47">
        <f>_xll.qlPolynomialFunctionValue(BG$1,$BD98,AllTriggers)</f>
        <v>1.8659451172724391E-3</v>
      </c>
      <c r="BH98" s="47">
        <f>_xll.qlPolynomialFunctionValue(BH$1,$BD98,AllTriggers)</f>
        <v>1.8948072953770382E-3</v>
      </c>
      <c r="BI98" s="47">
        <f>_xll.qlPolynomialFunctionValue(BI$1,$BD98,AllTriggers)</f>
        <v>1.8691923474871803E-3</v>
      </c>
      <c r="BJ98" s="47">
        <f>_xll.qlPolynomialFunctionValue(BJ$1,$BD98,AllTriggers)</f>
        <v>1.8780062840388616E-3</v>
      </c>
      <c r="BK98" s="47">
        <f>_xll.qlPolynomialFunctionValue(BK$1,$BD98,AllTriggers)</f>
        <v>1.8677420493178546E-3</v>
      </c>
      <c r="BL98" s="47">
        <f>_xll.qlPolynomialFunctionValue(BL$1,$BD98,AllTriggers)</f>
        <v>1.8951314637095306E-3</v>
      </c>
      <c r="BM98" s="47">
        <f>_xll.qlPolynomialFunctionValue(BM$1,$BD98,AllTriggers)</f>
        <v>1.8612426383121676E-3</v>
      </c>
      <c r="BN98" s="47">
        <f>_xll.qlPolynomialFunctionValue(BN$1,$BD98,AllTriggers)</f>
        <v>1.86200588925262E-3</v>
      </c>
      <c r="BO98" s="47">
        <f>_xll.qlPolynomialFunctionValue(BO$1,$BD98,AllTriggers)</f>
        <v>1.8647414168185055E-3</v>
      </c>
      <c r="BP98" s="47">
        <f>_xll.qlPolynomialFunctionValue(BP$1,$BD98,AllTriggers)</f>
        <v>1.8577425292855261E-3</v>
      </c>
      <c r="BQ98" s="47">
        <f>_xll.qlPolynomialFunctionValue('6MSynthDepo_used'!$P$18,BD98,AllTriggers)</f>
        <v>1.8696513289017651E-3</v>
      </c>
    </row>
    <row r="99" spans="11:69" x14ac:dyDescent="0.2">
      <c r="K99" s="55"/>
      <c r="L99" s="55"/>
      <c r="M99" s="55"/>
      <c r="N99" s="55"/>
      <c r="R99" s="34"/>
      <c r="S99" s="34"/>
      <c r="BC99" s="178">
        <f>_xll.qlCalendarAdvance(Calendar,BC98,"1d","mf",,Trigger)</f>
        <v>42269</v>
      </c>
      <c r="BD99" s="41">
        <f>_xll.qlDayCounterYearFraction(DayCounter,SettlementDate,BC99,,,Trigger)</f>
        <v>0.36388888888888887</v>
      </c>
      <c r="BE99" s="47">
        <f>_xll.qlPolynomialFunctionValue(BE$1,$BD99,AllTriggers)</f>
        <v>1.8678903993932993E-3</v>
      </c>
      <c r="BF99" s="47">
        <f>_xll.qlPolynomialFunctionValue(BF$1,$BD99,AllTriggers)</f>
        <v>1.8741196068406561E-3</v>
      </c>
      <c r="BG99" s="47">
        <f>_xll.qlPolynomialFunctionValue(BG$1,$BD99,AllTriggers)</f>
        <v>1.8670316837903877E-3</v>
      </c>
      <c r="BH99" s="47">
        <f>_xll.qlPolynomialFunctionValue(BH$1,$BD99,AllTriggers)</f>
        <v>1.896066861963546E-3</v>
      </c>
      <c r="BI99" s="47">
        <f>_xll.qlPolynomialFunctionValue(BI$1,$BD99,AllTriggers)</f>
        <v>1.8704840260009574E-3</v>
      </c>
      <c r="BJ99" s="47">
        <f>_xll.qlPolynomialFunctionValue(BJ$1,$BD99,AllTriggers)</f>
        <v>1.8791324364519219E-3</v>
      </c>
      <c r="BK99" s="47">
        <f>_xll.qlPolynomialFunctionValue(BK$1,$BD99,AllTriggers)</f>
        <v>1.8688106050363507E-3</v>
      </c>
      <c r="BL99" s="47">
        <f>_xll.qlPolynomialFunctionValue(BL$1,$BD99,AllTriggers)</f>
        <v>1.8963537123021558E-3</v>
      </c>
      <c r="BM99" s="47">
        <f>_xll.qlPolynomialFunctionValue(BM$1,$BD99,AllTriggers)</f>
        <v>1.8622400025680838E-3</v>
      </c>
      <c r="BN99" s="47">
        <f>_xll.qlPolynomialFunctionValue(BN$1,$BD99,AllTriggers)</f>
        <v>1.8630127766795519E-3</v>
      </c>
      <c r="BO99" s="47">
        <f>_xll.qlPolynomialFunctionValue(BO$1,$BD99,AllTriggers)</f>
        <v>1.8656757117267893E-3</v>
      </c>
      <c r="BP99" s="47">
        <f>_xll.qlPolynomialFunctionValue(BP$1,$BD99,AllTriggers)</f>
        <v>1.8583883569377828E-3</v>
      </c>
      <c r="BQ99" s="47">
        <f>_xll.qlPolynomialFunctionValue('6MSynthDepo_used'!$P$18,BD99,AllTriggers)</f>
        <v>1.8707476245043309E-3</v>
      </c>
    </row>
    <row r="100" spans="11:69" x14ac:dyDescent="0.2">
      <c r="K100" s="55"/>
      <c r="L100" s="55"/>
      <c r="M100" s="55"/>
      <c r="N100" s="55"/>
      <c r="R100" s="34"/>
      <c r="S100" s="34"/>
      <c r="BC100" s="178">
        <f>_xll.qlCalendarAdvance(Calendar,BC99,"1d","mf",,Trigger)</f>
        <v>42270</v>
      </c>
      <c r="BD100" s="41">
        <f>_xll.qlDayCounterYearFraction(DayCounter,SettlementDate,BC100,,,Trigger)</f>
        <v>0.36666666666666664</v>
      </c>
      <c r="BE100" s="47">
        <f>_xll.qlPolynomialFunctionValue(BE$1,$BD100,AllTriggers)</f>
        <v>1.8691200851784001E-3</v>
      </c>
      <c r="BF100" s="47">
        <f>_xll.qlPolynomialFunctionValue(BF$1,$BD100,AllTriggers)</f>
        <v>1.8752437128385134E-3</v>
      </c>
      <c r="BG100" s="47">
        <f>_xll.qlPolynomialFunctionValue(BG$1,$BD100,AllTriggers)</f>
        <v>1.8681182503083363E-3</v>
      </c>
      <c r="BH100" s="47">
        <f>_xll.qlPolynomialFunctionValue(BH$1,$BD100,AllTriggers)</f>
        <v>1.8973072063202137E-3</v>
      </c>
      <c r="BI100" s="47">
        <f>_xll.qlPolynomialFunctionValue(BI$1,$BD100,AllTriggers)</f>
        <v>1.8717757045147345E-3</v>
      </c>
      <c r="BJ100" s="47">
        <f>_xll.qlPolynomialFunctionValue(BJ$1,$BD100,AllTriggers)</f>
        <v>1.8802516229511194E-3</v>
      </c>
      <c r="BK100" s="47">
        <f>_xll.qlPolynomialFunctionValue(BK$1,$BD100,AllTriggers)</f>
        <v>1.869879160754847E-3</v>
      </c>
      <c r="BL100" s="47">
        <f>_xll.qlPolynomialFunctionValue(BL$1,$BD100,AllTriggers)</f>
        <v>1.8975573728259585E-3</v>
      </c>
      <c r="BM100" s="47">
        <f>_xll.qlPolynomialFunctionValue(BM$1,$BD100,AllTriggers)</f>
        <v>1.8632373668239998E-3</v>
      </c>
      <c r="BN100" s="47">
        <f>_xll.qlPolynomialFunctionValue(BN$1,$BD100,AllTriggers)</f>
        <v>1.8640193156853715E-3</v>
      </c>
      <c r="BO100" s="47">
        <f>_xll.qlPolynomialFunctionValue(BO$1,$BD100,AllTriggers)</f>
        <v>1.866610006635073E-3</v>
      </c>
      <c r="BP100" s="47">
        <f>_xll.qlPolynomialFunctionValue(BP$1,$BD100,AllTriggers)</f>
        <v>1.8590403897368762E-3</v>
      </c>
      <c r="BQ100" s="47">
        <f>_xll.qlPolynomialFunctionValue('6MSynthDepo_used'!$P$18,BD100,AllTriggers)</f>
        <v>1.8718405351809859E-3</v>
      </c>
    </row>
    <row r="101" spans="11:69" x14ac:dyDescent="0.2">
      <c r="K101" s="55"/>
      <c r="L101" s="55"/>
      <c r="M101" s="55"/>
      <c r="N101" s="55"/>
      <c r="R101" s="34"/>
      <c r="S101" s="34"/>
      <c r="BC101" s="178">
        <f>_xll.qlCalendarAdvance(Calendar,BC100,"1d","mf",,Trigger)</f>
        <v>42271</v>
      </c>
      <c r="BD101" s="41">
        <f>_xll.qlDayCounterYearFraction(DayCounter,SettlementDate,BC101,,,Trigger)</f>
        <v>0.36944444444444446</v>
      </c>
      <c r="BE101" s="47">
        <f>_xll.qlPolynomialFunctionValue(BE$1,$BD101,AllTriggers)</f>
        <v>1.8703497709635008E-3</v>
      </c>
      <c r="BF101" s="47">
        <f>_xll.qlPolynomialFunctionValue(BF$1,$BD101,AllTriggers)</f>
        <v>1.876363126401382E-3</v>
      </c>
      <c r="BG101" s="47">
        <f>_xll.qlPolynomialFunctionValue(BG$1,$BD101,AllTriggers)</f>
        <v>1.869204816826285E-3</v>
      </c>
      <c r="BH101" s="47">
        <f>_xll.qlPolynomialFunctionValue(BH$1,$BD101,AllTriggers)</f>
        <v>1.8985283284470419E-3</v>
      </c>
      <c r="BI101" s="47">
        <f>_xll.qlPolynomialFunctionValue(BI$1,$BD101,AllTriggers)</f>
        <v>1.8730673830285116E-3</v>
      </c>
      <c r="BJ101" s="47">
        <f>_xll.qlPolynomialFunctionValue(BJ$1,$BD101,AllTriggers)</f>
        <v>1.8813638435364547E-3</v>
      </c>
      <c r="BK101" s="47">
        <f>_xll.qlPolynomialFunctionValue(BK$1,$BD101,AllTriggers)</f>
        <v>1.8709477164733431E-3</v>
      </c>
      <c r="BL101" s="47">
        <f>_xll.qlPolynomialFunctionValue(BL$1,$BD101,AllTriggers)</f>
        <v>1.8987424452809399E-3</v>
      </c>
      <c r="BM101" s="47">
        <f>_xll.qlPolynomialFunctionValue(BM$1,$BD101,AllTriggers)</f>
        <v>1.864234731079916E-3</v>
      </c>
      <c r="BN101" s="47">
        <f>_xll.qlPolynomialFunctionValue(BN$1,$BD101,AllTriggers)</f>
        <v>1.8650255062700781E-3</v>
      </c>
      <c r="BO101" s="47">
        <f>_xll.qlPolynomialFunctionValue(BO$1,$BD101,AllTriggers)</f>
        <v>1.8675443015433565E-3</v>
      </c>
      <c r="BP101" s="47">
        <f>_xll.qlPolynomialFunctionValue(BP$1,$BD101,AllTriggers)</f>
        <v>1.859698627682806E-3</v>
      </c>
      <c r="BQ101" s="47">
        <f>_xll.qlPolynomialFunctionValue('6MSynthDepo_used'!$P$18,BD101,AllTriggers)</f>
        <v>1.8729300713685286E-3</v>
      </c>
    </row>
    <row r="102" spans="11:69" x14ac:dyDescent="0.2">
      <c r="K102" s="55"/>
      <c r="L102" s="55"/>
      <c r="M102" s="55"/>
      <c r="N102" s="55"/>
      <c r="R102" s="34"/>
      <c r="S102" s="34"/>
      <c r="BC102" s="178">
        <f>_xll.qlCalendarAdvance(Calendar,BC101,"1d","mf",,Trigger)</f>
        <v>42272</v>
      </c>
      <c r="BD102" s="41">
        <f>_xll.qlDayCounterYearFraction(DayCounter,SettlementDate,BC102,,,Trigger)</f>
        <v>0.37222222222222223</v>
      </c>
      <c r="BE102" s="47">
        <f>_xll.qlPolynomialFunctionValue(BE$1,$BD102,AllTriggers)</f>
        <v>1.8715794567486013E-3</v>
      </c>
      <c r="BF102" s="47">
        <f>_xll.qlPolynomialFunctionValue(BF$1,$BD102,AllTriggers)</f>
        <v>1.8774778475292623E-3</v>
      </c>
      <c r="BG102" s="47">
        <f>_xll.qlPolynomialFunctionValue(BG$1,$BD102,AllTriggers)</f>
        <v>1.8702913833442336E-3</v>
      </c>
      <c r="BH102" s="47">
        <f>_xll.qlPolynomialFunctionValue(BH$1,$BD102,AllTriggers)</f>
        <v>1.8997302283440297E-3</v>
      </c>
      <c r="BI102" s="47">
        <f>_xll.qlPolynomialFunctionValue(BI$1,$BD102,AllTriggers)</f>
        <v>1.8743590615422888E-3</v>
      </c>
      <c r="BJ102" s="47">
        <f>_xll.qlPolynomialFunctionValue(BJ$1,$BD102,AllTriggers)</f>
        <v>1.8824690982079274E-3</v>
      </c>
      <c r="BK102" s="47">
        <f>_xll.qlPolynomialFunctionValue(BK$1,$BD102,AllTriggers)</f>
        <v>1.8720162721918392E-3</v>
      </c>
      <c r="BL102" s="47">
        <f>_xll.qlPolynomialFunctionValue(BL$1,$BD102,AllTriggers)</f>
        <v>1.899908929667099E-3</v>
      </c>
      <c r="BM102" s="47">
        <f>_xll.qlPolynomialFunctionValue(BM$1,$BD102,AllTriggers)</f>
        <v>1.8652320953358322E-3</v>
      </c>
      <c r="BN102" s="47">
        <f>_xll.qlPolynomialFunctionValue(BN$1,$BD102,AllTriggers)</f>
        <v>1.8660313484336727E-3</v>
      </c>
      <c r="BO102" s="47">
        <f>_xll.qlPolynomialFunctionValue(BO$1,$BD102,AllTriggers)</f>
        <v>1.8684785964516403E-3</v>
      </c>
      <c r="BP102" s="47">
        <f>_xll.qlPolynomialFunctionValue(BP$1,$BD102,AllTriggers)</f>
        <v>1.8603630707755719E-3</v>
      </c>
      <c r="BQ102" s="47">
        <f>_xll.qlPolynomialFunctionValue('6MSynthDepo_used'!$P$18,BD102,AllTriggers)</f>
        <v>1.8740162435037578E-3</v>
      </c>
    </row>
    <row r="103" spans="11:69" x14ac:dyDescent="0.2">
      <c r="K103" s="55"/>
      <c r="L103" s="55"/>
      <c r="M103" s="55"/>
      <c r="N103" s="55"/>
      <c r="R103" s="34"/>
      <c r="S103" s="34"/>
      <c r="BC103" s="178">
        <f>_xll.qlCalendarAdvance(Calendar,BC102,"1d","mf",,Trigger)</f>
        <v>42275</v>
      </c>
      <c r="BD103" s="41">
        <f>_xll.qlDayCounterYearFraction(DayCounter,SettlementDate,BC103,,,Trigger)</f>
        <v>0.38055555555555554</v>
      </c>
      <c r="BE103" s="47">
        <f>_xll.qlPolynomialFunctionValue(BE$1,$BD103,AllTriggers)</f>
        <v>1.8752685141039034E-3</v>
      </c>
      <c r="BF103" s="47">
        <f>_xll.qlPolynomialFunctionValue(BF$1,$BD103,AllTriggers)</f>
        <v>1.8807938563029712E-3</v>
      </c>
      <c r="BG103" s="47">
        <f>_xll.qlPolynomialFunctionValue(BG$1,$BD103,AllTriggers)</f>
        <v>1.8735510828980795E-3</v>
      </c>
      <c r="BH103" s="47">
        <f>_xll.qlPolynomialFunctionValue(BH$1,$BD103,AllTriggers)</f>
        <v>1.9032205946559544E-3</v>
      </c>
      <c r="BI103" s="47">
        <f>_xll.qlPolynomialFunctionValue(BI$1,$BD103,AllTriggers)</f>
        <v>1.8782340970836201E-3</v>
      </c>
      <c r="BJ103" s="47">
        <f>_xll.qlPolynomialFunctionValue(BJ$1,$BD103,AllTriggers)</f>
        <v>1.88574306673917E-3</v>
      </c>
      <c r="BK103" s="47">
        <f>_xll.qlPolynomialFunctionValue(BK$1,$BD103,AllTriggers)</f>
        <v>1.8752219393473278E-3</v>
      </c>
      <c r="BL103" s="47">
        <f>_xll.qlPolynomialFunctionValue(BL$1,$BD103,AllTriggers)</f>
        <v>1.903296854412646E-3</v>
      </c>
      <c r="BM103" s="47">
        <f>_xll.qlPolynomialFunctionValue(BM$1,$BD103,AllTriggers)</f>
        <v>1.8682241881035808E-3</v>
      </c>
      <c r="BN103" s="47">
        <f>_xll.qlPolynomialFunctionValue(BN$1,$BD103,AllTriggers)</f>
        <v>1.8690467843977807E-3</v>
      </c>
      <c r="BO103" s="47">
        <f>_xll.qlPolynomialFunctionValue(BO$1,$BD103,AllTriggers)</f>
        <v>1.8712814811764913E-3</v>
      </c>
      <c r="BP103" s="47">
        <f>_xll.qlPolynomialFunctionValue(BP$1,$BD103,AllTriggers)</f>
        <v>1.8623936309348885E-3</v>
      </c>
      <c r="BQ103" s="47">
        <f>_xll.qlPolynomialFunctionValue('6MSynthDepo_used'!$P$18,BD103,AllTriggers)</f>
        <v>1.877254679963553E-3</v>
      </c>
    </row>
    <row r="104" spans="11:69" x14ac:dyDescent="0.2">
      <c r="K104" s="55"/>
      <c r="L104" s="55"/>
      <c r="M104" s="55"/>
      <c r="N104" s="55"/>
      <c r="R104" s="34"/>
      <c r="S104" s="34"/>
      <c r="BC104" s="178">
        <f>_xll.qlCalendarAdvance(Calendar,BC103,"1d","mf",,Trigger)</f>
        <v>42276</v>
      </c>
      <c r="BD104" s="41">
        <f>_xll.qlDayCounterYearFraction(DayCounter,SettlementDate,BC104,,,Trigger)</f>
        <v>0.38333333333333336</v>
      </c>
      <c r="BE104" s="47">
        <f>_xll.qlPolynomialFunctionValue(BE$1,$BD104,AllTriggers)</f>
        <v>1.8764981998890041E-3</v>
      </c>
      <c r="BF104" s="47">
        <f>_xll.qlPolynomialFunctionValue(BF$1,$BD104,AllTriggers)</f>
        <v>1.8818898076908971E-3</v>
      </c>
      <c r="BG104" s="47">
        <f>_xll.qlPolynomialFunctionValue(BG$1,$BD104,AllTriggers)</f>
        <v>1.8746376494160281E-3</v>
      </c>
      <c r="BH104" s="47">
        <f>_xll.qlPolynomialFunctionValue(BH$1,$BD104,AllTriggers)</f>
        <v>1.9043456056335828E-3</v>
      </c>
      <c r="BI104" s="47">
        <f>_xll.qlPolynomialFunctionValue(BI$1,$BD104,AllTriggers)</f>
        <v>1.8795257755973972E-3</v>
      </c>
      <c r="BJ104" s="47">
        <f>_xll.qlPolynomialFunctionValue(BJ$1,$BD104,AllTriggers)</f>
        <v>1.8868204577551925E-3</v>
      </c>
      <c r="BK104" s="47">
        <f>_xll.qlPolynomialFunctionValue(BK$1,$BD104,AllTriggers)</f>
        <v>1.8762904950658239E-3</v>
      </c>
      <c r="BL104" s="47">
        <f>_xll.qlPolynomialFunctionValue(BL$1,$BD104,AllTriggers)</f>
        <v>1.904388986523518E-3</v>
      </c>
      <c r="BM104" s="47">
        <f>_xll.qlPolynomialFunctionValue(BM$1,$BD104,AllTriggers)</f>
        <v>1.869221552359497E-3</v>
      </c>
      <c r="BN104" s="47">
        <f>_xll.qlPolynomialFunctionValue(BN$1,$BD104,AllTriggers)</f>
        <v>1.8700512328769252E-3</v>
      </c>
      <c r="BO104" s="47">
        <f>_xll.qlPolynomialFunctionValue(BO$1,$BD104,AllTriggers)</f>
        <v>1.872215776084775E-3</v>
      </c>
      <c r="BP104" s="47">
        <f>_xll.qlPolynomialFunctionValue(BP$1,$BD104,AllTriggers)</f>
        <v>1.8630828946150002E-3</v>
      </c>
      <c r="BQ104" s="47">
        <f>_xll.qlPolynomialFunctionValue('6MSynthDepo_used'!$P$18,BD104,AllTriggers)</f>
        <v>1.8783275002575166E-3</v>
      </c>
    </row>
    <row r="105" spans="11:69" x14ac:dyDescent="0.2">
      <c r="R105" s="34"/>
      <c r="S105" s="34"/>
      <c r="BC105" s="178">
        <f>_xll.qlCalendarAdvance(Calendar,BC104,"1d","mf",,Trigger)</f>
        <v>42277</v>
      </c>
      <c r="BD105" s="41">
        <f>_xll.qlDayCounterYearFraction(DayCounter,SettlementDate,BC105,,,Trigger)</f>
        <v>0.38611111111111113</v>
      </c>
      <c r="BE105" s="47">
        <f>_xll.qlPolynomialFunctionValue(BE$1,$BD105,AllTriggers)</f>
        <v>1.8777278856741048E-3</v>
      </c>
      <c r="BF105" s="47">
        <f>_xll.qlPolynomialFunctionValue(BF$1,$BD105,AllTriggers)</f>
        <v>1.8829810666438343E-3</v>
      </c>
      <c r="BG105" s="47">
        <f>_xll.qlPolynomialFunctionValue(BG$1,$BD105,AllTriggers)</f>
        <v>1.8757242159339767E-3</v>
      </c>
      <c r="BH105" s="47">
        <f>_xll.qlPolynomialFunctionValue(BH$1,$BD105,AllTriggers)</f>
        <v>1.9054513943813714E-3</v>
      </c>
      <c r="BI105" s="47">
        <f>_xll.qlPolynomialFunctionValue(BI$1,$BD105,AllTriggers)</f>
        <v>1.8808174541111744E-3</v>
      </c>
      <c r="BJ105" s="47">
        <f>_xll.qlPolynomialFunctionValue(BJ$1,$BD105,AllTriggers)</f>
        <v>1.8878908828573525E-3</v>
      </c>
      <c r="BK105" s="47">
        <f>_xll.qlPolynomialFunctionValue(BK$1,$BD105,AllTriggers)</f>
        <v>1.8773590507843202E-3</v>
      </c>
      <c r="BL105" s="47">
        <f>_xll.qlPolynomialFunctionValue(BL$1,$BD105,AllTriggers)</f>
        <v>1.9054625305655677E-3</v>
      </c>
      <c r="BM105" s="47">
        <f>_xll.qlPolynomialFunctionValue(BM$1,$BD105,AllTriggers)</f>
        <v>1.8702189166154132E-3</v>
      </c>
      <c r="BN105" s="47">
        <f>_xll.qlPolynomialFunctionValue(BN$1,$BD105,AllTriggers)</f>
        <v>1.8710553329349569E-3</v>
      </c>
      <c r="BO105" s="47">
        <f>_xll.qlPolynomialFunctionValue(BO$1,$BD105,AllTriggers)</f>
        <v>1.8731500709930585E-3</v>
      </c>
      <c r="BP105" s="47">
        <f>_xll.qlPolynomialFunctionValue(BP$1,$BD105,AllTriggers)</f>
        <v>1.8637783634419482E-3</v>
      </c>
      <c r="BQ105" s="47">
        <f>_xll.qlPolynomialFunctionValue('6MSynthDepo_used'!$P$18,BD105,AllTriggers)</f>
        <v>1.8793970086831604E-3</v>
      </c>
    </row>
    <row r="106" spans="11:69" x14ac:dyDescent="0.2">
      <c r="R106" s="34"/>
      <c r="S106" s="34"/>
      <c r="BC106" s="178">
        <f>_xll.qlCalendarAdvance(Calendar,BC105,"1d","mf",,Trigger)</f>
        <v>42278</v>
      </c>
      <c r="BD106" s="41">
        <f>_xll.qlDayCounterYearFraction(DayCounter,SettlementDate,BC106,,,Trigger)</f>
        <v>0.3888888888888889</v>
      </c>
      <c r="BE106" s="47">
        <f>_xll.qlPolynomialFunctionValue(BE$1,$BD106,AllTriggers)</f>
        <v>1.8789575714592056E-3</v>
      </c>
      <c r="BF106" s="47">
        <f>_xll.qlPolynomialFunctionValue(BF$1,$BD106,AllTriggers)</f>
        <v>1.8840676331617827E-3</v>
      </c>
      <c r="BG106" s="47">
        <f>_xll.qlPolynomialFunctionValue(BG$1,$BD106,AllTriggers)</f>
        <v>1.8768107824519253E-3</v>
      </c>
      <c r="BH106" s="47">
        <f>_xll.qlPolynomialFunctionValue(BH$1,$BD106,AllTriggers)</f>
        <v>1.90653796089932E-3</v>
      </c>
      <c r="BI106" s="47">
        <f>_xll.qlPolynomialFunctionValue(BI$1,$BD106,AllTriggers)</f>
        <v>1.8821091326249515E-3</v>
      </c>
      <c r="BJ106" s="47">
        <f>_xll.qlPolynomialFunctionValue(BJ$1,$BD106,AllTriggers)</f>
        <v>1.88895434204565E-3</v>
      </c>
      <c r="BK106" s="47">
        <f>_xll.qlPolynomialFunctionValue(BK$1,$BD106,AllTriggers)</f>
        <v>1.8784276065028163E-3</v>
      </c>
      <c r="BL106" s="47">
        <f>_xll.qlPolynomialFunctionValue(BL$1,$BD106,AllTriggers)</f>
        <v>1.9065174865387959E-3</v>
      </c>
      <c r="BM106" s="47">
        <f>_xll.qlPolynomialFunctionValue(BM$1,$BD106,AllTriggers)</f>
        <v>1.8712162808713292E-3</v>
      </c>
      <c r="BN106" s="47">
        <f>_xll.qlPolynomialFunctionValue(BN$1,$BD106,AllTriggers)</f>
        <v>1.8720590845718763E-3</v>
      </c>
      <c r="BO106" s="47">
        <f>_xll.qlPolynomialFunctionValue(BO$1,$BD106,AllTriggers)</f>
        <v>1.8740843659013422E-3</v>
      </c>
      <c r="BP106" s="47">
        <f>_xll.qlPolynomialFunctionValue(BP$1,$BD106,AllTriggers)</f>
        <v>1.8644800374157324E-3</v>
      </c>
      <c r="BQ106" s="47">
        <f>_xll.qlPolynomialFunctionValue('6MSynthDepo_used'!$P$18,BD106,AllTriggers)</f>
        <v>1.8804632156772837E-3</v>
      </c>
    </row>
    <row r="107" spans="11:69" x14ac:dyDescent="0.2">
      <c r="R107" s="34"/>
      <c r="S107" s="34"/>
      <c r="BC107" s="178">
        <f>_xll.qlCalendarAdvance(Calendar,BC106,"1d","mf",,Trigger)</f>
        <v>42279</v>
      </c>
      <c r="BD107" s="41">
        <f>_xll.qlDayCounterYearFraction(DayCounter,SettlementDate,BC107,,,Trigger)</f>
        <v>0.39166666666666666</v>
      </c>
      <c r="BE107" s="47">
        <f>_xll.qlPolynomialFunctionValue(BE$1,$BD107,AllTriggers)</f>
        <v>1.8801872572443063E-3</v>
      </c>
      <c r="BF107" s="47">
        <f>_xll.qlPolynomialFunctionValue(BF$1,$BD107,AllTriggers)</f>
        <v>1.885149507244743E-3</v>
      </c>
      <c r="BG107" s="47">
        <f>_xll.qlPolynomialFunctionValue(BG$1,$BD107,AllTriggers)</f>
        <v>1.8778973489698739E-3</v>
      </c>
      <c r="BH107" s="47">
        <f>_xll.qlPolynomialFunctionValue(BH$1,$BD107,AllTriggers)</f>
        <v>1.9076053051874289E-3</v>
      </c>
      <c r="BI107" s="47">
        <f>_xll.qlPolynomialFunctionValue(BI$1,$BD107,AllTriggers)</f>
        <v>1.8834008111387286E-3</v>
      </c>
      <c r="BJ107" s="47">
        <f>_xll.qlPolynomialFunctionValue(BJ$1,$BD107,AllTriggers)</f>
        <v>1.8900108353200849E-3</v>
      </c>
      <c r="BK107" s="47">
        <f>_xll.qlPolynomialFunctionValue(BK$1,$BD107,AllTriggers)</f>
        <v>1.8794961622213126E-3</v>
      </c>
      <c r="BL107" s="47">
        <f>_xll.qlPolynomialFunctionValue(BL$1,$BD107,AllTriggers)</f>
        <v>1.9075538544432026E-3</v>
      </c>
      <c r="BM107" s="47">
        <f>_xll.qlPolynomialFunctionValue(BM$1,$BD107,AllTriggers)</f>
        <v>1.8722136451272454E-3</v>
      </c>
      <c r="BN107" s="47">
        <f>_xll.qlPolynomialFunctionValue(BN$1,$BD107,AllTriggers)</f>
        <v>1.8730624877876833E-3</v>
      </c>
      <c r="BO107" s="47">
        <f>_xll.qlPolynomialFunctionValue(BO$1,$BD107,AllTriggers)</f>
        <v>1.875018660809626E-3</v>
      </c>
      <c r="BP107" s="47">
        <f>_xll.qlPolynomialFunctionValue(BP$1,$BD107,AllTriggers)</f>
        <v>1.8651879165363532E-3</v>
      </c>
      <c r="BQ107" s="47">
        <f>_xll.qlPolynomialFunctionValue('6MSynthDepo_used'!$P$18,BD107,AllTriggers)</f>
        <v>1.8815261316766851E-3</v>
      </c>
    </row>
    <row r="108" spans="11:69" x14ac:dyDescent="0.2">
      <c r="R108" s="34"/>
      <c r="S108" s="34"/>
      <c r="BC108" s="178">
        <f>_xll.qlCalendarAdvance(Calendar,BC107,"1d","mf",,Trigger)</f>
        <v>42282</v>
      </c>
      <c r="BD108" s="41">
        <f>_xll.qlDayCounterYearFraction(DayCounter,SettlementDate,BC108,,,Trigger)</f>
        <v>0.4</v>
      </c>
      <c r="BE108" s="47">
        <f>_xll.qlPolynomialFunctionValue(BE$1,$BD108,AllTriggers)</f>
        <v>1.8838763145996083E-3</v>
      </c>
      <c r="BF108" s="47">
        <f>_xll.qlPolynomialFunctionValue(BF$1,$BD108,AllTriggers)</f>
        <v>1.8883669748836914E-3</v>
      </c>
      <c r="BG108" s="47">
        <f>_xll.qlPolynomialFunctionValue(BG$1,$BD108,AllTriggers)</f>
        <v>1.8811570485237198E-3</v>
      </c>
      <c r="BH108" s="47">
        <f>_xll.qlPolynomialFunctionValue(BH$1,$BD108,AllTriggers)</f>
        <v>1.9106920046727158E-3</v>
      </c>
      <c r="BI108" s="47">
        <f>_xll.qlPolynomialFunctionValue(BI$1,$BD108,AllTriggers)</f>
        <v>1.8872758466800597E-3</v>
      </c>
      <c r="BJ108" s="47">
        <f>_xll.qlPolynomialFunctionValue(BJ$1,$BD108,AllTriggers)</f>
        <v>1.8931385196602145E-3</v>
      </c>
      <c r="BK108" s="47">
        <f>_xll.qlPolynomialFunctionValue(BK$1,$BD108,AllTriggers)</f>
        <v>1.882701829376801E-3</v>
      </c>
      <c r="BL108" s="47">
        <f>_xll.qlPolynomialFunctionValue(BL$1,$BD108,AllTriggers)</f>
        <v>1.9105514297434898E-3</v>
      </c>
      <c r="BM108" s="47">
        <f>_xll.qlPolynomialFunctionValue(BM$1,$BD108,AllTriggers)</f>
        <v>1.875205737894994E-3</v>
      </c>
      <c r="BN108" s="47">
        <f>_xll.qlPolynomialFunctionValue(BN$1,$BD108,AllTriggers)</f>
        <v>1.8760706069084285E-3</v>
      </c>
      <c r="BO108" s="47">
        <f>_xll.qlPolynomialFunctionValue(BO$1,$BD108,AllTriggers)</f>
        <v>1.877821545534477E-3</v>
      </c>
      <c r="BP108" s="47">
        <f>_xll.qlPolynomialFunctionValue(BP$1,$BD108,AllTriggers)</f>
        <v>1.8673487847792336E-3</v>
      </c>
      <c r="BQ108" s="47">
        <f>_xll.qlPolynomialFunctionValue('6MSynthDepo_used'!$P$18,BD108,AllTriggers)</f>
        <v>1.8846952380745458E-3</v>
      </c>
    </row>
    <row r="109" spans="11:69" x14ac:dyDescent="0.2">
      <c r="R109" s="34"/>
      <c r="S109" s="34"/>
      <c r="BC109" s="178">
        <f>_xll.qlCalendarAdvance(Calendar,BC108,"1d","mf",,Trigger)</f>
        <v>42283</v>
      </c>
      <c r="BD109" s="41">
        <f>_xll.qlDayCounterYearFraction(DayCounter,SettlementDate,BC109,,,Trigger)</f>
        <v>0.40277777777777779</v>
      </c>
      <c r="BE109" s="47">
        <f>_xll.qlPolynomialFunctionValue(BE$1,$BD109,AllTriggers)</f>
        <v>1.8851060003847091E-3</v>
      </c>
      <c r="BF109" s="47">
        <f>_xll.qlPolynomialFunctionValue(BF$1,$BD109,AllTriggers)</f>
        <v>1.8894300792266971E-3</v>
      </c>
      <c r="BG109" s="47">
        <f>_xll.qlPolynomialFunctionValue(BG$1,$BD109,AllTriggers)</f>
        <v>1.8822436150416684E-3</v>
      </c>
      <c r="BH109" s="47">
        <f>_xll.qlPolynomialFunctionValue(BH$1,$BD109,AllTriggers)</f>
        <v>1.911682460041465E-3</v>
      </c>
      <c r="BI109" s="47">
        <f>_xll.qlPolynomialFunctionValue(BI$1,$BD109,AllTriggers)</f>
        <v>1.8885675251938368E-3</v>
      </c>
      <c r="BJ109" s="47">
        <f>_xll.qlPolynomialFunctionValue(BJ$1,$BD109,AllTriggers)</f>
        <v>1.8941671492791992E-3</v>
      </c>
      <c r="BK109" s="47">
        <f>_xll.qlPolynomialFunctionValue(BK$1,$BD109,AllTriggers)</f>
        <v>1.8837703850952973E-3</v>
      </c>
      <c r="BL109" s="47">
        <f>_xll.qlPolynomialFunctionValue(BL$1,$BD109,AllTriggers)</f>
        <v>1.9115134453726089E-3</v>
      </c>
      <c r="BM109" s="47">
        <f>_xll.qlPolynomialFunctionValue(BM$1,$BD109,AllTriggers)</f>
        <v>1.8762031021509102E-3</v>
      </c>
      <c r="BN109" s="47">
        <f>_xll.qlPolynomialFunctionValue(BN$1,$BD109,AllTriggers)</f>
        <v>1.8770726164397855E-3</v>
      </c>
      <c r="BO109" s="47">
        <f>_xll.qlPolynomialFunctionValue(BO$1,$BD109,AllTriggers)</f>
        <v>1.8787558404427605E-3</v>
      </c>
      <c r="BP109" s="47">
        <f>_xll.qlPolynomialFunctionValue(BP$1,$BD109,AllTriggers)</f>
        <v>1.8680814844871999E-3</v>
      </c>
      <c r="BQ109" s="47">
        <f>_xll.qlPolynomialFunctionValue('6MSynthDepo_used'!$P$18,BD109,AllTriggers)</f>
        <v>1.8857450944630471E-3</v>
      </c>
    </row>
    <row r="110" spans="11:69" x14ac:dyDescent="0.2">
      <c r="R110" s="34"/>
      <c r="S110" s="34"/>
      <c r="BC110" s="178">
        <f>_xll.qlCalendarAdvance(Calendar,BC109,"1d","mf",,Trigger)</f>
        <v>42284</v>
      </c>
      <c r="BD110" s="41">
        <f>_xll.qlDayCounterYearFraction(DayCounter,SettlementDate,BC110,,,Trigger)</f>
        <v>0.40555555555555556</v>
      </c>
      <c r="BE110" s="47">
        <f>_xll.qlPolynomialFunctionValue(BE$1,$BD110,AllTriggers)</f>
        <v>1.8863356861698096E-3</v>
      </c>
      <c r="BF110" s="47">
        <f>_xll.qlPolynomialFunctionValue(BF$1,$BD110,AllTriggers)</f>
        <v>1.8904884911347141E-3</v>
      </c>
      <c r="BG110" s="47">
        <f>_xll.qlPolynomialFunctionValue(BG$1,$BD110,AllTriggers)</f>
        <v>1.8833301815596171E-3</v>
      </c>
      <c r="BH110" s="47">
        <f>_xll.qlPolynomialFunctionValue(BH$1,$BD110,AllTriggers)</f>
        <v>1.9126536931803745E-3</v>
      </c>
      <c r="BI110" s="47">
        <f>_xll.qlPolynomialFunctionValue(BI$1,$BD110,AllTriggers)</f>
        <v>1.889859203707614E-3</v>
      </c>
      <c r="BJ110" s="47">
        <f>_xll.qlPolynomialFunctionValue(BJ$1,$BD110,AllTriggers)</f>
        <v>1.8951888129843215E-3</v>
      </c>
      <c r="BK110" s="47">
        <f>_xll.qlPolynomialFunctionValue(BK$1,$BD110,AllTriggers)</f>
        <v>1.8848389408137934E-3</v>
      </c>
      <c r="BL110" s="47">
        <f>_xll.qlPolynomialFunctionValue(BL$1,$BD110,AllTriggers)</f>
        <v>1.912456872932906E-3</v>
      </c>
      <c r="BM110" s="47">
        <f>_xll.qlPolynomialFunctionValue(BM$1,$BD110,AllTriggers)</f>
        <v>1.8772004664068262E-3</v>
      </c>
      <c r="BN110" s="47">
        <f>_xll.qlPolynomialFunctionValue(BN$1,$BD110,AllTriggers)</f>
        <v>1.8780742775500298E-3</v>
      </c>
      <c r="BO110" s="47">
        <f>_xll.qlPolynomialFunctionValue(BO$1,$BD110,AllTriggers)</f>
        <v>1.8796901353510442E-3</v>
      </c>
      <c r="BP110" s="47">
        <f>_xll.qlPolynomialFunctionValue(BP$1,$BD110,AllTriggers)</f>
        <v>1.8688203893420026E-3</v>
      </c>
      <c r="BQ110" s="47">
        <f>_xll.qlPolynomialFunctionValue('6MSynthDepo_used'!$P$18,BD110,AllTriggers)</f>
        <v>1.8867917120408209E-3</v>
      </c>
    </row>
    <row r="111" spans="11:69" x14ac:dyDescent="0.2">
      <c r="R111" s="34"/>
      <c r="S111" s="34"/>
      <c r="BC111" s="178">
        <f>_xll.qlCalendarAdvance(Calendar,BC110,"1d","mf",,Trigger)</f>
        <v>42285</v>
      </c>
      <c r="BD111" s="41">
        <f>_xll.qlDayCounterYearFraction(DayCounter,SettlementDate,BC111,,,Trigger)</f>
        <v>0.40833333333333333</v>
      </c>
      <c r="BE111" s="47">
        <f>_xll.qlPolynomialFunctionValue(BE$1,$BD111,AllTriggers)</f>
        <v>1.8875653719549104E-3</v>
      </c>
      <c r="BF111" s="47">
        <f>_xll.qlPolynomialFunctionValue(BF$1,$BD111,AllTriggers)</f>
        <v>1.8915422106077426E-3</v>
      </c>
      <c r="BG111" s="47">
        <f>_xll.qlPolynomialFunctionValue(BG$1,$BD111,AllTriggers)</f>
        <v>1.8844167480775657E-3</v>
      </c>
      <c r="BH111" s="47">
        <f>_xll.qlPolynomialFunctionValue(BH$1,$BD111,AllTriggers)</f>
        <v>1.9136057040894439E-3</v>
      </c>
      <c r="BI111" s="47">
        <f>_xll.qlPolynomialFunctionValue(BI$1,$BD111,AllTriggers)</f>
        <v>1.8911508822213911E-3</v>
      </c>
      <c r="BJ111" s="47">
        <f>_xll.qlPolynomialFunctionValue(BJ$1,$BD111,AllTriggers)</f>
        <v>1.8962035107755815E-3</v>
      </c>
      <c r="BK111" s="47">
        <f>_xll.qlPolynomialFunctionValue(BK$1,$BD111,AllTriggers)</f>
        <v>1.8859074965322897E-3</v>
      </c>
      <c r="BL111" s="47">
        <f>_xll.qlPolynomialFunctionValue(BL$1,$BD111,AllTriggers)</f>
        <v>1.9133817124243808E-3</v>
      </c>
      <c r="BM111" s="47">
        <f>_xll.qlPolynomialFunctionValue(BM$1,$BD111,AllTriggers)</f>
        <v>1.8781978306627424E-3</v>
      </c>
      <c r="BN111" s="47">
        <f>_xll.qlPolynomialFunctionValue(BN$1,$BD111,AllTriggers)</f>
        <v>1.8790755902391616E-3</v>
      </c>
      <c r="BO111" s="47">
        <f>_xll.qlPolynomialFunctionValue(BO$1,$BD111,AllTriggers)</f>
        <v>1.880624430259328E-3</v>
      </c>
      <c r="BP111" s="47">
        <f>_xll.qlPolynomialFunctionValue(BP$1,$BD111,AllTriggers)</f>
        <v>1.8695654993436414E-3</v>
      </c>
      <c r="BQ111" s="47">
        <f>_xll.qlPolynomialFunctionValue('6MSynthDepo_used'!$P$18,BD111,AllTriggers)</f>
        <v>1.8878351012446652E-3</v>
      </c>
    </row>
    <row r="112" spans="11:69" x14ac:dyDescent="0.2">
      <c r="R112" s="34"/>
      <c r="S112" s="34"/>
      <c r="BC112" s="178">
        <f>_xll.qlCalendarAdvance(Calendar,BC111,"1d","mf",,Trigger)</f>
        <v>42286</v>
      </c>
      <c r="BD112" s="41">
        <f>_xll.qlDayCounterYearFraction(DayCounter,SettlementDate,BC112,,,Trigger)</f>
        <v>0.41111111111111109</v>
      </c>
      <c r="BE112" s="47">
        <f>_xll.qlPolynomialFunctionValue(BE$1,$BD112,AllTriggers)</f>
        <v>1.8887950577400111E-3</v>
      </c>
      <c r="BF112" s="47">
        <f>_xll.qlPolynomialFunctionValue(BF$1,$BD112,AllTriggers)</f>
        <v>1.8925912376457823E-3</v>
      </c>
      <c r="BG112" s="47">
        <f>_xll.qlPolynomialFunctionValue(BG$1,$BD112,AllTriggers)</f>
        <v>1.8855033145955143E-3</v>
      </c>
      <c r="BH112" s="47">
        <f>_xll.qlPolynomialFunctionValue(BH$1,$BD112,AllTriggers)</f>
        <v>1.9145384927686734E-3</v>
      </c>
      <c r="BI112" s="47">
        <f>_xll.qlPolynomialFunctionValue(BI$1,$BD112,AllTriggers)</f>
        <v>1.8924425607351682E-3</v>
      </c>
      <c r="BJ112" s="47">
        <f>_xll.qlPolynomialFunctionValue(BJ$1,$BD112,AllTriggers)</f>
        <v>1.8972112426529784E-3</v>
      </c>
      <c r="BK112" s="47">
        <f>_xll.qlPolynomialFunctionValue(BK$1,$BD112,AllTriggers)</f>
        <v>1.8869760522507858E-3</v>
      </c>
      <c r="BL112" s="47">
        <f>_xll.qlPolynomialFunctionValue(BL$1,$BD112,AllTriggers)</f>
        <v>1.9142879638470343E-3</v>
      </c>
      <c r="BM112" s="47">
        <f>_xll.qlPolynomialFunctionValue(BM$1,$BD112,AllTriggers)</f>
        <v>1.8791951949186586E-3</v>
      </c>
      <c r="BN112" s="47">
        <f>_xll.qlPolynomialFunctionValue(BN$1,$BD112,AllTriggers)</f>
        <v>1.8800765545071809E-3</v>
      </c>
      <c r="BO112" s="47">
        <f>_xll.qlPolynomialFunctionValue(BO$1,$BD112,AllTriggers)</f>
        <v>1.8815587251676115E-3</v>
      </c>
      <c r="BP112" s="47">
        <f>_xll.qlPolynomialFunctionValue(BP$1,$BD112,AllTriggers)</f>
        <v>1.8703168144921169E-3</v>
      </c>
      <c r="BQ112" s="47">
        <f>_xll.qlPolynomialFunctionValue('6MSynthDepo_used'!$P$18,BD112,AllTriggers)</f>
        <v>1.8888752725113795E-3</v>
      </c>
    </row>
    <row r="113" spans="18:69" x14ac:dyDescent="0.2">
      <c r="R113" s="34"/>
      <c r="S113" s="34"/>
      <c r="BC113" s="178">
        <f>_xll.qlCalendarAdvance(Calendar,BC112,"1d","mf",,Trigger)</f>
        <v>42289</v>
      </c>
      <c r="BD113" s="41">
        <f>_xll.qlDayCounterYearFraction(DayCounter,SettlementDate,BC113,,,Trigger)</f>
        <v>0.41944444444444445</v>
      </c>
      <c r="BE113" s="47">
        <f>_xll.qlPolynomialFunctionValue(BE$1,$BD113,AllTriggers)</f>
        <v>1.8924841150953133E-3</v>
      </c>
      <c r="BF113" s="47">
        <f>_xll.qlPolynomialFunctionValue(BF$1,$BD113,AllTriggers)</f>
        <v>1.8957101641499704E-3</v>
      </c>
      <c r="BG113" s="47">
        <f>_xll.qlPolynomialFunctionValue(BG$1,$BD113,AllTriggers)</f>
        <v>1.8887630141493602E-3</v>
      </c>
      <c r="BH113" s="47">
        <f>_xll.qlPolynomialFunctionValue(BH$1,$BD113,AllTriggers)</f>
        <v>1.9172215254273227E-3</v>
      </c>
      <c r="BI113" s="47">
        <f>_xll.qlPolynomialFunctionValue(BI$1,$BD113,AllTriggers)</f>
        <v>1.8963175962764995E-3</v>
      </c>
      <c r="BJ113" s="47">
        <f>_xll.qlPolynomialFunctionValue(BJ$1,$BD113,AllTriggers)</f>
        <v>1.900192642801995E-3</v>
      </c>
      <c r="BK113" s="47">
        <f>_xll.qlPolynomialFunctionValue(BK$1,$BD113,AllTriggers)</f>
        <v>1.8901817194062745E-3</v>
      </c>
      <c r="BL113" s="47">
        <f>_xll.qlPolynomialFunctionValue(BL$1,$BD113,AllTriggers)</f>
        <v>1.9168951897020629E-3</v>
      </c>
      <c r="BM113" s="47">
        <f>_xll.qlPolynomialFunctionValue(BM$1,$BD113,AllTriggers)</f>
        <v>1.8821872876864073E-3</v>
      </c>
      <c r="BN113" s="47">
        <f>_xll.qlPolynomialFunctionValue(BN$1,$BD113,AllTriggers)</f>
        <v>1.8830773567845638E-3</v>
      </c>
      <c r="BO113" s="47">
        <f>_xll.qlPolynomialFunctionValue(BO$1,$BD113,AllTriggers)</f>
        <v>1.8843616098924625E-3</v>
      </c>
      <c r="BP113" s="47">
        <f>_xll.qlPolynomialFunctionValue(BP$1,$BD113,AllTriggers)</f>
        <v>1.8726079908185614E-3</v>
      </c>
      <c r="BQ113" s="47">
        <f>_xll.qlPolynomialFunctionValue('6MSynthDepo_used'!$P$18,BD113,AllTriggers)</f>
        <v>1.8919765830567269E-3</v>
      </c>
    </row>
    <row r="114" spans="18:69" x14ac:dyDescent="0.2">
      <c r="R114" s="34"/>
      <c r="S114" s="34"/>
      <c r="BC114" s="178">
        <f>_xll.qlCalendarAdvance(Calendar,BC113,"1d","mf",,Trigger)</f>
        <v>42290</v>
      </c>
      <c r="BD114" s="41">
        <f>_xll.qlDayCounterYearFraction(DayCounter,SettlementDate,BC114,,,Trigger)</f>
        <v>0.42222222222222222</v>
      </c>
      <c r="BE114" s="47">
        <f>_xll.qlPolynomialFunctionValue(BE$1,$BD114,AllTriggers)</f>
        <v>1.8937138008804138E-3</v>
      </c>
      <c r="BF114" s="47">
        <f>_xll.qlPolynomialFunctionValue(BF$1,$BD114,AllTriggers)</f>
        <v>1.896740421448056E-3</v>
      </c>
      <c r="BG114" s="47">
        <f>_xll.qlPolynomialFunctionValue(BG$1,$BD114,AllTriggers)</f>
        <v>1.8898495806673088E-3</v>
      </c>
      <c r="BH114" s="47">
        <f>_xll.qlPolynomialFunctionValue(BH$1,$BD114,AllTriggers)</f>
        <v>1.9180774251871925E-3</v>
      </c>
      <c r="BI114" s="47">
        <f>_xll.qlPolynomialFunctionValue(BI$1,$BD114,AllTriggers)</f>
        <v>1.8976092747902767E-3</v>
      </c>
      <c r="BJ114" s="47">
        <f>_xll.qlPolynomialFunctionValue(BJ$1,$BD114,AllTriggers)</f>
        <v>1.9011725110239419E-3</v>
      </c>
      <c r="BK114" s="47">
        <f>_xll.qlPolynomialFunctionValue(BK$1,$BD114,AllTriggers)</f>
        <v>1.8912502751247705E-3</v>
      </c>
      <c r="BL114" s="47">
        <f>_xll.qlPolynomialFunctionValue(BL$1,$BD114,AllTriggers)</f>
        <v>1.9177270888494284E-3</v>
      </c>
      <c r="BM114" s="47">
        <f>_xll.qlPolynomialFunctionValue(BM$1,$BD114,AllTriggers)</f>
        <v>1.8831846519423235E-3</v>
      </c>
      <c r="BN114" s="47">
        <f>_xll.qlPolynomialFunctionValue(BN$1,$BD114,AllTriggers)</f>
        <v>1.8840769273681332E-3</v>
      </c>
      <c r="BO114" s="47">
        <f>_xll.qlPolynomialFunctionValue(BO$1,$BD114,AllTriggers)</f>
        <v>1.8852959048007462E-3</v>
      </c>
      <c r="BP114" s="47">
        <f>_xll.qlPolynomialFunctionValue(BP$1,$BD114,AllTriggers)</f>
        <v>1.8733841265543823E-3</v>
      </c>
      <c r="BQ114" s="47">
        <f>_xll.qlPolynomialFunctionValue('6MSynthDepo_used'!$P$18,BD114,AllTriggers)</f>
        <v>1.8930039869429068E-3</v>
      </c>
    </row>
    <row r="115" spans="18:69" x14ac:dyDescent="0.2">
      <c r="R115" s="34"/>
      <c r="S115" s="34"/>
      <c r="BC115" s="178">
        <f>_xll.qlCalendarAdvance(Calendar,BC114,"1d","mf",,Trigger)</f>
        <v>42291</v>
      </c>
      <c r="BD115" s="41">
        <f>_xll.qlDayCounterYearFraction(DayCounter,SettlementDate,BC115,,,Trigger)</f>
        <v>0.42499999999999999</v>
      </c>
      <c r="BE115" s="47">
        <f>_xll.qlPolynomialFunctionValue(BE$1,$BD115,AllTriggers)</f>
        <v>1.8949434866655146E-3</v>
      </c>
      <c r="BF115" s="47">
        <f>_xll.qlPolynomialFunctionValue(BF$1,$BD115,AllTriggers)</f>
        <v>1.897765986311153E-3</v>
      </c>
      <c r="BG115" s="47">
        <f>_xll.qlPolynomialFunctionValue(BG$1,$BD115,AllTriggers)</f>
        <v>1.8909361471852574E-3</v>
      </c>
      <c r="BH115" s="47">
        <f>_xll.qlPolynomialFunctionValue(BH$1,$BD115,AllTriggers)</f>
        <v>1.9189141027172222E-3</v>
      </c>
      <c r="BI115" s="47">
        <f>_xll.qlPolynomialFunctionValue(BI$1,$BD115,AllTriggers)</f>
        <v>1.8989009533040538E-3</v>
      </c>
      <c r="BJ115" s="47">
        <f>_xll.qlPolynomialFunctionValue(BJ$1,$BD115,AllTriggers)</f>
        <v>1.9021454133320269E-3</v>
      </c>
      <c r="BK115" s="47">
        <f>_xll.qlPolynomialFunctionValue(BK$1,$BD115,AllTriggers)</f>
        <v>1.8923188308432666E-3</v>
      </c>
      <c r="BL115" s="47">
        <f>_xll.qlPolynomialFunctionValue(BL$1,$BD115,AllTriggers)</f>
        <v>1.9185403999279725E-3</v>
      </c>
      <c r="BM115" s="47">
        <f>_xll.qlPolynomialFunctionValue(BM$1,$BD115,AllTriggers)</f>
        <v>1.8841820161982397E-3</v>
      </c>
      <c r="BN115" s="47">
        <f>_xll.qlPolynomialFunctionValue(BN$1,$BD115,AllTriggers)</f>
        <v>1.88507614953059E-3</v>
      </c>
      <c r="BO115" s="47">
        <f>_xll.qlPolynomialFunctionValue(BO$1,$BD115,AllTriggers)</f>
        <v>1.8862301997090299E-3</v>
      </c>
      <c r="BP115" s="47">
        <f>_xll.qlPolynomialFunctionValue(BP$1,$BD115,AllTriggers)</f>
        <v>1.8741664674370394E-3</v>
      </c>
      <c r="BQ115" s="47">
        <f>_xll.qlPolynomialFunctionValue('6MSynthDepo_used'!$P$18,BD115,AllTriggers)</f>
        <v>1.8940282250759508E-3</v>
      </c>
    </row>
    <row r="116" spans="18:69" x14ac:dyDescent="0.2">
      <c r="R116" s="34"/>
      <c r="S116" s="34"/>
      <c r="BC116" s="178">
        <f>_xll.qlCalendarAdvance(Calendar,BC115,"1d","mf",,Trigger)</f>
        <v>42292</v>
      </c>
      <c r="BD116" s="41">
        <f>_xll.qlDayCounterYearFraction(DayCounter,SettlementDate,BC116,,,Trigger)</f>
        <v>0.42777777777777776</v>
      </c>
      <c r="BE116" s="47">
        <f>_xll.qlPolynomialFunctionValue(BE$1,$BD116,AllTriggers)</f>
        <v>1.8961731724506153E-3</v>
      </c>
      <c r="BF116" s="47">
        <f>_xll.qlPolynomialFunctionValue(BF$1,$BD116,AllTriggers)</f>
        <v>1.8987868587392613E-3</v>
      </c>
      <c r="BG116" s="47">
        <f>_xll.qlPolynomialFunctionValue(BG$1,$BD116,AllTriggers)</f>
        <v>1.8920227137032061E-3</v>
      </c>
      <c r="BH116" s="47">
        <f>_xll.qlPolynomialFunctionValue(BH$1,$BD116,AllTriggers)</f>
        <v>1.9197315580174129E-3</v>
      </c>
      <c r="BI116" s="47">
        <f>_xll.qlPolynomialFunctionValue(BI$1,$BD116,AllTriggers)</f>
        <v>1.9001926318178309E-3</v>
      </c>
      <c r="BJ116" s="47">
        <f>_xll.qlPolynomialFunctionValue(BJ$1,$BD116,AllTriggers)</f>
        <v>1.9031113497262487E-3</v>
      </c>
      <c r="BK116" s="47">
        <f>_xll.qlPolynomialFunctionValue(BK$1,$BD116,AllTriggers)</f>
        <v>1.8933873865617629E-3</v>
      </c>
      <c r="BL116" s="47">
        <f>_xll.qlPolynomialFunctionValue(BL$1,$BD116,AllTriggers)</f>
        <v>1.9193351229376944E-3</v>
      </c>
      <c r="BM116" s="47">
        <f>_xll.qlPolynomialFunctionValue(BM$1,$BD116,AllTriggers)</f>
        <v>1.8851793804541557E-3</v>
      </c>
      <c r="BN116" s="47">
        <f>_xll.qlPolynomialFunctionValue(BN$1,$BD116,AllTriggers)</f>
        <v>1.8860750232719342E-3</v>
      </c>
      <c r="BO116" s="47">
        <f>_xll.qlPolynomialFunctionValue(BO$1,$BD116,AllTriggers)</f>
        <v>1.8871644946173135E-3</v>
      </c>
      <c r="BP116" s="47">
        <f>_xll.qlPolynomialFunctionValue(BP$1,$BD116,AllTriggers)</f>
        <v>1.8749550134665332E-3</v>
      </c>
      <c r="BQ116" s="47">
        <f>_xll.qlPolynomialFunctionValue('6MSynthDepo_used'!$P$18,BD116,AllTriggers)</f>
        <v>1.8950493078926571E-3</v>
      </c>
    </row>
    <row r="117" spans="18:69" x14ac:dyDescent="0.2">
      <c r="R117" s="34"/>
      <c r="S117" s="34"/>
      <c r="BC117" s="178">
        <f>_xll.qlCalendarAdvance(Calendar,BC116,"1d","mf",,Trigger)</f>
        <v>42293</v>
      </c>
      <c r="BD117" s="41">
        <f>_xll.qlDayCounterYearFraction(DayCounter,SettlementDate,BC117,,,Trigger)</f>
        <v>0.43055555555555558</v>
      </c>
      <c r="BE117" s="47">
        <f>_xll.qlPolynomialFunctionValue(BE$1,$BD117,AllTriggers)</f>
        <v>1.8974028582357161E-3</v>
      </c>
      <c r="BF117" s="47">
        <f>_xll.qlPolynomialFunctionValue(BF$1,$BD117,AllTriggers)</f>
        <v>1.8998030387323811E-3</v>
      </c>
      <c r="BG117" s="47">
        <f>_xll.qlPolynomialFunctionValue(BG$1,$BD117,AllTriggers)</f>
        <v>1.8931092802211549E-3</v>
      </c>
      <c r="BH117" s="47">
        <f>_xll.qlPolynomialFunctionValue(BH$1,$BD117,AllTriggers)</f>
        <v>1.9205297910877626E-3</v>
      </c>
      <c r="BI117" s="47">
        <f>_xll.qlPolynomialFunctionValue(BI$1,$BD117,AllTriggers)</f>
        <v>1.901484310331608E-3</v>
      </c>
      <c r="BJ117" s="47">
        <f>_xll.qlPolynomialFunctionValue(BJ$1,$BD117,AllTriggers)</f>
        <v>1.9040703202066081E-3</v>
      </c>
      <c r="BK117" s="47">
        <f>_xll.qlPolynomialFunctionValue(BK$1,$BD117,AllTriggers)</f>
        <v>1.894455942280259E-3</v>
      </c>
      <c r="BL117" s="47">
        <f>_xll.qlPolynomialFunctionValue(BL$1,$BD117,AllTriggers)</f>
        <v>1.9201112578785947E-3</v>
      </c>
      <c r="BM117" s="47">
        <f>_xll.qlPolynomialFunctionValue(BM$1,$BD117,AllTriggers)</f>
        <v>1.8861767447100719E-3</v>
      </c>
      <c r="BN117" s="47">
        <f>_xll.qlPolynomialFunctionValue(BN$1,$BD117,AllTriggers)</f>
        <v>1.8870735485921658E-3</v>
      </c>
      <c r="BO117" s="47">
        <f>_xll.qlPolynomialFunctionValue(BO$1,$BD117,AllTriggers)</f>
        <v>1.8880987895255972E-3</v>
      </c>
      <c r="BP117" s="47">
        <f>_xll.qlPolynomialFunctionValue(BP$1,$BD117,AllTriggers)</f>
        <v>1.8757497646428633E-3</v>
      </c>
      <c r="BQ117" s="47">
        <f>_xll.qlPolynomialFunctionValue('6MSynthDepo_used'!$P$18,BD117,AllTriggers)</f>
        <v>1.8960672458298241E-3</v>
      </c>
    </row>
    <row r="118" spans="18:69" x14ac:dyDescent="0.2">
      <c r="R118" s="34"/>
      <c r="S118" s="34"/>
      <c r="BC118" s="178">
        <f>_xll.qlCalendarAdvance(Calendar,BC117,"1d","mf",,Trigger)</f>
        <v>42296</v>
      </c>
      <c r="BD118" s="41">
        <f>_xll.qlDayCounterYearFraction(DayCounter,SettlementDate,BC118,,,Trigger)</f>
        <v>0.43888888888888888</v>
      </c>
      <c r="BE118" s="47">
        <f>_xll.qlPolynomialFunctionValue(BE$1,$BD118,AllTriggers)</f>
        <v>1.9010919155910181E-3</v>
      </c>
      <c r="BF118" s="47">
        <f>_xll.qlPolynomialFunctionValue(BF$1,$BD118,AllTriggers)</f>
        <v>1.9028234241018085E-3</v>
      </c>
      <c r="BG118" s="47">
        <f>_xll.qlPolynomialFunctionValue(BG$1,$BD118,AllTriggers)</f>
        <v>1.8963689797750006E-3</v>
      </c>
      <c r="BH118" s="47">
        <f>_xll.qlPolynomialFunctionValue(BH$1,$BD118,AllTriggers)</f>
        <v>1.9228091569197742E-3</v>
      </c>
      <c r="BI118" s="47">
        <f>_xll.qlPolynomialFunctionValue(BI$1,$BD118,AllTriggers)</f>
        <v>1.9053593458729394E-3</v>
      </c>
      <c r="BJ118" s="47">
        <f>_xll.qlPolynomialFunctionValue(BJ$1,$BD118,AllTriggers)</f>
        <v>1.9069054361645116E-3</v>
      </c>
      <c r="BK118" s="47">
        <f>_xll.qlPolynomialFunctionValue(BK$1,$BD118,AllTriggers)</f>
        <v>1.8976616094357477E-3</v>
      </c>
      <c r="BL118" s="47">
        <f>_xll.qlPolynomialFunctionValue(BL$1,$BD118,AllTriggers)</f>
        <v>1.9223281342883641E-3</v>
      </c>
      <c r="BM118" s="47">
        <f>_xll.qlPolynomialFunctionValue(BM$1,$BD118,AllTriggers)</f>
        <v>1.8891688374778205E-3</v>
      </c>
      <c r="BN118" s="47">
        <f>_xll.qlPolynomialFunctionValue(BN$1,$BD118,AllTriggers)</f>
        <v>1.8900670340261862E-3</v>
      </c>
      <c r="BO118" s="47">
        <f>_xll.qlPolynomialFunctionValue(BO$1,$BD118,AllTriggers)</f>
        <v>1.8909016742504482E-3</v>
      </c>
      <c r="BP118" s="47">
        <f>_xll.qlPolynomialFunctionValue(BP$1,$BD118,AllTriggers)</f>
        <v>1.8781712490528715E-3</v>
      </c>
      <c r="BQ118" s="47">
        <f>_xll.qlPolynomialFunctionValue('6MSynthDepo_used'!$P$18,BD118,AllTriggers)</f>
        <v>1.8991022947320803E-3</v>
      </c>
    </row>
    <row r="119" spans="18:69" x14ac:dyDescent="0.2">
      <c r="R119" s="34"/>
      <c r="S119" s="34"/>
      <c r="BC119" s="178">
        <f>_xll.qlCalendarAdvance(Calendar,BC118,"1d","mf",,Trigger)</f>
        <v>42297</v>
      </c>
      <c r="BD119" s="41">
        <f>_xll.qlDayCounterYearFraction(DayCounter,SettlementDate,BC119,,,Trigger)</f>
        <v>0.44166666666666665</v>
      </c>
      <c r="BE119" s="47">
        <f>_xll.qlPolynomialFunctionValue(BE$1,$BD119,AllTriggers)</f>
        <v>1.9023216013761188E-3</v>
      </c>
      <c r="BF119" s="47">
        <f>_xll.qlPolynomialFunctionValue(BF$1,$BD119,AllTriggers)</f>
        <v>1.9038208343549741E-3</v>
      </c>
      <c r="BG119" s="47">
        <f>_xll.qlPolynomialFunctionValue(BG$1,$BD119,AllTriggers)</f>
        <v>1.8974555462929494E-3</v>
      </c>
      <c r="BH119" s="47">
        <f>_xll.qlPolynomialFunctionValue(BH$1,$BD119,AllTriggers)</f>
        <v>1.9235305010707649E-3</v>
      </c>
      <c r="BI119" s="47">
        <f>_xll.qlPolynomialFunctionValue(BI$1,$BD119,AllTriggers)</f>
        <v>1.9066510243867163E-3</v>
      </c>
      <c r="BJ119" s="47">
        <f>_xll.qlPolynomialFunctionValue(BJ$1,$BD119,AllTriggers)</f>
        <v>1.9078365429894212E-3</v>
      </c>
      <c r="BK119" s="47">
        <f>_xll.qlPolynomialFunctionValue(BK$1,$BD119,AllTriggers)</f>
        <v>1.8987301651542437E-3</v>
      </c>
      <c r="BL119" s="47">
        <f>_xll.qlPolynomialFunctionValue(BL$1,$BD119,AllTriggers)</f>
        <v>1.9230299169539767E-3</v>
      </c>
      <c r="BM119" s="47">
        <f>_xll.qlPolynomialFunctionValue(BM$1,$BD119,AllTriggers)</f>
        <v>1.8901662017337367E-3</v>
      </c>
      <c r="BN119" s="47">
        <f>_xll.qlPolynomialFunctionValue(BN$1,$BD119,AllTriggers)</f>
        <v>1.8910641656619679E-3</v>
      </c>
      <c r="BO119" s="47">
        <f>_xll.qlPolynomialFunctionValue(BO$1,$BD119,AllTriggers)</f>
        <v>1.8918359691587319E-3</v>
      </c>
      <c r="BP119" s="47">
        <f>_xll.qlPolynomialFunctionValue(BP$1,$BD119,AllTriggers)</f>
        <v>1.8789908208165472E-3</v>
      </c>
      <c r="BQ119" s="47">
        <f>_xll.qlPolynomialFunctionValue('6MSynthDepo_used'!$P$18,BD119,AllTriggers)</f>
        <v>1.9001077575190799E-3</v>
      </c>
    </row>
    <row r="120" spans="18:69" x14ac:dyDescent="0.2">
      <c r="R120" s="34"/>
      <c r="S120" s="34"/>
      <c r="BC120" s="178">
        <f>_xll.qlCalendarAdvance(Calendar,BC119,"1d","mf",,Trigger)</f>
        <v>42298</v>
      </c>
      <c r="BD120" s="41">
        <f>_xll.qlDayCounterYearFraction(DayCounter,SettlementDate,BC120,,,Trigger)</f>
        <v>0.44444444444444442</v>
      </c>
      <c r="BE120" s="47">
        <f>_xll.qlPolynomialFunctionValue(BE$1,$BD120,AllTriggers)</f>
        <v>1.9035512871612194E-3</v>
      </c>
      <c r="BF120" s="47">
        <f>_xll.qlPolynomialFunctionValue(BF$1,$BD120,AllTriggers)</f>
        <v>1.9048135521731507E-3</v>
      </c>
      <c r="BG120" s="47">
        <f>_xll.qlPolynomialFunctionValue(BG$1,$BD120,AllTriggers)</f>
        <v>1.8985421128108978E-3</v>
      </c>
      <c r="BH120" s="47">
        <f>_xll.qlPolynomialFunctionValue(BH$1,$BD120,AllTriggers)</f>
        <v>1.9242326229919158E-3</v>
      </c>
      <c r="BI120" s="47">
        <f>_xll.qlPolynomialFunctionValue(BI$1,$BD120,AllTriggers)</f>
        <v>1.9079427029004934E-3</v>
      </c>
      <c r="BJ120" s="47">
        <f>_xll.qlPolynomialFunctionValue(BJ$1,$BD120,AllTriggers)</f>
        <v>1.908760683900468E-3</v>
      </c>
      <c r="BK120" s="47">
        <f>_xll.qlPolynomialFunctionValue(BK$1,$BD120,AllTriggers)</f>
        <v>1.89979872087274E-3</v>
      </c>
      <c r="BL120" s="47">
        <f>_xll.qlPolynomialFunctionValue(BL$1,$BD120,AllTriggers)</f>
        <v>1.9237131115507676E-3</v>
      </c>
      <c r="BM120" s="47">
        <f>_xll.qlPolynomialFunctionValue(BM$1,$BD120,AllTriggers)</f>
        <v>1.8911635659896527E-3</v>
      </c>
      <c r="BN120" s="47">
        <f>_xll.qlPolynomialFunctionValue(BN$1,$BD120,AllTriggers)</f>
        <v>1.8920609488766373E-3</v>
      </c>
      <c r="BO120" s="47">
        <f>_xll.qlPolynomialFunctionValue(BO$1,$BD120,AllTriggers)</f>
        <v>1.8927702640670154E-3</v>
      </c>
      <c r="BP120" s="47">
        <f>_xll.qlPolynomialFunctionValue(BP$1,$BD120,AllTriggers)</f>
        <v>1.8798165977270589E-3</v>
      </c>
      <c r="BQ120" s="47">
        <f>_xll.qlPolynomialFunctionValue('6MSynthDepo_used'!$P$18,BD120,AllTriggers)</f>
        <v>1.9011101276105342E-3</v>
      </c>
    </row>
    <row r="121" spans="18:69" x14ac:dyDescent="0.2">
      <c r="R121" s="34"/>
      <c r="S121" s="34"/>
      <c r="BC121" s="178">
        <f>_xll.qlCalendarAdvance(Calendar,BC120,"1d","mf",,Trigger)</f>
        <v>42299</v>
      </c>
      <c r="BD121" s="41">
        <f>_xll.qlDayCounterYearFraction(DayCounter,SettlementDate,BC121,,,Trigger)</f>
        <v>0.44722222222222224</v>
      </c>
      <c r="BE121" s="47">
        <f>_xll.qlPolynomialFunctionValue(BE$1,$BD121,AllTriggers)</f>
        <v>1.9047809729463201E-3</v>
      </c>
      <c r="BF121" s="47">
        <f>_xll.qlPolynomialFunctionValue(BF$1,$BD121,AllTriggers)</f>
        <v>1.9058015775563388E-3</v>
      </c>
      <c r="BG121" s="47">
        <f>_xll.qlPolynomialFunctionValue(BG$1,$BD121,AllTriggers)</f>
        <v>1.8996286793288466E-3</v>
      </c>
      <c r="BH121" s="47">
        <f>_xll.qlPolynomialFunctionValue(BH$1,$BD121,AllTriggers)</f>
        <v>1.9249155226832267E-3</v>
      </c>
      <c r="BI121" s="47">
        <f>_xll.qlPolynomialFunctionValue(BI$1,$BD121,AllTriggers)</f>
        <v>1.9092343814142705E-3</v>
      </c>
      <c r="BJ121" s="47">
        <f>_xll.qlPolynomialFunctionValue(BJ$1,$BD121,AllTriggers)</f>
        <v>1.909677858897652E-3</v>
      </c>
      <c r="BK121" s="47">
        <f>_xll.qlPolynomialFunctionValue(BK$1,$BD121,AllTriggers)</f>
        <v>1.9008672765912361E-3</v>
      </c>
      <c r="BL121" s="47">
        <f>_xll.qlPolynomialFunctionValue(BL$1,$BD121,AllTriggers)</f>
        <v>1.9243777180787368E-3</v>
      </c>
      <c r="BM121" s="47">
        <f>_xll.qlPolynomialFunctionValue(BM$1,$BD121,AllTriggers)</f>
        <v>1.8921609302455689E-3</v>
      </c>
      <c r="BN121" s="47">
        <f>_xll.qlPolynomialFunctionValue(BN$1,$BD121,AllTriggers)</f>
        <v>1.8930573836701938E-3</v>
      </c>
      <c r="BO121" s="47">
        <f>_xll.qlPolynomialFunctionValue(BO$1,$BD121,AllTriggers)</f>
        <v>1.8937045589752992E-3</v>
      </c>
      <c r="BP121" s="47">
        <f>_xll.qlPolynomialFunctionValue(BP$1,$BD121,AllTriggers)</f>
        <v>1.8806485797844073E-3</v>
      </c>
      <c r="BQ121" s="47">
        <f>_xll.qlPolynomialFunctionValue('6MSynthDepo_used'!$P$18,BD121,AllTriggers)</f>
        <v>1.9021094154432424E-3</v>
      </c>
    </row>
    <row r="122" spans="18:69" x14ac:dyDescent="0.2">
      <c r="R122" s="34"/>
      <c r="S122" s="34"/>
      <c r="BC122" s="178">
        <f>_xll.qlCalendarAdvance(Calendar,BC121,"1d","mf",,Trigger)</f>
        <v>42300</v>
      </c>
      <c r="BD122" s="41">
        <f>_xll.qlDayCounterYearFraction(DayCounter,SettlementDate,BC122,,,Trigger)</f>
        <v>0.45</v>
      </c>
      <c r="BE122" s="47">
        <f>_xll.qlPolynomialFunctionValue(BE$1,$BD122,AllTriggers)</f>
        <v>1.9060106587314208E-3</v>
      </c>
      <c r="BF122" s="47">
        <f>_xll.qlPolynomialFunctionValue(BF$1,$BD122,AllTriggers)</f>
        <v>1.9067849105045384E-3</v>
      </c>
      <c r="BG122" s="47">
        <f>_xll.qlPolynomialFunctionValue(BG$1,$BD122,AllTriggers)</f>
        <v>1.9007152458467953E-3</v>
      </c>
      <c r="BH122" s="47">
        <f>_xll.qlPolynomialFunctionValue(BH$1,$BD122,AllTriggers)</f>
        <v>1.9255792001446977E-3</v>
      </c>
      <c r="BI122" s="47">
        <f>_xll.qlPolynomialFunctionValue(BI$1,$BD122,AllTriggers)</f>
        <v>1.9105260599280476E-3</v>
      </c>
      <c r="BJ122" s="47">
        <f>_xll.qlPolynomialFunctionValue(BJ$1,$BD122,AllTriggers)</f>
        <v>1.9105880679809739E-3</v>
      </c>
      <c r="BK122" s="47">
        <f>_xll.qlPolynomialFunctionValue(BK$1,$BD122,AllTriggers)</f>
        <v>1.9019358323097324E-3</v>
      </c>
      <c r="BL122" s="47">
        <f>_xll.qlPolynomialFunctionValue(BL$1,$BD122,AllTriggers)</f>
        <v>1.9250237365378837E-3</v>
      </c>
      <c r="BM122" s="47">
        <f>_xll.qlPolynomialFunctionValue(BM$1,$BD122,AllTriggers)</f>
        <v>1.8931582945014851E-3</v>
      </c>
      <c r="BN122" s="47">
        <f>_xll.qlPolynomialFunctionValue(BN$1,$BD122,AllTriggers)</f>
        <v>1.8940534700426382E-3</v>
      </c>
      <c r="BO122" s="47">
        <f>_xll.qlPolynomialFunctionValue(BO$1,$BD122,AllTriggers)</f>
        <v>1.8946388538835829E-3</v>
      </c>
      <c r="BP122" s="47">
        <f>_xll.qlPolynomialFunctionValue(BP$1,$BD122,AllTriggers)</f>
        <v>1.8814867669885919E-3</v>
      </c>
      <c r="BQ122" s="47">
        <f>_xll.qlPolynomialFunctionValue('6MSynthDepo_used'!$P$18,BD122,AllTriggers)</f>
        <v>1.9031056314540034E-3</v>
      </c>
    </row>
    <row r="123" spans="18:69" x14ac:dyDescent="0.2">
      <c r="R123" s="34"/>
      <c r="S123" s="34"/>
      <c r="BC123" s="178">
        <f>_xll.qlCalendarAdvance(Calendar,BC122,"1d","mf",,Trigger)</f>
        <v>42303</v>
      </c>
      <c r="BD123" s="41">
        <f>_xll.qlDayCounterYearFraction(DayCounter,SettlementDate,BC123,,,Trigger)</f>
        <v>0.45833333333333331</v>
      </c>
      <c r="BE123" s="47">
        <f>_xll.qlPolynomialFunctionValue(BE$1,$BD123,AllTriggers)</f>
        <v>1.9096997160867228E-3</v>
      </c>
      <c r="BF123" s="47">
        <f>_xll.qlPolynomialFunctionValue(BF$1,$BD123,AllTriggers)</f>
        <v>1.9097067547392058E-3</v>
      </c>
      <c r="BG123" s="47">
        <f>_xll.qlPolynomialFunctionValue(BG$1,$BD123,AllTriggers)</f>
        <v>1.9039749454006411E-3</v>
      </c>
      <c r="BH123" s="47">
        <f>_xll.qlPolynomialFunctionValue(BH$1,$BD123,AllTriggers)</f>
        <v>1.9274548991500716E-3</v>
      </c>
      <c r="BI123" s="47">
        <f>_xll.qlPolynomialFunctionValue(BI$1,$BD123,AllTriggers)</f>
        <v>1.914401095469379E-3</v>
      </c>
      <c r="BJ123" s="47">
        <f>_xll.qlPolynomialFunctionValue(BJ$1,$BD123,AllTriggers)</f>
        <v>1.9132768997477641E-3</v>
      </c>
      <c r="BK123" s="47">
        <f>_xll.qlPolynomialFunctionValue(BK$1,$BD123,AllTriggers)</f>
        <v>1.9051414994652209E-3</v>
      </c>
      <c r="BL123" s="47">
        <f>_xll.qlPolynomialFunctionValue(BL$1,$BD123,AllTriggers)</f>
        <v>1.9268502635023941E-3</v>
      </c>
      <c r="BM123" s="47">
        <f>_xll.qlPolynomialFunctionValue(BM$1,$BD123,AllTriggers)</f>
        <v>1.8961503872692337E-3</v>
      </c>
      <c r="BN123" s="47">
        <f>_xll.qlPolynomialFunctionValue(BN$1,$BD123,AllTriggers)</f>
        <v>1.8970396386332957E-3</v>
      </c>
      <c r="BO123" s="47">
        <f>_xll.qlPolynomialFunctionValue(BO$1,$BD123,AllTriggers)</f>
        <v>1.8974417386084339E-3</v>
      </c>
      <c r="BP123" s="47">
        <f>_xll.qlPolynomialFunctionValue(BP$1,$BD123,AllTriggers)</f>
        <v>1.8840385594821641E-3</v>
      </c>
      <c r="BQ123" s="47">
        <f>_xll.qlPolynomialFunctionValue('6MSynthDepo_used'!$P$18,BD123,AllTriggers)</f>
        <v>1.9060759529225899E-3</v>
      </c>
    </row>
    <row r="124" spans="18:69" x14ac:dyDescent="0.2">
      <c r="R124" s="34"/>
      <c r="S124" s="34"/>
      <c r="BC124" s="178">
        <f>_xll.qlCalendarAdvance(Calendar,BC123,"1d","mf",,Trigger)</f>
        <v>42304</v>
      </c>
      <c r="BD124" s="41">
        <f>_xll.qlDayCounterYearFraction(DayCounter,SettlementDate,BC124,,,Trigger)</f>
        <v>0.46111111111111114</v>
      </c>
      <c r="BE124" s="47">
        <f>_xll.qlPolynomialFunctionValue(BE$1,$BD124,AllTriggers)</f>
        <v>1.9109294018718236E-3</v>
      </c>
      <c r="BF124" s="47">
        <f>_xll.qlPolynomialFunctionValue(BF$1,$BD124,AllTriggers)</f>
        <v>1.9106713179474508E-3</v>
      </c>
      <c r="BG124" s="47">
        <f>_xll.qlPolynomialFunctionValue(BG$1,$BD124,AllTriggers)</f>
        <v>1.9050615119185898E-3</v>
      </c>
      <c r="BH124" s="47">
        <f>_xll.qlPolynomialFunctionValue(BH$1,$BD124,AllTriggers)</f>
        <v>1.9280416876921828E-3</v>
      </c>
      <c r="BI124" s="47">
        <f>_xll.qlPolynomialFunctionValue(BI$1,$BD124,AllTriggers)</f>
        <v>1.9156927739831561E-3</v>
      </c>
      <c r="BJ124" s="47">
        <f>_xll.qlPolynomialFunctionValue(BJ$1,$BD124,AllTriggers)</f>
        <v>1.914159245175636E-3</v>
      </c>
      <c r="BK124" s="47">
        <f>_xll.qlPolynomialFunctionValue(BK$1,$BD124,AllTriggers)</f>
        <v>1.9062100551837172E-3</v>
      </c>
      <c r="BL124" s="47">
        <f>_xll.qlPolynomialFunctionValue(BL$1,$BD124,AllTriggers)</f>
        <v>1.9274219296862539E-3</v>
      </c>
      <c r="BM124" s="47">
        <f>_xll.qlPolynomialFunctionValue(BM$1,$BD124,AllTriggers)</f>
        <v>1.8971477515251499E-3</v>
      </c>
      <c r="BN124" s="47">
        <f>_xll.qlPolynomialFunctionValue(BN$1,$BD124,AllTriggers)</f>
        <v>1.8980343313212901E-3</v>
      </c>
      <c r="BO124" s="47">
        <f>_xll.qlPolynomialFunctionValue(BO$1,$BD124,AllTriggers)</f>
        <v>1.8983760335167174E-3</v>
      </c>
      <c r="BP124" s="47">
        <f>_xll.qlPolynomialFunctionValue(BP$1,$BD124,AllTriggers)</f>
        <v>1.8849015672736942E-3</v>
      </c>
      <c r="BQ124" s="47">
        <f>_xll.qlPolynomialFunctionValue('6MSynthDepo_used'!$P$18,BD124,AllTriggers)</f>
        <v>1.907059986013549E-3</v>
      </c>
    </row>
    <row r="125" spans="18:69" x14ac:dyDescent="0.2">
      <c r="R125" s="34"/>
      <c r="S125" s="34"/>
      <c r="BC125" s="178">
        <f>_xll.qlCalendarAdvance(Calendar,BC124,"1d","mf",,Trigger)</f>
        <v>42305</v>
      </c>
      <c r="BD125" s="41">
        <f>_xll.qlDayCounterYearFraction(DayCounter,SettlementDate,BC125,,,Trigger)</f>
        <v>0.46388888888888891</v>
      </c>
      <c r="BE125" s="47">
        <f>_xll.qlPolynomialFunctionValue(BE$1,$BD125,AllTriggers)</f>
        <v>1.9121590876569243E-3</v>
      </c>
      <c r="BF125" s="47">
        <f>_xll.qlPolynomialFunctionValue(BF$1,$BD125,AllTriggers)</f>
        <v>1.9116311887207073E-3</v>
      </c>
      <c r="BG125" s="47">
        <f>_xll.qlPolynomialFunctionValue(BG$1,$BD125,AllTriggers)</f>
        <v>1.9061480784365384E-3</v>
      </c>
      <c r="BH125" s="47">
        <f>_xll.qlPolynomialFunctionValue(BH$1,$BD125,AllTriggers)</f>
        <v>1.9286092540044544E-3</v>
      </c>
      <c r="BI125" s="47">
        <f>_xll.qlPolynomialFunctionValue(BI$1,$BD125,AllTriggers)</f>
        <v>1.9169844524969332E-3</v>
      </c>
      <c r="BJ125" s="47">
        <f>_xll.qlPolynomialFunctionValue(BJ$1,$BD125,AllTriggers)</f>
        <v>1.915034624689645E-3</v>
      </c>
      <c r="BK125" s="47">
        <f>_xll.qlPolynomialFunctionValue(BK$1,$BD125,AllTriggers)</f>
        <v>1.9072786109022132E-3</v>
      </c>
      <c r="BL125" s="47">
        <f>_xll.qlPolynomialFunctionValue(BL$1,$BD125,AllTriggers)</f>
        <v>1.9279750078012915E-3</v>
      </c>
      <c r="BM125" s="47">
        <f>_xll.qlPolynomialFunctionValue(BM$1,$BD125,AllTriggers)</f>
        <v>1.8981451157810661E-3</v>
      </c>
      <c r="BN125" s="47">
        <f>_xll.qlPolynomialFunctionValue(BN$1,$BD125,AllTriggers)</f>
        <v>1.8990286755881716E-3</v>
      </c>
      <c r="BO125" s="47">
        <f>_xll.qlPolynomialFunctionValue(BO$1,$BD125,AllTriggers)</f>
        <v>1.8993103284250011E-3</v>
      </c>
      <c r="BP125" s="47">
        <f>_xll.qlPolynomialFunctionValue(BP$1,$BD125,AllTriggers)</f>
        <v>1.8857707802120609E-3</v>
      </c>
      <c r="BQ125" s="47">
        <f>_xll.qlPolynomialFunctionValue('6MSynthDepo_used'!$P$18,BD125,AllTriggers)</f>
        <v>1.9080409994665548E-3</v>
      </c>
    </row>
    <row r="126" spans="18:69" x14ac:dyDescent="0.2">
      <c r="R126" s="34"/>
      <c r="S126" s="34"/>
      <c r="BC126" s="178">
        <f>_xll.qlCalendarAdvance(Calendar,BC125,"1d","mf",,Trigger)</f>
        <v>42306</v>
      </c>
      <c r="BD126" s="41">
        <f>_xll.qlDayCounterYearFraction(DayCounter,SettlementDate,BC126,,,Trigger)</f>
        <v>0.46666666666666667</v>
      </c>
      <c r="BE126" s="47">
        <f>_xll.qlPolynomialFunctionValue(BE$1,$BD126,AllTriggers)</f>
        <v>1.9133887734420251E-3</v>
      </c>
      <c r="BF126" s="47">
        <f>_xll.qlPolynomialFunctionValue(BF$1,$BD126,AllTriggers)</f>
        <v>1.9125863670589752E-3</v>
      </c>
      <c r="BG126" s="47">
        <f>_xll.qlPolynomialFunctionValue(BG$1,$BD126,AllTriggers)</f>
        <v>1.907234644954487E-3</v>
      </c>
      <c r="BH126" s="47">
        <f>_xll.qlPolynomialFunctionValue(BH$1,$BD126,AllTriggers)</f>
        <v>1.9291575980868861E-3</v>
      </c>
      <c r="BI126" s="47">
        <f>_xll.qlPolynomialFunctionValue(BI$1,$BD126,AllTriggers)</f>
        <v>1.9182761310107103E-3</v>
      </c>
      <c r="BJ126" s="47">
        <f>_xll.qlPolynomialFunctionValue(BJ$1,$BD126,AllTriggers)</f>
        <v>1.9159030382897915E-3</v>
      </c>
      <c r="BK126" s="47">
        <f>_xll.qlPolynomialFunctionValue(BK$1,$BD126,AllTriggers)</f>
        <v>1.9083471666207093E-3</v>
      </c>
      <c r="BL126" s="47">
        <f>_xll.qlPolynomialFunctionValue(BL$1,$BD126,AllTriggers)</f>
        <v>1.9285094978475077E-3</v>
      </c>
      <c r="BM126" s="47">
        <f>_xll.qlPolynomialFunctionValue(BM$1,$BD126,AllTriggers)</f>
        <v>1.8991424800369823E-3</v>
      </c>
      <c r="BN126" s="47">
        <f>_xll.qlPolynomialFunctionValue(BN$1,$BD126,AllTriggers)</f>
        <v>1.9000226714339409E-3</v>
      </c>
      <c r="BO126" s="47">
        <f>_xll.qlPolynomialFunctionValue(BO$1,$BD126,AllTriggers)</f>
        <v>1.9002446233332849E-3</v>
      </c>
      <c r="BP126" s="47">
        <f>_xll.qlPolynomialFunctionValue(BP$1,$BD126,AllTriggers)</f>
        <v>1.8866461982972639E-3</v>
      </c>
      <c r="BQ126" s="47">
        <f>_xll.qlPolynomialFunctionValue('6MSynthDepo_used'!$P$18,BD126,AllTriggers)</f>
        <v>1.9090190037184057E-3</v>
      </c>
    </row>
    <row r="127" spans="18:69" x14ac:dyDescent="0.2">
      <c r="R127" s="34"/>
      <c r="S127" s="34"/>
      <c r="BC127" s="178">
        <f>_xll.qlCalendarAdvance(Calendar,BC126,"1d","mf",,Trigger)</f>
        <v>42307</v>
      </c>
      <c r="BD127" s="41">
        <f>_xll.qlDayCounterYearFraction(DayCounter,SettlementDate,BC127,,,Trigger)</f>
        <v>0.46944444444444444</v>
      </c>
      <c r="BE127" s="47">
        <f>_xll.qlPolynomialFunctionValue(BE$1,$BD127,AllTriggers)</f>
        <v>1.9146184592271258E-3</v>
      </c>
      <c r="BF127" s="47">
        <f>_xll.qlPolynomialFunctionValue(BF$1,$BD127,AllTriggers)</f>
        <v>1.913536852962255E-3</v>
      </c>
      <c r="BG127" s="47">
        <f>_xll.qlPolynomialFunctionValue(BG$1,$BD127,AllTriggers)</f>
        <v>1.9083212114724356E-3</v>
      </c>
      <c r="BH127" s="47">
        <f>_xll.qlPolynomialFunctionValue(BH$1,$BD127,AllTriggers)</f>
        <v>1.9296867199394779E-3</v>
      </c>
      <c r="BI127" s="47">
        <f>_xll.qlPolynomialFunctionValue(BI$1,$BD127,AllTriggers)</f>
        <v>1.9195678095244874E-3</v>
      </c>
      <c r="BJ127" s="47">
        <f>_xll.qlPolynomialFunctionValue(BJ$1,$BD127,AllTriggers)</f>
        <v>1.9167644859760758E-3</v>
      </c>
      <c r="BK127" s="47">
        <f>_xll.qlPolynomialFunctionValue(BK$1,$BD127,AllTriggers)</f>
        <v>1.9094157223392056E-3</v>
      </c>
      <c r="BL127" s="47">
        <f>_xll.qlPolynomialFunctionValue(BL$1,$BD127,AllTriggers)</f>
        <v>1.9290253998249015E-3</v>
      </c>
      <c r="BM127" s="47">
        <f>_xll.qlPolynomialFunctionValue(BM$1,$BD127,AllTriggers)</f>
        <v>1.9001398442928983E-3</v>
      </c>
      <c r="BN127" s="47">
        <f>_xll.qlPolynomialFunctionValue(BN$1,$BD127,AllTriggers)</f>
        <v>1.9010163188585975E-3</v>
      </c>
      <c r="BO127" s="47">
        <f>_xll.qlPolynomialFunctionValue(BO$1,$BD127,AllTriggers)</f>
        <v>1.9011789182415684E-3</v>
      </c>
      <c r="BP127" s="47">
        <f>_xll.qlPolynomialFunctionValue(BP$1,$BD127,AllTriggers)</f>
        <v>1.8875278215293031E-3</v>
      </c>
      <c r="BQ127" s="47">
        <f>_xll.qlPolynomialFunctionValue('6MSynthDepo_used'!$P$18,BD127,AllTriggers)</f>
        <v>1.9099940092059014E-3</v>
      </c>
    </row>
    <row r="128" spans="18:69" x14ac:dyDescent="0.2">
      <c r="R128" s="34"/>
      <c r="S128" s="34"/>
      <c r="BC128" s="178">
        <f>_xll.qlCalendarAdvance(Calendar,BC127,"1d","mf",,Trigger)</f>
        <v>42310</v>
      </c>
      <c r="BD128" s="41">
        <f>_xll.qlDayCounterYearFraction(DayCounter,SettlementDate,BC128,,,Trigger)</f>
        <v>0.4777777777777778</v>
      </c>
      <c r="BE128" s="47">
        <f>_xll.qlPolynomialFunctionValue(BE$1,$BD128,AllTriggers)</f>
        <v>1.9183075165824278E-3</v>
      </c>
      <c r="BF128" s="47">
        <f>_xll.qlPolynomialFunctionValue(BF$1,$BD128,AllTriggers)</f>
        <v>1.9163601560621614E-3</v>
      </c>
      <c r="BG128" s="47">
        <f>_xll.qlPolynomialFunctionValue(BG$1,$BD128,AllTriggers)</f>
        <v>1.9115809110262815E-3</v>
      </c>
      <c r="BH128" s="47">
        <f>_xll.qlPolynomialFunctionValue(BH$1,$BD128,AllTriggers)</f>
        <v>1.9311587521182139E-3</v>
      </c>
      <c r="BI128" s="47">
        <f>_xll.qlPolynomialFunctionValue(BI$1,$BD128,AllTriggers)</f>
        <v>1.9234428450658188E-3</v>
      </c>
      <c r="BJ128" s="47">
        <f>_xll.qlPolynomialFunctionValue(BJ$1,$BD128,AllTriggers)</f>
        <v>1.919307033551753E-3</v>
      </c>
      <c r="BK128" s="47">
        <f>_xll.qlPolynomialFunctionValue(BK$1,$BD128,AllTriggers)</f>
        <v>1.9126213894946941E-3</v>
      </c>
      <c r="BL128" s="47">
        <f>_xll.qlPolynomialFunctionValue(BL$1,$BD128,AllTriggers)</f>
        <v>1.9304615773441526E-3</v>
      </c>
      <c r="BM128" s="47">
        <f>_xll.qlPolynomialFunctionValue(BM$1,$BD128,AllTriggers)</f>
        <v>1.9031319370606469E-3</v>
      </c>
      <c r="BN128" s="47">
        <f>_xll.qlPolynomialFunctionValue(BN$1,$BD128,AllTriggers)</f>
        <v>1.9039951706058928E-3</v>
      </c>
      <c r="BO128" s="47">
        <f>_xll.qlPolynomialFunctionValue(BO$1,$BD128,AllTriggers)</f>
        <v>1.9039818029664194E-3</v>
      </c>
      <c r="BP128" s="47">
        <f>_xll.qlPolynomialFunctionValue(BP$1,$BD128,AllTriggers)</f>
        <v>1.8902099221064393E-3</v>
      </c>
      <c r="BQ128" s="47">
        <f>_xll.qlPolynomialFunctionValue('6MSynthDepo_used'!$P$18,BD128,AllTriggers)</f>
        <v>1.9129011374502394E-3</v>
      </c>
    </row>
    <row r="129" spans="18:69" x14ac:dyDescent="0.2">
      <c r="R129" s="34"/>
      <c r="S129" s="34"/>
      <c r="BC129" s="178">
        <f>_xll.qlCalendarAdvance(Calendar,BC128,"1d","mf",,Trigger)</f>
        <v>42311</v>
      </c>
      <c r="BD129" s="41">
        <f>_xll.qlDayCounterYearFraction(DayCounter,SettlementDate,BC129,,,Trigger)</f>
        <v>0.48055555555555557</v>
      </c>
      <c r="BE129" s="47">
        <f>_xll.qlPolynomialFunctionValue(BE$1,$BD129,AllTriggers)</f>
        <v>1.9195372023675286E-3</v>
      </c>
      <c r="BF129" s="47">
        <f>_xll.qlPolynomialFunctionValue(BF$1,$BD129,AllTriggers)</f>
        <v>1.9172918722254865E-3</v>
      </c>
      <c r="BG129" s="47">
        <f>_xll.qlPolynomialFunctionValue(BG$1,$BD129,AllTriggers)</f>
        <v>1.9126674775442301E-3</v>
      </c>
      <c r="BH129" s="47">
        <f>_xll.qlPolynomialFunctionValue(BH$1,$BD129,AllTriggers)</f>
        <v>1.9316109850514461E-3</v>
      </c>
      <c r="BI129" s="47">
        <f>_xll.qlPolynomialFunctionValue(BI$1,$BD129,AllTriggers)</f>
        <v>1.9247345235795959E-3</v>
      </c>
      <c r="BJ129" s="47">
        <f>_xll.qlPolynomialFunctionValue(BJ$1,$BD129,AllTriggers)</f>
        <v>1.9201406175825869E-3</v>
      </c>
      <c r="BK129" s="47">
        <f>_xll.qlPolynomialFunctionValue(BK$1,$BD129,AllTriggers)</f>
        <v>1.9136899452131904E-3</v>
      </c>
      <c r="BL129" s="47">
        <f>_xll.qlPolynomialFunctionValue(BL$1,$BD129,AllTriggers)</f>
        <v>1.9309031270462595E-3</v>
      </c>
      <c r="BM129" s="47">
        <f>_xll.qlPolynomialFunctionValue(BM$1,$BD129,AllTriggers)</f>
        <v>1.9041293013165631E-3</v>
      </c>
      <c r="BN129" s="47">
        <f>_xll.qlPolynomialFunctionValue(BN$1,$BD129,AllTriggers)</f>
        <v>1.9049874243460992E-3</v>
      </c>
      <c r="BO129" s="47">
        <f>_xll.qlPolynomialFunctionValue(BO$1,$BD129,AllTriggers)</f>
        <v>1.9049160978747031E-3</v>
      </c>
      <c r="BP129" s="47">
        <f>_xll.qlPolynomialFunctionValue(BP$1,$BD129,AllTriggers)</f>
        <v>1.8911163659258241E-3</v>
      </c>
      <c r="BQ129" s="47">
        <f>_xll.qlPolynomialFunctionValue('6MSynthDepo_used'!$P$18,BD129,AllTriggers)</f>
        <v>1.913864252248299E-3</v>
      </c>
    </row>
    <row r="130" spans="18:69" x14ac:dyDescent="0.2">
      <c r="R130" s="34"/>
      <c r="S130" s="34"/>
      <c r="BC130" s="178">
        <f>_xll.qlCalendarAdvance(Calendar,BC129,"1d","mf",,Trigger)</f>
        <v>42312</v>
      </c>
      <c r="BD130" s="41">
        <f>_xll.qlDayCounterYearFraction(DayCounter,SettlementDate,BC130,,,Trigger)</f>
        <v>0.48333333333333334</v>
      </c>
      <c r="BE130" s="47">
        <f>_xll.qlPolynomialFunctionValue(BE$1,$BD130,AllTriggers)</f>
        <v>1.9207668881526291E-3</v>
      </c>
      <c r="BF130" s="47">
        <f>_xll.qlPolynomialFunctionValue(BF$1,$BD130,AllTriggers)</f>
        <v>1.9182188959538232E-3</v>
      </c>
      <c r="BG130" s="47">
        <f>_xll.qlPolynomialFunctionValue(BG$1,$BD130,AllTriggers)</f>
        <v>1.9137540440621788E-3</v>
      </c>
      <c r="BH130" s="47">
        <f>_xll.qlPolynomialFunctionValue(BH$1,$BD130,AllTriggers)</f>
        <v>1.9320439957548384E-3</v>
      </c>
      <c r="BI130" s="47">
        <f>_xll.qlPolynomialFunctionValue(BI$1,$BD130,AllTriggers)</f>
        <v>1.9260262020933728E-3</v>
      </c>
      <c r="BJ130" s="47">
        <f>_xll.qlPolynomialFunctionValue(BJ$1,$BD130,AllTriggers)</f>
        <v>1.9209672356995582E-3</v>
      </c>
      <c r="BK130" s="47">
        <f>_xll.qlPolynomialFunctionValue(BK$1,$BD130,AllTriggers)</f>
        <v>1.9147585009316865E-3</v>
      </c>
      <c r="BL130" s="47">
        <f>_xll.qlPolynomialFunctionValue(BL$1,$BD130,AllTriggers)</f>
        <v>1.9313260886795439E-3</v>
      </c>
      <c r="BM130" s="47">
        <f>_xll.qlPolynomialFunctionValue(BM$1,$BD130,AllTriggers)</f>
        <v>1.9051266655724793E-3</v>
      </c>
      <c r="BN130" s="47">
        <f>_xll.qlPolynomialFunctionValue(BN$1,$BD130,AllTriggers)</f>
        <v>1.9059793296651933E-3</v>
      </c>
      <c r="BO130" s="47">
        <f>_xll.qlPolynomialFunctionValue(BO$1,$BD130,AllTriggers)</f>
        <v>1.9058503927829869E-3</v>
      </c>
      <c r="BP130" s="47">
        <f>_xll.qlPolynomialFunctionValue(BP$1,$BD130,AllTriggers)</f>
        <v>1.8920290148920454E-3</v>
      </c>
      <c r="BQ130" s="47">
        <f>_xll.qlPolynomialFunctionValue('6MSynthDepo_used'!$P$18,BD130,AllTriggers)</f>
        <v>1.9148244204659965E-3</v>
      </c>
    </row>
    <row r="131" spans="18:69" x14ac:dyDescent="0.2">
      <c r="R131" s="34"/>
      <c r="S131" s="34"/>
      <c r="BC131" s="178">
        <f>_xll.qlCalendarAdvance(Calendar,BC130,"1d","mf",,Trigger)</f>
        <v>42313</v>
      </c>
      <c r="BD131" s="41">
        <f>_xll.qlDayCounterYearFraction(DayCounter,SettlementDate,BC131,,,Trigger)</f>
        <v>0.4861111111111111</v>
      </c>
      <c r="BE131" s="47">
        <f>_xll.qlPolynomialFunctionValue(BE$1,$BD131,AllTriggers)</f>
        <v>1.9219965739377298E-3</v>
      </c>
      <c r="BF131" s="47">
        <f>_xll.qlPolynomialFunctionValue(BF$1,$BD131,AllTriggers)</f>
        <v>1.919141227247171E-3</v>
      </c>
      <c r="BG131" s="47">
        <f>_xll.qlPolynomialFunctionValue(BG$1,$BD131,AllTriggers)</f>
        <v>1.9148406105801274E-3</v>
      </c>
      <c r="BH131" s="47">
        <f>_xll.qlPolynomialFunctionValue(BH$1,$BD131,AllTriggers)</f>
        <v>1.9324577842283908E-3</v>
      </c>
      <c r="BI131" s="47">
        <f>_xll.qlPolynomialFunctionValue(BI$1,$BD131,AllTriggers)</f>
        <v>1.9273178806071499E-3</v>
      </c>
      <c r="BJ131" s="47">
        <f>_xll.qlPolynomialFunctionValue(BJ$1,$BD131,AllTriggers)</f>
        <v>1.921786887902667E-3</v>
      </c>
      <c r="BK131" s="47">
        <f>_xll.qlPolynomialFunctionValue(BK$1,$BD131,AllTriggers)</f>
        <v>1.9158270566501827E-3</v>
      </c>
      <c r="BL131" s="47">
        <f>_xll.qlPolynomialFunctionValue(BL$1,$BD131,AllTriggers)</f>
        <v>1.931730462244007E-3</v>
      </c>
      <c r="BM131" s="47">
        <f>_xll.qlPolynomialFunctionValue(BM$1,$BD131,AllTriggers)</f>
        <v>1.9061240298283953E-3</v>
      </c>
      <c r="BN131" s="47">
        <f>_xll.qlPolynomialFunctionValue(BN$1,$BD131,AllTriggers)</f>
        <v>1.9069708865631751E-3</v>
      </c>
      <c r="BO131" s="47">
        <f>_xll.qlPolynomialFunctionValue(BO$1,$BD131,AllTriggers)</f>
        <v>1.9067846876912704E-3</v>
      </c>
      <c r="BP131" s="47">
        <f>_xll.qlPolynomialFunctionValue(BP$1,$BD131,AllTriggers)</f>
        <v>1.892947869005103E-3</v>
      </c>
      <c r="BQ131" s="47">
        <f>_xll.qlPolynomialFunctionValue('6MSynthDepo_used'!$P$18,BD131,AllTriggers)</f>
        <v>1.915781652540131E-3</v>
      </c>
    </row>
    <row r="132" spans="18:69" x14ac:dyDescent="0.2">
      <c r="R132" s="34"/>
      <c r="S132" s="34"/>
      <c r="BC132" s="178">
        <f>_xll.qlCalendarAdvance(Calendar,BC131,"1d","mf",,Trigger)</f>
        <v>42314</v>
      </c>
      <c r="BD132" s="41">
        <f>_xll.qlDayCounterYearFraction(DayCounter,SettlementDate,BC132,,,Trigger)</f>
        <v>0.48888888888888887</v>
      </c>
      <c r="BE132" s="47">
        <f>_xll.qlPolynomialFunctionValue(BE$1,$BD132,AllTriggers)</f>
        <v>1.9232262597228306E-3</v>
      </c>
      <c r="BF132" s="47">
        <f>_xll.qlPolynomialFunctionValue(BF$1,$BD132,AllTriggers)</f>
        <v>1.9200588661055303E-3</v>
      </c>
      <c r="BG132" s="47">
        <f>_xll.qlPolynomialFunctionValue(BG$1,$BD132,AllTriggers)</f>
        <v>1.915927177098076E-3</v>
      </c>
      <c r="BH132" s="47">
        <f>_xll.qlPolynomialFunctionValue(BH$1,$BD132,AllTriggers)</f>
        <v>1.9328523504721028E-3</v>
      </c>
      <c r="BI132" s="47">
        <f>_xll.qlPolynomialFunctionValue(BI$1,$BD132,AllTriggers)</f>
        <v>1.928609559120927E-3</v>
      </c>
      <c r="BJ132" s="47">
        <f>_xll.qlPolynomialFunctionValue(BJ$1,$BD132,AllTriggers)</f>
        <v>1.9225995741919137E-3</v>
      </c>
      <c r="BK132" s="47">
        <f>_xll.qlPolynomialFunctionValue(BK$1,$BD132,AllTriggers)</f>
        <v>1.9168956123686788E-3</v>
      </c>
      <c r="BL132" s="47">
        <f>_xll.qlPolynomialFunctionValue(BL$1,$BD132,AllTriggers)</f>
        <v>1.9321162477396482E-3</v>
      </c>
      <c r="BM132" s="47">
        <f>_xll.qlPolynomialFunctionValue(BM$1,$BD132,AllTriggers)</f>
        <v>1.9071213940843115E-3</v>
      </c>
      <c r="BN132" s="47">
        <f>_xll.qlPolynomialFunctionValue(BN$1,$BD132,AllTriggers)</f>
        <v>1.9079620950400444E-3</v>
      </c>
      <c r="BO132" s="47">
        <f>_xll.qlPolynomialFunctionValue(BO$1,$BD132,AllTriggers)</f>
        <v>1.9077189825995541E-3</v>
      </c>
      <c r="BP132" s="47">
        <f>_xll.qlPolynomialFunctionValue(BP$1,$BD132,AllTriggers)</f>
        <v>1.893872928264997E-3</v>
      </c>
      <c r="BQ132" s="47">
        <f>_xll.qlPolynomialFunctionValue('6MSynthDepo_used'!$P$18,BD132,AllTriggers)</f>
        <v>1.9167359589075006E-3</v>
      </c>
    </row>
    <row r="133" spans="18:69" x14ac:dyDescent="0.2">
      <c r="R133" s="35"/>
      <c r="S133" s="34"/>
      <c r="BC133" s="178">
        <f>_xll.qlCalendarAdvance(Calendar,BC132,"1d","mf",,Trigger)</f>
        <v>42317</v>
      </c>
      <c r="BD133" s="41">
        <f>_xll.qlDayCounterYearFraction(DayCounter,SettlementDate,BC133,,,Trigger)</f>
        <v>0.49722222222222223</v>
      </c>
      <c r="BE133" s="47">
        <f>_xll.qlPolynomialFunctionValue(BE$1,$BD133,AllTriggers)</f>
        <v>1.9269153170781326E-3</v>
      </c>
      <c r="BF133" s="47">
        <f>_xll.qlPolynomialFunctionValue(BF$1,$BD133,AllTriggers)</f>
        <v>1.9227836280706766E-3</v>
      </c>
      <c r="BG133" s="47">
        <f>_xll.qlPolynomialFunctionValue(BG$1,$BD133,AllTriggers)</f>
        <v>1.9191868766519219E-3</v>
      </c>
      <c r="BH133" s="47">
        <f>_xll.qlPolynomialFunctionValue(BH$1,$BD133,AllTriggers)</f>
        <v>1.9339207158242016E-3</v>
      </c>
      <c r="BI133" s="47">
        <f>_xll.qlPolynomialFunctionValue(BI$1,$BD133,AllTriggers)</f>
        <v>1.9324845946622584E-3</v>
      </c>
      <c r="BJ133" s="47">
        <f>_xll.qlPolynomialFunctionValue(BJ$1,$BD133,AllTriggers)</f>
        <v>1.9249958375764777E-3</v>
      </c>
      <c r="BK133" s="47">
        <f>_xll.qlPolynomialFunctionValue(BK$1,$BD133,AllTriggers)</f>
        <v>1.9201012795241673E-3</v>
      </c>
      <c r="BL133" s="47">
        <f>_xll.qlPolynomialFunctionValue(BL$1,$BD133,AllTriggers)</f>
        <v>1.9331620758136399E-3</v>
      </c>
      <c r="BM133" s="47">
        <f>_xll.qlPolynomialFunctionValue(BM$1,$BD133,AllTriggers)</f>
        <v>1.9101134868520601E-3</v>
      </c>
      <c r="BN133" s="47">
        <f>_xll.qlPolynomialFunctionValue(BN$1,$BD133,AllTriggers)</f>
        <v>1.9109336299439766E-3</v>
      </c>
      <c r="BO133" s="47">
        <f>_xll.qlPolynomialFunctionValue(BO$1,$BD133,AllTriggers)</f>
        <v>1.9105218673244051E-3</v>
      </c>
      <c r="BP133" s="47">
        <f>_xll.qlPolynomialFunctionValue(BP$1,$BD133,AllTriggers)</f>
        <v>1.8966853369256971E-3</v>
      </c>
      <c r="BQ133" s="47">
        <f>_xll.qlPolynomialFunctionValue('6MSynthDepo_used'!$P$18,BD133,AllTriggers)</f>
        <v>1.9195814281370127E-3</v>
      </c>
    </row>
    <row r="134" spans="18:69" x14ac:dyDescent="0.2">
      <c r="R134" s="35"/>
      <c r="S134" s="34"/>
      <c r="BC134" s="178">
        <f>_xll.qlCalendarAdvance(Calendar,BC133,"1d","mf",,Trigger)</f>
        <v>42318</v>
      </c>
      <c r="BD134" s="41">
        <f>_xll.qlDayCounterYearFraction(DayCounter,SettlementDate,BC134,,,Trigger)</f>
        <v>0.5</v>
      </c>
      <c r="BE134" s="47">
        <f>_xll.qlPolynomialFunctionValue(BE$1,$BD134,AllTriggers)</f>
        <v>1.9281450028632333E-3</v>
      </c>
      <c r="BF134" s="47">
        <f>_xll.qlPolynomialFunctionValue(BF$1,$BD134,AllTriggers)</f>
        <v>1.9236824971890815E-3</v>
      </c>
      <c r="BG134" s="47">
        <f>_xll.qlPolynomialFunctionValue(BG$1,$BD134,AllTriggers)</f>
        <v>1.9202734431698705E-3</v>
      </c>
      <c r="BH134" s="47">
        <f>_xll.qlPolynomialFunctionValue(BH$1,$BD134,AllTriggers)</f>
        <v>1.9342383931485541E-3</v>
      </c>
      <c r="BI134" s="47">
        <f>_xll.qlPolynomialFunctionValue(BI$1,$BD134,AllTriggers)</f>
        <v>1.9337762731760355E-3</v>
      </c>
      <c r="BJ134" s="47">
        <f>_xll.qlPolynomialFunctionValue(BJ$1,$BD134,AllTriggers)</f>
        <v>1.9257806602102738E-3</v>
      </c>
      <c r="BK134" s="47">
        <f>_xll.qlPolynomialFunctionValue(BK$1,$BD134,AllTriggers)</f>
        <v>1.9211698352426636E-3</v>
      </c>
      <c r="BL134" s="47">
        <f>_xll.qlPolynomialFunctionValue(BL$1,$BD134,AllTriggers)</f>
        <v>1.9334735090339936E-3</v>
      </c>
      <c r="BM134" s="47">
        <f>_xll.qlPolynomialFunctionValue(BM$1,$BD134,AllTriggers)</f>
        <v>1.9111108511079763E-3</v>
      </c>
      <c r="BN134" s="47">
        <f>_xll.qlPolynomialFunctionValue(BN$1,$BD134,AllTriggers)</f>
        <v>1.9119234447363958E-3</v>
      </c>
      <c r="BO134" s="47">
        <f>_xll.qlPolynomialFunctionValue(BO$1,$BD134,AllTriggers)</f>
        <v>1.9114561622326888E-3</v>
      </c>
      <c r="BP134" s="47">
        <f>_xll.qlPolynomialFunctionValue(BP$1,$BD134,AllTriggers)</f>
        <v>1.8976352167729366E-3</v>
      </c>
      <c r="BQ134" s="47">
        <f>_xll.qlPolynomialFunctionValue('6MSynthDepo_used'!$P$18,BD134,AllTriggers)</f>
        <v>1.9205241360453131E-3</v>
      </c>
    </row>
    <row r="135" spans="18:69" x14ac:dyDescent="0.2">
      <c r="R135" s="35"/>
      <c r="S135" s="34"/>
      <c r="BC135" s="182">
        <f>_xll.qlCalendarAdvance(Calendar,BC134,"1d","mf",,Trigger)</f>
        <v>42319</v>
      </c>
      <c r="BD135" s="44">
        <f>_xll.qlDayCounterYearFraction(DayCounter,SettlementDate,BC135,,,Trigger)</f>
        <v>0.50277777777777777</v>
      </c>
      <c r="BE135" s="50">
        <f>_xll.qlPolynomialFunctionValue(BE$1,$BD135,AllTriggers)</f>
        <v>1.9293746886483341E-3</v>
      </c>
      <c r="BF135" s="50">
        <f>_xll.qlPolynomialFunctionValue(BF$1,$BD135,AllTriggers)</f>
        <v>1.9245766738724976E-3</v>
      </c>
      <c r="BG135" s="50">
        <f>_xll.qlPolynomialFunctionValue(BG$1,$BD135,AllTriggers)</f>
        <v>1.9213600096878191E-3</v>
      </c>
      <c r="BH135" s="50">
        <f>_xll.qlPolynomialFunctionValue(BH$1,$BD135,AllTriggers)</f>
        <v>1.9345368482430675E-3</v>
      </c>
      <c r="BI135" s="50">
        <f>_xll.qlPolynomialFunctionValue(BI$1,$BD135,AllTriggers)</f>
        <v>1.9350679516898126E-3</v>
      </c>
      <c r="BJ135" s="50">
        <f>_xll.qlPolynomialFunctionValue(BJ$1,$BD135,AllTriggers)</f>
        <v>1.9265585169302075E-3</v>
      </c>
      <c r="BK135" s="50">
        <f>_xll.qlPolynomialFunctionValue(BK$1,$BD135,AllTriggers)</f>
        <v>1.9222383909611599E-3</v>
      </c>
      <c r="BL135" s="50">
        <f>_xll.qlPolynomialFunctionValue(BL$1,$BD135,AllTriggers)</f>
        <v>1.9337663541855255E-3</v>
      </c>
      <c r="BM135" s="50">
        <f>_xll.qlPolynomialFunctionValue(BM$1,$BD135,AllTriggers)</f>
        <v>1.9121082153638926E-3</v>
      </c>
      <c r="BN135" s="50">
        <f>_xll.qlPolynomialFunctionValue(BN$1,$BD135,AllTriggers)</f>
        <v>1.9129129111077024E-3</v>
      </c>
      <c r="BO135" s="50">
        <f>_xll.qlPolynomialFunctionValue(BO$1,$BD135,AllTriggers)</f>
        <v>1.9123904571409724E-3</v>
      </c>
      <c r="BP135" s="50">
        <f>_xll.qlPolynomialFunctionValue(BP$1,$BD135,AllTriggers)</f>
        <v>1.8985913017670125E-3</v>
      </c>
      <c r="BQ135" s="50">
        <f>_xll.qlPolynomialFunctionValue('6MSynthDepo_used'!$P$18,BD135,AllTriggers)</f>
        <v>1.9214639704308427E-3</v>
      </c>
    </row>
    <row r="136" spans="18:69" x14ac:dyDescent="0.2">
      <c r="R136" s="35"/>
      <c r="S136" s="34"/>
    </row>
    <row r="137" spans="18:69" x14ac:dyDescent="0.2">
      <c r="R137" s="35"/>
      <c r="S137" s="34"/>
    </row>
    <row r="138" spans="18:69" x14ac:dyDescent="0.2">
      <c r="R138" s="35"/>
      <c r="S138" s="34"/>
    </row>
    <row r="139" spans="18:69" x14ac:dyDescent="0.2">
      <c r="R139" s="35"/>
      <c r="S139" s="35"/>
    </row>
    <row r="140" spans="18:69" x14ac:dyDescent="0.2">
      <c r="R140" s="35"/>
      <c r="S140" s="35"/>
    </row>
    <row r="141" spans="18:69" x14ac:dyDescent="0.2">
      <c r="R141" s="35"/>
      <c r="S141" s="35"/>
    </row>
    <row r="142" spans="18:69" x14ac:dyDescent="0.2">
      <c r="R142" s="35"/>
      <c r="S142" s="35"/>
    </row>
    <row r="143" spans="18:69" x14ac:dyDescent="0.2">
      <c r="R143" s="35"/>
      <c r="S143" s="35"/>
    </row>
    <row r="144" spans="18:69" x14ac:dyDescent="0.2">
      <c r="R144" s="35"/>
      <c r="S144" s="35"/>
    </row>
    <row r="145" spans="18:19" x14ac:dyDescent="0.2">
      <c r="R145" s="35"/>
      <c r="S145" s="35"/>
    </row>
    <row r="146" spans="18:19" x14ac:dyDescent="0.2">
      <c r="R146" s="35"/>
      <c r="S146" s="35"/>
    </row>
    <row r="147" spans="18:19" x14ac:dyDescent="0.2">
      <c r="R147" s="35"/>
      <c r="S147" s="35"/>
    </row>
    <row r="148" spans="18:19" x14ac:dyDescent="0.2">
      <c r="R148" s="35"/>
      <c r="S148" s="35"/>
    </row>
    <row r="149" spans="18:19" x14ac:dyDescent="0.2">
      <c r="S149" s="35"/>
    </row>
    <row r="150" spans="18:19" x14ac:dyDescent="0.2">
      <c r="S150" s="35"/>
    </row>
    <row r="151" spans="18:19" x14ac:dyDescent="0.2">
      <c r="S151" s="35"/>
    </row>
    <row r="152" spans="18:19" x14ac:dyDescent="0.2">
      <c r="S152" s="35"/>
    </row>
    <row r="153" spans="18:19" x14ac:dyDescent="0.2">
      <c r="S153" s="35"/>
    </row>
    <row r="154" spans="18:19" x14ac:dyDescent="0.2">
      <c r="S154" s="35"/>
    </row>
  </sheetData>
  <mergeCells count="16">
    <mergeCell ref="AH19:AH21"/>
    <mergeCell ref="AJ19:AJ21"/>
    <mergeCell ref="AJ14:AJ16"/>
    <mergeCell ref="AT5:AT6"/>
    <mergeCell ref="AV5:AV6"/>
    <mergeCell ref="AT9:AT10"/>
    <mergeCell ref="AV9:AV10"/>
    <mergeCell ref="AT14:AT16"/>
    <mergeCell ref="AV14:AV16"/>
    <mergeCell ref="AT19:AT21"/>
    <mergeCell ref="AV19:AV21"/>
    <mergeCell ref="AH5:AH6"/>
    <mergeCell ref="AH9:AH10"/>
    <mergeCell ref="AJ5:AJ6"/>
    <mergeCell ref="AJ9:AJ10"/>
    <mergeCell ref="AH14:AH16"/>
  </mergeCells>
  <dataValidations count="4">
    <dataValidation type="list" allowBlank="1" showInputMessage="1" showErrorMessage="1" sqref="S3:T3 S14:T14">
      <formula1>"TRUE"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15:V20 S4:V9 T10:W10">
      <formula1>"TRUE,FALSE"</formula1>
    </dataValidation>
    <dataValidation type="list" allowBlank="1" showInputMessage="1" showErrorMessage="1" sqref="D27:D28">
      <formula1>"FIXING,ESTIMATED"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9" customWidth="1"/>
    <col min="2" max="2" width="2.33203125" style="19" customWidth="1"/>
    <col min="3" max="3" width="3.1640625" style="19" customWidth="1"/>
    <col min="4" max="4" width="23.1640625" style="19" customWidth="1"/>
    <col min="5" max="5" width="34.83203125" style="19" hidden="1" customWidth="1" outlineLevel="1"/>
    <col min="6" max="6" width="9.33203125" style="19" hidden="1" customWidth="1" outlineLevel="1"/>
    <col min="7" max="7" width="12.83203125" style="19" bestFit="1" customWidth="1" collapsed="1"/>
    <col min="8" max="8" width="12.83203125" style="19" customWidth="1"/>
    <col min="9" max="10" width="11.33203125" style="19" customWidth="1"/>
    <col min="11" max="12" width="9.33203125" style="19" bestFit="1" customWidth="1"/>
    <col min="13" max="13" width="8.1640625" style="19" bestFit="1" customWidth="1"/>
    <col min="14" max="14" width="2.83203125" style="19" customWidth="1"/>
    <col min="15" max="15" width="14.1640625" style="19" bestFit="1" customWidth="1"/>
    <col min="16" max="16" width="17.83203125" style="19" bestFit="1" customWidth="1"/>
    <col min="17" max="17" width="2.83203125" style="19" customWidth="1"/>
    <col min="18" max="18" width="12.83203125" style="19" bestFit="1" customWidth="1"/>
    <col min="19" max="19" width="9.33203125" style="19"/>
    <col min="20" max="20" width="0" style="19" hidden="1" customWidth="1" outlineLevel="1"/>
    <col min="21" max="21" width="9.33203125" style="19" collapsed="1"/>
    <col min="22" max="22" width="3.5" style="19" bestFit="1" customWidth="1"/>
    <col min="23" max="24" width="9.33203125" style="19"/>
    <col min="25" max="25" width="12.83203125" style="19" bestFit="1" customWidth="1"/>
    <col min="26" max="26" width="16.5" style="19" bestFit="1" customWidth="1"/>
    <col min="27" max="27" width="12.83203125" style="19" bestFit="1" customWidth="1"/>
    <col min="28" max="16384" width="9.33203125" style="19"/>
  </cols>
  <sheetData>
    <row r="1" spans="1:27" x14ac:dyDescent="0.2">
      <c r="G1" s="126" t="s">
        <v>49</v>
      </c>
      <c r="H1" s="127" t="s">
        <v>23</v>
      </c>
    </row>
    <row r="2" spans="1:27" ht="26.25" customHeight="1" x14ac:dyDescent="0.2">
      <c r="D2" s="36" t="str">
        <f>H1&amp;" Instruments"</f>
        <v>3M Instruments</v>
      </c>
      <c r="E2" s="36" t="s">
        <v>84</v>
      </c>
      <c r="F2" s="36" t="s">
        <v>85</v>
      </c>
      <c r="G2" s="36" t="s">
        <v>50</v>
      </c>
      <c r="H2" s="36" t="s">
        <v>96</v>
      </c>
      <c r="I2" s="36" t="str">
        <f>"F "&amp;H1</f>
        <v>F 3M</v>
      </c>
      <c r="J2" s="36" t="s">
        <v>56</v>
      </c>
      <c r="K2" s="36" t="s">
        <v>61</v>
      </c>
      <c r="L2" s="36" t="s">
        <v>83</v>
      </c>
      <c r="M2" s="36" t="s">
        <v>63</v>
      </c>
      <c r="N2" s="21"/>
      <c r="R2" s="36" t="s">
        <v>71</v>
      </c>
      <c r="S2" s="36" t="s">
        <v>98</v>
      </c>
      <c r="T2" s="36" t="s">
        <v>89</v>
      </c>
      <c r="U2" s="36" t="s">
        <v>97</v>
      </c>
    </row>
    <row r="3" spans="1:27" ht="11.25" customHeight="1" x14ac:dyDescent="0.2">
      <c r="A3" s="104">
        <v>0</v>
      </c>
      <c r="B3" s="105" t="s">
        <v>20</v>
      </c>
      <c r="C3" s="106" t="str">
        <f>SUBSTITUTE($H$1,"M","")</f>
        <v>3</v>
      </c>
      <c r="D3" s="108" t="str">
        <f>Currency&amp;A3&amp;B3&amp;C3&amp;"F"&amp;"_Estimated"</f>
        <v>EUR0x3F_Estimated</v>
      </c>
      <c r="E3" s="108" t="str">
        <f>_xll.qlSimpleQuote(UPPER("B"&amp;$H$1&amp;"_"&amp;A3&amp;B3&amp;C3&amp;"Estimated"),,,Permanent,Trigger,ObjectOverwrite)</f>
        <v>B3M_0X3ESTIMATED#0011</v>
      </c>
      <c r="F3" s="197" t="e">
        <f>_xll.qlSimpleQuoteSetValue(E3,L3,AllTriggers)</f>
        <v>#N/A</v>
      </c>
      <c r="G3" s="210">
        <f>SettlementDate</f>
        <v>42138</v>
      </c>
      <c r="H3" s="210">
        <f>_xll.qlInterestRateIndexMaturity(PROPER(Currency)&amp;"ibor"&amp;$H$1,G3)</f>
        <v>42230</v>
      </c>
      <c r="I3" s="107">
        <f>L3+$J$4</f>
        <v>-6.4852778595880052E-5</v>
      </c>
      <c r="J3" s="89"/>
      <c r="K3" s="89"/>
      <c r="L3" s="66">
        <f>_xll.qlTenorBasisValue($P$3,G3,Trigger)</f>
        <v>1.0496466083624097E-3</v>
      </c>
      <c r="M3" s="89"/>
      <c r="N3" s="21"/>
      <c r="O3" s="192" t="s">
        <v>82</v>
      </c>
      <c r="P3" s="66" t="str">
        <f>'[2]3MSynthDepo'!TenorBasis3M</f>
        <v>obj_005e1#0002</v>
      </c>
      <c r="R3" s="211">
        <f>SettlementDate</f>
        <v>42138</v>
      </c>
      <c r="S3" s="52">
        <f>_xll.qlTenorBasisValue($P$3,R3,AllTriggers)</f>
        <v>1.0496466083624097E-3</v>
      </c>
      <c r="T3" s="46">
        <f>_xll.qlDayCounterYearFraction("actual/365 (fixed)",SettlementDate,R3,,,Trigger)</f>
        <v>0</v>
      </c>
      <c r="U3" s="52">
        <f>_xll.qlPolynomialFunctionValue($P$18,T3,AllTriggers)</f>
        <v>9.5721791607622226E-4</v>
      </c>
    </row>
    <row r="4" spans="1:27" ht="11.25" customHeight="1" x14ac:dyDescent="0.2">
      <c r="A4" s="104">
        <v>0</v>
      </c>
      <c r="B4" s="105" t="s">
        <v>20</v>
      </c>
      <c r="C4" s="106">
        <v>6</v>
      </c>
      <c r="D4" s="97" t="str">
        <f>PROPER(Currency&amp;IborType)&amp;H1&amp;"LastFixing"&amp;QuoteSuffix</f>
        <v>Euribor3MLastFixing_Quote</v>
      </c>
      <c r="E4" s="97" t="str">
        <f>_xll.qlSimpleQuote(UPPER("B"&amp;$H$1&amp;"_"&amp;A4&amp;B4&amp;C4&amp;"FIXING"),,,Permanent,Trigger,ObjectOverwrite)</f>
        <v>B3M_0X6FIXING#0011</v>
      </c>
      <c r="F4" s="198" t="e">
        <f>_xll.qlSimpleQuoteSetValue(E4,K4,AllTriggers)</f>
        <v>#N/A</v>
      </c>
      <c r="G4" s="210">
        <f>SettlementDate</f>
        <v>42138</v>
      </c>
      <c r="H4" s="210">
        <f>_xll.qlInterestRateIndexMaturity(ON_6M_index,G4)</f>
        <v>42324</v>
      </c>
      <c r="I4" s="66">
        <f>_xll.qlQuoteValue(D4,LastFixingsTrigger)</f>
        <v>2.0999999999807407E-5</v>
      </c>
      <c r="J4" s="66">
        <f>_xll.qlIndexFixing(ON_3M_index,_xll.qlInterestRateIndexFixingDate(ON_6M_index,G4),,AllTriggers)</f>
        <v>-1.1144993869582898E-3</v>
      </c>
      <c r="K4" s="107">
        <f t="shared" ref="K4:K22" si="0">I4-J4</f>
        <v>1.1354993869580972E-3</v>
      </c>
      <c r="L4" s="62">
        <f>_xll.qlTenorBasisValue($P$3,G4,Trigger)</f>
        <v>1.0496466083624097E-3</v>
      </c>
      <c r="M4" s="63">
        <f>(K4-L4)*10000</f>
        <v>0.85852778595687462</v>
      </c>
      <c r="N4" s="21"/>
      <c r="R4" s="212">
        <f>_xll.qlCalendarAdvance(Calendar,R3,"1D","f")</f>
        <v>42139</v>
      </c>
      <c r="S4" s="47">
        <f>_xll.qlTenorBasisValue($P$3,R4,AllTriggers)</f>
        <v>1.0514966440516027E-3</v>
      </c>
      <c r="T4" s="41">
        <f>_xll.qlDayCounterYearFraction("actual/365 (fixed)",SettlementDate,R4,,,Trigger)</f>
        <v>2.7397260273972603E-3</v>
      </c>
      <c r="U4" s="47">
        <f>_xll.qlPolynomialFunctionValue($P$18,T4,AllTriggers)</f>
        <v>9.5946335099148373E-4</v>
      </c>
    </row>
    <row r="5" spans="1:27" ht="11.25" customHeight="1" x14ac:dyDescent="0.2">
      <c r="A5" s="94">
        <v>1</v>
      </c>
      <c r="B5" s="21" t="s">
        <v>20</v>
      </c>
      <c r="C5" s="101">
        <f t="shared" ref="C5:C10" si="1">A5+SUBSTITUTE($H$1,"M","")</f>
        <v>4</v>
      </c>
      <c r="D5" s="98" t="str">
        <f t="shared" ref="D5:D10" si="2">Currency&amp;A5&amp;B5&amp;C5&amp;"F"&amp;QuoteSuffix</f>
        <v>EUR1x4F_Quote</v>
      </c>
      <c r="E5" s="98" t="str">
        <f>_xll.qlSimpleQuote(UPPER("B"&amp;$H$1&amp;"_"&amp;A5&amp;B5&amp;C5),,,Permanent,Trigger,ObjectOverwrite)</f>
        <v>B3M_1X4#0011</v>
      </c>
      <c r="F5" s="199" t="e">
        <f>_xll.qlSimpleQuoteSetValue(E5,K5,AllTriggers)</f>
        <v>#N/A</v>
      </c>
      <c r="G5" s="211">
        <f>_xll.qlCalendarAdvance("target",SettlementDate,A5&amp;"M","mf",,Trigger)</f>
        <v>42170</v>
      </c>
      <c r="H5" s="211">
        <f>_xll.qlInterestRateIndexMaturity(ON_6M_index,G5)</f>
        <v>42353</v>
      </c>
      <c r="I5" s="52">
        <f>_xll.qlQuoteValue(D5,AllTriggers)</f>
        <v>-4.9999999999999996E-5</v>
      </c>
      <c r="J5" s="52">
        <f>_xll.qlIndexFixing(ON_3M_index,_xll.qlInterestRateIndexFixingDate(ON_6M_index,G5),,AllTriggers)</f>
        <v>-1.20622989614031E-3</v>
      </c>
      <c r="K5" s="193">
        <f t="shared" si="0"/>
        <v>1.1562298961403101E-3</v>
      </c>
      <c r="L5" s="52">
        <f>_xll.qlTenorBasisValue($P$3,G5,Trigger)</f>
        <v>1.1048715718176057E-3</v>
      </c>
      <c r="M5" s="91">
        <f t="shared" ref="M5:M22" si="3">(K5-L5)*10000</f>
        <v>0.51358324322704374</v>
      </c>
      <c r="N5" s="21"/>
      <c r="O5" s="119" t="s">
        <v>94</v>
      </c>
      <c r="P5" s="120"/>
      <c r="Q5" s="20"/>
      <c r="R5" s="212">
        <f>_xll.qlCalendarAdvance(Calendar,R4,"1D","f")</f>
        <v>42142</v>
      </c>
      <c r="S5" s="47">
        <f>_xll.qlTenorBasisValue($P$3,R5,AllTriggers)</f>
        <v>1.0569976601710262E-3</v>
      </c>
      <c r="T5" s="41">
        <f>_xll.qlDayCounterYearFraction("actual/365 (fixed)",SettlementDate,R5,,,Trigger)</f>
        <v>1.0958904109589041E-2</v>
      </c>
      <c r="U5" s="47">
        <f>_xll.qlPolynomialFunctionValue($P$18,T5,AllTriggers)</f>
        <v>9.6614560767408094E-4</v>
      </c>
    </row>
    <row r="6" spans="1:27" ht="11.25" customHeight="1" x14ac:dyDescent="0.2">
      <c r="A6" s="94">
        <v>2</v>
      </c>
      <c r="B6" s="21" t="s">
        <v>20</v>
      </c>
      <c r="C6" s="101">
        <f t="shared" si="1"/>
        <v>5</v>
      </c>
      <c r="D6" s="99" t="str">
        <f t="shared" si="2"/>
        <v>EUR2x5F_Quote</v>
      </c>
      <c r="E6" s="99" t="str">
        <f>_xll.qlSimpleQuote(UPPER("B"&amp;$H$1&amp;"_"&amp;A6&amp;B6&amp;C6),,,Permanent,Trigger,ObjectOverwrite)</f>
        <v>B3M_2X5#0011</v>
      </c>
      <c r="F6" s="200" t="e">
        <f>_xll.qlSimpleQuoteSetValue(E6,K6,AllTriggers)</f>
        <v>#N/A</v>
      </c>
      <c r="G6" s="212">
        <f>_xll.qlCalendarAdvance("target",SettlementDate,A6&amp;"M","mf",,Trigger)</f>
        <v>42199</v>
      </c>
      <c r="H6" s="212">
        <f>_xll.qlInterestRateIndexMaturity(ON_6M_index,G6)</f>
        <v>42383</v>
      </c>
      <c r="I6" s="47">
        <f>_xll.qlQuoteValue(D6,AllTriggers)</f>
        <v>-4.9999999999999996E-5</v>
      </c>
      <c r="J6" s="47">
        <f>_xll.qlIndexFixing(ON_3M_index,_xll.qlInterestRateIndexFixingDate(ON_6M_index,G6),,AllTriggers)</f>
        <v>-1.1932794819214799E-3</v>
      </c>
      <c r="K6" s="128">
        <f t="shared" si="0"/>
        <v>1.14327948192148E-3</v>
      </c>
      <c r="L6" s="47">
        <f>_xll.qlTenorBasisValue($P$3,G6,Trigger)</f>
        <v>1.148141980306189E-3</v>
      </c>
      <c r="M6" s="64">
        <f t="shared" si="3"/>
        <v>-4.8624983847089451E-2</v>
      </c>
      <c r="N6" s="21"/>
      <c r="O6" s="192" t="s">
        <v>77</v>
      </c>
      <c r="P6" s="66">
        <f t="array" ref="P6:P10">_xll.qlTenorBasisCoefficients(P3)</f>
        <v>1.0496466083624097E-3</v>
      </c>
      <c r="Q6" s="20"/>
      <c r="R6" s="212">
        <f>_xll.qlCalendarAdvance(Calendar,R5,"1D","f")</f>
        <v>42143</v>
      </c>
      <c r="S6" s="47">
        <f>_xll.qlTenorBasisValue($P$3,R6,AllTriggers)</f>
        <v>1.0588150276098708E-3</v>
      </c>
      <c r="T6" s="41">
        <f>_xll.qlDayCounterYearFraction("actual/365 (fixed)",SettlementDate,R6,,,Trigger)</f>
        <v>1.3698630136986301E-2</v>
      </c>
      <c r="U6" s="47">
        <f>_xll.qlPolynomialFunctionValue($P$18,T6,AllTriggers)</f>
        <v>9.6835506959563964E-4</v>
      </c>
    </row>
    <row r="7" spans="1:27" ht="11.25" customHeight="1" x14ac:dyDescent="0.2">
      <c r="A7" s="94">
        <f>A6+1</f>
        <v>3</v>
      </c>
      <c r="B7" s="21" t="s">
        <v>20</v>
      </c>
      <c r="C7" s="101">
        <f t="shared" si="1"/>
        <v>6</v>
      </c>
      <c r="D7" s="99" t="str">
        <f t="shared" si="2"/>
        <v>EUR3x6F_Quote</v>
      </c>
      <c r="E7" s="99" t="str">
        <f>_xll.qlSimpleQuote(UPPER("B"&amp;$H$1&amp;"_"&amp;A7&amp;B7&amp;C7),,,Permanent,Trigger,ObjectOverwrite)</f>
        <v>B3M_3X6#0011</v>
      </c>
      <c r="F7" s="200" t="e">
        <f>_xll.qlSimpleQuoteSetValue(E7,K7,AllTriggers)</f>
        <v>#N/A</v>
      </c>
      <c r="G7" s="212">
        <f>_xll.qlCalendarAdvance("target",SettlementDate,A7&amp;"M","mf",,Trigger)</f>
        <v>42230</v>
      </c>
      <c r="H7" s="212">
        <f>_xll.qlInterestRateIndexMaturity(ON_6M_index,G7)</f>
        <v>42415</v>
      </c>
      <c r="I7" s="47">
        <f>_xll.qlQuoteValue(D7,AllTriggers)</f>
        <v>-6.0000000000000002E-5</v>
      </c>
      <c r="J7" s="47">
        <f>_xll.qlIndexFixing(ON_3M_index,_xll.qlInterestRateIndexFixingDate(ON_6M_index,G7),,AllTriggers)</f>
        <v>-1.211293220732817E-3</v>
      </c>
      <c r="K7" s="128">
        <f t="shared" si="0"/>
        <v>1.1512932207328171E-3</v>
      </c>
      <c r="L7" s="47">
        <f>_xll.qlTenorBasisValue($P$3,G7,Trigger)</f>
        <v>1.1877759285185462E-3</v>
      </c>
      <c r="M7" s="64">
        <f t="shared" si="3"/>
        <v>-0.36482707785729124</v>
      </c>
      <c r="N7" s="21"/>
      <c r="O7" s="192" t="s">
        <v>78</v>
      </c>
      <c r="P7" s="66">
        <v>6.7676052009667882E-4</v>
      </c>
      <c r="Q7" s="20"/>
      <c r="R7" s="212">
        <f>_xll.qlCalendarAdvance(Calendar,R6,"1D","f")</f>
        <v>42144</v>
      </c>
      <c r="S7" s="47">
        <f>_xll.qlTenorBasisValue($P$3,R7,AllTriggers)</f>
        <v>1.0606242722724451E-3</v>
      </c>
      <c r="T7" s="41">
        <f>_xll.qlDayCounterYearFraction("actual/365 (fixed)",SettlementDate,R7,,,Trigger)</f>
        <v>1.643835616438356E-2</v>
      </c>
      <c r="U7" s="47">
        <f>_xll.qlPolynomialFunctionValue($P$18,T7,AllTriggers)</f>
        <v>9.7055558255508914E-4</v>
      </c>
    </row>
    <row r="8" spans="1:27" ht="11.25" customHeight="1" x14ac:dyDescent="0.2">
      <c r="A8" s="94">
        <f t="shared" ref="A8:A10" si="4">A7+1</f>
        <v>4</v>
      </c>
      <c r="B8" s="21" t="s">
        <v>20</v>
      </c>
      <c r="C8" s="101">
        <f t="shared" si="1"/>
        <v>7</v>
      </c>
      <c r="D8" s="99" t="str">
        <f t="shared" si="2"/>
        <v>EUR4x7F_Quote</v>
      </c>
      <c r="E8" s="99" t="str">
        <f>_xll.qlSimpleQuote(UPPER("B"&amp;$H$1&amp;"_"&amp;A8&amp;B8&amp;C8),,,Permanent,Trigger,ObjectOverwrite)</f>
        <v>B3M_4X7#0011</v>
      </c>
      <c r="F8" s="200" t="e">
        <f>_xll.qlSimpleQuoteSetValue(E8,K8,AllTriggers)</f>
        <v>#N/A</v>
      </c>
      <c r="G8" s="212">
        <f>_xll.qlCalendarAdvance("target",SettlementDate,A8&amp;"M","mf",,Trigger)</f>
        <v>42261</v>
      </c>
      <c r="H8" s="212">
        <f>_xll.qlInterestRateIndexMaturity(ON_6M_index,G8)</f>
        <v>42443</v>
      </c>
      <c r="I8" s="47">
        <f>_xll.qlQuoteValue(D8,AllTriggers)</f>
        <v>-6.0000000000000002E-5</v>
      </c>
      <c r="J8" s="47">
        <f>_xll.qlIndexFixing(ON_3M_index,_xll.qlInterestRateIndexFixingDate(ON_6M_index,G8),,AllTriggers)</f>
        <v>-1.2568313710886554E-3</v>
      </c>
      <c r="K8" s="128">
        <f t="shared" si="0"/>
        <v>1.1968313710886554E-3</v>
      </c>
      <c r="L8" s="47">
        <f>_xll.qlTenorBasisValue($P$3,G8,Trigger)</f>
        <v>1.221084947161789E-3</v>
      </c>
      <c r="M8" s="64">
        <f t="shared" si="3"/>
        <v>-0.24253576073133545</v>
      </c>
      <c r="N8" s="21"/>
      <c r="O8" s="192" t="s">
        <v>79</v>
      </c>
      <c r="P8" s="66">
        <v>-5.4697847884373901E-4</v>
      </c>
      <c r="Q8" s="20"/>
      <c r="R8" s="212">
        <f>_xll.qlCalendarAdvance(Calendar,R7,"1D","f")</f>
        <v>42145</v>
      </c>
      <c r="S8" s="47">
        <f>_xll.qlTenorBasisValue($P$3,R8,AllTriggers)</f>
        <v>1.0624254118732752E-3</v>
      </c>
      <c r="T8" s="41">
        <f>_xll.qlDayCounterYearFraction("actual/365 (fixed)",SettlementDate,R8,,,Trigger)</f>
        <v>1.9178082191780823E-2</v>
      </c>
      <c r="U8" s="47">
        <f>_xll.qlPolynomialFunctionValue($P$18,T8,AllTriggers)</f>
        <v>9.7274716426695609E-4</v>
      </c>
    </row>
    <row r="9" spans="1:27" ht="11.25" customHeight="1" x14ac:dyDescent="0.2">
      <c r="A9" s="94">
        <f t="shared" si="4"/>
        <v>5</v>
      </c>
      <c r="B9" s="21" t="s">
        <v>20</v>
      </c>
      <c r="C9" s="101">
        <f t="shared" si="1"/>
        <v>8</v>
      </c>
      <c r="D9" s="99" t="str">
        <f t="shared" si="2"/>
        <v>EUR5x8F_Quote</v>
      </c>
      <c r="E9" s="99" t="str">
        <f>_xll.qlSimpleQuote(UPPER("B"&amp;$H$1&amp;"_"&amp;A9&amp;B9&amp;C9),,,Permanent,Trigger,ObjectOverwrite)</f>
        <v>B3M_5X8#0011</v>
      </c>
      <c r="F9" s="200" t="e">
        <f>_xll.qlSimpleQuoteSetValue(E9,K9,AllTriggers)</f>
        <v>#N/A</v>
      </c>
      <c r="G9" s="212">
        <f>_xll.qlCalendarAdvance("target",SettlementDate,A9&amp;"M","mf",,Trigger)</f>
        <v>42291</v>
      </c>
      <c r="H9" s="212">
        <f>_xll.qlInterestRateIndexMaturity(ON_6M_index,G9)</f>
        <v>42474</v>
      </c>
      <c r="I9" s="47">
        <f>_xll.qlQuoteValue(D9,AllTriggers)</f>
        <v>-4.9999999999999996E-5</v>
      </c>
      <c r="J9" s="47">
        <f>_xll.qlIndexFixing(ON_3M_index,_xll.qlInterestRateIndexFixingDate(ON_6M_index,G9),,AllTriggers)</f>
        <v>-1.311165784443395E-3</v>
      </c>
      <c r="K9" s="128">
        <f t="shared" si="0"/>
        <v>1.2611657844433951E-3</v>
      </c>
      <c r="L9" s="47">
        <f>_xll.qlTenorBasisValue($P$3,G9,Trigger)</f>
        <v>1.2477943755533575E-3</v>
      </c>
      <c r="M9" s="64">
        <f t="shared" si="3"/>
        <v>0.13371408890037584</v>
      </c>
      <c r="N9" s="21"/>
      <c r="O9" s="192" t="s">
        <v>80</v>
      </c>
      <c r="P9" s="66">
        <v>1.435677500220862E-4</v>
      </c>
      <c r="Q9" s="20"/>
      <c r="R9" s="212">
        <f>_xll.qlCalendarAdvance(Calendar,R8,"1D","f")</f>
        <v>42146</v>
      </c>
      <c r="S9" s="47">
        <f>_xll.qlTenorBasisValue($P$3,R9,AllTriggers)</f>
        <v>1.0642184641268882E-3</v>
      </c>
      <c r="T9" s="41">
        <f>_xll.qlDayCounterYearFraction("actual/365 (fixed)",SettlementDate,R9,,,Trigger)</f>
        <v>2.1917808219178082E-2</v>
      </c>
      <c r="U9" s="47">
        <f>_xll.qlPolynomialFunctionValue($P$18,T9,AllTriggers)</f>
        <v>9.7492983244576708E-4</v>
      </c>
    </row>
    <row r="10" spans="1:27" ht="11.25" customHeight="1" x14ac:dyDescent="0.2">
      <c r="A10" s="94">
        <f t="shared" si="4"/>
        <v>6</v>
      </c>
      <c r="B10" s="21" t="s">
        <v>20</v>
      </c>
      <c r="C10" s="101">
        <f t="shared" si="1"/>
        <v>9</v>
      </c>
      <c r="D10" s="99" t="str">
        <f t="shared" si="2"/>
        <v>EUR6x9F_Quote</v>
      </c>
      <c r="E10" s="99" t="str">
        <f>_xll.qlSimpleQuote(UPPER("B"&amp;$H$1&amp;"_"&amp;A10&amp;B10&amp;C10),,,Permanent,Trigger,ObjectOverwrite)</f>
        <v>B3M_6X9#0011</v>
      </c>
      <c r="F10" s="200" t="e">
        <f>_xll.qlSimpleQuoteSetValue(E10,K10,AllTriggers)</f>
        <v>#N/A</v>
      </c>
      <c r="G10" s="212">
        <f>_xll.qlCalendarAdvance("target",SettlementDate,A10&amp;"M","mf",,Trigger)</f>
        <v>42324</v>
      </c>
      <c r="H10" s="212">
        <f>_xll.qlInterestRateIndexMaturity(ON_6M_index,G10)</f>
        <v>42506</v>
      </c>
      <c r="I10" s="47">
        <f>_xll.qlQuoteValue(D10,AllTriggers)</f>
        <v>-6.0000000000000002E-5</v>
      </c>
      <c r="J10" s="47">
        <f>_xll.qlIndexFixing(ON_3M_index,_xll.qlInterestRateIndexFixingDate(ON_6M_index,G10),,AllTriggers)</f>
        <v>-1.3275576725911022E-3</v>
      </c>
      <c r="K10" s="128">
        <f t="shared" si="0"/>
        <v>1.2675576725911023E-3</v>
      </c>
      <c r="L10" s="47">
        <f>_xll.qlTenorBasisValue($P$3,G10,Trigger)</f>
        <v>1.2714748441632173E-3</v>
      </c>
      <c r="M10" s="64">
        <f t="shared" si="3"/>
        <v>-3.9171715721150052E-2</v>
      </c>
      <c r="N10" s="21"/>
      <c r="O10" s="192" t="s">
        <v>81</v>
      </c>
      <c r="P10" s="66" t="e">
        <v>#N/A</v>
      </c>
      <c r="Q10" s="20"/>
      <c r="R10" s="212">
        <f>_xll.qlCalendarAdvance(Calendar,R9,"1D","f")</f>
        <v>42149</v>
      </c>
      <c r="S10" s="47">
        <f>_xll.qlTenorBasisValue($P$3,R10,AllTriggers)</f>
        <v>1.0695492739496893E-3</v>
      </c>
      <c r="T10" s="41">
        <f>_xll.qlDayCounterYearFraction("actual/365 (fixed)",SettlementDate,R10,,,Trigger)</f>
        <v>3.0136986301369864E-2</v>
      </c>
      <c r="U10" s="47">
        <f>_xll.qlPolynomialFunctionValue($P$18,T10,AllTriggers)</f>
        <v>9.8142453292913078E-4</v>
      </c>
    </row>
    <row r="11" spans="1:27" ht="11.25" customHeight="1" x14ac:dyDescent="0.2">
      <c r="A11" s="257" t="b">
        <v>0</v>
      </c>
      <c r="B11" s="258"/>
      <c r="C11" s="102" t="str">
        <f>_xll.qlIMMNextCode(SettlementDate,A11)</f>
        <v>K5</v>
      </c>
      <c r="D11" s="98" t="str">
        <f t="shared" ref="D11:D22" si="5">Currency&amp;"FUT"&amp;"3M"&amp;C11&amp;QuoteSuffix</f>
        <v>EURFUT3MK5_Quote</v>
      </c>
      <c r="E11" s="98" t="str">
        <f>_xll.qlSimpleQuote(UPPER("B"&amp;$H$1&amp;"_FUT"&amp;C11),,,Permanent,Trigger,ObjectOverwrite)</f>
        <v>B3M_FUTK5#0010</v>
      </c>
      <c r="F11" s="199" t="e">
        <f>_xll.qlSimpleQuoteSetValue(E11,K11,AllTriggers)</f>
        <v>#N/A</v>
      </c>
      <c r="G11" s="211">
        <f>_xll.qlIMMdate(C11,SettlementDate,Trigger)</f>
        <v>42144</v>
      </c>
      <c r="H11" s="211">
        <f>_xll.qlInterestRateIndexMaturity(ON_6M_index,G11)</f>
        <v>42328</v>
      </c>
      <c r="I11" s="52">
        <f>1-_xll.qlQuoteValue(D11,AllTriggers)/100-_xll.qlQuoteValue(Currency&amp;"FUT"&amp;"3M"&amp;C11&amp;"ConvAdj_Quote")</f>
        <v>-1.2499999999993072E-4</v>
      </c>
      <c r="J11" s="52">
        <f>_xll.qlIndexFixing(ON_3M_index,_xll.qlInterestRateIndexFixingDate(ON_6M_index,G11),,AllTriggers)</f>
        <v>-1.1352785815676037E-3</v>
      </c>
      <c r="K11" s="193">
        <f t="shared" si="0"/>
        <v>1.010278581567673E-3</v>
      </c>
      <c r="L11" s="52">
        <f>_xll.qlTenorBasisValue($P$3,G11,Trigger)</f>
        <v>1.0606242722724451E-3</v>
      </c>
      <c r="M11" s="91">
        <f t="shared" si="3"/>
        <v>-0.50345690704772061</v>
      </c>
      <c r="N11" s="21"/>
      <c r="Q11" s="20"/>
      <c r="R11" s="212">
        <f>_xll.qlCalendarAdvance(Calendar,R10,"1D","f")</f>
        <v>42150</v>
      </c>
      <c r="S11" s="47">
        <f>_xll.qlTenorBasisValue($P$3,R11,AllTriggers)</f>
        <v>1.0713101539596985E-3</v>
      </c>
      <c r="T11" s="41">
        <f>_xll.qlDayCounterYearFraction("actual/365 (fixed)",SettlementDate,R11,,,Trigger)</f>
        <v>3.287671232876712E-2</v>
      </c>
      <c r="U11" s="47">
        <f>_xll.qlPolynomialFunctionValue($P$18,T11,AllTriggers)</f>
        <v>9.835717241209838E-4</v>
      </c>
    </row>
    <row r="12" spans="1:27" ht="11.25" customHeight="1" x14ac:dyDescent="0.2">
      <c r="A12" s="259" t="b">
        <v>0</v>
      </c>
      <c r="B12" s="260"/>
      <c r="C12" s="101" t="str">
        <f>_xll.qlIMMNextCode(C11,A12)</f>
        <v>M5</v>
      </c>
      <c r="D12" s="99" t="str">
        <f t="shared" si="5"/>
        <v>EURFUT3MM5_Quote</v>
      </c>
      <c r="E12" s="99" t="str">
        <f>_xll.qlSimpleQuote(UPPER("B"&amp;$H$1&amp;"_FUT"&amp;C12),,,Permanent,Trigger,ObjectOverwrite)</f>
        <v>B3M_FUTM5#0010</v>
      </c>
      <c r="F12" s="200" t="e">
        <f>_xll.qlSimpleQuoteSetValue(E12,K12,AllTriggers)</f>
        <v>#N/A</v>
      </c>
      <c r="G12" s="212">
        <f>_xll.qlIMMdate(C12,SettlementDate,Trigger)</f>
        <v>42172</v>
      </c>
      <c r="H12" s="212">
        <f>_xll.qlInterestRateIndexMaturity(ON_6M_index,G12)</f>
        <v>42355</v>
      </c>
      <c r="I12" s="47">
        <f>1-_xll.qlQuoteValue(D12,AllTriggers)/100-_xll.qlQuoteValue(Currency&amp;"FUT"&amp;"3M"&amp;C12&amp;"ConvAdj_Quote")</f>
        <v>-2.4999999999941735E-5</v>
      </c>
      <c r="J12" s="47">
        <f>_xll.qlIndexFixing(ON_3M_index,_xll.qlInterestRateIndexFixingDate(ON_6M_index,G12),,AllTriggers)</f>
        <v>-1.213915958221015E-3</v>
      </c>
      <c r="K12" s="128">
        <f t="shared" si="0"/>
        <v>1.1889159582210733E-3</v>
      </c>
      <c r="L12" s="47">
        <f>_xll.qlTenorBasisValue($P$3,G12,Trigger)</f>
        <v>1.1080571966367411E-3</v>
      </c>
      <c r="M12" s="64">
        <f t="shared" si="3"/>
        <v>0.80858761584332117</v>
      </c>
      <c r="N12" s="21"/>
      <c r="O12" s="119" t="s">
        <v>95</v>
      </c>
      <c r="P12" s="120"/>
      <c r="Q12" s="20"/>
      <c r="R12" s="212">
        <f>_xll.qlCalendarAdvance(Calendar,R11,"1D","f")</f>
        <v>42151</v>
      </c>
      <c r="S12" s="47">
        <f>_xll.qlTenorBasisValue($P$3,R12,AllTriggers)</f>
        <v>1.0730630351951241E-3</v>
      </c>
      <c r="T12" s="41">
        <f>_xll.qlDayCounterYearFraction("actual/365 (fixed)",SettlementDate,R12,,,Trigger)</f>
        <v>3.5616438356164383E-2</v>
      </c>
      <c r="U12" s="47">
        <f>_xll.qlPolynomialFunctionValue($P$18,T12,AllTriggers)</f>
        <v>9.8571009035241445E-4</v>
      </c>
    </row>
    <row r="13" spans="1:27" ht="11.25" customHeight="1" x14ac:dyDescent="0.2">
      <c r="A13" s="259" t="b">
        <v>1</v>
      </c>
      <c r="B13" s="260"/>
      <c r="C13" s="101" t="str">
        <f>_xll.qlIMMNextCode(C12,A13)</f>
        <v>U5</v>
      </c>
      <c r="D13" s="99" t="str">
        <f t="shared" si="5"/>
        <v>EURFUT3MU5_Quote</v>
      </c>
      <c r="E13" s="99" t="str">
        <f>_xll.qlSimpleQuote(UPPER("B"&amp;$H$1&amp;"_FUT"&amp;C13),,,Permanent,Trigger,ObjectOverwrite)</f>
        <v>B3M_FUTU5#0010</v>
      </c>
      <c r="F13" s="200" t="e">
        <f>_xll.qlSimpleQuoteSetValue(E13,K13,AllTriggers)</f>
        <v>#N/A</v>
      </c>
      <c r="G13" s="212">
        <f>_xll.qlIMMdate(C13,SettlementDate,Trigger)</f>
        <v>42263</v>
      </c>
      <c r="H13" s="212">
        <f>_xll.qlInterestRateIndexMaturity(ON_6M_index,G13)</f>
        <v>42445</v>
      </c>
      <c r="I13" s="47">
        <f>1-_xll.qlQuoteValue(D13,AllTriggers)/100-_xll.qlQuoteValue(Currency&amp;"FUT"&amp;"3M"&amp;C13&amp;"ConvAdj_Quote")</f>
        <v>-7.4999999999825206E-5</v>
      </c>
      <c r="J13" s="47">
        <f>_xll.qlIndexFixing(ON_3M_index,_xll.qlInterestRateIndexFixingDate(ON_6M_index,G13),,AllTriggers)</f>
        <v>-1.254065659728944E-3</v>
      </c>
      <c r="K13" s="128">
        <f t="shared" si="0"/>
        <v>1.1790656597291187E-3</v>
      </c>
      <c r="L13" s="47">
        <f>_xll.qlTenorBasisValue($P$3,G13,Trigger)</f>
        <v>1.2230291939222427E-3</v>
      </c>
      <c r="M13" s="64">
        <f t="shared" si="3"/>
        <v>-0.43963534193123927</v>
      </c>
      <c r="N13" s="21"/>
      <c r="O13" s="192" t="s">
        <v>77</v>
      </c>
      <c r="P13" s="66">
        <f t="array" ref="P13:P17">_xll.qlTenorInstCoefficients(P3)</f>
        <v>9.5721791607622226E-4</v>
      </c>
      <c r="Q13" s="20"/>
      <c r="R13" s="212">
        <f>_xll.qlCalendarAdvance(Calendar,R12,"1D","f")</f>
        <v>42152</v>
      </c>
      <c r="S13" s="47">
        <f>_xll.qlTenorBasisValue($P$3,R13,AllTriggers)</f>
        <v>1.0748079353704921E-3</v>
      </c>
      <c r="T13" s="41">
        <f>_xll.qlDayCounterYearFraction("actual/365 (fixed)",SettlementDate,R13,,,Trigger)</f>
        <v>3.8356164383561646E-2</v>
      </c>
      <c r="U13" s="47">
        <f>_xll.qlPolynomialFunctionValue($P$18,T13,AllTriggers)</f>
        <v>9.8783964933794877E-4</v>
      </c>
    </row>
    <row r="14" spans="1:27" ht="11.25" customHeight="1" thickBot="1" x14ac:dyDescent="0.25">
      <c r="A14" s="259" t="b">
        <v>1</v>
      </c>
      <c r="B14" s="260"/>
      <c r="C14" s="101" t="str">
        <f>_xll.qlIMMNextCode(C13,A14)</f>
        <v>Z5</v>
      </c>
      <c r="D14" s="99" t="str">
        <f t="shared" si="5"/>
        <v>EURFUT3MZ5_Quote</v>
      </c>
      <c r="E14" s="99" t="str">
        <f>_xll.qlSimpleQuote(UPPER("B"&amp;$H$1&amp;"_FUT"&amp;C14),,,Permanent,Trigger,ObjectOverwrite)</f>
        <v>B3M_FUTZ5#0010</v>
      </c>
      <c r="F14" s="200" t="e">
        <f>_xll.qlSimpleQuoteSetValue(E14,K14,AllTriggers)</f>
        <v>#N/A</v>
      </c>
      <c r="G14" s="212">
        <f>_xll.qlIMMdate(C14,SettlementDate,Trigger)</f>
        <v>42354</v>
      </c>
      <c r="H14" s="212">
        <f>_xll.qlInterestRateIndexMaturity(ON_6M_index,G14)</f>
        <v>42537</v>
      </c>
      <c r="I14" s="47">
        <f>1-_xll.qlQuoteValue(D14,AllTriggers)/100-_xll.qlQuoteValue(Currency&amp;"FUT"&amp;"3M"&amp;C14&amp;"ConvAdj_Quote")</f>
        <v>-2.4999999999941735E-5</v>
      </c>
      <c r="J14" s="47">
        <f>_xll.qlIndexFixing(ON_3M_index,_xll.qlInterestRateIndexFixingDate(ON_6M_index,G14),,AllTriggers)</f>
        <v>-1.3174355730062059E-3</v>
      </c>
      <c r="K14" s="128">
        <f t="shared" si="0"/>
        <v>1.2924355730062642E-3</v>
      </c>
      <c r="L14" s="47">
        <f>_xll.qlTenorBasisValue($P$3,G14,Trigger)</f>
        <v>1.2883397603013725E-3</v>
      </c>
      <c r="M14" s="64">
        <f t="shared" si="3"/>
        <v>4.0958127048916319E-2</v>
      </c>
      <c r="N14" s="21"/>
      <c r="O14" s="192" t="s">
        <v>78</v>
      </c>
      <c r="P14" s="66">
        <v>8.2123201652721978E-4</v>
      </c>
      <c r="Q14" s="20"/>
      <c r="R14" s="212">
        <f>_xll.qlCalendarAdvance(Calendar,R13,"1D","f")</f>
        <v>42153</v>
      </c>
      <c r="S14" s="47">
        <f>_xll.qlTenorBasisValue($P$3,R14,AllTriggers)</f>
        <v>1.0765448722003289E-3</v>
      </c>
      <c r="T14" s="41">
        <f>_xll.qlDayCounterYearFraction("actual/365 (fixed)",SettlementDate,R14,,,Trigger)</f>
        <v>4.1095890410958902E-2</v>
      </c>
      <c r="U14" s="47">
        <f>_xll.qlPolynomialFunctionValue($P$18,T14,AllTriggers)</f>
        <v>9.8996041879211342E-4</v>
      </c>
      <c r="W14" s="36"/>
      <c r="X14" s="36" t="s">
        <v>49</v>
      </c>
      <c r="Y14" s="36" t="s">
        <v>38</v>
      </c>
      <c r="Z14" s="36" t="s">
        <v>39</v>
      </c>
      <c r="AA14" s="204" t="s">
        <v>93</v>
      </c>
    </row>
    <row r="15" spans="1:27" ht="11.25" customHeight="1" x14ac:dyDescent="0.2">
      <c r="A15" s="259" t="b">
        <v>1</v>
      </c>
      <c r="B15" s="260"/>
      <c r="C15" s="101" t="str">
        <f>_xll.qlIMMNextCode(C14,A15)</f>
        <v>H6</v>
      </c>
      <c r="D15" s="99" t="str">
        <f t="shared" si="5"/>
        <v>EURFUT3MH6_Quote</v>
      </c>
      <c r="E15" s="99" t="str">
        <f>_xll.qlSimpleQuote(UPPER("B"&amp;$H$1&amp;"_FUT"&amp;C15),,,Permanent,Trigger,ObjectOverwrite)</f>
        <v>B3M_FUTH6#0010</v>
      </c>
      <c r="F15" s="200" t="e">
        <f>_xll.qlSimpleQuoteSetValue(E15,K15,AllTriggers)</f>
        <v>#N/A</v>
      </c>
      <c r="G15" s="212">
        <f>_xll.qlIMMdate(C15,SettlementDate,Trigger)</f>
        <v>42445</v>
      </c>
      <c r="H15" s="212">
        <f>_xll.qlInterestRateIndexMaturity(ON_6M_index,G15)</f>
        <v>42629</v>
      </c>
      <c r="I15" s="47">
        <f>1-_xll.qlQuoteValue(D15,AllTriggers)/100-_xll.qlQuoteValue(Currency&amp;"FUT"&amp;"3M"&amp;C15&amp;"ConvAdj_Quote")</f>
        <v>7.4999999999936229E-5</v>
      </c>
      <c r="J15" s="47">
        <f>_xll.qlIndexFixing(ON_3M_index,_xll.qlInterestRateIndexFixingDate(ON_6M_index,G15),,AllTriggers)</f>
        <v>-1.2598526095320829E-3</v>
      </c>
      <c r="K15" s="128">
        <f t="shared" si="0"/>
        <v>1.3348526095320191E-3</v>
      </c>
      <c r="L15" s="47">
        <f>_xll.qlTenorBasisValue($P$3,G15,Trigger)</f>
        <v>1.317338049311614E-3</v>
      </c>
      <c r="M15" s="64">
        <f t="shared" si="3"/>
        <v>0.17514560220405162</v>
      </c>
      <c r="N15" s="21"/>
      <c r="O15" s="192" t="s">
        <v>79</v>
      </c>
      <c r="P15" s="66">
        <v>-6.0201278301887204E-4</v>
      </c>
      <c r="Q15" s="20"/>
      <c r="R15" s="212">
        <f>_xll.qlCalendarAdvance(Calendar,R14,"1D","f")</f>
        <v>42156</v>
      </c>
      <c r="S15" s="47">
        <f>_xll.qlTenorBasisValue($P$3,R15,AllTriggers)</f>
        <v>1.0817080797619202E-3</v>
      </c>
      <c r="T15" s="41">
        <f>_xll.qlDayCounterYearFraction("actual/365 (fixed)",SettlementDate,R15,,,Trigger)</f>
        <v>4.9315068493150684E-2</v>
      </c>
      <c r="U15" s="47">
        <f>_xll.qlPolynomialFunctionValue($P$18,T15,AllTriggers)</f>
        <v>9.9627016711165617E-4</v>
      </c>
      <c r="W15" s="45">
        <v>0</v>
      </c>
      <c r="X15" s="45" t="s">
        <v>25</v>
      </c>
      <c r="Y15" s="175">
        <f>_xll.qlCalendarAdvance(Calendar,SettlementDate,W15&amp;"M","mf",TRUE,Trigger)</f>
        <v>42138</v>
      </c>
      <c r="Z15" s="176">
        <f>_xll.qlCalendarAdvance(Calendar,SettlementDate,X15,"Following",,Trigger)</f>
        <v>42139</v>
      </c>
      <c r="AA15" s="205">
        <f>_xll.qlTenorBasisForwardRate2(TenorBasis6M,Y15,Z15,AllTriggers)</f>
        <v>-4.4796104345934395E-5</v>
      </c>
    </row>
    <row r="16" spans="1:27" ht="11.25" customHeight="1" x14ac:dyDescent="0.2">
      <c r="A16" s="259" t="b">
        <v>1</v>
      </c>
      <c r="B16" s="260"/>
      <c r="C16" s="101" t="str">
        <f>_xll.qlIMMNextCode(C15,A16)</f>
        <v>M6</v>
      </c>
      <c r="D16" s="99" t="str">
        <f t="shared" si="5"/>
        <v>EURFUT3MM6_Quote</v>
      </c>
      <c r="E16" s="99" t="str">
        <f>_xll.qlSimpleQuote(UPPER("B"&amp;$H$1&amp;"_FUT"&amp;C16),,,Permanent,Trigger,ObjectOverwrite)</f>
        <v>B3M_FUTM6#0010</v>
      </c>
      <c r="F16" s="200" t="e">
        <f>_xll.qlSimpleQuoteSetValue(E16,K16,AllTriggers)</f>
        <v>#N/A</v>
      </c>
      <c r="G16" s="212">
        <f>_xll.qlIMMdate(C16,SettlementDate,Trigger)</f>
        <v>42536</v>
      </c>
      <c r="H16" s="212">
        <f>_xll.qlInterestRateIndexMaturity(ON_6M_index,G16)</f>
        <v>42719</v>
      </c>
      <c r="I16" s="47">
        <f>1-_xll.qlQuoteValue(D16,AllTriggers)/100-_xll.qlQuoteValue(Currency&amp;"FUT"&amp;"3M"&amp;C16&amp;"ConvAdj_Quote")</f>
        <v>2.2500000000003073E-4</v>
      </c>
      <c r="J16" s="47">
        <f>_xll.qlIndexFixing(ON_3M_index,_xll.qlInterestRateIndexFixingDate(ON_6M_index,G16),,AllTriggers)</f>
        <v>-1.0901522649632628E-3</v>
      </c>
      <c r="K16" s="128">
        <f t="shared" si="0"/>
        <v>1.3151522649632935E-3</v>
      </c>
      <c r="L16" s="47">
        <f>_xll.qlTenorBasisValue($P$3,G16,Trigger)</f>
        <v>1.3233732144904496E-3</v>
      </c>
      <c r="M16" s="64">
        <f t="shared" si="3"/>
        <v>-8.2209495271560934E-2</v>
      </c>
      <c r="N16" s="21"/>
      <c r="O16" s="192" t="s">
        <v>80</v>
      </c>
      <c r="P16" s="66">
        <v>1.435677500220862E-4</v>
      </c>
      <c r="Q16" s="20"/>
      <c r="R16" s="212">
        <f>_xll.qlCalendarAdvance(Calendar,R15,"1D","f")</f>
        <v>42157</v>
      </c>
      <c r="S16" s="47">
        <f>_xll.qlTenorBasisValue($P$3,R16,AllTriggers)</f>
        <v>1.0834133403548989E-3</v>
      </c>
      <c r="T16" s="41">
        <f>_xll.qlDayCounterYearFraction("actual/365 (fixed)",SettlementDate,R16,,,Trigger)</f>
        <v>5.2054794520547946E-2</v>
      </c>
      <c r="U16" s="47">
        <f>_xll.qlPolynomialFunctionValue($P$18,T16,AllTriggers)</f>
        <v>9.9835595558560829E-4</v>
      </c>
      <c r="W16" s="48">
        <v>0</v>
      </c>
      <c r="X16" s="48" t="s">
        <v>26</v>
      </c>
      <c r="Y16" s="177">
        <f>_xll.qlCalendarAdvance(Calendar,SettlementDate,W16&amp;"M","mf",TRUE,Trigger)</f>
        <v>42138</v>
      </c>
      <c r="Z16" s="178">
        <f>_xll.qlCalendarAdvance(Calendar,SettlementDate,X16,"Following",,Trigger)</f>
        <v>42145</v>
      </c>
      <c r="AA16" s="206">
        <f>_xll.qlTenorBasisForwardRate2(TenorBasis6M,Y16,Z16,AllTriggers)</f>
        <v>-3.8209765368866855E-5</v>
      </c>
    </row>
    <row r="17" spans="1:27" ht="11.25" customHeight="1" x14ac:dyDescent="0.2">
      <c r="A17" s="259" t="b">
        <v>1</v>
      </c>
      <c r="B17" s="260"/>
      <c r="C17" s="101" t="str">
        <f>_xll.qlIMMNextCode(C16,A17)</f>
        <v>U6</v>
      </c>
      <c r="D17" s="99" t="str">
        <f t="shared" si="5"/>
        <v>EURFUT3MU6_Quote</v>
      </c>
      <c r="E17" s="99" t="str">
        <f>_xll.qlSimpleQuote(UPPER("B"&amp;$H$1&amp;"_FUT"&amp;C17),,,Permanent,Trigger,ObjectOverwrite)</f>
        <v>B3M_FUTU6#0010</v>
      </c>
      <c r="F17" s="200" t="e">
        <f>_xll.qlSimpleQuoteSetValue(E17,K17,AllTriggers)</f>
        <v>#N/A</v>
      </c>
      <c r="G17" s="212">
        <f>_xll.qlIMMdate(C17,SettlementDate,Trigger)</f>
        <v>42634</v>
      </c>
      <c r="H17" s="212">
        <f>_xll.qlInterestRateIndexMaturity(ON_6M_index,G17)</f>
        <v>42815</v>
      </c>
      <c r="I17" s="47">
        <f>1-_xll.qlQuoteValue(D17,AllTriggers)/100-_xll.qlQuoteValue(Currency&amp;"FUT"&amp;"3M"&amp;C17&amp;"ConvAdj_Quote")</f>
        <v>5.2500000000010871E-4</v>
      </c>
      <c r="J17" s="47">
        <f>_xll.qlIndexFixing(ON_3M_index,_xll.qlInterestRateIndexFixingDate(ON_6M_index,G17),,AllTriggers)</f>
        <v>-1.0014647767596287E-3</v>
      </c>
      <c r="K17" s="128">
        <f t="shared" si="0"/>
        <v>1.5264647767597374E-3</v>
      </c>
      <c r="L17" s="47">
        <f>_xll.qlTenorBasisValue($P$3,G17,Trigger)</f>
        <v>1.3195036980925504E-3</v>
      </c>
      <c r="M17" s="64">
        <f t="shared" si="3"/>
        <v>2.0696107866718698</v>
      </c>
      <c r="N17" s="21"/>
      <c r="O17" s="192" t="s">
        <v>81</v>
      </c>
      <c r="P17" s="66" t="e">
        <v>#N/A</v>
      </c>
      <c r="Q17" s="20"/>
      <c r="R17" s="212">
        <f>_xll.qlCalendarAdvance(Calendar,R16,"1D","f")</f>
        <v>42158</v>
      </c>
      <c r="S17" s="47">
        <f>_xll.qlTenorBasisValue($P$3,R17,AllTriggers)</f>
        <v>1.0851107261749802E-3</v>
      </c>
      <c r="T17" s="41">
        <f>_xll.qlDayCounterYearFraction("actual/365 (fixed)",SettlementDate,R17,,,Trigger)</f>
        <v>5.4794520547945202E-2</v>
      </c>
      <c r="U17" s="47">
        <f>_xll.qlPolynomialFunctionValue($P$18,T17,AllTriggers)</f>
        <v>1.0004330431008241E-3</v>
      </c>
      <c r="W17" s="48">
        <v>0</v>
      </c>
      <c r="X17" s="48" t="s">
        <v>27</v>
      </c>
      <c r="Y17" s="177">
        <f>_xll.qlCalendarAdvance(Calendar,SettlementDate,W17&amp;"M","mf",TRUE,Trigger)</f>
        <v>42138</v>
      </c>
      <c r="Z17" s="178">
        <f>_xll.qlCalendarAdvance(Calendar,SettlementDate,X17,"Following",,Trigger)</f>
        <v>42152</v>
      </c>
      <c r="AA17" s="206">
        <f>_xll.qlTenorBasisForwardRate2(TenorBasis6M,Y17,Z17,AllTriggers)</f>
        <v>-4.0669348880013291E-5</v>
      </c>
    </row>
    <row r="18" spans="1:27" ht="11.25" customHeight="1" x14ac:dyDescent="0.2">
      <c r="A18" s="259" t="b">
        <v>1</v>
      </c>
      <c r="B18" s="260"/>
      <c r="C18" s="101" t="str">
        <f>_xll.qlIMMNextCode(C17,A18)</f>
        <v>Z6</v>
      </c>
      <c r="D18" s="99" t="str">
        <f t="shared" si="5"/>
        <v>EURFUT3MZ6_Quote</v>
      </c>
      <c r="E18" s="99" t="str">
        <f>_xll.qlSimpleQuote(UPPER("B"&amp;$H$1&amp;"_FUT"&amp;C18),,,Permanent,Trigger,ObjectOverwrite)</f>
        <v>B3M_FUTZ6#0010</v>
      </c>
      <c r="F18" s="200" t="e">
        <f>_xll.qlSimpleQuoteSetValue(E18,K18,AllTriggers)</f>
        <v>#N/A</v>
      </c>
      <c r="G18" s="212">
        <f>_xll.qlIMMdate(C18,SettlementDate,Trigger)</f>
        <v>42725</v>
      </c>
      <c r="H18" s="212">
        <f>_xll.qlInterestRateIndexMaturity(ON_6M_index,G18)</f>
        <v>42907</v>
      </c>
      <c r="I18" s="47">
        <f>1-_xll.qlQuoteValue(D18,AllTriggers)/100-_xll.qlQuoteValue(Currency&amp;"FUT"&amp;"3M"&amp;C18&amp;"ConvAdj_Quote")</f>
        <v>9.2500000000006466E-4</v>
      </c>
      <c r="J18" s="47">
        <f>_xll.qlIndexFixing(ON_3M_index,_xll.qlInterestRateIndexFixingDate(ON_6M_index,G18),,AllTriggers)</f>
        <v>-4.8005614116419792E-4</v>
      </c>
      <c r="K18" s="128">
        <f t="shared" si="0"/>
        <v>1.4050561411642626E-3</v>
      </c>
      <c r="L18" s="47">
        <f>_xll.qlTenorBasisValue($P$3,G18,Trigger)</f>
        <v>1.3205003215282919E-3</v>
      </c>
      <c r="M18" s="64">
        <f t="shared" si="3"/>
        <v>0.84555819635970686</v>
      </c>
      <c r="N18" s="21"/>
      <c r="O18" s="192" t="s">
        <v>99</v>
      </c>
      <c r="P18" s="66" t="str">
        <f>_xll.qlPolynomialFunction(,_xll.ohPack(P13:P17),,Trigger)</f>
        <v>obj_0086c#0010</v>
      </c>
      <c r="Q18" s="20"/>
      <c r="R18" s="212">
        <f>_xll.qlCalendarAdvance(Calendar,R17,"1D","f")</f>
        <v>42159</v>
      </c>
      <c r="S18" s="47">
        <f>_xll.qlTenorBasisValue($P$3,R18,AllTriggers)</f>
        <v>1.08680025493669E-3</v>
      </c>
      <c r="T18" s="41">
        <f>_xll.qlDayCounterYearFraction("actual/365 (fixed)",SettlementDate,R18,,,Trigger)</f>
        <v>5.7534246575342465E-2</v>
      </c>
      <c r="U18" s="47">
        <f>_xll.qlPolynomialFunctionValue($P$18,T18,AllTriggers)</f>
        <v>1.0025014473718302E-3</v>
      </c>
      <c r="W18" s="48">
        <v>0</v>
      </c>
      <c r="X18" s="48" t="s">
        <v>28</v>
      </c>
      <c r="Y18" s="177">
        <f>_xll.qlCalendarAdvance(Calendar,SettlementDate,W18&amp;"M","mf",TRUE,Trigger)</f>
        <v>42138</v>
      </c>
      <c r="Z18" s="178">
        <f>_xll.qlCalendarAdvance(Calendar,SettlementDate,X18,"Following",,Trigger)</f>
        <v>42159</v>
      </c>
      <c r="AA18" s="206">
        <f>_xll.qlTenorBasisForwardRate2(TenorBasis6M,Y18,Z18,AllTriggers)</f>
        <v>4.6733159646856439E-5</v>
      </c>
    </row>
    <row r="19" spans="1:27" ht="11.25" customHeight="1" x14ac:dyDescent="0.2">
      <c r="A19" s="259" t="b">
        <v>1</v>
      </c>
      <c r="B19" s="260"/>
      <c r="C19" s="101" t="str">
        <f>_xll.qlIMMNextCode(C18,A19)</f>
        <v>H7</v>
      </c>
      <c r="D19" s="99" t="str">
        <f t="shared" si="5"/>
        <v>EURFUT3MH7_Quote</v>
      </c>
      <c r="E19" s="99" t="str">
        <f>_xll.qlSimpleQuote(UPPER("B"&amp;$H$1&amp;"_FUT"&amp;C19),,,Permanent,Trigger,ObjectOverwrite)</f>
        <v>B3M_FUTH7#0010</v>
      </c>
      <c r="F19" s="200" t="e">
        <f>_xll.qlSimpleQuoteSetValue(E19,K19,AllTriggers)</f>
        <v>#N/A</v>
      </c>
      <c r="G19" s="212">
        <f>_xll.qlIMMdate(C19,SettlementDate,Trigger)</f>
        <v>42809</v>
      </c>
      <c r="H19" s="212">
        <f>_xll.qlInterestRateIndexMaturity(ON_6M_index,G19)</f>
        <v>42993</v>
      </c>
      <c r="I19" s="47">
        <f>1-_xll.qlQuoteValue(D19,AllTriggers)/100-_xll.qlQuoteValue(Currency&amp;"FUT"&amp;"3M"&amp;C19&amp;"ConvAdj_Quote")</f>
        <v>1.3750000000000151E-3</v>
      </c>
      <c r="J19" s="47">
        <f>_xll.qlIndexFixing(ON_3M_index,_xll.qlInterestRateIndexFixingDate(ON_6M_index,G19),,AllTriggers)</f>
        <v>-5.473410127653861E-5</v>
      </c>
      <c r="K19" s="128">
        <f t="shared" si="0"/>
        <v>1.4297341012765538E-3</v>
      </c>
      <c r="L19" s="47">
        <f>_xll.qlTenorBasisValue($P$3,G19,Trigger)</f>
        <v>1.3371915024133457E-3</v>
      </c>
      <c r="M19" s="64">
        <f t="shared" si="3"/>
        <v>0.92542598863208081</v>
      </c>
      <c r="N19" s="21"/>
      <c r="Q19" s="20"/>
      <c r="R19" s="212">
        <f>_xll.qlCalendarAdvance(Calendar,R18,"1D","f")</f>
        <v>42160</v>
      </c>
      <c r="S19" s="47">
        <f>_xll.qlTenorBasisValue($P$3,R19,AllTriggers)</f>
        <v>1.0884819443545554E-3</v>
      </c>
      <c r="T19" s="41">
        <f>_xll.qlDayCounterYearFraction("actual/365 (fixed)",SettlementDate,R19,,,Trigger)</f>
        <v>6.0273972602739728E-2</v>
      </c>
      <c r="U19" s="47">
        <f>_xll.qlPolynomialFunctionValue($P$18,T19,AllTriggers)</f>
        <v>1.0045611861131528E-3</v>
      </c>
      <c r="W19" s="129">
        <v>0</v>
      </c>
      <c r="X19" s="129" t="s">
        <v>22</v>
      </c>
      <c r="Y19" s="179">
        <f>_xll.qlCalendarAdvance(Calendar,SettlementDate,W19&amp;"M","mf",TRUE,Trigger)</f>
        <v>42138</v>
      </c>
      <c r="Z19" s="180">
        <f>_xll.qlCalendarAdvance(Calendar,SettlementDate,X19,"mf",TRUE,Trigger)</f>
        <v>42170</v>
      </c>
      <c r="AA19" s="207">
        <f>_xll.qlTenorBasisForwardRate2(TenorBasis6M,Y19,Z19,AllTriggers)</f>
        <v>-1.4115307976209079E-5</v>
      </c>
    </row>
    <row r="20" spans="1:27" ht="11.25" customHeight="1" x14ac:dyDescent="0.2">
      <c r="A20" s="259" t="b">
        <v>1</v>
      </c>
      <c r="B20" s="260"/>
      <c r="C20" s="101" t="str">
        <f>_xll.qlIMMNextCode(C19,A20)</f>
        <v>M7</v>
      </c>
      <c r="D20" s="99" t="str">
        <f t="shared" si="5"/>
        <v>EURFUT3MM7_Quote</v>
      </c>
      <c r="E20" s="99" t="str">
        <f>_xll.qlSimpleQuote(UPPER("B"&amp;$H$1&amp;"_FUT"&amp;C20),,,Permanent,Trigger,ObjectOverwrite)</f>
        <v>B3M_FUTM7#0010</v>
      </c>
      <c r="F20" s="200" t="e">
        <f>_xll.qlSimpleQuoteSetValue(E20,K20,AllTriggers)</f>
        <v>#N/A</v>
      </c>
      <c r="G20" s="212">
        <f>_xll.qlIMMdate(C20,SettlementDate,Trigger)</f>
        <v>42907</v>
      </c>
      <c r="H20" s="212">
        <f>_xll.qlInterestRateIndexMaturity(ON_6M_index,G20)</f>
        <v>43090</v>
      </c>
      <c r="I20" s="47">
        <f>1-_xll.qlQuoteValue(D20,AllTriggers)/100-_xll.qlQuoteValue(Currency&amp;"FUT"&amp;"3M"&amp;C20&amp;"ConvAdj_Quote")</f>
        <v>1.87499999999996E-3</v>
      </c>
      <c r="J20" s="47">
        <f>_xll.qlIndexFixing(ON_3M_index,_xll.qlInterestRateIndexFixingDate(ON_6M_index,G20),,AllTriggers)</f>
        <v>4.0123065202377919E-4</v>
      </c>
      <c r="K20" s="128">
        <f t="shared" si="0"/>
        <v>1.4737693479761808E-3</v>
      </c>
      <c r="L20" s="47">
        <f>_xll.qlTenorBasisValue($P$3,G20,Trigger)</f>
        <v>1.3901763061736486E-3</v>
      </c>
      <c r="M20" s="64">
        <f t="shared" si="3"/>
        <v>0.8359304180253222</v>
      </c>
      <c r="N20" s="21"/>
      <c r="Q20" s="20"/>
      <c r="R20" s="212">
        <f>_xll.qlCalendarAdvance(Calendar,R19,"1D","f")</f>
        <v>42163</v>
      </c>
      <c r="S20" s="47">
        <f>_xll.qlTenorBasisValue($P$3,R20,AllTriggers)</f>
        <v>1.093480153690349E-3</v>
      </c>
      <c r="T20" s="41">
        <f>_xll.qlDayCounterYearFraction("actual/365 (fixed)",SettlementDate,R20,,,Trigger)</f>
        <v>6.8493150684931503E-2</v>
      </c>
      <c r="U20" s="47">
        <f>_xll.qlPolynomialFunctionValue($P$18,T20,AllTriggers)</f>
        <v>1.0106885863042873E-3</v>
      </c>
      <c r="W20" s="48">
        <v>0</v>
      </c>
      <c r="X20" s="48" t="s">
        <v>29</v>
      </c>
      <c r="Y20" s="177">
        <f>_xll.qlCalendarAdvance(Calendar,SettlementDate,W20&amp;"M","mf",TRUE,Trigger)</f>
        <v>42138</v>
      </c>
      <c r="Z20" s="178">
        <f>_xll.qlCalendarAdvance(Calendar,SettlementDate,X20,"mf",TRUE,Trigger)</f>
        <v>42199</v>
      </c>
      <c r="AA20" s="206">
        <f>_xll.qlTenorBasisForwardRate2(TenorBasis6M,Y20,Z20,AllTriggers)</f>
        <v>-5.1336009323499354E-5</v>
      </c>
    </row>
    <row r="21" spans="1:27" ht="11.25" customHeight="1" x14ac:dyDescent="0.2">
      <c r="A21" s="259" t="b">
        <v>1</v>
      </c>
      <c r="B21" s="260"/>
      <c r="C21" s="101" t="str">
        <f>_xll.qlIMMNextCode(C20,A21)</f>
        <v>U7</v>
      </c>
      <c r="D21" s="99" t="str">
        <f t="shared" si="5"/>
        <v>EURFUT3MU7_Quote</v>
      </c>
      <c r="E21" s="99" t="str">
        <f>_xll.qlSimpleQuote(UPPER("B"&amp;$H$1&amp;"_FUT"&amp;C21),,,Permanent,Trigger,ObjectOverwrite)</f>
        <v>B3M_FUTU7#0010</v>
      </c>
      <c r="F21" s="200" t="e">
        <f>_xll.qlSimpleQuoteSetValue(E21,K21,AllTriggers)</f>
        <v>#N/A</v>
      </c>
      <c r="G21" s="212">
        <f>_xll.qlIMMdate(C21,SettlementDate,Trigger)</f>
        <v>42998</v>
      </c>
      <c r="H21" s="212">
        <f>_xll.qlInterestRateIndexMaturity(ON_6M_index,G21)</f>
        <v>43179</v>
      </c>
      <c r="I21" s="47">
        <f>1-_xll.qlQuoteValue(D21,AllTriggers)/100-_xll.qlQuoteValue(Currency&amp;"FUT"&amp;"3M"&amp;C21&amp;"ConvAdj_Quote")</f>
        <v>2.475000000000005E-3</v>
      </c>
      <c r="J21" s="47">
        <f>_xll.qlIndexFixing(ON_3M_index,_xll.qlInterestRateIndexFixingDate(ON_6M_index,G21),,AllTriggers)</f>
        <v>8.7972654494655321E-4</v>
      </c>
      <c r="K21" s="128">
        <f t="shared" si="0"/>
        <v>1.5952734550534519E-3</v>
      </c>
      <c r="L21" s="47">
        <f>_xll.qlTenorBasisValue($P$3,G21,Trigger)</f>
        <v>1.4855539744582291E-3</v>
      </c>
      <c r="M21" s="64">
        <f t="shared" si="3"/>
        <v>1.0971948059522278</v>
      </c>
      <c r="N21" s="21"/>
      <c r="Q21" s="20"/>
      <c r="R21" s="212">
        <f>_xll.qlCalendarAdvance(Calendar,R20,"1D","f")</f>
        <v>42164</v>
      </c>
      <c r="S21" s="47">
        <f>_xll.qlTenorBasisValue($P$3,R21,AllTriggers)</f>
        <v>1.0951306628781017E-3</v>
      </c>
      <c r="T21" s="41">
        <f>_xll.qlDayCounterYearFraction("actual/365 (fixed)",SettlementDate,R21,,,Trigger)</f>
        <v>7.1232876712328766E-2</v>
      </c>
      <c r="U21" s="47">
        <f>_xll.qlPolynomialFunctionValue($P$18,T21,AllTriggers)</f>
        <v>1.0127138400721426E-3</v>
      </c>
      <c r="W21" s="45">
        <v>0</v>
      </c>
      <c r="X21" s="45" t="s">
        <v>23</v>
      </c>
      <c r="Y21" s="175">
        <f>_xll.qlCalendarAdvance(Calendar,SettlementDate,W21&amp;"M","mf",TRUE,Trigger)</f>
        <v>42138</v>
      </c>
      <c r="Z21" s="176">
        <f>_xll.qlCalendarAdvance(Calendar,SettlementDate,X21,"mf",TRUE,Trigger)</f>
        <v>42230</v>
      </c>
      <c r="AA21" s="279">
        <f>_xll.qlTenorBasisForwardRate2(TenorBasis6M,Y21,Z21,AllTriggers)</f>
        <v>-8.0479430583236194E-5</v>
      </c>
    </row>
    <row r="22" spans="1:27" ht="11.25" customHeight="1" x14ac:dyDescent="0.2">
      <c r="A22" s="261" t="b">
        <v>1</v>
      </c>
      <c r="B22" s="262"/>
      <c r="C22" s="103" t="str">
        <f>_xll.qlIMMNextCode(C21,A22)</f>
        <v>Z7</v>
      </c>
      <c r="D22" s="100" t="str">
        <f t="shared" si="5"/>
        <v>EURFUT3MZ7_Quote</v>
      </c>
      <c r="E22" s="100" t="str">
        <f>_xll.qlSimpleQuote(UPPER("B"&amp;$H$1&amp;"_FUT"&amp;C22),,,Permanent,Trigger,ObjectOverwrite)</f>
        <v>B3M_FUTZ7#0010</v>
      </c>
      <c r="F22" s="201" t="e">
        <f>_xll.qlSimpleQuoteSetValue(E22,K22,AllTriggers)</f>
        <v>#N/A</v>
      </c>
      <c r="G22" s="213">
        <f>_xll.qlIMMdate(C22,SettlementDate,Trigger)</f>
        <v>43089</v>
      </c>
      <c r="H22" s="213">
        <f>_xll.qlInterestRateIndexMaturity(ON_6M_index,G22)</f>
        <v>43271</v>
      </c>
      <c r="I22" s="50">
        <f>1-_xll.qlQuoteValue(D22,AllTriggers)/100-_xll.qlQuoteValue(Currency&amp;"FUT"&amp;"3M"&amp;C22&amp;"ConvAdj_Quote")</f>
        <v>3.0750000000000499E-3</v>
      </c>
      <c r="J22" s="50">
        <f>_xll.qlIndexFixing(ON_3M_index,_xll.qlInterestRateIndexFixingDate(ON_6M_index,G22),,AllTriggers)</f>
        <v>1.4358480483585012E-3</v>
      </c>
      <c r="K22" s="115">
        <f t="shared" si="0"/>
        <v>1.6391519516415487E-3</v>
      </c>
      <c r="L22" s="50">
        <f>_xll.qlTenorBasisValue($P$3,G22,Trigger)</f>
        <v>1.6390902981007214E-3</v>
      </c>
      <c r="M22" s="65">
        <f t="shared" si="3"/>
        <v>6.1653540827343034E-4</v>
      </c>
      <c r="N22" s="21"/>
      <c r="Q22" s="20"/>
      <c r="R22" s="212">
        <f>_xll.qlCalendarAdvance(Calendar,R21,"1D","f")</f>
        <v>42165</v>
      </c>
      <c r="S22" s="47">
        <f>_xll.qlTenorBasisValue($P$3,R22,AllTriggers)</f>
        <v>1.0967734212946425E-3</v>
      </c>
      <c r="T22" s="41">
        <f>_xll.qlDayCounterYearFraction("actual/365 (fixed)",SettlementDate,R22,,,Trigger)</f>
        <v>7.3972602739726029E-2</v>
      </c>
      <c r="U22" s="47">
        <f>_xll.qlPolynomialFunctionValue($P$18,T22,AllTriggers)</f>
        <v>1.014730516882948E-3</v>
      </c>
      <c r="W22" s="45">
        <v>1</v>
      </c>
      <c r="X22" s="45" t="s">
        <v>30</v>
      </c>
      <c r="Y22" s="175">
        <f>_xll.qlCalendarAdvance(Calendar,SettlementDate,W22&amp;"M","mf",TRUE,Trigger)</f>
        <v>42170</v>
      </c>
      <c r="Z22" s="176">
        <f>_xll.qlCalendarAdvance(Calendar,SettlementDate,X22,"mf",TRUE,Trigger)</f>
        <v>42261</v>
      </c>
      <c r="AA22" s="52">
        <f>_xll.qlTenorBasisForwardRate2(TenorBasis6M,Y22,Z22,AllTriggers)</f>
        <v>-1.1530071764694443E-4</v>
      </c>
    </row>
    <row r="23" spans="1:27" ht="11.25" customHeight="1" x14ac:dyDescent="0.2">
      <c r="G23" s="60"/>
      <c r="H23" s="60"/>
      <c r="I23" s="35"/>
      <c r="J23" s="35"/>
      <c r="K23" s="35"/>
      <c r="L23" s="21"/>
      <c r="M23" s="21"/>
      <c r="N23" s="21"/>
      <c r="Q23" s="20"/>
      <c r="R23" s="212">
        <f>_xll.qlCalendarAdvance(Calendar,R22,"1D","f")</f>
        <v>42166</v>
      </c>
      <c r="S23" s="47">
        <f>_xll.qlTenorBasisValue($P$3,R23,AllTriggers)</f>
        <v>1.0984084466544987E-3</v>
      </c>
      <c r="T23" s="41">
        <f>_xll.qlDayCounterYearFraction("actual/365 (fixed)",SettlementDate,R23,,,Trigger)</f>
        <v>7.6712328767123292E-2</v>
      </c>
      <c r="U23" s="47">
        <f>_xll.qlPolynomialFunctionValue($P$18,T23,AllTriggers)</f>
        <v>1.0167386344512297E-3</v>
      </c>
      <c r="W23" s="48">
        <v>2</v>
      </c>
      <c r="X23" s="48" t="s">
        <v>31</v>
      </c>
      <c r="Y23" s="177">
        <f>_xll.qlCalendarAdvance(Calendar,SettlementDate,W23&amp;"M","mf",TRUE,Trigger)</f>
        <v>42199</v>
      </c>
      <c r="Z23" s="178">
        <f>_xll.qlCalendarAdvance(Calendar,SettlementDate,X23,"mf",TRUE,Trigger)</f>
        <v>42291</v>
      </c>
      <c r="AA23" s="47">
        <f>_xll.qlTenorBasisForwardRate2(TenorBasis6M,Y23,Z23,AllTriggers)</f>
        <v>-6.1852414745641141E-5</v>
      </c>
    </row>
    <row r="24" spans="1:27" ht="11.25" customHeight="1" x14ac:dyDescent="0.2">
      <c r="G24" s="60"/>
      <c r="H24" s="60"/>
      <c r="I24" s="35"/>
      <c r="J24" s="35"/>
      <c r="K24" s="35"/>
      <c r="Q24" s="20"/>
      <c r="R24" s="212">
        <f>_xll.qlCalendarAdvance(Calendar,R23,"1D","f")</f>
        <v>42167</v>
      </c>
      <c r="S24" s="47">
        <f>_xll.qlTenorBasisValue($P$3,R24,AllTriggers)</f>
        <v>1.1000357566721965E-3</v>
      </c>
      <c r="T24" s="41">
        <f>_xll.qlDayCounterYearFraction("actual/365 (fixed)",SettlementDate,R24,,,Trigger)</f>
        <v>7.9452054794520555E-2</v>
      </c>
      <c r="U24" s="47">
        <f>_xll.qlPolynomialFunctionValue($P$18,T24,AllTriggers)</f>
        <v>1.0187382104915146E-3</v>
      </c>
      <c r="W24" s="49">
        <v>3</v>
      </c>
      <c r="X24" s="49" t="s">
        <v>24</v>
      </c>
      <c r="Y24" s="181">
        <f>_xll.qlCalendarAdvance(Calendar,SettlementDate,W24&amp;"M","mf",TRUE,Trigger)</f>
        <v>42230</v>
      </c>
      <c r="Z24" s="182">
        <f>_xll.qlCalendarAdvance(Calendar,SettlementDate,X24,"mf",TRUE,Trigger)</f>
        <v>42324</v>
      </c>
      <c r="AA24" s="50">
        <f>_xll.qlTenorBasisForwardRate2(TenorBasis6M,Y24,Z24,AllTriggers)</f>
        <v>-3.9598540816578304E-5</v>
      </c>
    </row>
    <row r="25" spans="1:27" ht="11.25" customHeight="1" x14ac:dyDescent="0.2">
      <c r="G25" s="60"/>
      <c r="H25" s="60"/>
      <c r="I25" s="35"/>
      <c r="J25" s="35"/>
      <c r="K25" s="35"/>
      <c r="R25" s="212">
        <f>_xll.qlCalendarAdvance(Calendar,R24,"1D","f")</f>
        <v>42170</v>
      </c>
      <c r="S25" s="47">
        <f>_xll.qlTenorBasisValue($P$3,R25,AllTriggers)</f>
        <v>1.1048715718176057E-3</v>
      </c>
      <c r="T25" s="41">
        <f>_xll.qlDayCounterYearFraction("actual/365 (fixed)",SettlementDate,R25,,,Trigger)</f>
        <v>8.7671232876712329E-2</v>
      </c>
      <c r="U25" s="47">
        <f>_xll.qlPolynomialFunctionValue($P$18,T25,AllTriggers)</f>
        <v>1.0246858665896536E-3</v>
      </c>
      <c r="W25" s="48"/>
      <c r="X25" s="48" t="str">
        <f>C11</f>
        <v>K5</v>
      </c>
      <c r="Y25" s="177">
        <f>_xll.qlIMMdate(X25,SettlementDate,Trigger)</f>
        <v>42144</v>
      </c>
      <c r="Z25" s="177">
        <f>_xll.qlInterestRateIndexMaturity(ON_6M_index,Y25)</f>
        <v>42328</v>
      </c>
      <c r="AA25" s="47">
        <f>_xll.qlTenorBasisTenorForwardRate(TenorBasis6M,Y25,AllTriggers)</f>
        <v>-7.4654309295158665E-5</v>
      </c>
    </row>
    <row r="26" spans="1:27" ht="11.25" customHeight="1" x14ac:dyDescent="0.2">
      <c r="R26" s="212">
        <f>_xll.qlCalendarAdvance(Calendar,R25,"1D","f")</f>
        <v>42171</v>
      </c>
      <c r="S26" s="47">
        <f>_xll.qlTenorBasisValue($P$3,R26,AllTriggers)</f>
        <v>1.1064681976119364E-3</v>
      </c>
      <c r="T26" s="41">
        <f>_xll.qlDayCounterYearFraction("actual/365 (fixed)",SettlementDate,R26,,,Trigger)</f>
        <v>9.0410958904109592E-2</v>
      </c>
      <c r="U26" s="47">
        <f>_xll.qlPolynomialFunctionValue($P$18,T26,AllTriggers)</f>
        <v>1.0266514536632165E-3</v>
      </c>
      <c r="W26" s="48"/>
      <c r="X26" s="48" t="str">
        <f t="shared" ref="X26:X30" si="6">C12</f>
        <v>M5</v>
      </c>
      <c r="Y26" s="177">
        <f>_xll.qlIMMdate(X26,SettlementDate,Trigger)</f>
        <v>42172</v>
      </c>
      <c r="Z26" s="177">
        <f>_xll.qlInterestRateIndexMaturity(ON_6M_index,Y26)</f>
        <v>42355</v>
      </c>
      <c r="AA26" s="47">
        <f>_xll.qlTenorBasisTenorForwardRate(TenorBasis6M,Y26,AllTriggers)</f>
        <v>-1.0585876158427385E-4</v>
      </c>
    </row>
    <row r="27" spans="1:27" ht="11.25" customHeight="1" x14ac:dyDescent="0.2">
      <c r="R27" s="212">
        <f>_xll.qlCalendarAdvance(Calendar,R26,"1D","f")</f>
        <v>42172</v>
      </c>
      <c r="S27" s="47">
        <f>_xll.qlTenorBasisValue($P$3,R27,AllTriggers)</f>
        <v>1.1080571966367411E-3</v>
      </c>
      <c r="T27" s="41">
        <f>_xll.qlDayCounterYearFraction("actual/365 (fixed)",SettlementDate,R27,,,Trigger)</f>
        <v>9.3150684931506855E-2</v>
      </c>
      <c r="U27" s="47">
        <f>_xll.qlPolynomialFunctionValue($P$18,T27,AllTriggers)</f>
        <v>1.0286085877814156E-3</v>
      </c>
      <c r="W27" s="48"/>
      <c r="X27" s="48" t="str">
        <f t="shared" si="6"/>
        <v>U5</v>
      </c>
      <c r="Y27" s="177">
        <f>_xll.qlIMMdate(X27,SettlementDate,Trigger)</f>
        <v>42263</v>
      </c>
      <c r="Z27" s="177">
        <f>_xll.qlInterestRateIndexMaturity(ON_6M_index,Y27)</f>
        <v>42445</v>
      </c>
      <c r="AA27" s="47">
        <f>_xll.qlTenorBasisTenorForwardRate(TenorBasis6M,Y27,AllTriggers)</f>
        <v>-3.1036465806701281E-5</v>
      </c>
    </row>
    <row r="28" spans="1:27" ht="11.25" customHeight="1" x14ac:dyDescent="0.2">
      <c r="R28" s="212">
        <f>_xll.qlCalendarAdvance(Calendar,R27,"1D","f")</f>
        <v>42173</v>
      </c>
      <c r="S28" s="47">
        <f>_xll.qlTenorBasisValue($P$3,R28,AllTriggers)</f>
        <v>1.1096385866065479E-3</v>
      </c>
      <c r="T28" s="41">
        <f>_xll.qlDayCounterYearFraction("actual/365 (fixed)",SettlementDate,R28,,,Trigger)</f>
        <v>9.5890410958904104E-2</v>
      </c>
      <c r="U28" s="47">
        <f>_xll.qlPolynomialFunctionValue($P$18,T28,AllTriggers)</f>
        <v>1.0305572866587775E-3</v>
      </c>
      <c r="W28" s="48"/>
      <c r="X28" s="48" t="str">
        <f t="shared" si="6"/>
        <v>Z5</v>
      </c>
      <c r="Y28" s="177">
        <f>_xll.qlIMMdate(X28,SettlementDate,Trigger)</f>
        <v>42354</v>
      </c>
      <c r="Z28" s="177">
        <f>_xll.qlInterestRateIndexMaturity(ON_6M_index,Y28)</f>
        <v>42537</v>
      </c>
      <c r="AA28" s="47">
        <f>_xll.qlTenorBasisTenorForwardRate(TenorBasis6M,Y28,AllTriggers)</f>
        <v>-2.9095812704833367E-5</v>
      </c>
    </row>
    <row r="29" spans="1:27" ht="11.25" customHeight="1" x14ac:dyDescent="0.2">
      <c r="R29" s="212">
        <f>_xll.qlCalendarAdvance(Calendar,R28,"1D","f")</f>
        <v>42174</v>
      </c>
      <c r="S29" s="47">
        <f>_xll.qlTenorBasisValue($P$3,R29,AllTriggers)</f>
        <v>1.1112123852358824E-3</v>
      </c>
      <c r="T29" s="41">
        <f>_xll.qlDayCounterYearFraction("actual/365 (fixed)",SettlementDate,R29,,,Trigger)</f>
        <v>9.8630136986301367E-2</v>
      </c>
      <c r="U29" s="47">
        <f>_xll.qlPolynomialFunctionValue($P$18,T29,AllTriggers)</f>
        <v>1.0324975680098287E-3</v>
      </c>
      <c r="W29" s="48"/>
      <c r="X29" s="48" t="str">
        <f t="shared" si="6"/>
        <v>H6</v>
      </c>
      <c r="Y29" s="177">
        <f>_xll.qlIMMdate(X29,SettlementDate,Trigger)</f>
        <v>42445</v>
      </c>
      <c r="Z29" s="177">
        <f>_xll.qlInterestRateIndexMaturity(ON_6M_index,Y29)</f>
        <v>42629</v>
      </c>
      <c r="AA29" s="47">
        <f>_xll.qlTenorBasisTenorForwardRate(TenorBasis6M,Y29,AllTriggers)</f>
        <v>5.7485439779531066E-5</v>
      </c>
    </row>
    <row r="30" spans="1:27" ht="11.25" customHeight="1" x14ac:dyDescent="0.2">
      <c r="R30" s="212">
        <f>_xll.qlCalendarAdvance(Calendar,R29,"1D","f")</f>
        <v>42177</v>
      </c>
      <c r="S30" s="47">
        <f>_xll.qlTenorBasisValue($P$3,R30,AllTriggers)</f>
        <v>1.1158884102263201E-3</v>
      </c>
      <c r="T30" s="41">
        <f>_xll.qlDayCounterYearFraction("actual/365 (fixed)",SettlementDate,R30,,,Trigger)</f>
        <v>0.10684931506849316</v>
      </c>
      <c r="U30" s="47">
        <f>_xll.qlPolynomialFunctionValue($P$18,T30,AllTriggers)</f>
        <v>1.0382680840503849E-3</v>
      </c>
      <c r="W30" s="162"/>
      <c r="X30" s="162" t="str">
        <f t="shared" si="6"/>
        <v>M6</v>
      </c>
      <c r="Y30" s="185">
        <f>_xll.qlIMMdate(X30,SettlementDate,Trigger)</f>
        <v>42536</v>
      </c>
      <c r="Z30" s="185">
        <f>_xll.qlInterestRateIndexMaturity(ON_6M_index,Y30)</f>
        <v>42719</v>
      </c>
      <c r="AA30" s="159">
        <f>_xll.qlTenorBasisTenorForwardRate(TenorBasis6M,Y30,AllTriggers)</f>
        <v>2.3322094952718682E-4</v>
      </c>
    </row>
    <row r="31" spans="1:27" ht="11.25" customHeight="1" x14ac:dyDescent="0.2">
      <c r="R31" s="212">
        <f>_xll.qlCalendarAdvance(Calendar,R30,"1D","f")</f>
        <v>42178</v>
      </c>
      <c r="S31" s="47">
        <f>_xll.qlTenorBasisValue($P$3,R31,AllTriggers)</f>
        <v>1.1174320206390326E-3</v>
      </c>
      <c r="T31" s="41">
        <f>_xll.qlDayCounterYearFraction("actual/365 (fixed)",SettlementDate,R31,,,Trigger)</f>
        <v>0.1095890410958904</v>
      </c>
      <c r="U31" s="47">
        <f>_xll.qlPolynomialFunctionValue($P$18,T31,AllTriggers)</f>
        <v>1.0401748724414598E-3</v>
      </c>
    </row>
    <row r="32" spans="1:27" ht="11.25" customHeight="1" x14ac:dyDescent="0.2">
      <c r="R32" s="212">
        <f>_xll.qlCalendarAdvance(Calendar,R31,"1D","f")</f>
        <v>42179</v>
      </c>
      <c r="S32" s="47">
        <f>_xll.qlTenorBasisValue($P$3,R32,AllTriggers)</f>
        <v>1.1189681282839062E-3</v>
      </c>
      <c r="T32" s="41">
        <f>_xll.qlDayCounterYearFraction("actual/365 (fixed)",SettlementDate,R32,,,Trigger)</f>
        <v>0.11232876712328767</v>
      </c>
      <c r="U32" s="47">
        <f>_xll.qlPolynomialFunctionValue($P$18,T32,AllTriggers)</f>
        <v>1.0420733318788568E-3</v>
      </c>
    </row>
    <row r="33" spans="7:21" ht="11.25" customHeight="1" x14ac:dyDescent="0.2">
      <c r="R33" s="212">
        <f>_xll.qlCalendarAdvance(Calendar,R32,"1D","f")</f>
        <v>42180</v>
      </c>
      <c r="S33" s="47">
        <f>_xll.qlTenorBasisValue($P$3,R33,AllTriggers)</f>
        <v>1.1204967508754672E-3</v>
      </c>
      <c r="T33" s="41">
        <f>_xll.qlDayCounterYearFraction("actual/365 (fixed)",SettlementDate,R33,,,Trigger)</f>
        <v>0.11506849315068493</v>
      </c>
      <c r="U33" s="47">
        <f>_xll.qlPolynomialFunctionValue($P$18,T33,AllTriggers)</f>
        <v>1.043963480077103E-3</v>
      </c>
    </row>
    <row r="34" spans="7:21" ht="11.25" customHeight="1" x14ac:dyDescent="0.2">
      <c r="R34" s="212">
        <f>_xll.qlCalendarAdvance(Calendar,R33,"1D","f")</f>
        <v>42181</v>
      </c>
      <c r="S34" s="47">
        <f>_xll.qlTenorBasisValue($P$3,R34,AllTriggers)</f>
        <v>1.1220179061282429E-3</v>
      </c>
      <c r="T34" s="41">
        <f>_xll.qlDayCounterYearFraction("actual/365 (fixed)",SettlementDate,R34,,,Trigger)</f>
        <v>0.11780821917808219</v>
      </c>
      <c r="U34" s="47">
        <f>_xll.qlPolynomialFunctionValue($P$18,T34,AllTriggers)</f>
        <v>1.0458453347507251E-3</v>
      </c>
    </row>
    <row r="35" spans="7:21" ht="11.25" customHeight="1" x14ac:dyDescent="0.2">
      <c r="R35" s="212">
        <f>_xll.qlCalendarAdvance(Calendar,R34,"1D","f")</f>
        <v>42184</v>
      </c>
      <c r="S35" s="47">
        <f>_xll.qlTenorBasisValue($P$3,R35,AllTriggers)</f>
        <v>1.1265367449991215E-3</v>
      </c>
      <c r="T35" s="41">
        <f>_xll.qlDayCounterYearFraction("actual/365 (fixed)",SettlementDate,R35,,,Trigger)</f>
        <v>0.12602739726027398</v>
      </c>
      <c r="U35" s="47">
        <f>_xll.qlPolynomialFunctionValue($P$18,T35,AllTriggers)</f>
        <v>1.0514413147691111E-3</v>
      </c>
    </row>
    <row r="36" spans="7:21" ht="11.25" customHeight="1" x14ac:dyDescent="0.2">
      <c r="R36" s="212">
        <f>_xll.qlCalendarAdvance(Calendar,R35,"1D","f")</f>
        <v>42185</v>
      </c>
      <c r="S36" s="47">
        <f>_xll.qlTenorBasisValue($P$3,R36,AllTriggers)</f>
        <v>1.1280282080420203E-3</v>
      </c>
      <c r="T36" s="41">
        <f>_xll.qlDayCounterYearFraction("actual/365 (fixed)",SettlementDate,R36,,,Trigger)</f>
        <v>0.12876712328767123</v>
      </c>
      <c r="U36" s="47">
        <f>_xll.qlPolynomialFunctionValue($P$18,T36,AllTriggers)</f>
        <v>1.053290172489502E-3</v>
      </c>
    </row>
    <row r="37" spans="7:21" ht="11.25" customHeight="1" x14ac:dyDescent="0.2">
      <c r="R37" s="212">
        <f>_xll.qlCalendarAdvance(Calendar,R36,"1D","f")</f>
        <v>42186</v>
      </c>
      <c r="S37" s="47">
        <f>_xll.qlTenorBasisValue($P$3,R37,AllTriggers)</f>
        <v>1.1295122923187662E-3</v>
      </c>
      <c r="T37" s="41">
        <f>_xll.qlDayCounterYearFraction("actual/365 (fixed)",SettlementDate,R37,,,Trigger)</f>
        <v>0.13150684931506848</v>
      </c>
      <c r="U37" s="47">
        <f>_xll.qlPolynomialFunctionValue($P$18,T37,AllTriggers)</f>
        <v>1.0551308252579013E-3</v>
      </c>
    </row>
    <row r="38" spans="7:21" ht="11.25" customHeight="1" x14ac:dyDescent="0.2">
      <c r="R38" s="212">
        <f>_xll.qlCalendarAdvance(Calendar,R37,"1D","f")</f>
        <v>42187</v>
      </c>
      <c r="S38" s="47">
        <f>_xll.qlTenorBasisValue($P$3,R38,AllTriggers)</f>
        <v>1.1309890155438865E-3</v>
      </c>
      <c r="T38" s="41">
        <f>_xll.qlDayCounterYearFraction("actual/365 (fixed)",SettlementDate,R38,,,Trigger)</f>
        <v>0.13424657534246576</v>
      </c>
      <c r="U38" s="47">
        <f>_xll.qlPolynomialFunctionValue($P$18,T38,AllTriggers)</f>
        <v>1.0569632907888361E-3</v>
      </c>
    </row>
    <row r="39" spans="7:21" ht="11.25" customHeight="1" x14ac:dyDescent="0.2">
      <c r="R39" s="212">
        <f>_xll.qlCalendarAdvance(Calendar,R38,"1D","f")</f>
        <v>42188</v>
      </c>
      <c r="S39" s="47">
        <f>_xll.qlTenorBasisValue($P$3,R39,AllTriggers)</f>
        <v>1.1324583954319073E-3</v>
      </c>
      <c r="T39" s="41">
        <f>_xll.qlDayCounterYearFraction("actual/365 (fixed)",SettlementDate,R39,,,Trigger)</f>
        <v>0.13698630136986301</v>
      </c>
      <c r="U39" s="47">
        <f>_xll.qlPolynomialFunctionValue($P$18,T39,AllTriggers)</f>
        <v>1.058787586796833E-3</v>
      </c>
    </row>
    <row r="40" spans="7:21" ht="11.25" customHeight="1" x14ac:dyDescent="0.2">
      <c r="R40" s="212">
        <f>_xll.qlCalendarAdvance(Calendar,R39,"1D","f")</f>
        <v>42191</v>
      </c>
      <c r="S40" s="47">
        <f>_xll.qlTenorBasisValue($P$3,R40,AllTriggers)</f>
        <v>1.1368226522186398E-3</v>
      </c>
      <c r="T40" s="41">
        <f>_xll.qlDayCounterYearFraction("actual/365 (fixed)",SettlementDate,R40,,,Trigger)</f>
        <v>0.14520547945205478</v>
      </c>
      <c r="U40" s="47">
        <f>_xll.qlPolynomialFunctionValue($P$18,T40,AllTriggers)</f>
        <v>1.064211634828462E-3</v>
      </c>
    </row>
    <row r="41" spans="7:21" ht="11.25" customHeight="1" x14ac:dyDescent="0.2">
      <c r="R41" s="212">
        <f>_xll.qlCalendarAdvance(Calendar,R40,"1D","f")</f>
        <v>42192</v>
      </c>
      <c r="S41" s="47">
        <f>_xll.qlTenorBasisValue($P$3,R41,AllTriggers)</f>
        <v>1.138262835903529E-3</v>
      </c>
      <c r="T41" s="41">
        <f>_xll.qlDayCounterYearFraction("actual/365 (fixed)",SettlementDate,R41,,,Trigger)</f>
        <v>0.14794520547945206</v>
      </c>
      <c r="U41" s="47">
        <f>_xll.qlPolynomialFunctionValue($P$18,T41,AllTriggers)</f>
        <v>1.0660034298899726E-3</v>
      </c>
    </row>
    <row r="42" spans="7:21" ht="11.25" customHeight="1" x14ac:dyDescent="0.2">
      <c r="R42" s="212">
        <f>_xll.qlCalendarAdvance(Calendar,R41,"1D","f")</f>
        <v>42193</v>
      </c>
      <c r="S42" s="47">
        <f>_xll.qlTenorBasisValue($P$3,R42,AllTriggers)</f>
        <v>1.1396957648239522E-3</v>
      </c>
      <c r="T42" s="41">
        <f>_xll.qlDayCounterYearFraction("actual/365 (fixed)",SettlementDate,R42,,,Trigger)</f>
        <v>0.15068493150684931</v>
      </c>
      <c r="U42" s="47">
        <f>_xll.qlPolynomialFunctionValue($P$18,T42,AllTriggers)</f>
        <v>1.0677871440011785E-3</v>
      </c>
    </row>
    <row r="43" spans="7:21" ht="11.25" customHeight="1" x14ac:dyDescent="0.2">
      <c r="G43" s="60"/>
      <c r="H43" s="60"/>
      <c r="I43" s="35"/>
      <c r="J43" s="35"/>
      <c r="K43" s="35"/>
      <c r="R43" s="212">
        <f>_xll.qlCalendarAdvance(Calendar,R42,"1D","f")</f>
        <v>42194</v>
      </c>
      <c r="S43" s="47">
        <f>_xll.qlTenorBasisValue($P$3,R43,AllTriggers)</f>
        <v>1.1411214566944357E-3</v>
      </c>
      <c r="T43" s="41">
        <f>_xll.qlDayCounterYearFraction("actual/365 (fixed)",SettlementDate,R43,,,Trigger)</f>
        <v>0.15342465753424658</v>
      </c>
      <c r="U43" s="47">
        <f>_xll.qlPolynomialFunctionValue($P$18,T43,AllTriggers)</f>
        <v>1.0695627948766064E-3</v>
      </c>
    </row>
    <row r="44" spans="7:21" ht="11.25" customHeight="1" x14ac:dyDescent="0.2">
      <c r="G44" s="60"/>
      <c r="H44" s="60"/>
      <c r="I44" s="35"/>
      <c r="J44" s="35"/>
      <c r="K44" s="35"/>
      <c r="R44" s="212">
        <f>_xll.qlCalendarAdvance(Calendar,R43,"1D","f")</f>
        <v>42195</v>
      </c>
      <c r="S44" s="47">
        <f>_xll.qlTenorBasisValue($P$3,R44,AllTriggers)</f>
        <v>1.1425399292295058E-3</v>
      </c>
      <c r="T44" s="41">
        <f>_xll.qlDayCounterYearFraction("actual/365 (fixed)",SettlementDate,R44,,,Trigger)</f>
        <v>0.15616438356164383</v>
      </c>
      <c r="U44" s="47">
        <f>_xll.qlPolynomialFunctionValue($P$18,T44,AllTriggers)</f>
        <v>1.0713304002307822E-3</v>
      </c>
    </row>
    <row r="45" spans="7:21" ht="11.25" customHeight="1" x14ac:dyDescent="0.2">
      <c r="G45" s="60"/>
      <c r="H45" s="60"/>
      <c r="I45" s="35"/>
      <c r="J45" s="35"/>
      <c r="K45" s="35"/>
      <c r="R45" s="212">
        <f>_xll.qlCalendarAdvance(Calendar,R44,"1D","f")</f>
        <v>42198</v>
      </c>
      <c r="S45" s="47">
        <f>_xll.qlTenorBasisValue($P$3,R45,AllTriggers)</f>
        <v>1.1467522079675046E-3</v>
      </c>
      <c r="T45" s="41">
        <f>_xll.qlDayCounterYearFraction("actual/365 (fixed)",SettlementDate,R45,,,Trigger)</f>
        <v>0.16438356164383561</v>
      </c>
      <c r="U45" s="47">
        <f>_xll.qlPolynomialFunctionValue($P$18,T45,AllTriggers)</f>
        <v>1.0765851203110666E-3</v>
      </c>
    </row>
    <row r="46" spans="7:21" ht="11.25" customHeight="1" x14ac:dyDescent="0.2">
      <c r="G46" s="60"/>
      <c r="H46" s="60"/>
      <c r="I46" s="35"/>
      <c r="J46" s="35"/>
      <c r="K46" s="35"/>
      <c r="R46" s="212">
        <f>_xll.qlCalendarAdvance(Calendar,R45,"1D","f")</f>
        <v>42199</v>
      </c>
      <c r="S46" s="47">
        <f>_xll.qlTenorBasisValue($P$3,R46,AllTriggers)</f>
        <v>1.148141980306189E-3</v>
      </c>
      <c r="T46" s="41">
        <f>_xll.qlDayCounterYearFraction("actual/365 (fixed)",SettlementDate,R46,,,Trigger)</f>
        <v>0.16712328767123288</v>
      </c>
      <c r="U46" s="47">
        <f>_xll.qlPolynomialFunctionValue($P$18,T46,AllTriggers)</f>
        <v>1.0783207207255021E-3</v>
      </c>
    </row>
    <row r="47" spans="7:21" ht="11.25" customHeight="1" x14ac:dyDescent="0.2">
      <c r="G47" s="60"/>
      <c r="H47" s="60"/>
      <c r="I47" s="35"/>
      <c r="J47" s="35"/>
      <c r="K47" s="35"/>
      <c r="R47" s="212">
        <f>_xll.qlCalendarAdvance(Calendar,R46,"1D","f")</f>
        <v>42200</v>
      </c>
      <c r="S47" s="47">
        <f>_xll.qlTenorBasisValue($P$3,R47,AllTriggers)</f>
        <v>1.149524621882093E-3</v>
      </c>
      <c r="T47" s="41">
        <f>_xll.qlDayCounterYearFraction("actual/365 (fixed)",SettlementDate,R47,,,Trigger)</f>
        <v>0.16986301369863013</v>
      </c>
      <c r="U47" s="47">
        <f>_xll.qlPolynomialFunctionValue($P$18,T47,AllTriggers)</f>
        <v>1.0800483641913187E-3</v>
      </c>
    </row>
    <row r="48" spans="7:21" ht="11.25" customHeight="1" x14ac:dyDescent="0.2">
      <c r="G48" s="60"/>
      <c r="H48" s="60"/>
      <c r="I48" s="35"/>
      <c r="J48" s="35"/>
      <c r="K48" s="35"/>
      <c r="R48" s="212">
        <f>_xll.qlCalendarAdvance(Calendar,R47,"1D","f")</f>
        <v>42201</v>
      </c>
      <c r="S48" s="47">
        <f>_xll.qlTenorBasisValue($P$3,R48,AllTriggers)</f>
        <v>1.150900150409744E-3</v>
      </c>
      <c r="T48" s="41">
        <f>_xll.qlDayCounterYearFraction("actual/365 (fixed)",SettlementDate,R48,,,Trigger)</f>
        <v>0.17260273972602741</v>
      </c>
      <c r="U48" s="47">
        <f>_xll.qlPolynomialFunctionValue($P$18,T48,AllTriggers)</f>
        <v>1.0817680684230436E-3</v>
      </c>
    </row>
    <row r="49" spans="7:21" ht="11.25" customHeight="1" x14ac:dyDescent="0.2">
      <c r="G49" s="60"/>
      <c r="H49" s="60"/>
      <c r="I49" s="35"/>
      <c r="J49" s="35"/>
      <c r="K49" s="35"/>
      <c r="R49" s="212">
        <f>_xll.qlCalendarAdvance(Calendar,R48,"1D","f")</f>
        <v>42202</v>
      </c>
      <c r="S49" s="47">
        <f>_xll.qlTenorBasisValue($P$3,R49,AllTriggers)</f>
        <v>1.1522685836036677E-3</v>
      </c>
      <c r="T49" s="41">
        <f>_xll.qlDayCounterYearFraction("actual/365 (fixed)",SettlementDate,R49,,,Trigger)</f>
        <v>0.17534246575342466</v>
      </c>
      <c r="U49" s="47">
        <f>_xll.qlPolynomialFunctionValue($P$18,T49,AllTriggers)</f>
        <v>1.0834798511352029E-3</v>
      </c>
    </row>
    <row r="50" spans="7:21" ht="11.25" customHeight="1" x14ac:dyDescent="0.2">
      <c r="G50" s="60"/>
      <c r="H50" s="60"/>
      <c r="I50" s="35"/>
      <c r="J50" s="35"/>
      <c r="K50" s="35"/>
      <c r="R50" s="212">
        <f>_xll.qlCalendarAdvance(Calendar,R49,"1D","f")</f>
        <v>42205</v>
      </c>
      <c r="S50" s="47">
        <f>_xll.qlTenorBasisValue($P$3,R50,AllTriggers)</f>
        <v>1.1563314883283459E-3</v>
      </c>
      <c r="T50" s="41">
        <f>_xll.qlDayCounterYearFraction("actual/365 (fixed)",SettlementDate,R50,,,Trigger)</f>
        <v>0.18356164383561643</v>
      </c>
      <c r="U50" s="47">
        <f>_xll.qlPolynomialFunctionValue($P$18,T50,AllTriggers)</f>
        <v>1.0885678472995553E-3</v>
      </c>
    </row>
    <row r="51" spans="7:21" ht="11.25" customHeight="1" x14ac:dyDescent="0.2">
      <c r="G51" s="60"/>
      <c r="H51" s="60"/>
      <c r="I51" s="35"/>
      <c r="J51" s="35"/>
      <c r="K51" s="35"/>
      <c r="R51" s="212">
        <f>_xll.qlCalendarAdvance(Calendar,R50,"1D","f")</f>
        <v>42206</v>
      </c>
      <c r="S51" s="47">
        <f>_xll.qlTenorBasisValue($P$3,R51,AllTriggers)</f>
        <v>1.1576717173326292E-3</v>
      </c>
      <c r="T51" s="41">
        <f>_xll.qlDayCounterYearFraction("actual/365 (fixed)",SettlementDate,R51,,,Trigger)</f>
        <v>0.18630136986301371</v>
      </c>
      <c r="U51" s="47">
        <f>_xll.qlPolynomialFunctionValue($P$18,T51,AllTriggers)</f>
        <v>1.0902481210787194E-3</v>
      </c>
    </row>
    <row r="52" spans="7:21" ht="11.25" customHeight="1" x14ac:dyDescent="0.2">
      <c r="G52" s="60"/>
      <c r="H52" s="60"/>
      <c r="I52" s="35"/>
      <c r="J52" s="35"/>
      <c r="K52" s="35"/>
      <c r="R52" s="212">
        <f>_xll.qlCalendarAdvance(Calendar,R51,"1D","f")</f>
        <v>42207</v>
      </c>
      <c r="S52" s="47">
        <f>_xll.qlTenorBasisValue($P$3,R52,AllTriggers)</f>
        <v>1.1590049395758186E-3</v>
      </c>
      <c r="T52" s="41">
        <f>_xll.qlDayCounterYearFraction("actual/365 (fixed)",SettlementDate,R52,,,Trigger)</f>
        <v>0.18904109589041096</v>
      </c>
      <c r="U52" s="47">
        <f>_xll.qlPolynomialFunctionValue($P$18,T52,AllTriggers)</f>
        <v>1.0919205619109513E-3</v>
      </c>
    </row>
    <row r="53" spans="7:21" ht="11.25" customHeight="1" x14ac:dyDescent="0.2">
      <c r="G53" s="60"/>
      <c r="H53" s="60"/>
      <c r="I53" s="35"/>
      <c r="J53" s="35"/>
      <c r="K53" s="35"/>
      <c r="R53" s="212">
        <f>_xll.qlCalendarAdvance(Calendar,R52,"1D","f")</f>
        <v>42208</v>
      </c>
      <c r="S53" s="47">
        <f>_xll.qlTenorBasisValue($P$3,R53,AllTriggers)</f>
        <v>1.1603311727724412E-3</v>
      </c>
      <c r="T53" s="41">
        <f>_xll.qlDayCounterYearFraction("actual/365 (fixed)",SettlementDate,R53,,,Trigger)</f>
        <v>0.19178082191780821</v>
      </c>
      <c r="U53" s="47">
        <f>_xll.qlPolynomialFunctionValue($P$18,T53,AllTriggers)</f>
        <v>1.0935851875107773E-3</v>
      </c>
    </row>
    <row r="54" spans="7:21" x14ac:dyDescent="0.2">
      <c r="R54" s="212">
        <f>_xll.qlCalendarAdvance(Calendar,R53,"1D","f")</f>
        <v>42209</v>
      </c>
      <c r="S54" s="47">
        <f>_xll.qlTenorBasisValue($P$3,R54,AllTriggers)</f>
        <v>1.1616504346370234E-3</v>
      </c>
      <c r="T54" s="41">
        <f>_xll.qlDayCounterYearFraction("actual/365 (fixed)",SettlementDate,R54,,,Trigger)</f>
        <v>0.19452054794520549</v>
      </c>
      <c r="U54" s="47">
        <f>_xll.qlPolynomialFunctionValue($P$18,T54,AllTriggers)</f>
        <v>1.0952420155927243E-3</v>
      </c>
    </row>
    <row r="55" spans="7:21" x14ac:dyDescent="0.2">
      <c r="R55" s="212">
        <f>_xll.qlCalendarAdvance(Calendar,R54,"1D","f")</f>
        <v>42212</v>
      </c>
      <c r="S55" s="47">
        <f>_xll.qlTenorBasisValue($P$3,R55,AllTriggers)</f>
        <v>1.1655665693837932E-3</v>
      </c>
      <c r="T55" s="41">
        <f>_xll.qlDayCounterYearFraction("actual/365 (fixed)",SettlementDate,R55,,,Trigger)</f>
        <v>0.20273972602739726</v>
      </c>
      <c r="U55" s="47">
        <f>_xll.qlPolynomialFunctionValue($P$18,T55,AllTriggers)</f>
        <v>1.1001658918765578E-3</v>
      </c>
    </row>
    <row r="56" spans="7:21" x14ac:dyDescent="0.2">
      <c r="R56" s="212">
        <f>_xll.qlCalendarAdvance(Calendar,R55,"1D","f")</f>
        <v>42213</v>
      </c>
      <c r="S56" s="47">
        <f>_xll.qlTenorBasisValue($P$3,R56,AllTriggers)</f>
        <v>1.1668581230654797E-3</v>
      </c>
      <c r="T56" s="41">
        <f>_xll.qlDayCounterYearFraction("actual/365 (fixed)",SettlementDate,R56,,,Trigger)</f>
        <v>0.20547945205479451</v>
      </c>
      <c r="U56" s="47">
        <f>_xll.qlPolynomialFunctionValue($P$18,T56,AllTriggers)</f>
        <v>1.1017917070322548E-3</v>
      </c>
    </row>
    <row r="57" spans="7:21" x14ac:dyDescent="0.2">
      <c r="R57" s="212">
        <f>_xll.qlCalendarAdvance(Calendar,R56,"1D","f")</f>
        <v>42214</v>
      </c>
      <c r="S57" s="47">
        <f>_xll.qlTenorBasisValue($P$3,R57,AllTriggers)</f>
        <v>1.1681427939877588E-3</v>
      </c>
      <c r="T57" s="41">
        <f>_xll.qlDayCounterYearFraction("actual/365 (fixed)",SettlementDate,R57,,,Trigger)</f>
        <v>0.20821917808219179</v>
      </c>
      <c r="U57" s="47">
        <f>_xll.qlPolynomialFunctionValue($P$18,T57,AllTriggers)</f>
        <v>1.1034098132427057E-3</v>
      </c>
    </row>
    <row r="58" spans="7:21" x14ac:dyDescent="0.2">
      <c r="R58" s="212">
        <f>_xll.qlCalendarAdvance(Calendar,R57,"1D","f")</f>
        <v>42215</v>
      </c>
      <c r="S58" s="47">
        <f>_xll.qlTenorBasisValue($P$3,R58,AllTriggers)</f>
        <v>1.1694205998651573E-3</v>
      </c>
      <c r="T58" s="41">
        <f>_xll.qlDayCounterYearFraction("actual/365 (fixed)",SettlementDate,R58,,,Trigger)</f>
        <v>0.21095890410958903</v>
      </c>
      <c r="U58" s="47">
        <f>_xll.qlPolynomialFunctionValue($P$18,T58,AllTriggers)</f>
        <v>1.1050202282224374E-3</v>
      </c>
    </row>
    <row r="59" spans="7:21" x14ac:dyDescent="0.2">
      <c r="R59" s="212">
        <f>_xll.qlCalendarAdvance(Calendar,R58,"1D","f")</f>
        <v>42216</v>
      </c>
      <c r="S59" s="47">
        <f>_xll.qlTenorBasisValue($P$3,R59,AllTriggers)</f>
        <v>1.1706915584122014E-3</v>
      </c>
      <c r="T59" s="41">
        <f>_xll.qlDayCounterYearFraction("actual/365 (fixed)",SettlementDate,R59,,,Trigger)</f>
        <v>0.21369863013698631</v>
      </c>
      <c r="U59" s="47">
        <f>_xll.qlPolynomialFunctionValue($P$18,T59,AllTriggers)</f>
        <v>1.1066229696859767E-3</v>
      </c>
    </row>
    <row r="60" spans="7:21" x14ac:dyDescent="0.2">
      <c r="R60" s="212">
        <f>_xll.qlCalendarAdvance(Calendar,R59,"1D","f")</f>
        <v>42219</v>
      </c>
      <c r="S60" s="47">
        <f>_xll.qlTenorBasisValue($P$3,R60,AllTriggers)</f>
        <v>1.1744635272164761E-3</v>
      </c>
      <c r="T60" s="41">
        <f>_xll.qlDayCounterYearFraction("actual/365 (fixed)",SettlementDate,R60,,,Trigger)</f>
        <v>0.22191780821917809</v>
      </c>
      <c r="U60" s="47">
        <f>_xll.qlPolynomialFunctionValue($P$18,T60,AllTriggers)</f>
        <v>1.1113853301247035E-3</v>
      </c>
    </row>
    <row r="61" spans="7:21" x14ac:dyDescent="0.2">
      <c r="R61" s="212">
        <f>_xll.qlCalendarAdvance(Calendar,R60,"1D","f")</f>
        <v>42220</v>
      </c>
      <c r="S61" s="47">
        <f>_xll.qlTenorBasisValue($P$3,R61,AllTriggers)</f>
        <v>1.17570727358737E-3</v>
      </c>
      <c r="T61" s="41">
        <f>_xll.qlDayCounterYearFraction("actual/365 (fixed)",SettlementDate,R61,,,Trigger)</f>
        <v>0.22465753424657534</v>
      </c>
      <c r="U61" s="47">
        <f>_xll.qlPolynomialFunctionValue($P$18,T61,AllTriggers)</f>
        <v>1.1129575546687375E-3</v>
      </c>
    </row>
    <row r="62" spans="7:21" x14ac:dyDescent="0.2">
      <c r="R62" s="212">
        <f>_xll.qlCalendarAdvance(Calendar,R61,"1D","f")</f>
        <v>42221</v>
      </c>
      <c r="S62" s="47">
        <f>_xll.qlTenorBasisValue($P$3,R62,AllTriggers)</f>
        <v>1.1769442612005433E-3</v>
      </c>
      <c r="T62" s="41">
        <f>_xll.qlDayCounterYearFraction("actual/365 (fixed)",SettlementDate,R62,,,Trigger)</f>
        <v>0.22739726027397261</v>
      </c>
      <c r="U62" s="47">
        <f>_xll.qlPolynomialFunctionValue($P$18,T62,AllTriggers)</f>
        <v>1.1145221942692122E-3</v>
      </c>
    </row>
    <row r="63" spans="7:21" x14ac:dyDescent="0.2">
      <c r="R63" s="212">
        <f>_xll.qlCalendarAdvance(Calendar,R62,"1D","f")</f>
        <v>42222</v>
      </c>
      <c r="S63" s="47">
        <f>_xll.qlTenorBasisValue($P$3,R63,AllTriggers)</f>
        <v>1.178174507770522E-3</v>
      </c>
      <c r="T63" s="41">
        <f>_xll.qlDayCounterYearFraction("actual/365 (fixed)",SettlementDate,R63,,,Trigger)</f>
        <v>0.23013698630136986</v>
      </c>
      <c r="U63" s="47">
        <f>_xll.qlPolynomialFunctionValue($P$18,T63,AllTriggers)</f>
        <v>1.1160792666406536E-3</v>
      </c>
    </row>
    <row r="64" spans="7:21" x14ac:dyDescent="0.2">
      <c r="R64" s="212">
        <f>_xll.qlCalendarAdvance(Calendar,R63,"1D","f")</f>
        <v>42223</v>
      </c>
      <c r="S64" s="47">
        <f>_xll.qlTenorBasisValue($P$3,R64,AllTriggers)</f>
        <v>1.1793980310118328E-3</v>
      </c>
      <c r="T64" s="41">
        <f>_xll.qlDayCounterYearFraction("actual/365 (fixed)",SettlementDate,R64,,,Trigger)</f>
        <v>0.23287671232876711</v>
      </c>
      <c r="U64" s="47">
        <f>_xll.qlPolynomialFunctionValue($P$18,T64,AllTriggers)</f>
        <v>1.1176287894975887E-3</v>
      </c>
    </row>
    <row r="65" spans="18:21" x14ac:dyDescent="0.2">
      <c r="R65" s="212">
        <f>_xll.qlCalendarAdvance(Calendar,R64,"1D","f")</f>
        <v>42226</v>
      </c>
      <c r="S65" s="47">
        <f>_xll.qlTenorBasisValue($P$3,R65,AllTriggers)</f>
        <v>1.1830284379090244E-3</v>
      </c>
      <c r="T65" s="41">
        <f>_xll.qlDayCounterYearFraction("actual/365 (fixed)",SettlementDate,R65,,,Trigger)</f>
        <v>0.24109589041095891</v>
      </c>
      <c r="U65" s="47">
        <f>_xll.qlPolynomialFunctionValue($P$18,T65,AllTriggers)</f>
        <v>1.1222322381266221E-3</v>
      </c>
    </row>
    <row r="66" spans="18:21" x14ac:dyDescent="0.2">
      <c r="R66" s="212">
        <f>_xll.qlCalendarAdvance(Calendar,R65,"1D","f")</f>
        <v>42227</v>
      </c>
      <c r="S66" s="47">
        <f>_xll.qlTenorBasisValue($P$3,R66,AllTriggers)</f>
        <v>1.1842252449809304E-3</v>
      </c>
      <c r="T66" s="41">
        <f>_xll.qlDayCounterYearFraction("actual/365 (fixed)",SettlementDate,R66,,,Trigger)</f>
        <v>0.24383561643835616</v>
      </c>
      <c r="U66" s="47">
        <f>_xll.qlPolynomialFunctionValue($P$18,T66,AllTriggers)</f>
        <v>1.1237517400707977E-3</v>
      </c>
    </row>
    <row r="67" spans="18:21" x14ac:dyDescent="0.2">
      <c r="R67" s="212">
        <f>_xll.qlCalendarAdvance(Calendar,R66,"1D","f")</f>
        <v>42228</v>
      </c>
      <c r="S67" s="47">
        <f>_xll.qlTenorBasisValue($P$3,R67,AllTriggers)</f>
        <v>1.1854154172968017E-3</v>
      </c>
      <c r="T67" s="41">
        <f>_xll.qlDayCounterYearFraction("actual/365 (fixed)",SettlementDate,R67,,,Trigger)</f>
        <v>0.24657534246575341</v>
      </c>
      <c r="U67" s="47">
        <f>_xll.qlPolynomialFunctionValue($P$18,T67,AllTriggers)</f>
        <v>1.1252637810731001E-3</v>
      </c>
    </row>
    <row r="68" spans="18:21" x14ac:dyDescent="0.2">
      <c r="R68" s="212">
        <f>_xll.qlCalendarAdvance(Calendar,R67,"1D","f")</f>
        <v>42229</v>
      </c>
      <c r="S68" s="47">
        <f>_xll.qlTenorBasisValue($P$3,R68,AllTriggers)</f>
        <v>1.1865989725711647E-3</v>
      </c>
      <c r="T68" s="41">
        <f>_xll.qlDayCounterYearFraction("actual/365 (fixed)",SettlementDate,R68,,,Trigger)</f>
        <v>0.24931506849315069</v>
      </c>
      <c r="U68" s="47">
        <f>_xll.qlPolynomialFunctionValue($P$18,T68,AllTriggers)</f>
        <v>1.1267683788480558E-3</v>
      </c>
    </row>
    <row r="69" spans="18:21" x14ac:dyDescent="0.2">
      <c r="R69" s="213">
        <f>_xll.qlCalendarAdvance(Calendar,R68,"1D","f")</f>
        <v>42230</v>
      </c>
      <c r="S69" s="50">
        <f>_xll.qlTenorBasisValue($P$3,R69,AllTriggers)</f>
        <v>1.1877759285185462E-3</v>
      </c>
      <c r="T69" s="44">
        <f>_xll.qlDayCounterYearFraction("actual/365 (fixed)",SettlementDate,R69,,,Trigger)</f>
        <v>0.25205479452054796</v>
      </c>
      <c r="U69" s="50">
        <f>_xll.qlPolynomialFunctionValue($P$18,T69,AllTriggers)</f>
        <v>1.1282655511101914E-3</v>
      </c>
    </row>
    <row r="70" spans="18:21" x14ac:dyDescent="0.2">
      <c r="R70" s="212">
        <f>_xll.qlCalendarAdvance(Calendar,R69,"1D","f")</f>
        <v>42233</v>
      </c>
      <c r="S70" s="47">
        <f>_xll.qlTenorBasisValue($P$3,R70,AllTriggers)</f>
        <v>1.1912673775440683E-3</v>
      </c>
      <c r="T70" s="41">
        <f>_xll.qlDayCounterYearFraction("actual/365 (fixed)",SettlementDate,R70,,,Trigger)</f>
        <v>0.26027397260273971</v>
      </c>
      <c r="U70" s="47">
        <f>_xll.qlPolynomialFunctionValue($P$18,T70,AllTriggers)</f>
        <v>1.1327126919649436E-3</v>
      </c>
    </row>
    <row r="71" spans="18:21" x14ac:dyDescent="0.2">
      <c r="R71" s="212">
        <f>_xll.qlCalendarAdvance(Calendar,R70,"1D","f")</f>
        <v>42234</v>
      </c>
      <c r="S71" s="47">
        <f>_xll.qlTenorBasisValue($P$3,R71,AllTriggers)</f>
        <v>1.1924181133287901E-3</v>
      </c>
      <c r="T71" s="41">
        <f>_xll.qlDayCounterYearFraction("actual/365 (fixed)",SettlementDate,R71,,,Trigger)</f>
        <v>0.26301369863013696</v>
      </c>
      <c r="U71" s="47">
        <f>_xll.qlPolynomialFunctionValue($P$18,T71,AllTriggers)</f>
        <v>1.134180339321065E-3</v>
      </c>
    </row>
    <row r="72" spans="18:21" x14ac:dyDescent="0.2">
      <c r="R72" s="212">
        <f>_xll.qlCalendarAdvance(Calendar,R71,"1D","f")</f>
        <v>42235</v>
      </c>
      <c r="S72" s="47">
        <f>_xll.qlTenorBasisValue($P$3,R72,AllTriggers)</f>
        <v>1.1935623383591636E-3</v>
      </c>
      <c r="T72" s="41">
        <f>_xll.qlDayCounterYearFraction("actual/365 (fixed)",SettlementDate,R72,,,Trigger)</f>
        <v>0.26575342465753427</v>
      </c>
      <c r="U72" s="47">
        <f>_xll.qlPolynomialFunctionValue($P$18,T72,AllTriggers)</f>
        <v>1.1356406497369993E-3</v>
      </c>
    </row>
    <row r="73" spans="18:21" x14ac:dyDescent="0.2">
      <c r="R73" s="212">
        <f>_xll.qlCalendarAdvance(Calendar,R72,"1D","f")</f>
        <v>42236</v>
      </c>
      <c r="S73" s="47">
        <f>_xll.qlTenorBasisValue($P$3,R73,AllTriggers)</f>
        <v>1.1947000703497153E-3</v>
      </c>
      <c r="T73" s="41">
        <f>_xll.qlDayCounterYearFraction("actual/365 (fixed)",SettlementDate,R73,,,Trigger)</f>
        <v>0.26849315068493151</v>
      </c>
      <c r="U73" s="47">
        <f>_xll.qlPolynomialFunctionValue($P$18,T73,AllTriggers)</f>
        <v>1.1370936409272733E-3</v>
      </c>
    </row>
    <row r="74" spans="18:21" x14ac:dyDescent="0.2">
      <c r="R74" s="212">
        <f>_xll.qlCalendarAdvance(Calendar,R73,"1D","f")</f>
        <v>42237</v>
      </c>
      <c r="S74" s="47">
        <f>_xll.qlTenorBasisValue($P$3,R74,AllTriggers)</f>
        <v>1.195831327014972E-3</v>
      </c>
      <c r="T74" s="41">
        <f>_xll.qlDayCounterYearFraction("actual/365 (fixed)",SettlementDate,R74,,,Trigger)</f>
        <v>0.27123287671232876</v>
      </c>
      <c r="U74" s="47">
        <f>_xll.qlPolynomialFunctionValue($P$18,T74,AllTriggers)</f>
        <v>1.1385393306064136E-3</v>
      </c>
    </row>
    <row r="75" spans="18:21" x14ac:dyDescent="0.2">
      <c r="R75" s="212">
        <f>_xll.qlCalendarAdvance(Calendar,R74,"1D","f")</f>
        <v>42240</v>
      </c>
      <c r="S75" s="47">
        <f>_xll.qlTenorBasisValue($P$3,R75,AllTriggers)</f>
        <v>1.1991864222042367E-3</v>
      </c>
      <c r="T75" s="41">
        <f>_xll.qlDayCounterYearFraction("actual/365 (fixed)",SettlementDate,R75,,,Trigger)</f>
        <v>0.27945205479452057</v>
      </c>
      <c r="U75" s="47">
        <f>_xll.qlPolynomialFunctionValue($P$18,T75,AllTriggers)</f>
        <v>1.1428327677222975E-3</v>
      </c>
    </row>
    <row r="76" spans="18:21" x14ac:dyDescent="0.2">
      <c r="R76" s="212">
        <f>_xll.qlCalendarAdvance(Calendar,R75,"1D","f")</f>
        <v>42241</v>
      </c>
      <c r="S76" s="47">
        <f>_xll.qlTenorBasisValue($P$3,R76,AllTriggers)</f>
        <v>1.2002919547135788E-3</v>
      </c>
      <c r="T76" s="41">
        <f>_xll.qlDayCounterYearFraction("actual/365 (fixed)",SettlementDate,R76,,,Trigger)</f>
        <v>0.28219178082191781</v>
      </c>
      <c r="U76" s="47">
        <f>_xll.qlPolynomialFunctionValue($P$18,T76,AllTriggers)</f>
        <v>1.1442494285021686E-3</v>
      </c>
    </row>
    <row r="77" spans="18:21" x14ac:dyDescent="0.2">
      <c r="R77" s="212">
        <f>_xll.qlCalendarAdvance(Calendar,R76,"1D","f")</f>
        <v>42242</v>
      </c>
      <c r="S77" s="47">
        <f>_xll.qlTenorBasisValue($P$3,R77,AllTriggers)</f>
        <v>1.2013911004702589E-3</v>
      </c>
      <c r="T77" s="41">
        <f>_xll.qlDayCounterYearFraction("actual/365 (fixed)",SettlementDate,R77,,,Trigger)</f>
        <v>0.28493150684931506</v>
      </c>
      <c r="U77" s="47">
        <f>_xll.qlPolynomialFunctionValue($P$18,T77,AllTriggers)</f>
        <v>1.1456588763435393E-3</v>
      </c>
    </row>
    <row r="78" spans="18:21" x14ac:dyDescent="0.2">
      <c r="R78" s="212">
        <f>_xll.qlCalendarAdvance(Calendar,R77,"1D","f")</f>
        <v>42243</v>
      </c>
      <c r="S78" s="47">
        <f>_xll.qlTenorBasisValue($P$3,R78,AllTriggers)</f>
        <v>1.2024838771888036E-3</v>
      </c>
      <c r="T78" s="41">
        <f>_xll.qlDayCounterYearFraction("actual/365 (fixed)",SettlementDate,R78,,,Trigger)</f>
        <v>0.28767123287671231</v>
      </c>
      <c r="U78" s="47">
        <f>_xll.qlPolynomialFunctionValue($P$18,T78,AllTriggers)</f>
        <v>1.1470611289609359E-3</v>
      </c>
    </row>
    <row r="79" spans="18:21" x14ac:dyDescent="0.2">
      <c r="R79" s="212">
        <f>_xll.qlCalendarAdvance(Calendar,R78,"1D","f")</f>
        <v>42244</v>
      </c>
      <c r="S79" s="47">
        <f>_xll.qlTenorBasisValue($P$3,R79,AllTriggers)</f>
        <v>1.2035703025837395E-3</v>
      </c>
      <c r="T79" s="41">
        <f>_xll.qlDayCounterYearFraction("actual/365 (fixed)",SettlementDate,R79,,,Trigger)</f>
        <v>0.29041095890410956</v>
      </c>
      <c r="U79" s="47">
        <f>_xll.qlPolynomialFunctionValue($P$18,T79,AllTriggers)</f>
        <v>1.148456204068885E-3</v>
      </c>
    </row>
    <row r="80" spans="18:21" x14ac:dyDescent="0.2">
      <c r="R80" s="212">
        <f>_xll.qlCalendarAdvance(Calendar,R79,"1D","f")</f>
        <v>42247</v>
      </c>
      <c r="S80" s="47">
        <f>_xll.qlTenorBasisValue($P$3,R80,AllTriggers)</f>
        <v>1.2067916479721599E-3</v>
      </c>
      <c r="T80" s="41">
        <f>_xll.qlDayCounterYearFraction("actual/365 (fixed)",SettlementDate,R80,,,Trigger)</f>
        <v>0.29863013698630136</v>
      </c>
      <c r="U80" s="47">
        <f>_xll.qlPolynomialFunctionValue($P$18,T80,AllTriggers)</f>
        <v>1.1525985414813137E-3</v>
      </c>
    </row>
    <row r="81" spans="18:21" x14ac:dyDescent="0.2">
      <c r="R81" s="212">
        <f>_xll.qlCalendarAdvance(Calendar,R80,"1D","f")</f>
        <v>42248</v>
      </c>
      <c r="S81" s="47">
        <f>_xll.qlTenorBasisValue($P$3,R81,AllTriggers)</f>
        <v>1.2078528452179266E-3</v>
      </c>
      <c r="T81" s="41">
        <f>_xll.qlDayCounterYearFraction("actual/365 (fixed)",SettlementDate,R81,,,Trigger)</f>
        <v>0.30136986301369861</v>
      </c>
      <c r="U81" s="47">
        <f>_xll.qlPolynomialFunctionValue($P$18,T81,AllTriggers)</f>
        <v>1.1539650836967391E-3</v>
      </c>
    </row>
    <row r="82" spans="18:21" x14ac:dyDescent="0.2">
      <c r="R82" s="212">
        <f>_xll.qlCalendarAdvance(Calendar,R81,"1D","f")</f>
        <v>42249</v>
      </c>
      <c r="S82" s="47">
        <f>_xll.qlTenorBasisValue($P$3,R82,AllTriggers)</f>
        <v>1.2089077797127175E-3</v>
      </c>
      <c r="T82" s="41">
        <f>_xll.qlDayCounterYearFraction("actual/365 (fixed)",SettlementDate,R82,,,Trigger)</f>
        <v>0.30410958904109592</v>
      </c>
      <c r="U82" s="47">
        <f>_xll.qlPolynomialFunctionValue($P$18,T82,AllTriggers)</f>
        <v>1.1553245369753499E-3</v>
      </c>
    </row>
    <row r="83" spans="18:21" x14ac:dyDescent="0.2">
      <c r="R83" s="212">
        <f>_xll.qlCalendarAdvance(Calendar,R82,"1D","f")</f>
        <v>42250</v>
      </c>
      <c r="S83" s="47">
        <f>_xll.qlTenorBasisValue($P$3,R83,AllTriggers)</f>
        <v>1.2099564691710593E-3</v>
      </c>
      <c r="T83" s="41">
        <f>_xll.qlDayCounterYearFraction("actual/365 (fixed)",SettlementDate,R83,,,Trigger)</f>
        <v>0.30684931506849317</v>
      </c>
      <c r="U83" s="47">
        <f>_xll.qlPolynomialFunctionValue($P$18,T83,AllTriggers)</f>
        <v>1.1566769190316734E-3</v>
      </c>
    </row>
    <row r="84" spans="18:21" x14ac:dyDescent="0.2">
      <c r="R84" s="212">
        <f>_xll.qlCalendarAdvance(Calendar,R83,"1D","f")</f>
        <v>42251</v>
      </c>
      <c r="S84" s="47">
        <f>_xll.qlTenorBasisValue($P$3,R84,AllTriggers)</f>
        <v>1.2109989313074786E-3</v>
      </c>
      <c r="T84" s="41">
        <f>_xll.qlDayCounterYearFraction("actual/365 (fixed)",SettlementDate,R84,,,Trigger)</f>
        <v>0.30958904109589042</v>
      </c>
      <c r="U84" s="47">
        <f>_xll.qlPolynomialFunctionValue($P$18,T84,AllTriggers)</f>
        <v>1.1580222475802357E-3</v>
      </c>
    </row>
    <row r="85" spans="18:21" x14ac:dyDescent="0.2">
      <c r="R85" s="212">
        <f>_xll.qlCalendarAdvance(Calendar,R84,"1D","f")</f>
        <v>42254</v>
      </c>
      <c r="S85" s="47">
        <f>_xll.qlTenorBasisValue($P$3,R85,AllTriggers)</f>
        <v>1.2140891309304674E-3</v>
      </c>
      <c r="T85" s="41">
        <f>_xll.qlDayCounterYearFraction("actual/365 (fixed)",SettlementDate,R85,,,Trigger)</f>
        <v>0.31780821917808222</v>
      </c>
      <c r="U85" s="47">
        <f>_xll.qlPolynomialFunctionValue($P$18,T85,AllTriggers)</f>
        <v>1.1620160893246216E-3</v>
      </c>
    </row>
    <row r="86" spans="18:21" x14ac:dyDescent="0.2">
      <c r="R86" s="212">
        <f>_xll.qlCalendarAdvance(Calendar,R85,"1D","f")</f>
        <v>42255</v>
      </c>
      <c r="S86" s="47">
        <f>_xll.qlTenorBasisValue($P$3,R86,AllTriggers)</f>
        <v>1.2151068609244627E-3</v>
      </c>
      <c r="T86" s="41">
        <f>_xll.qlDayCounterYearFraction("actual/365 (fixed)",SettlementDate,R86,,,Trigger)</f>
        <v>0.32054794520547947</v>
      </c>
      <c r="U86" s="47">
        <f>_xll.qlPolynomialFunctionValue($P$18,T86,AllTriggers)</f>
        <v>1.1633333809874054E-3</v>
      </c>
    </row>
    <row r="87" spans="18:21" x14ac:dyDescent="0.2">
      <c r="R87" s="212">
        <f>_xll.qlCalendarAdvance(Calendar,R86,"1D","f")</f>
        <v>42256</v>
      </c>
      <c r="S87" s="47">
        <f>_xll.qlTenorBasisValue($P$3,R87,AllTriggers)</f>
        <v>1.2161184521691688E-3</v>
      </c>
      <c r="T87" s="41">
        <f>_xll.qlDayCounterYearFraction("actual/365 (fixed)",SettlementDate,R87,,,Trigger)</f>
        <v>0.32328767123287672</v>
      </c>
      <c r="U87" s="47">
        <f>_xll.qlPolynomialFunctionValue($P$18,T87,AllTriggers)</f>
        <v>1.1646437077150612E-3</v>
      </c>
    </row>
    <row r="88" spans="18:21" x14ac:dyDescent="0.2">
      <c r="R88" s="212">
        <f>_xll.qlCalendarAdvance(Calendar,R87,"1D","f")</f>
        <v>42257</v>
      </c>
      <c r="S88" s="47">
        <f>_xll.qlTenorBasisValue($P$3,R88,AllTriggers)</f>
        <v>1.2171239223791122E-3</v>
      </c>
      <c r="T88" s="41">
        <f>_xll.qlDayCounterYearFraction("actual/365 (fixed)",SettlementDate,R88,,,Trigger)</f>
        <v>0.32602739726027397</v>
      </c>
      <c r="U88" s="47">
        <f>_xll.qlPolynomialFunctionValue($P$18,T88,AllTriggers)</f>
        <v>1.1659470872221159E-3</v>
      </c>
    </row>
    <row r="89" spans="18:21" x14ac:dyDescent="0.2">
      <c r="R89" s="212">
        <f>_xll.qlCalendarAdvance(Calendar,R88,"1D","f")</f>
        <v>42258</v>
      </c>
      <c r="S89" s="47">
        <f>_xll.qlTenorBasisValue($P$3,R89,AllTriggers)</f>
        <v>1.2181232892688192E-3</v>
      </c>
      <c r="T89" s="41">
        <f>_xll.qlDayCounterYearFraction("actual/365 (fixed)",SettlementDate,R89,,,Trigger)</f>
        <v>0.32876712328767121</v>
      </c>
      <c r="U89" s="47">
        <f>_xll.qlPolynomialFunctionValue($P$18,T89,AllTriggers)</f>
        <v>1.1672435372230953E-3</v>
      </c>
    </row>
    <row r="90" spans="18:21" x14ac:dyDescent="0.2">
      <c r="R90" s="212">
        <f>_xll.qlCalendarAdvance(Calendar,R89,"1D","f")</f>
        <v>42261</v>
      </c>
      <c r="S90" s="47">
        <f>_xll.qlTenorBasisValue($P$3,R90,AllTriggers)</f>
        <v>1.221084947161789E-3</v>
      </c>
      <c r="T90" s="41">
        <f>_xll.qlDayCounterYearFraction("actual/365 (fixed)",SettlementDate,R90,,,Trigger)</f>
        <v>0.33698630136986302</v>
      </c>
      <c r="U90" s="47">
        <f>_xll.qlPolynomialFunctionValue($P$18,T90,AllTriggers)</f>
        <v>1.1710914873348513E-3</v>
      </c>
    </row>
    <row r="91" spans="18:21" x14ac:dyDescent="0.2">
      <c r="R91" s="212">
        <f>_xll.qlCalendarAdvance(Calendar,R90,"1D","f")</f>
        <v>42262</v>
      </c>
      <c r="S91" s="47">
        <f>_xll.qlTenorBasisValue($P$3,R91,AllTriggers)</f>
        <v>1.2220600779158173E-3</v>
      </c>
      <c r="T91" s="41">
        <f>_xll.qlDayCounterYearFraction("actual/365 (fixed)",SettlementDate,R91,,,Trigger)</f>
        <v>0.33972602739726027</v>
      </c>
      <c r="U91" s="47">
        <f>_xll.qlPolynomialFunctionValue($P$18,T91,AllTriggers)</f>
        <v>1.1723603964567978E-3</v>
      </c>
    </row>
    <row r="92" spans="18:21" x14ac:dyDescent="0.2">
      <c r="R92" s="212">
        <f>_xll.qlCalendarAdvance(Calendar,R91,"1D","f")</f>
        <v>42263</v>
      </c>
      <c r="S92" s="47">
        <f>_xll.qlTenorBasisValue($P$3,R92,AllTriggers)</f>
        <v>1.2230291939222427E-3</v>
      </c>
      <c r="T92" s="41">
        <f>_xll.qlDayCounterYearFraction("actual/365 (fixed)",SettlementDate,R92,,,Trigger)</f>
        <v>0.34246575342465752</v>
      </c>
      <c r="U92" s="47">
        <f>_xll.qlPolynomialFunctionValue($P$18,T92,AllTriggers)</f>
        <v>1.1736224646453025E-3</v>
      </c>
    </row>
    <row r="93" spans="18:21" x14ac:dyDescent="0.2">
      <c r="R93" s="212">
        <f>_xll.qlCalendarAdvance(Calendar,R92,"1D","f")</f>
        <v>42264</v>
      </c>
      <c r="S93" s="47">
        <f>_xll.qlTenorBasisValue($P$3,R93,AllTriggers)</f>
        <v>1.2239923128955915E-3</v>
      </c>
      <c r="T93" s="41">
        <f>_xll.qlDayCounterYearFraction("actual/365 (fixed)",SettlementDate,R93,,,Trigger)</f>
        <v>0.34520547945205482</v>
      </c>
      <c r="U93" s="47">
        <f>_xll.qlPolynomialFunctionValue($P$18,T93,AllTriggers)</f>
        <v>1.1748777096148922E-3</v>
      </c>
    </row>
    <row r="94" spans="18:21" x14ac:dyDescent="0.2">
      <c r="R94" s="212">
        <f>_xll.qlCalendarAdvance(Calendar,R93,"1D","f")</f>
        <v>42265</v>
      </c>
      <c r="S94" s="47">
        <f>_xll.qlTenorBasisValue($P$3,R94,AllTriggers)</f>
        <v>1.2249494525503905E-3</v>
      </c>
      <c r="T94" s="41">
        <f>_xll.qlDayCounterYearFraction("actual/365 (fixed)",SettlementDate,R94,,,Trigger)</f>
        <v>0.34794520547945207</v>
      </c>
      <c r="U94" s="47">
        <f>_xll.qlPolynomialFunctionValue($P$18,T94,AllTriggers)</f>
        <v>1.1761261490800935E-3</v>
      </c>
    </row>
    <row r="95" spans="18:21" x14ac:dyDescent="0.2">
      <c r="R95" s="212">
        <f>_xll.qlCalendarAdvance(Calendar,R94,"1D","f")</f>
        <v>42268</v>
      </c>
      <c r="S95" s="47">
        <f>_xll.qlTenorBasisValue($P$3,R95,AllTriggers)</f>
        <v>1.2277851727487544E-3</v>
      </c>
      <c r="T95" s="41">
        <f>_xll.qlDayCounterYearFraction("actual/365 (fixed)",SettlementDate,R95,,,Trigger)</f>
        <v>0.35616438356164382</v>
      </c>
      <c r="U95" s="47">
        <f>_xll.qlPolynomialFunctionValue($P$18,T95,AllTriggers)</f>
        <v>1.1798308115946322E-3</v>
      </c>
    </row>
    <row r="96" spans="18:21" x14ac:dyDescent="0.2">
      <c r="R96" s="212">
        <f>_xll.qlCalendarAdvance(Calendar,R95,"1D","f")</f>
        <v>42269</v>
      </c>
      <c r="S96" s="47">
        <f>_xll.qlTenorBasisValue($P$3,R96,AllTriggers)</f>
        <v>1.22871857227462E-3</v>
      </c>
      <c r="T96" s="41">
        <f>_xll.qlDayCounterYearFraction("actual/365 (fixed)",SettlementDate,R96,,,Trigger)</f>
        <v>0.35890410958904112</v>
      </c>
      <c r="U96" s="47">
        <f>_xll.qlPolynomialFunctionValue($P$18,T96,AllTriggers)</f>
        <v>1.1810522061875457E-3</v>
      </c>
    </row>
    <row r="97" spans="18:21" x14ac:dyDescent="0.2">
      <c r="R97" s="212">
        <f>_xll.qlCalendarAdvance(Calendar,R96,"1D","f")</f>
        <v>42270</v>
      </c>
      <c r="S97" s="47">
        <f>_xll.qlTenorBasisValue($P$3,R97,AllTriggers)</f>
        <v>1.2296460810545687E-3</v>
      </c>
      <c r="T97" s="41">
        <f>_xll.qlDayCounterYearFraction("actual/365 (fixed)",SettlementDate,R97,,,Trigger)</f>
        <v>0.36164383561643837</v>
      </c>
      <c r="U97" s="47">
        <f>_xll.qlPolynomialFunctionValue($P$18,T97,AllTriggers)</f>
        <v>1.1822668838487036E-3</v>
      </c>
    </row>
    <row r="98" spans="18:21" x14ac:dyDescent="0.2">
      <c r="R98" s="212">
        <f>_xll.qlCalendarAdvance(Calendar,R97,"1D","f")</f>
        <v>42271</v>
      </c>
      <c r="S98" s="47">
        <f>_xll.qlTenorBasisValue($P$3,R98,AllTriggers)</f>
        <v>1.2305677168031274E-3</v>
      </c>
      <c r="T98" s="41">
        <f>_xll.qlDayCounterYearFraction("actual/365 (fixed)",SettlementDate,R98,,,Trigger)</f>
        <v>0.36438356164383562</v>
      </c>
      <c r="U98" s="47">
        <f>_xll.qlPolynomialFunctionValue($P$18,T98,AllTriggers)</f>
        <v>1.183474862292633E-3</v>
      </c>
    </row>
    <row r="99" spans="18:21" x14ac:dyDescent="0.2">
      <c r="R99" s="212">
        <f>_xll.qlCalendarAdvance(Calendar,R98,"1D","f")</f>
        <v>42272</v>
      </c>
      <c r="S99" s="47">
        <f>_xll.qlTenorBasisValue($P$3,R99,AllTriggers)</f>
        <v>1.2314834972348228E-3</v>
      </c>
      <c r="T99" s="41">
        <f>_xll.qlDayCounterYearFraction("actual/365 (fixed)",SettlementDate,R99,,,Trigger)</f>
        <v>0.36712328767123287</v>
      </c>
      <c r="U99" s="47">
        <f>_xll.qlPolynomialFunctionValue($P$18,T99,AllTriggers)</f>
        <v>1.18467615923386E-3</v>
      </c>
    </row>
    <row r="100" spans="18:21" x14ac:dyDescent="0.2">
      <c r="R100" s="212">
        <f>_xll.qlCalendarAdvance(Calendar,R99,"1D","f")</f>
        <v>42275</v>
      </c>
      <c r="S100" s="47">
        <f>_xll.qlTenorBasisValue($P$3,R100,AllTriggers)</f>
        <v>1.234195883773993E-3</v>
      </c>
      <c r="T100" s="41">
        <f>_xll.qlDayCounterYearFraction("actual/365 (fixed)",SettlementDate,R100,,,Trigger)</f>
        <v>0.37534246575342467</v>
      </c>
      <c r="U100" s="47">
        <f>_xll.qlPolynomialFunctionValue($P$18,T100,AllTriggers)</f>
        <v>1.1882401381865942E-3</v>
      </c>
    </row>
    <row r="101" spans="18:21" x14ac:dyDescent="0.2">
      <c r="R101" s="212">
        <f>_xll.qlCalendarAdvance(Calendar,R100,"1D","f")</f>
        <v>42276</v>
      </c>
      <c r="S101" s="47">
        <f>_xll.qlTenorBasisValue($P$3,R101,AllTriggers)</f>
        <v>1.2350884200835E-3</v>
      </c>
      <c r="T101" s="41">
        <f>_xll.qlDayCounterYearFraction("actual/365 (fixed)",SettlementDate,R101,,,Trigger)</f>
        <v>0.37808219178082192</v>
      </c>
      <c r="U101" s="47">
        <f>_xll.qlPolynomialFunctionValue($P$18,T101,AllTriggers)</f>
        <v>1.1894148862622788E-3</v>
      </c>
    </row>
    <row r="102" spans="18:21" x14ac:dyDescent="0.2">
      <c r="R102" s="212">
        <f>_xll.qlCalendarAdvance(Calendar,R101,"1D","f")</f>
        <v>42277</v>
      </c>
      <c r="S102" s="47">
        <f>_xll.qlTenorBasisValue($P$3,R102,AllTriggers)</f>
        <v>1.2359751896487768E-3</v>
      </c>
      <c r="T102" s="41">
        <f>_xll.qlDayCounterYearFraction("actual/365 (fixed)",SettlementDate,R102,,,Trigger)</f>
        <v>0.38082191780821917</v>
      </c>
      <c r="U102" s="47">
        <f>_xll.qlPolynomialFunctionValue($P$18,T102,AllTriggers)</f>
        <v>1.1905830414078943E-3</v>
      </c>
    </row>
    <row r="103" spans="18:21" x14ac:dyDescent="0.2">
      <c r="R103" s="212">
        <f>_xll.qlCalendarAdvance(Calendar,R102,"1D","f")</f>
        <v>42278</v>
      </c>
      <c r="S103" s="47">
        <f>_xll.qlTenorBasisValue($P$3,R103,AllTriggers)</f>
        <v>1.2368562101843495E-3</v>
      </c>
      <c r="T103" s="41">
        <f>_xll.qlDayCounterYearFraction("actual/365 (fixed)",SettlementDate,R103,,,Trigger)</f>
        <v>0.38356164383561642</v>
      </c>
      <c r="U103" s="47">
        <f>_xll.qlPolynomialFunctionValue($P$18,T103,AllTriggers)</f>
        <v>1.1917446213379674E-3</v>
      </c>
    </row>
    <row r="104" spans="18:21" x14ac:dyDescent="0.2">
      <c r="R104" s="212">
        <f>_xll.qlCalendarAdvance(Calendar,R103,"1D","f")</f>
        <v>42279</v>
      </c>
      <c r="S104" s="47">
        <f>_xll.qlTenorBasisValue($P$3,R104,AllTriggers)</f>
        <v>1.2377314994047451E-3</v>
      </c>
      <c r="T104" s="41">
        <f>_xll.qlDayCounterYearFraction("actual/365 (fixed)",SettlementDate,R104,,,Trigger)</f>
        <v>0.38630136986301372</v>
      </c>
      <c r="U104" s="47">
        <f>_xll.qlPolynomialFunctionValue($P$18,T104,AllTriggers)</f>
        <v>1.1928996437670244E-3</v>
      </c>
    </row>
    <row r="105" spans="18:21" x14ac:dyDescent="0.2">
      <c r="R105" s="212">
        <f>_xll.qlCalendarAdvance(Calendar,R104,"1D","f")</f>
        <v>42282</v>
      </c>
      <c r="S105" s="47">
        <f>_xll.qlTenorBasisValue($P$3,R105,AllTriggers)</f>
        <v>1.240323156320135E-3</v>
      </c>
      <c r="T105" s="41">
        <f>_xll.qlDayCounterYearFraction("actual/365 (fixed)",SettlementDate,R105,,,Trigger)</f>
        <v>0.39452054794520547</v>
      </c>
      <c r="U105" s="47">
        <f>_xll.qlPolynomialFunctionValue($P$18,T105,AllTriggers)</f>
        <v>1.1963255431933671E-3</v>
      </c>
    </row>
    <row r="106" spans="18:21" x14ac:dyDescent="0.2">
      <c r="R106" s="212">
        <f>_xll.qlCalendarAdvance(Calendar,R105,"1D","f")</f>
        <v>42283</v>
      </c>
      <c r="S106" s="47">
        <f>_xll.qlTenorBasisValue($P$3,R106,AllTriggers)</f>
        <v>1.2411756974250879E-3</v>
      </c>
      <c r="T106" s="41">
        <f>_xll.qlDayCounterYearFraction("actual/365 (fixed)",SettlementDate,R106,,,Trigger)</f>
        <v>0.39726027397260272</v>
      </c>
      <c r="U106" s="47">
        <f>_xll.qlPolynomialFunctionValue($P$18,T106,AllTriggers)</f>
        <v>1.1974545127636268E-3</v>
      </c>
    </row>
    <row r="107" spans="18:21" x14ac:dyDescent="0.2">
      <c r="R107" s="212">
        <f>_xll.qlCalendarAdvance(Calendar,R106,"1D","f")</f>
        <v>42284</v>
      </c>
      <c r="S107" s="47">
        <f>_xll.qlTenorBasisValue($P$3,R107,AllTriggers)</f>
        <v>1.2420225957874968E-3</v>
      </c>
      <c r="T107" s="41">
        <f>_xll.qlDayCounterYearFraction("actual/365 (fixed)",SettlementDate,R107,,,Trigger)</f>
        <v>0.4</v>
      </c>
      <c r="U107" s="47">
        <f>_xll.qlPolynomialFunctionValue($P$18,T107,AllTriggers)</f>
        <v>1.1985770134055043E-3</v>
      </c>
    </row>
    <row r="108" spans="18:21" x14ac:dyDescent="0.2">
      <c r="R108" s="212">
        <f>_xll.qlCalendarAdvance(Calendar,R107,"1D","f")</f>
        <v>42285</v>
      </c>
      <c r="S108" s="47">
        <f>_xll.qlTenorBasisValue($P$3,R108,AllTriggers)</f>
        <v>1.2428638691218876E-3</v>
      </c>
      <c r="T108" s="41">
        <f>_xll.qlDayCounterYearFraction("actual/365 (fixed)",SettlementDate,R108,,,Trigger)</f>
        <v>0.40273972602739727</v>
      </c>
      <c r="U108" s="47">
        <f>_xll.qlPolynomialFunctionValue($P$18,T108,AllTriggers)</f>
        <v>1.1996930628335252E-3</v>
      </c>
    </row>
    <row r="109" spans="18:21" x14ac:dyDescent="0.2">
      <c r="R109" s="212">
        <f>_xll.qlCalendarAdvance(Calendar,R108,"1D","f")</f>
        <v>42286</v>
      </c>
      <c r="S109" s="47">
        <f>_xll.qlTenorBasisValue($P$3,R109,AllTriggers)</f>
        <v>1.2436995351427882E-3</v>
      </c>
      <c r="T109" s="41">
        <f>_xll.qlDayCounterYearFraction("actual/365 (fixed)",SettlementDate,R109,,,Trigger)</f>
        <v>0.40547945205479452</v>
      </c>
      <c r="U109" s="47">
        <f>_xll.qlPolynomialFunctionValue($P$18,T109,AllTriggers)</f>
        <v>1.2008026787622167E-3</v>
      </c>
    </row>
    <row r="110" spans="18:21" x14ac:dyDescent="0.2">
      <c r="R110" s="212">
        <f>_xll.qlCalendarAdvance(Calendar,R109,"1D","f")</f>
        <v>42289</v>
      </c>
      <c r="S110" s="47">
        <f>_xll.qlTenorBasisValue($P$3,R110,AllTriggers)</f>
        <v>1.2461730664698099E-3</v>
      </c>
      <c r="T110" s="41">
        <f>_xll.qlDayCounterYearFraction("actual/365 (fixed)",SettlementDate,R110,,,Trigger)</f>
        <v>0.41369863013698632</v>
      </c>
      <c r="U110" s="47">
        <f>_xll.qlPolynomialFunctionValue($P$18,T110,AllTriggers)</f>
        <v>1.2040931026975801E-3</v>
      </c>
    </row>
    <row r="111" spans="18:21" x14ac:dyDescent="0.2">
      <c r="R111" s="212">
        <f>_xll.qlCalendarAdvance(Calendar,R110,"1D","f")</f>
        <v>42290</v>
      </c>
      <c r="S111" s="47">
        <f>_xll.qlTenorBasisValue($P$3,R111,AllTriggers)</f>
        <v>1.2469864803820127E-3</v>
      </c>
      <c r="T111" s="41">
        <f>_xll.qlDayCounterYearFraction("actual/365 (fixed)",SettlementDate,R111,,,Trigger)</f>
        <v>0.41643835616438357</v>
      </c>
      <c r="U111" s="47">
        <f>_xll.qlPolynomialFunctionValue($P$18,T111,AllTriggers)</f>
        <v>1.2051771617742201E-3</v>
      </c>
    </row>
    <row r="112" spans="18:21" x14ac:dyDescent="0.2">
      <c r="R112" s="212">
        <f>_xll.qlCalendarAdvance(Calendar,R111,"1D","f")</f>
        <v>42291</v>
      </c>
      <c r="S112" s="47">
        <f>_xll.qlTenorBasisValue($P$3,R112,AllTriggers)</f>
        <v>1.2477943755533575E-3</v>
      </c>
      <c r="T112" s="41">
        <f>_xll.qlDayCounterYearFraction("actual/365 (fixed)",SettlementDate,R112,,,Trigger)</f>
        <v>0.41917808219178082</v>
      </c>
      <c r="U112" s="47">
        <f>_xll.qlPolynomialFunctionValue($P$18,T112,AllTriggers)</f>
        <v>1.206254875924163E-3</v>
      </c>
    </row>
    <row r="113" spans="18:21" x14ac:dyDescent="0.2">
      <c r="R113" s="212">
        <f>_xll.qlCalendarAdvance(Calendar,R112,"1D","f")</f>
        <v>42292</v>
      </c>
      <c r="S113" s="47">
        <f>_xll.qlTenorBasisValue($P$3,R113,AllTriggers)</f>
        <v>1.2485967696983713E-3</v>
      </c>
      <c r="T113" s="41">
        <f>_xll.qlDayCounterYearFraction("actual/365 (fixed)",SettlementDate,R113,,,Trigger)</f>
        <v>0.42191780821917807</v>
      </c>
      <c r="U113" s="47">
        <f>_xll.qlPolynomialFunctionValue($P$18,T113,AllTriggers)</f>
        <v>1.2073262628619363E-3</v>
      </c>
    </row>
    <row r="114" spans="18:21" x14ac:dyDescent="0.2">
      <c r="R114" s="212">
        <f>_xll.qlCalendarAdvance(Calendar,R113,"1D","f")</f>
        <v>42293</v>
      </c>
      <c r="S114" s="47">
        <f>_xll.qlTenorBasisValue($P$3,R114,AllTriggers)</f>
        <v>1.2493936805315806E-3</v>
      </c>
      <c r="T114" s="41">
        <f>_xll.qlDayCounterYearFraction("actual/365 (fixed)",SettlementDate,R114,,,Trigger)</f>
        <v>0.42465753424657532</v>
      </c>
      <c r="U114" s="47">
        <f>_xll.qlPolynomialFunctionValue($P$18,T114,AllTriggers)</f>
        <v>1.2083913403020665E-3</v>
      </c>
    </row>
    <row r="115" spans="18:21" x14ac:dyDescent="0.2">
      <c r="R115" s="212">
        <f>_xll.qlCalendarAdvance(Calendar,R114,"1D","f")</f>
        <v>42296</v>
      </c>
      <c r="S115" s="47">
        <f>_xll.qlTenorBasisValue($P$3,R115,AllTriggers)</f>
        <v>1.2517516903056472E-3</v>
      </c>
      <c r="T115" s="41">
        <f>_xll.qlDayCounterYearFraction("actual/365 (fixed)",SettlementDate,R115,,,Trigger)</f>
        <v>0.43287671232876712</v>
      </c>
      <c r="U115" s="47">
        <f>_xll.qlPolynomialFunctionValue($P$18,T115,AllTriggers)</f>
        <v>1.2115488927818636E-3</v>
      </c>
    </row>
    <row r="116" spans="18:21" x14ac:dyDescent="0.2">
      <c r="R116" s="212">
        <f>_xll.qlCalendarAdvance(Calendar,R115,"1D","f")</f>
        <v>42297</v>
      </c>
      <c r="S116" s="47">
        <f>_xll.qlTenorBasisValue($P$3,R116,AllTriggers)</f>
        <v>1.2525268450369043E-3</v>
      </c>
      <c r="T116" s="41">
        <f>_xll.qlDayCounterYearFraction("actual/365 (fixed)",SettlementDate,R116,,,Trigger)</f>
        <v>0.43561643835616437</v>
      </c>
      <c r="U116" s="47">
        <f>_xll.qlPolynomialFunctionValue($P$18,T116,AllTriggers)</f>
        <v>1.2125889093766874E-3</v>
      </c>
    </row>
    <row r="117" spans="18:21" x14ac:dyDescent="0.2">
      <c r="R117" s="212">
        <f>_xll.qlCalendarAdvance(Calendar,R116,"1D","f")</f>
        <v>42298</v>
      </c>
      <c r="S117" s="47">
        <f>_xll.qlTenorBasisValue($P$3,R117,AllTriggers)</f>
        <v>1.2532966050289899E-3</v>
      </c>
      <c r="T117" s="41">
        <f>_xll.qlDayCounterYearFraction("actual/365 (fixed)",SettlementDate,R117,,,Trigger)</f>
        <v>0.43835616438356162</v>
      </c>
      <c r="U117" s="47">
        <f>_xll.qlPolynomialFunctionValue($P$18,T117,AllTriggers)</f>
        <v>1.2136227050465005E-3</v>
      </c>
    </row>
    <row r="118" spans="18:21" x14ac:dyDescent="0.2">
      <c r="R118" s="212">
        <f>_xll.qlCalendarAdvance(Calendar,R117,"1D","f")</f>
        <v>42299</v>
      </c>
      <c r="S118" s="47">
        <f>_xll.qlTenorBasisValue($P$3,R118,AllTriggers)</f>
        <v>1.2540609879964305E-3</v>
      </c>
      <c r="T118" s="41">
        <f>_xll.qlDayCounterYearFraction("actual/365 (fixed)",SettlementDate,R118,,,Trigger)</f>
        <v>0.44109589041095892</v>
      </c>
      <c r="U118" s="47">
        <f>_xll.qlPolynomialFunctionValue($P$18,T118,AllTriggers)</f>
        <v>1.2146502975058304E-3</v>
      </c>
    </row>
    <row r="119" spans="18:21" x14ac:dyDescent="0.2">
      <c r="R119" s="212">
        <f>_xll.qlCalendarAdvance(Calendar,R118,"1D","f")</f>
        <v>42300</v>
      </c>
      <c r="S119" s="47">
        <f>_xll.qlTenorBasisValue($P$3,R119,AllTriggers)</f>
        <v>1.2548200116537531E-3</v>
      </c>
      <c r="T119" s="41">
        <f>_xll.qlDayCounterYearFraction("actual/365 (fixed)",SettlementDate,R119,,,Trigger)</f>
        <v>0.44383561643835617</v>
      </c>
      <c r="U119" s="47">
        <f>_xll.qlPolynomialFunctionValue($P$18,T119,AllTriggers)</f>
        <v>1.2156717044692034E-3</v>
      </c>
    </row>
    <row r="120" spans="18:21" x14ac:dyDescent="0.2">
      <c r="R120" s="212">
        <f>_xll.qlCalendarAdvance(Calendar,R119,"1D","f")</f>
        <v>42303</v>
      </c>
      <c r="S120" s="47">
        <f>_xll.qlTenorBasisValue($P$3,R120,AllTriggers)</f>
        <v>1.257065103910277E-3</v>
      </c>
      <c r="T120" s="41">
        <f>_xll.qlDayCounterYearFraction("actual/365 (fixed)",SettlementDate,R120,,,Trigger)</f>
        <v>0.45205479452054792</v>
      </c>
      <c r="U120" s="47">
        <f>_xll.qlPolynomialFunctionValue($P$18,T120,AllTriggers)</f>
        <v>1.2186989895288471E-3</v>
      </c>
    </row>
    <row r="121" spans="18:21" x14ac:dyDescent="0.2">
      <c r="R121" s="212">
        <f>_xll.qlCalendarAdvance(Calendar,R120,"1D","f")</f>
        <v>42304</v>
      </c>
      <c r="S121" s="47">
        <f>_xll.qlTenorBasisValue($P$3,R121,AllTriggers)</f>
        <v>1.2578028674723925E-3</v>
      </c>
      <c r="T121" s="41">
        <f>_xll.qlDayCounterYearFraction("actual/365 (fixed)",SettlementDate,R121,,,Trigger)</f>
        <v>0.45479452054794522</v>
      </c>
      <c r="U121" s="47">
        <f>_xll.qlPolynomialFunctionValue($P$18,T121,AllTriggers)</f>
        <v>1.2196958316536587E-3</v>
      </c>
    </row>
    <row r="122" spans="18:21" x14ac:dyDescent="0.2">
      <c r="R122" s="212">
        <f>_xll.qlCalendarAdvance(Calendar,R121,"1D","f")</f>
        <v>42305</v>
      </c>
      <c r="S122" s="47">
        <f>_xll.qlTenorBasisValue($P$3,R122,AllTriggers)</f>
        <v>1.2585353602970228E-3</v>
      </c>
      <c r="T122" s="41">
        <f>_xll.qlDayCounterYearFraction("actual/365 (fixed)",SettlementDate,R122,,,Trigger)</f>
        <v>0.45753424657534247</v>
      </c>
      <c r="U122" s="47">
        <f>_xll.qlPolynomialFunctionValue($P$18,T122,AllTriggers)</f>
        <v>1.2206865768551465E-3</v>
      </c>
    </row>
    <row r="123" spans="18:21" x14ac:dyDescent="0.2">
      <c r="R123" s="212">
        <f>_xll.qlCalendarAdvance(Calendar,R122,"1D","f")</f>
        <v>42306</v>
      </c>
      <c r="S123" s="47">
        <f>_xll.qlTenorBasisValue($P$3,R123,AllTriggers)</f>
        <v>1.2592626000986944E-3</v>
      </c>
      <c r="T123" s="41">
        <f>_xll.qlDayCounterYearFraction("actual/365 (fixed)",SettlementDate,R123,,,Trigger)</f>
        <v>0.46027397260273972</v>
      </c>
      <c r="U123" s="47">
        <f>_xll.qlPolynomialFunctionValue($P$18,T123,AllTriggers)</f>
        <v>1.221671242847837E-3</v>
      </c>
    </row>
    <row r="124" spans="18:21" x14ac:dyDescent="0.2">
      <c r="R124" s="212">
        <f>_xll.qlCalendarAdvance(Calendar,R123,"1D","f")</f>
        <v>42307</v>
      </c>
      <c r="S124" s="47">
        <f>_xll.qlTenorBasisValue($P$3,R124,AllTriggers)</f>
        <v>1.2599846045919345E-3</v>
      </c>
      <c r="T124" s="41">
        <f>_xll.qlDayCounterYearFraction("actual/365 (fixed)",SettlementDate,R124,,,Trigger)</f>
        <v>0.46301369863013697</v>
      </c>
      <c r="U124" s="47">
        <f>_xll.qlPolynomialFunctionValue($P$18,T124,AllTriggers)</f>
        <v>1.2226498473462571E-3</v>
      </c>
    </row>
    <row r="125" spans="18:21" x14ac:dyDescent="0.2">
      <c r="R125" s="212">
        <f>_xll.qlCalendarAdvance(Calendar,R124,"1D","f")</f>
        <v>42310</v>
      </c>
      <c r="S125" s="47">
        <f>_xll.qlTenorBasisValue($P$3,R125,AllTriggers)</f>
        <v>1.2621193833663286E-3</v>
      </c>
      <c r="T125" s="41">
        <f>_xll.qlDayCounterYearFraction("actual/365 (fixed)",SettlementDate,R125,,,Trigger)</f>
        <v>0.47123287671232877</v>
      </c>
      <c r="U125" s="47">
        <f>_xll.qlPolynomialFunctionValue($P$18,T125,AllTriggers)</f>
        <v>1.2255494690211598E-3</v>
      </c>
    </row>
    <row r="126" spans="18:21" x14ac:dyDescent="0.2">
      <c r="R126" s="212">
        <f>_xll.qlCalendarAdvance(Calendar,R125,"1D","f")</f>
        <v>42311</v>
      </c>
      <c r="S126" s="47">
        <f>_xll.qlTenorBasisValue($P$3,R126,AllTriggers)</f>
        <v>1.262820623771107E-3</v>
      </c>
      <c r="T126" s="41">
        <f>_xll.qlDayCounterYearFraction("actual/365 (fixed)",SettlementDate,R126,,,Trigger)</f>
        <v>0.47397260273972602</v>
      </c>
      <c r="U126" s="47">
        <f>_xll.qlPolynomialFunctionValue($P$18,T126,AllTriggers)</f>
        <v>1.2265040046877641E-3</v>
      </c>
    </row>
    <row r="127" spans="18:21" x14ac:dyDescent="0.2">
      <c r="R127" s="212">
        <f>_xll.qlCalendarAdvance(Calendar,R126,"1D","f")</f>
        <v>42312</v>
      </c>
      <c r="S127" s="47">
        <f>_xll.qlTenorBasisValue($P$3,R127,AllTriggers)</f>
        <v>1.2635167174400864E-3</v>
      </c>
      <c r="T127" s="41">
        <f>_xll.qlDayCounterYearFraction("actual/365 (fixed)",SettlementDate,R127,,,Trigger)</f>
        <v>0.47671232876712327</v>
      </c>
      <c r="U127" s="47">
        <f>_xll.qlPolynomialFunctionValue($P$18,T127,AllTriggers)</f>
        <v>1.2274525674327305E-3</v>
      </c>
    </row>
    <row r="128" spans="18:21" x14ac:dyDescent="0.2">
      <c r="R128" s="212">
        <f>_xll.qlCalendarAdvance(Calendar,R127,"1D","f")</f>
        <v>42313</v>
      </c>
      <c r="S128" s="47">
        <f>_xll.qlTenorBasisValue($P$3,R128,AllTriggers)</f>
        <v>1.2642076820877936E-3</v>
      </c>
      <c r="T128" s="41">
        <f>_xll.qlDayCounterYearFraction("actual/365 (fixed)",SettlementDate,R128,,,Trigger)</f>
        <v>0.47945205479452052</v>
      </c>
      <c r="U128" s="47">
        <f>_xll.qlPolynomialFunctionValue($P$18,T128,AllTriggers)</f>
        <v>1.2283951749705862E-3</v>
      </c>
    </row>
    <row r="129" spans="18:21" x14ac:dyDescent="0.2">
      <c r="R129" s="212">
        <f>_xll.qlCalendarAdvance(Calendar,R128,"1D","f")</f>
        <v>42314</v>
      </c>
      <c r="S129" s="47">
        <f>_xll.qlTenorBasisValue($P$3,R129,AllTriggers)</f>
        <v>1.2648935354287554E-3</v>
      </c>
      <c r="T129" s="41">
        <f>_xll.qlDayCounterYearFraction("actual/365 (fixed)",SettlementDate,R129,,,Trigger)</f>
        <v>0.48219178082191783</v>
      </c>
      <c r="U129" s="47">
        <f>_xll.qlPolynomialFunctionValue($P$18,T129,AllTriggers)</f>
        <v>1.2293318450158576E-3</v>
      </c>
    </row>
    <row r="130" spans="18:21" x14ac:dyDescent="0.2">
      <c r="R130" s="212">
        <f>_xll.qlCalendarAdvance(Calendar,R129,"1D","f")</f>
        <v>42317</v>
      </c>
      <c r="S130" s="47">
        <f>_xll.qlTenorBasisValue($P$3,R130,AllTriggers)</f>
        <v>1.2669206047564322E-3</v>
      </c>
      <c r="T130" s="41">
        <f>_xll.qlDayCounterYearFraction("actual/365 (fixed)",SettlementDate,R130,,,Trigger)</f>
        <v>0.49041095890410957</v>
      </c>
      <c r="U130" s="47">
        <f>_xll.qlPolynomialFunctionValue($P$18,T130,AllTriggers)</f>
        <v>1.2321064073414322E-3</v>
      </c>
    </row>
    <row r="131" spans="18:21" x14ac:dyDescent="0.2">
      <c r="R131" s="212">
        <f>_xll.qlCalendarAdvance(Calendar,R130,"1D","f")</f>
        <v>42318</v>
      </c>
      <c r="S131" s="47">
        <f>_xll.qlTenorBasisValue($P$3,R131,AllTriggers)</f>
        <v>1.2675861900156775E-3</v>
      </c>
      <c r="T131" s="41">
        <f>_xll.qlDayCounterYearFraction("actual/365 (fixed)",SettlementDate,R131,,,Trigger)</f>
        <v>0.49315068493150682</v>
      </c>
      <c r="U131" s="47">
        <f>_xll.qlPolynomialFunctionValue($P$18,T131,AllTriggers)</f>
        <v>1.2330195045616328E-3</v>
      </c>
    </row>
    <row r="132" spans="18:21" x14ac:dyDescent="0.2">
      <c r="R132" s="212">
        <f>_xll.qlCalendarAdvance(Calendar,R131,"1D","f")</f>
        <v>42319</v>
      </c>
      <c r="S132" s="47">
        <f>_xll.qlTenorBasisValue($P$3,R132,AllTriggers)</f>
        <v>1.2682467525408103E-3</v>
      </c>
      <c r="T132" s="41">
        <f>_xll.qlDayCounterYearFraction("actual/365 (fixed)",SettlementDate,R132,,,Trigger)</f>
        <v>0.49589041095890413</v>
      </c>
      <c r="U132" s="47">
        <f>_xll.qlPolynomialFunctionValue($P$18,T132,AllTriggers)</f>
        <v>1.2339267528618822E-3</v>
      </c>
    </row>
    <row r="133" spans="18:21" x14ac:dyDescent="0.2">
      <c r="R133" s="212">
        <f>_xll.qlCalendarAdvance(Calendar,R132,"1D","f")</f>
        <v>42320</v>
      </c>
      <c r="S133" s="47">
        <f>_xll.qlTenorBasisValue($P$3,R133,AllTriggers)</f>
        <v>1.2689023100463568E-3</v>
      </c>
      <c r="T133" s="41">
        <f>_xll.qlDayCounterYearFraction("actual/365 (fixed)",SettlementDate,R133,,,Trigger)</f>
        <v>0.49863013698630138</v>
      </c>
      <c r="U133" s="47">
        <f>_xll.qlPolynomialFunctionValue($P$18,T133,AllTriggers)</f>
        <v>1.2348281699567072E-3</v>
      </c>
    </row>
    <row r="134" spans="18:21" x14ac:dyDescent="0.2">
      <c r="R134" s="212">
        <f>_xll.qlCalendarAdvance(Calendar,R133,"1D","f")</f>
        <v>42321</v>
      </c>
      <c r="S134" s="47">
        <f>_xll.qlTenorBasisValue($P$3,R134,AllTriggers)</f>
        <v>1.2695528802468443E-3</v>
      </c>
      <c r="T134" s="41">
        <f>_xll.qlDayCounterYearFraction("actual/365 (fixed)",SettlementDate,R134,,,Trigger)</f>
        <v>0.50136986301369868</v>
      </c>
      <c r="U134" s="47">
        <f>_xll.qlPolynomialFunctionValue($P$18,T134,AllTriggers)</f>
        <v>1.2357237735606342E-3</v>
      </c>
    </row>
    <row r="135" spans="18:21" x14ac:dyDescent="0.2">
      <c r="R135" s="212">
        <f>_xll.qlCalendarAdvance(Calendar,R134,"1D","f")</f>
        <v>42324</v>
      </c>
      <c r="S135" s="47">
        <f>_xll.qlTenorBasisValue($P$3,R135,AllTriggers)</f>
        <v>1.2714748441632173E-3</v>
      </c>
      <c r="T135" s="41">
        <f>_xll.qlDayCounterYearFraction("actual/365 (fixed)",SettlementDate,R135,,,Trigger)</f>
        <v>0.50958904109589043</v>
      </c>
      <c r="U135" s="47">
        <f>_xll.qlPolynomialFunctionValue($P$18,T135,AllTriggers)</f>
        <v>1.2383758805722936E-3</v>
      </c>
    </row>
    <row r="136" spans="18:21" x14ac:dyDescent="0.2">
      <c r="R136" s="212">
        <f>_xll.qlCalendarAdvance(Calendar,R135,"1D","f")</f>
        <v>42325</v>
      </c>
      <c r="S136" s="47">
        <f>_xll.qlTenorBasisValue($P$3,R136,AllTriggers)</f>
        <v>1.2721056422887336E-3</v>
      </c>
      <c r="T136" s="41">
        <f>_xll.qlDayCounterYearFraction("actual/365 (fixed)",SettlementDate,R136,,,Trigger)</f>
        <v>0.51232876712328768</v>
      </c>
      <c r="U136" s="47">
        <f>_xll.qlPolynomialFunctionValue($P$18,T136,AllTriggers)</f>
        <v>1.2392484073578951E-3</v>
      </c>
    </row>
    <row r="137" spans="18:21" x14ac:dyDescent="0.2">
      <c r="R137" s="212">
        <f>_xll.qlCalendarAdvance(Calendar,R136,"1D","f")</f>
        <v>42326</v>
      </c>
      <c r="S137" s="47">
        <f>_xll.qlTenorBasisValue($P$3,R137,AllTriggers)</f>
        <v>1.272731541681824E-3</v>
      </c>
      <c r="T137" s="41">
        <f>_xll.qlDayCounterYearFraction("actual/365 (fixed)",SettlementDate,R137,,,Trigger)</f>
        <v>0.51506849315068493</v>
      </c>
      <c r="U137" s="47">
        <f>_xll.qlPolynomialFunctionValue($P$18,T137,AllTriggers)</f>
        <v>1.2401152092252317E-3</v>
      </c>
    </row>
    <row r="138" spans="18:21" x14ac:dyDescent="0.2">
      <c r="R138" s="212">
        <f>_xll.qlCalendarAdvance(Calendar,R137,"1D","f")</f>
        <v>42327</v>
      </c>
      <c r="S138" s="47">
        <f>_xll.qlTenorBasisValue($P$3,R138,AllTriggers)</f>
        <v>1.2733525600570146E-3</v>
      </c>
      <c r="T138" s="41">
        <f>_xll.qlDayCounterYearFraction("actual/365 (fixed)",SettlementDate,R138,,,Trigger)</f>
        <v>0.51780821917808217</v>
      </c>
      <c r="U138" s="47">
        <f>_xll.qlPolynomialFunctionValue($P$18,T138,AllTriggers)</f>
        <v>1.2409763038888301E-3</v>
      </c>
    </row>
    <row r="139" spans="18:21" x14ac:dyDescent="0.2">
      <c r="R139" s="212">
        <f>_xll.qlCalendarAdvance(Calendar,R138,"1D","f")</f>
        <v>42328</v>
      </c>
      <c r="S139" s="47">
        <f>_xll.qlTenorBasisValue($P$3,R139,AllTriggers)</f>
        <v>1.2739687151288323E-3</v>
      </c>
      <c r="T139" s="41">
        <f>_xll.qlDayCounterYearFraction("actual/365 (fixed)",SettlementDate,R139,,,Trigger)</f>
        <v>0.52054794520547942</v>
      </c>
      <c r="U139" s="47">
        <f>_xll.qlPolynomialFunctionValue($P$18,T139,AllTriggers)</f>
        <v>1.2418317090632167E-3</v>
      </c>
    </row>
    <row r="140" spans="18:21" x14ac:dyDescent="0.2">
      <c r="R140" s="212">
        <f>_xll.qlCalendarAdvance(Calendar,R139,"1D","f")</f>
        <v>42331</v>
      </c>
      <c r="S140" s="47">
        <f>_xll.qlTenorBasisValue($P$3,R140,AllTriggers)</f>
        <v>1.2757881776693134E-3</v>
      </c>
      <c r="T140" s="41">
        <f>_xll.qlDayCounterYearFraction("actual/365 (fixed)",SettlementDate,R140,,,Trigger)</f>
        <v>0.52876712328767128</v>
      </c>
      <c r="U140" s="47">
        <f>_xll.qlPolynomialFunctionValue($P$18,T140,AllTriggers)</f>
        <v>1.2443639647963737E-3</v>
      </c>
    </row>
    <row r="141" spans="18:21" x14ac:dyDescent="0.2">
      <c r="R141" s="212">
        <f>_xll.qlCalendarAdvance(Calendar,R140,"1D","f")</f>
        <v>42332</v>
      </c>
      <c r="S141" s="47">
        <f>_xll.qlTenorBasisValue($P$3,R141,AllTriggers)</f>
        <v>1.2763850566729052E-3</v>
      </c>
      <c r="T141" s="41">
        <f>_xll.qlDayCounterYearFraction("actual/365 (fixed)",SettlementDate,R141,,,Trigger)</f>
        <v>0.53150684931506853</v>
      </c>
      <c r="U141" s="47">
        <f>_xll.qlPolynomialFunctionValue($P$18,T141,AllTriggers)</f>
        <v>1.2451967891591801E-3</v>
      </c>
    </row>
    <row r="142" spans="18:21" x14ac:dyDescent="0.2">
      <c r="R142" s="212">
        <f>_xll.qlCalendarAdvance(Calendar,R141,"1D","f")</f>
        <v>42333</v>
      </c>
      <c r="S142" s="47">
        <f>_xll.qlTenorBasisValue($P$3,R142,AllTriggers)</f>
        <v>1.2769771609457573E-3</v>
      </c>
      <c r="T142" s="41">
        <f>_xll.qlDayCounterYearFraction("actual/365 (fixed)",SettlementDate,R142,,,Trigger)</f>
        <v>0.53424657534246578</v>
      </c>
      <c r="U142" s="47">
        <f>_xll.qlPolynomialFunctionValue($P$18,T142,AllTriggers)</f>
        <v>1.2460240126054081E-3</v>
      </c>
    </row>
    <row r="143" spans="18:21" x14ac:dyDescent="0.2">
      <c r="R143" s="212">
        <f>_xll.qlCalendarAdvance(Calendar,R142,"1D","f")</f>
        <v>42334</v>
      </c>
      <c r="S143" s="47">
        <f>_xll.qlTenorBasisValue($P$3,R143,AllTriggers)</f>
        <v>1.2775645082023961E-3</v>
      </c>
      <c r="T143" s="41">
        <f>_xll.qlDayCounterYearFraction("actual/365 (fixed)",SettlementDate,R143,,,Trigger)</f>
        <v>0.53698630136986303</v>
      </c>
      <c r="U143" s="47">
        <f>_xll.qlPolynomialFunctionValue($P$18,T143,AllTriggers)</f>
        <v>1.2468456528495844E-3</v>
      </c>
    </row>
    <row r="144" spans="18:21" x14ac:dyDescent="0.2">
      <c r="R144" s="212">
        <f>_xll.qlCalendarAdvance(Calendar,R143,"1D","f")</f>
        <v>42335</v>
      </c>
      <c r="S144" s="47">
        <f>_xll.qlTenorBasisValue($P$3,R144,AllTriggers)</f>
        <v>1.2781471161573479E-3</v>
      </c>
      <c r="T144" s="41">
        <f>_xll.qlDayCounterYearFraction("actual/365 (fixed)",SettlementDate,R144,,,Trigger)</f>
        <v>0.53972602739726028</v>
      </c>
      <c r="U144" s="47">
        <f>_xll.qlPolynomialFunctionValue($P$18,T144,AllTriggers)</f>
        <v>1.2476617276062352E-3</v>
      </c>
    </row>
    <row r="145" spans="18:21" x14ac:dyDescent="0.2">
      <c r="R145" s="212">
        <f>_xll.qlCalendarAdvance(Calendar,R144,"1D","f")</f>
        <v>42338</v>
      </c>
      <c r="S145" s="47">
        <f>_xll.qlTenorBasisValue($P$3,R145,AllTriggers)</f>
        <v>1.2798666813573505E-3</v>
      </c>
      <c r="T145" s="41">
        <f>_xll.qlDayCounterYearFraction("actual/365 (fixed)",SettlementDate,R145,,,Trigger)</f>
        <v>0.54794520547945202</v>
      </c>
      <c r="U145" s="47">
        <f>_xll.qlPolynomialFunctionValue($P$18,T145,AllTriggers)</f>
        <v>1.2500767360963021E-3</v>
      </c>
    </row>
    <row r="146" spans="18:21" x14ac:dyDescent="0.2">
      <c r="R146" s="212">
        <f>_xll.qlCalendarAdvance(Calendar,R145,"1D","f")</f>
        <v>42339</v>
      </c>
      <c r="S146" s="47">
        <f>_xll.qlTenorBasisValue($P$3,R146,AllTriggers)</f>
        <v>1.280430509250822E-3</v>
      </c>
      <c r="T146" s="41">
        <f>_xll.qlDayCounterYearFraction("actual/365 (fixed)",SettlementDate,R146,,,Trigger)</f>
        <v>0.55068493150684927</v>
      </c>
      <c r="U146" s="47">
        <f>_xll.qlPolynomialFunctionValue($P$18,T146,AllTriggers)</f>
        <v>1.2508707260481182E-3</v>
      </c>
    </row>
    <row r="147" spans="18:21" x14ac:dyDescent="0.2">
      <c r="R147" s="212">
        <f>_xll.qlCalendarAdvance(Calendar,R146,"1D","f")</f>
        <v>42340</v>
      </c>
      <c r="S147" s="47">
        <f>_xll.qlTenorBasisValue($P$3,R147,AllTriggers)</f>
        <v>1.2809896864152401E-3</v>
      </c>
      <c r="T147" s="41">
        <f>_xll.qlDayCounterYearFraction("actual/365 (fixed)",SettlementDate,R147,,,Trigger)</f>
        <v>0.55342465753424652</v>
      </c>
      <c r="U147" s="47">
        <f>_xll.qlPolynomialFunctionValue($P$18,T147,AllTriggers)</f>
        <v>1.2516592390850417E-3</v>
      </c>
    </row>
    <row r="148" spans="18:21" x14ac:dyDescent="0.2">
      <c r="R148" s="212">
        <f>_xll.qlCalendarAdvance(Calendar,R147,"1D","f")</f>
        <v>42341</v>
      </c>
      <c r="S148" s="47">
        <f>_xll.qlTenorBasisValue($P$3,R148,AllTriggers)</f>
        <v>1.2815442305651311E-3</v>
      </c>
      <c r="T148" s="41">
        <f>_xll.qlDayCounterYearFraction("actual/365 (fixed)",SettlementDate,R148,,,Trigger)</f>
        <v>0.55616438356164388</v>
      </c>
      <c r="U148" s="47">
        <f>_xll.qlPolynomialFunctionValue($P$18,T148,AllTriggers)</f>
        <v>1.2524422929215998E-3</v>
      </c>
    </row>
    <row r="149" spans="18:21" x14ac:dyDescent="0.2">
      <c r="R149" s="212">
        <f>_xll.qlCalendarAdvance(Calendar,R148,"1D","f")</f>
        <v>42342</v>
      </c>
      <c r="S149" s="47">
        <f>_xll.qlTenorBasisValue($P$3,R149,AllTriggers)</f>
        <v>1.2820941594150221E-3</v>
      </c>
      <c r="T149" s="41">
        <f>_xll.qlDayCounterYearFraction("actual/365 (fixed)",SettlementDate,R149,,,Trigger)</f>
        <v>0.55890410958904113</v>
      </c>
      <c r="U149" s="47">
        <f>_xll.qlPolynomialFunctionValue($P$18,T149,AllTriggers)</f>
        <v>1.2532199052723192E-3</v>
      </c>
    </row>
    <row r="150" spans="18:21" x14ac:dyDescent="0.2">
      <c r="R150" s="212">
        <f>_xll.qlCalendarAdvance(Calendar,R149,"1D","f")</f>
        <v>42345</v>
      </c>
      <c r="S150" s="47">
        <f>_xll.qlTenorBasisValue($P$3,R150,AllTriggers)</f>
        <v>1.2837164313099581E-3</v>
      </c>
      <c r="T150" s="41">
        <f>_xll.qlDayCounterYearFraction("actual/365 (fixed)",SettlementDate,R150,,,Trigger)</f>
        <v>0.56712328767123288</v>
      </c>
      <c r="U150" s="47">
        <f>_xll.qlPolynomialFunctionValue($P$18,T150,AllTriggers)</f>
        <v>1.255520270554709E-3</v>
      </c>
    </row>
    <row r="151" spans="18:21" x14ac:dyDescent="0.2">
      <c r="R151" s="212">
        <f>_xll.qlCalendarAdvance(Calendar,R150,"1D","f")</f>
        <v>42346</v>
      </c>
      <c r="S151" s="47">
        <f>_xll.qlTenorBasisValue($P$3,R151,AllTriggers)</f>
        <v>1.2842480761051137E-3</v>
      </c>
      <c r="T151" s="41">
        <f>_xll.qlDayCounterYearFraction("actual/365 (fixed)",SettlementDate,R151,,,Trigger)</f>
        <v>0.56986301369863013</v>
      </c>
      <c r="U151" s="47">
        <f>_xll.qlPolynomialFunctionValue($P$18,T151,AllTriggers)</f>
        <v>1.2562762941073385E-3</v>
      </c>
    </row>
    <row r="152" spans="18:21" x14ac:dyDescent="0.2">
      <c r="R152" s="212">
        <f>_xll.qlCalendarAdvance(Calendar,R151,"1D","f")</f>
        <v>42347</v>
      </c>
      <c r="S152" s="47">
        <f>_xll.qlTenorBasisValue($P$3,R152,AllTriggers)</f>
        <v>1.2847751941729021E-3</v>
      </c>
      <c r="T152" s="41">
        <f>_xll.qlDayCounterYearFraction("actual/365 (fixed)",SettlementDate,R152,,,Trigger)</f>
        <v>0.57260273972602738</v>
      </c>
      <c r="U152" s="47">
        <f>_xll.qlPolynomialFunctionValue($P$18,T152,AllTriggers)</f>
        <v>1.2570269647467621E-3</v>
      </c>
    </row>
    <row r="153" spans="18:21" x14ac:dyDescent="0.2">
      <c r="R153" s="212">
        <f>_xll.qlCalendarAdvance(Calendar,R152,"1D","f")</f>
        <v>42348</v>
      </c>
      <c r="S153" s="47">
        <f>_xll.qlTenorBasisValue($P$3,R153,AllTriggers)</f>
        <v>1.2852978032278496E-3</v>
      </c>
      <c r="T153" s="41">
        <f>_xll.qlDayCounterYearFraction("actual/365 (fixed)",SettlementDate,R153,,,Trigger)</f>
        <v>0.57534246575342463</v>
      </c>
      <c r="U153" s="47">
        <f>_xll.qlPolynomialFunctionValue($P$18,T153,AllTriggers)</f>
        <v>1.2577723001875062E-3</v>
      </c>
    </row>
    <row r="154" spans="18:21" x14ac:dyDescent="0.2">
      <c r="R154" s="212">
        <f>_xll.qlCalendarAdvance(Calendar,R153,"1D","f")</f>
        <v>42349</v>
      </c>
      <c r="S154" s="47">
        <f>_xll.qlTenorBasisValue($P$3,R154,AllTriggers)</f>
        <v>1.285815920984483E-3</v>
      </c>
      <c r="T154" s="41">
        <f>_xll.qlDayCounterYearFraction("actual/365 (fixed)",SettlementDate,R154,,,Trigger)</f>
        <v>0.57808219178082187</v>
      </c>
      <c r="U154" s="47">
        <f>_xll.qlPolynomialFunctionValue($P$18,T154,AllTriggers)</f>
        <v>1.2585123181440979E-3</v>
      </c>
    </row>
    <row r="155" spans="18:21" x14ac:dyDescent="0.2">
      <c r="R155" s="212">
        <f>_xll.qlCalendarAdvance(Calendar,R154,"1D","f")</f>
        <v>42352</v>
      </c>
      <c r="S155" s="47">
        <f>_xll.qlTenorBasisValue($P$3,R155,AllTriggers)</f>
        <v>1.2873435036097659E-3</v>
      </c>
      <c r="T155" s="41">
        <f>_xll.qlDayCounterYearFraction("actual/365 (fixed)",SettlementDate,R155,,,Trigger)</f>
        <v>0.58630136986301373</v>
      </c>
      <c r="U155" s="47">
        <f>_xll.qlPolynomialFunctionValue($P$18,T155,AllTriggers)</f>
        <v>1.2607006442542236E-3</v>
      </c>
    </row>
    <row r="156" spans="18:21" x14ac:dyDescent="0.2">
      <c r="R156" s="212">
        <f>_xll.qlCalendarAdvance(Calendar,R155,"1D","f")</f>
        <v>42353</v>
      </c>
      <c r="S156" s="47">
        <f>_xll.qlTenorBasisValue($P$3,R156,AllTriggers)</f>
        <v>1.2878438333184098E-3</v>
      </c>
      <c r="T156" s="41">
        <f>_xll.qlDayCounterYearFraction("actual/365 (fixed)",SettlementDate,R156,,,Trigger)</f>
        <v>0.58904109589041098</v>
      </c>
      <c r="U156" s="47">
        <f>_xll.qlPolynomialFunctionValue($P$18,T156,AllTriggers)</f>
        <v>1.2614195694194709E-3</v>
      </c>
    </row>
    <row r="157" spans="18:21" x14ac:dyDescent="0.2">
      <c r="R157" s="212">
        <f>_xll.qlCalendarAdvance(Calendar,R156,"1D","f")</f>
        <v>42354</v>
      </c>
      <c r="S157" s="47">
        <f>_xll.qlTenorBasisValue($P$3,R157,AllTriggers)</f>
        <v>1.2883397603013725E-3</v>
      </c>
      <c r="T157" s="41">
        <f>_xll.qlDayCounterYearFraction("actual/365 (fixed)",SettlementDate,R157,,,Trigger)</f>
        <v>0.59178082191780823</v>
      </c>
      <c r="U157" s="47">
        <f>_xll.qlPolynomialFunctionValue($P$18,T157,AllTriggers)</f>
        <v>1.2621332656731986E-3</v>
      </c>
    </row>
    <row r="158" spans="18:21" x14ac:dyDescent="0.2">
      <c r="R158" s="212">
        <f>_xll.qlCalendarAdvance(Calendar,R157,"1D","f")</f>
        <v>42355</v>
      </c>
      <c r="S158" s="47">
        <f>_xll.qlTenorBasisValue($P$3,R158,AllTriggers)</f>
        <v>1.2888313022731809E-3</v>
      </c>
      <c r="T158" s="41">
        <f>_xll.qlDayCounterYearFraction("actual/365 (fixed)",SettlementDate,R158,,,Trigger)</f>
        <v>0.59452054794520548</v>
      </c>
      <c r="U158" s="47">
        <f>_xll.qlPolynomialFunctionValue($P$18,T158,AllTriggers)</f>
        <v>1.2628417507299333E-3</v>
      </c>
    </row>
    <row r="159" spans="18:21" x14ac:dyDescent="0.2">
      <c r="R159" s="212">
        <f>_xll.qlCalendarAdvance(Calendar,R158,"1D","f")</f>
        <v>42356</v>
      </c>
      <c r="S159" s="47">
        <f>_xll.qlTenorBasisValue($P$3,R159,AllTriggers)</f>
        <v>1.2893184769483621E-3</v>
      </c>
      <c r="T159" s="41">
        <f>_xll.qlDayCounterYearFraction("actual/365 (fixed)",SettlementDate,R159,,,Trigger)</f>
        <v>0.59726027397260273</v>
      </c>
      <c r="U159" s="47">
        <f>_xll.qlPolynomialFunctionValue($P$18,T159,AllTriggers)</f>
        <v>1.2635450423042021E-3</v>
      </c>
    </row>
    <row r="160" spans="18:21" x14ac:dyDescent="0.2">
      <c r="R160" s="212">
        <f>_xll.qlCalendarAdvance(Calendar,R159,"1D","f")</f>
        <v>42359</v>
      </c>
      <c r="S160" s="47">
        <f>_xll.qlTenorBasisValue($P$3,R160,AllTriggers)</f>
        <v>1.2907539743394042E-3</v>
      </c>
      <c r="T160" s="41">
        <f>_xll.qlDayCounterYearFraction("actual/365 (fixed)",SettlementDate,R160,,,Trigger)</f>
        <v>0.60547945205479448</v>
      </c>
      <c r="U160" s="47">
        <f>_xll.qlPolynomialFunctionValue($P$18,T160,AllTriggers)</f>
        <v>1.2656239332774757E-3</v>
      </c>
    </row>
    <row r="161" spans="18:21" x14ac:dyDescent="0.2">
      <c r="R161" s="212">
        <f>_xll.qlCalendarAdvance(Calendar,R160,"1D","f")</f>
        <v>42360</v>
      </c>
      <c r="S161" s="47">
        <f>_xll.qlTenorBasisValue($P$3,R161,AllTriggers)</f>
        <v>1.2912238569733401E-3</v>
      </c>
      <c r="T161" s="41">
        <f>_xll.qlDayCounterYearFraction("actual/365 (fixed)",SettlementDate,R161,,,Trigger)</f>
        <v>0.60821917808219184</v>
      </c>
      <c r="U161" s="47">
        <f>_xll.qlPolynomialFunctionValue($P$18,T161,AllTriggers)</f>
        <v>1.2663066280671452E-3</v>
      </c>
    </row>
    <row r="162" spans="18:21" x14ac:dyDescent="0.2">
      <c r="R162" s="212">
        <f>_xll.qlCalendarAdvance(Calendar,R161,"1D","f")</f>
        <v>42361</v>
      </c>
      <c r="S162" s="47">
        <f>_xll.qlTenorBasisValue($P$3,R162,AllTriggers)</f>
        <v>1.291689460883282E-3</v>
      </c>
      <c r="T162" s="41">
        <f>_xll.qlDayCounterYearFraction("actual/365 (fixed)",SettlementDate,R162,,,Trigger)</f>
        <v>0.61095890410958908</v>
      </c>
      <c r="U162" s="47">
        <f>_xll.qlPolynomialFunctionValue($P$18,T162,AllTriggers)</f>
        <v>1.2669842179469815E-3</v>
      </c>
    </row>
    <row r="163" spans="18:21" x14ac:dyDescent="0.2">
      <c r="R163" s="212">
        <f>_xll.qlCalendarAdvance(Calendar,R162,"1D","f")</f>
        <v>42362</v>
      </c>
      <c r="S163" s="47">
        <f>_xll.qlTenorBasisValue($P$3,R163,AllTriggers)</f>
        <v>1.2921508037837554E-3</v>
      </c>
      <c r="T163" s="41">
        <f>_xll.qlDayCounterYearFraction("actual/365 (fixed)",SettlementDate,R163,,,Trigger)</f>
        <v>0.61369863013698633</v>
      </c>
      <c r="U163" s="47">
        <f>_xll.qlPolynomialFunctionValue($P$18,T163,AllTriggers)</f>
        <v>1.2676567206315111E-3</v>
      </c>
    </row>
    <row r="164" spans="18:21" x14ac:dyDescent="0.2">
      <c r="R164" s="212">
        <f>_xll.qlCalendarAdvance(Calendar,R163,"1D","f")</f>
        <v>42366</v>
      </c>
      <c r="S164" s="47">
        <f>_xll.qlTenorBasisValue($P$3,R164,AllTriggers)</f>
        <v>1.2939539195815019E-3</v>
      </c>
      <c r="T164" s="41">
        <f>_xll.qlDayCounterYearFraction("actual/365 (fixed)",SettlementDate,R164,,,Trigger)</f>
        <v>0.62465753424657533</v>
      </c>
      <c r="U164" s="47">
        <f>_xll.qlPolynomialFunctionValue($P$18,T164,AllTriggers)</f>
        <v>1.2702962137070952E-3</v>
      </c>
    </row>
    <row r="165" spans="18:21" x14ac:dyDescent="0.2">
      <c r="R165" s="212">
        <f>_xll.qlCalendarAdvance(Calendar,R164,"1D","f")</f>
        <v>42367</v>
      </c>
      <c r="S165" s="47">
        <f>_xll.qlTenorBasisValue($P$3,R165,AllTriggers)</f>
        <v>1.2943942231525348E-3</v>
      </c>
      <c r="T165" s="41">
        <f>_xll.qlDayCounterYearFraction("actual/365 (fixed)",SettlementDate,R165,,,Trigger)</f>
        <v>0.62739726027397258</v>
      </c>
      <c r="U165" s="47">
        <f>_xll.qlPolynomialFunctionValue($P$18,T165,AllTriggers)</f>
        <v>1.2709435461329911E-3</v>
      </c>
    </row>
    <row r="166" spans="18:21" x14ac:dyDescent="0.2">
      <c r="R166" s="212">
        <f>_xll.qlCalendarAdvance(Calendar,R165,"1D","f")</f>
        <v>42368</v>
      </c>
      <c r="S166" s="47">
        <f>_xll.qlTenorBasisValue($P$3,R166,AllTriggers)</f>
        <v>1.2948303720012593E-3</v>
      </c>
      <c r="T166" s="41">
        <f>_xll.qlDayCounterYearFraction("actual/365 (fixed)",SettlementDate,R166,,,Trigger)</f>
        <v>0.63013698630136983</v>
      </c>
      <c r="U166" s="47">
        <f>_xll.qlPolynomialFunctionValue($P$18,T166,AllTriggers)</f>
        <v>1.27158589765074E-3</v>
      </c>
    </row>
    <row r="167" spans="18:21" x14ac:dyDescent="0.2">
      <c r="R167" s="212">
        <f>_xll.qlCalendarAdvance(Calendar,R166,"1D","f")</f>
        <v>42369</v>
      </c>
      <c r="S167" s="47">
        <f>_xll.qlTenorBasisValue($P$3,R167,AllTriggers)</f>
        <v>1.2952623838422021E-3</v>
      </c>
      <c r="T167" s="41">
        <f>_xll.qlDayCounterYearFraction("actual/365 (fixed)",SettlementDate,R167,,,Trigger)</f>
        <v>0.63287671232876708</v>
      </c>
      <c r="U167" s="47">
        <f>_xll.qlPolynomialFunctionValue($P$18,T167,AllTriggers)</f>
        <v>1.2722232859748684E-3</v>
      </c>
    </row>
    <row r="168" spans="18:21" x14ac:dyDescent="0.2">
      <c r="R168" s="212">
        <f>_xll.qlCalendarAdvance(Calendar,R167,"1D","f")</f>
        <v>42373</v>
      </c>
      <c r="S168" s="47">
        <f>_xll.qlTenorBasisValue($P$3,R168,AllTriggers)</f>
        <v>1.2969494154186894E-3</v>
      </c>
      <c r="T168" s="41">
        <f>_xll.qlDayCounterYearFraction("actual/365 (fixed)",SettlementDate,R168,,,Trigger)</f>
        <v>0.64383561643835618</v>
      </c>
      <c r="U168" s="47">
        <f>_xll.qlPolynomialFunctionValue($P$18,T168,AllTriggers)</f>
        <v>1.274723561625712E-3</v>
      </c>
    </row>
    <row r="169" spans="18:21" x14ac:dyDescent="0.2">
      <c r="R169" s="212">
        <f>_xll.qlCalendarAdvance(Calendar,R168,"1D","f")</f>
        <v>42374</v>
      </c>
      <c r="S169" s="47">
        <f>_xll.qlTenorBasisValue($P$3,R169,AllTriggers)</f>
        <v>1.297361007938623E-3</v>
      </c>
      <c r="T169" s="41">
        <f>_xll.qlDayCounterYearFraction("actual/365 (fixed)",SettlementDate,R169,,,Trigger)</f>
        <v>0.64657534246575343</v>
      </c>
      <c r="U169" s="47">
        <f>_xll.qlPolynomialFunctionValue($P$18,T169,AllTriggers)</f>
        <v>1.2753363996996384E-3</v>
      </c>
    </row>
    <row r="170" spans="18:21" x14ac:dyDescent="0.2">
      <c r="R170" s="212">
        <f>_xll.qlCalendarAdvance(Calendar,R169,"1D","f")</f>
        <v>42375</v>
      </c>
      <c r="S170" s="47">
        <f>_xll.qlTenorBasisValue($P$3,R170,AllTriggers)</f>
        <v>1.2977685697379347E-3</v>
      </c>
      <c r="T170" s="41">
        <f>_xll.qlDayCounterYearFraction("actual/365 (fixed)",SettlementDate,R170,,,Trigger)</f>
        <v>0.64931506849315068</v>
      </c>
      <c r="U170" s="47">
        <f>_xll.qlPolynomialFunctionValue($P$18,T170,AllTriggers)</f>
        <v>1.2759443808671041E-3</v>
      </c>
    </row>
    <row r="171" spans="18:21" x14ac:dyDescent="0.2">
      <c r="R171" s="212">
        <f>_xll.qlCalendarAdvance(Calendar,R170,"1D","f")</f>
        <v>42376</v>
      </c>
      <c r="S171" s="47">
        <f>_xll.qlTenorBasisValue($P$3,R171,AllTriggers)</f>
        <v>1.298172118531151E-3</v>
      </c>
      <c r="T171" s="41">
        <f>_xll.qlDayCounterYearFraction("actual/365 (fixed)",SettlementDate,R171,,,Trigger)</f>
        <v>0.65205479452054793</v>
      </c>
      <c r="U171" s="47">
        <f>_xll.qlPolynomialFunctionValue($P$18,T171,AllTriggers)</f>
        <v>1.2765475228426358E-3</v>
      </c>
    </row>
    <row r="172" spans="18:21" x14ac:dyDescent="0.2">
      <c r="R172" s="212">
        <f>_xll.qlCalendarAdvance(Calendar,R171,"1D","f")</f>
        <v>42377</v>
      </c>
      <c r="S172" s="47">
        <f>_xll.qlTenorBasisValue($P$3,R172,AllTriggers)</f>
        <v>1.2985716720327989E-3</v>
      </c>
      <c r="T172" s="41">
        <f>_xll.qlDayCounterYearFraction("actual/365 (fixed)",SettlementDate,R172,,,Trigger)</f>
        <v>0.65479452054794518</v>
      </c>
      <c r="U172" s="47">
        <f>_xll.qlPolynomialFunctionValue($P$18,T172,AllTriggers)</f>
        <v>1.2771458433407602E-3</v>
      </c>
    </row>
    <row r="173" spans="18:21" x14ac:dyDescent="0.2">
      <c r="R173" s="212">
        <f>_xll.qlCalendarAdvance(Calendar,R172,"1D","f")</f>
        <v>42380</v>
      </c>
      <c r="S173" s="47">
        <f>_xll.qlTenorBasisValue($P$3,R173,AllTriggers)</f>
        <v>1.2997465379335957E-3</v>
      </c>
      <c r="T173" s="41">
        <f>_xll.qlDayCounterYearFraction("actual/365 (fixed)",SettlementDate,R173,,,Trigger)</f>
        <v>0.66301369863013704</v>
      </c>
      <c r="U173" s="47">
        <f>_xll.qlPolynomialFunctionValue($P$18,T173,AllTriggers)</f>
        <v>1.2789120531159553E-3</v>
      </c>
    </row>
    <row r="174" spans="18:21" x14ac:dyDescent="0.2">
      <c r="R174" s="212">
        <f>_xll.qlCalendarAdvance(Calendar,R173,"1D","f")</f>
        <v>42381</v>
      </c>
      <c r="S174" s="47">
        <f>_xll.qlTenorBasisValue($P$3,R174,AllTriggers)</f>
        <v>1.3001302874142346E-3</v>
      </c>
      <c r="T174" s="41">
        <f>_xll.qlDayCounterYearFraction("actual/365 (fixed)",SettlementDate,R174,,,Trigger)</f>
        <v>0.66575342465753429</v>
      </c>
      <c r="U174" s="47">
        <f>_xll.qlPolynomialFunctionValue($P$18,T174,AllTriggers)</f>
        <v>1.2794912648497164E-3</v>
      </c>
    </row>
    <row r="175" spans="18:21" x14ac:dyDescent="0.2">
      <c r="R175" s="212">
        <f>_xll.qlCalendarAdvance(Calendar,R174,"1D","f")</f>
        <v>42382</v>
      </c>
      <c r="S175" s="47">
        <f>_xll.qlTenorBasisValue($P$3,R175,AllTriggers)</f>
        <v>1.3005101301759377E-3</v>
      </c>
      <c r="T175" s="41">
        <f>_xll.qlDayCounterYearFraction("actual/365 (fixed)",SettlementDate,R175,,,Trigger)</f>
        <v>0.66849315068493154</v>
      </c>
      <c r="U175" s="47">
        <f>_xll.qlPolynomialFunctionValue($P$18,T175,AllTriggers)</f>
        <v>1.2800657436787034E-3</v>
      </c>
    </row>
    <row r="176" spans="18:21" x14ac:dyDescent="0.2">
      <c r="R176" s="212">
        <f>_xll.qlCalendarAdvance(Calendar,R175,"1D","f")</f>
        <v>42383</v>
      </c>
      <c r="S176" s="47">
        <f>_xll.qlTenorBasisValue($P$3,R176,AllTriggers)</f>
        <v>1.3008860839332321E-3</v>
      </c>
      <c r="T176" s="41">
        <f>_xll.qlDayCounterYearFraction("actual/365 (fixed)",SettlementDate,R176,,,Trigger)</f>
        <v>0.67123287671232879</v>
      </c>
      <c r="U176" s="47">
        <f>_xll.qlPolynomialFunctionValue($P$18,T176,AllTriggers)</f>
        <v>1.2806355073174426E-3</v>
      </c>
    </row>
    <row r="177" spans="18:21" x14ac:dyDescent="0.2">
      <c r="R177" s="212">
        <f>_xll.qlCalendarAdvance(Calendar,R176,"1D","f")</f>
        <v>42384</v>
      </c>
      <c r="S177" s="47">
        <f>_xll.qlTenorBasisValue($P$3,R177,AllTriggers)</f>
        <v>1.3012581664006439E-3</v>
      </c>
      <c r="T177" s="41">
        <f>_xll.qlDayCounterYearFraction("actual/365 (fixed)",SettlementDate,R177,,,Trigger)</f>
        <v>0.67397260273972603</v>
      </c>
      <c r="U177" s="47">
        <f>_xll.qlPolynomialFunctionValue($P$18,T177,AllTriggers)</f>
        <v>1.281200573480461E-3</v>
      </c>
    </row>
    <row r="178" spans="18:21" x14ac:dyDescent="0.2">
      <c r="R178" s="212">
        <f>_xll.qlCalendarAdvance(Calendar,R177,"1D","f")</f>
        <v>42387</v>
      </c>
      <c r="S178" s="47">
        <f>_xll.qlTenorBasisValue($P$3,R178,AllTriggers)</f>
        <v>1.3023513632088512E-3</v>
      </c>
      <c r="T178" s="41">
        <f>_xll.qlDayCounterYearFraction("actual/365 (fixed)",SettlementDate,R178,,,Trigger)</f>
        <v>0.68219178082191778</v>
      </c>
      <c r="U178" s="47">
        <f>_xll.qlPolynomialFunctionValue($P$18,T178,AllTriggers)</f>
        <v>1.2828677642604551E-3</v>
      </c>
    </row>
    <row r="179" spans="18:21" x14ac:dyDescent="0.2">
      <c r="R179" s="212">
        <f>_xll.qlCalendarAdvance(Calendar,R178,"1D","f")</f>
        <v>42388</v>
      </c>
      <c r="S179" s="47">
        <f>_xll.qlTenorBasisValue($P$3,R179,AllTriggers)</f>
        <v>1.3027081376619995E-3</v>
      </c>
      <c r="T179" s="41">
        <f>_xll.qlDayCounterYearFraction("actual/365 (fixed)",SettlementDate,R179,,,Trigger)</f>
        <v>0.68493150684931503</v>
      </c>
      <c r="U179" s="47">
        <f>_xll.qlPolynomialFunctionValue($P$18,T179,AllTriggers)</f>
        <v>1.2834142176658555E-3</v>
      </c>
    </row>
    <row r="180" spans="18:21" x14ac:dyDescent="0.2">
      <c r="R180" s="212">
        <f>_xll.qlCalendarAdvance(Calendar,R179,"1D","f")</f>
        <v>42389</v>
      </c>
      <c r="S180" s="47">
        <f>_xll.qlTenorBasisValue($P$3,R180,AllTriggers)</f>
        <v>1.3030611293978983E-3</v>
      </c>
      <c r="T180" s="41">
        <f>_xll.qlDayCounterYearFraction("actual/365 (fixed)",SettlementDate,R180,,,Trigger)</f>
        <v>0.68767123287671228</v>
      </c>
      <c r="U180" s="47">
        <f>_xll.qlPolynomialFunctionValue($P$18,T180,AllTriggers)</f>
        <v>1.2839560621681677E-3</v>
      </c>
    </row>
    <row r="181" spans="18:21" x14ac:dyDescent="0.2">
      <c r="R181" s="212">
        <f>_xll.qlCalendarAdvance(Calendar,R180,"1D","f")</f>
        <v>42390</v>
      </c>
      <c r="S181" s="47">
        <f>_xll.qlTenorBasisValue($P$3,R181,AllTriggers)</f>
        <v>1.3034103561310746E-3</v>
      </c>
      <c r="T181" s="41">
        <f>_xll.qlDayCounterYearFraction("actual/365 (fixed)",SettlementDate,R181,,,Trigger)</f>
        <v>0.69041095890410964</v>
      </c>
      <c r="U181" s="47">
        <f>_xll.qlPolynomialFunctionValue($P$18,T181,AllTriggers)</f>
        <v>1.2844933154819184E-3</v>
      </c>
    </row>
    <row r="182" spans="18:21" x14ac:dyDescent="0.2">
      <c r="R182" s="212">
        <f>_xll.qlCalendarAdvance(Calendar,R181,"1D","f")</f>
        <v>42391</v>
      </c>
      <c r="S182" s="47">
        <f>_xll.qlTenorBasisValue($P$3,R182,AllTriggers)</f>
        <v>1.3037558355760549E-3</v>
      </c>
      <c r="T182" s="41">
        <f>_xll.qlDayCounterYearFraction("actual/365 (fixed)",SettlementDate,R182,,,Trigger)</f>
        <v>0.69315068493150689</v>
      </c>
      <c r="U182" s="47">
        <f>_xll.qlPolynomialFunctionValue($P$18,T182,AllTriggers)</f>
        <v>1.285025995321635E-3</v>
      </c>
    </row>
    <row r="183" spans="18:21" x14ac:dyDescent="0.2">
      <c r="R183" s="212">
        <f>_xll.qlCalendarAdvance(Calendar,R182,"1D","f")</f>
        <v>42394</v>
      </c>
      <c r="S183" s="47">
        <f>_xll.qlTenorBasisValue($P$3,R183,AllTriggers)</f>
        <v>1.3047699673270851E-3</v>
      </c>
      <c r="T183" s="41">
        <f>_xll.qlDayCounterYearFraction("actual/365 (fixed)",SettlementDate,R183,,,Trigger)</f>
        <v>0.70136986301369864</v>
      </c>
      <c r="U183" s="47">
        <f>_xll.qlPolynomialFunctionValue($P$18,T183,AllTriggers)</f>
        <v>1.2865967711418414E-3</v>
      </c>
    </row>
    <row r="184" spans="18:21" x14ac:dyDescent="0.2">
      <c r="R184" s="212">
        <f>_xll.qlCalendarAdvance(Calendar,R183,"1D","f")</f>
        <v>42395</v>
      </c>
      <c r="S184" s="47">
        <f>_xll.qlTenorBasisValue($P$3,R184,AllTriggers)</f>
        <v>1.3051006347645469E-3</v>
      </c>
      <c r="T184" s="41">
        <f>_xll.qlDayCounterYearFraction("actual/365 (fixed)",SettlementDate,R184,,,Trigger)</f>
        <v>0.70410958904109588</v>
      </c>
      <c r="U184" s="47">
        <f>_xll.qlPolynomialFunctionValue($P$18,T184,AllTriggers)</f>
        <v>1.2871113342306849E-3</v>
      </c>
    </row>
    <row r="185" spans="18:21" x14ac:dyDescent="0.2">
      <c r="R185" s="212">
        <f>_xll.qlCalendarAdvance(Calendar,R184,"1D","f")</f>
        <v>42396</v>
      </c>
      <c r="S185" s="47">
        <f>_xll.qlTenorBasisValue($P$3,R185,AllTriggers)</f>
        <v>1.3054276434864458E-3</v>
      </c>
      <c r="T185" s="41">
        <f>_xll.qlDayCounterYearFraction("actual/365 (fixed)",SettlementDate,R185,,,Trigger)</f>
        <v>0.70684931506849313</v>
      </c>
      <c r="U185" s="47">
        <f>_xll.qlPolynomialFunctionValue($P$18,T185,AllTriggers)</f>
        <v>1.2876214124181266E-3</v>
      </c>
    </row>
    <row r="186" spans="18:21" x14ac:dyDescent="0.2">
      <c r="R186" s="212">
        <f>_xll.qlCalendarAdvance(Calendar,R185,"1D","f")</f>
        <v>42397</v>
      </c>
      <c r="S186" s="47">
        <f>_xll.qlTenorBasisValue($P$3,R186,AllTriggers)</f>
        <v>1.3057510112073085E-3</v>
      </c>
      <c r="T186" s="41">
        <f>_xll.qlDayCounterYearFraction("actual/365 (fixed)",SettlementDate,R186,,,Trigger)</f>
        <v>0.70958904109589038</v>
      </c>
      <c r="U186" s="47">
        <f>_xll.qlPolynomialFunctionValue($P$18,T186,AllTriggers)</f>
        <v>1.2881270234186934E-3</v>
      </c>
    </row>
    <row r="187" spans="18:21" x14ac:dyDescent="0.2">
      <c r="R187" s="212">
        <f>_xll.qlCalendarAdvance(Calendar,R186,"1D","f")</f>
        <v>42398</v>
      </c>
      <c r="S187" s="47">
        <f>_xll.qlTenorBasisValue($P$3,R187,AllTriggers)</f>
        <v>1.3060707556416615E-3</v>
      </c>
      <c r="T187" s="41">
        <f>_xll.qlDayCounterYearFraction("actual/365 (fixed)",SettlementDate,R187,,,Trigger)</f>
        <v>0.71232876712328763</v>
      </c>
      <c r="U187" s="47">
        <f>_xll.qlPolynomialFunctionValue($P$18,T187,AllTriggers)</f>
        <v>1.2886281849469122E-3</v>
      </c>
    </row>
    <row r="188" spans="18:21" x14ac:dyDescent="0.2">
      <c r="R188" s="212">
        <f>_xll.qlCalendarAdvance(Calendar,R187,"1D","f")</f>
        <v>42401</v>
      </c>
      <c r="S188" s="47">
        <f>_xll.qlTenorBasisValue($P$3,R188,AllTriggers)</f>
        <v>1.3070084263709274E-3</v>
      </c>
      <c r="T188" s="41">
        <f>_xll.qlDayCounterYearFraction("actual/365 (fixed)",SettlementDate,R188,,,Trigger)</f>
        <v>0.72054794520547949</v>
      </c>
      <c r="U188" s="47">
        <f>_xll.qlPolynomialFunctionValue($P$18,T188,AllTriggers)</f>
        <v>1.2901051498427432E-3</v>
      </c>
    </row>
    <row r="189" spans="18:21" x14ac:dyDescent="0.2">
      <c r="R189" s="212">
        <f>_xll.qlCalendarAdvance(Calendar,R188,"1D","f")</f>
        <v>42402</v>
      </c>
      <c r="S189" s="47">
        <f>_xll.qlTenorBasisValue($P$3,R189,AllTriggers)</f>
        <v>1.3073138548045074E-3</v>
      </c>
      <c r="T189" s="41">
        <f>_xll.qlDayCounterYearFraction("actual/365 (fixed)",SettlementDate,R189,,,Trigger)</f>
        <v>0.72328767123287674</v>
      </c>
      <c r="U189" s="47">
        <f>_xll.qlPolynomialFunctionValue($P$18,T189,AllTriggers)</f>
        <v>1.2905886906268342E-3</v>
      </c>
    </row>
    <row r="190" spans="18:21" x14ac:dyDescent="0.2">
      <c r="R190" s="212">
        <f>_xll.qlCalendarAdvance(Calendar,R189,"1D","f")</f>
        <v>42403</v>
      </c>
      <c r="S190" s="47">
        <f>_xll.qlTenorBasisValue($P$3,R190,AllTriggers)</f>
        <v>1.3076157485242103E-3</v>
      </c>
      <c r="T190" s="41">
        <f>_xll.qlDayCounterYearFraction("actual/365 (fixed)",SettlementDate,R190,,,Trigger)</f>
        <v>0.72602739726027399</v>
      </c>
      <c r="U190" s="47">
        <f>_xll.qlPolynomialFunctionValue($P$18,T190,AllTriggers)</f>
        <v>1.2910678705112101E-3</v>
      </c>
    </row>
    <row r="191" spans="18:21" x14ac:dyDescent="0.2">
      <c r="R191" s="212">
        <f>_xll.qlCalendarAdvance(Calendar,R190,"1D","f")</f>
        <v>42404</v>
      </c>
      <c r="S191" s="47">
        <f>_xll.qlTenorBasisValue($P$3,R191,AllTriggers)</f>
        <v>1.3079141252445637E-3</v>
      </c>
      <c r="T191" s="41">
        <f>_xll.qlDayCounterYearFraction("actual/365 (fixed)",SettlementDate,R191,,,Trigger)</f>
        <v>0.72876712328767124</v>
      </c>
      <c r="U191" s="47">
        <f>_xll.qlPolynomialFunctionValue($P$18,T191,AllTriggers)</f>
        <v>1.2915427072103971E-3</v>
      </c>
    </row>
    <row r="192" spans="18:21" x14ac:dyDescent="0.2">
      <c r="R192" s="212">
        <f>_xll.qlCalendarAdvance(Calendar,R191,"1D","f")</f>
        <v>42405</v>
      </c>
      <c r="S192" s="47">
        <f>_xll.qlTenorBasisValue($P$3,R192,AllTriggers)</f>
        <v>1.3082090026800932E-3</v>
      </c>
      <c r="T192" s="41">
        <f>_xll.qlDayCounterYearFraction("actual/365 (fixed)",SettlementDate,R192,,,Trigger)</f>
        <v>0.73150684931506849</v>
      </c>
      <c r="U192" s="47">
        <f>_xll.qlPolynomialFunctionValue($P$18,T192,AllTriggers)</f>
        <v>1.2920132184389222E-3</v>
      </c>
    </row>
    <row r="193" spans="18:21" x14ac:dyDescent="0.2">
      <c r="R193" s="212">
        <f>_xll.qlCalendarAdvance(Calendar,R192,"1D","f")</f>
        <v>42408</v>
      </c>
      <c r="S193" s="47">
        <f>_xll.qlTenorBasisValue($P$3,R193,AllTriggers)</f>
        <v>1.3090728164230074E-3</v>
      </c>
      <c r="T193" s="41">
        <f>_xll.qlDayCounterYearFraction("actual/365 (fixed)",SettlementDate,R193,,,Trigger)</f>
        <v>0.73972602739726023</v>
      </c>
      <c r="U193" s="47">
        <f>_xll.qlPolynomialFunctionValue($P$18,T193,AllTriggers)</f>
        <v>1.2933989764457908E-3</v>
      </c>
    </row>
    <row r="194" spans="18:21" x14ac:dyDescent="0.2">
      <c r="R194" s="212">
        <f>_xll.qlCalendarAdvance(Calendar,R193,"1D","f")</f>
        <v>42409</v>
      </c>
      <c r="S194" s="47">
        <f>_xll.qlTenorBasisValue($P$3,R194,AllTriggers)</f>
        <v>1.3093538738645095E-3</v>
      </c>
      <c r="T194" s="41">
        <f>_xll.qlDayCounterYearFraction("actual/365 (fixed)",SettlementDate,R194,,,Trigger)</f>
        <v>0.74246575342465748</v>
      </c>
      <c r="U194" s="47">
        <f>_xll.qlPolynomialFunctionValue($P$18,T194,AllTriggers)</f>
        <v>1.2938523629369338E-3</v>
      </c>
    </row>
    <row r="195" spans="18:21" x14ac:dyDescent="0.2">
      <c r="R195" s="212">
        <f>_xll.qlCalendarAdvance(Calendar,R194,"1D","f")</f>
        <v>42410</v>
      </c>
      <c r="S195" s="47">
        <f>_xll.qlTenorBasisValue($P$3,R195,AllTriggers)</f>
        <v>1.3096315205938212E-3</v>
      </c>
      <c r="T195" s="41">
        <f>_xll.qlDayCounterYearFraction("actual/365 (fixed)",SettlementDate,R195,,,Trigger)</f>
        <v>0.74520547945205484</v>
      </c>
      <c r="U195" s="47">
        <f>_xll.qlPolynomialFunctionValue($P$18,T195,AllTriggers)</f>
        <v>1.2943015125300476E-3</v>
      </c>
    </row>
    <row r="196" spans="18:21" x14ac:dyDescent="0.2">
      <c r="R196" s="212">
        <f>_xll.qlCalendarAdvance(Calendar,R195,"1D","f")</f>
        <v>42411</v>
      </c>
      <c r="S196" s="47">
        <f>_xll.qlTenorBasisValue($P$3,R196,AllTriggers)</f>
        <v>1.3099057743254693E-3</v>
      </c>
      <c r="T196" s="41">
        <f>_xll.qlDayCounterYearFraction("actual/365 (fixed)",SettlementDate,R196,,,Trigger)</f>
        <v>0.74794520547945209</v>
      </c>
      <c r="U196" s="47">
        <f>_xll.qlPolynomialFunctionValue($P$18,T196,AllTriggers)</f>
        <v>1.294746442939659E-3</v>
      </c>
    </row>
    <row r="197" spans="18:21" x14ac:dyDescent="0.2">
      <c r="R197" s="212">
        <f>_xll.qlCalendarAdvance(Calendar,R196,"1D","f")</f>
        <v>42412</v>
      </c>
      <c r="S197" s="47">
        <f>_xll.qlTenorBasisValue($P$3,R197,AllTriggers)</f>
        <v>1.31017665277398E-3</v>
      </c>
      <c r="T197" s="41">
        <f>_xll.qlDayCounterYearFraction("actual/365 (fixed)",SettlementDate,R197,,,Trigger)</f>
        <v>0.75068493150684934</v>
      </c>
      <c r="U197" s="47">
        <f>_xll.qlPolynomialFunctionValue($P$18,T197,AllTriggers)</f>
        <v>1.2951871718802951E-3</v>
      </c>
    </row>
    <row r="198" spans="18:21" x14ac:dyDescent="0.2">
      <c r="R198" s="212">
        <f>_xll.qlCalendarAdvance(Calendar,R197,"1D","f")</f>
        <v>42415</v>
      </c>
      <c r="S198" s="47">
        <f>_xll.qlTenorBasisValue($P$3,R198,AllTriggers)</f>
        <v>1.3109692135659557E-3</v>
      </c>
      <c r="T198" s="41">
        <f>_xll.qlDayCounterYearFraction("actual/365 (fixed)",SettlementDate,R198,,,Trigger)</f>
        <v>0.75890410958904109</v>
      </c>
      <c r="U198" s="47">
        <f>_xll.qlPolynomialFunctionValue($P$18,T198,AllTriggers)</f>
        <v>1.2964843270336136E-3</v>
      </c>
    </row>
    <row r="199" spans="18:21" x14ac:dyDescent="0.2">
      <c r="R199" s="212">
        <f>_xll.qlCalendarAdvance(Calendar,R198,"1D","f")</f>
        <v>42416</v>
      </c>
      <c r="S199" s="47">
        <f>_xll.qlTenorBasisValue($P$3,R199,AllTriggers)</f>
        <v>1.3112267680271841E-3</v>
      </c>
      <c r="T199" s="41">
        <f>_xll.qlDayCounterYearFraction("actual/365 (fixed)",SettlementDate,R199,,,Trigger)</f>
        <v>0.76164383561643834</v>
      </c>
      <c r="U199" s="47">
        <f>_xll.qlPolynomialFunctionValue($P$18,T199,AllTriggers)</f>
        <v>1.2969084272436127E-3</v>
      </c>
    </row>
    <row r="200" spans="18:21" x14ac:dyDescent="0.2">
      <c r="R200" s="212">
        <f>_xll.qlCalendarAdvance(Calendar,R199,"1D","f")</f>
        <v>42417</v>
      </c>
      <c r="S200" s="47">
        <f>_xll.qlTenorBasisValue($P$3,R200,AllTriggers)</f>
        <v>1.3114810357779086E-3</v>
      </c>
      <c r="T200" s="41">
        <f>_xll.qlDayCounterYearFraction("actual/365 (fixed)",SettlementDate,R200,,,Trigger)</f>
        <v>0.76438356164383559</v>
      </c>
      <c r="U200" s="47">
        <f>_xll.qlPolynomialFunctionValue($P$18,T200,AllTriggers)</f>
        <v>1.2973284145572689E-3</v>
      </c>
    </row>
    <row r="201" spans="18:21" x14ac:dyDescent="0.2">
      <c r="R201" s="212">
        <f>_xll.qlCalendarAdvance(Calendar,R200,"1D","f")</f>
        <v>42418</v>
      </c>
      <c r="S201" s="47">
        <f>_xll.qlTenorBasisValue($P$3,R201,AllTriggers)</f>
        <v>1.3117320345326557E-3</v>
      </c>
      <c r="T201" s="41">
        <f>_xll.qlDayCounterYearFraction("actual/365 (fixed)",SettlementDate,R201,,,Trigger)</f>
        <v>0.76712328767123283</v>
      </c>
      <c r="U201" s="47">
        <f>_xll.qlPolynomialFunctionValue($P$18,T201,AllTriggers)</f>
        <v>1.297744306689109E-3</v>
      </c>
    </row>
    <row r="202" spans="18:21" x14ac:dyDescent="0.2">
      <c r="R202" s="212">
        <f>_xll.qlCalendarAdvance(Calendar,R201,"1D","f")</f>
        <v>42419</v>
      </c>
      <c r="S202" s="47">
        <f>_xll.qlTenorBasisValue($P$3,R202,AllTriggers)</f>
        <v>1.3119797820059515E-3</v>
      </c>
      <c r="T202" s="41">
        <f>_xll.qlDayCounterYearFraction("actual/365 (fixed)",SettlementDate,R202,,,Trigger)</f>
        <v>0.76986301369863008</v>
      </c>
      <c r="U202" s="47">
        <f>_xll.qlPolynomialFunctionValue($P$18,T202,AllTriggers)</f>
        <v>1.2981561213536599E-3</v>
      </c>
    </row>
    <row r="203" spans="18:21" x14ac:dyDescent="0.2">
      <c r="R203" s="212">
        <f>_xll.qlCalendarAdvance(Calendar,R202,"1D","f")</f>
        <v>42422</v>
      </c>
      <c r="S203" s="47">
        <f>_xll.qlTenorBasisValue($P$3,R203,AllTriggers)</f>
        <v>1.3127036938824013E-3</v>
      </c>
      <c r="T203" s="41">
        <f>_xll.qlDayCounterYearFraction("actual/365 (fixed)",SettlementDate,R203,,,Trigger)</f>
        <v>0.77808219178082194</v>
      </c>
      <c r="U203" s="47">
        <f>_xll.qlPolynomialFunctionValue($P$18,T203,AllTriggers)</f>
        <v>1.2993672776888418E-3</v>
      </c>
    </row>
    <row r="204" spans="18:21" x14ac:dyDescent="0.2">
      <c r="R204" s="212">
        <f>_xll.qlCalendarAdvance(Calendar,R203,"1D","f")</f>
        <v>42423</v>
      </c>
      <c r="S204" s="47">
        <f>_xll.qlTenorBasisValue($P$3,R204,AllTriggers)</f>
        <v>1.3129386133751604E-3</v>
      </c>
      <c r="T204" s="41">
        <f>_xll.qlDayCounterYearFraction("actual/365 (fixed)",SettlementDate,R204,,,Trigger)</f>
        <v>0.78082191780821919</v>
      </c>
      <c r="U204" s="47">
        <f>_xll.qlPolynomialFunctionValue($P$18,T204,AllTriggers)</f>
        <v>1.2997629596295007E-3</v>
      </c>
    </row>
    <row r="205" spans="18:21" x14ac:dyDescent="0.2">
      <c r="R205" s="212">
        <f>_xll.qlCalendarAdvance(Calendar,R204,"1D","f")</f>
        <v>42424</v>
      </c>
      <c r="S205" s="47">
        <f>_xll.qlTenorBasisValue($P$3,R205,AllTriggers)</f>
        <v>1.3131703701591015E-3</v>
      </c>
      <c r="T205" s="41">
        <f>_xll.qlDayCounterYearFraction("actual/365 (fixed)",SettlementDate,R205,,,Trigger)</f>
        <v>0.78356164383561644</v>
      </c>
      <c r="U205" s="47">
        <f>_xll.qlPolynomialFunctionValue($P$18,T205,AllTriggers)</f>
        <v>1.3001546526755039E-3</v>
      </c>
    </row>
    <row r="206" spans="18:21" x14ac:dyDescent="0.2">
      <c r="R206" s="212">
        <f>_xll.qlCalendarAdvance(Calendar,R205,"1D","f")</f>
        <v>42425</v>
      </c>
      <c r="S206" s="47">
        <f>_xll.qlTenorBasisValue($P$3,R206,AllTriggers)</f>
        <v>1.3133989819487518E-3</v>
      </c>
      <c r="T206" s="41">
        <f>_xll.qlDayCounterYearFraction("actual/365 (fixed)",SettlementDate,R206,,,Trigger)</f>
        <v>0.78630136986301369</v>
      </c>
      <c r="U206" s="47">
        <f>_xll.qlPolynomialFunctionValue($P$18,T206,AllTriggers)</f>
        <v>1.3005423745413767E-3</v>
      </c>
    </row>
    <row r="207" spans="18:21" x14ac:dyDescent="0.2">
      <c r="R207" s="212">
        <f>_xll.qlCalendarAdvance(Calendar,R206,"1D","f")</f>
        <v>42426</v>
      </c>
      <c r="S207" s="47">
        <f>_xll.qlTenorBasisValue($P$3,R207,AllTriggers)</f>
        <v>1.3136244664586376E-3</v>
      </c>
      <c r="T207" s="41">
        <f>_xll.qlDayCounterYearFraction("actual/365 (fixed)",SettlementDate,R207,,,Trigger)</f>
        <v>0.78904109589041094</v>
      </c>
      <c r="U207" s="47">
        <f>_xll.qlPolynomialFunctionValue($P$18,T207,AllTriggers)</f>
        <v>1.300926142941647E-3</v>
      </c>
    </row>
    <row r="208" spans="18:21" x14ac:dyDescent="0.2">
      <c r="R208" s="212">
        <f>_xll.qlCalendarAdvance(Calendar,R207,"1D","f")</f>
        <v>42429</v>
      </c>
      <c r="S208" s="47">
        <f>_xll.qlTenorBasisValue($P$3,R208,AllTriggers)</f>
        <v>1.3142823334549741E-3</v>
      </c>
      <c r="T208" s="41">
        <f>_xll.qlDayCounterYearFraction("actual/365 (fixed)",SettlementDate,R208,,,Trigger)</f>
        <v>0.79726027397260268</v>
      </c>
      <c r="U208" s="47">
        <f>_xll.qlPolynomialFunctionValue($P$18,T208,AllTriggers)</f>
        <v>1.3020539044941045E-3</v>
      </c>
    </row>
    <row r="209" spans="18:21" x14ac:dyDescent="0.2">
      <c r="R209" s="212">
        <f>_xll.qlCalendarAdvance(Calendar,R208,"1D","f")</f>
        <v>42430</v>
      </c>
      <c r="S209" s="47">
        <f>_xll.qlTenorBasisValue($P$3,R209,AllTriggers)</f>
        <v>1.3144954859910679E-3</v>
      </c>
      <c r="T209" s="41">
        <f>_xll.qlDayCounterYearFraction("actual/365 (fixed)",SettlementDate,R209,,,Trigger)</f>
        <v>0.8</v>
      </c>
      <c r="U209" s="47">
        <f>_xll.qlPolynomialFunctionValue($P$18,T209,AllTriggers)</f>
        <v>1.302422036177228E-3</v>
      </c>
    </row>
    <row r="210" spans="18:21" x14ac:dyDescent="0.2">
      <c r="R210" s="212">
        <f>_xll.qlCalendarAdvance(Calendar,R209,"1D","f")</f>
        <v>42431</v>
      </c>
      <c r="S210" s="47">
        <f>_xll.qlTenorBasisValue($P$3,R210,AllTriggers)</f>
        <v>1.3147055998200307E-3</v>
      </c>
      <c r="T210" s="41">
        <f>_xll.qlDayCounterYearFraction("actual/365 (fixed)",SettlementDate,R210,,,Trigger)</f>
        <v>0.80273972602739729</v>
      </c>
      <c r="U210" s="47">
        <f>_xll.qlPolynomialFunctionValue($P$18,T210,AllTriggers)</f>
        <v>1.3027863029673821E-3</v>
      </c>
    </row>
    <row r="211" spans="18:21" x14ac:dyDescent="0.2">
      <c r="R211" s="212">
        <f>_xll.qlCalendarAdvance(Calendar,R210,"1D","f")</f>
        <v>42432</v>
      </c>
      <c r="S211" s="47">
        <f>_xll.qlTenorBasisValue($P$3,R211,AllTriggers)</f>
        <v>1.3149126926563883E-3</v>
      </c>
      <c r="T211" s="41">
        <f>_xll.qlDayCounterYearFraction("actual/365 (fixed)",SettlementDate,R211,,,Trigger)</f>
        <v>0.80547945205479454</v>
      </c>
      <c r="U211" s="47">
        <f>_xll.qlPolynomialFunctionValue($P$18,T211,AllTriggers)</f>
        <v>1.3031467225790921E-3</v>
      </c>
    </row>
    <row r="212" spans="18:21" x14ac:dyDescent="0.2">
      <c r="R212" s="212">
        <f>_xll.qlCalendarAdvance(Calendar,R211,"1D","f")</f>
        <v>42433</v>
      </c>
      <c r="S212" s="47">
        <f>_xll.qlTenorBasisValue($P$3,R212,AllTriggers)</f>
        <v>1.3151167822146679E-3</v>
      </c>
      <c r="T212" s="41">
        <f>_xll.qlDayCounterYearFraction("actual/365 (fixed)",SettlementDate,R212,,,Trigger)</f>
        <v>0.80821917808219179</v>
      </c>
      <c r="U212" s="47">
        <f>_xll.qlPolynomialFunctionValue($P$18,T212,AllTriggers)</f>
        <v>1.3035033127268857E-3</v>
      </c>
    </row>
    <row r="213" spans="18:21" x14ac:dyDescent="0.2">
      <c r="R213" s="212">
        <f>_xll.qlCalendarAdvance(Calendar,R212,"1D","f")</f>
        <v>42436</v>
      </c>
      <c r="S213" s="47">
        <f>_xll.qlTenorBasisValue($P$3,R213,AllTriggers)</f>
        <v>1.3157112083663038E-3</v>
      </c>
      <c r="T213" s="41">
        <f>_xll.qlDayCounterYearFraction("actual/365 (fixed)",SettlementDate,R213,,,Trigger)</f>
        <v>0.81643835616438354</v>
      </c>
      <c r="U213" s="47">
        <f>_xll.qlPolynomialFunctionValue($P$18,T213,AllTriggers)</f>
        <v>1.3045502835320316E-3</v>
      </c>
    </row>
    <row r="214" spans="18:21" x14ac:dyDescent="0.2">
      <c r="R214" s="212">
        <f>_xll.qlCalendarAdvance(Calendar,R213,"1D","f")</f>
        <v>42437</v>
      </c>
      <c r="S214" s="47">
        <f>_xll.qlTenorBasisValue($P$3,R214,AllTriggers)</f>
        <v>1.3159034619575367E-3</v>
      </c>
      <c r="T214" s="41">
        <f>_xll.qlDayCounterYearFraction("actual/365 (fixed)",SettlementDate,R214,,,Trigger)</f>
        <v>0.81917808219178079</v>
      </c>
      <c r="U214" s="47">
        <f>_xll.qlPolynomialFunctionValue($P$18,T214,AllTriggers)</f>
        <v>1.3048917329694242E-3</v>
      </c>
    </row>
    <row r="215" spans="18:21" x14ac:dyDescent="0.2">
      <c r="R215" s="212">
        <f>_xll.qlCalendarAdvance(Calendar,R214,"1D","f")</f>
        <v>42438</v>
      </c>
      <c r="S215" s="47">
        <f>_xll.qlTenorBasisValue($P$3,R215,AllTriggers)</f>
        <v>1.3160928008433244E-3</v>
      </c>
      <c r="T215" s="41">
        <f>_xll.qlDayCounterYearFraction("actual/365 (fixed)",SettlementDate,R215,,,Trigger)</f>
        <v>0.82191780821917804</v>
      </c>
      <c r="U215" s="47">
        <f>_xll.qlPolynomialFunctionValue($P$18,T215,AllTriggers)</f>
        <v>1.3052294415155329E-3</v>
      </c>
    </row>
    <row r="216" spans="18:21" x14ac:dyDescent="0.2">
      <c r="R216" s="212">
        <f>_xll.qlCalendarAdvance(Calendar,R215,"1D","f")</f>
        <v>42439</v>
      </c>
      <c r="S216" s="47">
        <f>_xll.qlTenorBasisValue($P$3,R216,AllTriggers)</f>
        <v>1.3162792427381942E-3</v>
      </c>
      <c r="T216" s="41">
        <f>_xll.qlDayCounterYearFraction("actual/365 (fixed)",SettlementDate,R216,,,Trigger)</f>
        <v>0.8246575342465754</v>
      </c>
      <c r="U216" s="47">
        <f>_xll.qlPolynomialFunctionValue($P$18,T216,AllTriggers)</f>
        <v>1.3055634268848845E-3</v>
      </c>
    </row>
    <row r="217" spans="18:21" x14ac:dyDescent="0.2">
      <c r="R217" s="212">
        <f>_xll.qlCalendarAdvance(Calendar,R216,"1D","f")</f>
        <v>42440</v>
      </c>
      <c r="S217" s="47">
        <f>_xll.qlTenorBasisValue($P$3,R217,AllTriggers)</f>
        <v>1.3164628053566718E-3</v>
      </c>
      <c r="T217" s="41">
        <f>_xll.qlDayCounterYearFraction("actual/365 (fixed)",SettlementDate,R217,,,Trigger)</f>
        <v>0.82739726027397265</v>
      </c>
      <c r="U217" s="47">
        <f>_xll.qlPolynomialFunctionValue($P$18,T217,AllTriggers)</f>
        <v>1.305893706792006E-3</v>
      </c>
    </row>
    <row r="218" spans="18:21" x14ac:dyDescent="0.2">
      <c r="R218" s="212">
        <f>_xll.qlCalendarAdvance(Calendar,R217,"1D","f")</f>
        <v>42443</v>
      </c>
      <c r="S218" s="47">
        <f>_xll.qlTenorBasisValue($P$3,R218,AllTriggers)</f>
        <v>1.31699639469902E-3</v>
      </c>
      <c r="T218" s="41">
        <f>_xll.qlDayCounterYearFraction("actual/365 (fixed)",SettlementDate,R218,,,Trigger)</f>
        <v>0.83561643835616439</v>
      </c>
      <c r="U218" s="47">
        <f>_xll.qlPolynomialFunctionValue($P$18,T218,AllTriggers)</f>
        <v>1.306862490885253E-3</v>
      </c>
    </row>
    <row r="219" spans="18:21" x14ac:dyDescent="0.2">
      <c r="R219" s="212">
        <f>_xll.qlCalendarAdvance(Calendar,R218,"1D","f")</f>
        <v>42444</v>
      </c>
      <c r="S219" s="47">
        <f>_xll.qlTenorBasisValue($P$3,R219,AllTriggers)</f>
        <v>1.3171686173571963E-3</v>
      </c>
      <c r="T219" s="41">
        <f>_xll.qlDayCounterYearFraction("actual/365 (fixed)",SettlementDate,R219,,,Trigger)</f>
        <v>0.83835616438356164</v>
      </c>
      <c r="U219" s="47">
        <f>_xll.qlPolynomialFunctionValue($P$18,T219,AllTriggers)</f>
        <v>1.3071781260887184E-3</v>
      </c>
    </row>
    <row r="220" spans="18:21" x14ac:dyDescent="0.2">
      <c r="R220" s="212">
        <f>_xll.qlCalendarAdvance(Calendar,R219,"1D","f")</f>
        <v>42445</v>
      </c>
      <c r="S220" s="47">
        <f>_xll.qlTenorBasisValue($P$3,R220,AllTriggers)</f>
        <v>1.317338049311614E-3</v>
      </c>
      <c r="T220" s="41">
        <f>_xll.qlDayCounterYearFraction("actual/365 (fixed)",SettlementDate,R220,,,Trigger)</f>
        <v>0.84109589041095889</v>
      </c>
      <c r="U220" s="47">
        <f>_xll.qlPolynomialFunctionValue($P$18,T220,AllTriggers)</f>
        <v>1.3074901444025868E-3</v>
      </c>
    </row>
    <row r="221" spans="18:21" x14ac:dyDescent="0.2">
      <c r="R221" s="212">
        <f>_xll.qlCalendarAdvance(Calendar,R220,"1D","f")</f>
        <v>42446</v>
      </c>
      <c r="S221" s="47">
        <f>_xll.qlTenorBasisValue($P$3,R221,AllTriggers)</f>
        <v>1.3175047082767996E-3</v>
      </c>
      <c r="T221" s="41">
        <f>_xll.qlDayCounterYearFraction("actual/365 (fixed)",SettlementDate,R221,,,Trigger)</f>
        <v>0.84383561643835614</v>
      </c>
      <c r="U221" s="47">
        <f>_xll.qlPolynomialFunctionValue($P$18,T221,AllTriggers)</f>
        <v>1.3077985635413839E-3</v>
      </c>
    </row>
    <row r="222" spans="18:21" x14ac:dyDescent="0.2">
      <c r="R222" s="212">
        <f>_xll.qlCalendarAdvance(Calendar,R221,"1D","f")</f>
        <v>42447</v>
      </c>
      <c r="S222" s="47">
        <f>_xll.qlTenorBasisValue($P$3,R222,AllTriggers)</f>
        <v>1.3176686119672797E-3</v>
      </c>
      <c r="T222" s="41">
        <f>_xll.qlDayCounterYearFraction("actual/365 (fixed)",SettlementDate,R222,,,Trigger)</f>
        <v>0.84657534246575339</v>
      </c>
      <c r="U222" s="47">
        <f>_xll.qlPolynomialFunctionValue($P$18,T222,AllTriggers)</f>
        <v>1.3081034012196373E-3</v>
      </c>
    </row>
    <row r="223" spans="18:21" x14ac:dyDescent="0.2">
      <c r="R223" s="212">
        <f>_xll.qlCalendarAdvance(Calendar,R222,"1D","f")</f>
        <v>42450</v>
      </c>
      <c r="S223" s="47">
        <f>_xll.qlTenorBasisValue($P$3,R223,AllTriggers)</f>
        <v>1.3181439685357524E-3</v>
      </c>
      <c r="T223" s="41">
        <f>_xll.qlDayCounterYearFraction("actual/365 (fixed)",SettlementDate,R223,,,Trigger)</f>
        <v>0.85479452054794525</v>
      </c>
      <c r="U223" s="47">
        <f>_xll.qlPolynomialFunctionValue($P$18,T223,AllTriggers)</f>
        <v>1.3089966026363982E-3</v>
      </c>
    </row>
    <row r="224" spans="18:21" x14ac:dyDescent="0.2">
      <c r="R224" s="212">
        <f>_xll.qlCalendarAdvance(Calendar,R223,"1D","f")</f>
        <v>42451</v>
      </c>
      <c r="S224" s="47">
        <f>_xll.qlTenorBasisValue($P$3,R224,AllTriggers)</f>
        <v>1.3182970282726765E-3</v>
      </c>
      <c r="T224" s="41">
        <f>_xll.qlDayCounterYearFraction("actual/365 (fixed)",SettlementDate,R224,,,Trigger)</f>
        <v>0.8575342465753425</v>
      </c>
      <c r="U224" s="47">
        <f>_xll.qlPolynomialFunctionValue($P$18,T224,AllTriggers)</f>
        <v>1.3092872916177409E-3</v>
      </c>
    </row>
    <row r="225" spans="18:21" x14ac:dyDescent="0.2">
      <c r="R225" s="212">
        <f>_xll.qlCalendarAdvance(Calendar,R224,"1D","f")</f>
        <v>42452</v>
      </c>
      <c r="S225" s="47">
        <f>_xll.qlTenorBasisValue($P$3,R225,AllTriggers)</f>
        <v>1.3184474213075283E-3</v>
      </c>
      <c r="T225" s="41">
        <f>_xll.qlDayCounterYearFraction("actual/365 (fixed)",SettlementDate,R225,,,Trigger)</f>
        <v>0.86027397260273974</v>
      </c>
      <c r="U225" s="47">
        <f>_xll.qlPolynomialFunctionValue($P$18,T225,AllTriggers)</f>
        <v>1.3095744877111729E-3</v>
      </c>
    </row>
    <row r="226" spans="18:21" x14ac:dyDescent="0.2">
      <c r="R226" s="212">
        <f>_xll.qlCalendarAdvance(Calendar,R225,"1D","f")</f>
        <v>42453</v>
      </c>
      <c r="S226" s="47">
        <f>_xll.qlTenorBasisValue($P$3,R226,AllTriggers)</f>
        <v>1.3185951653548337E-3</v>
      </c>
      <c r="T226" s="41">
        <f>_xll.qlDayCounterYearFraction("actual/365 (fixed)",SettlementDate,R226,,,Trigger)</f>
        <v>0.86301369863013699</v>
      </c>
      <c r="U226" s="47">
        <f>_xll.qlPolynomialFunctionValue($P$18,T226,AllTriggers)</f>
        <v>1.3098582086312198E-3</v>
      </c>
    </row>
    <row r="227" spans="18:21" x14ac:dyDescent="0.2">
      <c r="R227" s="212">
        <f>_xll.qlCalendarAdvance(Calendar,R226,"1D","f")</f>
        <v>42458</v>
      </c>
      <c r="S227" s="47">
        <f>_xll.qlTenorBasisValue($P$3,R227,AllTriggers)</f>
        <v>1.319294770786607E-3</v>
      </c>
      <c r="T227" s="41">
        <f>_xll.qlDayCounterYearFraction("actual/365 (fixed)",SettlementDate,R227,,,Trigger)</f>
        <v>0.87671232876712324</v>
      </c>
      <c r="U227" s="47">
        <f>_xll.qlPolynomialFunctionValue($P$18,T227,AllTriggers)</f>
        <v>1.3112253056391215E-3</v>
      </c>
    </row>
    <row r="228" spans="18:21" x14ac:dyDescent="0.2">
      <c r="R228" s="212">
        <f>_xll.qlCalendarAdvance(Calendar,R227,"1D","f")</f>
        <v>42459</v>
      </c>
      <c r="S228" s="47">
        <f>_xll.qlTenorBasisValue($P$3,R228,AllTriggers)</f>
        <v>1.3194269929136966E-3</v>
      </c>
      <c r="T228" s="41">
        <f>_xll.qlDayCounterYearFraction("actual/365 (fixed)",SettlementDate,R228,,,Trigger)</f>
        <v>0.8794520547945206</v>
      </c>
      <c r="U228" s="47">
        <f>_xll.qlPolynomialFunctionValue($P$18,T228,AllTriggers)</f>
        <v>1.3114885475239211E-3</v>
      </c>
    </row>
    <row r="229" spans="18:21" x14ac:dyDescent="0.2">
      <c r="R229" s="212">
        <f>_xll.qlCalendarAdvance(Calendar,R228,"1D","f")</f>
        <v>42460</v>
      </c>
      <c r="S229" s="47">
        <f>_xll.qlTenorBasisValue($P$3,R229,AllTriggers)</f>
        <v>1.319556690054927E-3</v>
      </c>
      <c r="T229" s="41">
        <f>_xll.qlDayCounterYearFraction("actual/365 (fixed)",SettlementDate,R229,,,Trigger)</f>
        <v>0.88219178082191785</v>
      </c>
      <c r="U229" s="47">
        <f>_xll.qlPolynomialFunctionValue($P$18,T229,AllTriggers)</f>
        <v>1.3117484382370226E-3</v>
      </c>
    </row>
    <row r="230" spans="18:21" x14ac:dyDescent="0.2">
      <c r="R230" s="212">
        <f>_xll.qlCalendarAdvance(Calendar,R229,"1D","f")</f>
        <v>42461</v>
      </c>
      <c r="S230" s="47">
        <f>_xll.qlTenorBasisValue($P$3,R230,AllTriggers)</f>
        <v>1.3196838799248245E-3</v>
      </c>
      <c r="T230" s="41">
        <f>_xll.qlDayCounterYearFraction("actual/365 (fixed)",SettlementDate,R230,,,Trigger)</f>
        <v>0.8849315068493151</v>
      </c>
      <c r="U230" s="47">
        <f>_xll.qlPolynomialFunctionValue($P$18,T230,AllTriggers)</f>
        <v>1.3120049954929525E-3</v>
      </c>
    </row>
    <row r="231" spans="18:21" x14ac:dyDescent="0.2">
      <c r="R231" s="212">
        <f>_xll.qlCalendarAdvance(Calendar,R230,"1D","f")</f>
        <v>42464</v>
      </c>
      <c r="S231" s="47">
        <f>_xll.qlTenorBasisValue($P$3,R231,AllTriggers)</f>
        <v>1.3200505830517854E-3</v>
      </c>
      <c r="T231" s="41">
        <f>_xll.qlDayCounterYearFraction("actual/365 (fixed)",SettlementDate,R231,,,Trigger)</f>
        <v>0.89315068493150684</v>
      </c>
      <c r="U231" s="47">
        <f>_xll.qlPolynomialFunctionValue($P$18,T231,AllTriggers)</f>
        <v>1.3127548436629793E-3</v>
      </c>
    </row>
    <row r="232" spans="18:21" x14ac:dyDescent="0.2">
      <c r="R232" s="212">
        <f>_xll.qlCalendarAdvance(Calendar,R231,"1D","f")</f>
        <v>42465</v>
      </c>
      <c r="S232" s="47">
        <f>_xll.qlTenorBasisValue($P$3,R232,AllTriggers)</f>
        <v>1.3201679209816175E-3</v>
      </c>
      <c r="T232" s="41">
        <f>_xll.qlDayCounterYearFraction("actual/365 (fixed)",SettlementDate,R232,,,Trigger)</f>
        <v>0.89589041095890409</v>
      </c>
      <c r="U232" s="47">
        <f>_xll.qlPolynomialFunctionValue($P$18,T232,AllTriggers)</f>
        <v>1.3129982442354892E-3</v>
      </c>
    </row>
    <row r="233" spans="18:21" x14ac:dyDescent="0.2">
      <c r="R233" s="212">
        <f>_xll.qlCalendarAdvance(Calendar,R232,"1D","f")</f>
        <v>42466</v>
      </c>
      <c r="S233" s="47">
        <f>_xll.qlTenorBasisValue($P$3,R233,AllTriggers)</f>
        <v>1.3202828402127495E-3</v>
      </c>
      <c r="T233" s="41">
        <f>_xll.qlDayCounterYearFraction("actual/365 (fixed)",SettlementDate,R233,,,Trigger)</f>
        <v>0.89863013698630134</v>
      </c>
      <c r="U233" s="47">
        <f>_xll.qlPolynomialFunctionValue($P$18,T233,AllTriggers)</f>
        <v>1.3132383999234611E-3</v>
      </c>
    </row>
    <row r="234" spans="18:21" x14ac:dyDescent="0.2">
      <c r="R234" s="212">
        <f>_xll.qlCalendarAdvance(Calendar,R233,"1D","f")</f>
        <v>42467</v>
      </c>
      <c r="S234" s="47">
        <f>_xll.qlTenorBasisValue($P$3,R234,AllTriggers)</f>
        <v>1.3203953584597086E-3</v>
      </c>
      <c r="T234" s="41">
        <f>_xll.qlDayCounterYearFraction("actual/365 (fixed)",SettlementDate,R234,,,Trigger)</f>
        <v>0.90136986301369859</v>
      </c>
      <c r="U234" s="47">
        <f>_xll.qlPolynomialFunctionValue($P$18,T234,AllTriggers)</f>
        <v>1.3134753284414209E-3</v>
      </c>
    </row>
    <row r="235" spans="18:21" x14ac:dyDescent="0.2">
      <c r="R235" s="212">
        <f>_xll.qlCalendarAdvance(Calendar,R234,"1D","f")</f>
        <v>42468</v>
      </c>
      <c r="S235" s="47">
        <f>_xll.qlTenorBasisValue($P$3,R235,AllTriggers)</f>
        <v>1.3205054934370209E-3</v>
      </c>
      <c r="T235" s="41">
        <f>_xll.qlDayCounterYearFraction("actual/365 (fixed)",SettlementDate,R235,,,Trigger)</f>
        <v>0.90410958904109584</v>
      </c>
      <c r="U235" s="47">
        <f>_xll.qlPolynomialFunctionValue($P$18,T235,AllTriggers)</f>
        <v>1.3137090475038955E-3</v>
      </c>
    </row>
    <row r="236" spans="18:21" x14ac:dyDescent="0.2">
      <c r="R236" s="212">
        <f>_xll.qlCalendarAdvance(Calendar,R235,"1D","f")</f>
        <v>42471</v>
      </c>
      <c r="S236" s="47">
        <f>_xll.qlTenorBasisValue($P$3,R236,AllTriggers)</f>
        <v>1.3208217758963452E-3</v>
      </c>
      <c r="T236" s="41">
        <f>_xll.qlDayCounterYearFraction("actual/365 (fixed)",SettlementDate,R236,,,Trigger)</f>
        <v>0.9123287671232877</v>
      </c>
      <c r="U236" s="47">
        <f>_xll.qlPolynomialFunctionValue($P$18,T236,AllTriggers)</f>
        <v>1.3143911251036749E-3</v>
      </c>
    </row>
    <row r="237" spans="18:21" x14ac:dyDescent="0.2">
      <c r="R237" s="212">
        <f>_xll.qlCalendarAdvance(Calendar,R236,"1D","f")</f>
        <v>42472</v>
      </c>
      <c r="S237" s="47">
        <f>_xll.qlTenorBasisValue($P$3,R237,AllTriggers)</f>
        <v>1.3209225549403376E-3</v>
      </c>
      <c r="T237" s="41">
        <f>_xll.qlDayCounterYearFraction("actual/365 (fixed)",SettlementDate,R237,,,Trigger)</f>
        <v>0.91506849315068495</v>
      </c>
      <c r="U237" s="47">
        <f>_xll.qlPolynomialFunctionValue($P$18,T237,AllTriggers)</f>
        <v>1.3146121834894746E-3</v>
      </c>
    </row>
    <row r="238" spans="18:21" x14ac:dyDescent="0.2">
      <c r="R238" s="212">
        <f>_xll.qlCalendarAdvance(Calendar,R237,"1D","f")</f>
        <v>42473</v>
      </c>
      <c r="S238" s="47">
        <f>_xll.qlTenorBasisValue($P$3,R238,AllTriggers)</f>
        <v>1.3210210392873166E-3</v>
      </c>
      <c r="T238" s="41">
        <f>_xll.qlDayCounterYearFraction("actual/365 (fixed)",SettlementDate,R238,,,Trigger)</f>
        <v>0.9178082191780822</v>
      </c>
      <c r="U238" s="47">
        <f>_xll.qlPolynomialFunctionValue($P$18,T238,AllTriggers)</f>
        <v>1.3148301209924228E-3</v>
      </c>
    </row>
    <row r="239" spans="18:21" x14ac:dyDescent="0.2">
      <c r="R239" s="212">
        <f>_xll.qlCalendarAdvance(Calendar,R238,"1D","f")</f>
        <v>42474</v>
      </c>
      <c r="S239" s="47">
        <f>_xll.qlTenorBasisValue($P$3,R239,AllTriggers)</f>
        <v>1.3211172466518085E-3</v>
      </c>
      <c r="T239" s="41">
        <f>_xll.qlDayCounterYearFraction("actual/365 (fixed)",SettlementDate,R239,,,Trigger)</f>
        <v>0.92054794520547945</v>
      </c>
      <c r="U239" s="47">
        <f>_xll.qlPolynomialFunctionValue($P$18,T239,AllTriggers)</f>
        <v>1.3150449553270449E-3</v>
      </c>
    </row>
    <row r="240" spans="18:21" x14ac:dyDescent="0.2">
      <c r="R240" s="212">
        <f>_xll.qlCalendarAdvance(Calendar,R239,"1D","f")</f>
        <v>42475</v>
      </c>
      <c r="S240" s="47">
        <f>_xll.qlTenorBasisValue($P$3,R240,AllTriggers)</f>
        <v>1.3212111947483404E-3</v>
      </c>
      <c r="T240" s="41">
        <f>_xll.qlDayCounterYearFraction("actual/365 (fixed)",SettlementDate,R240,,,Trigger)</f>
        <v>0.92328767123287669</v>
      </c>
      <c r="U240" s="47">
        <f>_xll.qlPolynomialFunctionValue($P$18,T240,AllTriggers)</f>
        <v>1.315256704207869E-3</v>
      </c>
    </row>
    <row r="241" spans="18:21" x14ac:dyDescent="0.2">
      <c r="R241" s="212">
        <f>_xll.qlCalendarAdvance(Calendar,R240,"1D","f")</f>
        <v>42478</v>
      </c>
      <c r="S241" s="47">
        <f>_xll.qlTenorBasisValue($P$3,R241,AllTriggers)</f>
        <v>1.32147966057544E-3</v>
      </c>
      <c r="T241" s="41">
        <f>_xll.qlDayCounterYearFraction("actual/365 (fixed)",SettlementDate,R241,,,Trigger)</f>
        <v>0.93150684931506844</v>
      </c>
      <c r="U241" s="47">
        <f>_xll.qlPolynomialFunctionValue($P$18,T241,AllTriggers)</f>
        <v>1.3158736152728125E-3</v>
      </c>
    </row>
    <row r="242" spans="18:21" x14ac:dyDescent="0.2">
      <c r="R242" s="212">
        <f>_xll.qlCalendarAdvance(Calendar,R241,"1D","f")</f>
        <v>42479</v>
      </c>
      <c r="S242" s="47">
        <f>_xll.qlTenorBasisValue($P$3,R242,AllTriggers)</f>
        <v>1.3215647487453974E-3</v>
      </c>
      <c r="T242" s="41">
        <f>_xll.qlDayCounterYearFraction("actual/365 (fixed)",SettlementDate,R242,,,Trigger)</f>
        <v>0.9342465753424658</v>
      </c>
      <c r="U242" s="47">
        <f>_xll.qlPolynomialFunctionValue($P$18,T242,AllTriggers)</f>
        <v>1.3160731994837067E-3</v>
      </c>
    </row>
    <row r="243" spans="18:21" x14ac:dyDescent="0.2">
      <c r="R243" s="212">
        <f>_xll.qlCalendarAdvance(Calendar,R242,"1D","f")</f>
        <v>42480</v>
      </c>
      <c r="S243" s="47">
        <f>_xll.qlTenorBasisValue($P$3,R243,AllTriggers)</f>
        <v>1.3216476662200271E-3</v>
      </c>
      <c r="T243" s="41">
        <f>_xll.qlDayCounterYearFraction("actual/365 (fixed)",SettlementDate,R243,,,Trigger)</f>
        <v>0.93698630136986305</v>
      </c>
      <c r="U243" s="47">
        <f>_xll.qlPolynomialFunctionValue($P$18,T243,AllTriggers)</f>
        <v>1.3162697868134357E-3</v>
      </c>
    </row>
    <row r="244" spans="18:21" x14ac:dyDescent="0.2">
      <c r="R244" s="212">
        <f>_xll.qlCalendarAdvance(Calendar,R243,"1D","f")</f>
        <v>42481</v>
      </c>
      <c r="S244" s="47">
        <f>_xll.qlTenorBasisValue($P$3,R244,AllTriggers)</f>
        <v>1.3217284307138562E-3</v>
      </c>
      <c r="T244" s="41">
        <f>_xll.qlDayCounterYearFraction("actual/365 (fixed)",SettlementDate,R244,,,Trigger)</f>
        <v>0.9397260273972603</v>
      </c>
      <c r="U244" s="47">
        <f>_xll.qlPolynomialFunctionValue($P$18,T244,AllTriggers)</f>
        <v>1.3164633949765249E-3</v>
      </c>
    </row>
    <row r="245" spans="18:21" x14ac:dyDescent="0.2">
      <c r="R245" s="212">
        <f>_xll.qlCalendarAdvance(Calendar,R244,"1D","f")</f>
        <v>42482</v>
      </c>
      <c r="S245" s="47">
        <f>_xll.qlTenorBasisValue($P$3,R245,AllTriggers)</f>
        <v>1.3218070599414118E-3</v>
      </c>
      <c r="T245" s="41">
        <f>_xll.qlDayCounterYearFraction("actual/365 (fixed)",SettlementDate,R245,,,Trigger)</f>
        <v>0.94246575342465755</v>
      </c>
      <c r="U245" s="47">
        <f>_xll.qlPolynomialFunctionValue($P$18,T245,AllTriggers)</f>
        <v>1.3166540416875018E-3</v>
      </c>
    </row>
    <row r="246" spans="18:21" x14ac:dyDescent="0.2">
      <c r="R246" s="212">
        <f>_xll.qlCalendarAdvance(Calendar,R245,"1D","f")</f>
        <v>42485</v>
      </c>
      <c r="S246" s="47">
        <f>_xll.qlTenorBasisValue($P$3,R246,AllTriggers)</f>
        <v>1.3220303131717002E-3</v>
      </c>
      <c r="T246" s="41">
        <f>_xll.qlDayCounterYearFraction("actual/365 (fixed)",SettlementDate,R246,,,Trigger)</f>
        <v>0.9506849315068493</v>
      </c>
      <c r="U246" s="47">
        <f>_xll.qlPolynomialFunctionValue($P$18,T246,AllTriggers)</f>
        <v>1.3172083902530233E-3</v>
      </c>
    </row>
    <row r="247" spans="18:21" x14ac:dyDescent="0.2">
      <c r="R247" s="212">
        <f>_xll.qlCalendarAdvance(Calendar,R246,"1D","f")</f>
        <v>42486</v>
      </c>
      <c r="S247" s="47">
        <f>_xll.qlTenorBasisValue($P$3,R247,AllTriggers)</f>
        <v>1.3221005784794259E-3</v>
      </c>
      <c r="T247" s="41">
        <f>_xll.qlDayCounterYearFraction("actual/365 (fixed)",SettlementDate,R247,,,Trigger)</f>
        <v>0.95342465753424654</v>
      </c>
      <c r="U247" s="47">
        <f>_xll.qlPolynomialFunctionValue($P$18,T247,AllTriggers)</f>
        <v>1.317387368300816E-3</v>
      </c>
    </row>
    <row r="248" spans="18:21" x14ac:dyDescent="0.2">
      <c r="R248" s="212">
        <f>_xll.qlCalendarAdvance(Calendar,R247,"1D","f")</f>
        <v>42487</v>
      </c>
      <c r="S248" s="47">
        <f>_xll.qlTenorBasisValue($P$3,R248,AllTriggers)</f>
        <v>1.3221687970935109E-3</v>
      </c>
      <c r="T248" s="41">
        <f>_xll.qlDayCounterYearFraction("actual/365 (fixed)",SettlementDate,R248,,,Trigger)</f>
        <v>0.95616438356164379</v>
      </c>
      <c r="U248" s="47">
        <f>_xll.qlPolynomialFunctionValue($P$18,T248,AllTriggers)</f>
        <v>1.3175634734691292E-3</v>
      </c>
    </row>
    <row r="249" spans="18:21" x14ac:dyDescent="0.2">
      <c r="R249" s="212">
        <f>_xll.qlCalendarAdvance(Calendar,R248,"1D","f")</f>
        <v>42488</v>
      </c>
      <c r="S249" s="47">
        <f>_xll.qlTenorBasisValue($P$3,R249,AllTriggers)</f>
        <v>1.3222349867284815E-3</v>
      </c>
      <c r="T249" s="41">
        <f>_xll.qlDayCounterYearFraction("actual/365 (fixed)",SettlementDate,R249,,,Trigger)</f>
        <v>0.95890410958904104</v>
      </c>
      <c r="U249" s="47">
        <f>_xll.qlPolynomialFunctionValue($P$18,T249,AllTriggers)</f>
        <v>1.3177367234724895E-3</v>
      </c>
    </row>
    <row r="250" spans="18:21" x14ac:dyDescent="0.2">
      <c r="R250" s="212">
        <f>_xll.qlCalendarAdvance(Calendar,R249,"1D","f")</f>
        <v>42489</v>
      </c>
      <c r="S250" s="47">
        <f>_xll.qlTenorBasisValue($P$3,R250,AllTriggers)</f>
        <v>1.3222991650988648E-3</v>
      </c>
      <c r="T250" s="41">
        <f>_xll.qlDayCounterYearFraction("actual/365 (fixed)",SettlementDate,R250,,,Trigger)</f>
        <v>0.9616438356164384</v>
      </c>
      <c r="U250" s="47">
        <f>_xll.qlPolynomialFunctionValue($P$18,T250,AllTriggers)</f>
        <v>1.3179071360254241E-3</v>
      </c>
    </row>
    <row r="251" spans="18:21" x14ac:dyDescent="0.2">
      <c r="R251" s="212">
        <f>_xll.qlCalendarAdvance(Calendar,R250,"1D","f")</f>
        <v>42492</v>
      </c>
      <c r="S251" s="47">
        <f>_xll.qlTenorBasisValue($P$3,R251,AllTriggers)</f>
        <v>1.3224798097677549E-3</v>
      </c>
      <c r="T251" s="41">
        <f>_xll.qlDayCounterYearFraction("actual/365 (fixed)",SettlementDate,R251,,,Trigger)</f>
        <v>0.96986301369863015</v>
      </c>
      <c r="U251" s="47">
        <f>_xll.qlPolynomialFunctionValue($P$18,T251,AllTriggers)</f>
        <v>1.3184015261269359E-3</v>
      </c>
    </row>
    <row r="252" spans="18:21" x14ac:dyDescent="0.2">
      <c r="R252" s="212">
        <f>_xll.qlCalendarAdvance(Calendar,R251,"1D","f")</f>
        <v>42493</v>
      </c>
      <c r="S252" s="47">
        <f>_xll.qlTenorBasisValue($P$3,R252,AllTriggers)</f>
        <v>1.3225361202250537E-3</v>
      </c>
      <c r="T252" s="41">
        <f>_xll.qlDayCounterYearFraction("actual/365 (fixed)",SettlementDate,R252,,,Trigger)</f>
        <v>0.9726027397260274</v>
      </c>
      <c r="U252" s="47">
        <f>_xll.qlPolynomialFunctionValue($P$18,T252,AllTriggers)</f>
        <v>1.3185607660234312E-3</v>
      </c>
    </row>
    <row r="253" spans="18:21" x14ac:dyDescent="0.2">
      <c r="R253" s="212">
        <f>_xll.qlCalendarAdvance(Calendar,R252,"1D","f")</f>
        <v>42494</v>
      </c>
      <c r="S253" s="47">
        <f>_xll.qlTenorBasisValue($P$3,R253,AllTriggers)</f>
        <v>1.3225905079903978E-3</v>
      </c>
      <c r="T253" s="41">
        <f>_xll.qlDayCounterYearFraction("actual/365 (fixed)",SettlementDate,R253,,,Trigger)</f>
        <v>0.97534246575342465</v>
      </c>
      <c r="U253" s="47">
        <f>_xll.qlPolynomialFunctionValue($P$18,T253,AllTriggers)</f>
        <v>1.3187172570421337E-3</v>
      </c>
    </row>
    <row r="254" spans="18:21" x14ac:dyDescent="0.2">
      <c r="R254" s="212">
        <f>_xll.qlCalendarAdvance(Calendar,R253,"1D","f")</f>
        <v>42495</v>
      </c>
      <c r="S254" s="47">
        <f>_xll.qlTenorBasisValue($P$3,R254,AllTriggers)</f>
        <v>1.3226429907783146E-3</v>
      </c>
      <c r="T254" s="41">
        <f>_xll.qlDayCounterYearFraction("actual/365 (fixed)",SettlementDate,R254,,,Trigger)</f>
        <v>0.9780821917808219</v>
      </c>
      <c r="U254" s="47">
        <f>_xll.qlPolynomialFunctionValue($P$18,T254,AllTriggers)</f>
        <v>1.3188710168975696E-3</v>
      </c>
    </row>
    <row r="255" spans="18:21" x14ac:dyDescent="0.2">
      <c r="R255" s="212">
        <f>_xll.qlCalendarAdvance(Calendar,R254,"1D","f")</f>
        <v>42496</v>
      </c>
      <c r="S255" s="47">
        <f>_xll.qlTenorBasisValue($P$3,R255,AllTriggers)</f>
        <v>1.3226935863033297E-3</v>
      </c>
      <c r="T255" s="41">
        <f>_xll.qlDayCounterYearFraction("actual/365 (fixed)",SettlementDate,R255,,,Trigger)</f>
        <v>0.98082191780821915</v>
      </c>
      <c r="U255" s="47">
        <f>_xll.qlPolynomialFunctionValue($P$18,T255,AllTriggers)</f>
        <v>1.3190220633042659E-3</v>
      </c>
    </row>
    <row r="256" spans="18:21" x14ac:dyDescent="0.2">
      <c r="R256" s="212">
        <f>_xll.qlCalendarAdvance(Calendar,R255,"1D","f")</f>
        <v>42499</v>
      </c>
      <c r="S256" s="47">
        <f>_xll.qlTenorBasisValue($P$3,R256,AllTriggers)</f>
        <v>1.3228342264462335E-3</v>
      </c>
      <c r="T256" s="41">
        <f>_xll.qlDayCounterYearFraction("actual/365 (fixed)",SettlementDate,R256,,,Trigger)</f>
        <v>0.989041095890411</v>
      </c>
      <c r="U256" s="47">
        <f>_xll.qlPolynomialFunctionValue($P$18,T256,AllTriggers)</f>
        <v>1.3194590989771804E-3</v>
      </c>
    </row>
    <row r="257" spans="18:21" x14ac:dyDescent="0.2">
      <c r="R257" s="212">
        <f>_xll.qlCalendarAdvance(Calendar,R256,"1D","f")</f>
        <v>42500</v>
      </c>
      <c r="S257" s="47">
        <f>_xll.qlTenorBasisValue($P$3,R257,AllTriggers)</f>
        <v>1.3228774500649097E-3</v>
      </c>
      <c r="T257" s="41">
        <f>_xll.qlDayCounterYearFraction("actual/365 (fixed)",SettlementDate,R257,,,Trigger)</f>
        <v>0.99178082191780825</v>
      </c>
      <c r="U257" s="47">
        <f>_xll.qlPolynomialFunctionValue($P$18,T257,AllTriggers)</f>
        <v>1.3195994687341828E-3</v>
      </c>
    </row>
    <row r="258" spans="18:21" x14ac:dyDescent="0.2">
      <c r="R258" s="212">
        <f>_xll.qlCalendarAdvance(Calendar,R257,"1D","f")</f>
        <v>42501</v>
      </c>
      <c r="S258" s="47">
        <f>_xll.qlTenorBasisValue($P$3,R258,AllTriggers)</f>
        <v>1.3229188749933176E-3</v>
      </c>
      <c r="T258" s="41">
        <f>_xll.qlDayCounterYearFraction("actual/365 (fixed)",SettlementDate,R258,,,Trigger)</f>
        <v>0.9945205479452055</v>
      </c>
      <c r="U258" s="47">
        <f>_xll.qlPolynomialFunctionValue($P$18,T258,AllTriggers)</f>
        <v>1.3197372136150788E-3</v>
      </c>
    </row>
    <row r="259" spans="18:21" x14ac:dyDescent="0.2">
      <c r="R259" s="212">
        <f>_xll.qlCalendarAdvance(Calendar,R258,"1D","f")</f>
        <v>42502</v>
      </c>
      <c r="S259" s="47">
        <f>_xll.qlTenorBasisValue($P$3,R259,AllTriggers)</f>
        <v>1.3229585189459842E-3</v>
      </c>
      <c r="T259" s="41">
        <f>_xll.qlDayCounterYearFraction("actual/365 (fixed)",SettlementDate,R259,,,Trigger)</f>
        <v>0.99726027397260275</v>
      </c>
      <c r="U259" s="47">
        <f>_xll.qlPolynomialFunctionValue($P$18,T259,AllTriggers)</f>
        <v>1.3198723513343944E-3</v>
      </c>
    </row>
    <row r="260" spans="18:21" x14ac:dyDescent="0.2">
      <c r="R260" s="212">
        <f>_xll.qlCalendarAdvance(Calendar,R259,"1D","f")</f>
        <v>42503</v>
      </c>
      <c r="S260" s="47">
        <f>_xll.qlTenorBasisValue($P$3,R260,AllTriggers)</f>
        <v>1.3229963996374357E-3</v>
      </c>
      <c r="T260" s="41">
        <f>_xll.qlDayCounterYearFraction("actual/365 (fixed)",SettlementDate,R260,,,Trigger)</f>
        <v>1</v>
      </c>
      <c r="U260" s="47">
        <f>_xll.qlPolynomialFunctionValue($P$18,T260,AllTriggers)</f>
        <v>1.3200048996066562E-3</v>
      </c>
    </row>
    <row r="261" spans="18:21" x14ac:dyDescent="0.2">
      <c r="R261" s="212">
        <f>_xll.qlCalendarAdvance(Calendar,R260,"1D","f")</f>
        <v>42506</v>
      </c>
      <c r="S261" s="47">
        <f>_xll.qlTenorBasisValue($P$3,R261,AllTriggers)</f>
        <v>1.3230996392897666E-3</v>
      </c>
      <c r="T261" s="41">
        <f>_xll.qlDayCounterYearFraction("actual/365 (fixed)",SettlementDate,R261,,,Trigger)</f>
        <v>1.0082191780821919</v>
      </c>
      <c r="U261" s="47">
        <f>_xll.qlPolynomialFunctionValue($P$18,T261,AllTriggers)</f>
        <v>1.3203871848863867E-3</v>
      </c>
    </row>
    <row r="262" spans="18:21" x14ac:dyDescent="0.2">
      <c r="R262" s="213">
        <f>_xll.qlCalendarAdvance(Calendar,R261,"1D","f")</f>
        <v>42507</v>
      </c>
      <c r="S262" s="50">
        <f>_xll.qlTenorBasisValue($P$3,R262,AllTriggers)</f>
        <v>1.3231306440816242E-3</v>
      </c>
      <c r="T262" s="44">
        <f>_xll.qlDayCounterYearFraction("actual/365 (fixed)",SettlementDate,R262,,,Trigger)</f>
        <v>1.010958904109589</v>
      </c>
      <c r="U262" s="50">
        <f>_xll.qlPolynomialFunctionValue($P$18,T262,AllTriggers)</f>
        <v>1.3205095525157002E-3</v>
      </c>
    </row>
    <row r="263" spans="18:21" x14ac:dyDescent="0.2">
      <c r="R263" s="61"/>
    </row>
    <row r="264" spans="18:21" x14ac:dyDescent="0.2">
      <c r="R264" s="61"/>
    </row>
    <row r="265" spans="18:21" x14ac:dyDescent="0.2">
      <c r="R265" s="61"/>
    </row>
    <row r="266" spans="18:21" x14ac:dyDescent="0.2">
      <c r="R266" s="61"/>
    </row>
    <row r="267" spans="18:21" x14ac:dyDescent="0.2">
      <c r="R267" s="61"/>
    </row>
    <row r="268" spans="18:21" x14ac:dyDescent="0.2">
      <c r="R268" s="61"/>
    </row>
    <row r="269" spans="18:21" x14ac:dyDescent="0.2">
      <c r="R269" s="61"/>
    </row>
    <row r="270" spans="18:21" x14ac:dyDescent="0.2">
      <c r="R270" s="61"/>
    </row>
    <row r="271" spans="18:21" x14ac:dyDescent="0.2">
      <c r="R271" s="61"/>
    </row>
    <row r="272" spans="18:21" x14ac:dyDescent="0.2">
      <c r="R272" s="61"/>
    </row>
    <row r="273" spans="18:18" x14ac:dyDescent="0.2">
      <c r="R273" s="61"/>
    </row>
    <row r="274" spans="18:18" x14ac:dyDescent="0.2">
      <c r="R274" s="61"/>
    </row>
    <row r="275" spans="18:18" x14ac:dyDescent="0.2">
      <c r="R275" s="61"/>
    </row>
    <row r="276" spans="18:18" x14ac:dyDescent="0.2">
      <c r="R276" s="61"/>
    </row>
    <row r="277" spans="18:18" x14ac:dyDescent="0.2">
      <c r="R277" s="61"/>
    </row>
    <row r="278" spans="18:18" x14ac:dyDescent="0.2">
      <c r="R278" s="61"/>
    </row>
    <row r="279" spans="18:18" x14ac:dyDescent="0.2">
      <c r="R279" s="61"/>
    </row>
    <row r="280" spans="18:18" x14ac:dyDescent="0.2">
      <c r="R280" s="61"/>
    </row>
    <row r="281" spans="18:18" x14ac:dyDescent="0.2">
      <c r="R281" s="61"/>
    </row>
    <row r="282" spans="18:18" x14ac:dyDescent="0.2">
      <c r="R282" s="61"/>
    </row>
    <row r="283" spans="18:18" x14ac:dyDescent="0.2">
      <c r="R283" s="61"/>
    </row>
    <row r="284" spans="18:18" x14ac:dyDescent="0.2">
      <c r="R284" s="61"/>
    </row>
    <row r="285" spans="18:18" x14ac:dyDescent="0.2">
      <c r="R285" s="61"/>
    </row>
    <row r="286" spans="18:18" x14ac:dyDescent="0.2">
      <c r="R286" s="61"/>
    </row>
    <row r="287" spans="18:18" x14ac:dyDescent="0.2">
      <c r="R287" s="61"/>
    </row>
    <row r="288" spans="18:18" x14ac:dyDescent="0.2">
      <c r="R288" s="61"/>
    </row>
    <row r="289" spans="18:18" x14ac:dyDescent="0.2">
      <c r="R289" s="61"/>
    </row>
    <row r="290" spans="18:18" x14ac:dyDescent="0.2">
      <c r="R290" s="61"/>
    </row>
    <row r="291" spans="18:18" x14ac:dyDescent="0.2">
      <c r="R291" s="61"/>
    </row>
    <row r="292" spans="18:18" x14ac:dyDescent="0.2">
      <c r="R292" s="61"/>
    </row>
    <row r="293" spans="18:18" x14ac:dyDescent="0.2">
      <c r="R293" s="61"/>
    </row>
    <row r="294" spans="18:18" x14ac:dyDescent="0.2">
      <c r="R294" s="61"/>
    </row>
    <row r="295" spans="18:18" x14ac:dyDescent="0.2">
      <c r="R295" s="61"/>
    </row>
    <row r="296" spans="18:18" x14ac:dyDescent="0.2">
      <c r="R296" s="61"/>
    </row>
    <row r="297" spans="18:18" x14ac:dyDescent="0.2">
      <c r="R297" s="61"/>
    </row>
    <row r="298" spans="18:18" x14ac:dyDescent="0.2">
      <c r="R298" s="61"/>
    </row>
    <row r="299" spans="18:18" x14ac:dyDescent="0.2">
      <c r="R299" s="61"/>
    </row>
    <row r="300" spans="18:18" x14ac:dyDescent="0.2">
      <c r="R300" s="61"/>
    </row>
    <row r="301" spans="18:18" x14ac:dyDescent="0.2">
      <c r="R301" s="61"/>
    </row>
    <row r="302" spans="18:18" x14ac:dyDescent="0.2">
      <c r="R302" s="61"/>
    </row>
    <row r="303" spans="18:18" x14ac:dyDescent="0.2">
      <c r="R303" s="61"/>
    </row>
    <row r="304" spans="18:18" x14ac:dyDescent="0.2">
      <c r="R304" s="61"/>
    </row>
    <row r="305" spans="18:18" x14ac:dyDescent="0.2">
      <c r="R305" s="61"/>
    </row>
    <row r="306" spans="18:18" x14ac:dyDescent="0.2">
      <c r="R306" s="61"/>
    </row>
    <row r="307" spans="18:18" x14ac:dyDescent="0.2">
      <c r="R307" s="61"/>
    </row>
    <row r="308" spans="18:18" x14ac:dyDescent="0.2">
      <c r="R308" s="61"/>
    </row>
    <row r="309" spans="18:18" x14ac:dyDescent="0.2">
      <c r="R309" s="61"/>
    </row>
    <row r="310" spans="18:18" x14ac:dyDescent="0.2">
      <c r="R310" s="61"/>
    </row>
    <row r="311" spans="18:18" x14ac:dyDescent="0.2">
      <c r="R311" s="61"/>
    </row>
    <row r="312" spans="18:18" x14ac:dyDescent="0.2">
      <c r="R312" s="61"/>
    </row>
    <row r="313" spans="18:18" x14ac:dyDescent="0.2">
      <c r="R313" s="61"/>
    </row>
    <row r="314" spans="18:18" x14ac:dyDescent="0.2">
      <c r="R314" s="61"/>
    </row>
    <row r="315" spans="18:18" x14ac:dyDescent="0.2">
      <c r="R315" s="61"/>
    </row>
    <row r="316" spans="18:18" x14ac:dyDescent="0.2">
      <c r="R316" s="61"/>
    </row>
    <row r="317" spans="18:18" x14ac:dyDescent="0.2">
      <c r="R317" s="61"/>
    </row>
    <row r="318" spans="18:18" x14ac:dyDescent="0.2">
      <c r="R318" s="61"/>
    </row>
    <row r="319" spans="18:18" x14ac:dyDescent="0.2">
      <c r="R319" s="61"/>
    </row>
    <row r="320" spans="18:18" x14ac:dyDescent="0.2">
      <c r="R320" s="61"/>
    </row>
    <row r="321" spans="18:18" x14ac:dyDescent="0.2">
      <c r="R321" s="61"/>
    </row>
    <row r="322" spans="18:18" x14ac:dyDescent="0.2">
      <c r="R322" s="61"/>
    </row>
    <row r="323" spans="18:18" x14ac:dyDescent="0.2">
      <c r="R323" s="61"/>
    </row>
    <row r="324" spans="18:18" x14ac:dyDescent="0.2">
      <c r="R324" s="61"/>
    </row>
    <row r="325" spans="18:18" x14ac:dyDescent="0.2">
      <c r="R325" s="61"/>
    </row>
    <row r="326" spans="18:18" x14ac:dyDescent="0.2">
      <c r="R326" s="61"/>
    </row>
    <row r="327" spans="18:18" x14ac:dyDescent="0.2">
      <c r="R327" s="61"/>
    </row>
    <row r="328" spans="18:18" x14ac:dyDescent="0.2">
      <c r="R328" s="61"/>
    </row>
    <row r="329" spans="18:18" x14ac:dyDescent="0.2">
      <c r="R329" s="61"/>
    </row>
    <row r="330" spans="18:18" x14ac:dyDescent="0.2">
      <c r="R330" s="61"/>
    </row>
    <row r="331" spans="18:18" x14ac:dyDescent="0.2">
      <c r="R331" s="61"/>
    </row>
    <row r="332" spans="18:18" x14ac:dyDescent="0.2">
      <c r="R332" s="61"/>
    </row>
    <row r="333" spans="18:18" x14ac:dyDescent="0.2">
      <c r="R333" s="61"/>
    </row>
    <row r="334" spans="18:18" x14ac:dyDescent="0.2">
      <c r="R334" s="61"/>
    </row>
    <row r="335" spans="18:18" x14ac:dyDescent="0.2">
      <c r="R335" s="61"/>
    </row>
    <row r="336" spans="18:18" x14ac:dyDescent="0.2">
      <c r="R336" s="61"/>
    </row>
    <row r="337" spans="18:18" x14ac:dyDescent="0.2">
      <c r="R337" s="61"/>
    </row>
    <row r="338" spans="18:18" x14ac:dyDescent="0.2">
      <c r="R338" s="61"/>
    </row>
    <row r="339" spans="18:18" x14ac:dyDescent="0.2">
      <c r="R339" s="61"/>
    </row>
    <row r="340" spans="18:18" x14ac:dyDescent="0.2">
      <c r="R340" s="61"/>
    </row>
    <row r="341" spans="18:18" x14ac:dyDescent="0.2">
      <c r="R341" s="61"/>
    </row>
    <row r="342" spans="18:18" x14ac:dyDescent="0.2">
      <c r="R342" s="61"/>
    </row>
    <row r="343" spans="18:18" x14ac:dyDescent="0.2">
      <c r="R343" s="61"/>
    </row>
    <row r="344" spans="18:18" x14ac:dyDescent="0.2">
      <c r="R344" s="61"/>
    </row>
    <row r="345" spans="18:18" x14ac:dyDescent="0.2">
      <c r="R345" s="61"/>
    </row>
    <row r="346" spans="18:18" x14ac:dyDescent="0.2">
      <c r="R346" s="61"/>
    </row>
    <row r="347" spans="18:18" x14ac:dyDescent="0.2">
      <c r="R347" s="61"/>
    </row>
    <row r="348" spans="18:18" x14ac:dyDescent="0.2">
      <c r="R348" s="61"/>
    </row>
    <row r="349" spans="18:18" x14ac:dyDescent="0.2">
      <c r="R349" s="61"/>
    </row>
    <row r="350" spans="18:18" x14ac:dyDescent="0.2">
      <c r="R350" s="61"/>
    </row>
    <row r="351" spans="18:18" x14ac:dyDescent="0.2">
      <c r="R351" s="61"/>
    </row>
    <row r="352" spans="18:18" x14ac:dyDescent="0.2">
      <c r="R352" s="61"/>
    </row>
    <row r="353" spans="18:18" x14ac:dyDescent="0.2">
      <c r="R353" s="61"/>
    </row>
    <row r="354" spans="18:18" x14ac:dyDescent="0.2">
      <c r="R354" s="61"/>
    </row>
    <row r="355" spans="18:18" x14ac:dyDescent="0.2">
      <c r="R355" s="61"/>
    </row>
    <row r="356" spans="18:18" x14ac:dyDescent="0.2">
      <c r="R356" s="61"/>
    </row>
    <row r="357" spans="18:18" x14ac:dyDescent="0.2">
      <c r="R357" s="61"/>
    </row>
    <row r="358" spans="18:18" x14ac:dyDescent="0.2">
      <c r="R358" s="61"/>
    </row>
    <row r="359" spans="18:18" x14ac:dyDescent="0.2">
      <c r="R359" s="61"/>
    </row>
    <row r="360" spans="18:18" x14ac:dyDescent="0.2">
      <c r="R360" s="61"/>
    </row>
    <row r="361" spans="18:18" x14ac:dyDescent="0.2">
      <c r="R361" s="61"/>
    </row>
    <row r="362" spans="18:18" x14ac:dyDescent="0.2">
      <c r="R362" s="61"/>
    </row>
    <row r="363" spans="18:18" x14ac:dyDescent="0.2">
      <c r="R363" s="61"/>
    </row>
    <row r="364" spans="18:18" x14ac:dyDescent="0.2">
      <c r="R364" s="61"/>
    </row>
    <row r="365" spans="18:18" x14ac:dyDescent="0.2">
      <c r="R365" s="61"/>
    </row>
    <row r="366" spans="18:18" x14ac:dyDescent="0.2">
      <c r="R366" s="61"/>
    </row>
    <row r="367" spans="18:18" x14ac:dyDescent="0.2">
      <c r="R367" s="61"/>
    </row>
    <row r="368" spans="18:18" x14ac:dyDescent="0.2">
      <c r="R368" s="61"/>
    </row>
    <row r="369" spans="18:18" x14ac:dyDescent="0.2">
      <c r="R369" s="61"/>
    </row>
    <row r="370" spans="18:18" x14ac:dyDescent="0.2">
      <c r="R370" s="61"/>
    </row>
    <row r="371" spans="18:18" x14ac:dyDescent="0.2">
      <c r="R371" s="61"/>
    </row>
    <row r="372" spans="18:18" x14ac:dyDescent="0.2">
      <c r="R372" s="61"/>
    </row>
    <row r="373" spans="18:18" x14ac:dyDescent="0.2">
      <c r="R373" s="61"/>
    </row>
    <row r="374" spans="18:18" x14ac:dyDescent="0.2">
      <c r="R374" s="61"/>
    </row>
    <row r="375" spans="18:18" x14ac:dyDescent="0.2">
      <c r="R375" s="61"/>
    </row>
    <row r="376" spans="18:18" x14ac:dyDescent="0.2">
      <c r="R376" s="61"/>
    </row>
    <row r="377" spans="18:18" x14ac:dyDescent="0.2">
      <c r="R377" s="61"/>
    </row>
    <row r="378" spans="18:18" x14ac:dyDescent="0.2">
      <c r="R378" s="61"/>
    </row>
    <row r="379" spans="18:18" x14ac:dyDescent="0.2">
      <c r="R379" s="61"/>
    </row>
    <row r="380" spans="18:18" x14ac:dyDescent="0.2">
      <c r="R380" s="61"/>
    </row>
    <row r="381" spans="18:18" x14ac:dyDescent="0.2">
      <c r="R381" s="61"/>
    </row>
    <row r="382" spans="18:18" x14ac:dyDescent="0.2">
      <c r="R382" s="61"/>
    </row>
    <row r="383" spans="18:18" x14ac:dyDescent="0.2">
      <c r="R383" s="61"/>
    </row>
    <row r="384" spans="18:18" x14ac:dyDescent="0.2">
      <c r="R384" s="6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154"/>
  <sheetViews>
    <sheetView topLeftCell="A37" workbookViewId="0">
      <selection activeCell="D24" sqref="D24"/>
    </sheetView>
  </sheetViews>
  <sheetFormatPr defaultColWidth="9.5" defaultRowHeight="11.25" outlineLevelCol="1" x14ac:dyDescent="0.2"/>
  <cols>
    <col min="1" max="2" width="3.5" style="19" customWidth="1"/>
    <col min="3" max="3" width="19.5" style="19" customWidth="1"/>
    <col min="4" max="4" width="17.83203125" style="19" bestFit="1" customWidth="1"/>
    <col min="5" max="5" width="12.83203125" style="19" bestFit="1" customWidth="1"/>
    <col min="6" max="6" width="16.83203125" style="19" customWidth="1"/>
    <col min="7" max="8" width="14.83203125" style="19" customWidth="1"/>
    <col min="9" max="18" width="14.83203125" style="19" hidden="1" customWidth="1" outlineLevel="1"/>
    <col min="19" max="19" width="14.83203125" style="19" customWidth="1" collapsed="1"/>
    <col min="20" max="30" width="14.83203125" style="19" customWidth="1"/>
    <col min="31" max="33" width="5.83203125" style="19" bestFit="1" customWidth="1"/>
    <col min="34" max="34" width="2.33203125" style="19" bestFit="1" customWidth="1"/>
    <col min="35" max="35" width="10.5" style="19" bestFit="1" customWidth="1"/>
    <col min="36" max="36" width="2.33203125" style="19" bestFit="1" customWidth="1" collapsed="1"/>
    <col min="37" max="37" width="9.33203125" style="19" bestFit="1" customWidth="1"/>
    <col min="38" max="38" width="8.1640625" style="19" hidden="1" customWidth="1" outlineLevel="1"/>
    <col min="39" max="39" width="9.33203125" style="19" hidden="1" customWidth="1" outlineLevel="1"/>
    <col min="40" max="40" width="8.1640625" style="19" hidden="1" customWidth="1" outlineLevel="1"/>
    <col min="41" max="41" width="2.83203125" style="19" customWidth="1" collapsed="1"/>
    <col min="42" max="42" width="2.83203125" style="19" customWidth="1"/>
    <col min="43" max="45" width="5.83203125" style="19" bestFit="1" customWidth="1"/>
    <col min="46" max="46" width="2.33203125" style="19" bestFit="1" customWidth="1"/>
    <col min="47" max="47" width="10.5" style="19" bestFit="1" customWidth="1"/>
    <col min="48" max="48" width="2.33203125" style="19" bestFit="1" customWidth="1"/>
    <col min="49" max="49" width="9.33203125" style="19" bestFit="1" customWidth="1"/>
    <col min="50" max="52" width="9.33203125" style="19" hidden="1" customWidth="1" outlineLevel="1"/>
    <col min="53" max="53" width="2.83203125" style="19" customWidth="1" collapsed="1"/>
    <col min="54" max="54" width="2.83203125" style="19" customWidth="1"/>
    <col min="55" max="55" width="12.83203125" style="19" bestFit="1" customWidth="1"/>
    <col min="56" max="56" width="8.1640625" style="19" bestFit="1" customWidth="1"/>
    <col min="57" max="69" width="14.83203125" style="19" customWidth="1"/>
    <col min="70" max="16384" width="9.5" style="19"/>
  </cols>
  <sheetData>
    <row r="1" spans="1:69" x14ac:dyDescent="0.2">
      <c r="C1" s="116" t="s">
        <v>66</v>
      </c>
      <c r="D1" s="117"/>
      <c r="E1" s="117"/>
      <c r="F1" s="117"/>
      <c r="G1" s="117"/>
      <c r="H1" s="117"/>
      <c r="I1" s="117"/>
      <c r="J1" s="117"/>
      <c r="K1" s="117"/>
      <c r="L1" s="117"/>
      <c r="M1" s="223"/>
      <c r="N1" s="223"/>
      <c r="O1" s="223"/>
      <c r="P1" s="223"/>
      <c r="Q1" s="223"/>
      <c r="R1" s="223"/>
      <c r="S1" s="116" t="str">
        <f>"with 0X"&amp;SUBSTITUTE($D$24,"M","")</f>
        <v>with 0X3</v>
      </c>
      <c r="T1" s="118"/>
      <c r="U1" s="117" t="str">
        <f>"without 0X"&amp;SUBSTITUTE($D$24,"M","")</f>
        <v>without 0X3</v>
      </c>
      <c r="V1" s="118"/>
      <c r="AG1" s="224"/>
      <c r="AH1" s="224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E1" s="19" t="str">
        <f>_xll.qlPolynomialFunction(,_xll.qlTenorInstCoefficients(G$27),,_xll.ohTrigger(Trigger,G$28:G$31))</f>
        <v>obj_008f0#0017</v>
      </c>
      <c r="BF1" s="19" t="str">
        <f>_xll.qlPolynomialFunction(,_xll.qlTenorInstCoefficients(H$27),,_xll.ohTrigger(Trigger,H$28:H$31))</f>
        <v>obj_008f7#0013</v>
      </c>
      <c r="BG1" s="19" t="str">
        <f>_xll.qlPolynomialFunction(,_xll.qlTenorInstCoefficients(S$27),,_xll.ohTrigger(Trigger,S$28:S$31))</f>
        <v>obj_008f8#0013</v>
      </c>
      <c r="BH1" s="19" t="str">
        <f>_xll.qlPolynomialFunction(,_xll.qlTenorInstCoefficients(T$27),,_xll.ohTrigger(Trigger,T$28:T$31))</f>
        <v>obj_008fe#0010</v>
      </c>
      <c r="BI1" s="19" t="str">
        <f>_xll.qlPolynomialFunction(,U$28:U$31,,_xll.ohTrigger(Trigger,G$28:G$31))</f>
        <v>obj_008f2#0015</v>
      </c>
      <c r="BJ1" s="19" t="str">
        <f>_xll.qlPolynomialFunction(,V$28:V$31,,_xll.ohTrigger(Trigger,H$28:H$31))</f>
        <v>obj_008f3#0014</v>
      </c>
      <c r="BK1" s="19" t="str">
        <f>_xll.qlPolynomialFunction(,W$28:W$31,,_xll.ohTrigger(Trigger,S$28:S$31))</f>
        <v>obj_008f9#0012</v>
      </c>
      <c r="BL1" s="19" t="str">
        <f>_xll.qlPolynomialFunction(,X$28:X$31,,_xll.ohTrigger(Trigger,T$28:T$31))</f>
        <v>obj_008fb#0010</v>
      </c>
      <c r="BM1" s="19" t="str">
        <f>_xll.qlPolynomialFunction(,_xll.qlTenorInstCoefficients(Y$27),,_xll.ohTrigger(Trigger,G$28:G$31))</f>
        <v>obj_0090a#0012</v>
      </c>
      <c r="BN1" s="19" t="str">
        <f>_xll.qlPolynomialFunction(,_xll.qlTenorInstCoefficients(Z$27),,_xll.ohTrigger(Trigger,H$28:H$31))</f>
        <v>obj_00901#0012</v>
      </c>
      <c r="BO1" s="19" t="str">
        <f>_xll.qlPolynomialFunction(,_xll.qlTenorInstCoefficients(AA$27),,_xll.ohTrigger(Trigger,S$28:S$31))</f>
        <v>obj_00907#0012</v>
      </c>
      <c r="BP1" s="19" t="str">
        <f>_xll.qlPolynomialFunction(,_xll.qlTenorInstCoefficients(AB$27),,_xll.ohTrigger(Trigger,T$28:T$31))</f>
        <v>obj_00908#0012</v>
      </c>
    </row>
    <row r="2" spans="1:69" ht="21.75" customHeight="1" x14ac:dyDescent="0.2">
      <c r="C2" s="36" t="s">
        <v>43</v>
      </c>
      <c r="D2" s="36" t="s">
        <v>101</v>
      </c>
      <c r="E2" s="36" t="s">
        <v>102</v>
      </c>
      <c r="F2" s="36" t="s">
        <v>56</v>
      </c>
      <c r="G2" s="36" t="str">
        <f>"F "&amp;$D$24</f>
        <v>F 3M</v>
      </c>
      <c r="H2" s="36" t="str">
        <f>"B "&amp;$D$24</f>
        <v>B 3M</v>
      </c>
      <c r="I2" s="36" t="s">
        <v>89</v>
      </c>
      <c r="J2" s="36" t="s">
        <v>46</v>
      </c>
      <c r="K2" s="37" t="s">
        <v>47</v>
      </c>
      <c r="L2" s="36" t="s">
        <v>48</v>
      </c>
      <c r="M2" s="36" t="s">
        <v>57</v>
      </c>
      <c r="N2" s="36" t="s">
        <v>59</v>
      </c>
      <c r="O2" s="36" t="s">
        <v>60</v>
      </c>
      <c r="P2" s="36" t="s">
        <v>46</v>
      </c>
      <c r="Q2" s="37" t="s">
        <v>47</v>
      </c>
      <c r="R2" s="36" t="s">
        <v>48</v>
      </c>
      <c r="S2" s="36" t="s">
        <v>41</v>
      </c>
      <c r="T2" s="36" t="s">
        <v>42</v>
      </c>
      <c r="U2" s="36" t="s">
        <v>41</v>
      </c>
      <c r="V2" s="36" t="s">
        <v>42</v>
      </c>
      <c r="AD2" s="19" t="s">
        <v>103</v>
      </c>
      <c r="AP2" s="19" t="s">
        <v>100</v>
      </c>
      <c r="BE2" s="125" t="s">
        <v>66</v>
      </c>
      <c r="BF2" s="121"/>
      <c r="BG2" s="121"/>
      <c r="BH2" s="120"/>
      <c r="BI2" s="121"/>
      <c r="BJ2" s="121"/>
      <c r="BK2" s="121"/>
      <c r="BL2" s="121"/>
      <c r="BM2" s="125" t="s">
        <v>67</v>
      </c>
      <c r="BN2" s="121"/>
      <c r="BO2" s="121"/>
      <c r="BP2" s="120"/>
    </row>
    <row r="3" spans="1:69" ht="12" customHeight="1" x14ac:dyDescent="0.2">
      <c r="A3" s="21">
        <f>'6MSynthDepo_used'!A3</f>
        <v>0</v>
      </c>
      <c r="B3" s="55">
        <f>A3+SUBSTITUTE($D$24,"M","")</f>
        <v>3</v>
      </c>
      <c r="C3" s="171" t="str">
        <f>"B"&amp;$D$24&amp;"_"&amp;A3&amp;"X"&amp;B3&amp;$D$27</f>
        <v>B3M_0X3ESTIMATED</v>
      </c>
      <c r="D3" s="186">
        <f>SettlementDate</f>
        <v>42138</v>
      </c>
      <c r="E3" s="186">
        <f>_xll.qlInterestRateIndexMaturity($D$25,D3)</f>
        <v>42230</v>
      </c>
      <c r="F3" s="172">
        <f>_xll.qlIndexFixing(ON_3M_index,_xll.qlInterestRateIndexFixingDate(ON_3M_index,D3,Trigger),,AllTriggers)</f>
        <v>-1.1144993869582898E-3</v>
      </c>
      <c r="G3" s="172">
        <f>H3+F3</f>
        <v>-6.4852778595880052E-5</v>
      </c>
      <c r="H3" s="226">
        <f>_xll.qlQuoteValue(C3,_xll.ohTrigger(InterestRatesTrigger,'3MSynthDepo_used'!E3))</f>
        <v>1.0496466083624097E-3</v>
      </c>
      <c r="I3" s="173">
        <f>_xll.qlDayCounterYearFraction(DayCounter,SettlementDate,D3,,,Trigger)</f>
        <v>0</v>
      </c>
      <c r="J3" s="173">
        <f>1</f>
        <v>1</v>
      </c>
      <c r="K3" s="173">
        <f t="shared" ref="K3:K9" si="0">I3</f>
        <v>0</v>
      </c>
      <c r="L3" s="173">
        <f t="shared" ref="L3:L9" si="1">I3^2</f>
        <v>0</v>
      </c>
      <c r="M3" s="217">
        <f>LN((1+G3*_xll.qlDayCounterYearFraction(DayCounter,D3,E3,,,Trigger))/(1+F3*_xll.qlDayCounterYearFraction(DayCounter,D3,E3,,,Trigger)))</f>
        <v>2.6828345272051816E-4</v>
      </c>
      <c r="N3" s="173">
        <f>_xll.qlDayCounterYearFraction(DayCounter,SettlementDate,D3,,,Trigger)</f>
        <v>0</v>
      </c>
      <c r="O3" s="173">
        <f>_xll.qlDayCounterYearFraction(DayCounter,SettlementDate,E3,,,Trigger)</f>
        <v>0.25555555555555554</v>
      </c>
      <c r="P3" s="173">
        <f>O3-N3</f>
        <v>0.25555555555555554</v>
      </c>
      <c r="Q3" s="173">
        <f>(O3^2-N3^2)/2</f>
        <v>3.2654320987654313E-2</v>
      </c>
      <c r="R3" s="173">
        <f>(O3^3-N3^3)/3</f>
        <v>5.5633287608596238E-3</v>
      </c>
      <c r="S3" s="174" t="b">
        <v>1</v>
      </c>
      <c r="T3" s="174" t="b">
        <v>1</v>
      </c>
      <c r="U3" s="174" t="b">
        <v>0</v>
      </c>
      <c r="V3" s="174" t="b">
        <v>0</v>
      </c>
      <c r="AD3" s="219" t="s">
        <v>41</v>
      </c>
      <c r="AE3" s="220"/>
      <c r="AF3" s="220"/>
      <c r="AG3" s="220"/>
      <c r="AH3" s="220"/>
      <c r="AI3" s="220"/>
      <c r="AJ3" s="220"/>
      <c r="AK3" s="220"/>
      <c r="AL3" s="220"/>
      <c r="AM3" s="221"/>
      <c r="AN3" s="221"/>
      <c r="AO3" s="222"/>
      <c r="AP3" s="219"/>
      <c r="AQ3" s="220"/>
      <c r="AR3" s="220"/>
      <c r="AS3" s="220"/>
      <c r="AT3" s="220"/>
      <c r="AU3" s="220"/>
      <c r="AV3" s="220"/>
      <c r="AW3" s="220"/>
      <c r="AX3" s="220"/>
      <c r="AY3" s="221"/>
      <c r="AZ3" s="221"/>
      <c r="BA3" s="222"/>
      <c r="BE3" s="125" t="s">
        <v>109</v>
      </c>
      <c r="BF3" s="121"/>
      <c r="BG3" s="121"/>
      <c r="BH3" s="120"/>
      <c r="BI3" s="125" t="s">
        <v>108</v>
      </c>
      <c r="BJ3" s="121"/>
      <c r="BK3" s="121"/>
      <c r="BL3" s="120"/>
      <c r="BM3" s="125" t="s">
        <v>109</v>
      </c>
      <c r="BN3" s="121"/>
      <c r="BO3" s="121"/>
      <c r="BP3" s="120"/>
    </row>
    <row r="4" spans="1:69" ht="12" customHeight="1" x14ac:dyDescent="0.2">
      <c r="A4" s="21">
        <f>'6MSynthDepo_used'!A5</f>
        <v>1</v>
      </c>
      <c r="B4" s="55">
        <f>A4+SUBSTITUTE($D$24,"M","")</f>
        <v>4</v>
      </c>
      <c r="C4" s="167" t="str">
        <f>"B"&amp;$D$24&amp;"_"&amp;A4&amp;"X"&amp;B4</f>
        <v>B3M_1X4</v>
      </c>
      <c r="D4" s="179">
        <f>_xll.qlCalendarAdvance(Calendar,SettlementDate,A4&amp;"M","mf")</f>
        <v>42170</v>
      </c>
      <c r="E4" s="179">
        <f>_xll.qlInterestRateIndexMaturity($D$25,D4)</f>
        <v>42262</v>
      </c>
      <c r="F4" s="168">
        <f>_xll.qlIndexFixing(ON_3M_index,_xll.qlInterestRateIndexFixingDate(ON_3M_index,D4,Trigger),,AllTriggers)</f>
        <v>-1.20622989614031E-3</v>
      </c>
      <c r="G4" s="168">
        <f t="shared" ref="G4:G9" si="2">H4+F4</f>
        <v>-4.9999999999999914E-5</v>
      </c>
      <c r="H4" s="267">
        <f>_xll.qlQuoteValue(C4,_xll.ohTrigger(InterestRatesTrigger,'3MSynthDepo_used'!E4))</f>
        <v>1.1562298961403101E-3</v>
      </c>
      <c r="I4" s="130">
        <f>_xll.qlDayCounterYearFraction(DayCounter,SettlementDate,D4,,,Trigger)</f>
        <v>8.8888888888888892E-2</v>
      </c>
      <c r="J4" s="130">
        <f>1</f>
        <v>1</v>
      </c>
      <c r="K4" s="130">
        <f t="shared" si="0"/>
        <v>8.8888888888888892E-2</v>
      </c>
      <c r="L4" s="130">
        <f t="shared" si="1"/>
        <v>7.9012345679012348E-3</v>
      </c>
      <c r="M4" s="169">
        <f>LN((1+G4*_xll.qlDayCounterYearFraction(DayCounter,D4,E4,,,Trigger))/(1+F4*_xll.qlDayCounterYearFraction(DayCounter,D4,E4,,,Trigger)))</f>
        <v>2.9552841331655278E-4</v>
      </c>
      <c r="N4" s="130">
        <f>_xll.qlDayCounterYearFraction(DayCounter,SettlementDate,D4,,,Trigger)</f>
        <v>8.8888888888888892E-2</v>
      </c>
      <c r="O4" s="130">
        <f>_xll.qlDayCounterYearFraction(DayCounter,SettlementDate,E4,,,Trigger)</f>
        <v>0.34444444444444444</v>
      </c>
      <c r="P4" s="130">
        <f t="shared" ref="P4:P9" si="3">O4-N4</f>
        <v>0.25555555555555554</v>
      </c>
      <c r="Q4" s="130">
        <f t="shared" ref="Q4:Q9" si="4">(O4^2-N4^2)/2</f>
        <v>5.5370370370370368E-2</v>
      </c>
      <c r="R4" s="130">
        <f t="shared" ref="R4:R9" si="5">(O4^3-N4^3)/3</f>
        <v>1.3387745770461819E-2</v>
      </c>
      <c r="S4" s="170" t="b">
        <v>0</v>
      </c>
      <c r="T4" s="170" t="b">
        <v>0</v>
      </c>
      <c r="U4" s="170" t="b">
        <v>0</v>
      </c>
      <c r="V4" s="170" t="b">
        <v>0</v>
      </c>
      <c r="AD4" s="94" t="s">
        <v>64</v>
      </c>
      <c r="AE4" s="21"/>
      <c r="AF4" s="21"/>
      <c r="AG4" s="21"/>
      <c r="AH4" s="21"/>
      <c r="AI4" s="112" t="s">
        <v>45</v>
      </c>
      <c r="AJ4" s="33"/>
      <c r="AK4" s="22"/>
      <c r="AL4" s="21"/>
      <c r="AM4" s="21"/>
      <c r="AN4" s="21"/>
      <c r="AO4" s="101"/>
      <c r="AP4" s="94"/>
      <c r="AQ4" s="21"/>
      <c r="AR4" s="21"/>
      <c r="AS4" s="21"/>
      <c r="AT4" s="21"/>
      <c r="AU4" s="112" t="s">
        <v>45</v>
      </c>
      <c r="AV4" s="33"/>
      <c r="AW4" s="22"/>
      <c r="AX4" s="21"/>
      <c r="AY4" s="21"/>
      <c r="AZ4" s="21"/>
      <c r="BA4" s="101"/>
      <c r="BE4" s="116" t="str">
        <f>G34</f>
        <v>with 0X3</v>
      </c>
      <c r="BF4" s="118"/>
      <c r="BG4" s="117" t="str">
        <f>S34</f>
        <v>without 0X3</v>
      </c>
      <c r="BH4" s="118"/>
      <c r="BI4" s="116" t="str">
        <f>U34</f>
        <v>with 0X3</v>
      </c>
      <c r="BJ4" s="118"/>
      <c r="BK4" s="117" t="str">
        <f>W34</f>
        <v>without 0X3</v>
      </c>
      <c r="BL4" s="118"/>
      <c r="BM4" s="116" t="str">
        <f>Y34</f>
        <v>with 0X3</v>
      </c>
      <c r="BN4" s="118"/>
      <c r="BO4" s="117" t="str">
        <f>AA34</f>
        <v>without 0X3</v>
      </c>
      <c r="BP4" s="118"/>
    </row>
    <row r="5" spans="1:69" ht="12" customHeight="1" x14ac:dyDescent="0.2">
      <c r="A5" s="21">
        <f>'6MSynthDepo_used'!A6</f>
        <v>2</v>
      </c>
      <c r="B5" s="55">
        <f>A5+SUBSTITUTE($D$24,"M","")</f>
        <v>5</v>
      </c>
      <c r="C5" s="39" t="str">
        <f>"B"&amp;$D$24&amp;"_"&amp;A5&amp;"X"&amp;B5</f>
        <v>B3M_2X5</v>
      </c>
      <c r="D5" s="177">
        <f>_xll.qlCalendarAdvance(Calendar,SettlementDate,A5&amp;"M","mf")</f>
        <v>42199</v>
      </c>
      <c r="E5" s="177">
        <f>_xll.qlInterestRateIndexMaturity($D$25,D5)</f>
        <v>42291</v>
      </c>
      <c r="F5" s="53">
        <f>_xll.qlIndexFixing(ON_3M_index,_xll.qlInterestRateIndexFixingDate(ON_3M_index,D5,Trigger),,AllTriggers)</f>
        <v>-1.1932794819214799E-3</v>
      </c>
      <c r="G5" s="53">
        <f t="shared" si="2"/>
        <v>-4.9999999999999914E-5</v>
      </c>
      <c r="H5" s="202">
        <f>_xll.qlQuoteValue(C5,_xll.ohTrigger(InterestRatesTrigger,'3MSynthDepo_used'!E5))</f>
        <v>1.14327948192148E-3</v>
      </c>
      <c r="I5" s="41">
        <f>_xll.qlDayCounterYearFraction(DayCounter,SettlementDate,D5,,,Trigger)</f>
        <v>0.16944444444444445</v>
      </c>
      <c r="J5" s="41">
        <f>1</f>
        <v>1</v>
      </c>
      <c r="K5" s="41">
        <f t="shared" si="0"/>
        <v>0.16944444444444445</v>
      </c>
      <c r="L5" s="41">
        <f t="shared" si="1"/>
        <v>2.8711419753086422E-2</v>
      </c>
      <c r="M5" s="40">
        <f>LN((1+G5*_xll.qlDayCounterYearFraction(DayCounter,D5,E5,,,Trigger))/(1+F5*_xll.qlDayCounterYearFraction(DayCounter,D5,E5,,,Trigger)))</f>
        <v>2.9221784798374745E-4</v>
      </c>
      <c r="N5" s="41">
        <f>_xll.qlDayCounterYearFraction(DayCounter,SettlementDate,D5,,,Trigger)</f>
        <v>0.16944444444444445</v>
      </c>
      <c r="O5" s="41">
        <f>_xll.qlDayCounterYearFraction(DayCounter,SettlementDate,E5,,,Trigger)</f>
        <v>0.42499999999999999</v>
      </c>
      <c r="P5" s="41">
        <f t="shared" si="3"/>
        <v>0.25555555555555554</v>
      </c>
      <c r="Q5" s="41">
        <f t="shared" si="4"/>
        <v>7.5956790123456783E-2</v>
      </c>
      <c r="R5" s="41">
        <f t="shared" si="5"/>
        <v>2.3966878143575673E-2</v>
      </c>
      <c r="S5" s="114" t="b">
        <v>0</v>
      </c>
      <c r="T5" s="114" t="b">
        <v>0</v>
      </c>
      <c r="U5" s="114" t="b">
        <v>0</v>
      </c>
      <c r="V5" s="114" t="b">
        <v>0</v>
      </c>
      <c r="AD5" s="94"/>
      <c r="AE5" s="124"/>
      <c r="AF5" s="27">
        <f t="array" ref="AF5:AF6">_xll.ohFilter(K3:K9,S3:S9)</f>
        <v>0</v>
      </c>
      <c r="AG5" s="28">
        <f t="array" ref="AG5:AG6">_xll.ohFilter(J3:J9,S3:S9)</f>
        <v>1</v>
      </c>
      <c r="AH5" s="280" t="s">
        <v>20</v>
      </c>
      <c r="AI5" s="29">
        <f t="array" ref="AI5:AI6">MMULT(AL5:AM6,AK5:AK6)</f>
        <v>-2.3620816076841966E-3</v>
      </c>
      <c r="AJ5" s="280" t="s">
        <v>21</v>
      </c>
      <c r="AK5" s="30">
        <f t="array" ref="AK5:AK6">_xll.ohFilter(H3:H9,S3:S9)</f>
        <v>1.0496466083624097E-3</v>
      </c>
      <c r="AL5" s="27">
        <f t="array" ref="AL5:AM6">MINVERSE(AF5:AG6)</f>
        <v>-60</v>
      </c>
      <c r="AM5" s="28">
        <v>60</v>
      </c>
      <c r="AN5" s="21"/>
      <c r="AO5" s="101"/>
      <c r="AP5" s="94"/>
      <c r="AQ5" s="124"/>
      <c r="AR5" s="27">
        <f t="array" ref="AR5:AR6">_xll.ohFilter(Q3:Q9,S3:S9)</f>
        <v>3.2654320987654313E-2</v>
      </c>
      <c r="AS5" s="28">
        <f t="array" ref="AS5:AS6">_xll.ohFilter(P3:P9,S3:S9)</f>
        <v>0.25555555555555554</v>
      </c>
      <c r="AT5" s="280" t="s">
        <v>20</v>
      </c>
      <c r="AU5" s="29">
        <f t="array" ref="AU5:AU6">MMULT(AX5:AY6,AW5:AW6)</f>
        <v>-2.3618106476227599E-3</v>
      </c>
      <c r="AV5" s="280" t="s">
        <v>21</v>
      </c>
      <c r="AW5" s="56">
        <f t="array" ref="AW5:AW6">_xll.ohFilter(M3:M9,S3:S9)</f>
        <v>2.6828345272051816E-4</v>
      </c>
      <c r="AX5" s="27">
        <f t="array" ref="AX5:AY6">MINVERSE(AR5:AS6)</f>
        <v>-234.78260869565216</v>
      </c>
      <c r="AY5" s="28">
        <v>234.78260869565216</v>
      </c>
      <c r="AZ5" s="21"/>
      <c r="BA5" s="101"/>
      <c r="BC5" s="36" t="s">
        <v>38</v>
      </c>
      <c r="BD5" s="36" t="s">
        <v>55</v>
      </c>
      <c r="BE5" s="36" t="str">
        <f>G35</f>
        <v>Linear</v>
      </c>
      <c r="BF5" s="36" t="str">
        <f>H35</f>
        <v>Quadratic</v>
      </c>
      <c r="BG5" s="36" t="str">
        <f>S35</f>
        <v>Linear</v>
      </c>
      <c r="BH5" s="36" t="str">
        <f>T35</f>
        <v>Quadratic</v>
      </c>
      <c r="BI5" s="36" t="str">
        <f>U35</f>
        <v>Linear</v>
      </c>
      <c r="BJ5" s="36" t="str">
        <f>V35</f>
        <v>Quadratic</v>
      </c>
      <c r="BK5" s="36" t="str">
        <f>W35</f>
        <v>Linear</v>
      </c>
      <c r="BL5" s="36" t="str">
        <f>X35</f>
        <v>Quadratic</v>
      </c>
      <c r="BM5" s="36" t="str">
        <f>Y35</f>
        <v>Linear</v>
      </c>
      <c r="BN5" s="36" t="str">
        <f>Z35</f>
        <v>Quadratic</v>
      </c>
      <c r="BO5" s="36" t="str">
        <f>AA35</f>
        <v>Linear</v>
      </c>
      <c r="BP5" s="36" t="str">
        <f>AB35</f>
        <v>Quadratic</v>
      </c>
      <c r="BQ5" s="36" t="s">
        <v>105</v>
      </c>
    </row>
    <row r="6" spans="1:69" ht="12" customHeight="1" x14ac:dyDescent="0.2">
      <c r="A6" s="21">
        <f>'6MSynthDepo_used'!A7</f>
        <v>3</v>
      </c>
      <c r="B6" s="55">
        <f>A6+SUBSTITUTE($D$24,"M","")</f>
        <v>6</v>
      </c>
      <c r="C6" s="166" t="str">
        <f>"B"&amp;$D$24&amp;"_"&amp;A6&amp;"X"&amp;B6</f>
        <v>B3M_3X6</v>
      </c>
      <c r="D6" s="263">
        <f>_xll.qlCalendarAdvance(Calendar,SettlementDate,A6&amp;"M","mf")</f>
        <v>42230</v>
      </c>
      <c r="E6" s="263">
        <f>_xll.qlInterestRateIndexMaturity($D$25,D6)</f>
        <v>42324</v>
      </c>
      <c r="F6" s="264">
        <f>_xll.qlIndexFixing(ON_3M_index,_xll.qlInterestRateIndexFixingDate(ON_3M_index,D6,Trigger),,AllTriggers)</f>
        <v>-1.211293220732817E-3</v>
      </c>
      <c r="G6" s="264">
        <f t="shared" si="2"/>
        <v>-5.9999999999999941E-5</v>
      </c>
      <c r="H6" s="268">
        <f>_xll.qlQuoteValue(C6,_xll.ohTrigger(InterestRatesTrigger,'3MSynthDepo_used'!E6))</f>
        <v>1.1512932207328171E-3</v>
      </c>
      <c r="I6" s="164">
        <f>_xll.qlDayCounterYearFraction(DayCounter,SettlementDate,D6,,,Trigger)</f>
        <v>0.25555555555555554</v>
      </c>
      <c r="J6" s="164">
        <f>1</f>
        <v>1</v>
      </c>
      <c r="K6" s="164">
        <f t="shared" si="0"/>
        <v>0.25555555555555554</v>
      </c>
      <c r="L6" s="164">
        <f t="shared" si="1"/>
        <v>6.5308641975308626E-2</v>
      </c>
      <c r="M6" s="265">
        <f>LN((1+G6*_xll.qlDayCounterYearFraction(DayCounter,D6,E6,,,Trigger))/(1+F6*_xll.qlDayCounterYearFraction(DayCounter,D6,E6,,,Trigger)))</f>
        <v>3.0066535709503863E-4</v>
      </c>
      <c r="N6" s="164">
        <f>_xll.qlDayCounterYearFraction(DayCounter,SettlementDate,D6,,,Trigger)</f>
        <v>0.25555555555555554</v>
      </c>
      <c r="O6" s="164">
        <f>_xll.qlDayCounterYearFraction(DayCounter,SettlementDate,E6,,,Trigger)</f>
        <v>0.51666666666666672</v>
      </c>
      <c r="P6" s="164">
        <f t="shared" si="3"/>
        <v>0.26111111111111118</v>
      </c>
      <c r="Q6" s="164">
        <f t="shared" si="4"/>
        <v>0.10081790123456794</v>
      </c>
      <c r="R6" s="164">
        <f t="shared" si="5"/>
        <v>4.0410436671239149E-2</v>
      </c>
      <c r="S6" s="266" t="b">
        <v>0</v>
      </c>
      <c r="T6" s="266" t="b">
        <v>0</v>
      </c>
      <c r="U6" s="266" t="b">
        <v>0</v>
      </c>
      <c r="V6" s="266" t="b">
        <v>0</v>
      </c>
      <c r="AD6" s="94"/>
      <c r="AE6" s="21"/>
      <c r="AF6" s="27">
        <v>1.6666666666666666E-2</v>
      </c>
      <c r="AG6" s="28">
        <v>1</v>
      </c>
      <c r="AH6" s="280"/>
      <c r="AI6" s="29">
        <v>1.0496466083624097E-3</v>
      </c>
      <c r="AJ6" s="280"/>
      <c r="AK6" s="30">
        <v>1.010278581567673E-3</v>
      </c>
      <c r="AL6" s="27">
        <v>1</v>
      </c>
      <c r="AM6" s="28">
        <v>0</v>
      </c>
      <c r="AN6" s="21"/>
      <c r="AO6" s="101"/>
      <c r="AP6" s="94"/>
      <c r="AQ6" s="21"/>
      <c r="AR6" s="27">
        <v>3.6913580246913574E-2</v>
      </c>
      <c r="AS6" s="28">
        <v>0.25555555555555554</v>
      </c>
      <c r="AT6" s="280"/>
      <c r="AU6" s="29">
        <v>1.3515917310784609E-3</v>
      </c>
      <c r="AV6" s="280"/>
      <c r="AW6" s="56">
        <v>2.5822388885101381E-4</v>
      </c>
      <c r="AX6" s="27">
        <v>33.91304347826086</v>
      </c>
      <c r="AY6" s="28">
        <v>-29.999999999999993</v>
      </c>
      <c r="AZ6" s="21"/>
      <c r="BA6" s="101"/>
      <c r="BC6" s="176">
        <f>SettlementDate</f>
        <v>42138</v>
      </c>
      <c r="BD6" s="41">
        <f>_xll.qlDayCounterYearFraction(DayCounter,SettlementDate,BC6,,,Trigger)</f>
        <v>0</v>
      </c>
      <c r="BE6" s="47">
        <f>_xll.qlPolynomialFunctionValue(BE$1,$BD6,AllTriggers)</f>
        <v>1.3514681471220571E-3</v>
      </c>
      <c r="BF6" s="52">
        <f>_xll.qlPolynomialFunctionValue(BF$1,$BD6,AllTriggers)</f>
        <v>1.9934553548412175E-3</v>
      </c>
      <c r="BG6" s="47">
        <f>_xll.qlPolynomialFunctionValue(BG$1,$BD6,AllTriggers)</f>
        <v>6.7852345349707268E-4</v>
      </c>
      <c r="BH6" s="52">
        <f>_xll.qlPolynomialFunctionValue(BH$1,$BD6,AllTriggers)</f>
        <v>4.9016714939429057E-4</v>
      </c>
      <c r="BI6" s="52">
        <f>_xll.qlPolynomialFunctionValue(BI$1,$BD6,AllTriggers)</f>
        <v>1.3515917310784609E-3</v>
      </c>
      <c r="BJ6" s="52">
        <f>_xll.qlPolynomialFunctionValue(BJ$1,$BD6,AllTriggers)</f>
        <v>1.9935868301500076E-3</v>
      </c>
      <c r="BK6" s="52">
        <f>_xll.qlPolynomialFunctionValue(BK$1,$BD6,AllTriggers)</f>
        <v>6.786387655694729E-4</v>
      </c>
      <c r="BL6" s="52">
        <f>_xll.qlPolynomialFunctionValue(BL$1,$BD6,AllTriggers)</f>
        <v>4.8917745072110251E-4</v>
      </c>
      <c r="BM6" s="52">
        <f>_xll.qlPolynomialFunctionValue(BM$1,$BD6,AllTriggers)</f>
        <v>9.0196462372958079E-4</v>
      </c>
      <c r="BN6" s="52">
        <f>_xll.qlPolynomialFunctionValue(BN$1,$BD6,AllTriggers)</f>
        <v>6.0512155990559012E-4</v>
      </c>
      <c r="BO6" s="52">
        <f>_xll.qlPolynomialFunctionValue(BO$1,$BD6,AllTriggers)</f>
        <v>8.6581744334555716E-4</v>
      </c>
      <c r="BP6" s="52">
        <f>_xll.qlPolynomialFunctionValue(BP$1,$BD6,AllTriggers)</f>
        <v>2.6184588401420648E-4</v>
      </c>
      <c r="BQ6" s="52">
        <f>_xll.qlPolynomialFunctionValue('3MSynthDepo_used'!$P$18,BD6,AllTriggers)</f>
        <v>9.5721791607622226E-4</v>
      </c>
    </row>
    <row r="7" spans="1:69" ht="12" customHeight="1" x14ac:dyDescent="0.2">
      <c r="A7" s="21"/>
      <c r="B7" s="55" t="str">
        <f>'3MSynthDepo_used'!C11</f>
        <v>K5</v>
      </c>
      <c r="C7" s="39" t="str">
        <f>"B"&amp;$D$24&amp;"_FUT"&amp;B7</f>
        <v>B3M_FUTK5</v>
      </c>
      <c r="D7" s="177">
        <f>_xll.qlIMMdate(B7,SettlementDate,Trigger)</f>
        <v>42144</v>
      </c>
      <c r="E7" s="177">
        <f>_xll.qlInterestRateIndexMaturity($D$25,D7)</f>
        <v>42236</v>
      </c>
      <c r="F7" s="53">
        <f>_xll.qlIndexFixing(ON_3M_index,_xll.qlInterestRateIndexFixingDate(ON_3M_index,D7,Trigger),,AllTriggers)</f>
        <v>-1.1352785815676037E-3</v>
      </c>
      <c r="G7" s="53">
        <f t="shared" si="2"/>
        <v>-1.2499999999993072E-4</v>
      </c>
      <c r="H7" s="202">
        <f>_xll.qlQuoteValue(C7,_xll.ohTrigger(InterestRatesTrigger,'3MSynthDepo_used'!E7))</f>
        <v>1.010278581567673E-3</v>
      </c>
      <c r="I7" s="41">
        <f>_xll.qlDayCounterYearFraction(DayCounter,SettlementDate,D7,,,Trigger)</f>
        <v>1.6666666666666666E-2</v>
      </c>
      <c r="J7" s="41">
        <f>1</f>
        <v>1</v>
      </c>
      <c r="K7" s="41">
        <f t="shared" si="0"/>
        <v>1.6666666666666666E-2</v>
      </c>
      <c r="L7" s="41">
        <f t="shared" si="1"/>
        <v>2.7777777777777778E-4</v>
      </c>
      <c r="M7" s="40">
        <f>LN((1+G7*_xll.qlDayCounterYearFraction(DayCounter,D7,E7,,,Trigger))/(1+F7*_xll.qlDayCounterYearFraction(DayCounter,D7,E7,,,Trigger)))</f>
        <v>2.5822388885101381E-4</v>
      </c>
      <c r="N7" s="41">
        <f>_xll.qlDayCounterYearFraction(DayCounter,SettlementDate,D7,,,Trigger)</f>
        <v>1.6666666666666666E-2</v>
      </c>
      <c r="O7" s="41">
        <f>_xll.qlDayCounterYearFraction(DayCounter,SettlementDate,E7,,,Trigger)</f>
        <v>0.2722222222222222</v>
      </c>
      <c r="P7" s="41">
        <f t="shared" si="3"/>
        <v>0.25555555555555554</v>
      </c>
      <c r="Q7" s="41">
        <f t="shared" si="4"/>
        <v>3.6913580246913574E-2</v>
      </c>
      <c r="R7" s="41">
        <f t="shared" si="5"/>
        <v>6.722793781435755E-3</v>
      </c>
      <c r="S7" s="114" t="b">
        <v>1</v>
      </c>
      <c r="T7" s="114" t="b">
        <v>1</v>
      </c>
      <c r="U7" s="114" t="b">
        <v>1</v>
      </c>
      <c r="V7" s="114" t="b">
        <v>1</v>
      </c>
      <c r="AD7" s="94"/>
      <c r="AE7" s="21"/>
      <c r="AF7" s="21"/>
      <c r="AG7" s="21"/>
      <c r="AH7" s="21"/>
      <c r="AI7" s="111"/>
      <c r="AJ7" s="33"/>
      <c r="AK7" s="22"/>
      <c r="AL7" s="21"/>
      <c r="AM7" s="21"/>
      <c r="AN7" s="21"/>
      <c r="AO7" s="101"/>
      <c r="AP7" s="94"/>
      <c r="AQ7" s="21"/>
      <c r="AR7" s="21"/>
      <c r="AS7" s="21"/>
      <c r="AT7" s="21"/>
      <c r="AU7" s="111"/>
      <c r="AV7" s="33"/>
      <c r="AW7" s="218"/>
      <c r="AX7" s="21"/>
      <c r="AY7" s="21"/>
      <c r="AZ7" s="21"/>
      <c r="BA7" s="101"/>
      <c r="BC7" s="178">
        <f>_xll.qlCalendarAdvance(Calendar,BC6,"1d","mf",,Trigger)</f>
        <v>42139</v>
      </c>
      <c r="BD7" s="41">
        <f>_xll.qlDayCounterYearFraction(DayCounter,SettlementDate,BC7,,,Trigger)</f>
        <v>2.7777777777777779E-3</v>
      </c>
      <c r="BE7" s="47">
        <f>_xll.qlPolynomialFunctionValue(BE$1,$BD7,AllTriggers)</f>
        <v>1.3449068093229343E-3</v>
      </c>
      <c r="BF7" s="47">
        <f>_xll.qlPolynomialFunctionValue(BF$1,$BD7,AllTriggers)</f>
        <v>1.9499734088511311E-3</v>
      </c>
      <c r="BG7" s="47">
        <f>_xll.qlPolynomialFunctionValue(BG$1,$BD7,AllTriggers)</f>
        <v>6.8490335980612267E-4</v>
      </c>
      <c r="BH7" s="47">
        <f>_xll.qlPolynomialFunctionValue(BH$1,$BD7,AllTriggers)</f>
        <v>5.0368947441352906E-4</v>
      </c>
      <c r="BI7" s="47">
        <f>_xll.qlPolynomialFunctionValue(BI$1,$BD7,AllTriggers)</f>
        <v>1.3450311459461755E-3</v>
      </c>
      <c r="BJ7" s="47">
        <f>_xll.qlPolynomialFunctionValue(BJ$1,$BD7,AllTriggers)</f>
        <v>1.9501051829960187E-3</v>
      </c>
      <c r="BK7" s="47">
        <f>_xll.qlPolynomialFunctionValue(BK$1,$BD7,AllTriggers)</f>
        <v>6.850195836200526E-4</v>
      </c>
      <c r="BL7" s="47">
        <f>_xll.qlPolynomialFunctionValue(BL$1,$BD7,AllTriggers)</f>
        <v>5.0274258918227754E-4</v>
      </c>
      <c r="BM7" s="47">
        <f>_xll.qlPolynomialFunctionValue(BM$1,$BD7,AllTriggers)</f>
        <v>9.048830248030589E-4</v>
      </c>
      <c r="BN7" s="47">
        <f>_xll.qlPolynomialFunctionValue(BN$1,$BD7,AllTriggers)</f>
        <v>6.1851335527943164E-4</v>
      </c>
      <c r="BO7" s="47">
        <f>_xll.qlPolynomialFunctionValue(BO$1,$BD7,AllTriggers)</f>
        <v>8.6916009587424963E-4</v>
      </c>
      <c r="BP7" s="47">
        <f>_xll.qlPolynomialFunctionValue(BP$1,$BD7,AllTriggers)</f>
        <v>2.8448574499016928E-4</v>
      </c>
      <c r="BQ7" s="47">
        <f>_xll.qlPolynomialFunctionValue('3MSynthDepo_used'!$P$18,BD7,AllTriggers)</f>
        <v>9.5949447403892354E-4</v>
      </c>
    </row>
    <row r="8" spans="1:69" ht="12" customHeight="1" x14ac:dyDescent="0.2">
      <c r="A8" s="21"/>
      <c r="B8" s="55" t="str">
        <f>'3MSynthDepo_used'!C12</f>
        <v>M5</v>
      </c>
      <c r="C8" s="39" t="str">
        <f t="shared" ref="C8:C9" si="6">"B"&amp;$D$24&amp;"_FUT"&amp;B8</f>
        <v>B3M_FUTM5</v>
      </c>
      <c r="D8" s="177">
        <f>_xll.qlIMMdate(B8,SettlementDate,Trigger)</f>
        <v>42172</v>
      </c>
      <c r="E8" s="177">
        <f>_xll.qlInterestRateIndexMaturity($D$25,D8)</f>
        <v>42264</v>
      </c>
      <c r="F8" s="53">
        <f>_xll.qlIndexFixing(ON_3M_index,_xll.qlInterestRateIndexFixingDate(ON_3M_index,D8,Trigger),,AllTriggers)</f>
        <v>-1.213915958221015E-3</v>
      </c>
      <c r="G8" s="53">
        <f t="shared" si="2"/>
        <v>-2.4999999999941735E-5</v>
      </c>
      <c r="H8" s="202">
        <f>_xll.qlQuoteValue(C8,_xll.ohTrigger(InterestRatesTrigger,'3MSynthDepo_used'!E8))</f>
        <v>1.1889159582210733E-3</v>
      </c>
      <c r="I8" s="41">
        <f>_xll.qlDayCounterYearFraction(DayCounter,SettlementDate,D8,,,Trigger)</f>
        <v>9.4444444444444442E-2</v>
      </c>
      <c r="J8" s="41">
        <f>1</f>
        <v>1</v>
      </c>
      <c r="K8" s="41">
        <f t="shared" si="0"/>
        <v>9.4444444444444442E-2</v>
      </c>
      <c r="L8" s="41">
        <f t="shared" si="1"/>
        <v>8.9197530864197523E-3</v>
      </c>
      <c r="M8" s="40">
        <f>LN((1+G8*_xll.qlDayCounterYearFraction(DayCounter,D8,E8,,,Trigger))/(1+F8*_xll.qlDayCounterYearFraction(DayCounter,D8,E8,,,Trigger)))</f>
        <v>3.0388218690182881E-4</v>
      </c>
      <c r="N8" s="41">
        <f>_xll.qlDayCounterYearFraction(DayCounter,SettlementDate,D8,,,Trigger)</f>
        <v>9.4444444444444442E-2</v>
      </c>
      <c r="O8" s="41">
        <f>_xll.qlDayCounterYearFraction(DayCounter,SettlementDate,E8,,,Trigger)</f>
        <v>0.35</v>
      </c>
      <c r="P8" s="41">
        <f t="shared" si="3"/>
        <v>0.25555555555555554</v>
      </c>
      <c r="Q8" s="41">
        <f t="shared" si="4"/>
        <v>5.6790123456790118E-2</v>
      </c>
      <c r="R8" s="41">
        <f t="shared" si="5"/>
        <v>1.4010859625057152E-2</v>
      </c>
      <c r="S8" s="114" t="b">
        <v>1</v>
      </c>
      <c r="T8" s="114" t="b">
        <v>1</v>
      </c>
      <c r="U8" s="114" t="b">
        <v>1</v>
      </c>
      <c r="V8" s="114" t="b">
        <v>1</v>
      </c>
      <c r="AD8" s="94" t="s">
        <v>65</v>
      </c>
      <c r="AE8" s="21"/>
      <c r="AF8" s="21"/>
      <c r="AG8" s="21"/>
      <c r="AH8" s="21"/>
      <c r="AI8" s="112" t="s">
        <v>45</v>
      </c>
      <c r="AJ8" s="33"/>
      <c r="AK8" s="22"/>
      <c r="AL8" s="21"/>
      <c r="AM8" s="21"/>
      <c r="AN8" s="21"/>
      <c r="AO8" s="101"/>
      <c r="AP8" s="94"/>
      <c r="AQ8" s="21"/>
      <c r="AR8" s="21"/>
      <c r="AS8" s="21"/>
      <c r="AT8" s="21"/>
      <c r="AU8" s="112" t="s">
        <v>45</v>
      </c>
      <c r="AV8" s="33"/>
      <c r="AW8" s="218"/>
      <c r="AX8" s="21"/>
      <c r="AY8" s="21"/>
      <c r="AZ8" s="21"/>
      <c r="BA8" s="101"/>
      <c r="BC8" s="178">
        <f>_xll.qlCalendarAdvance(Calendar,BC7,"1d","mf",,Trigger)</f>
        <v>42142</v>
      </c>
      <c r="BD8" s="41">
        <f>_xll.qlDayCounterYearFraction(DayCounter,SettlementDate,BC8,,,Trigger)</f>
        <v>1.1111111111111112E-2</v>
      </c>
      <c r="BE8" s="47">
        <f>_xll.qlPolynomialFunctionValue(BE$1,$BD8,AllTriggers)</f>
        <v>1.3252227959255662E-3</v>
      </c>
      <c r="BF8" s="47">
        <f>_xll.qlPolynomialFunctionValue(BF$1,$BD8,AllTriggers)</f>
        <v>1.8240950688014036E-3</v>
      </c>
      <c r="BG8" s="47">
        <f>_xll.qlPolynomialFunctionValue(BG$1,$BD8,AllTriggers)</f>
        <v>7.0404307873327273E-4</v>
      </c>
      <c r="BH8" s="47">
        <f>_xll.qlPolynomialFunctionValue(BH$1,$BD8,AllTriggers)</f>
        <v>5.4360218210847914E-4</v>
      </c>
      <c r="BI8" s="47">
        <f>_xll.qlPolynomialFunctionValue(BI$1,$BD8,AllTriggers)</f>
        <v>1.325349390549319E-3</v>
      </c>
      <c r="BJ8" s="47">
        <f>_xll.qlPolynomialFunctionValue(BJ$1,$BD8,AllTriggers)</f>
        <v>1.8242277955985923E-3</v>
      </c>
      <c r="BK8" s="47">
        <f>_xll.qlPolynomialFunctionValue(BK$1,$BD8,AllTriggers)</f>
        <v>7.0416203777179181E-4</v>
      </c>
      <c r="BL8" s="47">
        <f>_xll.qlPolynomialFunctionValue(BL$1,$BD8,AllTriggers)</f>
        <v>5.4277989887933605E-4</v>
      </c>
      <c r="BM8" s="47">
        <f>_xll.qlPolynomialFunctionValue(BM$1,$BD8,AllTriggers)</f>
        <v>9.1363822802349314E-4</v>
      </c>
      <c r="BN8" s="47">
        <f>_xll.qlPolynomialFunctionValue(BN$1,$BD8,AllTriggers)</f>
        <v>6.5781048728721675E-4</v>
      </c>
      <c r="BO8" s="47">
        <f>_xll.qlPolynomialFunctionValue(BO$1,$BD8,AllTriggers)</f>
        <v>8.7918805346032692E-4</v>
      </c>
      <c r="BP8" s="47">
        <f>_xll.qlPolynomialFunctionValue(BP$1,$BD8,AllTriggers)</f>
        <v>3.5087126633935188E-4</v>
      </c>
      <c r="BQ8" s="47">
        <f>_xll.qlPolynomialFunctionValue('3MSynthDepo_used'!$P$18,BD8,AllTriggers)</f>
        <v>9.6626859063198207E-4</v>
      </c>
    </row>
    <row r="9" spans="1:69" ht="12" customHeight="1" x14ac:dyDescent="0.2">
      <c r="A9" s="21"/>
      <c r="B9" s="55" t="str">
        <f>'3MSynthDepo_used'!C13</f>
        <v>U5</v>
      </c>
      <c r="C9" s="42" t="str">
        <f t="shared" si="6"/>
        <v>B3M_FUTU5</v>
      </c>
      <c r="D9" s="181">
        <f>_xll.qlIMMdate(B9,SettlementDate,Trigger)</f>
        <v>42263</v>
      </c>
      <c r="E9" s="181">
        <f>_xll.qlInterestRateIndexMaturity($D$25,D9)</f>
        <v>42354</v>
      </c>
      <c r="F9" s="54">
        <f>_xll.qlIndexFixing(ON_3M_index,_xll.qlInterestRateIndexFixingDate(ON_3M_index,D9,Trigger),,AllTriggers)</f>
        <v>-1.254065659728944E-3</v>
      </c>
      <c r="G9" s="54">
        <f t="shared" si="2"/>
        <v>-7.4999999999825206E-5</v>
      </c>
      <c r="H9" s="203">
        <f>_xll.qlQuoteValue(C9,_xll.ohTrigger(InterestRatesTrigger,'3MSynthDepo_used'!E9))</f>
        <v>1.1790656597291187E-3</v>
      </c>
      <c r="I9" s="44">
        <f>_xll.qlDayCounterYearFraction(DayCounter,SettlementDate,D9,,,Trigger)</f>
        <v>0.34722222222222221</v>
      </c>
      <c r="J9" s="44">
        <f>1</f>
        <v>1</v>
      </c>
      <c r="K9" s="44">
        <f t="shared" si="0"/>
        <v>0.34722222222222221</v>
      </c>
      <c r="L9" s="44">
        <f t="shared" si="1"/>
        <v>0.12056327160493827</v>
      </c>
      <c r="M9" s="43">
        <f>LN((1+G9*_xll.qlDayCounterYearFraction(DayCounter,D9,E9,,,Trigger))/(1+F9*_xll.qlDayCounterYearFraction(DayCounter,D9,E9,,,Trigger)))</f>
        <v>2.9809167270768871E-4</v>
      </c>
      <c r="N9" s="44">
        <f>_xll.qlDayCounterYearFraction(DayCounter,SettlementDate,D9,,,Trigger)</f>
        <v>0.34722222222222221</v>
      </c>
      <c r="O9" s="44">
        <f>_xll.qlDayCounterYearFraction(DayCounter,SettlementDate,E9,,,Trigger)</f>
        <v>0.6</v>
      </c>
      <c r="P9" s="44">
        <f t="shared" si="3"/>
        <v>0.25277777777777777</v>
      </c>
      <c r="Q9" s="44">
        <f t="shared" si="4"/>
        <v>0.11971836419753086</v>
      </c>
      <c r="R9" s="44">
        <f t="shared" si="5"/>
        <v>5.8045917638317325E-2</v>
      </c>
      <c r="S9" s="150" t="b">
        <v>1</v>
      </c>
      <c r="T9" s="150" t="b">
        <v>1</v>
      </c>
      <c r="U9" s="150" t="b">
        <v>1</v>
      </c>
      <c r="V9" s="150" t="b">
        <v>1</v>
      </c>
      <c r="AD9" s="94"/>
      <c r="AE9" s="32"/>
      <c r="AF9" s="27">
        <f t="array" ref="AF9:AF10">_xll.ohFilter(K3:K9,U3:U9)</f>
        <v>1.6666666666666666E-2</v>
      </c>
      <c r="AG9" s="28">
        <f t="array" ref="AG9:AG10">_xll.ohFilter(J3:J9,U3:U9)</f>
        <v>1</v>
      </c>
      <c r="AH9" s="280" t="s">
        <v>20</v>
      </c>
      <c r="AI9" s="29">
        <f t="array" ref="AI9:AI10">MMULT(AL9:AM10,AK9:AK10)</f>
        <v>2.2967662712580043E-3</v>
      </c>
      <c r="AJ9" s="280" t="s">
        <v>21</v>
      </c>
      <c r="AK9" s="30">
        <f t="array" ref="AK9:AK10">_xll.ohFilter(H3:H9,U3:U9)</f>
        <v>1.010278581567673E-3</v>
      </c>
      <c r="AL9" s="27">
        <f t="array" ref="AL9:AM10">MINVERSE(AF9:AG10)</f>
        <v>-12.857142857142859</v>
      </c>
      <c r="AM9" s="28">
        <v>12.857142857142859</v>
      </c>
      <c r="AN9" s="21"/>
      <c r="AO9" s="101"/>
      <c r="AP9" s="94"/>
      <c r="AQ9" s="32"/>
      <c r="AR9" s="27">
        <f t="array" ref="AR9:AR10">_xll.ohFilter(Q3:Q9,U3:U9)</f>
        <v>3.6913580246913574E-2</v>
      </c>
      <c r="AS9" s="28">
        <f t="array" ref="AS9:AS10">_xll.ohFilter(P3:P9,U3:U9)</f>
        <v>0.25555555555555554</v>
      </c>
      <c r="AT9" s="280" t="s">
        <v>20</v>
      </c>
      <c r="AU9" s="29">
        <f t="array" ref="AU9:AU10">MMULT(AX9:AY10,AW9:AW10)</f>
        <v>2.2970944982087047E-3</v>
      </c>
      <c r="AV9" s="280" t="s">
        <v>21</v>
      </c>
      <c r="AW9" s="56">
        <f t="array" ref="AW9:AW10">_xll.ohFilter(M3:M9,U3:U9)</f>
        <v>2.5822388885101381E-4</v>
      </c>
      <c r="AX9" s="27">
        <f t="array" ref="AX9:AY10">MINVERSE(AR9:AS10)</f>
        <v>-50.310559006211172</v>
      </c>
      <c r="AY9" s="28">
        <v>50.310559006211172</v>
      </c>
      <c r="AZ9" s="21"/>
      <c r="BA9" s="101"/>
      <c r="BC9" s="178">
        <f>_xll.qlCalendarAdvance(Calendar,BC8,"1d","mf",,Trigger)</f>
        <v>42143</v>
      </c>
      <c r="BD9" s="41">
        <f>_xll.qlDayCounterYearFraction(DayCounter,SettlementDate,BC9,,,Trigger)</f>
        <v>1.3888888888888888E-2</v>
      </c>
      <c r="BE9" s="47">
        <f>_xll.qlPolynomialFunctionValue(BE$1,$BD9,AllTriggers)</f>
        <v>1.3186614581264433E-3</v>
      </c>
      <c r="BF9" s="47">
        <f>_xll.qlPolynomialFunctionValue(BF$1,$BD9,AllTriggers)</f>
        <v>1.7836581214250051E-3</v>
      </c>
      <c r="BG9" s="47">
        <f>_xll.qlPolynomialFunctionValue(BG$1,$BD9,AllTriggers)</f>
        <v>7.1042298504232272E-4</v>
      </c>
      <c r="BH9" s="47">
        <f>_xll.qlPolynomialFunctionValue(BH$1,$BD9,AllTriggers)</f>
        <v>5.56688328885874E-4</v>
      </c>
      <c r="BI9" s="47">
        <f>_xll.qlPolynomialFunctionValue(BI$1,$BD9,AllTriggers)</f>
        <v>1.3187888054170336E-3</v>
      </c>
      <c r="BJ9" s="47">
        <f>_xll.qlPolynomialFunctionValue(BJ$1,$BD9,AllTriggers)</f>
        <v>1.7837911844876305E-3</v>
      </c>
      <c r="BK9" s="47">
        <f>_xll.qlPolynomialFunctionValue(BK$1,$BD9,AllTriggers)</f>
        <v>7.1054285582237162E-4</v>
      </c>
      <c r="BL9" s="47">
        <f>_xll.qlPolynomialFunctionValue(BL$1,$BD9,AllTriggers)</f>
        <v>5.5590630021619988E-4</v>
      </c>
      <c r="BM9" s="47">
        <f>_xll.qlPolynomialFunctionValue(BM$1,$BD9,AllTriggers)</f>
        <v>9.1655662909697125E-4</v>
      </c>
      <c r="BN9" s="47">
        <f>_xll.qlPolynomialFunctionValue(BN$1,$BD9,AllTriggers)</f>
        <v>6.7061677991856535E-4</v>
      </c>
      <c r="BO9" s="47">
        <f>_xll.qlPolynomialFunctionValue(BO$1,$BD9,AllTriggers)</f>
        <v>8.8253070598901927E-4</v>
      </c>
      <c r="BP9" s="47">
        <f>_xll.qlPolynomialFunctionValue(BP$1,$BD9,AllTriggers)</f>
        <v>3.7248841959617739E-4</v>
      </c>
      <c r="BQ9" s="47">
        <f>_xll.qlPolynomialFunctionValue('3MSynthDepo_used'!$P$18,BD9,AllTriggers)</f>
        <v>9.6850817194108895E-4</v>
      </c>
    </row>
    <row r="10" spans="1:69" ht="12" customHeight="1" x14ac:dyDescent="0.2">
      <c r="A10" s="21"/>
      <c r="B10" s="55"/>
      <c r="C10" s="22"/>
      <c r="D10" s="23"/>
      <c r="E10" s="23"/>
      <c r="F10" s="122"/>
      <c r="G10" s="122"/>
      <c r="H10" s="123"/>
      <c r="I10" s="2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  <c r="U10" s="26"/>
      <c r="V10" s="26"/>
      <c r="W10" s="26"/>
      <c r="AD10" s="94"/>
      <c r="AE10" s="32"/>
      <c r="AF10" s="27">
        <v>9.4444444444444442E-2</v>
      </c>
      <c r="AG10" s="28">
        <v>1</v>
      </c>
      <c r="AH10" s="280"/>
      <c r="AI10" s="29">
        <v>9.719991437133731E-4</v>
      </c>
      <c r="AJ10" s="280"/>
      <c r="AK10" s="30">
        <v>1.1889159582210733E-3</v>
      </c>
      <c r="AL10" s="27">
        <v>1.2142857142857144</v>
      </c>
      <c r="AM10" s="28">
        <v>-0.2142857142857143</v>
      </c>
      <c r="AN10" s="21"/>
      <c r="AO10" s="101"/>
      <c r="AP10" s="94"/>
      <c r="AQ10" s="32"/>
      <c r="AR10" s="27">
        <v>5.6790123456790118E-2</v>
      </c>
      <c r="AS10" s="28">
        <v>0.25555555555555554</v>
      </c>
      <c r="AT10" s="280"/>
      <c r="AU10" s="29">
        <v>6.786387655694729E-4</v>
      </c>
      <c r="AV10" s="280"/>
      <c r="AW10" s="56">
        <v>3.0388218690182881E-4</v>
      </c>
      <c r="AX10" s="27">
        <v>11.180124223602482</v>
      </c>
      <c r="AY10" s="28">
        <v>-7.2670807453416124</v>
      </c>
      <c r="AZ10" s="21"/>
      <c r="BA10" s="101"/>
      <c r="BC10" s="178">
        <f>_xll.qlCalendarAdvance(Calendar,BC9,"1d","mf",,Trigger)</f>
        <v>42144</v>
      </c>
      <c r="BD10" s="41">
        <f>_xll.qlDayCounterYearFraction(DayCounter,SettlementDate,BC10,,,Trigger)</f>
        <v>1.6666666666666666E-2</v>
      </c>
      <c r="BE10" s="47">
        <f>_xll.qlPolynomialFunctionValue(BE$1,$BD10,AllTriggers)</f>
        <v>1.3121001203273204E-3</v>
      </c>
      <c r="BF10" s="47">
        <f>_xll.qlPolynomialFunctionValue(BF$1,$BD10,AllTriggers)</f>
        <v>1.7439824237020284E-3</v>
      </c>
      <c r="BG10" s="47">
        <f>_xll.qlPolynomialFunctionValue(BG$1,$BD10,AllTriggers)</f>
        <v>7.168028913513727E-4</v>
      </c>
      <c r="BH10" s="47">
        <f>_xll.qlPolynomialFunctionValue(BH$1,$BD10,AllTriggers)</f>
        <v>5.696654311028082E-4</v>
      </c>
      <c r="BI10" s="47">
        <f>_xll.qlPolynomialFunctionValue(BI$1,$BD10,AllTriggers)</f>
        <v>1.3122282202847483E-3</v>
      </c>
      <c r="BJ10" s="47">
        <f>_xll.qlPolynomialFunctionValue(BJ$1,$BD10,AllTriggers)</f>
        <v>1.7441158323874253E-3</v>
      </c>
      <c r="BK10" s="47">
        <f>_xll.qlPolynomialFunctionValue(BK$1,$BD10,AllTriggers)</f>
        <v>7.1692367387295132E-4</v>
      </c>
      <c r="BL10" s="47">
        <f>_xll.qlPolynomialFunctionValue(BL$1,$BD10,AllTriggers)</f>
        <v>5.6892301727198597E-4</v>
      </c>
      <c r="BM10" s="47">
        <f>_xll.qlPolynomialFunctionValue(BM$1,$BD10,AllTriggers)</f>
        <v>9.1947503017044937E-4</v>
      </c>
      <c r="BN10" s="47">
        <f>_xll.qlPolynomialFunctionValue(BN$1,$BD10,AllTriggers)</f>
        <v>6.832766968642908E-4</v>
      </c>
      <c r="BO10" s="47">
        <f>_xll.qlPolynomialFunctionValue(BO$1,$BD10,AllTriggers)</f>
        <v>8.8587335851771174E-4</v>
      </c>
      <c r="BP10" s="47">
        <f>_xll.qlPolynomialFunctionValue(BP$1,$BD10,AllTriggers)</f>
        <v>3.9384989592321858E-4</v>
      </c>
      <c r="BQ10" s="47">
        <f>_xll.qlPolynomialFunctionValue('3MSynthDepo_used'!$P$18,BD10,AllTriggers)</f>
        <v>9.7073855524412451E-4</v>
      </c>
    </row>
    <row r="11" spans="1:69" ht="12" customHeight="1" x14ac:dyDescent="0.2">
      <c r="A11" s="21"/>
      <c r="B11" s="55"/>
      <c r="C11" s="21"/>
      <c r="D11" s="21"/>
      <c r="E11" s="21"/>
      <c r="F11" s="21"/>
      <c r="G11" s="21"/>
      <c r="AD11" s="94"/>
      <c r="AE11" s="21"/>
      <c r="AF11" s="21"/>
      <c r="AG11" s="21"/>
      <c r="AH11" s="21"/>
      <c r="AI11" s="111"/>
      <c r="AJ11" s="33"/>
      <c r="AK11" s="22"/>
      <c r="AL11" s="21"/>
      <c r="AM11" s="21"/>
      <c r="AN11" s="21"/>
      <c r="AO11" s="101"/>
      <c r="AP11" s="94"/>
      <c r="AQ11" s="21"/>
      <c r="AR11" s="21"/>
      <c r="AS11" s="21"/>
      <c r="AT11" s="21"/>
      <c r="AU11" s="111"/>
      <c r="AV11" s="33"/>
      <c r="AW11" s="22"/>
      <c r="AX11" s="21"/>
      <c r="AY11" s="21"/>
      <c r="AZ11" s="21"/>
      <c r="BA11" s="101"/>
      <c r="BC11" s="178">
        <f>_xll.qlCalendarAdvance(Calendar,BC10,"1d","mf",,Trigger)</f>
        <v>42145</v>
      </c>
      <c r="BD11" s="41">
        <f>_xll.qlDayCounterYearFraction(DayCounter,SettlementDate,BC11,,,Trigger)</f>
        <v>1.9444444444444445E-2</v>
      </c>
      <c r="BE11" s="47">
        <f>_xll.qlPolynomialFunctionValue(BE$1,$BD11,AllTriggers)</f>
        <v>1.3055387825281978E-3</v>
      </c>
      <c r="BF11" s="47">
        <f>_xll.qlPolynomialFunctionValue(BF$1,$BD11,AllTriggers)</f>
        <v>1.7050679756324735E-3</v>
      </c>
      <c r="BG11" s="47">
        <f>_xll.qlPolynomialFunctionValue(BG$1,$BD11,AllTriggers)</f>
        <v>7.231827976604228E-4</v>
      </c>
      <c r="BH11" s="47">
        <f>_xll.qlPolynomialFunctionValue(BH$1,$BD11,AllTriggers)</f>
        <v>5.825334887592813E-4</v>
      </c>
      <c r="BI11" s="47">
        <f>_xll.qlPolynomialFunctionValue(BI$1,$BD11,AllTriggers)</f>
        <v>1.3056676351524627E-3</v>
      </c>
      <c r="BJ11" s="47">
        <f>_xll.qlPolynomialFunctionValue(BJ$1,$BD11,AllTriggers)</f>
        <v>1.7052017392979767E-3</v>
      </c>
      <c r="BK11" s="47">
        <f>_xll.qlPolynomialFunctionValue(BK$1,$BD11,AllTriggers)</f>
        <v>7.2330449192353102E-4</v>
      </c>
      <c r="BL11" s="47">
        <f>_xll.qlPolynomialFunctionValue(BL$1,$BD11,AllTriggers)</f>
        <v>5.8183005004669441E-4</v>
      </c>
      <c r="BM11" s="47">
        <f>_xll.qlPolynomialFunctionValue(BM$1,$BD11,AllTriggers)</f>
        <v>9.2239343124392748E-4</v>
      </c>
      <c r="BN11" s="47">
        <f>_xll.qlPolynomialFunctionValue(BN$1,$BD11,AllTriggers)</f>
        <v>6.9579023812439309E-4</v>
      </c>
      <c r="BO11" s="47">
        <f>_xll.qlPolynomialFunctionValue(BO$1,$BD11,AllTriggers)</f>
        <v>8.892160110464041E-4</v>
      </c>
      <c r="BP11" s="47">
        <f>_xll.qlPolynomialFunctionValue(BP$1,$BD11,AllTriggers)</f>
        <v>4.1495569532047546E-4</v>
      </c>
      <c r="BQ11" s="47">
        <f>_xll.qlPolynomialFunctionValue('3MSynthDepo_used'!$P$18,BD11,AllTriggers)</f>
        <v>9.7295975900401927E-4</v>
      </c>
    </row>
    <row r="12" spans="1:69" ht="12" customHeight="1" x14ac:dyDescent="0.2">
      <c r="B12" s="21"/>
      <c r="C12" s="116" t="s">
        <v>67</v>
      </c>
      <c r="D12" s="117"/>
      <c r="E12" s="117"/>
      <c r="F12" s="117"/>
      <c r="G12" s="117"/>
      <c r="H12" s="117"/>
      <c r="I12" s="116"/>
      <c r="J12" s="116"/>
      <c r="P12" s="55"/>
      <c r="Q12" s="55"/>
      <c r="R12" s="55"/>
      <c r="S12" s="116" t="str">
        <f>"with 0X"&amp;SUBSTITUTE($D$24,"M","")</f>
        <v>with 0X3</v>
      </c>
      <c r="T12" s="118"/>
      <c r="U12" s="117" t="str">
        <f>"without 0X"&amp;SUBSTITUTE($D$24,"M","")</f>
        <v>without 0X3</v>
      </c>
      <c r="V12" s="118"/>
      <c r="AD12" s="219" t="s">
        <v>42</v>
      </c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2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2"/>
      <c r="BC12" s="178">
        <f>_xll.qlCalendarAdvance(Calendar,BC11,"1d","mf",,Trigger)</f>
        <v>42146</v>
      </c>
      <c r="BD12" s="41">
        <f>_xll.qlDayCounterYearFraction(DayCounter,SettlementDate,BC12,,,Trigger)</f>
        <v>2.2222222222222223E-2</v>
      </c>
      <c r="BE12" s="47">
        <f>_xll.qlPolynomialFunctionValue(BE$1,$BD12,AllTriggers)</f>
        <v>1.298977444729075E-3</v>
      </c>
      <c r="BF12" s="47">
        <f>_xll.qlPolynomialFunctionValue(BF$1,$BD12,AllTriggers)</f>
        <v>1.6669147772163406E-3</v>
      </c>
      <c r="BG12" s="47">
        <f>_xll.qlPolynomialFunctionValue(BG$1,$BD12,AllTriggers)</f>
        <v>7.2956270396947278E-4</v>
      </c>
      <c r="BH12" s="47">
        <f>_xll.qlPolynomialFunctionValue(BH$1,$BD12,AllTriggers)</f>
        <v>5.9529250185529352E-4</v>
      </c>
      <c r="BI12" s="47">
        <f>_xll.qlPolynomialFunctionValue(BI$1,$BD12,AllTriggers)</f>
        <v>1.2991070500201773E-3</v>
      </c>
      <c r="BJ12" s="47">
        <f>_xll.qlPolynomialFunctionValue(BJ$1,$BD12,AllTriggers)</f>
        <v>1.6670489052192853E-3</v>
      </c>
      <c r="BK12" s="47">
        <f>_xll.qlPolynomialFunctionValue(BK$1,$BD12,AllTriggers)</f>
        <v>7.2968530997411082E-4</v>
      </c>
      <c r="BL12" s="47">
        <f>_xll.qlPolynomialFunctionValue(BL$1,$BD12,AllTriggers)</f>
        <v>5.9462739854032501E-4</v>
      </c>
      <c r="BM12" s="47">
        <f>_xll.qlPolynomialFunctionValue(BM$1,$BD12,AllTriggers)</f>
        <v>9.2531183231740559E-4</v>
      </c>
      <c r="BN12" s="47">
        <f>_xll.qlPolynomialFunctionValue(BN$1,$BD12,AllTriggers)</f>
        <v>7.0815740369887213E-4</v>
      </c>
      <c r="BO12" s="47">
        <f>_xll.qlPolynomialFunctionValue(BO$1,$BD12,AllTriggers)</f>
        <v>8.9255866357509657E-4</v>
      </c>
      <c r="BP12" s="47">
        <f>_xll.qlPolynomialFunctionValue(BP$1,$BD12,AllTriggers)</f>
        <v>4.3580581778794803E-4</v>
      </c>
      <c r="BQ12" s="47">
        <f>_xll.qlPolynomialFunctionValue('3MSynthDepo_used'!$P$18,BD12,AllTriggers)</f>
        <v>9.7517180168370428E-4</v>
      </c>
    </row>
    <row r="13" spans="1:69" ht="22.5" customHeight="1" x14ac:dyDescent="0.2">
      <c r="C13" s="36" t="s">
        <v>43</v>
      </c>
      <c r="D13" s="36" t="s">
        <v>101</v>
      </c>
      <c r="E13" s="36" t="s">
        <v>102</v>
      </c>
      <c r="F13" s="36" t="s">
        <v>56</v>
      </c>
      <c r="G13" s="36" t="str">
        <f>"F "&amp;$D$24</f>
        <v>F 3M</v>
      </c>
      <c r="H13" s="36" t="str">
        <f>"B "&amp;$D$24</f>
        <v>B 3M</v>
      </c>
      <c r="I13" s="36" t="s">
        <v>89</v>
      </c>
      <c r="J13" s="36" t="s">
        <v>104</v>
      </c>
      <c r="P13" s="55"/>
      <c r="Q13" s="55"/>
      <c r="R13" s="55"/>
      <c r="S13" s="36" t="s">
        <v>41</v>
      </c>
      <c r="T13" s="36" t="s">
        <v>42</v>
      </c>
      <c r="U13" s="36" t="s">
        <v>41</v>
      </c>
      <c r="V13" s="36" t="s">
        <v>42</v>
      </c>
      <c r="AD13" s="94" t="s">
        <v>64</v>
      </c>
      <c r="AE13" s="21"/>
      <c r="AF13" s="21"/>
      <c r="AG13" s="21"/>
      <c r="AH13" s="21"/>
      <c r="AI13" s="113" t="s">
        <v>44</v>
      </c>
      <c r="AJ13" s="21"/>
      <c r="AK13" s="21"/>
      <c r="AL13" s="21"/>
      <c r="AM13" s="21"/>
      <c r="AN13" s="21"/>
      <c r="AO13" s="101"/>
      <c r="AP13" s="94"/>
      <c r="AQ13" s="21"/>
      <c r="AR13" s="21"/>
      <c r="AS13" s="21"/>
      <c r="AT13" s="21"/>
      <c r="AU13" s="113" t="s">
        <v>44</v>
      </c>
      <c r="AV13" s="21"/>
      <c r="AW13" s="21"/>
      <c r="AX13" s="21"/>
      <c r="AY13" s="21"/>
      <c r="AZ13" s="21"/>
      <c r="BA13" s="101"/>
      <c r="BC13" s="178">
        <f>_xll.qlCalendarAdvance(Calendar,BC12,"1d","mf",,Trigger)</f>
        <v>42149</v>
      </c>
      <c r="BD13" s="41">
        <f>_xll.qlDayCounterYearFraction(DayCounter,SettlementDate,BC13,,,Trigger)</f>
        <v>3.0555555555555555E-2</v>
      </c>
      <c r="BE13" s="47">
        <f>_xll.qlPolynomialFunctionValue(BE$1,$BD13,AllTriggers)</f>
        <v>1.2792934313317066E-3</v>
      </c>
      <c r="BF13" s="47">
        <f>_xll.qlPolynomialFunctionValue(BF$1,$BD13,AllTriggers)</f>
        <v>1.5570226798884738E-3</v>
      </c>
      <c r="BG13" s="47">
        <f>_xll.qlPolynomialFunctionValue(BG$1,$BD13,AllTriggers)</f>
        <v>7.4870242289662285E-4</v>
      </c>
      <c r="BH13" s="47">
        <f>_xll.qlPolynomialFunctionValue(BH$1,$BD13,AllTriggers)</f>
        <v>6.329152737805649E-4</v>
      </c>
      <c r="BI13" s="47">
        <f>_xll.qlPolynomialFunctionValue(BI$1,$BD13,AllTriggers)</f>
        <v>1.279425294623321E-3</v>
      </c>
      <c r="BJ13" s="47">
        <f>_xll.qlPolynomialFunctionValue(BJ$1,$BD13,AllTriggers)</f>
        <v>1.5571579570477514E-3</v>
      </c>
      <c r="BK13" s="47">
        <f>_xll.qlPolynomialFunctionValue(BK$1,$BD13,AllTriggers)</f>
        <v>7.4882776412585003E-4</v>
      </c>
      <c r="BL13" s="47">
        <f>_xll.qlPolynomialFunctionValue(BL$1,$BD13,AllTriggers)</f>
        <v>6.3236133833474977E-4</v>
      </c>
      <c r="BM13" s="47">
        <f>_xll.qlPolynomialFunctionValue(BM$1,$BD13,AllTriggers)</f>
        <v>9.3406703553783983E-4</v>
      </c>
      <c r="BN13" s="47">
        <f>_xll.qlPolynomialFunctionValue(BN$1,$BD13,AllTriggers)</f>
        <v>7.4438064630856981E-4</v>
      </c>
      <c r="BO13" s="47">
        <f>_xll.qlPolynomialFunctionValue(BO$1,$BD13,AllTriggers)</f>
        <v>9.0258662116117386E-4</v>
      </c>
      <c r="BP13" s="47">
        <f>_xll.qlPolynomialFunctionValue(BP$1,$BD13,AllTriggers)</f>
        <v>4.9682212361165971E-4</v>
      </c>
      <c r="BQ13" s="47">
        <f>_xll.qlPolynomialFunctionValue('3MSynthDepo_used'!$P$18,BD13,AllTriggers)</f>
        <v>9.8175314787080775E-4</v>
      </c>
    </row>
    <row r="14" spans="1:69" ht="12" customHeight="1" x14ac:dyDescent="0.2">
      <c r="A14" s="19">
        <f>A3</f>
        <v>0</v>
      </c>
      <c r="B14" s="55">
        <f>A14+SUBSTITUTE($D$24,"M","")</f>
        <v>3</v>
      </c>
      <c r="C14" s="171" t="str">
        <f>"B"&amp;$D$24&amp;"_"&amp;A14&amp;"X"&amp;B14&amp;$D$28</f>
        <v>B3M_0X3ESTIMATED</v>
      </c>
      <c r="D14" s="186">
        <f>SettlementDate</f>
        <v>42138</v>
      </c>
      <c r="E14" s="186">
        <f>_xll.qlInterestRateIndexMaturity($D$25,D14)</f>
        <v>42230</v>
      </c>
      <c r="F14" s="172">
        <f>_xll.qlIndexFixing(ON_3M_index,_xll.qlInterestRateIndexFixingDate(ON_3M_index,D14,Trigger),,AllTriggers)</f>
        <v>-1.1144993869582898E-3</v>
      </c>
      <c r="G14" s="172">
        <f>H14+F14</f>
        <v>-6.4852778595880052E-5</v>
      </c>
      <c r="H14" s="226">
        <f>_xll.qlQuoteValue(C14,_xll.ohTrigger(InterestRatesTrigger,'3MSynthDepo_used'!E3))</f>
        <v>1.0496466083624097E-3</v>
      </c>
      <c r="I14" s="173">
        <f>_xll.qlDayCounterYearFraction(DayCounter,SettlementDate,D14,,,Trigger)</f>
        <v>0</v>
      </c>
      <c r="J14" s="244">
        <f>IF(($E$14-SettlementDate)-($D14-SettlementDate)&lt;0,0,($E$14-SettlementDate)-($D14-SettlementDate))</f>
        <v>92</v>
      </c>
      <c r="P14" s="55"/>
      <c r="Q14" s="55"/>
      <c r="R14" s="55"/>
      <c r="S14" s="174" t="b">
        <v>1</v>
      </c>
      <c r="T14" s="174" t="b">
        <v>1</v>
      </c>
      <c r="U14" s="174" t="b">
        <v>0</v>
      </c>
      <c r="V14" s="174" t="b">
        <v>0</v>
      </c>
      <c r="AD14" s="94"/>
      <c r="AE14" s="27">
        <f t="array" ref="AE14:AE16">_xll.ohFilter(L3:L9,T3:T9)</f>
        <v>0</v>
      </c>
      <c r="AF14" s="31">
        <f t="array" ref="AF14:AF16">_xll.ohFilter(K3:K9,T3:T9)</f>
        <v>0</v>
      </c>
      <c r="AG14" s="28">
        <f t="array" ref="AG14:AG16">_xll.ohFilter(J3:J9,T3:T9)</f>
        <v>1</v>
      </c>
      <c r="AH14" s="280" t="s">
        <v>20</v>
      </c>
      <c r="AI14" s="29">
        <f t="array" ref="AI14:AI16">MMULT(AL14:AN16,AK14:AK16)</f>
        <v>4.9328977541741037E-2</v>
      </c>
      <c r="AJ14" s="280" t="s">
        <v>21</v>
      </c>
      <c r="AK14" s="56">
        <f t="array" ref="AK14:AK16">_xll.ohFilter(H3:H9,T3:T9)</f>
        <v>1.0496466083624097E-3</v>
      </c>
      <c r="AL14" s="27">
        <f t="array" ref="AL14:AN16">MINVERSE(AE14:AG16)</f>
        <v>635.2941176470589</v>
      </c>
      <c r="AM14" s="31">
        <v>-771.42857142857156</v>
      </c>
      <c r="AN14" s="28">
        <v>136.13445378151263</v>
      </c>
      <c r="AO14" s="101"/>
      <c r="AP14" s="94"/>
      <c r="AQ14" s="27">
        <f t="array" ref="AQ14:AQ16">_xll.ohFilter(R3:R9,T3:T9)</f>
        <v>5.5633287608596238E-3</v>
      </c>
      <c r="AR14" s="31">
        <f t="array" ref="AR14:AR16">_xll.ohFilter(Q3:Q9,T3:T9)</f>
        <v>3.2654320987654313E-2</v>
      </c>
      <c r="AS14" s="28">
        <f t="array" ref="AS14:AS16">_xll.ohFilter(P3:P9,T3:T9)</f>
        <v>0.25555555555555554</v>
      </c>
      <c r="AT14" s="280" t="s">
        <v>20</v>
      </c>
      <c r="AU14" s="29">
        <f t="array" ref="AU14:AU16">MMULT(AX14:AZ16,AW14:AW16)</f>
        <v>4.9329583897038842E-2</v>
      </c>
      <c r="AV14" s="280" t="s">
        <v>21</v>
      </c>
      <c r="AW14" s="56">
        <f t="array" ref="AW14:AW16">_xll.ohFilter(M3:M9,T3:T9)</f>
        <v>2.6828345272051816E-4</v>
      </c>
      <c r="AX14" s="27">
        <f t="array" ref="AX14:AZ16">MINVERSE(AQ14:AS16)</f>
        <v>2485.9335038363142</v>
      </c>
      <c r="AY14" s="31">
        <v>-3018.6335403726675</v>
      </c>
      <c r="AZ14" s="28">
        <v>532.70003653635297</v>
      </c>
      <c r="BA14" s="101"/>
      <c r="BC14" s="178">
        <f>_xll.qlCalendarAdvance(Calendar,BC13,"1d","mf",,Trigger)</f>
        <v>42150</v>
      </c>
      <c r="BD14" s="41">
        <f>_xll.qlDayCounterYearFraction(DayCounter,SettlementDate,BC14,,,Trigger)</f>
        <v>3.3333333333333333E-2</v>
      </c>
      <c r="BE14" s="47">
        <f>_xll.qlPolynomialFunctionValue(BE$1,$BD14,AllTriggers)</f>
        <v>1.272732093532584E-3</v>
      </c>
      <c r="BF14" s="47">
        <f>_xll.qlPolynomialFunctionValue(BF$1,$BD14,AllTriggers)</f>
        <v>1.5219144800860287E-3</v>
      </c>
      <c r="BG14" s="47">
        <f>_xll.qlPolynomialFunctionValue(BG$1,$BD14,AllTriggers)</f>
        <v>7.5508232920567283E-4</v>
      </c>
      <c r="BH14" s="47">
        <f>_xll.qlPolynomialFunctionValue(BH$1,$BD14,AllTriggers)</f>
        <v>6.452381086347335E-4</v>
      </c>
      <c r="BI14" s="47">
        <f>_xll.qlPolynomialFunctionValue(BI$1,$BD14,AllTriggers)</f>
        <v>1.2728647094910357E-3</v>
      </c>
      <c r="BJ14" s="47">
        <f>_xll.qlPolynomialFunctionValue(BJ$1,$BD14,AllTriggers)</f>
        <v>1.5220501590120868E-3</v>
      </c>
      <c r="BK14" s="47">
        <f>_xll.qlPolynomialFunctionValue(BK$1,$BD14,AllTriggers)</f>
        <v>7.5520858217642973E-4</v>
      </c>
      <c r="BL14" s="47">
        <f>_xll.qlPolynomialFunctionValue(BL$1,$BD14,AllTriggers)</f>
        <v>6.4471994970406916E-4</v>
      </c>
      <c r="BM14" s="47">
        <f>_xll.qlPolynomialFunctionValue(BM$1,$BD14,AllTriggers)</f>
        <v>9.3698543661131794E-4</v>
      </c>
      <c r="BN14" s="47">
        <f>_xll.qlPolynomialFunctionValue(BN$1,$BD14,AllTriggers)</f>
        <v>7.5616230914055604E-4</v>
      </c>
      <c r="BO14" s="47">
        <f>_xll.qlPolynomialFunctionValue(BO$1,$BD14,AllTriggers)</f>
        <v>9.0592927368986632E-4</v>
      </c>
      <c r="BP14" s="47">
        <f>_xll.qlPolynomialFunctionValue(BP$1,$BD14,AllTriggers)</f>
        <v>5.1664953835999492E-4</v>
      </c>
      <c r="BQ14" s="47">
        <f>_xll.qlPolynomialFunctionValue('3MSynthDepo_used'!$P$18,BD14,AllTriggers)</f>
        <v>9.8392873085896126E-4</v>
      </c>
    </row>
    <row r="15" spans="1:69" ht="12" customHeight="1" x14ac:dyDescent="0.2">
      <c r="A15" s="21">
        <f t="shared" ref="A15:A17" si="7">A4</f>
        <v>1</v>
      </c>
      <c r="B15" s="55">
        <f>A15+SUBSTITUTE($D$24,"M","")</f>
        <v>4</v>
      </c>
      <c r="C15" s="39" t="str">
        <f>"B"&amp;$D$24&amp;"_"&amp;A15&amp;"X"&amp;B15</f>
        <v>B3M_1X4</v>
      </c>
      <c r="D15" s="177">
        <f>_xll.qlCalendarAdvance(Calendar,SettlementDate,A15&amp;"M","mf")</f>
        <v>42170</v>
      </c>
      <c r="E15" s="177">
        <f>_xll.qlInterestRateIndexMaturity($D$25,D15)</f>
        <v>42262</v>
      </c>
      <c r="F15" s="53">
        <f>_xll.qlIndexFixing(ON_3M_index,_xll.qlInterestRateIndexFixingDate(ON_3M_index,D15,Trigger),,AllTriggers)</f>
        <v>-1.20622989614031E-3</v>
      </c>
      <c r="G15" s="53">
        <f t="shared" ref="G15:G20" si="8">H15+F15</f>
        <v>-4.9999999999999914E-5</v>
      </c>
      <c r="H15" s="202">
        <f>_xll.qlQuoteValue(C15,_xll.ohTrigger(InterestRatesTrigger,'3MSynthDepo_used'!E4))</f>
        <v>1.1562298961403101E-3</v>
      </c>
      <c r="I15" s="41">
        <f>_xll.qlDayCounterYearFraction(DayCounter,SettlementDate,D15,,,Trigger)</f>
        <v>8.8888888888888892E-2</v>
      </c>
      <c r="J15" s="242">
        <f>IF(($E$14-SettlementDate)-($D15-SettlementDate)&lt;0,0,($E$14-SettlementDate)-($D15-SettlementDate))</f>
        <v>60</v>
      </c>
      <c r="K15" s="21"/>
      <c r="L15" s="21"/>
      <c r="M15" s="21"/>
      <c r="N15" s="21"/>
      <c r="O15" s="21"/>
      <c r="P15" s="55"/>
      <c r="Q15" s="55"/>
      <c r="R15" s="55"/>
      <c r="S15" s="114" t="b">
        <v>1</v>
      </c>
      <c r="T15" s="114" t="b">
        <v>1</v>
      </c>
      <c r="U15" s="114" t="b">
        <v>1</v>
      </c>
      <c r="V15" s="114" t="b">
        <v>1</v>
      </c>
      <c r="AD15" s="94"/>
      <c r="AE15" s="27">
        <v>2.7777777777777778E-4</v>
      </c>
      <c r="AF15" s="31">
        <v>1.6666666666666666E-2</v>
      </c>
      <c r="AG15" s="28">
        <v>1</v>
      </c>
      <c r="AH15" s="280"/>
      <c r="AI15" s="29">
        <v>-3.184231233379881E-3</v>
      </c>
      <c r="AJ15" s="280"/>
      <c r="AK15" s="56">
        <v>1.010278581567673E-3</v>
      </c>
      <c r="AL15" s="27">
        <v>-70.588235294117652</v>
      </c>
      <c r="AM15" s="31">
        <v>72.857142857142861</v>
      </c>
      <c r="AN15" s="28">
        <v>-2.2689075630252105</v>
      </c>
      <c r="AO15" s="101"/>
      <c r="AP15" s="94"/>
      <c r="AQ15" s="27">
        <v>6.722793781435755E-3</v>
      </c>
      <c r="AR15" s="31">
        <v>3.6913580246913574E-2</v>
      </c>
      <c r="AS15" s="28">
        <v>0.25555555555555554</v>
      </c>
      <c r="AT15" s="280"/>
      <c r="AU15" s="29">
        <v>-1.5790419597372256E-2</v>
      </c>
      <c r="AV15" s="280"/>
      <c r="AW15" s="56">
        <v>2.5822388885101381E-4</v>
      </c>
      <c r="AX15" s="27">
        <v>-911.50895140664841</v>
      </c>
      <c r="AY15" s="31">
        <v>1056.5217391304332</v>
      </c>
      <c r="AZ15" s="28">
        <v>-145.01278772378487</v>
      </c>
      <c r="BA15" s="101"/>
      <c r="BC15" s="178">
        <f>_xll.qlCalendarAdvance(Calendar,BC14,"1d","mf",,Trigger)</f>
        <v>42151</v>
      </c>
      <c r="BD15" s="41">
        <f>_xll.qlDayCounterYearFraction(DayCounter,SettlementDate,BC15,,,Trigger)</f>
        <v>3.6111111111111108E-2</v>
      </c>
      <c r="BE15" s="47">
        <f>_xll.qlPolynomialFunctionValue(BE$1,$BD15,AllTriggers)</f>
        <v>1.2661707557334611E-3</v>
      </c>
      <c r="BF15" s="47">
        <f>_xll.qlPolynomialFunctionValue(BF$1,$BD15,AllTriggers)</f>
        <v>1.4875675299370053E-3</v>
      </c>
      <c r="BG15" s="47">
        <f>_xll.qlPolynomialFunctionValue(BG$1,$BD15,AllTriggers)</f>
        <v>7.6146223551472282E-4</v>
      </c>
      <c r="BH15" s="47">
        <f>_xll.qlPolynomialFunctionValue(BH$1,$BD15,AllTriggers)</f>
        <v>6.5745189892844132E-4</v>
      </c>
      <c r="BI15" s="47">
        <f>_xll.qlPolynomialFunctionValue(BI$1,$BD15,AllTriggers)</f>
        <v>1.2663041243587501E-3</v>
      </c>
      <c r="BJ15" s="47">
        <f>_xll.qlPolynomialFunctionValue(BJ$1,$BD15,AllTriggers)</f>
        <v>1.4877036199871792E-3</v>
      </c>
      <c r="BK15" s="47">
        <f>_xll.qlPolynomialFunctionValue(BK$1,$BD15,AllTriggers)</f>
        <v>7.6158940022700943E-4</v>
      </c>
      <c r="BL15" s="47">
        <f>_xll.qlPolynomialFunctionValue(BL$1,$BD15,AllTriggers)</f>
        <v>6.569688767923107E-4</v>
      </c>
      <c r="BM15" s="47">
        <f>_xll.qlPolynomialFunctionValue(BM$1,$BD15,AllTriggers)</f>
        <v>9.3990383768479606E-4</v>
      </c>
      <c r="BN15" s="47">
        <f>_xll.qlPolynomialFunctionValue(BN$1,$BD15,AllTriggers)</f>
        <v>7.6779759628691901E-4</v>
      </c>
      <c r="BO15" s="47">
        <f>_xll.qlPolynomialFunctionValue(BO$1,$BD15,AllTriggers)</f>
        <v>9.0927192621855868E-4</v>
      </c>
      <c r="BP15" s="47">
        <f>_xll.qlPolynomialFunctionValue(BP$1,$BD15,AllTriggers)</f>
        <v>5.3622127617854577E-4</v>
      </c>
      <c r="BQ15" s="47">
        <f>_xll.qlPolynomialFunctionValue('3MSynthDepo_used'!$P$18,BD15,AllTriggers)</f>
        <v>9.8609524508155876E-4</v>
      </c>
    </row>
    <row r="16" spans="1:69" ht="12" customHeight="1" x14ac:dyDescent="0.2">
      <c r="A16" s="21">
        <f t="shared" si="7"/>
        <v>2</v>
      </c>
      <c r="B16" s="55">
        <f>A16+SUBSTITUTE($D$24,"M","")</f>
        <v>5</v>
      </c>
      <c r="C16" s="39" t="str">
        <f>"B"&amp;$D$24&amp;"_"&amp;A16&amp;"X"&amp;B16</f>
        <v>B3M_2X5</v>
      </c>
      <c r="D16" s="177">
        <f>_xll.qlCalendarAdvance(Calendar,SettlementDate,A16&amp;"M","mf")</f>
        <v>42199</v>
      </c>
      <c r="E16" s="177">
        <f>_xll.qlInterestRateIndexMaturity($D$25,D16)</f>
        <v>42291</v>
      </c>
      <c r="F16" s="53">
        <f>_xll.qlIndexFixing(ON_3M_index,_xll.qlInterestRateIndexFixingDate(ON_3M_index,D16,Trigger),,AllTriggers)</f>
        <v>-1.1932794819214799E-3</v>
      </c>
      <c r="G16" s="53">
        <f t="shared" si="8"/>
        <v>-4.9999999999999914E-5</v>
      </c>
      <c r="H16" s="202">
        <f>_xll.qlQuoteValue(C16,_xll.ohTrigger(InterestRatesTrigger,'3MSynthDepo_used'!E5))</f>
        <v>1.14327948192148E-3</v>
      </c>
      <c r="I16" s="41">
        <f>_xll.qlDayCounterYearFraction(DayCounter,SettlementDate,D16,,,Trigger)</f>
        <v>0.16944444444444445</v>
      </c>
      <c r="J16" s="242">
        <f>IF(($E$14-SettlementDate)-($D16-SettlementDate)&lt;0,0,($E$14-SettlementDate)-($D16-SettlementDate))</f>
        <v>31</v>
      </c>
      <c r="K16" s="21"/>
      <c r="L16" s="21"/>
      <c r="M16" s="21"/>
      <c r="N16" s="21"/>
      <c r="O16" s="21"/>
      <c r="P16" s="55"/>
      <c r="Q16" s="55"/>
      <c r="R16" s="55"/>
      <c r="S16" s="114" t="b">
        <v>1</v>
      </c>
      <c r="T16" s="114" t="b">
        <v>1</v>
      </c>
      <c r="U16" s="114" t="b">
        <v>1</v>
      </c>
      <c r="V16" s="114" t="b">
        <v>1</v>
      </c>
      <c r="AD16" s="94"/>
      <c r="AE16" s="27">
        <v>8.9197530864197523E-3</v>
      </c>
      <c r="AF16" s="31">
        <v>9.4444444444444442E-2</v>
      </c>
      <c r="AG16" s="28">
        <v>1</v>
      </c>
      <c r="AH16" s="280"/>
      <c r="AI16" s="29">
        <v>1.0496466083624097E-3</v>
      </c>
      <c r="AJ16" s="280"/>
      <c r="AK16" s="56">
        <v>1.1889159582210733E-3</v>
      </c>
      <c r="AL16" s="27">
        <v>1</v>
      </c>
      <c r="AM16" s="31">
        <v>0</v>
      </c>
      <c r="AN16" s="28">
        <v>0</v>
      </c>
      <c r="AO16" s="101"/>
      <c r="AP16" s="94"/>
      <c r="AQ16" s="27">
        <v>1.4010859625057152E-2</v>
      </c>
      <c r="AR16" s="31">
        <v>5.6790123456790118E-2</v>
      </c>
      <c r="AS16" s="28">
        <v>0.25555555555555554</v>
      </c>
      <c r="AT16" s="280"/>
      <c r="AU16" s="29">
        <v>1.9935868301500076E-3</v>
      </c>
      <c r="AV16" s="280"/>
      <c r="AW16" s="56">
        <v>3.0388218690182881E-4</v>
      </c>
      <c r="AX16" s="27">
        <v>66.265984654731341</v>
      </c>
      <c r="AY16" s="31">
        <v>-69.285714285714135</v>
      </c>
      <c r="AZ16" s="28">
        <v>6.9327731092436728</v>
      </c>
      <c r="BA16" s="101"/>
      <c r="BC16" s="178">
        <f>_xll.qlCalendarAdvance(Calendar,BC15,"1d","mf",,Trigger)</f>
        <v>42152</v>
      </c>
      <c r="BD16" s="41">
        <f>_xll.qlDayCounterYearFraction(DayCounter,SettlementDate,BC16,,,Trigger)</f>
        <v>3.888888888888889E-2</v>
      </c>
      <c r="BE16" s="47">
        <f>_xll.qlPolynomialFunctionValue(BE$1,$BD16,AllTriggers)</f>
        <v>1.2596094179343385E-3</v>
      </c>
      <c r="BF16" s="47">
        <f>_xll.qlPolynomialFunctionValue(BF$1,$BD16,AllTriggers)</f>
        <v>1.453981829441404E-3</v>
      </c>
      <c r="BG16" s="47">
        <f>_xll.qlPolynomialFunctionValue(BG$1,$BD16,AllTriggers)</f>
        <v>7.678421418237728E-4</v>
      </c>
      <c r="BH16" s="47">
        <f>_xll.qlPolynomialFunctionValue(BH$1,$BD16,AllTriggers)</f>
        <v>6.6955664466168815E-4</v>
      </c>
      <c r="BI16" s="47">
        <f>_xll.qlPolynomialFunctionValue(BI$1,$BD16,AllTriggers)</f>
        <v>1.2597435392264647E-3</v>
      </c>
      <c r="BJ16" s="47">
        <f>_xll.qlPolynomialFunctionValue(BJ$1,$BD16,AllTriggers)</f>
        <v>1.4541183399730279E-3</v>
      </c>
      <c r="BK16" s="47">
        <f>_xll.qlPolynomialFunctionValue(BK$1,$BD16,AllTriggers)</f>
        <v>7.6797021827758924E-4</v>
      </c>
      <c r="BL16" s="47">
        <f>_xll.qlPolynomialFunctionValue(BL$1,$BD16,AllTriggers)</f>
        <v>6.6910811959947449E-4</v>
      </c>
      <c r="BM16" s="47">
        <f>_xll.qlPolynomialFunctionValue(BM$1,$BD16,AllTriggers)</f>
        <v>9.4282223875827406E-4</v>
      </c>
      <c r="BN16" s="47">
        <f>_xll.qlPolynomialFunctionValue(BN$1,$BD16,AllTriggers)</f>
        <v>7.7928650774765872E-4</v>
      </c>
      <c r="BO16" s="47">
        <f>_xll.qlPolynomialFunctionValue(BO$1,$BD16,AllTriggers)</f>
        <v>9.1261457874725115E-4</v>
      </c>
      <c r="BP16" s="47">
        <f>_xll.qlPolynomialFunctionValue(BP$1,$BD16,AllTriggers)</f>
        <v>5.5553733706731237E-4</v>
      </c>
      <c r="BQ16" s="47">
        <f>_xll.qlPolynomialFunctionValue('3MSynthDepo_used'!$P$18,BD16,AllTriggers)</f>
        <v>9.8825270900153176E-4</v>
      </c>
    </row>
    <row r="17" spans="1:69" ht="12" customHeight="1" x14ac:dyDescent="0.2">
      <c r="A17" s="21">
        <f t="shared" si="7"/>
        <v>3</v>
      </c>
      <c r="B17" s="55">
        <f>A17+SUBSTITUTE($D$24,"M","")</f>
        <v>6</v>
      </c>
      <c r="C17" s="166" t="str">
        <f>"B"&amp;$D$24&amp;"_"&amp;A17&amp;"X"&amp;B17</f>
        <v>B3M_3X6</v>
      </c>
      <c r="D17" s="263">
        <f>_xll.qlCalendarAdvance(Calendar,SettlementDate,A17&amp;"M","mf")</f>
        <v>42230</v>
      </c>
      <c r="E17" s="263">
        <f>_xll.qlInterestRateIndexMaturity($D$25,D17)</f>
        <v>42324</v>
      </c>
      <c r="F17" s="264">
        <f>_xll.qlIndexFixing(ON_3M_index,_xll.qlInterestRateIndexFixingDate(ON_3M_index,D17,Trigger),,AllTriggers)</f>
        <v>-1.211293220732817E-3</v>
      </c>
      <c r="G17" s="264">
        <f t="shared" si="8"/>
        <v>-5.9999999999999941E-5</v>
      </c>
      <c r="H17" s="268">
        <f>_xll.qlQuoteValue(C17,_xll.ohTrigger(InterestRatesTrigger,'3MSynthDepo_used'!E6))</f>
        <v>1.1512932207328171E-3</v>
      </c>
      <c r="I17" s="164">
        <f>_xll.qlDayCounterYearFraction(DayCounter,SettlementDate,D17,,,Trigger)</f>
        <v>0.25555555555555554</v>
      </c>
      <c r="J17" s="269">
        <f>IF(($E$14-SettlementDate)-($D17-SettlementDate)&lt;0,0,($E$14-SettlementDate)-($D17-SettlementDate))</f>
        <v>0</v>
      </c>
      <c r="K17" s="163"/>
      <c r="L17" s="163"/>
      <c r="M17" s="163"/>
      <c r="N17" s="163"/>
      <c r="O17" s="163"/>
      <c r="P17" s="165"/>
      <c r="Q17" s="165"/>
      <c r="R17" s="165"/>
      <c r="S17" s="266" t="b">
        <v>1</v>
      </c>
      <c r="T17" s="266" t="b">
        <v>1</v>
      </c>
      <c r="U17" s="266" t="b">
        <v>1</v>
      </c>
      <c r="V17" s="266" t="b">
        <v>1</v>
      </c>
      <c r="AD17" s="94"/>
      <c r="AE17" s="21"/>
      <c r="AF17" s="21"/>
      <c r="AG17" s="21"/>
      <c r="AH17" s="21"/>
      <c r="AI17" s="111"/>
      <c r="AJ17" s="33"/>
      <c r="AK17" s="22"/>
      <c r="AL17" s="21"/>
      <c r="AM17" s="21"/>
      <c r="AN17" s="21"/>
      <c r="AO17" s="101"/>
      <c r="AP17" s="94"/>
      <c r="AQ17" s="21"/>
      <c r="AR17" s="21"/>
      <c r="AS17" s="21"/>
      <c r="AT17" s="21"/>
      <c r="AU17" s="111"/>
      <c r="AV17" s="33"/>
      <c r="AW17" s="22"/>
      <c r="AX17" s="21"/>
      <c r="AY17" s="21"/>
      <c r="AZ17" s="21"/>
      <c r="BA17" s="101"/>
      <c r="BC17" s="178">
        <f>_xll.qlCalendarAdvance(Calendar,BC16,"1d","mf",,Trigger)</f>
        <v>42153</v>
      </c>
      <c r="BD17" s="41">
        <f>_xll.qlDayCounterYearFraction(DayCounter,SettlementDate,BC17,,,Trigger)</f>
        <v>4.1666666666666664E-2</v>
      </c>
      <c r="BE17" s="47">
        <f>_xll.qlPolynomialFunctionValue(BE$1,$BD17,AllTriggers)</f>
        <v>1.2530480801352156E-3</v>
      </c>
      <c r="BF17" s="47">
        <f>_xll.qlPolynomialFunctionValue(BF$1,$BD17,AllTriggers)</f>
        <v>1.4211573785992248E-3</v>
      </c>
      <c r="BG17" s="47">
        <f>_xll.qlPolynomialFunctionValue(BG$1,$BD17,AllTriggers)</f>
        <v>7.742220481328229E-4</v>
      </c>
      <c r="BH17" s="47">
        <f>_xll.qlPolynomialFunctionValue(BH$1,$BD17,AllTriggers)</f>
        <v>6.8155234583447421E-4</v>
      </c>
      <c r="BI17" s="47">
        <f>_xll.qlPolynomialFunctionValue(BI$1,$BD17,AllTriggers)</f>
        <v>1.2531829540941791E-3</v>
      </c>
      <c r="BJ17" s="47">
        <f>_xll.qlPolynomialFunctionValue(BJ$1,$BD17,AllTriggers)</f>
        <v>1.4212943189696339E-3</v>
      </c>
      <c r="BK17" s="47">
        <f>_xll.qlPolynomialFunctionValue(BK$1,$BD17,AllTriggers)</f>
        <v>7.7435103632816893E-4</v>
      </c>
      <c r="BL17" s="47">
        <f>_xll.qlPolynomialFunctionValue(BL$1,$BD17,AllTriggers)</f>
        <v>6.8113767812556043E-4</v>
      </c>
      <c r="BM17" s="47">
        <f>_xll.qlPolynomialFunctionValue(BM$1,$BD17,AllTriggers)</f>
        <v>9.4574063983175218E-4</v>
      </c>
      <c r="BN17" s="47">
        <f>_xll.qlPolynomialFunctionValue(BN$1,$BD17,AllTriggers)</f>
        <v>7.9062904352277528E-4</v>
      </c>
      <c r="BO17" s="47">
        <f>_xll.qlPolynomialFunctionValue(BO$1,$BD17,AllTriggers)</f>
        <v>9.159572312759435E-4</v>
      </c>
      <c r="BP17" s="47">
        <f>_xll.qlPolynomialFunctionValue(BP$1,$BD17,AllTriggers)</f>
        <v>5.7459772102629448E-4</v>
      </c>
      <c r="BQ17" s="47">
        <f>_xll.qlPolynomialFunctionValue('3MSynthDepo_used'!$P$18,BD17,AllTriggers)</f>
        <v>9.9040114108181043E-4</v>
      </c>
    </row>
    <row r="18" spans="1:69" ht="12" customHeight="1" x14ac:dyDescent="0.2">
      <c r="A18" s="21"/>
      <c r="B18" s="55" t="str">
        <f>B7</f>
        <v>K5</v>
      </c>
      <c r="C18" s="39" t="str">
        <f>"B"&amp;$D$24&amp;"_FUT"&amp;B18</f>
        <v>B3M_FUTK5</v>
      </c>
      <c r="D18" s="177">
        <f>_xll.qlIMMdate(B18,SettlementDate,Trigger)</f>
        <v>42144</v>
      </c>
      <c r="E18" s="177">
        <f>_xll.qlInterestRateIndexMaturity($D$25,D18)</f>
        <v>42236</v>
      </c>
      <c r="F18" s="53">
        <f>_xll.qlIndexFixing(ON_3M_index,_xll.qlInterestRateIndexFixingDate(ON_3M_index,D18,Trigger),,AllTriggers)</f>
        <v>-1.1352785815676037E-3</v>
      </c>
      <c r="G18" s="53">
        <f t="shared" si="8"/>
        <v>-1.2499999999993072E-4</v>
      </c>
      <c r="H18" s="202">
        <f>_xll.qlQuoteValue(C18,_xll.ohTrigger(InterestRatesTrigger,'3MSynthDepo_used'!E7))</f>
        <v>1.010278581567673E-3</v>
      </c>
      <c r="I18" s="41">
        <f>_xll.qlDayCounterYearFraction(DayCounter,SettlementDate,D18,,,Trigger)</f>
        <v>1.6666666666666666E-2</v>
      </c>
      <c r="J18" s="242">
        <f>IF(($E$14-SettlementDate)-($D18-SettlementDate)&lt;0,0,($E$14-SettlementDate)-($D18-SettlementDate))</f>
        <v>86</v>
      </c>
      <c r="P18" s="55"/>
      <c r="Q18" s="55"/>
      <c r="R18" s="55"/>
      <c r="S18" s="114" t="b">
        <v>1</v>
      </c>
      <c r="T18" s="114" t="b">
        <v>1</v>
      </c>
      <c r="U18" s="114" t="b">
        <v>1</v>
      </c>
      <c r="V18" s="114" t="b">
        <v>1</v>
      </c>
      <c r="AD18" s="94" t="s">
        <v>65</v>
      </c>
      <c r="AE18" s="21"/>
      <c r="AF18" s="21"/>
      <c r="AG18" s="21"/>
      <c r="AH18" s="21"/>
      <c r="AI18" s="113" t="s">
        <v>44</v>
      </c>
      <c r="AJ18" s="21"/>
      <c r="AK18" s="21"/>
      <c r="AL18" s="21"/>
      <c r="AM18" s="21"/>
      <c r="AN18" s="21"/>
      <c r="AO18" s="101"/>
      <c r="AP18" s="94"/>
      <c r="AQ18" s="21"/>
      <c r="AR18" s="21"/>
      <c r="AS18" s="21"/>
      <c r="AT18" s="21"/>
      <c r="AU18" s="113" t="s">
        <v>44</v>
      </c>
      <c r="AV18" s="21"/>
      <c r="AW18" s="21"/>
      <c r="AX18" s="21"/>
      <c r="AY18" s="21"/>
      <c r="AZ18" s="21"/>
      <c r="BA18" s="101"/>
      <c r="BC18" s="178">
        <f>_xll.qlCalendarAdvance(Calendar,BC17,"1d","mf",,Trigger)</f>
        <v>42156</v>
      </c>
      <c r="BD18" s="41">
        <f>_xll.qlDayCounterYearFraction(DayCounter,SettlementDate,BC18,,,Trigger)</f>
        <v>0.05</v>
      </c>
      <c r="BE18" s="47">
        <f>_xll.qlPolynomialFunctionValue(BE$1,$BD18,AllTriggers)</f>
        <v>1.2333640667378473E-3</v>
      </c>
      <c r="BF18" s="47">
        <f>_xll.qlPolynomialFunctionValue(BF$1,$BD18,AllTriggers)</f>
        <v>1.3272515239932184E-3</v>
      </c>
      <c r="BG18" s="47">
        <f>_xll.qlPolynomialFunctionValue(BG$1,$BD18,AllTriggers)</f>
        <v>7.9336176705997285E-4</v>
      </c>
      <c r="BH18" s="47">
        <f>_xll.qlPolynomialFunctionValue(BH$1,$BD18,AllTriggers)</f>
        <v>7.1688518199006679E-4</v>
      </c>
      <c r="BI18" s="47">
        <f>_xll.qlPolynomialFunctionValue(BI$1,$BD18,AllTriggers)</f>
        <v>1.2335011986973228E-3</v>
      </c>
      <c r="BJ18" s="47">
        <f>_xll.qlPolynomialFunctionValue(BJ$1,$BD18,AllTriggers)</f>
        <v>1.3273898100239919E-3</v>
      </c>
      <c r="BK18" s="47">
        <f>_xll.qlPolynomialFunctionValue(BK$1,$BD18,AllTriggers)</f>
        <v>7.9349349047990814E-4</v>
      </c>
      <c r="BL18" s="47">
        <f>_xll.qlPolynomialFunctionValue(BL$1,$BD18,AllTriggers)</f>
        <v>7.1656824801735177E-4</v>
      </c>
      <c r="BM18" s="47">
        <f>_xll.qlPolynomialFunctionValue(BM$1,$BD18,AllTriggers)</f>
        <v>9.5449584305218652E-4</v>
      </c>
      <c r="BN18" s="47">
        <f>_xll.qlPolynomialFunctionValue(BN$1,$BD18,AllTriggers)</f>
        <v>8.2377839673438563E-4</v>
      </c>
      <c r="BO18" s="47">
        <f>_xll.qlPolynomialFunctionValue(BO$1,$BD18,AllTriggers)</f>
        <v>9.2598518886202079E-4</v>
      </c>
      <c r="BP18" s="47">
        <f>_xll.qlPolynomialFunctionValue(BP$1,$BD18,AllTriggers)</f>
        <v>6.302448113245353E-4</v>
      </c>
      <c r="BQ18" s="47">
        <f>_xll.qlPolynomialFunctionValue('3MSynthDepo_used'!$P$18,BD18,AllTriggers)</f>
        <v>9.9679243091378863E-4</v>
      </c>
    </row>
    <row r="19" spans="1:69" ht="12" customHeight="1" x14ac:dyDescent="0.2">
      <c r="A19" s="21"/>
      <c r="B19" s="55" t="str">
        <f t="shared" ref="B19:B20" si="9">B8</f>
        <v>M5</v>
      </c>
      <c r="C19" s="39" t="str">
        <f t="shared" ref="C19:C20" si="10">"B"&amp;$D$24&amp;"_FUT"&amp;B19</f>
        <v>B3M_FUTM5</v>
      </c>
      <c r="D19" s="177">
        <f>_xll.qlIMMdate(B19,SettlementDate,Trigger)</f>
        <v>42172</v>
      </c>
      <c r="E19" s="177">
        <f>_xll.qlInterestRateIndexMaturity($D$25,D19)</f>
        <v>42264</v>
      </c>
      <c r="F19" s="53">
        <f>_xll.qlIndexFixing(ON_3M_index,_xll.qlInterestRateIndexFixingDate(ON_3M_index,D19,Trigger),,AllTriggers)</f>
        <v>-1.213915958221015E-3</v>
      </c>
      <c r="G19" s="53">
        <f t="shared" si="8"/>
        <v>-2.4999999999941735E-5</v>
      </c>
      <c r="H19" s="202">
        <f>_xll.qlQuoteValue(C19,_xll.ohTrigger(InterestRatesTrigger,'3MSynthDepo_used'!E8))</f>
        <v>1.1889159582210733E-3</v>
      </c>
      <c r="I19" s="41">
        <f>_xll.qlDayCounterYearFraction(DayCounter,SettlementDate,D19,,,Trigger)</f>
        <v>9.4444444444444442E-2</v>
      </c>
      <c r="J19" s="242">
        <f>IF(($E$14-SettlementDate)-($D19-SettlementDate)&lt;0,0,($E$14-SettlementDate)-($D19-SettlementDate))</f>
        <v>58</v>
      </c>
      <c r="P19" s="55"/>
      <c r="Q19" s="55"/>
      <c r="R19" s="55"/>
      <c r="S19" s="114" t="b">
        <v>1</v>
      </c>
      <c r="T19" s="114" t="b">
        <v>1</v>
      </c>
      <c r="U19" s="114" t="b">
        <v>1</v>
      </c>
      <c r="V19" s="114" t="b">
        <v>1</v>
      </c>
      <c r="AD19" s="94"/>
      <c r="AE19" s="27">
        <f t="array" ref="AE19:AE21">_xll.ohFilter(L3:L9,V3:V9)</f>
        <v>2.7777777777777778E-4</v>
      </c>
      <c r="AF19" s="31">
        <f t="array" ref="AF19:AF21">_xll.ohFilter(K3:K9,V3:V9)</f>
        <v>1.6666666666666666E-2</v>
      </c>
      <c r="AG19" s="28">
        <f t="array" ref="AG19:AG21">_xll.ohFilter(J3:J9,V3:V9)</f>
        <v>1</v>
      </c>
      <c r="AH19" s="280" t="s">
        <v>20</v>
      </c>
      <c r="AI19" s="29">
        <f t="array" ref="AI19:AI21">MMULT(AL19:AN21,AK19:AK21)</f>
        <v>-7.0660875178658687E-3</v>
      </c>
      <c r="AJ19" s="280" t="s">
        <v>21</v>
      </c>
      <c r="AK19" s="56">
        <f t="array" ref="AK19:AK21">_xll.ohFilter(H3:H9,V3:V9)</f>
        <v>1.010278581567673E-3</v>
      </c>
      <c r="AL19" s="27">
        <f t="array" ref="AL19:AN21">MINVERSE(AE19:AG21)</f>
        <v>38.895558223289306</v>
      </c>
      <c r="AM19" s="31">
        <v>-50.863422291993714</v>
      </c>
      <c r="AN19" s="28">
        <v>11.967864068704404</v>
      </c>
      <c r="AO19" s="101"/>
      <c r="AP19" s="94"/>
      <c r="AQ19" s="27">
        <f t="array" ref="AQ19:AQ21">_xll.ohFilter(R3:R9,V3:V9)</f>
        <v>6.722793781435755E-3</v>
      </c>
      <c r="AR19" s="31">
        <f t="array" ref="AR19:AR21">_xll.ohFilter(Q3:Q9,V3:V9)</f>
        <v>3.6913580246913574E-2</v>
      </c>
      <c r="AS19" s="28">
        <f t="array" ref="AS19:AS21">_xll.ohFilter(P3:P9,V3:V9)</f>
        <v>0.25555555555555554</v>
      </c>
      <c r="AT19" s="280" t="s">
        <v>20</v>
      </c>
      <c r="AU19" s="29">
        <f t="array" ref="AU19:AU21">MMULT(AX19:AZ21,AW19:AW21)</f>
        <v>-7.1075414138408715E-3</v>
      </c>
      <c r="AV19" s="280" t="s">
        <v>21</v>
      </c>
      <c r="AW19" s="56">
        <f t="array" ref="AW19:AW21">_xll.ohFilter(M3:M9,V3:V9)</f>
        <v>2.5822388885101381E-4</v>
      </c>
      <c r="AX19" s="27">
        <f t="array" ref="AX19:AZ21">MINVERSE(AQ19:AS21)</f>
        <v>153.05985735571576</v>
      </c>
      <c r="AY19" s="31">
        <v>-200.41539333317479</v>
      </c>
      <c r="AZ19" s="28">
        <v>47.875926482705829</v>
      </c>
      <c r="BA19" s="101"/>
      <c r="BC19" s="178">
        <f>_xll.qlCalendarAdvance(Calendar,BC18,"1d","mf",,Trigger)</f>
        <v>42157</v>
      </c>
      <c r="BD19" s="41">
        <f>_xll.qlDayCounterYearFraction(DayCounter,SettlementDate,BC19,,,Trigger)</f>
        <v>5.2777777777777778E-2</v>
      </c>
      <c r="BE19" s="47">
        <f>_xll.qlPolynomialFunctionValue(BE$1,$BD19,AllTriggers)</f>
        <v>1.2268027289387246E-3</v>
      </c>
      <c r="BF19" s="47">
        <f>_xll.qlPolynomialFunctionValue(BF$1,$BD19,AllTriggers)</f>
        <v>1.2974720717647268E-3</v>
      </c>
      <c r="BG19" s="47">
        <f>_xll.qlPolynomialFunctionValue(BG$1,$BD19,AllTriggers)</f>
        <v>7.9974167336902295E-4</v>
      </c>
      <c r="BH19" s="47">
        <f>_xll.qlPolynomialFunctionValue(BH$1,$BD19,AllTriggers)</f>
        <v>7.2844470492100923E-4</v>
      </c>
      <c r="BI19" s="47">
        <f>_xll.qlPolynomialFunctionValue(BI$1,$BD19,AllTriggers)</f>
        <v>1.2269406135650375E-3</v>
      </c>
      <c r="BJ19" s="47">
        <f>_xll.qlPolynomialFunctionValue(BJ$1,$BD19,AllTriggers)</f>
        <v>1.2976108250636247E-3</v>
      </c>
      <c r="BK19" s="47">
        <f>_xll.qlPolynomialFunctionValue(BK$1,$BD19,AllTriggers)</f>
        <v>7.9987430853048784E-4</v>
      </c>
      <c r="BL19" s="47">
        <f>_xll.qlPolynomialFunctionValue(BL$1,$BD19,AllTriggers)</f>
        <v>7.2815906941912651E-4</v>
      </c>
      <c r="BM19" s="47">
        <f>_xll.qlPolynomialFunctionValue(BM$1,$BD19,AllTriggers)</f>
        <v>9.5741424412566464E-4</v>
      </c>
      <c r="BN19" s="47">
        <f>_xll.qlPolynomialFunctionValue(BN$1,$BD19,AllTriggers)</f>
        <v>8.3453542976700938E-4</v>
      </c>
      <c r="BO19" s="47">
        <f>_xll.qlPolynomialFunctionValue(BO$1,$BD19,AllTriggers)</f>
        <v>9.2932784139071326E-4</v>
      </c>
      <c r="BP19" s="47">
        <f>_xll.qlPolynomialFunctionValue(BP$1,$BD19,AllTriggers)</f>
        <v>6.4828248756438017E-4</v>
      </c>
      <c r="BQ19" s="47">
        <f>_xll.qlPolynomialFunctionValue('3MSynthDepo_used'!$P$18,BD19,AllTriggers)</f>
        <v>9.9890492026459901E-4</v>
      </c>
    </row>
    <row r="20" spans="1:69" ht="12" customHeight="1" x14ac:dyDescent="0.2">
      <c r="A20" s="21"/>
      <c r="B20" s="55" t="str">
        <f t="shared" si="9"/>
        <v>U5</v>
      </c>
      <c r="C20" s="42" t="str">
        <f t="shared" si="10"/>
        <v>B3M_FUTU5</v>
      </c>
      <c r="D20" s="181">
        <f>_xll.qlIMMdate(B20,SettlementDate,Trigger)</f>
        <v>42263</v>
      </c>
      <c r="E20" s="181">
        <f>_xll.qlInterestRateIndexMaturity($D$25,D20)</f>
        <v>42354</v>
      </c>
      <c r="F20" s="54">
        <f>_xll.qlIndexFixing(ON_3M_index,_xll.qlInterestRateIndexFixingDate(ON_3M_index,D20,Trigger),,AllTriggers)</f>
        <v>-1.254065659728944E-3</v>
      </c>
      <c r="G20" s="54">
        <f t="shared" si="8"/>
        <v>-7.4999999999825206E-5</v>
      </c>
      <c r="H20" s="203">
        <f>_xll.qlQuoteValue(C20,_xll.ohTrigger(InterestRatesTrigger,'3MSynthDepo_used'!E9))</f>
        <v>1.1790656597291187E-3</v>
      </c>
      <c r="I20" s="44">
        <f>_xll.qlDayCounterYearFraction(DayCounter,SettlementDate,D20,,,Trigger)</f>
        <v>0.34722222222222221</v>
      </c>
      <c r="J20" s="243">
        <f>IF(($E$14-SettlementDate)-($D20-SettlementDate)&lt;0,0,($E$14-SettlementDate)-($D20-SettlementDate))</f>
        <v>0</v>
      </c>
      <c r="P20" s="55"/>
      <c r="Q20" s="55"/>
      <c r="R20" s="55"/>
      <c r="S20" s="150" t="b">
        <v>1</v>
      </c>
      <c r="T20" s="150" t="b">
        <v>1</v>
      </c>
      <c r="U20" s="150" t="b">
        <v>1</v>
      </c>
      <c r="V20" s="150" t="b">
        <v>1</v>
      </c>
      <c r="AD20" s="94"/>
      <c r="AE20" s="27">
        <v>8.9197530864197523E-3</v>
      </c>
      <c r="AF20" s="31">
        <v>9.4444444444444442E-2</v>
      </c>
      <c r="AG20" s="28">
        <v>1</v>
      </c>
      <c r="AH20" s="280"/>
      <c r="AI20" s="29">
        <v>3.0818871065764293E-3</v>
      </c>
      <c r="AJ20" s="280"/>
      <c r="AK20" s="56">
        <v>1.1889159582210733E-3</v>
      </c>
      <c r="AL20" s="27">
        <v>-17.178871548619448</v>
      </c>
      <c r="AM20" s="31">
        <v>18.508634222919934</v>
      </c>
      <c r="AN20" s="28">
        <v>-1.3297626743004891</v>
      </c>
      <c r="AO20" s="101"/>
      <c r="AP20" s="94"/>
      <c r="AQ20" s="27">
        <v>1.4010859625057152E-2</v>
      </c>
      <c r="AR20" s="31">
        <v>5.6790123456790118E-2</v>
      </c>
      <c r="AS20" s="28">
        <v>0.25555555555555554</v>
      </c>
      <c r="AT20" s="280"/>
      <c r="AU20" s="29">
        <v>4.9031930166170273E-3</v>
      </c>
      <c r="AV20" s="280"/>
      <c r="AW20" s="56">
        <v>3.0388218690182881E-4</v>
      </c>
      <c r="AX20" s="27">
        <v>-106.43250670330696</v>
      </c>
      <c r="AY20" s="31">
        <v>123.79620322837526</v>
      </c>
      <c r="AZ20" s="28">
        <v>-17.554506376992137</v>
      </c>
      <c r="BA20" s="101"/>
      <c r="BC20" s="178">
        <f>_xll.qlCalendarAdvance(Calendar,BC19,"1d","mf",,Trigger)</f>
        <v>42158</v>
      </c>
      <c r="BD20" s="41">
        <f>_xll.qlDayCounterYearFraction(DayCounter,SettlementDate,BC20,,,Trigger)</f>
        <v>5.5555555555555552E-2</v>
      </c>
      <c r="BE20" s="47">
        <f>_xll.qlPolynomialFunctionValue(BE$1,$BD20,AllTriggers)</f>
        <v>1.2202413911396018E-3</v>
      </c>
      <c r="BF20" s="47">
        <f>_xll.qlPolynomialFunctionValue(BF$1,$BD20,AllTriggers)</f>
        <v>1.268453869189657E-3</v>
      </c>
      <c r="BG20" s="47">
        <f>_xll.qlPolynomialFunctionValue(BG$1,$BD20,AllTriggers)</f>
        <v>8.0612157967807293E-4</v>
      </c>
      <c r="BH20" s="47">
        <f>_xll.qlPolynomialFunctionValue(BH$1,$BD20,AllTriggers)</f>
        <v>7.3989518329149078E-4</v>
      </c>
      <c r="BI20" s="47">
        <f>_xll.qlPolynomialFunctionValue(BI$1,$BD20,AllTriggers)</f>
        <v>1.2203800284327519E-3</v>
      </c>
      <c r="BJ20" s="47">
        <f>_xll.qlPolynomialFunctionValue(BJ$1,$BD20,AllTriggers)</f>
        <v>1.2685930991140145E-3</v>
      </c>
      <c r="BK20" s="47">
        <f>_xll.qlPolynomialFunctionValue(BK$1,$BD20,AllTriggers)</f>
        <v>8.0625512658106754E-4</v>
      </c>
      <c r="BL20" s="47">
        <f>_xll.qlPolynomialFunctionValue(BL$1,$BD20,AllTriggers)</f>
        <v>7.3964020653982351E-4</v>
      </c>
      <c r="BM20" s="47">
        <f>_xll.qlPolynomialFunctionValue(BM$1,$BD20,AllTriggers)</f>
        <v>9.6033264519914264E-4</v>
      </c>
      <c r="BN20" s="47">
        <f>_xll.qlPolynomialFunctionValue(BN$1,$BD20,AllTriggers)</f>
        <v>8.4514608711400998E-4</v>
      </c>
      <c r="BO20" s="47">
        <f>_xll.qlPolynomialFunctionValue(BO$1,$BD20,AllTriggers)</f>
        <v>9.3267049391940573E-4</v>
      </c>
      <c r="BP20" s="47">
        <f>_xll.qlPolynomialFunctionValue(BP$1,$BD20,AllTriggers)</f>
        <v>6.6606448687444079E-4</v>
      </c>
      <c r="BQ20" s="47">
        <f>_xll.qlPolynomialFunctionValue('3MSynthDepo_used'!$P$18,BD20,AllTriggers)</f>
        <v>1.0010084700903686E-3</v>
      </c>
    </row>
    <row r="21" spans="1:69" ht="12" customHeight="1" x14ac:dyDescent="0.2">
      <c r="A21" s="21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W21" s="55"/>
      <c r="AD21" s="94"/>
      <c r="AE21" s="27">
        <v>0.12056327160493827</v>
      </c>
      <c r="AF21" s="31">
        <v>0.34722222222222221</v>
      </c>
      <c r="AG21" s="28">
        <v>1</v>
      </c>
      <c r="AH21" s="280"/>
      <c r="AI21" s="29">
        <v>9.6087659854636183E-4</v>
      </c>
      <c r="AJ21" s="280"/>
      <c r="AK21" s="56">
        <v>1.1790656597291187E-3</v>
      </c>
      <c r="AL21" s="27">
        <v>1.2755102040816326</v>
      </c>
      <c r="AM21" s="31">
        <v>-0.29434850863422291</v>
      </c>
      <c r="AN21" s="28">
        <v>1.8838304552590262E-2</v>
      </c>
      <c r="AO21" s="101"/>
      <c r="AP21" s="94"/>
      <c r="AQ21" s="27">
        <v>5.8045917638317325E-2</v>
      </c>
      <c r="AR21" s="31">
        <v>0.11971836419753086</v>
      </c>
      <c r="AS21" s="28">
        <v>0.25277777777777777</v>
      </c>
      <c r="AT21" s="280"/>
      <c r="AU21" s="29">
        <v>4.8917745072110251E-4</v>
      </c>
      <c r="AV21" s="280"/>
      <c r="AW21" s="56">
        <v>2.9809167270768871E-4</v>
      </c>
      <c r="AX21" s="27">
        <v>15.260145729864412</v>
      </c>
      <c r="AY21" s="31">
        <v>-12.609429347463585</v>
      </c>
      <c r="AZ21" s="28">
        <v>1.2761988221881766</v>
      </c>
      <c r="BA21" s="101"/>
      <c r="BC21" s="178">
        <f>_xll.qlCalendarAdvance(Calendar,BC20,"1d","mf",,Trigger)</f>
        <v>42159</v>
      </c>
      <c r="BD21" s="41">
        <f>_xll.qlDayCounterYearFraction(DayCounter,SettlementDate,BC21,,,Trigger)</f>
        <v>5.8333333333333334E-2</v>
      </c>
      <c r="BE21" s="47">
        <f>_xll.qlPolynomialFunctionValue(BE$1,$BD21,AllTriggers)</f>
        <v>1.2136800533404789E-3</v>
      </c>
      <c r="BF21" s="47">
        <f>_xll.qlPolynomialFunctionValue(BF$1,$BD21,AllTriggers)</f>
        <v>1.2401969162680092E-3</v>
      </c>
      <c r="BG21" s="47">
        <f>_xll.qlPolynomialFunctionValue(BG$1,$BD21,AllTriggers)</f>
        <v>8.1250148598712292E-4</v>
      </c>
      <c r="BH21" s="47">
        <f>_xll.qlPolynomialFunctionValue(BH$1,$BD21,AllTriggers)</f>
        <v>7.5123661710151135E-4</v>
      </c>
      <c r="BI21" s="47">
        <f>_xll.qlPolynomialFunctionValue(BI$1,$BD21,AllTriggers)</f>
        <v>1.2138194433004665E-3</v>
      </c>
      <c r="BJ21" s="47">
        <f>_xll.qlPolynomialFunctionValue(BJ$1,$BD21,AllTriggers)</f>
        <v>1.240336632175161E-3</v>
      </c>
      <c r="BK21" s="47">
        <f>_xll.qlPolynomialFunctionValue(BK$1,$BD21,AllTriggers)</f>
        <v>8.1263594463164735E-4</v>
      </c>
      <c r="BL21" s="47">
        <f>_xll.qlPolynomialFunctionValue(BL$1,$BD21,AllTriggers)</f>
        <v>7.5101165937944275E-4</v>
      </c>
      <c r="BM21" s="47">
        <f>_xll.qlPolynomialFunctionValue(BM$1,$BD21,AllTriggers)</f>
        <v>9.6325104627262076E-4</v>
      </c>
      <c r="BN21" s="47">
        <f>_xll.qlPolynomialFunctionValue(BN$1,$BD21,AllTriggers)</f>
        <v>8.5561036877538732E-4</v>
      </c>
      <c r="BO21" s="47">
        <f>_xll.qlPolynomialFunctionValue(BO$1,$BD21,AllTriggers)</f>
        <v>9.3601314644809809E-4</v>
      </c>
      <c r="BP21" s="47">
        <f>_xll.qlPolynomialFunctionValue(BP$1,$BD21,AllTriggers)</f>
        <v>6.8359080925471704E-4</v>
      </c>
      <c r="BQ21" s="47">
        <f>_xll.qlPolynomialFunctionValue('3MSynthDepo_used'!$P$18,BD21,AllTriggers)</f>
        <v>1.0031030988540291E-3</v>
      </c>
    </row>
    <row r="22" spans="1:69" ht="12" customHeight="1" x14ac:dyDescent="0.2">
      <c r="H22" s="21"/>
      <c r="I22" s="21"/>
      <c r="J22" s="21"/>
      <c r="L22" s="21"/>
      <c r="M22" s="21"/>
      <c r="N22" s="21"/>
      <c r="P22" s="21"/>
      <c r="Q22" s="21"/>
      <c r="R22" s="21"/>
      <c r="X22" s="21"/>
      <c r="Y22" s="21"/>
      <c r="Z22" s="21"/>
      <c r="AA22" s="21"/>
      <c r="AB22" s="21"/>
      <c r="AC22" s="21"/>
      <c r="AD22" s="95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103"/>
      <c r="AP22" s="95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103"/>
      <c r="BC22" s="178">
        <f>_xll.qlCalendarAdvance(Calendar,BC21,"1d","mf",,Trigger)</f>
        <v>42160</v>
      </c>
      <c r="BD22" s="41">
        <f>_xll.qlDayCounterYearFraction(DayCounter,SettlementDate,BC22,,,Trigger)</f>
        <v>6.1111111111111109E-2</v>
      </c>
      <c r="BE22" s="47">
        <f>_xll.qlPolynomialFunctionValue(BE$1,$BD22,AllTriggers)</f>
        <v>1.2071187155413563E-3</v>
      </c>
      <c r="BF22" s="47">
        <f>_xll.qlPolynomialFunctionValue(BF$1,$BD22,AllTriggers)</f>
        <v>1.2127012129997834E-3</v>
      </c>
      <c r="BG22" s="47">
        <f>_xll.qlPolynomialFunctionValue(BG$1,$BD22,AllTriggers)</f>
        <v>8.188813922961729E-4</v>
      </c>
      <c r="BH22" s="47">
        <f>_xll.qlPolynomialFunctionValue(BH$1,$BD22,AllTriggers)</f>
        <v>7.6246900635107125E-4</v>
      </c>
      <c r="BI22" s="47">
        <f>_xll.qlPolynomialFunctionValue(BI$1,$BD22,AllTriggers)</f>
        <v>1.2072588581681812E-3</v>
      </c>
      <c r="BJ22" s="47">
        <f>_xll.qlPolynomialFunctionValue(BJ$1,$BD22,AllTriggers)</f>
        <v>1.2128414242470644E-3</v>
      </c>
      <c r="BK22" s="47">
        <f>_xll.qlPolynomialFunctionValue(BK$1,$BD22,AllTriggers)</f>
        <v>8.1901676268222705E-4</v>
      </c>
      <c r="BL22" s="47">
        <f>_xll.qlPolynomialFunctionValue(BL$1,$BD22,AllTriggers)</f>
        <v>7.6227342793798436E-4</v>
      </c>
      <c r="BM22" s="47">
        <f>_xll.qlPolynomialFunctionValue(BM$1,$BD22,AllTriggers)</f>
        <v>9.6616944734609887E-4</v>
      </c>
      <c r="BN22" s="47">
        <f>_xll.qlPolynomialFunctionValue(BN$1,$BD22,AllTriggers)</f>
        <v>8.6592827475114129E-4</v>
      </c>
      <c r="BO22" s="47">
        <f>_xll.qlPolynomialFunctionValue(BO$1,$BD22,AllTriggers)</f>
        <v>9.3935579897679055E-4</v>
      </c>
      <c r="BP22" s="47">
        <f>_xll.qlPolynomialFunctionValue(BP$1,$BD22,AllTriggers)</f>
        <v>7.0086145470520892E-4</v>
      </c>
      <c r="BQ22" s="47">
        <f>_xll.qlPolynomialFunctionValue('3MSynthDepo_used'!$P$18,BD22,AllTriggers)</f>
        <v>1.0051888250185111E-3</v>
      </c>
    </row>
    <row r="23" spans="1:69" ht="12" customHeight="1" x14ac:dyDescent="0.2">
      <c r="W23" s="21"/>
      <c r="X23" s="21"/>
      <c r="Y23" s="21"/>
      <c r="Z23" s="21"/>
      <c r="AA23" s="21"/>
      <c r="AB23" s="21"/>
      <c r="AC23" s="21"/>
      <c r="AD23" s="93"/>
      <c r="AE23" s="93"/>
      <c r="AF23" s="93"/>
      <c r="AG23" s="93"/>
      <c r="AH23" s="93"/>
      <c r="BC23" s="178">
        <f>_xll.qlCalendarAdvance(Calendar,BC22,"1d","mf",,Trigger)</f>
        <v>42163</v>
      </c>
      <c r="BD23" s="41">
        <f>_xll.qlDayCounterYearFraction(DayCounter,SettlementDate,BC23,,,Trigger)</f>
        <v>6.9444444444444448E-2</v>
      </c>
      <c r="BE23" s="47">
        <f>_xll.qlPolynomialFunctionValue(BE$1,$BD23,AllTriggers)</f>
        <v>1.1874347021439879E-3</v>
      </c>
      <c r="BF23" s="47">
        <f>_xll.qlPolynomialFunctionValue(BF$1,$BD23,AllTriggers)</f>
        <v>1.1347816011156374E-3</v>
      </c>
      <c r="BG23" s="47">
        <f>_xll.qlPolynomialFunctionValue(BG$1,$BD23,AllTriggers)</f>
        <v>8.3802111122332297E-4</v>
      </c>
      <c r="BH23" s="47">
        <f>_xll.qlPolynomialFunctionValue(BH$1,$BD23,AllTriggers)</f>
        <v>7.9551190673698502E-4</v>
      </c>
      <c r="BI23" s="47">
        <f>_xll.qlPolynomialFunctionValue(BI$1,$BD23,AllTriggers)</f>
        <v>1.1875771027713249E-3</v>
      </c>
      <c r="BJ23" s="47">
        <f>_xll.qlPolynomialFunctionValue(BJ$1,$BD23,AllTriggers)</f>
        <v>1.1349233545273145E-3</v>
      </c>
      <c r="BK23" s="47">
        <f>_xll.qlPolynomialFunctionValue(BK$1,$BD23,AllTriggers)</f>
        <v>8.3815921683396636E-4</v>
      </c>
      <c r="BL23" s="47">
        <f>_xll.qlPolynomialFunctionValue(BL$1,$BD23,AllTriggers)</f>
        <v>7.9540062792714185E-4</v>
      </c>
      <c r="BM23" s="47">
        <f>_xll.qlPolynomialFunctionValue(BM$1,$BD23,AllTriggers)</f>
        <v>9.7492465056653321E-4</v>
      </c>
      <c r="BN23" s="47">
        <f>_xll.qlPolynomialFunctionValue(BN$1,$BD23,AllTriggers)</f>
        <v>8.9600373856466432E-4</v>
      </c>
      <c r="BO23" s="47">
        <f>_xll.qlPolynomialFunctionValue(BO$1,$BD23,AllTriggers)</f>
        <v>9.4938375656286784E-4</v>
      </c>
      <c r="BP23" s="47">
        <f>_xll.qlPolynomialFunctionValue(BP$1,$BD23,AllTriggers)</f>
        <v>7.5113932947797881E-4</v>
      </c>
      <c r="BQ23" s="47">
        <f>_xll.qlPolynomialFunctionValue('3MSynthDepo_used'!$P$18,BD23,AllTriggers)</f>
        <v>1.011392772546195E-3</v>
      </c>
    </row>
    <row r="24" spans="1:69" ht="12" customHeight="1" x14ac:dyDescent="0.2">
      <c r="A24" s="21"/>
      <c r="B24" s="55"/>
      <c r="C24" s="36" t="s">
        <v>62</v>
      </c>
      <c r="D24" s="51" t="s">
        <v>23</v>
      </c>
      <c r="F24" s="187" t="s">
        <v>90</v>
      </c>
      <c r="G24" s="188" t="b">
        <v>1</v>
      </c>
      <c r="H24" s="235"/>
      <c r="S24" s="236"/>
      <c r="T24" s="237"/>
      <c r="U24" s="188" t="b">
        <v>0</v>
      </c>
      <c r="V24" s="235"/>
      <c r="W24" s="236"/>
      <c r="X24" s="237"/>
      <c r="Y24" s="188" t="b">
        <v>1</v>
      </c>
      <c r="Z24" s="235"/>
      <c r="AA24" s="236"/>
      <c r="AB24" s="236"/>
      <c r="BC24" s="178">
        <f>_xll.qlCalendarAdvance(Calendar,BC23,"1d","mf",,Trigger)</f>
        <v>42164</v>
      </c>
      <c r="BD24" s="41">
        <f>_xll.qlDayCounterYearFraction(DayCounter,SettlementDate,BC24,,,Trigger)</f>
        <v>7.2222222222222215E-2</v>
      </c>
      <c r="BE24" s="47">
        <f>_xll.qlPolynomialFunctionValue(BE$1,$BD24,AllTriggers)</f>
        <v>1.1808733643448653E-3</v>
      </c>
      <c r="BF24" s="47">
        <f>_xll.qlPolynomialFunctionValue(BF$1,$BD24,AllTriggers)</f>
        <v>1.1103308964610994E-3</v>
      </c>
      <c r="BG24" s="47">
        <f>_xll.qlPolynomialFunctionValue(BG$1,$BD24,AllTriggers)</f>
        <v>8.4440101753237296E-4</v>
      </c>
      <c r="BH24" s="47">
        <f>_xll.qlPolynomialFunctionValue(BH$1,$BD24,AllTriggers)</f>
        <v>8.0630811774470119E-4</v>
      </c>
      <c r="BI24" s="47">
        <f>_xll.qlPolynomialFunctionValue(BI$1,$BD24,AllTriggers)</f>
        <v>1.1810165176390393E-3</v>
      </c>
      <c r="BJ24" s="47">
        <f>_xll.qlPolynomialFunctionValue(BJ$1,$BD24,AllTriggers)</f>
        <v>1.1104731826422449E-3</v>
      </c>
      <c r="BK24" s="47">
        <f>_xll.qlPolynomialFunctionValue(BK$1,$BD24,AllTriggers)</f>
        <v>8.4454003488454595E-4</v>
      </c>
      <c r="BL24" s="47">
        <f>_xll.qlPolynomialFunctionValue(BL$1,$BD24,AllTriggers)</f>
        <v>8.0622365936137215E-4</v>
      </c>
      <c r="BM24" s="47">
        <f>_xll.qlPolynomialFunctionValue(BM$1,$BD24,AllTriggers)</f>
        <v>9.7784305164001122E-4</v>
      </c>
      <c r="BN24" s="47">
        <f>_xll.qlPolynomialFunctionValue(BN$1,$BD24,AllTriggers)</f>
        <v>9.0573614179792559E-4</v>
      </c>
      <c r="BO24" s="47">
        <f>_xll.qlPolynomialFunctionValue(BO$1,$BD24,AllTriggers)</f>
        <v>9.527264090915602E-4</v>
      </c>
      <c r="BP24" s="47">
        <f>_xll.qlPolynomialFunctionValue(BP$1,$BD24,AllTriggers)</f>
        <v>7.6738726720933324E-4</v>
      </c>
      <c r="BQ24" s="47">
        <f>_xll.qlPolynomialFunctionValue('3MSynthDepo_used'!$P$18,BD24,AllTriggers)</f>
        <v>1.0134430729432712E-3</v>
      </c>
    </row>
    <row r="25" spans="1:69" ht="12" customHeight="1" x14ac:dyDescent="0.2">
      <c r="A25" s="21"/>
      <c r="B25" s="55"/>
      <c r="C25" s="36" t="s">
        <v>53</v>
      </c>
      <c r="D25" s="51" t="str">
        <f>PROPER(Currency)&amp;IborType&amp;$D$24</f>
        <v>Euribor3M</v>
      </c>
      <c r="E25" s="23"/>
      <c r="F25" s="187" t="s">
        <v>91</v>
      </c>
      <c r="G25" s="89"/>
      <c r="H25" s="89"/>
      <c r="S25" s="89"/>
      <c r="T25" s="89"/>
      <c r="U25" s="89"/>
      <c r="V25" s="89"/>
      <c r="W25" s="89"/>
      <c r="X25" s="238"/>
      <c r="Y25" s="228" t="str">
        <f>_xll.qlPolynomialCalibration(,_xll.ohFilter($I$14:$I$20,$S$14:$S$20),_xll.ohFilter($H$14:$H$20,$S$14:$S$20),_xll.ohFilter($J$14:$J$20,$S$14:$S$20),G$28:G$29,,,,,Trigger)</f>
        <v>obj_00904#0012</v>
      </c>
      <c r="Z25" s="188" t="str">
        <f>_xll.qlPolynomialCalibration(,_xll.ohFilter($I$14:$I$20,$T$14:$T$20),_xll.ohFilter($H$14:$H$20,$T$14:$T$20),_xll.ohFilter($J$14:$J$20,$T$14:$T$20),H$28:H$30,,,,,Trigger)</f>
        <v>obj_008ff#0012</v>
      </c>
      <c r="AA25" s="188" t="str">
        <f>_xll.qlPolynomialCalibration(,_xll.ohFilter($I$14:$I$20,$U$14:$U$20),_xll.ohFilter($H$14:$H$20,$U$14:$U$20),_xll.ohFilter($J$14:$J$20,$U$14:$U$20),S$28:S$29,,,,,Trigger)</f>
        <v>obj_00903#0012</v>
      </c>
      <c r="AB25" s="188" t="str">
        <f>_xll.qlPolynomialCalibration(,_xll.ohFilter($I$14:$I$20,$V$14:$V$20),_xll.ohFilter($H$14:$H$20,$V$14:$V$20),_xll.ohFilter($J$14:$J$20,$V$14:$V$20),T$28:T$30,,,,,Trigger)</f>
        <v>obj_00902#0012</v>
      </c>
      <c r="AC25" s="19" t="s">
        <v>70</v>
      </c>
      <c r="BC25" s="178">
        <f>_xll.qlCalendarAdvance(Calendar,BC24,"1d","mf",,Trigger)</f>
        <v>42165</v>
      </c>
      <c r="BD25" s="41">
        <f>_xll.qlDayCounterYearFraction(DayCounter,SettlementDate,BC25,,,Trigger)</f>
        <v>7.4999999999999997E-2</v>
      </c>
      <c r="BE25" s="47">
        <f>_xll.qlPolynomialFunctionValue(BE$1,$BD25,AllTriggers)</f>
        <v>1.1743120265457424E-3</v>
      </c>
      <c r="BF25" s="47">
        <f>_xll.qlPolynomialFunctionValue(BF$1,$BD25,AllTriggers)</f>
        <v>1.0866414414599831E-3</v>
      </c>
      <c r="BG25" s="47">
        <f>_xll.qlPolynomialFunctionValue(BG$1,$BD25,AllTriggers)</f>
        <v>8.5078092384142305E-4</v>
      </c>
      <c r="BH25" s="47">
        <f>_xll.qlPolynomialFunctionValue(BH$1,$BD25,AllTriggers)</f>
        <v>8.1699528419195647E-4</v>
      </c>
      <c r="BI25" s="47">
        <f>_xll.qlPolynomialFunctionValue(BI$1,$BD25,AllTriggers)</f>
        <v>1.1744559325067539E-3</v>
      </c>
      <c r="BJ25" s="47">
        <f>_xll.qlPolynomialFunctionValue(BJ$1,$BD25,AllTriggers)</f>
        <v>1.0867842697679319E-3</v>
      </c>
      <c r="BK25" s="47">
        <f>_xll.qlPolynomialFunctionValue(BK$1,$BD25,AllTriggers)</f>
        <v>8.5092085293512576E-4</v>
      </c>
      <c r="BL25" s="47">
        <f>_xll.qlPolynomialFunctionValue(BL$1,$BD25,AllTriggers)</f>
        <v>8.169370065145246E-4</v>
      </c>
      <c r="BM25" s="47">
        <f>_xll.qlPolynomialFunctionValue(BM$1,$BD25,AllTriggers)</f>
        <v>9.8076145271348944E-4</v>
      </c>
      <c r="BN25" s="47">
        <f>_xll.qlPolynomialFunctionValue(BN$1,$BD25,AllTriggers)</f>
        <v>9.153221693455636E-4</v>
      </c>
      <c r="BO25" s="47">
        <f>_xll.qlPolynomialFunctionValue(BO$1,$BD25,AllTriggers)</f>
        <v>9.5606906162025267E-4</v>
      </c>
      <c r="BP25" s="47">
        <f>_xll.qlPolynomialFunctionValue(BP$1,$BD25,AllTriggers)</f>
        <v>7.8337952801090362E-4</v>
      </c>
      <c r="BQ25" s="47">
        <f>_xll.qlPolynomialFunctionValue('3MSynthDepo_used'!$P$18,BD25,AllTriggers)</f>
        <v>1.0154845630558232E-3</v>
      </c>
    </row>
    <row r="26" spans="1:69" ht="12" customHeight="1" x14ac:dyDescent="0.2">
      <c r="A26" s="21"/>
      <c r="B26" s="55"/>
      <c r="C26" s="36" t="s">
        <v>110</v>
      </c>
      <c r="D26" s="51" t="str">
        <f>_xll.qlIborIndex(,,'3MSynthDepo_allScenario'!D24,2,Currency,Calendar,"mf",TRUE,DayCounter,Discounting,,Trigger)</f>
        <v>obj_0086d#0021</v>
      </c>
      <c r="E26" s="23"/>
      <c r="F26" s="187" t="s">
        <v>92</v>
      </c>
      <c r="G26" s="89"/>
      <c r="H26" s="89"/>
      <c r="S26" s="89"/>
      <c r="T26" s="89"/>
      <c r="U26" s="89"/>
      <c r="V26" s="89"/>
      <c r="W26" s="89"/>
      <c r="X26" s="238"/>
      <c r="Y26" s="239" t="b">
        <f>_xll.qlPolynomialCalibrationCompute(Y$25,AllTriggers)</f>
        <v>1</v>
      </c>
      <c r="Z26" s="188" t="b">
        <f>_xll.qlPolynomialCalibrationCompute(Z$25,AllTriggers)</f>
        <v>1</v>
      </c>
      <c r="AA26" s="188" t="b">
        <f>_xll.qlPolynomialCalibrationCompute(AA$25,AllTriggers)</f>
        <v>1</v>
      </c>
      <c r="AB26" s="188" t="b">
        <f>_xll.qlPolynomialCalibrationCompute(AB$25,AllTriggers)</f>
        <v>1</v>
      </c>
      <c r="AC26" s="19" t="s">
        <v>70</v>
      </c>
      <c r="BC26" s="178">
        <f>_xll.qlCalendarAdvance(Calendar,BC25,"1d","mf",,Trigger)</f>
        <v>42166</v>
      </c>
      <c r="BD26" s="41">
        <f>_xll.qlDayCounterYearFraction(DayCounter,SettlementDate,BC26,,,Trigger)</f>
        <v>7.7777777777777779E-2</v>
      </c>
      <c r="BE26" s="47">
        <f>_xll.qlPolynomialFunctionValue(BE$1,$BD26,AllTriggers)</f>
        <v>1.1677506887466196E-3</v>
      </c>
      <c r="BF26" s="47">
        <f>_xll.qlPolynomialFunctionValue(BF$1,$BD26,AllTriggers)</f>
        <v>1.0637132361122888E-3</v>
      </c>
      <c r="BG26" s="47">
        <f>_xll.qlPolynomialFunctionValue(BG$1,$BD26,AllTriggers)</f>
        <v>8.5716083015047303E-4</v>
      </c>
      <c r="BH26" s="47">
        <f>_xll.qlPolynomialFunctionValue(BH$1,$BD26,AllTriggers)</f>
        <v>8.2757340607875088E-4</v>
      </c>
      <c r="BI26" s="47">
        <f>_xll.qlPolynomialFunctionValue(BI$1,$BD26,AllTriggers)</f>
        <v>1.1678953473744683E-3</v>
      </c>
      <c r="BJ26" s="47">
        <f>_xll.qlPolynomialFunctionValue(BJ$1,$BD26,AllTriggers)</f>
        <v>1.0638566159043759E-3</v>
      </c>
      <c r="BK26" s="47">
        <f>_xll.qlPolynomialFunctionValue(BK$1,$BD26,AllTriggers)</f>
        <v>8.5730167098570546E-4</v>
      </c>
      <c r="BL26" s="47">
        <f>_xll.qlPolynomialFunctionValue(BL$1,$BD26,AllTriggers)</f>
        <v>8.2754066938659941E-4</v>
      </c>
      <c r="BM26" s="47">
        <f>_xll.qlPolynomialFunctionValue(BM$1,$BD26,AllTriggers)</f>
        <v>9.8367985378696745E-4</v>
      </c>
      <c r="BN26" s="47">
        <f>_xll.qlPolynomialFunctionValue(BN$1,$BD26,AllTriggers)</f>
        <v>9.2476182120757857E-4</v>
      </c>
      <c r="BO26" s="47">
        <f>_xll.qlPolynomialFunctionValue(BO$1,$BD26,AllTriggers)</f>
        <v>9.5941171414894513E-4</v>
      </c>
      <c r="BP26" s="47">
        <f>_xll.qlPolynomialFunctionValue(BP$1,$BD26,AllTriggers)</f>
        <v>7.9911611188268953E-4</v>
      </c>
      <c r="BQ26" s="47">
        <f>_xll.qlPolynomialFunctionValue('3MSynthDepo_used'!$P$18,BD26,AllTriggers)</f>
        <v>1.0175172613467816E-3</v>
      </c>
    </row>
    <row r="27" spans="1:69" ht="12" customHeight="1" x14ac:dyDescent="0.2">
      <c r="B27" s="22"/>
      <c r="C27" s="36" t="s">
        <v>111</v>
      </c>
      <c r="D27" s="51" t="s">
        <v>86</v>
      </c>
      <c r="E27" s="23"/>
      <c r="F27" s="187" t="s">
        <v>82</v>
      </c>
      <c r="G27" s="188" t="str">
        <f>_xll.qlPolynomialTenorBasis(,$D$25,Discounting,SettlementDate,IsSimple,G$28:G$31,,Trigger)</f>
        <v>obj_008ef#0017</v>
      </c>
      <c r="H27" s="188" t="str">
        <f>_xll.qlPolynomialTenorBasis(,$D$25,Discounting,SettlementDate,IsSimple,H$28:H$31,,Trigger)</f>
        <v>obj_008f5#0013</v>
      </c>
      <c r="S27" s="188" t="str">
        <f>_xll.qlPolynomialTenorBasis(,$D$25,Discounting,SettlementDate,IsSimple,S$28:S$31,,Trigger)</f>
        <v>obj_008f6#0013</v>
      </c>
      <c r="T27" s="188" t="str">
        <f>_xll.qlPolynomialTenorBasis(,$D$25,Discounting,SettlementDate,IsSimple,T$28:T$31,,Trigger)</f>
        <v>obj_008fd#0010</v>
      </c>
      <c r="U27" s="188" t="str">
        <f>_xll.qlPolynomialTenorBasis(,$D$25,Discounting,SettlementDate,$U$24,U$28:U$31,,Trigger)</f>
        <v>obj_008f1#0015</v>
      </c>
      <c r="V27" s="188" t="str">
        <f>_xll.qlPolynomialTenorBasis(,$D$25,Discounting,SettlementDate,$U$24,V$28:V$31,,Trigger)</f>
        <v>obj_008f4#0013</v>
      </c>
      <c r="W27" s="188" t="str">
        <f>_xll.qlPolynomialTenorBasis(,$D$25,Discounting,SettlementDate,$U$24,W$28:W$31,,Trigger)</f>
        <v>obj_008fa#0012</v>
      </c>
      <c r="X27" s="227" t="str">
        <f>_xll.qlPolynomialTenorBasis(,$D$25,Discounting,SettlementDate,$U$24,X$28:X$31,,Trigger)</f>
        <v>obj_008fc#0010</v>
      </c>
      <c r="Y27" s="228" t="str">
        <f>_xll.qlPolynomialTenorBasis(,$D$25,Discounting,SettlementDate,$Y$24,Y$28:Y$31,,Trigger)</f>
        <v>obj_00909#0012</v>
      </c>
      <c r="Z27" s="188" t="str">
        <f>_xll.qlPolynomialTenorBasis(,$D$25,Discounting,SettlementDate,$Y$24,Z$28:Z$31,,Trigger)</f>
        <v>obj_00900#0012</v>
      </c>
      <c r="AA27" s="188" t="str">
        <f>_xll.qlPolynomialTenorBasis(,$D$25,Discounting,SettlementDate,$Y$24,AA$28:AA$31,,Trigger)</f>
        <v>obj_00906#0012</v>
      </c>
      <c r="AB27" s="188" t="str">
        <f>_xll.qlPolynomialTenorBasis(,$D$25,Discounting,SettlementDate,$Y$24,AB$28:AB$31,,Trigger)</f>
        <v>obj_00905#0012</v>
      </c>
      <c r="AC27" s="19" t="s">
        <v>70</v>
      </c>
      <c r="BC27" s="178">
        <f>_xll.qlCalendarAdvance(Calendar,BC26,"1d","mf",,Trigger)</f>
        <v>42167</v>
      </c>
      <c r="BD27" s="41">
        <f>_xll.qlDayCounterYearFraction(DayCounter,SettlementDate,BC27,,,Trigger)</f>
        <v>8.0555555555555561E-2</v>
      </c>
      <c r="BE27" s="47">
        <f>_xll.qlPolynomialFunctionValue(BE$1,$BD27,AllTriggers)</f>
        <v>1.1611893509474967E-3</v>
      </c>
      <c r="BF27" s="47">
        <f>_xll.qlPolynomialFunctionValue(BF$1,$BD27,AllTriggers)</f>
        <v>1.0415462804180165E-3</v>
      </c>
      <c r="BG27" s="47">
        <f>_xll.qlPolynomialFunctionValue(BG$1,$BD27,AllTriggers)</f>
        <v>8.6354073645952302E-4</v>
      </c>
      <c r="BH27" s="47">
        <f>_xll.qlPolynomialFunctionValue(BH$1,$BD27,AllTriggers)</f>
        <v>8.380424834050844E-4</v>
      </c>
      <c r="BI27" s="47">
        <f>_xll.qlPolynomialFunctionValue(BI$1,$BD27,AllTriggers)</f>
        <v>1.161334762242183E-3</v>
      </c>
      <c r="BJ27" s="47">
        <f>_xll.qlPolynomialFunctionValue(BJ$1,$BD27,AllTriggers)</f>
        <v>1.0416902210515764E-3</v>
      </c>
      <c r="BK27" s="47">
        <f>_xll.qlPolynomialFunctionValue(BK$1,$BD27,AllTriggers)</f>
        <v>8.6368248903628527E-4</v>
      </c>
      <c r="BL27" s="47">
        <f>_xll.qlPolynomialFunctionValue(BL$1,$BD27,AllTriggers)</f>
        <v>8.3803464797759626E-4</v>
      </c>
      <c r="BM27" s="47">
        <f>_xll.qlPolynomialFunctionValue(BM$1,$BD27,AllTriggers)</f>
        <v>9.8659825486044545E-4</v>
      </c>
      <c r="BN27" s="47">
        <f>_xll.qlPolynomialFunctionValue(BN$1,$BD27,AllTriggers)</f>
        <v>9.3405509738397007E-4</v>
      </c>
      <c r="BO27" s="47">
        <f>_xll.qlPolynomialFunctionValue(BO$1,$BD27,AllTriggers)</f>
        <v>9.6275436667763749E-4</v>
      </c>
      <c r="BP27" s="47">
        <f>_xll.qlPolynomialFunctionValue(BP$1,$BD27,AllTriggers)</f>
        <v>8.1459701882469128E-4</v>
      </c>
      <c r="BQ27" s="47">
        <f>_xll.qlPolynomialFunctionValue('3MSynthDepo_used'!$P$18,BD27,AllTriggers)</f>
        <v>1.0195411862790771E-3</v>
      </c>
    </row>
    <row r="28" spans="1:69" ht="12" customHeight="1" x14ac:dyDescent="0.2">
      <c r="C28" s="36" t="s">
        <v>112</v>
      </c>
      <c r="D28" s="51" t="s">
        <v>86</v>
      </c>
      <c r="E28" s="35"/>
      <c r="F28" s="133" t="s">
        <v>73</v>
      </c>
      <c r="G28" s="90">
        <f>AI6</f>
        <v>1.0496466083624097E-3</v>
      </c>
      <c r="H28" s="90">
        <f>AI16</f>
        <v>1.0496466083624097E-3</v>
      </c>
      <c r="S28" s="90">
        <f>AI10</f>
        <v>9.719991437133731E-4</v>
      </c>
      <c r="T28" s="90">
        <f>AI21</f>
        <v>9.6087659854636183E-4</v>
      </c>
      <c r="U28" s="90">
        <f>AU6</f>
        <v>1.3515917310784609E-3</v>
      </c>
      <c r="V28" s="90">
        <f>AU16</f>
        <v>1.9935868301500076E-3</v>
      </c>
      <c r="W28" s="90">
        <f>AU10</f>
        <v>6.786387655694729E-4</v>
      </c>
      <c r="X28" s="229">
        <f>AU21</f>
        <v>4.8917745072110251E-4</v>
      </c>
      <c r="Y28" s="230">
        <f t="array" ref="Y28:Y29">_xll.qlPolynomialCalibrationCoefficients($Y$25,$Y$26)</f>
        <v>1.0362110731095731E-3</v>
      </c>
      <c r="Z28" s="90">
        <f t="array" ref="Z28:Z30">_xll.qlPolynomialCalibrationCoefficients($Z$25,$Z$26)</f>
        <v>1.0180234873524918E-3</v>
      </c>
      <c r="AA28" s="90">
        <f t="array" ref="AA28:AA29">_xll.qlPolynomialCalibrationCoefficients($AA$25,$AA$26)</f>
        <v>1.0195794596654087E-3</v>
      </c>
      <c r="AB28" s="90">
        <f t="array" ref="AB28:AB30">_xll.qlPolynomialCalibrationCoefficients($AB$25,$AB$26)</f>
        <v>9.4848513601110906E-4</v>
      </c>
      <c r="AC28" s="19" t="s">
        <v>70</v>
      </c>
      <c r="BC28" s="178">
        <f>_xll.qlCalendarAdvance(Calendar,BC27,"1d","mf",,Trigger)</f>
        <v>42170</v>
      </c>
      <c r="BD28" s="41">
        <f>_xll.qlDayCounterYearFraction(DayCounter,SettlementDate,BC28,,,Trigger)</f>
        <v>8.8888888888888892E-2</v>
      </c>
      <c r="BE28" s="47">
        <f>_xll.qlPolynomialFunctionValue(BE$1,$BD28,AllTriggers)</f>
        <v>1.1415053375501286E-3</v>
      </c>
      <c r="BF28" s="47">
        <f>_xll.qlPolynomialFunctionValue(BF$1,$BD28,AllTriggers)</f>
        <v>9.7961291125573118E-4</v>
      </c>
      <c r="BG28" s="47">
        <f>_xll.qlPolynomialFunctionValue(BG$1,$BD28,AllTriggers)</f>
        <v>8.8268045538667309E-4</v>
      </c>
      <c r="BH28" s="47">
        <f>_xll.qlPolynomialFunctionValue(BH$1,$BD28,AllTriggers)</f>
        <v>8.6879544802131938E-4</v>
      </c>
      <c r="BI28" s="47">
        <f>_xll.qlPolynomialFunctionValue(BI$1,$BD28,AllTriggers)</f>
        <v>1.1416530068453267E-3</v>
      </c>
      <c r="BJ28" s="47">
        <f>_xll.qlPolynomialFunctionValue(BJ$1,$BD28,AllTriggers)</f>
        <v>9.7975859055771889E-4</v>
      </c>
      <c r="BK28" s="47">
        <f>_xll.qlPolynomialFunctionValue(BK$1,$BD28,AllTriggers)</f>
        <v>8.8282494318802447E-4</v>
      </c>
      <c r="BL28" s="47">
        <f>_xll.qlPolynomialFunctionValue(BL$1,$BD28,AllTriggers)</f>
        <v>8.6885847806412021E-4</v>
      </c>
      <c r="BM28" s="47">
        <f>_xll.qlPolynomialFunctionValue(BM$1,$BD28,AllTriggers)</f>
        <v>9.9535345808087991E-4</v>
      </c>
      <c r="BN28" s="47">
        <f>_xll.qlPolynomialFunctionValue(BN$1,$BD28,AllTriggers)</f>
        <v>9.6105667179940566E-4</v>
      </c>
      <c r="BO28" s="47">
        <f>_xll.qlPolynomialFunctionValue(BO$1,$BD28,AllTriggers)</f>
        <v>9.7278232426371478E-4</v>
      </c>
      <c r="BP28" s="47">
        <f>_xll.qlPolynomialFunctionValue(BP$1,$BD28,AllTriggers)</f>
        <v>8.5950567807199004E-4</v>
      </c>
      <c r="BQ28" s="47">
        <f>_xll.qlPolynomialFunctionValue('3MSynthDepo_used'!$P$18,BD28,AllTriggers)</f>
        <v>1.0255605055532956E-3</v>
      </c>
    </row>
    <row r="29" spans="1:69" ht="12" customHeight="1" x14ac:dyDescent="0.2">
      <c r="E29" s="35"/>
      <c r="F29" s="133" t="s">
        <v>74</v>
      </c>
      <c r="G29" s="90">
        <f>AI5</f>
        <v>-2.3620816076841966E-3</v>
      </c>
      <c r="H29" s="90">
        <f>AI15</f>
        <v>-3.184231233379881E-3</v>
      </c>
      <c r="S29" s="90">
        <f>AI9</f>
        <v>2.2967662712580043E-3</v>
      </c>
      <c r="T29" s="90">
        <f>AI20</f>
        <v>3.0818871065764293E-3</v>
      </c>
      <c r="U29" s="90">
        <f>AU5</f>
        <v>-2.3618106476227599E-3</v>
      </c>
      <c r="V29" s="90">
        <f>AU15</f>
        <v>-1.5790419597372256E-2</v>
      </c>
      <c r="W29" s="90">
        <f>AU9</f>
        <v>2.2970944982087047E-3</v>
      </c>
      <c r="X29" s="229">
        <f>AU20</f>
        <v>4.9031930166170273E-3</v>
      </c>
      <c r="Y29" s="230">
        <v>1.0506243864521142E-3</v>
      </c>
      <c r="Z29" s="90">
        <v>2.4234126040747748E-3</v>
      </c>
      <c r="AA29" s="90">
        <v>1.2033549103292733E-3</v>
      </c>
      <c r="AB29" s="90">
        <v>3.9623618414793048E-3</v>
      </c>
      <c r="AC29" s="19" t="s">
        <v>70</v>
      </c>
      <c r="BC29" s="178">
        <f>_xll.qlCalendarAdvance(Calendar,BC28,"1d","mf",,Trigger)</f>
        <v>42171</v>
      </c>
      <c r="BD29" s="41">
        <f>_xll.qlDayCounterYearFraction(DayCounter,SettlementDate,BC29,,,Trigger)</f>
        <v>9.166666666666666E-2</v>
      </c>
      <c r="BE29" s="47">
        <f>_xll.qlPolynomialFunctionValue(BE$1,$BD29,AllTriggers)</f>
        <v>1.1349439997510057E-3</v>
      </c>
      <c r="BF29" s="47">
        <f>_xll.qlPolynomialFunctionValue(BF$1,$BD29,AllTriggers)</f>
        <v>9.604909541751466E-4</v>
      </c>
      <c r="BG29" s="47">
        <f>_xll.qlPolynomialFunctionValue(BG$1,$BD29,AllTriggers)</f>
        <v>8.8906036169572307E-4</v>
      </c>
      <c r="BH29" s="47">
        <f>_xll.qlPolynomialFunctionValue(BH$1,$BD29,AllTriggers)</f>
        <v>8.7882834710580938E-4</v>
      </c>
      <c r="BI29" s="47">
        <f>_xll.qlPolynomialFunctionValue(BI$1,$BD29,AllTriggers)</f>
        <v>1.1350924217130413E-3</v>
      </c>
      <c r="BJ29" s="47">
        <f>_xll.qlPolynomialFunctionValue(BJ$1,$BD29,AllTriggers)</f>
        <v>9.6063723174794665E-4</v>
      </c>
      <c r="BK29" s="47">
        <f>_xll.qlPolynomialFunctionValue(BK$1,$BD29,AllTriggers)</f>
        <v>8.8920576123860417E-4</v>
      </c>
      <c r="BL29" s="47">
        <f>_xll.qlPolynomialFunctionValue(BL$1,$BD29,AllTriggers)</f>
        <v>8.7891371953080597E-4</v>
      </c>
      <c r="BM29" s="47">
        <f>_xll.qlPolynomialFunctionValue(BM$1,$BD29,AllTriggers)</f>
        <v>9.9827185915435791E-4</v>
      </c>
      <c r="BN29" s="47">
        <f>_xll.qlPolynomialFunctionValue(BN$1,$BD29,AllTriggers)</f>
        <v>9.6976444523330467E-4</v>
      </c>
      <c r="BO29" s="47">
        <f>_xll.qlPolynomialFunctionValue(BO$1,$BD29,AllTriggers)</f>
        <v>9.7612497679240725E-4</v>
      </c>
      <c r="BP29" s="47">
        <f>_xll.qlPolynomialFunctionValue(BP$1,$BD29,AllTriggers)</f>
        <v>8.7396387729485434E-4</v>
      </c>
      <c r="BQ29" s="47">
        <f>_xll.qlPolynomialFunctionValue('3MSynthDepo_used'!$P$18,BD29,AllTriggers)</f>
        <v>1.0275495216802483E-3</v>
      </c>
    </row>
    <row r="30" spans="1:69" ht="12" customHeight="1" x14ac:dyDescent="0.2">
      <c r="F30" s="133" t="s">
        <v>75</v>
      </c>
      <c r="G30" s="89"/>
      <c r="H30" s="90">
        <f>AI14</f>
        <v>4.9328977541741037E-2</v>
      </c>
      <c r="S30" s="89"/>
      <c r="T30" s="90">
        <f>AI19</f>
        <v>-7.0660875178658687E-3</v>
      </c>
      <c r="U30" s="89"/>
      <c r="V30" s="90">
        <f>AU14</f>
        <v>4.9329583897038842E-2</v>
      </c>
      <c r="W30" s="89"/>
      <c r="X30" s="229">
        <f>AU19</f>
        <v>-7.1075414138408715E-3</v>
      </c>
      <c r="Y30" s="231"/>
      <c r="Z30" s="90">
        <v>-9.4851444283839056E-3</v>
      </c>
      <c r="AA30" s="89"/>
      <c r="AB30" s="90">
        <v>-1.6567865050024558E-2</v>
      </c>
      <c r="AC30" s="19" t="s">
        <v>70</v>
      </c>
      <c r="BC30" s="178">
        <f>_xll.qlCalendarAdvance(Calendar,BC29,"1d","mf",,Trigger)</f>
        <v>42172</v>
      </c>
      <c r="BD30" s="41">
        <f>_xll.qlDayCounterYearFraction(DayCounter,SettlementDate,BC30,,,Trigger)</f>
        <v>9.4444444444444442E-2</v>
      </c>
      <c r="BE30" s="47">
        <f>_xll.qlPolynomialFunctionValue(BE$1,$BD30,AllTriggers)</f>
        <v>1.1283826619518831E-3</v>
      </c>
      <c r="BF30" s="47">
        <f>_xll.qlPolynomialFunctionValue(BF$1,$BD30,AllTriggers)</f>
        <v>9.4213024674798381E-4</v>
      </c>
      <c r="BG30" s="47">
        <f>_xll.qlPolynomialFunctionValue(BG$1,$BD30,AllTriggers)</f>
        <v>8.9544026800477306E-4</v>
      </c>
      <c r="BH30" s="47">
        <f>_xll.qlPolynomialFunctionValue(BH$1,$BD30,AllTriggers)</f>
        <v>8.8875220162983829E-4</v>
      </c>
      <c r="BI30" s="47">
        <f>_xll.qlPolynomialFunctionValue(BI$1,$BD30,AllTriggers)</f>
        <v>1.1285318365807557E-3</v>
      </c>
      <c r="BJ30" s="47">
        <f>_xll.qlPolynomialFunctionValue(BJ$1,$BD30,AllTriggers)</f>
        <v>9.4227713194893121E-4</v>
      </c>
      <c r="BK30" s="47">
        <f>_xll.qlPolynomialFunctionValue(BK$1,$BD30,AllTriggers)</f>
        <v>8.9558657928918387E-4</v>
      </c>
      <c r="BL30" s="47">
        <f>_xll.qlPolynomialFunctionValue(BL$1,$BD30,AllTriggers)</f>
        <v>8.8885927671641398E-4</v>
      </c>
      <c r="BM30" s="47">
        <f>_xll.qlPolynomialFunctionValue(BM$1,$BD30,AllTriggers)</f>
        <v>1.0011902602278359E-3</v>
      </c>
      <c r="BN30" s="47">
        <f>_xll.qlPolynomialFunctionValue(BN$1,$BD30,AllTriggers)</f>
        <v>9.783258429815801E-4</v>
      </c>
      <c r="BO30" s="47">
        <f>_xll.qlPolynomialFunctionValue(BO$1,$BD30,AllTriggers)</f>
        <v>9.7946762932109971E-4</v>
      </c>
      <c r="BP30" s="47">
        <f>_xll.qlPolynomialFunctionValue(BP$1,$BD30,AllTriggers)</f>
        <v>8.8816639958793427E-4</v>
      </c>
      <c r="BQ30" s="47">
        <f>_xll.qlPolynomialFunctionValue('3MSynthDepo_used'!$P$18,BD30,AllTriggers)</f>
        <v>1.0295298567631925E-3</v>
      </c>
    </row>
    <row r="31" spans="1:69" ht="12" customHeight="1" thickBot="1" x14ac:dyDescent="0.25">
      <c r="F31" s="133" t="s">
        <v>76</v>
      </c>
      <c r="G31" s="89"/>
      <c r="H31" s="89"/>
      <c r="S31" s="89"/>
      <c r="T31" s="89"/>
      <c r="U31" s="89"/>
      <c r="V31" s="89"/>
      <c r="W31" s="89"/>
      <c r="X31" s="232"/>
      <c r="Y31" s="233"/>
      <c r="Z31" s="89"/>
      <c r="AA31" s="89"/>
      <c r="AB31" s="234"/>
      <c r="BC31" s="178">
        <f>_xll.qlCalendarAdvance(Calendar,BC30,"1d","mf",,Trigger)</f>
        <v>42173</v>
      </c>
      <c r="BD31" s="41">
        <f>_xll.qlDayCounterYearFraction(DayCounter,SettlementDate,BC31,,,Trigger)</f>
        <v>9.7222222222222224E-2</v>
      </c>
      <c r="BE31" s="47">
        <f>_xll.qlPolynomialFunctionValue(BE$1,$BD31,AllTriggers)</f>
        <v>1.1218213241527602E-3</v>
      </c>
      <c r="BF31" s="47">
        <f>_xll.qlPolynomialFunctionValue(BF$1,$BD31,AllTriggers)</f>
        <v>9.2453078897424316E-4</v>
      </c>
      <c r="BG31" s="47">
        <f>_xll.qlPolynomialFunctionValue(BG$1,$BD31,AllTriggers)</f>
        <v>9.0182017431382315E-4</v>
      </c>
      <c r="BH31" s="47">
        <f>_xll.qlPolynomialFunctionValue(BH$1,$BD31,AllTriggers)</f>
        <v>8.9856701159340654E-4</v>
      </c>
      <c r="BI31" s="47">
        <f>_xll.qlPolynomialFunctionValue(BI$1,$BD31,AllTriggers)</f>
        <v>1.1219712514484704E-3</v>
      </c>
      <c r="BJ31" s="47">
        <f>_xll.qlPolynomialFunctionValue(BJ$1,$BD31,AllTriggers)</f>
        <v>9.2467829116067257E-4</v>
      </c>
      <c r="BK31" s="47">
        <f>_xll.qlPolynomialFunctionValue(BK$1,$BD31,AllTriggers)</f>
        <v>9.0196739733976368E-4</v>
      </c>
      <c r="BL31" s="47">
        <f>_xll.qlPolynomialFunctionValue(BL$1,$BD31,AllTriggers)</f>
        <v>8.9869514962094424E-4</v>
      </c>
      <c r="BM31" s="47">
        <f>_xll.qlPolynomialFunctionValue(BM$1,$BD31,AllTriggers)</f>
        <v>1.0041086613013141E-3</v>
      </c>
      <c r="BN31" s="47">
        <f>_xll.qlPolynomialFunctionValue(BN$1,$BD31,AllTriggers)</f>
        <v>9.867408650442327E-4</v>
      </c>
      <c r="BO31" s="47">
        <f>_xll.qlPolynomialFunctionValue(BO$1,$BD31,AllTriggers)</f>
        <v>9.8281028184979218E-4</v>
      </c>
      <c r="BP31" s="47">
        <f>_xll.qlPolynomialFunctionValue(BP$1,$BD31,AllTriggers)</f>
        <v>9.0211324495123005E-4</v>
      </c>
      <c r="BQ31" s="47">
        <f>_xll.qlPolynomialFunctionValue('3MSynthDepo_used'!$P$18,BD31,AllTriggers)</f>
        <v>1.0315015292650586E-3</v>
      </c>
    </row>
    <row r="32" spans="1:69" ht="12" customHeight="1" x14ac:dyDescent="0.2">
      <c r="G32" s="147" t="s">
        <v>66</v>
      </c>
      <c r="H32" s="148"/>
      <c r="S32" s="148"/>
      <c r="T32" s="148"/>
      <c r="U32" s="148"/>
      <c r="V32" s="148"/>
      <c r="W32" s="148"/>
      <c r="X32" s="149"/>
      <c r="Y32" s="147" t="s">
        <v>67</v>
      </c>
      <c r="Z32" s="148"/>
      <c r="AA32" s="148"/>
      <c r="AB32" s="149"/>
      <c r="BC32" s="178">
        <f>_xll.qlCalendarAdvance(Calendar,BC31,"1d","mf",,Trigger)</f>
        <v>42174</v>
      </c>
      <c r="BD32" s="41">
        <f>_xll.qlDayCounterYearFraction(DayCounter,SettlementDate,BC32,,,Trigger)</f>
        <v>0.1</v>
      </c>
      <c r="BE32" s="47">
        <f>_xll.qlPolynomialFunctionValue(BE$1,$BD32,AllTriggers)</f>
        <v>1.1152599863536374E-3</v>
      </c>
      <c r="BF32" s="47">
        <f>_xll.qlPolynomialFunctionValue(BF$1,$BD32,AllTriggers)</f>
        <v>9.0769258085392429E-4</v>
      </c>
      <c r="BG32" s="47">
        <f>_xll.qlPolynomialFunctionValue(BG$1,$BD32,AllTriggers)</f>
        <v>9.0820008062287314E-4</v>
      </c>
      <c r="BH32" s="47">
        <f>_xll.qlPolynomialFunctionValue(BH$1,$BD32,AllTriggers)</f>
        <v>9.0827277699651369E-4</v>
      </c>
      <c r="BI32" s="47">
        <f>_xll.qlPolynomialFunctionValue(BI$1,$BD32,AllTriggers)</f>
        <v>1.1154106663161848E-3</v>
      </c>
      <c r="BJ32" s="47">
        <f>_xll.qlPolynomialFunctionValue(BJ$1,$BD32,AllTriggers)</f>
        <v>9.0784070938317051E-4</v>
      </c>
      <c r="BK32" s="47">
        <f>_xll.qlPolynomialFunctionValue(BK$1,$BD32,AllTriggers)</f>
        <v>9.0834821539034338E-4</v>
      </c>
      <c r="BL32" s="47">
        <f>_xll.qlPolynomialFunctionValue(BL$1,$BD32,AllTriggers)</f>
        <v>9.0842133824439644E-4</v>
      </c>
      <c r="BM32" s="47">
        <f>_xll.qlPolynomialFunctionValue(BM$1,$BD32,AllTriggers)</f>
        <v>1.0070270623747921E-3</v>
      </c>
      <c r="BN32" s="47">
        <f>_xll.qlPolynomialFunctionValue(BN$1,$BD32,AllTriggers)</f>
        <v>9.9500951142126172E-4</v>
      </c>
      <c r="BO32" s="47">
        <f>_xll.qlPolynomialFunctionValue(BO$1,$BD32,AllTriggers)</f>
        <v>9.8615293437848443E-4</v>
      </c>
      <c r="BP32" s="47">
        <f>_xll.qlPolynomialFunctionValue(BP$1,$BD32,AllTriggers)</f>
        <v>9.1580441338474136E-4</v>
      </c>
      <c r="BQ32" s="47">
        <f>_xll.qlPolynomialFunctionValue('3MSynthDepo_used'!$P$18,BD32,AllTriggers)</f>
        <v>1.0334645576487776E-3</v>
      </c>
    </row>
    <row r="33" spans="3:69" ht="12" customHeight="1" x14ac:dyDescent="0.2">
      <c r="G33" s="214" t="s">
        <v>106</v>
      </c>
      <c r="H33" s="215"/>
      <c r="S33" s="215"/>
      <c r="T33" s="216"/>
      <c r="U33" s="214" t="s">
        <v>107</v>
      </c>
      <c r="V33" s="215"/>
      <c r="W33" s="215"/>
      <c r="X33" s="216"/>
      <c r="Y33" s="214" t="s">
        <v>106</v>
      </c>
      <c r="Z33" s="215"/>
      <c r="AA33" s="215"/>
      <c r="AB33" s="216"/>
      <c r="BC33" s="178">
        <f>_xll.qlCalendarAdvance(Calendar,BC32,"1d","mf",,Trigger)</f>
        <v>42177</v>
      </c>
      <c r="BD33" s="41">
        <f>_xll.qlDayCounterYearFraction(DayCounter,SettlementDate,BC33,,,Trigger)</f>
        <v>0.10833333333333334</v>
      </c>
      <c r="BE33" s="47">
        <f>_xll.qlPolynomialFunctionValue(BE$1,$BD33,AllTriggers)</f>
        <v>1.095575972956269E-3</v>
      </c>
      <c r="BF33" s="47">
        <f>_xll.qlPolynomialFunctionValue(BF$1,$BD33,AllTriggers)</f>
        <v>8.6174545441349937E-4</v>
      </c>
      <c r="BG33" s="47">
        <f>_xll.qlPolynomialFunctionValue(BG$1,$BD33,AllTriggers)</f>
        <v>9.2733979955002309E-4</v>
      </c>
      <c r="BH33" s="47">
        <f>_xll.qlPolynomialFunctionValue(BH$1,$BD33,AllTriggers)</f>
        <v>9.3673580584307007E-4</v>
      </c>
      <c r="BI33" s="47">
        <f>_xll.qlPolynomialFunctionValue(BI$1,$BD33,AllTriggers)</f>
        <v>1.0957289109193285E-3</v>
      </c>
      <c r="BJ33" s="47">
        <f>_xll.qlPolynomialFunctionValue(BJ$1,$BD33,AllTriggers)</f>
        <v>8.6189551811520525E-4</v>
      </c>
      <c r="BK33" s="47">
        <f>_xll.qlPolynomialFunctionValue(BK$1,$BD33,AllTriggers)</f>
        <v>9.2749066954208258E-4</v>
      </c>
      <c r="BL33" s="47">
        <f>_xll.qlPolynomialFunctionValue(BL$1,$BD33,AllTriggers)</f>
        <v>9.3694179842828697E-4</v>
      </c>
      <c r="BM33" s="47">
        <f>_xll.qlPolynomialFunctionValue(BM$1,$BD33,AllTriggers)</f>
        <v>1.0157822655952266E-3</v>
      </c>
      <c r="BN33" s="47">
        <f>_xll.qlPolynomialFunctionValue(BN$1,$BD33,AllTriggers)</f>
        <v>1.0189371964386101E-3</v>
      </c>
      <c r="BO33" s="47">
        <f>_xll.qlPolynomialFunctionValue(BO$1,$BD33,AllTriggers)</f>
        <v>9.9618089196456183E-4</v>
      </c>
      <c r="BP33" s="47">
        <f>_xll.qlPolynomialFunctionValue(BP$1,$BD33,AllTriggers)</f>
        <v>9.553438571065693E-4</v>
      </c>
      <c r="BQ33" s="47">
        <f>_xll.qlPolynomialFunctionValue('3MSynthDepo_used'!$P$18,BD33,AllTriggers)</f>
        <v>1.0393019627203607E-3</v>
      </c>
    </row>
    <row r="34" spans="3:69" ht="12" customHeight="1" thickBot="1" x14ac:dyDescent="0.25">
      <c r="G34" s="134" t="str">
        <f>"with 0X"&amp;SUBSTITUTE($D$24,"M","")</f>
        <v>with 0X3</v>
      </c>
      <c r="H34" s="110"/>
      <c r="S34" s="109" t="str">
        <f>"without 0X"&amp;SUBSTITUTE($D$24,"M","")</f>
        <v>without 0X3</v>
      </c>
      <c r="T34" s="135"/>
      <c r="U34" s="134" t="str">
        <f>"with 0X"&amp;SUBSTITUTE($D$24,"M","")</f>
        <v>with 0X3</v>
      </c>
      <c r="V34" s="110"/>
      <c r="W34" s="109" t="str">
        <f>"without 0X"&amp;SUBSTITUTE($D$24,"M","")</f>
        <v>without 0X3</v>
      </c>
      <c r="X34" s="135"/>
      <c r="Y34" s="134" t="str">
        <f>"with 0X"&amp;SUBSTITUTE($D$24,"M","")</f>
        <v>with 0X3</v>
      </c>
      <c r="Z34" s="110"/>
      <c r="AA34" s="109" t="str">
        <f>"without 0X"&amp;SUBSTITUTE($D$24,"M","")</f>
        <v>without 0X3</v>
      </c>
      <c r="AB34" s="135"/>
      <c r="BC34" s="178">
        <f>_xll.qlCalendarAdvance(Calendar,BC33,"1d","mf",,Trigger)</f>
        <v>42178</v>
      </c>
      <c r="BD34" s="41">
        <f>_xll.qlDayCounterYearFraction(DayCounter,SettlementDate,BC34,,,Trigger)</f>
        <v>0.1111111111111111</v>
      </c>
      <c r="BE34" s="47">
        <f>_xll.qlPolynomialFunctionValue(BE$1,$BD34,AllTriggers)</f>
        <v>1.0890146351571464E-3</v>
      </c>
      <c r="BF34" s="47">
        <f>_xll.qlPolynomialFunctionValue(BF$1,$BD34,AllTriggers)</f>
        <v>8.4795224490686835E-4</v>
      </c>
      <c r="BG34" s="47">
        <f>_xll.qlPolynomialFunctionValue(BG$1,$BD34,AllTriggers)</f>
        <v>9.3371970585907319E-4</v>
      </c>
      <c r="BH34" s="47">
        <f>_xll.qlPolynomialFunctionValue(BH$1,$BD34,AllTriggers)</f>
        <v>9.460053930043337E-4</v>
      </c>
      <c r="BI34" s="47">
        <f>_xll.qlPolynomialFunctionValue(BI$1,$BD34,AllTriggers)</f>
        <v>1.0891683257870431E-3</v>
      </c>
      <c r="BJ34" s="47">
        <f>_xll.qlPolynomialFunctionValue(BJ$1,$BD34,AllTriggers)</f>
        <v>8.481029723807304E-4</v>
      </c>
      <c r="BK34" s="47">
        <f>_xll.qlPolynomialFunctionValue(BK$1,$BD34,AllTriggers)</f>
        <v>9.3387148759266228E-4</v>
      </c>
      <c r="BL34" s="47">
        <f>_xll.qlPolynomialFunctionValue(BL$1,$BD34,AllTriggers)</f>
        <v>9.4622924992742807E-4</v>
      </c>
      <c r="BM34" s="47">
        <f>_xll.qlPolynomialFunctionValue(BM$1,$BD34,AllTriggers)</f>
        <v>1.0187006666687046E-3</v>
      </c>
      <c r="BN34" s="47">
        <f>_xll.qlPolynomialFunctionValue(BN$1,$BD34,AllTriggers)</f>
        <v>1.0266203400731463E-3</v>
      </c>
      <c r="BO34" s="47">
        <f>_xll.qlPolynomialFunctionValue(BO$1,$BD34,AllTriggers)</f>
        <v>9.9952354449325429E-4</v>
      </c>
      <c r="BP34" s="47">
        <f>_xll.qlPolynomialFunctionValue(BP$1,$BD34,AllTriggers)</f>
        <v>9.6801231782094326E-4</v>
      </c>
      <c r="BQ34" s="47">
        <f>_xll.qlPolynomialFunctionValue('3MSynthDepo_used'!$P$18,BD34,AllTriggers)</f>
        <v>1.0412305992607998E-3</v>
      </c>
    </row>
    <row r="35" spans="3:69" ht="12" customHeight="1" x14ac:dyDescent="0.2">
      <c r="D35" s="36" t="s">
        <v>49</v>
      </c>
      <c r="E35" s="36" t="s">
        <v>38</v>
      </c>
      <c r="F35" s="36" t="s">
        <v>39</v>
      </c>
      <c r="G35" s="136" t="str">
        <f>IF(COUNT(G$28:G$31)=2,"Linear","Quadratic")</f>
        <v>Linear</v>
      </c>
      <c r="H35" s="38" t="str">
        <f>IF(COUNT(H$28:H$31)=2,"Linear","Quadratic")</f>
        <v>Quadratic</v>
      </c>
      <c r="S35" s="38" t="str">
        <f t="shared" ref="S35:AB35" si="11">IF(COUNT(S$28:S$31)=2,"Linear","Quadratic")</f>
        <v>Linear</v>
      </c>
      <c r="T35" s="137" t="str">
        <f t="shared" si="11"/>
        <v>Quadratic</v>
      </c>
      <c r="U35" s="136" t="str">
        <f t="shared" si="11"/>
        <v>Linear</v>
      </c>
      <c r="V35" s="38" t="str">
        <f t="shared" si="11"/>
        <v>Quadratic</v>
      </c>
      <c r="W35" s="38" t="str">
        <f t="shared" si="11"/>
        <v>Linear</v>
      </c>
      <c r="X35" s="137" t="str">
        <f t="shared" si="11"/>
        <v>Quadratic</v>
      </c>
      <c r="Y35" s="136" t="str">
        <f t="shared" si="11"/>
        <v>Linear</v>
      </c>
      <c r="Z35" s="38" t="str">
        <f t="shared" si="11"/>
        <v>Quadratic</v>
      </c>
      <c r="AA35" s="38" t="str">
        <f t="shared" si="11"/>
        <v>Linear</v>
      </c>
      <c r="AB35" s="137" t="str">
        <f t="shared" si="11"/>
        <v>Quadratic</v>
      </c>
      <c r="AC35" s="255" t="s">
        <v>105</v>
      </c>
      <c r="BC35" s="178">
        <f>_xll.qlCalendarAdvance(Calendar,BC34,"1d","mf",,Trigger)</f>
        <v>42179</v>
      </c>
      <c r="BD35" s="41">
        <f>_xll.qlDayCounterYearFraction(DayCounter,SettlementDate,BC35,,,Trigger)</f>
        <v>0.11388888888888889</v>
      </c>
      <c r="BE35" s="47">
        <f>_xll.qlPolynomialFunctionValue(BE$1,$BD35,AllTriggers)</f>
        <v>1.0824532973580238E-3</v>
      </c>
      <c r="BF35" s="47">
        <f>_xll.qlPolynomialFunctionValue(BF$1,$BD35,AllTriggers)</f>
        <v>8.3492028505365923E-4</v>
      </c>
      <c r="BG35" s="47">
        <f>_xll.qlPolynomialFunctionValue(BG$1,$BD35,AllTriggers)</f>
        <v>9.4009961216812317E-4</v>
      </c>
      <c r="BH35" s="47">
        <f>_xll.qlPolynomialFunctionValue(BH$1,$BD35,AllTriggers)</f>
        <v>9.5516593560513656E-4</v>
      </c>
      <c r="BI35" s="47">
        <f>_xll.qlPolynomialFunctionValue(BI$1,$BD35,AllTriggers)</f>
        <v>1.0826077406547578E-3</v>
      </c>
      <c r="BJ35" s="47">
        <f>_xll.qlPolynomialFunctionValue(BJ$1,$BD35,AllTriggers)</f>
        <v>8.3507168565701223E-4</v>
      </c>
      <c r="BK35" s="47">
        <f>_xll.qlPolynomialFunctionValue(BK$1,$BD35,AllTriggers)</f>
        <v>9.4025230564324198E-4</v>
      </c>
      <c r="BL35" s="47">
        <f>_xll.qlPolynomialFunctionValue(BL$1,$BD35,AllTriggers)</f>
        <v>9.5540701714549154E-4</v>
      </c>
      <c r="BM35" s="47">
        <f>_xll.qlPolynomialFunctionValue(BM$1,$BD35,AllTriggers)</f>
        <v>1.0216190677421826E-3</v>
      </c>
      <c r="BN35" s="47">
        <f>_xll.qlPolynomialFunctionValue(BN$1,$BD35,AllTriggers)</f>
        <v>1.0341571080220594E-3</v>
      </c>
      <c r="BO35" s="47">
        <f>_xll.qlPolynomialFunctionValue(BO$1,$BD35,AllTriggers)</f>
        <v>1.0028661970219468E-3</v>
      </c>
      <c r="BP35" s="47">
        <f>_xll.qlPolynomialFunctionValue(BP$1,$BD35,AllTriggers)</f>
        <v>9.8042510160553284E-4</v>
      </c>
      <c r="BQ35" s="47">
        <f>_xll.qlPolynomialFunctionValue('3MSynthDepo_used'!$P$18,BD35,AllTriggers)</f>
        <v>1.0431506839977459E-3</v>
      </c>
    </row>
    <row r="36" spans="3:69" ht="12" customHeight="1" x14ac:dyDescent="0.2">
      <c r="C36" s="19">
        <v>0</v>
      </c>
      <c r="D36" s="45" t="s">
        <v>25</v>
      </c>
      <c r="E36" s="175">
        <f>_xll.qlCalendarAdvance(Calendar,SettlementDate,C36&amp;"M","mf",TRUE,Trigger)</f>
        <v>42138</v>
      </c>
      <c r="F36" s="245">
        <f>_xll.qlCalendarAdvance(Calendar,SettlementDate,D36,"Following",,Trigger)</f>
        <v>42139</v>
      </c>
      <c r="G36" s="253">
        <f>_xll.qlTenorBasisForwardRate2(G$27,$E36,$F36,InterestRatesTrigger)</f>
        <v>3.3975411308340142E-4</v>
      </c>
      <c r="H36" s="193">
        <f>_xll.qlTenorBasisForwardRate2(H$27,$E36,$F36,InterestRatesTrigger)</f>
        <v>9.5492667317564894E-4</v>
      </c>
      <c r="S36" s="193">
        <f>_xll.qlTenorBasisForwardRate2(S$27,$E36,$F36,InterestRatesTrigger)</f>
        <v>-3.1767762124879084E-4</v>
      </c>
      <c r="T36" s="254">
        <f>_xll.qlTenorBasisForwardRate2(T$27,$E36,$F36,InterestRatesTrigger)</f>
        <v>-4.9997037490090435E-4</v>
      </c>
      <c r="U36" s="253">
        <f>_xll.qlTenorBasisForwardRate2(U$27,$E36,$F36,InterestRatesTrigger)</f>
        <v>3.3987637032772966E-4</v>
      </c>
      <c r="V36" s="193">
        <f>_xll.qlTenorBasisForwardRate2(V$27,$E36,$F36,InterestRatesTrigger)</f>
        <v>9.5505649229110645E-4</v>
      </c>
      <c r="W36" s="193">
        <f>_xll.qlTenorBasisForwardRate2(W$27,$E36,$F36,InterestRatesTrigger)</f>
        <v>-3.175634454599674E-4</v>
      </c>
      <c r="X36" s="254">
        <f>_xll.qlTenorBasisForwardRate2(X$27,$E36,$F36,InterestRatesTrigger)</f>
        <v>-5.0092563721015892E-4</v>
      </c>
      <c r="Y36" s="253">
        <f>_xll.qlTenorBasisForwardRate2(Y$27,$E36,$F36,InterestRatesTrigger)</f>
        <v>-9.8981075096205018E-5</v>
      </c>
      <c r="Z36" s="193">
        <f>_xll.qlTenorBasisForwardRate2(Z$27,$E36,$F36,InterestRatesTrigger)</f>
        <v>-3.8665120161596178E-4</v>
      </c>
      <c r="AA36" s="193">
        <f>_xll.qlTenorBasisForwardRate2(AA$27,$E36,$F36,InterestRatesTrigger)</f>
        <v>-1.3442672323282778E-4</v>
      </c>
      <c r="AB36" s="254">
        <f>_xll.qlTenorBasisForwardRate2(AB$27,$E36,$F36,InterestRatesTrigger)</f>
        <v>-7.2071663920869611E-4</v>
      </c>
      <c r="AC36" s="254">
        <f>'3MSynthDepo_used'!AA15</f>
        <v>-4.4796104345934395E-5</v>
      </c>
      <c r="BC36" s="178">
        <f>_xll.qlCalendarAdvance(Calendar,BC35,"1d","mf",,Trigger)</f>
        <v>42180</v>
      </c>
      <c r="BD36" s="41">
        <f>_xll.qlDayCounterYearFraction(DayCounter,SettlementDate,BC36,,,Trigger)</f>
        <v>0.11666666666666667</v>
      </c>
      <c r="BE36" s="47">
        <f>_xll.qlPolynomialFunctionValue(BE$1,$BD36,AllTriggers)</f>
        <v>1.0758919595589009E-3</v>
      </c>
      <c r="BF36" s="47">
        <f>_xll.qlPolynomialFunctionValue(BF$1,$BD36,AllTriggers)</f>
        <v>8.2264957485387192E-4</v>
      </c>
      <c r="BG36" s="47">
        <f>_xll.qlPolynomialFunctionValue(BG$1,$BD36,AllTriggers)</f>
        <v>9.4647951847717316E-4</v>
      </c>
      <c r="BH36" s="47">
        <f>_xll.qlPolynomialFunctionValue(BH$1,$BD36,AllTriggers)</f>
        <v>9.6421743364547854E-4</v>
      </c>
      <c r="BI36" s="47">
        <f>_xll.qlPolynomialFunctionValue(BI$1,$BD36,AllTriggers)</f>
        <v>1.0760471555224722E-3</v>
      </c>
      <c r="BJ36" s="47">
        <f>_xll.qlPolynomialFunctionValue(BJ$1,$BD36,AllTriggers)</f>
        <v>8.2280165794405087E-4</v>
      </c>
      <c r="BK36" s="47">
        <f>_xll.qlPolynomialFunctionValue(BK$1,$BD36,AllTriggers)</f>
        <v>9.4663312369382179E-4</v>
      </c>
      <c r="BL36" s="47">
        <f>_xll.qlPolynomialFunctionValue(BL$1,$BD36,AllTriggers)</f>
        <v>9.6447510008247726E-4</v>
      </c>
      <c r="BM36" s="47">
        <f>_xll.qlPolynomialFunctionValue(BM$1,$BD36,AllTriggers)</f>
        <v>1.0245374688156608E-3</v>
      </c>
      <c r="BN36" s="47">
        <f>_xll.qlPolynomialFunctionValue(BN$1,$BD36,AllTriggers)</f>
        <v>1.0415475002853495E-3</v>
      </c>
      <c r="BO36" s="47">
        <f>_xll.qlPolynomialFunctionValue(BO$1,$BD36,AllTriggers)</f>
        <v>1.006208849550639E-3</v>
      </c>
      <c r="BP36" s="47">
        <f>_xll.qlPolynomialFunctionValue(BP$1,$BD36,AllTriggers)</f>
        <v>9.9258220846033807E-4</v>
      </c>
      <c r="BQ36" s="47">
        <f>_xll.qlPolynomialFunctionValue('3MSynthDepo_used'!$P$18,BD36,AllTriggers)</f>
        <v>1.04506223539413E-3</v>
      </c>
    </row>
    <row r="37" spans="3:69" ht="12" customHeight="1" x14ac:dyDescent="0.2">
      <c r="C37" s="19">
        <v>0</v>
      </c>
      <c r="D37" s="48" t="s">
        <v>26</v>
      </c>
      <c r="E37" s="177">
        <f>_xll.qlCalendarAdvance(Calendar,SettlementDate,C37&amp;"M","mf",TRUE,Trigger)</f>
        <v>42138</v>
      </c>
      <c r="F37" s="246">
        <f>_xll.qlCalendarAdvance(Calendar,SettlementDate,D37,"Following",,Trigger)</f>
        <v>42145</v>
      </c>
      <c r="G37" s="138">
        <f>_xll.qlTenorBasisForwardRate2(G$27,$E37,$F37,InterestRatesTrigger)</f>
        <v>3.2060653299050197E-4</v>
      </c>
      <c r="H37" s="128">
        <f>_xll.qlTenorBasisForwardRate2(H$27,$E37,$F37,InterestRatesTrigger)</f>
        <v>8.3276802267765295E-4</v>
      </c>
      <c r="S37" s="128">
        <f>_xll.qlTenorBasisForwardRate2(S$27,$E37,$F37,InterestRatesTrigger)</f>
        <v>-2.9905795722674961E-4</v>
      </c>
      <c r="T37" s="139">
        <f>_xll.qlTenorBasisForwardRate2(T$27,$E37,$F37,InterestRatesTrigger)</f>
        <v>-4.6118336946486337E-4</v>
      </c>
      <c r="U37" s="138">
        <f>_xll.qlTenorBasisForwardRate2(U$27,$E37,$F37,InterestRatesTrigger)</f>
        <v>3.2073098744866968E-4</v>
      </c>
      <c r="V37" s="128">
        <f>_xll.qlTenorBasisForwardRate2(V$27,$E37,$F37,InterestRatesTrigger)</f>
        <v>8.3289877392748015E-4</v>
      </c>
      <c r="W37" s="128">
        <f>_xll.qlTenorBasisForwardRate2(W$27,$E37,$F37,InterestRatesTrigger)</f>
        <v>-2.9894112117734295E-4</v>
      </c>
      <c r="X37" s="139">
        <f>_xll.qlTenorBasisForwardRate2(X$27,$E37,$F37,InterestRatesTrigger)</f>
        <v>-4.6201765692683542E-4</v>
      </c>
      <c r="Y37" s="138">
        <f>_xll.qlTenorBasisForwardRate2(Y$27,$E37,$F37,InterestRatesTrigger)</f>
        <v>-9.0464031517229724E-5</v>
      </c>
      <c r="Z37" s="128">
        <f>_xll.qlTenorBasisForwardRate2(Z$27,$E37,$F37,InterestRatesTrigger)</f>
        <v>-3.484779479321988E-4</v>
      </c>
      <c r="AA37" s="128">
        <f>_xll.qlTenorBasisForwardRate2(AA$27,$E37,$F37,InterestRatesTrigger)</f>
        <v>-1.2467149640649211E-4</v>
      </c>
      <c r="AB37" s="139">
        <f>_xll.qlTenorBasisForwardRate2(AB$27,$E37,$F37,InterestRatesTrigger)</f>
        <v>-6.5623107951091289E-4</v>
      </c>
      <c r="AC37" s="139">
        <f>'3MSynthDepo_used'!AA16</f>
        <v>-3.8209765368866855E-5</v>
      </c>
      <c r="BC37" s="178">
        <f>_xll.qlCalendarAdvance(Calendar,BC36,"1d","mf",,Trigger)</f>
        <v>42181</v>
      </c>
      <c r="BD37" s="41">
        <f>_xll.qlDayCounterYearFraction(DayCounter,SettlementDate,BC37,,,Trigger)</f>
        <v>0.11944444444444445</v>
      </c>
      <c r="BE37" s="47">
        <f>_xll.qlPolynomialFunctionValue(BE$1,$BD37,AllTriggers)</f>
        <v>1.0693306217597781E-3</v>
      </c>
      <c r="BF37" s="47">
        <f>_xll.qlPolynomialFunctionValue(BF$1,$BD37,AllTriggers)</f>
        <v>8.111401143075064E-4</v>
      </c>
      <c r="BG37" s="47">
        <f>_xll.qlPolynomialFunctionValue(BG$1,$BD37,AllTriggers)</f>
        <v>9.5285942478622325E-4</v>
      </c>
      <c r="BH37" s="47">
        <f>_xll.qlPolynomialFunctionValue(BH$1,$BD37,AllTriggers)</f>
        <v>9.7315988712535931E-4</v>
      </c>
      <c r="BI37" s="47">
        <f>_xll.qlPolynomialFunctionValue(BI$1,$BD37,AllTriggers)</f>
        <v>1.0694865703901868E-3</v>
      </c>
      <c r="BJ37" s="47">
        <f>_xll.qlPolynomialFunctionValue(BJ$1,$BD37,AllTriggers)</f>
        <v>8.1129288924184641E-4</v>
      </c>
      <c r="BK37" s="47">
        <f>_xll.qlPolynomialFunctionValue(BK$1,$BD37,AllTriggers)</f>
        <v>9.530139417444016E-4</v>
      </c>
      <c r="BL37" s="47">
        <f>_xll.qlPolynomialFunctionValue(BL$1,$BD37,AllTriggers)</f>
        <v>9.7343349873838501E-4</v>
      </c>
      <c r="BM37" s="47">
        <f>_xll.qlPolynomialFunctionValue(BM$1,$BD37,AllTriggers)</f>
        <v>1.0274558698891388E-3</v>
      </c>
      <c r="BN37" s="47">
        <f>_xll.qlPolynomialFunctionValue(BN$1,$BD37,AllTriggers)</f>
        <v>1.0487915168630162E-3</v>
      </c>
      <c r="BO37" s="47">
        <f>_xll.qlPolynomialFunctionValue(BO$1,$BD37,AllTriggers)</f>
        <v>1.0095515020793315E-3</v>
      </c>
      <c r="BP37" s="47">
        <f>_xll.qlPolynomialFunctionValue(BP$1,$BD37,AllTriggers)</f>
        <v>1.0044836383853591E-3</v>
      </c>
      <c r="BQ37" s="47">
        <f>_xll.qlPolynomialFunctionValue('3MSynthDepo_used'!$P$18,BD37,AllTriggers)</f>
        <v>1.0469652719128824E-3</v>
      </c>
    </row>
    <row r="38" spans="3:69" ht="12" customHeight="1" x14ac:dyDescent="0.2">
      <c r="C38" s="19">
        <v>0</v>
      </c>
      <c r="D38" s="48" t="s">
        <v>27</v>
      </c>
      <c r="E38" s="177">
        <f>_xll.qlCalendarAdvance(Calendar,SettlementDate,C38&amp;"M","mf",TRUE,Trigger)</f>
        <v>42138</v>
      </c>
      <c r="F38" s="246">
        <f>_xll.qlCalendarAdvance(Calendar,SettlementDate,D38,"Following",,Trigger)</f>
        <v>42152</v>
      </c>
      <c r="G38" s="138">
        <f>_xll.qlTenorBasisForwardRate2(G$27,$E38,$F38,InterestRatesTrigger)</f>
        <v>2.8825741089517313E-4</v>
      </c>
      <c r="H38" s="128">
        <f>_xll.qlTenorBasisForwardRate2(H$27,$E38,$F38,InterestRatesTrigger)</f>
        <v>6.9131345506980219E-4</v>
      </c>
      <c r="S38" s="128">
        <f>_xll.qlTenorBasisForwardRate2(S$27,$E38,$F38,InterestRatesTrigger)</f>
        <v>-2.8734504693650464E-4</v>
      </c>
      <c r="T38" s="139">
        <f>_xll.qlTenorBasisForwardRate2(T$27,$E38,$F38,InterestRatesTrigger)</f>
        <v>-4.2752910360789793E-4</v>
      </c>
      <c r="U38" s="138">
        <f>_xll.qlTenorBasisForwardRate2(U$27,$E38,$F38,InterestRatesTrigger)</f>
        <v>2.8838442865719571E-4</v>
      </c>
      <c r="V38" s="128">
        <f>_xll.qlTenorBasisForwardRate2(V$27,$E38,$F38,InterestRatesTrigger)</f>
        <v>6.9144542924995779E-4</v>
      </c>
      <c r="W38" s="128">
        <f>_xll.qlTenorBasisForwardRate2(W$27,$E38,$F38,InterestRatesTrigger)</f>
        <v>-2.8722510728686397E-4</v>
      </c>
      <c r="X38" s="139">
        <f>_xll.qlTenorBasisForwardRate2(X$27,$E38,$F38,InterestRatesTrigger)</f>
        <v>-4.282315658876712E-4</v>
      </c>
      <c r="Y38" s="138">
        <f>_xll.qlTenorBasisForwardRate2(Y$27,$E38,$F38,InterestRatesTrigger)</f>
        <v>-9.0537393999033449E-5</v>
      </c>
      <c r="Z38" s="128">
        <f>_xll.qlTenorBasisForwardRate2(Z$27,$E38,$F38,InterestRatesTrigger)</f>
        <v>-3.1608281566691029E-4</v>
      </c>
      <c r="AA38" s="128">
        <f>_xll.qlTenorBasisForwardRate2(AA$27,$E38,$F38,InterestRatesTrigger)</f>
        <v>-1.2330031712494614E-4</v>
      </c>
      <c r="AB38" s="139">
        <f>_xll.qlTenorBasisForwardRate2(AB$27,$E38,$F38,InterestRatesTrigger)</f>
        <v>-5.9472977429380388E-4</v>
      </c>
      <c r="AC38" s="139">
        <f>'3MSynthDepo_used'!AA17</f>
        <v>-4.0669348880013291E-5</v>
      </c>
      <c r="BC38" s="178">
        <f>_xll.qlCalendarAdvance(Calendar,BC37,"1d","mf",,Trigger)</f>
        <v>42184</v>
      </c>
      <c r="BD38" s="41">
        <f>_xll.qlDayCounterYearFraction(DayCounter,SettlementDate,BC38,,,Trigger)</f>
        <v>0.12777777777777777</v>
      </c>
      <c r="BE38" s="47">
        <f>_xll.qlPolynomialFunctionValue(BE$1,$BD38,AllTriggers)</f>
        <v>1.0496466083624099E-3</v>
      </c>
      <c r="BF38" s="47">
        <f>_xll.qlPolynomialFunctionValue(BF$1,$BD38,AllTriggers)</f>
        <v>7.8117923058894226E-4</v>
      </c>
      <c r="BG38" s="47">
        <f>_xll.qlPolynomialFunctionValue(BG$1,$BD38,AllTriggers)</f>
        <v>9.7199914371337321E-4</v>
      </c>
      <c r="BH38" s="47">
        <f>_xll.qlPolynomialFunctionValue(BH$1,$BD38,AllTriggers)</f>
        <v>9.99332980202237E-4</v>
      </c>
      <c r="BI38" s="47">
        <f>_xll.qlPolynomialFunctionValue(BI$1,$BD38,AllTriggers)</f>
        <v>1.0498048149933305E-3</v>
      </c>
      <c r="BJ38" s="47">
        <f>_xll.qlPolynomialFunctionValue(BJ$1,$BD38,AllTriggers)</f>
        <v>7.813341371997732E-4</v>
      </c>
      <c r="BK38" s="47">
        <f>_xll.qlPolynomialFunctionValue(BK$1,$BD38,AllTriggers)</f>
        <v>9.7215639589614069E-4</v>
      </c>
      <c r="BL38" s="47">
        <f>_xll.qlPolynomialFunctionValue(BL$1,$BD38,AllTriggers)</f>
        <v>9.9965058901964202E-4</v>
      </c>
      <c r="BM38" s="47">
        <f>_xll.qlPolynomialFunctionValue(BM$1,$BD38,AllTriggers)</f>
        <v>1.0362110731095731E-3</v>
      </c>
      <c r="BN38" s="47">
        <f>_xll.qlPolynomialFunctionValue(BN$1,$BD38,AllTriggers)</f>
        <v>1.069645312482277E-3</v>
      </c>
      <c r="BO38" s="47">
        <f>_xll.qlPolynomialFunctionValue(BO$1,$BD38,AllTriggers)</f>
        <v>1.0195794596654087E-3</v>
      </c>
      <c r="BP38" s="47">
        <f>_xll.qlPolynomialFunctionValue(BP$1,$BD38,AllTriggers)</f>
        <v>1.0386538665817162E-3</v>
      </c>
      <c r="BQ38" s="47">
        <f>_xll.qlPolynomialFunctionValue('3MSynthDepo_used'!$P$18,BD38,AllTriggers)</f>
        <v>1.0526234768326601E-3</v>
      </c>
    </row>
    <row r="39" spans="3:69" x14ac:dyDescent="0.2">
      <c r="C39" s="19">
        <v>0</v>
      </c>
      <c r="D39" s="48" t="s">
        <v>28</v>
      </c>
      <c r="E39" s="177">
        <f>_xll.qlCalendarAdvance(Calendar,SettlementDate,C39&amp;"M","mf",TRUE,Trigger)</f>
        <v>42138</v>
      </c>
      <c r="F39" s="246">
        <f>_xll.qlCalendarAdvance(Calendar,SettlementDate,D39,"Following",,Trigger)</f>
        <v>42159</v>
      </c>
      <c r="G39" s="138">
        <f>_xll.qlTenorBasisForwardRate2(G$27,$E39,$F39,InterestRatesTrigger)</f>
        <v>3.4591421973674736E-4</v>
      </c>
      <c r="H39" s="128">
        <f>_xll.qlTenorBasisForwardRate2(H$27,$E39,$F39,InterestRatesTrigger)</f>
        <v>6.5179384453527083E-4</v>
      </c>
      <c r="S39" s="128">
        <f>_xll.qlTenorBasisForwardRate2(S$27,$E39,$F39,InterestRatesTrigger)</f>
        <v>-1.8562880005124072E-4</v>
      </c>
      <c r="T39" s="139">
        <f>_xll.qlTenorBasisForwardRate2(T$27,$E39,$F39,InterestRatesTrigger)</f>
        <v>-3.0558134646506218E-4</v>
      </c>
      <c r="U39" s="138">
        <f>_xll.qlTenorBasisForwardRate2(U$27,$E39,$F39,InterestRatesTrigger)</f>
        <v>3.4604380134314487E-4</v>
      </c>
      <c r="V39" s="128">
        <f>_xll.qlTenorBasisForwardRate2(V$27,$E39,$F39,InterestRatesTrigger)</f>
        <v>6.5192718837790513E-4</v>
      </c>
      <c r="W39" s="128">
        <f>_xll.qlTenorBasisForwardRate2(W$27,$E39,$F39,InterestRatesTrigger)</f>
        <v>-1.8550575612952258E-4</v>
      </c>
      <c r="X39" s="139">
        <f>_xll.qlTenorBasisForwardRate2(X$27,$E39,$F39,InterestRatesTrigger)</f>
        <v>-3.0616201431791064E-4</v>
      </c>
      <c r="Y39" s="138">
        <f>_xll.qlTenorBasisForwardRate2(Y$27,$E39,$F39,InterestRatesTrigger)</f>
        <v>-6.0632266636011826E-7</v>
      </c>
      <c r="Z39" s="128">
        <f>_xll.qlTenorBasisForwardRate2(Z$27,$E39,$F39,InterestRatesTrigger)</f>
        <v>-1.9597848534859606E-4</v>
      </c>
      <c r="AA39" s="128">
        <f>_xll.qlTenorBasisForwardRate2(AA$27,$E39,$F39,InterestRatesTrigger)</f>
        <v>-3.1924875215797298E-5</v>
      </c>
      <c r="AB39" s="139">
        <f>_xll.qlTenorBasisForwardRate2(AB$27,$E39,$F39,InterestRatesTrigger)</f>
        <v>-4.4723430859657957E-4</v>
      </c>
      <c r="AC39" s="139">
        <f>'3MSynthDepo_used'!AA18</f>
        <v>4.6733159646856439E-5</v>
      </c>
      <c r="BC39" s="178">
        <f>_xll.qlCalendarAdvance(Calendar,BC38,"1d","mf",,Trigger)</f>
        <v>42185</v>
      </c>
      <c r="BD39" s="41">
        <f>_xll.qlDayCounterYearFraction(DayCounter,SettlementDate,BC39,,,Trigger)</f>
        <v>0.13055555555555556</v>
      </c>
      <c r="BE39" s="47">
        <f>_xll.qlPolynomialFunctionValue(BE$1,$BD39,AllTriggers)</f>
        <v>1.0430852705632871E-3</v>
      </c>
      <c r="BF39" s="47">
        <f>_xll.qlPolynomialFunctionValue(BF$1,$BD39,AllTriggers)</f>
        <v>7.7271476865626448E-4</v>
      </c>
      <c r="BG39" s="47">
        <f>_xll.qlPolynomialFunctionValue(BG$1,$BD39,AllTriggers)</f>
        <v>9.7837905002242319E-4</v>
      </c>
      <c r="BH39" s="47">
        <f>_xll.qlPolynomialFunctionValue(BH$1,$BD39,AllTriggers)</f>
        <v>1.0078392554402746E-3</v>
      </c>
      <c r="BI39" s="47">
        <f>_xll.qlPolynomialFunctionValue(BI$1,$BD39,AllTriggers)</f>
        <v>1.0432442298610449E-3</v>
      </c>
      <c r="BJ39" s="47">
        <f>_xll.qlPolynomialFunctionValue(BJ$1,$BD39,AllTriggers)</f>
        <v>7.7287040454059584E-4</v>
      </c>
      <c r="BK39" s="47">
        <f>_xll.qlPolynomialFunctionValue(BK$1,$BD39,AllTriggers)</f>
        <v>9.7853721394672039E-4</v>
      </c>
      <c r="BL39" s="47">
        <f>_xll.qlPolynomialFunctionValue(BL$1,$BD39,AllTriggers)</f>
        <v>1.0081702505512385E-3</v>
      </c>
      <c r="BM39" s="47">
        <f>_xll.qlPolynomialFunctionValue(BM$1,$BD39,AllTriggers)</f>
        <v>1.0391294741830513E-3</v>
      </c>
      <c r="BN39" s="47">
        <f>_xll.qlPolynomialFunctionValue(BN$1,$BD39,AllTriggers)</f>
        <v>1.0763038263174509E-3</v>
      </c>
      <c r="BO39" s="47">
        <f>_xll.qlPolynomialFunctionValue(BO$1,$BD39,AllTriggers)</f>
        <v>1.0229221121941011E-3</v>
      </c>
      <c r="BP39" s="47">
        <f>_xll.qlPolynomialFunctionValue(BP$1,$BD39,AllTriggers)</f>
        <v>1.0495325887876002E-3</v>
      </c>
      <c r="BQ39" s="47">
        <f>_xll.qlPolynomialFunctionValue('3MSynthDepo_used'!$P$18,BD39,AllTriggers)</f>
        <v>1.0544926384701955E-3</v>
      </c>
    </row>
    <row r="40" spans="3:69" x14ac:dyDescent="0.2">
      <c r="C40" s="19">
        <v>0</v>
      </c>
      <c r="D40" s="129" t="s">
        <v>22</v>
      </c>
      <c r="E40" s="179">
        <f>_xll.qlCalendarAdvance(Calendar,SettlementDate,C40&amp;"M","mf",TRUE,Trigger)</f>
        <v>42138</v>
      </c>
      <c r="F40" s="247">
        <f>_xll.qlCalendarAdvance(Calendar,SettlementDate,D40,"mf",TRUE,Trigger)</f>
        <v>42170</v>
      </c>
      <c r="G40" s="140">
        <f>_xll.qlTenorBasisForwardRate2(G$27,$E40,$F40,InterestRatesTrigger)</f>
        <v>2.3860320480406649E-4</v>
      </c>
      <c r="H40" s="131">
        <f>_xll.qlTenorBasisForwardRate2(H$27,$E40,$F40,InterestRatesTrigger)</f>
        <v>4.1587429657485853E-4</v>
      </c>
      <c r="S40" s="131">
        <f>_xll.qlTenorBasisForwardRate2(S$27,$E40,$F40,InterestRatesTrigger)</f>
        <v>-2.2369748765599384E-4</v>
      </c>
      <c r="T40" s="141">
        <f>_xll.qlTenorBasisForwardRate2(T$27,$E40,$F40,InterestRatesTrigger)</f>
        <v>-3.1530942785740201E-4</v>
      </c>
      <c r="U40" s="140">
        <f>_xll.qlTenorBasisForwardRate2(U$27,$E40,$F40,InterestRatesTrigger)</f>
        <v>2.38736813655549E-4</v>
      </c>
      <c r="V40" s="131">
        <f>_xll.qlTenorBasisForwardRate2(V$27,$E40,$F40,InterestRatesTrigger)</f>
        <v>4.1601008658159744E-4</v>
      </c>
      <c r="W40" s="131">
        <f>_xll.qlTenorBasisForwardRate2(W$27,$E40,$F40,InterestRatesTrigger)</f>
        <v>-2.2356956680832929E-4</v>
      </c>
      <c r="X40" s="141">
        <f>_xll.qlTenorBasisForwardRate2(X$27,$E40,$F40,InterestRatesTrigger)</f>
        <v>-3.1571895629856073E-4</v>
      </c>
      <c r="Y40" s="140">
        <f>_xll.qlTenorBasisForwardRate2(Y$27,$E40,$F40,InterestRatesTrigger)</f>
        <v>-5.7196338600351559E-5</v>
      </c>
      <c r="Z40" s="131">
        <f>_xll.qlTenorBasisForwardRate2(Z$27,$E40,$F40,InterestRatesTrigger)</f>
        <v>-2.097862426513053E-4</v>
      </c>
      <c r="AA40" s="131">
        <f>_xll.qlTenorBasisForwardRate2(AA$27,$E40,$F40,InterestRatesTrigger)</f>
        <v>-8.6244843107152747E-5</v>
      </c>
      <c r="AB40" s="141">
        <f>_xll.qlTenorBasisForwardRate2(AB$27,$E40,$F40,InterestRatesTrigger)</f>
        <v>-4.2145801242454706E-4</v>
      </c>
      <c r="AC40" s="141">
        <f>'3MSynthDepo_used'!AA19</f>
        <v>-1.4115307976209079E-5</v>
      </c>
      <c r="BC40" s="178">
        <f>_xll.qlCalendarAdvance(Calendar,BC39,"1d","mf",,Trigger)</f>
        <v>42186</v>
      </c>
      <c r="BD40" s="41">
        <f>_xll.qlDayCounterYearFraction(DayCounter,SettlementDate,BC40,,,Trigger)</f>
        <v>0.13333333333333333</v>
      </c>
      <c r="BE40" s="47">
        <f>_xll.qlPolynomialFunctionValue(BE$1,$BD40,AllTriggers)</f>
        <v>1.0365239327641642E-3</v>
      </c>
      <c r="BF40" s="47">
        <f>_xll.qlPolynomialFunctionValue(BF$1,$BD40,AllTriggers)</f>
        <v>7.6501155637700893E-4</v>
      </c>
      <c r="BG40" s="47">
        <f>_xll.qlPolynomialFunctionValue(BG$1,$BD40,AllTriggers)</f>
        <v>9.8475895633147329E-4</v>
      </c>
      <c r="BH40" s="47">
        <f>_xll.qlPolynomialFunctionValue(BH$1,$BD40,AllTriggers)</f>
        <v>1.0162364861178511E-3</v>
      </c>
      <c r="BI40" s="47">
        <f>_xll.qlPolynomialFunctionValue(BI$1,$BD40,AllTriggers)</f>
        <v>1.0366836447287596E-3</v>
      </c>
      <c r="BJ40" s="47">
        <f>_xll.qlPolynomialFunctionValue(BJ$1,$BD40,AllTriggers)</f>
        <v>7.6516793089217506E-4</v>
      </c>
      <c r="BK40" s="47">
        <f>_xll.qlPolynomialFunctionValue(BK$1,$BD40,AllTriggers)</f>
        <v>9.849180319973002E-4</v>
      </c>
      <c r="BL40" s="47">
        <f>_xll.qlPolynomialFunctionValue(BL$1,$BD40,AllTriggers)</f>
        <v>1.0165802278017573E-3</v>
      </c>
      <c r="BM40" s="47">
        <f>_xll.qlPolynomialFunctionValue(BM$1,$BD40,AllTriggers)</f>
        <v>1.0420478752565293E-3</v>
      </c>
      <c r="BN40" s="47">
        <f>_xll.qlPolynomialFunctionValue(BN$1,$BD40,AllTriggers)</f>
        <v>1.0828159644670015E-3</v>
      </c>
      <c r="BO40" s="47">
        <f>_xll.qlPolynomialFunctionValue(BO$1,$BD40,AllTriggers)</f>
        <v>1.0262647647227936E-3</v>
      </c>
      <c r="BP40" s="47">
        <f>_xll.qlPolynomialFunctionValue(BP$1,$BD40,AllTriggers)</f>
        <v>1.0601556340636992E-3</v>
      </c>
      <c r="BQ40" s="47">
        <f>_xll.qlPolynomialFunctionValue('3MSynthDepo_used'!$P$18,BD40,AllTriggers)</f>
        <v>1.0563533775447536E-3</v>
      </c>
    </row>
    <row r="41" spans="3:69" x14ac:dyDescent="0.2">
      <c r="C41" s="19">
        <v>0</v>
      </c>
      <c r="D41" s="48" t="s">
        <v>29</v>
      </c>
      <c r="E41" s="177">
        <f>_xll.qlCalendarAdvance(Calendar,SettlementDate,C41&amp;"M","mf",TRUE,Trigger)</f>
        <v>42138</v>
      </c>
      <c r="F41" s="246">
        <f>_xll.qlCalendarAdvance(Calendar,SettlementDate,D41,"mf",TRUE,Trigger)</f>
        <v>42199</v>
      </c>
      <c r="G41" s="138">
        <f>_xll.qlTenorBasisForwardRate2(G$27,$E41,$F41,InterestRatesTrigger)</f>
        <v>8.051757508469242E-5</v>
      </c>
      <c r="H41" s="128">
        <f>_xll.qlTenorBasisForwardRate2(H$27,$E41,$F41,InterestRatesTrigger)</f>
        <v>5.9943400742784495E-5</v>
      </c>
      <c r="S41" s="128">
        <f>_xll.qlTenorBasisForwardRate2(S$27,$E41,$F41,InterestRatesTrigger)</f>
        <v>-1.9923778724282703E-4</v>
      </c>
      <c r="T41" s="139">
        <f>_xll.qlTenorBasisForwardRate2(T$27,$E41,$F41,InterestRatesTrigger)</f>
        <v>-2.3636304451253744E-4</v>
      </c>
      <c r="U41" s="138">
        <f>_xll.qlTenorBasisForwardRate2(U$27,$E41,$F41,InterestRatesTrigger)</f>
        <v>8.0661799785071591E-5</v>
      </c>
      <c r="V41" s="128">
        <f>_xll.qlTenorBasisForwardRate2(V$27,$E41,$F41,InterestRatesTrigger)</f>
        <v>6.0087372040618815E-5</v>
      </c>
      <c r="W41" s="128">
        <f>_xll.qlTenorBasisForwardRate2(W$27,$E41,$F41,InterestRatesTrigger)</f>
        <v>-1.9909700807024537E-4</v>
      </c>
      <c r="X41" s="139">
        <f>_xll.qlTenorBasisForwardRate2(X$27,$E41,$F41,InterestRatesTrigger)</f>
        <v>-2.364400645081646E-4</v>
      </c>
      <c r="Y41" s="138">
        <f>_xll.qlTenorBasisForwardRate2(Y$27,$E41,$F41,InterestRatesTrigger)</f>
        <v>-8.1563485101647713E-5</v>
      </c>
      <c r="Z41" s="128">
        <f>_xll.qlTenorBasisForwardRate2(Z$27,$E41,$F41,InterestRatesTrigger)</f>
        <v>-1.4851829674810335E-4</v>
      </c>
      <c r="AA41" s="128">
        <f>_xll.qlTenorBasisForwardRate2(AA$27,$E41,$F41,InterestRatesTrigger)</f>
        <v>-1.0462754874616156E-4</v>
      </c>
      <c r="AB41" s="139">
        <f>_xll.qlTenorBasisForwardRate2(AB$27,$E41,$F41,InterestRatesTrigger)</f>
        <v>-2.7611167991336931E-4</v>
      </c>
      <c r="AC41" s="139">
        <f>'3MSynthDepo_used'!AA20</f>
        <v>-5.1336009323499354E-5</v>
      </c>
      <c r="AD41" s="132" t="str">
        <f>"Fixing "&amp;DAY(_xll.qlInterestRateIndexFixingDate($D$25,'6MSynthDepo_used'!G4))&amp;"/"&amp;MONTH(_xll.qlInterestRateIndexFixingDate($D$25,'6MSynthDepo_used'!G4))</f>
        <v>Fixing 12/5</v>
      </c>
      <c r="BC41" s="178">
        <f>_xll.qlCalendarAdvance(Calendar,BC40,"1d","mf",,Trigger)</f>
        <v>42187</v>
      </c>
      <c r="BD41" s="41">
        <f>_xll.qlDayCounterYearFraction(DayCounter,SettlementDate,BC41,,,Trigger)</f>
        <v>0.1361111111111111</v>
      </c>
      <c r="BE41" s="47">
        <f>_xll.qlPolynomialFunctionValue(BE$1,$BD41,AllTriggers)</f>
        <v>1.0299625949650416E-3</v>
      </c>
      <c r="BF41" s="47">
        <f>_xll.qlPolynomialFunctionValue(BF$1,$BD41,AllTriggers)</f>
        <v>7.5806959375117539E-4</v>
      </c>
      <c r="BG41" s="47">
        <f>_xll.qlPolynomialFunctionValue(BG$1,$BD41,AllTriggers)</f>
        <v>9.9113886264052316E-4</v>
      </c>
      <c r="BH41" s="47">
        <f>_xll.qlPolynomialFunctionValue(BH$1,$BD41,AllTriggers)</f>
        <v>1.0245246722349667E-3</v>
      </c>
      <c r="BI41" s="47">
        <f>_xll.qlPolynomialFunctionValue(BI$1,$BD41,AllTriggers)</f>
        <v>1.030123059596474E-3</v>
      </c>
      <c r="BJ41" s="47">
        <f>_xll.qlPolynomialFunctionValue(BJ$1,$BD41,AllTriggers)</f>
        <v>7.5822671625451108E-4</v>
      </c>
      <c r="BK41" s="47">
        <f>_xll.qlPolynomialFunctionValue(BK$1,$BD41,AllTriggers)</f>
        <v>9.9129885004788001E-4</v>
      </c>
      <c r="BL41" s="47">
        <f>_xll.qlPolynomialFunctionValue(BL$1,$BD41,AllTriggers)</f>
        <v>1.0248805207711984E-3</v>
      </c>
      <c r="BM41" s="47">
        <f>_xll.qlPolynomialFunctionValue(BM$1,$BD41,AllTriggers)</f>
        <v>1.0449662763300075E-3</v>
      </c>
      <c r="BN41" s="47">
        <f>_xll.qlPolynomialFunctionValue(BN$1,$BD41,AllTriggers)</f>
        <v>1.0891817269309291E-3</v>
      </c>
      <c r="BO41" s="47">
        <f>_xll.qlPolynomialFunctionValue(BO$1,$BD41,AllTriggers)</f>
        <v>1.0296074172514861E-3</v>
      </c>
      <c r="BP41" s="47">
        <f>_xll.qlPolynomialFunctionValue(BP$1,$BD41,AllTriggers)</f>
        <v>1.0705230024100141E-3</v>
      </c>
      <c r="BQ41" s="47">
        <f>_xll.qlPolynomialFunctionValue('3MSynthDepo_used'!$P$18,BD41,AllTriggers)</f>
        <v>1.0582057125192652E-3</v>
      </c>
    </row>
    <row r="42" spans="3:69" ht="12" thickBot="1" x14ac:dyDescent="0.25">
      <c r="C42" s="19">
        <v>0</v>
      </c>
      <c r="D42" s="127" t="s">
        <v>23</v>
      </c>
      <c r="E42" s="183">
        <f>_xll.qlCalendarAdvance(Calendar,SettlementDate,C42&amp;"M","mf",TRUE,Trigger)</f>
        <v>42138</v>
      </c>
      <c r="F42" s="249">
        <f>_xll.qlCalendarAdvance(Calendar,SettlementDate,D42,"mf",TRUE,Trigger)</f>
        <v>42230</v>
      </c>
      <c r="G42" s="144">
        <f>_xll.qlTenorBasisForwardRate2(G$27,$E42,$F42,InterestRatesTrigger)</f>
        <v>-7.5311614499044054E-5</v>
      </c>
      <c r="H42" s="145">
        <f>_xll.qlTenorBasisForwardRate2(H$27,$E42,$F42,InterestRatesTrigger)</f>
        <v>-8.094790032275867E-5</v>
      </c>
      <c r="S42" s="145">
        <f>_xll.qlTenorBasisForwardRate2(S$27,$E42,$F42,InterestRatesTrigger)</f>
        <v>-1.5993591898073205E-4</v>
      </c>
      <c r="T42" s="146">
        <f>_xll.qlTenorBasisForwardRate2(T$27,$E42,$F42,InterestRatesTrigger)</f>
        <v>-1.7125036010995598E-4</v>
      </c>
      <c r="U42" s="145">
        <f>_xll.qlTenorBasisForwardRate2(U$27,$E42,$F42,InterestRatesTrigger)</f>
        <v>-7.5156045859334583E-5</v>
      </c>
      <c r="V42" s="145">
        <f>_xll.qlTenorBasisForwardRate2(V$27,$E42,$F42,InterestRatesTrigger)</f>
        <v>-8.0792401188754752E-5</v>
      </c>
      <c r="W42" s="145">
        <f>_xll.qlTenorBasisForwardRate2(W$27,$E42,$F42,InterestRatesTrigger)</f>
        <v>-1.5978139390147801E-4</v>
      </c>
      <c r="X42" s="146">
        <f>_xll.qlTenorBasisForwardRate2(X$27,$E42,$F42,InterestRatesTrigger)</f>
        <v>-1.7116221266322285E-4</v>
      </c>
      <c r="Y42" s="144">
        <f>_xll.qlTenorBasisForwardRate2(Y$27,$E42,$F42,InterestRatesTrigger)</f>
        <v>-9.4454390913929103E-5</v>
      </c>
      <c r="Z42" s="145">
        <f>_xll.qlTenorBasisForwardRate2(Z$27,$E42,$F42,InterestRatesTrigger)</f>
        <v>-1.1340560799954564E-4</v>
      </c>
      <c r="AA42" s="145">
        <f>_xll.qlTenorBasisForwardRate2(AA$27,$E42,$F42,InterestRatesTrigger)</f>
        <v>-1.1112141060527107E-4</v>
      </c>
      <c r="AB42" s="146">
        <f>_xll.qlTenorBasisForwardRate2(AB$27,$E42,$F42,InterestRatesTrigger)</f>
        <v>-1.8363248433068307E-4</v>
      </c>
      <c r="AC42" s="146">
        <f>'3MSynthDepo_used'!AA21</f>
        <v>-8.0479430583236194E-5</v>
      </c>
      <c r="AD42" s="144">
        <f>'3MSynthDepo_used'!$I$4</f>
        <v>2.0999999999807407E-5</v>
      </c>
      <c r="BC42" s="178">
        <f>_xll.qlCalendarAdvance(Calendar,BC41,"1d","mf",,Trigger)</f>
        <v>42188</v>
      </c>
      <c r="BD42" s="41">
        <f>_xll.qlDayCounterYearFraction(DayCounter,SettlementDate,BC42,,,Trigger)</f>
        <v>0.1388888888888889</v>
      </c>
      <c r="BE42" s="47">
        <f>_xll.qlPolynomialFunctionValue(BE$1,$BD42,AllTriggers)</f>
        <v>1.0234012571659187E-3</v>
      </c>
      <c r="BF42" s="47">
        <f>_xll.qlPolynomialFunctionValue(BF$1,$BD42,AllTriggers)</f>
        <v>7.5188888077876333E-4</v>
      </c>
      <c r="BG42" s="47">
        <f>_xll.qlPolynomialFunctionValue(BG$1,$BD42,AllTriggers)</f>
        <v>9.9751876894957326E-4</v>
      </c>
      <c r="BH42" s="47">
        <f>_xll.qlPolynomialFunctionValue(BH$1,$BD42,AllTriggers)</f>
        <v>1.0327038137916212E-3</v>
      </c>
      <c r="BI42" s="47">
        <f>_xll.qlPolynomialFunctionValue(BI$1,$BD42,AllTriggers)</f>
        <v>1.0235624744641886E-3</v>
      </c>
      <c r="BJ42" s="47">
        <f>_xll.qlPolynomialFunctionValue(BJ$1,$BD42,AllTriggers)</f>
        <v>7.5204676062760433E-4</v>
      </c>
      <c r="BK42" s="47">
        <f>_xll.qlPolynomialFunctionValue(BK$1,$BD42,AllTriggers)</f>
        <v>9.9767966809845982E-4</v>
      </c>
      <c r="BL42" s="47">
        <f>_xll.qlPolynomialFunctionValue(BL$1,$BD42,AllTriggers)</f>
        <v>1.0330711294595618E-3</v>
      </c>
      <c r="BM42" s="47">
        <f>_xll.qlPolynomialFunctionValue(BM$1,$BD42,AllTriggers)</f>
        <v>1.0478846774034855E-3</v>
      </c>
      <c r="BN42" s="47">
        <f>_xll.qlPolynomialFunctionValue(BN$1,$BD42,AllTriggers)</f>
        <v>1.0954011137092332E-3</v>
      </c>
      <c r="BO42" s="47">
        <f>_xll.qlPolynomialFunctionValue(BO$1,$BD42,AllTriggers)</f>
        <v>1.0329500697801785E-3</v>
      </c>
      <c r="BP42" s="47">
        <f>_xll.qlPolynomialFunctionValue(BP$1,$BD42,AllTriggers)</f>
        <v>1.0806346938265453E-3</v>
      </c>
      <c r="BQ42" s="47">
        <f>_xll.qlPolynomialFunctionValue('3MSynthDepo_used'!$P$18,BD42,AllTriggers)</f>
        <v>1.0600496618566612E-3</v>
      </c>
    </row>
    <row r="43" spans="3:69" ht="11.25" customHeight="1" x14ac:dyDescent="0.2">
      <c r="C43" s="19">
        <v>1</v>
      </c>
      <c r="D43" s="45" t="str">
        <f>C43+SUBSTITUTE($D$24,"M","")&amp;"M"</f>
        <v>4M</v>
      </c>
      <c r="E43" s="175">
        <f>_xll.qlCalendarAdvance(Calendar,SettlementDate,C43&amp;"M","mf",TRUE,Trigger)</f>
        <v>42170</v>
      </c>
      <c r="F43" s="270">
        <f>_xll.qlInterestRateIndexMaturity($D$25,E43,Trigger)</f>
        <v>42262</v>
      </c>
      <c r="G43" s="155">
        <f>_xll.qlTenorBasisForwardRate2(G$27,$E43,$F43,InterestRatesTrigger)</f>
        <v>-3.7130224467226162E-4</v>
      </c>
      <c r="H43" s="47">
        <f>_xll.qlTenorBasisForwardRate2(H$27,$E43,$F43,InterestRatesTrigger)</f>
        <v>-8.9018484325158369E-5</v>
      </c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47">
        <f>_xll.qlTenorBasisForwardRate2(S$27,$E43,$F43,InterestRatesTrigger)</f>
        <v>-5.3094576212999932E-5</v>
      </c>
      <c r="T43" s="154">
        <f>_xll.qlTenorBasisForwardRate2(T$27,$E43,$F43,InterestRatesTrigger)</f>
        <v>-4.7948659482442643E-5</v>
      </c>
      <c r="U43" s="47">
        <f>_xll.qlTenorBasisForwardRate2(U$27,$E43,$F43,InterestRatesTrigger)</f>
        <v>-3.7112326003732241E-4</v>
      </c>
      <c r="V43" s="47">
        <f>_xll.qlTenorBasisForwardRate2(V$27,$E43,$F43,InterestRatesTrigger)</f>
        <v>-8.8836016798852526E-5</v>
      </c>
      <c r="W43" s="47">
        <f>_xll.qlTenorBasisForwardRate2(W$27,$E43,$F43,InterestRatesTrigger)</f>
        <v>-5.2911665430392851E-5</v>
      </c>
      <c r="X43" s="154">
        <f>_xll.qlTenorBasisForwardRate2(X$27,$E43,$F43,InterestRatesTrigger)</f>
        <v>-4.7735559411809589E-5</v>
      </c>
      <c r="Y43" s="155">
        <f>_xll.qlTenorBasisForwardRate2(Y$27,$E43,$F43,InterestRatesTrigger)</f>
        <v>-9.5364326850962925E-5</v>
      </c>
      <c r="Z43" s="47">
        <f>_xll.qlTenorBasisForwardRate2(Z$27,$E43,$F43,InterestRatesTrigger)</f>
        <v>-6.4646505026524551E-5</v>
      </c>
      <c r="AA43" s="47">
        <f>_xll.qlTenorBasisForwardRate2(AA$27,$E43,$F43,InterestRatesTrigger)</f>
        <v>-9.8825050825310598E-5</v>
      </c>
      <c r="AB43" s="47">
        <f>_xll.qlTenorBasisForwardRate2(AB$27,$E43,$F43,InterestRatesTrigger)</f>
        <v>-5.3352638107896709E-5</v>
      </c>
      <c r="AC43" s="154">
        <f>'3MSynthDepo_used'!AA22</f>
        <v>-1.1530071764694443E-4</v>
      </c>
      <c r="AD43" s="199">
        <f>'3MSynthDepo_used'!$I5</f>
        <v>-4.9999999999999996E-5</v>
      </c>
      <c r="BC43" s="178">
        <f>_xll.qlCalendarAdvance(Calendar,BC42,"1d","mf",,Trigger)</f>
        <v>42191</v>
      </c>
      <c r="BD43" s="41">
        <f>_xll.qlDayCounterYearFraction(DayCounter,SettlementDate,BC43,,,Trigger)</f>
        <v>0.14722222222222223</v>
      </c>
      <c r="BE43" s="47">
        <f>_xll.qlPolynomialFunctionValue(BE$1,$BD43,AllTriggers)</f>
        <v>1.0037172437685504E-3</v>
      </c>
      <c r="BF43" s="47">
        <f>_xll.qlPolynomialFunctionValue(BF$1,$BD43,AllTriggers)</f>
        <v>7.3791423978205955E-4</v>
      </c>
      <c r="BG43" s="47">
        <f>_xll.qlPolynomialFunctionValue(BG$1,$BD43,AllTriggers)</f>
        <v>1.0166584878767233E-3</v>
      </c>
      <c r="BH43" s="47">
        <f>_xll.qlPolynomialFunctionValue(BH$1,$BD43,AllTriggers)</f>
        <v>1.0565869710988203E-3</v>
      </c>
      <c r="BI43" s="47">
        <f>_xll.qlPolynomialFunctionValue(BI$1,$BD43,AllTriggers)</f>
        <v>1.0038807190673323E-3</v>
      </c>
      <c r="BJ43" s="47">
        <f>_xll.qlPolynomialFunctionValue(BJ$1,$BD43,AllTriggers)</f>
        <v>7.3807444781142338E-4</v>
      </c>
      <c r="BK43" s="47">
        <f>_xll.qlPolynomialFunctionValue(BK$1,$BD43,AllTriggers)</f>
        <v>1.0168221222501988E-3</v>
      </c>
      <c r="BL43" s="47">
        <f>_xll.qlPolynomialFunctionValue(BL$1,$BD43,AllTriggers)</f>
        <v>1.056984849838185E-3</v>
      </c>
      <c r="BM43" s="47">
        <f>_xll.qlPolynomialFunctionValue(BM$1,$BD43,AllTriggers)</f>
        <v>1.0566398806239198E-3</v>
      </c>
      <c r="BN43" s="47">
        <f>_xll.qlPolynomialFunctionValue(BN$1,$BD43,AllTriggers)</f>
        <v>1.1131810199304069E-3</v>
      </c>
      <c r="BO43" s="47">
        <f>_xll.qlPolynomialFunctionValue(BO$1,$BD43,AllTriggers)</f>
        <v>1.0429780273662557E-3</v>
      </c>
      <c r="BP43" s="47">
        <f>_xll.qlPolynomialFunctionValue(BP$1,$BD43,AllTriggers)</f>
        <v>1.1094357064974313E-3</v>
      </c>
      <c r="BQ43" s="47">
        <f>_xll.qlPolynomialFunctionValue('3MSynthDepo_used'!$P$18,BD43,AllTriggers)</f>
        <v>1.0655313806754636E-3</v>
      </c>
    </row>
    <row r="44" spans="3:69" x14ac:dyDescent="0.2">
      <c r="C44" s="19">
        <v>2</v>
      </c>
      <c r="D44" s="48" t="str">
        <f t="shared" ref="D44:D45" si="12">C44+SUBSTITUTE($D$24,"M","")&amp;"M"</f>
        <v>5M</v>
      </c>
      <c r="E44" s="177">
        <f>_xll.qlCalendarAdvance(Calendar,SettlementDate,C44&amp;"M","mf",TRUE,Trigger)</f>
        <v>42199</v>
      </c>
      <c r="F44" s="271">
        <f>_xll.qlInterestRateIndexMaturity($D$25,E44,Trigger)</f>
        <v>42291</v>
      </c>
      <c r="G44" s="155">
        <f>_xll.qlTenorBasisForwardRate2(G$27,$E44,$F44,InterestRatesTrigger)</f>
        <v>-5.434291223724659E-4</v>
      </c>
      <c r="H44" s="47">
        <f>_xll.qlTenorBasisForwardRate2(H$27,$E44,$F44,InterestRatesTrigger)</f>
        <v>6.4586122878981681E-4</v>
      </c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47">
        <f>_xll.qlTenorBasisForwardRate2(S$27,$E44,$F44,InterestRatesTrigger)</f>
        <v>1.3984498375655457E-4</v>
      </c>
      <c r="T44" s="154">
        <f>_xll.qlTenorBasisForwardRate2(T$27,$E44,$F44,InterestRatesTrigger)</f>
        <v>6.7366473522176648E-5</v>
      </c>
      <c r="U44" s="47">
        <f>_xll.qlTenorBasisForwardRate2(U$27,$E44,$F44,InterestRatesTrigger)</f>
        <v>-5.4322891513341781E-4</v>
      </c>
      <c r="V44" s="47">
        <f>_xll.qlTenorBasisForwardRate2(V$27,$E44,$F44,InterestRatesTrigger)</f>
        <v>6.4607611795019582E-4</v>
      </c>
      <c r="W44" s="47">
        <f>_xll.qlTenorBasisForwardRate2(W$27,$E44,$F44,InterestRatesTrigger)</f>
        <v>1.4005362554735535E-4</v>
      </c>
      <c r="X44" s="154">
        <f>_xll.qlTenorBasisForwardRate2(X$27,$E44,$F44,InterestRatesTrigger)</f>
        <v>6.7149913091718829E-5</v>
      </c>
      <c r="Y44" s="155">
        <f>_xll.qlTenorBasisForwardRate2(Y$27,$E44,$F44,InterestRatesTrigger)</f>
        <v>-8.0319619216487462E-8</v>
      </c>
      <c r="Z44" s="47">
        <f>_xll.qlTenorBasisForwardRate2(Z$27,$E44,$F44,InterestRatesTrigger)</f>
        <v>-4.8569167351008175E-5</v>
      </c>
      <c r="AA44" s="47">
        <f>_xll.qlTenorBasisForwardRate2(AA$27,$E44,$F44,InterestRatesTrigger)</f>
        <v>8.427404051994019E-6</v>
      </c>
      <c r="AB44" s="47">
        <f>_xll.qlTenorBasisForwardRate2(AB$27,$E44,$F44,InterestRatesTrigger)</f>
        <v>-5.6152386704769796E-5</v>
      </c>
      <c r="AC44" s="154">
        <f>'3MSynthDepo_used'!AA23</f>
        <v>-6.1852414745641141E-5</v>
      </c>
      <c r="AD44" s="200">
        <f>'3MSynthDepo_used'!$I6</f>
        <v>-4.9999999999999996E-5</v>
      </c>
      <c r="BC44" s="178">
        <f>_xll.qlCalendarAdvance(Calendar,BC43,"1d","mf",,Trigger)</f>
        <v>42192</v>
      </c>
      <c r="BD44" s="41">
        <f>_xll.qlDayCounterYearFraction(DayCounter,SettlementDate,BC44,,,Trigger)</f>
        <v>0.15</v>
      </c>
      <c r="BE44" s="47">
        <f>_xll.qlPolynomialFunctionValue(BE$1,$BD44,AllTriggers)</f>
        <v>9.9715590596942774E-4</v>
      </c>
      <c r="BF44" s="47">
        <f>_xll.qlPolynomialFunctionValue(BF$1,$BD44,AllTriggers)</f>
        <v>7.3477852542333543E-4</v>
      </c>
      <c r="BG44" s="47">
        <f>_xll.qlPolynomialFunctionValue(BG$1,$BD44,AllTriggers)</f>
        <v>1.0230383941857734E-3</v>
      </c>
      <c r="BH44" s="47">
        <f>_xll.qlPolynomialFunctionValue(BH$1,$BD44,AllTriggers)</f>
        <v>1.0643299344136312E-3</v>
      </c>
      <c r="BI44" s="47">
        <f>_xll.qlPolynomialFunctionValue(BI$1,$BD44,AllTriggers)</f>
        <v>9.9732013393504697E-4</v>
      </c>
      <c r="BJ44" s="47">
        <f>_xll.qlPolynomialFunctionValue(BJ$1,$BD44,AllTriggers)</f>
        <v>7.3493952822754329E-4</v>
      </c>
      <c r="BK44" s="47">
        <f>_xll.qlPolynomialFunctionValue(BK$1,$BD44,AllTriggers)</f>
        <v>1.0232029403007786E-3</v>
      </c>
      <c r="BL44" s="47">
        <f>_xll.qlPolynomialFunctionValue(BL$1,$BD44,AllTriggers)</f>
        <v>1.0647367214022371E-3</v>
      </c>
      <c r="BM44" s="47">
        <f>_xll.qlPolynomialFunctionValue(BM$1,$BD44,AllTriggers)</f>
        <v>1.059558281697398E-3</v>
      </c>
      <c r="BN44" s="47">
        <f>_xll.qlPolynomialFunctionValue(BN$1,$BD44,AllTriggers)</f>
        <v>1.1188149039662184E-3</v>
      </c>
      <c r="BO44" s="47">
        <f>_xll.qlPolynomialFunctionValue(BO$1,$BD44,AllTriggers)</f>
        <v>1.0463206798949482E-3</v>
      </c>
      <c r="BP44" s="47">
        <f>_xll.qlPolynomialFunctionValue(BP$1,$BD44,AllTriggers)</f>
        <v>1.1185246901948246E-3</v>
      </c>
      <c r="BQ44" s="47">
        <f>_xll.qlPolynomialFunctionValue('3MSynthDepo_used'!$P$18,BD44,AllTriggers)</f>
        <v>1.0673419720937051E-3</v>
      </c>
    </row>
    <row r="45" spans="3:69" x14ac:dyDescent="0.2">
      <c r="C45" s="19">
        <v>3</v>
      </c>
      <c r="D45" s="48" t="str">
        <f t="shared" si="12"/>
        <v>6M</v>
      </c>
      <c r="E45" s="177">
        <f>_xll.qlCalendarAdvance(Calendar,SettlementDate,C45&amp;"M","mf",TRUE,Trigger)</f>
        <v>42230</v>
      </c>
      <c r="F45" s="271">
        <f>_xll.qlInterestRateIndexMaturity($D$25,E45,Trigger)</f>
        <v>42324</v>
      </c>
      <c r="G45" s="155">
        <f>_xll.qlTenorBasisForwardRate2(G$27,$E45,$F45,InterestRatesTrigger)</f>
        <v>-7.656634698881724E-4</v>
      </c>
      <c r="H45" s="47">
        <f>_xll.qlTenorBasisForwardRate(H$27,$E45,InterestRatesTrigger)</f>
        <v>2.1491206049862239E-3</v>
      </c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47">
        <f>_xll.qlTenorBasisForwardRate(S$27,$E45,InterestRatesTrigger)</f>
        <v>3.2043450672869511E-4</v>
      </c>
      <c r="T45" s="154">
        <f>_xll.qlTenorBasisForwardRate(T$27,$E45,InterestRatesTrigger)</f>
        <v>5.8557385691020939E-5</v>
      </c>
      <c r="U45" s="47">
        <f>_xll.qlTenorBasisForwardRate(U$27,$E45,InterestRatesTrigger)</f>
        <v>-7.654398495701649E-4</v>
      </c>
      <c r="V45" s="47">
        <f>_xll.qlTenorBasisForwardRate(V$27,$E45,InterestRatesTrigger)</f>
        <v>2.1493802379005406E-3</v>
      </c>
      <c r="W45" s="47">
        <f>_xll.qlTenorBasisForwardRate(W$27,$E45,InterestRatesTrigger)</f>
        <v>3.2067154276460086E-4</v>
      </c>
      <c r="X45" s="154">
        <f>_xll.qlTenorBasisForwardRate(X$27,$E45,InterestRatesTrigger)</f>
        <v>5.7258130421692102E-5</v>
      </c>
      <c r="Y45" s="155">
        <f>_xll.qlTenorBasisTenorForwardRate(Y$27,$E45,InterestRatesTrigger)</f>
        <v>8.9732766222220574E-5</v>
      </c>
      <c r="Z45" s="47">
        <f>_xll.qlTenorBasisTenorForwardRate(Z$27,$E45,InterestRatesTrigger)</f>
        <v>-1.8504355358682154E-4</v>
      </c>
      <c r="AA45" s="47">
        <f>_xll.qlTenorBasisTenorForwardRate(AA$27,$E45,InterestRatesTrigger)</f>
        <v>1.1159761359092911E-4</v>
      </c>
      <c r="AB45" s="47">
        <f>_xll.qlTenorBasisTenorForwardRate(AB$27,$E45,InterestRatesTrigger)</f>
        <v>-3.1665908225620093E-4</v>
      </c>
      <c r="AC45" s="154">
        <f>'3MSynthDepo_used'!AA24</f>
        <v>-3.9598540816578304E-5</v>
      </c>
      <c r="AD45" s="201">
        <f>'3MSynthDepo_used'!$I7</f>
        <v>-6.0000000000000002E-5</v>
      </c>
      <c r="BC45" s="178">
        <f>_xll.qlCalendarAdvance(Calendar,BC44,"1d","mf",,Trigger)</f>
        <v>42193</v>
      </c>
      <c r="BD45" s="41">
        <f>_xll.qlDayCounterYearFraction(DayCounter,SettlementDate,BC45,,,Trigger)</f>
        <v>0.15277777777777779</v>
      </c>
      <c r="BE45" s="47">
        <f>_xll.qlPolynomialFunctionValue(BE$1,$BD45,AllTriggers)</f>
        <v>9.9059456817030488E-4</v>
      </c>
      <c r="BF45" s="47">
        <f>_xll.qlPolynomialFunctionValue(BF$1,$BD45,AllTriggers)</f>
        <v>7.3240406071803333E-4</v>
      </c>
      <c r="BG45" s="47">
        <f>_xll.qlPolynomialFunctionValue(BG$1,$BD45,AllTriggers)</f>
        <v>1.0294183004948233E-3</v>
      </c>
      <c r="BH45" s="47">
        <f>_xll.qlPolynomialFunctionValue(BH$1,$BD45,AllTriggers)</f>
        <v>1.0719638531679818E-3</v>
      </c>
      <c r="BI45" s="47">
        <f>_xll.qlPolynomialFunctionValue(BI$1,$BD45,AllTriggers)</f>
        <v>9.9075954880276139E-4</v>
      </c>
      <c r="BJ45" s="47">
        <f>_xll.qlPolynomialFunctionValue(BJ$1,$BD45,AllTriggers)</f>
        <v>7.3256586765441979E-4</v>
      </c>
      <c r="BK45" s="47">
        <f>_xll.qlPolynomialFunctionValue(BK$1,$BD45,AllTriggers)</f>
        <v>1.0295837583513584E-3</v>
      </c>
      <c r="BL45" s="47">
        <f>_xll.qlPolynomialFunctionValue(BL$1,$BD45,AllTriggers)</f>
        <v>1.0723789086852112E-3</v>
      </c>
      <c r="BM45" s="47">
        <f>_xll.qlPolynomialFunctionValue(BM$1,$BD45,AllTriggers)</f>
        <v>1.062476682770876E-3</v>
      </c>
      <c r="BN45" s="47">
        <f>_xll.qlPolynomialFunctionValue(BN$1,$BD45,AllTriggers)</f>
        <v>1.1243024123164065E-3</v>
      </c>
      <c r="BO45" s="47">
        <f>_xll.qlPolynomialFunctionValue(BO$1,$BD45,AllTriggers)</f>
        <v>1.0496633324236406E-3</v>
      </c>
      <c r="BP45" s="47">
        <f>_xll.qlPolynomialFunctionValue(BP$1,$BD45,AllTriggers)</f>
        <v>1.1273579969624335E-3</v>
      </c>
      <c r="BQ45" s="47">
        <f>_xll.qlPolynomialFunctionValue('3MSynthDepo_used'!$P$18,BD45,AllTriggers)</f>
        <v>1.0691442701894853E-3</v>
      </c>
    </row>
    <row r="46" spans="3:69" x14ac:dyDescent="0.2">
      <c r="C46" s="67"/>
      <c r="D46" s="45" t="str">
        <f>_xll.qlIMMNextCode(SettlementDate,FALSE,Trigger)</f>
        <v>K5</v>
      </c>
      <c r="E46" s="175">
        <f>_xll.qlIMMdate(D46,SettlementDate,Trigger)</f>
        <v>42144</v>
      </c>
      <c r="F46" s="175">
        <f>_xll.qlInterestRateIndexMaturity($D$25,E46,Trigger)</f>
        <v>42236</v>
      </c>
      <c r="G46" s="272">
        <f>_xll.qlTenorBasisForwardRate2(G$27,$E46,$F46,InterestRatesTrigger)</f>
        <v>-1.3439203934967095E-4</v>
      </c>
      <c r="H46" s="52">
        <f>_xll.qlTenorBasisTenorForwardRate(H$27,$E46,InterestRatesTrigger)</f>
        <v>-1.2464584604887402E-4</v>
      </c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52">
        <f>_xll.qlTenorBasisTenorForwardRate(S$27,$E46,InterestRatesTrigger)</f>
        <v>-1.2552437586094839E-4</v>
      </c>
      <c r="T46" s="273">
        <f>_xll.qlTenorBasisTenorForwardRate(T$27,$E46,InterestRatesTrigger)</f>
        <v>-1.2565022011818924E-4</v>
      </c>
      <c r="U46" s="52">
        <f>_xll.qlTenorBasisTenorForwardRate(U$27,$E46,InterestRatesTrigger)</f>
        <v>-1.2429805119272964E-4</v>
      </c>
      <c r="V46" s="52">
        <f>_xll.qlTenorBasisTenorForwardRate(V$27,$E46,InterestRatesTrigger)</f>
        <v>-1.2448318755564104E-4</v>
      </c>
      <c r="W46" s="52">
        <f>_xll.qlTenorBasisTenorForwardRate(W$27,$E46,InterestRatesTrigger)</f>
        <v>-1.2536172816666243E-4</v>
      </c>
      <c r="X46" s="273">
        <f>_xll.qlTenorBasisTenorForwardRate(X$27,$E46,InterestRatesTrigger)</f>
        <v>-1.2548831070158858E-4</v>
      </c>
      <c r="Y46" s="272">
        <f>_xll.qlTenorBasisTenorForwardRate(Y$27,$E46,InterestRatesTrigger)</f>
        <v>-8.1796970598543893E-5</v>
      </c>
      <c r="Z46" s="52">
        <f>_xll.qlTenorBasisTenorForwardRate(Z$27,$E46,InterestRatesTrigger)</f>
        <v>-7.9981246187324885E-5</v>
      </c>
      <c r="AA46" s="52">
        <f>_xll.qlTenorBasisTenorForwardRate(AA$27,$E46,InterestRatesTrigger)</f>
        <v>-9.5917945294042529E-5</v>
      </c>
      <c r="AB46" s="52">
        <f>_xll.qlTenorBasisTenorForwardRate(AB$27,$E46,InterestRatesTrigger)</f>
        <v>-1.26135691448491E-4</v>
      </c>
      <c r="AC46" s="273">
        <f>'3MSynthDepo_used'!AA25</f>
        <v>-7.4654309295158665E-5</v>
      </c>
      <c r="AD46" s="199">
        <f>'3MSynthDepo_used'!I11</f>
        <v>-1.2499999999993072E-4</v>
      </c>
      <c r="BC46" s="178">
        <f>_xll.qlCalendarAdvance(Calendar,BC45,"1d","mf",,Trigger)</f>
        <v>42194</v>
      </c>
      <c r="BD46" s="41">
        <f>_xll.qlDayCounterYearFraction(DayCounter,SettlementDate,BC46,,,Trigger)</f>
        <v>0.15555555555555556</v>
      </c>
      <c r="BE46" s="47">
        <f>_xll.qlPolynomialFunctionValue(BE$1,$BD46,AllTriggers)</f>
        <v>9.8403323037118203E-4</v>
      </c>
      <c r="BF46" s="47">
        <f>_xll.qlPolynomialFunctionValue(BF$1,$BD46,AllTriggers)</f>
        <v>7.3079084566615303E-4</v>
      </c>
      <c r="BG46" s="47">
        <f>_xll.qlPolynomialFunctionValue(BG$1,$BD46,AllTriggers)</f>
        <v>1.0357982068038734E-3</v>
      </c>
      <c r="BH46" s="47">
        <f>_xll.qlPolynomialFunctionValue(BH$1,$BD46,AllTriggers)</f>
        <v>1.079488727361871E-3</v>
      </c>
      <c r="BI46" s="47">
        <f>_xll.qlPolynomialFunctionValue(BI$1,$BD46,AllTriggers)</f>
        <v>9.8419896367047603E-4</v>
      </c>
      <c r="BJ46" s="47">
        <f>_xll.qlPolynomialFunctionValue(BJ$1,$BD46,AllTriggers)</f>
        <v>7.3095346609205331E-4</v>
      </c>
      <c r="BK46" s="47">
        <f>_xll.qlPolynomialFunctionValue(BK$1,$BD46,AllTriggers)</f>
        <v>1.035964576401938E-3</v>
      </c>
      <c r="BL46" s="47">
        <f>_xll.qlPolynomialFunctionValue(BL$1,$BD46,AllTriggers)</f>
        <v>1.0799114116871078E-3</v>
      </c>
      <c r="BM46" s="47">
        <f>_xll.qlPolynomialFunctionValue(BM$1,$BD46,AllTriggers)</f>
        <v>1.065395083844354E-3</v>
      </c>
      <c r="BN46" s="47">
        <f>_xll.qlPolynomialFunctionValue(BN$1,$BD46,AllTriggers)</f>
        <v>1.1296435449809714E-3</v>
      </c>
      <c r="BO46" s="47">
        <f>_xll.qlPolynomialFunctionValue(BO$1,$BD46,AllTriggers)</f>
        <v>1.0530059849523331E-3</v>
      </c>
      <c r="BP46" s="47">
        <f>_xll.qlPolynomialFunctionValue(BP$1,$BD46,AllTriggers)</f>
        <v>1.1359356268002582E-3</v>
      </c>
      <c r="BQ46" s="47">
        <f>_xll.qlPolynomialFunctionValue('3MSynthDepo_used'!$P$18,BD46,AllTriggers)</f>
        <v>1.0709382934257345E-3</v>
      </c>
    </row>
    <row r="47" spans="3:69" x14ac:dyDescent="0.2">
      <c r="C47" s="67"/>
      <c r="D47" s="48" t="str">
        <f>_xll.qlIMMNextCode(D46,FALSE,Trigger)</f>
        <v>M5</v>
      </c>
      <c r="E47" s="177">
        <f>_xll.qlIMMdate(D47,SettlementDate,Trigger)</f>
        <v>42172</v>
      </c>
      <c r="F47" s="251">
        <f>_xll.qlInterestRateIndexMaturity($D$25,E47,Trigger)</f>
        <v>42264</v>
      </c>
      <c r="G47" s="155">
        <f>_xll.qlTenorBasisForwardRate2(G$27,$E47,$F47,InterestRatesTrigger)</f>
        <v>-3.9175430277065177E-4</v>
      </c>
      <c r="H47" s="47">
        <f>_xll.qlTenorBasisTenorForwardRate(H$27,$E47,InterestRatesTrigger)</f>
        <v>-3.285266055848648E-5</v>
      </c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47">
        <f>_xll.qlTenorBasisTenorForwardRate(S$27,$E47,InterestRatesTrigger)</f>
        <v>-2.797146321237569E-5</v>
      </c>
      <c r="T47" s="154">
        <f>_xll.qlTenorBasisTenorForwardRate(T$27,$E47,InterestRatesTrigger)</f>
        <v>-2.7272260241659662E-5</v>
      </c>
      <c r="U47" s="47">
        <f>_xll.qlTenorBasisTenorForwardRate(U$27,$E47,InterestRatesTrigger)</f>
        <v>-3.8411542273227039E-4</v>
      </c>
      <c r="V47" s="47">
        <f>_xll.qlTenorBasisTenorForwardRate(V$27,$E47,InterestRatesTrigger)</f>
        <v>-3.2664893810481531E-5</v>
      </c>
      <c r="W47" s="47">
        <f>_xll.qlTenorBasisTenorForwardRate(W$27,$E47,InterestRatesTrigger)</f>
        <v>-2.7783636464337371E-5</v>
      </c>
      <c r="X47" s="154">
        <f>_xll.qlTenorBasisTenorForwardRate(X$27,$E47,InterestRatesTrigger)</f>
        <v>-2.7080331550763045E-5</v>
      </c>
      <c r="Y47" s="155">
        <f>_xll.qlTenorBasisTenorForwardRate(Y$27,$E47,InterestRatesTrigger)</f>
        <v>-7.983850390768342E-5</v>
      </c>
      <c r="Z47" s="47">
        <f>_xll.qlTenorBasisTenorForwardRate(Z$27,$E47,InterestRatesTrigger)</f>
        <v>-5.245300036857089E-5</v>
      </c>
      <c r="AA47" s="47">
        <f>_xll.qlTenorBasisTenorForwardRate(AA$27,$E47,InterestRatesTrigger)</f>
        <v>-8.2243164442742482E-5</v>
      </c>
      <c r="AB47" s="47">
        <f>_xll.qlTenorBasisTenorForwardRate(AB$27,$E47,InterestRatesTrigger)</f>
        <v>-4.0094297871907979E-5</v>
      </c>
      <c r="AC47" s="154">
        <f>'3MSynthDepo_used'!AA26</f>
        <v>-1.0585876158427385E-4</v>
      </c>
      <c r="AD47" s="200">
        <f>'3MSynthDepo_used'!I12</f>
        <v>-2.4999999999941735E-5</v>
      </c>
      <c r="BC47" s="178">
        <f>_xll.qlCalendarAdvance(Calendar,BC46,"1d","mf",,Trigger)</f>
        <v>42195</v>
      </c>
      <c r="BD47" s="41">
        <f>_xll.qlDayCounterYearFraction(DayCounter,SettlementDate,BC47,,,Trigger)</f>
        <v>0.15833333333333333</v>
      </c>
      <c r="BE47" s="47">
        <f>_xll.qlPolynomialFunctionValue(BE$1,$BD47,AllTriggers)</f>
        <v>9.7747189257205939E-4</v>
      </c>
      <c r="BF47" s="47">
        <f>_xll.qlPolynomialFunctionValue(BF$1,$BD47,AllTriggers)</f>
        <v>7.2993888026769474E-4</v>
      </c>
      <c r="BG47" s="47">
        <f>_xll.qlPolynomialFunctionValue(BG$1,$BD47,AllTriggers)</f>
        <v>1.0421781131129235E-3</v>
      </c>
      <c r="BH47" s="47">
        <f>_xll.qlPolynomialFunctionValue(BH$1,$BD47,AllTriggers)</f>
        <v>1.0869045569952994E-3</v>
      </c>
      <c r="BI47" s="47">
        <f>_xll.qlPolynomialFunctionValue(BI$1,$BD47,AllTriggers)</f>
        <v>9.7763837853819067E-4</v>
      </c>
      <c r="BJ47" s="47">
        <f>_xll.qlPolynomialFunctionValue(BJ$1,$BD47,AllTriggers)</f>
        <v>7.3010232354044362E-4</v>
      </c>
      <c r="BK47" s="47">
        <f>_xll.qlPolynomialFunctionValue(BK$1,$BD47,AllTriggers)</f>
        <v>1.0423453944525178E-3</v>
      </c>
      <c r="BL47" s="47">
        <f>_xll.qlPolynomialFunctionValue(BL$1,$BD47,AllTriggers)</f>
        <v>1.0873342304079266E-3</v>
      </c>
      <c r="BM47" s="47">
        <f>_xll.qlPolynomialFunctionValue(BM$1,$BD47,AllTriggers)</f>
        <v>1.0683134849178322E-3</v>
      </c>
      <c r="BN47" s="47">
        <f>_xll.qlPolynomialFunctionValue(BN$1,$BD47,AllTriggers)</f>
        <v>1.1348383019599132E-3</v>
      </c>
      <c r="BO47" s="47">
        <f>_xll.qlPolynomialFunctionValue(BO$1,$BD47,AllTriggers)</f>
        <v>1.0563486374810254E-3</v>
      </c>
      <c r="BP47" s="47">
        <f>_xll.qlPolynomialFunctionValue(BP$1,$BD47,AllTriggers)</f>
        <v>1.1442575797082988E-3</v>
      </c>
      <c r="BQ47" s="47">
        <f>_xll.qlPolynomialFunctionValue('3MSynthDepo_used'!$P$18,BD47,AllTriggers)</f>
        <v>1.0727240602653838E-3</v>
      </c>
    </row>
    <row r="48" spans="3:69" x14ac:dyDescent="0.2">
      <c r="C48" s="67"/>
      <c r="D48" s="49" t="str">
        <f>_xll.qlIMMNextCode(D47,TRUE,Trigger)</f>
        <v>U5</v>
      </c>
      <c r="E48" s="181">
        <f>_xll.qlIMMdate(D48,SettlementDate,Trigger)</f>
        <v>42263</v>
      </c>
      <c r="F48" s="274">
        <f>_xll.qlInterestRateIndexMaturity($D$25,E48,Trigger)</f>
        <v>42354</v>
      </c>
      <c r="G48" s="275">
        <f>_xll.qlTenorBasisForwardRate2(G$27,$E48,$F48,InterestRatesTrigger)</f>
        <v>-1.0094492618691923E-3</v>
      </c>
      <c r="H48" s="50">
        <f>_xll.qlTenorBasisTenorForwardRate(H$27,$E48,InterestRatesTrigger)</f>
        <v>4.4905310260719838E-3</v>
      </c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50">
        <f>_xll.qlTenorBasisTenorForwardRate(S$27,$E48,InterestRatesTrigger)</f>
        <v>5.0449727551114278E-4</v>
      </c>
      <c r="T48" s="276">
        <f>_xll.qlTenorBasisTenorForwardRate(T$27,$E48,InterestRatesTrigger)</f>
        <v>-6.6478745769593672E-5</v>
      </c>
      <c r="U48" s="50">
        <f>_xll.qlTenorBasisTenorForwardRate(U$27,$E48,InterestRatesTrigger)</f>
        <v>-1.0131001076201201E-3</v>
      </c>
      <c r="V48" s="50">
        <f>_xll.qlTenorBasisTenorForwardRate(V$27,$E48,InterestRatesTrigger)</f>
        <v>4.4908496813548466E-3</v>
      </c>
      <c r="W48" s="50">
        <f>_xll.qlTenorBasisTenorForwardRate(W$27,$E48,InterestRatesTrigger)</f>
        <v>5.0476693418387655E-4</v>
      </c>
      <c r="X48" s="276">
        <f>_xll.qlTenorBasisTenorForwardRate(X$27,$E48,InterestRatesTrigger)</f>
        <v>-6.9558773968203926E-5</v>
      </c>
      <c r="Y48" s="275">
        <f>_xll.qlTenorBasisTenorForwardRate(Y$27,$E48,InterestRatesTrigger)</f>
        <v>1.4194828545327086E-4</v>
      </c>
      <c r="Z48" s="50">
        <f>_xll.qlTenorBasisTenorForwardRate(Z$27,$E48,InterestRatesTrigger)</f>
        <v>-5.1855057269611406E-4</v>
      </c>
      <c r="AA48" s="50">
        <f>_xll.qlTenorBasisTenorForwardRate(AA$27,$E48,InterestRatesTrigger)</f>
        <v>1.7762164593964052E-4</v>
      </c>
      <c r="AB48" s="50">
        <f>_xll.qlTenorBasisTenorForwardRate(AB$27,$E48,InterestRatesTrigger)</f>
        <v>-8.9173276533270032E-4</v>
      </c>
      <c r="AC48" s="276">
        <f>'3MSynthDepo_used'!AA27</f>
        <v>-3.1036465806701281E-5</v>
      </c>
      <c r="AD48" s="201">
        <f>'3MSynthDepo_used'!I13</f>
        <v>-7.4999999999825206E-5</v>
      </c>
      <c r="BC48" s="178">
        <f>_xll.qlCalendarAdvance(Calendar,BC47,"1d","mf",,Trigger)</f>
        <v>42198</v>
      </c>
      <c r="BD48" s="41">
        <f>_xll.qlDayCounterYearFraction(DayCounter,SettlementDate,BC48,,,Trigger)</f>
        <v>0.16666666666666666</v>
      </c>
      <c r="BE48" s="47">
        <f>_xll.qlPolynomialFunctionValue(BE$1,$BD48,AllTriggers)</f>
        <v>9.5778787917469104E-4</v>
      </c>
      <c r="BF48" s="47">
        <f>_xll.qlPolynomialFunctionValue(BF$1,$BD48,AllTriggers)</f>
        <v>7.3195048199285154E-4</v>
      </c>
      <c r="BG48" s="47">
        <f>_xll.qlPolynomialFunctionValue(BG$1,$BD48,AllTriggers)</f>
        <v>1.0613178320400733E-3</v>
      </c>
      <c r="BH48" s="47">
        <f>_xll.qlPolynomialFunctionValue(BH$1,$BD48,AllTriggers)</f>
        <v>1.1084977785328195E-3</v>
      </c>
      <c r="BI48" s="47">
        <f>_xll.qlPolynomialFunctionValue(BI$1,$BD48,AllTriggers)</f>
        <v>9.5795662314133426E-4</v>
      </c>
      <c r="BJ48" s="47">
        <f>_xll.qlPolynomialFunctionValue(BJ$1,$BD48,AllTriggers)</f>
        <v>7.3211644995015536E-4</v>
      </c>
      <c r="BK48" s="47">
        <f>_xll.qlPolynomialFunctionValue(BK$1,$BD48,AllTriggers)</f>
        <v>1.061487848604257E-3</v>
      </c>
      <c r="BL48" s="47">
        <f>_xll.qlPolynomialFunctionValue(BL$1,$BD48,AllTriggers)</f>
        <v>1.1089445808839162E-3</v>
      </c>
      <c r="BM48" s="47">
        <f>_xll.qlPolynomialFunctionValue(BM$1,$BD48,AllTriggers)</f>
        <v>1.0770686881382665E-3</v>
      </c>
      <c r="BN48" s="47">
        <f>_xll.qlPolynomialFunctionValue(BN$1,$BD48,AllTriggers)</f>
        <v>1.1495443187829993E-3</v>
      </c>
      <c r="BO48" s="47">
        <f>_xll.qlPolynomialFunctionValue(BO$1,$BD48,AllTriggers)</f>
        <v>1.0663765950671028E-3</v>
      </c>
      <c r="BP48" s="47">
        <f>_xll.qlPolynomialFunctionValue(BP$1,$BD48,AllTriggers)</f>
        <v>1.1676893768537138E-3</v>
      </c>
      <c r="BQ48" s="47">
        <f>_xll.qlPolynomialFunctionValue('3MSynthDepo_used'!$P$18,BD48,AllTriggers)</f>
        <v>1.0780320070340405E-3</v>
      </c>
    </row>
    <row r="49" spans="3:69" x14ac:dyDescent="0.2">
      <c r="D49" s="45" t="str">
        <f>_xll.qlIMMNextCode(D48,TRUE,Trigger)</f>
        <v>Z5</v>
      </c>
      <c r="E49" s="175">
        <f>_xll.qlIMMdate(D49,SettlementDate,Trigger)</f>
        <v>42354</v>
      </c>
      <c r="F49" s="175">
        <f>_xll.qlInterestRateIndexMaturity($D$25,E49,Trigger)</f>
        <v>42445</v>
      </c>
      <c r="G49" s="272">
        <f>_xll.qlTenorBasisForwardRate2(G$27,$E49,$F49,InterestRatesTrigger)</f>
        <v>-1.6534583340657625E-3</v>
      </c>
      <c r="H49" s="52">
        <f>_xll.qlTenorBasisTenorForwardRate(H$27,$E49,InterestRatesTrigger)</f>
        <v>1.5123076006253558E-2</v>
      </c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52">
        <f>_xll.qlTenorBasisTenorForwardRate(S$27,$E49,InterestRatesTrigger)</f>
        <v>1.0137458024653289E-3</v>
      </c>
      <c r="T49" s="273">
        <f>_xll.qlTenorBasisTenorForwardRate(T$27,$E49,InterestRatesTrigger)</f>
        <v>-1.0073332266727492E-3</v>
      </c>
      <c r="U49" s="52">
        <f>_xll.qlTenorBasisTenorForwardRate(U$27,$E49,InterestRatesTrigger)</f>
        <v>-1.6653050042773031E-3</v>
      </c>
      <c r="V49" s="52">
        <f>_xll.qlTenorBasisTenorForwardRate(V$27,$E49,InterestRatesTrigger)</f>
        <v>1.5123600929740579E-2</v>
      </c>
      <c r="W49" s="52">
        <f>_xll.qlTenorBasisTenorForwardRate(W$27,$E49,InterestRatesTrigger)</f>
        <v>1.0140972930627575E-3</v>
      </c>
      <c r="X49" s="273">
        <f>_xll.qlTenorBasisTenorForwardRate(X$27,$E49,InterestRatesTrigger)</f>
        <v>-1.0188385945729362E-3</v>
      </c>
      <c r="Y49" s="272">
        <f>_xll.qlTenorBasisTenorForwardRate(Y$27,$E49,InterestRatesTrigger)</f>
        <v>3.4051486304489237E-4</v>
      </c>
      <c r="Z49" s="52">
        <f>_xll.qlTenorBasisTenorForwardRate(Z$27,$E49,InterestRatesTrigger)</f>
        <v>-2.1870236356287508E-3</v>
      </c>
      <c r="AA49" s="52">
        <f>_xll.qlTenorBasisTenorForwardRate(AA$27,$E49,InterestRatesTrigger)</f>
        <v>4.1426624455269054E-4</v>
      </c>
      <c r="AB49" s="52">
        <f>_xll.qlTenorBasisTenorForwardRate(AB$27,$E49,InterestRatesTrigger)</f>
        <v>-3.8262422680457055E-3</v>
      </c>
      <c r="AC49" s="273">
        <f>'3MSynthDepo_used'!AA28</f>
        <v>-2.9095812704833367E-5</v>
      </c>
      <c r="AD49" s="199">
        <f>'3MSynthDepo_used'!I14</f>
        <v>-2.4999999999941735E-5</v>
      </c>
      <c r="BC49" s="178">
        <f>_xll.qlCalendarAdvance(Calendar,BC48,"1d","mf",,Trigger)</f>
        <v>42199</v>
      </c>
      <c r="BD49" s="41">
        <f>_xll.qlDayCounterYearFraction(DayCounter,SettlementDate,BC49,,,Trigger)</f>
        <v>0.16944444444444445</v>
      </c>
      <c r="BE49" s="47">
        <f>_xll.qlPolynomialFunctionValue(BE$1,$BD49,AllTriggers)</f>
        <v>9.5122654137556818E-4</v>
      </c>
      <c r="BF49" s="47">
        <f>_xll.qlPolynomialFunctionValue(BF$1,$BD49,AllTriggers)</f>
        <v>7.3414351520808088E-4</v>
      </c>
      <c r="BG49" s="47">
        <f>_xll.qlPolynomialFunctionValue(BG$1,$BD49,AllTriggers)</f>
        <v>1.0676977383491234E-3</v>
      </c>
      <c r="BH49" s="47">
        <f>_xll.qlPolynomialFunctionValue(BH$1,$BD49,AllTriggers)</f>
        <v>1.1154774299244044E-3</v>
      </c>
      <c r="BI49" s="47">
        <f>_xll.qlPolynomialFunctionValue(BI$1,$BD49,AllTriggers)</f>
        <v>9.5139603800904879E-4</v>
      </c>
      <c r="BJ49" s="47">
        <f>_xll.qlPolynomialFunctionValue(BJ$1,$BD49,AllTriggers)</f>
        <v>7.3431034344157244E-4</v>
      </c>
      <c r="BK49" s="47">
        <f>_xll.qlPolynomialFunctionValue(BK$1,$BD49,AllTriggers)</f>
        <v>1.0678686666548368E-3</v>
      </c>
      <c r="BL49" s="47">
        <f>_xll.qlPolynomialFunctionValue(BL$1,$BD49,AllTriggers)</f>
        <v>1.1159286624804238E-3</v>
      </c>
      <c r="BM49" s="47">
        <f>_xll.qlPolynomialFunctionValue(BM$1,$BD49,AllTriggers)</f>
        <v>1.0799870892117447E-3</v>
      </c>
      <c r="BN49" s="47">
        <f>_xll.qlPolynomialFunctionValue(BN$1,$BD49,AllTriggers)</f>
        <v>1.1541535730194485E-3</v>
      </c>
      <c r="BO49" s="47">
        <f>_xll.qlPolynomialFunctionValue(BO$1,$BD49,AllTriggers)</f>
        <v>1.0697192475957952E-3</v>
      </c>
      <c r="BP49" s="47">
        <f>_xll.qlPolynomialFunctionValue(BP$1,$BD49,AllTriggers)</f>
        <v>1.1749886220426167E-3</v>
      </c>
      <c r="BQ49" s="47">
        <f>_xll.qlPolynomialFunctionValue('3MSynthDepo_used'!$P$18,BD49,AllTriggers)</f>
        <v>1.0797849329165984E-3</v>
      </c>
    </row>
    <row r="50" spans="3:69" x14ac:dyDescent="0.2">
      <c r="D50" s="48" t="str">
        <f>_xll.qlIMMNextCode(D49,TRUE,Trigger)</f>
        <v>H6</v>
      </c>
      <c r="E50" s="177">
        <f>_xll.qlIMMdate(D50,SettlementDate,Trigger)</f>
        <v>42445</v>
      </c>
      <c r="F50" s="251">
        <f>_xll.qlInterestRateIndexMaturity($D$25,E50,Trigger)</f>
        <v>42537</v>
      </c>
      <c r="G50" s="155">
        <f>_xll.qlTenorBasisForwardRate2(G$27,$E50,$F50,InterestRatesTrigger)</f>
        <v>-2.1796239625714456E-3</v>
      </c>
      <c r="H50" s="47">
        <f>_xll.qlTenorBasisTenorForwardRate(H$27,$E50,InterestRatesTrigger)</f>
        <v>3.2008955368506953E-2</v>
      </c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47">
        <f>_xll.qlTenorBasisTenorForwardRate(S$27,$E50,InterestRatesTrigger)</f>
        <v>1.6439472061708991E-3</v>
      </c>
      <c r="T50" s="154">
        <f>_xll.qlTenorBasisTenorForwardRate(T$27,$E50,InterestRatesTrigger)</f>
        <v>-2.7056626144304082E-3</v>
      </c>
      <c r="U50" s="47">
        <f>_xll.qlTenorBasisTenorForwardRate(U$27,$E50,InterestRatesTrigger)</f>
        <v>-2.1965570241831009E-3</v>
      </c>
      <c r="V50" s="47">
        <f>_xll.qlTenorBasisTenorForwardRate(V$27,$E50,InterestRatesTrigger)</f>
        <v>3.2009761939867418E-2</v>
      </c>
      <c r="W50" s="47">
        <f>_xll.qlTenorBasisTenorForwardRate(W$27,$E50,InterestRatesTrigger)</f>
        <v>1.6443805286930229E-3</v>
      </c>
      <c r="X50" s="154">
        <f>_xll.qlTenorBasisTenorForwardRate(X$27,$E50,InterestRatesTrigger)</f>
        <v>-2.7307467048442412E-3</v>
      </c>
      <c r="Y50" s="155">
        <f>_xll.qlTenorBasisTenorForwardRate(Y$27,$E50,InterestRatesTrigger)</f>
        <v>6.6003431738789861E-4</v>
      </c>
      <c r="Z50" s="47">
        <f>_xll.qlTenorBasisTenorForwardRate(Z$27,$E50,InterestRatesTrigger)</f>
        <v>-4.9136991006457631E-3</v>
      </c>
      <c r="AA50" s="47">
        <f>_xll.qlTenorBasisTenorForwardRate(AA$27,$E50,InterestRatesTrigger)</f>
        <v>7.7186371991712572E-4</v>
      </c>
      <c r="AB50" s="47">
        <f>_xll.qlTenorBasisTenorForwardRate(AB$27,$E50,InterestRatesTrigger)</f>
        <v>-8.6994497174902059E-3</v>
      </c>
      <c r="AC50" s="154">
        <f>'3MSynthDepo_used'!AA29</f>
        <v>5.7485439779531066E-5</v>
      </c>
      <c r="AD50" s="200">
        <f>'3MSynthDepo_used'!I15</f>
        <v>7.4999999999936229E-5</v>
      </c>
      <c r="BC50" s="178">
        <f>_xll.qlCalendarAdvance(Calendar,BC49,"1d","mf",,Trigger)</f>
        <v>42200</v>
      </c>
      <c r="BD50" s="41">
        <f>_xll.qlDayCounterYearFraction(DayCounter,SettlementDate,BC50,,,Trigger)</f>
        <v>0.17222222222222222</v>
      </c>
      <c r="BE50" s="47">
        <f>_xll.qlPolynomialFunctionValue(BE$1,$BD50,AllTriggers)</f>
        <v>9.4466520357644555E-4</v>
      </c>
      <c r="BF50" s="47">
        <f>_xll.qlPolynomialFunctionValue(BF$1,$BD50,AllTriggers)</f>
        <v>7.3709779807673201E-4</v>
      </c>
      <c r="BG50" s="47">
        <f>_xll.qlPolynomialFunctionValue(BG$1,$BD50,AllTriggers)</f>
        <v>1.0740776446581733E-3</v>
      </c>
      <c r="BH50" s="47">
        <f>_xll.qlPolynomialFunctionValue(BH$1,$BD50,AllTriggers)</f>
        <v>1.1223480367555285E-3</v>
      </c>
      <c r="BI50" s="47">
        <f>_xll.qlPolynomialFunctionValue(BI$1,$BD50,AllTriggers)</f>
        <v>9.4483545287676331E-4</v>
      </c>
      <c r="BJ50" s="47">
        <f>_xll.qlPolynomialFunctionValue(BJ$1,$BD50,AllTriggers)</f>
        <v>7.3726549594374654E-4</v>
      </c>
      <c r="BK50" s="47">
        <f>_xll.qlPolynomialFunctionValue(BK$1,$BD50,AllTriggers)</f>
        <v>1.0742494847054164E-3</v>
      </c>
      <c r="BL50" s="47">
        <f>_xll.qlPolynomialFunctionValue(BL$1,$BD50,AllTriggers)</f>
        <v>1.1228030597958535E-3</v>
      </c>
      <c r="BM50" s="47">
        <f>_xll.qlPolynomialFunctionValue(BM$1,$BD50,AllTriggers)</f>
        <v>1.0829054902852227E-3</v>
      </c>
      <c r="BN50" s="47">
        <f>_xll.qlPolynomialFunctionValue(BN$1,$BD50,AllTriggers)</f>
        <v>1.1586164515702741E-3</v>
      </c>
      <c r="BO50" s="47">
        <f>_xll.qlPolynomialFunctionValue(BO$1,$BD50,AllTriggers)</f>
        <v>1.0730619001244877E-3</v>
      </c>
      <c r="BP50" s="47">
        <f>_xll.qlPolynomialFunctionValue(BP$1,$BD50,AllTriggers)</f>
        <v>1.1820321903017357E-3</v>
      </c>
      <c r="BQ50" s="47">
        <f>_xll.qlPolynomialFunctionValue('3MSynthDepo_used'!$P$18,BD50,AllTriggers)</f>
        <v>1.0815296947172103E-3</v>
      </c>
    </row>
    <row r="51" spans="3:69" x14ac:dyDescent="0.2">
      <c r="D51" s="49" t="str">
        <f>_xll.qlIMMNextCode(D50,TRUE,Trigger)</f>
        <v>M6</v>
      </c>
      <c r="E51" s="181">
        <f>_xll.qlIMMdate(D51,SettlementDate,Trigger)</f>
        <v>42536</v>
      </c>
      <c r="F51" s="274">
        <f>_xll.qlInterestRateIndexMaturity($D$25,E51,Trigger)</f>
        <v>42628</v>
      </c>
      <c r="G51" s="275">
        <f>_xll.qlTenorBasisForwardRate2(G$27,$E51,$F51,InterestRatesTrigger)</f>
        <v>-2.5904574646846801E-3</v>
      </c>
      <c r="H51" s="50">
        <f>_xll.qlTenorBasisTenorForwardRate(H$27,$E51,InterestRatesTrigger)</f>
        <v>5.5139333617175476E-2</v>
      </c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50">
        <f>_xll.qlTenorBasisTenorForwardRate(S$27,$E51,InterestRatesTrigger)</f>
        <v>2.3862659909711669E-3</v>
      </c>
      <c r="T51" s="276">
        <f>_xll.qlTenorBasisTenorForwardRate(T$27,$E51,InterestRatesTrigger)</f>
        <v>-5.1703024046992592E-3</v>
      </c>
      <c r="U51" s="50">
        <f>_xll.qlTenorBasisTenorForwardRate(U$27,$E51,InterestRatesTrigger)</f>
        <v>-2.6156916629942019E-3</v>
      </c>
      <c r="V51" s="50">
        <f>_xll.qlTenorBasisTenorForwardRate(V$27,$E51,InterestRatesTrigger)</f>
        <v>5.5140497216078693E-2</v>
      </c>
      <c r="W51" s="50">
        <f>_xll.qlTenorBasisTenorForwardRate(W$27,$E51,InterestRatesTrigger)</f>
        <v>2.386781145417986E-3</v>
      </c>
      <c r="X51" s="276">
        <f>_xll.qlTenorBasisTenorForwardRate(X$27,$E51,InterestRatesTrigger)</f>
        <v>-5.2141186004388074E-3</v>
      </c>
      <c r="Y51" s="275">
        <f>_xll.qlTenorBasisTenorForwardRate(Y$27,$E51,InterestRatesTrigger)</f>
        <v>1.0916711528256018E-3</v>
      </c>
      <c r="Z51" s="50">
        <f>_xll.qlTenorBasisTenorForwardRate(Z$27,$E51,InterestRatesTrigger)</f>
        <v>-8.7074124634038408E-3</v>
      </c>
      <c r="AA51" s="50">
        <f>_xll.qlTenorBasisTenorForwardRate(AA$27,$E51,InterestRatesTrigger)</f>
        <v>1.2415785763762576E-3</v>
      </c>
      <c r="AB51" s="50">
        <f>_xll.qlTenorBasisTenorForwardRate(AB$27,$E51,InterestRatesTrigger)</f>
        <v>-1.552019060932289E-2</v>
      </c>
      <c r="AC51" s="276">
        <f>'3MSynthDepo_used'!AA30</f>
        <v>2.3322094952718682E-4</v>
      </c>
      <c r="AD51" s="201">
        <f>'3MSynthDepo_used'!I16</f>
        <v>2.2500000000003073E-4</v>
      </c>
      <c r="BC51" s="178">
        <f>_xll.qlCalendarAdvance(Calendar,BC50,"1d","mf",,Trigger)</f>
        <v>42201</v>
      </c>
      <c r="BD51" s="41">
        <f>_xll.qlDayCounterYearFraction(DayCounter,SettlementDate,BC51,,,Trigger)</f>
        <v>0.17499999999999999</v>
      </c>
      <c r="BE51" s="47">
        <f>_xll.qlPolynomialFunctionValue(BE$1,$BD51,AllTriggers)</f>
        <v>9.3810386577732269E-4</v>
      </c>
      <c r="BF51" s="47">
        <f>_xll.qlPolynomialFunctionValue(BF$1,$BD51,AllTriggers)</f>
        <v>7.4081333059880538E-4</v>
      </c>
      <c r="BG51" s="47">
        <f>_xll.qlPolynomialFunctionValue(BG$1,$BD51,AllTriggers)</f>
        <v>1.0804575509672234E-3</v>
      </c>
      <c r="BH51" s="47">
        <f>_xll.qlPolynomialFunctionValue(BH$1,$BD51,AllTriggers)</f>
        <v>1.1291095990261916E-3</v>
      </c>
      <c r="BI51" s="47">
        <f>_xll.qlPolynomialFunctionValue(BI$1,$BD51,AllTriggers)</f>
        <v>9.3827486774447784E-4</v>
      </c>
      <c r="BJ51" s="47">
        <f>_xll.qlPolynomialFunctionValue(BJ$1,$BD51,AllTriggers)</f>
        <v>7.4098190745667744E-4</v>
      </c>
      <c r="BK51" s="47">
        <f>_xll.qlPolynomialFunctionValue(BK$1,$BD51,AllTriggers)</f>
        <v>1.0806303027559962E-3</v>
      </c>
      <c r="BL51" s="47">
        <f>_xll.qlPolynomialFunctionValue(BL$1,$BD51,AllTriggers)</f>
        <v>1.1295677728302056E-3</v>
      </c>
      <c r="BM51" s="47">
        <f>_xll.qlPolynomialFunctionValue(BM$1,$BD51,AllTriggers)</f>
        <v>1.0858238913587007E-3</v>
      </c>
      <c r="BN51" s="47">
        <f>_xll.qlPolynomialFunctionValue(BN$1,$BD51,AllTriggers)</f>
        <v>1.1629329544354768E-3</v>
      </c>
      <c r="BO51" s="47">
        <f>_xll.qlPolynomialFunctionValue(BO$1,$BD51,AllTriggers)</f>
        <v>1.0764045526531799E-3</v>
      </c>
      <c r="BP51" s="47">
        <f>_xll.qlPolynomialFunctionValue(BP$1,$BD51,AllTriggers)</f>
        <v>1.1888200816310701E-3</v>
      </c>
      <c r="BQ51" s="47">
        <f>_xll.qlPolynomialFunctionValue('3MSynthDepo_used'!$P$18,BD51,AllTriggers)</f>
        <v>1.0832663108988074E-3</v>
      </c>
    </row>
    <row r="52" spans="3:69" x14ac:dyDescent="0.2">
      <c r="BC52" s="178">
        <f>_xll.qlCalendarAdvance(Calendar,BC51,"1d","mf",,Trigger)</f>
        <v>42202</v>
      </c>
      <c r="BD52" s="41">
        <f>_xll.qlDayCounterYearFraction(DayCounter,SettlementDate,BC52,,,Trigger)</f>
        <v>0.17777777777777778</v>
      </c>
      <c r="BE52" s="47">
        <f>_xll.qlPolynomialFunctionValue(BE$1,$BD52,AllTriggers)</f>
        <v>9.3154252797819994E-4</v>
      </c>
      <c r="BF52" s="47">
        <f>_xll.qlPolynomialFunctionValue(BF$1,$BD52,AllTriggers)</f>
        <v>7.4529011277430076E-4</v>
      </c>
      <c r="BG52" s="47">
        <f>_xll.qlPolynomialFunctionValue(BG$1,$BD52,AllTriggers)</f>
        <v>1.0868374572762735E-3</v>
      </c>
      <c r="BH52" s="47">
        <f>_xll.qlPolynomialFunctionValue(BH$1,$BD52,AllTriggers)</f>
        <v>1.1357621167363938E-3</v>
      </c>
      <c r="BI52" s="47">
        <f>_xll.qlPolynomialFunctionValue(BI$1,$BD52,AllTriggers)</f>
        <v>9.3171428261219248E-4</v>
      </c>
      <c r="BJ52" s="47">
        <f>_xll.qlPolynomialFunctionValue(BJ$1,$BD52,AllTriggers)</f>
        <v>7.4545957798036492E-4</v>
      </c>
      <c r="BK52" s="47">
        <f>_xll.qlPolynomialFunctionValue(BK$1,$BD52,AllTriggers)</f>
        <v>1.087011120806576E-3</v>
      </c>
      <c r="BL52" s="47">
        <f>_xll.qlPolynomialFunctionValue(BL$1,$BD52,AllTriggers)</f>
        <v>1.13622280158348E-3</v>
      </c>
      <c r="BM52" s="47">
        <f>_xll.qlPolynomialFunctionValue(BM$1,$BD52,AllTriggers)</f>
        <v>1.0887422924321789E-3</v>
      </c>
      <c r="BN52" s="47">
        <f>_xll.qlPolynomialFunctionValue(BN$1,$BD52,AllTriggers)</f>
        <v>1.1671030816150559E-3</v>
      </c>
      <c r="BO52" s="47">
        <f>_xll.qlPolynomialFunctionValue(BO$1,$BD52,AllTriggers)</f>
        <v>1.0797472051818724E-3</v>
      </c>
      <c r="BP52" s="47">
        <f>_xll.qlPolynomialFunctionValue(BP$1,$BD52,AllTriggers)</f>
        <v>1.1953522960306199E-3</v>
      </c>
      <c r="BQ52" s="47">
        <f>_xll.qlPolynomialFunctionValue('3MSynthDepo_used'!$P$18,BD52,AllTriggers)</f>
        <v>1.0849947999243201E-3</v>
      </c>
    </row>
    <row r="53" spans="3:69" x14ac:dyDescent="0.2">
      <c r="F53" s="125" t="s">
        <v>69</v>
      </c>
      <c r="G53" s="125" t="s">
        <v>68</v>
      </c>
      <c r="H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0"/>
      <c r="AC53" s="256"/>
      <c r="BC53" s="178">
        <f>_xll.qlCalendarAdvance(Calendar,BC52,"1d","mf",,Trigger)</f>
        <v>42205</v>
      </c>
      <c r="BD53" s="41">
        <f>_xll.qlDayCounterYearFraction(DayCounter,SettlementDate,BC53,,,Trigger)</f>
        <v>0.18611111111111112</v>
      </c>
      <c r="BE53" s="47">
        <f>_xll.qlPolynomialFunctionValue(BE$1,$BD53,AllTriggers)</f>
        <v>9.118585145808317E-4</v>
      </c>
      <c r="BF53" s="47">
        <f>_xll.qlPolynomialFunctionValue(BF$1,$BD53,AllTriggers)</f>
        <v>7.6328795722131791E-4</v>
      </c>
      <c r="BG53" s="47">
        <f>_xll.qlPolynomialFunctionValue(BG$1,$BD53,AllTriggers)</f>
        <v>1.1059771762034236E-3</v>
      </c>
      <c r="BH53" s="47">
        <f>_xll.qlPolynomialFunctionValue(BH$1,$BD53,AllTriggers)</f>
        <v>1.1550654025042353E-3</v>
      </c>
      <c r="BI53" s="47">
        <f>_xll.qlPolynomialFunctionValue(BI$1,$BD53,AllTriggers)</f>
        <v>9.1203252721533618E-4</v>
      </c>
      <c r="BJ53" s="47">
        <f>_xll.qlPolynomialFunctionValue(BJ$1,$BD53,AllTriggers)</f>
        <v>7.6346014361596839E-4</v>
      </c>
      <c r="BK53" s="47">
        <f>_xll.qlPolynomialFunctionValue(BK$1,$BD53,AllTriggers)</f>
        <v>1.1061535749583152E-3</v>
      </c>
      <c r="BL53" s="47">
        <f>_xll.qlPolynomialFunctionValue(BL$1,$BD53,AllTriggers)</f>
        <v>1.1555297821568358E-3</v>
      </c>
      <c r="BM53" s="47">
        <f>_xll.qlPolynomialFunctionValue(BM$1,$BD53,AllTriggers)</f>
        <v>1.0974974956526131E-3</v>
      </c>
      <c r="BN53" s="47">
        <f>_xll.qlPolynomialFunctionValue(BN$1,$BD53,AllTriggers)</f>
        <v>1.178735209040055E-3</v>
      </c>
      <c r="BO53" s="47">
        <f>_xll.qlPolynomialFunctionValue(BO$1,$BD53,AllTriggers)</f>
        <v>1.0897751627679498E-3</v>
      </c>
      <c r="BP53" s="47">
        <f>_xll.qlPolynomialFunctionValue(BP$1,$BD53,AllTriggers)</f>
        <v>1.2134148776505645E-3</v>
      </c>
      <c r="BQ53" s="47">
        <f>_xll.qlPolynomialFunctionValue('3MSynthDepo_used'!$P$18,BD53,AllTriggers)</f>
        <v>1.0901316886936612E-3</v>
      </c>
    </row>
    <row r="54" spans="3:69" x14ac:dyDescent="0.2">
      <c r="F54" s="189" t="str">
        <f>C42&amp;"x"&amp;C42+SUBSTITUTE($D$24,"M","")&amp;"F"</f>
        <v>0x3F</v>
      </c>
      <c r="G54" s="156">
        <f>$AD42-G42</f>
        <v>9.6311614498851455E-5</v>
      </c>
      <c r="H54" s="156">
        <f t="shared" ref="H54:AC54" si="13">$AD42-H42</f>
        <v>1.0194790032256608E-4</v>
      </c>
      <c r="I54" s="19">
        <f t="shared" si="13"/>
        <v>2.0999999999807407E-5</v>
      </c>
      <c r="J54" s="19">
        <f t="shared" si="13"/>
        <v>2.0999999999807407E-5</v>
      </c>
      <c r="K54" s="19">
        <f t="shared" si="13"/>
        <v>2.0999999999807407E-5</v>
      </c>
      <c r="L54" s="19">
        <f t="shared" si="13"/>
        <v>2.0999999999807407E-5</v>
      </c>
      <c r="M54" s="19">
        <f t="shared" si="13"/>
        <v>2.0999999999807407E-5</v>
      </c>
      <c r="N54" s="19">
        <f t="shared" si="13"/>
        <v>2.0999999999807407E-5</v>
      </c>
      <c r="O54" s="19">
        <f t="shared" si="13"/>
        <v>2.0999999999807407E-5</v>
      </c>
      <c r="P54" s="19">
        <f t="shared" si="13"/>
        <v>2.0999999999807407E-5</v>
      </c>
      <c r="Q54" s="19">
        <f t="shared" si="13"/>
        <v>2.0999999999807407E-5</v>
      </c>
      <c r="R54" s="19">
        <f t="shared" si="13"/>
        <v>2.0999999999807407E-5</v>
      </c>
      <c r="S54" s="156">
        <f t="shared" si="13"/>
        <v>1.8093591898053947E-4</v>
      </c>
      <c r="T54" s="157">
        <f t="shared" si="13"/>
        <v>1.9225036010976339E-4</v>
      </c>
      <c r="U54" s="158">
        <f t="shared" si="13"/>
        <v>9.6156045859141997E-5</v>
      </c>
      <c r="V54" s="156">
        <f t="shared" si="13"/>
        <v>1.0179240118856215E-4</v>
      </c>
      <c r="W54" s="156">
        <f t="shared" si="13"/>
        <v>1.8078139390128543E-4</v>
      </c>
      <c r="X54" s="157">
        <f t="shared" si="13"/>
        <v>1.9216221266303026E-4</v>
      </c>
      <c r="Y54" s="158">
        <f t="shared" si="13"/>
        <v>1.1545439091373652E-4</v>
      </c>
      <c r="Z54" s="240">
        <f t="shared" si="13"/>
        <v>1.3440560799935305E-4</v>
      </c>
      <c r="AA54" s="156">
        <f t="shared" si="13"/>
        <v>1.3212141060507847E-4</v>
      </c>
      <c r="AB54" s="156">
        <f t="shared" si="13"/>
        <v>2.0463248433049048E-4</v>
      </c>
      <c r="AC54" s="156">
        <f t="shared" si="13"/>
        <v>1.0147943058304361E-4</v>
      </c>
      <c r="BC54" s="178">
        <f>_xll.qlCalendarAdvance(Calendar,BC53,"1d","mf",,Trigger)</f>
        <v>42206</v>
      </c>
      <c r="BD54" s="41">
        <f>_xll.qlDayCounterYearFraction(DayCounter,SettlementDate,BC54,,,Trigger)</f>
        <v>0.18888888888888888</v>
      </c>
      <c r="BE54" s="47">
        <f>_xll.qlPolynomialFunctionValue(BE$1,$BD54,AllTriggers)</f>
        <v>9.0529717678170885E-4</v>
      </c>
      <c r="BF54" s="47">
        <f>_xll.qlPolynomialFunctionValue(BF$1,$BD54,AllTriggers)</f>
        <v>7.7080973801050071E-4</v>
      </c>
      <c r="BG54" s="47">
        <f>_xll.qlPolynomialFunctionValue(BG$1,$BD54,AllTriggers)</f>
        <v>1.1123570825124734E-3</v>
      </c>
      <c r="BH54" s="47">
        <f>_xll.qlPolynomialFunctionValue(BH$1,$BD54,AllTriggers)</f>
        <v>1.1612817419725937E-3</v>
      </c>
      <c r="BI54" s="47">
        <f>_xll.qlPolynomialFunctionValue(BI$1,$BD54,AllTriggers)</f>
        <v>9.054719420830506E-4</v>
      </c>
      <c r="BJ54" s="47">
        <f>_xll.qlPolynomialFunctionValue(BJ$1,$BD54,AllTriggers)</f>
        <v>7.709828501826835E-4</v>
      </c>
      <c r="BK54" s="47">
        <f>_xll.qlPolynomialFunctionValue(BK$1,$BD54,AllTriggers)</f>
        <v>1.1125343930088948E-3</v>
      </c>
      <c r="BL54" s="47">
        <f>_xll.qlPolynomialFunctionValue(BL$1,$BD54,AllTriggers)</f>
        <v>1.1617460737857988E-3</v>
      </c>
      <c r="BM54" s="47">
        <f>_xll.qlPolynomialFunctionValue(BM$1,$BD54,AllTriggers)</f>
        <v>1.1004158967260912E-3</v>
      </c>
      <c r="BN54" s="47">
        <f>_xll.qlPolynomialFunctionValue(BN$1,$BD54,AllTriggers)</f>
        <v>1.1823198334771413E-3</v>
      </c>
      <c r="BO54" s="47">
        <f>_xll.qlPolynomialFunctionValue(BO$1,$BD54,AllTriggers)</f>
        <v>1.0931178152966421E-3</v>
      </c>
      <c r="BP54" s="47">
        <f>_xll.qlPolynomialFunctionValue(BP$1,$BD54,AllTriggers)</f>
        <v>1.2189243843309769E-3</v>
      </c>
      <c r="BQ54" s="47">
        <f>_xll.qlPolynomialFunctionValue('3MSynthDepo_used'!$P$18,BD54,AllTriggers)</f>
        <v>1.0918278537241453E-3</v>
      </c>
    </row>
    <row r="55" spans="3:69" x14ac:dyDescent="0.2">
      <c r="F55" s="190" t="str">
        <f>C43&amp;"x"&amp;C43+SUBSTITUTE($D$24,"M","")&amp;"F"</f>
        <v>1x4F</v>
      </c>
      <c r="G55" s="47">
        <f t="shared" ref="G55:AC55" si="14">$AD43-G43</f>
        <v>3.213022446722616E-4</v>
      </c>
      <c r="H55" s="47">
        <f t="shared" si="14"/>
        <v>3.9018484325158373E-5</v>
      </c>
      <c r="I55" s="19">
        <f t="shared" si="14"/>
        <v>-4.9999999999999996E-5</v>
      </c>
      <c r="J55" s="19">
        <f t="shared" si="14"/>
        <v>-4.9999999999999996E-5</v>
      </c>
      <c r="K55" s="19">
        <f t="shared" si="14"/>
        <v>-4.9999999999999996E-5</v>
      </c>
      <c r="L55" s="19">
        <f t="shared" si="14"/>
        <v>-4.9999999999999996E-5</v>
      </c>
      <c r="M55" s="19">
        <f t="shared" si="14"/>
        <v>-4.9999999999999996E-5</v>
      </c>
      <c r="N55" s="19">
        <f t="shared" si="14"/>
        <v>-4.9999999999999996E-5</v>
      </c>
      <c r="O55" s="19">
        <f t="shared" si="14"/>
        <v>-4.9999999999999996E-5</v>
      </c>
      <c r="P55" s="19">
        <f t="shared" si="14"/>
        <v>-4.9999999999999996E-5</v>
      </c>
      <c r="Q55" s="19">
        <f t="shared" si="14"/>
        <v>-4.9999999999999996E-5</v>
      </c>
      <c r="R55" s="19">
        <f t="shared" si="14"/>
        <v>-4.9999999999999996E-5</v>
      </c>
      <c r="S55" s="47">
        <f t="shared" si="14"/>
        <v>3.0945762129999365E-6</v>
      </c>
      <c r="T55" s="154">
        <f t="shared" si="14"/>
        <v>-2.0513405175573524E-6</v>
      </c>
      <c r="U55" s="155">
        <f t="shared" si="14"/>
        <v>3.2112326003732239E-4</v>
      </c>
      <c r="V55" s="47">
        <f t="shared" si="14"/>
        <v>3.883601679885253E-5</v>
      </c>
      <c r="W55" s="47">
        <f t="shared" si="14"/>
        <v>2.9116654303928553E-6</v>
      </c>
      <c r="X55" s="154">
        <f t="shared" si="14"/>
        <v>-2.2644405881904064E-6</v>
      </c>
      <c r="Y55" s="155">
        <f t="shared" si="14"/>
        <v>4.5364326850962929E-5</v>
      </c>
      <c r="Z55" s="200">
        <f t="shared" si="14"/>
        <v>1.4646505026524555E-5</v>
      </c>
      <c r="AA55" s="47">
        <f t="shared" si="14"/>
        <v>4.8825050825310602E-5</v>
      </c>
      <c r="AB55" s="47">
        <f t="shared" si="14"/>
        <v>3.3526381078967133E-6</v>
      </c>
      <c r="AC55" s="47">
        <f t="shared" si="14"/>
        <v>6.5300717646944435E-5</v>
      </c>
      <c r="BC55" s="178">
        <f>_xll.qlCalendarAdvance(Calendar,BC54,"1d","mf",,Trigger)</f>
        <v>42207</v>
      </c>
      <c r="BD55" s="41">
        <f>_xll.qlDayCounterYearFraction(DayCounter,SettlementDate,BC55,,,Trigger)</f>
        <v>0.19166666666666668</v>
      </c>
      <c r="BE55" s="47">
        <f>_xll.qlPolynomialFunctionValue(BE$1,$BD55,AllTriggers)</f>
        <v>8.987358389825861E-4</v>
      </c>
      <c r="BF55" s="47">
        <f>_xll.qlPolynomialFunctionValue(BF$1,$BD55,AllTriggers)</f>
        <v>7.7909276845310573E-4</v>
      </c>
      <c r="BG55" s="47">
        <f>_xll.qlPolynomialFunctionValue(BG$1,$BD55,AllTriggers)</f>
        <v>1.1187369888215235E-3</v>
      </c>
      <c r="BH55" s="47">
        <f>_xll.qlPolynomialFunctionValue(BH$1,$BD55,AllTriggers)</f>
        <v>1.1673890368804917E-3</v>
      </c>
      <c r="BI55" s="47">
        <f>_xll.qlPolynomialFunctionValue(BI$1,$BD55,AllTriggers)</f>
        <v>8.9891135695076524E-4</v>
      </c>
      <c r="BJ55" s="47">
        <f>_xll.qlPolynomialFunctionValue(BJ$1,$BD55,AllTriggers)</f>
        <v>7.792668157601552E-4</v>
      </c>
      <c r="BK55" s="47">
        <f>_xll.qlPolynomialFunctionValue(BK$1,$BD55,AllTriggers)</f>
        <v>1.1189152110594746E-3</v>
      </c>
      <c r="BL55" s="47">
        <f>_xll.qlPolynomialFunctionValue(BL$1,$BD55,AllTriggers)</f>
        <v>1.1678526811336842E-3</v>
      </c>
      <c r="BM55" s="47">
        <f>_xll.qlPolynomialFunctionValue(BM$1,$BD55,AllTriggers)</f>
        <v>1.1033342977995694E-3</v>
      </c>
      <c r="BN55" s="47">
        <f>_xll.qlPolynomialFunctionValue(BN$1,$BD55,AllTriggers)</f>
        <v>1.1857580822286044E-3</v>
      </c>
      <c r="BO55" s="47">
        <f>_xll.qlPolynomialFunctionValue(BO$1,$BD55,AllTriggers)</f>
        <v>1.0964604678253345E-3</v>
      </c>
      <c r="BP55" s="47">
        <f>_xll.qlPolynomialFunctionValue(BP$1,$BD55,AllTriggers)</f>
        <v>1.2241782140816058E-3</v>
      </c>
      <c r="BQ55" s="47">
        <f>_xll.qlPolynomialFunctionValue('3MSynthDepo_used'!$P$18,BD55,AllTriggers)</f>
        <v>1.0935159839131989E-3</v>
      </c>
    </row>
    <row r="56" spans="3:69" x14ac:dyDescent="0.2">
      <c r="F56" s="190" t="str">
        <f t="shared" ref="F56:F57" si="15">C44&amp;"x"&amp;C44+SUBSTITUTE($D$24,"M","")&amp;"F"</f>
        <v>2x5F</v>
      </c>
      <c r="G56" s="47">
        <f t="shared" ref="G56:AC56" si="16">$AD44-G44</f>
        <v>4.9342912237246587E-4</v>
      </c>
      <c r="H56" s="47">
        <f t="shared" si="16"/>
        <v>-6.9586122878981683E-4</v>
      </c>
      <c r="I56" s="19">
        <f t="shared" si="16"/>
        <v>-4.9999999999999996E-5</v>
      </c>
      <c r="J56" s="19">
        <f t="shared" si="16"/>
        <v>-4.9999999999999996E-5</v>
      </c>
      <c r="K56" s="19">
        <f t="shared" si="16"/>
        <v>-4.9999999999999996E-5</v>
      </c>
      <c r="L56" s="19">
        <f t="shared" si="16"/>
        <v>-4.9999999999999996E-5</v>
      </c>
      <c r="M56" s="19">
        <f t="shared" si="16"/>
        <v>-4.9999999999999996E-5</v>
      </c>
      <c r="N56" s="19">
        <f t="shared" si="16"/>
        <v>-4.9999999999999996E-5</v>
      </c>
      <c r="O56" s="19">
        <f t="shared" si="16"/>
        <v>-4.9999999999999996E-5</v>
      </c>
      <c r="P56" s="19">
        <f t="shared" si="16"/>
        <v>-4.9999999999999996E-5</v>
      </c>
      <c r="Q56" s="19">
        <f t="shared" si="16"/>
        <v>-4.9999999999999996E-5</v>
      </c>
      <c r="R56" s="19">
        <f t="shared" si="16"/>
        <v>-4.9999999999999996E-5</v>
      </c>
      <c r="S56" s="47">
        <f t="shared" si="16"/>
        <v>-1.8984498375655456E-4</v>
      </c>
      <c r="T56" s="154">
        <f t="shared" si="16"/>
        <v>-1.1736647352217664E-4</v>
      </c>
      <c r="U56" s="155">
        <f t="shared" si="16"/>
        <v>4.9322891513341779E-4</v>
      </c>
      <c r="V56" s="47">
        <f t="shared" si="16"/>
        <v>-6.9607611795019584E-4</v>
      </c>
      <c r="W56" s="47">
        <f t="shared" si="16"/>
        <v>-1.9005362554735535E-4</v>
      </c>
      <c r="X56" s="154">
        <f t="shared" si="16"/>
        <v>-1.1714991309171882E-4</v>
      </c>
      <c r="Y56" s="155">
        <f t="shared" si="16"/>
        <v>-4.9919680380783507E-5</v>
      </c>
      <c r="Z56" s="200">
        <f t="shared" si="16"/>
        <v>-1.4308326489918203E-6</v>
      </c>
      <c r="AA56" s="47">
        <f t="shared" si="16"/>
        <v>-5.8427404051994013E-5</v>
      </c>
      <c r="AB56" s="47">
        <f t="shared" si="16"/>
        <v>6.1523867047698003E-6</v>
      </c>
      <c r="AC56" s="47">
        <f t="shared" si="16"/>
        <v>1.1852414745641145E-5</v>
      </c>
      <c r="BC56" s="178">
        <f>_xll.qlCalendarAdvance(Calendar,BC55,"1d","mf",,Trigger)</f>
        <v>42208</v>
      </c>
      <c r="BD56" s="41">
        <f>_xll.qlDayCounterYearFraction(DayCounter,SettlementDate,BC56,,,Trigger)</f>
        <v>0.19444444444444445</v>
      </c>
      <c r="BE56" s="47">
        <f>_xll.qlPolynomialFunctionValue(BE$1,$BD56,AllTriggers)</f>
        <v>8.9217450118346336E-4</v>
      </c>
      <c r="BF56" s="47">
        <f>_xll.qlPolynomialFunctionValue(BF$1,$BD56,AllTriggers)</f>
        <v>7.8813704854913255E-4</v>
      </c>
      <c r="BG56" s="47">
        <f>_xll.qlPolynomialFunctionValue(BG$1,$BD56,AllTriggers)</f>
        <v>1.1251168951305736E-3</v>
      </c>
      <c r="BH56" s="47">
        <f>_xll.qlPolynomialFunctionValue(BH$1,$BD56,AllTriggers)</f>
        <v>1.1733872872279286E-3</v>
      </c>
      <c r="BI56" s="47">
        <f>_xll.qlPolynomialFunctionValue(BI$1,$BD56,AllTriggers)</f>
        <v>8.9235077181847977E-4</v>
      </c>
      <c r="BJ56" s="47">
        <f>_xll.qlPolynomialFunctionValue(BJ$1,$BD56,AllTriggers)</f>
        <v>7.8831204034838349E-4</v>
      </c>
      <c r="BK56" s="47">
        <f>_xll.qlPolynomialFunctionValue(BK$1,$BD56,AllTriggers)</f>
        <v>1.1252960291100544E-3</v>
      </c>
      <c r="BL56" s="47">
        <f>_xll.qlPolynomialFunctionValue(BL$1,$BD56,AllTriggers)</f>
        <v>1.1738496042004915E-3</v>
      </c>
      <c r="BM56" s="47">
        <f>_xll.qlPolynomialFunctionValue(BM$1,$BD56,AllTriggers)</f>
        <v>1.1062526988730474E-3</v>
      </c>
      <c r="BN56" s="47">
        <f>_xll.qlPolynomialFunctionValue(BN$1,$BD56,AllTriggers)</f>
        <v>1.1890499552944444E-3</v>
      </c>
      <c r="BO56" s="47">
        <f>_xll.qlPolynomialFunctionValue(BO$1,$BD56,AllTriggers)</f>
        <v>1.099803120354027E-3</v>
      </c>
      <c r="BP56" s="47">
        <f>_xll.qlPolynomialFunctionValue(BP$1,$BD56,AllTriggers)</f>
        <v>1.2291763669024498E-3</v>
      </c>
      <c r="BQ56" s="47">
        <f>_xll.qlPolynomialFunctionValue('3MSynthDepo_used'!$P$18,BD56,AllTriggers)</f>
        <v>1.0951960977237535E-3</v>
      </c>
    </row>
    <row r="57" spans="3:69" x14ac:dyDescent="0.2">
      <c r="F57" s="190" t="str">
        <f t="shared" si="15"/>
        <v>3x6F</v>
      </c>
      <c r="G57" s="47">
        <f t="shared" ref="G57:AC57" si="17">$AD45-G45</f>
        <v>7.0566346988817235E-4</v>
      </c>
      <c r="H57" s="47">
        <f t="shared" si="17"/>
        <v>-2.2091206049862241E-3</v>
      </c>
      <c r="I57" s="19">
        <f t="shared" si="17"/>
        <v>-6.0000000000000002E-5</v>
      </c>
      <c r="J57" s="19">
        <f t="shared" si="17"/>
        <v>-6.0000000000000002E-5</v>
      </c>
      <c r="K57" s="19">
        <f t="shared" si="17"/>
        <v>-6.0000000000000002E-5</v>
      </c>
      <c r="L57" s="19">
        <f t="shared" si="17"/>
        <v>-6.0000000000000002E-5</v>
      </c>
      <c r="M57" s="19">
        <f t="shared" si="17"/>
        <v>-6.0000000000000002E-5</v>
      </c>
      <c r="N57" s="19">
        <f t="shared" si="17"/>
        <v>-6.0000000000000002E-5</v>
      </c>
      <c r="O57" s="19">
        <f t="shared" si="17"/>
        <v>-6.0000000000000002E-5</v>
      </c>
      <c r="P57" s="19">
        <f t="shared" si="17"/>
        <v>-6.0000000000000002E-5</v>
      </c>
      <c r="Q57" s="19">
        <f t="shared" si="17"/>
        <v>-6.0000000000000002E-5</v>
      </c>
      <c r="R57" s="19">
        <f t="shared" si="17"/>
        <v>-6.0000000000000002E-5</v>
      </c>
      <c r="S57" s="47">
        <f t="shared" si="17"/>
        <v>-3.8043450672869511E-4</v>
      </c>
      <c r="T57" s="154">
        <f t="shared" si="17"/>
        <v>-1.1855738569102093E-4</v>
      </c>
      <c r="U57" s="155">
        <f t="shared" si="17"/>
        <v>7.0543984957016485E-4</v>
      </c>
      <c r="V57" s="47">
        <f t="shared" si="17"/>
        <v>-2.2093802379005408E-3</v>
      </c>
      <c r="W57" s="47">
        <f t="shared" si="17"/>
        <v>-3.8067154276460086E-4</v>
      </c>
      <c r="X57" s="154">
        <f t="shared" si="17"/>
        <v>-1.172581304216921E-4</v>
      </c>
      <c r="Y57" s="155">
        <f t="shared" si="17"/>
        <v>-1.4973276622222057E-4</v>
      </c>
      <c r="Z57" s="200">
        <f t="shared" si="17"/>
        <v>1.2504355358682154E-4</v>
      </c>
      <c r="AA57" s="47">
        <f t="shared" si="17"/>
        <v>-1.715976135909291E-4</v>
      </c>
      <c r="AB57" s="47">
        <f t="shared" si="17"/>
        <v>2.5665908225620094E-4</v>
      </c>
      <c r="AC57" s="47">
        <f t="shared" si="17"/>
        <v>-2.0401459183421697E-5</v>
      </c>
      <c r="BC57" s="178">
        <f>_xll.qlCalendarAdvance(Calendar,BC56,"1d","mf",,Trigger)</f>
        <v>42209</v>
      </c>
      <c r="BD57" s="41">
        <f>_xll.qlDayCounterYearFraction(DayCounter,SettlementDate,BC57,,,Trigger)</f>
        <v>0.19722222222222222</v>
      </c>
      <c r="BE57" s="47">
        <f>_xll.qlPolynomialFunctionValue(BE$1,$BD57,AllTriggers)</f>
        <v>8.8561316338434061E-4</v>
      </c>
      <c r="BF57" s="47">
        <f>_xll.qlPolynomialFunctionValue(BF$1,$BD57,AllTriggers)</f>
        <v>7.9794257829858095E-4</v>
      </c>
      <c r="BG57" s="47">
        <f>_xll.qlPolynomialFunctionValue(BG$1,$BD57,AllTriggers)</f>
        <v>1.1314968014396235E-3</v>
      </c>
      <c r="BH57" s="47">
        <f>_xll.qlPolynomialFunctionValue(BH$1,$BD57,AllTriggers)</f>
        <v>1.1792764930149044E-3</v>
      </c>
      <c r="BI57" s="47">
        <f>_xll.qlPolynomialFunctionValue(BI$1,$BD57,AllTriggers)</f>
        <v>8.857901866861943E-4</v>
      </c>
      <c r="BJ57" s="47">
        <f>_xll.qlPolynomialFunctionValue(BJ$1,$BD57,AllTriggers)</f>
        <v>7.9811852394736835E-4</v>
      </c>
      <c r="BK57" s="47">
        <f>_xll.qlPolynomialFunctionValue(BK$1,$BD57,AllTriggers)</f>
        <v>1.131676847160634E-3</v>
      </c>
      <c r="BL57" s="47">
        <f>_xll.qlPolynomialFunctionValue(BL$1,$BD57,AllTriggers)</f>
        <v>1.179736842986221E-3</v>
      </c>
      <c r="BM57" s="47">
        <f>_xll.qlPolynomialFunctionValue(BM$1,$BD57,AllTriggers)</f>
        <v>1.1091710999465256E-3</v>
      </c>
      <c r="BN57" s="47">
        <f>_xll.qlPolynomialFunctionValue(BN$1,$BD57,AllTriggers)</f>
        <v>1.1921954526746617E-3</v>
      </c>
      <c r="BO57" s="47">
        <f>_xll.qlPolynomialFunctionValue(BO$1,$BD57,AllTriggers)</f>
        <v>1.1031457728827194E-3</v>
      </c>
      <c r="BP57" s="47">
        <f>_xll.qlPolynomialFunctionValue(BP$1,$BD57,AllTriggers)</f>
        <v>1.2339188427935095E-3</v>
      </c>
      <c r="BQ57" s="47">
        <f>_xll.qlPolynomialFunctionValue('3MSynthDepo_used'!$P$18,BD57,AllTriggers)</f>
        <v>1.0968682136187399E-3</v>
      </c>
    </row>
    <row r="58" spans="3:69" x14ac:dyDescent="0.2">
      <c r="F58" s="278" t="str">
        <f>D46</f>
        <v>K5</v>
      </c>
      <c r="G58" s="52">
        <f t="shared" ref="G58:AC58" si="18">$AD46-G46</f>
        <v>9.3920393497402301E-6</v>
      </c>
      <c r="H58" s="52">
        <f t="shared" si="18"/>
        <v>-3.5415395105669982E-7</v>
      </c>
      <c r="I58" s="93">
        <f t="shared" si="18"/>
        <v>-1.2499999999993072E-4</v>
      </c>
      <c r="J58" s="93">
        <f t="shared" si="18"/>
        <v>-1.2499999999993072E-4</v>
      </c>
      <c r="K58" s="93">
        <f t="shared" si="18"/>
        <v>-1.2499999999993072E-4</v>
      </c>
      <c r="L58" s="93">
        <f t="shared" si="18"/>
        <v>-1.2499999999993072E-4</v>
      </c>
      <c r="M58" s="93">
        <f t="shared" si="18"/>
        <v>-1.2499999999993072E-4</v>
      </c>
      <c r="N58" s="93">
        <f t="shared" si="18"/>
        <v>-1.2499999999993072E-4</v>
      </c>
      <c r="O58" s="93">
        <f t="shared" si="18"/>
        <v>-1.2499999999993072E-4</v>
      </c>
      <c r="P58" s="93">
        <f t="shared" si="18"/>
        <v>-1.2499999999993072E-4</v>
      </c>
      <c r="Q58" s="93">
        <f t="shared" si="18"/>
        <v>-1.2499999999993072E-4</v>
      </c>
      <c r="R58" s="93">
        <f t="shared" si="18"/>
        <v>-1.2499999999993072E-4</v>
      </c>
      <c r="S58" s="52">
        <f t="shared" si="18"/>
        <v>5.2437586101766742E-7</v>
      </c>
      <c r="T58" s="273">
        <f t="shared" si="18"/>
        <v>6.5022011825851579E-7</v>
      </c>
      <c r="U58" s="272">
        <f t="shared" si="18"/>
        <v>-7.019488072010794E-7</v>
      </c>
      <c r="V58" s="52">
        <f t="shared" si="18"/>
        <v>-5.1681244428967987E-7</v>
      </c>
      <c r="W58" s="52">
        <f t="shared" si="18"/>
        <v>3.6172816673171043E-7</v>
      </c>
      <c r="X58" s="273">
        <f t="shared" si="18"/>
        <v>4.8831070165785556E-7</v>
      </c>
      <c r="Y58" s="272">
        <f t="shared" si="18"/>
        <v>-4.3203029401386829E-5</v>
      </c>
      <c r="Z58" s="199">
        <f t="shared" si="18"/>
        <v>-4.5018753812605837E-5</v>
      </c>
      <c r="AA58" s="52">
        <f t="shared" si="18"/>
        <v>-2.9082054705888193E-5</v>
      </c>
      <c r="AB58" s="52">
        <f t="shared" si="18"/>
        <v>1.1356914485602821E-6</v>
      </c>
      <c r="AC58" s="52">
        <f t="shared" si="18"/>
        <v>-5.0345690704772057E-5</v>
      </c>
      <c r="BC58" s="178">
        <f>_xll.qlCalendarAdvance(Calendar,BC57,"1d","mf",,Trigger)</f>
        <v>42212</v>
      </c>
      <c r="BD58" s="41">
        <f>_xll.qlDayCounterYearFraction(DayCounter,SettlementDate,BC58,,,Trigger)</f>
        <v>0.20555555555555555</v>
      </c>
      <c r="BE58" s="47">
        <f>_xll.qlPolynomialFunctionValue(BE$1,$BD58,AllTriggers)</f>
        <v>8.6592914998697237E-4</v>
      </c>
      <c r="BF58" s="47">
        <f>_xll.qlPolynomialFunctionValue(BF$1,$BD58,AllTriggers)</f>
        <v>8.3192666546745868E-4</v>
      </c>
      <c r="BG58" s="47">
        <f>_xll.qlPolynomialFunctionValue(BG$1,$BD58,AllTriggers)</f>
        <v>1.1506365203667736E-3</v>
      </c>
      <c r="BH58" s="47">
        <f>_xll.qlPolynomialFunctionValue(BH$1,$BD58,AllTriggers)</f>
        <v>1.1962898430130672E-3</v>
      </c>
      <c r="BI58" s="47">
        <f>_xll.qlPolynomialFunctionValue(BI$1,$BD58,AllTriggers)</f>
        <v>8.6610843128933799E-4</v>
      </c>
      <c r="BJ58" s="47">
        <f>_xll.qlPolynomialFunctionValue(BJ$1,$BD58,AllTriggers)</f>
        <v>8.3210552880886397E-4</v>
      </c>
      <c r="BK58" s="47">
        <f>_xll.qlPolynomialFunctionValue(BK$1,$BD58,AllTriggers)</f>
        <v>1.1508193013123732E-3</v>
      </c>
      <c r="BL58" s="47">
        <f>_xll.qlPolynomialFunctionValue(BL$1,$BD58,AllTriggers)</f>
        <v>1.1967404536569436E-3</v>
      </c>
      <c r="BM58" s="47">
        <f>_xll.qlPolynomialFunctionValue(BM$1,$BD58,AllTriggers)</f>
        <v>1.1179263031669598E-3</v>
      </c>
      <c r="BN58" s="47">
        <f>_xll.qlPolynomialFunctionValue(BN$1,$BD58,AllTriggers)</f>
        <v>1.2007536907015729E-3</v>
      </c>
      <c r="BO58" s="47">
        <f>_xll.qlPolynomialFunctionValue(BO$1,$BD58,AllTriggers)</f>
        <v>1.1131737304687968E-3</v>
      </c>
      <c r="BP58" s="47">
        <f>_xll.qlPolynomialFunctionValue(BP$1,$BD58,AllTriggers)</f>
        <v>1.2466122088879831E-3</v>
      </c>
      <c r="BQ58" s="47">
        <f>_xll.qlPolynomialFunctionValue('3MSynthDepo_used'!$P$18,BD58,AllTriggers)</f>
        <v>1.1018367584395949E-3</v>
      </c>
    </row>
    <row r="59" spans="3:69" x14ac:dyDescent="0.2">
      <c r="F59" s="190" t="str">
        <f t="shared" ref="F59:F60" si="19">D47</f>
        <v>M5</v>
      </c>
      <c r="G59" s="47">
        <f t="shared" ref="G59:AC59" si="20">$AD47-G47</f>
        <v>3.6675430277071004E-4</v>
      </c>
      <c r="H59" s="47">
        <f t="shared" si="20"/>
        <v>7.8526605585447443E-6</v>
      </c>
      <c r="I59" s="21">
        <f t="shared" si="20"/>
        <v>-2.4999999999941735E-5</v>
      </c>
      <c r="J59" s="21">
        <f t="shared" si="20"/>
        <v>-2.4999999999941735E-5</v>
      </c>
      <c r="K59" s="21">
        <f t="shared" si="20"/>
        <v>-2.4999999999941735E-5</v>
      </c>
      <c r="L59" s="21">
        <f t="shared" si="20"/>
        <v>-2.4999999999941735E-5</v>
      </c>
      <c r="M59" s="21">
        <f t="shared" si="20"/>
        <v>-2.4999999999941735E-5</v>
      </c>
      <c r="N59" s="21">
        <f t="shared" si="20"/>
        <v>-2.4999999999941735E-5</v>
      </c>
      <c r="O59" s="21">
        <f t="shared" si="20"/>
        <v>-2.4999999999941735E-5</v>
      </c>
      <c r="P59" s="21">
        <f t="shared" si="20"/>
        <v>-2.4999999999941735E-5</v>
      </c>
      <c r="Q59" s="21">
        <f t="shared" si="20"/>
        <v>-2.4999999999941735E-5</v>
      </c>
      <c r="R59" s="21">
        <f t="shared" si="20"/>
        <v>-2.4999999999941735E-5</v>
      </c>
      <c r="S59" s="47">
        <f t="shared" si="20"/>
        <v>2.9714632124339547E-6</v>
      </c>
      <c r="T59" s="154">
        <f t="shared" si="20"/>
        <v>2.2722602417179268E-6</v>
      </c>
      <c r="U59" s="155">
        <f t="shared" si="20"/>
        <v>3.5911542273232865E-4</v>
      </c>
      <c r="V59" s="47">
        <f t="shared" si="20"/>
        <v>7.6648938105397958E-6</v>
      </c>
      <c r="W59" s="47">
        <f t="shared" si="20"/>
        <v>2.7836364643956356E-6</v>
      </c>
      <c r="X59" s="154">
        <f t="shared" si="20"/>
        <v>2.0803315508213099E-6</v>
      </c>
      <c r="Y59" s="155">
        <f t="shared" si="20"/>
        <v>5.4838503907741684E-5</v>
      </c>
      <c r="Z59" s="200">
        <f t="shared" si="20"/>
        <v>2.7453000368629155E-5</v>
      </c>
      <c r="AA59" s="47">
        <f t="shared" si="20"/>
        <v>5.7243164442800747E-5</v>
      </c>
      <c r="AB59" s="47">
        <f t="shared" si="20"/>
        <v>1.5094297871966244E-5</v>
      </c>
      <c r="AC59" s="47">
        <f t="shared" si="20"/>
        <v>8.0858761584332115E-5</v>
      </c>
      <c r="BC59" s="178">
        <f>_xll.qlCalendarAdvance(Calendar,BC58,"1d","mf",,Trigger)</f>
        <v>42213</v>
      </c>
      <c r="BD59" s="41">
        <f>_xll.qlDayCounterYearFraction(DayCounter,SettlementDate,BC59,,,Trigger)</f>
        <v>0.20833333333333334</v>
      </c>
      <c r="BE59" s="47">
        <f>_xll.qlPolynomialFunctionValue(BE$1,$BD59,AllTriggers)</f>
        <v>8.5936781218784951E-4</v>
      </c>
      <c r="BF59" s="47">
        <f>_xll.qlPolynomialFunctionValue(BF$1,$BD59,AllTriggers)</f>
        <v>8.4477719383059535E-4</v>
      </c>
      <c r="BG59" s="47">
        <f>_xll.qlPolynomialFunctionValue(BG$1,$BD59,AllTriggers)</f>
        <v>1.1570164266758237E-3</v>
      </c>
      <c r="BH59" s="47">
        <f>_xll.qlPolynomialFunctionValue(BH$1,$BD59,AllTriggers)</f>
        <v>1.2017428705581993E-3</v>
      </c>
      <c r="BI59" s="47">
        <f>_xll.qlPolynomialFunctionValue(BI$1,$BD59,AllTriggers)</f>
        <v>8.5954784615705252E-4</v>
      </c>
      <c r="BJ59" s="47">
        <f>_xll.qlPolynomialFunctionValue(BJ$1,$BD59,AllTriggers)</f>
        <v>8.4495704845087647E-4</v>
      </c>
      <c r="BK59" s="47">
        <f>_xll.qlPolynomialFunctionValue(BK$1,$BD59,AllTriggers)</f>
        <v>1.1572001193629531E-3</v>
      </c>
      <c r="BL59" s="47">
        <f>_xll.qlPolynomialFunctionValue(BL$1,$BD59,AllTriggers)</f>
        <v>1.202188955318362E-3</v>
      </c>
      <c r="BM59" s="47">
        <f>_xll.qlPolynomialFunctionValue(BM$1,$BD59,AllTriggers)</f>
        <v>1.1208447042404378E-3</v>
      </c>
      <c r="BN59" s="47">
        <f>_xll.qlPolynomialFunctionValue(BN$1,$BD59,AllTriggers)</f>
        <v>1.2033136853392969E-3</v>
      </c>
      <c r="BO59" s="47">
        <f>_xll.qlPolynomialFunctionValue(BO$1,$BD59,AllTriggers)</f>
        <v>1.1165163829974891E-3</v>
      </c>
      <c r="BP59" s="47">
        <f>_xll.qlPolynomialFunctionValue(BP$1,$BD59,AllTriggers)</f>
        <v>1.2503319770599051E-3</v>
      </c>
      <c r="BQ59" s="47">
        <f>_xll.qlPolynomialFunctionValue('3MSynthDepo_used'!$P$18,BD59,AllTriggers)</f>
        <v>1.1034770673016151E-3</v>
      </c>
    </row>
    <row r="60" spans="3:69" x14ac:dyDescent="0.2">
      <c r="F60" s="190" t="str">
        <f t="shared" si="19"/>
        <v>U5</v>
      </c>
      <c r="G60" s="47">
        <f t="shared" ref="G60:AC60" si="21">$AD48-G48</f>
        <v>9.3444926186936708E-4</v>
      </c>
      <c r="H60" s="47">
        <f t="shared" si="21"/>
        <v>-4.5655310260718091E-3</v>
      </c>
      <c r="I60" s="21">
        <f t="shared" si="21"/>
        <v>-7.4999999999825206E-5</v>
      </c>
      <c r="J60" s="21">
        <f t="shared" si="21"/>
        <v>-7.4999999999825206E-5</v>
      </c>
      <c r="K60" s="21">
        <f t="shared" si="21"/>
        <v>-7.4999999999825206E-5</v>
      </c>
      <c r="L60" s="21">
        <f t="shared" si="21"/>
        <v>-7.4999999999825206E-5</v>
      </c>
      <c r="M60" s="21">
        <f t="shared" si="21"/>
        <v>-7.4999999999825206E-5</v>
      </c>
      <c r="N60" s="21">
        <f t="shared" si="21"/>
        <v>-7.4999999999825206E-5</v>
      </c>
      <c r="O60" s="21">
        <f t="shared" si="21"/>
        <v>-7.4999999999825206E-5</v>
      </c>
      <c r="P60" s="21">
        <f t="shared" si="21"/>
        <v>-7.4999999999825206E-5</v>
      </c>
      <c r="Q60" s="21">
        <f t="shared" si="21"/>
        <v>-7.4999999999825206E-5</v>
      </c>
      <c r="R60" s="21">
        <f t="shared" si="21"/>
        <v>-7.4999999999825206E-5</v>
      </c>
      <c r="S60" s="47">
        <f t="shared" si="21"/>
        <v>-5.7949727551096799E-4</v>
      </c>
      <c r="T60" s="154">
        <f t="shared" si="21"/>
        <v>-8.5212542302315342E-6</v>
      </c>
      <c r="U60" s="155">
        <f t="shared" si="21"/>
        <v>9.3810010762029493E-4</v>
      </c>
      <c r="V60" s="47">
        <f t="shared" si="21"/>
        <v>-4.5658496813546718E-3</v>
      </c>
      <c r="W60" s="47">
        <f t="shared" si="21"/>
        <v>-5.7976693418370175E-4</v>
      </c>
      <c r="X60" s="154">
        <f t="shared" si="21"/>
        <v>-5.4412260316212806E-6</v>
      </c>
      <c r="Y60" s="155">
        <f t="shared" si="21"/>
        <v>-2.1694828545309607E-4</v>
      </c>
      <c r="Z60" s="200">
        <f t="shared" si="21"/>
        <v>4.4355057269628885E-4</v>
      </c>
      <c r="AA60" s="47">
        <f t="shared" si="21"/>
        <v>-2.5262164593946573E-4</v>
      </c>
      <c r="AB60" s="47">
        <f t="shared" si="21"/>
        <v>8.1673276533287512E-4</v>
      </c>
      <c r="AC60" s="47">
        <f t="shared" si="21"/>
        <v>-4.3963534193123925E-5</v>
      </c>
      <c r="BC60" s="178">
        <f>_xll.qlCalendarAdvance(Calendar,BC59,"1d","mf",,Trigger)</f>
        <v>42214</v>
      </c>
      <c r="BD60" s="41">
        <f>_xll.qlDayCounterYearFraction(DayCounter,SettlementDate,BC60,,,Trigger)</f>
        <v>0.21111111111111111</v>
      </c>
      <c r="BE60" s="47">
        <f>_xll.qlPolynomialFunctionValue(BE$1,$BD60,AllTriggers)</f>
        <v>8.5280647438872677E-4</v>
      </c>
      <c r="BF60" s="47">
        <f>_xll.qlPolynomialFunctionValue(BF$1,$BD60,AllTriggers)</f>
        <v>8.5838897184715383E-4</v>
      </c>
      <c r="BG60" s="47">
        <f>_xll.qlPolynomialFunctionValue(BG$1,$BD60,AllTriggers)</f>
        <v>1.1633963329848735E-3</v>
      </c>
      <c r="BH60" s="47">
        <f>_xll.qlPolynomialFunctionValue(BH$1,$BD60,AllTriggers)</f>
        <v>1.2070868535428709E-3</v>
      </c>
      <c r="BI60" s="47">
        <f>_xll.qlPolynomialFunctionValue(BI$1,$BD60,AllTriggers)</f>
        <v>8.5298726102476716E-4</v>
      </c>
      <c r="BJ60" s="47">
        <f>_xll.qlPolynomialFunctionValue(BJ$1,$BD60,AllTriggers)</f>
        <v>8.5856982710364512E-4</v>
      </c>
      <c r="BK60" s="47">
        <f>_xll.qlPolynomialFunctionValue(BK$1,$BD60,AllTriggers)</f>
        <v>1.1635809374135329E-3</v>
      </c>
      <c r="BL60" s="47">
        <f>_xll.qlPolynomialFunctionValue(BL$1,$BD60,AllTriggers)</f>
        <v>1.2075277726987029E-3</v>
      </c>
      <c r="BM60" s="47">
        <f>_xll.qlPolynomialFunctionValue(BM$1,$BD60,AllTriggers)</f>
        <v>1.1237631053139161E-3</v>
      </c>
      <c r="BN60" s="47">
        <f>_xll.qlPolynomialFunctionValue(BN$1,$BD60,AllTriggers)</f>
        <v>1.2057273042913978E-3</v>
      </c>
      <c r="BO60" s="47">
        <f>_xll.qlPolynomialFunctionValue(BO$1,$BD60,AllTriggers)</f>
        <v>1.1198590355261816E-3</v>
      </c>
      <c r="BP60" s="47">
        <f>_xll.qlPolynomialFunctionValue(BP$1,$BD60,AllTriggers)</f>
        <v>1.2537960683020434E-3</v>
      </c>
      <c r="BQ60" s="47">
        <f>_xll.qlPolynomialFunctionValue('3MSynthDepo_used'!$P$18,BD60,AllTriggers)</f>
        <v>1.1051094705627211E-3</v>
      </c>
    </row>
    <row r="61" spans="3:69" x14ac:dyDescent="0.2">
      <c r="F61" s="190" t="str">
        <f t="shared" ref="F61:F63" si="22">D49</f>
        <v>Z5</v>
      </c>
      <c r="G61" s="47">
        <f t="shared" ref="G61:AC61" si="23">$AD49-G49</f>
        <v>1.6284583340658207E-3</v>
      </c>
      <c r="H61" s="47">
        <f t="shared" si="23"/>
        <v>-1.5148076006253499E-2</v>
      </c>
      <c r="I61" s="21">
        <f t="shared" si="23"/>
        <v>-2.4999999999941735E-5</v>
      </c>
      <c r="J61" s="21">
        <f t="shared" si="23"/>
        <v>-2.4999999999941735E-5</v>
      </c>
      <c r="K61" s="21">
        <f t="shared" si="23"/>
        <v>-2.4999999999941735E-5</v>
      </c>
      <c r="L61" s="21">
        <f t="shared" si="23"/>
        <v>-2.4999999999941735E-5</v>
      </c>
      <c r="M61" s="21">
        <f t="shared" si="23"/>
        <v>-2.4999999999941735E-5</v>
      </c>
      <c r="N61" s="21">
        <f t="shared" si="23"/>
        <v>-2.4999999999941735E-5</v>
      </c>
      <c r="O61" s="21">
        <f t="shared" si="23"/>
        <v>-2.4999999999941735E-5</v>
      </c>
      <c r="P61" s="21">
        <f t="shared" si="23"/>
        <v>-2.4999999999941735E-5</v>
      </c>
      <c r="Q61" s="21">
        <f t="shared" si="23"/>
        <v>-2.4999999999941735E-5</v>
      </c>
      <c r="R61" s="21">
        <f t="shared" si="23"/>
        <v>-2.4999999999941735E-5</v>
      </c>
      <c r="S61" s="47">
        <f t="shared" si="23"/>
        <v>-1.0387458024652707E-3</v>
      </c>
      <c r="T61" s="154">
        <f t="shared" si="23"/>
        <v>9.8233322667280742E-4</v>
      </c>
      <c r="U61" s="155">
        <f t="shared" si="23"/>
        <v>1.6403050042773613E-3</v>
      </c>
      <c r="V61" s="47">
        <f t="shared" si="23"/>
        <v>-1.5148600929740521E-2</v>
      </c>
      <c r="W61" s="47">
        <f t="shared" si="23"/>
        <v>-1.0390972930626992E-3</v>
      </c>
      <c r="X61" s="154">
        <f t="shared" si="23"/>
        <v>9.938385945729945E-4</v>
      </c>
      <c r="Y61" s="155">
        <f t="shared" si="23"/>
        <v>-3.6551486304483411E-4</v>
      </c>
      <c r="Z61" s="200">
        <f t="shared" si="23"/>
        <v>2.162023635628809E-3</v>
      </c>
      <c r="AA61" s="47">
        <f t="shared" si="23"/>
        <v>-4.3926624455263227E-4</v>
      </c>
      <c r="AB61" s="47">
        <f t="shared" si="23"/>
        <v>3.8012422680457638E-3</v>
      </c>
      <c r="AC61" s="47">
        <f t="shared" si="23"/>
        <v>4.0958127048916319E-6</v>
      </c>
      <c r="BC61" s="178">
        <f>_xll.qlCalendarAdvance(Calendar,BC60,"1d","mf",,Trigger)</f>
        <v>42215</v>
      </c>
      <c r="BD61" s="41">
        <f>_xll.qlDayCounterYearFraction(DayCounter,SettlementDate,BC61,,,Trigger)</f>
        <v>0.21388888888888888</v>
      </c>
      <c r="BE61" s="47">
        <f>_xll.qlPolynomialFunctionValue(BE$1,$BD61,AllTriggers)</f>
        <v>8.4624513658960402E-4</v>
      </c>
      <c r="BF61" s="47">
        <f>_xll.qlPolynomialFunctionValue(BF$1,$BD61,AllTriggers)</f>
        <v>8.7276199951713367E-4</v>
      </c>
      <c r="BG61" s="47">
        <f>_xll.qlPolynomialFunctionValue(BG$1,$BD61,AllTriggers)</f>
        <v>1.1697762392939236E-3</v>
      </c>
      <c r="BH61" s="47">
        <f>_xll.qlPolynomialFunctionValue(BH$1,$BD61,AllTriggers)</f>
        <v>1.2123217919670819E-3</v>
      </c>
      <c r="BI61" s="47">
        <f>_xll.qlPolynomialFunctionValue(BI$1,$BD61,AllTriggers)</f>
        <v>8.4642667589248169E-4</v>
      </c>
      <c r="BJ61" s="47">
        <f>_xll.qlPolynomialFunctionValue(BJ$1,$BD61,AllTriggers)</f>
        <v>8.7294386476717122E-4</v>
      </c>
      <c r="BK61" s="47">
        <f>_xll.qlPolynomialFunctionValue(BK$1,$BD61,AllTriggers)</f>
        <v>1.1699617554641125E-3</v>
      </c>
      <c r="BL61" s="47">
        <f>_xll.qlPolynomialFunctionValue(BL$1,$BD61,AllTriggers)</f>
        <v>1.2127569057979657E-3</v>
      </c>
      <c r="BM61" s="47">
        <f>_xll.qlPolynomialFunctionValue(BM$1,$BD61,AllTriggers)</f>
        <v>1.1266815063873941E-3</v>
      </c>
      <c r="BN61" s="47">
        <f>_xll.qlPolynomialFunctionValue(BN$1,$BD61,AllTriggers)</f>
        <v>1.2079945475578753E-3</v>
      </c>
      <c r="BO61" s="47">
        <f>_xll.qlPolynomialFunctionValue(BO$1,$BD61,AllTriggers)</f>
        <v>1.123201688054874E-3</v>
      </c>
      <c r="BP61" s="47">
        <f>_xll.qlPolynomialFunctionValue(BP$1,$BD61,AllTriggers)</f>
        <v>1.2570044826143972E-3</v>
      </c>
      <c r="BQ61" s="47">
        <f>_xll.qlPolynomialFunctionValue('3MSynthDepo_used'!$P$18,BD61,AllTriggers)</f>
        <v>1.106733986685843E-3</v>
      </c>
    </row>
    <row r="62" spans="3:69" x14ac:dyDescent="0.2">
      <c r="F62" s="190" t="str">
        <f t="shared" si="22"/>
        <v>H6</v>
      </c>
      <c r="G62" s="47">
        <f t="shared" ref="G62:AC62" si="24">$AD50-G50</f>
        <v>2.2546239625713818E-3</v>
      </c>
      <c r="H62" s="47">
        <f t="shared" si="24"/>
        <v>-3.1933955368507017E-2</v>
      </c>
      <c r="I62" s="21">
        <f t="shared" si="24"/>
        <v>7.4999999999936229E-5</v>
      </c>
      <c r="J62" s="21">
        <f t="shared" si="24"/>
        <v>7.4999999999936229E-5</v>
      </c>
      <c r="K62" s="21">
        <f t="shared" si="24"/>
        <v>7.4999999999936229E-5</v>
      </c>
      <c r="L62" s="21">
        <f t="shared" si="24"/>
        <v>7.4999999999936229E-5</v>
      </c>
      <c r="M62" s="21">
        <f t="shared" si="24"/>
        <v>7.4999999999936229E-5</v>
      </c>
      <c r="N62" s="21">
        <f t="shared" si="24"/>
        <v>7.4999999999936229E-5</v>
      </c>
      <c r="O62" s="21">
        <f t="shared" si="24"/>
        <v>7.4999999999936229E-5</v>
      </c>
      <c r="P62" s="21">
        <f t="shared" si="24"/>
        <v>7.4999999999936229E-5</v>
      </c>
      <c r="Q62" s="21">
        <f t="shared" si="24"/>
        <v>7.4999999999936229E-5</v>
      </c>
      <c r="R62" s="21">
        <f t="shared" si="24"/>
        <v>7.4999999999936229E-5</v>
      </c>
      <c r="S62" s="47">
        <f t="shared" si="24"/>
        <v>-1.5689472061709629E-3</v>
      </c>
      <c r="T62" s="154">
        <f t="shared" si="24"/>
        <v>2.7806626144303444E-3</v>
      </c>
      <c r="U62" s="155">
        <f t="shared" si="24"/>
        <v>2.2715570241830371E-3</v>
      </c>
      <c r="V62" s="47">
        <f t="shared" si="24"/>
        <v>-3.1934761939867481E-2</v>
      </c>
      <c r="W62" s="47">
        <f t="shared" si="24"/>
        <v>-1.5693805286930867E-3</v>
      </c>
      <c r="X62" s="154">
        <f t="shared" si="24"/>
        <v>2.8057467048441774E-3</v>
      </c>
      <c r="Y62" s="155">
        <f t="shared" si="24"/>
        <v>-5.8503431738796238E-4</v>
      </c>
      <c r="Z62" s="200">
        <f t="shared" si="24"/>
        <v>4.9886991006456993E-3</v>
      </c>
      <c r="AA62" s="47">
        <f t="shared" si="24"/>
        <v>-6.9686371991718949E-4</v>
      </c>
      <c r="AB62" s="47">
        <f t="shared" si="24"/>
        <v>8.7744497174901421E-3</v>
      </c>
      <c r="AC62" s="47">
        <f t="shared" si="24"/>
        <v>1.7514560220405163E-5</v>
      </c>
      <c r="BC62" s="178">
        <f>_xll.qlCalendarAdvance(Calendar,BC61,"1d","mf",,Trigger)</f>
        <v>42216</v>
      </c>
      <c r="BD62" s="41">
        <f>_xll.qlDayCounterYearFraction(DayCounter,SettlementDate,BC62,,,Trigger)</f>
        <v>0.21666666666666667</v>
      </c>
      <c r="BE62" s="47">
        <f>_xll.qlPolynomialFunctionValue(BE$1,$BD62,AllTriggers)</f>
        <v>8.3968379879048117E-4</v>
      </c>
      <c r="BF62" s="47">
        <f>_xll.qlPolynomialFunctionValue(BF$1,$BD62,AllTriggers)</f>
        <v>8.8789627684053617E-4</v>
      </c>
      <c r="BG62" s="47">
        <f>_xll.qlPolynomialFunctionValue(BG$1,$BD62,AllTriggers)</f>
        <v>1.1761561456029735E-3</v>
      </c>
      <c r="BH62" s="47">
        <f>_xll.qlPolynomialFunctionValue(BH$1,$BD62,AllTriggers)</f>
        <v>1.2174476858308313E-3</v>
      </c>
      <c r="BI62" s="47">
        <f>_xll.qlPolynomialFunctionValue(BI$1,$BD62,AllTriggers)</f>
        <v>8.3986609076019622E-4</v>
      </c>
      <c r="BJ62" s="47">
        <f>_xll.qlPolynomialFunctionValue(BJ$1,$BD62,AllTriggers)</f>
        <v>8.8807916144145347E-4</v>
      </c>
      <c r="BK62" s="47">
        <f>_xll.qlPolynomialFunctionValue(BK$1,$BD62,AllTriggers)</f>
        <v>1.1763425735146923E-3</v>
      </c>
      <c r="BL62" s="47">
        <f>_xll.qlPolynomialFunctionValue(BL$1,$BD62,AllTriggers)</f>
        <v>1.2178763546161508E-3</v>
      </c>
      <c r="BM62" s="47">
        <f>_xll.qlPolynomialFunctionValue(BM$1,$BD62,AllTriggers)</f>
        <v>1.1295999074608723E-3</v>
      </c>
      <c r="BN62" s="47">
        <f>_xll.qlPolynomialFunctionValue(BN$1,$BD62,AllTriggers)</f>
        <v>1.2101154151387299E-3</v>
      </c>
      <c r="BO62" s="47">
        <f>_xll.qlPolynomialFunctionValue(BO$1,$BD62,AllTriggers)</f>
        <v>1.1265443405835665E-3</v>
      </c>
      <c r="BP62" s="47">
        <f>_xll.qlPolynomialFunctionValue(BP$1,$BD62,AllTriggers)</f>
        <v>1.2599572199969665E-3</v>
      </c>
      <c r="BQ62" s="47">
        <f>_xll.qlPolynomialFunctionValue('3MSynthDepo_used'!$P$18,BD62,AllTriggers)</f>
        <v>1.1083506341339122E-3</v>
      </c>
    </row>
    <row r="63" spans="3:69" x14ac:dyDescent="0.2">
      <c r="C63" s="194"/>
      <c r="D63" s="194"/>
      <c r="E63" s="195"/>
      <c r="F63" s="277" t="str">
        <f t="shared" si="22"/>
        <v>M6</v>
      </c>
      <c r="G63" s="50">
        <f t="shared" ref="G63:AC63" si="25">$AD51-G51</f>
        <v>2.8154574646847108E-3</v>
      </c>
      <c r="H63" s="50">
        <f t="shared" si="25"/>
        <v>-5.4914333617175445E-2</v>
      </c>
      <c r="I63" s="96">
        <f t="shared" si="25"/>
        <v>2.2500000000003073E-4</v>
      </c>
      <c r="J63" s="96">
        <f t="shared" si="25"/>
        <v>2.2500000000003073E-4</v>
      </c>
      <c r="K63" s="96">
        <f t="shared" si="25"/>
        <v>2.2500000000003073E-4</v>
      </c>
      <c r="L63" s="96">
        <f t="shared" si="25"/>
        <v>2.2500000000003073E-4</v>
      </c>
      <c r="M63" s="96">
        <f t="shared" si="25"/>
        <v>2.2500000000003073E-4</v>
      </c>
      <c r="N63" s="96">
        <f t="shared" si="25"/>
        <v>2.2500000000003073E-4</v>
      </c>
      <c r="O63" s="96">
        <f t="shared" si="25"/>
        <v>2.2500000000003073E-4</v>
      </c>
      <c r="P63" s="96">
        <f t="shared" si="25"/>
        <v>2.2500000000003073E-4</v>
      </c>
      <c r="Q63" s="96">
        <f t="shared" si="25"/>
        <v>2.2500000000003073E-4</v>
      </c>
      <c r="R63" s="96">
        <f t="shared" si="25"/>
        <v>2.2500000000003073E-4</v>
      </c>
      <c r="S63" s="50">
        <f t="shared" si="25"/>
        <v>-2.1612659909711362E-3</v>
      </c>
      <c r="T63" s="276">
        <f t="shared" si="25"/>
        <v>5.39530240469929E-3</v>
      </c>
      <c r="U63" s="275">
        <f t="shared" si="25"/>
        <v>2.8406916629942327E-3</v>
      </c>
      <c r="V63" s="50">
        <f t="shared" si="25"/>
        <v>-5.4915497216078663E-2</v>
      </c>
      <c r="W63" s="50">
        <f t="shared" si="25"/>
        <v>-2.1617811454179552E-3</v>
      </c>
      <c r="X63" s="276">
        <f t="shared" si="25"/>
        <v>5.4391186004388381E-3</v>
      </c>
      <c r="Y63" s="275">
        <f t="shared" si="25"/>
        <v>-8.6667115282557106E-4</v>
      </c>
      <c r="Z63" s="201">
        <f t="shared" si="25"/>
        <v>8.9324124634038715E-3</v>
      </c>
      <c r="AA63" s="50">
        <f t="shared" si="25"/>
        <v>-1.0165785763762269E-3</v>
      </c>
      <c r="AB63" s="50">
        <f t="shared" si="25"/>
        <v>1.5745190609322921E-2</v>
      </c>
      <c r="AC63" s="50">
        <f t="shared" si="25"/>
        <v>-8.220949527156093E-6</v>
      </c>
      <c r="BC63" s="178">
        <f>_xll.qlCalendarAdvance(Calendar,BC62,"1d","mf",,Trigger)</f>
        <v>42219</v>
      </c>
      <c r="BD63" s="41">
        <f>_xll.qlDayCounterYearFraction(DayCounter,SettlementDate,BC63,,,Trigger)</f>
        <v>0.22500000000000001</v>
      </c>
      <c r="BE63" s="47">
        <f>_xll.qlPolynomialFunctionValue(BE$1,$BD63,AllTriggers)</f>
        <v>8.1999978539311293E-4</v>
      </c>
      <c r="BF63" s="47">
        <f>_xll.qlPolynomialFunctionValue(BF$1,$BD63,AllTriggers)</f>
        <v>9.3786660673127447E-4</v>
      </c>
      <c r="BG63" s="47">
        <f>_xll.qlPolynomialFunctionValue(BG$1,$BD63,AllTriggers)</f>
        <v>1.1952958645301236E-3</v>
      </c>
      <c r="BH63" s="47">
        <f>_xll.qlPolynomialFunctionValue(BH$1,$BD63,AllTriggers)</f>
        <v>1.2321711000593152E-3</v>
      </c>
      <c r="BI63" s="47">
        <f>_xll.qlPolynomialFunctionValue(BI$1,$BD63,AllTriggers)</f>
        <v>8.2018433536333992E-4</v>
      </c>
      <c r="BJ63" s="47">
        <f>_xll.qlPolynomialFunctionValue(BJ$1,$BD63,AllTriggers)</f>
        <v>9.3805260552884146E-4</v>
      </c>
      <c r="BK63" s="47">
        <f>_xll.qlPolynomialFunctionValue(BK$1,$BD63,AllTriggers)</f>
        <v>1.1954850276664315E-3</v>
      </c>
      <c r="BL63" s="47">
        <f>_xll.qlPolynomialFunctionValue(BL$1,$BD63,AllTriggers)</f>
        <v>1.2325765953842395E-3</v>
      </c>
      <c r="BM63" s="47">
        <f>_xll.qlPolynomialFunctionValue(BM$1,$BD63,AllTriggers)</f>
        <v>1.1383551106813065E-3</v>
      </c>
      <c r="BN63" s="47">
        <f>_xll.qlPolynomialFunctionValue(BN$1,$BD63,AllTriggers)</f>
        <v>1.2155997637675539E-3</v>
      </c>
      <c r="BO63" s="47">
        <f>_xll.qlPolynomialFunctionValue(BO$1,$BD63,AllTriggers)</f>
        <v>1.1365722981696437E-3</v>
      </c>
      <c r="BP63" s="47">
        <f>_xll.qlPolynomialFunctionValue(BP$1,$BD63,AllTriggers)</f>
        <v>1.2672813705659688E-3</v>
      </c>
      <c r="BQ63" s="47">
        <f>_xll.qlPolynomialFunctionValue('3MSynthDepo_used'!$P$18,BD63,AllTriggers)</f>
        <v>1.1131535490571116E-3</v>
      </c>
    </row>
    <row r="64" spans="3:69" x14ac:dyDescent="0.2">
      <c r="C64" s="194"/>
      <c r="D64" s="194"/>
      <c r="E64" s="195"/>
      <c r="H64" s="35"/>
      <c r="K64" s="55"/>
      <c r="L64" s="55"/>
      <c r="M64" s="55"/>
      <c r="N64" s="55"/>
      <c r="P64" s="35"/>
      <c r="Q64" s="35"/>
      <c r="R64" s="35"/>
      <c r="S64" s="35"/>
      <c r="BC64" s="178">
        <f>_xll.qlCalendarAdvance(Calendar,BC63,"1d","mf",,Trigger)</f>
        <v>42220</v>
      </c>
      <c r="BD64" s="41">
        <f>_xll.qlDayCounterYearFraction(DayCounter,SettlementDate,BC64,,,Trigger)</f>
        <v>0.22777777777777777</v>
      </c>
      <c r="BE64" s="47">
        <f>_xll.qlPolynomialFunctionValue(BE$1,$BD64,AllTriggers)</f>
        <v>8.1343844759399018E-4</v>
      </c>
      <c r="BF64" s="47">
        <f>_xll.qlPolynomialFunctionValue(BF$1,$BD64,AllTriggers)</f>
        <v>9.560458826683646E-4</v>
      </c>
      <c r="BG64" s="47">
        <f>_xll.qlPolynomialFunctionValue(BG$1,$BD64,AllTriggers)</f>
        <v>1.2016757708391737E-3</v>
      </c>
      <c r="BH64" s="47">
        <f>_xll.qlPolynomialFunctionValue(BH$1,$BD64,AllTriggers)</f>
        <v>1.2368608156812214E-3</v>
      </c>
      <c r="BI64" s="47">
        <f>_xll.qlPolynomialFunctionValue(BI$1,$BD64,AllTriggers)</f>
        <v>8.1362375023105444E-4</v>
      </c>
      <c r="BJ64" s="47">
        <f>_xll.qlPolynomialFunctionValue(BJ$1,$BD64,AllTriggers)</f>
        <v>9.5623293824615091E-4</v>
      </c>
      <c r="BK64" s="47">
        <f>_xll.qlPolynomialFunctionValue(BK$1,$BD64,AllTriggers)</f>
        <v>1.2018658457170111E-3</v>
      </c>
      <c r="BL64" s="47">
        <f>_xll.qlPolynomialFunctionValue(BL$1,$BD64,AllTriggers)</f>
        <v>1.2372573070781137E-3</v>
      </c>
      <c r="BM64" s="47">
        <f>_xll.qlPolynomialFunctionValue(BM$1,$BD64,AllTriggers)</f>
        <v>1.1412735117547845E-3</v>
      </c>
      <c r="BN64" s="47">
        <f>_xll.qlPolynomialFunctionValue(BN$1,$BD64,AllTriggers)</f>
        <v>1.2171351286059157E-3</v>
      </c>
      <c r="BO64" s="47">
        <f>_xll.qlPolynomialFunctionValue(BO$1,$BD64,AllTriggers)</f>
        <v>1.1399149506983361E-3</v>
      </c>
      <c r="BP64" s="47">
        <f>_xll.qlPolynomialFunctionValue(BP$1,$BD64,AllTriggers)</f>
        <v>1.269211400229401E-3</v>
      </c>
      <c r="BQ64" s="47">
        <f>_xll.qlPolynomialFunctionValue('3MSynthDepo_used'!$P$18,BD64,AllTriggers)</f>
        <v>1.114738906434278E-3</v>
      </c>
    </row>
    <row r="65" spans="3:69" x14ac:dyDescent="0.2">
      <c r="C65" s="194"/>
      <c r="D65" s="194"/>
      <c r="E65" s="195"/>
      <c r="H65" s="35"/>
      <c r="K65" s="55"/>
      <c r="L65" s="55"/>
      <c r="M65" s="55"/>
      <c r="N65" s="55"/>
      <c r="P65" s="35"/>
      <c r="Q65" s="35"/>
      <c r="R65" s="35"/>
      <c r="S65" s="35"/>
      <c r="BC65" s="178">
        <f>_xll.qlCalendarAdvance(Calendar,BC64,"1d","mf",,Trigger)</f>
        <v>42221</v>
      </c>
      <c r="BD65" s="41">
        <f>_xll.qlDayCounterYearFraction(DayCounter,SettlementDate,BC65,,,Trigger)</f>
        <v>0.23055555555555557</v>
      </c>
      <c r="BE65" s="47">
        <f>_xll.qlPolynomialFunctionValue(BE$1,$BD65,AllTriggers)</f>
        <v>8.0687710979486732E-4</v>
      </c>
      <c r="BF65" s="47">
        <f>_xll.qlPolynomialFunctionValue(BF$1,$BD65,AllTriggers)</f>
        <v>9.7498640825887609E-4</v>
      </c>
      <c r="BG65" s="47">
        <f>_xll.qlPolynomialFunctionValue(BG$1,$BD65,AllTriggers)</f>
        <v>1.2080556771482238E-3</v>
      </c>
      <c r="BH65" s="47">
        <f>_xll.qlPolynomialFunctionValue(BH$1,$BD65,AllTriggers)</f>
        <v>1.2414414867426664E-3</v>
      </c>
      <c r="BI65" s="47">
        <f>_xll.qlPolynomialFunctionValue(BI$1,$BD65,AllTriggers)</f>
        <v>8.0706316509876897E-4</v>
      </c>
      <c r="BJ65" s="47">
        <f>_xll.qlPolynomialFunctionValue(BJ$1,$BD65,AllTriggers)</f>
        <v>9.7517452997421738E-4</v>
      </c>
      <c r="BK65" s="47">
        <f>_xll.qlPolynomialFunctionValue(BK$1,$BD65,AllTriggers)</f>
        <v>1.2082466637675909E-3</v>
      </c>
      <c r="BL65" s="47">
        <f>_xll.qlPolynomialFunctionValue(BL$1,$BD65,AllTriggers)</f>
        <v>1.2418283344909097E-3</v>
      </c>
      <c r="BM65" s="47">
        <f>_xll.qlPolynomialFunctionValue(BM$1,$BD65,AllTriggers)</f>
        <v>1.1441919128282628E-3</v>
      </c>
      <c r="BN65" s="47">
        <f>_xll.qlPolynomialFunctionValue(BN$1,$BD65,AllTriggers)</f>
        <v>1.2185241177586539E-3</v>
      </c>
      <c r="BO65" s="47">
        <f>_xll.qlPolynomialFunctionValue(BO$1,$BD65,AllTriggers)</f>
        <v>1.1432576032270286E-3</v>
      </c>
      <c r="BP65" s="47">
        <f>_xll.qlPolynomialFunctionValue(BP$1,$BD65,AllTriggers)</f>
        <v>1.2708857529630494E-3</v>
      </c>
      <c r="BQ65" s="47">
        <f>_xll.qlPolynomialFunctionValue('3MSynthDepo_used'!$P$18,BD65,AllTriggers)</f>
        <v>1.1163164874510455E-3</v>
      </c>
    </row>
    <row r="66" spans="3:69" x14ac:dyDescent="0.2">
      <c r="C66" s="194"/>
      <c r="D66" s="194"/>
      <c r="E66" s="195"/>
      <c r="H66" s="35"/>
      <c r="K66" s="55"/>
      <c r="L66" s="55"/>
      <c r="M66" s="55"/>
      <c r="N66" s="55"/>
      <c r="P66" s="35"/>
      <c r="Q66" s="35"/>
      <c r="R66" s="35"/>
      <c r="S66" s="35"/>
      <c r="BC66" s="178">
        <f>_xll.qlCalendarAdvance(Calendar,BC65,"1d","mf",,Trigger)</f>
        <v>42222</v>
      </c>
      <c r="BD66" s="41">
        <f>_xll.qlDayCounterYearFraction(DayCounter,SettlementDate,BC66,,,Trigger)</f>
        <v>0.23333333333333334</v>
      </c>
      <c r="BE66" s="47">
        <f>_xll.qlPolynomialFunctionValue(BE$1,$BD66,AllTriggers)</f>
        <v>8.0031577199574458E-4</v>
      </c>
      <c r="BF66" s="47">
        <f>_xll.qlPolynomialFunctionValue(BF$1,$BD66,AllTriggers)</f>
        <v>9.9468818350281025E-4</v>
      </c>
      <c r="BG66" s="47">
        <f>_xll.qlPolynomialFunctionValue(BG$1,$BD66,AllTriggers)</f>
        <v>1.2144355834572736E-3</v>
      </c>
      <c r="BH66" s="47">
        <f>_xll.qlPolynomialFunctionValue(BH$1,$BD66,AllTriggers)</f>
        <v>1.2459131132436512E-3</v>
      </c>
      <c r="BI66" s="47">
        <f>_xll.qlPolynomialFunctionValue(BI$1,$BD66,AllTriggers)</f>
        <v>8.005025799664835E-4</v>
      </c>
      <c r="BJ66" s="47">
        <f>_xll.qlPolynomialFunctionValue(BJ$1,$BD66,AllTriggers)</f>
        <v>9.9487738071304043E-4</v>
      </c>
      <c r="BK66" s="47">
        <f>_xll.qlPolynomialFunctionValue(BK$1,$BD66,AllTriggers)</f>
        <v>1.2146274818181707E-3</v>
      </c>
      <c r="BL66" s="47">
        <f>_xll.qlPolynomialFunctionValue(BL$1,$BD66,AllTriggers)</f>
        <v>1.2462896776226282E-3</v>
      </c>
      <c r="BM66" s="47">
        <f>_xll.qlPolynomialFunctionValue(BM$1,$BD66,AllTriggers)</f>
        <v>1.1471103139017408E-3</v>
      </c>
      <c r="BN66" s="47">
        <f>_xll.qlPolynomialFunctionValue(BN$1,$BD66,AllTriggers)</f>
        <v>1.2197667312257691E-3</v>
      </c>
      <c r="BO66" s="47">
        <f>_xll.qlPolynomialFunctionValue(BO$1,$BD66,AllTriggers)</f>
        <v>1.1466002557557211E-3</v>
      </c>
      <c r="BP66" s="47">
        <f>_xll.qlPolynomialFunctionValue(BP$1,$BD66,AllTriggers)</f>
        <v>1.2723044287669123E-3</v>
      </c>
      <c r="BQ66" s="47">
        <f>_xll.qlPolynomialFunctionValue('3MSynthDepo_used'!$P$18,BD66,AllTriggers)</f>
        <v>1.1178863105703451E-3</v>
      </c>
    </row>
    <row r="67" spans="3:69" x14ac:dyDescent="0.2">
      <c r="C67" s="194"/>
      <c r="D67" s="194"/>
      <c r="E67" s="195"/>
      <c r="H67" s="35"/>
      <c r="K67" s="55"/>
      <c r="L67" s="55"/>
      <c r="M67" s="55"/>
      <c r="N67" s="55"/>
      <c r="P67" s="35"/>
      <c r="Q67" s="35"/>
      <c r="R67" s="35"/>
      <c r="S67" s="35"/>
      <c r="BC67" s="178">
        <f>_xll.qlCalendarAdvance(Calendar,BC66,"1d","mf",,Trigger)</f>
        <v>42223</v>
      </c>
      <c r="BD67" s="41">
        <f>_xll.qlDayCounterYearFraction(DayCounter,SettlementDate,BC67,,,Trigger)</f>
        <v>0.2361111111111111</v>
      </c>
      <c r="BE67" s="47">
        <f>_xll.qlPolynomialFunctionValue(BE$1,$BD67,AllTriggers)</f>
        <v>7.9375443419662183E-4</v>
      </c>
      <c r="BF67" s="47">
        <f>_xll.qlPolynomialFunctionValue(BF$1,$BD67,AllTriggers)</f>
        <v>1.0151512084001658E-3</v>
      </c>
      <c r="BG67" s="47">
        <f>_xll.qlPolynomialFunctionValue(BG$1,$BD67,AllTriggers)</f>
        <v>1.2208154897663237E-3</v>
      </c>
      <c r="BH67" s="47">
        <f>_xll.qlPolynomialFunctionValue(BH$1,$BD67,AllTriggers)</f>
        <v>1.2502756951841745E-3</v>
      </c>
      <c r="BI67" s="47">
        <f>_xll.qlPolynomialFunctionValue(BI$1,$BD67,AllTriggers)</f>
        <v>7.9394199483419814E-4</v>
      </c>
      <c r="BJ67" s="47">
        <f>_xll.qlPolynomialFunctionValue(BJ$1,$BD67,AllTriggers)</f>
        <v>1.0153414904626201E-3</v>
      </c>
      <c r="BK67" s="47">
        <f>_xll.qlPolynomialFunctionValue(BK$1,$BD67,AllTriggers)</f>
        <v>1.2210082998687505E-3</v>
      </c>
      <c r="BL67" s="47">
        <f>_xll.qlPolynomialFunctionValue(BL$1,$BD67,AllTriggers)</f>
        <v>1.2506413364732688E-3</v>
      </c>
      <c r="BM67" s="47">
        <f>_xll.qlPolynomialFunctionValue(BM$1,$BD67,AllTriggers)</f>
        <v>1.1500287149752188E-3</v>
      </c>
      <c r="BN67" s="47">
        <f>_xll.qlPolynomialFunctionValue(BN$1,$BD67,AllTriggers)</f>
        <v>1.220862969007261E-3</v>
      </c>
      <c r="BO67" s="47">
        <f>_xll.qlPolynomialFunctionValue(BO$1,$BD67,AllTriggers)</f>
        <v>1.1499429082844135E-3</v>
      </c>
      <c r="BP67" s="47">
        <f>_xll.qlPolynomialFunctionValue(BP$1,$BD67,AllTriggers)</f>
        <v>1.2734674276409915E-3</v>
      </c>
      <c r="BQ67" s="47">
        <f>_xll.qlPolynomialFunctionValue('3MSynthDepo_used'!$P$18,BD67,AllTriggers)</f>
        <v>1.1194483942551078E-3</v>
      </c>
    </row>
    <row r="68" spans="3:69" x14ac:dyDescent="0.2">
      <c r="C68" s="194"/>
      <c r="D68" s="194"/>
      <c r="E68" s="195"/>
      <c r="H68" s="35"/>
      <c r="K68" s="55"/>
      <c r="L68" s="55"/>
      <c r="M68" s="55"/>
      <c r="N68" s="55"/>
      <c r="P68" s="35"/>
      <c r="Q68" s="35"/>
      <c r="R68" s="35"/>
      <c r="S68" s="35"/>
      <c r="BC68" s="178">
        <f>_xll.qlCalendarAdvance(Calendar,BC67,"1d","mf",,Trigger)</f>
        <v>42226</v>
      </c>
      <c r="BD68" s="41">
        <f>_xll.qlDayCounterYearFraction(DayCounter,SettlementDate,BC68,,,Trigger)</f>
        <v>0.24444444444444444</v>
      </c>
      <c r="BE68" s="47">
        <f>_xll.qlPolynomialFunctionValue(BE$1,$BD68,AllTriggers)</f>
        <v>7.7407042079925359E-4</v>
      </c>
      <c r="BF68" s="47">
        <f>_xll.qlPolynomialFunctionValue(BF$1,$BD68,AllTriggers)</f>
        <v>1.0811077810127649E-3</v>
      </c>
      <c r="BG68" s="47">
        <f>_xll.qlPolynomialFunctionValue(BG$1,$BD68,AllTriggers)</f>
        <v>1.2399552086934736E-3</v>
      </c>
      <c r="BH68" s="47">
        <f>_xll.qlPolynomialFunctionValue(BH$1,$BD68,AllTriggers)</f>
        <v>1.2627091736429796E-3</v>
      </c>
      <c r="BI68" s="47">
        <f>_xll.qlPolynomialFunctionValue(BI$1,$BD68,AllTriggers)</f>
        <v>7.7426023943734184E-4</v>
      </c>
      <c r="BJ68" s="47">
        <f>_xll.qlPolynomialFunctionValue(BJ$1,$BD68,AllTriggers)</f>
        <v>1.0813013737759006E-3</v>
      </c>
      <c r="BK68" s="47">
        <f>_xll.qlPolynomialFunctionValue(BK$1,$BD68,AllTriggers)</f>
        <v>1.2401507540204895E-3</v>
      </c>
      <c r="BL68" s="47">
        <f>_xll.qlPolynomialFunctionValue(BL$1,$BD68,AllTriggers)</f>
        <v>1.2630382073387238E-3</v>
      </c>
      <c r="BM68" s="47">
        <f>_xll.qlPolynomialFunctionValue(BM$1,$BD68,AllTriggers)</f>
        <v>1.1587839181956532E-3</v>
      </c>
      <c r="BN68" s="47">
        <f>_xll.qlPolynomialFunctionValue(BN$1,$BD68,AllTriggers)</f>
        <v>1.2232734282379976E-3</v>
      </c>
      <c r="BO68" s="47">
        <f>_xll.qlPolynomialFunctionValue(BO$1,$BD68,AllTriggers)</f>
        <v>1.1599708658704907E-3</v>
      </c>
      <c r="BP68" s="47">
        <f>_xll.qlPolynomialFunctionValue(BP$1,$BD68,AllTriggers)</f>
        <v>1.2754223626845235E-3</v>
      </c>
      <c r="BQ68" s="47">
        <f>_xll.qlPolynomialFunctionValue('3MSynthDepo_used'!$P$18,BD68,AllTriggers)</f>
        <v>1.1240883933314812E-3</v>
      </c>
    </row>
    <row r="69" spans="3:69" x14ac:dyDescent="0.2">
      <c r="C69" s="194"/>
      <c r="D69" s="194"/>
      <c r="E69" s="195"/>
      <c r="G69" s="196"/>
      <c r="H69" s="35"/>
      <c r="J69" s="196"/>
      <c r="K69" s="55"/>
      <c r="L69" s="55"/>
      <c r="M69" s="55"/>
      <c r="N69" s="55"/>
      <c r="P69" s="35"/>
      <c r="Q69" s="35"/>
      <c r="R69" s="35"/>
      <c r="S69" s="35"/>
      <c r="BC69" s="178">
        <f>_xll.qlCalendarAdvance(Calendar,BC68,"1d","mf",,Trigger)</f>
        <v>42227</v>
      </c>
      <c r="BD69" s="41">
        <f>_xll.qlDayCounterYearFraction(DayCounter,SettlementDate,BC69,,,Trigger)</f>
        <v>0.24722222222222223</v>
      </c>
      <c r="BE69" s="47">
        <f>_xll.qlPolynomialFunctionValue(BE$1,$BD69,AllTriggers)</f>
        <v>7.6750908300013073E-4</v>
      </c>
      <c r="BF69" s="47">
        <f>_xll.qlPolynomialFunctionValue(BF$1,$BD69,AllTriggers)</f>
        <v>1.104615804523808E-3</v>
      </c>
      <c r="BG69" s="47">
        <f>_xll.qlPolynomialFunctionValue(BG$1,$BD69,AllTriggers)</f>
        <v>1.2463351150025239E-3</v>
      </c>
      <c r="BH69" s="47">
        <f>_xll.qlPolynomialFunctionValue(BH$1,$BD69,AllTriggers)</f>
        <v>1.2666355773416594E-3</v>
      </c>
      <c r="BI69" s="47">
        <f>_xll.qlPolynomialFunctionValue(BI$1,$BD69,AllTriggers)</f>
        <v>7.6769965430505637E-4</v>
      </c>
      <c r="BJ69" s="47">
        <f>_xll.qlPolynomialFunctionValue(BJ$1,$BD69,AllTriggers)</f>
        <v>1.1048105195685079E-3</v>
      </c>
      <c r="BK69" s="47">
        <f>_xll.qlPolynomialFunctionValue(BK$1,$BD69,AllTriggers)</f>
        <v>1.2465315720710693E-3</v>
      </c>
      <c r="BL69" s="47">
        <f>_xll.qlPolynomialFunctionValue(BL$1,$BD69,AllTriggers)</f>
        <v>1.2669511290650532E-3</v>
      </c>
      <c r="BM69" s="47">
        <f>_xll.qlPolynomialFunctionValue(BM$1,$BD69,AllTriggers)</f>
        <v>1.1617023192691312E-3</v>
      </c>
      <c r="BN69" s="47">
        <f>_xll.qlPolynomialFunctionValue(BN$1,$BD69,AllTriggers)</f>
        <v>1.2237841632769969E-3</v>
      </c>
      <c r="BO69" s="47">
        <f>_xll.qlPolynomialFunctionValue(BO$1,$BD69,AllTriggers)</f>
        <v>1.1633135183991832E-3</v>
      </c>
      <c r="BP69" s="47">
        <f>_xll.qlPolynomialFunctionValue(BP$1,$BD69,AllTriggers)</f>
        <v>1.275562653839465E-3</v>
      </c>
      <c r="BQ69" s="47">
        <f>_xll.qlPolynomialFunctionValue('3MSynthDepo_used'!$P$18,BD69,AllTriggers)</f>
        <v>1.1256197039074033E-3</v>
      </c>
    </row>
    <row r="70" spans="3:69" x14ac:dyDescent="0.2">
      <c r="C70" s="194"/>
      <c r="D70" s="194"/>
      <c r="E70" s="195"/>
      <c r="H70" s="35"/>
      <c r="K70" s="55"/>
      <c r="L70" s="55"/>
      <c r="M70" s="55"/>
      <c r="N70" s="55"/>
      <c r="P70" s="35"/>
      <c r="Q70" s="35"/>
      <c r="R70" s="35"/>
      <c r="S70" s="35"/>
      <c r="T70" s="35"/>
      <c r="BC70" s="178">
        <f>_xll.qlCalendarAdvance(Calendar,BC69,"1d","mf",,Trigger)</f>
        <v>42228</v>
      </c>
      <c r="BD70" s="41">
        <f>_xll.qlDayCounterYearFraction(DayCounter,SettlementDate,BC70,,,Trigger)</f>
        <v>0.25</v>
      </c>
      <c r="BE70" s="47">
        <f>_xll.qlPolynomialFunctionValue(BE$1,$BD70,AllTriggers)</f>
        <v>7.6094774520100799E-4</v>
      </c>
      <c r="BF70" s="47">
        <f>_xll.qlPolynomialFunctionValue(BF$1,$BD70,AllTriggers)</f>
        <v>1.1288850776882734E-3</v>
      </c>
      <c r="BG70" s="47">
        <f>_xll.qlPolynomialFunctionValue(BG$1,$BD70,AllTriggers)</f>
        <v>1.2527150213115738E-3</v>
      </c>
      <c r="BH70" s="47">
        <f>_xll.qlPolynomialFunctionValue(BH$1,$BD70,AllTriggers)</f>
        <v>1.2704529364798785E-3</v>
      </c>
      <c r="BI70" s="47">
        <f>_xll.qlPolynomialFunctionValue(BI$1,$BD70,AllTriggers)</f>
        <v>7.611390691727709E-4</v>
      </c>
      <c r="BJ70" s="47">
        <f>_xll.qlPolynomialFunctionValue(BJ$1,$BD70,AllTriggers)</f>
        <v>1.1290809243718713E-3</v>
      </c>
      <c r="BK70" s="47">
        <f>_xll.qlPolynomialFunctionValue(BK$1,$BD70,AllTriggers)</f>
        <v>1.2529123901216491E-3</v>
      </c>
      <c r="BL70" s="47">
        <f>_xll.qlPolynomialFunctionValue(BL$1,$BD70,AllTriggers)</f>
        <v>1.270754366510305E-3</v>
      </c>
      <c r="BM70" s="47">
        <f>_xll.qlPolynomialFunctionValue(BM$1,$BD70,AllTriggers)</f>
        <v>1.1646207203426092E-3</v>
      </c>
      <c r="BN70" s="47">
        <f>_xll.qlPolynomialFunctionValue(BN$1,$BD70,AllTriggers)</f>
        <v>1.2241485226303726E-3</v>
      </c>
      <c r="BO70" s="47">
        <f>_xll.qlPolynomialFunctionValue(BO$1,$BD70,AllTriggers)</f>
        <v>1.1666561709278754E-3</v>
      </c>
      <c r="BP70" s="47">
        <f>_xll.qlPolynomialFunctionValue(BP$1,$BD70,AllTriggers)</f>
        <v>1.2754472680646227E-3</v>
      </c>
      <c r="BQ70" s="47">
        <f>_xll.qlPolynomialFunctionValue('3MSynthDepo_used'!$P$18,BD70,AllTriggers)</f>
        <v>1.1271433673634428E-3</v>
      </c>
    </row>
    <row r="71" spans="3:69" x14ac:dyDescent="0.2">
      <c r="C71" s="194"/>
      <c r="D71" s="194"/>
      <c r="K71" s="55"/>
      <c r="L71" s="55"/>
      <c r="M71" s="55"/>
      <c r="N71" s="55"/>
      <c r="S71" s="35"/>
      <c r="T71" s="35"/>
      <c r="BC71" s="178">
        <f>_xll.qlCalendarAdvance(Calendar,BC70,"1d","mf",,Trigger)</f>
        <v>42229</v>
      </c>
      <c r="BD71" s="41">
        <f>_xll.qlDayCounterYearFraction(DayCounter,SettlementDate,BC71,,,Trigger)</f>
        <v>0.25277777777777777</v>
      </c>
      <c r="BE71" s="47">
        <f>_xll.qlPolynomialFunctionValue(BE$1,$BD71,AllTriggers)</f>
        <v>7.5438640740188524E-4</v>
      </c>
      <c r="BF71" s="47">
        <f>_xll.qlPolynomialFunctionValue(BF$1,$BD71,AllTriggers)</f>
        <v>1.1539156005061606E-3</v>
      </c>
      <c r="BG71" s="47">
        <f>_xll.qlPolynomialFunctionValue(BG$1,$BD71,AllTriggers)</f>
        <v>1.2590949276206236E-3</v>
      </c>
      <c r="BH71" s="47">
        <f>_xll.qlPolynomialFunctionValue(BH$1,$BD71,AllTriggers)</f>
        <v>1.2741612510576365E-3</v>
      </c>
      <c r="BI71" s="47">
        <f>_xll.qlPolynomialFunctionValue(BI$1,$BD71,AllTriggers)</f>
        <v>7.5457848404048543E-4</v>
      </c>
      <c r="BJ71" s="47">
        <f>_xll.qlPolynomialFunctionValue(BJ$1,$BD71,AllTriggers)</f>
        <v>1.1541125881859918E-3</v>
      </c>
      <c r="BK71" s="47">
        <f>_xll.qlPolynomialFunctionValue(BK$1,$BD71,AllTriggers)</f>
        <v>1.2592932081722289E-3</v>
      </c>
      <c r="BL71" s="47">
        <f>_xll.qlPolynomialFunctionValue(BL$1,$BD71,AllTriggers)</f>
        <v>1.2744479196744787E-3</v>
      </c>
      <c r="BM71" s="47">
        <f>_xll.qlPolynomialFunctionValue(BM$1,$BD71,AllTriggers)</f>
        <v>1.1675391214160875E-3</v>
      </c>
      <c r="BN71" s="47">
        <f>_xll.qlPolynomialFunctionValue(BN$1,$BD71,AllTriggers)</f>
        <v>1.2243665062981253E-3</v>
      </c>
      <c r="BO71" s="47">
        <f>_xll.qlPolynomialFunctionValue(BO$1,$BD71,AllTriggers)</f>
        <v>1.1699988234565679E-3</v>
      </c>
      <c r="BP71" s="47">
        <f>_xll.qlPolynomialFunctionValue(BP$1,$BD71,AllTriggers)</f>
        <v>1.2750762053599959E-3</v>
      </c>
      <c r="BQ71" s="47">
        <f>_xll.qlPolynomialFunctionValue('3MSynthDepo_used'!$P$18,BD71,AllTriggers)</f>
        <v>1.1286594021625298E-3</v>
      </c>
    </row>
    <row r="72" spans="3:69" x14ac:dyDescent="0.2">
      <c r="C72" s="194"/>
      <c r="D72" s="194"/>
      <c r="K72" s="55"/>
      <c r="L72" s="55"/>
      <c r="M72" s="55"/>
      <c r="N72" s="55"/>
      <c r="S72" s="35"/>
      <c r="T72" s="35"/>
      <c r="BC72" s="182">
        <f>_xll.qlCalendarAdvance(Calendar,BC71,"1d","mf",,Trigger)</f>
        <v>42230</v>
      </c>
      <c r="BD72" s="44">
        <f>_xll.qlDayCounterYearFraction(DayCounter,SettlementDate,BC72,,,Trigger)</f>
        <v>0.25555555555555554</v>
      </c>
      <c r="BE72" s="50">
        <f>_xll.qlPolynomialFunctionValue(BE$1,$BD72,AllTriggers)</f>
        <v>7.4782506960276249E-4</v>
      </c>
      <c r="BF72" s="50">
        <f>_xll.qlPolynomialFunctionValue(BF$1,$BD72,AllTriggers)</f>
        <v>1.1797073729774695E-3</v>
      </c>
      <c r="BG72" s="50">
        <f>_xll.qlPolynomialFunctionValue(BG$1,$BD72,AllTriggers)</f>
        <v>1.2654748339296737E-3</v>
      </c>
      <c r="BH72" s="50">
        <f>_xll.qlPolynomialFunctionValue(BH$1,$BD72,AllTriggers)</f>
        <v>1.277760521074934E-3</v>
      </c>
      <c r="BI72" s="50">
        <f>_xll.qlPolynomialFunctionValue(BI$1,$BD72,AllTriggers)</f>
        <v>7.4801789890820006E-4</v>
      </c>
      <c r="BJ72" s="50">
        <f>_xll.qlPolynomialFunctionValue(BJ$1,$BD72,AllTriggers)</f>
        <v>1.1799055110108684E-3</v>
      </c>
      <c r="BK72" s="50">
        <f>_xll.qlPolynomialFunctionValue(BK$1,$BD72,AllTriggers)</f>
        <v>1.2656740262228085E-3</v>
      </c>
      <c r="BL72" s="50">
        <f>_xll.qlPolynomialFunctionValue(BL$1,$BD72,AllTriggers)</f>
        <v>1.2780317885575749E-3</v>
      </c>
      <c r="BM72" s="50">
        <f>_xll.qlPolynomialFunctionValue(BM$1,$BD72,AllTriggers)</f>
        <v>1.1704575224895655E-3</v>
      </c>
      <c r="BN72" s="50">
        <f>_xll.qlPolynomialFunctionValue(BN$1,$BD72,AllTriggers)</f>
        <v>1.224438114280255E-3</v>
      </c>
      <c r="BO72" s="50">
        <f>_xll.qlPolynomialFunctionValue(BO$1,$BD72,AllTriggers)</f>
        <v>1.1733414759852604E-3</v>
      </c>
      <c r="BP72" s="50">
        <f>_xll.qlPolynomialFunctionValue(BP$1,$BD72,AllTriggers)</f>
        <v>1.2744494657255848E-3</v>
      </c>
      <c r="BQ72" s="50">
        <f>_xll.qlPolynomialFunctionValue('3MSynthDepo_used'!$P$18,BD72,AllTriggers)</f>
        <v>1.1301678267675956E-3</v>
      </c>
    </row>
    <row r="73" spans="3:69" ht="11.25" customHeight="1" x14ac:dyDescent="0.2">
      <c r="C73" s="194"/>
      <c r="D73" s="194"/>
      <c r="K73" s="55"/>
      <c r="L73" s="55"/>
      <c r="M73" s="55"/>
      <c r="N73" s="55"/>
      <c r="S73" s="35"/>
      <c r="T73" s="35"/>
    </row>
    <row r="74" spans="3:69" x14ac:dyDescent="0.2">
      <c r="C74" s="194"/>
      <c r="D74" s="194"/>
      <c r="K74" s="55"/>
      <c r="L74" s="55"/>
      <c r="M74" s="55"/>
      <c r="N74" s="55"/>
      <c r="S74" s="35"/>
      <c r="T74" s="35"/>
    </row>
    <row r="75" spans="3:69" x14ac:dyDescent="0.2">
      <c r="C75" s="194"/>
      <c r="D75" s="194"/>
      <c r="K75" s="55"/>
      <c r="L75" s="55"/>
      <c r="M75" s="55"/>
      <c r="N75" s="55"/>
      <c r="S75" s="35"/>
      <c r="T75" s="35"/>
    </row>
    <row r="76" spans="3:69" x14ac:dyDescent="0.2">
      <c r="C76" s="194"/>
      <c r="D76" s="194"/>
      <c r="K76" s="55"/>
      <c r="L76" s="55"/>
      <c r="M76" s="55"/>
      <c r="N76" s="55"/>
      <c r="S76" s="35"/>
    </row>
    <row r="77" spans="3:69" x14ac:dyDescent="0.2">
      <c r="K77" s="55"/>
      <c r="L77" s="55"/>
      <c r="M77" s="55"/>
      <c r="N77" s="55"/>
      <c r="S77" s="35"/>
    </row>
    <row r="78" spans="3:69" x14ac:dyDescent="0.2">
      <c r="K78" s="55"/>
      <c r="L78" s="55"/>
      <c r="M78" s="55"/>
      <c r="N78" s="55"/>
    </row>
    <row r="79" spans="3:69" x14ac:dyDescent="0.2">
      <c r="K79" s="55"/>
      <c r="L79" s="55"/>
      <c r="M79" s="55"/>
      <c r="N79" s="55"/>
    </row>
    <row r="80" spans="3:69" x14ac:dyDescent="0.2">
      <c r="K80" s="55"/>
      <c r="L80" s="55"/>
      <c r="M80" s="55"/>
      <c r="N80" s="55"/>
      <c r="R80" s="34"/>
    </row>
    <row r="81" spans="8:19" x14ac:dyDescent="0.2">
      <c r="K81" s="55"/>
      <c r="L81" s="55"/>
      <c r="M81" s="55"/>
      <c r="N81" s="55"/>
      <c r="R81" s="34"/>
    </row>
    <row r="82" spans="8:19" x14ac:dyDescent="0.2">
      <c r="K82" s="55"/>
      <c r="L82" s="55"/>
      <c r="M82" s="55"/>
      <c r="N82" s="55"/>
      <c r="R82" s="34"/>
    </row>
    <row r="83" spans="8:19" x14ac:dyDescent="0.2">
      <c r="K83" s="55"/>
      <c r="L83" s="55"/>
      <c r="M83" s="55"/>
      <c r="N83" s="55"/>
      <c r="R83" s="34"/>
    </row>
    <row r="84" spans="8:19" x14ac:dyDescent="0.2">
      <c r="H84" s="35"/>
      <c r="K84" s="55"/>
      <c r="L84" s="55"/>
      <c r="M84" s="55"/>
      <c r="N84" s="55"/>
      <c r="R84" s="34"/>
    </row>
    <row r="85" spans="8:19" x14ac:dyDescent="0.2">
      <c r="K85" s="55"/>
      <c r="L85" s="55"/>
      <c r="M85" s="55"/>
      <c r="N85" s="55"/>
      <c r="R85" s="34"/>
    </row>
    <row r="86" spans="8:19" x14ac:dyDescent="0.2">
      <c r="K86" s="55"/>
      <c r="L86" s="55"/>
      <c r="M86" s="55"/>
      <c r="N86" s="55"/>
      <c r="R86" s="34"/>
      <c r="S86" s="34"/>
    </row>
    <row r="87" spans="8:19" x14ac:dyDescent="0.2">
      <c r="K87" s="55"/>
      <c r="L87" s="55"/>
      <c r="M87" s="55"/>
      <c r="N87" s="55"/>
      <c r="R87" s="34"/>
      <c r="S87" s="34"/>
    </row>
    <row r="88" spans="8:19" x14ac:dyDescent="0.2">
      <c r="K88" s="55"/>
      <c r="L88" s="55"/>
      <c r="M88" s="55"/>
      <c r="N88" s="55"/>
      <c r="R88" s="34"/>
      <c r="S88" s="34"/>
    </row>
    <row r="89" spans="8:19" x14ac:dyDescent="0.2">
      <c r="K89" s="55"/>
      <c r="L89" s="55"/>
      <c r="M89" s="55"/>
      <c r="N89" s="55"/>
      <c r="R89" s="34"/>
      <c r="S89" s="34"/>
    </row>
    <row r="90" spans="8:19" x14ac:dyDescent="0.2">
      <c r="K90" s="55"/>
      <c r="L90" s="55"/>
      <c r="M90" s="55"/>
      <c r="N90" s="55"/>
      <c r="R90" s="34"/>
      <c r="S90" s="34"/>
    </row>
    <row r="91" spans="8:19" x14ac:dyDescent="0.2">
      <c r="K91" s="55"/>
      <c r="L91" s="55"/>
      <c r="M91" s="55"/>
      <c r="N91" s="55"/>
      <c r="R91" s="34"/>
      <c r="S91" s="34"/>
    </row>
    <row r="92" spans="8:19" x14ac:dyDescent="0.2">
      <c r="K92" s="55"/>
      <c r="L92" s="55"/>
      <c r="M92" s="55"/>
      <c r="N92" s="55"/>
      <c r="R92" s="34"/>
      <c r="S92" s="34"/>
    </row>
    <row r="93" spans="8:19" x14ac:dyDescent="0.2">
      <c r="K93" s="55"/>
      <c r="L93" s="55"/>
      <c r="M93" s="55"/>
      <c r="N93" s="55"/>
      <c r="R93" s="34"/>
      <c r="S93" s="34"/>
    </row>
    <row r="94" spans="8:19" x14ac:dyDescent="0.2">
      <c r="K94" s="55"/>
      <c r="L94" s="55"/>
      <c r="M94" s="55"/>
      <c r="N94" s="55"/>
      <c r="R94" s="34"/>
      <c r="S94" s="34"/>
    </row>
    <row r="95" spans="8:19" x14ac:dyDescent="0.2">
      <c r="K95" s="55"/>
      <c r="L95" s="55"/>
      <c r="M95" s="55"/>
      <c r="N95" s="55"/>
      <c r="R95" s="34"/>
      <c r="S95" s="34"/>
    </row>
    <row r="96" spans="8:19" x14ac:dyDescent="0.2">
      <c r="K96" s="55"/>
      <c r="L96" s="55"/>
      <c r="M96" s="55"/>
      <c r="N96" s="55"/>
      <c r="R96" s="34"/>
      <c r="S96" s="34"/>
    </row>
    <row r="97" spans="11:19" x14ac:dyDescent="0.2">
      <c r="K97" s="55"/>
      <c r="L97" s="55"/>
      <c r="M97" s="55"/>
      <c r="N97" s="55"/>
      <c r="R97" s="34"/>
      <c r="S97" s="34"/>
    </row>
    <row r="98" spans="11:19" x14ac:dyDescent="0.2">
      <c r="K98" s="55"/>
      <c r="L98" s="55"/>
      <c r="M98" s="55"/>
      <c r="N98" s="55"/>
      <c r="R98" s="34"/>
      <c r="S98" s="34"/>
    </row>
    <row r="99" spans="11:19" x14ac:dyDescent="0.2">
      <c r="K99" s="55"/>
      <c r="L99" s="55"/>
      <c r="M99" s="55"/>
      <c r="N99" s="55"/>
      <c r="R99" s="34"/>
      <c r="S99" s="34"/>
    </row>
    <row r="100" spans="11:19" x14ac:dyDescent="0.2">
      <c r="K100" s="55"/>
      <c r="L100" s="55"/>
      <c r="M100" s="55"/>
      <c r="N100" s="55"/>
      <c r="R100" s="34"/>
      <c r="S100" s="34"/>
    </row>
    <row r="101" spans="11:19" x14ac:dyDescent="0.2">
      <c r="K101" s="55"/>
      <c r="L101" s="55"/>
      <c r="M101" s="55"/>
      <c r="N101" s="55"/>
      <c r="R101" s="34"/>
      <c r="S101" s="34"/>
    </row>
    <row r="102" spans="11:19" x14ac:dyDescent="0.2">
      <c r="K102" s="55"/>
      <c r="L102" s="55"/>
      <c r="M102" s="55"/>
      <c r="N102" s="55"/>
      <c r="R102" s="34"/>
      <c r="S102" s="34"/>
    </row>
    <row r="103" spans="11:19" x14ac:dyDescent="0.2">
      <c r="K103" s="55"/>
      <c r="L103" s="55"/>
      <c r="M103" s="55"/>
      <c r="N103" s="55"/>
      <c r="R103" s="34"/>
      <c r="S103" s="34"/>
    </row>
    <row r="104" spans="11:19" x14ac:dyDescent="0.2">
      <c r="K104" s="55"/>
      <c r="L104" s="55"/>
      <c r="M104" s="55"/>
      <c r="N104" s="55"/>
      <c r="R104" s="34"/>
      <c r="S104" s="34"/>
    </row>
    <row r="105" spans="11:19" x14ac:dyDescent="0.2">
      <c r="R105" s="34"/>
      <c r="S105" s="34"/>
    </row>
    <row r="106" spans="11:19" x14ac:dyDescent="0.2">
      <c r="R106" s="34"/>
      <c r="S106" s="34"/>
    </row>
    <row r="107" spans="11:19" x14ac:dyDescent="0.2">
      <c r="R107" s="34"/>
      <c r="S107" s="34"/>
    </row>
    <row r="108" spans="11:19" x14ac:dyDescent="0.2">
      <c r="R108" s="34"/>
      <c r="S108" s="34"/>
    </row>
    <row r="109" spans="11:19" x14ac:dyDescent="0.2">
      <c r="R109" s="34"/>
      <c r="S109" s="34"/>
    </row>
    <row r="110" spans="11:19" x14ac:dyDescent="0.2">
      <c r="R110" s="34"/>
      <c r="S110" s="34"/>
    </row>
    <row r="111" spans="11:19" x14ac:dyDescent="0.2">
      <c r="R111" s="34"/>
      <c r="S111" s="34"/>
    </row>
    <row r="112" spans="11:19" x14ac:dyDescent="0.2">
      <c r="R112" s="34"/>
      <c r="S112" s="34"/>
    </row>
    <row r="113" spans="18:19" x14ac:dyDescent="0.2">
      <c r="R113" s="34"/>
      <c r="S113" s="34"/>
    </row>
    <row r="114" spans="18:19" x14ac:dyDescent="0.2">
      <c r="R114" s="34"/>
      <c r="S114" s="34"/>
    </row>
    <row r="115" spans="18:19" x14ac:dyDescent="0.2">
      <c r="R115" s="34"/>
      <c r="S115" s="34"/>
    </row>
    <row r="116" spans="18:19" x14ac:dyDescent="0.2">
      <c r="R116" s="34"/>
      <c r="S116" s="34"/>
    </row>
    <row r="117" spans="18:19" x14ac:dyDescent="0.2">
      <c r="R117" s="34"/>
      <c r="S117" s="34"/>
    </row>
    <row r="118" spans="18:19" x14ac:dyDescent="0.2">
      <c r="R118" s="34"/>
      <c r="S118" s="34"/>
    </row>
    <row r="119" spans="18:19" x14ac:dyDescent="0.2">
      <c r="R119" s="34"/>
      <c r="S119" s="34"/>
    </row>
    <row r="120" spans="18:19" x14ac:dyDescent="0.2">
      <c r="R120" s="34"/>
      <c r="S120" s="34"/>
    </row>
    <row r="121" spans="18:19" x14ac:dyDescent="0.2">
      <c r="R121" s="34"/>
      <c r="S121" s="34"/>
    </row>
    <row r="122" spans="18:19" x14ac:dyDescent="0.2">
      <c r="R122" s="34"/>
      <c r="S122" s="34"/>
    </row>
    <row r="123" spans="18:19" x14ac:dyDescent="0.2">
      <c r="R123" s="34"/>
      <c r="S123" s="34"/>
    </row>
    <row r="124" spans="18:19" x14ac:dyDescent="0.2">
      <c r="R124" s="34"/>
      <c r="S124" s="34"/>
    </row>
    <row r="125" spans="18:19" x14ac:dyDescent="0.2">
      <c r="R125" s="34"/>
      <c r="S125" s="34"/>
    </row>
    <row r="126" spans="18:19" x14ac:dyDescent="0.2">
      <c r="R126" s="34"/>
      <c r="S126" s="34"/>
    </row>
    <row r="127" spans="18:19" x14ac:dyDescent="0.2">
      <c r="R127" s="34"/>
      <c r="S127" s="34"/>
    </row>
    <row r="128" spans="18:19" x14ac:dyDescent="0.2">
      <c r="R128" s="34"/>
      <c r="S128" s="34"/>
    </row>
    <row r="129" spans="18:19" x14ac:dyDescent="0.2">
      <c r="R129" s="34"/>
      <c r="S129" s="34"/>
    </row>
    <row r="130" spans="18:19" x14ac:dyDescent="0.2">
      <c r="R130" s="34"/>
      <c r="S130" s="34"/>
    </row>
    <row r="131" spans="18:19" x14ac:dyDescent="0.2">
      <c r="R131" s="34"/>
      <c r="S131" s="34"/>
    </row>
    <row r="132" spans="18:19" x14ac:dyDescent="0.2">
      <c r="R132" s="34"/>
      <c r="S132" s="34"/>
    </row>
    <row r="133" spans="18:19" x14ac:dyDescent="0.2">
      <c r="R133" s="35"/>
      <c r="S133" s="34"/>
    </row>
    <row r="134" spans="18:19" x14ac:dyDescent="0.2">
      <c r="R134" s="35"/>
      <c r="S134" s="34"/>
    </row>
    <row r="135" spans="18:19" x14ac:dyDescent="0.2">
      <c r="R135" s="35"/>
      <c r="S135" s="34"/>
    </row>
    <row r="136" spans="18:19" x14ac:dyDescent="0.2">
      <c r="R136" s="35"/>
      <c r="S136" s="34"/>
    </row>
    <row r="137" spans="18:19" x14ac:dyDescent="0.2">
      <c r="R137" s="35"/>
      <c r="S137" s="34"/>
    </row>
    <row r="138" spans="18:19" x14ac:dyDescent="0.2">
      <c r="R138" s="35"/>
      <c r="S138" s="34"/>
    </row>
    <row r="139" spans="18:19" x14ac:dyDescent="0.2">
      <c r="R139" s="35"/>
      <c r="S139" s="35"/>
    </row>
    <row r="140" spans="18:19" x14ac:dyDescent="0.2">
      <c r="R140" s="35"/>
      <c r="S140" s="35"/>
    </row>
    <row r="141" spans="18:19" x14ac:dyDescent="0.2">
      <c r="R141" s="35"/>
      <c r="S141" s="35"/>
    </row>
    <row r="142" spans="18:19" x14ac:dyDescent="0.2">
      <c r="R142" s="35"/>
      <c r="S142" s="35"/>
    </row>
    <row r="143" spans="18:19" x14ac:dyDescent="0.2">
      <c r="R143" s="35"/>
      <c r="S143" s="35"/>
    </row>
    <row r="144" spans="18:19" x14ac:dyDescent="0.2">
      <c r="R144" s="35"/>
      <c r="S144" s="35"/>
    </row>
    <row r="145" spans="18:19" x14ac:dyDescent="0.2">
      <c r="R145" s="35"/>
      <c r="S145" s="35"/>
    </row>
    <row r="146" spans="18:19" x14ac:dyDescent="0.2">
      <c r="R146" s="35"/>
      <c r="S146" s="35"/>
    </row>
    <row r="147" spans="18:19" x14ac:dyDescent="0.2">
      <c r="R147" s="35"/>
      <c r="S147" s="35"/>
    </row>
    <row r="148" spans="18:19" x14ac:dyDescent="0.2">
      <c r="R148" s="35"/>
      <c r="S148" s="35"/>
    </row>
    <row r="149" spans="18:19" x14ac:dyDescent="0.2">
      <c r="S149" s="35"/>
    </row>
    <row r="150" spans="18:19" x14ac:dyDescent="0.2">
      <c r="S150" s="35"/>
    </row>
    <row r="151" spans="18:19" x14ac:dyDescent="0.2">
      <c r="S151" s="35"/>
    </row>
    <row r="152" spans="18:19" x14ac:dyDescent="0.2">
      <c r="S152" s="35"/>
    </row>
    <row r="153" spans="18:19" x14ac:dyDescent="0.2">
      <c r="S153" s="35"/>
    </row>
    <row r="154" spans="18:19" x14ac:dyDescent="0.2">
      <c r="S154" s="35"/>
    </row>
  </sheetData>
  <mergeCells count="16">
    <mergeCell ref="AH5:AH6"/>
    <mergeCell ref="AJ5:AJ6"/>
    <mergeCell ref="AT5:AT6"/>
    <mergeCell ref="AV5:AV6"/>
    <mergeCell ref="AH9:AH10"/>
    <mergeCell ref="AJ9:AJ10"/>
    <mergeCell ref="AT9:AT10"/>
    <mergeCell ref="AV9:AV10"/>
    <mergeCell ref="AH14:AH16"/>
    <mergeCell ref="AJ14:AJ16"/>
    <mergeCell ref="AT14:AT16"/>
    <mergeCell ref="AV14:AV16"/>
    <mergeCell ref="AH19:AH21"/>
    <mergeCell ref="AJ19:AJ21"/>
    <mergeCell ref="AT19:AT21"/>
    <mergeCell ref="AV19:AV21"/>
  </mergeCells>
  <dataValidations count="4">
    <dataValidation type="list" allowBlank="1" showInputMessage="1" showErrorMessage="1" sqref="D27:D28">
      <formula1>"FIXING,ESTIMATED"</formula1>
    </dataValidation>
    <dataValidation type="list" allowBlank="1" showInputMessage="1" showErrorMessage="1" sqref="S15:V20 S4:V9 T10:W10">
      <formula1>"TRUE,FALSE"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3:T3 S14:T14">
      <formula1>"TRUE"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9" customWidth="1"/>
    <col min="2" max="2" width="2.33203125" style="19" customWidth="1"/>
    <col min="3" max="3" width="3.1640625" style="19" customWidth="1"/>
    <col min="4" max="4" width="23.1640625" style="19" customWidth="1"/>
    <col min="5" max="5" width="34.83203125" style="19" hidden="1" customWidth="1" outlineLevel="1"/>
    <col min="6" max="6" width="9.33203125" style="19" hidden="1" customWidth="1" outlineLevel="1"/>
    <col min="7" max="7" width="12.83203125" style="19" bestFit="1" customWidth="1" collapsed="1"/>
    <col min="8" max="8" width="12.83203125" style="19" customWidth="1"/>
    <col min="9" max="10" width="11.33203125" style="19" customWidth="1"/>
    <col min="11" max="12" width="9.33203125" style="19" bestFit="1" customWidth="1"/>
    <col min="13" max="13" width="8.1640625" style="19" bestFit="1" customWidth="1"/>
    <col min="14" max="14" width="2.83203125" style="19" customWidth="1"/>
    <col min="15" max="15" width="14.1640625" style="19" bestFit="1" customWidth="1"/>
    <col min="16" max="16" width="17.83203125" style="19" bestFit="1" customWidth="1"/>
    <col min="17" max="17" width="2.83203125" style="19" customWidth="1"/>
    <col min="18" max="18" width="12.83203125" style="19" bestFit="1" customWidth="1"/>
    <col min="19" max="19" width="9.33203125" style="19"/>
    <col min="20" max="20" width="9.33203125" style="19" hidden="1" customWidth="1" outlineLevel="1"/>
    <col min="21" max="21" width="9.33203125" style="19" collapsed="1"/>
    <col min="22" max="22" width="3.5" style="19" bestFit="1" customWidth="1"/>
    <col min="23" max="24" width="9.33203125" style="19"/>
    <col min="25" max="25" width="12.83203125" style="19" bestFit="1" customWidth="1"/>
    <col min="26" max="26" width="16.5" style="19" bestFit="1" customWidth="1"/>
    <col min="27" max="16384" width="9.33203125" style="19"/>
  </cols>
  <sheetData>
    <row r="1" spans="1:27" x14ac:dyDescent="0.2">
      <c r="G1" s="126" t="s">
        <v>49</v>
      </c>
      <c r="H1" s="127" t="s">
        <v>37</v>
      </c>
    </row>
    <row r="2" spans="1:27" ht="26.25" customHeight="1" x14ac:dyDescent="0.2">
      <c r="D2" s="36" t="str">
        <f>H1&amp;" Instruments"</f>
        <v>12M Instruments</v>
      </c>
      <c r="E2" s="36" t="s">
        <v>84</v>
      </c>
      <c r="F2" s="36" t="s">
        <v>85</v>
      </c>
      <c r="G2" s="36" t="s">
        <v>50</v>
      </c>
      <c r="H2" s="36" t="s">
        <v>96</v>
      </c>
      <c r="I2" s="36" t="str">
        <f>"F "&amp;H1</f>
        <v>F 12M</v>
      </c>
      <c r="J2" s="36" t="s">
        <v>56</v>
      </c>
      <c r="K2" s="36" t="s">
        <v>61</v>
      </c>
      <c r="L2" s="36" t="s">
        <v>83</v>
      </c>
      <c r="M2" s="36" t="s">
        <v>63</v>
      </c>
      <c r="N2" s="21"/>
      <c r="R2" s="36" t="s">
        <v>71</v>
      </c>
      <c r="S2" s="36" t="s">
        <v>98</v>
      </c>
      <c r="T2" s="36" t="s">
        <v>89</v>
      </c>
      <c r="U2" s="36" t="s">
        <v>97</v>
      </c>
    </row>
    <row r="3" spans="1:27" ht="11.25" customHeight="1" x14ac:dyDescent="0.2">
      <c r="A3" s="104">
        <v>0</v>
      </c>
      <c r="B3" s="105" t="s">
        <v>20</v>
      </c>
      <c r="C3" s="106" t="str">
        <f>SUBSTITUTE($H$1,"M","")</f>
        <v>12</v>
      </c>
      <c r="D3" s="108" t="str">
        <f>Currency&amp;A3&amp;B3&amp;C3&amp;"F"&amp;"_Estimated"</f>
        <v>EUR0x12F_Estimated</v>
      </c>
      <c r="E3" s="108" t="str">
        <f>_xll.qlSimpleQuote(UPPER("B"&amp;$H$1&amp;"_"&amp;A3&amp;B3&amp;C3&amp;"Estimated"),,,Permanent,Trigger,ObjectOverwrite)</f>
        <v>B12M_0X12ESTIMATED#0010</v>
      </c>
      <c r="F3" s="197" t="e">
        <f>_xll.qlSimpleQuoteSetValue(E3,L3,AllTriggers)</f>
        <v>#N/A</v>
      </c>
      <c r="G3" s="210">
        <f>SettlementDate</f>
        <v>42138</v>
      </c>
      <c r="H3" s="210">
        <f>_xll.qlInterestRateIndexMaturity(PROPER(Currency)&amp;"ibor1Y",G3)</f>
        <v>42506</v>
      </c>
      <c r="I3" s="107">
        <f>L3+$J$4</f>
        <v>1.7053762940233996E-3</v>
      </c>
      <c r="J3" s="89"/>
      <c r="K3" s="89"/>
      <c r="L3" s="66">
        <f>_xll.qlTenorBasisValue($P$3,G3,Trigger)</f>
        <v>2.9418922236715246E-3</v>
      </c>
      <c r="M3" s="89"/>
      <c r="N3" s="21"/>
      <c r="O3" s="192" t="s">
        <v>82</v>
      </c>
      <c r="P3" s="66" t="str">
        <f>'[2]1YSynthDepo'!TenorBasis12M</f>
        <v>obj_0086a#0004</v>
      </c>
      <c r="R3" s="211">
        <f>SettlementDate</f>
        <v>42138</v>
      </c>
      <c r="S3" s="52">
        <f>_xll.qlTenorBasisValue($P$3,R3,AllTriggers)</f>
        <v>2.9418922236715246E-3</v>
      </c>
      <c r="T3" s="46">
        <f>_xll.qlDayCounterYearFraction("actual/365 (fixed)",SettlementDate,R3,,,Trigger)</f>
        <v>0</v>
      </c>
      <c r="U3" s="52">
        <f>_xll.qlPolynomialFunctionValue($P$18,T3,AllTriggers)</f>
        <v>2.7335525109286095E-3</v>
      </c>
    </row>
    <row r="4" spans="1:27" ht="11.25" customHeight="1" x14ac:dyDescent="0.2">
      <c r="A4" s="104">
        <v>0</v>
      </c>
      <c r="B4" s="105" t="s">
        <v>20</v>
      </c>
      <c r="C4" s="106" t="s">
        <v>18</v>
      </c>
      <c r="D4" s="97" t="str">
        <f>PROPER(Currency&amp;IborType)&amp;C4&amp;"LastFixing"&amp;QuoteSuffix</f>
        <v>Euribor1YLastFixing_Quote</v>
      </c>
      <c r="E4" s="97" t="str">
        <f>_xll.qlSimpleQuote(UPPER("B"&amp;$H$1&amp;"_"&amp;A4&amp;B4&amp;C4&amp;"FIXING"),,,Permanent,Trigger,ObjectOverwrite)</f>
        <v>B12M_0X1YFIXING#0011</v>
      </c>
      <c r="F4" s="198" t="e">
        <f>_xll.qlSimpleQuoteSetValue(E4,K4,AllTriggers)</f>
        <v>#N/A</v>
      </c>
      <c r="G4" s="210">
        <f>SettlementDate</f>
        <v>42138</v>
      </c>
      <c r="H4" s="210">
        <f>_xll.qlInterestRateIndexMaturity(ON_12M_index,G4)</f>
        <v>42506</v>
      </c>
      <c r="I4" s="66">
        <f>_xll.qlQuoteValue(D4,LastFixingsTrigger)</f>
        <v>1.7100000000000812E-3</v>
      </c>
      <c r="J4" s="66">
        <f>_xll.qlIndexFixing(ON_12M_index,_xll.qlInterestRateIndexFixingDate(ON_6M_index,G4),,AllTriggers)</f>
        <v>-1.2365159296481251E-3</v>
      </c>
      <c r="K4" s="107">
        <f t="shared" ref="K4:K22" si="0">I4-J4</f>
        <v>2.9465159296482063E-3</v>
      </c>
      <c r="L4" s="62">
        <f>_xll.qlTenorBasisValue($P$3,G4,Trigger)</f>
        <v>2.9418922236715246E-3</v>
      </c>
      <c r="M4" s="63">
        <f>(K4-L4)*10000</f>
        <v>4.6237059766816684E-2</v>
      </c>
      <c r="N4" s="21"/>
      <c r="R4" s="212">
        <f>_xll.qlCalendarAdvance(Calendar,R3,"1D","f")</f>
        <v>42139</v>
      </c>
      <c r="S4" s="47">
        <f>_xll.qlTenorBasisValue($P$3,R4,AllTriggers)</f>
        <v>2.9427521872498106E-3</v>
      </c>
      <c r="T4" s="41">
        <f>_xll.qlDayCounterYearFraction("actual/365 (fixed)",SettlementDate,R4,,,Trigger)</f>
        <v>2.7397260273972603E-3</v>
      </c>
      <c r="U4" s="47">
        <f>_xll.qlPolynomialFunctionValue($P$18,T4,AllTriggers)</f>
        <v>2.7353392295528006E-3</v>
      </c>
    </row>
    <row r="5" spans="1:27" ht="11.25" customHeight="1" x14ac:dyDescent="0.2">
      <c r="A5" s="92">
        <v>1</v>
      </c>
      <c r="B5" s="93" t="s">
        <v>20</v>
      </c>
      <c r="C5" s="102">
        <f t="shared" ref="C5:C22" si="1">A5+SUBSTITUTE($H$1,"M","")</f>
        <v>13</v>
      </c>
      <c r="D5" s="98" t="str">
        <f t="shared" ref="D5:D22" si="2">Currency&amp;A5&amp;B5&amp;C5&amp;"F"&amp;QuoteSuffix</f>
        <v>EUR1x13F_Quote</v>
      </c>
      <c r="E5" s="98" t="str">
        <f>_xll.qlSimpleQuote(UPPER("B"&amp;$H$1&amp;"_"&amp;A5&amp;B5&amp;C5),,,Permanent,Trigger,ObjectOverwrite)</f>
        <v>B12M_1X13#0010</v>
      </c>
      <c r="F5" s="199" t="e">
        <f>_xll.qlSimpleQuoteSetValue(E5,K5,AllTriggers)</f>
        <v>#N/A</v>
      </c>
      <c r="G5" s="211">
        <f>_xll.qlCalendarAdvance("target",SettlementDate,A5&amp;"M","mf",,Trigger)</f>
        <v>42170</v>
      </c>
      <c r="H5" s="211">
        <f>_xll.qlInterestRateIndexMaturity(ON_12M_index,G5)</f>
        <v>42536</v>
      </c>
      <c r="I5" s="52">
        <f>_xll.qlQuoteValue(D5,AllTriggers)</f>
        <v>1.7099999999999999E-3</v>
      </c>
      <c r="J5" s="52">
        <f>_xll.qlIndexFixing(ON_12M_index,_xll.qlInterestRateIndexFixingDate(ON_6M_index,G5),,AllTriggers)</f>
        <v>-1.2594435636715971E-3</v>
      </c>
      <c r="K5" s="193">
        <f t="shared" si="0"/>
        <v>2.9694435636715968E-3</v>
      </c>
      <c r="L5" s="52">
        <f>_xll.qlTenorBasisValue($P$3,G5,Trigger)</f>
        <v>2.9674560728835853E-3</v>
      </c>
      <c r="M5" s="91">
        <f t="shared" ref="M5:M22" si="3">(K5-L5)*10000</f>
        <v>1.987490788011529E-2</v>
      </c>
      <c r="N5" s="21"/>
      <c r="O5" s="119" t="s">
        <v>94</v>
      </c>
      <c r="P5" s="120"/>
      <c r="Q5" s="20"/>
      <c r="R5" s="212">
        <f>_xll.qlCalendarAdvance(Calendar,R4,"1D","f")</f>
        <v>42142</v>
      </c>
      <c r="S5" s="47">
        <f>_xll.qlTenorBasisValue($P$3,R5,AllTriggers)</f>
        <v>2.9453076383270521E-3</v>
      </c>
      <c r="T5" s="41">
        <f>_xll.qlDayCounterYearFraction("actual/365 (fixed)",SettlementDate,R5,,,Trigger)</f>
        <v>1.0958904109589041E-2</v>
      </c>
      <c r="U5" s="47">
        <f>_xll.qlPolynomialFunctionValue($P$18,T5,AllTriggers)</f>
        <v>2.7406591423406765E-3</v>
      </c>
    </row>
    <row r="6" spans="1:27" ht="11.25" customHeight="1" x14ac:dyDescent="0.2">
      <c r="A6" s="94">
        <v>2</v>
      </c>
      <c r="B6" s="21" t="s">
        <v>20</v>
      </c>
      <c r="C6" s="101">
        <f t="shared" si="1"/>
        <v>14</v>
      </c>
      <c r="D6" s="99" t="str">
        <f t="shared" si="2"/>
        <v>EUR2x14F_Quote</v>
      </c>
      <c r="E6" s="99" t="str">
        <f>_xll.qlSimpleQuote(UPPER("B"&amp;$H$1&amp;"_"&amp;A6&amp;B6&amp;C6),,,Permanent,Trigger,ObjectOverwrite)</f>
        <v>B12M_2X14#0010</v>
      </c>
      <c r="F6" s="200" t="e">
        <f>_xll.qlSimpleQuoteSetValue(E6,K6,AllTriggers)</f>
        <v>#N/A</v>
      </c>
      <c r="G6" s="212">
        <f>_xll.qlCalendarAdvance("target",SettlementDate,A6&amp;"M","mf",,Trigger)</f>
        <v>42199</v>
      </c>
      <c r="H6" s="212">
        <f>_xll.qlInterestRateIndexMaturity(ON_12M_index,G6)</f>
        <v>42565</v>
      </c>
      <c r="I6" s="47">
        <f>_xll.qlQuoteValue(D6,AllTriggers)</f>
        <v>1.7299999999999998E-3</v>
      </c>
      <c r="J6" s="47">
        <f>_xll.qlIndexFixing(ON_12M_index,_xll.qlInterestRateIndexFixingDate(ON_6M_index,G6),,AllTriggers)</f>
        <v>-1.2604444096462185E-3</v>
      </c>
      <c r="K6" s="128">
        <f t="shared" si="0"/>
        <v>2.9904444096462181E-3</v>
      </c>
      <c r="L6" s="47">
        <f>_xll.qlTenorBasisValue($P$3,G6,Trigger)</f>
        <v>2.9873868103283191E-3</v>
      </c>
      <c r="M6" s="64">
        <f t="shared" si="3"/>
        <v>3.0575993178990138E-2</v>
      </c>
      <c r="N6" s="21"/>
      <c r="O6" s="192" t="s">
        <v>77</v>
      </c>
      <c r="P6" s="66">
        <f t="array" ref="P6:P10">_xll.qlTenorBasisCoefficients(P3)</f>
        <v>2.9418922236715246E-3</v>
      </c>
      <c r="Q6" s="20"/>
      <c r="R6" s="212">
        <f>_xll.qlCalendarAdvance(Calendar,R5,"1D","f")</f>
        <v>42143</v>
      </c>
      <c r="S6" s="47">
        <f>_xll.qlTenorBasisValue($P$3,R6,AllTriggers)</f>
        <v>2.9461513558622825E-3</v>
      </c>
      <c r="T6" s="41">
        <f>_xll.qlDayCounterYearFraction("actual/365 (fixed)",SettlementDate,R6,,,Trigger)</f>
        <v>1.3698630136986301E-2</v>
      </c>
      <c r="U6" s="47">
        <f>_xll.qlPolynomialFunctionValue($P$18,T6,AllTriggers)</f>
        <v>2.7424190793037583E-3</v>
      </c>
    </row>
    <row r="7" spans="1:27" ht="11.25" customHeight="1" x14ac:dyDescent="0.2">
      <c r="A7" s="94">
        <f>A6+1</f>
        <v>3</v>
      </c>
      <c r="B7" s="21" t="s">
        <v>20</v>
      </c>
      <c r="C7" s="101">
        <f t="shared" si="1"/>
        <v>15</v>
      </c>
      <c r="D7" s="99" t="str">
        <f t="shared" si="2"/>
        <v>EUR3x15F_Quote</v>
      </c>
      <c r="E7" s="99" t="str">
        <f>_xll.qlSimpleQuote(UPPER("B"&amp;$H$1&amp;"_"&amp;A7&amp;B7&amp;C7),,,Permanent,Trigger,ObjectOverwrite)</f>
        <v>B12M_3X15#0010</v>
      </c>
      <c r="F7" s="200" t="e">
        <f>_xll.qlSimpleQuoteSetValue(E7,K7,AllTriggers)</f>
        <v>#N/A</v>
      </c>
      <c r="G7" s="212">
        <f>_xll.qlCalendarAdvance("target",SettlementDate,A7&amp;"M","mf",,Trigger)</f>
        <v>42230</v>
      </c>
      <c r="H7" s="212">
        <f>_xll.qlInterestRateIndexMaturity(ON_12M_index,G7)</f>
        <v>42597</v>
      </c>
      <c r="I7" s="47">
        <f>_xll.qlQuoteValue(D7,AllTriggers)</f>
        <v>1.7499999999999998E-3</v>
      </c>
      <c r="J7" s="47">
        <f>_xll.qlIndexFixing(ON_12M_index,_xll.qlInterestRateIndexFixingDate(ON_6M_index,G7),,AllTriggers)</f>
        <v>-1.2471667222796272E-3</v>
      </c>
      <c r="K7" s="128">
        <f t="shared" si="0"/>
        <v>2.9971667222796271E-3</v>
      </c>
      <c r="L7" s="47">
        <f>_xll.qlTenorBasisValue($P$3,G7,Trigger)</f>
        <v>3.0056917527123118E-3</v>
      </c>
      <c r="M7" s="64">
        <f t="shared" si="3"/>
        <v>-8.5250304326846965E-2</v>
      </c>
      <c r="N7" s="21"/>
      <c r="O7" s="192" t="s">
        <v>78</v>
      </c>
      <c r="P7" s="66">
        <v>3.1463351452119581E-4</v>
      </c>
      <c r="Q7" s="20"/>
      <c r="R7" s="212">
        <f>_xll.qlCalendarAdvance(Calendar,R6,"1D","f")</f>
        <v>42144</v>
      </c>
      <c r="S7" s="47">
        <f>_xll.qlTenorBasisValue($P$3,R7,AllTriggers)</f>
        <v>2.9469910471832663E-3</v>
      </c>
      <c r="T7" s="41">
        <f>_xll.qlDayCounterYearFraction("actual/365 (fixed)",SettlementDate,R7,,,Trigger)</f>
        <v>1.643835616438356E-2</v>
      </c>
      <c r="U7" s="47">
        <f>_xll.qlPolynomialFunctionValue($P$18,T7,AllTriggers)</f>
        <v>2.7441723561480798E-3</v>
      </c>
    </row>
    <row r="8" spans="1:27" ht="11.25" customHeight="1" x14ac:dyDescent="0.2">
      <c r="A8" s="94">
        <f t="shared" ref="A8:A22" si="4">A7+1</f>
        <v>4</v>
      </c>
      <c r="B8" s="21" t="s">
        <v>20</v>
      </c>
      <c r="C8" s="101">
        <f t="shared" si="1"/>
        <v>16</v>
      </c>
      <c r="D8" s="99" t="str">
        <f t="shared" si="2"/>
        <v>EUR4x16F_Quote</v>
      </c>
      <c r="E8" s="99" t="str">
        <f>_xll.qlSimpleQuote(UPPER("B"&amp;$H$1&amp;"_"&amp;A8&amp;B8&amp;C8),,,Permanent,Trigger,ObjectOverwrite)</f>
        <v>B12M_4X16#0010</v>
      </c>
      <c r="F8" s="200" t="e">
        <f>_xll.qlSimpleQuoteSetValue(E8,K8,AllTriggers)</f>
        <v>#N/A</v>
      </c>
      <c r="G8" s="212">
        <f>_xll.qlCalendarAdvance("target",SettlementDate,A8&amp;"M","mf",,Trigger)</f>
        <v>42261</v>
      </c>
      <c r="H8" s="212">
        <f>_xll.qlInterestRateIndexMaturity(ON_12M_index,G8)</f>
        <v>42627</v>
      </c>
      <c r="I8" s="47">
        <f>_xll.qlQuoteValue(D8,AllTriggers)</f>
        <v>1.7699999999999999E-3</v>
      </c>
      <c r="J8" s="47">
        <f>_xll.qlIndexFixing(ON_12M_index,_xll.qlInterestRateIndexFixingDate(ON_6M_index,G8),,AllTriggers)</f>
        <v>-1.2314747437742455E-3</v>
      </c>
      <c r="K8" s="128">
        <f t="shared" si="0"/>
        <v>3.0014747437742454E-3</v>
      </c>
      <c r="L8" s="47">
        <f>_xll.qlTenorBasisValue($P$3,G8,Trigger)</f>
        <v>3.0213079175537903E-3</v>
      </c>
      <c r="M8" s="64">
        <f t="shared" si="3"/>
        <v>-0.19833173779544924</v>
      </c>
      <c r="N8" s="21"/>
      <c r="O8" s="192" t="s">
        <v>79</v>
      </c>
      <c r="P8" s="66">
        <v>-2.728985749762735E-4</v>
      </c>
      <c r="Q8" s="20"/>
      <c r="R8" s="212">
        <f>_xll.qlCalendarAdvance(Calendar,R7,"1D","f")</f>
        <v>42145</v>
      </c>
      <c r="S8" s="47">
        <f>_xll.qlTenorBasisValue($P$3,R8,AllTriggers)</f>
        <v>2.9478267264086092E-3</v>
      </c>
      <c r="T8" s="41">
        <f>_xll.qlDayCounterYearFraction("actual/365 (fixed)",SettlementDate,R8,,,Trigger)</f>
        <v>1.9178082191780823E-2</v>
      </c>
      <c r="U8" s="47">
        <f>_xll.qlPolynomialFunctionValue($P$18,T8,AllTriggers)</f>
        <v>2.7459189869922466E-3</v>
      </c>
    </row>
    <row r="9" spans="1:27" ht="11.25" customHeight="1" x14ac:dyDescent="0.2">
      <c r="A9" s="94">
        <f t="shared" si="4"/>
        <v>5</v>
      </c>
      <c r="B9" s="21" t="s">
        <v>20</v>
      </c>
      <c r="C9" s="101">
        <f t="shared" si="1"/>
        <v>17</v>
      </c>
      <c r="D9" s="99" t="str">
        <f t="shared" si="2"/>
        <v>EUR5x17F_Quote</v>
      </c>
      <c r="E9" s="99" t="str">
        <f>_xll.qlSimpleQuote(UPPER("B"&amp;$H$1&amp;"_"&amp;A9&amp;B9&amp;C9),,,Permanent,Trigger,ObjectOverwrite)</f>
        <v>B12M_5X17#0010</v>
      </c>
      <c r="F9" s="200" t="e">
        <f>_xll.qlSimpleQuoteSetValue(E9,K9,AllTriggers)</f>
        <v>#N/A</v>
      </c>
      <c r="G9" s="212">
        <f>_xll.qlCalendarAdvance("target",SettlementDate,A9&amp;"M","mf",,Trigger)</f>
        <v>42291</v>
      </c>
      <c r="H9" s="212">
        <f>_xll.qlInterestRateIndexMaturity(ON_12M_index,G9)</f>
        <v>42657</v>
      </c>
      <c r="I9" s="47">
        <f>_xll.qlQuoteValue(D9,AllTriggers)</f>
        <v>1.81E-3</v>
      </c>
      <c r="J9" s="47">
        <f>_xll.qlIndexFixing(ON_12M_index,_xll.qlInterestRateIndexFixingDate(ON_6M_index,G9),,AllTriggers)</f>
        <v>-1.2265923415604649E-3</v>
      </c>
      <c r="K9" s="128">
        <f t="shared" si="0"/>
        <v>3.0365923415604651E-3</v>
      </c>
      <c r="L9" s="47">
        <f>_xll.qlTenorBasisValue($P$3,G9,Trigger)</f>
        <v>3.0342564288947651E-3</v>
      </c>
      <c r="M9" s="64">
        <f t="shared" si="3"/>
        <v>2.3359126656999699E-2</v>
      </c>
      <c r="N9" s="21"/>
      <c r="O9" s="192" t="s">
        <v>80</v>
      </c>
      <c r="P9" s="66">
        <v>1.1442454200429657E-4</v>
      </c>
      <c r="Q9" s="20"/>
      <c r="R9" s="212">
        <f>_xll.qlCalendarAdvance(Calendar,R8,"1D","f")</f>
        <v>42146</v>
      </c>
      <c r="S9" s="47">
        <f>_xll.qlTenorBasisValue($P$3,R9,AllTriggers)</f>
        <v>2.9486584076569189E-3</v>
      </c>
      <c r="T9" s="41">
        <f>_xll.qlDayCounterYearFraction("actual/365 (fixed)",SettlementDate,R9,,,Trigger)</f>
        <v>2.1917808219178082E-2</v>
      </c>
      <c r="U9" s="47">
        <f>_xll.qlPolynomialFunctionValue($P$18,T9,AllTriggers)</f>
        <v>2.7476589859548664E-3</v>
      </c>
    </row>
    <row r="10" spans="1:27" ht="11.25" customHeight="1" x14ac:dyDescent="0.2">
      <c r="A10" s="94">
        <f t="shared" si="4"/>
        <v>6</v>
      </c>
      <c r="B10" s="21" t="s">
        <v>20</v>
      </c>
      <c r="C10" s="101">
        <f t="shared" si="1"/>
        <v>18</v>
      </c>
      <c r="D10" s="99" t="str">
        <f t="shared" si="2"/>
        <v>EUR6x18F_Quote</v>
      </c>
      <c r="E10" s="99" t="str">
        <f>_xll.qlSimpleQuote(UPPER("B"&amp;$H$1&amp;"_"&amp;A10&amp;B10&amp;C10),,,Permanent,Trigger,ObjectOverwrite)</f>
        <v>B12M_6X18#0010</v>
      </c>
      <c r="F10" s="200" t="e">
        <f>_xll.qlSimpleQuoteSetValue(E10,K10,AllTriggers)</f>
        <v>#N/A</v>
      </c>
      <c r="G10" s="212">
        <f>_xll.qlCalendarAdvance("target",SettlementDate,A10&amp;"M","mf",,Trigger)</f>
        <v>42324</v>
      </c>
      <c r="H10" s="212">
        <f>_xll.qlInterestRateIndexMaturity(ON_12M_index,G10)</f>
        <v>42690</v>
      </c>
      <c r="I10" s="47">
        <f>_xll.qlQuoteValue(D10,AllTriggers)</f>
        <v>1.8500000000000001E-3</v>
      </c>
      <c r="J10" s="47">
        <f>_xll.qlIndexFixing(ON_12M_index,_xll.qlInterestRateIndexFixingDate(ON_6M_index,G10),,AllTriggers)</f>
        <v>-1.2033029851947509E-3</v>
      </c>
      <c r="K10" s="128">
        <f t="shared" si="0"/>
        <v>3.0533029851947512E-3</v>
      </c>
      <c r="L10" s="47">
        <f>_xll.qlTenorBasisValue($P$3,G10,Trigger)</f>
        <v>3.0465013091154152E-3</v>
      </c>
      <c r="M10" s="64">
        <f t="shared" si="3"/>
        <v>6.8016760793360331E-2</v>
      </c>
      <c r="N10" s="21"/>
      <c r="O10" s="192" t="s">
        <v>81</v>
      </c>
      <c r="P10" s="66" t="e">
        <v>#N/A</v>
      </c>
      <c r="Q10" s="20"/>
      <c r="R10" s="212">
        <f>_xll.qlCalendarAdvance(Calendar,R9,"1D","f")</f>
        <v>42149</v>
      </c>
      <c r="S10" s="47">
        <f>_xll.qlTenorBasisValue($P$3,R10,AllTriggers)</f>
        <v>2.9511296047257107E-3</v>
      </c>
      <c r="T10" s="41">
        <f>_xll.qlDayCounterYearFraction("actual/365 (fixed)",SettlementDate,R10,,,Trigger)</f>
        <v>3.0136986301369864E-2</v>
      </c>
      <c r="U10" s="47">
        <f>_xll.qlPolynomialFunctionValue($P$18,T10,AllTriggers)</f>
        <v>2.7528393327395087E-3</v>
      </c>
    </row>
    <row r="11" spans="1:27" ht="11.25" customHeight="1" x14ac:dyDescent="0.2">
      <c r="A11" s="94">
        <f t="shared" si="4"/>
        <v>7</v>
      </c>
      <c r="B11" s="21" t="s">
        <v>20</v>
      </c>
      <c r="C11" s="101">
        <f t="shared" si="1"/>
        <v>19</v>
      </c>
      <c r="D11" s="99" t="str">
        <f t="shared" si="2"/>
        <v>EUR7x19F_Quote</v>
      </c>
      <c r="E11" s="99" t="str">
        <f>_xll.qlSimpleQuote(UPPER("B"&amp;$H$1&amp;"_"&amp;A11&amp;B11&amp;C11),,,Permanent,Trigger,ObjectOverwrite)</f>
        <v>B12M_7X19#0010</v>
      </c>
      <c r="F11" s="200" t="e">
        <f>_xll.qlSimpleQuoteSetValue(E11,K11,AllTriggers)</f>
        <v>#N/A</v>
      </c>
      <c r="G11" s="212">
        <f>_xll.qlCalendarAdvance("target",SettlementDate,A11&amp;"M","mf",,Trigger)</f>
        <v>42352</v>
      </c>
      <c r="H11" s="212">
        <f>_xll.qlInterestRateIndexMaturity(ON_12M_index,G11)</f>
        <v>42718</v>
      </c>
      <c r="I11" s="47">
        <f>_xll.qlQuoteValue(D11,AllTriggers)</f>
        <v>1.89E-3</v>
      </c>
      <c r="J11" s="47">
        <f>_xll.qlIndexFixing(ON_12M_index,_xll.qlInterestRateIndexFixingDate(ON_6M_index,G11),,AllTriggers)</f>
        <v>-1.17053295210175E-3</v>
      </c>
      <c r="K11" s="128">
        <f t="shared" si="0"/>
        <v>3.0605329521017502E-3</v>
      </c>
      <c r="L11" s="47">
        <f>_xll.qlTenorBasisValue($P$3,G11,Trigger)</f>
        <v>3.0556147915130768E-3</v>
      </c>
      <c r="M11" s="64">
        <f t="shared" si="3"/>
        <v>4.9181605886734585E-2</v>
      </c>
      <c r="N11" s="21"/>
      <c r="Q11" s="20"/>
      <c r="R11" s="212">
        <f>_xll.qlCalendarAdvance(Calendar,R10,"1D","f")</f>
        <v>42150</v>
      </c>
      <c r="S11" s="47">
        <f>_xll.qlTenorBasisValue($P$3,R11,AllTriggers)</f>
        <v>2.9519454352519518E-3</v>
      </c>
      <c r="T11" s="41">
        <f>_xll.qlDayCounterYearFraction("actual/365 (fixed)",SettlementDate,R11,,,Trigger)</f>
        <v>3.287671232876712E-2</v>
      </c>
      <c r="U11" s="47">
        <f>_xll.qlPolynomialFunctionValue($P$18,T11,AllTriggers)</f>
        <v>2.7545529453620061E-3</v>
      </c>
    </row>
    <row r="12" spans="1:27" ht="11.25" customHeight="1" x14ac:dyDescent="0.2">
      <c r="A12" s="94">
        <f t="shared" si="4"/>
        <v>8</v>
      </c>
      <c r="B12" s="21" t="s">
        <v>20</v>
      </c>
      <c r="C12" s="101">
        <f t="shared" si="1"/>
        <v>20</v>
      </c>
      <c r="D12" s="99" t="str">
        <f t="shared" si="2"/>
        <v>EUR8x20F_Quote</v>
      </c>
      <c r="E12" s="99" t="str">
        <f>_xll.qlSimpleQuote(UPPER("B"&amp;$H$1&amp;"_"&amp;A12&amp;B12&amp;C12),,,Permanent,Trigger,ObjectOverwrite)</f>
        <v>B12M_8X20#0009</v>
      </c>
      <c r="F12" s="200" t="e">
        <f>_xll.qlSimpleQuoteSetValue(E12,K12,AllTriggers)</f>
        <v>#N/A</v>
      </c>
      <c r="G12" s="212">
        <f>_xll.qlCalendarAdvance("target",SettlementDate,A12&amp;"M","mf",,Trigger)</f>
        <v>42383</v>
      </c>
      <c r="H12" s="212">
        <f>_xll.qlInterestRateIndexMaturity(ON_12M_index,G12)</f>
        <v>42751</v>
      </c>
      <c r="I12" s="47">
        <f>_xll.qlQuoteValue(D12,AllTriggers)</f>
        <v>1.97E-3</v>
      </c>
      <c r="J12" s="47">
        <f>_xll.qlIndexFixing(ON_12M_index,_xll.qlInterestRateIndexFixingDate(ON_6M_index,G12),,AllTriggers)</f>
        <v>-1.1011607709210513E-3</v>
      </c>
      <c r="K12" s="128">
        <f t="shared" si="0"/>
        <v>3.0711607709210513E-3</v>
      </c>
      <c r="L12" s="47">
        <f>_xll.qlTenorBasisValue($P$3,G12,Trigger)</f>
        <v>3.0647341533448715E-3</v>
      </c>
      <c r="M12" s="64">
        <f t="shared" si="3"/>
        <v>6.42661757617978E-2</v>
      </c>
      <c r="N12" s="21"/>
      <c r="O12" s="119" t="s">
        <v>95</v>
      </c>
      <c r="P12" s="120"/>
      <c r="Q12" s="20"/>
      <c r="R12" s="212">
        <f>_xll.qlCalendarAdvance(Calendar,R11,"1D","f")</f>
        <v>42151</v>
      </c>
      <c r="S12" s="47">
        <f>_xll.qlTenorBasisValue($P$3,R12,AllTriggers)</f>
        <v>2.9527573383941919E-3</v>
      </c>
      <c r="T12" s="41">
        <f>_xll.qlDayCounterYearFraction("actual/365 (fixed)",SettlementDate,R12,,,Trigger)</f>
        <v>3.5616438356164383E-2</v>
      </c>
      <c r="U12" s="47">
        <f>_xll.qlPolynomialFunctionValue($P$18,T12,AllTriggers)</f>
        <v>2.7562599966959901E-3</v>
      </c>
    </row>
    <row r="13" spans="1:27" ht="11.25" customHeight="1" x14ac:dyDescent="0.2">
      <c r="A13" s="94">
        <f t="shared" si="4"/>
        <v>9</v>
      </c>
      <c r="B13" s="21" t="s">
        <v>20</v>
      </c>
      <c r="C13" s="101">
        <f t="shared" si="1"/>
        <v>21</v>
      </c>
      <c r="D13" s="99" t="str">
        <f t="shared" si="2"/>
        <v>EUR9x21F_Quote</v>
      </c>
      <c r="E13" s="99" t="str">
        <f>_xll.qlSimpleQuote(UPPER("B"&amp;$H$1&amp;"_"&amp;A13&amp;B13&amp;C13),,,Permanent,Trigger,ObjectOverwrite)</f>
        <v>B12M_9X21#0009</v>
      </c>
      <c r="F13" s="200" t="e">
        <f>_xll.qlSimpleQuoteSetValue(E13,K13,AllTriggers)</f>
        <v>#N/A</v>
      </c>
      <c r="G13" s="212">
        <f>_xll.qlCalendarAdvance("target",SettlementDate,A13&amp;"M","mf",,Trigger)</f>
        <v>42415</v>
      </c>
      <c r="H13" s="212">
        <f>_xll.qlInterestRateIndexMaturity(ON_12M_index,G13)</f>
        <v>42781</v>
      </c>
      <c r="I13" s="47">
        <f>_xll.qlQuoteValue(D13,AllTriggers)</f>
        <v>2.0400000000000001E-3</v>
      </c>
      <c r="J13" s="47">
        <f>_xll.qlIndexFixing(ON_12M_index,_xll.qlInterestRateIndexFixingDate(ON_6M_index,G13),,AllTriggers)</f>
        <v>-1.0461047056561968E-3</v>
      </c>
      <c r="K13" s="128">
        <f t="shared" si="0"/>
        <v>3.0861047056561968E-3</v>
      </c>
      <c r="L13" s="47">
        <f>_xll.qlTenorBasisValue($P$3,G13,Trigger)</f>
        <v>3.0735095813585879E-3</v>
      </c>
      <c r="M13" s="64">
        <f t="shared" si="3"/>
        <v>0.12595124297608892</v>
      </c>
      <c r="N13" s="21"/>
      <c r="O13" s="192" t="s">
        <v>77</v>
      </c>
      <c r="P13" s="66">
        <f t="array" ref="P13:P17">_xll.qlTenorInstCoefficients(P3)</f>
        <v>2.7335525109286095E-3</v>
      </c>
      <c r="Q13" s="20"/>
      <c r="R13" s="212">
        <f>_xll.qlCalendarAdvance(Calendar,R12,"1D","f")</f>
        <v>42152</v>
      </c>
      <c r="S13" s="47">
        <f>_xll.qlTenorBasisValue($P$3,R13,AllTriggers)</f>
        <v>2.9535653282710397E-3</v>
      </c>
      <c r="T13" s="41">
        <f>_xll.qlDayCounterYearFraction("actual/365 (fixed)",SettlementDate,R13,,,Trigger)</f>
        <v>3.8356164383561646E-2</v>
      </c>
      <c r="U13" s="47">
        <f>_xll.qlPolynomialFunctionValue($P$18,T13,AllTriggers)</f>
        <v>2.7579605008600668E-3</v>
      </c>
    </row>
    <row r="14" spans="1:27" ht="11.25" customHeight="1" thickBot="1" x14ac:dyDescent="0.25">
      <c r="A14" s="94">
        <f t="shared" si="4"/>
        <v>10</v>
      </c>
      <c r="B14" s="21" t="s">
        <v>20</v>
      </c>
      <c r="C14" s="101">
        <f t="shared" si="1"/>
        <v>22</v>
      </c>
      <c r="D14" s="99" t="str">
        <f t="shared" si="2"/>
        <v>EUR10x22F_Quote</v>
      </c>
      <c r="E14" s="99" t="str">
        <f>_xll.qlSimpleQuote(UPPER("B"&amp;$H$1&amp;"_"&amp;A14&amp;B14&amp;C14),,,Permanent,Trigger,ObjectOverwrite)</f>
        <v>B12M_10X22#0009</v>
      </c>
      <c r="F14" s="200" t="e">
        <f>_xll.qlSimpleQuoteSetValue(E14,K14,AllTriggers)</f>
        <v>#N/A</v>
      </c>
      <c r="G14" s="212">
        <f>_xll.qlCalendarAdvance("target",SettlementDate,A14&amp;"M","mf",,Trigger)</f>
        <v>42443</v>
      </c>
      <c r="H14" s="212">
        <f>_xll.qlInterestRateIndexMaturity(ON_12M_index,G14)</f>
        <v>42808</v>
      </c>
      <c r="I14" s="47">
        <f>_xll.qlQuoteValue(D14,AllTriggers)</f>
        <v>2.1000000000000003E-3</v>
      </c>
      <c r="J14" s="47">
        <f>_xll.qlIndexFixing(ON_12M_index,_xll.qlInterestRateIndexFixingDate(ON_6M_index,G14),,AllTriggers)</f>
        <v>-9.7598282353297784E-4</v>
      </c>
      <c r="K14" s="128">
        <f t="shared" si="0"/>
        <v>3.075982823532978E-3</v>
      </c>
      <c r="L14" s="47">
        <f>_xll.qlTenorBasisValue($P$3,G14,Trigger)</f>
        <v>3.0810160673185572E-3</v>
      </c>
      <c r="M14" s="64">
        <f t="shared" si="3"/>
        <v>-5.0332437855791709E-2</v>
      </c>
      <c r="N14" s="21"/>
      <c r="O14" s="192" t="s">
        <v>78</v>
      </c>
      <c r="P14" s="66">
        <v>6.5337979385029794E-4</v>
      </c>
      <c r="Q14" s="20"/>
      <c r="R14" s="212">
        <f>_xll.qlCalendarAdvance(Calendar,R13,"1D","f")</f>
        <v>42153</v>
      </c>
      <c r="S14" s="47">
        <f>_xll.qlTenorBasisValue($P$3,R14,AllTriggers)</f>
        <v>2.9543694190010991E-3</v>
      </c>
      <c r="T14" s="41">
        <f>_xll.qlDayCounterYearFraction("actual/365 (fixed)",SettlementDate,R14,,,Trigger)</f>
        <v>4.1095890410958902E-2</v>
      </c>
      <c r="U14" s="47">
        <f>_xll.qlPolynomialFunctionValue($P$18,T14,AllTriggers)</f>
        <v>2.7596544719728422E-3</v>
      </c>
      <c r="W14" s="36"/>
      <c r="X14" s="36" t="s">
        <v>49</v>
      </c>
      <c r="Y14" s="36" t="s">
        <v>38</v>
      </c>
      <c r="Z14" s="36" t="s">
        <v>39</v>
      </c>
      <c r="AA14" s="204" t="s">
        <v>93</v>
      </c>
    </row>
    <row r="15" spans="1:27" ht="11.25" customHeight="1" x14ac:dyDescent="0.2">
      <c r="A15" s="94">
        <f t="shared" si="4"/>
        <v>11</v>
      </c>
      <c r="B15" s="21" t="s">
        <v>20</v>
      </c>
      <c r="C15" s="101">
        <f t="shared" si="1"/>
        <v>23</v>
      </c>
      <c r="D15" s="99" t="str">
        <f t="shared" si="2"/>
        <v>EUR11x23F_Quote</v>
      </c>
      <c r="E15" s="99" t="str">
        <f>_xll.qlSimpleQuote(UPPER("B"&amp;$H$1&amp;"_"&amp;A15&amp;B15&amp;C15),,,Permanent,Trigger,ObjectOverwrite)</f>
        <v>B12M_11X23#0009</v>
      </c>
      <c r="F15" s="200" t="e">
        <f>_xll.qlSimpleQuoteSetValue(E15,K15,AllTriggers)</f>
        <v>#N/A</v>
      </c>
      <c r="G15" s="212">
        <f>_xll.qlCalendarAdvance("target",SettlementDate,A15&amp;"M","mf",,Trigger)</f>
        <v>42474</v>
      </c>
      <c r="H15" s="212">
        <f>_xll.qlInterestRateIndexMaturity(ON_12M_index,G15)</f>
        <v>42843</v>
      </c>
      <c r="I15" s="47">
        <f>_xll.qlQuoteValue(D15,AllTriggers)</f>
        <v>2.2100000000000002E-3</v>
      </c>
      <c r="J15" s="47">
        <f>_xll.qlIndexFixing(ON_12M_index,_xll.qlInterestRateIndexFixingDate(ON_6M_index,G15),,AllTriggers)</f>
        <v>-8.789093958863829E-4</v>
      </c>
      <c r="K15" s="128">
        <f t="shared" si="0"/>
        <v>3.0889093958863831E-3</v>
      </c>
      <c r="L15" s="47">
        <f>_xll.qlTenorBasisValue($P$3,G15,Trigger)</f>
        <v>3.0895311979118076E-3</v>
      </c>
      <c r="M15" s="64">
        <f t="shared" si="3"/>
        <v>-6.2180202542450047E-3</v>
      </c>
      <c r="N15" s="21"/>
      <c r="O15" s="192" t="s">
        <v>79</v>
      </c>
      <c r="P15" s="66">
        <v>-4.4834953938286158E-4</v>
      </c>
      <c r="Q15" s="20"/>
      <c r="R15" s="212">
        <f>_xll.qlCalendarAdvance(Calendar,R14,"1D","f")</f>
        <v>42156</v>
      </c>
      <c r="S15" s="47">
        <f>_xll.qlTenorBasisValue($P$3,R15,AllTriggers)</f>
        <v>2.9567584374966234E-3</v>
      </c>
      <c r="T15" s="41">
        <f>_xll.qlDayCounterYearFraction("actual/365 (fixed)",SettlementDate,R15,,,Trigger)</f>
        <v>4.9315068493150684E-2</v>
      </c>
      <c r="U15" s="47">
        <f>_xll.qlPolynomialFunctionValue($P$18,T15,AllTriggers)</f>
        <v>2.7646973281894335E-3</v>
      </c>
      <c r="W15" s="45">
        <v>0</v>
      </c>
      <c r="X15" s="45" t="s">
        <v>25</v>
      </c>
      <c r="Y15" s="175">
        <f>_xll.qlCalendarAdvance(Calendar,SettlementDate,W15&amp;"M","mf",TRUE,Trigger)</f>
        <v>42138</v>
      </c>
      <c r="Z15" s="245">
        <f>_xll.qlCalendarAdvance(Calendar,SettlementDate,X15,"Following",,Trigger)</f>
        <v>42139</v>
      </c>
      <c r="AA15" s="205">
        <f>_xll.qlTenorBasisForwardRate2(TenorBasis6M,Y15,Z15,AllTriggers)</f>
        <v>1.7069827783267044E-3</v>
      </c>
    </row>
    <row r="16" spans="1:27" ht="11.25" customHeight="1" x14ac:dyDescent="0.2">
      <c r="A16" s="95">
        <f t="shared" si="4"/>
        <v>12</v>
      </c>
      <c r="B16" s="96" t="s">
        <v>20</v>
      </c>
      <c r="C16" s="103">
        <f t="shared" si="1"/>
        <v>24</v>
      </c>
      <c r="D16" s="100" t="str">
        <f t="shared" si="2"/>
        <v>EUR12x24F_Quote</v>
      </c>
      <c r="E16" s="100" t="str">
        <f>_xll.qlSimpleQuote(UPPER("B"&amp;$H$1&amp;"_"&amp;A16&amp;B16&amp;C16),,,Permanent,Trigger,ObjectOverwrite)</f>
        <v>B12M_12X24#0009</v>
      </c>
      <c r="F16" s="201" t="e">
        <f>_xll.qlSimpleQuoteSetValue(E16,K16,AllTriggers)</f>
        <v>#N/A</v>
      </c>
      <c r="G16" s="213">
        <f>_xll.qlCalendarAdvance("target",SettlementDate,A16&amp;"M","mf",,Trigger)</f>
        <v>42506</v>
      </c>
      <c r="H16" s="213">
        <f>_xll.qlInterestRateIndexMaturity(ON_12M_index,G16)</f>
        <v>42871</v>
      </c>
      <c r="I16" s="50">
        <f>_xll.qlQuoteValue(D16,AllTriggers)</f>
        <v>2.31E-3</v>
      </c>
      <c r="J16" s="50">
        <f>_xll.qlIndexFixing(ON_12M_index,_xll.qlInterestRateIndexFixingDate(ON_6M_index,G16),,AllTriggers)</f>
        <v>-7.7971426641719639E-4</v>
      </c>
      <c r="K16" s="115">
        <f t="shared" si="0"/>
        <v>3.0897142664171964E-3</v>
      </c>
      <c r="L16" s="50">
        <f>_xll.qlTenorBasisValue($P$3,G16,Trigger)</f>
        <v>3.0989779749105713E-3</v>
      </c>
      <c r="M16" s="65">
        <f t="shared" si="3"/>
        <v>-9.2637084933748851E-2</v>
      </c>
      <c r="N16" s="21"/>
      <c r="O16" s="192" t="s">
        <v>80</v>
      </c>
      <c r="P16" s="66">
        <v>1.1442454200429659E-4</v>
      </c>
      <c r="Q16" s="20"/>
      <c r="R16" s="212">
        <f>_xll.qlCalendarAdvance(Calendar,R15,"1D","f")</f>
        <v>42157</v>
      </c>
      <c r="S16" s="47">
        <f>_xll.qlTenorBasisValue($P$3,R16,AllTriggers)</f>
        <v>2.9575470728256028E-3</v>
      </c>
      <c r="T16" s="41">
        <f>_xll.qlDayCounterYearFraction("actual/365 (fixed)",SettlementDate,R16,,,Trigger)</f>
        <v>5.2054794520547946E-2</v>
      </c>
      <c r="U16" s="47">
        <f>_xll.qlPolynomialFunctionValue($P$18,T16,AllTriggers)</f>
        <v>2.7663653082830742E-3</v>
      </c>
      <c r="W16" s="48">
        <v>0</v>
      </c>
      <c r="X16" s="48" t="s">
        <v>26</v>
      </c>
      <c r="Y16" s="177">
        <f>_xll.qlCalendarAdvance(Calendar,SettlementDate,W16&amp;"M","mf",TRUE,Trigger)</f>
        <v>42138</v>
      </c>
      <c r="Z16" s="246">
        <f>_xll.qlCalendarAdvance(Calendar,SettlementDate,X16,"Following",,Trigger)</f>
        <v>42145</v>
      </c>
      <c r="AA16" s="206">
        <f>_xll.qlTenorBasisForwardRate2(TenorBasis6M,Y16,Z16,AllTriggers)</f>
        <v>1.712251004639041E-3</v>
      </c>
    </row>
    <row r="17" spans="1:27" ht="11.25" customHeight="1" x14ac:dyDescent="0.2">
      <c r="A17" s="94">
        <v>24</v>
      </c>
      <c r="B17" s="21" t="s">
        <v>20</v>
      </c>
      <c r="C17" s="101">
        <f t="shared" si="1"/>
        <v>36</v>
      </c>
      <c r="D17" s="281" t="str">
        <f t="shared" si="2"/>
        <v>EUR24x36F_Quote</v>
      </c>
      <c r="E17" s="100" t="str">
        <f>_xll.qlSimpleQuote(UPPER("B"&amp;$H$1&amp;"_"&amp;A17&amp;B17&amp;C17),,,Permanent,Trigger,ObjectOverwrite)</f>
        <v>B12M_24X36#0010</v>
      </c>
      <c r="F17" s="201" t="e">
        <f>_xll.qlSimpleQuoteSetValue(E17,K17,AllTriggers)</f>
        <v>#N/A</v>
      </c>
      <c r="G17" s="213">
        <f>_xll.qlCalendarAdvance("target",SettlementDate,A17&amp;"M","mf",,Trigger)</f>
        <v>42870</v>
      </c>
      <c r="H17" s="213">
        <f>_xll.qlInterestRateIndexMaturity(ON_12M_index,G17)</f>
        <v>43235</v>
      </c>
      <c r="I17" s="50">
        <f>_xll.qlQuoteValue(D17,AllTriggers)</f>
        <v>4.3799999999999993E-3</v>
      </c>
      <c r="J17" s="50">
        <f>_xll.qlIndexFixing(ON_12M_index,_xll.qlInterestRateIndexFixingDate(ON_6M_index,G17),,AllTriggers)</f>
        <v>9.8122881164943473E-4</v>
      </c>
      <c r="K17" s="115">
        <f t="shared" si="0"/>
        <v>3.3987711883505644E-3</v>
      </c>
      <c r="L17" s="50">
        <f>_xll.qlTenorBasisValue($P$3,G17,Trigger)</f>
        <v>3.3982402133488866E-3</v>
      </c>
      <c r="M17" s="65">
        <f t="shared" si="3"/>
        <v>5.309750016778067E-3</v>
      </c>
      <c r="N17" s="21"/>
      <c r="O17" s="192" t="s">
        <v>81</v>
      </c>
      <c r="P17" s="66" t="e">
        <v>#N/A</v>
      </c>
      <c r="Q17" s="20"/>
      <c r="R17" s="212">
        <f>_xll.qlCalendarAdvance(Calendar,R16,"1D","f")</f>
        <v>42158</v>
      </c>
      <c r="S17" s="47">
        <f>_xll.qlTenorBasisValue($P$3,R17,AllTriggers)</f>
        <v>2.9583318796008277E-3</v>
      </c>
      <c r="T17" s="41">
        <f>_xll.qlDayCounterYearFraction("actual/365 (fixed)",SettlementDate,R17,,,Trigger)</f>
        <v>5.4794520547945202E-2</v>
      </c>
      <c r="U17" s="47">
        <f>_xll.qlPolynomialFunctionValue($P$18,T17,AllTriggers)</f>
        <v>2.768026825918448E-3</v>
      </c>
      <c r="W17" s="48">
        <v>0</v>
      </c>
      <c r="X17" s="48" t="s">
        <v>27</v>
      </c>
      <c r="Y17" s="177">
        <f>_xll.qlCalendarAdvance(Calendar,SettlementDate,W17&amp;"M","mf",TRUE,Trigger)</f>
        <v>42138</v>
      </c>
      <c r="Z17" s="246">
        <f>_xll.qlCalendarAdvance(Calendar,SettlementDate,X17,"Following",,Trigger)</f>
        <v>42152</v>
      </c>
      <c r="AA17" s="206">
        <f>_xll.qlTenorBasisForwardRate2(TenorBasis6M,Y17,Z17,AllTriggers)</f>
        <v>1.7082875361142311E-3</v>
      </c>
    </row>
    <row r="18" spans="1:27" ht="11.25" customHeight="1" x14ac:dyDescent="0.2">
      <c r="G18" s="60"/>
      <c r="H18" s="60"/>
      <c r="I18" s="35"/>
      <c r="J18" s="35"/>
      <c r="K18" s="35"/>
      <c r="L18" s="21"/>
      <c r="M18" s="21"/>
      <c r="N18" s="21"/>
      <c r="O18" s="192" t="s">
        <v>99</v>
      </c>
      <c r="P18" s="66" t="str">
        <f>_xll.qlPolynomialFunction(,_xll.ohPack(P13:P17),,Trigger)</f>
        <v>obj_00920#0013</v>
      </c>
      <c r="Q18" s="20"/>
      <c r="R18" s="212">
        <f>_xll.qlCalendarAdvance(Calendar,R17,"1D","f")</f>
        <v>42159</v>
      </c>
      <c r="S18" s="47">
        <f>_xll.qlTenorBasisValue($P$3,R18,AllTriggers)</f>
        <v>2.9591128719409065E-3</v>
      </c>
      <c r="T18" s="41">
        <f>_xll.qlDayCounterYearFraction("actual/365 (fixed)",SettlementDate,R18,,,Trigger)</f>
        <v>5.7534246575342465E-2</v>
      </c>
      <c r="U18" s="47">
        <f>_xll.qlPolynomialFunctionValue($P$18,T18,AllTriggers)</f>
        <v>2.7696818952141614E-3</v>
      </c>
      <c r="W18" s="48">
        <v>0</v>
      </c>
      <c r="X18" s="48" t="s">
        <v>28</v>
      </c>
      <c r="Y18" s="177">
        <f>_xll.qlCalendarAdvance(Calendar,SettlementDate,W18&amp;"M","mf",TRUE,Trigger)</f>
        <v>42138</v>
      </c>
      <c r="Z18" s="282">
        <f>_xll.qlCalendarAdvance(Calendar,SettlementDate,X18,"Following",,Trigger)</f>
        <v>42159</v>
      </c>
      <c r="AA18" s="283">
        <f>_xll.qlTenorBasisForwardRate2(TenorBasis6M,Y18,Z18,AllTriggers)</f>
        <v>1.7942316091915497E-3</v>
      </c>
    </row>
    <row r="19" spans="1:27" ht="11.25" customHeight="1" x14ac:dyDescent="0.2">
      <c r="G19" s="60"/>
      <c r="H19" s="60"/>
      <c r="I19" s="35"/>
      <c r="J19" s="35"/>
      <c r="K19" s="35"/>
      <c r="L19" s="21"/>
      <c r="M19" s="21"/>
      <c r="N19" s="21"/>
      <c r="Q19" s="20"/>
      <c r="R19" s="212">
        <f>_xll.qlCalendarAdvance(Calendar,R18,"1D","f")</f>
        <v>42160</v>
      </c>
      <c r="S19" s="47">
        <f>_xll.qlTenorBasisValue($P$3,R19,AllTriggers)</f>
        <v>2.9598900639644442E-3</v>
      </c>
      <c r="T19" s="41">
        <f>_xll.qlDayCounterYearFraction("actual/365 (fixed)",SettlementDate,R19,,,Trigger)</f>
        <v>6.0273972602739728E-2</v>
      </c>
      <c r="U19" s="47">
        <f>_xll.qlPolynomialFunctionValue($P$18,T19,AllTriggers)</f>
        <v>2.7713305302888209E-3</v>
      </c>
      <c r="W19" s="129">
        <v>0</v>
      </c>
      <c r="X19" s="129" t="s">
        <v>22</v>
      </c>
      <c r="Y19" s="179">
        <f>_xll.qlCalendarAdvance(Calendar,SettlementDate,W19&amp;"M","mf",TRUE,Trigger)</f>
        <v>42138</v>
      </c>
      <c r="Z19" s="284">
        <f>_xll.qlCalendarAdvance(Calendar,SettlementDate,X19,"mf",TRUE,Trigger)</f>
        <v>42170</v>
      </c>
      <c r="AA19" s="207">
        <f>_xll.qlTenorBasisForwardRate2(TenorBasis6M,Y19,Z19,AllTriggers)</f>
        <v>1.7311454575916208E-3</v>
      </c>
    </row>
    <row r="20" spans="1:27" ht="11.25" customHeight="1" x14ac:dyDescent="0.2">
      <c r="G20" s="60"/>
      <c r="H20" s="60"/>
      <c r="I20" s="35"/>
      <c r="J20" s="35"/>
      <c r="K20" s="35"/>
      <c r="L20" s="21"/>
      <c r="M20" s="21"/>
      <c r="N20" s="21"/>
      <c r="Q20" s="20"/>
      <c r="R20" s="212">
        <f>_xll.qlCalendarAdvance(Calendar,R19,"1D","f")</f>
        <v>42163</v>
      </c>
      <c r="S20" s="47">
        <f>_xll.qlTenorBasisValue($P$3,R20,AllTriggers)</f>
        <v>2.962198979321885E-3</v>
      </c>
      <c r="T20" s="41">
        <f>_xll.qlDayCounterYearFraction("actual/365 (fixed)",SettlementDate,R20,,,Trigger)</f>
        <v>6.8493150684931503E-2</v>
      </c>
      <c r="U20" s="47">
        <f>_xll.qlPolynomialFunctionValue($P$18,T20,AllTriggers)</f>
        <v>2.776237971372544E-3</v>
      </c>
      <c r="W20" s="48">
        <v>0</v>
      </c>
      <c r="X20" s="48" t="s">
        <v>29</v>
      </c>
      <c r="Y20" s="177">
        <f>_xll.qlCalendarAdvance(Calendar,SettlementDate,W20&amp;"M","mf",TRUE,Trigger)</f>
        <v>42138</v>
      </c>
      <c r="Z20" s="246">
        <f>_xll.qlCalendarAdvance(Calendar,SettlementDate,X20,"mf",TRUE,Trigger)</f>
        <v>42199</v>
      </c>
      <c r="AA20" s="206">
        <f>_xll.qlTenorBasisForwardRate2(TenorBasis6M,Y20,Z20,AllTriggers)</f>
        <v>1.6884501010781382E-3</v>
      </c>
    </row>
    <row r="21" spans="1:27" ht="11.25" customHeight="1" x14ac:dyDescent="0.2">
      <c r="G21" s="60"/>
      <c r="H21" s="60"/>
      <c r="I21" s="35"/>
      <c r="J21" s="35"/>
      <c r="K21" s="35"/>
      <c r="L21" s="21"/>
      <c r="M21" s="21"/>
      <c r="N21" s="21"/>
      <c r="Q21" s="20"/>
      <c r="R21" s="212">
        <f>_xll.qlCalendarAdvance(Calendar,R20,"1D","f")</f>
        <v>42164</v>
      </c>
      <c r="S21" s="47">
        <f>_xll.qlTenorBasisValue($P$3,R21,AllTriggers)</f>
        <v>2.962961111265329E-3</v>
      </c>
      <c r="T21" s="41">
        <f>_xll.qlDayCounterYearFraction("actual/365 (fixed)",SettlementDate,R21,,,Trigger)</f>
        <v>7.1232876712328766E-2</v>
      </c>
      <c r="U21" s="47">
        <f>_xll.qlPolynomialFunctionValue($P$18,T21,AllTriggers)</f>
        <v>2.7778610107490553E-3</v>
      </c>
      <c r="W21" s="48">
        <v>0</v>
      </c>
      <c r="X21" s="48" t="s">
        <v>23</v>
      </c>
      <c r="Y21" s="177">
        <f>_xll.qlCalendarAdvance(Calendar,SettlementDate,W21&amp;"M","mf",TRUE,Trigger)</f>
        <v>42138</v>
      </c>
      <c r="Z21" s="246">
        <f>_xll.qlCalendarAdvance(Calendar,SettlementDate,X21,"mf",TRUE,Trigger)</f>
        <v>42230</v>
      </c>
      <c r="AA21" s="206">
        <f>_xll.qlTenorBasisForwardRate2(TenorBasis6M,Y21,Z21,AllTriggers)</f>
        <v>1.6541008037847553E-3</v>
      </c>
    </row>
    <row r="22" spans="1:27" ht="11.25" customHeight="1" x14ac:dyDescent="0.2">
      <c r="G22" s="60"/>
      <c r="H22" s="60"/>
      <c r="I22" s="35"/>
      <c r="J22" s="35"/>
      <c r="K22" s="35"/>
      <c r="L22" s="21"/>
      <c r="M22" s="21"/>
      <c r="N22" s="21"/>
      <c r="Q22" s="20"/>
      <c r="R22" s="212">
        <f>_xll.qlCalendarAdvance(Calendar,R21,"1D","f")</f>
        <v>42165</v>
      </c>
      <c r="S22" s="47">
        <f>_xll.qlTenorBasisValue($P$3,R22,AllTriggers)</f>
        <v>2.9637195134852661E-3</v>
      </c>
      <c r="T22" s="41">
        <f>_xll.qlDayCounterYearFraction("actual/365 (fixed)",SettlementDate,R22,,,Trigger)</f>
        <v>7.3972602739726029E-2</v>
      </c>
      <c r="U22" s="47">
        <f>_xll.qlPolynomialFunctionValue($P$18,T22,AllTriggers)</f>
        <v>2.7794776864975461E-3</v>
      </c>
      <c r="W22" s="48">
        <v>0</v>
      </c>
      <c r="X22" s="48" t="s">
        <v>30</v>
      </c>
      <c r="Y22" s="177">
        <f>_xll.qlCalendarAdvance(Calendar,SettlementDate,W22&amp;"M","mf",TRUE,Trigger)</f>
        <v>42138</v>
      </c>
      <c r="Z22" s="246">
        <f>_xll.qlCalendarAdvance(Calendar,SettlementDate,X22,"mf",TRUE,Trigger)</f>
        <v>42261</v>
      </c>
      <c r="AA22" s="206">
        <f>_xll.qlTenorBasisForwardRate2(TenorBasis6M,Y22,Z22,AllTriggers)</f>
        <v>1.6410512849373031E-3</v>
      </c>
    </row>
    <row r="23" spans="1:27" ht="11.25" customHeight="1" x14ac:dyDescent="0.2">
      <c r="G23" s="60"/>
      <c r="H23" s="60"/>
      <c r="I23" s="35"/>
      <c r="J23" s="35"/>
      <c r="K23" s="35"/>
      <c r="L23" s="21"/>
      <c r="M23" s="21"/>
      <c r="N23" s="21"/>
      <c r="Q23" s="20"/>
      <c r="R23" s="212">
        <f>_xll.qlCalendarAdvance(Calendar,R22,"1D","f")</f>
        <v>42166</v>
      </c>
      <c r="S23" s="47">
        <f>_xll.qlTenorBasisValue($P$3,R23,AllTriggers)</f>
        <v>2.9644742001003034E-3</v>
      </c>
      <c r="T23" s="41">
        <f>_xll.qlDayCounterYearFraction("actual/365 (fixed)",SettlementDate,R23,,,Trigger)</f>
        <v>7.6712328767123292E-2</v>
      </c>
      <c r="U23" s="47">
        <f>_xll.qlPolynomialFunctionValue($P$18,T23,AllTriggers)</f>
        <v>2.781088012736624E-3</v>
      </c>
      <c r="W23" s="48">
        <v>0</v>
      </c>
      <c r="X23" s="48" t="s">
        <v>31</v>
      </c>
      <c r="Y23" s="177">
        <f>_xll.qlCalendarAdvance(Calendar,SettlementDate,W23&amp;"M","mf",TRUE,Trigger)</f>
        <v>42138</v>
      </c>
      <c r="Z23" s="246">
        <f>_xll.qlCalendarAdvance(Calendar,SettlementDate,X23,"mf",TRUE,Trigger)</f>
        <v>42291</v>
      </c>
      <c r="AA23" s="206">
        <f>_xll.qlTenorBasisForwardRate2(TenorBasis6M,Y23,Z23,AllTriggers)</f>
        <v>1.6685820532166338E-3</v>
      </c>
    </row>
    <row r="24" spans="1:27" ht="11.25" customHeight="1" x14ac:dyDescent="0.2">
      <c r="G24" s="60"/>
      <c r="H24" s="60"/>
      <c r="I24" s="35"/>
      <c r="J24" s="35"/>
      <c r="K24" s="35"/>
      <c r="Q24" s="20"/>
      <c r="R24" s="212">
        <f>_xll.qlCalendarAdvance(Calendar,R23,"1D","f")</f>
        <v>42167</v>
      </c>
      <c r="S24" s="47">
        <f>_xll.qlTenorBasisValue($P$3,R24,AllTriggers)</f>
        <v>2.9652251852290471E-3</v>
      </c>
      <c r="T24" s="41">
        <f>_xll.qlDayCounterYearFraction("actual/365 (fixed)",SettlementDate,R24,,,Trigger)</f>
        <v>7.9452054794520555E-2</v>
      </c>
      <c r="U24" s="47">
        <f>_xll.qlPolynomialFunctionValue($P$18,T24,AllTriggers)</f>
        <v>2.7826920035848948E-3</v>
      </c>
      <c r="W24" s="48">
        <v>0</v>
      </c>
      <c r="X24" s="48" t="s">
        <v>24</v>
      </c>
      <c r="Y24" s="177">
        <f>_xll.qlCalendarAdvance(Calendar,SettlementDate,W24&amp;"M","mf",TRUE,Trigger)</f>
        <v>42138</v>
      </c>
      <c r="Z24" s="246">
        <f>_xll.qlCalendarAdvance(Calendar,SettlementDate,X24,"mf",TRUE,Trigger)</f>
        <v>42324</v>
      </c>
      <c r="AA24" s="206">
        <f>_xll.qlTenorBasisForwardRate2(TenorBasis6M,Y24,Z24,AllTriggers)</f>
        <v>1.6628815040181475E-3</v>
      </c>
    </row>
    <row r="25" spans="1:27" ht="11.25" customHeight="1" x14ac:dyDescent="0.2">
      <c r="G25" s="60"/>
      <c r="H25" s="60"/>
      <c r="I25" s="35"/>
      <c r="J25" s="35"/>
      <c r="K25" s="35"/>
      <c r="R25" s="212">
        <f>_xll.qlCalendarAdvance(Calendar,R24,"1D","f")</f>
        <v>42170</v>
      </c>
      <c r="S25" s="47">
        <f>_xll.qlTenorBasisValue($P$3,R25,AllTriggers)</f>
        <v>2.9674560728835853E-3</v>
      </c>
      <c r="T25" s="41">
        <f>_xll.qlDayCounterYearFraction("actual/365 (fixed)",SettlementDate,R25,,,Trigger)</f>
        <v>8.7671232876712329E-2</v>
      </c>
      <c r="U25" s="47">
        <f>_xll.qlPolynomialFunctionValue($P$18,T25,AllTriggers)</f>
        <v>2.7874661049709314E-3</v>
      </c>
      <c r="W25" s="48">
        <v>0</v>
      </c>
      <c r="X25" s="48" t="s">
        <v>32</v>
      </c>
      <c r="Y25" s="177">
        <f>_xll.qlCalendarAdvance(Calendar,SettlementDate,W25&amp;"M","mf",TRUE,Trigger)</f>
        <v>42138</v>
      </c>
      <c r="Z25" s="251">
        <f>_xll.qlCalendarAdvance(Calendar,SettlementDate,X25,"mf",TRUE,Trigger)</f>
        <v>42352</v>
      </c>
      <c r="AA25" s="206">
        <f>_xll.qlTenorBasisTenorForwardRate(TenorBasis6M,Y25,AllTriggers)</f>
        <v>1.7053762940233996E-3</v>
      </c>
    </row>
    <row r="26" spans="1:27" ht="11.25" customHeight="1" x14ac:dyDescent="0.2">
      <c r="R26" s="212">
        <f>_xll.qlCalendarAdvance(Calendar,R25,"1D","f")</f>
        <v>42171</v>
      </c>
      <c r="S26" s="47">
        <f>_xll.qlTenorBasisValue($P$3,R26,AllTriggers)</f>
        <v>2.9681923932532222E-3</v>
      </c>
      <c r="T26" s="41">
        <f>_xll.qlDayCounterYearFraction("actual/365 (fixed)",SettlementDate,R26,,,Trigger)</f>
        <v>9.0410958904109592E-2</v>
      </c>
      <c r="U26" s="47">
        <f>_xll.qlPolynomialFunctionValue($P$18,T26,AllTriggers)</f>
        <v>2.7890448954420413E-3</v>
      </c>
      <c r="W26" s="48">
        <v>0</v>
      </c>
      <c r="X26" s="48" t="s">
        <v>33</v>
      </c>
      <c r="Y26" s="177">
        <f>_xll.qlCalendarAdvance(Calendar,SettlementDate,W26&amp;"M","mf",TRUE,Trigger)</f>
        <v>42138</v>
      </c>
      <c r="Z26" s="251">
        <f>_xll.qlCalendarAdvance(Calendar,SettlementDate,X26,"mf",TRUE,Trigger)</f>
        <v>42383</v>
      </c>
      <c r="AA26" s="206">
        <f>_xll.qlTenorBasisTenorForwardRate(TenorBasis6M,Y26,AllTriggers)</f>
        <v>1.7053762940233996E-3</v>
      </c>
    </row>
    <row r="27" spans="1:27" ht="11.25" customHeight="1" x14ac:dyDescent="0.2">
      <c r="R27" s="212">
        <f>_xll.qlCalendarAdvance(Calendar,R26,"1D","f")</f>
        <v>42172</v>
      </c>
      <c r="S27" s="47">
        <f>_xll.qlTenorBasisValue($P$3,R27,AllTriggers)</f>
        <v>2.9689250827295995E-3</v>
      </c>
      <c r="T27" s="41">
        <f>_xll.qlDayCounterYearFraction("actual/365 (fixed)",SettlementDate,R27,,,Trigger)</f>
        <v>9.3150684931506855E-2</v>
      </c>
      <c r="U27" s="47">
        <f>_xll.qlPolynomialFunctionValue($P$18,T27,AllTriggers)</f>
        <v>2.7906174211153774E-3</v>
      </c>
      <c r="W27" s="48">
        <v>0</v>
      </c>
      <c r="X27" s="48" t="s">
        <v>34</v>
      </c>
      <c r="Y27" s="177">
        <f>_xll.qlCalendarAdvance(Calendar,SettlementDate,W27&amp;"M","mf",TRUE,Trigger)</f>
        <v>42138</v>
      </c>
      <c r="Z27" s="251">
        <f>_xll.qlCalendarAdvance(Calendar,SettlementDate,X27,"mf",TRUE,Trigger)</f>
        <v>42415</v>
      </c>
      <c r="AA27" s="206">
        <f>_xll.qlTenorBasisTenorForwardRate(TenorBasis6M,Y27,AllTriggers)</f>
        <v>1.7053762940233996E-3</v>
      </c>
    </row>
    <row r="28" spans="1:27" ht="11.25" customHeight="1" x14ac:dyDescent="0.2">
      <c r="R28" s="212">
        <f>_xll.qlCalendarAdvance(Calendar,R27,"1D","f")</f>
        <v>42173</v>
      </c>
      <c r="S28" s="47">
        <f>_xll.qlTenorBasisValue($P$3,R28,AllTriggers)</f>
        <v>2.9696541554313232E-3</v>
      </c>
      <c r="T28" s="41">
        <f>_xll.qlDayCounterYearFraction("actual/365 (fixed)",SettlementDate,R28,,,Trigger)</f>
        <v>9.5890410958904104E-2</v>
      </c>
      <c r="U28" s="47">
        <f>_xll.qlPolynomialFunctionValue($P$18,T28,AllTriggers)</f>
        <v>2.7921836961095469E-3</v>
      </c>
      <c r="W28" s="48">
        <v>0</v>
      </c>
      <c r="X28" s="48" t="s">
        <v>35</v>
      </c>
      <c r="Y28" s="177">
        <f>_xll.qlCalendarAdvance(Calendar,SettlementDate,W28&amp;"M","mf",TRUE,Trigger)</f>
        <v>42138</v>
      </c>
      <c r="Z28" s="251">
        <f>_xll.qlCalendarAdvance(Calendar,SettlementDate,X28,"mf",TRUE,Trigger)</f>
        <v>42443</v>
      </c>
      <c r="AA28" s="206">
        <f>_xll.qlTenorBasisTenorForwardRate(TenorBasis6M,Y28,AllTriggers)</f>
        <v>1.7053762940233996E-3</v>
      </c>
    </row>
    <row r="29" spans="1:27" ht="11.25" customHeight="1" x14ac:dyDescent="0.2">
      <c r="R29" s="212">
        <f>_xll.qlCalendarAdvance(Calendar,R28,"1D","f")</f>
        <v>42174</v>
      </c>
      <c r="S29" s="47">
        <f>_xll.qlTenorBasisValue($P$3,R29,AllTriggers)</f>
        <v>2.9703796254770005E-3</v>
      </c>
      <c r="T29" s="41">
        <f>_xll.qlDayCounterYearFraction("actual/365 (fixed)",SettlementDate,R29,,,Trigger)</f>
        <v>9.8630136986301367E-2</v>
      </c>
      <c r="U29" s="47">
        <f>_xll.qlPolynomialFunctionValue($P$18,T29,AllTriggers)</f>
        <v>2.7937437345431559E-3</v>
      </c>
      <c r="W29" s="48">
        <v>0</v>
      </c>
      <c r="X29" s="48" t="s">
        <v>36</v>
      </c>
      <c r="Y29" s="177">
        <f>_xll.qlCalendarAdvance(Calendar,SettlementDate,W29&amp;"M","mf",TRUE,Trigger)</f>
        <v>42138</v>
      </c>
      <c r="Z29" s="251">
        <f>_xll.qlCalendarAdvance(Calendar,SettlementDate,X29,"mf",TRUE,Trigger)</f>
        <v>42474</v>
      </c>
      <c r="AA29" s="206">
        <f>_xll.qlTenorBasisTenorForwardRate(TenorBasis6M,Y29,AllTriggers)</f>
        <v>1.7053762940233996E-3</v>
      </c>
    </row>
    <row r="30" spans="1:27" ht="11.25" customHeight="1" thickBot="1" x14ac:dyDescent="0.25">
      <c r="R30" s="212">
        <f>_xll.qlCalendarAdvance(Calendar,R29,"1D","f")</f>
        <v>42177</v>
      </c>
      <c r="S30" s="47">
        <f>_xll.qlTenorBasisValue($P$3,R30,AllTriggers)</f>
        <v>2.9725345608638183E-3</v>
      </c>
      <c r="T30" s="41">
        <f>_xll.qlDayCounterYearFraction("actual/365 (fixed)",SettlementDate,R30,,,Trigger)</f>
        <v>0.10684931506849316</v>
      </c>
      <c r="U30" s="47">
        <f>_xll.qlPolynomialFunctionValue($P$18,T30,AllTriggers)</f>
        <v>2.7983865716666892E-3</v>
      </c>
      <c r="W30" s="129">
        <v>0</v>
      </c>
      <c r="X30" s="129" t="s">
        <v>37</v>
      </c>
      <c r="Y30" s="179">
        <f>_xll.qlCalendarAdvance(Calendar,SettlementDate,W30&amp;"M","mf",TRUE,Trigger)</f>
        <v>42138</v>
      </c>
      <c r="Z30" s="290">
        <f>_xll.qlCalendarAdvance(Calendar,SettlementDate,X30,"mf",TRUE,Trigger)</f>
        <v>42506</v>
      </c>
      <c r="AA30" s="291">
        <f>_xll.qlTenorBasisTenorForwardRate(TenorBasis6M,Y30,AllTriggers)</f>
        <v>1.7053762940233996E-3</v>
      </c>
    </row>
    <row r="31" spans="1:27" ht="11.25" customHeight="1" x14ac:dyDescent="0.2">
      <c r="R31" s="212">
        <f>_xll.qlCalendarAdvance(Calendar,R30,"1D","f")</f>
        <v>42178</v>
      </c>
      <c r="S31" s="47">
        <f>_xll.qlTenorBasisValue($P$3,R31,AllTriggers)</f>
        <v>2.9732457614713762E-3</v>
      </c>
      <c r="T31" s="41">
        <f>_xll.qlDayCounterYearFraction("actual/365 (fixed)",SettlementDate,R31,,,Trigger)</f>
        <v>0.1095890410958904</v>
      </c>
      <c r="U31" s="47">
        <f>_xll.qlPolynomialFunctionValue($P$18,T31,AllTriggers)</f>
        <v>2.799921805044125E-3</v>
      </c>
      <c r="W31" s="45">
        <v>1</v>
      </c>
      <c r="X31" s="45" t="str">
        <f>W31+SUBSTITUTE($H$1,"M","")&amp;"M"</f>
        <v>13M</v>
      </c>
      <c r="Y31" s="179">
        <f>_xll.qlCalendarAdvance(Calendar,SettlementDate,W31&amp;"M","mf",TRUE,Trigger)</f>
        <v>42170</v>
      </c>
      <c r="Z31" s="175">
        <f>_xll.qlInterestRateIndexMaturity(PROPER(Currency)&amp;"ibor1Y",Y31,Trigger)</f>
        <v>42536</v>
      </c>
      <c r="AA31" s="292">
        <f>_xll.qlTenorBasisTenorForwardRate(TenorBasis6M,Y31,AllTriggers)</f>
        <v>1.7080125092119882E-3</v>
      </c>
    </row>
    <row r="32" spans="1:27" ht="11.25" customHeight="1" x14ac:dyDescent="0.2">
      <c r="R32" s="212">
        <f>_xll.qlCalendarAdvance(Calendar,R31,"1D","f")</f>
        <v>42179</v>
      </c>
      <c r="S32" s="47">
        <f>_xll.qlTenorBasisValue($P$3,R32,AllTriggers)</f>
        <v>2.9739534300159201E-3</v>
      </c>
      <c r="T32" s="41">
        <f>_xll.qlDayCounterYearFraction("actual/365 (fixed)",SettlementDate,R32,,,Trigger)</f>
        <v>0.11232876712328767</v>
      </c>
      <c r="U32" s="47">
        <f>_xll.qlPolynomialFunctionValue($P$18,T32,AllTriggers)</f>
        <v>2.8014508724540335E-3</v>
      </c>
      <c r="W32" s="48">
        <v>2</v>
      </c>
      <c r="X32" s="48" t="str">
        <f t="shared" ref="X32:X42" si="5">W32+SUBSTITUTE($H$1,"M","")&amp;"M"</f>
        <v>14M</v>
      </c>
      <c r="Y32" s="177">
        <f>_xll.qlCalendarAdvance(Calendar,SettlementDate,W32&amp;"M","mf",TRUE,Trigger)</f>
        <v>42199</v>
      </c>
      <c r="Z32" s="177">
        <f>_xll.qlInterestRateIndexMaturity(PROPER(Currency)&amp;"ibor1Y",Y32,Trigger)</f>
        <v>42565</v>
      </c>
      <c r="AA32" s="293">
        <f>_xll.qlTenorBasisTenorForwardRate(TenorBasis6M,Y32,AllTriggers)</f>
        <v>1.7269424006821005E-3</v>
      </c>
    </row>
    <row r="33" spans="7:27" ht="11.25" customHeight="1" x14ac:dyDescent="0.2">
      <c r="R33" s="212">
        <f>_xll.qlCalendarAdvance(Calendar,R32,"1D","f")</f>
        <v>42180</v>
      </c>
      <c r="S33" s="47">
        <f>_xll.qlTenorBasisValue($P$3,R33,AllTriggers)</f>
        <v>2.9746575806160577E-3</v>
      </c>
      <c r="T33" s="41">
        <f>_xll.qlDayCounterYearFraction("actual/365 (fixed)",SettlementDate,R33,,,Trigger)</f>
        <v>0.11506849315068493</v>
      </c>
      <c r="U33" s="47">
        <f>_xll.qlPolynomialFunctionValue($P$18,T33,AllTriggers)</f>
        <v>2.802973788015022E-3</v>
      </c>
      <c r="W33" s="48">
        <v>3</v>
      </c>
      <c r="X33" s="48" t="str">
        <f t="shared" si="5"/>
        <v>15M</v>
      </c>
      <c r="Y33" s="177">
        <f>_xll.qlCalendarAdvance(Calendar,SettlementDate,W33&amp;"M","mf",TRUE,Trigger)</f>
        <v>42230</v>
      </c>
      <c r="Z33" s="177">
        <f>_xll.qlInterestRateIndexMaturity(PROPER(Currency)&amp;"ibor1Y",Y33,Trigger)</f>
        <v>42597</v>
      </c>
      <c r="AA33" s="293">
        <f>_xll.qlTenorBasisTenorForwardRate(TenorBasis6M,Y33,AllTriggers)</f>
        <v>1.7585250304326845E-3</v>
      </c>
    </row>
    <row r="34" spans="7:27" ht="11.25" customHeight="1" x14ac:dyDescent="0.2">
      <c r="R34" s="212">
        <f>_xll.qlCalendarAdvance(Calendar,R33,"1D","f")</f>
        <v>42181</v>
      </c>
      <c r="S34" s="47">
        <f>_xll.qlTenorBasisValue($P$3,R34,AllTriggers)</f>
        <v>2.9753582273903951E-3</v>
      </c>
      <c r="T34" s="41">
        <f>_xll.qlDayCounterYearFraction("actual/365 (fixed)",SettlementDate,R34,,,Trigger)</f>
        <v>0.11780821917808219</v>
      </c>
      <c r="U34" s="47">
        <f>_xll.qlPolynomialFunctionValue($P$18,T34,AllTriggers)</f>
        <v>2.8044905658456969E-3</v>
      </c>
      <c r="W34" s="48">
        <v>4</v>
      </c>
      <c r="X34" s="48" t="str">
        <f t="shared" si="5"/>
        <v>16M</v>
      </c>
      <c r="Y34" s="177">
        <f>_xll.qlCalendarAdvance(Calendar,SettlementDate,W34&amp;"M","mf",TRUE,Trigger)</f>
        <v>42261</v>
      </c>
      <c r="Z34" s="177">
        <f>_xll.qlInterestRateIndexMaturity(PROPER(Currency)&amp;"ibor1Y",Y34,Trigger)</f>
        <v>42627</v>
      </c>
      <c r="AA34" s="293">
        <f>_xll.qlTenorBasisTenorForwardRate(TenorBasis6M,Y34,AllTriggers)</f>
        <v>1.7898331737795448E-3</v>
      </c>
    </row>
    <row r="35" spans="7:27" ht="11.25" customHeight="1" x14ac:dyDescent="0.2">
      <c r="R35" s="212">
        <f>_xll.qlCalendarAdvance(Calendar,R34,"1D","f")</f>
        <v>42184</v>
      </c>
      <c r="S35" s="47">
        <f>_xll.qlTenorBasisValue($P$3,R35,AllTriggers)</f>
        <v>2.9774392859446761E-3</v>
      </c>
      <c r="T35" s="41">
        <f>_xll.qlDayCounterYearFraction("actual/365 (fixed)",SettlementDate,R35,,,Trigger)</f>
        <v>0.12602739726027398</v>
      </c>
      <c r="U35" s="47">
        <f>_xll.qlPolynomialFunctionValue($P$18,T35,AllTriggers)</f>
        <v>2.8090042141419099E-3</v>
      </c>
      <c r="W35" s="48">
        <v>5</v>
      </c>
      <c r="X35" s="48" t="str">
        <f t="shared" si="5"/>
        <v>17M</v>
      </c>
      <c r="Y35" s="177">
        <f>_xll.qlCalendarAdvance(Calendar,SettlementDate,W35&amp;"M","mf",TRUE,Trigger)</f>
        <v>42291</v>
      </c>
      <c r="Z35" s="177">
        <f>_xll.qlInterestRateIndexMaturity(PROPER(Currency)&amp;"ibor1Y",Y35,Trigger)</f>
        <v>42657</v>
      </c>
      <c r="AA35" s="293">
        <f>_xll.qlTenorBasisTenorForwardRate(TenorBasis6M,Y35,AllTriggers)</f>
        <v>1.8076640873343002E-3</v>
      </c>
    </row>
    <row r="36" spans="7:27" ht="11.25" customHeight="1" x14ac:dyDescent="0.2">
      <c r="R36" s="212">
        <f>_xll.qlCalendarAdvance(Calendar,R35,"1D","f")</f>
        <v>42185</v>
      </c>
      <c r="S36" s="47">
        <f>_xll.qlTenorBasisValue($P$3,R36,AllTriggers)</f>
        <v>2.9781260586018818E-3</v>
      </c>
      <c r="T36" s="41">
        <f>_xll.qlDayCounterYearFraction("actual/365 (fixed)",SettlementDate,R36,,,Trigger)</f>
        <v>0.12876712328767123</v>
      </c>
      <c r="U36" s="47">
        <f>_xll.qlPolynomialFunctionValue($P$18,T36,AllTriggers)</f>
        <v>2.8104965822373985E-3</v>
      </c>
      <c r="W36" s="48">
        <v>6</v>
      </c>
      <c r="X36" s="48" t="str">
        <f t="shared" si="5"/>
        <v>18M</v>
      </c>
      <c r="Y36" s="177">
        <f>_xll.qlCalendarAdvance(Calendar,SettlementDate,W36&amp;"M","mf",TRUE,Trigger)</f>
        <v>42324</v>
      </c>
      <c r="Z36" s="177">
        <f>_xll.qlInterestRateIndexMaturity(PROPER(Currency)&amp;"ibor1Y",Y36,Trigger)</f>
        <v>42690</v>
      </c>
      <c r="AA36" s="293">
        <f>_xll.qlTenorBasisTenorForwardRate(TenorBasis6M,Y36,AllTriggers)</f>
        <v>1.8431983239206643E-3</v>
      </c>
    </row>
    <row r="37" spans="7:27" ht="11.25" customHeight="1" x14ac:dyDescent="0.2">
      <c r="R37" s="212">
        <f>_xll.qlCalendarAdvance(Calendar,R36,"1D","f")</f>
        <v>42186</v>
      </c>
      <c r="S37" s="47">
        <f>_xll.qlTenorBasisValue($P$3,R37,AllTriggers)</f>
        <v>2.97880939802632E-3</v>
      </c>
      <c r="T37" s="41">
        <f>_xll.qlDayCounterYearFraction("actual/365 (fixed)",SettlementDate,R37,,,Trigger)</f>
        <v>0.13150684931506848</v>
      </c>
      <c r="U37" s="47">
        <f>_xll.qlPolynomialFunctionValue($P$18,T37,AllTriggers)</f>
        <v>2.8119828831956071E-3</v>
      </c>
      <c r="W37" s="48">
        <v>7</v>
      </c>
      <c r="X37" s="48" t="str">
        <f t="shared" si="5"/>
        <v>19M</v>
      </c>
      <c r="Y37" s="177">
        <f>_xll.qlCalendarAdvance(Calendar,SettlementDate,W37&amp;"M","mf",TRUE,Trigger)</f>
        <v>42352</v>
      </c>
      <c r="Z37" s="177">
        <f>_xll.qlInterestRateIndexMaturity(PROPER(Currency)&amp;"ibor1Y",Y37,Trigger)</f>
        <v>42718</v>
      </c>
      <c r="AA37" s="293">
        <f>_xll.qlTenorBasisTenorForwardRate(TenorBasis6M,Y37,AllTriggers)</f>
        <v>1.8850818394113267E-3</v>
      </c>
    </row>
    <row r="38" spans="7:27" ht="11.25" customHeight="1" x14ac:dyDescent="0.2">
      <c r="R38" s="212">
        <f>_xll.qlCalendarAdvance(Calendar,R37,"1D","f")</f>
        <v>42187</v>
      </c>
      <c r="S38" s="47">
        <f>_xll.qlTenorBasisValue($P$3,R38,AllTriggers)</f>
        <v>2.9794893183365994E-3</v>
      </c>
      <c r="T38" s="41">
        <f>_xll.qlDayCounterYearFraction("actual/365 (fixed)",SettlementDate,R38,,,Trigger)</f>
        <v>0.13424657534246576</v>
      </c>
      <c r="U38" s="47">
        <f>_xll.qlPolynomialFunctionValue($P$18,T38,AllTriggers)</f>
        <v>2.8134631311351427E-3</v>
      </c>
      <c r="W38" s="48">
        <v>8</v>
      </c>
      <c r="X38" s="48" t="str">
        <f t="shared" si="5"/>
        <v>20M</v>
      </c>
      <c r="Y38" s="177">
        <f>_xll.qlCalendarAdvance(Calendar,SettlementDate,W38&amp;"M","mf",TRUE,Trigger)</f>
        <v>42383</v>
      </c>
      <c r="Z38" s="177">
        <f>_xll.qlInterestRateIndexMaturity(PROPER(Currency)&amp;"ibor1Y",Y38,Trigger)</f>
        <v>42751</v>
      </c>
      <c r="AA38" s="293">
        <f>_xll.qlTenorBasisTenorForwardRate(TenorBasis6M,Y38,AllTriggers)</f>
        <v>1.9635733824238202E-3</v>
      </c>
    </row>
    <row r="39" spans="7:27" ht="11.25" customHeight="1" x14ac:dyDescent="0.2">
      <c r="R39" s="212">
        <f>_xll.qlCalendarAdvance(Calendar,R38,"1D","f")</f>
        <v>42188</v>
      </c>
      <c r="S39" s="47">
        <f>_xll.qlTenorBasisValue($P$3,R39,AllTriggers)</f>
        <v>2.980165833651325E-3</v>
      </c>
      <c r="T39" s="41">
        <f>_xll.qlDayCounterYearFraction("actual/365 (fixed)",SettlementDate,R39,,,Trigger)</f>
        <v>0.13698630136986301</v>
      </c>
      <c r="U39" s="47">
        <f>_xll.qlPolynomialFunctionValue($P$18,T39,AllTriggers)</f>
        <v>2.8149373401746111E-3</v>
      </c>
      <c r="W39" s="48">
        <v>9</v>
      </c>
      <c r="X39" s="48" t="str">
        <f t="shared" si="5"/>
        <v>21M</v>
      </c>
      <c r="Y39" s="177">
        <f>_xll.qlCalendarAdvance(Calendar,SettlementDate,W39&amp;"M","mf",TRUE,Trigger)</f>
        <v>42415</v>
      </c>
      <c r="Z39" s="177">
        <f>_xll.qlInterestRateIndexMaturity(PROPER(Currency)&amp;"ibor1Y",Y39,Trigger)</f>
        <v>42781</v>
      </c>
      <c r="AA39" s="293">
        <f>_xll.qlTenorBasisTenorForwardRate(TenorBasis6M,Y39,AllTriggers)</f>
        <v>2.0274048757023908E-3</v>
      </c>
    </row>
    <row r="40" spans="7:27" ht="11.25" customHeight="1" x14ac:dyDescent="0.2">
      <c r="R40" s="212">
        <f>_xll.qlCalendarAdvance(Calendar,R39,"1D","f")</f>
        <v>42191</v>
      </c>
      <c r="S40" s="47">
        <f>_xll.qlTenorBasisValue($P$3,R40,AllTriggers)</f>
        <v>2.9821750908082512E-3</v>
      </c>
      <c r="T40" s="41">
        <f>_xll.qlDayCounterYearFraction("actual/365 (fixed)",SettlementDate,R40,,,Trigger)</f>
        <v>0.14520547945205478</v>
      </c>
      <c r="U40" s="47">
        <f>_xll.qlPolynomialFunctionValue($P$18,T40,AllTriggers)</f>
        <v>2.8193238750786847E-3</v>
      </c>
      <c r="W40" s="48">
        <v>10</v>
      </c>
      <c r="X40" s="48" t="str">
        <f t="shared" si="5"/>
        <v>22M</v>
      </c>
      <c r="Y40" s="177">
        <f>_xll.qlCalendarAdvance(Calendar,SettlementDate,W40&amp;"M","mf",TRUE,Trigger)</f>
        <v>42443</v>
      </c>
      <c r="Z40" s="177">
        <f>_xll.qlInterestRateIndexMaturity(PROPER(Currency)&amp;"ibor1Y",Y40,Trigger)</f>
        <v>42808</v>
      </c>
      <c r="AA40" s="293">
        <f>_xll.qlTenorBasisTenorForwardRate(TenorBasis6M,Y40,AllTriggers)</f>
        <v>2.1050332437855795E-3</v>
      </c>
    </row>
    <row r="41" spans="7:27" ht="11.25" customHeight="1" x14ac:dyDescent="0.2">
      <c r="R41" s="212">
        <f>_xll.qlCalendarAdvance(Calendar,R40,"1D","f")</f>
        <v>42192</v>
      </c>
      <c r="S41" s="47">
        <f>_xll.qlTenorBasisValue($P$3,R41,AllTriggers)</f>
        <v>2.9828381273268316E-3</v>
      </c>
      <c r="T41" s="41">
        <f>_xll.qlDayCounterYearFraction("actual/365 (fixed)",SettlementDate,R41,,,Trigger)</f>
        <v>0.14794520547945206</v>
      </c>
      <c r="U41" s="47">
        <f>_xll.qlPolynomialFunctionValue($P$18,T41,AllTriggers)</f>
        <v>2.8207740697039538E-3</v>
      </c>
      <c r="W41" s="48">
        <v>11</v>
      </c>
      <c r="X41" s="48" t="str">
        <f t="shared" si="5"/>
        <v>23M</v>
      </c>
      <c r="Y41" s="177">
        <f>_xll.qlCalendarAdvance(Calendar,SettlementDate,W41&amp;"M","mf",TRUE,Trigger)</f>
        <v>42474</v>
      </c>
      <c r="Z41" s="177">
        <f>_xll.qlInterestRateIndexMaturity(PROPER(Currency)&amp;"ibor1Y",Y41,Trigger)</f>
        <v>42843</v>
      </c>
      <c r="AA41" s="293">
        <f>_xll.qlTenorBasisTenorForwardRate(TenorBasis6M,Y41,AllTriggers)</f>
        <v>2.2106218020254247E-3</v>
      </c>
    </row>
    <row r="42" spans="7:27" ht="11.25" customHeight="1" x14ac:dyDescent="0.2">
      <c r="R42" s="212">
        <f>_xll.qlCalendarAdvance(Calendar,R41,"1D","f")</f>
        <v>42193</v>
      </c>
      <c r="S42" s="47">
        <f>_xll.qlTenorBasisValue($P$3,R42,AllTriggers)</f>
        <v>2.9834978294428927E-3</v>
      </c>
      <c r="T42" s="41">
        <f>_xll.qlDayCounterYearFraction("actual/365 (fixed)",SettlementDate,R42,,,Trigger)</f>
        <v>0.15068493150684931</v>
      </c>
      <c r="U42" s="47">
        <f>_xll.qlPolynomialFunctionValue($P$18,T42,AllTriggers)</f>
        <v>2.8222182960221903E-3</v>
      </c>
      <c r="W42" s="49">
        <v>12</v>
      </c>
      <c r="X42" s="49" t="str">
        <f t="shared" si="5"/>
        <v>24M</v>
      </c>
      <c r="Y42" s="181">
        <f>_xll.qlCalendarAdvance(Calendar,SettlementDate,W42&amp;"M","mf",TRUE,Trigger)</f>
        <v>42506</v>
      </c>
      <c r="Z42" s="181">
        <f>_xll.qlInterestRateIndexMaturity(PROPER(Currency)&amp;"ibor1Y",Y42,Trigger)</f>
        <v>42871</v>
      </c>
      <c r="AA42" s="294">
        <f>_xll.qlTenorBasisTenorForwardRate(TenorBasis6M,Y42,AllTriggers)</f>
        <v>2.3192637084933749E-3</v>
      </c>
    </row>
    <row r="43" spans="7:27" ht="11.25" customHeight="1" x14ac:dyDescent="0.2">
      <c r="G43" s="60"/>
      <c r="H43" s="60"/>
      <c r="I43" s="35"/>
      <c r="J43" s="35"/>
      <c r="K43" s="35"/>
      <c r="R43" s="212">
        <f>_xll.qlCalendarAdvance(Calendar,R42,"1D","f")</f>
        <v>42194</v>
      </c>
      <c r="S43" s="47">
        <f>_xll.qlTenorBasisValue($P$3,R43,AllTriggers)</f>
        <v>2.9841542112750406E-3</v>
      </c>
      <c r="T43" s="41">
        <f>_xll.qlDayCounterYearFraction("actual/365 (fixed)",SettlementDate,R43,,,Trigger)</f>
        <v>0.15342465753424658</v>
      </c>
      <c r="U43" s="47">
        <f>_xll.qlPolynomialFunctionValue($P$18,T43,AllTriggers)</f>
        <v>2.8236565681520002E-3</v>
      </c>
    </row>
    <row r="44" spans="7:27" ht="11.25" customHeight="1" x14ac:dyDescent="0.2">
      <c r="G44" s="60"/>
      <c r="H44" s="60"/>
      <c r="I44" s="35"/>
      <c r="J44" s="35"/>
      <c r="K44" s="35"/>
      <c r="R44" s="212">
        <f>_xll.qlCalendarAdvance(Calendar,R43,"1D","f")</f>
        <v>42195</v>
      </c>
      <c r="S44" s="47">
        <f>_xll.qlTenorBasisValue($P$3,R44,AllTriggers)</f>
        <v>2.9848072869418821E-3</v>
      </c>
      <c r="T44" s="41">
        <f>_xll.qlDayCounterYearFraction("actual/365 (fixed)",SettlementDate,R44,,,Trigger)</f>
        <v>0.15616438356164383</v>
      </c>
      <c r="U44" s="47">
        <f>_xll.qlPolynomialFunctionValue($P$18,T44,AllTriggers)</f>
        <v>2.8250889002119899E-3</v>
      </c>
    </row>
    <row r="45" spans="7:27" ht="11.25" customHeight="1" x14ac:dyDescent="0.2">
      <c r="G45" s="60"/>
      <c r="H45" s="60"/>
      <c r="I45" s="35"/>
      <c r="J45" s="35"/>
      <c r="K45" s="35"/>
      <c r="R45" s="212">
        <f>_xll.qlCalendarAdvance(Calendar,R44,"1D","f")</f>
        <v>42198</v>
      </c>
      <c r="S45" s="47">
        <f>_xll.qlTenorBasisValue($P$3,R45,AllTriggers)</f>
        <v>2.9867468181366363E-3</v>
      </c>
      <c r="T45" s="41">
        <f>_xll.qlDayCounterYearFraction("actual/365 (fixed)",SettlementDate,R45,,,Trigger)</f>
        <v>0.16438356164383561</v>
      </c>
      <c r="U45" s="47">
        <f>_xll.qlPolynomialFunctionValue($P$18,T45,AllTriggers)</f>
        <v>2.8293503971591073E-3</v>
      </c>
    </row>
    <row r="46" spans="7:27" ht="11.25" customHeight="1" x14ac:dyDescent="0.2">
      <c r="G46" s="60"/>
      <c r="H46" s="60"/>
      <c r="I46" s="35"/>
      <c r="J46" s="35"/>
      <c r="K46" s="35"/>
      <c r="R46" s="212">
        <f>_xll.qlCalendarAdvance(Calendar,R45,"1D","f")</f>
        <v>42199</v>
      </c>
      <c r="S46" s="47">
        <f>_xll.qlTenorBasisValue($P$3,R46,AllTriggers)</f>
        <v>2.9873868103283191E-3</v>
      </c>
      <c r="T46" s="41">
        <f>_xll.qlDayCounterYearFraction("actual/365 (fixed)",SettlementDate,R46,,,Trigger)</f>
        <v>0.16712328767123288</v>
      </c>
      <c r="U46" s="47">
        <f>_xll.qlPolynomialFunctionValue($P$18,T46,AllTriggers)</f>
        <v>2.8307591101258849E-3</v>
      </c>
    </row>
    <row r="47" spans="7:27" ht="11.25" customHeight="1" x14ac:dyDescent="0.2">
      <c r="G47" s="60"/>
      <c r="H47" s="60"/>
      <c r="I47" s="35"/>
      <c r="J47" s="35"/>
      <c r="K47" s="35"/>
      <c r="R47" s="212">
        <f>_xll.qlCalendarAdvance(Calendar,R46,"1D","f")</f>
        <v>42200</v>
      </c>
      <c r="S47" s="47">
        <f>_xll.qlTenorBasisValue($P$3,R47,AllTriggers)</f>
        <v>2.9880235669477299E-3</v>
      </c>
      <c r="T47" s="41">
        <f>_xll.qlDayCounterYearFraction("actual/365 (fixed)",SettlementDate,R47,,,Trigger)</f>
        <v>0.16986301369863013</v>
      </c>
      <c r="U47" s="47">
        <f>_xll.qlPolynomialFunctionValue($P$18,T47,AllTriggers)</f>
        <v>2.8321619536158761E-3</v>
      </c>
    </row>
    <row r="48" spans="7:27" ht="11.25" customHeight="1" x14ac:dyDescent="0.2">
      <c r="G48" s="60"/>
      <c r="H48" s="60"/>
      <c r="I48" s="35"/>
      <c r="J48" s="35"/>
      <c r="K48" s="35"/>
      <c r="R48" s="212">
        <f>_xll.qlCalendarAdvance(Calendar,R47,"1D","f")</f>
        <v>42201</v>
      </c>
      <c r="S48" s="47">
        <f>_xll.qlTenorBasisValue($P$3,R48,AllTriggers)</f>
        <v>2.9886571021134744E-3</v>
      </c>
      <c r="T48" s="41">
        <f>_xll.qlDayCounterYearFraction("actual/365 (fixed)",SettlementDate,R48,,,Trigger)</f>
        <v>0.17260273972602741</v>
      </c>
      <c r="U48" s="47">
        <f>_xll.qlPolynomialFunctionValue($P$18,T48,AllTriggers)</f>
        <v>2.833558941747688E-3</v>
      </c>
    </row>
    <row r="49" spans="7:21" ht="11.25" customHeight="1" x14ac:dyDescent="0.2">
      <c r="G49" s="60"/>
      <c r="H49" s="60"/>
      <c r="I49" s="35"/>
      <c r="J49" s="35"/>
      <c r="K49" s="35"/>
      <c r="R49" s="212">
        <f>_xll.qlCalendarAdvance(Calendar,R48,"1D","f")</f>
        <v>42202</v>
      </c>
      <c r="S49" s="47">
        <f>_xll.qlTenorBasisValue($P$3,R49,AllTriggers)</f>
        <v>2.989287429944159E-3</v>
      </c>
      <c r="T49" s="41">
        <f>_xll.qlDayCounterYearFraction("actual/365 (fixed)",SettlementDate,R49,,,Trigger)</f>
        <v>0.17534246575342466</v>
      </c>
      <c r="U49" s="47">
        <f>_xll.qlPolynomialFunctionValue($P$18,T49,AllTriggers)</f>
        <v>2.8349500886399263E-3</v>
      </c>
    </row>
    <row r="50" spans="7:21" ht="11.25" customHeight="1" x14ac:dyDescent="0.2">
      <c r="G50" s="60"/>
      <c r="H50" s="60"/>
      <c r="I50" s="35"/>
      <c r="J50" s="35"/>
      <c r="K50" s="35"/>
      <c r="R50" s="212">
        <f>_xll.qlCalendarAdvance(Calendar,R49,"1D","f")</f>
        <v>42205</v>
      </c>
      <c r="S50" s="47">
        <f>_xll.qlTenorBasisValue($P$3,R50,AllTriggers)</f>
        <v>2.9911593106119231E-3</v>
      </c>
      <c r="T50" s="41">
        <f>_xll.qlDayCounterYearFraction("actual/365 (fixed)",SettlementDate,R50,,,Trigger)</f>
        <v>0.18356164383561643</v>
      </c>
      <c r="U50" s="47">
        <f>_xll.qlPolynomialFunctionValue($P$18,T50,AllTriggers)</f>
        <v>2.8390886230652704E-3</v>
      </c>
    </row>
    <row r="51" spans="7:21" ht="11.25" customHeight="1" x14ac:dyDescent="0.2">
      <c r="G51" s="60"/>
      <c r="H51" s="60"/>
      <c r="I51" s="35"/>
      <c r="J51" s="35"/>
      <c r="K51" s="35"/>
      <c r="R51" s="212">
        <f>_xll.qlCalendarAdvance(Calendar,R50,"1D","f")</f>
        <v>42206</v>
      </c>
      <c r="S51" s="47">
        <f>_xll.qlTenorBasisValue($P$3,R51,AllTriggers)</f>
        <v>2.9917769502884367E-3</v>
      </c>
      <c r="T51" s="41">
        <f>_xll.qlDayCounterYearFraction("actual/365 (fixed)",SettlementDate,R51,,,Trigger)</f>
        <v>0.18630136986301371</v>
      </c>
      <c r="U51" s="47">
        <f>_xll.qlPolynomialFunctionValue($P$18,T51,AllTriggers)</f>
        <v>2.8404565461852831E-3</v>
      </c>
    </row>
    <row r="52" spans="7:21" ht="11.25" customHeight="1" x14ac:dyDescent="0.2">
      <c r="G52" s="60"/>
      <c r="H52" s="60"/>
      <c r="I52" s="35"/>
      <c r="J52" s="35"/>
      <c r="K52" s="35"/>
      <c r="R52" s="212">
        <f>_xll.qlCalendarAdvance(Calendar,R51,"1D","f")</f>
        <v>42207</v>
      </c>
      <c r="S52" s="47">
        <f>_xll.qlTenorBasisValue($P$3,R52,AllTriggers)</f>
        <v>2.9923914532229241E-3</v>
      </c>
      <c r="T52" s="41">
        <f>_xll.qlDayCounterYearFraction("actual/365 (fixed)",SettlementDate,R52,,,Trigger)</f>
        <v>0.18904109589041096</v>
      </c>
      <c r="U52" s="47">
        <f>_xll.qlPolynomialFunctionValue($P$18,T52,AllTriggers)</f>
        <v>2.8418186986587566E-3</v>
      </c>
    </row>
    <row r="53" spans="7:21" ht="11.25" customHeight="1" x14ac:dyDescent="0.2">
      <c r="G53" s="60"/>
      <c r="H53" s="60"/>
      <c r="I53" s="35"/>
      <c r="J53" s="35"/>
      <c r="K53" s="35"/>
      <c r="R53" s="212">
        <f>_xll.qlCalendarAdvance(Calendar,R52,"1D","f")</f>
        <v>42208</v>
      </c>
      <c r="S53" s="47">
        <f>_xll.qlTenorBasisValue($P$3,R53,AllTriggers)</f>
        <v>2.9930028335339925E-3</v>
      </c>
      <c r="T53" s="41">
        <f>_xll.qlDayCounterYearFraction("actual/365 (fixed)",SettlementDate,R53,,,Trigger)</f>
        <v>0.19178082191780821</v>
      </c>
      <c r="U53" s="47">
        <f>_xll.qlPolynomialFunctionValue($P$18,T53,AllTriggers)</f>
        <v>2.8431750946042974E-3</v>
      </c>
    </row>
    <row r="54" spans="7:21" x14ac:dyDescent="0.2">
      <c r="R54" s="212">
        <f>_xll.qlCalendarAdvance(Calendar,R53,"1D","f")</f>
        <v>42209</v>
      </c>
      <c r="S54" s="47">
        <f>_xll.qlTenorBasisValue($P$3,R54,AllTriggers)</f>
        <v>2.9936111053402476E-3</v>
      </c>
      <c r="T54" s="41">
        <f>_xll.qlDayCounterYearFraction("actual/365 (fixed)",SettlementDate,R54,,,Trigger)</f>
        <v>0.19452054794520549</v>
      </c>
      <c r="U54" s="47">
        <f>_xll.qlPolynomialFunctionValue($P$18,T54,AllTriggers)</f>
        <v>2.8445257481405123E-3</v>
      </c>
    </row>
    <row r="55" spans="7:21" x14ac:dyDescent="0.2">
      <c r="R55" s="212">
        <f>_xll.qlCalendarAdvance(Calendar,R54,"1D","f")</f>
        <v>42212</v>
      </c>
      <c r="S55" s="47">
        <f>_xll.qlTenorBasisValue($P$3,R55,AllTriggers)</f>
        <v>2.9954174109162045E-3</v>
      </c>
      <c r="T55" s="41">
        <f>_xll.qlDayCounterYearFraction("actual/365 (fixed)",SettlementDate,R55,,,Trigger)</f>
        <v>0.20273972602739726</v>
      </c>
      <c r="U55" s="47">
        <f>_xll.qlPolynomialFunctionValue($P$18,T55,AllTriggers)</f>
        <v>2.848543395479265E-3</v>
      </c>
    </row>
    <row r="56" spans="7:21" x14ac:dyDescent="0.2">
      <c r="R56" s="212">
        <f>_xll.qlCalendarAdvance(Calendar,R55,"1D","f")</f>
        <v>42213</v>
      </c>
      <c r="S56" s="47">
        <f>_xll.qlTenorBasisValue($P$3,R56,AllTriggers)</f>
        <v>2.9960133898892759E-3</v>
      </c>
      <c r="T56" s="41">
        <f>_xll.qlDayCounterYearFraction("actual/365 (fixed)",SettlementDate,R56,,,Trigger)</f>
        <v>0.20547945205479451</v>
      </c>
      <c r="U56" s="47">
        <f>_xll.qlPolynomialFunctionValue($P$18,T56,AllTriggers)</f>
        <v>2.8498712205642413E-3</v>
      </c>
    </row>
    <row r="57" spans="7:21" x14ac:dyDescent="0.2">
      <c r="R57" s="212">
        <f>_xll.qlCalendarAdvance(Calendar,R56,"1D","f")</f>
        <v>42214</v>
      </c>
      <c r="S57" s="47">
        <f>_xll.qlTenorBasisValue($P$3,R57,AllTriggers)</f>
        <v>2.9966063309505679E-3</v>
      </c>
      <c r="T57" s="41">
        <f>_xll.qlDayCounterYearFraction("actual/365 (fixed)",SettlementDate,R57,,,Trigger)</f>
        <v>0.20821917808219179</v>
      </c>
      <c r="U57" s="47">
        <f>_xll.qlPolynomialFunctionValue($P$18,T57,AllTriggers)</f>
        <v>2.8511933738329248E-3</v>
      </c>
    </row>
    <row r="58" spans="7:21" x14ac:dyDescent="0.2">
      <c r="R58" s="212">
        <f>_xll.qlCalendarAdvance(Calendar,R57,"1D","f")</f>
        <v>42215</v>
      </c>
      <c r="S58" s="47">
        <f>_xll.qlTenorBasisValue($P$3,R58,AllTriggers)</f>
        <v>2.9971962482186879E-3</v>
      </c>
      <c r="T58" s="41">
        <f>_xll.qlDayCounterYearFraction("actual/365 (fixed)",SettlementDate,R58,,,Trigger)</f>
        <v>0.21095890410958903</v>
      </c>
      <c r="U58" s="47">
        <f>_xll.qlPolynomialFunctionValue($P$18,T58,AllTriggers)</f>
        <v>2.8525098694039226E-3</v>
      </c>
    </row>
    <row r="59" spans="7:21" x14ac:dyDescent="0.2">
      <c r="R59" s="212">
        <f>_xll.qlCalendarAdvance(Calendar,R58,"1D","f")</f>
        <v>42216</v>
      </c>
      <c r="S59" s="47">
        <f>_xll.qlTenorBasisValue($P$3,R59,AllTriggers)</f>
        <v>2.9977831558122411E-3</v>
      </c>
      <c r="T59" s="41">
        <f>_xll.qlDayCounterYearFraction("actual/365 (fixed)",SettlementDate,R59,,,Trigger)</f>
        <v>0.21369863013698631</v>
      </c>
      <c r="U59" s="47">
        <f>_xll.qlPolynomialFunctionValue($P$18,T59,AllTriggers)</f>
        <v>2.8538207213958402E-3</v>
      </c>
    </row>
    <row r="60" spans="7:21" x14ac:dyDescent="0.2">
      <c r="R60" s="212">
        <f>_xll.qlCalendarAdvance(Calendar,R59,"1D","f")</f>
        <v>42219</v>
      </c>
      <c r="S60" s="47">
        <f>_xll.qlTenorBasisValue($P$3,R60,AllTriggers)</f>
        <v>2.9995259617315731E-3</v>
      </c>
      <c r="T60" s="41">
        <f>_xll.qlDayCounterYearFraction("actual/365 (fixed)",SettlementDate,R60,,,Trigger)</f>
        <v>0.22191780821917809</v>
      </c>
      <c r="U60" s="47">
        <f>_xll.qlPolynomialFunctionValue($P$18,T60,AllTriggers)</f>
        <v>2.8577195570831846E-3</v>
      </c>
    </row>
    <row r="61" spans="7:21" x14ac:dyDescent="0.2">
      <c r="R61" s="212">
        <f>_xll.qlCalendarAdvance(Calendar,R60,"1D","f")</f>
        <v>42220</v>
      </c>
      <c r="S61" s="47">
        <f>_xll.qlTenorBasisValue($P$3,R61,AllTriggers)</f>
        <v>3.0001009718129299E-3</v>
      </c>
      <c r="T61" s="41">
        <f>_xll.qlDayCounterYearFraction("actual/365 (fixed)",SettlementDate,R61,,,Trigger)</f>
        <v>0.22465753424657534</v>
      </c>
      <c r="U61" s="47">
        <f>_xll.qlPolynomialFunctionValue($P$18,T61,AllTriggers)</f>
        <v>2.8590079759448516E-3</v>
      </c>
    </row>
    <row r="62" spans="7:21" x14ac:dyDescent="0.2">
      <c r="R62" s="212">
        <f>_xll.qlCalendarAdvance(Calendar,R61,"1D","f")</f>
        <v>42221</v>
      </c>
      <c r="S62" s="47">
        <f>_xll.qlTenorBasisValue($P$3,R62,AllTriggers)</f>
        <v>3.0006730428127539E-3</v>
      </c>
      <c r="T62" s="41">
        <f>_xll.qlDayCounterYearFraction("actual/365 (fixed)",SettlementDate,R62,,,Trigger)</f>
        <v>0.22739726027397261</v>
      </c>
      <c r="U62" s="47">
        <f>_xll.qlPolynomialFunctionValue($P$18,T62,AllTriggers)</f>
        <v>2.8602908218204725E-3</v>
      </c>
    </row>
    <row r="63" spans="7:21" x14ac:dyDescent="0.2">
      <c r="R63" s="212">
        <f>_xll.qlCalendarAdvance(Calendar,R62,"1D","f")</f>
        <v>42222</v>
      </c>
      <c r="S63" s="47">
        <f>_xll.qlTenorBasisValue($P$3,R63,AllTriggers)</f>
        <v>3.0012421888496528E-3</v>
      </c>
      <c r="T63" s="41">
        <f>_xll.qlDayCounterYearFraction("actual/365 (fixed)",SettlementDate,R63,,,Trigger)</f>
        <v>0.23013698630136986</v>
      </c>
      <c r="U63" s="47">
        <f>_xll.qlPolynomialFunctionValue($P$18,T63,AllTriggers)</f>
        <v>2.8615681088286545E-3</v>
      </c>
    </row>
    <row r="64" spans="7:21" x14ac:dyDescent="0.2">
      <c r="R64" s="212">
        <f>_xll.qlCalendarAdvance(Calendar,R63,"1D","f")</f>
        <v>42223</v>
      </c>
      <c r="S64" s="47">
        <f>_xll.qlTenorBasisValue($P$3,R64,AllTriggers)</f>
        <v>3.0018084240422318E-3</v>
      </c>
      <c r="T64" s="41">
        <f>_xll.qlDayCounterYearFraction("actual/365 (fixed)",SettlementDate,R64,,,Trigger)</f>
        <v>0.23287671232876711</v>
      </c>
      <c r="U64" s="47">
        <f>_xll.qlPolynomialFunctionValue($P$18,T64,AllTriggers)</f>
        <v>2.8628398510880033E-3</v>
      </c>
    </row>
    <row r="65" spans="18:21" x14ac:dyDescent="0.2">
      <c r="R65" s="212">
        <f>_xll.qlCalendarAdvance(Calendar,R64,"1D","f")</f>
        <v>42226</v>
      </c>
      <c r="S65" s="47">
        <f>_xll.qlTenorBasisValue($P$3,R65,AllTriggers)</f>
        <v>3.0034898057401216E-3</v>
      </c>
      <c r="T65" s="41">
        <f>_xll.qlDayCounterYearFraction("actual/365 (fixed)",SettlementDate,R65,,,Trigger)</f>
        <v>0.24109589041095891</v>
      </c>
      <c r="U65" s="47">
        <f>_xll.qlPolynomialFunctionValue($P$18,T65,AllTriggers)</f>
        <v>2.8666219505591216E-3</v>
      </c>
    </row>
    <row r="66" spans="18:21" x14ac:dyDescent="0.2">
      <c r="R66" s="212">
        <f>_xll.qlCalendarAdvance(Calendar,R65,"1D","f")</f>
        <v>42227</v>
      </c>
      <c r="S66" s="47">
        <f>_xll.qlTenorBasisValue($P$3,R66,AllTriggers)</f>
        <v>3.0040445387414906E-3</v>
      </c>
      <c r="T66" s="41">
        <f>_xll.qlDayCounterYearFraction("actual/365 (fixed)",SettlementDate,R66,,,Trigger)</f>
        <v>0.24383561643835616</v>
      </c>
      <c r="U66" s="47">
        <f>_xll.qlPolynomialFunctionValue($P$18,T66,AllTriggers)</f>
        <v>2.8678716550092067E-3</v>
      </c>
    </row>
    <row r="67" spans="18:21" x14ac:dyDescent="0.2">
      <c r="R67" s="212">
        <f>_xll.qlCalendarAdvance(Calendar,R66,"1D","f")</f>
        <v>42228</v>
      </c>
      <c r="S67" s="47">
        <f>_xll.qlTenorBasisValue($P$3,R67,AllTriggers)</f>
        <v>3.0045964314915747E-3</v>
      </c>
      <c r="T67" s="41">
        <f>_xll.qlDayCounterYearFraction("actual/365 (fixed)",SettlementDate,R67,,,Trigger)</f>
        <v>0.24657534246575341</v>
      </c>
      <c r="U67" s="47">
        <f>_xll.qlPolynomialFunctionValue($P$18,T67,AllTriggers)</f>
        <v>2.8691158853034926E-3</v>
      </c>
    </row>
    <row r="68" spans="18:21" x14ac:dyDescent="0.2">
      <c r="R68" s="212">
        <f>_xll.qlCalendarAdvance(Calendar,R67,"1D","f")</f>
        <v>42229</v>
      </c>
      <c r="S68" s="47">
        <f>_xll.qlTenorBasisValue($P$3,R68,AllTriggers)</f>
        <v>3.0051454981089793E-3</v>
      </c>
      <c r="T68" s="41">
        <f>_xll.qlDayCounterYearFraction("actual/365 (fixed)",SettlementDate,R68,,,Trigger)</f>
        <v>0.24931506849315069</v>
      </c>
      <c r="U68" s="47">
        <f>_xll.qlPolynomialFunctionValue($P$18,T68,AllTriggers)</f>
        <v>2.8703546555605857E-3</v>
      </c>
    </row>
    <row r="69" spans="18:21" x14ac:dyDescent="0.2">
      <c r="R69" s="212">
        <f>_xll.qlCalendarAdvance(Calendar,R68,"1D","f")</f>
        <v>42230</v>
      </c>
      <c r="S69" s="47">
        <f>_xll.qlTenorBasisValue($P$3,R69,AllTriggers)</f>
        <v>3.0056917527123118E-3</v>
      </c>
      <c r="T69" s="41">
        <f>_xll.qlDayCounterYearFraction("actual/365 (fixed)",SettlementDate,R69,,,Trigger)</f>
        <v>0.25205479452054796</v>
      </c>
      <c r="U69" s="47">
        <f>_xll.qlPolynomialFunctionValue($P$18,T69,AllTriggers)</f>
        <v>2.8715879798990934E-3</v>
      </c>
    </row>
    <row r="70" spans="18:21" x14ac:dyDescent="0.2">
      <c r="R70" s="212">
        <f>_xll.qlCalendarAdvance(Calendar,R69,"1D","f")</f>
        <v>42233</v>
      </c>
      <c r="S70" s="47">
        <f>_xll.qlTenorBasisValue($P$3,R70,AllTriggers)</f>
        <v>3.0073137856239415E-3</v>
      </c>
      <c r="T70" s="41">
        <f>_xll.qlDayCounterYearFraction("actual/365 (fixed)",SettlementDate,R70,,,Trigger)</f>
        <v>0.26027397260273971</v>
      </c>
      <c r="U70" s="47">
        <f>_xll.qlPolynomialFunctionValue($P$18,T70,AllTriggers)</f>
        <v>2.8752554185891678E-3</v>
      </c>
    </row>
    <row r="71" spans="18:21" x14ac:dyDescent="0.2">
      <c r="R71" s="212">
        <f>_xll.qlCalendarAdvance(Calendar,R70,"1D","f")</f>
        <v>42234</v>
      </c>
      <c r="S71" s="47">
        <f>_xll.qlTenorBasisValue($P$3,R71,AllTriggers)</f>
        <v>3.0078489333570514E-3</v>
      </c>
      <c r="T71" s="41">
        <f>_xll.qlDayCounterYearFraction("actual/365 (fixed)",SettlementDate,R71,,,Trigger)</f>
        <v>0.26301369863013696</v>
      </c>
      <c r="U71" s="47">
        <f>_xll.qlPolynomialFunctionValue($P$18,T71,AllTriggers)</f>
        <v>2.8764671004393987E-3</v>
      </c>
    </row>
    <row r="72" spans="18:21" x14ac:dyDescent="0.2">
      <c r="R72" s="212">
        <f>_xll.qlCalendarAdvance(Calendar,R71,"1D","f")</f>
        <v>42235</v>
      </c>
      <c r="S72" s="47">
        <f>_xll.qlTenorBasisValue($P$3,R72,AllTriggers)</f>
        <v>3.0083813396691219E-3</v>
      </c>
      <c r="T72" s="41">
        <f>_xll.qlDayCounterYearFraction("actual/365 (fixed)",SettlementDate,R72,,,Trigger)</f>
        <v>0.26575342465753427</v>
      </c>
      <c r="U72" s="47">
        <f>_xll.qlPolynomialFunctionValue($P$18,T72,AllTriggers)</f>
        <v>2.8776734069640773E-3</v>
      </c>
    </row>
    <row r="73" spans="18:21" x14ac:dyDescent="0.2">
      <c r="R73" s="212">
        <f>_xll.qlCalendarAdvance(Calendar,R72,"1D","f")</f>
        <v>42236</v>
      </c>
      <c r="S73" s="47">
        <f>_xll.qlTenorBasisValue($P$3,R73,AllTriggers)</f>
        <v>3.0089110186787608E-3</v>
      </c>
      <c r="T73" s="41">
        <f>_xll.qlDayCounterYearFraction("actual/365 (fixed)",SettlementDate,R73,,,Trigger)</f>
        <v>0.26849315068493151</v>
      </c>
      <c r="U73" s="47">
        <f>_xll.qlPolynomialFunctionValue($P$18,T73,AllTriggers)</f>
        <v>2.8788743522818096E-3</v>
      </c>
    </row>
    <row r="74" spans="18:21" x14ac:dyDescent="0.2">
      <c r="R74" s="212">
        <f>_xll.qlCalendarAdvance(Calendar,R73,"1D","f")</f>
        <v>42237</v>
      </c>
      <c r="S74" s="47">
        <f>_xll.qlTenorBasisValue($P$3,R74,AllTriggers)</f>
        <v>3.0094379845045736E-3</v>
      </c>
      <c r="T74" s="41">
        <f>_xll.qlDayCounterYearFraction("actual/365 (fixed)",SettlementDate,R74,,,Trigger)</f>
        <v>0.27123287671232876</v>
      </c>
      <c r="U74" s="47">
        <f>_xll.qlPolynomialFunctionValue($P$18,T74,AllTriggers)</f>
        <v>2.8800699505112035E-3</v>
      </c>
    </row>
    <row r="75" spans="18:21" x14ac:dyDescent="0.2">
      <c r="R75" s="212">
        <f>_xll.qlCalendarAdvance(Calendar,R74,"1D","f")</f>
        <v>42240</v>
      </c>
      <c r="S75" s="47">
        <f>_xll.qlTenorBasisValue($P$3,R75,AllTriggers)</f>
        <v>3.0110027440651255E-3</v>
      </c>
      <c r="T75" s="41">
        <f>_xll.qlDayCounterYearFraction("actual/365 (fixed)",SettlementDate,R75,,,Trigger)</f>
        <v>0.27945205479452057</v>
      </c>
      <c r="U75" s="47">
        <f>_xll.qlPolynomialFunctionValue($P$18,T75,AllTriggers)</f>
        <v>2.8836248038554163E-3</v>
      </c>
    </row>
    <row r="76" spans="18:21" x14ac:dyDescent="0.2">
      <c r="R76" s="212">
        <f>_xll.qlCalendarAdvance(Calendar,R75,"1D","f")</f>
        <v>42241</v>
      </c>
      <c r="S76" s="47">
        <f>_xll.qlTenorBasisValue($P$3,R76,AllTriggers)</f>
        <v>3.0115189983417035E-3</v>
      </c>
      <c r="T76" s="41">
        <f>_xll.qlDayCounterYearFraction("actual/365 (fixed)",SettlementDate,R76,,,Trigger)</f>
        <v>0.28219178082191781</v>
      </c>
      <c r="U76" s="47">
        <f>_xll.qlPolynomialFunctionValue($P$18,T76,AllTriggers)</f>
        <v>2.8847991549175202E-3</v>
      </c>
    </row>
    <row r="77" spans="18:21" x14ac:dyDescent="0.2">
      <c r="R77" s="212">
        <f>_xll.qlCalendarAdvance(Calendar,R76,"1D","f")</f>
        <v>42242</v>
      </c>
      <c r="S77" s="47">
        <f>_xll.qlTenorBasisValue($P$3,R77,AllTriggers)</f>
        <v>3.0120326100274886E-3</v>
      </c>
      <c r="T77" s="41">
        <f>_xll.qlDayCounterYearFraction("actual/365 (fixed)",SettlementDate,R77,,,Trigger)</f>
        <v>0.28493150684931506</v>
      </c>
      <c r="U77" s="47">
        <f>_xll.qlPolynomialFunctionValue($P$18,T77,AllTriggers)</f>
        <v>2.8859682294843187E-3</v>
      </c>
    </row>
    <row r="78" spans="18:21" x14ac:dyDescent="0.2">
      <c r="R78" s="212">
        <f>_xll.qlCalendarAdvance(Calendar,R77,"1D","f")</f>
        <v>42243</v>
      </c>
      <c r="S78" s="47">
        <f>_xll.qlTenorBasisValue($P$3,R78,AllTriggers)</f>
        <v>3.0125435932410885E-3</v>
      </c>
      <c r="T78" s="41">
        <f>_xll.qlDayCounterYearFraction("actual/365 (fixed)",SettlementDate,R78,,,Trigger)</f>
        <v>0.28767123287671231</v>
      </c>
      <c r="U78" s="47">
        <f>_xll.qlPolynomialFunctionValue($P$18,T78,AllTriggers)</f>
        <v>2.8871320416744184E-3</v>
      </c>
    </row>
    <row r="79" spans="18:21" x14ac:dyDescent="0.2">
      <c r="R79" s="212">
        <f>_xll.qlCalendarAdvance(Calendar,R78,"1D","f")</f>
        <v>42244</v>
      </c>
      <c r="S79" s="47">
        <f>_xll.qlTenorBasisValue($P$3,R79,AllTriggers)</f>
        <v>3.0130519621011098E-3</v>
      </c>
      <c r="T79" s="41">
        <f>_xll.qlDayCounterYearFraction("actual/365 (fixed)",SettlementDate,R79,,,Trigger)</f>
        <v>0.29041095890410956</v>
      </c>
      <c r="U79" s="47">
        <f>_xll.qlPolynomialFunctionValue($P$18,T79,AllTriggers)</f>
        <v>2.8882906056064256E-3</v>
      </c>
    </row>
    <row r="80" spans="18:21" x14ac:dyDescent="0.2">
      <c r="R80" s="212">
        <f>_xll.qlCalendarAdvance(Calendar,R79,"1D","f")</f>
        <v>42247</v>
      </c>
      <c r="S80" s="47">
        <f>_xll.qlTenorBasisValue($P$3,R80,AllTriggers)</f>
        <v>3.0145615237457675E-3</v>
      </c>
      <c r="T80" s="41">
        <f>_xll.qlDayCounterYearFraction("actual/365 (fixed)",SettlementDate,R80,,,Trigger)</f>
        <v>0.29863013698630136</v>
      </c>
      <c r="U80" s="47">
        <f>_xll.qlPolynomialFunctionValue($P$18,T80,AllTriggers)</f>
        <v>2.8917349490399599E-3</v>
      </c>
    </row>
    <row r="81" spans="18:21" x14ac:dyDescent="0.2">
      <c r="R81" s="212">
        <f>_xll.qlCalendarAdvance(Calendar,R80,"1D","f")</f>
        <v>42248</v>
      </c>
      <c r="S81" s="47">
        <f>_xll.qlTenorBasisValue($P$3,R81,AllTriggers)</f>
        <v>3.0150595763775399E-3</v>
      </c>
      <c r="T81" s="41">
        <f>_xll.qlDayCounterYearFraction("actual/365 (fixed)",SettlementDate,R81,,,Trigger)</f>
        <v>0.30136986301369861</v>
      </c>
      <c r="U81" s="47">
        <f>_xll.qlPolynomialFunctionValue($P$18,T81,AllTriggers)</f>
        <v>2.8928726611256645E-3</v>
      </c>
    </row>
    <row r="82" spans="18:21" x14ac:dyDescent="0.2">
      <c r="R82" s="212">
        <f>_xll.qlCalendarAdvance(Calendar,R81,"1D","f")</f>
        <v>42249</v>
      </c>
      <c r="S82" s="47">
        <f>_xll.qlTenorBasisValue($P$3,R82,AllTriggers)</f>
        <v>3.0155550852487677E-3</v>
      </c>
      <c r="T82" s="41">
        <f>_xll.qlDayCounterYearFraction("actual/365 (fixed)",SettlementDate,R82,,,Trigger)</f>
        <v>0.30410958904109592</v>
      </c>
      <c r="U82" s="47">
        <f>_xll.qlPolynomialFunctionValue($P$18,T82,AllTriggers)</f>
        <v>2.8940051955463103E-3</v>
      </c>
    </row>
    <row r="83" spans="18:21" x14ac:dyDescent="0.2">
      <c r="R83" s="212">
        <f>_xll.qlCalendarAdvance(Calendar,R82,"1D","f")</f>
        <v>42250</v>
      </c>
      <c r="S83" s="47">
        <f>_xll.qlTenorBasisValue($P$3,R83,AllTriggers)</f>
        <v>3.016048064478056E-3</v>
      </c>
      <c r="T83" s="41">
        <f>_xll.qlDayCounterYearFraction("actual/365 (fixed)",SettlementDate,R83,,,Trigger)</f>
        <v>0.30684931506849317</v>
      </c>
      <c r="U83" s="47">
        <f>_xll.qlPolynomialFunctionValue($P$18,T83,AllTriggers)</f>
        <v>2.8951325664205037E-3</v>
      </c>
    </row>
    <row r="84" spans="18:21" x14ac:dyDescent="0.2">
      <c r="R84" s="212">
        <f>_xll.qlCalendarAdvance(Calendar,R83,"1D","f")</f>
        <v>42251</v>
      </c>
      <c r="S84" s="47">
        <f>_xll.qlTenorBasisValue($P$3,R84,AllTriggers)</f>
        <v>3.0165385281840131E-3</v>
      </c>
      <c r="T84" s="41">
        <f>_xll.qlDayCounterYearFraction("actual/365 (fixed)",SettlementDate,R84,,,Trigger)</f>
        <v>0.30958904109589042</v>
      </c>
      <c r="U84" s="47">
        <f>_xll.qlPolynomialFunctionValue($P$18,T84,AllTriggers)</f>
        <v>2.8962547878668521E-3</v>
      </c>
    </row>
    <row r="85" spans="18:21" x14ac:dyDescent="0.2">
      <c r="R85" s="212">
        <f>_xll.qlCalendarAdvance(Calendar,R84,"1D","f")</f>
        <v>42254</v>
      </c>
      <c r="S85" s="47">
        <f>_xll.qlTenorBasisValue($P$3,R85,AllTriggers)</f>
        <v>3.0179949673479582E-3</v>
      </c>
      <c r="T85" s="41">
        <f>_xll.qlDayCounterYearFraction("actual/365 (fixed)",SettlementDate,R85,,,Trigger)</f>
        <v>0.31780821917808222</v>
      </c>
      <c r="U85" s="47">
        <f>_xll.qlPolynomialFunctionValue($P$18,T85,AllTriggers)</f>
        <v>2.89959069682489E-3</v>
      </c>
    </row>
    <row r="86" spans="18:21" x14ac:dyDescent="0.2">
      <c r="R86" s="212">
        <f>_xll.qlCalendarAdvance(Calendar,R85,"1D","f")</f>
        <v>42255</v>
      </c>
      <c r="S86" s="47">
        <f>_xll.qlTenorBasisValue($P$3,R86,AllTriggers)</f>
        <v>3.0184755101466533E-3</v>
      </c>
      <c r="T86" s="41">
        <f>_xll.qlDayCounterYearFraction("actual/365 (fixed)",SettlementDate,R86,,,Trigger)</f>
        <v>0.32054794520547947</v>
      </c>
      <c r="U86" s="47">
        <f>_xll.qlPolynomialFunctionValue($P$18,T86,AllTriggers)</f>
        <v>2.9006924617459226E-3</v>
      </c>
    </row>
    <row r="87" spans="18:21" x14ac:dyDescent="0.2">
      <c r="R87" s="212">
        <f>_xll.qlCalendarAdvance(Calendar,R86,"1D","f")</f>
        <v>42256</v>
      </c>
      <c r="S87" s="47">
        <f>_xll.qlTenorBasisValue($P$3,R87,AllTriggers)</f>
        <v>3.0189536080150506E-3</v>
      </c>
      <c r="T87" s="41">
        <f>_xll.qlDayCounterYearFraction("actual/365 (fixed)",SettlementDate,R87,,,Trigger)</f>
        <v>0.32328767123287672</v>
      </c>
      <c r="U87" s="47">
        <f>_xll.qlPolynomialFunctionValue($P$18,T87,AllTriggers)</f>
        <v>2.9017891478321433E-3</v>
      </c>
    </row>
    <row r="88" spans="18:21" x14ac:dyDescent="0.2">
      <c r="R88" s="212">
        <f>_xll.qlCalendarAdvance(Calendar,R87,"1D","f")</f>
        <v>42257</v>
      </c>
      <c r="S88" s="47">
        <f>_xll.qlTenorBasisValue($P$3,R88,AllTriggers)</f>
        <v>3.0194292750717554E-3</v>
      </c>
      <c r="T88" s="41">
        <f>_xll.qlDayCounterYearFraction("actual/365 (fixed)",SettlementDate,R88,,,Trigger)</f>
        <v>0.32602739726027397</v>
      </c>
      <c r="U88" s="47">
        <f>_xll.qlPolynomialFunctionValue($P$18,T88,AllTriggers)</f>
        <v>2.9028807692021586E-3</v>
      </c>
    </row>
    <row r="89" spans="18:21" x14ac:dyDescent="0.2">
      <c r="R89" s="212">
        <f>_xll.qlCalendarAdvance(Calendar,R88,"1D","f")</f>
        <v>42258</v>
      </c>
      <c r="S89" s="47">
        <f>_xll.qlTenorBasisValue($P$3,R89,AllTriggers)</f>
        <v>3.0199025254353754E-3</v>
      </c>
      <c r="T89" s="41">
        <f>_xll.qlDayCounterYearFraction("actual/365 (fixed)",SettlementDate,R89,,,Trigger)</f>
        <v>0.32876712328767121</v>
      </c>
      <c r="U89" s="47">
        <f>_xll.qlPolynomialFunctionValue($P$18,T89,AllTriggers)</f>
        <v>2.9039673399745753E-3</v>
      </c>
    </row>
    <row r="90" spans="18:21" x14ac:dyDescent="0.2">
      <c r="R90" s="212">
        <f>_xll.qlCalendarAdvance(Calendar,R89,"1D","f")</f>
        <v>42261</v>
      </c>
      <c r="S90" s="47">
        <f>_xll.qlTenorBasisValue($P$3,R90,AllTriggers)</f>
        <v>3.0213079175537903E-3</v>
      </c>
      <c r="T90" s="41">
        <f>_xll.qlDayCounterYearFraction("actual/365 (fixed)",SettlementDate,R90,,,Trigger)</f>
        <v>0.33698630136986302</v>
      </c>
      <c r="U90" s="47">
        <f>_xll.qlPolynomialFunctionValue($P$18,T90,AllTriggers)</f>
        <v>2.9071968898922995E-3</v>
      </c>
    </row>
    <row r="91" spans="18:21" x14ac:dyDescent="0.2">
      <c r="R91" s="212">
        <f>_xll.qlCalendarAdvance(Calendar,R90,"1D","f")</f>
        <v>42262</v>
      </c>
      <c r="S91" s="47">
        <f>_xll.qlTenorBasisValue($P$3,R91,AllTriggers)</f>
        <v>3.0217716423311365E-3</v>
      </c>
      <c r="T91" s="41">
        <f>_xll.qlDayCounterYearFraction("actual/365 (fixed)",SettlementDate,R91,,,Trigger)</f>
        <v>0.33972602739726027</v>
      </c>
      <c r="U91" s="47">
        <f>_xll.qlPolynomialFunctionValue($P$18,T91,AllTriggers)</f>
        <v>2.9082633994603883E-3</v>
      </c>
    </row>
    <row r="92" spans="18:21" x14ac:dyDescent="0.2">
      <c r="R92" s="212">
        <f>_xll.qlCalendarAdvance(Calendar,R91,"1D","f")</f>
        <v>42263</v>
      </c>
      <c r="S92" s="47">
        <f>_xll.qlTenorBasisValue($P$3,R92,AllTriggers)</f>
        <v>3.0222330210084303E-3</v>
      </c>
      <c r="T92" s="41">
        <f>_xll.qlDayCounterYearFraction("actual/365 (fixed)",SettlementDate,R92,,,Trigger)</f>
        <v>0.34246575342465752</v>
      </c>
      <c r="U92" s="47">
        <f>_xll.qlPolynomialFunctionValue($P$18,T92,AllTriggers)</f>
        <v>2.9093249290239116E-3</v>
      </c>
    </row>
    <row r="93" spans="18:21" x14ac:dyDescent="0.2">
      <c r="R93" s="212">
        <f>_xll.qlCalendarAdvance(Calendar,R92,"1D","f")</f>
        <v>42264</v>
      </c>
      <c r="S93" s="47">
        <f>_xll.qlTenorBasisValue($P$3,R93,AllTriggers)</f>
        <v>3.0226920677042792E-3</v>
      </c>
      <c r="T93" s="41">
        <f>_xll.qlDayCounterYearFraction("actual/365 (fixed)",SettlementDate,R93,,,Trigger)</f>
        <v>0.34520547945205482</v>
      </c>
      <c r="U93" s="47">
        <f>_xll.qlPolynomialFunctionValue($P$18,T93,AllTriggers)</f>
        <v>2.9103814927014761E-3</v>
      </c>
    </row>
    <row r="94" spans="18:21" x14ac:dyDescent="0.2">
      <c r="R94" s="212">
        <f>_xll.qlCalendarAdvance(Calendar,R93,"1D","f")</f>
        <v>42265</v>
      </c>
      <c r="S94" s="47">
        <f>_xll.qlTenorBasisValue($P$3,R94,AllTriggers)</f>
        <v>3.0231487965372895E-3</v>
      </c>
      <c r="T94" s="41">
        <f>_xll.qlDayCounterYearFraction("actual/365 (fixed)",SettlementDate,R94,,,Trigger)</f>
        <v>0.34794520547945207</v>
      </c>
      <c r="U94" s="47">
        <f>_xll.qlPolynomialFunctionValue($P$18,T94,AllTriggers)</f>
        <v>2.911433104611688E-3</v>
      </c>
    </row>
    <row r="95" spans="18:21" x14ac:dyDescent="0.2">
      <c r="R95" s="212">
        <f>_xll.qlCalendarAdvance(Calendar,R94,"1D","f")</f>
        <v>42268</v>
      </c>
      <c r="S95" s="47">
        <f>_xll.qlTenorBasisValue($P$3,R95,AllTriggers)</f>
        <v>3.0245052170453572E-3</v>
      </c>
      <c r="T95" s="41">
        <f>_xll.qlDayCounterYearFraction("actual/365 (fixed)",SettlementDate,R95,,,Trigger)</f>
        <v>0.35616438356164382</v>
      </c>
      <c r="U95" s="47">
        <f>_xll.qlPolynomialFunctionValue($P$18,T95,AllTriggers)</f>
        <v>2.9145583709242816E-3</v>
      </c>
    </row>
    <row r="96" spans="18:21" x14ac:dyDescent="0.2">
      <c r="R96" s="212">
        <f>_xll.qlCalendarAdvance(Calendar,R95,"1D","f")</f>
        <v>42269</v>
      </c>
      <c r="S96" s="47">
        <f>_xll.qlTenorBasisValue($P$3,R96,AllTriggers)</f>
        <v>3.0249528156130806E-3</v>
      </c>
      <c r="T96" s="41">
        <f>_xll.qlDayCounterYearFraction("actual/365 (fixed)",SettlementDate,R96,,,Trigger)</f>
        <v>0.35890410958904112</v>
      </c>
      <c r="U96" s="47">
        <f>_xll.qlPolynomialFunctionValue($P$18,T96,AllTriggers)</f>
        <v>2.9155903169511528E-3</v>
      </c>
    </row>
    <row r="97" spans="18:21" x14ac:dyDescent="0.2">
      <c r="R97" s="212">
        <f>_xll.qlCalendarAdvance(Calendar,R96,"1D","f")</f>
        <v>42270</v>
      </c>
      <c r="S97" s="47">
        <f>_xll.qlTenorBasisValue($P$3,R97,AllTriggers)</f>
        <v>3.0253981669109988E-3</v>
      </c>
      <c r="T97" s="41">
        <f>_xll.qlDayCounterYearFraction("actual/365 (fixed)",SettlementDate,R97,,,Trigger)</f>
        <v>0.36164383561643837</v>
      </c>
      <c r="U97" s="47">
        <f>_xll.qlPolynomialFunctionValue($P$18,T97,AllTriggers)</f>
        <v>2.9166173818037061E-3</v>
      </c>
    </row>
    <row r="98" spans="18:21" x14ac:dyDescent="0.2">
      <c r="R98" s="212">
        <f>_xll.qlCalendarAdvance(Calendar,R97,"1D","f")</f>
        <v>42271</v>
      </c>
      <c r="S98" s="47">
        <f>_xll.qlTenorBasisValue($P$3,R98,AllTriggers)</f>
        <v>3.0258412850577192E-3</v>
      </c>
      <c r="T98" s="41">
        <f>_xll.qlDayCounterYearFraction("actual/365 (fixed)",SettlementDate,R98,,,Trigger)</f>
        <v>0.36438356164383562</v>
      </c>
      <c r="U98" s="47">
        <f>_xll.qlPolynomialFunctionValue($P$18,T98,AllTriggers)</f>
        <v>2.9176395796005469E-3</v>
      </c>
    </row>
    <row r="99" spans="18:21" x14ac:dyDescent="0.2">
      <c r="R99" s="212">
        <f>_xll.qlCalendarAdvance(Calendar,R98,"1D","f")</f>
        <v>42272</v>
      </c>
      <c r="S99" s="47">
        <f>_xll.qlTenorBasisValue($P$3,R99,AllTriggers)</f>
        <v>3.0262821841718474E-3</v>
      </c>
      <c r="T99" s="41">
        <f>_xll.qlDayCounterYearFraction("actual/365 (fixed)",SettlementDate,R99,,,Trigger)</f>
        <v>0.36712328767123287</v>
      </c>
      <c r="U99" s="47">
        <f>_xll.qlPolynomialFunctionValue($P$18,T99,AllTriggers)</f>
        <v>2.918656924460283E-3</v>
      </c>
    </row>
    <row r="100" spans="18:21" x14ac:dyDescent="0.2">
      <c r="R100" s="212">
        <f>_xll.qlCalendarAdvance(Calendar,R99,"1D","f")</f>
        <v>42275</v>
      </c>
      <c r="S100" s="47">
        <f>_xll.qlTenorBasisValue($P$3,R100,AllTriggers)</f>
        <v>3.0275917085047506E-3</v>
      </c>
      <c r="T100" s="41">
        <f>_xll.qlDayCounterYearFraction("actual/365 (fixed)",SettlementDate,R100,,,Trigger)</f>
        <v>0.37534246575342467</v>
      </c>
      <c r="U100" s="47">
        <f>_xll.qlPolynomialFunctionValue($P$18,T100,AllTriggers)</f>
        <v>2.9216799826029269E-3</v>
      </c>
    </row>
    <row r="101" spans="18:21" x14ac:dyDescent="0.2">
      <c r="R101" s="212">
        <f>_xll.qlCalendarAdvance(Calendar,R100,"1D","f")</f>
        <v>42276</v>
      </c>
      <c r="S101" s="47">
        <f>_xll.qlTenorBasisValue($P$3,R101,AllTriggers)</f>
        <v>3.0280238726745788E-3</v>
      </c>
      <c r="T101" s="41">
        <f>_xll.qlDayCounterYearFraction("actual/365 (fixed)",SettlementDate,R101,,,Trigger)</f>
        <v>0.37808219178082192</v>
      </c>
      <c r="U101" s="47">
        <f>_xll.qlPolynomialFunctionValue($P$18,T101,AllTriggers)</f>
        <v>2.9226780569003097E-3</v>
      </c>
    </row>
    <row r="102" spans="18:21" x14ac:dyDescent="0.2">
      <c r="R102" s="212">
        <f>_xll.qlCalendarAdvance(Calendar,R101,"1D","f")</f>
        <v>42277</v>
      </c>
      <c r="S102" s="47">
        <f>_xll.qlTenorBasisValue($P$3,R102,AllTriggers)</f>
        <v>3.0284538884048496E-3</v>
      </c>
      <c r="T102" s="41">
        <f>_xll.qlDayCounterYearFraction("actual/365 (fixed)",SettlementDate,R102,,,Trigger)</f>
        <v>0.38082191780821917</v>
      </c>
      <c r="U102" s="47">
        <f>_xll.qlPolynomialFunctionValue($P$18,T102,AllTriggers)</f>
        <v>2.9236713488536201E-3</v>
      </c>
    </row>
    <row r="103" spans="18:21" x14ac:dyDescent="0.2">
      <c r="R103" s="212">
        <f>_xll.qlCalendarAdvance(Calendar,R102,"1D","f")</f>
        <v>42278</v>
      </c>
      <c r="S103" s="47">
        <f>_xll.qlTenorBasisValue($P$3,R103,AllTriggers)</f>
        <v>3.0288817698141688E-3</v>
      </c>
      <c r="T103" s="41">
        <f>_xll.qlDayCounterYearFraction("actual/365 (fixed)",SettlementDate,R103,,,Trigger)</f>
        <v>0.38356164383561642</v>
      </c>
      <c r="U103" s="47">
        <f>_xll.qlPolynomialFunctionValue($P$18,T103,AllTriggers)</f>
        <v>2.9246598725814654E-3</v>
      </c>
    </row>
    <row r="104" spans="18:21" x14ac:dyDescent="0.2">
      <c r="R104" s="212">
        <f>_xll.qlCalendarAdvance(Calendar,R103,"1D","f")</f>
        <v>42279</v>
      </c>
      <c r="S104" s="47">
        <f>_xll.qlTenorBasisValue($P$3,R104,AllTriggers)</f>
        <v>3.0293075310211426E-3</v>
      </c>
      <c r="T104" s="41">
        <f>_xll.qlDayCounterYearFraction("actual/365 (fixed)",SettlementDate,R104,,,Trigger)</f>
        <v>0.38630136986301372</v>
      </c>
      <c r="U104" s="47">
        <f>_xll.qlPolynomialFunctionValue($P$18,T104,AllTriggers)</f>
        <v>2.9256436422024521E-3</v>
      </c>
    </row>
    <row r="105" spans="18:21" x14ac:dyDescent="0.2">
      <c r="R105" s="212">
        <f>_xll.qlCalendarAdvance(Calendar,R104,"1D","f")</f>
        <v>42282</v>
      </c>
      <c r="S105" s="47">
        <f>_xll.qlTenorBasisValue($P$3,R105,AllTriggers)</f>
        <v>3.0305722346140626E-3</v>
      </c>
      <c r="T105" s="41">
        <f>_xll.qlDayCounterYearFraction("actual/365 (fixed)",SettlementDate,R105,,,Trigger)</f>
        <v>0.39452054794520547</v>
      </c>
      <c r="U105" s="47">
        <f>_xll.qlPolynomialFunctionValue($P$18,T105,AllTriggers)</f>
        <v>2.9285665676103299E-3</v>
      </c>
    </row>
    <row r="106" spans="18:21" x14ac:dyDescent="0.2">
      <c r="R106" s="212">
        <f>_xll.qlCalendarAdvance(Calendar,R105,"1D","f")</f>
        <v>42283</v>
      </c>
      <c r="S106" s="47">
        <f>_xll.qlTenorBasisValue($P$3,R106,AllTriggers)</f>
        <v>3.0309896561977238E-3</v>
      </c>
      <c r="T106" s="41">
        <f>_xll.qlDayCounterYearFraction("actual/365 (fixed)",SettlementDate,R106,,,Trigger)</f>
        <v>0.39726027397260272</v>
      </c>
      <c r="U106" s="47">
        <f>_xll.qlPolynomialFunctionValue($P$18,T106,AllTriggers)</f>
        <v>2.9295314619899506E-3</v>
      </c>
    </row>
    <row r="107" spans="18:21" x14ac:dyDescent="0.2">
      <c r="R107" s="212">
        <f>_xll.qlCalendarAdvance(Calendar,R106,"1D","f")</f>
        <v>42284</v>
      </c>
      <c r="S107" s="47">
        <f>_xll.qlTenorBasisValue($P$3,R107,AllTriggers)</f>
        <v>3.0314050281720745E-3</v>
      </c>
      <c r="T107" s="41">
        <f>_xll.qlDayCounterYearFraction("actual/365 (fixed)",SettlementDate,R107,,,Trigger)</f>
        <v>0.4</v>
      </c>
      <c r="U107" s="47">
        <f>_xll.qlPolynomialFunctionValue($P$18,T107,AllTriggers)</f>
        <v>2.9304916728557463E-3</v>
      </c>
    </row>
    <row r="108" spans="18:21" x14ac:dyDescent="0.2">
      <c r="R108" s="212">
        <f>_xll.qlCalendarAdvance(Calendar,R107,"1D","f")</f>
        <v>42285</v>
      </c>
      <c r="S108" s="47">
        <f>_xll.qlTenorBasisValue($P$3,R108,AllTriggers)</f>
        <v>3.0318183646557196E-3</v>
      </c>
      <c r="T108" s="41">
        <f>_xll.qlDayCounterYearFraction("actual/365 (fixed)",SettlementDate,R108,,,Trigger)</f>
        <v>0.40273972602739727</v>
      </c>
      <c r="U108" s="47">
        <f>_xll.qlPolynomialFunctionValue($P$18,T108,AllTriggers)</f>
        <v>2.931447214326323E-3</v>
      </c>
    </row>
    <row r="109" spans="18:21" x14ac:dyDescent="0.2">
      <c r="R109" s="212">
        <f>_xll.qlCalendarAdvance(Calendar,R108,"1D","f")</f>
        <v>42286</v>
      </c>
      <c r="S109" s="47">
        <f>_xll.qlTenorBasisValue($P$3,R109,AllTriggers)</f>
        <v>3.0322296797672668E-3</v>
      </c>
      <c r="T109" s="41">
        <f>_xll.qlDayCounterYearFraction("actual/365 (fixed)",SettlementDate,R109,,,Trigger)</f>
        <v>0.40547945205479452</v>
      </c>
      <c r="U109" s="47">
        <f>_xll.qlPolynomialFunctionValue($P$18,T109,AllTriggers)</f>
        <v>2.9323981005202884E-3</v>
      </c>
    </row>
    <row r="110" spans="18:21" x14ac:dyDescent="0.2">
      <c r="R110" s="212">
        <f>_xll.qlCalendarAdvance(Calendar,R109,"1D","f")</f>
        <v>42289</v>
      </c>
      <c r="S110" s="47">
        <f>_xll.qlTenorBasisValue($P$3,R110,AllTriggers)</f>
        <v>3.0334516380553862E-3</v>
      </c>
      <c r="T110" s="41">
        <f>_xll.qlDayCounterYearFraction("actual/365 (fixed)",SettlementDate,R110,,,Trigger)</f>
        <v>0.41369863013698632</v>
      </c>
      <c r="U110" s="47">
        <f>_xll.qlPolynomialFunctionValue($P$18,T110,AllTriggers)</f>
        <v>2.9352229686285818E-3</v>
      </c>
    </row>
    <row r="111" spans="18:21" x14ac:dyDescent="0.2">
      <c r="R111" s="212">
        <f>_xll.qlCalendarAdvance(Calendar,R110,"1D","f")</f>
        <v>42290</v>
      </c>
      <c r="S111" s="47">
        <f>_xll.qlTenorBasisValue($P$3,R111,AllTriggers)</f>
        <v>3.0338550088646085E-3</v>
      </c>
      <c r="T111" s="41">
        <f>_xll.qlDayCounterYearFraction("actual/365 (fixed)",SettlementDate,R111,,,Trigger)</f>
        <v>0.41643835616438357</v>
      </c>
      <c r="U111" s="47">
        <f>_xll.qlPolynomialFunctionValue($P$18,T111,AllTriggers)</f>
        <v>2.9361553749021681E-3</v>
      </c>
    </row>
    <row r="112" spans="18:21" x14ac:dyDescent="0.2">
      <c r="R112" s="212">
        <f>_xll.qlCalendarAdvance(Calendar,R111,"1D","f")</f>
        <v>42291</v>
      </c>
      <c r="S112" s="47">
        <f>_xll.qlTenorBasisValue($P$3,R112,AllTriggers)</f>
        <v>3.0342564288947651E-3</v>
      </c>
      <c r="T112" s="41">
        <f>_xll.qlDayCounterYearFraction("actual/365 (fixed)",SettlementDate,R112,,,Trigger)</f>
        <v>0.41917808219178082</v>
      </c>
      <c r="U112" s="47">
        <f>_xll.qlPolynomialFunctionValue($P$18,T112,AllTriggers)</f>
        <v>2.9370831964921754E-3</v>
      </c>
    </row>
    <row r="113" spans="18:21" x14ac:dyDescent="0.2">
      <c r="R113" s="212">
        <f>_xll.qlCalendarAdvance(Calendar,R112,"1D","f")</f>
        <v>42292</v>
      </c>
      <c r="S113" s="47">
        <f>_xll.qlTenorBasisValue($P$3,R113,AllTriggers)</f>
        <v>3.0346559122644647E-3</v>
      </c>
      <c r="T113" s="41">
        <f>_xll.qlDayCounterYearFraction("actual/365 (fixed)",SettlementDate,R113,,,Trigger)</f>
        <v>0.42191780821917807</v>
      </c>
      <c r="U113" s="47">
        <f>_xll.qlPolynomialFunctionValue($P$18,T113,AllTriggers)</f>
        <v>2.938006447517212E-3</v>
      </c>
    </row>
    <row r="114" spans="18:21" x14ac:dyDescent="0.2">
      <c r="R114" s="212">
        <f>_xll.qlCalendarAdvance(Calendar,R113,"1D","f")</f>
        <v>42293</v>
      </c>
      <c r="S114" s="47">
        <f>_xll.qlTenorBasisValue($P$3,R114,AllTriggers)</f>
        <v>3.0350534730923121E-3</v>
      </c>
      <c r="T114" s="41">
        <f>_xll.qlDayCounterYearFraction("actual/365 (fixed)",SettlementDate,R114,,,Trigger)</f>
        <v>0.42465753424657532</v>
      </c>
      <c r="U114" s="47">
        <f>_xll.qlPolynomialFunctionValue($P$18,T114,AllTriggers)</f>
        <v>2.9389251420958839E-3</v>
      </c>
    </row>
    <row r="115" spans="18:21" x14ac:dyDescent="0.2">
      <c r="R115" s="212">
        <f>_xll.qlCalendarAdvance(Calendar,R114,"1D","f")</f>
        <v>42296</v>
      </c>
      <c r="S115" s="47">
        <f>_xll.qlTenorBasisValue($P$3,R115,AllTriggers)</f>
        <v>3.0362347615108141E-3</v>
      </c>
      <c r="T115" s="41">
        <f>_xll.qlDayCounterYearFraction("actual/365 (fixed)",SettlementDate,R115,,,Trigger)</f>
        <v>0.43287671232876712</v>
      </c>
      <c r="U115" s="47">
        <f>_xll.qlPolynomialFunctionValue($P$18,T115,AllTriggers)</f>
        <v>2.941654028339776E-3</v>
      </c>
    </row>
    <row r="116" spans="18:21" x14ac:dyDescent="0.2">
      <c r="R116" s="212">
        <f>_xll.qlCalendarAdvance(Calendar,R115,"1D","f")</f>
        <v>42297</v>
      </c>
      <c r="S116" s="47">
        <f>_xll.qlTenorBasisValue($P$3,R116,AllTriggers)</f>
        <v>3.0366247733573238E-3</v>
      </c>
      <c r="T116" s="41">
        <f>_xll.qlDayCounterYearFraction("actual/365 (fixed)",SettlementDate,R116,,,Trigger)</f>
        <v>0.43561643835616437</v>
      </c>
      <c r="U116" s="47">
        <f>_xll.qlPolynomialFunctionValue($P$18,T116,AllTriggers)</f>
        <v>2.9425546383190552E-3</v>
      </c>
    </row>
    <row r="117" spans="18:21" x14ac:dyDescent="0.2">
      <c r="R117" s="212">
        <f>_xll.qlCalendarAdvance(Calendar,R116,"1D","f")</f>
        <v>42298</v>
      </c>
      <c r="S117" s="47">
        <f>_xll.qlTenorBasisValue($P$3,R117,AllTriggers)</f>
        <v>3.0370129332550158E-3</v>
      </c>
      <c r="T117" s="41">
        <f>_xll.qlDayCounterYearFraction("actual/365 (fixed)",SettlementDate,R117,,,Trigger)</f>
        <v>0.43835616438356162</v>
      </c>
      <c r="U117" s="47">
        <f>_xll.qlPolynomialFunctionValue($P$18,T117,AllTriggers)</f>
        <v>2.9434507624450028E-3</v>
      </c>
    </row>
    <row r="118" spans="18:21" x14ac:dyDescent="0.2">
      <c r="R118" s="212">
        <f>_xll.qlCalendarAdvance(Calendar,R117,"1D","f")</f>
        <v>42299</v>
      </c>
      <c r="S118" s="47">
        <f>_xll.qlTenorBasisValue($P$3,R118,AllTriggers)</f>
        <v>3.0373992553224959E-3</v>
      </c>
      <c r="T118" s="41">
        <f>_xll.qlDayCounterYearFraction("actual/365 (fixed)",SettlementDate,R118,,,Trigger)</f>
        <v>0.44109589041095892</v>
      </c>
      <c r="U118" s="47">
        <f>_xll.qlPolynomialFunctionValue($P$18,T118,AllTriggers)</f>
        <v>2.9443424148362257E-3</v>
      </c>
    </row>
    <row r="119" spans="18:21" x14ac:dyDescent="0.2">
      <c r="R119" s="212">
        <f>_xll.qlCalendarAdvance(Calendar,R118,"1D","f")</f>
        <v>42300</v>
      </c>
      <c r="S119" s="47">
        <f>_xll.qlTenorBasisValue($P$3,R119,AllTriggers)</f>
        <v>3.0377837536783715E-3</v>
      </c>
      <c r="T119" s="41">
        <f>_xll.qlDayCounterYearFraction("actual/365 (fixed)",SettlementDate,R119,,,Trigger)</f>
        <v>0.44383561643835617</v>
      </c>
      <c r="U119" s="47">
        <f>_xll.qlPolynomialFunctionValue($P$18,T119,AllTriggers)</f>
        <v>2.9452296096113308E-3</v>
      </c>
    </row>
    <row r="120" spans="18:21" x14ac:dyDescent="0.2">
      <c r="R120" s="212">
        <f>_xll.qlCalendarAdvance(Calendar,R119,"1D","f")</f>
        <v>42303</v>
      </c>
      <c r="S120" s="47">
        <f>_xll.qlTenorBasisValue($P$3,R120,AllTriggers)</f>
        <v>3.0389264476624392E-3</v>
      </c>
      <c r="T120" s="41">
        <f>_xll.qlDayCounterYearFraction("actual/365 (fixed)",SettlementDate,R120,,,Trigger)</f>
        <v>0.45205479452054792</v>
      </c>
      <c r="U120" s="47">
        <f>_xll.qlPolynomialFunctionValue($P$18,T120,AllTriggers)</f>
        <v>2.9478645894260038E-3</v>
      </c>
    </row>
    <row r="121" spans="18:21" x14ac:dyDescent="0.2">
      <c r="R121" s="212">
        <f>_xll.qlCalendarAdvance(Calendar,R120,"1D","f")</f>
        <v>42304</v>
      </c>
      <c r="S121" s="47">
        <f>_xll.qlTenorBasisValue($P$3,R121,AllTriggers)</f>
        <v>3.0393037923579637E-3</v>
      </c>
      <c r="T121" s="41">
        <f>_xll.qlDayCounterYearFraction("actual/365 (fixed)",SettlementDate,R121,,,Trigger)</f>
        <v>0.45479452054794522</v>
      </c>
      <c r="U121" s="47">
        <f>_xll.qlPolynomialFunctionValue($P$18,T121,AllTriggers)</f>
        <v>2.9487340949227035E-3</v>
      </c>
    </row>
    <row r="122" spans="18:21" x14ac:dyDescent="0.2">
      <c r="R122" s="212">
        <f>_xll.qlCalendarAdvance(Calendar,R121,"1D","f")</f>
        <v>42305</v>
      </c>
      <c r="S122" s="47">
        <f>_xll.qlTenorBasisValue($P$3,R122,AllTriggers)</f>
        <v>3.0396793839349173E-3</v>
      </c>
      <c r="T122" s="41">
        <f>_xll.qlDayCounterYearFraction("actual/365 (fixed)",SettlementDate,R122,,,Trigger)</f>
        <v>0.45753424657534247</v>
      </c>
      <c r="U122" s="47">
        <f>_xll.qlPolynomialFunctionValue($P$18,T122,AllTriggers)</f>
        <v>2.9495992133963186E-3</v>
      </c>
    </row>
    <row r="123" spans="18:21" x14ac:dyDescent="0.2">
      <c r="R123" s="212">
        <f>_xll.qlCalendarAdvance(Calendar,R122,"1D","f")</f>
        <v>42306</v>
      </c>
      <c r="S123" s="47">
        <f>_xll.qlTenorBasisValue($P$3,R123,AllTriggers)</f>
        <v>3.0400532365119064E-3</v>
      </c>
      <c r="T123" s="41">
        <f>_xll.qlDayCounterYearFraction("actual/365 (fixed)",SettlementDate,R123,,,Trigger)</f>
        <v>0.46027397260273972</v>
      </c>
      <c r="U123" s="47">
        <f>_xll.qlPolynomialFunctionValue($P$18,T123,AllTriggers)</f>
        <v>2.9504599589654555E-3</v>
      </c>
    </row>
    <row r="124" spans="18:21" x14ac:dyDescent="0.2">
      <c r="R124" s="212">
        <f>_xll.qlCalendarAdvance(Calendar,R123,"1D","f")</f>
        <v>42307</v>
      </c>
      <c r="S124" s="47">
        <f>_xll.qlTenorBasisValue($P$3,R124,AllTriggers)</f>
        <v>3.0404253642075376E-3</v>
      </c>
      <c r="T124" s="41">
        <f>_xll.qlDayCounterYearFraction("actual/365 (fixed)",SettlementDate,R124,,,Trigger)</f>
        <v>0.46301369863013697</v>
      </c>
      <c r="U124" s="47">
        <f>_xll.qlPolynomialFunctionValue($P$18,T124,AllTriggers)</f>
        <v>2.9513163457487212E-3</v>
      </c>
    </row>
    <row r="125" spans="18:21" x14ac:dyDescent="0.2">
      <c r="R125" s="212">
        <f>_xll.qlCalendarAdvance(Calendar,R124,"1D","f")</f>
        <v>42310</v>
      </c>
      <c r="S125" s="47">
        <f>_xll.qlTenorBasisValue($P$3,R125,AllTriggers)</f>
        <v>3.0415315391923523E-3</v>
      </c>
      <c r="T125" s="41">
        <f>_xll.qlDayCounterYearFraction("actual/365 (fixed)",SettlementDate,R125,,,Trigger)</f>
        <v>0.47123287671232877</v>
      </c>
      <c r="U125" s="47">
        <f>_xll.qlPolynomialFunctionValue($P$18,T125,AllTriggers)</f>
        <v>2.9538594945693586E-3</v>
      </c>
    </row>
    <row r="126" spans="18:21" x14ac:dyDescent="0.2">
      <c r="R126" s="212">
        <f>_xll.qlCalendarAdvance(Calendar,R125,"1D","f")</f>
        <v>42311</v>
      </c>
      <c r="S126" s="47">
        <f>_xll.qlTenorBasisValue($P$3,R126,AllTriggers)</f>
        <v>3.0418969085486197E-3</v>
      </c>
      <c r="T126" s="41">
        <f>_xll.qlDayCounterYearFraction("actual/365 (fixed)",SettlementDate,R126,,,Trigger)</f>
        <v>0.47397260273972602</v>
      </c>
      <c r="U126" s="47">
        <f>_xll.qlPolynomialFunctionValue($P$18,T126,AllTriggers)</f>
        <v>2.9546985873952067E-3</v>
      </c>
    </row>
    <row r="127" spans="18:21" x14ac:dyDescent="0.2">
      <c r="R127" s="212">
        <f>_xll.qlCalendarAdvance(Calendar,R126,"1D","f")</f>
        <v>42312</v>
      </c>
      <c r="S127" s="47">
        <f>_xll.qlTenorBasisValue($P$3,R127,AllTriggers)</f>
        <v>3.0422606236165627E-3</v>
      </c>
      <c r="T127" s="41">
        <f>_xll.qlDayCounterYearFraction("actual/365 (fixed)",SettlementDate,R127,,,Trigger)</f>
        <v>0.47671232876712327</v>
      </c>
      <c r="U127" s="47">
        <f>_xll.qlPolynomialFunctionValue($P$18,T127,AllTriggers)</f>
        <v>2.9555333920282165E-3</v>
      </c>
    </row>
    <row r="128" spans="18:21" x14ac:dyDescent="0.2">
      <c r="R128" s="212">
        <f>_xll.qlCalendarAdvance(Calendar,R127,"1D","f")</f>
        <v>42313</v>
      </c>
      <c r="S128" s="47">
        <f>_xll.qlTenorBasisValue($P$3,R128,AllTriggers)</f>
        <v>3.0426226985147881E-3</v>
      </c>
      <c r="T128" s="41">
        <f>_xll.qlDayCounterYearFraction("actual/365 (fixed)",SettlementDate,R128,,,Trigger)</f>
        <v>0.47945205479452052</v>
      </c>
      <c r="U128" s="47">
        <f>_xll.qlPolynomialFunctionValue($P$18,T128,AllTriggers)</f>
        <v>2.9563639225869951E-3</v>
      </c>
    </row>
    <row r="129" spans="18:21" x14ac:dyDescent="0.2">
      <c r="R129" s="212">
        <f>_xll.qlCalendarAdvance(Calendar,R128,"1D","f")</f>
        <v>42314</v>
      </c>
      <c r="S129" s="47">
        <f>_xll.qlTenorBasisValue($P$3,R129,AllTriggers)</f>
        <v>3.0429831473619026E-3</v>
      </c>
      <c r="T129" s="41">
        <f>_xll.qlDayCounterYearFraction("actual/365 (fixed)",SettlementDate,R129,,,Trigger)</f>
        <v>0.48219178082191783</v>
      </c>
      <c r="U129" s="47">
        <f>_xll.qlPolynomialFunctionValue($P$18,T129,AllTriggers)</f>
        <v>2.9571901931901494E-3</v>
      </c>
    </row>
    <row r="130" spans="18:21" x14ac:dyDescent="0.2">
      <c r="R130" s="212">
        <f>_xll.qlCalendarAdvance(Calendar,R129,"1D","f")</f>
        <v>42317</v>
      </c>
      <c r="S130" s="47">
        <f>_xll.qlTenorBasisValue($P$3,R130,AllTriggers)</f>
        <v>3.0440548787826469E-3</v>
      </c>
      <c r="T130" s="41">
        <f>_xll.qlDayCounterYearFraction("actual/365 (fixed)",SettlementDate,R130,,,Trigger)</f>
        <v>0.49041095890410957</v>
      </c>
      <c r="U130" s="47">
        <f>_xll.qlPolynomialFunctionValue($P$18,T130,AllTriggers)</f>
        <v>2.9596435864519327E-3</v>
      </c>
    </row>
    <row r="131" spans="18:21" x14ac:dyDescent="0.2">
      <c r="R131" s="212">
        <f>_xll.qlCalendarAdvance(Calendar,R130,"1D","f")</f>
        <v>42318</v>
      </c>
      <c r="S131" s="47">
        <f>_xll.qlTenorBasisValue($P$3,R131,AllTriggers)</f>
        <v>3.0444089646113849E-3</v>
      </c>
      <c r="T131" s="41">
        <f>_xll.qlDayCounterYearFraction("actual/365 (fixed)",SettlementDate,R131,,,Trigger)</f>
        <v>0.49315068493150682</v>
      </c>
      <c r="U131" s="47">
        <f>_xll.qlPolynomialFunctionValue($P$18,T131,AllTriggers)</f>
        <v>2.9604529584186558E-3</v>
      </c>
    </row>
    <row r="132" spans="18:21" x14ac:dyDescent="0.2">
      <c r="R132" s="212">
        <f>_xll.qlCalendarAdvance(Calendar,R131,"1D","f")</f>
        <v>42319</v>
      </c>
      <c r="S132" s="47">
        <f>_xll.qlTenorBasisValue($P$3,R132,AllTriggers)</f>
        <v>3.0447614949820445E-3</v>
      </c>
      <c r="T132" s="41">
        <f>_xll.qlDayCounterYearFraction("actual/365 (fixed)",SettlementDate,R132,,,Trigger)</f>
        <v>0.49589041095890413</v>
      </c>
      <c r="U132" s="47">
        <f>_xll.qlPolynomialFunctionValue($P$18,T132,AllTriggers)</f>
        <v>2.9612581410227877E-3</v>
      </c>
    </row>
    <row r="133" spans="18:21" x14ac:dyDescent="0.2">
      <c r="R133" s="212">
        <f>_xll.qlCalendarAdvance(Calendar,R132,"1D","f")</f>
        <v>42320</v>
      </c>
      <c r="S133" s="47">
        <f>_xll.qlTenorBasisValue($P$3,R133,AllTriggers)</f>
        <v>3.0451124840132336E-3</v>
      </c>
      <c r="T133" s="41">
        <f>_xll.qlDayCounterYearFraction("actual/365 (fixed)",SettlementDate,R133,,,Trigger)</f>
        <v>0.49863013698630138</v>
      </c>
      <c r="U133" s="47">
        <f>_xll.qlPolynomialFunctionValue($P$18,T133,AllTriggers)</f>
        <v>2.9620591483829357E-3</v>
      </c>
    </row>
    <row r="134" spans="18:21" x14ac:dyDescent="0.2">
      <c r="R134" s="212">
        <f>_xll.qlCalendarAdvance(Calendar,R133,"1D","f")</f>
        <v>42321</v>
      </c>
      <c r="S134" s="47">
        <f>_xll.qlTenorBasisValue($P$3,R134,AllTriggers)</f>
        <v>3.0454619458235585E-3</v>
      </c>
      <c r="T134" s="41">
        <f>_xll.qlDayCounterYearFraction("actual/365 (fixed)",SettlementDate,R134,,,Trigger)</f>
        <v>0.50136986301369868</v>
      </c>
      <c r="U134" s="47">
        <f>_xll.qlPolynomialFunctionValue($P$18,T134,AllTriggers)</f>
        <v>2.9628559946177058E-3</v>
      </c>
    </row>
    <row r="135" spans="18:21" x14ac:dyDescent="0.2">
      <c r="R135" s="212">
        <f>_xll.qlCalendarAdvance(Calendar,R134,"1D","f")</f>
        <v>42324</v>
      </c>
      <c r="S135" s="47">
        <f>_xll.qlTenorBasisValue($P$3,R135,AllTriggers)</f>
        <v>3.0465013091154152E-3</v>
      </c>
      <c r="T135" s="41">
        <f>_xll.qlDayCounterYearFraction("actual/365 (fixed)",SettlementDate,R135,,,Trigger)</f>
        <v>0.50958904109589043</v>
      </c>
      <c r="U135" s="47">
        <f>_xll.qlPolynomialFunctionValue($P$18,T135,AllTriggers)</f>
        <v>2.9652217077558172E-3</v>
      </c>
    </row>
    <row r="136" spans="18:21" x14ac:dyDescent="0.2">
      <c r="R136" s="212">
        <f>_xll.qlCalendarAdvance(Calendar,R135,"1D","f")</f>
        <v>42325</v>
      </c>
      <c r="S136" s="47">
        <f>_xll.qlTenorBasisValue($P$3,R136,AllTriggers)</f>
        <v>3.0468448032283505E-3</v>
      </c>
      <c r="T136" s="41">
        <f>_xll.qlDayCounterYearFraction("actual/365 (fixed)",SettlementDate,R136,,,Trigger)</f>
        <v>0.51232876712328768</v>
      </c>
      <c r="U136" s="47">
        <f>_xll.qlPolynomialFunctionValue($P$18,T136,AllTriggers)</f>
        <v>2.9660020506751435E-3</v>
      </c>
    </row>
    <row r="137" spans="18:21" x14ac:dyDescent="0.2">
      <c r="R137" s="212">
        <f>_xll.qlCalendarAdvance(Calendar,R136,"1D","f")</f>
        <v>42326</v>
      </c>
      <c r="S137" s="47">
        <f>_xll.qlTenorBasisValue($P$3,R137,AllTriggers)</f>
        <v>3.0471868407134549E-3</v>
      </c>
      <c r="T137" s="41">
        <f>_xll.qlDayCounterYearFraction("actual/365 (fixed)",SettlementDate,R137,,,Trigger)</f>
        <v>0.51506849315068493</v>
      </c>
      <c r="U137" s="47">
        <f>_xll.qlPolynomialFunctionValue($P$18,T137,AllTriggers)</f>
        <v>2.966778303062126E-3</v>
      </c>
    </row>
    <row r="138" spans="18:21" x14ac:dyDescent="0.2">
      <c r="R138" s="212">
        <f>_xll.qlCalendarAdvance(Calendar,R137,"1D","f")</f>
        <v>42327</v>
      </c>
      <c r="S138" s="47">
        <f>_xll.qlTenorBasisValue($P$3,R138,AllTriggers)</f>
        <v>3.0475274356893357E-3</v>
      </c>
      <c r="T138" s="41">
        <f>_xll.qlDayCounterYearFraction("actual/365 (fixed)",SettlementDate,R138,,,Trigger)</f>
        <v>0.51780821917808217</v>
      </c>
      <c r="U138" s="47">
        <f>_xll.qlPolynomialFunctionValue($P$18,T138,AllTriggers)</f>
        <v>2.9675504790353706E-3</v>
      </c>
    </row>
    <row r="139" spans="18:21" x14ac:dyDescent="0.2">
      <c r="R139" s="212">
        <f>_xll.qlCalendarAdvance(Calendar,R138,"1D","f")</f>
        <v>42328</v>
      </c>
      <c r="S139" s="47">
        <f>_xll.qlTenorBasisValue($P$3,R139,AllTriggers)</f>
        <v>3.0478666022745985E-3</v>
      </c>
      <c r="T139" s="41">
        <f>_xll.qlDayCounterYearFraction("actual/365 (fixed)",SettlementDate,R139,,,Trigger)</f>
        <v>0.52054794520547942</v>
      </c>
      <c r="U139" s="47">
        <f>_xll.qlPolynomialFunctionValue($P$18,T139,AllTriggers)</f>
        <v>2.9683185927134844E-3</v>
      </c>
    </row>
    <row r="140" spans="18:21" x14ac:dyDescent="0.2">
      <c r="R140" s="212">
        <f>_xll.qlCalendarAdvance(Calendar,R139,"1D","f")</f>
        <v>42331</v>
      </c>
      <c r="S140" s="47">
        <f>_xll.qlTenorBasisValue($P$3,R140,AllTriggers)</f>
        <v>3.0488756728727505E-3</v>
      </c>
      <c r="T140" s="41">
        <f>_xll.qlDayCounterYearFraction("actual/365 (fixed)",SettlementDate,R140,,,Trigger)</f>
        <v>0.52876712328767128</v>
      </c>
      <c r="U140" s="47">
        <f>_xll.qlPolynomialFunctionValue($P$18,T140,AllTriggers)</f>
        <v>2.9705987011631064E-3</v>
      </c>
    </row>
    <row r="141" spans="18:21" x14ac:dyDescent="0.2">
      <c r="R141" s="212">
        <f>_xll.qlCalendarAdvance(Calendar,R140,"1D","f")</f>
        <v>42332</v>
      </c>
      <c r="S141" s="47">
        <f>_xll.qlTenorBasisValue($P$3,R141,AllTriggers)</f>
        <v>3.0492092670816105E-3</v>
      </c>
      <c r="T141" s="41">
        <f>_xll.qlDayCounterYearFraction("actual/365 (fixed)",SettlementDate,R141,,,Trigger)</f>
        <v>0.53150684931506853</v>
      </c>
      <c r="U141" s="47">
        <f>_xll.qlPolynomialFunctionValue($P$18,T141,AllTriggers)</f>
        <v>2.9713507068467636E-3</v>
      </c>
    </row>
    <row r="142" spans="18:21" x14ac:dyDescent="0.2">
      <c r="R142" s="212">
        <f>_xll.qlCalendarAdvance(Calendar,R141,"1D","f")</f>
        <v>42333</v>
      </c>
      <c r="S142" s="47">
        <f>_xll.qlTenorBasisValue($P$3,R142,AllTriggers)</f>
        <v>3.0495415034928874E-3</v>
      </c>
      <c r="T142" s="41">
        <f>_xll.qlDayCounterYearFraction("actual/365 (fixed)",SettlementDate,R142,,,Trigger)</f>
        <v>0.53424657534246578</v>
      </c>
      <c r="U142" s="47">
        <f>_xll.qlPolynomialFunctionValue($P$18,T142,AllTriggers)</f>
        <v>2.9720987208283235E-3</v>
      </c>
    </row>
    <row r="143" spans="18:21" x14ac:dyDescent="0.2">
      <c r="R143" s="212">
        <f>_xll.qlCalendarAdvance(Calendar,R142,"1D","f")</f>
        <v>42334</v>
      </c>
      <c r="S143" s="47">
        <f>_xll.qlTenorBasisValue($P$3,R143,AllTriggers)</f>
        <v>3.0498723962251863E-3</v>
      </c>
      <c r="T143" s="41">
        <f>_xll.qlDayCounterYearFraction("actual/365 (fixed)",SettlementDate,R143,,,Trigger)</f>
        <v>0.53698630136986303</v>
      </c>
      <c r="U143" s="47">
        <f>_xll.qlPolynomialFunctionValue($P$18,T143,AllTriggers)</f>
        <v>2.9728427572263921E-3</v>
      </c>
    </row>
    <row r="144" spans="18:21" x14ac:dyDescent="0.2">
      <c r="R144" s="212">
        <f>_xll.qlCalendarAdvance(Calendar,R143,"1D","f")</f>
        <v>42335</v>
      </c>
      <c r="S144" s="47">
        <f>_xll.qlTenorBasisValue($P$3,R144,AllTriggers)</f>
        <v>3.0502019593971149E-3</v>
      </c>
      <c r="T144" s="41">
        <f>_xll.qlDayCounterYearFraction("actual/365 (fixed)",SettlementDate,R144,,,Trigger)</f>
        <v>0.53972602739726028</v>
      </c>
      <c r="U144" s="47">
        <f>_xll.qlPolynomialFunctionValue($P$18,T144,AllTriggers)</f>
        <v>2.9735828301595763E-3</v>
      </c>
    </row>
    <row r="145" spans="18:21" x14ac:dyDescent="0.2">
      <c r="R145" s="212">
        <f>_xll.qlCalendarAdvance(Calendar,R144,"1D","f")</f>
        <v>42338</v>
      </c>
      <c r="S145" s="47">
        <f>_xll.qlTenorBasisValue($P$3,R145,AllTriggers)</f>
        <v>3.0511828127367437E-3</v>
      </c>
      <c r="T145" s="41">
        <f>_xll.qlDayCounterYearFraction("actual/365 (fixed)",SettlementDate,R145,,,Trigger)</f>
        <v>0.54794520547945202</v>
      </c>
      <c r="U145" s="47">
        <f>_xll.qlPolynomialFunctionValue($P$18,T145,AllTriggers)</f>
        <v>2.9757794093558921E-3</v>
      </c>
    </row>
    <row r="146" spans="18:21" x14ac:dyDescent="0.2">
      <c r="R146" s="212">
        <f>_xll.qlCalendarAdvance(Calendar,R145,"1D","f")</f>
        <v>42339</v>
      </c>
      <c r="S146" s="47">
        <f>_xll.qlTenorBasisValue($P$3,R146,AllTriggers)</f>
        <v>3.0515071988532565E-3</v>
      </c>
      <c r="T146" s="41">
        <f>_xll.qlDayCounterYearFraction("actual/365 (fixed)",SettlementDate,R146,,,Trigger)</f>
        <v>0.55068493150684927</v>
      </c>
      <c r="U146" s="47">
        <f>_xll.qlPolynomialFunctionValue($P$18,T146,AllTriggers)</f>
        <v>2.9765037696156071E-3</v>
      </c>
    </row>
    <row r="147" spans="18:21" x14ac:dyDescent="0.2">
      <c r="R147" s="212">
        <f>_xll.qlCalendarAdvance(Calendar,R146,"1D","f")</f>
        <v>42340</v>
      </c>
      <c r="S147" s="47">
        <f>_xll.qlTenorBasisValue($P$3,R147,AllTriggers)</f>
        <v>3.0518303260024327E-3</v>
      </c>
      <c r="T147" s="41">
        <f>_xll.qlDayCounterYearFraction("actual/365 (fixed)",SettlementDate,R147,,,Trigger)</f>
        <v>0.55342465753424652</v>
      </c>
      <c r="U147" s="47">
        <f>_xll.qlPolynomialFunctionValue($P$18,T147,AllTriggers)</f>
        <v>2.9772242370034716E-3</v>
      </c>
    </row>
    <row r="148" spans="18:21" x14ac:dyDescent="0.2">
      <c r="R148" s="212">
        <f>_xll.qlCalendarAdvance(Calendar,R147,"1D","f")</f>
        <v>42341</v>
      </c>
      <c r="S148" s="47">
        <f>_xll.qlTenorBasisValue($P$3,R148,AllTriggers)</f>
        <v>3.0521522083028778E-3</v>
      </c>
      <c r="T148" s="41">
        <f>_xll.qlDayCounterYearFraction("actual/365 (fixed)",SettlementDate,R148,,,Trigger)</f>
        <v>0.55616438356164388</v>
      </c>
      <c r="U148" s="47">
        <f>_xll.qlPolynomialFunctionValue($P$18,T148,AllTriggers)</f>
        <v>2.9779408256380918E-3</v>
      </c>
    </row>
    <row r="149" spans="18:21" x14ac:dyDescent="0.2">
      <c r="R149" s="212">
        <f>_xll.qlCalendarAdvance(Calendar,R148,"1D","f")</f>
        <v>42342</v>
      </c>
      <c r="S149" s="47">
        <f>_xll.qlTenorBasisValue($P$3,R149,AllTriggers)</f>
        <v>3.0524728598732001E-3</v>
      </c>
      <c r="T149" s="41">
        <f>_xll.qlDayCounterYearFraction("actual/365 (fixed)",SettlementDate,R149,,,Trigger)</f>
        <v>0.55890410958904113</v>
      </c>
      <c r="U149" s="47">
        <f>_xll.qlPolynomialFunctionValue($P$18,T149,AllTriggers)</f>
        <v>2.9786535496380754E-3</v>
      </c>
    </row>
    <row r="150" spans="18:21" x14ac:dyDescent="0.2">
      <c r="R150" s="212">
        <f>_xll.qlCalendarAdvance(Calendar,R149,"1D","f")</f>
        <v>42345</v>
      </c>
      <c r="S150" s="47">
        <f>_xll.qlTenorBasisValue($P$3,R150,AllTriggers)</f>
        <v>3.0534275713894883E-3</v>
      </c>
      <c r="T150" s="41">
        <f>_xll.qlDayCounterYearFraction("actual/365 (fixed)",SettlementDate,R150,,,Trigger)</f>
        <v>0.56712328767123288</v>
      </c>
      <c r="U150" s="47">
        <f>_xll.qlPolynomialFunctionValue($P$18,T150,AllTriggers)</f>
        <v>2.9807686750162668E-3</v>
      </c>
    </row>
    <row r="151" spans="18:21" x14ac:dyDescent="0.2">
      <c r="R151" s="212">
        <f>_xll.qlCalendarAdvance(Calendar,R150,"1D","f")</f>
        <v>42346</v>
      </c>
      <c r="S151" s="47">
        <f>_xll.qlTenorBasisValue($P$3,R151,AllTriggers)</f>
        <v>3.0537434412253816E-3</v>
      </c>
      <c r="T151" s="41">
        <f>_xll.qlDayCounterYearFraction("actual/365 (fixed)",SettlementDate,R151,,,Trigger)</f>
        <v>0.56986301369863013</v>
      </c>
      <c r="U151" s="47">
        <f>_xll.qlPolynomialFunctionValue($P$18,T151,AllTriggers)</f>
        <v>2.9814660816637672E-3</v>
      </c>
    </row>
    <row r="152" spans="18:21" x14ac:dyDescent="0.2">
      <c r="R152" s="212">
        <f>_xll.qlCalendarAdvance(Calendar,R151,"1D","f")</f>
        <v>42347</v>
      </c>
      <c r="S152" s="47">
        <f>_xll.qlTenorBasisValue($P$3,R152,AllTriggers)</f>
        <v>3.0540581509241843E-3</v>
      </c>
      <c r="T152" s="41">
        <f>_xll.qlDayCounterYearFraction("actual/365 (fixed)",SettlementDate,R152,,,Trigger)</f>
        <v>0.57260273972602738</v>
      </c>
      <c r="U152" s="47">
        <f>_xll.qlPolynomialFunctionValue($P$18,T152,AllTriggers)</f>
        <v>2.9821596942696642E-3</v>
      </c>
    </row>
    <row r="153" spans="18:21" x14ac:dyDescent="0.2">
      <c r="R153" s="212">
        <f>_xll.qlCalendarAdvance(Calendar,R152,"1D","f")</f>
        <v>42348</v>
      </c>
      <c r="S153" s="47">
        <f>_xll.qlTenorBasisValue($P$3,R153,AllTriggers)</f>
        <v>3.0543717146045038E-3</v>
      </c>
      <c r="T153" s="41">
        <f>_xll.qlDayCounterYearFraction("actual/365 (fixed)",SettlementDate,R153,,,Trigger)</f>
        <v>0.57534246575342463</v>
      </c>
      <c r="U153" s="47">
        <f>_xll.qlPolynomialFunctionValue($P$18,T153,AllTriggers)</f>
        <v>2.9828495269525633E-3</v>
      </c>
    </row>
    <row r="154" spans="18:21" x14ac:dyDescent="0.2">
      <c r="R154" s="212">
        <f>_xll.qlCalendarAdvance(Calendar,R153,"1D","f")</f>
        <v>42349</v>
      </c>
      <c r="S154" s="47">
        <f>_xll.qlTenorBasisValue($P$3,R154,AllTriggers)</f>
        <v>3.0546841463849456E-3</v>
      </c>
      <c r="T154" s="41">
        <f>_xll.qlDayCounterYearFraction("actual/365 (fixed)",SettlementDate,R154,,,Trigger)</f>
        <v>0.57808219178082187</v>
      </c>
      <c r="U154" s="47">
        <f>_xll.qlPolynomialFunctionValue($P$18,T154,AllTriggers)</f>
        <v>2.9835355938310723E-3</v>
      </c>
    </row>
    <row r="155" spans="18:21" x14ac:dyDescent="0.2">
      <c r="R155" s="212">
        <f>_xll.qlCalendarAdvance(Calendar,R154,"1D","f")</f>
        <v>42352</v>
      </c>
      <c r="S155" s="47">
        <f>_xll.qlTenorBasisValue($P$3,R155,AllTriggers)</f>
        <v>3.0556147915130768E-3</v>
      </c>
      <c r="T155" s="41">
        <f>_xll.qlDayCounterYearFraction("actual/365 (fixed)",SettlementDate,R155,,,Trigger)</f>
        <v>0.58630136986301373</v>
      </c>
      <c r="U155" s="47">
        <f>_xll.qlPolynomialFunctionValue($P$18,T155,AllTriggers)</f>
        <v>2.9855713408263227E-3</v>
      </c>
    </row>
    <row r="156" spans="18:21" x14ac:dyDescent="0.2">
      <c r="R156" s="212">
        <f>_xll.qlCalendarAdvance(Calendar,R155,"1D","f")</f>
        <v>42353</v>
      </c>
      <c r="S156" s="47">
        <f>_xll.qlTenorBasisValue($P$3,R156,AllTriggers)</f>
        <v>3.0559228368800774E-3</v>
      </c>
      <c r="T156" s="41">
        <f>_xll.qlDayCounterYearFraction("actual/365 (fixed)",SettlementDate,R156,,,Trigger)</f>
        <v>0.58904109589041098</v>
      </c>
      <c r="U156" s="47">
        <f>_xll.qlPolynomialFunctionValue($P$18,T156,AllTriggers)</f>
        <v>2.9862424856733362E-3</v>
      </c>
    </row>
    <row r="157" spans="18:21" x14ac:dyDescent="0.2">
      <c r="R157" s="212">
        <f>_xll.qlCalendarAdvance(Calendar,R156,"1D","f")</f>
        <v>42354</v>
      </c>
      <c r="S157" s="47">
        <f>_xll.qlTenorBasisValue($P$3,R157,AllTriggers)</f>
        <v>3.0562298209402343E-3</v>
      </c>
      <c r="T157" s="41">
        <f>_xll.qlDayCounterYearFraction("actual/365 (fixed)",SettlementDate,R157,,,Trigger)</f>
        <v>0.59178082191780823</v>
      </c>
      <c r="U157" s="47">
        <f>_xll.qlPolynomialFunctionValue($P$18,T157,AllTriggers)</f>
        <v>2.9869099353089924E-3</v>
      </c>
    </row>
    <row r="158" spans="18:21" x14ac:dyDescent="0.2">
      <c r="R158" s="212">
        <f>_xll.qlCalendarAdvance(Calendar,R157,"1D","f")</f>
        <v>42355</v>
      </c>
      <c r="S158" s="47">
        <f>_xll.qlTenorBasisValue($P$3,R158,AllTriggers)</f>
        <v>3.0565357578121555E-3</v>
      </c>
      <c r="T158" s="41">
        <f>_xll.qlDayCounterYearFraction("actual/365 (fixed)",SettlementDate,R158,,,Trigger)</f>
        <v>0.59452054794520548</v>
      </c>
      <c r="U158" s="47">
        <f>_xll.qlPolynomialFunctionValue($P$18,T158,AllTriggers)</f>
        <v>2.987573703851899E-3</v>
      </c>
    </row>
    <row r="159" spans="18:21" x14ac:dyDescent="0.2">
      <c r="R159" s="212">
        <f>_xll.qlCalendarAdvance(Calendar,R158,"1D","f")</f>
        <v>42356</v>
      </c>
      <c r="S159" s="47">
        <f>_xll.qlTenorBasisValue($P$3,R159,AllTriggers)</f>
        <v>3.056840661614445E-3</v>
      </c>
      <c r="T159" s="41">
        <f>_xll.qlDayCounterYearFraction("actual/365 (fixed)",SettlementDate,R159,,,Trigger)</f>
        <v>0.59726027397260273</v>
      </c>
      <c r="U159" s="47">
        <f>_xll.qlPolynomialFunctionValue($P$18,T159,AllTriggers)</f>
        <v>2.988233805420661E-3</v>
      </c>
    </row>
    <row r="160" spans="18:21" x14ac:dyDescent="0.2">
      <c r="R160" s="212">
        <f>_xll.qlCalendarAdvance(Calendar,R159,"1D","f")</f>
        <v>42359</v>
      </c>
      <c r="S160" s="47">
        <f>_xll.qlTenorBasisValue($P$3,R160,AllTriggers)</f>
        <v>3.0577493157896009E-3</v>
      </c>
      <c r="T160" s="41">
        <f>_xll.qlDayCounterYearFraction("actual/365 (fixed)",SettlementDate,R160,,,Trigger)</f>
        <v>0.60547945205479448</v>
      </c>
      <c r="U160" s="47">
        <f>_xll.qlPolynomialFunctionValue($P$18,T160,AllTriggers)</f>
        <v>2.9901922494681523E-3</v>
      </c>
    </row>
    <row r="161" spans="18:21" x14ac:dyDescent="0.2">
      <c r="R161" s="212">
        <f>_xll.qlCalendarAdvance(Calendar,R160,"1D","f")</f>
        <v>42360</v>
      </c>
      <c r="S161" s="47">
        <f>_xll.qlTenorBasisValue($P$3,R161,AllTriggers)</f>
        <v>3.0580502284994369E-3</v>
      </c>
      <c r="T161" s="41">
        <f>_xll.qlDayCounterYearFraction("actual/365 (fixed)",SettlementDate,R161,,,Trigger)</f>
        <v>0.60821917808219184</v>
      </c>
      <c r="U161" s="47">
        <f>_xll.qlPolynomialFunctionValue($P$18,T161,AllTriggers)</f>
        <v>2.9908378243264067E-3</v>
      </c>
    </row>
    <row r="162" spans="18:21" x14ac:dyDescent="0.2">
      <c r="R162" s="212">
        <f>_xll.qlCalendarAdvance(Calendar,R161,"1D","f")</f>
        <v>42361</v>
      </c>
      <c r="S162" s="47">
        <f>_xll.qlTenorBasisValue($P$3,R162,AllTriggers)</f>
        <v>3.0583501787326763E-3</v>
      </c>
      <c r="T162" s="41">
        <f>_xll.qlDayCounterYearFraction("actual/365 (fixed)",SettlementDate,R162,,,Trigger)</f>
        <v>0.61095890410958908</v>
      </c>
      <c r="U162" s="47">
        <f>_xll.qlPolynomialFunctionValue($P$18,T162,AllTriggers)</f>
        <v>2.9914798028035502E-3</v>
      </c>
    </row>
    <row r="163" spans="18:21" x14ac:dyDescent="0.2">
      <c r="R163" s="212">
        <f>_xll.qlCalendarAdvance(Calendar,R162,"1D","f")</f>
        <v>42362</v>
      </c>
      <c r="S163" s="47">
        <f>_xll.qlTenorBasisValue($P$3,R163,AllTriggers)</f>
        <v>3.0586491806079254E-3</v>
      </c>
      <c r="T163" s="41">
        <f>_xll.qlDayCounterYearFraction("actual/365 (fixed)",SettlementDate,R163,,,Trigger)</f>
        <v>0.61369863013698633</v>
      </c>
      <c r="U163" s="47">
        <f>_xll.qlPolynomialFunctionValue($P$18,T163,AllTriggers)</f>
        <v>2.9921181990181902E-3</v>
      </c>
    </row>
    <row r="164" spans="18:21" x14ac:dyDescent="0.2">
      <c r="R164" s="212">
        <f>_xll.qlCalendarAdvance(Calendar,R163,"1D","f")</f>
        <v>42366</v>
      </c>
      <c r="S164" s="47">
        <f>_xll.qlTenorBasisValue($P$3,R164,AllTriggers)</f>
        <v>3.0598359869011536E-3</v>
      </c>
      <c r="T164" s="41">
        <f>_xll.qlDayCounterYearFraction("actual/365 (fixed)",SettlementDate,R164,,,Trigger)</f>
        <v>0.62465753424657533</v>
      </c>
      <c r="U164" s="47">
        <f>_xll.qlPolynomialFunctionValue($P$18,T164,AllTriggers)</f>
        <v>2.9946362436238483E-3</v>
      </c>
    </row>
    <row r="165" spans="18:21" x14ac:dyDescent="0.2">
      <c r="R165" s="212">
        <f>_xll.qlCalendarAdvance(Calendar,R164,"1D","f")</f>
        <v>42367</v>
      </c>
      <c r="S165" s="47">
        <f>_xll.qlTenorBasisValue($P$3,R165,AllTriggers)</f>
        <v>3.0601304587655519E-3</v>
      </c>
      <c r="T165" s="41">
        <f>_xll.qlDayCounterYearFraction("actual/365 (fixed)",SettlementDate,R165,,,Trigger)</f>
        <v>0.62739726027397258</v>
      </c>
      <c r="U165" s="47">
        <f>_xll.qlPolynomialFunctionValue($P$18,T165,AllTriggers)</f>
        <v>2.9952569403050699E-3</v>
      </c>
    </row>
    <row r="166" spans="18:21" x14ac:dyDescent="0.2">
      <c r="R166" s="212">
        <f>_xll.qlCalendarAdvance(Calendar,R165,"1D","f")</f>
        <v>42368</v>
      </c>
      <c r="S166" s="47">
        <f>_xll.qlTenorBasisValue($P$3,R166,AllTriggers)</f>
        <v>3.0604240669836009E-3</v>
      </c>
      <c r="T166" s="41">
        <f>_xll.qlDayCounterYearFraction("actual/365 (fixed)",SettlementDate,R166,,,Trigger)</f>
        <v>0.63013698630136983</v>
      </c>
      <c r="U166" s="47">
        <f>_xll.qlPolynomialFunctionValue($P$18,T166,AllTriggers)</f>
        <v>2.9958741394354288E-3</v>
      </c>
    </row>
    <row r="167" spans="18:21" x14ac:dyDescent="0.2">
      <c r="R167" s="212">
        <f>_xll.qlCalendarAdvance(Calendar,R166,"1D","f")</f>
        <v>42369</v>
      </c>
      <c r="S167" s="47">
        <f>_xll.qlTenorBasisValue($P$3,R167,AllTriggers)</f>
        <v>3.0607168256739062E-3</v>
      </c>
      <c r="T167" s="41">
        <f>_xll.qlDayCounterYearFraction("actual/365 (fixed)",SettlementDate,R167,,,Trigger)</f>
        <v>0.63287671232876708</v>
      </c>
      <c r="U167" s="47">
        <f>_xll.qlPolynomialFunctionValue($P$18,T167,AllTriggers)</f>
        <v>2.9964878551335308E-3</v>
      </c>
    </row>
    <row r="168" spans="18:21" x14ac:dyDescent="0.2">
      <c r="R168" s="212">
        <f>_xll.qlCalendarAdvance(Calendar,R167,"1D","f")</f>
        <v>42373</v>
      </c>
      <c r="S168" s="47">
        <f>_xll.qlTenorBasisValue($P$3,R168,AllTriggers)</f>
        <v>3.0618796475298275E-3</v>
      </c>
      <c r="T168" s="41">
        <f>_xll.qlDayCounterYearFraction("actual/365 (fixed)",SettlementDate,R168,,,Trigger)</f>
        <v>0.64383561643835618</v>
      </c>
      <c r="U168" s="47">
        <f>_xll.qlPolynomialFunctionValue($P$18,T168,AllTriggers)</f>
        <v>2.9989081659755027E-3</v>
      </c>
    </row>
    <row r="169" spans="18:21" x14ac:dyDescent="0.2">
      <c r="R169" s="212">
        <f>_xll.qlCalendarAdvance(Calendar,R168,"1D","f")</f>
        <v>42374</v>
      </c>
      <c r="S169" s="47">
        <f>_xll.qlTenorBasisValue($P$3,R169,AllTriggers)</f>
        <v>3.0621683703605167E-3</v>
      </c>
      <c r="T169" s="41">
        <f>_xll.qlDayCounterYearFraction("actual/365 (fixed)",SettlementDate,R169,,,Trigger)</f>
        <v>0.64657534246575343</v>
      </c>
      <c r="U169" s="47">
        <f>_xll.qlPolynomialFunctionValue($P$18,T169,AllTriggers)</f>
        <v>2.9995046762914201E-3</v>
      </c>
    </row>
    <row r="170" spans="18:21" x14ac:dyDescent="0.2">
      <c r="R170" s="212">
        <f>_xll.qlCalendarAdvance(Calendar,R169,"1D","f")</f>
        <v>42375</v>
      </c>
      <c r="S170" s="47">
        <f>_xll.qlTenorBasisValue($P$3,R170,AllTriggers)</f>
        <v>3.0624563283751021E-3</v>
      </c>
      <c r="T170" s="41">
        <f>_xll.qlDayCounterYearFraction("actual/365 (fixed)",SettlementDate,R170,,,Trigger)</f>
        <v>0.64931506849315068</v>
      </c>
      <c r="U170" s="47">
        <f>_xll.qlPolynomialFunctionValue($P$18,T170,AllTriggers)</f>
        <v>3.0000977878867213E-3</v>
      </c>
    </row>
    <row r="171" spans="18:21" x14ac:dyDescent="0.2">
      <c r="R171" s="212">
        <f>_xll.qlCalendarAdvance(Calendar,R170,"1D","f")</f>
        <v>42376</v>
      </c>
      <c r="S171" s="47">
        <f>_xll.qlTenorBasisValue($P$3,R171,AllTriggers)</f>
        <v>3.0627435356921913E-3</v>
      </c>
      <c r="T171" s="41">
        <f>_xll.qlDayCounterYearFraction("actual/365 (fixed)",SettlementDate,R171,,,Trigger)</f>
        <v>0.65205479452054793</v>
      </c>
      <c r="U171" s="47">
        <f>_xll.qlPolynomialFunctionValue($P$18,T171,AllTriggers)</f>
        <v>3.000687514880012E-3</v>
      </c>
    </row>
    <row r="172" spans="18:21" x14ac:dyDescent="0.2">
      <c r="R172" s="212">
        <f>_xll.qlCalendarAdvance(Calendar,R171,"1D","f")</f>
        <v>42377</v>
      </c>
      <c r="S172" s="47">
        <f>_xll.qlTenorBasisValue($P$3,R172,AllTriggers)</f>
        <v>3.0630300064303901E-3</v>
      </c>
      <c r="T172" s="41">
        <f>_xll.qlDayCounterYearFraction("actual/365 (fixed)",SettlementDate,R172,,,Trigger)</f>
        <v>0.65479452054794518</v>
      </c>
      <c r="U172" s="47">
        <f>_xll.qlPolynomialFunctionValue($P$18,T172,AllTriggers)</f>
        <v>3.0012738713898995E-3</v>
      </c>
    </row>
    <row r="173" spans="18:21" x14ac:dyDescent="0.2">
      <c r="R173" s="212">
        <f>_xll.qlCalendarAdvance(Calendar,R172,"1D","f")</f>
        <v>42380</v>
      </c>
      <c r="S173" s="47">
        <f>_xll.qlTenorBasisValue($P$3,R173,AllTriggers)</f>
        <v>3.0638851403577147E-3</v>
      </c>
      <c r="T173" s="41">
        <f>_xll.qlDayCounterYearFraction("actual/365 (fixed)",SettlementDate,R173,,,Trigger)</f>
        <v>0.66301369863013704</v>
      </c>
      <c r="U173" s="47">
        <f>_xll.qlPolynomialFunctionValue($P$18,T173,AllTriggers)</f>
        <v>3.0030128592052081E-3</v>
      </c>
    </row>
    <row r="174" spans="18:21" x14ac:dyDescent="0.2">
      <c r="R174" s="212">
        <f>_xll.qlCalendarAdvance(Calendar,R173,"1D","f")</f>
        <v>42381</v>
      </c>
      <c r="S174" s="47">
        <f>_xll.qlTenorBasisValue($P$3,R174,AllTriggers)</f>
        <v>3.0641688059664211E-3</v>
      </c>
      <c r="T174" s="41">
        <f>_xll.qlDayCounterYearFraction("actual/365 (fixed)",SettlementDate,R174,,,Trigger)</f>
        <v>0.66575342465753429</v>
      </c>
      <c r="U174" s="47">
        <f>_xll.qlPolynomialFunctionValue($P$18,T174,AllTriggers)</f>
        <v>3.0035858749675485E-3</v>
      </c>
    </row>
    <row r="175" spans="18:21" x14ac:dyDescent="0.2">
      <c r="R175" s="212">
        <f>_xll.qlCalendarAdvance(Calendar,R174,"1D","f")</f>
        <v>42382</v>
      </c>
      <c r="S175" s="47">
        <f>_xll.qlTenorBasisValue($P$3,R175,AllTriggers)</f>
        <v>3.0644518055892708E-3</v>
      </c>
      <c r="T175" s="41">
        <f>_xll.qlDayCounterYearFraction("actual/365 (fixed)",SettlementDate,R175,,,Trigger)</f>
        <v>0.66849315068493154</v>
      </c>
      <c r="U175" s="47">
        <f>_xll.qlPolynomialFunctionValue($P$18,T175,AllTriggers)</f>
        <v>3.0041555908395198E-3</v>
      </c>
    </row>
    <row r="176" spans="18:21" x14ac:dyDescent="0.2">
      <c r="R176" s="212">
        <f>_xll.qlCalendarAdvance(Calendar,R175,"1D","f")</f>
        <v>42383</v>
      </c>
      <c r="S176" s="47">
        <f>_xll.qlTenorBasisValue($P$3,R176,AllTriggers)</f>
        <v>3.0647341533448715E-3</v>
      </c>
      <c r="T176" s="41">
        <f>_xll.qlDayCounterYearFraction("actual/365 (fixed)",SettlementDate,R176,,,Trigger)</f>
        <v>0.67123287671232879</v>
      </c>
      <c r="U176" s="47">
        <f>_xll.qlPolynomialFunctionValue($P$18,T176,AllTriggers)</f>
        <v>3.004722020939727E-3</v>
      </c>
    </row>
    <row r="177" spans="18:21" x14ac:dyDescent="0.2">
      <c r="R177" s="212">
        <f>_xll.qlCalendarAdvance(Calendar,R176,"1D","f")</f>
        <v>42384</v>
      </c>
      <c r="S177" s="47">
        <f>_xll.qlTenorBasisValue($P$3,R177,AllTriggers)</f>
        <v>3.0650158633518283E-3</v>
      </c>
      <c r="T177" s="41">
        <f>_xll.qlDayCounterYearFraction("actual/365 (fixed)",SettlementDate,R177,,,Trigger)</f>
        <v>0.67397260273972603</v>
      </c>
      <c r="U177" s="47">
        <f>_xll.qlPolynomialFunctionValue($P$18,T177,AllTriggers)</f>
        <v>3.0052851793867779E-3</v>
      </c>
    </row>
    <row r="178" spans="18:21" x14ac:dyDescent="0.2">
      <c r="R178" s="212">
        <f>_xll.qlCalendarAdvance(Calendar,R177,"1D","f")</f>
        <v>42387</v>
      </c>
      <c r="S178" s="47">
        <f>_xll.qlTenorBasisValue($P$3,R178,AllTriggers)</f>
        <v>3.0658573080669079E-3</v>
      </c>
      <c r="T178" s="41">
        <f>_xll.qlDayCounterYearFraction("actual/365 (fixed)",SettlementDate,R178,,,Trigger)</f>
        <v>0.68219178082191778</v>
      </c>
      <c r="U178" s="47">
        <f>_xll.qlPolynomialFunctionValue($P$18,T178,AllTriggers)</f>
        <v>3.0069551659950575E-3</v>
      </c>
    </row>
    <row r="179" spans="18:21" x14ac:dyDescent="0.2">
      <c r="R179" s="212">
        <f>_xll.qlCalendarAdvance(Calendar,R178,"1D","f")</f>
        <v>42388</v>
      </c>
      <c r="S179" s="47">
        <f>_xll.qlTenorBasisValue($P$3,R179,AllTriggers)</f>
        <v>3.0661366082653592E-3</v>
      </c>
      <c r="T179" s="41">
        <f>_xll.qlDayCounterYearFraction("actual/365 (fixed)",SettlementDate,R179,,,Trigger)</f>
        <v>0.68493150684931503</v>
      </c>
      <c r="U179" s="47">
        <f>_xll.qlPolynomialFunctionValue($P$18,T179,AllTriggers)</f>
        <v>3.0075053790155483E-3</v>
      </c>
    </row>
    <row r="180" spans="18:21" x14ac:dyDescent="0.2">
      <c r="R180" s="212">
        <f>_xll.qlCalendarAdvance(Calendar,R179,"1D","f")</f>
        <v>42389</v>
      </c>
      <c r="S180" s="47">
        <f>_xll.qlTenorBasisValue($P$3,R180,AllTriggers)</f>
        <v>3.0664153413082012E-3</v>
      </c>
      <c r="T180" s="41">
        <f>_xll.qlDayCounterYearFraction("actual/365 (fixed)",SettlementDate,R180,,,Trigger)</f>
        <v>0.68767123287671228</v>
      </c>
      <c r="U180" s="47">
        <f>_xll.qlPolynomialFunctionValue($P$18,T180,AllTriggers)</f>
        <v>3.0080523909759163E-3</v>
      </c>
    </row>
    <row r="181" spans="18:21" x14ac:dyDescent="0.2">
      <c r="R181" s="212">
        <f>_xll.qlCalendarAdvance(Calendar,R180,"1D","f")</f>
        <v>42390</v>
      </c>
      <c r="S181" s="47">
        <f>_xll.qlTenorBasisValue($P$3,R181,AllTriggers)</f>
        <v>3.0666935213140402E-3</v>
      </c>
      <c r="T181" s="41">
        <f>_xll.qlDayCounterYearFraction("actual/365 (fixed)",SettlementDate,R181,,,Trigger)</f>
        <v>0.69041095890410964</v>
      </c>
      <c r="U181" s="47">
        <f>_xll.qlPolynomialFunctionValue($P$18,T181,AllTriggers)</f>
        <v>3.0085962159947677E-3</v>
      </c>
    </row>
    <row r="182" spans="18:21" x14ac:dyDescent="0.2">
      <c r="R182" s="212">
        <f>_xll.qlCalendarAdvance(Calendar,R181,"1D","f")</f>
        <v>42391</v>
      </c>
      <c r="S182" s="47">
        <f>_xll.qlTenorBasisValue($P$3,R182,AllTriggers)</f>
        <v>3.0669711624014824E-3</v>
      </c>
      <c r="T182" s="41">
        <f>_xll.qlDayCounterYearFraction("actual/365 (fixed)",SettlementDate,R182,,,Trigger)</f>
        <v>0.69315068493150689</v>
      </c>
      <c r="U182" s="47">
        <f>_xll.qlPolynomialFunctionValue($P$18,T182,AllTriggers)</f>
        <v>3.0091368681907094E-3</v>
      </c>
    </row>
    <row r="183" spans="18:21" x14ac:dyDescent="0.2">
      <c r="R183" s="212">
        <f>_xll.qlCalendarAdvance(Calendar,R182,"1D","f")</f>
        <v>42394</v>
      </c>
      <c r="S183" s="47">
        <f>_xll.qlTenorBasisValue($P$3,R183,AllTriggers)</f>
        <v>3.0678009933394991E-3</v>
      </c>
      <c r="T183" s="41">
        <f>_xll.qlDayCounterYearFraction("actual/365 (fixed)",SettlementDate,R183,,,Trigger)</f>
        <v>0.70136986301369864</v>
      </c>
      <c r="U183" s="47">
        <f>_xll.qlPolynomialFunctionValue($P$18,T183,AllTriggers)</f>
        <v>3.0107399290271427E-3</v>
      </c>
    </row>
    <row r="184" spans="18:21" x14ac:dyDescent="0.2">
      <c r="R184" s="212">
        <f>_xll.qlCalendarAdvance(Calendar,R183,"1D","f")</f>
        <v>42395</v>
      </c>
      <c r="S184" s="47">
        <f>_xll.qlTenorBasisValue($P$3,R184,AllTriggers)</f>
        <v>3.068076619939423E-3</v>
      </c>
      <c r="T184" s="41">
        <f>_xll.qlDayCounterYearFraction("actual/365 (fixed)",SettlementDate,R184,,,Trigger)</f>
        <v>0.70410958904109588</v>
      </c>
      <c r="U184" s="47">
        <f>_xll.qlPolynomialFunctionValue($P$18,T184,AllTriggers)</f>
        <v>3.0112680311175114E-3</v>
      </c>
    </row>
    <row r="185" spans="18:21" x14ac:dyDescent="0.2">
      <c r="R185" s="212">
        <f>_xll.qlCalendarAdvance(Calendar,R184,"1D","f")</f>
        <v>42396</v>
      </c>
      <c r="S185" s="47">
        <f>_xll.qlTenorBasisValue($P$3,R185,AllTriggers)</f>
        <v>3.0683517782139846E-3</v>
      </c>
      <c r="T185" s="41">
        <f>_xll.qlDayCounterYearFraction("actual/365 (fixed)",SettlementDate,R185,,,Trigger)</f>
        <v>0.70684931506849313</v>
      </c>
      <c r="U185" s="47">
        <f>_xll.qlPolynomialFunctionValue($P$18,T185,AllTriggers)</f>
        <v>3.011793030978004E-3</v>
      </c>
    </row>
    <row r="186" spans="18:21" x14ac:dyDescent="0.2">
      <c r="R186" s="212">
        <f>_xll.qlCalendarAdvance(Calendar,R185,"1D","f")</f>
        <v>42397</v>
      </c>
      <c r="S186" s="47">
        <f>_xll.qlTenorBasisValue($P$3,R186,AllTriggers)</f>
        <v>3.0686264822817892E-3</v>
      </c>
      <c r="T186" s="41">
        <f>_xll.qlDayCounterYearFraction("actual/365 (fixed)",SettlementDate,R186,,,Trigger)</f>
        <v>0.70958904109589038</v>
      </c>
      <c r="U186" s="47">
        <f>_xll.qlPolynomialFunctionValue($P$18,T186,AllTriggers)</f>
        <v>3.0123149427272273E-3</v>
      </c>
    </row>
    <row r="187" spans="18:21" x14ac:dyDescent="0.2">
      <c r="R187" s="212">
        <f>_xll.qlCalendarAdvance(Calendar,R186,"1D","f")</f>
        <v>42398</v>
      </c>
      <c r="S187" s="47">
        <f>_xll.qlTenorBasisValue($P$3,R187,AllTriggers)</f>
        <v>3.0689007462614453E-3</v>
      </c>
      <c r="T187" s="41">
        <f>_xll.qlDayCounterYearFraction("actual/365 (fixed)",SettlementDate,R187,,,Trigger)</f>
        <v>0.71232876712328763</v>
      </c>
      <c r="U187" s="47">
        <f>_xll.qlPolynomialFunctionValue($P$18,T187,AllTriggers)</f>
        <v>3.0128337804837878E-3</v>
      </c>
    </row>
    <row r="188" spans="18:21" x14ac:dyDescent="0.2">
      <c r="R188" s="212">
        <f>_xll.qlCalendarAdvance(Calendar,R187,"1D","f")</f>
        <v>42401</v>
      </c>
      <c r="S188" s="47">
        <f>_xll.qlTenorBasisValue($P$3,R188,AllTriggers)</f>
        <v>3.0697210388575813E-3</v>
      </c>
      <c r="T188" s="41">
        <f>_xll.qlDayCounterYearFraction("actual/365 (fixed)",SettlementDate,R188,,,Trigger)</f>
        <v>0.72054794520547949</v>
      </c>
      <c r="U188" s="47">
        <f>_xll.qlPolynomialFunctionValue($P$18,T188,AllTriggers)</f>
        <v>3.0143719909835561E-3</v>
      </c>
    </row>
    <row r="189" spans="18:21" x14ac:dyDescent="0.2">
      <c r="R189" s="212">
        <f>_xll.qlCalendarAdvance(Calendar,R188,"1D","f")</f>
        <v>42402</v>
      </c>
      <c r="S189" s="47">
        <f>_xll.qlTenorBasisValue($P$3,R189,AllTriggers)</f>
        <v>3.0699936836707056E-3</v>
      </c>
      <c r="T189" s="41">
        <f>_xll.qlDayCounterYearFraction("actual/365 (fixed)",SettlementDate,R189,,,Trigger)</f>
        <v>0.72328767123287674</v>
      </c>
      <c r="U189" s="47">
        <f>_xll.qlPolynomialFunctionValue($P$18,T189,AllTriggers)</f>
        <v>3.0148786739555311E-3</v>
      </c>
    </row>
    <row r="190" spans="18:21" x14ac:dyDescent="0.2">
      <c r="R190" s="212">
        <f>_xll.qlCalendarAdvance(Calendar,R189,"1D","f")</f>
        <v>42403</v>
      </c>
      <c r="S190" s="47">
        <f>_xll.qlTenorBasisValue($P$3,R190,AllTriggers)</f>
        <v>3.0702659589887135E-3</v>
      </c>
      <c r="T190" s="41">
        <f>_xll.qlDayCounterYearFraction("actual/365 (fixed)",SettlementDate,R190,,,Trigger)</f>
        <v>0.72602739726027399</v>
      </c>
      <c r="U190" s="47">
        <f>_xll.qlPolynomialFunctionValue($P$18,T190,AllTriggers)</f>
        <v>3.0153823535278759E-3</v>
      </c>
    </row>
    <row r="191" spans="18:21" x14ac:dyDescent="0.2">
      <c r="R191" s="212">
        <f>_xll.qlCalendarAdvance(Calendar,R190,"1D","f")</f>
        <v>42404</v>
      </c>
      <c r="S191" s="47">
        <f>_xll.qlTenorBasisValue($P$3,R191,AllTriggers)</f>
        <v>3.0705378789302124E-3</v>
      </c>
      <c r="T191" s="41">
        <f>_xll.qlDayCounterYearFraction("actual/365 (fixed)",SettlementDate,R191,,,Trigger)</f>
        <v>0.72876712328767124</v>
      </c>
      <c r="U191" s="47">
        <f>_xll.qlPolynomialFunctionValue($P$18,T191,AllTriggers)</f>
        <v>3.0158830438191979E-3</v>
      </c>
    </row>
    <row r="192" spans="18:21" x14ac:dyDescent="0.2">
      <c r="R192" s="212">
        <f>_xll.qlCalendarAdvance(Calendar,R191,"1D","f")</f>
        <v>42405</v>
      </c>
      <c r="S192" s="47">
        <f>_xll.qlTenorBasisValue($P$3,R192,AllTriggers)</f>
        <v>3.0708094576138083E-3</v>
      </c>
      <c r="T192" s="41">
        <f>_xll.qlDayCounterYearFraction("actual/365 (fixed)",SettlementDate,R192,,,Trigger)</f>
        <v>0.73150684931506849</v>
      </c>
      <c r="U192" s="47">
        <f>_xll.qlPolynomialFunctionValue($P$18,T192,AllTriggers)</f>
        <v>3.0163807589481039E-3</v>
      </c>
    </row>
    <row r="193" spans="18:21" x14ac:dyDescent="0.2">
      <c r="R193" s="212">
        <f>_xll.qlCalendarAdvance(Calendar,R192,"1D","f")</f>
        <v>42408</v>
      </c>
      <c r="S193" s="47">
        <f>_xll.qlTenorBasisValue($P$3,R193,AllTriggers)</f>
        <v>3.0716222873032463E-3</v>
      </c>
      <c r="T193" s="41">
        <f>_xll.qlDayCounterYearFraction("actual/365 (fixed)",SettlementDate,R193,,,Trigger)</f>
        <v>0.73972602739726023</v>
      </c>
      <c r="U193" s="47">
        <f>_xll.qlPolynomialFunctionValue($P$18,T193,AllTriggers)</f>
        <v>3.0178561945463905E-3</v>
      </c>
    </row>
    <row r="194" spans="18:21" x14ac:dyDescent="0.2">
      <c r="R194" s="212">
        <f>_xll.qlCalendarAdvance(Calendar,R193,"1D","f")</f>
        <v>42409</v>
      </c>
      <c r="S194" s="47">
        <f>_xll.qlTenorBasisValue($P$3,R194,AllTriggers)</f>
        <v>3.0718926421412986E-3</v>
      </c>
      <c r="T194" s="41">
        <f>_xll.qlDayCounterYearFraction("actual/365 (fixed)",SettlementDate,R194,,,Trigger)</f>
        <v>0.74246575342465748</v>
      </c>
      <c r="U194" s="47">
        <f>_xll.qlPolynomialFunctionValue($P$18,T194,AllTriggers)</f>
        <v>3.0183421502116988E-3</v>
      </c>
    </row>
    <row r="195" spans="18:21" x14ac:dyDescent="0.2">
      <c r="R195" s="212">
        <f>_xll.qlCalendarAdvance(Calendar,R194,"1D","f")</f>
        <v>42410</v>
      </c>
      <c r="S195" s="47">
        <f>_xll.qlTenorBasisValue($P$3,R195,AllTriggers)</f>
        <v>3.072162726314481E-3</v>
      </c>
      <c r="T195" s="41">
        <f>_xll.qlDayCounterYearFraction("actual/365 (fixed)",SettlementDate,R195,,,Trigger)</f>
        <v>0.74520547945205484</v>
      </c>
      <c r="U195" s="47">
        <f>_xll.qlPolynomialFunctionValue($P$18,T195,AllTriggers)</f>
        <v>3.0188252013076235E-3</v>
      </c>
    </row>
    <row r="196" spans="18:21" x14ac:dyDescent="0.2">
      <c r="R196" s="212">
        <f>_xll.qlCalendarAdvance(Calendar,R195,"1D","f")</f>
        <v>42411</v>
      </c>
      <c r="S196" s="47">
        <f>_xll.qlTenorBasisValue($P$3,R196,AllTriggers)</f>
        <v>3.0724325539414009E-3</v>
      </c>
      <c r="T196" s="41">
        <f>_xll.qlDayCounterYearFraction("actual/365 (fixed)",SettlementDate,R196,,,Trigger)</f>
        <v>0.74794520547945209</v>
      </c>
      <c r="U196" s="47">
        <f>_xll.qlPolynomialFunctionValue($P$18,T196,AllTriggers)</f>
        <v>3.0193053619527719E-3</v>
      </c>
    </row>
    <row r="197" spans="18:21" x14ac:dyDescent="0.2">
      <c r="R197" s="212">
        <f>_xll.qlCalendarAdvance(Calendar,R196,"1D","f")</f>
        <v>42412</v>
      </c>
      <c r="S197" s="47">
        <f>_xll.qlTenorBasisValue($P$3,R197,AllTriggers)</f>
        <v>3.0727021391406648E-3</v>
      </c>
      <c r="T197" s="41">
        <f>_xll.qlDayCounterYearFraction("actual/365 (fixed)",SettlementDate,R197,,,Trigger)</f>
        <v>0.75068493150684934</v>
      </c>
      <c r="U197" s="47">
        <f>_xll.qlPolynomialFunctionValue($P$18,T197,AllTriggers)</f>
        <v>3.0197826462657514E-3</v>
      </c>
    </row>
    <row r="198" spans="18:21" x14ac:dyDescent="0.2">
      <c r="R198" s="212">
        <f>_xll.qlCalendarAdvance(Calendar,R197,"1D","f")</f>
        <v>42415</v>
      </c>
      <c r="S198" s="47">
        <f>_xll.qlTenorBasisValue($P$3,R198,AllTriggers)</f>
        <v>3.0735095813585879E-3</v>
      </c>
      <c r="T198" s="41">
        <f>_xll.qlDayCounterYearFraction("actual/365 (fixed)",SettlementDate,R198,,,Trigger)</f>
        <v>0.75890410958904109</v>
      </c>
      <c r="U198" s="47">
        <f>_xll.qlPolynomialFunctionValue($P$18,T198,AllTriggers)</f>
        <v>3.0211973823977391E-3</v>
      </c>
    </row>
    <row r="199" spans="18:21" x14ac:dyDescent="0.2">
      <c r="R199" s="212">
        <f>_xll.qlCalendarAdvance(Calendar,R198,"1D","f")</f>
        <v>42416</v>
      </c>
      <c r="S199" s="47">
        <f>_xll.qlTenorBasisValue($P$3,R199,AllTriggers)</f>
        <v>3.0737783380332946E-3</v>
      </c>
      <c r="T199" s="41">
        <f>_xll.qlDayCounterYearFraction("actual/365 (fixed)",SettlementDate,R199,,,Trigger)</f>
        <v>0.76164383561643834</v>
      </c>
      <c r="U199" s="47">
        <f>_xll.qlPolynomialFunctionValue($P$18,T199,AllTriggers)</f>
        <v>3.0216633025681072E-3</v>
      </c>
    </row>
    <row r="200" spans="18:21" x14ac:dyDescent="0.2">
      <c r="R200" s="212">
        <f>_xll.qlCalendarAdvance(Calendar,R199,"1D","f")</f>
        <v>42417</v>
      </c>
      <c r="S200" s="47">
        <f>_xll.qlTenorBasisValue($P$3,R200,AllTriggers)</f>
        <v>3.0740469228733793E-3</v>
      </c>
      <c r="T200" s="41">
        <f>_xll.qlDayCounterYearFraction("actual/365 (fixed)",SettlementDate,R200,,,Trigger)</f>
        <v>0.76438356164383559</v>
      </c>
      <c r="U200" s="47">
        <f>_xll.qlPolynomialFunctionValue($P$18,T200,AllTriggers)</f>
        <v>3.0221264169993396E-3</v>
      </c>
    </row>
    <row r="201" spans="18:21" x14ac:dyDescent="0.2">
      <c r="R201" s="212">
        <f>_xll.qlCalendarAdvance(Calendar,R200,"1D","f")</f>
        <v>42418</v>
      </c>
      <c r="S201" s="47">
        <f>_xll.qlTenorBasisValue($P$3,R201,AllTriggers)</f>
        <v>3.0743153499974475E-3</v>
      </c>
      <c r="T201" s="41">
        <f>_xll.qlDayCounterYearFraction("actual/365 (fixed)",SettlementDate,R201,,,Trigger)</f>
        <v>0.76712328767123283</v>
      </c>
      <c r="U201" s="47">
        <f>_xll.qlPolynomialFunctionValue($P$18,T201,AllTriggers)</f>
        <v>3.0225867398100421E-3</v>
      </c>
    </row>
    <row r="202" spans="18:21" x14ac:dyDescent="0.2">
      <c r="R202" s="212">
        <f>_xll.qlCalendarAdvance(Calendar,R201,"1D","f")</f>
        <v>42419</v>
      </c>
      <c r="S202" s="47">
        <f>_xll.qlTenorBasisValue($P$3,R202,AllTriggers)</f>
        <v>3.0745836335241074E-3</v>
      </c>
      <c r="T202" s="41">
        <f>_xll.qlDayCounterYearFraction("actual/365 (fixed)",SettlementDate,R202,,,Trigger)</f>
        <v>0.76986301369863008</v>
      </c>
      <c r="U202" s="47">
        <f>_xll.qlPolynomialFunctionValue($P$18,T202,AllTriggers)</f>
        <v>3.0230442851188221E-3</v>
      </c>
    </row>
    <row r="203" spans="18:21" x14ac:dyDescent="0.2">
      <c r="R203" s="212">
        <f>_xll.qlCalendarAdvance(Calendar,R202,"1D","f")</f>
        <v>42422</v>
      </c>
      <c r="S203" s="47">
        <f>_xll.qlTenorBasisValue($P$3,R203,AllTriggers)</f>
        <v>3.0753877637056969E-3</v>
      </c>
      <c r="T203" s="41">
        <f>_xll.qlDayCounterYearFraction("actual/365 (fixed)",SettlementDate,R203,,,Trigger)</f>
        <v>0.77808219178082194</v>
      </c>
      <c r="U203" s="47">
        <f>_xll.qlPolynomialFunctionValue($P$18,T203,AllTriggers)</f>
        <v>3.0244003972196925E-3</v>
      </c>
    </row>
    <row r="204" spans="18:21" x14ac:dyDescent="0.2">
      <c r="R204" s="212">
        <f>_xll.qlCalendarAdvance(Calendar,R203,"1D","f")</f>
        <v>42423</v>
      </c>
      <c r="S204" s="47">
        <f>_xll.qlTenorBasisValue($P$3,R204,AllTriggers)</f>
        <v>3.0756556140287866E-3</v>
      </c>
      <c r="T204" s="41">
        <f>_xll.qlDayCounterYearFraction("actual/365 (fixed)",SettlementDate,R204,,,Trigger)</f>
        <v>0.78082191780821919</v>
      </c>
      <c r="U204" s="47">
        <f>_xll.qlPolynomialFunctionValue($P$18,T204,AllTriggers)</f>
        <v>3.0248469737068485E-3</v>
      </c>
    </row>
    <row r="205" spans="18:21" x14ac:dyDescent="0.2">
      <c r="R205" s="212">
        <f>_xll.qlCalendarAdvance(Calendar,R204,"1D","f")</f>
        <v>42424</v>
      </c>
      <c r="S205" s="47">
        <f>_xll.qlTenorBasisValue($P$3,R205,AllTriggers)</f>
        <v>3.0759233913475004E-3</v>
      </c>
      <c r="T205" s="41">
        <f>_xll.qlDayCounterYearFraction("actual/365 (fixed)",SettlementDate,R205,,,Trigger)</f>
        <v>0.78356164383561644</v>
      </c>
      <c r="U205" s="47">
        <f>_xll.qlPolynomialFunctionValue($P$18,T205,AllTriggers)</f>
        <v>3.0252908432851153E-3</v>
      </c>
    </row>
    <row r="206" spans="18:21" x14ac:dyDescent="0.2">
      <c r="R206" s="212">
        <f>_xll.qlCalendarAdvance(Calendar,R205,"1D","f")</f>
        <v>42425</v>
      </c>
      <c r="S206" s="47">
        <f>_xll.qlTenorBasisValue($P$3,R206,AllTriggers)</f>
        <v>3.0761911097804445E-3</v>
      </c>
      <c r="T206" s="41">
        <f>_xll.qlDayCounterYearFraction("actual/365 (fixed)",SettlementDate,R206,,,Trigger)</f>
        <v>0.78630136986301369</v>
      </c>
      <c r="U206" s="47">
        <f>_xll.qlPolynomialFunctionValue($P$18,T206,AllTriggers)</f>
        <v>3.0257320200730996E-3</v>
      </c>
    </row>
    <row r="207" spans="18:21" x14ac:dyDescent="0.2">
      <c r="R207" s="212">
        <f>_xll.qlCalendarAdvance(Calendar,R206,"1D","f")</f>
        <v>42426</v>
      </c>
      <c r="S207" s="47">
        <f>_xll.qlTenorBasisValue($P$3,R207,AllTriggers)</f>
        <v>3.076458783446227E-3</v>
      </c>
      <c r="T207" s="41">
        <f>_xll.qlDayCounterYearFraction("actual/365 (fixed)",SettlementDate,R207,,,Trigger)</f>
        <v>0.78904109589041094</v>
      </c>
      <c r="U207" s="47">
        <f>_xll.qlPolynomialFunctionValue($P$18,T207,AllTriggers)</f>
        <v>3.0261705181894084E-3</v>
      </c>
    </row>
    <row r="208" spans="18:21" x14ac:dyDescent="0.2">
      <c r="R208" s="212">
        <f>_xll.qlCalendarAdvance(Calendar,R207,"1D","f")</f>
        <v>42429</v>
      </c>
      <c r="S208" s="47">
        <f>_xll.qlTenorBasisValue($P$3,R208,AllTriggers)</f>
        <v>3.0772616770266665E-3</v>
      </c>
      <c r="T208" s="41">
        <f>_xll.qlDayCounterYearFraction("actual/365 (fixed)",SettlementDate,R208,,,Trigger)</f>
        <v>0.79726027397260268</v>
      </c>
      <c r="U208" s="47">
        <f>_xll.qlPolynomialFunctionValue($P$18,T208,AllTriggers)</f>
        <v>3.0274700816943449E-3</v>
      </c>
    </row>
    <row r="209" spans="18:21" x14ac:dyDescent="0.2">
      <c r="R209" s="212">
        <f>_xll.qlCalendarAdvance(Calendar,R208,"1D","f")</f>
        <v>42430</v>
      </c>
      <c r="S209" s="47">
        <f>_xll.qlTenorBasisValue($P$3,R209,AllTriggers)</f>
        <v>3.0775293128098664E-3</v>
      </c>
      <c r="T209" s="41">
        <f>_xll.qlDayCounterYearFraction("actual/365 (fixed)",SettlementDate,R209,,,Trigger)</f>
        <v>0.8</v>
      </c>
      <c r="U209" s="47">
        <f>_xll.qlPolynomialFunctionValue($P$18,T209,AllTriggers)</f>
        <v>3.0278980063100161E-3</v>
      </c>
    </row>
    <row r="210" spans="18:21" x14ac:dyDescent="0.2">
      <c r="R210" s="212">
        <f>_xll.qlCalendarAdvance(Calendar,R209,"1D","f")</f>
        <v>42431</v>
      </c>
      <c r="S210" s="47">
        <f>_xll.qlTenorBasisValue($P$3,R210,AllTriggers)</f>
        <v>3.0777969744189364E-3</v>
      </c>
      <c r="T210" s="41">
        <f>_xll.qlDayCounterYearFraction("actual/365 (fixed)",SettlementDate,R210,,,Trigger)</f>
        <v>0.80273972602739729</v>
      </c>
      <c r="U210" s="47">
        <f>_xll.qlPolynomialFunctionValue($P$18,T210,AllTriggers)</f>
        <v>3.028323322847045E-3</v>
      </c>
    </row>
    <row r="211" spans="18:21" x14ac:dyDescent="0.2">
      <c r="R211" s="212">
        <f>_xll.qlCalendarAdvance(Calendar,R210,"1D","f")</f>
        <v>42432</v>
      </c>
      <c r="S211" s="47">
        <f>_xll.qlTenorBasisValue($P$3,R211,AllTriggers)</f>
        <v>3.0780646759724852E-3</v>
      </c>
      <c r="T211" s="41">
        <f>_xll.qlDayCounterYearFraction("actual/365 (fixed)",SettlementDate,R211,,,Trigger)</f>
        <v>0.80547945205479454</v>
      </c>
      <c r="U211" s="47">
        <f>_xll.qlPolynomialFunctionValue($P$18,T211,AllTriggers)</f>
        <v>3.0287460454240388E-3</v>
      </c>
    </row>
    <row r="212" spans="18:21" x14ac:dyDescent="0.2">
      <c r="R212" s="212">
        <f>_xll.qlCalendarAdvance(Calendar,R211,"1D","f")</f>
        <v>42433</v>
      </c>
      <c r="S212" s="47">
        <f>_xll.qlTenorBasisValue($P$3,R212,AllTriggers)</f>
        <v>3.0783324315891173E-3</v>
      </c>
      <c r="T212" s="41">
        <f>_xll.qlDayCounterYearFraction("actual/365 (fixed)",SettlementDate,R212,,,Trigger)</f>
        <v>0.80821917808219179</v>
      </c>
      <c r="U212" s="47">
        <f>_xll.qlPolynomialFunctionValue($P$18,T212,AllTriggers)</f>
        <v>3.0291661881596032E-3</v>
      </c>
    </row>
    <row r="213" spans="18:21" x14ac:dyDescent="0.2">
      <c r="R213" s="212">
        <f>_xll.qlCalendarAdvance(Calendar,R212,"1D","f")</f>
        <v>42436</v>
      </c>
      <c r="S213" s="47">
        <f>_xll.qlTenorBasisValue($P$3,R213,AllTriggers)</f>
        <v>3.079136164003589E-3</v>
      </c>
      <c r="T213" s="41">
        <f>_xll.qlDayCounterYearFraction("actual/365 (fixed)",SettlementDate,R213,,,Trigger)</f>
        <v>0.81643835616438354</v>
      </c>
      <c r="U213" s="47">
        <f>_xll.qlPolynomialFunctionValue($P$18,T213,AllTriggers)</f>
        <v>3.0304112785037875E-3</v>
      </c>
    </row>
    <row r="214" spans="18:21" x14ac:dyDescent="0.2">
      <c r="R214" s="212">
        <f>_xll.qlCalendarAdvance(Calendar,R213,"1D","f")</f>
        <v>42437</v>
      </c>
      <c r="S214" s="47">
        <f>_xll.qlTenorBasisValue($P$3,R214,AllTriggers)</f>
        <v>3.079404277058626E-3</v>
      </c>
      <c r="T214" s="41">
        <f>_xll.qlDayCounterYearFraction("actual/365 (fixed)",SettlementDate,R214,,,Trigger)</f>
        <v>0.81917808219178079</v>
      </c>
      <c r="U214" s="47">
        <f>_xll.qlPolynomialFunctionValue($P$18,T214,AllTriggers)</f>
        <v>3.0308212430597021E-3</v>
      </c>
    </row>
    <row r="215" spans="18:21" x14ac:dyDescent="0.2">
      <c r="R215" s="212">
        <f>_xll.qlCalendarAdvance(Calendar,R214,"1D","f")</f>
        <v>42438</v>
      </c>
      <c r="S215" s="47">
        <f>_xll.qlTenorBasisValue($P$3,R215,AllTriggers)</f>
        <v>3.0796725147697809E-3</v>
      </c>
      <c r="T215" s="41">
        <f>_xll.qlDayCounterYearFraction("actual/365 (fixed)",SettlementDate,R215,,,Trigger)</f>
        <v>0.82191780821917804</v>
      </c>
      <c r="U215" s="47">
        <f>_xll.qlPolynomialFunctionValue($P$18,T215,AllTriggers)</f>
        <v>3.0312286983672208E-3</v>
      </c>
    </row>
    <row r="216" spans="18:21" x14ac:dyDescent="0.2">
      <c r="R216" s="212">
        <f>_xll.qlCalendarAdvance(Calendar,R215,"1D","f")</f>
        <v>42439</v>
      </c>
      <c r="S216" s="47">
        <f>_xll.qlTenorBasisValue($P$3,R216,AllTriggers)</f>
        <v>3.079940891255661E-3</v>
      </c>
      <c r="T216" s="41">
        <f>_xll.qlDayCounterYearFraction("actual/365 (fixed)",SettlementDate,R216,,,Trigger)</f>
        <v>0.8246575342465754</v>
      </c>
      <c r="U216" s="47">
        <f>_xll.qlPolynomialFunctionValue($P$18,T216,AllTriggers)</f>
        <v>3.0316336585449509E-3</v>
      </c>
    </row>
    <row r="217" spans="18:21" x14ac:dyDescent="0.2">
      <c r="R217" s="212">
        <f>_xll.qlCalendarAdvance(Calendar,R216,"1D","f")</f>
        <v>42440</v>
      </c>
      <c r="S217" s="47">
        <f>_xll.qlTenorBasisValue($P$3,R217,AllTriggers)</f>
        <v>3.0802094206348715E-3</v>
      </c>
      <c r="T217" s="41">
        <f>_xll.qlDayCounterYearFraction("actual/365 (fixed)",SettlementDate,R217,,,Trigger)</f>
        <v>0.82739726027397265</v>
      </c>
      <c r="U217" s="47">
        <f>_xll.qlPolynomialFunctionValue($P$18,T217,AllTriggers)</f>
        <v>3.0320361377114981E-3</v>
      </c>
    </row>
    <row r="218" spans="18:21" x14ac:dyDescent="0.2">
      <c r="R218" s="212">
        <f>_xll.qlCalendarAdvance(Calendar,R217,"1D","f")</f>
        <v>42443</v>
      </c>
      <c r="S218" s="47">
        <f>_xll.qlTenorBasisValue($P$3,R218,AllTriggers)</f>
        <v>3.0810160673185572E-3</v>
      </c>
      <c r="T218" s="41">
        <f>_xll.qlDayCounterYearFraction("actual/365 (fixed)",SettlementDate,R218,,,Trigger)</f>
        <v>0.83561643835616439</v>
      </c>
      <c r="U218" s="47">
        <f>_xll.qlPolynomialFunctionValue($P$18,T218,AllTriggers)</f>
        <v>3.0332288303301135E-3</v>
      </c>
    </row>
    <row r="219" spans="18:21" x14ac:dyDescent="0.2">
      <c r="R219" s="212">
        <f>_xll.qlCalendarAdvance(Calendar,R218,"1D","f")</f>
        <v>42444</v>
      </c>
      <c r="S219" s="47">
        <f>_xll.qlTenorBasisValue($P$3,R219,AllTriggers)</f>
        <v>3.0812853494571594E-3</v>
      </c>
      <c r="T219" s="41">
        <f>_xll.qlDayCounterYearFraction("actual/365 (fixed)",SettlementDate,R219,,,Trigger)</f>
        <v>0.83835616438356164</v>
      </c>
      <c r="U219" s="47">
        <f>_xll.qlPolynomialFunctionValue($P$18,T219,AllTriggers)</f>
        <v>3.0336215266379986E-3</v>
      </c>
    </row>
    <row r="220" spans="18:21" x14ac:dyDescent="0.2">
      <c r="R220" s="212">
        <f>_xll.qlCalendarAdvance(Calendar,R219,"1D","f")</f>
        <v>42445</v>
      </c>
      <c r="S220" s="47">
        <f>_xll.qlTenorBasisValue($P$3,R220,AllTriggers)</f>
        <v>3.0815548550821264E-3</v>
      </c>
      <c r="T220" s="41">
        <f>_xll.qlDayCounterYearFraction("actual/365 (fixed)",SettlementDate,R220,,,Trigger)</f>
        <v>0.84109589041095889</v>
      </c>
      <c r="U220" s="47">
        <f>_xll.qlPolynomialFunctionValue($P$18,T220,AllTriggers)</f>
        <v>3.0340118125277344E-3</v>
      </c>
    </row>
    <row r="221" spans="18:21" x14ac:dyDescent="0.2">
      <c r="R221" s="212">
        <f>_xll.qlCalendarAdvance(Calendar,R220,"1D","f")</f>
        <v>42446</v>
      </c>
      <c r="S221" s="47">
        <f>_xll.qlTenorBasisValue($P$3,R221,AllTriggers)</f>
        <v>3.0818245983120643E-3</v>
      </c>
      <c r="T221" s="41">
        <f>_xll.qlDayCounterYearFraction("actual/365 (fixed)",SettlementDate,R221,,,Trigger)</f>
        <v>0.84383561643835614</v>
      </c>
      <c r="U221" s="47">
        <f>_xll.qlPolynomialFunctionValue($P$18,T221,AllTriggers)</f>
        <v>3.0343997021179286E-3</v>
      </c>
    </row>
    <row r="222" spans="18:21" x14ac:dyDescent="0.2">
      <c r="R222" s="212">
        <f>_xll.qlCalendarAdvance(Calendar,R221,"1D","f")</f>
        <v>42447</v>
      </c>
      <c r="S222" s="47">
        <f>_xll.qlTenorBasisValue($P$3,R222,AllTriggers)</f>
        <v>3.0820945932655808E-3</v>
      </c>
      <c r="T222" s="41">
        <f>_xll.qlDayCounterYearFraction("actual/365 (fixed)",SettlementDate,R222,,,Trigger)</f>
        <v>0.84657534246575339</v>
      </c>
      <c r="U222" s="47">
        <f>_xll.qlPolynomialFunctionValue($P$18,T222,AllTriggers)</f>
        <v>3.0347852095271867E-3</v>
      </c>
    </row>
    <row r="223" spans="18:21" x14ac:dyDescent="0.2">
      <c r="R223" s="212">
        <f>_xll.qlCalendarAdvance(Calendar,R222,"1D","f")</f>
        <v>42450</v>
      </c>
      <c r="S223" s="47">
        <f>_xll.qlTenorBasisValue($P$3,R223,AllTriggers)</f>
        <v>3.0829062296536635E-3</v>
      </c>
      <c r="T223" s="41">
        <f>_xll.qlDayCounterYearFraction("actual/365 (fixed)",SettlementDate,R223,,,Trigger)</f>
        <v>0.85479452054794525</v>
      </c>
      <c r="U223" s="47">
        <f>_xll.qlPolynomialFunctionValue($P$18,T223,AllTriggers)</f>
        <v>3.0359275798554153E-3</v>
      </c>
    </row>
    <row r="224" spans="18:21" x14ac:dyDescent="0.2">
      <c r="R224" s="212">
        <f>_xll.qlCalendarAdvance(Calendar,R223,"1D","f")</f>
        <v>42451</v>
      </c>
      <c r="S224" s="47">
        <f>_xll.qlTenorBasisValue($P$3,R224,AllTriggers)</f>
        <v>3.0831773726875582E-3</v>
      </c>
      <c r="T224" s="41">
        <f>_xll.qlDayCounterYearFraction("actual/365 (fixed)",SettlementDate,R224,,,Trigger)</f>
        <v>0.8575342465753425</v>
      </c>
      <c r="U224" s="47">
        <f>_xll.qlPolynomialFunctionValue($P$18,T224,AllTriggers)</f>
        <v>3.0363036997269983E-3</v>
      </c>
    </row>
    <row r="225" spans="18:21" x14ac:dyDescent="0.2">
      <c r="R225" s="212">
        <f>_xll.qlCalendarAdvance(Calendar,R224,"1D","f")</f>
        <v>42452</v>
      </c>
      <c r="S225" s="47">
        <f>_xll.qlTenorBasisValue($P$3,R225,AllTriggers)</f>
        <v>3.0834488380380646E-3</v>
      </c>
      <c r="T225" s="41">
        <f>_xll.qlDayCounterYearFraction("actual/365 (fixed)",SettlementDate,R225,,,Trigger)</f>
        <v>0.86027397260273974</v>
      </c>
      <c r="U225" s="47">
        <f>_xll.qlPolynomialFunctionValue($P$18,T225,AllTriggers)</f>
        <v>3.0366775080106793E-3</v>
      </c>
    </row>
    <row r="226" spans="18:21" x14ac:dyDescent="0.2">
      <c r="R226" s="212">
        <f>_xll.qlCalendarAdvance(Calendar,R225,"1D","f")</f>
        <v>42453</v>
      </c>
      <c r="S226" s="47">
        <f>_xll.qlTenorBasisValue($P$3,R226,AllTriggers)</f>
        <v>3.0837206398237884E-3</v>
      </c>
      <c r="T226" s="41">
        <f>_xll.qlDayCounterYearFraction("actual/365 (fixed)",SettlementDate,R226,,,Trigger)</f>
        <v>0.86301369863013699</v>
      </c>
      <c r="U226" s="47">
        <f>_xll.qlPolynomialFunctionValue($P$18,T226,AllTriggers)</f>
        <v>3.0370490188250643E-3</v>
      </c>
    </row>
    <row r="227" spans="18:21" x14ac:dyDescent="0.2">
      <c r="R227" s="212">
        <f>_xll.qlCalendarAdvance(Calendar,R226,"1D","f")</f>
        <v>42458</v>
      </c>
      <c r="S227" s="47">
        <f>_xll.qlTenorBasisValue($P$3,R227,AllTriggers)</f>
        <v>3.085085189431915E-3</v>
      </c>
      <c r="T227" s="41">
        <f>_xll.qlDayCounterYearFraction("actual/365 (fixed)",SettlementDate,R227,,,Trigger)</f>
        <v>0.87671232876712324</v>
      </c>
      <c r="U227" s="47">
        <f>_xll.qlPolynomialFunctionValue($P$18,T227,AllTriggers)</f>
        <v>3.0388726050087933E-3</v>
      </c>
    </row>
    <row r="228" spans="18:21" x14ac:dyDescent="0.2">
      <c r="R228" s="212">
        <f>_xll.qlCalendarAdvance(Calendar,R227,"1D","f")</f>
        <v>42459</v>
      </c>
      <c r="S228" s="47">
        <f>_xll.qlTenorBasisValue($P$3,R228,AllTriggers)</f>
        <v>3.0853593063196877E-3</v>
      </c>
      <c r="T228" s="41">
        <f>_xll.qlDayCounterYearFraction("actual/365 (fixed)",SettlementDate,R228,,,Trigger)</f>
        <v>0.8794520547945206</v>
      </c>
      <c r="U228" s="47">
        <f>_xll.qlPolynomialFunctionValue($P$18,T228,AllTriggers)</f>
        <v>3.0392306274981467E-3</v>
      </c>
    </row>
    <row r="229" spans="18:21" x14ac:dyDescent="0.2">
      <c r="R229" s="212">
        <f>_xll.qlCalendarAdvance(Calendar,R228,"1D","f")</f>
        <v>42460</v>
      </c>
      <c r="S229" s="47">
        <f>_xll.qlTenorBasisValue($P$3,R229,AllTriggers)</f>
        <v>3.0856338584729259E-3</v>
      </c>
      <c r="T229" s="41">
        <f>_xll.qlDayCounterYearFraction("actual/365 (fixed)",SettlementDate,R229,,,Trigger)</f>
        <v>0.88219178082191785</v>
      </c>
      <c r="U229" s="47">
        <f>_xll.qlPolynomialFunctionValue($P$18,T229,AllTriggers)</f>
        <v>3.0395864513484507E-3</v>
      </c>
    </row>
    <row r="230" spans="18:21" x14ac:dyDescent="0.2">
      <c r="R230" s="212">
        <f>_xll.qlCalendarAdvance(Calendar,R229,"1D","f")</f>
        <v>42461</v>
      </c>
      <c r="S230" s="47">
        <f>_xll.qlTenorBasisValue($P$3,R230,AllTriggers)</f>
        <v>3.085908860010235E-3</v>
      </c>
      <c r="T230" s="41">
        <f>_xll.qlDayCounterYearFraction("actual/365 (fixed)",SettlementDate,R230,,,Trigger)</f>
        <v>0.8849315068493151</v>
      </c>
      <c r="U230" s="47">
        <f>_xll.qlPolynomialFunctionValue($P$18,T230,AllTriggers)</f>
        <v>3.039940090678313E-3</v>
      </c>
    </row>
    <row r="231" spans="18:21" x14ac:dyDescent="0.2">
      <c r="R231" s="212">
        <f>_xll.qlCalendarAdvance(Calendar,R230,"1D","f")</f>
        <v>42464</v>
      </c>
      <c r="S231" s="47">
        <f>_xll.qlTenorBasisValue($P$3,R231,AllTriggers)</f>
        <v>3.0867367021126598E-3</v>
      </c>
      <c r="T231" s="41">
        <f>_xll.qlDayCounterYearFraction("actual/365 (fixed)",SettlementDate,R231,,,Trigger)</f>
        <v>0.89315068493150684</v>
      </c>
      <c r="U231" s="47">
        <f>_xll.qlPolynomialFunctionValue($P$18,T231,AllTriggers)</f>
        <v>3.0409880427313151E-3</v>
      </c>
    </row>
    <row r="232" spans="18:21" x14ac:dyDescent="0.2">
      <c r="R232" s="212">
        <f>_xll.qlCalendarAdvance(Calendar,R231,"1D","f")</f>
        <v>42465</v>
      </c>
      <c r="S232" s="47">
        <f>_xll.qlTenorBasisValue($P$3,R232,AllTriggers)</f>
        <v>3.0870136423723216E-3</v>
      </c>
      <c r="T232" s="41">
        <f>_xll.qlDayCounterYearFraction("actual/365 (fixed)",SettlementDate,R232,,,Trigger)</f>
        <v>0.89589041095890409</v>
      </c>
      <c r="U232" s="47">
        <f>_xll.qlPolynomialFunctionValue($P$18,T232,AllTriggers)</f>
        <v>3.0413330851654769E-3</v>
      </c>
    </row>
    <row r="233" spans="18:21" x14ac:dyDescent="0.2">
      <c r="R233" s="212">
        <f>_xll.qlCalendarAdvance(Calendar,R232,"1D","f")</f>
        <v>42466</v>
      </c>
      <c r="S233" s="47">
        <f>_xll.qlTenorBasisValue($P$3,R233,AllTriggers)</f>
        <v>3.087291102609089E-3</v>
      </c>
      <c r="T233" s="41">
        <f>_xll.qlDayCounterYearFraction("actual/365 (fixed)",SettlementDate,R233,,,Trigger)</f>
        <v>0.89863013698630134</v>
      </c>
      <c r="U233" s="47">
        <f>_xll.qlPolynomialFunctionValue($P$18,T233,AllTriggers)</f>
        <v>3.0416760136722297E-3</v>
      </c>
    </row>
    <row r="234" spans="18:21" x14ac:dyDescent="0.2">
      <c r="R234" s="212">
        <f>_xll.qlCalendarAdvance(Calendar,R233,"1D","f")</f>
        <v>42467</v>
      </c>
      <c r="S234" s="47">
        <f>_xll.qlTenorBasisValue($P$3,R234,AllTriggers)</f>
        <v>3.0875690969415677E-3</v>
      </c>
      <c r="T234" s="41">
        <f>_xll.qlDayCounterYearFraction("actual/365 (fixed)",SettlementDate,R234,,,Trigger)</f>
        <v>0.90136986301369859</v>
      </c>
      <c r="U234" s="47">
        <f>_xll.qlPolynomialFunctionValue($P$18,T234,AllTriggers)</f>
        <v>3.0420168423701799E-3</v>
      </c>
    </row>
    <row r="235" spans="18:21" x14ac:dyDescent="0.2">
      <c r="R235" s="212">
        <f>_xll.qlCalendarAdvance(Calendar,R234,"1D","f")</f>
        <v>42468</v>
      </c>
      <c r="S235" s="47">
        <f>_xll.qlTenorBasisValue($P$3,R235,AllTriggers)</f>
        <v>3.0878476394883654E-3</v>
      </c>
      <c r="T235" s="41">
        <f>_xll.qlDayCounterYearFraction("actual/365 (fixed)",SettlementDate,R235,,,Trigger)</f>
        <v>0.90410958904109584</v>
      </c>
      <c r="U235" s="47">
        <f>_xll.qlPolynomialFunctionValue($P$18,T235,AllTriggers)</f>
        <v>3.0423555853779363E-3</v>
      </c>
    </row>
    <row r="236" spans="18:21" x14ac:dyDescent="0.2">
      <c r="R236" s="212">
        <f>_xll.qlCalendarAdvance(Calendar,R235,"1D","f")</f>
        <v>42471</v>
      </c>
      <c r="S236" s="47">
        <f>_xll.qlTenorBasisValue($P$3,R236,AllTriggers)</f>
        <v>3.0886866976007339E-3</v>
      </c>
      <c r="T236" s="41">
        <f>_xll.qlDayCounterYearFraction("actual/365 (fixed)",SettlementDate,R236,,,Trigger)</f>
        <v>0.9123287671232877</v>
      </c>
      <c r="U236" s="47">
        <f>_xll.qlPolynomialFunctionValue($P$18,T236,AllTriggers)</f>
        <v>3.0433594414460987E-3</v>
      </c>
    </row>
    <row r="237" spans="18:21" x14ac:dyDescent="0.2">
      <c r="R237" s="212">
        <f>_xll.qlCalendarAdvance(Calendar,R236,"1D","f")</f>
        <v>42472</v>
      </c>
      <c r="S237" s="47">
        <f>_xll.qlTenorBasisValue($P$3,R237,AllTriggers)</f>
        <v>3.0889675741908708E-3</v>
      </c>
      <c r="T237" s="41">
        <f>_xll.qlDayCounterYearFraction("actual/365 (fixed)",SettlementDate,R237,,,Trigger)</f>
        <v>0.91506849315068495</v>
      </c>
      <c r="U237" s="47">
        <f>_xll.qlPolynomialFunctionValue($P$18,T237,AllTriggers)</f>
        <v>3.0436899828791401E-3</v>
      </c>
    </row>
    <row r="238" spans="18:21" x14ac:dyDescent="0.2">
      <c r="R238" s="212">
        <f>_xll.qlCalendarAdvance(Calendar,R237,"1D","f")</f>
        <v>42473</v>
      </c>
      <c r="S238" s="47">
        <f>_xll.qlTenorBasisValue($P$3,R238,AllTriggers)</f>
        <v>3.0892490695883608E-3</v>
      </c>
      <c r="T238" s="41">
        <f>_xll.qlDayCounterYearFraction("actual/365 (fixed)",SettlementDate,R238,,,Trigger)</f>
        <v>0.9178082191780822</v>
      </c>
      <c r="U238" s="47">
        <f>_xll.qlPolynomialFunctionValue($P$18,T238,AllTriggers)</f>
        <v>3.0440185092150203E-3</v>
      </c>
    </row>
    <row r="239" spans="18:21" x14ac:dyDescent="0.2">
      <c r="R239" s="212">
        <f>_xll.qlCalendarAdvance(Calendar,R238,"1D","f")</f>
        <v>42474</v>
      </c>
      <c r="S239" s="47">
        <f>_xll.qlTenorBasisValue($P$3,R239,AllTriggers)</f>
        <v>3.0895311979118076E-3</v>
      </c>
      <c r="T239" s="41">
        <f>_xll.qlDayCounterYearFraction("actual/365 (fixed)",SettlementDate,R239,,,Trigger)</f>
        <v>0.92054794520547945</v>
      </c>
      <c r="U239" s="47">
        <f>_xll.qlPolynomialFunctionValue($P$18,T239,AllTriggers)</f>
        <v>3.0443450345723445E-3</v>
      </c>
    </row>
    <row r="240" spans="18:21" x14ac:dyDescent="0.2">
      <c r="R240" s="212">
        <f>_xll.qlCalendarAdvance(Calendar,R239,"1D","f")</f>
        <v>42475</v>
      </c>
      <c r="S240" s="47">
        <f>_xll.qlTenorBasisValue($P$3,R240,AllTriggers)</f>
        <v>3.0898139732798207E-3</v>
      </c>
      <c r="T240" s="41">
        <f>_xll.qlDayCounterYearFraction("actual/365 (fixed)",SettlementDate,R240,,,Trigger)</f>
        <v>0.92328767123287669</v>
      </c>
      <c r="U240" s="47">
        <f>_xll.qlPolynomialFunctionValue($P$18,T240,AllTriggers)</f>
        <v>3.0446695730697213E-3</v>
      </c>
    </row>
    <row r="241" spans="18:21" x14ac:dyDescent="0.2">
      <c r="R241" s="212">
        <f>_xll.qlCalendarAdvance(Calendar,R240,"1D","f")</f>
        <v>42478</v>
      </c>
      <c r="S241" s="47">
        <f>_xll.qlTenorBasisValue($P$3,R241,AllTriggers)</f>
        <v>3.0906663228373161E-3</v>
      </c>
      <c r="T241" s="41">
        <f>_xll.qlDayCounterYearFraction("actual/365 (fixed)",SettlementDate,R241,,,Trigger)</f>
        <v>0.93150684931506844</v>
      </c>
      <c r="U241" s="47">
        <f>_xll.qlPolynomialFunctionValue($P$18,T241,AllTriggers)</f>
        <v>3.0456314085882271E-3</v>
      </c>
    </row>
    <row r="242" spans="18:21" x14ac:dyDescent="0.2">
      <c r="R242" s="212">
        <f>_xll.qlCalendarAdvance(Calendar,R241,"1D","f")</f>
        <v>42479</v>
      </c>
      <c r="S242" s="47">
        <f>_xll.qlTenorBasisValue($P$3,R242,AllTriggers)</f>
        <v>3.0909518275696558E-3</v>
      </c>
      <c r="T242" s="41">
        <f>_xll.qlDayCounterYearFraction("actual/365 (fixed)",SettlementDate,R242,,,Trigger)</f>
        <v>0.9342465753424658</v>
      </c>
      <c r="U242" s="47">
        <f>_xll.qlPolynomialFunctionValue($P$18,T242,AllTriggers)</f>
        <v>3.0459481408318763E-3</v>
      </c>
    </row>
    <row r="243" spans="18:21" x14ac:dyDescent="0.2">
      <c r="R243" s="212">
        <f>_xll.qlCalendarAdvance(Calendar,R242,"1D","f")</f>
        <v>42480</v>
      </c>
      <c r="S243" s="47">
        <f>_xll.qlTenorBasisValue($P$3,R243,AllTriggers)</f>
        <v>3.0912380499395942E-3</v>
      </c>
      <c r="T243" s="41">
        <f>_xll.qlDayCounterYearFraction("actual/365 (fixed)",SettlementDate,R243,,,Trigger)</f>
        <v>0.93698630136986305</v>
      </c>
      <c r="U243" s="47">
        <f>_xll.qlPolynomialFunctionValue($P$18,T243,AllTriggers)</f>
        <v>3.0462629568086112E-3</v>
      </c>
    </row>
    <row r="244" spans="18:21" x14ac:dyDescent="0.2">
      <c r="R244" s="212">
        <f>_xll.qlCalendarAdvance(Calendar,R243,"1D","f")</f>
        <v>42481</v>
      </c>
      <c r="S244" s="47">
        <f>_xll.qlTenorBasisValue($P$3,R244,AllTriggers)</f>
        <v>3.0915250040657377E-3</v>
      </c>
      <c r="T244" s="41">
        <f>_xll.qlDayCounterYearFraction("actual/365 (fixed)",SettlementDate,R244,,,Trigger)</f>
        <v>0.9397260273972603</v>
      </c>
      <c r="U244" s="47">
        <f>_xll.qlPolynomialFunctionValue($P$18,T244,AllTriggers)</f>
        <v>3.0465758706370379E-3</v>
      </c>
    </row>
    <row r="245" spans="18:21" x14ac:dyDescent="0.2">
      <c r="R245" s="212">
        <f>_xll.qlCalendarAdvance(Calendar,R244,"1D","f")</f>
        <v>42482</v>
      </c>
      <c r="S245" s="47">
        <f>_xll.qlTenorBasisValue($P$3,R245,AllTriggers)</f>
        <v>3.0918127040666936E-3</v>
      </c>
      <c r="T245" s="41">
        <f>_xll.qlDayCounterYearFraction("actual/365 (fixed)",SettlementDate,R245,,,Trigger)</f>
        <v>0.94246575342465755</v>
      </c>
      <c r="U245" s="47">
        <f>_xll.qlPolynomialFunctionValue($P$18,T245,AllTriggers)</f>
        <v>3.0468868964357628E-3</v>
      </c>
    </row>
    <row r="246" spans="18:21" x14ac:dyDescent="0.2">
      <c r="R246" s="212">
        <f>_xll.qlCalendarAdvance(Calendar,R245,"1D","f")</f>
        <v>42485</v>
      </c>
      <c r="S246" s="47">
        <f>_xll.qlTenorBasisValue($P$3,R246,AllTriggers)</f>
        <v>3.0926804205044984E-3</v>
      </c>
      <c r="T246" s="41">
        <f>_xll.qlDayCounterYearFraction("actual/365 (fixed)",SettlementDate,R246,,,Trigger)</f>
        <v>0.9506849315068493</v>
      </c>
      <c r="U246" s="47">
        <f>_xll.qlPolynomialFunctionValue($P$18,T246,AllTriggers)</f>
        <v>3.0478087868397938E-3</v>
      </c>
    </row>
    <row r="247" spans="18:21" x14ac:dyDescent="0.2">
      <c r="R247" s="212">
        <f>_xll.qlCalendarAdvance(Calendar,R246,"1D","f")</f>
        <v>42486</v>
      </c>
      <c r="S247" s="47">
        <f>_xll.qlTenorBasisValue($P$3,R247,AllTriggers)</f>
        <v>3.0929712451907686E-3</v>
      </c>
      <c r="T247" s="41">
        <f>_xll.qlDayCounterYearFraction("actual/365 (fixed)",SettlementDate,R247,,,Trigger)</f>
        <v>0.95342465753424654</v>
      </c>
      <c r="U247" s="47">
        <f>_xll.qlPolynomialFunctionValue($P$18,T247,AllTriggers)</f>
        <v>3.0481124017057788E-3</v>
      </c>
    </row>
    <row r="248" spans="18:21" x14ac:dyDescent="0.2">
      <c r="R248" s="212">
        <f>_xll.qlCalendarAdvance(Calendar,R247,"1D","f")</f>
        <v>42487</v>
      </c>
      <c r="S248" s="47">
        <f>_xll.qlTenorBasisValue($P$3,R248,AllTriggers)</f>
        <v>3.0932628863448836E-3</v>
      </c>
      <c r="T248" s="41">
        <f>_xll.qlDayCounterYearFraction("actual/365 (fixed)",SettlementDate,R248,,,Trigger)</f>
        <v>0.95616438356164379</v>
      </c>
      <c r="U248" s="47">
        <f>_xll.qlPolynomialFunctionValue($P$18,T248,AllTriggers)</f>
        <v>3.0484141991350957E-3</v>
      </c>
    </row>
    <row r="249" spans="18:21" x14ac:dyDescent="0.2">
      <c r="R249" s="212">
        <f>_xll.qlCalendarAdvance(Calendar,R248,"1D","f")</f>
        <v>42488</v>
      </c>
      <c r="S249" s="47">
        <f>_xll.qlTenorBasisValue($P$3,R249,AllTriggers)</f>
        <v>3.0935553580854511E-3</v>
      </c>
      <c r="T249" s="41">
        <f>_xll.qlDayCounterYearFraction("actual/365 (fixed)",SettlementDate,R249,,,Trigger)</f>
        <v>0.95890410958904104</v>
      </c>
      <c r="U249" s="47">
        <f>_xll.qlPolynomialFunctionValue($P$18,T249,AllTriggers)</f>
        <v>3.0487141932463509E-3</v>
      </c>
    </row>
    <row r="250" spans="18:21" x14ac:dyDescent="0.2">
      <c r="R250" s="212">
        <f>_xll.qlCalendarAdvance(Calendar,R249,"1D","f")</f>
        <v>42489</v>
      </c>
      <c r="S250" s="47">
        <f>_xll.qlTenorBasisValue($P$3,R250,AllTriggers)</f>
        <v>3.0938486745310766E-3</v>
      </c>
      <c r="T250" s="41">
        <f>_xll.qlDayCounterYearFraction("actual/365 (fixed)",SettlementDate,R250,,,Trigger)</f>
        <v>0.9616438356164384</v>
      </c>
      <c r="U250" s="47">
        <f>_xll.qlPolynomialFunctionValue($P$18,T250,AllTriggers)</f>
        <v>3.0490123981581512E-3</v>
      </c>
    </row>
    <row r="251" spans="18:21" x14ac:dyDescent="0.2">
      <c r="R251" s="212">
        <f>_xll.qlCalendarAdvance(Calendar,R250,"1D","f")</f>
        <v>42492</v>
      </c>
      <c r="S251" s="47">
        <f>_xll.qlTenorBasisValue($P$3,R251,AllTriggers)</f>
        <v>3.0947338332843735E-3</v>
      </c>
      <c r="T251" s="41">
        <f>_xll.qlDayCounterYearFraction("actual/365 (fixed)",SettlementDate,R251,,,Trigger)</f>
        <v>0.96986301369863015</v>
      </c>
      <c r="U251" s="47">
        <f>_xll.qlPolynomialFunctionValue($P$18,T251,AllTriggers)</f>
        <v>3.0498964188828909E-3</v>
      </c>
    </row>
    <row r="252" spans="18:21" x14ac:dyDescent="0.2">
      <c r="R252" s="212">
        <f>_xll.qlCalendarAdvance(Calendar,R251,"1D","f")</f>
        <v>42493</v>
      </c>
      <c r="S252" s="47">
        <f>_xll.qlTenorBasisValue($P$3,R252,AllTriggers)</f>
        <v>3.0950306697363011E-3</v>
      </c>
      <c r="T252" s="41">
        <f>_xll.qlDayCounterYearFraction("actual/365 (fixed)",SettlementDate,R252,,,Trigger)</f>
        <v>0.9726027397260274</v>
      </c>
      <c r="U252" s="47">
        <f>_xll.qlPolynomialFunctionValue($P$18,T252,AllTriggers)</f>
        <v>3.0501876081829387E-3</v>
      </c>
    </row>
    <row r="253" spans="18:21" x14ac:dyDescent="0.2">
      <c r="R253" s="212">
        <f>_xll.qlCalendarAdvance(Calendar,R252,"1D","f")</f>
        <v>42494</v>
      </c>
      <c r="S253" s="47">
        <f>_xll.qlTenorBasisValue($P$3,R253,AllTriggers)</f>
        <v>3.0953284214863203E-3</v>
      </c>
      <c r="T253" s="41">
        <f>_xll.qlDayCounterYearFraction("actual/365 (fixed)",SettlementDate,R253,,,Trigger)</f>
        <v>0.97534246575342465</v>
      </c>
      <c r="U253" s="47">
        <f>_xll.qlPolynomialFunctionValue($P$18,T253,AllTriggers)</f>
        <v>3.0504770788765652E-3</v>
      </c>
    </row>
    <row r="254" spans="18:21" x14ac:dyDescent="0.2">
      <c r="R254" s="212">
        <f>_xll.qlCalendarAdvance(Calendar,R253,"1D","f")</f>
        <v>42495</v>
      </c>
      <c r="S254" s="47">
        <f>_xll.qlTenorBasisValue($P$3,R254,AllTriggers)</f>
        <v>3.0956271026530389E-3</v>
      </c>
      <c r="T254" s="41">
        <f>_xll.qlDayCounterYearFraction("actual/365 (fixed)",SettlementDate,R254,,,Trigger)</f>
        <v>0.9780821917808219</v>
      </c>
      <c r="U254" s="47">
        <f>_xll.qlPolynomialFunctionValue($P$18,T254,AllTriggers)</f>
        <v>3.0507648450823766E-3</v>
      </c>
    </row>
    <row r="255" spans="18:21" x14ac:dyDescent="0.2">
      <c r="R255" s="212">
        <f>_xll.qlCalendarAdvance(Calendar,R254,"1D","f")</f>
        <v>42496</v>
      </c>
      <c r="S255" s="47">
        <f>_xll.qlTenorBasisValue($P$3,R255,AllTriggers)</f>
        <v>3.0959267273550626E-3</v>
      </c>
      <c r="T255" s="41">
        <f>_xll.qlDayCounterYearFraction("actual/365 (fixed)",SettlementDate,R255,,,Trigger)</f>
        <v>0.98082191780821915</v>
      </c>
      <c r="U255" s="47">
        <f>_xll.qlPolynomialFunctionValue($P$18,T255,AllTriggers)</f>
        <v>3.0510509209189804E-3</v>
      </c>
    </row>
    <row r="256" spans="18:21" x14ac:dyDescent="0.2">
      <c r="R256" s="212">
        <f>_xll.qlCalendarAdvance(Calendar,R255,"1D","f")</f>
        <v>42499</v>
      </c>
      <c r="S256" s="47">
        <f>_xll.qlTenorBasisValue($P$3,R256,AllTriggers)</f>
        <v>3.0968314038590339E-3</v>
      </c>
      <c r="T256" s="41">
        <f>_xll.qlDayCounterYearFraction("actual/365 (fixed)",SettlementDate,R256,,,Trigger)</f>
        <v>0.989041095890411</v>
      </c>
      <c r="U256" s="47">
        <f>_xll.qlPolynomialFunctionValue($P$18,T256,AllTriggers)</f>
        <v>3.0518991473996106E-3</v>
      </c>
    </row>
    <row r="257" spans="18:21" x14ac:dyDescent="0.2">
      <c r="R257" s="212">
        <f>_xll.qlCalendarAdvance(Calendar,R256,"1D","f")</f>
        <v>42500</v>
      </c>
      <c r="S257" s="47">
        <f>_xll.qlTenorBasisValue($P$3,R257,AllTriggers)</f>
        <v>3.097134943888346E-3</v>
      </c>
      <c r="T257" s="41">
        <f>_xll.qlDayCounterYearFraction("actual/365 (fixed)",SettlementDate,R257,,,Trigger)</f>
        <v>0.99178082191780825</v>
      </c>
      <c r="U257" s="47">
        <f>_xll.qlPolynomialFunctionValue($P$18,T257,AllTriggers)</f>
        <v>3.0521786029454488E-3</v>
      </c>
    </row>
    <row r="258" spans="18:21" x14ac:dyDescent="0.2">
      <c r="R258" s="212">
        <f>_xll.qlCalendarAdvance(Calendar,R257,"1D","f")</f>
        <v>42501</v>
      </c>
      <c r="S258" s="47">
        <f>_xll.qlTenorBasisValue($P$3,R258,AllTriggers)</f>
        <v>3.0974394980459977E-3</v>
      </c>
      <c r="T258" s="41">
        <f>_xll.qlDayCounterYearFraction("actual/365 (fixed)",SettlementDate,R258,,,Trigger)</f>
        <v>0.9945205479452055</v>
      </c>
      <c r="U258" s="47">
        <f>_xll.qlPolynomialFunctionValue($P$18,T258,AllTriggers)</f>
        <v>3.0524564387151122E-3</v>
      </c>
    </row>
    <row r="259" spans="18:21" x14ac:dyDescent="0.2">
      <c r="R259" s="212">
        <f>_xll.qlCalendarAdvance(Calendar,R258,"1D","f")</f>
        <v>42502</v>
      </c>
      <c r="S259" s="47">
        <f>_xll.qlTenorBasisValue($P$3,R259,AllTriggers)</f>
        <v>3.0977450804505944E-3</v>
      </c>
      <c r="T259" s="41">
        <f>_xll.qlDayCounterYearFraction("actual/365 (fixed)",SettlementDate,R259,,,Trigger)</f>
        <v>0.99726027397260275</v>
      </c>
      <c r="U259" s="47">
        <f>_xll.qlPolynomialFunctionValue($P$18,T259,AllTriggers)</f>
        <v>3.0527326688272083E-3</v>
      </c>
    </row>
    <row r="260" spans="18:21" x14ac:dyDescent="0.2">
      <c r="R260" s="212">
        <f>_xll.qlCalendarAdvance(Calendar,R259,"1D","f")</f>
        <v>42503</v>
      </c>
      <c r="S260" s="47">
        <f>_xll.qlTenorBasisValue($P$3,R260,AllTriggers)</f>
        <v>3.0980517052207439E-3</v>
      </c>
      <c r="T260" s="41">
        <f>_xll.qlDayCounterYearFraction("actual/365 (fixed)",SettlementDate,R260,,,Trigger)</f>
        <v>1</v>
      </c>
      <c r="U260" s="47">
        <f>_xll.qlPolynomialFunctionValue($P$18,T260,AllTriggers)</f>
        <v>3.0530073074003425E-3</v>
      </c>
    </row>
    <row r="261" spans="18:21" x14ac:dyDescent="0.2">
      <c r="R261" s="212">
        <f>_xll.qlCalendarAdvance(Calendar,R260,"1D","f")</f>
        <v>42506</v>
      </c>
      <c r="S261" s="47">
        <f>_xll.qlTenorBasisValue($P$3,R261,AllTriggers)</f>
        <v>3.0989779749105713E-3</v>
      </c>
      <c r="T261" s="41">
        <f>_xll.qlDayCounterYearFraction("actual/365 (fixed)",SettlementDate,R261,,,Trigger)</f>
        <v>1.0082191780821919</v>
      </c>
      <c r="U261" s="47">
        <f>_xll.qlPolynomialFunctionValue($P$18,T261,AllTriggers)</f>
        <v>3.053821815072045E-3</v>
      </c>
    </row>
    <row r="262" spans="18:21" x14ac:dyDescent="0.2">
      <c r="R262" s="213">
        <f>_xll.qlCalendarAdvance(Calendar,R261,"1D","f")</f>
        <v>42507</v>
      </c>
      <c r="S262" s="50">
        <f>_xll.qlTenorBasisValue($P$3,R262,AllTriggers)</f>
        <v>3.0992889103289962E-3</v>
      </c>
      <c r="T262" s="44">
        <f>_xll.qlDayCounterYearFraction("actual/365 (fixed)",SettlementDate,R262,,,Trigger)</f>
        <v>1.010958904109589</v>
      </c>
      <c r="U262" s="50">
        <f>_xll.qlPolynomialFunctionValue($P$18,T262,AllTriggers)</f>
        <v>3.0540902286754013E-3</v>
      </c>
    </row>
    <row r="263" spans="18:21" x14ac:dyDescent="0.2">
      <c r="R263" s="61"/>
    </row>
    <row r="264" spans="18:21" x14ac:dyDescent="0.2">
      <c r="R264" s="61"/>
    </row>
    <row r="265" spans="18:21" x14ac:dyDescent="0.2">
      <c r="R265" s="61"/>
    </row>
    <row r="266" spans="18:21" x14ac:dyDescent="0.2">
      <c r="R266" s="61"/>
    </row>
    <row r="267" spans="18:21" x14ac:dyDescent="0.2">
      <c r="R267" s="61"/>
    </row>
    <row r="268" spans="18:21" x14ac:dyDescent="0.2">
      <c r="R268" s="61"/>
    </row>
    <row r="269" spans="18:21" x14ac:dyDescent="0.2">
      <c r="R269" s="61"/>
    </row>
    <row r="270" spans="18:21" x14ac:dyDescent="0.2">
      <c r="R270" s="61"/>
    </row>
    <row r="271" spans="18:21" x14ac:dyDescent="0.2">
      <c r="R271" s="61"/>
    </row>
    <row r="272" spans="18:21" x14ac:dyDescent="0.2">
      <c r="R272" s="61"/>
    </row>
    <row r="273" spans="18:18" x14ac:dyDescent="0.2">
      <c r="R273" s="61"/>
    </row>
    <row r="274" spans="18:18" x14ac:dyDescent="0.2">
      <c r="R274" s="61"/>
    </row>
    <row r="275" spans="18:18" x14ac:dyDescent="0.2">
      <c r="R275" s="61"/>
    </row>
    <row r="276" spans="18:18" x14ac:dyDescent="0.2">
      <c r="R276" s="61"/>
    </row>
    <row r="277" spans="18:18" x14ac:dyDescent="0.2">
      <c r="R277" s="61"/>
    </row>
    <row r="278" spans="18:18" x14ac:dyDescent="0.2">
      <c r="R278" s="61"/>
    </row>
    <row r="279" spans="18:18" x14ac:dyDescent="0.2">
      <c r="R279" s="61"/>
    </row>
    <row r="280" spans="18:18" x14ac:dyDescent="0.2">
      <c r="R280" s="61"/>
    </row>
    <row r="281" spans="18:18" x14ac:dyDescent="0.2">
      <c r="R281" s="61"/>
    </row>
    <row r="282" spans="18:18" x14ac:dyDescent="0.2">
      <c r="R282" s="61"/>
    </row>
    <row r="283" spans="18:18" x14ac:dyDescent="0.2">
      <c r="R283" s="61"/>
    </row>
    <row r="284" spans="18:18" x14ac:dyDescent="0.2">
      <c r="R284" s="61"/>
    </row>
    <row r="285" spans="18:18" x14ac:dyDescent="0.2">
      <c r="R285" s="61"/>
    </row>
    <row r="286" spans="18:18" x14ac:dyDescent="0.2">
      <c r="R286" s="61"/>
    </row>
    <row r="287" spans="18:18" x14ac:dyDescent="0.2">
      <c r="R287" s="61"/>
    </row>
    <row r="288" spans="18:18" x14ac:dyDescent="0.2">
      <c r="R288" s="61"/>
    </row>
    <row r="289" spans="18:18" x14ac:dyDescent="0.2">
      <c r="R289" s="61"/>
    </row>
    <row r="290" spans="18:18" x14ac:dyDescent="0.2">
      <c r="R290" s="61"/>
    </row>
    <row r="291" spans="18:18" x14ac:dyDescent="0.2">
      <c r="R291" s="61"/>
    </row>
    <row r="292" spans="18:18" x14ac:dyDescent="0.2">
      <c r="R292" s="61"/>
    </row>
    <row r="293" spans="18:18" x14ac:dyDescent="0.2">
      <c r="R293" s="61"/>
    </row>
    <row r="294" spans="18:18" x14ac:dyDescent="0.2">
      <c r="R294" s="61"/>
    </row>
    <row r="295" spans="18:18" x14ac:dyDescent="0.2">
      <c r="R295" s="61"/>
    </row>
    <row r="296" spans="18:18" x14ac:dyDescent="0.2">
      <c r="R296" s="61"/>
    </row>
    <row r="297" spans="18:18" x14ac:dyDescent="0.2">
      <c r="R297" s="61"/>
    </row>
    <row r="298" spans="18:18" x14ac:dyDescent="0.2">
      <c r="R298" s="61"/>
    </row>
    <row r="299" spans="18:18" x14ac:dyDescent="0.2">
      <c r="R299" s="61"/>
    </row>
    <row r="300" spans="18:18" x14ac:dyDescent="0.2">
      <c r="R300" s="61"/>
    </row>
    <row r="301" spans="18:18" x14ac:dyDescent="0.2">
      <c r="R301" s="61"/>
    </row>
    <row r="302" spans="18:18" x14ac:dyDescent="0.2">
      <c r="R302" s="61"/>
    </row>
    <row r="303" spans="18:18" x14ac:dyDescent="0.2">
      <c r="R303" s="61"/>
    </row>
    <row r="304" spans="18:18" x14ac:dyDescent="0.2">
      <c r="R304" s="61"/>
    </row>
    <row r="305" spans="18:18" x14ac:dyDescent="0.2">
      <c r="R305" s="61"/>
    </row>
    <row r="306" spans="18:18" x14ac:dyDescent="0.2">
      <c r="R306" s="61"/>
    </row>
    <row r="307" spans="18:18" x14ac:dyDescent="0.2">
      <c r="R307" s="61"/>
    </row>
    <row r="308" spans="18:18" x14ac:dyDescent="0.2">
      <c r="R308" s="61"/>
    </row>
    <row r="309" spans="18:18" x14ac:dyDescent="0.2">
      <c r="R309" s="61"/>
    </row>
    <row r="310" spans="18:18" x14ac:dyDescent="0.2">
      <c r="R310" s="61"/>
    </row>
    <row r="311" spans="18:18" x14ac:dyDescent="0.2">
      <c r="R311" s="61"/>
    </row>
    <row r="312" spans="18:18" x14ac:dyDescent="0.2">
      <c r="R312" s="61"/>
    </row>
    <row r="313" spans="18:18" x14ac:dyDescent="0.2">
      <c r="R313" s="61"/>
    </row>
    <row r="314" spans="18:18" x14ac:dyDescent="0.2">
      <c r="R314" s="61"/>
    </row>
    <row r="315" spans="18:18" x14ac:dyDescent="0.2">
      <c r="R315" s="61"/>
    </row>
    <row r="316" spans="18:18" x14ac:dyDescent="0.2">
      <c r="R316" s="61"/>
    </row>
    <row r="317" spans="18:18" x14ac:dyDescent="0.2">
      <c r="R317" s="61"/>
    </row>
    <row r="318" spans="18:18" x14ac:dyDescent="0.2">
      <c r="R318" s="61"/>
    </row>
    <row r="319" spans="18:18" x14ac:dyDescent="0.2">
      <c r="R319" s="61"/>
    </row>
    <row r="320" spans="18:18" x14ac:dyDescent="0.2">
      <c r="R320" s="61"/>
    </row>
    <row r="321" spans="18:18" x14ac:dyDescent="0.2">
      <c r="R321" s="61"/>
    </row>
    <row r="322" spans="18:18" x14ac:dyDescent="0.2">
      <c r="R322" s="61"/>
    </row>
    <row r="323" spans="18:18" x14ac:dyDescent="0.2">
      <c r="R323" s="61"/>
    </row>
    <row r="324" spans="18:18" x14ac:dyDescent="0.2">
      <c r="R324" s="61"/>
    </row>
    <row r="325" spans="18:18" x14ac:dyDescent="0.2">
      <c r="R325" s="61"/>
    </row>
    <row r="326" spans="18:18" x14ac:dyDescent="0.2">
      <c r="R326" s="61"/>
    </row>
    <row r="327" spans="18:18" x14ac:dyDescent="0.2">
      <c r="R327" s="61"/>
    </row>
    <row r="328" spans="18:18" x14ac:dyDescent="0.2">
      <c r="R328" s="61"/>
    </row>
    <row r="329" spans="18:18" x14ac:dyDescent="0.2">
      <c r="R329" s="61"/>
    </row>
    <row r="330" spans="18:18" x14ac:dyDescent="0.2">
      <c r="R330" s="61"/>
    </row>
    <row r="331" spans="18:18" x14ac:dyDescent="0.2">
      <c r="R331" s="61"/>
    </row>
    <row r="332" spans="18:18" x14ac:dyDescent="0.2">
      <c r="R332" s="61"/>
    </row>
    <row r="333" spans="18:18" x14ac:dyDescent="0.2">
      <c r="R333" s="61"/>
    </row>
    <row r="334" spans="18:18" x14ac:dyDescent="0.2">
      <c r="R334" s="61"/>
    </row>
    <row r="335" spans="18:18" x14ac:dyDescent="0.2">
      <c r="R335" s="61"/>
    </row>
    <row r="336" spans="18:18" x14ac:dyDescent="0.2">
      <c r="R336" s="61"/>
    </row>
    <row r="337" spans="18:18" x14ac:dyDescent="0.2">
      <c r="R337" s="61"/>
    </row>
    <row r="338" spans="18:18" x14ac:dyDescent="0.2">
      <c r="R338" s="61"/>
    </row>
    <row r="339" spans="18:18" x14ac:dyDescent="0.2">
      <c r="R339" s="61"/>
    </row>
    <row r="340" spans="18:18" x14ac:dyDescent="0.2">
      <c r="R340" s="61"/>
    </row>
    <row r="341" spans="18:18" x14ac:dyDescent="0.2">
      <c r="R341" s="61"/>
    </row>
    <row r="342" spans="18:18" x14ac:dyDescent="0.2">
      <c r="R342" s="61"/>
    </row>
    <row r="343" spans="18:18" x14ac:dyDescent="0.2">
      <c r="R343" s="61"/>
    </row>
    <row r="344" spans="18:18" x14ac:dyDescent="0.2">
      <c r="R344" s="61"/>
    </row>
    <row r="345" spans="18:18" x14ac:dyDescent="0.2">
      <c r="R345" s="61"/>
    </row>
    <row r="346" spans="18:18" x14ac:dyDescent="0.2">
      <c r="R346" s="61"/>
    </row>
    <row r="347" spans="18:18" x14ac:dyDescent="0.2">
      <c r="R347" s="61"/>
    </row>
    <row r="348" spans="18:18" x14ac:dyDescent="0.2">
      <c r="R348" s="61"/>
    </row>
    <row r="349" spans="18:18" x14ac:dyDescent="0.2">
      <c r="R349" s="61"/>
    </row>
    <row r="350" spans="18:18" x14ac:dyDescent="0.2">
      <c r="R350" s="61"/>
    </row>
    <row r="351" spans="18:18" x14ac:dyDescent="0.2">
      <c r="R351" s="61"/>
    </row>
    <row r="352" spans="18:18" x14ac:dyDescent="0.2">
      <c r="R352" s="61"/>
    </row>
    <row r="353" spans="18:18" x14ac:dyDescent="0.2">
      <c r="R353" s="61"/>
    </row>
    <row r="354" spans="18:18" x14ac:dyDescent="0.2">
      <c r="R354" s="61"/>
    </row>
    <row r="355" spans="18:18" x14ac:dyDescent="0.2">
      <c r="R355" s="61"/>
    </row>
    <row r="356" spans="18:18" x14ac:dyDescent="0.2">
      <c r="R356" s="61"/>
    </row>
    <row r="357" spans="18:18" x14ac:dyDescent="0.2">
      <c r="R357" s="61"/>
    </row>
    <row r="358" spans="18:18" x14ac:dyDescent="0.2">
      <c r="R358" s="61"/>
    </row>
    <row r="359" spans="18:18" x14ac:dyDescent="0.2">
      <c r="R359" s="61"/>
    </row>
    <row r="360" spans="18:18" x14ac:dyDescent="0.2">
      <c r="R360" s="61"/>
    </row>
    <row r="361" spans="18:18" x14ac:dyDescent="0.2">
      <c r="R361" s="61"/>
    </row>
    <row r="362" spans="18:18" x14ac:dyDescent="0.2">
      <c r="R362" s="61"/>
    </row>
    <row r="363" spans="18:18" x14ac:dyDescent="0.2">
      <c r="R363" s="61"/>
    </row>
    <row r="364" spans="18:18" x14ac:dyDescent="0.2">
      <c r="R364" s="61"/>
    </row>
    <row r="365" spans="18:18" x14ac:dyDescent="0.2">
      <c r="R365" s="61"/>
    </row>
    <row r="366" spans="18:18" x14ac:dyDescent="0.2">
      <c r="R366" s="61"/>
    </row>
    <row r="367" spans="18:18" x14ac:dyDescent="0.2">
      <c r="R367" s="61"/>
    </row>
    <row r="368" spans="18:18" x14ac:dyDescent="0.2">
      <c r="R368" s="61"/>
    </row>
    <row r="369" spans="18:18" x14ac:dyDescent="0.2">
      <c r="R369" s="61"/>
    </row>
    <row r="370" spans="18:18" x14ac:dyDescent="0.2">
      <c r="R370" s="61"/>
    </row>
    <row r="371" spans="18:18" x14ac:dyDescent="0.2">
      <c r="R371" s="61"/>
    </row>
    <row r="372" spans="18:18" x14ac:dyDescent="0.2">
      <c r="R372" s="61"/>
    </row>
    <row r="373" spans="18:18" x14ac:dyDescent="0.2">
      <c r="R373" s="61"/>
    </row>
    <row r="374" spans="18:18" x14ac:dyDescent="0.2">
      <c r="R374" s="61"/>
    </row>
    <row r="375" spans="18:18" x14ac:dyDescent="0.2">
      <c r="R375" s="61"/>
    </row>
    <row r="376" spans="18:18" x14ac:dyDescent="0.2">
      <c r="R376" s="61"/>
    </row>
    <row r="377" spans="18:18" x14ac:dyDescent="0.2">
      <c r="R377" s="61"/>
    </row>
    <row r="378" spans="18:18" x14ac:dyDescent="0.2">
      <c r="R378" s="61"/>
    </row>
    <row r="379" spans="18:18" x14ac:dyDescent="0.2">
      <c r="R379" s="61"/>
    </row>
    <row r="380" spans="18:18" x14ac:dyDescent="0.2">
      <c r="R380" s="61"/>
    </row>
    <row r="381" spans="18:18" x14ac:dyDescent="0.2">
      <c r="R381" s="61"/>
    </row>
    <row r="382" spans="18:18" x14ac:dyDescent="0.2">
      <c r="R382" s="61"/>
    </row>
    <row r="383" spans="18:18" x14ac:dyDescent="0.2">
      <c r="R383" s="61"/>
    </row>
    <row r="384" spans="18:18" x14ac:dyDescent="0.2">
      <c r="R384" s="61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Q264"/>
  <sheetViews>
    <sheetView topLeftCell="A52" workbookViewId="0">
      <selection activeCell="D24" sqref="D24"/>
    </sheetView>
  </sheetViews>
  <sheetFormatPr defaultColWidth="9.5" defaultRowHeight="11.25" outlineLevelCol="1" x14ac:dyDescent="0.2"/>
  <cols>
    <col min="1" max="2" width="3.5" style="19" customWidth="1"/>
    <col min="3" max="3" width="19.5" style="19" customWidth="1"/>
    <col min="4" max="4" width="17.83203125" style="19" bestFit="1" customWidth="1"/>
    <col min="5" max="5" width="12.83203125" style="19" bestFit="1" customWidth="1"/>
    <col min="6" max="6" width="16.83203125" style="19" customWidth="1"/>
    <col min="7" max="8" width="14.83203125" style="19" customWidth="1"/>
    <col min="9" max="18" width="14.83203125" style="19" hidden="1" customWidth="1" outlineLevel="1"/>
    <col min="19" max="19" width="14.83203125" style="19" customWidth="1" collapsed="1"/>
    <col min="20" max="30" width="14.83203125" style="19" customWidth="1"/>
    <col min="31" max="33" width="5.83203125" style="19" bestFit="1" customWidth="1"/>
    <col min="34" max="34" width="2.33203125" style="19" bestFit="1" customWidth="1"/>
    <col min="35" max="35" width="10.5" style="19" bestFit="1" customWidth="1"/>
    <col min="36" max="36" width="2.33203125" style="19" bestFit="1" customWidth="1" collapsed="1"/>
    <col min="37" max="37" width="9.33203125" style="19" bestFit="1" customWidth="1"/>
    <col min="38" max="38" width="8.1640625" style="19" hidden="1" customWidth="1" outlineLevel="1"/>
    <col min="39" max="39" width="9.33203125" style="19" hidden="1" customWidth="1" outlineLevel="1"/>
    <col min="40" max="40" width="8.1640625" style="19" hidden="1" customWidth="1" outlineLevel="1"/>
    <col min="41" max="41" width="2.83203125" style="19" customWidth="1" collapsed="1"/>
    <col min="42" max="42" width="2.83203125" style="19" customWidth="1"/>
    <col min="43" max="45" width="5.83203125" style="19" bestFit="1" customWidth="1"/>
    <col min="46" max="46" width="2.33203125" style="19" bestFit="1" customWidth="1"/>
    <col min="47" max="47" width="10.5" style="19" bestFit="1" customWidth="1"/>
    <col min="48" max="48" width="2.33203125" style="19" bestFit="1" customWidth="1"/>
    <col min="49" max="49" width="9.33203125" style="19" bestFit="1" customWidth="1"/>
    <col min="50" max="52" width="9.33203125" style="19" hidden="1" customWidth="1" outlineLevel="1"/>
    <col min="53" max="53" width="2.83203125" style="19" customWidth="1" collapsed="1"/>
    <col min="54" max="54" width="2.83203125" style="19" customWidth="1"/>
    <col min="55" max="55" width="12.83203125" style="19" bestFit="1" customWidth="1"/>
    <col min="56" max="56" width="8.1640625" style="19" bestFit="1" customWidth="1"/>
    <col min="57" max="69" width="14.83203125" style="19" customWidth="1"/>
    <col min="70" max="16384" width="9.5" style="19"/>
  </cols>
  <sheetData>
    <row r="1" spans="1:69" x14ac:dyDescent="0.2">
      <c r="C1" s="116" t="s">
        <v>66</v>
      </c>
      <c r="D1" s="117"/>
      <c r="E1" s="117"/>
      <c r="F1" s="117"/>
      <c r="G1" s="117"/>
      <c r="H1" s="117"/>
      <c r="I1" s="117"/>
      <c r="J1" s="117"/>
      <c r="K1" s="117"/>
      <c r="L1" s="117"/>
      <c r="M1" s="223"/>
      <c r="N1" s="223"/>
      <c r="O1" s="223"/>
      <c r="P1" s="223"/>
      <c r="Q1" s="223"/>
      <c r="R1" s="223"/>
      <c r="S1" s="116" t="str">
        <f>"with 0X"&amp;SUBSTITUTE($D$24,"M","")</f>
        <v>with 0X12</v>
      </c>
      <c r="T1" s="118"/>
      <c r="U1" s="117" t="str">
        <f>"without 0X"&amp;SUBSTITUTE($D$24,"M","")</f>
        <v>without 0X12</v>
      </c>
      <c r="V1" s="118"/>
      <c r="AG1" s="225"/>
      <c r="AH1" s="225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E1" s="19" t="str">
        <f>_xll.qlPolynomialFunction(,_xll.qlTenorInstCoefficients(G$27),,_xll.ohTrigger(Trigger,G$28:G$31))</f>
        <v>obj_00924#0051</v>
      </c>
      <c r="BF1" s="19" t="str">
        <f>_xll.qlPolynomialFunction(,_xll.qlTenorInstCoefficients(H$27),,_xll.ohTrigger(Trigger,H$28:H$31))</f>
        <v>obj_00928#0036</v>
      </c>
      <c r="BG1" s="19" t="str">
        <f>_xll.qlPolynomialFunction(,_xll.qlTenorInstCoefficients(S$27),,_xll.ohTrigger(Trigger,S$28:S$31))</f>
        <v>obj_00926#0037</v>
      </c>
      <c r="BH1" s="19" t="str">
        <f>_xll.qlPolynomialFunction(,_xll.qlTenorInstCoefficients(T$27),,_xll.ohTrigger(Trigger,T$28:T$31))</f>
        <v>obj_0092a#0031</v>
      </c>
      <c r="BI1" s="19" t="str">
        <f>_xll.qlPolynomialFunction(,U$28:U$31,,_xll.ohTrigger(Trigger,G$28:G$31))</f>
        <v>obj_00930#0047</v>
      </c>
      <c r="BJ1" s="19" t="str">
        <f>_xll.qlPolynomialFunction(,V$28:V$31,,_xll.ohTrigger(Trigger,H$28:H$31))</f>
        <v>obj_0092e#0039</v>
      </c>
      <c r="BK1" s="19" t="str">
        <f>_xll.qlPolynomialFunction(,W$28:W$31,,_xll.ohTrigger(Trigger,S$28:S$31))</f>
        <v>obj_00921#0044</v>
      </c>
      <c r="BL1" s="19" t="str">
        <f>_xll.qlPolynomialFunction(,X$28:X$31,,_xll.ohTrigger(Trigger,T$28:T$31))</f>
        <v>obj_00922#0039</v>
      </c>
      <c r="BM1" s="19" t="str">
        <f>_xll.qlPolynomialFunction(,_xll.qlTenorInstCoefficients(Y$27),,_xll.ohTrigger(Trigger,G$28:G$31))</f>
        <v>obj_0093c#0048</v>
      </c>
      <c r="BN1" s="19" t="str">
        <f>_xll.qlPolynomialFunction(,_xll.qlTenorInstCoefficients(Z$27),,_xll.ohTrigger(Trigger,H$28:H$31))</f>
        <v>obj_00936#0040</v>
      </c>
      <c r="BO1" s="19" t="str">
        <f>_xll.qlPolynomialFunction(,_xll.qlTenorInstCoefficients(AA$27),,_xll.ohTrigger(Trigger,S$28:S$31))</f>
        <v>obj_0093a#0039</v>
      </c>
      <c r="BP1" s="19" t="str">
        <f>_xll.qlPolynomialFunction(,_xll.qlTenorInstCoefficients(AB$27),,_xll.ohTrigger(Trigger,T$28:T$31))</f>
        <v>obj_00938#0036</v>
      </c>
    </row>
    <row r="2" spans="1:69" ht="21.75" customHeight="1" x14ac:dyDescent="0.2">
      <c r="C2" s="36" t="s">
        <v>43</v>
      </c>
      <c r="D2" s="36" t="s">
        <v>101</v>
      </c>
      <c r="E2" s="36" t="s">
        <v>102</v>
      </c>
      <c r="F2" s="36" t="s">
        <v>56</v>
      </c>
      <c r="G2" s="36" t="str">
        <f>"F "&amp;$D$24</f>
        <v>F 12M</v>
      </c>
      <c r="H2" s="36" t="str">
        <f>"B "&amp;$D$24</f>
        <v>B 12M</v>
      </c>
      <c r="I2" s="36" t="s">
        <v>89</v>
      </c>
      <c r="J2" s="36" t="s">
        <v>46</v>
      </c>
      <c r="K2" s="37" t="s">
        <v>47</v>
      </c>
      <c r="L2" s="36" t="s">
        <v>48</v>
      </c>
      <c r="M2" s="36" t="s">
        <v>57</v>
      </c>
      <c r="N2" s="36" t="s">
        <v>59</v>
      </c>
      <c r="O2" s="36" t="s">
        <v>60</v>
      </c>
      <c r="P2" s="36" t="s">
        <v>46</v>
      </c>
      <c r="Q2" s="37" t="s">
        <v>47</v>
      </c>
      <c r="R2" s="36" t="s">
        <v>48</v>
      </c>
      <c r="S2" s="36" t="s">
        <v>41</v>
      </c>
      <c r="T2" s="36" t="s">
        <v>42</v>
      </c>
      <c r="U2" s="36" t="s">
        <v>41</v>
      </c>
      <c r="V2" s="36" t="s">
        <v>42</v>
      </c>
      <c r="AD2" s="19" t="s">
        <v>103</v>
      </c>
      <c r="AP2" s="19" t="s">
        <v>100</v>
      </c>
      <c r="BE2" s="125" t="s">
        <v>66</v>
      </c>
      <c r="BF2" s="121"/>
      <c r="BG2" s="121"/>
      <c r="BH2" s="120"/>
      <c r="BI2" s="121"/>
      <c r="BJ2" s="121"/>
      <c r="BK2" s="121"/>
      <c r="BL2" s="121"/>
      <c r="BM2" s="125" t="s">
        <v>67</v>
      </c>
      <c r="BN2" s="121"/>
      <c r="BO2" s="121"/>
      <c r="BP2" s="120"/>
    </row>
    <row r="3" spans="1:69" ht="12" customHeight="1" x14ac:dyDescent="0.2">
      <c r="A3" s="21">
        <f>'6MSynthDepo_used'!A3</f>
        <v>0</v>
      </c>
      <c r="B3" s="55">
        <f>A3+SUBSTITUTE($D$24,"M","")</f>
        <v>12</v>
      </c>
      <c r="C3" s="171" t="str">
        <f>"B"&amp;$D$24&amp;"_"&amp;A3&amp;"X"&amp;B3&amp;$D$27</f>
        <v>B12M_0X12ESTIMATED</v>
      </c>
      <c r="D3" s="186">
        <f>SettlementDate</f>
        <v>42138</v>
      </c>
      <c r="E3" s="186">
        <f>_xll.qlInterestRateIndexMaturity($D$25,D3)</f>
        <v>42506</v>
      </c>
      <c r="F3" s="172">
        <f>_xll.qlIndexFixing(ON_12M_index,_xll.qlInterestRateIndexFixingDate(ON_12M_index,D3,Trigger),,AllTriggers)</f>
        <v>-1.2365159296481251E-3</v>
      </c>
      <c r="G3" s="172">
        <f>H3+F3</f>
        <v>1.7053762940233996E-3</v>
      </c>
      <c r="H3" s="226">
        <f>_xll.qlQuoteValue(C3,_xll.ohTrigger(InterestRatesTrigger,'12MSynthDepo_used'!E3))</f>
        <v>2.9418922236715246E-3</v>
      </c>
      <c r="I3" s="173">
        <f>_xll.qlDayCounterYearFraction(DayCounter,SettlementDate,D3,,,Trigger)</f>
        <v>0</v>
      </c>
      <c r="J3" s="173">
        <f>1</f>
        <v>1</v>
      </c>
      <c r="K3" s="173">
        <f t="shared" ref="K3:K8" si="0">I3</f>
        <v>0</v>
      </c>
      <c r="L3" s="173">
        <f t="shared" ref="L3:L8" si="1">I3^2</f>
        <v>0</v>
      </c>
      <c r="M3" s="217">
        <f>LN((1+G3*_xll.qlDayCounterYearFraction(DayCounter,D3,E3,,,Trigger))/(1+F3*_xll.qlDayCounterYearFraction(DayCounter,D3,E3,,,Trigger)))</f>
        <v>3.0065493830107246E-3</v>
      </c>
      <c r="N3" s="173">
        <f>_xll.qlDayCounterYearFraction(DayCounter,SettlementDate,D3,,,Trigger)</f>
        <v>0</v>
      </c>
      <c r="O3" s="173">
        <f>_xll.qlDayCounterYearFraction(DayCounter,SettlementDate,E3,,,Trigger)</f>
        <v>1.0222222222222221</v>
      </c>
      <c r="P3" s="173">
        <f>O3-N3</f>
        <v>1.0222222222222221</v>
      </c>
      <c r="Q3" s="173">
        <f>(O3^2-N3^2)/2</f>
        <v>0.52246913580246901</v>
      </c>
      <c r="R3" s="173">
        <f>(O3^3-N3^3)/3</f>
        <v>0.35605304069501592</v>
      </c>
      <c r="S3" s="174" t="b">
        <v>1</v>
      </c>
      <c r="T3" s="174" t="b">
        <v>1</v>
      </c>
      <c r="U3" s="174" t="b">
        <v>0</v>
      </c>
      <c r="V3" s="174" t="b">
        <v>0</v>
      </c>
      <c r="AD3" s="219" t="s">
        <v>41</v>
      </c>
      <c r="AE3" s="220"/>
      <c r="AF3" s="220"/>
      <c r="AG3" s="220"/>
      <c r="AH3" s="220"/>
      <c r="AI3" s="220"/>
      <c r="AJ3" s="220"/>
      <c r="AK3" s="220"/>
      <c r="AL3" s="220"/>
      <c r="AM3" s="221"/>
      <c r="AN3" s="221"/>
      <c r="AO3" s="222"/>
      <c r="AP3" s="219"/>
      <c r="AQ3" s="220"/>
      <c r="AR3" s="220"/>
      <c r="AS3" s="220"/>
      <c r="AT3" s="220"/>
      <c r="AU3" s="220"/>
      <c r="AV3" s="220"/>
      <c r="AW3" s="220"/>
      <c r="AX3" s="220"/>
      <c r="AY3" s="221"/>
      <c r="AZ3" s="221"/>
      <c r="BA3" s="222"/>
      <c r="BE3" s="125" t="s">
        <v>109</v>
      </c>
      <c r="BF3" s="121"/>
      <c r="BG3" s="121"/>
      <c r="BH3" s="120"/>
      <c r="BI3" s="125" t="s">
        <v>108</v>
      </c>
      <c r="BJ3" s="121"/>
      <c r="BK3" s="121"/>
      <c r="BL3" s="120"/>
      <c r="BM3" s="125" t="s">
        <v>109</v>
      </c>
      <c r="BN3" s="121"/>
      <c r="BO3" s="121"/>
      <c r="BP3" s="120"/>
    </row>
    <row r="4" spans="1:69" ht="12" customHeight="1" x14ac:dyDescent="0.2">
      <c r="A4" s="21">
        <v>1</v>
      </c>
      <c r="B4" s="55">
        <f>A4+SUBSTITUTE($D$24,"M","")</f>
        <v>13</v>
      </c>
      <c r="C4" s="39" t="str">
        <f>"B"&amp;$D$24&amp;"_"&amp;A4&amp;"X"&amp;B4</f>
        <v>B12M_1X13</v>
      </c>
      <c r="D4" s="177">
        <f>_xll.qlCalendarAdvance(Calendar,SettlementDate,A4&amp;"M","mf")</f>
        <v>42170</v>
      </c>
      <c r="E4" s="177">
        <f>_xll.qlInterestRateIndexMaturity($D$25,D4)</f>
        <v>42536</v>
      </c>
      <c r="F4" s="53">
        <f>_xll.qlIndexFixing(ON_12M_index,_xll.qlInterestRateIndexFixingDate(ON_12M_index,D4,Trigger),,AllTriggers)</f>
        <v>-1.2594435636715971E-3</v>
      </c>
      <c r="G4" s="53">
        <f t="shared" ref="G4:G8" si="2">H4+F4</f>
        <v>1.7099999999999997E-3</v>
      </c>
      <c r="H4" s="202">
        <f>_xll.qlQuoteValue(C4,_xll.ohTrigger(InterestRatesTrigger,'12MSynthDepo_used'!E4))</f>
        <v>2.9694435636715968E-3</v>
      </c>
      <c r="I4" s="41">
        <f>_xll.qlDayCounterYearFraction(DayCounter,SettlementDate,D4,,,Trigger)</f>
        <v>8.8888888888888892E-2</v>
      </c>
      <c r="J4" s="41">
        <f>1</f>
        <v>1</v>
      </c>
      <c r="K4" s="41">
        <f t="shared" si="0"/>
        <v>8.8888888888888892E-2</v>
      </c>
      <c r="L4" s="41">
        <f t="shared" si="1"/>
        <v>7.9012345679012348E-3</v>
      </c>
      <c r="M4" s="40">
        <f>LN((1+G4*_xll.qlDayCounterYearFraction(DayCounter,D4,E4,,,Trigger))/(1+F4*_xll.qlDayCounterYearFraction(DayCounter,D4,E4,,,Trigger)))</f>
        <v>3.0182453042182297E-3</v>
      </c>
      <c r="N4" s="41">
        <f>_xll.qlDayCounterYearFraction(DayCounter,SettlementDate,D4,,,Trigger)</f>
        <v>8.8888888888888892E-2</v>
      </c>
      <c r="O4" s="41">
        <f>_xll.qlDayCounterYearFraction(DayCounter,SettlementDate,E4,,,Trigger)</f>
        <v>1.1055555555555556</v>
      </c>
      <c r="P4" s="41">
        <f t="shared" ref="P4:P8" si="3">O4-N4</f>
        <v>1.0166666666666668</v>
      </c>
      <c r="Q4" s="41">
        <f t="shared" ref="Q4:Q8" si="4">(O4^2-N4^2)/2</f>
        <v>0.60717592592592595</v>
      </c>
      <c r="R4" s="41">
        <f t="shared" ref="R4:R8" si="5">(O4^3-N4^3)/3</f>
        <v>0.45018878600823048</v>
      </c>
      <c r="S4" s="114" t="b">
        <v>1</v>
      </c>
      <c r="T4" s="114" t="b">
        <v>1</v>
      </c>
      <c r="U4" s="114" t="b">
        <v>1</v>
      </c>
      <c r="V4" s="114" t="b">
        <v>1</v>
      </c>
      <c r="AD4" s="94" t="s">
        <v>64</v>
      </c>
      <c r="AE4" s="21"/>
      <c r="AF4" s="21"/>
      <c r="AG4" s="21"/>
      <c r="AH4" s="21"/>
      <c r="AI4" s="112" t="s">
        <v>45</v>
      </c>
      <c r="AJ4" s="33"/>
      <c r="AK4" s="22"/>
      <c r="AL4" s="21"/>
      <c r="AM4" s="21"/>
      <c r="AN4" s="21"/>
      <c r="AO4" s="101"/>
      <c r="AP4" s="94"/>
      <c r="AQ4" s="21"/>
      <c r="AR4" s="21"/>
      <c r="AS4" s="21"/>
      <c r="AT4" s="21"/>
      <c r="AU4" s="112" t="s">
        <v>45</v>
      </c>
      <c r="AV4" s="33"/>
      <c r="AW4" s="22"/>
      <c r="AX4" s="21"/>
      <c r="AY4" s="21"/>
      <c r="AZ4" s="21"/>
      <c r="BA4" s="101"/>
      <c r="BE4" s="116" t="str">
        <f>G34</f>
        <v>with 0X12</v>
      </c>
      <c r="BF4" s="118"/>
      <c r="BG4" s="117" t="str">
        <f>S34</f>
        <v>without 0X12</v>
      </c>
      <c r="BH4" s="118"/>
      <c r="BI4" s="116" t="str">
        <f>U34</f>
        <v>with 0X12</v>
      </c>
      <c r="BJ4" s="118"/>
      <c r="BK4" s="117" t="str">
        <f>W34</f>
        <v>without 0X12</v>
      </c>
      <c r="BL4" s="118"/>
      <c r="BM4" s="116" t="str">
        <f>Y34</f>
        <v>with 0X12</v>
      </c>
      <c r="BN4" s="118"/>
      <c r="BO4" s="117" t="str">
        <f>AA34</f>
        <v>without 0X12</v>
      </c>
      <c r="BP4" s="118"/>
    </row>
    <row r="5" spans="1:69" ht="12" customHeight="1" x14ac:dyDescent="0.2">
      <c r="A5" s="21">
        <v>2</v>
      </c>
      <c r="B5" s="55">
        <f>A5+SUBSTITUTE($D$24,"M","")</f>
        <v>14</v>
      </c>
      <c r="C5" s="39" t="str">
        <f>"B"&amp;$D$24&amp;"_"&amp;A5&amp;"X"&amp;B5</f>
        <v>B12M_2X14</v>
      </c>
      <c r="D5" s="177">
        <f>_xll.qlCalendarAdvance(Calendar,SettlementDate,A5&amp;"M","mf")</f>
        <v>42199</v>
      </c>
      <c r="E5" s="177">
        <f>_xll.qlInterestRateIndexMaturity($D$25,D5)</f>
        <v>42565</v>
      </c>
      <c r="F5" s="53">
        <f>_xll.qlIndexFixing(ON_12M_index,_xll.qlInterestRateIndexFixingDate(ON_12M_index,D5,Trigger),,AllTriggers)</f>
        <v>-1.2604444096462185E-3</v>
      </c>
      <c r="G5" s="53">
        <f t="shared" si="2"/>
        <v>1.7299999999999996E-3</v>
      </c>
      <c r="H5" s="202">
        <f>_xll.qlQuoteValue(C5,_xll.ohTrigger(InterestRatesTrigger,'12MSynthDepo_used'!E5))</f>
        <v>2.9904444096462181E-3</v>
      </c>
      <c r="I5" s="41">
        <f>_xll.qlDayCounterYearFraction(DayCounter,SettlementDate,D5,,,Trigger)</f>
        <v>0.16944444444444445</v>
      </c>
      <c r="J5" s="41">
        <f>1</f>
        <v>1</v>
      </c>
      <c r="K5" s="41">
        <f t="shared" si="0"/>
        <v>0.16944444444444445</v>
      </c>
      <c r="L5" s="41">
        <f t="shared" si="1"/>
        <v>2.8711419753086422E-2</v>
      </c>
      <c r="M5" s="40">
        <f>LN((1+G5*_xll.qlDayCounterYearFraction(DayCounter,D5,E5,,,Trigger))/(1+F5*_xll.qlDayCounterYearFraction(DayCounter,D5,E5,,,Trigger)))</f>
        <v>3.0395619752037755E-3</v>
      </c>
      <c r="N5" s="41">
        <f>_xll.qlDayCounterYearFraction(DayCounter,SettlementDate,D5,,,Trigger)</f>
        <v>0.16944444444444445</v>
      </c>
      <c r="O5" s="41">
        <f>_xll.qlDayCounterYearFraction(DayCounter,SettlementDate,E5,,,Trigger)</f>
        <v>1.1861111111111111</v>
      </c>
      <c r="P5" s="41">
        <f t="shared" si="3"/>
        <v>1.0166666666666666</v>
      </c>
      <c r="Q5" s="41">
        <f t="shared" si="4"/>
        <v>0.68907407407407406</v>
      </c>
      <c r="R5" s="41">
        <f t="shared" si="5"/>
        <v>0.55460892489711933</v>
      </c>
      <c r="S5" s="114" t="b">
        <v>0</v>
      </c>
      <c r="T5" s="114" t="b">
        <v>0</v>
      </c>
      <c r="U5" s="114" t="b">
        <v>0</v>
      </c>
      <c r="V5" s="114" t="b">
        <v>0</v>
      </c>
      <c r="AD5" s="94"/>
      <c r="AE5" s="124"/>
      <c r="AF5" s="27">
        <f t="array" ref="AF5:AF6">_xll.ohFilter(K3:K9,S3:S9)</f>
        <v>0</v>
      </c>
      <c r="AG5" s="28">
        <f t="array" ref="AG5:AG6">_xll.ohFilter(J3:J9,S3:S9)</f>
        <v>1</v>
      </c>
      <c r="AH5" s="280" t="s">
        <v>20</v>
      </c>
      <c r="AI5" s="29">
        <f t="array" ref="AI5:AI6">MMULT(AL5:AM6,AK5:AK6)</f>
        <v>3.0995257500081308E-4</v>
      </c>
      <c r="AJ5" s="280" t="s">
        <v>21</v>
      </c>
      <c r="AK5" s="30">
        <f t="array" ref="AK5:AK6">_xll.ohFilter(H3:H9,S3:S9)</f>
        <v>2.9418922236715246E-3</v>
      </c>
      <c r="AL5" s="27">
        <f t="array" ref="AL5:AM6">MINVERSE(AF5:AG6)</f>
        <v>-11.25</v>
      </c>
      <c r="AM5" s="28">
        <v>11.25</v>
      </c>
      <c r="AN5" s="21"/>
      <c r="AO5" s="101"/>
      <c r="AP5" s="94"/>
      <c r="AQ5" s="124"/>
      <c r="AR5" s="27">
        <f t="array" ref="AR5:AR6">_xll.ohFilter(Q3:Q9,S3:S9)</f>
        <v>0.52246913580246901</v>
      </c>
      <c r="AS5" s="28">
        <f t="array" ref="AS5:AS6">_xll.ohFilter(P3:P9,S3:S9)</f>
        <v>1.0222222222222221</v>
      </c>
      <c r="AT5" s="280" t="s">
        <v>20</v>
      </c>
      <c r="AU5" s="29">
        <f t="array" ref="AU5:AU6">MMULT(AX5:AY6,AW5:AW6)</f>
        <v>3.2024042926487306E-4</v>
      </c>
      <c r="AV5" s="280" t="s">
        <v>21</v>
      </c>
      <c r="AW5" s="56">
        <f t="array" ref="AW5:AW6">_xll.ohFilter(M3:M9,S3:S9)</f>
        <v>3.0065493830107246E-3</v>
      </c>
      <c r="AX5" s="27">
        <f t="array" ref="AX5:AY6">MINVERSE(AR5:AS6)</f>
        <v>-11.360448807854134</v>
      </c>
      <c r="AY5" s="28">
        <v>11.422527763088306</v>
      </c>
      <c r="AZ5" s="21"/>
      <c r="BA5" s="101"/>
      <c r="BC5" s="36" t="s">
        <v>38</v>
      </c>
      <c r="BD5" s="36" t="s">
        <v>55</v>
      </c>
      <c r="BE5" s="36" t="str">
        <f>G35</f>
        <v>Linear</v>
      </c>
      <c r="BF5" s="36" t="str">
        <f>H35</f>
        <v>Quadratic</v>
      </c>
      <c r="BG5" s="36" t="str">
        <f>S35</f>
        <v>Linear</v>
      </c>
      <c r="BH5" s="36" t="str">
        <f>T35</f>
        <v>Quadratic</v>
      </c>
      <c r="BI5" s="36" t="str">
        <f>U35</f>
        <v>Linear</v>
      </c>
      <c r="BJ5" s="36" t="str">
        <f>V35</f>
        <v>Quadratic</v>
      </c>
      <c r="BK5" s="36" t="str">
        <f>W35</f>
        <v>Linear</v>
      </c>
      <c r="BL5" s="36" t="str">
        <f>X35</f>
        <v>Quadratic</v>
      </c>
      <c r="BM5" s="36" t="str">
        <f>Y35</f>
        <v>Linear</v>
      </c>
      <c r="BN5" s="36" t="str">
        <f>Z35</f>
        <v>Quadratic</v>
      </c>
      <c r="BO5" s="36" t="str">
        <f>AA35</f>
        <v>Linear</v>
      </c>
      <c r="BP5" s="36" t="str">
        <f>AB35</f>
        <v>Quadratic</v>
      </c>
      <c r="BQ5" s="36" t="s">
        <v>105</v>
      </c>
    </row>
    <row r="6" spans="1:69" ht="12" customHeight="1" x14ac:dyDescent="0.2">
      <c r="A6" s="21">
        <v>3</v>
      </c>
      <c r="B6" s="55">
        <f>A6+SUBSTITUTE($D$24,"M","")</f>
        <v>15</v>
      </c>
      <c r="C6" s="39" t="str">
        <f>"B"&amp;$D$24&amp;"_"&amp;A6&amp;"X"&amp;B6</f>
        <v>B12M_3X15</v>
      </c>
      <c r="D6" s="177">
        <f>_xll.qlCalendarAdvance(Calendar,SettlementDate,A6&amp;"M","mf")</f>
        <v>42230</v>
      </c>
      <c r="E6" s="177">
        <f>_xll.qlInterestRateIndexMaturity($D$25,D6)</f>
        <v>42597</v>
      </c>
      <c r="F6" s="53">
        <f>_xll.qlIndexFixing(ON_12M_index,_xll.qlInterestRateIndexFixingDate(ON_12M_index,D6,Trigger),,AllTriggers)</f>
        <v>-1.2471667222796272E-3</v>
      </c>
      <c r="G6" s="53">
        <f t="shared" si="2"/>
        <v>1.7499999999999998E-3</v>
      </c>
      <c r="H6" s="202">
        <f>_xll.qlQuoteValue(C6,_xll.ohTrigger(InterestRatesTrigger,'12MSynthDepo_used'!E6))</f>
        <v>2.9971667222796271E-3</v>
      </c>
      <c r="I6" s="41">
        <f>_xll.qlDayCounterYearFraction(DayCounter,SettlementDate,D6,,,Trigger)</f>
        <v>0.25555555555555554</v>
      </c>
      <c r="J6" s="41">
        <f>1</f>
        <v>1</v>
      </c>
      <c r="K6" s="41">
        <f t="shared" si="0"/>
        <v>0.25555555555555554</v>
      </c>
      <c r="L6" s="41">
        <f t="shared" si="1"/>
        <v>6.5308641975308626E-2</v>
      </c>
      <c r="M6" s="40">
        <f>LN((1+G6*_xll.qlDayCounterYearFraction(DayCounter,D6,E6,,,Trigger))/(1+F6*_xll.qlDayCounterYearFraction(DayCounter,D6,E6,,,Trigger)))</f>
        <v>3.0546644132921816E-3</v>
      </c>
      <c r="N6" s="41">
        <f>_xll.qlDayCounterYearFraction(DayCounter,SettlementDate,D6,,,Trigger)</f>
        <v>0.25555555555555554</v>
      </c>
      <c r="O6" s="41">
        <f>_xll.qlDayCounterYearFraction(DayCounter,SettlementDate,E6,,,Trigger)</f>
        <v>1.2749999999999999</v>
      </c>
      <c r="P6" s="41">
        <f t="shared" si="3"/>
        <v>1.0194444444444444</v>
      </c>
      <c r="Q6" s="41">
        <f t="shared" si="4"/>
        <v>0.78015817901234563</v>
      </c>
      <c r="R6" s="41">
        <f t="shared" si="5"/>
        <v>0.68532729623914035</v>
      </c>
      <c r="S6" s="114" t="b">
        <v>0</v>
      </c>
      <c r="T6" s="114" t="b">
        <v>1</v>
      </c>
      <c r="U6" s="114" t="b">
        <v>1</v>
      </c>
      <c r="V6" s="114" t="b">
        <v>1</v>
      </c>
      <c r="AD6" s="94"/>
      <c r="AE6" s="21"/>
      <c r="AF6" s="27">
        <v>8.8888888888888892E-2</v>
      </c>
      <c r="AG6" s="28">
        <v>1</v>
      </c>
      <c r="AH6" s="280"/>
      <c r="AI6" s="29">
        <v>2.9418922236715246E-3</v>
      </c>
      <c r="AJ6" s="280"/>
      <c r="AK6" s="30">
        <v>2.9694435636715968E-3</v>
      </c>
      <c r="AL6" s="27">
        <v>1</v>
      </c>
      <c r="AM6" s="28">
        <v>0</v>
      </c>
      <c r="AN6" s="21"/>
      <c r="AO6" s="101"/>
      <c r="AP6" s="94"/>
      <c r="AQ6" s="21"/>
      <c r="AR6" s="27">
        <v>0.60717592592592595</v>
      </c>
      <c r="AS6" s="28">
        <v>1.0166666666666668</v>
      </c>
      <c r="AT6" s="280"/>
      <c r="AU6" s="29">
        <v>2.7775111721905707E-3</v>
      </c>
      <c r="AV6" s="280"/>
      <c r="AW6" s="56">
        <v>3.0182453042182297E-3</v>
      </c>
      <c r="AX6" s="27">
        <v>6.7847124824684402</v>
      </c>
      <c r="AY6" s="28">
        <v>-5.8381808566895774</v>
      </c>
      <c r="AZ6" s="21"/>
      <c r="BA6" s="101"/>
      <c r="BC6" s="176">
        <f>SettlementDate</f>
        <v>42138</v>
      </c>
      <c r="BD6" s="41">
        <f>_xll.qlDayCounterYearFraction(DayCounter,SettlementDate,BC6,,,Trigger)</f>
        <v>0</v>
      </c>
      <c r="BE6" s="47">
        <f>_xll.qlPolynomialFunctionValue(BE$1,$BD6,AllTriggers)</f>
        <v>2.7834720186711093E-3</v>
      </c>
      <c r="BF6" s="52">
        <f>_xll.qlPolynomialFunctionValue(BF$1,$BD6,AllTriggers)</f>
        <v>2.66007068304959E-3</v>
      </c>
      <c r="BG6" s="47">
        <f>_xll.qlPolynomialFunctionValue(BG$1,$BD6,AllTriggers)</f>
        <v>2.8696401926826855E-3</v>
      </c>
      <c r="BH6" s="52">
        <f>_xll.qlPolynomialFunctionValue(BH$1,$BD6,AllTriggers)</f>
        <v>2.9120524374492036E-3</v>
      </c>
      <c r="BI6" s="52">
        <f>_xll.qlPolynomialFunctionValue(BI$1,$BD6,AllTriggers)</f>
        <v>2.7775111721905707E-3</v>
      </c>
      <c r="BJ6" s="52">
        <f>_xll.qlPolynomialFunctionValue(BJ$1,$BD6,AllTriggers)</f>
        <v>2.6539067046631483E-3</v>
      </c>
      <c r="BK6" s="52">
        <f>_xll.qlPolynomialFunctionValue(BK$1,$BD6,AllTriggers)</f>
        <v>2.8705581859419012E-3</v>
      </c>
      <c r="BL6" s="52">
        <f>_xll.qlPolynomialFunctionValue(BL$1,$BD6,AllTriggers)</f>
        <v>2.915280197346588E-3</v>
      </c>
      <c r="BM6" s="52">
        <f>_xll.qlPolynomialFunctionValue(BM$1,$BD6,AllTriggers)</f>
        <v>2.8510631325848086E-3</v>
      </c>
      <c r="BN6" s="52">
        <f>_xll.qlPolynomialFunctionValue(BN$1,$BD6,AllTriggers)</f>
        <v>2.7955028711774748E-3</v>
      </c>
      <c r="BO6" s="52">
        <f>_xll.qlPolynomialFunctionValue(BO$1,$BD6,AllTriggers)</f>
        <v>2.8654549241243581E-3</v>
      </c>
      <c r="BP6" s="52">
        <f>_xll.qlPolynomialFunctionValue(BP$1,$BD6,AllTriggers)</f>
        <v>2.8334388042214804E-3</v>
      </c>
      <c r="BQ6" s="52">
        <f>_xll.qlPolynomialFunctionValue('12MSynthDepo_used'!$P$18,BD6,AllTriggers)</f>
        <v>2.7335525109286095E-3</v>
      </c>
    </row>
    <row r="7" spans="1:69" ht="12" customHeight="1" x14ac:dyDescent="0.2">
      <c r="A7" s="21">
        <v>6</v>
      </c>
      <c r="B7" s="55">
        <f>A7+SUBSTITUTE($D$24,"M","")</f>
        <v>18</v>
      </c>
      <c r="C7" s="39" t="str">
        <f>"B"&amp;$D$24&amp;"_"&amp;A7&amp;"X"&amp;B7</f>
        <v>B12M_6X18</v>
      </c>
      <c r="D7" s="177">
        <f>_xll.qlCalendarAdvance(Calendar,SettlementDate,A7&amp;"M","mf")</f>
        <v>42324</v>
      </c>
      <c r="E7" s="177">
        <f>_xll.qlInterestRateIndexMaturity($D$25,D7)</f>
        <v>42690</v>
      </c>
      <c r="F7" s="53">
        <f>_xll.qlIndexFixing(ON_12M_index,_xll.qlInterestRateIndexFixingDate(ON_12M_index,D7,Trigger),,AllTriggers)</f>
        <v>-1.2033029851947509E-3</v>
      </c>
      <c r="G7" s="53">
        <f t="shared" si="2"/>
        <v>1.8500000000000003E-3</v>
      </c>
      <c r="H7" s="202">
        <f>_xll.qlQuoteValue(C7,_xll.ohTrigger(InterestRatesTrigger,'12MSynthDepo_used'!E7))</f>
        <v>3.0533029851947512E-3</v>
      </c>
      <c r="I7" s="41">
        <f>_xll.qlDayCounterYearFraction(DayCounter,SettlementDate,D7,,,Trigger)</f>
        <v>0.51666666666666672</v>
      </c>
      <c r="J7" s="41">
        <f>1</f>
        <v>1</v>
      </c>
      <c r="K7" s="41">
        <f t="shared" si="0"/>
        <v>0.51666666666666672</v>
      </c>
      <c r="L7" s="41">
        <f t="shared" si="1"/>
        <v>0.26694444444444448</v>
      </c>
      <c r="M7" s="40">
        <f>LN((1+G7*_xll.qlDayCounterYearFraction(DayCounter,D7,E7,,,Trigger))/(1+F7*_xll.qlDayCounterYearFraction(DayCounter,D7,E7,,,Trigger)))</f>
        <v>3.1031737292767855E-3</v>
      </c>
      <c r="N7" s="41">
        <f>_xll.qlDayCounterYearFraction(DayCounter,SettlementDate,D7,,,Trigger)</f>
        <v>0.51666666666666672</v>
      </c>
      <c r="O7" s="41">
        <f>_xll.qlDayCounterYearFraction(DayCounter,SettlementDate,E7,,,Trigger)</f>
        <v>1.5333333333333334</v>
      </c>
      <c r="P7" s="41">
        <f t="shared" si="3"/>
        <v>1.0166666666666666</v>
      </c>
      <c r="Q7" s="41">
        <f t="shared" si="4"/>
        <v>1.0420833333333335</v>
      </c>
      <c r="R7" s="41">
        <f t="shared" si="5"/>
        <v>1.1557052469135805</v>
      </c>
      <c r="S7" s="114" t="b">
        <v>0</v>
      </c>
      <c r="T7" s="114" t="b">
        <v>1</v>
      </c>
      <c r="U7" s="114" t="b">
        <v>0</v>
      </c>
      <c r="V7" s="114" t="b">
        <v>1</v>
      </c>
      <c r="AD7" s="94"/>
      <c r="AE7" s="21"/>
      <c r="AF7" s="21"/>
      <c r="AG7" s="21"/>
      <c r="AH7" s="21"/>
      <c r="AI7" s="111"/>
      <c r="AJ7" s="33"/>
      <c r="AK7" s="22"/>
      <c r="AL7" s="21"/>
      <c r="AM7" s="21"/>
      <c r="AN7" s="21"/>
      <c r="AO7" s="101"/>
      <c r="AP7" s="94"/>
      <c r="AQ7" s="21"/>
      <c r="AR7" s="21"/>
      <c r="AS7" s="21"/>
      <c r="AT7" s="21"/>
      <c r="AU7" s="111"/>
      <c r="AV7" s="33"/>
      <c r="AW7" s="218"/>
      <c r="AX7" s="21"/>
      <c r="AY7" s="21"/>
      <c r="AZ7" s="21"/>
      <c r="BA7" s="101"/>
      <c r="BC7" s="178">
        <f>_xll.qlCalendarAdvance(Calendar,BC6,"1d","mf",,Trigger)</f>
        <v>42139</v>
      </c>
      <c r="BD7" s="41">
        <f>_xll.qlDayCounterYearFraction(DayCounter,SettlementDate,BC7,,,Trigger)</f>
        <v>2.7777777777777779E-3</v>
      </c>
      <c r="BE7" s="47">
        <f>_xll.qlPolynomialFunctionValue(BE$1,$BD7,AllTriggers)</f>
        <v>2.7843329980461115E-3</v>
      </c>
      <c r="BF7" s="47">
        <f>_xll.qlPolynomialFunctionValue(BF$1,$BD7,AllTriggers)</f>
        <v>2.6626617903146195E-3</v>
      </c>
      <c r="BG7" s="47">
        <f>_xll.qlPolynomialFunctionValue(BG$1,$BD7,AllTriggers)</f>
        <v>2.8701022453261529E-3</v>
      </c>
      <c r="BH7" s="47">
        <f>_xll.qlPolynomialFunctionValue(BH$1,$BD7,AllTriggers)</f>
        <v>2.9120836164131499E-3</v>
      </c>
      <c r="BI7" s="47">
        <f>_xll.qlPolynomialFunctionValue(BI$1,$BD7,AllTriggers)</f>
        <v>2.7784007289385288E-3</v>
      </c>
      <c r="BJ7" s="47">
        <f>_xll.qlPolynomialFunctionValue(BJ$1,$BD7,AllTriggers)</f>
        <v>2.6565642960063147E-3</v>
      </c>
      <c r="BK7" s="47">
        <f>_xll.qlPolynomialFunctionValue(BK$1,$BD7,AllTriggers)</f>
        <v>2.8710149658817134E-3</v>
      </c>
      <c r="BL7" s="47">
        <f>_xll.qlPolynomialFunctionValue(BL$1,$BD7,AllTriggers)</f>
        <v>2.9152826775414851E-3</v>
      </c>
      <c r="BM7" s="47">
        <f>_xll.qlPolynomialFunctionValue(BM$1,$BD7,AllTriggers)</f>
        <v>2.8515981152755425E-3</v>
      </c>
      <c r="BN7" s="47">
        <f>_xll.qlPolynomialFunctionValue(BN$1,$BD7,AllTriggers)</f>
        <v>2.7964937116496239E-3</v>
      </c>
      <c r="BO7" s="47">
        <f>_xll.qlPolynomialFunctionValue(BO$1,$BD7,AllTriggers)</f>
        <v>2.8659468309607077E-3</v>
      </c>
      <c r="BP7" s="47">
        <f>_xll.qlPolynomialFunctionValue(BP$1,$BD7,AllTriggers)</f>
        <v>2.8341684377122226E-3</v>
      </c>
      <c r="BQ7" s="47">
        <f>_xll.qlPolynomialFunctionValue('12MSynthDepo_used'!$P$18,BD7,AllTriggers)</f>
        <v>2.7353639977657444E-3</v>
      </c>
    </row>
    <row r="8" spans="1:69" ht="12" customHeight="1" x14ac:dyDescent="0.2">
      <c r="A8" s="21">
        <v>9</v>
      </c>
      <c r="B8" s="55">
        <f>A8+SUBSTITUTE($D$24,"M","")</f>
        <v>21</v>
      </c>
      <c r="C8" s="39" t="str">
        <f>"B"&amp;$D$24&amp;"_"&amp;A8&amp;"X"&amp;B8</f>
        <v>B12M_9X21</v>
      </c>
      <c r="D8" s="177">
        <f>_xll.qlCalendarAdvance(Calendar,SettlementDate,A8&amp;"M","mf")</f>
        <v>42415</v>
      </c>
      <c r="E8" s="177">
        <f>_xll.qlInterestRateIndexMaturity($D$25,D8)</f>
        <v>42781</v>
      </c>
      <c r="F8" s="53">
        <f>_xll.qlIndexFixing(ON_12M_index,_xll.qlInterestRateIndexFixingDate(ON_12M_index,D8,Trigger),,AllTriggers)</f>
        <v>-1.0461047056561968E-3</v>
      </c>
      <c r="G8" s="53">
        <f t="shared" si="2"/>
        <v>2.0400000000000001E-3</v>
      </c>
      <c r="H8" s="202">
        <f>_xll.qlQuoteValue(C8,_xll.ohTrigger(InterestRatesTrigger,'12MSynthDepo_used'!E8))</f>
        <v>3.0861047056561968E-3</v>
      </c>
      <c r="I8" s="41">
        <f>_xll.qlDayCounterYearFraction(DayCounter,SettlementDate,D8,,,Trigger)</f>
        <v>0.76944444444444449</v>
      </c>
      <c r="J8" s="41">
        <f>1</f>
        <v>1</v>
      </c>
      <c r="K8" s="41">
        <f t="shared" si="0"/>
        <v>0.76944444444444449</v>
      </c>
      <c r="L8" s="41">
        <f t="shared" si="1"/>
        <v>0.59204475308641979</v>
      </c>
      <c r="M8" s="40">
        <f>LN((1+G8*_xll.qlDayCounterYearFraction(DayCounter,D8,E8,,,Trigger))/(1+F8*_xll.qlDayCounterYearFraction(DayCounter,D8,E8,,,Trigger)))</f>
        <v>3.1359579749717023E-3</v>
      </c>
      <c r="N8" s="41">
        <f>_xll.qlDayCounterYearFraction(DayCounter,SettlementDate,D8,,,Trigger)</f>
        <v>0.76944444444444449</v>
      </c>
      <c r="O8" s="41">
        <f>_xll.qlDayCounterYearFraction(DayCounter,SettlementDate,E8,,,Trigger)</f>
        <v>1.7861111111111112</v>
      </c>
      <c r="P8" s="41">
        <f t="shared" si="3"/>
        <v>1.0166666666666666</v>
      </c>
      <c r="Q8" s="41">
        <f t="shared" si="4"/>
        <v>1.2990740740740743</v>
      </c>
      <c r="R8" s="41">
        <f t="shared" si="5"/>
        <v>1.7474978137860084</v>
      </c>
      <c r="S8" s="114" t="b">
        <v>0</v>
      </c>
      <c r="T8" s="114" t="b">
        <v>0</v>
      </c>
      <c r="U8" s="114" t="b">
        <v>0</v>
      </c>
      <c r="V8" s="114" t="b">
        <v>0</v>
      </c>
      <c r="AD8" s="94" t="s">
        <v>65</v>
      </c>
      <c r="AE8" s="21"/>
      <c r="AF8" s="21"/>
      <c r="AG8" s="21"/>
      <c r="AH8" s="21"/>
      <c r="AI8" s="112" t="s">
        <v>45</v>
      </c>
      <c r="AJ8" s="33"/>
      <c r="AK8" s="22"/>
      <c r="AL8" s="21"/>
      <c r="AM8" s="21"/>
      <c r="AN8" s="21"/>
      <c r="AO8" s="101"/>
      <c r="AP8" s="94"/>
      <c r="AQ8" s="21"/>
      <c r="AR8" s="21"/>
      <c r="AS8" s="21"/>
      <c r="AT8" s="21"/>
      <c r="AU8" s="112" t="s">
        <v>45</v>
      </c>
      <c r="AV8" s="33"/>
      <c r="AW8" s="218"/>
      <c r="AX8" s="21"/>
      <c r="AY8" s="21"/>
      <c r="AZ8" s="21"/>
      <c r="BA8" s="101"/>
      <c r="BC8" s="178">
        <f>_xll.qlCalendarAdvance(Calendar,BC7,"1d","mf",,Trigger)</f>
        <v>42142</v>
      </c>
      <c r="BD8" s="41">
        <f>_xll.qlDayCounterYearFraction(DayCounter,SettlementDate,BC8,,,Trigger)</f>
        <v>1.1111111111111112E-2</v>
      </c>
      <c r="BE8" s="47">
        <f>_xll.qlPolynomialFunctionValue(BE$1,$BD8,AllTriggers)</f>
        <v>2.7869159361711185E-3</v>
      </c>
      <c r="BF8" s="47">
        <f>_xll.qlPolynomialFunctionValue(BF$1,$BD8,AllTriggers)</f>
        <v>2.670383078188203E-3</v>
      </c>
      <c r="BG8" s="47">
        <f>_xll.qlPolynomialFunctionValue(BG$1,$BD8,AllTriggers)</f>
        <v>2.8714884032565542E-3</v>
      </c>
      <c r="BH8" s="47">
        <f>_xll.qlPolynomialFunctionValue(BH$1,$BD8,AllTriggers)</f>
        <v>2.912187683822615E-3</v>
      </c>
      <c r="BI8" s="47">
        <f>_xll.qlPolynomialFunctionValue(BI$1,$BD8,AllTriggers)</f>
        <v>2.7810693991824026E-3</v>
      </c>
      <c r="BJ8" s="47">
        <f>_xll.qlPolynomialFunctionValue(BJ$1,$BD8,AllTriggers)</f>
        <v>2.6644832286133713E-3</v>
      </c>
      <c r="BK8" s="47">
        <f>_xll.qlPolynomialFunctionValue(BK$1,$BD8,AllTriggers)</f>
        <v>2.8723853057011505E-3</v>
      </c>
      <c r="BL8" s="47">
        <f>_xll.qlPolynomialFunctionValue(BL$1,$BD8,AllTriggers)</f>
        <v>2.9153012322745524E-3</v>
      </c>
      <c r="BM8" s="47">
        <f>_xll.qlPolynomialFunctionValue(BM$1,$BD8,AllTriggers)</f>
        <v>2.8532030633477436E-3</v>
      </c>
      <c r="BN8" s="47">
        <f>_xll.qlPolynomialFunctionValue(BN$1,$BD8,AllTriggers)</f>
        <v>2.7994572957399811E-3</v>
      </c>
      <c r="BO8" s="47">
        <f>_xll.qlPolynomialFunctionValue(BO$1,$BD8,AllTriggers)</f>
        <v>2.8674225514697558E-3</v>
      </c>
      <c r="BP8" s="47">
        <f>_xll.qlPolynomialFunctionValue(BP$1,$BD8,AllTriggers)</f>
        <v>2.8363529584409419E-3</v>
      </c>
      <c r="BQ8" s="47">
        <f>_xll.qlPolynomialFunctionValue('12MSynthDepo_used'!$P$18,BD8,AllTriggers)</f>
        <v>2.7407570915818124E-3</v>
      </c>
    </row>
    <row r="9" spans="1:69" ht="12" customHeight="1" x14ac:dyDescent="0.2">
      <c r="A9" s="21">
        <v>12</v>
      </c>
      <c r="B9" s="55">
        <f>A9+SUBSTITUTE($D$24,"M","")</f>
        <v>24</v>
      </c>
      <c r="C9" s="42" t="str">
        <f>"B"&amp;$D$24&amp;"_"&amp;A9&amp;"X"&amp;B9</f>
        <v>B12M_12X24</v>
      </c>
      <c r="D9" s="181">
        <f>_xll.qlCalendarAdvance(Calendar,SettlementDate,A9&amp;"M","mf")</f>
        <v>42506</v>
      </c>
      <c r="E9" s="181">
        <f>_xll.qlInterestRateIndexMaturity($D$25,D9)</f>
        <v>42871</v>
      </c>
      <c r="F9" s="54">
        <f>_xll.qlIndexFixing(ON_12M_index,_xll.qlInterestRateIndexFixingDate(ON_12M_index,D9,Trigger),,AllTriggers)</f>
        <v>-7.7971426641719639E-4</v>
      </c>
      <c r="G9" s="54">
        <f t="shared" ref="G9" si="6">H9+F9</f>
        <v>2.31E-3</v>
      </c>
      <c r="H9" s="203">
        <f>_xll.qlQuoteValue(C9,_xll.ohTrigger(InterestRatesTrigger,'12MSynthDepo_used'!E9))</f>
        <v>3.0897142664171964E-3</v>
      </c>
      <c r="I9" s="44">
        <f>_xll.qlDayCounterYearFraction(DayCounter,SettlementDate,D9,,,Trigger)</f>
        <v>1.0222222222222221</v>
      </c>
      <c r="J9" s="44">
        <f>1</f>
        <v>1</v>
      </c>
      <c r="K9" s="44">
        <f t="shared" ref="K9" si="7">I9</f>
        <v>1.0222222222222221</v>
      </c>
      <c r="L9" s="44">
        <f t="shared" ref="L9" si="8">I9^2</f>
        <v>1.044938271604938</v>
      </c>
      <c r="M9" s="43">
        <f>LN((1+G9*_xll.qlDayCounterYearFraction(DayCounter,D9,E9,,,Trigger))/(1+F9*_xll.qlDayCounterYearFraction(DayCounter,D9,E9,,,Trigger)))</f>
        <v>3.130201206669262E-3</v>
      </c>
      <c r="N9" s="44">
        <f>_xll.qlDayCounterYearFraction(DayCounter,SettlementDate,D9,,,Trigger)</f>
        <v>1.0222222222222221</v>
      </c>
      <c r="O9" s="44">
        <f>_xll.qlDayCounterYearFraction(DayCounter,SettlementDate,E9,,,Trigger)</f>
        <v>2.036111111111111</v>
      </c>
      <c r="P9" s="44">
        <f t="shared" ref="P9" si="9">O9-N9</f>
        <v>1.0138888888888888</v>
      </c>
      <c r="Q9" s="44">
        <f t="shared" ref="Q9" si="10">(O9^2-N9^2)/2</f>
        <v>1.5504050925925927</v>
      </c>
      <c r="R9" s="44">
        <f t="shared" ref="R9" si="11">(O9^3-N9^3)/3</f>
        <v>2.4576817915523548</v>
      </c>
      <c r="S9" s="150" t="b">
        <v>0</v>
      </c>
      <c r="T9" s="150" t="b">
        <v>0</v>
      </c>
      <c r="U9" s="150" t="b">
        <v>0</v>
      </c>
      <c r="V9" s="150" t="b">
        <v>0</v>
      </c>
      <c r="AD9" s="94"/>
      <c r="AE9" s="32"/>
      <c r="AF9" s="27">
        <f t="array" ref="AF9:AF10">_xll.ohFilter(K3:K9,U3:U9)</f>
        <v>8.8888888888888892E-2</v>
      </c>
      <c r="AG9" s="28">
        <f t="array" ref="AG9:AG10">_xll.ohFilter(J3:J9,U3:U9)</f>
        <v>1</v>
      </c>
      <c r="AH9" s="280" t="s">
        <v>20</v>
      </c>
      <c r="AI9" s="29">
        <f t="array" ref="AI9:AI10">MMULT(AL9:AM10,AK9:AK10)</f>
        <v>1.6633895164818585E-4</v>
      </c>
      <c r="AJ9" s="280" t="s">
        <v>21</v>
      </c>
      <c r="AK9" s="30">
        <f t="array" ref="AK9:AK10">_xll.ohFilter(H3:H9,U3:U9)</f>
        <v>2.9694435636715968E-3</v>
      </c>
      <c r="AL9" s="27">
        <f t="array" ref="AL9:AM10">MINVERSE(AF9:AG10)</f>
        <v>-6</v>
      </c>
      <c r="AM9" s="28">
        <v>6.0000000000000009</v>
      </c>
      <c r="AN9" s="21"/>
      <c r="AO9" s="101"/>
      <c r="AP9" s="94"/>
      <c r="AQ9" s="32"/>
      <c r="AR9" s="27">
        <f t="array" ref="AR9:AR10">_xll.ohFilter(Q3:Q9,U3:U9)</f>
        <v>0.60717592592592595</v>
      </c>
      <c r="AS9" s="28">
        <f t="array" ref="AS9:AS10">_xll.ohFilter(P3:P9,U3:U9)</f>
        <v>1.0166666666666668</v>
      </c>
      <c r="AT9" s="280" t="s">
        <v>20</v>
      </c>
      <c r="AU9" s="29">
        <f t="array" ref="AU9:AU10">MMULT(AX9:AY10,AW9:AW10)</f>
        <v>1.6444077833241422E-4</v>
      </c>
      <c r="AV9" s="280" t="s">
        <v>21</v>
      </c>
      <c r="AW9" s="56">
        <f t="array" ref="AW9:AW10">_xll.ohFilter(M3:M9,U3:U9)</f>
        <v>3.0182453042182297E-3</v>
      </c>
      <c r="AX9" s="27">
        <f t="array" ref="AX9:AY10">MINVERSE(AR9:AS10)</f>
        <v>-5.8528654653840917</v>
      </c>
      <c r="AY9" s="28">
        <v>5.8369176030805949</v>
      </c>
      <c r="AZ9" s="21"/>
      <c r="BA9" s="101"/>
      <c r="BC9" s="178">
        <f>_xll.qlCalendarAdvance(Calendar,BC8,"1d","mf",,Trigger)</f>
        <v>42143</v>
      </c>
      <c r="BD9" s="41">
        <f>_xll.qlDayCounterYearFraction(DayCounter,SettlementDate,BC9,,,Trigger)</f>
        <v>1.3888888888888888E-2</v>
      </c>
      <c r="BE9" s="47">
        <f>_xll.qlPolynomialFunctionValue(BE$1,$BD9,AllTriggers)</f>
        <v>2.7877769155461207E-3</v>
      </c>
      <c r="BF9" s="47">
        <f>_xll.qlPolynomialFunctionValue(BF$1,$BD9,AllTriggers)</f>
        <v>2.6729394961722292E-3</v>
      </c>
      <c r="BG9" s="47">
        <f>_xll.qlPolynomialFunctionValue(BG$1,$BD9,AllTriggers)</f>
        <v>2.8719504559000216E-3</v>
      </c>
      <c r="BH9" s="47">
        <f>_xll.qlPolynomialFunctionValue(BH$1,$BD9,AllTriggers)</f>
        <v>2.9122258831316451E-3</v>
      </c>
      <c r="BI9" s="47">
        <f>_xll.qlPolynomialFunctionValue(BI$1,$BD9,AllTriggers)</f>
        <v>2.7819589559303607E-3</v>
      </c>
      <c r="BJ9" s="47">
        <f>_xll.qlPolynomialFunctionValue(BJ$1,$BD9,AllTriggers)</f>
        <v>2.6671049256749091E-3</v>
      </c>
      <c r="BK9" s="47">
        <f>_xll.qlPolynomialFunctionValue(BK$1,$BD9,AllTriggers)</f>
        <v>2.8728420856409627E-3</v>
      </c>
      <c r="BL9" s="47">
        <f>_xll.qlPolynomialFunctionValue(BL$1,$BD9,AllTriggers)</f>
        <v>2.9153111219016995E-3</v>
      </c>
      <c r="BM9" s="47">
        <f>_xll.qlPolynomialFunctionValue(BM$1,$BD9,AllTriggers)</f>
        <v>2.8537380460384775E-3</v>
      </c>
      <c r="BN9" s="47">
        <f>_xll.qlPolynomialFunctionValue(BN$1,$BD9,AllTriggers)</f>
        <v>2.8004421779947359E-3</v>
      </c>
      <c r="BO9" s="47">
        <f>_xll.qlPolynomialFunctionValue(BO$1,$BD9,AllTriggers)</f>
        <v>2.8679144583061049E-3</v>
      </c>
      <c r="BP9" s="47">
        <f>_xll.qlPolynomialFunctionValue(BP$1,$BD9,AllTriggers)</f>
        <v>2.8370796721026784E-3</v>
      </c>
      <c r="BQ9" s="47">
        <f>_xll.qlPolynomialFunctionValue('12MSynthDepo_used'!$P$18,BD9,AllTriggers)</f>
        <v>2.7425410496723572E-3</v>
      </c>
    </row>
    <row r="10" spans="1:69" ht="12" customHeight="1" x14ac:dyDescent="0.2">
      <c r="A10" s="21"/>
      <c r="B10" s="55"/>
      <c r="C10" s="22"/>
      <c r="D10" s="23"/>
      <c r="E10" s="23"/>
      <c r="F10" s="122"/>
      <c r="G10" s="122"/>
      <c r="H10" s="123"/>
      <c r="I10" s="2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  <c r="U10" s="26"/>
      <c r="V10" s="26"/>
      <c r="W10" s="26"/>
      <c r="AD10" s="94"/>
      <c r="AE10" s="32"/>
      <c r="AF10" s="27">
        <v>0.25555555555555554</v>
      </c>
      <c r="AG10" s="28">
        <v>1</v>
      </c>
      <c r="AH10" s="280"/>
      <c r="AI10" s="29">
        <v>2.9546578790806471E-3</v>
      </c>
      <c r="AJ10" s="280"/>
      <c r="AK10" s="30">
        <v>2.9971667222796271E-3</v>
      </c>
      <c r="AL10" s="27">
        <v>1.5333333333333332</v>
      </c>
      <c r="AM10" s="28">
        <v>-0.53333333333333344</v>
      </c>
      <c r="AN10" s="21"/>
      <c r="AO10" s="101"/>
      <c r="AP10" s="94"/>
      <c r="AQ10" s="32"/>
      <c r="AR10" s="27">
        <v>0.78015817901234563</v>
      </c>
      <c r="AS10" s="28">
        <v>1.0194444444444444</v>
      </c>
      <c r="AT10" s="280"/>
      <c r="AU10" s="29">
        <v>2.8705581859419012E-3</v>
      </c>
      <c r="AV10" s="280"/>
      <c r="AW10" s="56">
        <v>3.0546644132921816E-3</v>
      </c>
      <c r="AX10" s="27">
        <v>4.4790678769814365</v>
      </c>
      <c r="AY10" s="28">
        <v>-3.485936901839799</v>
      </c>
      <c r="AZ10" s="21"/>
      <c r="BA10" s="101"/>
      <c r="BC10" s="178">
        <f>_xll.qlCalendarAdvance(Calendar,BC9,"1d","mf",,Trigger)</f>
        <v>42144</v>
      </c>
      <c r="BD10" s="41">
        <f>_xll.qlDayCounterYearFraction(DayCounter,SettlementDate,BC10,,,Trigger)</f>
        <v>1.6666666666666666E-2</v>
      </c>
      <c r="BE10" s="47">
        <f>_xll.qlPolynomialFunctionValue(BE$1,$BD10,AllTriggers)</f>
        <v>2.7886378949211229E-3</v>
      </c>
      <c r="BF10" s="47">
        <f>_xll.qlPolynomialFunctionValue(BF$1,$BD10,AllTriggers)</f>
        <v>2.675487241836005E-3</v>
      </c>
      <c r="BG10" s="47">
        <f>_xll.qlPolynomialFunctionValue(BG$1,$BD10,AllTriggers)</f>
        <v>2.8724125085434885E-3</v>
      </c>
      <c r="BH10" s="47">
        <f>_xll.qlPolynomialFunctionValue(BH$1,$BD10,AllTriggers)</f>
        <v>2.9122658375269461E-3</v>
      </c>
      <c r="BI10" s="47">
        <f>_xll.qlPolynomialFunctionValue(BI$1,$BD10,AllTriggers)</f>
        <v>2.7828485126783187E-3</v>
      </c>
      <c r="BJ10" s="47">
        <f>_xll.qlPolynomialFunctionValue(BJ$1,$BD10,AllTriggers)</f>
        <v>2.6697176491660402E-3</v>
      </c>
      <c r="BK10" s="47">
        <f>_xll.qlPolynomialFunctionValue(BK$1,$BD10,AllTriggers)</f>
        <v>2.8732988655807748E-3</v>
      </c>
      <c r="BL10" s="47">
        <f>_xll.qlPolynomialFunctionValue(BL$1,$BD10,AllTriggers)</f>
        <v>2.9153228638869088E-3</v>
      </c>
      <c r="BM10" s="47">
        <f>_xll.qlPolynomialFunctionValue(BM$1,$BD10,AllTriggers)</f>
        <v>2.8542730287292113E-3</v>
      </c>
      <c r="BN10" s="47">
        <f>_xll.qlPolynomialFunctionValue(BN$1,$BD10,AllTriggers)</f>
        <v>2.8014255706951432E-3</v>
      </c>
      <c r="BO10" s="47">
        <f>_xll.qlPolynomialFunctionValue(BO$1,$BD10,AllTriggers)</f>
        <v>2.8684063651424545E-3</v>
      </c>
      <c r="BP10" s="47">
        <f>_xll.qlPolynomialFunctionValue(BP$1,$BD10,AllTriggers)</f>
        <v>2.8378056558071635E-3</v>
      </c>
      <c r="BQ10" s="47">
        <f>_xll.qlPolynomialFunctionValue('12MSynthDepo_used'!$P$18,BD10,AllTriggers)</f>
        <v>2.7443181623639807E-3</v>
      </c>
    </row>
    <row r="11" spans="1:69" ht="12" customHeight="1" x14ac:dyDescent="0.2">
      <c r="A11" s="21"/>
      <c r="B11" s="55"/>
      <c r="C11" s="21"/>
      <c r="D11" s="21"/>
      <c r="E11" s="21"/>
      <c r="F11" s="21"/>
      <c r="G11" s="21"/>
      <c r="AD11" s="94"/>
      <c r="AE11" s="21"/>
      <c r="AF11" s="21"/>
      <c r="AG11" s="21"/>
      <c r="AH11" s="21"/>
      <c r="AI11" s="111"/>
      <c r="AJ11" s="33"/>
      <c r="AK11" s="22"/>
      <c r="AL11" s="21"/>
      <c r="AM11" s="21"/>
      <c r="AN11" s="21"/>
      <c r="AO11" s="101"/>
      <c r="AP11" s="94"/>
      <c r="AQ11" s="21"/>
      <c r="AR11" s="21"/>
      <c r="AS11" s="21"/>
      <c r="AT11" s="21"/>
      <c r="AU11" s="111"/>
      <c r="AV11" s="33"/>
      <c r="AW11" s="22"/>
      <c r="AX11" s="21"/>
      <c r="AY11" s="21"/>
      <c r="AZ11" s="21"/>
      <c r="BA11" s="101"/>
      <c r="BC11" s="178">
        <f>_xll.qlCalendarAdvance(Calendar,BC10,"1d","mf",,Trigger)</f>
        <v>42145</v>
      </c>
      <c r="BD11" s="41">
        <f>_xll.qlDayCounterYearFraction(DayCounter,SettlementDate,BC11,,,Trigger)</f>
        <v>1.9444444444444445E-2</v>
      </c>
      <c r="BE11" s="47">
        <f>_xll.qlPolynomialFunctionValue(BE$1,$BD11,AllTriggers)</f>
        <v>2.7894988742961251E-3</v>
      </c>
      <c r="BF11" s="47">
        <f>_xll.qlPolynomialFunctionValue(BF$1,$BD11,AllTriggers)</f>
        <v>2.6780263151795301E-3</v>
      </c>
      <c r="BG11" s="47">
        <f>_xll.qlPolynomialFunctionValue(BG$1,$BD11,AllTriggers)</f>
        <v>2.8728745611869559E-3</v>
      </c>
      <c r="BH11" s="47">
        <f>_xll.qlPolynomialFunctionValue(BH$1,$BD11,AllTriggers)</f>
        <v>2.9123075470085182E-3</v>
      </c>
      <c r="BI11" s="47">
        <f>_xll.qlPolynomialFunctionValue(BI$1,$BD11,AllTriggers)</f>
        <v>2.7837380694262764E-3</v>
      </c>
      <c r="BJ11" s="47">
        <f>_xll.qlPolynomialFunctionValue(BJ$1,$BD11,AllTriggers)</f>
        <v>2.6723213990867637E-3</v>
      </c>
      <c r="BK11" s="47">
        <f>_xll.qlPolynomialFunctionValue(BK$1,$BD11,AllTriggers)</f>
        <v>2.873755645520587E-3</v>
      </c>
      <c r="BL11" s="47">
        <f>_xll.qlPolynomialFunctionValue(BL$1,$BD11,AllTriggers)</f>
        <v>2.9153364582301809E-3</v>
      </c>
      <c r="BM11" s="47">
        <f>_xll.qlPolynomialFunctionValue(BM$1,$BD11,AllTriggers)</f>
        <v>2.8548080114199452E-3</v>
      </c>
      <c r="BN11" s="47">
        <f>_xll.qlPolynomialFunctionValue(BN$1,$BD11,AllTriggers)</f>
        <v>2.8024074738412013E-3</v>
      </c>
      <c r="BO11" s="47">
        <f>_xll.qlPolynomialFunctionValue(BO$1,$BD11,AllTriggers)</f>
        <v>2.868898271978804E-3</v>
      </c>
      <c r="BP11" s="47">
        <f>_xll.qlPolynomialFunctionValue(BP$1,$BD11,AllTriggers)</f>
        <v>2.8385309095543972E-3</v>
      </c>
      <c r="BQ11" s="47">
        <f>_xll.qlPolynomialFunctionValue('12MSynthDepo_used'!$P$18,BD11,AllTriggers)</f>
        <v>2.7460884443717718E-3</v>
      </c>
    </row>
    <row r="12" spans="1:69" ht="12" customHeight="1" x14ac:dyDescent="0.2">
      <c r="B12" s="21"/>
      <c r="C12" s="116" t="s">
        <v>67</v>
      </c>
      <c r="D12" s="117"/>
      <c r="E12" s="117"/>
      <c r="F12" s="117"/>
      <c r="G12" s="117"/>
      <c r="H12" s="117"/>
      <c r="I12" s="116"/>
      <c r="J12" s="116"/>
      <c r="P12" s="55"/>
      <c r="Q12" s="55"/>
      <c r="R12" s="55"/>
      <c r="S12" s="116" t="str">
        <f>"with 0X"&amp;SUBSTITUTE($D$24,"M","")</f>
        <v>with 0X12</v>
      </c>
      <c r="T12" s="118"/>
      <c r="U12" s="117" t="str">
        <f>"without 0X"&amp;SUBSTITUTE($D$24,"M","")</f>
        <v>without 0X12</v>
      </c>
      <c r="V12" s="118"/>
      <c r="AD12" s="219" t="s">
        <v>42</v>
      </c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2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2"/>
      <c r="BC12" s="178">
        <f>_xll.qlCalendarAdvance(Calendar,BC11,"1d","mf",,Trigger)</f>
        <v>42146</v>
      </c>
      <c r="BD12" s="41">
        <f>_xll.qlDayCounterYearFraction(DayCounter,SettlementDate,BC12,,,Trigger)</f>
        <v>2.2222222222222223E-2</v>
      </c>
      <c r="BE12" s="47">
        <f>_xll.qlPolynomialFunctionValue(BE$1,$BD12,AllTriggers)</f>
        <v>2.7903598536711273E-3</v>
      </c>
      <c r="BF12" s="47">
        <f>_xll.qlPolynomialFunctionValue(BF$1,$BD12,AllTriggers)</f>
        <v>2.6805567162028043E-3</v>
      </c>
      <c r="BG12" s="47">
        <f>_xll.qlPolynomialFunctionValue(BG$1,$BD12,AllTriggers)</f>
        <v>2.8733366138304229E-3</v>
      </c>
      <c r="BH12" s="47">
        <f>_xll.qlPolynomialFunctionValue(BH$1,$BD12,AllTriggers)</f>
        <v>2.9123510115763615E-3</v>
      </c>
      <c r="BI12" s="47">
        <f>_xll.qlPolynomialFunctionValue(BI$1,$BD12,AllTriggers)</f>
        <v>2.7846276261742344E-3</v>
      </c>
      <c r="BJ12" s="47">
        <f>_xll.qlPolynomialFunctionValue(BJ$1,$BD12,AllTriggers)</f>
        <v>2.6749161754370809E-3</v>
      </c>
      <c r="BK12" s="47">
        <f>_xll.qlPolynomialFunctionValue(BK$1,$BD12,AllTriggers)</f>
        <v>2.8742124254603992E-3</v>
      </c>
      <c r="BL12" s="47">
        <f>_xll.qlPolynomialFunctionValue(BL$1,$BD12,AllTriggers)</f>
        <v>2.9153519049315152E-3</v>
      </c>
      <c r="BM12" s="47">
        <f>_xll.qlPolynomialFunctionValue(BM$1,$BD12,AllTriggers)</f>
        <v>2.8553429941106791E-3</v>
      </c>
      <c r="BN12" s="47">
        <f>_xll.qlPolynomialFunctionValue(BN$1,$BD12,AllTriggers)</f>
        <v>2.8033878874329106E-3</v>
      </c>
      <c r="BO12" s="47">
        <f>_xll.qlPolynomialFunctionValue(BO$1,$BD12,AllTriggers)</f>
        <v>2.8693901788151535E-3</v>
      </c>
      <c r="BP12" s="47">
        <f>_xll.qlPolynomialFunctionValue(BP$1,$BD12,AllTriggers)</f>
        <v>2.8392554333443792E-3</v>
      </c>
      <c r="BQ12" s="47">
        <f>_xll.qlPolynomialFunctionValue('12MSynthDepo_used'!$P$18,BD12,AllTriggers)</f>
        <v>2.7478519104108222E-3</v>
      </c>
    </row>
    <row r="13" spans="1:69" ht="22.5" customHeight="1" x14ac:dyDescent="0.2">
      <c r="C13" s="36" t="s">
        <v>43</v>
      </c>
      <c r="D13" s="36" t="s">
        <v>101</v>
      </c>
      <c r="E13" s="36" t="s">
        <v>102</v>
      </c>
      <c r="F13" s="36" t="s">
        <v>56</v>
      </c>
      <c r="G13" s="36" t="str">
        <f>"F "&amp;$D$24</f>
        <v>F 12M</v>
      </c>
      <c r="H13" s="36" t="str">
        <f>"B "&amp;$D$24</f>
        <v>B 12M</v>
      </c>
      <c r="I13" s="36" t="s">
        <v>89</v>
      </c>
      <c r="J13" s="36" t="s">
        <v>104</v>
      </c>
      <c r="P13" s="55"/>
      <c r="Q13" s="55"/>
      <c r="R13" s="55"/>
      <c r="S13" s="36" t="s">
        <v>41</v>
      </c>
      <c r="T13" s="36" t="s">
        <v>42</v>
      </c>
      <c r="U13" s="36" t="s">
        <v>41</v>
      </c>
      <c r="V13" s="36" t="s">
        <v>42</v>
      </c>
      <c r="AD13" s="94" t="s">
        <v>64</v>
      </c>
      <c r="AE13" s="21"/>
      <c r="AF13" s="21"/>
      <c r="AG13" s="21"/>
      <c r="AH13" s="21"/>
      <c r="AI13" s="113" t="s">
        <v>44</v>
      </c>
      <c r="AJ13" s="21"/>
      <c r="AK13" s="21"/>
      <c r="AL13" s="21"/>
      <c r="AM13" s="21"/>
      <c r="AN13" s="21"/>
      <c r="AO13" s="101"/>
      <c r="AP13" s="94"/>
      <c r="AQ13" s="21"/>
      <c r="AR13" s="21"/>
      <c r="AS13" s="21"/>
      <c r="AT13" s="21"/>
      <c r="AU13" s="113" t="s">
        <v>44</v>
      </c>
      <c r="AV13" s="21"/>
      <c r="AW13" s="21"/>
      <c r="AX13" s="21"/>
      <c r="AY13" s="21"/>
      <c r="AZ13" s="21"/>
      <c r="BA13" s="101"/>
      <c r="BC13" s="178">
        <f>_xll.qlCalendarAdvance(Calendar,BC12,"1d","mf",,Trigger)</f>
        <v>42149</v>
      </c>
      <c r="BD13" s="41">
        <f>_xll.qlDayCounterYearFraction(DayCounter,SettlementDate,BC13,,,Trigger)</f>
        <v>3.0555555555555555E-2</v>
      </c>
      <c r="BE13" s="47">
        <f>_xll.qlPolynomialFunctionValue(BE$1,$BD13,AllTriggers)</f>
        <v>2.7929427917961339E-3</v>
      </c>
      <c r="BF13" s="47">
        <f>_xll.qlPolynomialFunctionValue(BF$1,$BD13,AllTriggers)</f>
        <v>2.6880958853511216E-3</v>
      </c>
      <c r="BG13" s="47">
        <f>_xll.qlPolynomialFunctionValue(BG$1,$BD13,AllTriggers)</f>
        <v>2.8747227717608246E-3</v>
      </c>
      <c r="BH13" s="47">
        <f>_xll.qlPolynomialFunctionValue(BH$1,$BD13,AllTriggers)</f>
        <v>2.9124919357975164E-3</v>
      </c>
      <c r="BI13" s="47">
        <f>_xll.qlPolynomialFunctionValue(BI$1,$BD13,AllTriggers)</f>
        <v>2.7872962964181087E-3</v>
      </c>
      <c r="BJ13" s="47">
        <f>_xll.qlPolynomialFunctionValue(BJ$1,$BD13,AllTriggers)</f>
        <v>2.6826466630655884E-3</v>
      </c>
      <c r="BK13" s="47">
        <f>_xll.qlPolynomialFunctionValue(BK$1,$BD13,AllTriggers)</f>
        <v>2.8755827652798363E-3</v>
      </c>
      <c r="BL13" s="47">
        <f>_xll.qlPolynomialFunctionValue(BL$1,$BD13,AllTriggers)</f>
        <v>2.9154093591838934E-3</v>
      </c>
      <c r="BM13" s="47">
        <f>_xll.qlPolynomialFunctionValue(BM$1,$BD13,AllTriggers)</f>
        <v>2.8569479421828802E-3</v>
      </c>
      <c r="BN13" s="47">
        <f>_xll.qlPolynomialFunctionValue(BN$1,$BD13,AllTriggers)</f>
        <v>2.8063201908819484E-3</v>
      </c>
      <c r="BO13" s="47">
        <f>_xll.qlPolynomialFunctionValue(BO$1,$BD13,AllTriggers)</f>
        <v>2.8708658993242017E-3</v>
      </c>
      <c r="BP13" s="47">
        <f>_xll.qlPolynomialFunctionValue(BP$1,$BD13,AllTriggers)</f>
        <v>2.8414246249708172E-3</v>
      </c>
      <c r="BQ13" s="47">
        <f>_xll.qlPolynomialFunctionValue('12MSynthDepo_used'!$P$18,BD13,AllTriggers)</f>
        <v>2.7531015598664284E-3</v>
      </c>
    </row>
    <row r="14" spans="1:69" ht="12" customHeight="1" x14ac:dyDescent="0.2">
      <c r="A14" s="19">
        <f>A3</f>
        <v>0</v>
      </c>
      <c r="B14" s="55">
        <f>A14+SUBSTITUTE($D$24,"M","")</f>
        <v>12</v>
      </c>
      <c r="C14" s="171" t="str">
        <f>"B"&amp;$D$24&amp;"_"&amp;A14&amp;"X"&amp;B14&amp;$D$28</f>
        <v>B12M_0X12ESTIMATED</v>
      </c>
      <c r="D14" s="186">
        <f>SettlementDate</f>
        <v>42138</v>
      </c>
      <c r="E14" s="186">
        <f>_xll.qlInterestRateIndexMaturity($D$25,D14)</f>
        <v>42506</v>
      </c>
      <c r="F14" s="172">
        <f>_xll.qlIndexFixing(ON_12M_index,_xll.qlInterestRateIndexFixingDate(ON_12M_index,D14,Trigger),,AllTriggers)</f>
        <v>-1.2365159296481251E-3</v>
      </c>
      <c r="G14" s="172">
        <f>H14+F14</f>
        <v>1.7053762940233996E-3</v>
      </c>
      <c r="H14" s="226">
        <f>_xll.qlQuoteValue(C14,_xll.ohTrigger(InterestRatesTrigger,'12MSynthDepo_used'!E3))</f>
        <v>2.9418922236715246E-3</v>
      </c>
      <c r="I14" s="173">
        <f>_xll.qlDayCounterYearFraction(DayCounter,SettlementDate,D14,,,Trigger)</f>
        <v>0</v>
      </c>
      <c r="J14" s="244">
        <f>IF(($E$14-SettlementDate)-($D14-SettlementDate)&lt;0,0,($E$14-SettlementDate)-($D14-SettlementDate))</f>
        <v>368</v>
      </c>
      <c r="P14" s="55"/>
      <c r="Q14" s="55"/>
      <c r="R14" s="55"/>
      <c r="S14" s="174" t="b">
        <v>1</v>
      </c>
      <c r="T14" s="174" t="b">
        <v>1</v>
      </c>
      <c r="U14" s="174" t="b">
        <v>0</v>
      </c>
      <c r="V14" s="174" t="b">
        <v>0</v>
      </c>
      <c r="AD14" s="94"/>
      <c r="AE14" s="27">
        <f t="array" ref="AE14:AE16">_xll.ohFilter(L3:L9,T3:T9)</f>
        <v>0</v>
      </c>
      <c r="AF14" s="31">
        <f t="array" ref="AF14:AF16">_xll.ohFilter(K3:K9,T3:T9)</f>
        <v>0</v>
      </c>
      <c r="AG14" s="28">
        <f t="array" ref="AG14:AG16">_xll.ohFilter(J3:J9,T3:T9)</f>
        <v>1</v>
      </c>
      <c r="AH14" s="280" t="s">
        <v>20</v>
      </c>
      <c r="AI14" s="29">
        <f t="array" ref="AI14:AI16">MMULT(AL14:AN16,AK14:AK16)</f>
        <v>-5.6196635224942115E-4</v>
      </c>
      <c r="AJ14" s="280" t="s">
        <v>21</v>
      </c>
      <c r="AK14" s="56">
        <f t="array" ref="AK14:AK16">_xll.ohFilter(H3:H9,T3:T9)</f>
        <v>2.9418922236715246E-3</v>
      </c>
      <c r="AL14" s="27">
        <f t="array" ref="AL14:AN16">MINVERSE(AE14:AG16)</f>
        <v>44.021739130434796</v>
      </c>
      <c r="AM14" s="31">
        <v>-67.500000000000028</v>
      </c>
      <c r="AN14" s="28">
        <v>23.478260869565229</v>
      </c>
      <c r="AO14" s="101"/>
      <c r="AP14" s="94"/>
      <c r="AQ14" s="27">
        <f t="array" ref="AQ14:AQ16">_xll.ohFilter(R3:R9,T3:T9)</f>
        <v>0.35605304069501592</v>
      </c>
      <c r="AR14" s="31">
        <f t="array" ref="AR14:AR16">_xll.ohFilter(Q3:Q9,T3:T9)</f>
        <v>0.52246913580246901</v>
      </c>
      <c r="AS14" s="28">
        <f t="array" ref="AS14:AS16">_xll.ohFilter(P3:P9,T3:T9)</f>
        <v>1.0222222222222221</v>
      </c>
      <c r="AT14" s="280" t="s">
        <v>20</v>
      </c>
      <c r="AU14" s="29">
        <f t="array" ref="AU14:AU16">MMULT(AX14:AZ16,AW14:AW16)</f>
        <v>-5.8148736237967347E-4</v>
      </c>
      <c r="AV14" s="280" t="s">
        <v>21</v>
      </c>
      <c r="AW14" s="56">
        <f t="array" ref="AW14:AW16">_xll.ohFilter(M3:M9,T3:T9)</f>
        <v>3.0065493830107246E-3</v>
      </c>
      <c r="AX14" s="27">
        <f t="array" ref="AX14:AZ16">MINVERSE(AQ14:AS16)</f>
        <v>42.400335130356794</v>
      </c>
      <c r="AY14" s="31">
        <v>-64.476542677567338</v>
      </c>
      <c r="AZ14" s="28">
        <v>21.784989896507788</v>
      </c>
      <c r="BA14" s="101"/>
      <c r="BC14" s="178">
        <f>_xll.qlCalendarAdvance(Calendar,BC13,"1d","mf",,Trigger)</f>
        <v>42150</v>
      </c>
      <c r="BD14" s="41">
        <f>_xll.qlDayCounterYearFraction(DayCounter,SettlementDate,BC14,,,Trigger)</f>
        <v>3.3333333333333333E-2</v>
      </c>
      <c r="BE14" s="47">
        <f>_xll.qlPolynomialFunctionValue(BE$1,$BD14,AllTriggers)</f>
        <v>2.7938037711711366E-3</v>
      </c>
      <c r="BF14" s="47">
        <f>_xll.qlPolynomialFunctionValue(BF$1,$BD14,AllTriggers)</f>
        <v>2.6905915970933925E-3</v>
      </c>
      <c r="BG14" s="47">
        <f>_xll.qlPolynomialFunctionValue(BG$1,$BD14,AllTriggers)</f>
        <v>2.8751848244042916E-3</v>
      </c>
      <c r="BH14" s="47">
        <f>_xll.qlPolynomialFunctionValue(BH$1,$BD14,AllTriggers)</f>
        <v>2.9125424207104432E-3</v>
      </c>
      <c r="BI14" s="47">
        <f>_xll.qlPolynomialFunctionValue(BI$1,$BD14,AllTriggers)</f>
        <v>2.7881858531660663E-3</v>
      </c>
      <c r="BJ14" s="47">
        <f>_xll.qlPolynomialFunctionValue(BJ$1,$BD14,AllTriggers)</f>
        <v>2.6852055451342767E-3</v>
      </c>
      <c r="BK14" s="47">
        <f>_xll.qlPolynomialFunctionValue(BK$1,$BD14,AllTriggers)</f>
        <v>2.8760395452196484E-3</v>
      </c>
      <c r="BL14" s="47">
        <f>_xll.qlPolynomialFunctionValue(BL$1,$BD14,AllTriggers)</f>
        <v>2.9154322153174777E-3</v>
      </c>
      <c r="BM14" s="47">
        <f>_xll.qlPolynomialFunctionValue(BM$1,$BD14,AllTriggers)</f>
        <v>2.8574829248736141E-3</v>
      </c>
      <c r="BN14" s="47">
        <f>_xll.qlPolynomialFunctionValue(BN$1,$BD14,AllTriggers)</f>
        <v>2.8072946462562639E-3</v>
      </c>
      <c r="BO14" s="47">
        <f>_xll.qlPolynomialFunctionValue(BO$1,$BD14,AllTriggers)</f>
        <v>2.8713578061605508E-3</v>
      </c>
      <c r="BP14" s="47">
        <f>_xll.qlPolynomialFunctionValue(BP$1,$BD14,AllTriggers)</f>
        <v>2.8421462289317939E-3</v>
      </c>
      <c r="BQ14" s="47">
        <f>_xll.qlPolynomialFunctionValue('12MSynthDepo_used'!$P$18,BD14,AllTriggers)</f>
        <v>2.7548379091814163E-3</v>
      </c>
    </row>
    <row r="15" spans="1:69" ht="12" customHeight="1" x14ac:dyDescent="0.2">
      <c r="A15" s="21">
        <f t="shared" ref="A15:A20" si="12">A4</f>
        <v>1</v>
      </c>
      <c r="B15" s="55">
        <f>A15+SUBSTITUTE($D$24,"M","")</f>
        <v>13</v>
      </c>
      <c r="C15" s="39" t="str">
        <f>"B"&amp;$D$24&amp;"_"&amp;A15&amp;"X"&amp;B15</f>
        <v>B12M_1X13</v>
      </c>
      <c r="D15" s="177">
        <f>_xll.qlCalendarAdvance(Calendar,SettlementDate,A15&amp;"M","mf")</f>
        <v>42170</v>
      </c>
      <c r="E15" s="177">
        <f>_xll.qlInterestRateIndexMaturity($D$25,D15)</f>
        <v>42536</v>
      </c>
      <c r="F15" s="53">
        <f>_xll.qlIndexFixing(ON_12M_index,_xll.qlInterestRateIndexFixingDate(ON_12M_index,D15,Trigger),,AllTriggers)</f>
        <v>-1.2594435636715971E-3</v>
      </c>
      <c r="G15" s="53">
        <f t="shared" ref="G15:G20" si="13">H15+F15</f>
        <v>1.7099999999999997E-3</v>
      </c>
      <c r="H15" s="202">
        <f>_xll.qlQuoteValue(C15,_xll.ohTrigger(InterestRatesTrigger,'12MSynthDepo_used'!E4))</f>
        <v>2.9694435636715968E-3</v>
      </c>
      <c r="I15" s="41">
        <f>_xll.qlDayCounterYearFraction(DayCounter,SettlementDate,D15,,,Trigger)</f>
        <v>8.8888888888888892E-2</v>
      </c>
      <c r="J15" s="242">
        <f>IF(($E$14-SettlementDate)-($D15-SettlementDate)&lt;0,0,($E$14-SettlementDate)-($D15-SettlementDate))</f>
        <v>336</v>
      </c>
      <c r="P15" s="55"/>
      <c r="Q15" s="55"/>
      <c r="R15" s="55"/>
      <c r="S15" s="114" t="b">
        <v>1</v>
      </c>
      <c r="T15" s="114" t="b">
        <v>1</v>
      </c>
      <c r="U15" s="114" t="b">
        <v>1</v>
      </c>
      <c r="V15" s="114" t="b">
        <v>1</v>
      </c>
      <c r="AD15" s="94"/>
      <c r="AE15" s="27">
        <v>7.9012345679012348E-3</v>
      </c>
      <c r="AF15" s="31">
        <v>8.8888888888888892E-2</v>
      </c>
      <c r="AG15" s="28">
        <v>1</v>
      </c>
      <c r="AH15" s="280"/>
      <c r="AI15" s="29">
        <v>3.5990513964520663E-4</v>
      </c>
      <c r="AJ15" s="280"/>
      <c r="AK15" s="56">
        <v>2.9694435636715968E-3</v>
      </c>
      <c r="AL15" s="27">
        <v>-15.163043478260871</v>
      </c>
      <c r="AM15" s="31">
        <v>17.250000000000004</v>
      </c>
      <c r="AN15" s="28">
        <v>-2.0869565217391313</v>
      </c>
      <c r="AO15" s="101"/>
      <c r="AP15" s="94"/>
      <c r="AQ15" s="27">
        <v>0.45018878600823048</v>
      </c>
      <c r="AR15" s="31">
        <v>0.60717592592592595</v>
      </c>
      <c r="AS15" s="28">
        <v>1.0166666666666668</v>
      </c>
      <c r="AT15" s="280"/>
      <c r="AU15" s="29">
        <v>9.5834812621317655E-4</v>
      </c>
      <c r="AV15" s="280"/>
      <c r="AW15" s="56">
        <v>3.0182453042182297E-3</v>
      </c>
      <c r="AX15" s="27">
        <v>-57.88937093119069</v>
      </c>
      <c r="AY15" s="31">
        <v>82.177252314277766</v>
      </c>
      <c r="AZ15" s="28">
        <v>-23.906228458712537</v>
      </c>
      <c r="BA15" s="101"/>
      <c r="BC15" s="178">
        <f>_xll.qlCalendarAdvance(Calendar,BC14,"1d","mf",,Trigger)</f>
        <v>42151</v>
      </c>
      <c r="BD15" s="41">
        <f>_xll.qlDayCounterYearFraction(DayCounter,SettlementDate,BC15,,,Trigger)</f>
        <v>3.6111111111111108E-2</v>
      </c>
      <c r="BE15" s="47">
        <f>_xll.qlPolynomialFunctionValue(BE$1,$BD15,AllTriggers)</f>
        <v>2.7946647505461388E-3</v>
      </c>
      <c r="BF15" s="47">
        <f>_xll.qlPolynomialFunctionValue(BF$1,$BD15,AllTriggers)</f>
        <v>2.6930786365154131E-3</v>
      </c>
      <c r="BG15" s="47">
        <f>_xll.qlPolynomialFunctionValue(BG$1,$BD15,AllTriggers)</f>
        <v>2.875646877047759E-3</v>
      </c>
      <c r="BH15" s="47">
        <f>_xll.qlPolynomialFunctionValue(BH$1,$BD15,AllTriggers)</f>
        <v>2.9125946607096412E-3</v>
      </c>
      <c r="BI15" s="47">
        <f>_xll.qlPolynomialFunctionValue(BI$1,$BD15,AllTriggers)</f>
        <v>2.7890754099140244E-3</v>
      </c>
      <c r="BJ15" s="47">
        <f>_xll.qlPolynomialFunctionValue(BJ$1,$BD15,AllTriggers)</f>
        <v>2.6877554536325577E-3</v>
      </c>
      <c r="BK15" s="47">
        <f>_xll.qlPolynomialFunctionValue(BK$1,$BD15,AllTriggers)</f>
        <v>2.8764963251594606E-3</v>
      </c>
      <c r="BL15" s="47">
        <f>_xll.qlPolynomialFunctionValue(BL$1,$BD15,AllTriggers)</f>
        <v>2.9154569238091241E-3</v>
      </c>
      <c r="BM15" s="47">
        <f>_xll.qlPolynomialFunctionValue(BM$1,$BD15,AllTriggers)</f>
        <v>2.8580179075643479E-3</v>
      </c>
      <c r="BN15" s="47">
        <f>_xll.qlPolynomialFunctionValue(BN$1,$BD15,AllTriggers)</f>
        <v>2.808267612076231E-3</v>
      </c>
      <c r="BO15" s="47">
        <f>_xll.qlPolynomialFunctionValue(BO$1,$BD15,AllTriggers)</f>
        <v>2.8718497129969003E-3</v>
      </c>
      <c r="BP15" s="47">
        <f>_xll.qlPolynomialFunctionValue(BP$1,$BD15,AllTriggers)</f>
        <v>2.8428671029355188E-3</v>
      </c>
      <c r="BQ15" s="47">
        <f>_xll.qlPolynomialFunctionValue('12MSynthDepo_used'!$P$18,BD15,AllTriggers)</f>
        <v>2.7565675161031148E-3</v>
      </c>
    </row>
    <row r="16" spans="1:69" ht="12" customHeight="1" x14ac:dyDescent="0.2">
      <c r="A16" s="21">
        <f t="shared" si="12"/>
        <v>2</v>
      </c>
      <c r="B16" s="55">
        <f>A16+SUBSTITUTE($D$24,"M","")</f>
        <v>14</v>
      </c>
      <c r="C16" s="39" t="str">
        <f>"B"&amp;$D$24&amp;"_"&amp;A16&amp;"X"&amp;B16</f>
        <v>B12M_2X14</v>
      </c>
      <c r="D16" s="177">
        <f>_xll.qlCalendarAdvance(Calendar,SettlementDate,A16&amp;"M","mf")</f>
        <v>42199</v>
      </c>
      <c r="E16" s="177">
        <f>_xll.qlInterestRateIndexMaturity($D$25,D16)</f>
        <v>42565</v>
      </c>
      <c r="F16" s="53">
        <f>_xll.qlIndexFixing(ON_12M_index,_xll.qlInterestRateIndexFixingDate(ON_12M_index,D16,Trigger),,AllTriggers)</f>
        <v>-1.2604444096462185E-3</v>
      </c>
      <c r="G16" s="53">
        <f t="shared" si="13"/>
        <v>1.7299999999999996E-3</v>
      </c>
      <c r="H16" s="202">
        <f>_xll.qlQuoteValue(C16,_xll.ohTrigger(InterestRatesTrigger,'12MSynthDepo_used'!E5))</f>
        <v>2.9904444096462181E-3</v>
      </c>
      <c r="I16" s="41">
        <f>_xll.qlDayCounterYearFraction(DayCounter,SettlementDate,D16,,,Trigger)</f>
        <v>0.16944444444444445</v>
      </c>
      <c r="J16" s="242">
        <f>IF(($E$14-SettlementDate)-($D16-SettlementDate)&lt;0,0,($E$14-SettlementDate)-($D16-SettlementDate))</f>
        <v>307</v>
      </c>
      <c r="P16" s="55"/>
      <c r="Q16" s="55"/>
      <c r="R16" s="55"/>
      <c r="S16" s="114" t="b">
        <v>1</v>
      </c>
      <c r="T16" s="114" t="b">
        <v>1</v>
      </c>
      <c r="U16" s="114" t="b">
        <v>1</v>
      </c>
      <c r="V16" s="114" t="b">
        <v>1</v>
      </c>
      <c r="AD16" s="94"/>
      <c r="AE16" s="27">
        <v>6.5308641975308626E-2</v>
      </c>
      <c r="AF16" s="31">
        <v>0.25555555555555554</v>
      </c>
      <c r="AG16" s="28">
        <v>1</v>
      </c>
      <c r="AH16" s="280"/>
      <c r="AI16" s="29">
        <v>2.9418922236715246E-3</v>
      </c>
      <c r="AJ16" s="280"/>
      <c r="AK16" s="56">
        <v>2.9971667222796271E-3</v>
      </c>
      <c r="AL16" s="27">
        <v>1</v>
      </c>
      <c r="AM16" s="31">
        <v>0</v>
      </c>
      <c r="AN16" s="28">
        <v>0</v>
      </c>
      <c r="AO16" s="101"/>
      <c r="AP16" s="94"/>
      <c r="AQ16" s="27">
        <v>0.68532729623914035</v>
      </c>
      <c r="AR16" s="31">
        <v>0.78015817901234563</v>
      </c>
      <c r="AS16" s="28">
        <v>1.0194444444444444</v>
      </c>
      <c r="AT16" s="280"/>
      <c r="AU16" s="29">
        <v>2.6539067046631483E-3</v>
      </c>
      <c r="AV16" s="280"/>
      <c r="AW16" s="56">
        <v>3.0546644132921816E-3</v>
      </c>
      <c r="AX16" s="27">
        <v>15.797583932200954</v>
      </c>
      <c r="AY16" s="31">
        <v>-19.543704383555546</v>
      </c>
      <c r="AZ16" s="28">
        <v>4.6307490935459992</v>
      </c>
      <c r="BA16" s="101"/>
      <c r="BC16" s="178">
        <f>_xll.qlCalendarAdvance(Calendar,BC15,"1d","mf",,Trigger)</f>
        <v>42152</v>
      </c>
      <c r="BD16" s="41">
        <f>_xll.qlDayCounterYearFraction(DayCounter,SettlementDate,BC16,,,Trigger)</f>
        <v>3.888888888888889E-2</v>
      </c>
      <c r="BE16" s="47">
        <f>_xll.qlPolynomialFunctionValue(BE$1,$BD16,AllTriggers)</f>
        <v>2.795525729921141E-3</v>
      </c>
      <c r="BF16" s="47">
        <f>_xll.qlPolynomialFunctionValue(BF$1,$BD16,AllTriggers)</f>
        <v>2.6955570036171824E-3</v>
      </c>
      <c r="BG16" s="47">
        <f>_xll.qlPolynomialFunctionValue(BG$1,$BD16,AllTriggers)</f>
        <v>2.876108929691226E-3</v>
      </c>
      <c r="BH16" s="47">
        <f>_xll.qlPolynomialFunctionValue(BH$1,$BD16,AllTriggers)</f>
        <v>2.9126486557951099E-3</v>
      </c>
      <c r="BI16" s="47">
        <f>_xll.qlPolynomialFunctionValue(BI$1,$BD16,AllTriggers)</f>
        <v>2.7899649666619825E-3</v>
      </c>
      <c r="BJ16" s="47">
        <f>_xll.qlPolynomialFunctionValue(BJ$1,$BD16,AllTriggers)</f>
        <v>2.6902963885604321E-3</v>
      </c>
      <c r="BK16" s="47">
        <f>_xll.qlPolynomialFunctionValue(BK$1,$BD16,AllTriggers)</f>
        <v>2.8769531050992728E-3</v>
      </c>
      <c r="BL16" s="47">
        <f>_xll.qlPolynomialFunctionValue(BL$1,$BD16,AllTriggers)</f>
        <v>2.9154834846588334E-3</v>
      </c>
      <c r="BM16" s="47">
        <f>_xll.qlPolynomialFunctionValue(BM$1,$BD16,AllTriggers)</f>
        <v>2.8585528902550818E-3</v>
      </c>
      <c r="BN16" s="47">
        <f>_xll.qlPolynomialFunctionValue(BN$1,$BD16,AllTriggers)</f>
        <v>2.8092390883418493E-3</v>
      </c>
      <c r="BO16" s="47">
        <f>_xll.qlPolynomialFunctionValue(BO$1,$BD16,AllTriggers)</f>
        <v>2.8723416198332499E-3</v>
      </c>
      <c r="BP16" s="47">
        <f>_xll.qlPolynomialFunctionValue(BP$1,$BD16,AllTriggers)</f>
        <v>2.843587246981992E-3</v>
      </c>
      <c r="BQ16" s="47">
        <f>_xll.qlPolynomialFunctionValue('12MSynthDepo_used'!$P$18,BD16,AllTriggers)</f>
        <v>2.7582903953466131E-3</v>
      </c>
    </row>
    <row r="17" spans="1:69" ht="12" customHeight="1" x14ac:dyDescent="0.2">
      <c r="A17" s="21">
        <f t="shared" si="12"/>
        <v>3</v>
      </c>
      <c r="B17" s="55">
        <f>A17+SUBSTITUTE($D$24,"M","")</f>
        <v>15</v>
      </c>
      <c r="C17" s="39" t="str">
        <f>"B"&amp;$D$24&amp;"_"&amp;A17&amp;"X"&amp;B17</f>
        <v>B12M_3X15</v>
      </c>
      <c r="D17" s="177">
        <f>_xll.qlCalendarAdvance(Calendar,SettlementDate,A17&amp;"M","mf")</f>
        <v>42230</v>
      </c>
      <c r="E17" s="177">
        <f>_xll.qlInterestRateIndexMaturity($D$25,D17)</f>
        <v>42597</v>
      </c>
      <c r="F17" s="53">
        <f>_xll.qlIndexFixing(ON_12M_index,_xll.qlInterestRateIndexFixingDate(ON_12M_index,D17,Trigger),,AllTriggers)</f>
        <v>-1.2471667222796272E-3</v>
      </c>
      <c r="G17" s="53">
        <f t="shared" si="13"/>
        <v>1.7499999999999998E-3</v>
      </c>
      <c r="H17" s="202">
        <f>_xll.qlQuoteValue(C17,_xll.ohTrigger(InterestRatesTrigger,'12MSynthDepo_used'!E6))</f>
        <v>2.9971667222796271E-3</v>
      </c>
      <c r="I17" s="41">
        <f>_xll.qlDayCounterYearFraction(DayCounter,SettlementDate,D17,,,Trigger)</f>
        <v>0.25555555555555554</v>
      </c>
      <c r="J17" s="242">
        <f>IF(($E$14-SettlementDate)-($D17-SettlementDate)&lt;0,0,($E$14-SettlementDate)-($D17-SettlementDate))</f>
        <v>276</v>
      </c>
      <c r="P17" s="55"/>
      <c r="Q17" s="55"/>
      <c r="R17" s="55"/>
      <c r="S17" s="114" t="b">
        <v>1</v>
      </c>
      <c r="T17" s="114" t="b">
        <v>1</v>
      </c>
      <c r="U17" s="114" t="b">
        <v>1</v>
      </c>
      <c r="V17" s="114" t="b">
        <v>1</v>
      </c>
      <c r="AD17" s="94"/>
      <c r="AE17" s="21"/>
      <c r="AF17" s="21"/>
      <c r="AG17" s="21"/>
      <c r="AH17" s="21"/>
      <c r="AI17" s="111"/>
      <c r="AJ17" s="33"/>
      <c r="AK17" s="22"/>
      <c r="AL17" s="21"/>
      <c r="AM17" s="21"/>
      <c r="AN17" s="21"/>
      <c r="AO17" s="101"/>
      <c r="AP17" s="94"/>
      <c r="AQ17" s="21"/>
      <c r="AR17" s="21"/>
      <c r="AS17" s="21"/>
      <c r="AT17" s="21"/>
      <c r="AU17" s="111"/>
      <c r="AV17" s="33"/>
      <c r="AW17" s="22"/>
      <c r="AX17" s="21"/>
      <c r="AY17" s="21"/>
      <c r="AZ17" s="21"/>
      <c r="BA17" s="101"/>
      <c r="BC17" s="178">
        <f>_xll.qlCalendarAdvance(Calendar,BC16,"1d","mf",,Trigger)</f>
        <v>42153</v>
      </c>
      <c r="BD17" s="41">
        <f>_xll.qlDayCounterYearFraction(DayCounter,SettlementDate,BC17,,,Trigger)</f>
        <v>4.1666666666666664E-2</v>
      </c>
      <c r="BE17" s="47">
        <f>_xll.qlPolynomialFunctionValue(BE$1,$BD17,AllTriggers)</f>
        <v>2.7963867092961432E-3</v>
      </c>
      <c r="BF17" s="47">
        <f>_xll.qlPolynomialFunctionValue(BF$1,$BD17,AllTriggers)</f>
        <v>2.6980266983987009E-3</v>
      </c>
      <c r="BG17" s="47">
        <f>_xll.qlPolynomialFunctionValue(BG$1,$BD17,AllTriggers)</f>
        <v>2.8765709823346934E-3</v>
      </c>
      <c r="BH17" s="47">
        <f>_xll.qlPolynomialFunctionValue(BH$1,$BD17,AllTriggers)</f>
        <v>2.9127044059668499E-3</v>
      </c>
      <c r="BI17" s="47">
        <f>_xll.qlPolynomialFunctionValue(BI$1,$BD17,AllTriggers)</f>
        <v>2.7908545234099406E-3</v>
      </c>
      <c r="BJ17" s="47">
        <f>_xll.qlPolynomialFunctionValue(BJ$1,$BD17,AllTriggers)</f>
        <v>2.6928283499178993E-3</v>
      </c>
      <c r="BK17" s="47">
        <f>_xll.qlPolynomialFunctionValue(BK$1,$BD17,AllTriggers)</f>
        <v>2.877409885039085E-3</v>
      </c>
      <c r="BL17" s="47">
        <f>_xll.qlPolynomialFunctionValue(BL$1,$BD17,AllTriggers)</f>
        <v>2.9155118978666048E-3</v>
      </c>
      <c r="BM17" s="47">
        <f>_xll.qlPolynomialFunctionValue(BM$1,$BD17,AllTriggers)</f>
        <v>2.8590878729458156E-3</v>
      </c>
      <c r="BN17" s="47">
        <f>_xll.qlPolynomialFunctionValue(BN$1,$BD17,AllTriggers)</f>
        <v>2.8102090750531192E-3</v>
      </c>
      <c r="BO17" s="47">
        <f>_xll.qlPolynomialFunctionValue(BO$1,$BD17,AllTriggers)</f>
        <v>2.8728335266695994E-3</v>
      </c>
      <c r="BP17" s="47">
        <f>_xll.qlPolynomialFunctionValue(BP$1,$BD17,AllTriggers)</f>
        <v>2.8443066610712143E-3</v>
      </c>
      <c r="BQ17" s="47">
        <f>_xll.qlPolynomialFunctionValue('12MSynthDepo_used'!$P$18,BD17,AllTriggers)</f>
        <v>2.7600065616270029E-3</v>
      </c>
    </row>
    <row r="18" spans="1:69" ht="12" customHeight="1" x14ac:dyDescent="0.2">
      <c r="A18" s="21">
        <f t="shared" si="12"/>
        <v>6</v>
      </c>
      <c r="B18" s="55">
        <f>A18+SUBSTITUTE($D$24,"M","")</f>
        <v>18</v>
      </c>
      <c r="C18" s="39" t="str">
        <f>"B"&amp;$D$24&amp;"_"&amp;A18&amp;"X"&amp;B18</f>
        <v>B12M_6X18</v>
      </c>
      <c r="D18" s="177">
        <f>_xll.qlCalendarAdvance(Calendar,SettlementDate,A18&amp;"M","mf")</f>
        <v>42324</v>
      </c>
      <c r="E18" s="177">
        <f>_xll.qlInterestRateIndexMaturity($D$25,D18)</f>
        <v>42690</v>
      </c>
      <c r="F18" s="53">
        <f>_xll.qlIndexFixing(ON_12M_index,_xll.qlInterestRateIndexFixingDate(ON_12M_index,D18,Trigger),,AllTriggers)</f>
        <v>-1.2033029851947509E-3</v>
      </c>
      <c r="G18" s="53">
        <f t="shared" si="13"/>
        <v>1.8500000000000003E-3</v>
      </c>
      <c r="H18" s="202">
        <f>_xll.qlQuoteValue(C18,_xll.ohTrigger(InterestRatesTrigger,'12MSynthDepo_used'!E7))</f>
        <v>3.0533029851947512E-3</v>
      </c>
      <c r="I18" s="41">
        <f>_xll.qlDayCounterYearFraction(DayCounter,SettlementDate,D18,,,Trigger)</f>
        <v>0.51666666666666672</v>
      </c>
      <c r="J18" s="242">
        <f>IF(($E$14-SettlementDate)-($D18-SettlementDate)&lt;0,0,($E$14-SettlementDate)-($D18-SettlementDate))</f>
        <v>182</v>
      </c>
      <c r="P18" s="55"/>
      <c r="Q18" s="55"/>
      <c r="R18" s="55"/>
      <c r="S18" s="114" t="b">
        <v>1</v>
      </c>
      <c r="T18" s="114" t="b">
        <v>1</v>
      </c>
      <c r="U18" s="114" t="b">
        <v>1</v>
      </c>
      <c r="V18" s="114" t="b">
        <v>1</v>
      </c>
      <c r="AD18" s="94" t="s">
        <v>65</v>
      </c>
      <c r="AE18" s="21"/>
      <c r="AF18" s="21"/>
      <c r="AG18" s="21"/>
      <c r="AH18" s="21"/>
      <c r="AI18" s="113" t="s">
        <v>44</v>
      </c>
      <c r="AJ18" s="21"/>
      <c r="AK18" s="21"/>
      <c r="AL18" s="21"/>
      <c r="AM18" s="21"/>
      <c r="AN18" s="21"/>
      <c r="AO18" s="101"/>
      <c r="AP18" s="94"/>
      <c r="AQ18" s="21"/>
      <c r="AR18" s="21"/>
      <c r="AS18" s="21"/>
      <c r="AT18" s="21"/>
      <c r="AU18" s="113" t="s">
        <v>44</v>
      </c>
      <c r="AV18" s="21"/>
      <c r="AW18" s="21"/>
      <c r="AX18" s="21"/>
      <c r="AY18" s="21"/>
      <c r="AZ18" s="21"/>
      <c r="BA18" s="101"/>
      <c r="BC18" s="178">
        <f>_xll.qlCalendarAdvance(Calendar,BC17,"1d","mf",,Trigger)</f>
        <v>42156</v>
      </c>
      <c r="BD18" s="41">
        <f>_xll.qlDayCounterYearFraction(DayCounter,SettlementDate,BC18,,,Trigger)</f>
        <v>0.05</v>
      </c>
      <c r="BE18" s="47">
        <f>_xll.qlPolynomialFunctionValue(BE$1,$BD18,AllTriggers)</f>
        <v>2.7989696474211498E-3</v>
      </c>
      <c r="BF18" s="47">
        <f>_xll.qlPolynomialFunctionValue(BF$1,$BD18,AllTriggers)</f>
        <v>2.7053837488217529E-3</v>
      </c>
      <c r="BG18" s="47">
        <f>_xll.qlPolynomialFunctionValue(BG$1,$BD18,AllTriggers)</f>
        <v>2.8779571402650947E-3</v>
      </c>
      <c r="BH18" s="47">
        <f>_xll.qlPolynomialFunctionValue(BH$1,$BD18,AllTriggers)</f>
        <v>2.9128821869996951E-3</v>
      </c>
      <c r="BI18" s="47">
        <f>_xll.qlPolynomialFunctionValue(BI$1,$BD18,AllTriggers)</f>
        <v>2.7935231936538144E-3</v>
      </c>
      <c r="BJ18" s="47">
        <f>_xll.qlPolynomialFunctionValue(BJ$1,$BD18,AllTriggers)</f>
        <v>2.7003703925678581E-3</v>
      </c>
      <c r="BK18" s="47">
        <f>_xll.qlPolynomialFunctionValue(BK$1,$BD18,AllTriggers)</f>
        <v>2.878780224858522E-3</v>
      </c>
      <c r="BL18" s="47">
        <f>_xll.qlPolynomialFunctionValue(BL$1,$BD18,AllTriggers)</f>
        <v>2.9156082516382945E-3</v>
      </c>
      <c r="BM18" s="47">
        <f>_xll.qlPolynomialFunctionValue(BM$1,$BD18,AllTriggers)</f>
        <v>2.8606928210180168E-3</v>
      </c>
      <c r="BN18" s="47">
        <f>_xll.qlPolynomialFunctionValue(BN$1,$BD18,AllTriggers)</f>
        <v>2.8131100978608377E-3</v>
      </c>
      <c r="BO18" s="47">
        <f>_xll.qlPolynomialFunctionValue(BO$1,$BD18,AllTriggers)</f>
        <v>2.8743092471786476E-3</v>
      </c>
      <c r="BP18" s="47">
        <f>_xll.qlPolynomialFunctionValue(BP$1,$BD18,AllTriggers)</f>
        <v>2.8464605235953718E-3</v>
      </c>
      <c r="BQ18" s="47">
        <f>_xll.qlPolynomialFunctionValue('12MSynthDepo_used'!$P$18,BD18,AllTriggers)</f>
        <v>2.7651149298404181E-3</v>
      </c>
    </row>
    <row r="19" spans="1:69" ht="12" customHeight="1" x14ac:dyDescent="0.2">
      <c r="A19" s="21">
        <f t="shared" si="12"/>
        <v>9</v>
      </c>
      <c r="B19" s="55">
        <f>A19+SUBSTITUTE($D$24,"M","")</f>
        <v>21</v>
      </c>
      <c r="C19" s="39" t="str">
        <f>"B"&amp;$D$24&amp;"_"&amp;A19&amp;"X"&amp;B19</f>
        <v>B12M_9X21</v>
      </c>
      <c r="D19" s="177">
        <f>_xll.qlCalendarAdvance(Calendar,SettlementDate,A19&amp;"M","mf")</f>
        <v>42415</v>
      </c>
      <c r="E19" s="177">
        <f>_xll.qlInterestRateIndexMaturity($D$25,D19)</f>
        <v>42781</v>
      </c>
      <c r="F19" s="53">
        <f>_xll.qlIndexFixing(ON_12M_index,_xll.qlInterestRateIndexFixingDate(ON_12M_index,D19,Trigger),,AllTriggers)</f>
        <v>-1.0461047056561968E-3</v>
      </c>
      <c r="G19" s="53">
        <f t="shared" si="13"/>
        <v>2.0400000000000001E-3</v>
      </c>
      <c r="H19" s="202">
        <f>_xll.qlQuoteValue(C19,_xll.ohTrigger(InterestRatesTrigger,'12MSynthDepo_used'!E8))</f>
        <v>3.0861047056561968E-3</v>
      </c>
      <c r="I19" s="41">
        <f>_xll.qlDayCounterYearFraction(DayCounter,SettlementDate,D19,,,Trigger)</f>
        <v>0.76944444444444449</v>
      </c>
      <c r="J19" s="242">
        <f>IF(($E$14-SettlementDate)-($D19-SettlementDate)&lt;0,0,($E$14-SettlementDate)-($D19-SettlementDate))</f>
        <v>91</v>
      </c>
      <c r="P19" s="55"/>
      <c r="Q19" s="55"/>
      <c r="R19" s="55"/>
      <c r="S19" s="114" t="b">
        <v>1</v>
      </c>
      <c r="T19" s="114" t="b">
        <v>1</v>
      </c>
      <c r="U19" s="114" t="b">
        <v>1</v>
      </c>
      <c r="V19" s="114" t="b">
        <v>1</v>
      </c>
      <c r="AD19" s="94"/>
      <c r="AE19" s="27">
        <f t="array" ref="AE19:AE21">_xll.ohFilter(L3:L9,V3:V9)</f>
        <v>7.9012345679012348E-3</v>
      </c>
      <c r="AF19" s="31">
        <f t="array" ref="AF19:AF21">_xll.ohFilter(K3:K9,V3:V9)</f>
        <v>8.8888888888888892E-2</v>
      </c>
      <c r="AG19" s="28">
        <f t="array" ref="AG19:AG21">_xll.ohFilter(J3:J9,V3:V9)</f>
        <v>1</v>
      </c>
      <c r="AH19" s="280" t="s">
        <v>20</v>
      </c>
      <c r="AI19" s="29">
        <f t="array" ref="AI19:AI21">MMULT(AL19:AN21,AK19:AK21)</f>
        <v>1.1372959035824484E-4</v>
      </c>
      <c r="AJ19" s="280" t="s">
        <v>21</v>
      </c>
      <c r="AK19" s="56">
        <f t="array" ref="AK19:AK21">_xll.ohFilter(H3:H9,V3:V9)</f>
        <v>2.9694435636715968E-3</v>
      </c>
      <c r="AL19" s="27">
        <f t="array" ref="AL19:AN21">MINVERSE(AE19:AG21)</f>
        <v>14.025974025974026</v>
      </c>
      <c r="AM19" s="31">
        <v>-22.978723404255309</v>
      </c>
      <c r="AN19" s="28">
        <v>8.9527493782812897</v>
      </c>
      <c r="AO19" s="101"/>
      <c r="AP19" s="94"/>
      <c r="AQ19" s="27">
        <f t="array" ref="AQ19:AQ21">_xll.ohFilter(R3:R9,V3:V9)</f>
        <v>0.45018878600823048</v>
      </c>
      <c r="AR19" s="31">
        <f t="array" ref="AR19:AR21">_xll.ohFilter(Q3:Q9,V3:V9)</f>
        <v>0.60717592592592595</v>
      </c>
      <c r="AS19" s="28">
        <f t="array" ref="AS19:AS21">_xll.ohFilter(P3:P9,V3:V9)</f>
        <v>1.0166666666666668</v>
      </c>
      <c r="AT19" s="280" t="s">
        <v>20</v>
      </c>
      <c r="AU19" s="29">
        <f t="array" ref="AU19:AU21">MMULT(AX19:AZ21,AW19:AW21)</f>
        <v>1.2003280244628212E-4</v>
      </c>
      <c r="AV19" s="280" t="s">
        <v>21</v>
      </c>
      <c r="AW19" s="56">
        <f t="array" ref="AW19:AW21">_xll.ohFilter(M3:M9,V3:V9)</f>
        <v>3.0182453042182297E-3</v>
      </c>
      <c r="AX19" s="27">
        <f t="array" ref="AX19:AZ21">MINVERSE(AQ19:AS21)</f>
        <v>13.831378663845591</v>
      </c>
      <c r="AY19" s="31">
        <v>-22.719020443514921</v>
      </c>
      <c r="AZ19" s="28">
        <v>8.949715606017735</v>
      </c>
      <c r="BA19" s="101"/>
      <c r="BC19" s="178">
        <f>_xll.qlCalendarAdvance(Calendar,BC18,"1d","mf",,Trigger)</f>
        <v>42157</v>
      </c>
      <c r="BD19" s="41">
        <f>_xll.qlDayCounterYearFraction(DayCounter,SettlementDate,BC19,,,Trigger)</f>
        <v>5.2777777777777778E-2</v>
      </c>
      <c r="BE19" s="47">
        <f>_xll.qlPolynomialFunctionValue(BE$1,$BD19,AllTriggers)</f>
        <v>2.7998306267961524E-3</v>
      </c>
      <c r="BF19" s="47">
        <f>_xll.qlPolynomialFunctionValue(BF$1,$BD19,AllTriggers)</f>
        <v>2.7078187543222686E-3</v>
      </c>
      <c r="BG19" s="47">
        <f>_xll.qlPolynomialFunctionValue(BG$1,$BD19,AllTriggers)</f>
        <v>2.8784191929085621E-3</v>
      </c>
      <c r="BH19" s="47">
        <f>_xll.qlPolynomialFunctionValue(BH$1,$BD19,AllTriggers)</f>
        <v>2.9129449575165185E-3</v>
      </c>
      <c r="BI19" s="47">
        <f>_xll.qlPolynomialFunctionValue(BI$1,$BD19,AllTriggers)</f>
        <v>2.7944127504017724E-3</v>
      </c>
      <c r="BJ19" s="47">
        <f>_xll.qlPolynomialFunctionValue(BJ$1,$BD19,AllTriggers)</f>
        <v>2.7028664596436963E-3</v>
      </c>
      <c r="BK19" s="47">
        <f>_xll.qlPolynomialFunctionValue(BK$1,$BD19,AllTriggers)</f>
        <v>2.8792370047983342E-3</v>
      </c>
      <c r="BL19" s="47">
        <f>_xll.qlPolynomialFunctionValue(BL$1,$BD19,AllTriggers)</f>
        <v>2.9156440742783155E-3</v>
      </c>
      <c r="BM19" s="47">
        <f>_xll.qlPolynomialFunctionValue(BM$1,$BD19,AllTriggers)</f>
        <v>2.8612278037087506E-3</v>
      </c>
      <c r="BN19" s="47">
        <f>_xll.qlPolynomialFunctionValue(BN$1,$BD19,AllTriggers)</f>
        <v>2.8140741263547133E-3</v>
      </c>
      <c r="BO19" s="47">
        <f>_xll.qlPolynomialFunctionValue(BO$1,$BD19,AllTriggers)</f>
        <v>2.8748011540149967E-3</v>
      </c>
      <c r="BP19" s="47">
        <f>_xll.qlPolynomialFunctionValue(BP$1,$BD19,AllTriggers)</f>
        <v>2.8471770178555879E-3</v>
      </c>
      <c r="BQ19" s="47">
        <f>_xll.qlPolynomialFunctionValue('12MSynthDepo_used'!$P$18,BD19,AllTriggers)</f>
        <v>2.7668043914192732E-3</v>
      </c>
    </row>
    <row r="20" spans="1:69" ht="12" customHeight="1" x14ac:dyDescent="0.2">
      <c r="A20" s="21">
        <f t="shared" si="12"/>
        <v>12</v>
      </c>
      <c r="B20" s="55">
        <f>A20+SUBSTITUTE($D$24,"M","")</f>
        <v>24</v>
      </c>
      <c r="C20" s="42" t="str">
        <f>"B"&amp;$D$24&amp;"_"&amp;A20&amp;"X"&amp;B20</f>
        <v>B12M_12X24</v>
      </c>
      <c r="D20" s="181">
        <f>_xll.qlCalendarAdvance(Calendar,SettlementDate,A20&amp;"M","mf")</f>
        <v>42506</v>
      </c>
      <c r="E20" s="181">
        <f>_xll.qlInterestRateIndexMaturity($D$25,D20)</f>
        <v>42871</v>
      </c>
      <c r="F20" s="54">
        <f>_xll.qlIndexFixing(ON_12M_index,_xll.qlInterestRateIndexFixingDate(ON_12M_index,D20,Trigger),,AllTriggers)</f>
        <v>-7.7971426641719639E-4</v>
      </c>
      <c r="G20" s="54">
        <f t="shared" si="13"/>
        <v>2.31E-3</v>
      </c>
      <c r="H20" s="203">
        <f>_xll.qlQuoteValue(C20,_xll.ohTrigger(InterestRatesTrigger,'12MSynthDepo_used'!E9))</f>
        <v>3.0897142664171964E-3</v>
      </c>
      <c r="I20" s="44">
        <f>_xll.qlDayCounterYearFraction(DayCounter,SettlementDate,D20,,,Trigger)</f>
        <v>1.0222222222222221</v>
      </c>
      <c r="J20" s="243">
        <f>IF(($E$14-SettlementDate)-($D20-SettlementDate)&lt;0,0,($E$14-SettlementDate)-($D20-SettlementDate))</f>
        <v>0</v>
      </c>
      <c r="P20" s="55"/>
      <c r="Q20" s="55"/>
      <c r="R20" s="55"/>
      <c r="S20" s="150" t="b">
        <v>1</v>
      </c>
      <c r="T20" s="150" t="b">
        <v>1</v>
      </c>
      <c r="U20" s="150" t="b">
        <v>1</v>
      </c>
      <c r="V20" s="150" t="b">
        <v>1</v>
      </c>
      <c r="AD20" s="94"/>
      <c r="AE20" s="27">
        <v>6.5308641975308626E-2</v>
      </c>
      <c r="AF20" s="31">
        <v>0.25555555555555554</v>
      </c>
      <c r="AG20" s="28">
        <v>1</v>
      </c>
      <c r="AH20" s="280"/>
      <c r="AI20" s="29">
        <v>1.2716542608034662E-4</v>
      </c>
      <c r="AJ20" s="280"/>
      <c r="AK20" s="56">
        <v>2.9971667222796271E-3</v>
      </c>
      <c r="AL20" s="27">
        <v>-10.83116883116883</v>
      </c>
      <c r="AM20" s="31">
        <v>13.914893617021271</v>
      </c>
      <c r="AN20" s="28">
        <v>-3.0837247858524433</v>
      </c>
      <c r="AO20" s="101"/>
      <c r="AP20" s="94"/>
      <c r="AQ20" s="27">
        <v>0.68532729623914035</v>
      </c>
      <c r="AR20" s="31">
        <v>0.78015817901234563</v>
      </c>
      <c r="AS20" s="28">
        <v>1.0194444444444444</v>
      </c>
      <c r="AT20" s="280"/>
      <c r="AU20" s="29">
        <v>5.5944571181187897E-7</v>
      </c>
      <c r="AV20" s="280"/>
      <c r="AW20" s="56">
        <v>3.0546644132921816E-3</v>
      </c>
      <c r="AX20" s="27">
        <v>-24.736909836718656</v>
      </c>
      <c r="AY20" s="31">
        <v>36.855299830590873</v>
      </c>
      <c r="AZ20" s="28">
        <v>-12.219087534392955</v>
      </c>
      <c r="BA20" s="101"/>
      <c r="BC20" s="178">
        <f>_xll.qlCalendarAdvance(Calendar,BC19,"1d","mf",,Trigger)</f>
        <v>42158</v>
      </c>
      <c r="BD20" s="41">
        <f>_xll.qlDayCounterYearFraction(DayCounter,SettlementDate,BC20,,,Trigger)</f>
        <v>5.5555555555555552E-2</v>
      </c>
      <c r="BE20" s="47">
        <f>_xll.qlPolynomialFunctionValue(BE$1,$BD20,AllTriggers)</f>
        <v>2.8006916061711546E-3</v>
      </c>
      <c r="BF20" s="47">
        <f>_xll.qlPolynomialFunctionValue(BF$1,$BD20,AllTriggers)</f>
        <v>2.7102450875025334E-3</v>
      </c>
      <c r="BG20" s="47">
        <f>_xll.qlPolynomialFunctionValue(BG$1,$BD20,AllTriggers)</f>
        <v>2.878881245552029E-3</v>
      </c>
      <c r="BH20" s="47">
        <f>_xll.qlPolynomialFunctionValue(BH$1,$BD20,AllTriggers)</f>
        <v>2.9130094831196131E-3</v>
      </c>
      <c r="BI20" s="47">
        <f>_xll.qlPolynomialFunctionValue(BI$1,$BD20,AllTriggers)</f>
        <v>2.7953023071497305E-3</v>
      </c>
      <c r="BJ20" s="47">
        <f>_xll.qlPolynomialFunctionValue(BJ$1,$BD20,AllTriggers)</f>
        <v>2.7053535531491282E-3</v>
      </c>
      <c r="BK20" s="47">
        <f>_xll.qlPolynomialFunctionValue(BK$1,$BD20,AllTriggers)</f>
        <v>2.8796937847381464E-3</v>
      </c>
      <c r="BL20" s="47">
        <f>_xll.qlPolynomialFunctionValue(BL$1,$BD20,AllTriggers)</f>
        <v>2.9156817492763994E-3</v>
      </c>
      <c r="BM20" s="47">
        <f>_xll.qlPolynomialFunctionValue(BM$1,$BD20,AllTriggers)</f>
        <v>2.8617627863994845E-3</v>
      </c>
      <c r="BN20" s="47">
        <f>_xll.qlPolynomialFunctionValue(BN$1,$BD20,AllTriggers)</f>
        <v>2.8150366652942406E-3</v>
      </c>
      <c r="BO20" s="47">
        <f>_xll.qlPolynomialFunctionValue(BO$1,$BD20,AllTriggers)</f>
        <v>2.8752930608513462E-3</v>
      </c>
      <c r="BP20" s="47">
        <f>_xll.qlPolynomialFunctionValue(BP$1,$BD20,AllTriggers)</f>
        <v>2.8478927821585526E-3</v>
      </c>
      <c r="BQ20" s="47">
        <f>_xll.qlPolynomialFunctionValue('12MSynthDepo_used'!$P$18,BD20,AllTriggers)</f>
        <v>2.7684872136104701E-3</v>
      </c>
    </row>
    <row r="21" spans="1:69" ht="12" customHeight="1" x14ac:dyDescent="0.2">
      <c r="A21" s="21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W21" s="55"/>
      <c r="AD21" s="94"/>
      <c r="AE21" s="27">
        <v>0.26694444444444448</v>
      </c>
      <c r="AF21" s="31">
        <v>0.51666666666666672</v>
      </c>
      <c r="AG21" s="28">
        <v>1</v>
      </c>
      <c r="AH21" s="280"/>
      <c r="AI21" s="29">
        <v>2.9572413660715006E-3</v>
      </c>
      <c r="AJ21" s="280"/>
      <c r="AK21" s="56">
        <v>3.0533029851947512E-3</v>
      </c>
      <c r="AL21" s="27">
        <v>1.8519480519480516</v>
      </c>
      <c r="AM21" s="31">
        <v>-1.0553191489361697</v>
      </c>
      <c r="AN21" s="28">
        <v>0.20337109698811806</v>
      </c>
      <c r="AO21" s="101"/>
      <c r="AP21" s="94"/>
      <c r="AQ21" s="27">
        <v>1.1557052469135805</v>
      </c>
      <c r="AR21" s="31">
        <v>1.0420833333333335</v>
      </c>
      <c r="AS21" s="28">
        <v>1.0166666666666666</v>
      </c>
      <c r="AT21" s="280"/>
      <c r="AU21" s="29">
        <v>2.915280197346588E-3</v>
      </c>
      <c r="AV21" s="280"/>
      <c r="AW21" s="56">
        <v>3.1031737292767855E-3</v>
      </c>
      <c r="AX21" s="27">
        <v>9.6323848181891876</v>
      </c>
      <c r="AY21" s="31">
        <v>-11.950625475889652</v>
      </c>
      <c r="AZ21" s="28">
        <v>3.3344991972520739</v>
      </c>
      <c r="BA21" s="101"/>
      <c r="BC21" s="178">
        <f>_xll.qlCalendarAdvance(Calendar,BC20,"1d","mf",,Trigger)</f>
        <v>42159</v>
      </c>
      <c r="BD21" s="41">
        <f>_xll.qlDayCounterYearFraction(DayCounter,SettlementDate,BC21,,,Trigger)</f>
        <v>5.8333333333333334E-2</v>
      </c>
      <c r="BE21" s="47">
        <f>_xll.qlPolynomialFunctionValue(BE$1,$BD21,AllTriggers)</f>
        <v>2.8015525855461568E-3</v>
      </c>
      <c r="BF21" s="47">
        <f>_xll.qlPolynomialFunctionValue(BF$1,$BD21,AllTriggers)</f>
        <v>2.7126627483625475E-3</v>
      </c>
      <c r="BG21" s="47">
        <f>_xll.qlPolynomialFunctionValue(BG$1,$BD21,AllTriggers)</f>
        <v>2.8793432981954964E-3</v>
      </c>
      <c r="BH21" s="47">
        <f>_xll.qlPolynomialFunctionValue(BH$1,$BD21,AllTriggers)</f>
        <v>2.913075763808979E-3</v>
      </c>
      <c r="BI21" s="47">
        <f>_xll.qlPolynomialFunctionValue(BI$1,$BD21,AllTriggers)</f>
        <v>2.7961918638976881E-3</v>
      </c>
      <c r="BJ21" s="47">
        <f>_xll.qlPolynomialFunctionValue(BJ$1,$BD21,AllTriggers)</f>
        <v>2.7078316730841526E-3</v>
      </c>
      <c r="BK21" s="47">
        <f>_xll.qlPolynomialFunctionValue(BK$1,$BD21,AllTriggers)</f>
        <v>2.8801505646779586E-3</v>
      </c>
      <c r="BL21" s="47">
        <f>_xll.qlPolynomialFunctionValue(BL$1,$BD21,AllTriggers)</f>
        <v>2.9157212766325455E-3</v>
      </c>
      <c r="BM21" s="47">
        <f>_xll.qlPolynomialFunctionValue(BM$1,$BD21,AllTriggers)</f>
        <v>2.8622977690902184E-3</v>
      </c>
      <c r="BN21" s="47">
        <f>_xll.qlPolynomialFunctionValue(BN$1,$BD21,AllTriggers)</f>
        <v>2.8159977146794196E-3</v>
      </c>
      <c r="BO21" s="47">
        <f>_xll.qlPolynomialFunctionValue(BO$1,$BD21,AllTriggers)</f>
        <v>2.8757849676876958E-3</v>
      </c>
      <c r="BP21" s="47">
        <f>_xll.qlPolynomialFunctionValue(BP$1,$BD21,AllTriggers)</f>
        <v>2.8486078165042661E-3</v>
      </c>
      <c r="BQ21" s="47">
        <f>_xll.qlPolynomialFunctionValue('12MSynthDepo_used'!$P$18,BD21,AllTriggers)</f>
        <v>2.770163411129099E-3</v>
      </c>
    </row>
    <row r="22" spans="1:69" ht="12" customHeight="1" x14ac:dyDescent="0.2">
      <c r="H22" s="21"/>
      <c r="I22" s="21"/>
      <c r="J22" s="21"/>
      <c r="L22" s="21"/>
      <c r="M22" s="21"/>
      <c r="N22" s="21"/>
      <c r="P22" s="21"/>
      <c r="Q22" s="21"/>
      <c r="R22" s="21"/>
      <c r="X22" s="21"/>
      <c r="Y22" s="21"/>
      <c r="Z22" s="21"/>
      <c r="AA22" s="21"/>
      <c r="AB22" s="21"/>
      <c r="AC22" s="21"/>
      <c r="AD22" s="95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103"/>
      <c r="AP22" s="95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103"/>
      <c r="BC22" s="178">
        <f>_xll.qlCalendarAdvance(Calendar,BC21,"1d","mf",,Trigger)</f>
        <v>42160</v>
      </c>
      <c r="BD22" s="41">
        <f>_xll.qlDayCounterYearFraction(DayCounter,SettlementDate,BC22,,,Trigger)</f>
        <v>6.1111111111111109E-2</v>
      </c>
      <c r="BE22" s="47">
        <f>_xll.qlPolynomialFunctionValue(BE$1,$BD22,AllTriggers)</f>
        <v>2.802413564921159E-3</v>
      </c>
      <c r="BF22" s="47">
        <f>_xll.qlPolynomialFunctionValue(BF$1,$BD22,AllTriggers)</f>
        <v>2.7150717369023108E-3</v>
      </c>
      <c r="BG22" s="47">
        <f>_xll.qlPolynomialFunctionValue(BG$1,$BD22,AllTriggers)</f>
        <v>2.8798053508389634E-3</v>
      </c>
      <c r="BH22" s="47">
        <f>_xll.qlPolynomialFunctionValue(BH$1,$BD22,AllTriggers)</f>
        <v>2.9131437995846155E-3</v>
      </c>
      <c r="BI22" s="47">
        <f>_xll.qlPolynomialFunctionValue(BI$1,$BD22,AllTriggers)</f>
        <v>2.7970814206456462E-3</v>
      </c>
      <c r="BJ22" s="47">
        <f>_xll.qlPolynomialFunctionValue(BJ$1,$BD22,AllTriggers)</f>
        <v>2.7103008194487702E-3</v>
      </c>
      <c r="BK22" s="47">
        <f>_xll.qlPolynomialFunctionValue(BK$1,$BD22,AllTriggers)</f>
        <v>2.8806073446177708E-3</v>
      </c>
      <c r="BL22" s="47">
        <f>_xll.qlPolynomialFunctionValue(BL$1,$BD22,AllTriggers)</f>
        <v>2.915762656346754E-3</v>
      </c>
      <c r="BM22" s="47">
        <f>_xll.qlPolynomialFunctionValue(BM$1,$BD22,AllTriggers)</f>
        <v>2.8628327517809522E-3</v>
      </c>
      <c r="BN22" s="47">
        <f>_xll.qlPolynomialFunctionValue(BN$1,$BD22,AllTriggers)</f>
        <v>2.8169572745102493E-3</v>
      </c>
      <c r="BO22" s="47">
        <f>_xll.qlPolynomialFunctionValue(BO$1,$BD22,AllTriggers)</f>
        <v>2.8762768745240449E-3</v>
      </c>
      <c r="BP22" s="47">
        <f>_xll.qlPolynomialFunctionValue(BP$1,$BD22,AllTriggers)</f>
        <v>2.8493221208927277E-3</v>
      </c>
      <c r="BQ22" s="47">
        <f>_xll.qlPolynomialFunctionValue('12MSynthDepo_used'!$P$18,BD22,AllTriggers)</f>
        <v>2.7718329986902513E-3</v>
      </c>
    </row>
    <row r="23" spans="1:69" ht="12" customHeight="1" x14ac:dyDescent="0.2">
      <c r="W23" s="21"/>
      <c r="X23" s="21"/>
      <c r="Y23" s="21"/>
      <c r="Z23" s="21"/>
      <c r="AA23" s="21"/>
      <c r="AB23" s="21"/>
      <c r="AC23" s="21"/>
      <c r="AD23" s="93"/>
      <c r="AE23" s="93"/>
      <c r="AF23" s="93"/>
      <c r="AG23" s="93"/>
      <c r="AH23" s="93"/>
      <c r="BC23" s="178">
        <f>_xll.qlCalendarAdvance(Calendar,BC22,"1d","mf",,Trigger)</f>
        <v>42163</v>
      </c>
      <c r="BD23" s="41">
        <f>_xll.qlDayCounterYearFraction(DayCounter,SettlementDate,BC23,,,Trigger)</f>
        <v>6.9444444444444448E-2</v>
      </c>
      <c r="BE23" s="47">
        <f>_xll.qlPolynomialFunctionValue(BE$1,$BD23,AllTriggers)</f>
        <v>2.8049965030461656E-3</v>
      </c>
      <c r="BF23" s="47">
        <f>_xll.qlPolynomialFunctionValue(BF$1,$BD23,AllTriggers)</f>
        <v>2.7222466686000965E-3</v>
      </c>
      <c r="BG23" s="47">
        <f>_xll.qlPolynomialFunctionValue(BG$1,$BD23,AllTriggers)</f>
        <v>2.8811915087693651E-3</v>
      </c>
      <c r="BH23" s="47">
        <f>_xll.qlPolynomialFunctionValue(BH$1,$BD23,AllTriggers)</f>
        <v>2.9133584374291511E-3</v>
      </c>
      <c r="BI23" s="47">
        <f>_xll.qlPolynomialFunctionValue(BI$1,$BD23,AllTriggers)</f>
        <v>2.79975009088952E-3</v>
      </c>
      <c r="BJ23" s="47">
        <f>_xll.qlPolynomialFunctionValue(BJ$1,$BD23,AllTriggers)</f>
        <v>2.7176544171201799E-3</v>
      </c>
      <c r="BK23" s="47">
        <f>_xll.qlPolynomialFunctionValue(BK$1,$BD23,AllTriggers)</f>
        <v>2.8819776844372078E-3</v>
      </c>
      <c r="BL23" s="47">
        <f>_xll.qlPolynomialFunctionValue(BL$1,$BD23,AllTriggers)</f>
        <v>2.9158979096377551E-3</v>
      </c>
      <c r="BM23" s="47">
        <f>_xll.qlPolynomialFunctionValue(BM$1,$BD23,AllTriggers)</f>
        <v>2.8644376998531534E-3</v>
      </c>
      <c r="BN23" s="47">
        <f>_xll.qlPolynomialFunctionValue(BN$1,$BD23,AllTriggers)</f>
        <v>2.8198270166766488E-3</v>
      </c>
      <c r="BO23" s="47">
        <f>_xll.qlPolynomialFunctionValue(BO$1,$BD23,AllTriggers)</f>
        <v>2.877752595033093E-3</v>
      </c>
      <c r="BP23" s="47">
        <f>_xll.qlPolynomialFunctionValue(BP$1,$BD23,AllTriggers)</f>
        <v>2.8514606543146048E-3</v>
      </c>
      <c r="BQ23" s="47">
        <f>_xll.qlPolynomialFunctionValue('12MSynthDepo_used'!$P$18,BD23,AllTriggers)</f>
        <v>2.7768022487797465E-3</v>
      </c>
    </row>
    <row r="24" spans="1:69" ht="12" customHeight="1" x14ac:dyDescent="0.2">
      <c r="A24" s="21"/>
      <c r="B24" s="55"/>
      <c r="C24" s="36" t="s">
        <v>62</v>
      </c>
      <c r="D24" s="51" t="s">
        <v>37</v>
      </c>
      <c r="F24" s="187" t="s">
        <v>90</v>
      </c>
      <c r="G24" s="188" t="b">
        <v>1</v>
      </c>
      <c r="H24" s="235"/>
      <c r="S24" s="236"/>
      <c r="T24" s="237"/>
      <c r="U24" s="188" t="b">
        <v>0</v>
      </c>
      <c r="V24" s="235"/>
      <c r="W24" s="236"/>
      <c r="X24" s="237"/>
      <c r="Y24" s="188" t="b">
        <v>1</v>
      </c>
      <c r="Z24" s="235"/>
      <c r="AA24" s="236"/>
      <c r="AB24" s="236"/>
      <c r="BC24" s="178">
        <f>_xll.qlCalendarAdvance(Calendar,BC23,"1d","mf",,Trigger)</f>
        <v>42164</v>
      </c>
      <c r="BD24" s="41">
        <f>_xll.qlDayCounterYearFraction(DayCounter,SettlementDate,BC24,,,Trigger)</f>
        <v>7.2222222222222215E-2</v>
      </c>
      <c r="BE24" s="47">
        <f>_xll.qlPolynomialFunctionValue(BE$1,$BD24,AllTriggers)</f>
        <v>2.8058574824211678E-3</v>
      </c>
      <c r="BF24" s="47">
        <f>_xll.qlPolynomialFunctionValue(BF$1,$BD24,AllTriggers)</f>
        <v>2.7246209678588569E-3</v>
      </c>
      <c r="BG24" s="47">
        <f>_xll.qlPolynomialFunctionValue(BG$1,$BD24,AllTriggers)</f>
        <v>2.8816535614128321E-3</v>
      </c>
      <c r="BH24" s="47">
        <f>_xll.qlPolynomialFunctionValue(BH$1,$BD24,AllTriggers)</f>
        <v>2.9134334935498715E-3</v>
      </c>
      <c r="BI24" s="47">
        <f>_xll.qlPolynomialFunctionValue(BI$1,$BD24,AllTriggers)</f>
        <v>2.8006396476374781E-3</v>
      </c>
      <c r="BJ24" s="47">
        <f>_xll.qlPolynomialFunctionValue(BJ$1,$BD24,AllTriggers)</f>
        <v>2.7200876692031689E-3</v>
      </c>
      <c r="BK24" s="47">
        <f>_xll.qlPolynomialFunctionValue(BK$1,$BD24,AllTriggers)</f>
        <v>2.88243446437702E-3</v>
      </c>
      <c r="BL24" s="47">
        <f>_xll.qlPolynomialFunctionValue(BL$1,$BD24,AllTriggers)</f>
        <v>2.9159466987842132E-3</v>
      </c>
      <c r="BM24" s="47">
        <f>_xll.qlPolynomialFunctionValue(BM$1,$BD24,AllTriggers)</f>
        <v>2.8649726825438872E-3</v>
      </c>
      <c r="BN24" s="47">
        <f>_xll.qlPolynomialFunctionValue(BN$1,$BD24,AllTriggers)</f>
        <v>2.8207806182900847E-3</v>
      </c>
      <c r="BO24" s="47">
        <f>_xll.qlPolynomialFunctionValue(BO$1,$BD24,AllTriggers)</f>
        <v>2.8782445018694426E-3</v>
      </c>
      <c r="BP24" s="47">
        <f>_xll.qlPolynomialFunctionValue(BP$1,$BD24,AllTriggers)</f>
        <v>2.8521720388740603E-3</v>
      </c>
      <c r="BQ24" s="47">
        <f>_xll.qlPolynomialFunctionValue('12MSynthDepo_used'!$P$18,BD24,AllTriggers)</f>
        <v>2.778445543661892E-3</v>
      </c>
    </row>
    <row r="25" spans="1:69" ht="12" customHeight="1" x14ac:dyDescent="0.2">
      <c r="A25" s="21"/>
      <c r="B25" s="55"/>
      <c r="C25" s="36" t="s">
        <v>53</v>
      </c>
      <c r="D25" s="51" t="str">
        <f>PROPER(Currency)&amp;IborType&amp;"1Y"</f>
        <v>Euribor1Y</v>
      </c>
      <c r="E25" s="23"/>
      <c r="F25" s="187" t="s">
        <v>91</v>
      </c>
      <c r="G25" s="89"/>
      <c r="H25" s="89"/>
      <c r="S25" s="89"/>
      <c r="T25" s="89"/>
      <c r="U25" s="89"/>
      <c r="V25" s="89"/>
      <c r="W25" s="89"/>
      <c r="X25" s="238"/>
      <c r="Y25" s="228" t="str">
        <f>_xll.qlPolynomialCalibration(,_xll.ohFilter($I$14:$I$20,$S$14:$S$20),_xll.ohFilter($H$14:$H$20,$S$14:$S$20),_xll.ohFilter($J$14:$J$20,$S$14:$S$20),G$28:G$29,,,,,Trigger)</f>
        <v>obj_00932#0050</v>
      </c>
      <c r="Z25" s="188" t="str">
        <f>_xll.qlPolynomialCalibration(,_xll.ohFilter($I$14:$I$20,$T$14:$T$20),_xll.ohFilter($H$14:$H$20,$T$14:$T$20),_xll.ohFilter($J$14:$J$20,$T$14:$T$20),H$28:H$30,,,,,Trigger)</f>
        <v>obj_00931#0041</v>
      </c>
      <c r="AA25" s="188" t="str">
        <f>_xll.qlPolynomialCalibration(,_xll.ohFilter($I$14:$I$20,$U$14:$U$20),_xll.ohFilter($H$14:$H$20,$U$14:$U$20),_xll.ohFilter($J$14:$J$20,$U$14:$U$20),S$28:S$29,,,,,Trigger)</f>
        <v>obj_00933#0041</v>
      </c>
      <c r="AB25" s="188" t="str">
        <f>_xll.qlPolynomialCalibration(,_xll.ohFilter($I$14:$I$20,$V$14:$V$20),_xll.ohFilter($H$14:$H$20,$V$14:$V$20),_xll.ohFilter($J$14:$J$20,$V$14:$V$20),T$28:T$30,,,,,Trigger)</f>
        <v>obj_00934#0036</v>
      </c>
      <c r="AC25" s="19" t="s">
        <v>70</v>
      </c>
      <c r="BC25" s="178">
        <f>_xll.qlCalendarAdvance(Calendar,BC24,"1d","mf",,Trigger)</f>
        <v>42165</v>
      </c>
      <c r="BD25" s="41">
        <f>_xll.qlDayCounterYearFraction(DayCounter,SettlementDate,BC25,,,Trigger)</f>
        <v>7.4999999999999997E-2</v>
      </c>
      <c r="BE25" s="47">
        <f>_xll.qlPolynomialFunctionValue(BE$1,$BD25,AllTriggers)</f>
        <v>2.8067184617961705E-3</v>
      </c>
      <c r="BF25" s="47">
        <f>_xll.qlPolynomialFunctionValue(BF$1,$BD25,AllTriggers)</f>
        <v>2.7269865947973661E-3</v>
      </c>
      <c r="BG25" s="47">
        <f>_xll.qlPolynomialFunctionValue(BG$1,$BD25,AllTriggers)</f>
        <v>2.8821156140562995E-3</v>
      </c>
      <c r="BH25" s="47">
        <f>_xll.qlPolynomialFunctionValue(BH$1,$BD25,AllTriggers)</f>
        <v>2.9135103047568628E-3</v>
      </c>
      <c r="BI25" s="47">
        <f>_xll.qlPolynomialFunctionValue(BI$1,$BD25,AllTriggers)</f>
        <v>2.8015292043854362E-3</v>
      </c>
      <c r="BJ25" s="47">
        <f>_xll.qlPolynomialFunctionValue(BJ$1,$BD25,AllTriggers)</f>
        <v>2.7225119477157509E-3</v>
      </c>
      <c r="BK25" s="47">
        <f>_xll.qlPolynomialFunctionValue(BK$1,$BD25,AllTriggers)</f>
        <v>2.8828912443168322E-3</v>
      </c>
      <c r="BL25" s="47">
        <f>_xll.qlPolynomialFunctionValue(BL$1,$BD25,AllTriggers)</f>
        <v>2.9159973402887343E-3</v>
      </c>
      <c r="BM25" s="47">
        <f>_xll.qlPolynomialFunctionValue(BM$1,$BD25,AllTriggers)</f>
        <v>2.8655076652346211E-3</v>
      </c>
      <c r="BN25" s="47">
        <f>_xll.qlPolynomialFunctionValue(BN$1,$BD25,AllTriggers)</f>
        <v>2.8217327303491726E-3</v>
      </c>
      <c r="BO25" s="47">
        <f>_xll.qlPolynomialFunctionValue(BO$1,$BD25,AllTriggers)</f>
        <v>2.8787364087057921E-3</v>
      </c>
      <c r="BP25" s="47">
        <f>_xll.qlPolynomialFunctionValue(BP$1,$BD25,AllTriggers)</f>
        <v>2.8528826934762649E-3</v>
      </c>
      <c r="BQ25" s="47">
        <f>_xll.qlPolynomialFunctionValue('12MSynthDepo_used'!$P$18,BD25,AllTriggers)</f>
        <v>2.7800823021620112E-3</v>
      </c>
    </row>
    <row r="26" spans="1:69" ht="12" customHeight="1" x14ac:dyDescent="0.2">
      <c r="A26" s="21"/>
      <c r="B26" s="55"/>
      <c r="C26" s="36" t="s">
        <v>113</v>
      </c>
      <c r="D26" s="51" t="str">
        <f>_xll.qlIborIndex(,,'12MSynthDepo_allScenario'!D24,2,Currency,Calendar,"mf",TRUE,DayCounter,Discounting,,Trigger)</f>
        <v>obj_0091f#0025</v>
      </c>
      <c r="E26" s="23"/>
      <c r="F26" s="187" t="s">
        <v>92</v>
      </c>
      <c r="G26" s="89"/>
      <c r="H26" s="89"/>
      <c r="S26" s="89"/>
      <c r="T26" s="89"/>
      <c r="U26" s="89"/>
      <c r="V26" s="89"/>
      <c r="W26" s="89"/>
      <c r="X26" s="238"/>
      <c r="Y26" s="239" t="b">
        <f>_xll.qlPolynomialCalibrationCompute(Y$25,AllTriggers)</f>
        <v>1</v>
      </c>
      <c r="Z26" s="188" t="b">
        <f>_xll.qlPolynomialCalibrationCompute(Z$25,AllTriggers)</f>
        <v>1</v>
      </c>
      <c r="AA26" s="188" t="b">
        <f>_xll.qlPolynomialCalibrationCompute(AA$25,AllTriggers)</f>
        <v>1</v>
      </c>
      <c r="AB26" s="188" t="b">
        <f>_xll.qlPolynomialCalibrationCompute(AB$25,AllTriggers)</f>
        <v>1</v>
      </c>
      <c r="AC26" s="19" t="s">
        <v>70</v>
      </c>
      <c r="BC26" s="178">
        <f>_xll.qlCalendarAdvance(Calendar,BC25,"1d","mf",,Trigger)</f>
        <v>42166</v>
      </c>
      <c r="BD26" s="41">
        <f>_xll.qlDayCounterYearFraction(DayCounter,SettlementDate,BC26,,,Trigger)</f>
        <v>7.7777777777777779E-2</v>
      </c>
      <c r="BE26" s="47">
        <f>_xll.qlPolynomialFunctionValue(BE$1,$BD26,AllTriggers)</f>
        <v>2.8075794411711727E-3</v>
      </c>
      <c r="BF26" s="47">
        <f>_xll.qlPolynomialFunctionValue(BF$1,$BD26,AllTriggers)</f>
        <v>2.7293435494156254E-3</v>
      </c>
      <c r="BG26" s="47">
        <f>_xll.qlPolynomialFunctionValue(BG$1,$BD26,AllTriggers)</f>
        <v>2.8825776666997665E-3</v>
      </c>
      <c r="BH26" s="47">
        <f>_xll.qlPolynomialFunctionValue(BH$1,$BD26,AllTriggers)</f>
        <v>2.9135888710501252E-3</v>
      </c>
      <c r="BI26" s="47">
        <f>_xll.qlPolynomialFunctionValue(BI$1,$BD26,AllTriggers)</f>
        <v>2.8024187611333943E-3</v>
      </c>
      <c r="BJ26" s="47">
        <f>_xll.qlPolynomialFunctionValue(BJ$1,$BD26,AllTriggers)</f>
        <v>2.7249272526579256E-3</v>
      </c>
      <c r="BK26" s="47">
        <f>_xll.qlPolynomialFunctionValue(BK$1,$BD26,AllTriggers)</f>
        <v>2.8833480242566444E-3</v>
      </c>
      <c r="BL26" s="47">
        <f>_xll.qlPolynomialFunctionValue(BL$1,$BD26,AllTriggers)</f>
        <v>2.9160498341513174E-3</v>
      </c>
      <c r="BM26" s="47">
        <f>_xll.qlPolynomialFunctionValue(BM$1,$BD26,AllTriggers)</f>
        <v>2.8660426479253549E-3</v>
      </c>
      <c r="BN26" s="47">
        <f>_xll.qlPolynomialFunctionValue(BN$1,$BD26,AllTriggers)</f>
        <v>2.8226833528539113E-3</v>
      </c>
      <c r="BO26" s="47">
        <f>_xll.qlPolynomialFunctionValue(BO$1,$BD26,AllTriggers)</f>
        <v>2.8792283155421416E-3</v>
      </c>
      <c r="BP26" s="47">
        <f>_xll.qlPolynomialFunctionValue(BP$1,$BD26,AllTriggers)</f>
        <v>2.8535926181212181E-3</v>
      </c>
      <c r="BQ26" s="47">
        <f>_xll.qlPolynomialFunctionValue('12MSynthDepo_used'!$P$18,BD26,AllTriggers)</f>
        <v>2.7817125389951953E-3</v>
      </c>
    </row>
    <row r="27" spans="1:69" ht="12" customHeight="1" x14ac:dyDescent="0.2">
      <c r="B27" s="22"/>
      <c r="C27" s="36" t="s">
        <v>114</v>
      </c>
      <c r="D27" s="51" t="s">
        <v>86</v>
      </c>
      <c r="E27" s="23"/>
      <c r="F27" s="187" t="s">
        <v>82</v>
      </c>
      <c r="G27" s="188" t="str">
        <f>_xll.qlPolynomialTenorBasis(,$D$25,Discounting,SettlementDate,IsSimple,G$28:G$31,,Trigger)</f>
        <v>obj_00923#0051</v>
      </c>
      <c r="H27" s="188" t="str">
        <f>_xll.qlPolynomialTenorBasis(,$D$25,Discounting,SettlementDate,IsSimple,H$28:H$31,,Trigger)</f>
        <v>obj_00927#0037</v>
      </c>
      <c r="S27" s="188" t="str">
        <f>_xll.qlPolynomialTenorBasis(,$D$25,Discounting,SettlementDate,IsSimple,S$28:S$31,,Trigger)</f>
        <v>obj_00925#0037</v>
      </c>
      <c r="T27" s="188" t="str">
        <f>_xll.qlPolynomialTenorBasis(,$D$25,Discounting,SettlementDate,IsSimple,T$28:T$31,,Trigger)</f>
        <v>obj_00929#0031</v>
      </c>
      <c r="U27" s="188" t="str">
        <f>_xll.qlPolynomialTenorBasis(,$D$25,Discounting,SettlementDate,$U$24,U$28:U$31,,Trigger)</f>
        <v>obj_0092f#0047</v>
      </c>
      <c r="V27" s="188" t="str">
        <f>_xll.qlPolynomialTenorBasis(,$D$25,Discounting,SettlementDate,$U$24,V$28:V$31,,Trigger)</f>
        <v>obj_0092d#0039</v>
      </c>
      <c r="W27" s="188" t="str">
        <f>_xll.qlPolynomialTenorBasis(,$D$25,Discounting,SettlementDate,$U$24,W$28:W$31,,Trigger)</f>
        <v>obj_0092b#0039</v>
      </c>
      <c r="X27" s="227" t="str">
        <f>_xll.qlPolynomialTenorBasis(,$D$25,Discounting,SettlementDate,$U$24,X$28:X$31,,Trigger)</f>
        <v>obj_0092c#0035</v>
      </c>
      <c r="Y27" s="228" t="str">
        <f>_xll.qlPolynomialTenorBasis(,$D$25,Discounting,SettlementDate,$Y$24,Y$28:Y$31,,Trigger)</f>
        <v>obj_0093b#0048</v>
      </c>
      <c r="Z27" s="188" t="str">
        <f>_xll.qlPolynomialTenorBasis(,$D$25,Discounting,SettlementDate,$Y$24,Z$28:Z$31,,Trigger)</f>
        <v>obj_00935#0040</v>
      </c>
      <c r="AA27" s="188" t="str">
        <f>_xll.qlPolynomialTenorBasis(,$D$25,Discounting,SettlementDate,$Y$24,AA$28:AA$31,,Trigger)</f>
        <v>obj_00939#0039</v>
      </c>
      <c r="AB27" s="188" t="str">
        <f>_xll.qlPolynomialTenorBasis(,$D$25,Discounting,SettlementDate,$Y$24,AB$28:AB$31,,Trigger)</f>
        <v>obj_00937#0036</v>
      </c>
      <c r="AC27" s="19" t="s">
        <v>70</v>
      </c>
      <c r="BC27" s="178">
        <f>_xll.qlCalendarAdvance(Calendar,BC26,"1d","mf",,Trigger)</f>
        <v>42167</v>
      </c>
      <c r="BD27" s="41">
        <f>_xll.qlDayCounterYearFraction(DayCounter,SettlementDate,BC27,,,Trigger)</f>
        <v>8.0555555555555561E-2</v>
      </c>
      <c r="BE27" s="47">
        <f>_xll.qlPolynomialFunctionValue(BE$1,$BD27,AllTriggers)</f>
        <v>2.8084404205461749E-3</v>
      </c>
      <c r="BF27" s="47">
        <f>_xll.qlPolynomialFunctionValue(BF$1,$BD27,AllTriggers)</f>
        <v>2.7316918317136334E-3</v>
      </c>
      <c r="BG27" s="47">
        <f>_xll.qlPolynomialFunctionValue(BG$1,$BD27,AllTriggers)</f>
        <v>2.8830397193432339E-3</v>
      </c>
      <c r="BH27" s="47">
        <f>_xll.qlPolynomialFunctionValue(BH$1,$BD27,AllTriggers)</f>
        <v>2.9136691924296584E-3</v>
      </c>
      <c r="BI27" s="47">
        <f>_xll.qlPolynomialFunctionValue(BI$1,$BD27,AllTriggers)</f>
        <v>2.8033083178813523E-3</v>
      </c>
      <c r="BJ27" s="47">
        <f>_xll.qlPolynomialFunctionValue(BJ$1,$BD27,AllTriggers)</f>
        <v>2.7273335840296933E-3</v>
      </c>
      <c r="BK27" s="47">
        <f>_xll.qlPolynomialFunctionValue(BK$1,$BD27,AllTriggers)</f>
        <v>2.8838048041964571E-3</v>
      </c>
      <c r="BL27" s="47">
        <f>_xll.qlPolynomialFunctionValue(BL$1,$BD27,AllTriggers)</f>
        <v>2.9161041803719636E-3</v>
      </c>
      <c r="BM27" s="47">
        <f>_xll.qlPolynomialFunctionValue(BM$1,$BD27,AllTriggers)</f>
        <v>2.8665776306160888E-3</v>
      </c>
      <c r="BN27" s="47">
        <f>_xll.qlPolynomialFunctionValue(BN$1,$BD27,AllTriggers)</f>
        <v>2.8236324858043017E-3</v>
      </c>
      <c r="BO27" s="47">
        <f>_xll.qlPolynomialFunctionValue(BO$1,$BD27,AllTriggers)</f>
        <v>2.8797202223784907E-3</v>
      </c>
      <c r="BP27" s="47">
        <f>_xll.qlPolynomialFunctionValue(BP$1,$BD27,AllTriggers)</f>
        <v>2.8543018128089196E-3</v>
      </c>
      <c r="BQ27" s="47">
        <f>_xll.qlPolynomialFunctionValue('12MSynthDepo_used'!$P$18,BD27,AllTriggers)</f>
        <v>2.7833362688765339E-3</v>
      </c>
    </row>
    <row r="28" spans="1:69" ht="12" customHeight="1" x14ac:dyDescent="0.2">
      <c r="C28" s="36" t="s">
        <v>115</v>
      </c>
      <c r="D28" s="51" t="s">
        <v>86</v>
      </c>
      <c r="E28" s="35"/>
      <c r="F28" s="133" t="s">
        <v>73</v>
      </c>
      <c r="G28" s="90">
        <f>AI6</f>
        <v>2.9418922236715246E-3</v>
      </c>
      <c r="H28" s="90">
        <f>AI16</f>
        <v>2.9418922236715246E-3</v>
      </c>
      <c r="S28" s="90">
        <f>AI10</f>
        <v>2.9546578790806471E-3</v>
      </c>
      <c r="T28" s="90">
        <f>AI21</f>
        <v>2.9572413660715006E-3</v>
      </c>
      <c r="U28" s="90">
        <f>AU6</f>
        <v>2.7775111721905707E-3</v>
      </c>
      <c r="V28" s="90">
        <f>AU16</f>
        <v>2.6539067046631483E-3</v>
      </c>
      <c r="W28" s="90">
        <f>AU10</f>
        <v>2.8705581859419012E-3</v>
      </c>
      <c r="X28" s="229">
        <f>AU21</f>
        <v>2.915280197346588E-3</v>
      </c>
      <c r="Y28" s="230">
        <f t="array" ref="Y28:Y29">_xll.qlPolynomialCalibrationCoefficients($Y$25,$Y$26)</f>
        <v>2.9494999476798274E-3</v>
      </c>
      <c r="Z28" s="90">
        <f t="array" ref="Z28:Z30">_xll.qlPolynomialCalibrationCoefficients($Z$25,$Z$26)</f>
        <v>2.9443343223704058E-3</v>
      </c>
      <c r="AA28" s="90">
        <f t="array" ref="AA28:AA29">_xll.qlPolynomialCalibrationCoefficients($AA$25,$AA$26)</f>
        <v>2.9559657820126483E-3</v>
      </c>
      <c r="AB28" s="90">
        <f t="array" ref="AB28:AB30">_xll.qlPolynomialCalibrationCoefficients($AB$25,$AB$26)</f>
        <v>2.9512829007816163E-3</v>
      </c>
      <c r="AC28" s="19" t="s">
        <v>70</v>
      </c>
      <c r="BC28" s="178">
        <f>_xll.qlCalendarAdvance(Calendar,BC27,"1d","mf",,Trigger)</f>
        <v>42170</v>
      </c>
      <c r="BD28" s="41">
        <f>_xll.qlDayCounterYearFraction(DayCounter,SettlementDate,BC28,,,Trigger)</f>
        <v>8.8888888888888892E-2</v>
      </c>
      <c r="BE28" s="47">
        <f>_xll.qlPolynomialFunctionValue(BE$1,$BD28,AllTriggers)</f>
        <v>2.8110233586711815E-3</v>
      </c>
      <c r="BF28" s="47">
        <f>_xll.qlPolynomialFunctionValue(BF$1,$BD28,AllTriggers)</f>
        <v>2.7386846446861533E-3</v>
      </c>
      <c r="BG28" s="47">
        <f>_xll.qlPolynomialFunctionValue(BG$1,$BD28,AllTriggers)</f>
        <v>2.8844258772736352E-3</v>
      </c>
      <c r="BH28" s="47">
        <f>_xll.qlPolynomialFunctionValue(BH$1,$BD28,AllTriggers)</f>
        <v>2.9139206870858838E-3</v>
      </c>
      <c r="BI28" s="47">
        <f>_xll.qlPolynomialFunctionValue(BI$1,$BD28,AllTriggers)</f>
        <v>2.8059769881252261E-3</v>
      </c>
      <c r="BJ28" s="47">
        <f>_xll.qlPolynomialFunctionValue(BJ$1,$BD28,AllTriggers)</f>
        <v>2.7344987367225542E-3</v>
      </c>
      <c r="BK28" s="47">
        <f>_xll.qlPolynomialFunctionValue(BK$1,$BD28,AllTriggers)</f>
        <v>2.8851751440158936E-3</v>
      </c>
      <c r="BL28" s="47">
        <f>_xll.qlPolynomialFunctionValue(BL$1,$BD28,AllTriggers)</f>
        <v>2.9162783331822752E-3</v>
      </c>
      <c r="BM28" s="47">
        <f>_xll.qlPolynomialFunctionValue(BM$1,$BD28,AllTriggers)</f>
        <v>2.8681825786882899E-3</v>
      </c>
      <c r="BN28" s="47">
        <f>_xll.qlPolynomialFunctionValue(BN$1,$BD28,AllTriggers)</f>
        <v>2.8264709473293818E-3</v>
      </c>
      <c r="BO28" s="47">
        <f>_xll.qlPolynomialFunctionValue(BO$1,$BD28,AllTriggers)</f>
        <v>2.8811959428875389E-3</v>
      </c>
      <c r="BP28" s="47">
        <f>_xll.qlPolynomialFunctionValue(BP$1,$BD28,AllTriggers)</f>
        <v>2.8564250171285157E-3</v>
      </c>
      <c r="BQ28" s="47">
        <f>_xll.qlPolynomialFunctionValue('12MSynthDepo_used'!$P$18,BD28,AllTriggers)</f>
        <v>2.7881685639603794E-3</v>
      </c>
    </row>
    <row r="29" spans="1:69" ht="12" customHeight="1" x14ac:dyDescent="0.2">
      <c r="E29" s="35"/>
      <c r="F29" s="133" t="s">
        <v>74</v>
      </c>
      <c r="G29" s="90">
        <f>AI5</f>
        <v>3.0995257500081308E-4</v>
      </c>
      <c r="H29" s="90">
        <f>AI15</f>
        <v>3.5990513964520663E-4</v>
      </c>
      <c r="S29" s="90">
        <f>AI9</f>
        <v>1.6633895164818585E-4</v>
      </c>
      <c r="T29" s="90">
        <f>AI20</f>
        <v>1.2716542608034662E-4</v>
      </c>
      <c r="U29" s="90">
        <f>AU5</f>
        <v>3.2024042926487306E-4</v>
      </c>
      <c r="V29" s="90">
        <f>AU15</f>
        <v>9.5834812621317655E-4</v>
      </c>
      <c r="W29" s="90">
        <f>AU9</f>
        <v>1.6444077833241422E-4</v>
      </c>
      <c r="X29" s="229">
        <f>AU20</f>
        <v>5.5944571181187897E-7</v>
      </c>
      <c r="Y29" s="230">
        <v>1.9259376866416711E-4</v>
      </c>
      <c r="Z29" s="90">
        <v>2.5830260970969774E-4</v>
      </c>
      <c r="AA29" s="90">
        <v>1.7708646108578578E-4</v>
      </c>
      <c r="AB29" s="90">
        <v>2.144470806358625E-4</v>
      </c>
      <c r="AC29" s="19" t="s">
        <v>70</v>
      </c>
      <c r="BC29" s="178">
        <f>_xll.qlCalendarAdvance(Calendar,BC28,"1d","mf",,Trigger)</f>
        <v>42171</v>
      </c>
      <c r="BD29" s="41">
        <f>_xll.qlDayCounterYearFraction(DayCounter,SettlementDate,BC29,,,Trigger)</f>
        <v>9.166666666666666E-2</v>
      </c>
      <c r="BE29" s="47">
        <f>_xll.qlPolynomialFunctionValue(BE$1,$BD29,AllTriggers)</f>
        <v>2.8118843380461837E-3</v>
      </c>
      <c r="BF29" s="47">
        <f>_xll.qlPolynomialFunctionValue(BF$1,$BD29,AllTriggers)</f>
        <v>2.7409982377031576E-3</v>
      </c>
      <c r="BG29" s="47">
        <f>_xll.qlPolynomialFunctionValue(BG$1,$BD29,AllTriggers)</f>
        <v>2.8848879299171026E-3</v>
      </c>
      <c r="BH29" s="47">
        <f>_xll.qlPolynomialFunctionValue(BH$1,$BD29,AllTriggers)</f>
        <v>2.9140080288105009E-3</v>
      </c>
      <c r="BI29" s="47">
        <f>_xll.qlPolynomialFunctionValue(BI$1,$BD29,AllTriggers)</f>
        <v>2.8068665448731842E-3</v>
      </c>
      <c r="BJ29" s="47">
        <f>_xll.qlPolynomialFunctionValue(BJ$1,$BD29,AllTriggers)</f>
        <v>2.7368691738126937E-3</v>
      </c>
      <c r="BK29" s="47">
        <f>_xll.qlPolynomialFunctionValue(BK$1,$BD29,AllTriggers)</f>
        <v>2.8856319239557058E-3</v>
      </c>
      <c r="BL29" s="47">
        <f>_xll.qlPolynomialFunctionValue(BL$1,$BD29,AllTriggers)</f>
        <v>2.9163400888351709E-3</v>
      </c>
      <c r="BM29" s="47">
        <f>_xll.qlPolynomialFunctionValue(BM$1,$BD29,AllTriggers)</f>
        <v>2.8687175613790238E-3</v>
      </c>
      <c r="BN29" s="47">
        <f>_xll.qlPolynomialFunctionValue(BN$1,$BD29,AllTriggers)</f>
        <v>2.8274141220623779E-3</v>
      </c>
      <c r="BO29" s="47">
        <f>_xll.qlPolynomialFunctionValue(BO$1,$BD29,AllTriggers)</f>
        <v>2.8816878497238884E-3</v>
      </c>
      <c r="BP29" s="47">
        <f>_xll.qlPolynomialFunctionValue(BP$1,$BD29,AllTriggers)</f>
        <v>2.8571312919872115E-3</v>
      </c>
      <c r="BQ29" s="47">
        <f>_xll.qlPolynomialFunctionValue('12MSynthDepo_used'!$P$18,BD29,AllTriggers)</f>
        <v>2.789766413185239E-3</v>
      </c>
    </row>
    <row r="30" spans="1:69" ht="12" customHeight="1" x14ac:dyDescent="0.2">
      <c r="F30" s="133" t="s">
        <v>75</v>
      </c>
      <c r="G30" s="89"/>
      <c r="H30" s="90">
        <f>AI14</f>
        <v>-5.6196635224942115E-4</v>
      </c>
      <c r="S30" s="89"/>
      <c r="T30" s="90">
        <f>AI19</f>
        <v>1.1372959035824484E-4</v>
      </c>
      <c r="U30" s="89"/>
      <c r="V30" s="90">
        <f>AU14</f>
        <v>-5.8148736237967347E-4</v>
      </c>
      <c r="W30" s="89"/>
      <c r="X30" s="229">
        <f>AU19</f>
        <v>1.2003280244628212E-4</v>
      </c>
      <c r="Y30" s="231"/>
      <c r="Z30" s="90">
        <v>-9.6523121784918193E-5</v>
      </c>
      <c r="AA30" s="89"/>
      <c r="AB30" s="90">
        <v>-4.7301229894590615E-5</v>
      </c>
      <c r="AC30" s="19" t="s">
        <v>70</v>
      </c>
      <c r="BC30" s="178">
        <f>_xll.qlCalendarAdvance(Calendar,BC29,"1d","mf",,Trigger)</f>
        <v>42172</v>
      </c>
      <c r="BD30" s="41">
        <f>_xll.qlDayCounterYearFraction(DayCounter,SettlementDate,BC30,,,Trigger)</f>
        <v>9.4444444444444442E-2</v>
      </c>
      <c r="BE30" s="47">
        <f>_xll.qlPolynomialFunctionValue(BE$1,$BD30,AllTriggers)</f>
        <v>2.8127453174211863E-3</v>
      </c>
      <c r="BF30" s="47">
        <f>_xll.qlPolynomialFunctionValue(BF$1,$BD30,AllTriggers)</f>
        <v>2.743303158399912E-3</v>
      </c>
      <c r="BG30" s="47">
        <f>_xll.qlPolynomialFunctionValue(BG$1,$BD30,AllTriggers)</f>
        <v>2.8853499825605695E-3</v>
      </c>
      <c r="BH30" s="47">
        <f>_xll.qlPolynomialFunctionValue(BH$1,$BD30,AllTriggers)</f>
        <v>2.9140971256213892E-3</v>
      </c>
      <c r="BI30" s="47">
        <f>_xll.qlPolynomialFunctionValue(BI$1,$BD30,AllTriggers)</f>
        <v>2.8077561016211419E-3</v>
      </c>
      <c r="BJ30" s="47">
        <f>_xll.qlPolynomialFunctionValue(BJ$1,$BD30,AllTriggers)</f>
        <v>2.739230637332426E-3</v>
      </c>
      <c r="BK30" s="47">
        <f>_xll.qlPolynomialFunctionValue(BK$1,$BD30,AllTriggers)</f>
        <v>2.886088703895518E-3</v>
      </c>
      <c r="BL30" s="47">
        <f>_xll.qlPolynomialFunctionValue(BL$1,$BD30,AllTriggers)</f>
        <v>2.9164036968461287E-3</v>
      </c>
      <c r="BM30" s="47">
        <f>_xll.qlPolynomialFunctionValue(BM$1,$BD30,AllTriggers)</f>
        <v>2.8692525440697576E-3</v>
      </c>
      <c r="BN30" s="47">
        <f>_xll.qlPolynomialFunctionValue(BN$1,$BD30,AllTriggers)</f>
        <v>2.828355807241026E-3</v>
      </c>
      <c r="BO30" s="47">
        <f>_xll.qlPolynomialFunctionValue(BO$1,$BD30,AllTriggers)</f>
        <v>2.882179756560238E-3</v>
      </c>
      <c r="BP30" s="47">
        <f>_xll.qlPolynomialFunctionValue(BP$1,$BD30,AllTriggers)</f>
        <v>2.8578368368886559E-3</v>
      </c>
      <c r="BQ30" s="47">
        <f>_xll.qlPolynomialFunctionValue('12MSynthDepo_used'!$P$18,BD30,AllTriggers)</f>
        <v>2.7913578290337045E-3</v>
      </c>
    </row>
    <row r="31" spans="1:69" ht="12" customHeight="1" thickBot="1" x14ac:dyDescent="0.25">
      <c r="F31" s="133" t="s">
        <v>76</v>
      </c>
      <c r="G31" s="89"/>
      <c r="H31" s="89"/>
      <c r="S31" s="89"/>
      <c r="T31" s="89"/>
      <c r="U31" s="89"/>
      <c r="V31" s="89"/>
      <c r="W31" s="89"/>
      <c r="X31" s="232"/>
      <c r="Y31" s="233"/>
      <c r="Z31" s="89"/>
      <c r="AA31" s="89"/>
      <c r="AB31" s="234"/>
      <c r="BC31" s="178">
        <f>_xll.qlCalendarAdvance(Calendar,BC30,"1d","mf",,Trigger)</f>
        <v>42173</v>
      </c>
      <c r="BD31" s="41">
        <f>_xll.qlDayCounterYearFraction(DayCounter,SettlementDate,BC31,,,Trigger)</f>
        <v>9.7222222222222224E-2</v>
      </c>
      <c r="BE31" s="47">
        <f>_xll.qlPolynomialFunctionValue(BE$1,$BD31,AllTriggers)</f>
        <v>2.8136062967961885E-3</v>
      </c>
      <c r="BF31" s="47">
        <f>_xll.qlPolynomialFunctionValue(BF$1,$BD31,AllTriggers)</f>
        <v>2.7455994067764155E-3</v>
      </c>
      <c r="BG31" s="47">
        <f>_xll.qlPolynomialFunctionValue(BG$1,$BD31,AllTriggers)</f>
        <v>2.8858120352040369E-3</v>
      </c>
      <c r="BH31" s="47">
        <f>_xll.qlPolynomialFunctionValue(BH$1,$BD31,AllTriggers)</f>
        <v>2.9141879775185483E-3</v>
      </c>
      <c r="BI31" s="47">
        <f>_xll.qlPolynomialFunctionValue(BI$1,$BD31,AllTriggers)</f>
        <v>2.8086456583690999E-3</v>
      </c>
      <c r="BJ31" s="47">
        <f>_xll.qlPolynomialFunctionValue(BJ$1,$BD31,AllTriggers)</f>
        <v>2.7415831272817512E-3</v>
      </c>
      <c r="BK31" s="47">
        <f>_xll.qlPolynomialFunctionValue(BK$1,$BD31,AllTriggers)</f>
        <v>2.8865454838353302E-3</v>
      </c>
      <c r="BL31" s="47">
        <f>_xll.qlPolynomialFunctionValue(BL$1,$BD31,AllTriggers)</f>
        <v>2.916469157215149E-3</v>
      </c>
      <c r="BM31" s="47">
        <f>_xll.qlPolynomialFunctionValue(BM$1,$BD31,AllTriggers)</f>
        <v>2.8697875267604915E-3</v>
      </c>
      <c r="BN31" s="47">
        <f>_xll.qlPolynomialFunctionValue(BN$1,$BD31,AllTriggers)</f>
        <v>2.8292960028653254E-3</v>
      </c>
      <c r="BO31" s="47">
        <f>_xll.qlPolynomialFunctionValue(BO$1,$BD31,AllTriggers)</f>
        <v>2.8826716633965875E-3</v>
      </c>
      <c r="BP31" s="47">
        <f>_xll.qlPolynomialFunctionValue(BP$1,$BD31,AllTriggers)</f>
        <v>2.8585416518328486E-3</v>
      </c>
      <c r="BQ31" s="47">
        <f>_xll.qlPolynomialFunctionValue('12MSynthDepo_used'!$P$18,BD31,AllTriggers)</f>
        <v>2.7929428262208665E-3</v>
      </c>
    </row>
    <row r="32" spans="1:69" ht="12" customHeight="1" x14ac:dyDescent="0.2">
      <c r="G32" s="147" t="s">
        <v>66</v>
      </c>
      <c r="H32" s="148"/>
      <c r="S32" s="148"/>
      <c r="T32" s="148"/>
      <c r="U32" s="148"/>
      <c r="V32" s="148"/>
      <c r="W32" s="148"/>
      <c r="X32" s="149"/>
      <c r="Y32" s="147" t="s">
        <v>67</v>
      </c>
      <c r="Z32" s="148"/>
      <c r="AA32" s="148"/>
      <c r="AB32" s="149"/>
      <c r="BC32" s="178">
        <f>_xll.qlCalendarAdvance(Calendar,BC31,"1d","mf",,Trigger)</f>
        <v>42174</v>
      </c>
      <c r="BD32" s="41">
        <f>_xll.qlDayCounterYearFraction(DayCounter,SettlementDate,BC32,,,Trigger)</f>
        <v>0.1</v>
      </c>
      <c r="BE32" s="47">
        <f>_xll.qlPolynomialFunctionValue(BE$1,$BD32,AllTriggers)</f>
        <v>2.8144672761711907E-3</v>
      </c>
      <c r="BF32" s="47">
        <f>_xll.qlPolynomialFunctionValue(BF$1,$BD32,AllTriggers)</f>
        <v>2.7478869828326687E-3</v>
      </c>
      <c r="BG32" s="47">
        <f>_xll.qlPolynomialFunctionValue(BG$1,$BD32,AllTriggers)</f>
        <v>2.8862740878475039E-3</v>
      </c>
      <c r="BH32" s="47">
        <f>_xll.qlPolynomialFunctionValue(BH$1,$BD32,AllTriggers)</f>
        <v>2.9142805845019781E-3</v>
      </c>
      <c r="BI32" s="47">
        <f>_xll.qlPolynomialFunctionValue(BI$1,$BD32,AllTriggers)</f>
        <v>2.809535215117058E-3</v>
      </c>
      <c r="BJ32" s="47">
        <f>_xll.qlPolynomialFunctionValue(BJ$1,$BD32,AllTriggers)</f>
        <v>2.7439266436606693E-3</v>
      </c>
      <c r="BK32" s="47">
        <f>_xll.qlPolynomialFunctionValue(BK$1,$BD32,AllTriggers)</f>
        <v>2.8870022637751428E-3</v>
      </c>
      <c r="BL32" s="47">
        <f>_xll.qlPolynomialFunctionValue(BL$1,$BD32,AllTriggers)</f>
        <v>2.9165364699422322E-3</v>
      </c>
      <c r="BM32" s="47">
        <f>_xll.qlPolynomialFunctionValue(BM$1,$BD32,AllTriggers)</f>
        <v>2.8703225094512254E-3</v>
      </c>
      <c r="BN32" s="47">
        <f>_xll.qlPolynomialFunctionValue(BN$1,$BD32,AllTriggers)</f>
        <v>2.830234708935276E-3</v>
      </c>
      <c r="BO32" s="47">
        <f>_xll.qlPolynomialFunctionValue(BO$1,$BD32,AllTriggers)</f>
        <v>2.8831635702329366E-3</v>
      </c>
      <c r="BP32" s="47">
        <f>_xll.qlPolynomialFunctionValue(BP$1,$BD32,AllTriggers)</f>
        <v>2.8592457368197899E-3</v>
      </c>
      <c r="BQ32" s="47">
        <f>_xll.qlPolynomialFunctionValue('12MSynthDepo_used'!$P$18,BD32,AllTriggers)</f>
        <v>2.7945214194618146E-3</v>
      </c>
    </row>
    <row r="33" spans="3:69" ht="12" customHeight="1" x14ac:dyDescent="0.2">
      <c r="G33" s="214" t="s">
        <v>106</v>
      </c>
      <c r="H33" s="215"/>
      <c r="S33" s="215"/>
      <c r="T33" s="216"/>
      <c r="U33" s="214" t="s">
        <v>107</v>
      </c>
      <c r="V33" s="215"/>
      <c r="W33" s="215"/>
      <c r="X33" s="216"/>
      <c r="Y33" s="214" t="s">
        <v>106</v>
      </c>
      <c r="Z33" s="215"/>
      <c r="AA33" s="215"/>
      <c r="AB33" s="216"/>
      <c r="BC33" s="178">
        <f>_xll.qlCalendarAdvance(Calendar,BC32,"1d","mf",,Trigger)</f>
        <v>42177</v>
      </c>
      <c r="BD33" s="41">
        <f>_xll.qlDayCounterYearFraction(DayCounter,SettlementDate,BC33,,,Trigger)</f>
        <v>0.10833333333333334</v>
      </c>
      <c r="BE33" s="47">
        <f>_xll.qlPolynomialFunctionValue(BE$1,$BD33,AllTriggers)</f>
        <v>2.8170502142961973E-3</v>
      </c>
      <c r="BF33" s="47">
        <f>_xll.qlPolynomialFunctionValue(BF$1,$BD33,AllTriggers)</f>
        <v>2.754697677079922E-3</v>
      </c>
      <c r="BG33" s="47">
        <f>_xll.qlPolynomialFunctionValue(BG$1,$BD33,AllTriggers)</f>
        <v>2.8876602457779056E-3</v>
      </c>
      <c r="BH33" s="47">
        <f>_xll.qlPolynomialFunctionValue(BH$1,$BD33,AllTriggers)</f>
        <v>2.9145689359698938E-3</v>
      </c>
      <c r="BI33" s="47">
        <f>_xll.qlPolynomialFunctionValue(BI$1,$BD33,AllTriggers)</f>
        <v>2.8122038853609318E-3</v>
      </c>
      <c r="BJ33" s="47">
        <f>_xll.qlPolynomialFunctionValue(BJ$1,$BD33,AllTriggers)</f>
        <v>2.750903351374981E-3</v>
      </c>
      <c r="BK33" s="47">
        <f>_xll.qlPolynomialFunctionValue(BK$1,$BD33,AllTriggers)</f>
        <v>2.8883726035945794E-3</v>
      </c>
      <c r="BL33" s="47">
        <f>_xll.qlPolynomialFunctionValue(BL$1,$BD33,AllTriggers)</f>
        <v>2.9167495222718553E-3</v>
      </c>
      <c r="BM33" s="47">
        <f>_xll.qlPolynomialFunctionValue(BM$1,$BD33,AllTriggers)</f>
        <v>2.8719274575234265E-3</v>
      </c>
      <c r="BN33" s="47">
        <f>_xll.qlPolynomialFunctionValue(BN$1,$BD33,AllTriggers)</f>
        <v>2.8330418898190367E-3</v>
      </c>
      <c r="BO33" s="47">
        <f>_xll.qlPolynomialFunctionValue(BO$1,$BD33,AllTriggers)</f>
        <v>2.8846392907419848E-3</v>
      </c>
      <c r="BP33" s="47">
        <f>_xll.qlPolynomialFunctionValue(BP$1,$BD33,AllTriggers)</f>
        <v>2.8613536120371055E-3</v>
      </c>
      <c r="BQ33" s="47">
        <f>_xll.qlPolynomialFunctionValue('12MSynthDepo_used'!$P$18,BD33,AllTriggers)</f>
        <v>2.7992189226582823E-3</v>
      </c>
    </row>
    <row r="34" spans="3:69" ht="12" customHeight="1" thickBot="1" x14ac:dyDescent="0.25">
      <c r="G34" s="134" t="str">
        <f>"with 0X"&amp;SUBSTITUTE($D$24,"M","")</f>
        <v>with 0X12</v>
      </c>
      <c r="H34" s="110"/>
      <c r="S34" s="109" t="str">
        <f>"without 0X"&amp;SUBSTITUTE($D$24,"M","")</f>
        <v>without 0X12</v>
      </c>
      <c r="T34" s="135"/>
      <c r="U34" s="134" t="str">
        <f>"with 0X"&amp;SUBSTITUTE($D$24,"M","")</f>
        <v>with 0X12</v>
      </c>
      <c r="V34" s="110"/>
      <c r="W34" s="109" t="str">
        <f>"without 0X"&amp;SUBSTITUTE($D$24,"M","")</f>
        <v>without 0X12</v>
      </c>
      <c r="X34" s="135"/>
      <c r="Y34" s="134" t="str">
        <f>"with 0X"&amp;SUBSTITUTE($D$24,"M","")</f>
        <v>with 0X12</v>
      </c>
      <c r="Z34" s="110"/>
      <c r="AA34" s="109" t="str">
        <f>"without 0X"&amp;SUBSTITUTE($D$24,"M","")</f>
        <v>without 0X12</v>
      </c>
      <c r="AB34" s="135"/>
      <c r="BC34" s="178">
        <f>_xll.qlCalendarAdvance(Calendar,BC33,"1d","mf",,Trigger)</f>
        <v>42178</v>
      </c>
      <c r="BD34" s="41">
        <f>_xll.qlDayCounterYearFraction(DayCounter,SettlementDate,BC34,,,Trigger)</f>
        <v>0.1111111111111111</v>
      </c>
      <c r="BE34" s="47">
        <f>_xll.qlPolynomialFunctionValue(BE$1,$BD34,AllTriggers)</f>
        <v>2.8179111936711995E-3</v>
      </c>
      <c r="BF34" s="47">
        <f>_xll.qlPolynomialFunctionValue(BF$1,$BD34,AllTriggers)</f>
        <v>2.7569505638551715E-3</v>
      </c>
      <c r="BG34" s="47">
        <f>_xll.qlPolynomialFunctionValue(BG$1,$BD34,AllTriggers)</f>
        <v>2.8881222984213726E-3</v>
      </c>
      <c r="BH34" s="47">
        <f>_xll.qlPolynomialFunctionValue(BH$1,$BD34,AllTriggers)</f>
        <v>2.9146685632984075E-3</v>
      </c>
      <c r="BI34" s="47">
        <f>_xll.qlPolynomialFunctionValue(BI$1,$BD34,AllTriggers)</f>
        <v>2.8130934421088899E-3</v>
      </c>
      <c r="BJ34" s="47">
        <f>_xll.qlPolynomialFunctionValue(BJ$1,$BD34,AllTriggers)</f>
        <v>2.753210973472271E-3</v>
      </c>
      <c r="BK34" s="47">
        <f>_xll.qlPolynomialFunctionValue(BK$1,$BD34,AllTriggers)</f>
        <v>2.8888293835343916E-3</v>
      </c>
      <c r="BL34" s="47">
        <f>_xll.qlPolynomialFunctionValue(BL$1,$BD34,AllTriggers)</f>
        <v>2.9168242444311877E-3</v>
      </c>
      <c r="BM34" s="47">
        <f>_xll.qlPolynomialFunctionValue(BM$1,$BD34,AllTriggers)</f>
        <v>2.8724624402141604E-3</v>
      </c>
      <c r="BN34" s="47">
        <f>_xll.qlPolynomialFunctionValue(BN$1,$BD34,AllTriggers)</f>
        <v>2.8339746376715934E-3</v>
      </c>
      <c r="BO34" s="47">
        <f>_xll.qlPolynomialFunctionValue(BO$1,$BD34,AllTriggers)</f>
        <v>2.8851311975783343E-3</v>
      </c>
      <c r="BP34" s="47">
        <f>_xll.qlPolynomialFunctionValue(BP$1,$BD34,AllTriggers)</f>
        <v>2.8620547771950407E-3</v>
      </c>
      <c r="BQ34" s="47">
        <f>_xll.qlPolynomialFunctionValue('12MSynthDepo_used'!$P$18,BD34,AllTriggers)</f>
        <v>2.8007720472652798E-3</v>
      </c>
    </row>
    <row r="35" spans="3:69" ht="12" customHeight="1" x14ac:dyDescent="0.2">
      <c r="D35" s="36" t="s">
        <v>49</v>
      </c>
      <c r="E35" s="36" t="s">
        <v>38</v>
      </c>
      <c r="F35" s="36" t="s">
        <v>39</v>
      </c>
      <c r="G35" s="136" t="str">
        <f>IF(COUNT(G$28:G$31)=2,"Linear","Quadratic")</f>
        <v>Linear</v>
      </c>
      <c r="H35" s="38" t="str">
        <f>IF(COUNT(H$28:H$31)=2,"Linear","Quadratic")</f>
        <v>Quadratic</v>
      </c>
      <c r="S35" s="38" t="str">
        <f>IF(COUNT(S$28:S$31)=2,"Linear","Quadratic")</f>
        <v>Linear</v>
      </c>
      <c r="T35" s="137" t="str">
        <f>IF(COUNT(T$28:T$31)=2,"Linear","Quadratic")</f>
        <v>Quadratic</v>
      </c>
      <c r="U35" s="136" t="str">
        <f>IF(COUNT(U$28:U$31)=2,"Linear","Quadratic")</f>
        <v>Linear</v>
      </c>
      <c r="V35" s="38" t="str">
        <f>IF(COUNT(V$28:V$31)=2,"Linear","Quadratic")</f>
        <v>Quadratic</v>
      </c>
      <c r="W35" s="38" t="str">
        <f>IF(COUNT(W$28:W$31)=2,"Linear","Quadratic")</f>
        <v>Linear</v>
      </c>
      <c r="X35" s="137" t="str">
        <f>IF(COUNT(X$28:X$31)=2,"Linear","Quadratic")</f>
        <v>Quadratic</v>
      </c>
      <c r="Y35" s="136" t="str">
        <f>IF(COUNT(Y$28:Y$31)=2,"Linear","Quadratic")</f>
        <v>Linear</v>
      </c>
      <c r="Z35" s="38" t="str">
        <f>IF(COUNT(Z$28:Z$31)=2,"Linear","Quadratic")</f>
        <v>Quadratic</v>
      </c>
      <c r="AA35" s="38" t="str">
        <f>IF(COUNT(AA$28:AA$31)=2,"Linear","Quadratic")</f>
        <v>Linear</v>
      </c>
      <c r="AB35" s="137" t="str">
        <f>IF(COUNT(AB$28:AB$31)=2,"Linear","Quadratic")</f>
        <v>Quadratic</v>
      </c>
      <c r="AC35" s="255" t="s">
        <v>105</v>
      </c>
      <c r="BC35" s="178">
        <f>_xll.qlCalendarAdvance(Calendar,BC34,"1d","mf",,Trigger)</f>
        <v>42179</v>
      </c>
      <c r="BD35" s="41">
        <f>_xll.qlDayCounterYearFraction(DayCounter,SettlementDate,BC35,,,Trigger)</f>
        <v>0.11388888888888889</v>
      </c>
      <c r="BE35" s="47">
        <f>_xll.qlPolynomialFunctionValue(BE$1,$BD35,AllTriggers)</f>
        <v>2.8187721730462017E-3</v>
      </c>
      <c r="BF35" s="47">
        <f>_xll.qlPolynomialFunctionValue(BF$1,$BD35,AllTriggers)</f>
        <v>2.7591947783101706E-3</v>
      </c>
      <c r="BG35" s="47">
        <f>_xll.qlPolynomialFunctionValue(BG$1,$BD35,AllTriggers)</f>
        <v>2.88858435106484E-3</v>
      </c>
      <c r="BH35" s="47">
        <f>_xll.qlPolynomialFunctionValue(BH$1,$BD35,AllTriggers)</f>
        <v>2.9147699457131924E-3</v>
      </c>
      <c r="BI35" s="47">
        <f>_xll.qlPolynomialFunctionValue(BI$1,$BD35,AllTriggers)</f>
        <v>2.813982998856848E-3</v>
      </c>
      <c r="BJ35" s="47">
        <f>_xll.qlPolynomialFunctionValue(BJ$1,$BD35,AllTriggers)</f>
        <v>2.7555096219991533E-3</v>
      </c>
      <c r="BK35" s="47">
        <f>_xll.qlPolynomialFunctionValue(BK$1,$BD35,AllTriggers)</f>
        <v>2.8892861634742038E-3</v>
      </c>
      <c r="BL35" s="47">
        <f>_xll.qlPolynomialFunctionValue(BL$1,$BD35,AllTriggers)</f>
        <v>2.9169008189485826E-3</v>
      </c>
      <c r="BM35" s="47">
        <f>_xll.qlPolynomialFunctionValue(BM$1,$BD35,AllTriggers)</f>
        <v>2.8729974229048942E-3</v>
      </c>
      <c r="BN35" s="47">
        <f>_xll.qlPolynomialFunctionValue(BN$1,$BD35,AllTriggers)</f>
        <v>2.8349058959698018E-3</v>
      </c>
      <c r="BO35" s="47">
        <f>_xll.qlPolynomialFunctionValue(BO$1,$BD35,AllTriggers)</f>
        <v>2.8856231044146839E-3</v>
      </c>
      <c r="BP35" s="47">
        <f>_xll.qlPolynomialFunctionValue(BP$1,$BD35,AllTriggers)</f>
        <v>2.8627552123957254E-3</v>
      </c>
      <c r="BQ35" s="47">
        <f>_xll.qlPolynomialFunctionValue('12MSynthDepo_used'!$P$18,BD35,AllTriggers)</f>
        <v>2.802318841501515E-3</v>
      </c>
    </row>
    <row r="36" spans="3:69" ht="12" customHeight="1" x14ac:dyDescent="0.2">
      <c r="C36" s="19">
        <v>0</v>
      </c>
      <c r="D36" s="45" t="s">
        <v>25</v>
      </c>
      <c r="E36" s="175">
        <f>_xll.qlCalendarAdvance(Calendar,SettlementDate,C36&amp;"M","mf",TRUE,Trigger)</f>
        <v>42138</v>
      </c>
      <c r="F36" s="245">
        <f>_xll.qlCalendarAdvance(Calendar,SettlementDate,D36,"Following",,Trigger)</f>
        <v>42139</v>
      </c>
      <c r="G36" s="253">
        <f>_xll.qlTenorBasisForwardRate2(G$27,$E36,$F36,InterestRatesTrigger)</f>
        <v>1.7557557938729929E-3</v>
      </c>
      <c r="H36" s="193">
        <f>_xll.qlTenorBasisForwardRate2(H$27,$E36,$F36,InterestRatesTrigger)</f>
        <v>1.6348865664461698E-3</v>
      </c>
      <c r="S36" s="193">
        <f>_xll.qlTenorBasisForwardRate2(S$27,$E36,$F36,InterestRatesTrigger)</f>
        <v>1.8405499693940897E-3</v>
      </c>
      <c r="T36" s="254">
        <f>_xll.qlTenorBasisForwardRate2(T$27,$E36,$F36,InterestRatesTrigger)</f>
        <v>1.8821717186412457E-3</v>
      </c>
      <c r="U36" s="253">
        <f>_xll.qlTenorBasisForwardRate2(U$27,$E36,$F36,InterestRatesTrigger)</f>
        <v>1.7498904741231058E-3</v>
      </c>
      <c r="V36" s="193">
        <f>_xll.qlTenorBasisForwardRate2(V$27,$E36,$F36,InterestRatesTrigger)</f>
        <v>1.6288393613095309E-3</v>
      </c>
      <c r="W36" s="193">
        <f>_xll.qlTenorBasisForwardRate2(W$27,$E36,$F36,InterestRatesTrigger)</f>
        <v>1.8414528274224296E-3</v>
      </c>
      <c r="X36" s="254">
        <f>_xll.qlTenorBasisForwardRate2(X$27,$E36,$F36,InterestRatesTrigger)</f>
        <v>1.8853413121888707E-3</v>
      </c>
      <c r="Y36" s="253">
        <f>_xll.qlTenorBasisForwardRate2(Y$27,$E36,$F36,InterestRatesTrigger)</f>
        <v>1.822262769399785E-3</v>
      </c>
      <c r="Z36" s="193">
        <f>_xll.qlTenorBasisForwardRate2(Z$27,$E36,$F36,InterestRatesTrigger)</f>
        <v>1.7676851863868137E-3</v>
      </c>
      <c r="AA36" s="193">
        <f>_xll.qlTenorBasisForwardRate2(AA$27,$E36,$F36,InterestRatesTrigger)</f>
        <v>1.8364365331624555E-3</v>
      </c>
      <c r="AB36" s="254">
        <f>_xll.qlTenorBasisForwardRate2(AB$27,$E36,$F36,InterestRatesTrigger)</f>
        <v>1.8049745211268231E-3</v>
      </c>
      <c r="AC36" s="254">
        <f>'12MSynthDepo_used'!AA15</f>
        <v>1.7069827783267044E-3</v>
      </c>
      <c r="BC36" s="178">
        <f>_xll.qlCalendarAdvance(Calendar,BC35,"1d","mf",,Trigger)</f>
        <v>42180</v>
      </c>
      <c r="BD36" s="41">
        <f>_xll.qlDayCounterYearFraction(DayCounter,SettlementDate,BC36,,,Trigger)</f>
        <v>0.11666666666666667</v>
      </c>
      <c r="BE36" s="47">
        <f>_xll.qlPolynomialFunctionValue(BE$1,$BD36,AllTriggers)</f>
        <v>2.8196331524212043E-3</v>
      </c>
      <c r="BF36" s="47">
        <f>_xll.qlPolynomialFunctionValue(BF$1,$BD36,AllTriggers)</f>
        <v>2.7614303204449189E-3</v>
      </c>
      <c r="BG36" s="47">
        <f>_xll.qlPolynomialFunctionValue(BG$1,$BD36,AllTriggers)</f>
        <v>2.889046403708307E-3</v>
      </c>
      <c r="BH36" s="47">
        <f>_xll.qlPolynomialFunctionValue(BH$1,$BD36,AllTriggers)</f>
        <v>2.9148730832142481E-3</v>
      </c>
      <c r="BI36" s="47">
        <f>_xll.qlPolynomialFunctionValue(BI$1,$BD36,AllTriggers)</f>
        <v>2.814872555604806E-3</v>
      </c>
      <c r="BJ36" s="47">
        <f>_xll.qlPolynomialFunctionValue(BJ$1,$BD36,AllTriggers)</f>
        <v>2.7577992969556289E-3</v>
      </c>
      <c r="BK36" s="47">
        <f>_xll.qlPolynomialFunctionValue(BK$1,$BD36,AllTriggers)</f>
        <v>2.8897429434140164E-3</v>
      </c>
      <c r="BL36" s="47">
        <f>_xll.qlPolynomialFunctionValue(BL$1,$BD36,AllTriggers)</f>
        <v>2.9169792458240405E-3</v>
      </c>
      <c r="BM36" s="47">
        <f>_xll.qlPolynomialFunctionValue(BM$1,$BD36,AllTriggers)</f>
        <v>2.8735324055956281E-3</v>
      </c>
      <c r="BN36" s="47">
        <f>_xll.qlPolynomialFunctionValue(BN$1,$BD36,AllTriggers)</f>
        <v>2.8358356647136609E-3</v>
      </c>
      <c r="BO36" s="47">
        <f>_xll.qlPolynomialFunctionValue(BO$1,$BD36,AllTriggers)</f>
        <v>2.886115011251033E-3</v>
      </c>
      <c r="BP36" s="47">
        <f>_xll.qlPolynomialFunctionValue(BP$1,$BD36,AllTriggers)</f>
        <v>2.8634549176391579E-3</v>
      </c>
      <c r="BQ36" s="47">
        <f>_xll.qlPolynomialFunctionValue('12MSynthDepo_used'!$P$18,BD36,AllTriggers)</f>
        <v>2.803859320082079E-3</v>
      </c>
    </row>
    <row r="37" spans="3:69" ht="12" customHeight="1" x14ac:dyDescent="0.2">
      <c r="C37" s="19">
        <v>0</v>
      </c>
      <c r="D37" s="48" t="s">
        <v>26</v>
      </c>
      <c r="E37" s="177">
        <f>_xll.qlCalendarAdvance(Calendar,SettlementDate,C37&amp;"M","mf",TRUE,Trigger)</f>
        <v>42138</v>
      </c>
      <c r="F37" s="246">
        <f>_xll.qlCalendarAdvance(Calendar,SettlementDate,D37,"Following",,Trigger)</f>
        <v>42145</v>
      </c>
      <c r="G37" s="138">
        <f>_xll.qlTenorBasisForwardRate2(G$27,$E37,$F37,InterestRatesTrigger)</f>
        <v>1.7582942262629939E-3</v>
      </c>
      <c r="H37" s="128">
        <f>_xll.qlTenorBasisForwardRate2(H$27,$E37,$F37,InterestRatesTrigger)</f>
        <v>1.6424169806469483E-3</v>
      </c>
      <c r="S37" s="128">
        <f>_xll.qlTenorBasisForwardRate2(S$27,$E37,$F37,InterestRatesTrigger)</f>
        <v>1.8419266892179462E-3</v>
      </c>
      <c r="T37" s="139">
        <f>_xll.qlTenorBasisForwardRate2(T$27,$E37,$F37,InterestRatesTrigger)</f>
        <v>1.8823031463899298E-3</v>
      </c>
      <c r="U37" s="138">
        <f>_xll.qlTenorBasisForwardRate2(U$27,$E37,$F37,InterestRatesTrigger)</f>
        <v>1.752512137135501E-3</v>
      </c>
      <c r="V37" s="128">
        <f>_xll.qlTenorBasisForwardRate2(V$27,$E37,$F37,InterestRatesTrigger)</f>
        <v>1.6365617687773082E-3</v>
      </c>
      <c r="W37" s="128">
        <f>_xll.qlTenorBasisForwardRate2(W$27,$E37,$F37,InterestRatesTrigger)</f>
        <v>1.8428141866991662E-3</v>
      </c>
      <c r="X37" s="139">
        <f>_xll.qlTenorBasisForwardRate2(X$27,$E37,$F37,InterestRatesTrigger)</f>
        <v>1.8853896874469556E-3</v>
      </c>
      <c r="Y37" s="138">
        <f>_xll.qlTenorBasisForwardRate2(Y$27,$E37,$F37,InterestRatesTrigger)</f>
        <v>1.8238517750125891E-3</v>
      </c>
      <c r="Z37" s="128">
        <f>_xll.qlTenorBasisForwardRate2(Z$27,$E37,$F37,InterestRatesTrigger)</f>
        <v>1.7705937054352766E-3</v>
      </c>
      <c r="AA37" s="128">
        <f>_xll.qlTenorBasisForwardRate2(AA$27,$E37,$F37,InterestRatesTrigger)</f>
        <v>1.8379002556199809E-3</v>
      </c>
      <c r="AB37" s="139">
        <f>_xll.qlTenorBasisForwardRate2(AB$27,$E37,$F37,InterestRatesTrigger)</f>
        <v>1.8071265489056593E-3</v>
      </c>
      <c r="AC37" s="139">
        <f>'12MSynthDepo_used'!AA16</f>
        <v>1.712251004639041E-3</v>
      </c>
      <c r="BC37" s="178">
        <f>_xll.qlCalendarAdvance(Calendar,BC36,"1d","mf",,Trigger)</f>
        <v>42181</v>
      </c>
      <c r="BD37" s="41">
        <f>_xll.qlDayCounterYearFraction(DayCounter,SettlementDate,BC37,,,Trigger)</f>
        <v>0.11944444444444445</v>
      </c>
      <c r="BE37" s="47">
        <f>_xll.qlPolynomialFunctionValue(BE$1,$BD37,AllTriggers)</f>
        <v>2.8204941317962065E-3</v>
      </c>
      <c r="BF37" s="47">
        <f>_xll.qlPolynomialFunctionValue(BF$1,$BD37,AllTriggers)</f>
        <v>2.7636571902594164E-3</v>
      </c>
      <c r="BG37" s="47">
        <f>_xll.qlPolynomialFunctionValue(BG$1,$BD37,AllTriggers)</f>
        <v>2.8895084563517743E-3</v>
      </c>
      <c r="BH37" s="47">
        <f>_xll.qlPolynomialFunctionValue(BH$1,$BD37,AllTriggers)</f>
        <v>2.914977975801575E-3</v>
      </c>
      <c r="BI37" s="47">
        <f>_xll.qlPolynomialFunctionValue(BI$1,$BD37,AllTriggers)</f>
        <v>2.8157621123527637E-3</v>
      </c>
      <c r="BJ37" s="47">
        <f>_xll.qlPolynomialFunctionValue(BJ$1,$BD37,AllTriggers)</f>
        <v>2.7600799983416974E-3</v>
      </c>
      <c r="BK37" s="47">
        <f>_xll.qlPolynomialFunctionValue(BK$1,$BD37,AllTriggers)</f>
        <v>2.8901997233538286E-3</v>
      </c>
      <c r="BL37" s="47">
        <f>_xll.qlPolynomialFunctionValue(BL$1,$BD37,AllTriggers)</f>
        <v>2.9170595250575604E-3</v>
      </c>
      <c r="BM37" s="47">
        <f>_xll.qlPolynomialFunctionValue(BM$1,$BD37,AllTriggers)</f>
        <v>2.8740673882863619E-3</v>
      </c>
      <c r="BN37" s="47">
        <f>_xll.qlPolynomialFunctionValue(BN$1,$BD37,AllTriggers)</f>
        <v>2.8367639439031717E-3</v>
      </c>
      <c r="BO37" s="47">
        <f>_xll.qlPolynomialFunctionValue(BO$1,$BD37,AllTriggers)</f>
        <v>2.8866069180873825E-3</v>
      </c>
      <c r="BP37" s="47">
        <f>_xll.qlPolynomialFunctionValue(BP$1,$BD37,AllTriggers)</f>
        <v>2.8641538929253386E-3</v>
      </c>
      <c r="BQ37" s="47">
        <f>_xll.qlPolynomialFunctionValue('12MSynthDepo_used'!$P$18,BD37,AllTriggers)</f>
        <v>2.8053934977220608E-3</v>
      </c>
    </row>
    <row r="38" spans="3:69" ht="12" customHeight="1" x14ac:dyDescent="0.2">
      <c r="C38" s="19">
        <v>0</v>
      </c>
      <c r="D38" s="48" t="s">
        <v>27</v>
      </c>
      <c r="E38" s="177">
        <f>_xll.qlCalendarAdvance(Calendar,SettlementDate,C38&amp;"M","mf",TRUE,Trigger)</f>
        <v>42138</v>
      </c>
      <c r="F38" s="246">
        <f>_xll.qlCalendarAdvance(Calendar,SettlementDate,D38,"Following",,Trigger)</f>
        <v>42152</v>
      </c>
      <c r="G38" s="138">
        <f>_xll.qlTenorBasisForwardRate2(G$27,$E38,$F38,InterestRatesTrigger)</f>
        <v>1.7512453179088386E-3</v>
      </c>
      <c r="H38" s="128">
        <f>_xll.qlTenorBasisForwardRate2(H$27,$E38,$F38,InterestRatesTrigger)</f>
        <v>1.6410662219192215E-3</v>
      </c>
      <c r="S38" s="128">
        <f>_xll.qlTenorBasisForwardRate2(S$27,$E38,$F38,InterestRatesTrigger)</f>
        <v>1.8335223359531938E-3</v>
      </c>
      <c r="T38" s="139">
        <f>_xll.qlTenorBasisForwardRate2(T$27,$E38,$F38,InterestRatesTrigger)</f>
        <v>1.8724713822899325E-3</v>
      </c>
      <c r="U38" s="138">
        <f>_xll.qlTenorBasisForwardRate2(U$27,$E38,$F38,InterestRatesTrigger)</f>
        <v>1.7455603389012911E-3</v>
      </c>
      <c r="V38" s="128">
        <f>_xll.qlTenorBasisForwardRate2(V$27,$E38,$F38,InterestRatesTrigger)</f>
        <v>1.635430631833198E-3</v>
      </c>
      <c r="W38" s="128">
        <f>_xll.qlTenorBasisForwardRate2(W$27,$E38,$F38,InterestRatesTrigger)</f>
        <v>1.8343919113363225E-3</v>
      </c>
      <c r="X38" s="139">
        <f>_xll.qlTenorBasisForwardRate2(X$27,$E38,$F38,InterestRatesTrigger)</f>
        <v>1.8754624366027325E-3</v>
      </c>
      <c r="Y38" s="138">
        <f>_xll.qlTenorBasisForwardRate2(Y$27,$E38,$F38,InterestRatesTrigger)</f>
        <v>1.8156951107999625E-3</v>
      </c>
      <c r="Z38" s="128">
        <f>_xll.qlTenorBasisForwardRate2(Z$27,$E38,$F38,InterestRatesTrigger)</f>
        <v>1.7639549114864142E-3</v>
      </c>
      <c r="AA38" s="128">
        <f>_xll.qlTenorBasisForwardRate2(AA$27,$E38,$F38,InterestRatesTrigger)</f>
        <v>1.8295974134062221E-3</v>
      </c>
      <c r="AB38" s="139">
        <f>_xll.qlTenorBasisForwardRate2(AB$27,$E38,$F38,InterestRatesTrigger)</f>
        <v>1.7996161689991042E-3</v>
      </c>
      <c r="AC38" s="139">
        <f>'12MSynthDepo_used'!AA17</f>
        <v>1.7082875361142311E-3</v>
      </c>
      <c r="BC38" s="178">
        <f>_xll.qlCalendarAdvance(Calendar,BC37,"1d","mf",,Trigger)</f>
        <v>42184</v>
      </c>
      <c r="BD38" s="41">
        <f>_xll.qlDayCounterYearFraction(DayCounter,SettlementDate,BC38,,,Trigger)</f>
        <v>0.12777777777777777</v>
      </c>
      <c r="BE38" s="47">
        <f>_xll.qlPolynomialFunctionValue(BE$1,$BD38,AllTriggers)</f>
        <v>2.8230770699212131E-3</v>
      </c>
      <c r="BF38" s="47">
        <f>_xll.qlPolynomialFunctionValue(BF$1,$BD38,AllTriggers)</f>
        <v>2.7702857657814035E-3</v>
      </c>
      <c r="BG38" s="47">
        <f>_xll.qlPolynomialFunctionValue(BG$1,$BD38,AllTriggers)</f>
        <v>2.8908946142821761E-3</v>
      </c>
      <c r="BH38" s="47">
        <f>_xll.qlPolynomialFunctionValue(BH$1,$BD38,AllTriggers)</f>
        <v>2.9153031840811806E-3</v>
      </c>
      <c r="BI38" s="47">
        <f>_xll.qlPolynomialFunctionValue(BI$1,$BD38,AllTriggers)</f>
        <v>2.8184307825966379E-3</v>
      </c>
      <c r="BJ38" s="47">
        <f>_xll.qlPolynomialFunctionValue(BJ$1,$BD38,AllTriggers)</f>
        <v>2.76686826107746E-3</v>
      </c>
      <c r="BK38" s="47">
        <f>_xll.qlPolynomialFunctionValue(BK$1,$BD38,AllTriggers)</f>
        <v>2.8915700631732652E-3</v>
      </c>
      <c r="BL38" s="47">
        <f>_xll.qlPolynomialFunctionValue(BL$1,$BD38,AllTriggers)</f>
        <v>2.9173114769064949E-3</v>
      </c>
      <c r="BM38" s="47">
        <f>_xll.qlPolynomialFunctionValue(BM$1,$BD38,AllTriggers)</f>
        <v>2.8756723363585631E-3</v>
      </c>
      <c r="BN38" s="47">
        <f>_xll.qlPolynomialFunctionValue(BN$1,$BD38,AllTriggers)</f>
        <v>2.8395398441456135E-3</v>
      </c>
      <c r="BO38" s="47">
        <f>_xll.qlPolynomialFunctionValue(BO$1,$BD38,AllTriggers)</f>
        <v>2.8880826385964307E-3</v>
      </c>
      <c r="BP38" s="47">
        <f>_xll.qlPolynomialFunctionValue(BP$1,$BD38,AllTriggers)</f>
        <v>2.8662464390403737E-3</v>
      </c>
      <c r="BQ38" s="47">
        <f>_xll.qlPolynomialFunctionValue('12MSynthDepo_used'!$P$18,BD38,AllTriggers)</f>
        <v>2.8099583721494206E-3</v>
      </c>
    </row>
    <row r="39" spans="3:69" x14ac:dyDescent="0.2">
      <c r="C39" s="19">
        <v>0</v>
      </c>
      <c r="D39" s="48" t="s">
        <v>28</v>
      </c>
      <c r="E39" s="177">
        <f>_xll.qlCalendarAdvance(Calendar,SettlementDate,C39&amp;"M","mf",TRUE,Trigger)</f>
        <v>42138</v>
      </c>
      <c r="F39" s="246">
        <f>_xll.qlCalendarAdvance(Calendar,SettlementDate,D39,"Following",,Trigger)</f>
        <v>42159</v>
      </c>
      <c r="G39" s="138">
        <f>_xll.qlTenorBasisForwardRate2(G$27,$E39,$F39,InterestRatesTrigger)</f>
        <v>1.8342099969080395E-3</v>
      </c>
      <c r="H39" s="128">
        <f>_xll.qlTenorBasisForwardRate2(H$27,$E39,$F39,InterestRatesTrigger)</f>
        <v>1.7295929743697614E-3</v>
      </c>
      <c r="S39" s="128">
        <f>_xll.qlTenorBasisForwardRate2(S$27,$E39,$F39,InterestRatesTrigger)</f>
        <v>1.9151318763225131E-3</v>
      </c>
      <c r="T39" s="139">
        <f>_xll.qlTenorBasisForwardRate2(T$27,$E39,$F39,InterestRatesTrigger)</f>
        <v>1.9526811006047901E-3</v>
      </c>
      <c r="U39" s="138">
        <f>_xll.qlTenorBasisForwardRate2(U$27,$E39,$F39,InterestRatesTrigger)</f>
        <v>1.828622106787898E-3</v>
      </c>
      <c r="V39" s="128">
        <f>_xll.qlTenorBasisForwardRate2(V$27,$E39,$F39,InterestRatesTrigger)</f>
        <v>1.7241722704840002E-3</v>
      </c>
      <c r="W39" s="128">
        <f>_xll.qlTenorBasisForwardRate2(W$27,$E39,$F39,InterestRatesTrigger)</f>
        <v>1.9159835325118937E-3</v>
      </c>
      <c r="X39" s="139">
        <f>_xll.qlTenorBasisForwardRate2(X$27,$E39,$F39,InterestRatesTrigger)</f>
        <v>1.9555781998928773E-3</v>
      </c>
      <c r="Y39" s="138">
        <f>_xll.qlTenorBasisForwardRate2(Y$27,$E39,$F39,InterestRatesTrigger)</f>
        <v>1.8975522711223952E-3</v>
      </c>
      <c r="Z39" s="128">
        <f>_xll.qlTenorBasisForwardRate2(Z$27,$E39,$F39,InterestRatesTrigger)</f>
        <v>1.8473064524699673E-3</v>
      </c>
      <c r="AA39" s="128">
        <f>_xll.qlTenorBasisForwardRate2(AA$27,$E39,$F39,InterestRatesTrigger)</f>
        <v>1.9113084532015481E-3</v>
      </c>
      <c r="AB39" s="139">
        <f>_xll.qlTenorBasisForwardRate2(AB$27,$E39,$F39,InterestRatesTrigger)</f>
        <v>1.8821081419849251E-3</v>
      </c>
      <c r="AC39" s="139">
        <f>'12MSynthDepo_used'!AA18</f>
        <v>1.7942316091915497E-3</v>
      </c>
      <c r="BC39" s="178">
        <f>_xll.qlCalendarAdvance(Calendar,BC38,"1d","mf",,Trigger)</f>
        <v>42185</v>
      </c>
      <c r="BD39" s="41">
        <f>_xll.qlDayCounterYearFraction(DayCounter,SettlementDate,BC39,,,Trigger)</f>
        <v>0.13055555555555556</v>
      </c>
      <c r="BE39" s="47">
        <f>_xll.qlPolynomialFunctionValue(BE$1,$BD39,AllTriggers)</f>
        <v>2.8239380492962153E-3</v>
      </c>
      <c r="BF39" s="47">
        <f>_xll.qlPolynomialFunctionValue(BF$1,$BD39,AllTriggers)</f>
        <v>2.7724779463148982E-3</v>
      </c>
      <c r="BG39" s="47">
        <f>_xll.qlPolynomialFunctionValue(BG$1,$BD39,AllTriggers)</f>
        <v>2.8913566669256431E-3</v>
      </c>
      <c r="BH39" s="47">
        <f>_xll.qlPolynomialFunctionValue(BH$1,$BD39,AllTriggers)</f>
        <v>2.9154150970135914E-3</v>
      </c>
      <c r="BI39" s="47">
        <f>_xll.qlPolynomialFunctionValue(BI$1,$BD39,AllTriggers)</f>
        <v>2.819320339344596E-3</v>
      </c>
      <c r="BJ39" s="47">
        <f>_xll.qlPolynomialFunctionValue(BJ$1,$BD39,AllTriggers)</f>
        <v>2.7691130681819004E-3</v>
      </c>
      <c r="BK39" s="47">
        <f>_xll.qlPolynomialFunctionValue(BK$1,$BD39,AllTriggers)</f>
        <v>2.8920268431130774E-3</v>
      </c>
      <c r="BL39" s="47">
        <f>_xll.qlPolynomialFunctionValue(BL$1,$BD39,AllTriggers)</f>
        <v>2.9173991655722644E-3</v>
      </c>
      <c r="BM39" s="47">
        <f>_xll.qlPolynomialFunctionValue(BM$1,$BD39,AllTriggers)</f>
        <v>2.8762073190492969E-3</v>
      </c>
      <c r="BN39" s="47">
        <f>_xll.qlPolynomialFunctionValue(BN$1,$BD39,AllTriggers)</f>
        <v>2.8404621651177304E-3</v>
      </c>
      <c r="BO39" s="47">
        <f>_xll.qlPolynomialFunctionValue(BO$1,$BD39,AllTriggers)</f>
        <v>2.8885745454327802E-3</v>
      </c>
      <c r="BP39" s="47">
        <f>_xll.qlPolynomialFunctionValue(BP$1,$BD39,AllTriggers)</f>
        <v>2.8669424944975492E-3</v>
      </c>
      <c r="BQ39" s="47">
        <f>_xll.qlPolynomialFunctionValue('12MSynthDepo_used'!$P$18,BD39,AllTriggers)</f>
        <v>2.8114674931779796E-3</v>
      </c>
    </row>
    <row r="40" spans="3:69" x14ac:dyDescent="0.2">
      <c r="C40" s="19">
        <v>0</v>
      </c>
      <c r="D40" s="129" t="s">
        <v>22</v>
      </c>
      <c r="E40" s="179">
        <f>_xll.qlCalendarAdvance(Calendar,SettlementDate,C40&amp;"M","mf",TRUE,Trigger)</f>
        <v>42138</v>
      </c>
      <c r="F40" s="247">
        <f>_xll.qlCalendarAdvance(Calendar,SettlementDate,D40,"mf",TRUE,Trigger)</f>
        <v>42170</v>
      </c>
      <c r="G40" s="140">
        <f>_xll.qlTenorBasisForwardRate2(G$27,$E40,$F40,InterestRatesTrigger)</f>
        <v>1.7666524953691143E-3</v>
      </c>
      <c r="H40" s="131">
        <f>_xll.qlTenorBasisForwardRate2(H$27,$E40,$F40,InterestRatesTrigger)</f>
        <v>1.6705031422872829E-3</v>
      </c>
      <c r="S40" s="131">
        <f>_xll.qlTenorBasisForwardRate2(S$27,$E40,$F40,InterestRatesTrigger)</f>
        <v>1.8454437769033216E-3</v>
      </c>
      <c r="T40" s="141">
        <f>_xll.qlTenorBasisForwardRate2(T$27,$E40,$F40,InterestRatesTrigger)</f>
        <v>1.8808482323556808E-3</v>
      </c>
      <c r="U40" s="140">
        <f>_xll.qlTenorBasisForwardRate2(U$27,$E40,$F40,InterestRatesTrigger)</f>
        <v>1.7612172489411826E-3</v>
      </c>
      <c r="V40" s="131">
        <f>_xll.qlTenorBasisForwardRate2(V$27,$E40,$F40,InterestRatesTrigger)</f>
        <v>1.6654106633387511E-3</v>
      </c>
      <c r="W40" s="131">
        <f>_xll.qlTenorBasisForwardRate2(W$27,$E40,$F40,InterestRatesTrigger)</f>
        <v>1.8462672622357457E-3</v>
      </c>
      <c r="X40" s="141">
        <f>_xll.qlTenorBasisForwardRate2(X$27,$E40,$F40,InterestRatesTrigger)</f>
        <v>1.8836007217346018E-3</v>
      </c>
      <c r="Y40" s="140">
        <f>_xll.qlTenorBasisForwardRate2(Y$27,$E40,$F40,InterestRatesTrigger)</f>
        <v>1.8282535211794348E-3</v>
      </c>
      <c r="Z40" s="131">
        <f>_xll.qlTenorBasisForwardRate2(Z$27,$E40,$F40,InterestRatesTrigger)</f>
        <v>1.780309616070952E-3</v>
      </c>
      <c r="AA40" s="131">
        <f>_xll.qlTenorBasisForwardRate2(AA$27,$E40,$F40,InterestRatesTrigger)</f>
        <v>1.8417799104181176E-3</v>
      </c>
      <c r="AB40" s="141">
        <f>_xll.qlTenorBasisForwardRate2(AB$27,$E40,$F40,InterestRatesTrigger)</f>
        <v>1.8137841023388446E-3</v>
      </c>
      <c r="AC40" s="141">
        <f>'12MSynthDepo_used'!AA19</f>
        <v>1.7311454575916208E-3</v>
      </c>
      <c r="BC40" s="178">
        <f>_xll.qlCalendarAdvance(Calendar,BC39,"1d","mf",,Trigger)</f>
        <v>42186</v>
      </c>
      <c r="BD40" s="41">
        <f>_xll.qlDayCounterYearFraction(DayCounter,SettlementDate,BC40,,,Trigger)</f>
        <v>0.13333333333333333</v>
      </c>
      <c r="BE40" s="47">
        <f>_xll.qlPolynomialFunctionValue(BE$1,$BD40,AllTriggers)</f>
        <v>2.8247990286712175E-3</v>
      </c>
      <c r="BF40" s="47">
        <f>_xll.qlPolynomialFunctionValue(BF$1,$BD40,AllTriggers)</f>
        <v>2.7746614545281416E-3</v>
      </c>
      <c r="BG40" s="47">
        <f>_xll.qlPolynomialFunctionValue(BG$1,$BD40,AllTriggers)</f>
        <v>2.8918187195691105E-3</v>
      </c>
      <c r="BH40" s="47">
        <f>_xll.qlPolynomialFunctionValue(BH$1,$BD40,AllTriggers)</f>
        <v>2.9155287650322725E-3</v>
      </c>
      <c r="BI40" s="47">
        <f>_xll.qlPolynomialFunctionValue(BI$1,$BD40,AllTriggers)</f>
        <v>2.8202098960925536E-3</v>
      </c>
      <c r="BJ40" s="47">
        <f>_xll.qlPolynomialFunctionValue(BJ$1,$BD40,AllTriggers)</f>
        <v>2.7713489017159331E-3</v>
      </c>
      <c r="BK40" s="47">
        <f>_xll.qlPolynomialFunctionValue(BK$1,$BD40,AllTriggers)</f>
        <v>2.8924836230528896E-3</v>
      </c>
      <c r="BL40" s="47">
        <f>_xll.qlPolynomialFunctionValue(BL$1,$BD40,AllTriggers)</f>
        <v>2.9174887065960965E-3</v>
      </c>
      <c r="BM40" s="47">
        <f>_xll.qlPolynomialFunctionValue(BM$1,$BD40,AllTriggers)</f>
        <v>2.8767423017400308E-3</v>
      </c>
      <c r="BN40" s="47">
        <f>_xll.qlPolynomialFunctionValue(BN$1,$BD40,AllTriggers)</f>
        <v>2.841382996535499E-3</v>
      </c>
      <c r="BO40" s="47">
        <f>_xll.qlPolynomialFunctionValue(BO$1,$BD40,AllTriggers)</f>
        <v>2.8890664522691297E-3</v>
      </c>
      <c r="BP40" s="47">
        <f>_xll.qlPolynomialFunctionValue(BP$1,$BD40,AllTriggers)</f>
        <v>2.8676378199974728E-3</v>
      </c>
      <c r="BQ40" s="47">
        <f>_xll.qlPolynomialFunctionValue('12MSynthDepo_used'!$P$18,BD40,AllTriggers)</f>
        <v>2.8129703868414084E-3</v>
      </c>
    </row>
    <row r="41" spans="3:69" x14ac:dyDescent="0.2">
      <c r="C41" s="19">
        <v>0</v>
      </c>
      <c r="D41" s="48" t="s">
        <v>29</v>
      </c>
      <c r="E41" s="177">
        <f>_xll.qlCalendarAdvance(Calendar,SettlementDate,C41&amp;"M","mf",TRUE,Trigger)</f>
        <v>42138</v>
      </c>
      <c r="F41" s="246">
        <f>_xll.qlCalendarAdvance(Calendar,SettlementDate,D41,"mf",TRUE,Trigger)</f>
        <v>42199</v>
      </c>
      <c r="G41" s="138">
        <f>_xll.qlTenorBasisForwardRate2(G$27,$E41,$F41,InterestRatesTrigger)</f>
        <v>1.7133740171566801E-3</v>
      </c>
      <c r="H41" s="128">
        <f>_xll.qlTenorBasisForwardRate2(H$27,$E41,$F41,InterestRatesTrigger)</f>
        <v>1.6379431611048603E-3</v>
      </c>
      <c r="S41" s="128">
        <f>_xll.qlTenorBasisForwardRate2(S$27,$E41,$F41,InterestRatesTrigger)</f>
        <v>1.7865472974179281E-3</v>
      </c>
      <c r="T41" s="139">
        <f>_xll.qlTenorBasisForwardRate2(T$27,$E41,$F41,InterestRatesTrigger)</f>
        <v>1.8166219509107582E-3</v>
      </c>
      <c r="U41" s="138">
        <f>_xll.qlTenorBasisForwardRate2(U$27,$E41,$F41,InterestRatesTrigger)</f>
        <v>1.7083412612698902E-3</v>
      </c>
      <c r="V41" s="128">
        <f>_xll.qlTenorBasisForwardRate2(V$27,$E41,$F41,InterestRatesTrigger)</f>
        <v>1.6336602405017709E-3</v>
      </c>
      <c r="W41" s="128">
        <f>_xll.qlTenorBasisForwardRate2(W$27,$E41,$F41,InterestRatesTrigger)</f>
        <v>1.7872965005240394E-3</v>
      </c>
      <c r="X41" s="139">
        <f>_xll.qlTenorBasisForwardRate2(X$27,$E41,$F41,InterestRatesTrigger)</f>
        <v>1.8190111714685485E-3</v>
      </c>
      <c r="Y41" s="138">
        <f>_xll.qlTenorBasisForwardRate2(Y$27,$E41,$F41,InterestRatesTrigger)</f>
        <v>1.7703836904443984E-3</v>
      </c>
      <c r="Z41" s="128">
        <f>_xll.qlTenorBasisForwardRate2(Z$27,$E41,$F41,InterestRatesTrigger)</f>
        <v>1.7282331587066613E-3</v>
      </c>
      <c r="AA41" s="128">
        <f>_xll.qlTenorBasisForwardRate2(AA$27,$E41,$F41,InterestRatesTrigger)</f>
        <v>1.7833041578249834E-3</v>
      </c>
      <c r="AB41" s="139">
        <f>_xll.qlTenorBasisForwardRate2(AB$27,$E41,$F41,InterestRatesTrigger)</f>
        <v>1.7583489884749955E-3</v>
      </c>
      <c r="AC41" s="139">
        <f>'12MSynthDepo_used'!AA20</f>
        <v>1.6884501010781382E-3</v>
      </c>
      <c r="BC41" s="178">
        <f>_xll.qlCalendarAdvance(Calendar,BC40,"1d","mf",,Trigger)</f>
        <v>42187</v>
      </c>
      <c r="BD41" s="41">
        <f>_xll.qlDayCounterYearFraction(DayCounter,SettlementDate,BC41,,,Trigger)</f>
        <v>0.1361111111111111</v>
      </c>
      <c r="BE41" s="47">
        <f>_xll.qlPolynomialFunctionValue(BE$1,$BD41,AllTriggers)</f>
        <v>2.8256600080462202E-3</v>
      </c>
      <c r="BF41" s="47">
        <f>_xll.qlPolynomialFunctionValue(BF$1,$BD41,AllTriggers)</f>
        <v>2.7768362904211346E-3</v>
      </c>
      <c r="BG41" s="47">
        <f>_xll.qlPolynomialFunctionValue(BG$1,$BD41,AllTriggers)</f>
        <v>2.8922807722125774E-3</v>
      </c>
      <c r="BH41" s="47">
        <f>_xll.qlPolynomialFunctionValue(BH$1,$BD41,AllTriggers)</f>
        <v>2.9156441881372252E-3</v>
      </c>
      <c r="BI41" s="47">
        <f>_xll.qlPolynomialFunctionValue(BI$1,$BD41,AllTriggers)</f>
        <v>2.8210994528405117E-3</v>
      </c>
      <c r="BJ41" s="47">
        <f>_xll.qlPolynomialFunctionValue(BJ$1,$BD41,AllTriggers)</f>
        <v>2.7735757616795592E-3</v>
      </c>
      <c r="BK41" s="47">
        <f>_xll.qlPolynomialFunctionValue(BK$1,$BD41,AllTriggers)</f>
        <v>2.8929404029927022E-3</v>
      </c>
      <c r="BL41" s="47">
        <f>_xll.qlPolynomialFunctionValue(BL$1,$BD41,AllTriggers)</f>
        <v>2.9175800999779915E-3</v>
      </c>
      <c r="BM41" s="47">
        <f>_xll.qlPolynomialFunctionValue(BM$1,$BD41,AllTriggers)</f>
        <v>2.8772772844307647E-3</v>
      </c>
      <c r="BN41" s="47">
        <f>_xll.qlPolynomialFunctionValue(BN$1,$BD41,AllTriggers)</f>
        <v>2.8423023383989188E-3</v>
      </c>
      <c r="BO41" s="47">
        <f>_xll.qlPolynomialFunctionValue(BO$1,$BD41,AllTriggers)</f>
        <v>2.8895583591054788E-3</v>
      </c>
      <c r="BP41" s="47">
        <f>_xll.qlPolynomialFunctionValue(BP$1,$BD41,AllTriggers)</f>
        <v>2.8683324155401452E-3</v>
      </c>
      <c r="BQ41" s="47">
        <f>_xll.qlPolynomialFunctionValue('12MSynthDepo_used'!$P$18,BD41,AllTriggers)</f>
        <v>2.8144670678547971E-3</v>
      </c>
    </row>
    <row r="42" spans="3:69" x14ac:dyDescent="0.2">
      <c r="C42" s="19">
        <v>0</v>
      </c>
      <c r="D42" s="48" t="s">
        <v>23</v>
      </c>
      <c r="E42" s="177">
        <f>_xll.qlCalendarAdvance(Calendar,SettlementDate,C42&amp;"M","mf",TRUE,Trigger)</f>
        <v>42138</v>
      </c>
      <c r="F42" s="246">
        <f>_xll.qlCalendarAdvance(Calendar,SettlementDate,D42,"mf",TRUE,Trigger)</f>
        <v>42230</v>
      </c>
      <c r="G42" s="138">
        <f>_xll.qlTenorBasisForwardRate2(G$27,$E42,$F42,InterestRatesTrigger)</f>
        <v>1.6695676209743662E-3</v>
      </c>
      <c r="H42" s="128">
        <f>_xll.qlTenorBasisForwardRate2(H$27,$E42,$F42,InterestRatesTrigger)</f>
        <v>1.613709857001894E-3</v>
      </c>
      <c r="S42" s="128">
        <f>_xll.qlTenorBasisForwardRate2(S$27,$E42,$F42,InterestRatesTrigger)</f>
        <v>1.7367333139434898E-3</v>
      </c>
      <c r="T42" s="139">
        <f>_xll.qlTenorBasisForwardRate2(T$27,$E42,$F42,InterestRatesTrigger)</f>
        <v>1.7616310175987803E-3</v>
      </c>
      <c r="U42" s="138">
        <f>_xll.qlTenorBasisForwardRate2(U$27,$E42,$F42,InterestRatesTrigger)</f>
        <v>1.6649652603070116E-3</v>
      </c>
      <c r="V42" s="128">
        <f>_xll.qlTenorBasisForwardRate2(V$27,$E42,$F42,InterestRatesTrigger)</f>
        <v>1.610202928725423E-3</v>
      </c>
      <c r="W42" s="128">
        <f>_xll.qlTenorBasisForwardRate2(W$27,$E42,$F42,InterestRatesTrigger)</f>
        <v>1.7374030843130901E-3</v>
      </c>
      <c r="X42" s="139">
        <f>_xll.qlTenorBasisForwardRate2(X$27,$E42,$F42,InterestRatesTrigger)</f>
        <v>1.7636607321899636E-3</v>
      </c>
      <c r="Y42" s="138">
        <f>_xll.qlTenorBasisForwardRate2(Y$27,$E42,$F42,InterestRatesTrigger)</f>
        <v>1.7216675792784627E-3</v>
      </c>
      <c r="Z42" s="128">
        <f>_xll.qlTenorBasisForwardRate2(Z$27,$E42,$F42,InterestRatesTrigger)</f>
        <v>1.6852687046171697E-3</v>
      </c>
      <c r="AA42" s="128">
        <f>_xll.qlTenorBasisForwardRate2(AA$27,$E42,$F42,InterestRatesTrigger)</f>
        <v>1.7339400657576955E-3</v>
      </c>
      <c r="AB42" s="139">
        <f>_xll.qlTenorBasisForwardRate2(AB$27,$E42,$F42,InterestRatesTrigger)</f>
        <v>1.7120190986683412E-3</v>
      </c>
      <c r="AC42" s="139">
        <f>'12MSynthDepo_used'!AA21</f>
        <v>1.6541008037847553E-3</v>
      </c>
      <c r="BC42" s="178">
        <f>_xll.qlCalendarAdvance(Calendar,BC41,"1d","mf",,Trigger)</f>
        <v>42188</v>
      </c>
      <c r="BD42" s="41">
        <f>_xll.qlDayCounterYearFraction(DayCounter,SettlementDate,BC42,,,Trigger)</f>
        <v>0.1388888888888889</v>
      </c>
      <c r="BE42" s="47">
        <f>_xll.qlPolynomialFunctionValue(BE$1,$BD42,AllTriggers)</f>
        <v>2.8265209874212224E-3</v>
      </c>
      <c r="BF42" s="47">
        <f>_xll.qlPolynomialFunctionValue(BF$1,$BD42,AllTriggers)</f>
        <v>2.7790024539938764E-3</v>
      </c>
      <c r="BG42" s="47">
        <f>_xll.qlPolynomialFunctionValue(BG$1,$BD42,AllTriggers)</f>
        <v>2.8927428248560448E-3</v>
      </c>
      <c r="BH42" s="47">
        <f>_xll.qlPolynomialFunctionValue(BH$1,$BD42,AllTriggers)</f>
        <v>2.9157613663284487E-3</v>
      </c>
      <c r="BI42" s="47">
        <f>_xll.qlPolynomialFunctionValue(BI$1,$BD42,AllTriggers)</f>
        <v>2.8219890095884698E-3</v>
      </c>
      <c r="BJ42" s="47">
        <f>_xll.qlPolynomialFunctionValue(BJ$1,$BD42,AllTriggers)</f>
        <v>2.7757936480727777E-3</v>
      </c>
      <c r="BK42" s="47">
        <f>_xll.qlPolynomialFunctionValue(BK$1,$BD42,AllTriggers)</f>
        <v>2.8933971829325144E-3</v>
      </c>
      <c r="BL42" s="47">
        <f>_xll.qlPolynomialFunctionValue(BL$1,$BD42,AllTriggers)</f>
        <v>2.9176733457179486E-3</v>
      </c>
      <c r="BM42" s="47">
        <f>_xll.qlPolynomialFunctionValue(BM$1,$BD42,AllTriggers)</f>
        <v>2.8778122671214985E-3</v>
      </c>
      <c r="BN42" s="47">
        <f>_xll.qlPolynomialFunctionValue(BN$1,$BD42,AllTriggers)</f>
        <v>2.8432201907079898E-3</v>
      </c>
      <c r="BO42" s="47">
        <f>_xll.qlPolynomialFunctionValue(BO$1,$BD42,AllTriggers)</f>
        <v>2.8900502659418284E-3</v>
      </c>
      <c r="BP42" s="47">
        <f>_xll.qlPolynomialFunctionValue(BP$1,$BD42,AllTriggers)</f>
        <v>2.8690262811255662E-3</v>
      </c>
      <c r="BQ42" s="47">
        <f>_xll.qlPolynomialFunctionValue('12MSynthDepo_used'!$P$18,BD42,AllTriggers)</f>
        <v>2.8159575509332365E-3</v>
      </c>
    </row>
    <row r="43" spans="3:69" ht="11.25" customHeight="1" x14ac:dyDescent="0.2">
      <c r="C43" s="19">
        <v>0</v>
      </c>
      <c r="D43" s="48" t="s">
        <v>30</v>
      </c>
      <c r="E43" s="177">
        <f>_xll.qlCalendarAdvance(Calendar,SettlementDate,C43&amp;"M","mf",TRUE,Trigger)</f>
        <v>42138</v>
      </c>
      <c r="F43" s="271">
        <f>_xll.qlCalendarAdvance(Calendar,SettlementDate,D43,"mf",TRUE,Trigger)</f>
        <v>42261</v>
      </c>
      <c r="G43" s="138">
        <f>_xll.qlTenorBasisForwardRate2(G$27,$E43,$F43,InterestRatesTrigger)</f>
        <v>1.6488781967207114E-3</v>
      </c>
      <c r="H43" s="128">
        <f>_xll.qlTenorBasisForwardRate2(H$27,$E43,$F43,InterestRatesTrigger)</f>
        <v>1.6099318679395379E-3</v>
      </c>
      <c r="S43" s="128">
        <f>_xll.qlTenorBasisForwardRate2(S$27,$E43,$F43,InterestRatesTrigger)</f>
        <v>1.7100346234551842E-3</v>
      </c>
      <c r="T43" s="139">
        <f>_xll.qlTenorBasisForwardRate2(T$27,$E43,$F43,InterestRatesTrigger)</f>
        <v>1.7302936288032811E-3</v>
      </c>
      <c r="U43" s="138">
        <f>_xll.qlTenorBasisForwardRate2(U$27,$E43,$F43,InterestRatesTrigger)</f>
        <v>1.6447063470042963E-3</v>
      </c>
      <c r="V43" s="128">
        <f>_xll.qlTenorBasisForwardRate2(V$27,$E43,$F43,InterestRatesTrigger)</f>
        <v>1.6071084937364886E-3</v>
      </c>
      <c r="W43" s="128">
        <f>_xll.qlTenorBasisForwardRate2(W$27,$E43,$F43,InterestRatesTrigger)</f>
        <v>1.7106249382402058E-3</v>
      </c>
      <c r="X43" s="139">
        <f>_xll.qlTenorBasisForwardRate2(X$27,$E43,$F43,InterestRatesTrigger)</f>
        <v>1.7319936466215064E-3</v>
      </c>
      <c r="Y43" s="138">
        <f>_xll.qlTenorBasisForwardRate2(Y$27,$E43,$F43,InterestRatesTrigger)</f>
        <v>1.6960670784152622E-3</v>
      </c>
      <c r="Z43" s="128">
        <f>_xll.qlTenorBasisForwardRate2(Z$27,$E43,$F43,InterestRatesTrigger)</f>
        <v>1.6649633869950853E-3</v>
      </c>
      <c r="AA43" s="128">
        <f>_xll.qlTenorBasisForwardRate2(AA$27,$E43,$F43,InterestRatesTrigger)</f>
        <v>1.7076913951485104E-3</v>
      </c>
      <c r="AB43" s="139">
        <f>_xll.qlTenorBasisForwardRate2(AB$27,$E43,$F43,InterestRatesTrigger)</f>
        <v>1.6885810078628655E-3</v>
      </c>
      <c r="AC43" s="139">
        <f>'12MSynthDepo_used'!AA22</f>
        <v>1.6410512849373031E-3</v>
      </c>
      <c r="BC43" s="178">
        <f>_xll.qlCalendarAdvance(Calendar,BC42,"1d","mf",,Trigger)</f>
        <v>42191</v>
      </c>
      <c r="BD43" s="41">
        <f>_xll.qlDayCounterYearFraction(DayCounter,SettlementDate,BC43,,,Trigger)</f>
        <v>0.14722222222222223</v>
      </c>
      <c r="BE43" s="47">
        <f>_xll.qlPolynomialFunctionValue(BE$1,$BD43,AllTriggers)</f>
        <v>2.829103925546229E-3</v>
      </c>
      <c r="BF43" s="47">
        <f>_xll.qlPolynomialFunctionValue(BF$1,$BD43,AllTriggers)</f>
        <v>2.7854489107905982E-3</v>
      </c>
      <c r="BG43" s="47">
        <f>_xll.qlPolynomialFunctionValue(BG$1,$BD43,AllTriggers)</f>
        <v>2.8941289827864461E-3</v>
      </c>
      <c r="BH43" s="47">
        <f>_xll.qlPolynomialFunctionValue(BH$1,$BD43,AllTriggers)</f>
        <v>2.9161234314197446E-3</v>
      </c>
      <c r="BI43" s="47">
        <f>_xll.qlPolynomialFunctionValue(BI$1,$BD43,AllTriggers)</f>
        <v>2.8246576798323436E-3</v>
      </c>
      <c r="BJ43" s="47">
        <f>_xll.qlPolynomialFunctionValue(BJ$1,$BD43,AllTriggers)</f>
        <v>2.7823934658299915E-3</v>
      </c>
      <c r="BK43" s="47">
        <f>_xll.qlPolynomialFunctionValue(BK$1,$BD43,AllTriggers)</f>
        <v>2.894767522751951E-3</v>
      </c>
      <c r="BL43" s="47">
        <f>_xll.qlPolynomialFunctionValue(BL$1,$BD43,AllTriggers)</f>
        <v>2.917964197086194E-3</v>
      </c>
      <c r="BM43" s="47">
        <f>_xll.qlPolynomialFunctionValue(BM$1,$BD43,AllTriggers)</f>
        <v>2.8794172151937001E-3</v>
      </c>
      <c r="BN43" s="47">
        <f>_xll.qlPolynomialFunctionValue(BN$1,$BD43,AllTriggers)</f>
        <v>2.8459648103091126E-3</v>
      </c>
      <c r="BO43" s="47">
        <f>_xll.qlPolynomialFunctionValue(BO$1,$BD43,AllTriggers)</f>
        <v>2.8915259864508765E-3</v>
      </c>
      <c r="BP43" s="47">
        <f>_xll.qlPolynomialFunctionValue(BP$1,$BD43,AllTriggers)</f>
        <v>2.8711034981383204E-3</v>
      </c>
      <c r="BQ43" s="47">
        <f>_xll.qlPolynomialFunctionValue('12MSynthDepo_used'!$P$18,BD43,AllTriggers)</f>
        <v>2.8203919597097602E-3</v>
      </c>
    </row>
    <row r="44" spans="3:69" x14ac:dyDescent="0.2">
      <c r="C44" s="19">
        <v>0</v>
      </c>
      <c r="D44" s="48" t="s">
        <v>31</v>
      </c>
      <c r="E44" s="177">
        <f>_xll.qlCalendarAdvance(Calendar,SettlementDate,C44&amp;"M","mf",TRUE,Trigger)</f>
        <v>42138</v>
      </c>
      <c r="F44" s="271">
        <f>_xll.qlCalendarAdvance(Calendar,SettlementDate,D44,"mf",TRUE,Trigger)</f>
        <v>42291</v>
      </c>
      <c r="G44" s="138">
        <f>_xll.qlTenorBasisForwardRate2(G$27,$E44,$F44,InterestRatesTrigger)</f>
        <v>1.6706486809336951E-3</v>
      </c>
      <c r="H44" s="128">
        <f>_xll.qlTenorBasisForwardRate2(H$27,$E44,$F44,InterestRatesTrigger)</f>
        <v>1.6455327039387915E-3</v>
      </c>
      <c r="S44" s="128">
        <f>_xll.qlTenorBasisForwardRate2(S$27,$E44,$F44,InterestRatesTrigger)</f>
        <v>1.7259888689213909E-3</v>
      </c>
      <c r="T44" s="139">
        <f>_xll.qlTenorBasisForwardRate2(T$27,$E44,$F44,InterestRatesTrigger)</f>
        <v>1.7422717559966619E-3</v>
      </c>
      <c r="U44" s="138">
        <f>_xll.qlTenorBasisForwardRate2(U$27,$E44,$F44,InterestRatesTrigger)</f>
        <v>1.6668935127316833E-3</v>
      </c>
      <c r="V44" s="128">
        <f>_xll.qlTenorBasisForwardRate2(V$27,$E44,$F44,InterestRatesTrigger)</f>
        <v>1.6432827596206156E-3</v>
      </c>
      <c r="W44" s="128">
        <f>_xll.qlTenorBasisForwardRate2(W$27,$E44,$F44,InterestRatesTrigger)</f>
        <v>1.7265022768059629E-3</v>
      </c>
      <c r="X44" s="139">
        <f>_xll.qlTenorBasisForwardRate2(X$27,$E44,$F44,InterestRatesTrigger)</f>
        <v>1.7436811279287626E-3</v>
      </c>
      <c r="Y44" s="138">
        <f>_xll.qlTenorBasisForwardRate2(Y$27,$E44,$F44,InterestRatesTrigger)</f>
        <v>1.7130842073906525E-3</v>
      </c>
      <c r="Z44" s="128">
        <f>_xll.qlTenorBasisForwardRate2(Z$27,$E44,$F44,InterestRatesTrigger)</f>
        <v>1.686669713305294E-3</v>
      </c>
      <c r="AA44" s="128">
        <f>_xll.qlTenorBasisForwardRate2(AA$27,$E44,$F44,InterestRatesTrigger)</f>
        <v>1.7240812384818958E-3</v>
      </c>
      <c r="AB44" s="139">
        <f>_xll.qlTenorBasisForwardRate2(AB$27,$E44,$F44,InterestRatesTrigger)</f>
        <v>1.7074775247023369E-3</v>
      </c>
      <c r="AC44" s="139">
        <f>'12MSynthDepo_used'!AA23</f>
        <v>1.6685820532166338E-3</v>
      </c>
      <c r="BC44" s="178">
        <f>_xll.qlCalendarAdvance(Calendar,BC43,"1d","mf",,Trigger)</f>
        <v>42192</v>
      </c>
      <c r="BD44" s="41">
        <f>_xll.qlDayCounterYearFraction(DayCounter,SettlementDate,BC44,,,Trigger)</f>
        <v>0.15</v>
      </c>
      <c r="BE44" s="47">
        <f>_xll.qlPolynomialFunctionValue(BE$1,$BD44,AllTriggers)</f>
        <v>2.8299649049212312E-3</v>
      </c>
      <c r="BF44" s="47">
        <f>_xll.qlPolynomialFunctionValue(BF$1,$BD44,AllTriggers)</f>
        <v>2.7875803850823371E-3</v>
      </c>
      <c r="BG44" s="47">
        <f>_xll.qlPolynomialFunctionValue(BG$1,$BD44,AllTriggers)</f>
        <v>2.8945910354299135E-3</v>
      </c>
      <c r="BH44" s="47">
        <f>_xll.qlPolynomialFunctionValue(BH$1,$BD44,AllTriggers)</f>
        <v>2.916247629956052E-3</v>
      </c>
      <c r="BI44" s="47">
        <f>_xll.qlPolynomialFunctionValue(BI$1,$BD44,AllTriggers)</f>
        <v>2.8255472365803017E-3</v>
      </c>
      <c r="BJ44" s="47">
        <f>_xll.qlPolynomialFunctionValue(BJ$1,$BD44,AllTriggers)</f>
        <v>2.7845754579415819E-3</v>
      </c>
      <c r="BK44" s="47">
        <f>_xll.qlPolynomialFunctionValue(BK$1,$BD44,AllTriggers)</f>
        <v>2.8952243026917632E-3</v>
      </c>
      <c r="BL44" s="47">
        <f>_xll.qlPolynomialFunctionValue(BL$1,$BD44,AllTriggers)</f>
        <v>2.9180648522584007E-3</v>
      </c>
      <c r="BM44" s="47">
        <f>_xll.qlPolynomialFunctionValue(BM$1,$BD44,AllTriggers)</f>
        <v>2.8799521978844335E-3</v>
      </c>
      <c r="BN44" s="47">
        <f>_xll.qlPolynomialFunctionValue(BN$1,$BD44,AllTriggers)</f>
        <v>2.8468767044007894E-3</v>
      </c>
      <c r="BO44" s="47">
        <f>_xll.qlPolynomialFunctionValue(BO$1,$BD44,AllTriggers)</f>
        <v>2.8920178932872261E-3</v>
      </c>
      <c r="BP44" s="47">
        <f>_xll.qlPolynomialFunctionValue(BP$1,$BD44,AllTriggers)</f>
        <v>2.8717944438947356E-3</v>
      </c>
      <c r="BQ44" s="47">
        <f>_xll.qlPolynomialFunctionValue('12MSynthDepo_used'!$P$18,BD44,AllTriggers)</f>
        <v>2.8218577981993045E-3</v>
      </c>
    </row>
    <row r="45" spans="3:69" x14ac:dyDescent="0.2">
      <c r="C45" s="19">
        <v>0</v>
      </c>
      <c r="D45" s="48" t="s">
        <v>24</v>
      </c>
      <c r="E45" s="177">
        <f>_xll.qlCalendarAdvance(Calendar,SettlementDate,C45&amp;"M","mf",TRUE,Trigger)</f>
        <v>42138</v>
      </c>
      <c r="F45" s="271">
        <f>_xll.qlCalendarAdvance(Calendar,SettlementDate,D45,"mf",TRUE,Trigger)</f>
        <v>42324</v>
      </c>
      <c r="G45" s="138">
        <f>_xll.qlTenorBasisForwardRate2(G$27,$E45,$F45,InterestRatesTrigger)</f>
        <v>1.6603543571440168E-3</v>
      </c>
      <c r="H45" s="128">
        <f>_xll.qlTenorBasisForwardRate(H$27,$E45,InterestRatesTrigger)</f>
        <v>1.6645094699500331E-3</v>
      </c>
      <c r="S45" s="128">
        <f>_xll.qlTenorBasisForwardRate(S$27,$E45,InterestRatesTrigger)</f>
        <v>1.677172445460159E-3</v>
      </c>
      <c r="T45" s="139">
        <f>_xll.qlTenorBasisForwardRate(T$27,$E45,InterestRatesTrigger)</f>
        <v>1.6797351722140099E-3</v>
      </c>
      <c r="U45" s="138">
        <f>_xll.qlTenorBasisForwardRate(U$27,$E45,InterestRatesTrigger)</f>
        <v>1.6628014023046668E-3</v>
      </c>
      <c r="V45" s="128">
        <f>_xll.qlTenorBasisForwardRate(V$27,$E45,InterestRatesTrigger)</f>
        <v>1.663832154518249E-3</v>
      </c>
      <c r="W45" s="128">
        <f>_xll.qlTenorBasisForwardRate(W$27,$E45,InterestRatesTrigger)</f>
        <v>1.677134018377556E-3</v>
      </c>
      <c r="X45" s="139">
        <f>_xll.qlTenorBasisForwardRate(X$27,$E45,InterestRatesTrigger)</f>
        <v>1.6798798614928289E-3</v>
      </c>
      <c r="Y45" s="138">
        <f>_xll.qlTenorBasisTenorForwardRate(Y$27,$E45,InterestRatesTrigger)</f>
        <v>1.7129840180317023E-3</v>
      </c>
      <c r="Z45" s="128">
        <f>_xll.qlTenorBasisTenorForwardRate(Z$27,$E45,InterestRatesTrigger)</f>
        <v>1.7078183927222807E-3</v>
      </c>
      <c r="AA45" s="128">
        <f>_xll.qlTenorBasisTenorForwardRate(AA$27,$E45,InterestRatesTrigger)</f>
        <v>1.7194498523645232E-3</v>
      </c>
      <c r="AB45" s="139">
        <f>_xll.qlTenorBasisTenorForwardRate(AB$27,$E45,InterestRatesTrigger)</f>
        <v>1.7147669711334913E-3</v>
      </c>
      <c r="AC45" s="139">
        <f>'12MSynthDepo_used'!AA24</f>
        <v>1.6628815040181475E-3</v>
      </c>
      <c r="BC45" s="178">
        <f>_xll.qlCalendarAdvance(Calendar,BC44,"1d","mf",,Trigger)</f>
        <v>42193</v>
      </c>
      <c r="BD45" s="41">
        <f>_xll.qlDayCounterYearFraction(DayCounter,SettlementDate,BC45,,,Trigger)</f>
        <v>0.15277777777777779</v>
      </c>
      <c r="BE45" s="47">
        <f>_xll.qlPolynomialFunctionValue(BE$1,$BD45,AllTriggers)</f>
        <v>2.8308258842962334E-3</v>
      </c>
      <c r="BF45" s="47">
        <f>_xll.qlPolynomialFunctionValue(BF$1,$BD45,AllTriggers)</f>
        <v>2.7897031870538253E-3</v>
      </c>
      <c r="BG45" s="47">
        <f>_xll.qlPolynomialFunctionValue(BG$1,$BD45,AllTriggers)</f>
        <v>2.8950530880733805E-3</v>
      </c>
      <c r="BH45" s="47">
        <f>_xll.qlPolynomialFunctionValue(BH$1,$BD45,AllTriggers)</f>
        <v>2.9163735835786302E-3</v>
      </c>
      <c r="BI45" s="47">
        <f>_xll.qlPolynomialFunctionValue(BI$1,$BD45,AllTriggers)</f>
        <v>2.8264367933282597E-3</v>
      </c>
      <c r="BJ45" s="47">
        <f>_xll.qlPolynomialFunctionValue(BJ$1,$BD45,AllTriggers)</f>
        <v>2.7867484764827655E-3</v>
      </c>
      <c r="BK45" s="47">
        <f>_xll.qlPolynomialFunctionValue(BK$1,$BD45,AllTriggers)</f>
        <v>2.8956810826315758E-3</v>
      </c>
      <c r="BL45" s="47">
        <f>_xll.qlPolynomialFunctionValue(BL$1,$BD45,AllTriggers)</f>
        <v>2.9181673597886704E-3</v>
      </c>
      <c r="BM45" s="47">
        <f>_xll.qlPolynomialFunctionValue(BM$1,$BD45,AllTriggers)</f>
        <v>2.8804871805751674E-3</v>
      </c>
      <c r="BN45" s="47">
        <f>_xll.qlPolynomialFunctionValue(BN$1,$BD45,AllTriggers)</f>
        <v>2.8477871089381181E-3</v>
      </c>
      <c r="BO45" s="47">
        <f>_xll.qlPolynomialFunctionValue(BO$1,$BD45,AllTriggers)</f>
        <v>2.8925098001235756E-3</v>
      </c>
      <c r="BP45" s="47">
        <f>_xll.qlPolynomialFunctionValue(BP$1,$BD45,AllTriggers)</f>
        <v>2.8724846596938991E-3</v>
      </c>
      <c r="BQ45" s="47">
        <f>_xll.qlPolynomialFunctionValue('12MSynthDepo_used'!$P$18,BD45,AllTriggers)</f>
        <v>2.8233175123293501E-3</v>
      </c>
    </row>
    <row r="46" spans="3:69" x14ac:dyDescent="0.2">
      <c r="C46" s="19">
        <v>0</v>
      </c>
      <c r="D46" s="48" t="s">
        <v>32</v>
      </c>
      <c r="E46" s="177">
        <f>_xll.qlCalendarAdvance(Calendar,SettlementDate,C46&amp;"M","mf",TRUE,Trigger)</f>
        <v>42138</v>
      </c>
      <c r="F46" s="289">
        <f>_xll.qlCalendarAdvance(Calendar,SettlementDate,D46,"mf",TRUE,Trigger)</f>
        <v>42352</v>
      </c>
      <c r="G46" s="138">
        <f>_xll.qlTenorBasisForwardRate2(G$27,$E46,$F46,InterestRatesTrigger)</f>
        <v>1.6411450576163376E-3</v>
      </c>
      <c r="H46" s="128">
        <f>_xll.qlTenorBasisTenorForwardRate(H$27,$E46,InterestRatesTrigger)</f>
        <v>1.7053762940233996E-3</v>
      </c>
      <c r="S46" s="128">
        <f>_xll.qlTenorBasisTenorForwardRate(S$27,$E46,InterestRatesTrigger)</f>
        <v>1.718141949432522E-3</v>
      </c>
      <c r="T46" s="139">
        <f>_xll.qlTenorBasisTenorForwardRate(T$27,$E46,InterestRatesTrigger)</f>
        <v>1.7207254364233755E-3</v>
      </c>
      <c r="U46" s="138">
        <f>_xll.qlTenorBasisTenorForwardRate(U$27,$E46,InterestRatesTrigger)</f>
        <v>1.704673684166714E-3</v>
      </c>
      <c r="V46" s="128">
        <f>_xll.qlTenorBasisTenorForwardRate(V$27,$E46,InterestRatesTrigger)</f>
        <v>1.7046736841667145E-3</v>
      </c>
      <c r="W46" s="128">
        <f>_xll.qlTenorBasisTenorForwardRate(W$27,$E46,InterestRatesTrigger)</f>
        <v>1.7180897652192325E-3</v>
      </c>
      <c r="X46" s="139">
        <f>_xll.qlTenorBasisTenorForwardRate(X$27,$E46,InterestRatesTrigger)</f>
        <v>1.7208591629925382E-3</v>
      </c>
      <c r="Y46" s="138">
        <f>_xll.qlTenorBasisTenorForwardRate(Y$27,$E46,InterestRatesTrigger)</f>
        <v>1.7129840180317023E-3</v>
      </c>
      <c r="Z46" s="128">
        <f>_xll.qlTenorBasisTenorForwardRate(Z$27,$E46,InterestRatesTrigger)</f>
        <v>1.7078183927222807E-3</v>
      </c>
      <c r="AA46" s="128">
        <f>_xll.qlTenorBasisTenorForwardRate(AA$27,$E46,InterestRatesTrigger)</f>
        <v>1.7194498523645232E-3</v>
      </c>
      <c r="AB46" s="139">
        <f>_xll.qlTenorBasisTenorForwardRate(AB$27,$E46,InterestRatesTrigger)</f>
        <v>1.7147669711334913E-3</v>
      </c>
      <c r="AC46" s="139">
        <f>'12MSynthDepo_used'!AA25</f>
        <v>1.7053762940233996E-3</v>
      </c>
      <c r="BC46" s="178">
        <f>_xll.qlCalendarAdvance(Calendar,BC45,"1d","mf",,Trigger)</f>
        <v>42194</v>
      </c>
      <c r="BD46" s="41">
        <f>_xll.qlDayCounterYearFraction(DayCounter,SettlementDate,BC46,,,Trigger)</f>
        <v>0.15555555555555556</v>
      </c>
      <c r="BE46" s="47">
        <f>_xll.qlPolynomialFunctionValue(BE$1,$BD46,AllTriggers)</f>
        <v>2.8316868636712356E-3</v>
      </c>
      <c r="BF46" s="47">
        <f>_xll.qlPolynomialFunctionValue(BF$1,$BD46,AllTriggers)</f>
        <v>2.7918173167050626E-3</v>
      </c>
      <c r="BG46" s="47">
        <f>_xll.qlPolynomialFunctionValue(BG$1,$BD46,AllTriggers)</f>
        <v>2.8955151407168479E-3</v>
      </c>
      <c r="BH46" s="47">
        <f>_xll.qlPolynomialFunctionValue(BH$1,$BD46,AllTriggers)</f>
        <v>2.9165012922874791E-3</v>
      </c>
      <c r="BI46" s="47">
        <f>_xll.qlPolynomialFunctionValue(BI$1,$BD46,AllTriggers)</f>
        <v>2.8273263500762178E-3</v>
      </c>
      <c r="BJ46" s="47">
        <f>_xll.qlPolynomialFunctionValue(BJ$1,$BD46,AllTriggers)</f>
        <v>2.7889125214535415E-3</v>
      </c>
      <c r="BK46" s="47">
        <f>_xll.qlPolynomialFunctionValue(BK$1,$BD46,AllTriggers)</f>
        <v>2.896137862571388E-3</v>
      </c>
      <c r="BL46" s="47">
        <f>_xll.qlPolynomialFunctionValue(BL$1,$BD46,AllTriggers)</f>
        <v>2.9182717196770021E-3</v>
      </c>
      <c r="BM46" s="47">
        <f>_xll.qlPolynomialFunctionValue(BM$1,$BD46,AllTriggers)</f>
        <v>2.8810221632659012E-3</v>
      </c>
      <c r="BN46" s="47">
        <f>_xll.qlPolynomialFunctionValue(BN$1,$BD46,AllTriggers)</f>
        <v>2.8486960239210981E-3</v>
      </c>
      <c r="BO46" s="47">
        <f>_xll.qlPolynomialFunctionValue(BO$1,$BD46,AllTriggers)</f>
        <v>2.8930017069599247E-3</v>
      </c>
      <c r="BP46" s="47">
        <f>_xll.qlPolynomialFunctionValue(BP$1,$BD46,AllTriggers)</f>
        <v>2.8731741455358109E-3</v>
      </c>
      <c r="BQ46" s="47">
        <f>_xll.qlPolynomialFunctionValue('12MSynthDepo_used'!$P$18,BD46,AllTriggers)</f>
        <v>2.824771116814988E-3</v>
      </c>
    </row>
    <row r="47" spans="3:69" x14ac:dyDescent="0.2">
      <c r="C47" s="19">
        <v>0</v>
      </c>
      <c r="D47" s="48" t="s">
        <v>33</v>
      </c>
      <c r="E47" s="177">
        <f>_xll.qlCalendarAdvance(Calendar,SettlementDate,C47&amp;"M","mf",TRUE,Trigger)</f>
        <v>42138</v>
      </c>
      <c r="F47" s="251">
        <f>_xll.qlCalendarAdvance(Calendar,SettlementDate,D47,"mf",TRUE,Trigger)</f>
        <v>42383</v>
      </c>
      <c r="G47" s="138">
        <f>_xll.qlTenorBasisForwardRate2(G$27,$E47,$F47,InterestRatesTrigger)</f>
        <v>1.6449056370616078E-3</v>
      </c>
      <c r="H47" s="128">
        <f>_xll.qlTenorBasisTenorForwardRate(H$27,$E47,InterestRatesTrigger)</f>
        <v>1.7053762940233996E-3</v>
      </c>
      <c r="S47" s="128">
        <f>_xll.qlTenorBasisTenorForwardRate(S$27,$E47,InterestRatesTrigger)</f>
        <v>1.718141949432522E-3</v>
      </c>
      <c r="T47" s="139">
        <f>_xll.qlTenorBasisTenorForwardRate(T$27,$E47,InterestRatesTrigger)</f>
        <v>1.7207254364233755E-3</v>
      </c>
      <c r="U47" s="138">
        <f>_xll.qlTenorBasisTenorForwardRate(U$27,$E47,InterestRatesTrigger)</f>
        <v>1.704673684166714E-3</v>
      </c>
      <c r="V47" s="128">
        <f>_xll.qlTenorBasisTenorForwardRate(V$27,$E47,InterestRatesTrigger)</f>
        <v>1.7046736841667145E-3</v>
      </c>
      <c r="W47" s="128">
        <f>_xll.qlTenorBasisTenorForwardRate(W$27,$E47,InterestRatesTrigger)</f>
        <v>1.7180897652192325E-3</v>
      </c>
      <c r="X47" s="139">
        <f>_xll.qlTenorBasisTenorForwardRate(X$27,$E47,InterestRatesTrigger)</f>
        <v>1.7208591629925382E-3</v>
      </c>
      <c r="Y47" s="138">
        <f>_xll.qlTenorBasisTenorForwardRate(Y$27,$E47,InterestRatesTrigger)</f>
        <v>1.7129840180317023E-3</v>
      </c>
      <c r="Z47" s="128">
        <f>_xll.qlTenorBasisTenorForwardRate(Z$27,$E47,InterestRatesTrigger)</f>
        <v>1.7078183927222807E-3</v>
      </c>
      <c r="AA47" s="128">
        <f>_xll.qlTenorBasisTenorForwardRate(AA$27,$E47,InterestRatesTrigger)</f>
        <v>1.7194498523645232E-3</v>
      </c>
      <c r="AB47" s="139">
        <f>_xll.qlTenorBasisTenorForwardRate(AB$27,$E47,InterestRatesTrigger)</f>
        <v>1.7147669711334913E-3</v>
      </c>
      <c r="AC47" s="139">
        <f>'12MSynthDepo_used'!AA26</f>
        <v>1.7053762940233996E-3</v>
      </c>
      <c r="BC47" s="178">
        <f>_xll.qlCalendarAdvance(Calendar,BC46,"1d","mf",,Trigger)</f>
        <v>42195</v>
      </c>
      <c r="BD47" s="41">
        <f>_xll.qlDayCounterYearFraction(DayCounter,SettlementDate,BC47,,,Trigger)</f>
        <v>0.15833333333333333</v>
      </c>
      <c r="BE47" s="47">
        <f>_xll.qlPolynomialFunctionValue(BE$1,$BD47,AllTriggers)</f>
        <v>2.8325478430462382E-3</v>
      </c>
      <c r="BF47" s="47">
        <f>_xll.qlPolynomialFunctionValue(BF$1,$BD47,AllTriggers)</f>
        <v>2.7939227740360491E-3</v>
      </c>
      <c r="BG47" s="47">
        <f>_xll.qlPolynomialFunctionValue(BG$1,$BD47,AllTriggers)</f>
        <v>2.8959771933603148E-3</v>
      </c>
      <c r="BH47" s="47">
        <f>_xll.qlPolynomialFunctionValue(BH$1,$BD47,AllTriggers)</f>
        <v>2.9166307560825992E-3</v>
      </c>
      <c r="BI47" s="47">
        <f>_xll.qlPolynomialFunctionValue(BI$1,$BD47,AllTriggers)</f>
        <v>2.8282159068241755E-3</v>
      </c>
      <c r="BJ47" s="47">
        <f>_xll.qlPolynomialFunctionValue(BJ$1,$BD47,AllTriggers)</f>
        <v>2.7910675928539109E-3</v>
      </c>
      <c r="BK47" s="47">
        <f>_xll.qlPolynomialFunctionValue(BK$1,$BD47,AllTriggers)</f>
        <v>2.8965946425112002E-3</v>
      </c>
      <c r="BL47" s="47">
        <f>_xll.qlPolynomialFunctionValue(BL$1,$BD47,AllTriggers)</f>
        <v>2.9183779319233963E-3</v>
      </c>
      <c r="BM47" s="47">
        <f>_xll.qlPolynomialFunctionValue(BM$1,$BD47,AllTriggers)</f>
        <v>2.8815571459566351E-3</v>
      </c>
      <c r="BN47" s="47">
        <f>_xll.qlPolynomialFunctionValue(BN$1,$BD47,AllTriggers)</f>
        <v>2.8496034493497298E-3</v>
      </c>
      <c r="BO47" s="47">
        <f>_xll.qlPolynomialFunctionValue(BO$1,$BD47,AllTriggers)</f>
        <v>2.8934936137962742E-3</v>
      </c>
      <c r="BP47" s="47">
        <f>_xll.qlPolynomialFunctionValue(BP$1,$BD47,AllTriggers)</f>
        <v>2.8738629014204722E-3</v>
      </c>
      <c r="BQ47" s="47">
        <f>_xll.qlPolynomialFunctionValue('12MSynthDepo_used'!$P$18,BD47,AllTriggers)</f>
        <v>2.8262186263713083E-3</v>
      </c>
    </row>
    <row r="48" spans="3:69" x14ac:dyDescent="0.2">
      <c r="C48" s="19">
        <v>0</v>
      </c>
      <c r="D48" s="48" t="s">
        <v>34</v>
      </c>
      <c r="E48" s="177">
        <f>_xll.qlCalendarAdvance(Calendar,SettlementDate,C48&amp;"M","mf",TRUE,Trigger)</f>
        <v>42138</v>
      </c>
      <c r="F48" s="251">
        <f>_xll.qlCalendarAdvance(Calendar,SettlementDate,D48,"mf",TRUE,Trigger)</f>
        <v>42415</v>
      </c>
      <c r="G48" s="138">
        <f>_xll.qlTenorBasisForwardRate2(G$27,$E48,$F48,InterestRatesTrigger)</f>
        <v>1.6451509383314709E-3</v>
      </c>
      <c r="H48" s="128">
        <f>_xll.qlTenorBasisTenorForwardRate(H$27,$E48,InterestRatesTrigger)</f>
        <v>1.7053762940233996E-3</v>
      </c>
      <c r="S48" s="128">
        <f>_xll.qlTenorBasisTenorForwardRate(S$27,$E48,InterestRatesTrigger)</f>
        <v>1.718141949432522E-3</v>
      </c>
      <c r="T48" s="139">
        <f>_xll.qlTenorBasisTenorForwardRate(T$27,$E48,InterestRatesTrigger)</f>
        <v>1.7207254364233755E-3</v>
      </c>
      <c r="U48" s="138">
        <f>_xll.qlTenorBasisTenorForwardRate(U$27,$E48,InterestRatesTrigger)</f>
        <v>1.704673684166714E-3</v>
      </c>
      <c r="V48" s="128">
        <f>_xll.qlTenorBasisTenorForwardRate(V$27,$E48,InterestRatesTrigger)</f>
        <v>1.7046736841667145E-3</v>
      </c>
      <c r="W48" s="128">
        <f>_xll.qlTenorBasisTenorForwardRate(W$27,$E48,InterestRatesTrigger)</f>
        <v>1.7180897652192325E-3</v>
      </c>
      <c r="X48" s="139">
        <f>_xll.qlTenorBasisTenorForwardRate(X$27,$E48,InterestRatesTrigger)</f>
        <v>1.7208591629925382E-3</v>
      </c>
      <c r="Y48" s="138">
        <f>_xll.qlTenorBasisTenorForwardRate(Y$27,$E48,InterestRatesTrigger)</f>
        <v>1.7129840180317023E-3</v>
      </c>
      <c r="Z48" s="128">
        <f>_xll.qlTenorBasisTenorForwardRate(Z$27,$E48,InterestRatesTrigger)</f>
        <v>1.7078183927222807E-3</v>
      </c>
      <c r="AA48" s="128">
        <f>_xll.qlTenorBasisTenorForwardRate(AA$27,$E48,InterestRatesTrigger)</f>
        <v>1.7194498523645232E-3</v>
      </c>
      <c r="AB48" s="139">
        <f>_xll.qlTenorBasisTenorForwardRate(AB$27,$E48,InterestRatesTrigger)</f>
        <v>1.7147669711334913E-3</v>
      </c>
      <c r="AC48" s="139">
        <f>'12MSynthDepo_used'!AA27</f>
        <v>1.7053762940233996E-3</v>
      </c>
      <c r="BC48" s="178">
        <f>_xll.qlCalendarAdvance(Calendar,BC47,"1d","mf",,Trigger)</f>
        <v>42198</v>
      </c>
      <c r="BD48" s="41">
        <f>_xll.qlDayCounterYearFraction(DayCounter,SettlementDate,BC48,,,Trigger)</f>
        <v>0.16666666666666666</v>
      </c>
      <c r="BE48" s="47">
        <f>_xll.qlPolynomialFunctionValue(BE$1,$BD48,AllTriggers)</f>
        <v>2.8351307811712448E-3</v>
      </c>
      <c r="BF48" s="47">
        <f>_xll.qlPolynomialFunctionValue(BF$1,$BD48,AllTriggers)</f>
        <v>2.8001871121075051E-3</v>
      </c>
      <c r="BG48" s="47">
        <f>_xll.qlPolynomialFunctionValue(BG$1,$BD48,AllTriggers)</f>
        <v>2.8973633512907166E-3</v>
      </c>
      <c r="BH48" s="47">
        <f>_xll.qlPolynomialFunctionValue(BH$1,$BD48,AllTriggers)</f>
        <v>2.9170296779855854E-3</v>
      </c>
      <c r="BI48" s="47">
        <f>_xll.qlPolynomialFunctionValue(BI$1,$BD48,AllTriggers)</f>
        <v>2.8308845770680497E-3</v>
      </c>
      <c r="BJ48" s="47">
        <f>_xll.qlPolynomialFunctionValue(BJ$1,$BD48,AllTriggers)</f>
        <v>2.7974789656325756E-3</v>
      </c>
      <c r="BK48" s="47">
        <f>_xll.qlPolynomialFunctionValue(BK$1,$BD48,AllTriggers)</f>
        <v>2.8979649823306368E-3</v>
      </c>
      <c r="BL48" s="47">
        <f>_xll.qlPolynomialFunctionValue(BL$1,$BD48,AllTriggers)</f>
        <v>2.9187076828109532E-3</v>
      </c>
      <c r="BM48" s="47">
        <f>_xll.qlPolynomialFunctionValue(BM$1,$BD48,AllTriggers)</f>
        <v>2.8831620940288367E-3</v>
      </c>
      <c r="BN48" s="47">
        <f>_xll.qlPolynomialFunctionValue(BN$1,$BD48,AllTriggers)</f>
        <v>2.8523167883095332E-3</v>
      </c>
      <c r="BO48" s="47">
        <f>_xll.qlPolynomialFunctionValue(BO$1,$BD48,AllTriggers)</f>
        <v>2.8949693343053224E-3</v>
      </c>
      <c r="BP48" s="47">
        <f>_xll.qlPolynomialFunctionValue(BP$1,$BD48,AllTriggers)</f>
        <v>2.8759247893309454E-3</v>
      </c>
      <c r="BQ48" s="47">
        <f>_xll.qlPolynomialFunctionValue('12MSynthDepo_used'!$P$18,BD48,AllTriggers)</f>
        <v>2.8305247326152663E-3</v>
      </c>
    </row>
    <row r="49" spans="3:69" x14ac:dyDescent="0.2">
      <c r="C49" s="19">
        <v>0</v>
      </c>
      <c r="D49" s="48" t="s">
        <v>35</v>
      </c>
      <c r="E49" s="177">
        <f>_xll.qlCalendarAdvance(Calendar,SettlementDate,C49&amp;"M","mf",TRUE,Trigger)</f>
        <v>42138</v>
      </c>
      <c r="F49" s="251">
        <f>_xll.qlCalendarAdvance(Calendar,SettlementDate,D49,"mf",TRUE,Trigger)</f>
        <v>42443</v>
      </c>
      <c r="G49" s="138">
        <f>_xll.qlTenorBasisForwardRate2(G$27,$E49,$F49,InterestRatesTrigger)</f>
        <v>1.6432326492908079E-3</v>
      </c>
      <c r="H49" s="128">
        <f>_xll.qlTenorBasisTenorForwardRate(H$27,$E49,InterestRatesTrigger)</f>
        <v>1.7053762940233996E-3</v>
      </c>
      <c r="S49" s="128">
        <f>_xll.qlTenorBasisTenorForwardRate(S$27,$E49,InterestRatesTrigger)</f>
        <v>1.718141949432522E-3</v>
      </c>
      <c r="T49" s="139">
        <f>_xll.qlTenorBasisTenorForwardRate(T$27,$E49,InterestRatesTrigger)</f>
        <v>1.7207254364233755E-3</v>
      </c>
      <c r="U49" s="138">
        <f>_xll.qlTenorBasisTenorForwardRate(U$27,$E49,InterestRatesTrigger)</f>
        <v>1.704673684166714E-3</v>
      </c>
      <c r="V49" s="128">
        <f>_xll.qlTenorBasisTenorForwardRate(V$27,$E49,InterestRatesTrigger)</f>
        <v>1.7046736841667145E-3</v>
      </c>
      <c r="W49" s="128">
        <f>_xll.qlTenorBasisTenorForwardRate(W$27,$E49,InterestRatesTrigger)</f>
        <v>1.7180897652192325E-3</v>
      </c>
      <c r="X49" s="139">
        <f>_xll.qlTenorBasisTenorForwardRate(X$27,$E49,InterestRatesTrigger)</f>
        <v>1.7208591629925382E-3</v>
      </c>
      <c r="Y49" s="138">
        <f>_xll.qlTenorBasisTenorForwardRate(Y$27,$E49,InterestRatesTrigger)</f>
        <v>1.7129840180317023E-3</v>
      </c>
      <c r="Z49" s="128">
        <f>_xll.qlTenorBasisTenorForwardRate(Z$27,$E49,InterestRatesTrigger)</f>
        <v>1.7078183927222807E-3</v>
      </c>
      <c r="AA49" s="128">
        <f>_xll.qlTenorBasisTenorForwardRate(AA$27,$E49,InterestRatesTrigger)</f>
        <v>1.7194498523645232E-3</v>
      </c>
      <c r="AB49" s="139">
        <f>_xll.qlTenorBasisTenorForwardRate(AB$27,$E49,InterestRatesTrigger)</f>
        <v>1.7147669711334913E-3</v>
      </c>
      <c r="AC49" s="139">
        <f>'12MSynthDepo_used'!AA28</f>
        <v>1.7053762940233996E-3</v>
      </c>
      <c r="BC49" s="178">
        <f>_xll.qlCalendarAdvance(Calendar,BC48,"1d","mf",,Trigger)</f>
        <v>42199</v>
      </c>
      <c r="BD49" s="41">
        <f>_xll.qlDayCounterYearFraction(DayCounter,SettlementDate,BC49,,,Trigger)</f>
        <v>0.16944444444444445</v>
      </c>
      <c r="BE49" s="47">
        <f>_xll.qlPolynomialFunctionValue(BE$1,$BD49,AllTriggers)</f>
        <v>2.835991760546247E-3</v>
      </c>
      <c r="BF49" s="47">
        <f>_xll.qlPolynomialFunctionValue(BF$1,$BD49,AllTriggers)</f>
        <v>2.8022578801574888E-3</v>
      </c>
      <c r="BG49" s="47">
        <f>_xll.qlPolynomialFunctionValue(BG$1,$BD49,AllTriggers)</f>
        <v>2.8978254039341836E-3</v>
      </c>
      <c r="BH49" s="47">
        <f>_xll.qlPolynomialFunctionValue(BH$1,$BD49,AllTriggers)</f>
        <v>2.9171661621257895E-3</v>
      </c>
      <c r="BI49" s="47">
        <f>_xll.qlPolynomialFunctionValue(BI$1,$BD49,AllTriggers)</f>
        <v>2.8317741338160073E-3</v>
      </c>
      <c r="BJ49" s="47">
        <f>_xll.qlPolynomialFunctionValue(BJ$1,$BD49,AllTriggers)</f>
        <v>2.7995981427513163E-3</v>
      </c>
      <c r="BK49" s="47">
        <f>_xll.qlPolynomialFunctionValue(BK$1,$BD49,AllTriggers)</f>
        <v>2.898421762270449E-3</v>
      </c>
      <c r="BL49" s="47">
        <f>_xll.qlPolynomialFunctionValue(BL$1,$BD49,AllTriggers)</f>
        <v>2.918821304489597E-3</v>
      </c>
      <c r="BM49" s="47">
        <f>_xll.qlPolynomialFunctionValue(BM$1,$BD49,AllTriggers)</f>
        <v>2.8836970767195701E-3</v>
      </c>
      <c r="BN49" s="47">
        <f>_xll.qlPolynomialFunctionValue(BN$1,$BD49,AllTriggers)</f>
        <v>2.8532182555207702E-3</v>
      </c>
      <c r="BO49" s="47">
        <f>_xll.qlPolynomialFunctionValue(BO$1,$BD49,AllTriggers)</f>
        <v>2.895461241141672E-3</v>
      </c>
      <c r="BP49" s="47">
        <f>_xll.qlPolynomialFunctionValue(BP$1,$BD49,AllTriggers)</f>
        <v>2.8766106253866001E-3</v>
      </c>
      <c r="BQ49" s="47">
        <f>_xll.qlPolynomialFunctionValue('12MSynthDepo_used'!$P$18,BD49,AllTriggers)</f>
        <v>2.8319480096052189E-3</v>
      </c>
    </row>
    <row r="50" spans="3:69" x14ac:dyDescent="0.2">
      <c r="C50" s="19">
        <v>0</v>
      </c>
      <c r="D50" s="48" t="s">
        <v>36</v>
      </c>
      <c r="E50" s="177">
        <f>_xll.qlCalendarAdvance(Calendar,SettlementDate,C50&amp;"M","mf",TRUE,Trigger)</f>
        <v>42138</v>
      </c>
      <c r="F50" s="251">
        <f>_xll.qlCalendarAdvance(Calendar,SettlementDate,D50,"mf",TRUE,Trigger)</f>
        <v>42474</v>
      </c>
      <c r="G50" s="138">
        <f>_xll.qlTenorBasisForwardRate2(G$27,$E50,$F50,InterestRatesTrigger)</f>
        <v>1.6531615079091416E-3</v>
      </c>
      <c r="H50" s="128">
        <f>_xll.qlTenorBasisTenorForwardRate(H$27,$E50,InterestRatesTrigger)</f>
        <v>1.7053762940233996E-3</v>
      </c>
      <c r="S50" s="128">
        <f>_xll.qlTenorBasisTenorForwardRate(S$27,$E50,InterestRatesTrigger)</f>
        <v>1.718141949432522E-3</v>
      </c>
      <c r="T50" s="139">
        <f>_xll.qlTenorBasisTenorForwardRate(T$27,$E50,InterestRatesTrigger)</f>
        <v>1.7207254364233755E-3</v>
      </c>
      <c r="U50" s="138">
        <f>_xll.qlTenorBasisTenorForwardRate(U$27,$E50,InterestRatesTrigger)</f>
        <v>1.704673684166714E-3</v>
      </c>
      <c r="V50" s="128">
        <f>_xll.qlTenorBasisTenorForwardRate(V$27,$E50,InterestRatesTrigger)</f>
        <v>1.7046736841667145E-3</v>
      </c>
      <c r="W50" s="128">
        <f>_xll.qlTenorBasisTenorForwardRate(W$27,$E50,InterestRatesTrigger)</f>
        <v>1.7180897652192325E-3</v>
      </c>
      <c r="X50" s="139">
        <f>_xll.qlTenorBasisTenorForwardRate(X$27,$E50,InterestRatesTrigger)</f>
        <v>1.7208591629925382E-3</v>
      </c>
      <c r="Y50" s="138">
        <f>_xll.qlTenorBasisTenorForwardRate(Y$27,$E50,InterestRatesTrigger)</f>
        <v>1.7129840180317023E-3</v>
      </c>
      <c r="Z50" s="128">
        <f>_xll.qlTenorBasisTenorForwardRate(Z$27,$E50,InterestRatesTrigger)</f>
        <v>1.7078183927222807E-3</v>
      </c>
      <c r="AA50" s="128">
        <f>_xll.qlTenorBasisTenorForwardRate(AA$27,$E50,InterestRatesTrigger)</f>
        <v>1.7194498523645232E-3</v>
      </c>
      <c r="AB50" s="139">
        <f>_xll.qlTenorBasisTenorForwardRate(AB$27,$E50,InterestRatesTrigger)</f>
        <v>1.7147669711334913E-3</v>
      </c>
      <c r="AC50" s="139">
        <f>'12MSynthDepo_used'!AA29</f>
        <v>1.7053762940233996E-3</v>
      </c>
      <c r="AD50" s="132" t="str">
        <f>"Fixing "&amp;DAY(_xll.qlInterestRateIndexFixingDate($D$25,'6MSynthDepo_used'!G4))&amp;"/"&amp;MONTH(_xll.qlInterestRateIndexFixingDate($D$25,'6MSynthDepo_used'!G4))</f>
        <v>Fixing 12/5</v>
      </c>
      <c r="BC50" s="178">
        <f>_xll.qlCalendarAdvance(Calendar,BC49,"1d","mf",,Trigger)</f>
        <v>42200</v>
      </c>
      <c r="BD50" s="41">
        <f>_xll.qlDayCounterYearFraction(DayCounter,SettlementDate,BC50,,,Trigger)</f>
        <v>0.17222222222222222</v>
      </c>
      <c r="BE50" s="47">
        <f>_xll.qlPolynomialFunctionValue(BE$1,$BD50,AllTriggers)</f>
        <v>2.8368527399212492E-3</v>
      </c>
      <c r="BF50" s="47">
        <f>_xll.qlPolynomialFunctionValue(BF$1,$BD50,AllTriggers)</f>
        <v>2.8043199758872213E-3</v>
      </c>
      <c r="BG50" s="47">
        <f>_xll.qlPolynomialFunctionValue(BG$1,$BD50,AllTriggers)</f>
        <v>2.8982874565776509E-3</v>
      </c>
      <c r="BH50" s="47">
        <f>_xll.qlPolynomialFunctionValue(BH$1,$BD50,AllTriggers)</f>
        <v>2.9173044013522647E-3</v>
      </c>
      <c r="BI50" s="47">
        <f>_xll.qlPolynomialFunctionValue(BI$1,$BD50,AllTriggers)</f>
        <v>2.8326636905639654E-3</v>
      </c>
      <c r="BJ50" s="47">
        <f>_xll.qlPolynomialFunctionValue(BJ$1,$BD50,AllTriggers)</f>
        <v>2.80170834629965E-3</v>
      </c>
      <c r="BK50" s="47">
        <f>_xll.qlPolynomialFunctionValue(BK$1,$BD50,AllTriggers)</f>
        <v>2.8988785422102616E-3</v>
      </c>
      <c r="BL50" s="47">
        <f>_xll.qlPolynomialFunctionValue(BL$1,$BD50,AllTriggers)</f>
        <v>2.9189367785263038E-3</v>
      </c>
      <c r="BM50" s="47">
        <f>_xll.qlPolynomialFunctionValue(BM$1,$BD50,AllTriggers)</f>
        <v>2.884232059410304E-3</v>
      </c>
      <c r="BN50" s="47">
        <f>_xll.qlPolynomialFunctionValue(BN$1,$BD50,AllTriggers)</f>
        <v>2.8541182331776596E-3</v>
      </c>
      <c r="BO50" s="47">
        <f>_xll.qlPolynomialFunctionValue(BO$1,$BD50,AllTriggers)</f>
        <v>2.8959531479780211E-3</v>
      </c>
      <c r="BP50" s="47">
        <f>_xll.qlPolynomialFunctionValue(BP$1,$BD50,AllTriggers)</f>
        <v>2.8772957314850038E-3</v>
      </c>
      <c r="BQ50" s="47">
        <f>_xll.qlPolynomialFunctionValue('12MSynthDepo_used'!$P$18,BD50,AllTriggers)</f>
        <v>2.8333652652413051E-3</v>
      </c>
    </row>
    <row r="51" spans="3:69" ht="12" thickBot="1" x14ac:dyDescent="0.25">
      <c r="C51" s="19">
        <v>0</v>
      </c>
      <c r="D51" s="162" t="s">
        <v>37</v>
      </c>
      <c r="E51" s="185">
        <f>_xll.qlCalendarAdvance(Calendar,SettlementDate,C51&amp;"M","mf",TRUE,Trigger)</f>
        <v>42138</v>
      </c>
      <c r="F51" s="252">
        <f>_xll.qlCalendarAdvance(Calendar,SettlementDate,D51,"mf",TRUE,Trigger)</f>
        <v>42506</v>
      </c>
      <c r="G51" s="285">
        <f>_xll.qlTenorBasisForwardRate2(G$27,$E51,$F51,InterestRatesTrigger)</f>
        <v>1.6635667302454709E-3</v>
      </c>
      <c r="H51" s="286">
        <f>_xll.qlTenorBasisTenorForwardRate(H$27,$E51,InterestRatesTrigger)</f>
        <v>1.7053762940233996E-3</v>
      </c>
      <c r="I51" s="287"/>
      <c r="J51" s="287"/>
      <c r="K51" s="287"/>
      <c r="L51" s="287"/>
      <c r="M51" s="287"/>
      <c r="N51" s="287"/>
      <c r="O51" s="287"/>
      <c r="P51" s="287"/>
      <c r="Q51" s="287"/>
      <c r="R51" s="287"/>
      <c r="S51" s="286">
        <f>_xll.qlTenorBasisTenorForwardRate(S$27,$E51,InterestRatesTrigger)</f>
        <v>1.718141949432522E-3</v>
      </c>
      <c r="T51" s="288">
        <f>_xll.qlTenorBasisTenorForwardRate(T$27,$E51,InterestRatesTrigger)</f>
        <v>1.7207254364233755E-3</v>
      </c>
      <c r="U51" s="285">
        <f>_xll.qlTenorBasisTenorForwardRate(U$27,$E51,InterestRatesTrigger)</f>
        <v>1.704673684166714E-3</v>
      </c>
      <c r="V51" s="286">
        <f>_xll.qlTenorBasisTenorForwardRate(V$27,$E51,InterestRatesTrigger)</f>
        <v>1.7046736841667145E-3</v>
      </c>
      <c r="W51" s="286">
        <f>_xll.qlTenorBasisTenorForwardRate(W$27,$E51,InterestRatesTrigger)</f>
        <v>1.7180897652192325E-3</v>
      </c>
      <c r="X51" s="288">
        <f>_xll.qlTenorBasisTenorForwardRate(X$27,$E51,InterestRatesTrigger)</f>
        <v>1.7208591629925382E-3</v>
      </c>
      <c r="Y51" s="285">
        <f>_xll.qlTenorBasisTenorForwardRate(Y$27,$E51,InterestRatesTrigger)</f>
        <v>1.7129840180317023E-3</v>
      </c>
      <c r="Z51" s="286">
        <f>_xll.qlTenorBasisTenorForwardRate(Z$27,$E51,InterestRatesTrigger)</f>
        <v>1.7078183927222807E-3</v>
      </c>
      <c r="AA51" s="286">
        <f>_xll.qlTenorBasisTenorForwardRate(AA$27,$E51,InterestRatesTrigger)</f>
        <v>1.7194498523645232E-3</v>
      </c>
      <c r="AB51" s="288">
        <f>_xll.qlTenorBasisTenorForwardRate(AB$27,$E51,InterestRatesTrigger)</f>
        <v>1.7147669711334913E-3</v>
      </c>
      <c r="AC51" s="288">
        <f>'12MSynthDepo_used'!AA30</f>
        <v>1.7053762940233996E-3</v>
      </c>
      <c r="AD51" s="144">
        <f>'12MSynthDepo_used'!I4</f>
        <v>1.7100000000000812E-3</v>
      </c>
      <c r="BC51" s="178">
        <f>_xll.qlCalendarAdvance(Calendar,BC50,"1d","mf",,Trigger)</f>
        <v>42201</v>
      </c>
      <c r="BD51" s="41">
        <f>_xll.qlDayCounterYearFraction(DayCounter,SettlementDate,BC51,,,Trigger)</f>
        <v>0.17499999999999999</v>
      </c>
      <c r="BE51" s="47">
        <f>_xll.qlPolynomialFunctionValue(BE$1,$BD51,AllTriggers)</f>
        <v>2.8377137192962514E-3</v>
      </c>
      <c r="BF51" s="47">
        <f>_xll.qlPolynomialFunctionValue(BF$1,$BD51,AllTriggers)</f>
        <v>2.8063733992967034E-3</v>
      </c>
      <c r="BG51" s="47">
        <f>_xll.qlPolynomialFunctionValue(BG$1,$BD51,AllTriggers)</f>
        <v>2.8987495092211179E-3</v>
      </c>
      <c r="BH51" s="47">
        <f>_xll.qlPolynomialFunctionValue(BH$1,$BD51,AllTriggers)</f>
        <v>2.9174443956650107E-3</v>
      </c>
      <c r="BI51" s="47">
        <f>_xll.qlPolynomialFunctionValue(BI$1,$BD51,AllTriggers)</f>
        <v>2.8335532473119235E-3</v>
      </c>
      <c r="BJ51" s="47">
        <f>_xll.qlPolynomialFunctionValue(BJ$1,$BD51,AllTriggers)</f>
        <v>2.8038095762775769E-3</v>
      </c>
      <c r="BK51" s="47">
        <f>_xll.qlPolynomialFunctionValue(BK$1,$BD51,AllTriggers)</f>
        <v>2.8993353221500738E-3</v>
      </c>
      <c r="BL51" s="47">
        <f>_xll.qlPolynomialFunctionValue(BL$1,$BD51,AllTriggers)</f>
        <v>2.9190541049210726E-3</v>
      </c>
      <c r="BM51" s="47">
        <f>_xll.qlPolynomialFunctionValue(BM$1,$BD51,AllTriggers)</f>
        <v>2.8847670421010378E-3</v>
      </c>
      <c r="BN51" s="47">
        <f>_xll.qlPolynomialFunctionValue(BN$1,$BD51,AllTriggers)</f>
        <v>2.8550167212801998E-3</v>
      </c>
      <c r="BO51" s="47">
        <f>_xll.qlPolynomialFunctionValue(BO$1,$BD51,AllTriggers)</f>
        <v>2.8964450548143706E-3</v>
      </c>
      <c r="BP51" s="47">
        <f>_xll.qlPolynomialFunctionValue(BP$1,$BD51,AllTriggers)</f>
        <v>2.8779801076261559E-3</v>
      </c>
      <c r="BQ51" s="47">
        <f>_xll.qlPolynomialFunctionValue('12MSynthDepo_used'!$P$18,BD51,AllTriggers)</f>
        <v>2.8347765142386159E-3</v>
      </c>
    </row>
    <row r="52" spans="3:69" x14ac:dyDescent="0.2">
      <c r="C52" s="19">
        <v>1</v>
      </c>
      <c r="D52" s="48" t="str">
        <f>C52+SUBSTITUTE($D$24,"M","")&amp;"M"</f>
        <v>13M</v>
      </c>
      <c r="E52" s="177">
        <f>_xll.qlCalendarAdvance(Calendar,SettlementDate,C52&amp;"M","mf",TRUE,Trigger)</f>
        <v>42170</v>
      </c>
      <c r="F52" s="251">
        <f>_xll.qlInterestRateIndexMaturity($D$25,E52,Trigger)</f>
        <v>42536</v>
      </c>
      <c r="G52" s="155">
        <f>_xll.qlTenorBasisForwardRate2(G$27,$E52,$F52,InterestRatesTrigger)</f>
        <v>1.6665757649575543E-3</v>
      </c>
      <c r="H52" s="47">
        <f>_xll.qlTenorBasisTenorForwardRate(H$27,$E52,InterestRatesTrigger)</f>
        <v>1.7096825762044883E-3</v>
      </c>
      <c r="S52" s="47">
        <f>_xll.qlTenorBasisTenorForwardRate(S$27,$E52,InterestRatesTrigger)</f>
        <v>1.7097974563754664E-3</v>
      </c>
      <c r="T52" s="154">
        <f>_xll.qlTenorBasisTenorForwardRate(T$27,$E52,InterestRatesTrigger)</f>
        <v>1.7098207055873328E-3</v>
      </c>
      <c r="U52" s="47">
        <f>_xll.qlTenorBasisTenorForwardRate(U$27,$E52,InterestRatesTrigger)</f>
        <v>1.7098219233938612E-3</v>
      </c>
      <c r="V52" s="47">
        <f>_xll.qlTenorBasisTenorForwardRate(V$27,$E52,InterestRatesTrigger)</f>
        <v>1.7091835610241399E-3</v>
      </c>
      <c r="W52" s="47">
        <f>_xll.qlTenorBasisTenorForwardRate(W$27,$E52,InterestRatesTrigger)</f>
        <v>1.7095788569673693E-3</v>
      </c>
      <c r="X52" s="154">
        <f>_xll.qlTenorBasisTenorForwardRate(X$27,$E52,InterestRatesTrigger)</f>
        <v>1.7096604554386881E-3</v>
      </c>
      <c r="Y52" s="155">
        <f>_xll.qlTenorBasisTenorForwardRate(Y$27,$E52,InterestRatesTrigger)</f>
        <v>1.7069413171513902E-3</v>
      </c>
      <c r="Z52" s="47">
        <f>_xll.qlTenorBasisTenorForwardRate(Z$27,$E52,InterestRatesTrigger)</f>
        <v>1.7067945665779718E-3</v>
      </c>
      <c r="AA52" s="47">
        <f>_xll.qlTenorBasisTenorForwardRate(AA$27,$E52,InterestRatesTrigger)</f>
        <v>1.7120476067102159E-3</v>
      </c>
      <c r="AB52" s="47">
        <f>_xll.qlTenorBasisTenorForwardRate(AB$27,$E52,InterestRatesTrigger)</f>
        <v>1.7102766082109002E-3</v>
      </c>
      <c r="AC52" s="154">
        <f>'12MSynthDepo_used'!AA31</f>
        <v>1.7080125092119882E-3</v>
      </c>
      <c r="AD52" s="200">
        <f>'12MSynthDepo_used'!I5</f>
        <v>1.7099999999999999E-3</v>
      </c>
      <c r="BC52" s="178">
        <f>_xll.qlCalendarAdvance(Calendar,BC51,"1d","mf",,Trigger)</f>
        <v>42202</v>
      </c>
      <c r="BD52" s="41">
        <f>_xll.qlDayCounterYearFraction(DayCounter,SettlementDate,BC52,,,Trigger)</f>
        <v>0.17777777777777778</v>
      </c>
      <c r="BE52" s="47">
        <f>_xll.qlPolynomialFunctionValue(BE$1,$BD52,AllTriggers)</f>
        <v>2.8385746986712541E-3</v>
      </c>
      <c r="BF52" s="47">
        <f>_xll.qlPolynomialFunctionValue(BF$1,$BD52,AllTriggers)</f>
        <v>2.8084181503859351E-3</v>
      </c>
      <c r="BG52" s="47">
        <f>_xll.qlPolynomialFunctionValue(BG$1,$BD52,AllTriggers)</f>
        <v>2.8992115618645853E-3</v>
      </c>
      <c r="BH52" s="47">
        <f>_xll.qlPolynomialFunctionValue(BH$1,$BD52,AllTriggers)</f>
        <v>2.9175861450640274E-3</v>
      </c>
      <c r="BI52" s="47">
        <f>_xll.qlPolynomialFunctionValue(BI$1,$BD52,AllTriggers)</f>
        <v>2.8344428040598816E-3</v>
      </c>
      <c r="BJ52" s="47">
        <f>_xll.qlPolynomialFunctionValue(BJ$1,$BD52,AllTriggers)</f>
        <v>2.8059018326850962E-3</v>
      </c>
      <c r="BK52" s="47">
        <f>_xll.qlPolynomialFunctionValue(BK$1,$BD52,AllTriggers)</f>
        <v>2.899792102089886E-3</v>
      </c>
      <c r="BL52" s="47">
        <f>_xll.qlPolynomialFunctionValue(BL$1,$BD52,AllTriggers)</f>
        <v>2.9191732836739035E-3</v>
      </c>
      <c r="BM52" s="47">
        <f>_xll.qlPolynomialFunctionValue(BM$1,$BD52,AllTriggers)</f>
        <v>2.8853020247917717E-3</v>
      </c>
      <c r="BN52" s="47">
        <f>_xll.qlPolynomialFunctionValue(BN$1,$BD52,AllTriggers)</f>
        <v>2.8559137198283916E-3</v>
      </c>
      <c r="BO52" s="47">
        <f>_xll.qlPolynomialFunctionValue(BO$1,$BD52,AllTriggers)</f>
        <v>2.8969369616507201E-3</v>
      </c>
      <c r="BP52" s="47">
        <f>_xll.qlPolynomialFunctionValue(BP$1,$BD52,AllTriggers)</f>
        <v>2.8786637538100561E-3</v>
      </c>
      <c r="BQ52" s="47">
        <f>_xll.qlPolynomialFunctionValue('12MSynthDepo_used'!$P$18,BD52,AllTriggers)</f>
        <v>2.8361817713122408E-3</v>
      </c>
    </row>
    <row r="53" spans="3:69" x14ac:dyDescent="0.2">
      <c r="C53" s="19">
        <v>2</v>
      </c>
      <c r="D53" s="48" t="str">
        <f>C53+SUBSTITUTE($D$24,"M","")&amp;"M"</f>
        <v>14M</v>
      </c>
      <c r="E53" s="177">
        <f>_xll.qlCalendarAdvance(Calendar,SettlementDate,C53&amp;"M","mf",TRUE,Trigger)</f>
        <v>42199</v>
      </c>
      <c r="F53" s="251">
        <f>_xll.qlInterestRateIndexMaturity($D$25,E53,Trigger)</f>
        <v>42565</v>
      </c>
      <c r="G53" s="155">
        <f>_xll.qlTenorBasisForwardRate2(G$27,$E53,$F53,InterestRatesTrigger)</f>
        <v>1.6899023890844952E-3</v>
      </c>
      <c r="H53" s="47">
        <f>_xll.qlTenorBasisTenorForwardRate(H$27,$E53,InterestRatesTrigger)</f>
        <v>1.7259005153762569E-3</v>
      </c>
      <c r="S53" s="47">
        <f>_xll.qlTenorBasisTenorForwardRate(S$27,$E53,InterestRatesTrigger)</f>
        <v>1.7220125819016596E-3</v>
      </c>
      <c r="T53" s="154">
        <f>_xll.qlTenorBasisTenorForwardRate(T$27,$E53,InterestRatesTrigger)</f>
        <v>1.7212257499505358E-3</v>
      </c>
      <c r="U53" s="47">
        <f>_xll.qlTenorBasisTenorForwardRate(U$27,$E53,InterestRatesTrigger)</f>
        <v>1.7342648375526131E-3</v>
      </c>
      <c r="V53" s="47">
        <f>_xll.qlTenorBasisTenorForwardRate(V$27,$E53,InterestRatesTrigger)</f>
        <v>1.7253268022648803E-3</v>
      </c>
      <c r="W53" s="47">
        <f>_xll.qlTenorBasisTenorForwardRate(W$27,$E53,InterestRatesTrigger)</f>
        <v>1.7216431687232683E-3</v>
      </c>
      <c r="X53" s="154">
        <f>_xll.qlTenorBasisTenorForwardRate(X$27,$E53,InterestRatesTrigger)</f>
        <v>1.7208827792706495E-3</v>
      </c>
      <c r="Y53" s="155">
        <f>_xll.qlTenorBasisTenorForwardRate(Y$27,$E53,InterestRatesTrigger)</f>
        <v>1.7212424418377571E-3</v>
      </c>
      <c r="Z53" s="47">
        <f>_xll.qlTenorBasisTenorForwardRate(Z$27,$E53,InterestRatesTrigger)</f>
        <v>1.7243623846252925E-3</v>
      </c>
      <c r="AA53" s="47">
        <f>_xll.qlTenorBasisTenorForwardRate(AA$27,$E53,InterestRatesTrigger)</f>
        <v>1.7251166439451501E-3</v>
      </c>
      <c r="AB53" s="47">
        <f>_xll.qlTenorBasisTenorForwardRate(AB$27,$E53,InterestRatesTrigger)</f>
        <v>1.725356459789327E-3</v>
      </c>
      <c r="AC53" s="154">
        <f>'12MSynthDepo_used'!AA32</f>
        <v>1.7269424006821005E-3</v>
      </c>
      <c r="AD53" s="200">
        <f>'12MSynthDepo_used'!I6</f>
        <v>1.7299999999999998E-3</v>
      </c>
      <c r="BC53" s="178">
        <f>_xll.qlCalendarAdvance(Calendar,BC52,"1d","mf",,Trigger)</f>
        <v>42205</v>
      </c>
      <c r="BD53" s="41">
        <f>_xll.qlDayCounterYearFraction(DayCounter,SettlementDate,BC53,,,Trigger)</f>
        <v>0.18611111111111112</v>
      </c>
      <c r="BE53" s="47">
        <f>_xll.qlPolynomialFunctionValue(BE$1,$BD53,AllTriggers)</f>
        <v>2.8411576367962607E-3</v>
      </c>
      <c r="BF53" s="47">
        <f>_xll.qlPolynomialFunctionValue(BF$1,$BD53,AllTriggers)</f>
        <v>2.8145003697321244E-3</v>
      </c>
      <c r="BG53" s="47">
        <f>_xll.qlPolynomialFunctionValue(BG$1,$BD53,AllTriggers)</f>
        <v>2.9005977197949866E-3</v>
      </c>
      <c r="BH53" s="47">
        <f>_xll.qlPolynomialFunctionValue(BH$1,$BD53,AllTriggers)</f>
        <v>2.9180219237787039E-3</v>
      </c>
      <c r="BI53" s="47">
        <f>_xll.qlPolynomialFunctionValue(BI$1,$BD53,AllTriggers)</f>
        <v>2.8371114743037554E-3</v>
      </c>
      <c r="BJ53" s="47">
        <f>_xll.qlPolynomialFunctionValue(BJ$1,$BD53,AllTriggers)</f>
        <v>2.8121247604852122E-3</v>
      </c>
      <c r="BK53" s="47">
        <f>_xll.qlPolynomialFunctionValue(BK$1,$BD53,AllTriggers)</f>
        <v>2.9011624419093226E-3</v>
      </c>
      <c r="BL53" s="47">
        <f>_xll.qlPolynomialFunctionValue(BL$1,$BD53,AllTriggers)</f>
        <v>2.9195419340807718E-3</v>
      </c>
      <c r="BM53" s="47">
        <f>_xll.qlPolynomialFunctionValue(BM$1,$BD53,AllTriggers)</f>
        <v>2.8869069728639733E-3</v>
      </c>
      <c r="BN53" s="47">
        <f>_xll.qlPolynomialFunctionValue(BN$1,$BD53,AllTriggers)</f>
        <v>2.8585957781468757E-3</v>
      </c>
      <c r="BO53" s="47">
        <f>_xll.qlPolynomialFunctionValue(BO$1,$BD53,AllTriggers)</f>
        <v>2.8984126821597683E-3</v>
      </c>
      <c r="BP53" s="47">
        <f>_xll.qlPolynomialFunctionValue(BP$1,$BD53,AllTriggers)</f>
        <v>2.8807103126182493E-3</v>
      </c>
      <c r="BQ53" s="47">
        <f>_xll.qlPolynomialFunctionValue('12MSynthDepo_used'!$P$18,BD53,AllTriggers)</f>
        <v>2.8403617381419044E-3</v>
      </c>
    </row>
    <row r="54" spans="3:69" x14ac:dyDescent="0.2">
      <c r="C54" s="19">
        <v>3</v>
      </c>
      <c r="D54" s="48" t="str">
        <f>C54+SUBSTITUTE($D$24,"M","")&amp;"M"</f>
        <v>15M</v>
      </c>
      <c r="E54" s="177">
        <f>_xll.qlCalendarAdvance(Calendar,SettlementDate,C54&amp;"M","mf",TRUE,Trigger)</f>
        <v>42230</v>
      </c>
      <c r="F54" s="251">
        <f>_xll.qlInterestRateIndexMaturity($D$25,E54,Trigger)</f>
        <v>42597</v>
      </c>
      <c r="G54" s="155">
        <f>_xll.qlTenorBasisForwardRate2(G$27,$E54,$F54,InterestRatesTrigger)</f>
        <v>1.7296508810075129E-3</v>
      </c>
      <c r="H54" s="47">
        <f>_xll.qlTenorBasisTenorForwardRate(H$27,$E54,InterestRatesTrigger)</f>
        <v>1.7497386849824165E-3</v>
      </c>
      <c r="S54" s="47">
        <f>_xll.qlTenorBasisTenorForwardRate(S$27,$E54,InterestRatesTrigger)</f>
        <v>1.7494176870794667E-3</v>
      </c>
      <c r="T54" s="154">
        <f>_xll.qlTenorBasisTenorForwardRate(T$27,$E54,InterestRatesTrigger)</f>
        <v>1.7493527241864708E-3</v>
      </c>
      <c r="U54" s="47">
        <f>_xll.qlTenorBasisTenorForwardRate(U$27,$E54,InterestRatesTrigger)</f>
        <v>1.7747410271307415E-3</v>
      </c>
      <c r="V54" s="47">
        <f>_xll.qlTenorBasisTenorForwardRate(V$27,$E54,InterestRatesTrigger)</f>
        <v>1.7488125828288761E-3</v>
      </c>
      <c r="W54" s="47">
        <f>_xll.qlTenorBasisTenorForwardRate(W$27,$E54,InterestRatesTrigger)</f>
        <v>1.7488870591811059E-3</v>
      </c>
      <c r="X54" s="154">
        <f>_xll.qlTenorBasisTenorForwardRate(X$27,$E54,InterestRatesTrigger)</f>
        <v>1.7489024328690875E-3</v>
      </c>
      <c r="Y54" s="155">
        <f>_xll.qlTenorBasisTenorForwardRate(Y$27,$E54,InterestRatesTrigger)</f>
        <v>1.7508774081867848E-3</v>
      </c>
      <c r="Z54" s="47">
        <f>_xll.qlTenorBasisTenorForwardRate(Z$27,$E54,InterestRatesTrigger)</f>
        <v>1.7561417410648008E-3</v>
      </c>
      <c r="AA54" s="47">
        <f>_xll.qlTenorBasisTenorForwardRate(AA$27,$E54,InterestRatesTrigger)</f>
        <v>1.7534345512943699E-3</v>
      </c>
      <c r="AB54" s="47">
        <f>_xll.qlTenorBasisTenorForwardRate(AB$27,$E54,InterestRatesTrigger)</f>
        <v>1.7551634696104479E-3</v>
      </c>
      <c r="AC54" s="154">
        <f>'12MSynthDepo_used'!AA33</f>
        <v>1.7585250304326845E-3</v>
      </c>
      <c r="AD54" s="200">
        <f>'12MSynthDepo_used'!I7</f>
        <v>1.7499999999999998E-3</v>
      </c>
      <c r="BC54" s="178">
        <f>_xll.qlCalendarAdvance(Calendar,BC53,"1d","mf",,Trigger)</f>
        <v>42206</v>
      </c>
      <c r="BD54" s="41">
        <f>_xll.qlDayCounterYearFraction(DayCounter,SettlementDate,BC54,,,Trigger)</f>
        <v>0.18888888888888888</v>
      </c>
      <c r="BE54" s="47">
        <f>_xll.qlPolynomialFunctionValue(BE$1,$BD54,AllTriggers)</f>
        <v>2.8420186161712629E-3</v>
      </c>
      <c r="BF54" s="47">
        <f>_xll.qlPolynomialFunctionValue(BF$1,$BD54,AllTriggers)</f>
        <v>2.8165104315403524E-3</v>
      </c>
      <c r="BG54" s="47">
        <f>_xll.qlPolynomialFunctionValue(BG$1,$BD54,AllTriggers)</f>
        <v>2.901059772438454E-3</v>
      </c>
      <c r="BH54" s="47">
        <f>_xll.qlPolynomialFunctionValue(BH$1,$BD54,AllTriggers)</f>
        <v>2.9181706935228046E-3</v>
      </c>
      <c r="BI54" s="47">
        <f>_xll.qlPolynomialFunctionValue(BI$1,$BD54,AllTriggers)</f>
        <v>2.8380010310517134E-3</v>
      </c>
      <c r="BJ54" s="47">
        <f>_xll.qlPolynomialFunctionValue(BJ$1,$BD54,AllTriggers)</f>
        <v>2.8141811226111029E-3</v>
      </c>
      <c r="BK54" s="47">
        <f>_xll.qlPolynomialFunctionValue(BK$1,$BD54,AllTriggers)</f>
        <v>2.9016192218491352E-3</v>
      </c>
      <c r="BL54" s="47">
        <f>_xll.qlPolynomialFunctionValue(BL$1,$BD54,AllTriggers)</f>
        <v>2.9196685222658532E-3</v>
      </c>
      <c r="BM54" s="47">
        <f>_xll.qlPolynomialFunctionValue(BM$1,$BD54,AllTriggers)</f>
        <v>2.8874419555547067E-3</v>
      </c>
      <c r="BN54" s="47">
        <f>_xll.qlPolynomialFunctionValue(BN$1,$BD54,AllTriggers)</f>
        <v>2.8594868184776733E-3</v>
      </c>
      <c r="BO54" s="47">
        <f>_xll.qlPolynomialFunctionValue(BO$1,$BD54,AllTriggers)</f>
        <v>2.8989045889961178E-3</v>
      </c>
      <c r="BP54" s="47">
        <f>_xll.qlPolynomialFunctionValue(BP$1,$BD54,AllTriggers)</f>
        <v>2.8813910389731438E-3</v>
      </c>
      <c r="BQ54" s="47">
        <f>_xll.qlPolynomialFunctionValue('12MSynthDepo_used'!$P$18,BD54,AllTriggers)</f>
        <v>2.8417431746716889E-3</v>
      </c>
    </row>
    <row r="55" spans="3:69" x14ac:dyDescent="0.2">
      <c r="C55" s="19">
        <v>4</v>
      </c>
      <c r="D55" s="48" t="str">
        <f>C55+SUBSTITUTE($D$24,"M","")&amp;"M"</f>
        <v>16M</v>
      </c>
      <c r="E55" s="177">
        <f>_xll.qlCalendarAdvance(Calendar,SettlementDate,C55&amp;"M","mf",TRUE,Trigger)</f>
        <v>42261</v>
      </c>
      <c r="F55" s="251">
        <f>_xll.qlInterestRateIndexMaturity($D$25,E55,Trigger)</f>
        <v>42627</v>
      </c>
      <c r="G55" s="155">
        <f>_xll.qlTenorBasisForwardRate2(G$27,$E55,$F55,InterestRatesTrigger)</f>
        <v>1.7709794376944003E-3</v>
      </c>
      <c r="H55" s="47">
        <f>_xll.qlTenorBasisTenorForwardRate(H$27,$E55,InterestRatesTrigger)</f>
        <v>1.7678838135522994E-3</v>
      </c>
      <c r="S55" s="47">
        <f>_xll.qlTenorBasisTenorForwardRate(S$27,$E55,InterestRatesTrigger)</f>
        <v>1.7792370833960643E-3</v>
      </c>
      <c r="T55" s="154">
        <f>_xll.qlTenorBasisTenorForwardRate(T$27,$E55,InterestRatesTrigger)</f>
        <v>1.7815347347116444E-3</v>
      </c>
      <c r="U55" s="47">
        <f>_xll.qlTenorBasisTenorForwardRate(U$27,$E55,InterestRatesTrigger)</f>
        <v>1.8176315078476603E-3</v>
      </c>
      <c r="V55" s="47">
        <f>_xll.qlTenorBasisTenorForwardRate(V$27,$E55,InterestRatesTrigger)</f>
        <v>1.7663236981759209E-3</v>
      </c>
      <c r="W55" s="47">
        <f>_xll.qlTenorBasisTenorForwardRate(W$27,$E55,InterestRatesTrigger)</f>
        <v>1.778545240777734E-3</v>
      </c>
      <c r="X55" s="154">
        <f>_xll.qlTenorBasisTenorForwardRate(X$27,$E55,InterestRatesTrigger)</f>
        <v>1.7810680574434465E-3</v>
      </c>
      <c r="Y55" s="155">
        <f>_xll.qlTenorBasisTenorForwardRate(Y$27,$E55,InterestRatesTrigger)</f>
        <v>1.7829266656746025E-3</v>
      </c>
      <c r="Z55" s="47">
        <f>_xll.qlTenorBasisTenorForwardRate(Z$27,$E55,InterestRatesTrigger)</f>
        <v>1.7889428764263941E-3</v>
      </c>
      <c r="AA55" s="47">
        <f>_xll.qlTenorBasisTenorForwardRate(AA$27,$E55,InterestRatesTrigger)</f>
        <v>1.7841667497823801E-3</v>
      </c>
      <c r="AB55" s="47">
        <f>_xll.qlTenorBasisTenorForwardRate(AB$27,$E55,InterestRatesTrigger)</f>
        <v>1.7867023688900641E-3</v>
      </c>
      <c r="AC55" s="154">
        <f>'12MSynthDepo_used'!AA34</f>
        <v>1.7898331737795448E-3</v>
      </c>
      <c r="AD55" s="200">
        <f>'12MSynthDepo_used'!I8</f>
        <v>1.7699999999999999E-3</v>
      </c>
      <c r="BC55" s="178">
        <f>_xll.qlCalendarAdvance(Calendar,BC54,"1d","mf",,Trigger)</f>
        <v>42207</v>
      </c>
      <c r="BD55" s="41">
        <f>_xll.qlDayCounterYearFraction(DayCounter,SettlementDate,BC55,,,Trigger)</f>
        <v>0.19166666666666668</v>
      </c>
      <c r="BE55" s="47">
        <f>_xll.qlPolynomialFunctionValue(BE$1,$BD55,AllTriggers)</f>
        <v>2.8428795955462651E-3</v>
      </c>
      <c r="BF55" s="47">
        <f>_xll.qlPolynomialFunctionValue(BF$1,$BD55,AllTriggers)</f>
        <v>2.8185118210283301E-3</v>
      </c>
      <c r="BG55" s="47">
        <f>_xll.qlPolynomialFunctionValue(BG$1,$BD55,AllTriggers)</f>
        <v>2.901521825081921E-3</v>
      </c>
      <c r="BH55" s="47">
        <f>_xll.qlPolynomialFunctionValue(BH$1,$BD55,AllTriggers)</f>
        <v>2.918321218353176E-3</v>
      </c>
      <c r="BI55" s="47">
        <f>_xll.qlPolynomialFunctionValue(BI$1,$BD55,AllTriggers)</f>
        <v>2.8388905877996715E-3</v>
      </c>
      <c r="BJ55" s="47">
        <f>_xll.qlPolynomialFunctionValue(BJ$1,$BD55,AllTriggers)</f>
        <v>2.8162285111665874E-3</v>
      </c>
      <c r="BK55" s="47">
        <f>_xll.qlPolynomialFunctionValue(BK$1,$BD55,AllTriggers)</f>
        <v>2.9020760017889474E-3</v>
      </c>
      <c r="BL55" s="47">
        <f>_xll.qlPolynomialFunctionValue(BL$1,$BD55,AllTriggers)</f>
        <v>2.9197969628089967E-3</v>
      </c>
      <c r="BM55" s="47">
        <f>_xll.qlPolynomialFunctionValue(BM$1,$BD55,AllTriggers)</f>
        <v>2.8879769382454405E-3</v>
      </c>
      <c r="BN55" s="47">
        <f>_xll.qlPolynomialFunctionValue(BN$1,$BD55,AllTriggers)</f>
        <v>2.8603763692541225E-3</v>
      </c>
      <c r="BO55" s="47">
        <f>_xll.qlPolynomialFunctionValue(BO$1,$BD55,AllTriggers)</f>
        <v>2.8993964958324669E-3</v>
      </c>
      <c r="BP55" s="47">
        <f>_xll.qlPolynomialFunctionValue(BP$1,$BD55,AllTriggers)</f>
        <v>2.882071035370787E-3</v>
      </c>
      <c r="BQ55" s="47">
        <f>_xll.qlPolynomialFunctionValue('12MSynthDepo_used'!$P$18,BD55,AllTriggers)</f>
        <v>2.8431186928532396E-3</v>
      </c>
    </row>
    <row r="56" spans="3:69" x14ac:dyDescent="0.2">
      <c r="C56" s="19">
        <v>5</v>
      </c>
      <c r="D56" s="48" t="str">
        <f>C56+SUBSTITUTE($D$24,"M","")&amp;"M"</f>
        <v>17M</v>
      </c>
      <c r="E56" s="177">
        <f>_xll.qlCalendarAdvance(Calendar,SettlementDate,C56&amp;"M","mf",TRUE,Trigger)</f>
        <v>42291</v>
      </c>
      <c r="F56" s="251">
        <f>_xll.qlInterestRateIndexMaturity($D$25,E56,Trigger)</f>
        <v>42657</v>
      </c>
      <c r="G56" s="155">
        <f>_xll.qlTenorBasisForwardRate2(G$27,$E56,$F56,InterestRatesTrigger)</f>
        <v>1.8010490229251363E-3</v>
      </c>
      <c r="H56" s="47">
        <f>_xll.qlTenorBasisTenorForwardRate(H$27,$E56,InterestRatesTrigger)</f>
        <v>1.767420971874091E-3</v>
      </c>
      <c r="S56" s="47">
        <f>_xll.qlTenorBasisTenorForwardRate(S$27,$E56,InterestRatesTrigger)</f>
        <v>1.7977911802658602E-3</v>
      </c>
      <c r="T56" s="154">
        <f>_xll.qlTenorBasisTenorForwardRate(T$27,$E56,InterestRatesTrigger)</f>
        <v>1.8039374403500529E-3</v>
      </c>
      <c r="U56" s="47">
        <f>_xll.qlTenorBasisTenorForwardRate(U$27,$E56,InterestRatesTrigger)</f>
        <v>1.8488350412338964E-3</v>
      </c>
      <c r="V56" s="47">
        <f>_xll.qlTenorBasisTenorForwardRate(V$27,$E56,InterestRatesTrigger)</f>
        <v>1.7649791515835023E-3</v>
      </c>
      <c r="W56" s="47">
        <f>_xll.qlTenorBasisTenorForwardRate(W$27,$E56,InterestRatesTrigger)</f>
        <v>1.7969433234023976E-3</v>
      </c>
      <c r="X56" s="154">
        <f>_xll.qlTenorBasisTenorForwardRate(X$27,$E56,InterestRatesTrigger)</f>
        <v>1.8035414876438284E-3</v>
      </c>
      <c r="Y56" s="155">
        <f>_xll.qlTenorBasisTenorForwardRate(Y$27,$E56,InterestRatesTrigger)</f>
        <v>1.8036386927100954E-3</v>
      </c>
      <c r="Z56" s="47">
        <f>_xll.qlTenorBasisTenorForwardRate(Z$27,$E56,InterestRatesTrigger)</f>
        <v>1.8090566701053051E-3</v>
      </c>
      <c r="AA56" s="47">
        <f>_xll.qlTenorBasisTenorForwardRate(AA$27,$E56,InterestRatesTrigger)</f>
        <v>1.8036042035922525E-3</v>
      </c>
      <c r="AB56" s="47">
        <f>_xll.qlTenorBasisTenorForwardRate(AB$27,$E56,InterestRatesTrigger)</f>
        <v>1.8062707635935085E-3</v>
      </c>
      <c r="AC56" s="154">
        <f>'12MSynthDepo_used'!AA35</f>
        <v>1.8076640873343002E-3</v>
      </c>
      <c r="AD56" s="200">
        <f>'12MSynthDepo_used'!I9</f>
        <v>1.81E-3</v>
      </c>
      <c r="BC56" s="178">
        <f>_xll.qlCalendarAdvance(Calendar,BC55,"1d","mf",,Trigger)</f>
        <v>42208</v>
      </c>
      <c r="BD56" s="41">
        <f>_xll.qlDayCounterYearFraction(DayCounter,SettlementDate,BC56,,,Trigger)</f>
        <v>0.19444444444444445</v>
      </c>
      <c r="BE56" s="47">
        <f>_xll.qlPolynomialFunctionValue(BE$1,$BD56,AllTriggers)</f>
        <v>2.8437405749212673E-3</v>
      </c>
      <c r="BF56" s="47">
        <f>_xll.qlPolynomialFunctionValue(BF$1,$BD56,AllTriggers)</f>
        <v>2.8205045381960573E-3</v>
      </c>
      <c r="BG56" s="47">
        <f>_xll.qlPolynomialFunctionValue(BG$1,$BD56,AllTriggers)</f>
        <v>2.9019838777253884E-3</v>
      </c>
      <c r="BH56" s="47">
        <f>_xll.qlPolynomialFunctionValue(BH$1,$BD56,AllTriggers)</f>
        <v>2.9184734982698186E-3</v>
      </c>
      <c r="BI56" s="47">
        <f>_xll.qlPolynomialFunctionValue(BI$1,$BD56,AllTriggers)</f>
        <v>2.8397801445476292E-3</v>
      </c>
      <c r="BJ56" s="47">
        <f>_xll.qlPolynomialFunctionValue(BJ$1,$BD56,AllTriggers)</f>
        <v>2.8182669261516639E-3</v>
      </c>
      <c r="BK56" s="47">
        <f>_xll.qlPolynomialFunctionValue(BK$1,$BD56,AllTriggers)</f>
        <v>2.9025327817287596E-3</v>
      </c>
      <c r="BL56" s="47">
        <f>_xll.qlPolynomialFunctionValue(BL$1,$BD56,AllTriggers)</f>
        <v>2.9199272557102027E-3</v>
      </c>
      <c r="BM56" s="47">
        <f>_xll.qlPolynomialFunctionValue(BM$1,$BD56,AllTriggers)</f>
        <v>2.8885119209361744E-3</v>
      </c>
      <c r="BN56" s="47">
        <f>_xll.qlPolynomialFunctionValue(BN$1,$BD56,AllTriggers)</f>
        <v>2.8612644304762233E-3</v>
      </c>
      <c r="BO56" s="47">
        <f>_xll.qlPolynomialFunctionValue(BO$1,$BD56,AllTriggers)</f>
        <v>2.8998884026688165E-3</v>
      </c>
      <c r="BP56" s="47">
        <f>_xll.qlPolynomialFunctionValue(BP$1,$BD56,AllTriggers)</f>
        <v>2.8827503018111788E-3</v>
      </c>
      <c r="BQ56" s="47">
        <f>_xll.qlPolynomialFunctionValue('12MSynthDepo_used'!$P$18,BD56,AllTriggers)</f>
        <v>2.8444883074016463E-3</v>
      </c>
    </row>
    <row r="57" spans="3:69" x14ac:dyDescent="0.2">
      <c r="C57" s="19">
        <v>6</v>
      </c>
      <c r="D57" s="48" t="str">
        <f>C57+SUBSTITUTE($D$24,"M","")&amp;"M"</f>
        <v>18M</v>
      </c>
      <c r="E57" s="177">
        <f>_xll.qlCalendarAdvance(Calendar,SettlementDate,C57&amp;"M","mf",TRUE,Trigger)</f>
        <v>42324</v>
      </c>
      <c r="F57" s="251">
        <f>_xll.qlInterestRateIndexMaturity($D$25,E57,Trigger)</f>
        <v>42690</v>
      </c>
      <c r="G57" s="155">
        <f>_xll.qlTenorBasisForwardRate2(G$27,$E57,$F57,InterestRatesTrigger)</f>
        <v>1.8521010418919403E-3</v>
      </c>
      <c r="H57" s="47">
        <f>_xll.qlTenorBasisTenorForwardRate(H$27,$E57,InterestRatesTrigger)</f>
        <v>1.7760609743228395E-3</v>
      </c>
      <c r="S57" s="47">
        <f>_xll.qlTenorBasisTenorForwardRate(S$27,$E57,InterestRatesTrigger)</f>
        <v>1.836119400753191E-3</v>
      </c>
      <c r="T57" s="154">
        <f>_xll.qlTenorBasisTenorForwardRate(T$27,$E57,InterestRatesTrigger)</f>
        <v>1.8482739011216629E-3</v>
      </c>
      <c r="U57" s="47">
        <f>_xll.qlTenorBasisTenorForwardRate(U$27,$E57,InterestRatesTrigger)</f>
        <v>1.9010776418893112E-3</v>
      </c>
      <c r="V57" s="47">
        <f>_xll.qlTenorBasisTenorForwardRate(V$27,$E57,InterestRatesTrigger)</f>
        <v>1.7723446497652131E-3</v>
      </c>
      <c r="W57" s="47">
        <f>_xll.qlTenorBasisTenorForwardRate(W$27,$E57,InterestRatesTrigger)</f>
        <v>1.8350999282200837E-3</v>
      </c>
      <c r="X57" s="154">
        <f>_xll.qlTenorBasisTenorForwardRate(X$27,$E57,InterestRatesTrigger)</f>
        <v>1.8480541081878296E-3</v>
      </c>
      <c r="Y57" s="155">
        <f>_xll.qlTenorBasisTenorForwardRate(Y$27,$E57,InterestRatesTrigger)</f>
        <v>1.844340636379693E-3</v>
      </c>
      <c r="Z57" s="47">
        <f>_xll.qlTenorBasisTenorForwardRate(Z$27,$E57,InterestRatesTrigger)</f>
        <v>1.8475942964694839E-3</v>
      </c>
      <c r="AA57" s="47">
        <f>_xll.qlTenorBasisTenorForwardRate(AA$27,$E57,InterestRatesTrigger)</f>
        <v>1.8429041167136678E-3</v>
      </c>
      <c r="AB57" s="47">
        <f>_xll.qlTenorBasisTenorForwardRate(AB$27,$E57,InterestRatesTrigger)</f>
        <v>1.8449765675285841E-3</v>
      </c>
      <c r="AC57" s="154">
        <f>'12MSynthDepo_used'!AA36</f>
        <v>1.8431983239206643E-3</v>
      </c>
      <c r="AD57" s="200">
        <f>'12MSynthDepo_used'!I10</f>
        <v>1.8500000000000001E-3</v>
      </c>
      <c r="BC57" s="178">
        <f>_xll.qlCalendarAdvance(Calendar,BC56,"1d","mf",,Trigger)</f>
        <v>42209</v>
      </c>
      <c r="BD57" s="41">
        <f>_xll.qlDayCounterYearFraction(DayCounter,SettlementDate,BC57,,,Trigger)</f>
        <v>0.19722222222222222</v>
      </c>
      <c r="BE57" s="47">
        <f>_xll.qlPolynomialFunctionValue(BE$1,$BD57,AllTriggers)</f>
        <v>2.8446015542962699E-3</v>
      </c>
      <c r="BF57" s="47">
        <f>_xll.qlPolynomialFunctionValue(BF$1,$BD57,AllTriggers)</f>
        <v>2.8224885830435333E-3</v>
      </c>
      <c r="BG57" s="47">
        <f>_xll.qlPolynomialFunctionValue(BG$1,$BD57,AllTriggers)</f>
        <v>2.9024459303688553E-3</v>
      </c>
      <c r="BH57" s="47">
        <f>_xll.qlPolynomialFunctionValue(BH$1,$BD57,AllTriggers)</f>
        <v>2.9186275332727329E-3</v>
      </c>
      <c r="BI57" s="47">
        <f>_xll.qlPolynomialFunctionValue(BI$1,$BD57,AllTriggers)</f>
        <v>2.8406697012955872E-3</v>
      </c>
      <c r="BJ57" s="47">
        <f>_xll.qlPolynomialFunctionValue(BJ$1,$BD57,AllTriggers)</f>
        <v>2.8202963675663341E-3</v>
      </c>
      <c r="BK57" s="47">
        <f>_xll.qlPolynomialFunctionValue(BK$1,$BD57,AllTriggers)</f>
        <v>2.9029895616685718E-3</v>
      </c>
      <c r="BL57" s="47">
        <f>_xll.qlPolynomialFunctionValue(BL$1,$BD57,AllTriggers)</f>
        <v>2.9200594009694708E-3</v>
      </c>
      <c r="BM57" s="47">
        <f>_xll.qlPolynomialFunctionValue(BM$1,$BD57,AllTriggers)</f>
        <v>2.8890469036269083E-3</v>
      </c>
      <c r="BN57" s="47">
        <f>_xll.qlPolynomialFunctionValue(BN$1,$BD57,AllTriggers)</f>
        <v>2.8621510021439749E-3</v>
      </c>
      <c r="BO57" s="47">
        <f>_xll.qlPolynomialFunctionValue(BO$1,$BD57,AllTriggers)</f>
        <v>2.900380309505166E-3</v>
      </c>
      <c r="BP57" s="47">
        <f>_xll.qlPolynomialFunctionValue(BP$1,$BD57,AllTriggers)</f>
        <v>2.8834288382943189E-3</v>
      </c>
      <c r="BQ57" s="47">
        <f>_xll.qlPolynomialFunctionValue('12MSynthDepo_used'!$P$18,BD57,AllTriggers)</f>
        <v>2.8458520330319997E-3</v>
      </c>
    </row>
    <row r="58" spans="3:69" x14ac:dyDescent="0.2">
      <c r="C58" s="19">
        <v>7</v>
      </c>
      <c r="D58" s="48" t="str">
        <f>C58+SUBSTITUTE($D$24,"M","")&amp;"M"</f>
        <v>19M</v>
      </c>
      <c r="E58" s="177">
        <f>_xll.qlCalendarAdvance(Calendar,SettlementDate,C58&amp;"M","mf",TRUE,Trigger)</f>
        <v>42352</v>
      </c>
      <c r="F58" s="251">
        <f>_xll.qlInterestRateIndexMaturity($D$25,E58,Trigger)</f>
        <v>42718</v>
      </c>
      <c r="G58" s="155">
        <f>_xll.qlTenorBasisForwardRate2(G$27,$E58,$F58,InterestRatesTrigger)</f>
        <v>1.9084696853587399E-3</v>
      </c>
      <c r="H58" s="47">
        <f>_xll.qlTenorBasisTenorForwardRate(H$27,$E58,InterestRatesTrigger)</f>
        <v>1.7891966098326573E-3</v>
      </c>
      <c r="S58" s="47">
        <f>_xll.qlTenorBasisTenorForwardRate(S$27,$E58,InterestRatesTrigger)</f>
        <v>1.8816496821918061E-3</v>
      </c>
      <c r="T58" s="154">
        <f>_xll.qlTenorBasisTenorForwardRate(T$27,$E58,InterestRatesTrigger)</f>
        <v>1.9003601441343748E-3</v>
      </c>
      <c r="U58" s="47">
        <f>_xll.qlTenorBasisTenorForwardRate(U$27,$E58,InterestRatesTrigger)</f>
        <v>1.9584140640766037E-3</v>
      </c>
      <c r="V58" s="47">
        <f>_xll.qlTenorBasisTenorForwardRate(V$27,$E58,InterestRatesTrigger)</f>
        <v>1.7841486202330231E-3</v>
      </c>
      <c r="W58" s="47">
        <f>_xll.qlTenorBasisTenorForwardRate(W$27,$E58,InterestRatesTrigger)</f>
        <v>1.8804845963632422E-3</v>
      </c>
      <c r="X58" s="154">
        <f>_xll.qlTenorBasisTenorForwardRate(X$27,$E58,InterestRatesTrigger)</f>
        <v>1.9003706299031411E-3</v>
      </c>
      <c r="Y58" s="155">
        <f>_xll.qlTenorBasisTenorForwardRate(Y$27,$E58,InterestRatesTrigger)</f>
        <v>1.891884985972959E-3</v>
      </c>
      <c r="Z58" s="47">
        <f>_xll.qlTenorBasisTenorForwardRate(Z$27,$E58,InterestRatesTrigger)</f>
        <v>1.8920647889900848E-3</v>
      </c>
      <c r="AA58" s="47">
        <f>_xll.qlTenorBasisTenorForwardRate(AA$27,$E58,InterestRatesTrigger)</f>
        <v>1.8892588646296877E-3</v>
      </c>
      <c r="AB58" s="47">
        <f>_xll.qlTenorBasisTenorForwardRate(AB$27,$E58,InterestRatesTrigger)</f>
        <v>1.8902208013292531E-3</v>
      </c>
      <c r="AC58" s="154">
        <f>'12MSynthDepo_used'!AA37</f>
        <v>1.8850818394113267E-3</v>
      </c>
      <c r="AD58" s="200">
        <f>'12MSynthDepo_used'!I11</f>
        <v>1.89E-3</v>
      </c>
      <c r="BC58" s="178">
        <f>_xll.qlCalendarAdvance(Calendar,BC57,"1d","mf",,Trigger)</f>
        <v>42212</v>
      </c>
      <c r="BD58" s="41">
        <f>_xll.qlDayCounterYearFraction(DayCounter,SettlementDate,BC58,,,Trigger)</f>
        <v>0.20555555555555555</v>
      </c>
      <c r="BE58" s="47">
        <f>_xll.qlPolynomialFunctionValue(BE$1,$BD58,AllTriggers)</f>
        <v>2.8471844924212765E-3</v>
      </c>
      <c r="BF58" s="47">
        <f>_xll.qlPolynomialFunctionValue(BF$1,$BD58,AllTriggers)</f>
        <v>2.8283886836644565E-3</v>
      </c>
      <c r="BG58" s="47">
        <f>_xll.qlPolynomialFunctionValue(BG$1,$BD58,AllTriggers)</f>
        <v>2.9038320882992571E-3</v>
      </c>
      <c r="BH58" s="47">
        <f>_xll.qlPolynomialFunctionValue(BH$1,$BD58,AllTriggers)</f>
        <v>2.9191001687990993E-3</v>
      </c>
      <c r="BI58" s="47">
        <f>_xll.qlPolynomialFunctionValue(BI$1,$BD58,AllTriggers)</f>
        <v>2.8433383715394615E-3</v>
      </c>
      <c r="BJ58" s="47">
        <f>_xll.qlPolynomialFunctionValue(BJ$1,$BD58,AllTriggers)</f>
        <v>2.8263308503879009E-3</v>
      </c>
      <c r="BK58" s="47">
        <f>_xll.qlPolynomialFunctionValue(BK$1,$BD58,AllTriggers)</f>
        <v>2.9043599014880088E-3</v>
      </c>
      <c r="BL58" s="47">
        <f>_xll.qlPolynomialFunctionValue(BL$1,$BD58,AllTriggers)</f>
        <v>2.9204669508956509E-3</v>
      </c>
      <c r="BM58" s="47">
        <f>_xll.qlPolynomialFunctionValue(BM$1,$BD58,AllTriggers)</f>
        <v>2.8906518516991098E-3</v>
      </c>
      <c r="BN58" s="47">
        <f>_xll.qlPolynomialFunctionValue(BN$1,$BD58,AllTriggers)</f>
        <v>2.8648017798211401E-3</v>
      </c>
      <c r="BO58" s="47">
        <f>_xll.qlPolynomialFunctionValue(BO$1,$BD58,AllTriggers)</f>
        <v>2.9018560300142142E-3</v>
      </c>
      <c r="BP58" s="47">
        <f>_xll.qlPolynomialFunctionValue(BP$1,$BD58,AllTriggers)</f>
        <v>2.8854600680002312E-3</v>
      </c>
      <c r="BQ58" s="47">
        <f>_xll.qlPolynomialFunctionValue('12MSynthDepo_used'!$P$18,BD58,AllTriggers)</f>
        <v>2.849908023565639E-3</v>
      </c>
    </row>
    <row r="59" spans="3:69" x14ac:dyDescent="0.2">
      <c r="C59" s="19">
        <v>8</v>
      </c>
      <c r="D59" s="48" t="str">
        <f>C59+SUBSTITUTE($D$24,"M","")&amp;"M"</f>
        <v>20M</v>
      </c>
      <c r="E59" s="177">
        <f>_xll.qlCalendarAdvance(Calendar,SettlementDate,C59&amp;"M","mf",TRUE,Trigger)</f>
        <v>42383</v>
      </c>
      <c r="F59" s="251">
        <f>_xll.qlInterestRateIndexMaturity($D$25,E59,Trigger)</f>
        <v>42751</v>
      </c>
      <c r="G59" s="155">
        <f>_xll.qlTenorBasisForwardRate2(G$27,$E59,$F59,InterestRatesTrigger)</f>
        <v>2.0049230040699055E-3</v>
      </c>
      <c r="H59" s="47">
        <f>_xll.qlTenorBasisTenorForwardRate(H$27,$E59,InterestRatesTrigger)</f>
        <v>1.8291156660663007E-3</v>
      </c>
      <c r="S59" s="47">
        <f>_xll.qlTenorBasisTenorForwardRate(S$27,$E59,InterestRatesTrigger)</f>
        <v>1.9651492811837206E-3</v>
      </c>
      <c r="T59" s="154">
        <f>_xll.qlTenorBasisTenorForwardRate(T$27,$E59,InterestRatesTrigger)</f>
        <v>1.9926794834108255E-3</v>
      </c>
      <c r="U59" s="47">
        <f>_xll.qlTenorBasisTenorForwardRate(U$27,$E59,InterestRatesTrigger)</f>
        <v>2.0549847474688396E-3</v>
      </c>
      <c r="V59" s="47">
        <f>_xll.qlTenorBasisTenorForwardRate(V$27,$E59,InterestRatesTrigger)</f>
        <v>1.8223253358231094E-3</v>
      </c>
      <c r="W59" s="47">
        <f>_xll.qlTenorBasisTenorForwardRate(W$27,$E59,InterestRatesTrigger)</f>
        <v>1.9638229806351873E-3</v>
      </c>
      <c r="X59" s="154">
        <f>_xll.qlTenorBasisTenorForwardRate(X$27,$E59,InterestRatesTrigger)</f>
        <v>1.993031455221526E-3</v>
      </c>
      <c r="Y59" s="155">
        <f>_xll.qlTenorBasisTenorForwardRate(Y$27,$E59,InterestRatesTrigger)</f>
        <v>1.9776144461360937E-3</v>
      </c>
      <c r="Z59" s="47">
        <f>_xll.qlTenorBasisTenorForwardRate(Z$27,$E59,InterestRatesTrigger)</f>
        <v>1.9730659176580242E-3</v>
      </c>
      <c r="AA59" s="47">
        <f>_xll.qlTenorBasisTenorForwardRate(AA$27,$E59,InterestRatesTrigger)</f>
        <v>1.973671265793015E-3</v>
      </c>
      <c r="AB59" s="47">
        <f>_xll.qlTenorBasisTenorForwardRate(AB$27,$E59,InterestRatesTrigger)</f>
        <v>1.9727543224778606E-3</v>
      </c>
      <c r="AC59" s="154">
        <f>'12MSynthDepo_used'!AA38</f>
        <v>1.9635733824238202E-3</v>
      </c>
      <c r="AD59" s="200">
        <f>'12MSynthDepo_used'!I12</f>
        <v>1.97E-3</v>
      </c>
      <c r="BC59" s="178">
        <f>_xll.qlCalendarAdvance(Calendar,BC58,"1d","mf",,Trigger)</f>
        <v>42213</v>
      </c>
      <c r="BD59" s="41">
        <f>_xll.qlDayCounterYearFraction(DayCounter,SettlementDate,BC59,,,Trigger)</f>
        <v>0.20833333333333334</v>
      </c>
      <c r="BE59" s="47">
        <f>_xll.qlPolynomialFunctionValue(BE$1,$BD59,AllTriggers)</f>
        <v>2.8480454717962787E-3</v>
      </c>
      <c r="BF59" s="47">
        <f>_xll.qlPolynomialFunctionValue(BF$1,$BD59,AllTriggers)</f>
        <v>2.8303380392309297E-3</v>
      </c>
      <c r="BG59" s="47">
        <f>_xll.qlPolynomialFunctionValue(BG$1,$BD59,AllTriggers)</f>
        <v>2.904294140942724E-3</v>
      </c>
      <c r="BH59" s="47">
        <f>_xll.qlPolynomialFunctionValue(BH$1,$BD59,AllTriggers)</f>
        <v>2.919261224147097E-3</v>
      </c>
      <c r="BI59" s="47">
        <f>_xll.qlPolynomialFunctionValue(BI$1,$BD59,AllTriggers)</f>
        <v>2.8442279282874191E-3</v>
      </c>
      <c r="BJ59" s="47">
        <f>_xll.qlPolynomialFunctionValue(BJ$1,$BD59,AllTriggers)</f>
        <v>2.8283243975209425E-3</v>
      </c>
      <c r="BK59" s="47">
        <f>_xll.qlPolynomialFunctionValue(BK$1,$BD59,AllTriggers)</f>
        <v>2.904816681427821E-3</v>
      </c>
      <c r="BL59" s="47">
        <f>_xll.qlPolynomialFunctionValue(BL$1,$BD59,AllTriggers)</f>
        <v>2.920606505587169E-3</v>
      </c>
      <c r="BM59" s="47">
        <f>_xll.qlPolynomialFunctionValue(BM$1,$BD59,AllTriggers)</f>
        <v>2.8911868343898433E-3</v>
      </c>
      <c r="BN59" s="47">
        <f>_xll.qlPolynomialFunctionValue(BN$1,$BD59,AllTriggers)</f>
        <v>2.8656823932714979E-3</v>
      </c>
      <c r="BO59" s="47">
        <f>_xll.qlPolynomialFunctionValue(BO$1,$BD59,AllTriggers)</f>
        <v>2.9023479368505637E-3</v>
      </c>
      <c r="BP59" s="47">
        <f>_xll.qlPolynomialFunctionValue(BP$1,$BD59,AllTriggers)</f>
        <v>2.8861356846543659E-3</v>
      </c>
      <c r="BQ59" s="47">
        <f>_xll.qlPolynomialFunctionValue('12MSynthDepo_used'!$P$18,BD59,AllTriggers)</f>
        <v>2.8512483406746801E-3</v>
      </c>
    </row>
    <row r="60" spans="3:69" x14ac:dyDescent="0.2">
      <c r="C60" s="19">
        <v>9</v>
      </c>
      <c r="D60" s="48" t="str">
        <f>C60+SUBSTITUTE($D$24,"M","")&amp;"M"</f>
        <v>21M</v>
      </c>
      <c r="E60" s="177">
        <f>_xll.qlCalendarAdvance(Calendar,SettlementDate,C60&amp;"M","mf",TRUE,Trigger)</f>
        <v>42415</v>
      </c>
      <c r="F60" s="251">
        <f>_xll.qlInterestRateIndexMaturity($D$25,E60,Trigger)</f>
        <v>42781</v>
      </c>
      <c r="G60" s="155">
        <f>_xll.qlTenorBasisForwardRate2(G$27,$E60,$F60,InterestRatesTrigger)</f>
        <v>2.0861641957252634E-3</v>
      </c>
      <c r="H60" s="47">
        <f>_xll.qlTenorBasisTenorForwardRate(H$27,$E60,InterestRatesTrigger)</f>
        <v>1.8452646649628434E-3</v>
      </c>
      <c r="S60" s="47">
        <f>_xll.qlTenorBasisTenorForwardRate(S$27,$E60,InterestRatesTrigger)</f>
        <v>2.0347884874149912E-3</v>
      </c>
      <c r="T60" s="154">
        <f>_xll.qlTenorBasisTenorForwardRate(T$27,$E60,InterestRatesTrigger)</f>
        <v>2.0731439273881033E-3</v>
      </c>
      <c r="U60" s="47">
        <f>_xll.qlTenorBasisTenorForwardRate(U$27,$E60,InterestRatesTrigger)</f>
        <v>2.1381166859843134E-3</v>
      </c>
      <c r="V60" s="47">
        <f>_xll.qlTenorBasisTenorForwardRate(V$27,$E60,InterestRatesTrigger)</f>
        <v>1.8363803918554197E-3</v>
      </c>
      <c r="W60" s="47">
        <f>_xll.qlTenorBasisTenorForwardRate(W$27,$E60,InterestRatesTrigger)</f>
        <v>2.0332957716716503E-3</v>
      </c>
      <c r="X60" s="154">
        <f>_xll.qlTenorBasisTenorForwardRate(X$27,$E60,InterestRatesTrigger)</f>
        <v>2.0739437829842078E-3</v>
      </c>
      <c r="Y60" s="155">
        <f>_xll.qlTenorBasisTenorForwardRate(Y$27,$E60,InterestRatesTrigger)</f>
        <v>2.0495554445441079E-3</v>
      </c>
      <c r="Z60" s="47">
        <f>_xll.qlTenorBasisTenorForwardRate(Z$27,$E60,InterestRatesTrigger)</f>
        <v>2.0386654413962427E-3</v>
      </c>
      <c r="AA60" s="47">
        <f>_xll.qlTenorBasisTenorForwardRate(AA$27,$E60,InterestRatesTrigger)</f>
        <v>2.0442527194270343E-3</v>
      </c>
      <c r="AB60" s="47">
        <f>_xll.qlTenorBasisTenorForwardRate(AB$27,$E60,InterestRatesTrigger)</f>
        <v>2.0406805109002878E-3</v>
      </c>
      <c r="AC60" s="154">
        <f>'12MSynthDepo_used'!AA39</f>
        <v>2.0274048757023908E-3</v>
      </c>
      <c r="AD60" s="200">
        <f>'12MSynthDepo_used'!I13</f>
        <v>2.0400000000000001E-3</v>
      </c>
      <c r="BC60" s="178">
        <f>_xll.qlCalendarAdvance(Calendar,BC59,"1d","mf",,Trigger)</f>
        <v>42214</v>
      </c>
      <c r="BD60" s="41">
        <f>_xll.qlDayCounterYearFraction(DayCounter,SettlementDate,BC60,,,Trigger)</f>
        <v>0.21111111111111111</v>
      </c>
      <c r="BE60" s="47">
        <f>_xll.qlPolynomialFunctionValue(BE$1,$BD60,AllTriggers)</f>
        <v>2.8489064511712809E-3</v>
      </c>
      <c r="BF60" s="47">
        <f>_xll.qlPolynomialFunctionValue(BF$1,$BD60,AllTriggers)</f>
        <v>2.832278722477152E-3</v>
      </c>
      <c r="BG60" s="47">
        <f>_xll.qlPolynomialFunctionValue(BG$1,$BD60,AllTriggers)</f>
        <v>2.9047561935861914E-3</v>
      </c>
      <c r="BH60" s="47">
        <f>_xll.qlPolynomialFunctionValue(BH$1,$BD60,AllTriggers)</f>
        <v>2.919424034581365E-3</v>
      </c>
      <c r="BI60" s="47">
        <f>_xll.qlPolynomialFunctionValue(BI$1,$BD60,AllTriggers)</f>
        <v>2.8451174850353772E-3</v>
      </c>
      <c r="BJ60" s="47">
        <f>_xll.qlPolynomialFunctionValue(BJ$1,$BD60,AllTriggers)</f>
        <v>2.8303089710835765E-3</v>
      </c>
      <c r="BK60" s="47">
        <f>_xll.qlPolynomialFunctionValue(BK$1,$BD60,AllTriggers)</f>
        <v>2.9052734613676332E-3</v>
      </c>
      <c r="BL60" s="47">
        <f>_xll.qlPolynomialFunctionValue(BL$1,$BD60,AllTriggers)</f>
        <v>2.9207479126367492E-3</v>
      </c>
      <c r="BM60" s="47">
        <f>_xll.qlPolynomialFunctionValue(BM$1,$BD60,AllTriggers)</f>
        <v>2.8917218170805771E-3</v>
      </c>
      <c r="BN60" s="47">
        <f>_xll.qlPolynomialFunctionValue(BN$1,$BD60,AllTriggers)</f>
        <v>2.8665615171675077E-3</v>
      </c>
      <c r="BO60" s="47">
        <f>_xll.qlPolynomialFunctionValue(BO$1,$BD60,AllTriggers)</f>
        <v>2.9028398436869128E-3</v>
      </c>
      <c r="BP60" s="47">
        <f>_xll.qlPolynomialFunctionValue(BP$1,$BD60,AllTriggers)</f>
        <v>2.8868105713512485E-3</v>
      </c>
      <c r="BQ60" s="47">
        <f>_xll.qlPolynomialFunctionValue('12MSynthDepo_used'!$P$18,BD60,AllTriggers)</f>
        <v>2.8525828424411188E-3</v>
      </c>
    </row>
    <row r="61" spans="3:69" x14ac:dyDescent="0.2">
      <c r="C61" s="19">
        <v>10</v>
      </c>
      <c r="D61" s="48" t="str">
        <f>C61+SUBSTITUTE($D$24,"M","")&amp;"M"</f>
        <v>22M</v>
      </c>
      <c r="E61" s="177">
        <f>_xll.qlCalendarAdvance(Calendar,SettlementDate,C61&amp;"M","mf",TRUE,Trigger)</f>
        <v>42443</v>
      </c>
      <c r="F61" s="251">
        <f>_xll.qlInterestRateIndexMaturity($D$25,E61,Trigger)</f>
        <v>42808</v>
      </c>
      <c r="G61" s="155">
        <f>_xll.qlTenorBasisForwardRate2(G$27,$E61,$F61,InterestRatesTrigger)</f>
        <v>2.1795878123850479E-3</v>
      </c>
      <c r="H61" s="47">
        <f>_xll.qlTenorBasisTenorForwardRate(H$27,$E61,InterestRatesTrigger)</f>
        <v>1.8742563301666964E-3</v>
      </c>
      <c r="S61" s="47">
        <f>_xll.qlTenorBasisTenorForwardRate(S$27,$E61,InterestRatesTrigger)</f>
        <v>2.1176706178838247E-3</v>
      </c>
      <c r="T61" s="154">
        <f>_xll.qlTenorBasisTenorForwardRate(T$27,$E61,InterestRatesTrigger)</f>
        <v>2.1669322989766563E-3</v>
      </c>
      <c r="U61" s="47">
        <f>_xll.qlTenorBasisTenorForwardRate(U$27,$E61,InterestRatesTrigger)</f>
        <v>2.232804957201824E-3</v>
      </c>
      <c r="V61" s="47">
        <f>_xll.qlTenorBasisTenorForwardRate(V$27,$E61,InterestRatesTrigger)</f>
        <v>1.8632936923165793E-3</v>
      </c>
      <c r="W61" s="47">
        <f>_xll.qlTenorBasisTenorForwardRate(W$27,$E61,InterestRatesTrigger)</f>
        <v>2.1160322888450272E-3</v>
      </c>
      <c r="X61" s="154">
        <f>_xll.qlTenorBasisTenorForwardRate(X$27,$E61,InterestRatesTrigger)</f>
        <v>2.1682035379389057E-3</v>
      </c>
      <c r="Y61" s="155">
        <f>_xll.qlTenorBasisTenorForwardRate(Y$27,$E61,InterestRatesTrigger)</f>
        <v>2.134451643167592E-3</v>
      </c>
      <c r="Z61" s="47">
        <f>_xll.qlTenorBasisTenorForwardRate(Z$27,$E61,InterestRatesTrigger)</f>
        <v>2.1167956693901777E-3</v>
      </c>
      <c r="AA61" s="47">
        <f>_xll.qlTenorBasisTenorForwardRate(AA$27,$E61,InterestRatesTrigger)</f>
        <v>2.1279593163732722E-3</v>
      </c>
      <c r="AB61" s="47">
        <f>_xll.qlTenorBasisTenorForwardRate(AB$27,$E61,InterestRatesTrigger)</f>
        <v>2.1214672706496001E-3</v>
      </c>
      <c r="AC61" s="154">
        <f>'12MSynthDepo_used'!AA40</f>
        <v>2.1050332437855795E-3</v>
      </c>
      <c r="AD61" s="200">
        <f>'12MSynthDepo_used'!I14</f>
        <v>2.1000000000000003E-3</v>
      </c>
      <c r="BC61" s="178">
        <f>_xll.qlCalendarAdvance(Calendar,BC60,"1d","mf",,Trigger)</f>
        <v>42215</v>
      </c>
      <c r="BD61" s="41">
        <f>_xll.qlDayCounterYearFraction(DayCounter,SettlementDate,BC61,,,Trigger)</f>
        <v>0.21388888888888888</v>
      </c>
      <c r="BE61" s="47">
        <f>_xll.qlPolynomialFunctionValue(BE$1,$BD61,AllTriggers)</f>
        <v>2.8497674305462831E-3</v>
      </c>
      <c r="BF61" s="47">
        <f>_xll.qlPolynomialFunctionValue(BF$1,$BD61,AllTriggers)</f>
        <v>2.8342107334031232E-3</v>
      </c>
      <c r="BG61" s="47">
        <f>_xll.qlPolynomialFunctionValue(BG$1,$BD61,AllTriggers)</f>
        <v>2.9052182462296584E-3</v>
      </c>
      <c r="BH61" s="47">
        <f>_xll.qlPolynomialFunctionValue(BH$1,$BD61,AllTriggers)</f>
        <v>2.9195886001019047E-3</v>
      </c>
      <c r="BI61" s="47">
        <f>_xll.qlPolynomialFunctionValue(BI$1,$BD61,AllTriggers)</f>
        <v>2.8460070417833353E-3</v>
      </c>
      <c r="BJ61" s="47">
        <f>_xll.qlPolynomialFunctionValue(BJ$1,$BD61,AllTriggers)</f>
        <v>2.8322845710758043E-3</v>
      </c>
      <c r="BK61" s="47">
        <f>_xll.qlPolynomialFunctionValue(BK$1,$BD61,AllTriggers)</f>
        <v>2.9057302413074454E-3</v>
      </c>
      <c r="BL61" s="47">
        <f>_xll.qlPolynomialFunctionValue(BL$1,$BD61,AllTriggers)</f>
        <v>2.9208911720443923E-3</v>
      </c>
      <c r="BM61" s="47">
        <f>_xll.qlPolynomialFunctionValue(BM$1,$BD61,AllTriggers)</f>
        <v>2.892256799771311E-3</v>
      </c>
      <c r="BN61" s="47">
        <f>_xll.qlPolynomialFunctionValue(BN$1,$BD61,AllTriggers)</f>
        <v>2.8674391515091683E-3</v>
      </c>
      <c r="BO61" s="47">
        <f>_xll.qlPolynomialFunctionValue(BO$1,$BD61,AllTriggers)</f>
        <v>2.9033317505232623E-3</v>
      </c>
      <c r="BP61" s="47">
        <f>_xll.qlPolynomialFunctionValue(BP$1,$BD61,AllTriggers)</f>
        <v>2.8874847280908797E-3</v>
      </c>
      <c r="BQ61" s="47">
        <f>_xll.qlPolynomialFunctionValue('12MSynthDepo_used'!$P$18,BD61,AllTriggers)</f>
        <v>2.8539115435800458E-3</v>
      </c>
    </row>
    <row r="62" spans="3:69" x14ac:dyDescent="0.2">
      <c r="C62" s="19">
        <v>11</v>
      </c>
      <c r="D62" s="48" t="str">
        <f>C62+SUBSTITUTE($D$24,"M","")&amp;"M"</f>
        <v>23M</v>
      </c>
      <c r="E62" s="177">
        <f>_xll.qlCalendarAdvance(Calendar,SettlementDate,C62&amp;"M","mf",TRUE,Trigger)</f>
        <v>42474</v>
      </c>
      <c r="F62" s="251">
        <f>_xll.qlInterestRateIndexMaturity($D$25,E62,Trigger)</f>
        <v>42843</v>
      </c>
      <c r="G62" s="155">
        <f>_xll.qlTenorBasisForwardRate2(G$27,$E62,$F62,InterestRatesTrigger)</f>
        <v>2.3047007304511898E-3</v>
      </c>
      <c r="H62" s="47">
        <f>_xll.qlTenorBasisTenorForwardRate(H$27,$E62,InterestRatesTrigger)</f>
        <v>1.9180776900297467E-3</v>
      </c>
      <c r="S62" s="47">
        <f>_xll.qlTenorBasisTenorForwardRate(S$27,$E62,InterestRatesTrigger)</f>
        <v>2.2288714633416353E-3</v>
      </c>
      <c r="T62" s="154">
        <f>_xll.qlTenorBasisTenorForwardRate(T$27,$E62,InterestRatesTrigger)</f>
        <v>2.2917692656445146E-3</v>
      </c>
      <c r="U62" s="47">
        <f>_xll.qlTenorBasisTenorForwardRate(U$27,$E62,InterestRatesTrigger)</f>
        <v>2.3570768870599559E-3</v>
      </c>
      <c r="V62" s="47">
        <f>_xll.qlTenorBasisTenorForwardRate(V$27,$E62,InterestRatesTrigger)</f>
        <v>1.9045460082960284E-3</v>
      </c>
      <c r="W62" s="47">
        <f>_xll.qlTenorBasisTenorForwardRate(W$27,$E62,InterestRatesTrigger)</f>
        <v>2.2270719195828684E-3</v>
      </c>
      <c r="X62" s="154">
        <f>_xll.qlTenorBasisTenorForwardRate(X$27,$E62,InterestRatesTrigger)</f>
        <v>2.2936489279547635E-3</v>
      </c>
      <c r="Y62" s="155">
        <f>_xll.qlTenorBasisTenorForwardRate(Y$27,$E62,InterestRatesTrigger)</f>
        <v>2.2478823497966227E-3</v>
      </c>
      <c r="Z62" s="47">
        <f>_xll.qlTenorBasisTenorForwardRate(Z$27,$E62,InterestRatesTrigger)</f>
        <v>2.2214103473717482E-3</v>
      </c>
      <c r="AA62" s="47">
        <f>_xll.qlTenorBasisTenorForwardRate(AA$27,$E62,InterestRatesTrigger)</f>
        <v>2.2400729640024955E-3</v>
      </c>
      <c r="AB62" s="47">
        <f>_xll.qlTenorBasisTenorForwardRate(AB$27,$E62,InterestRatesTrigger)</f>
        <v>2.2296988591380741E-3</v>
      </c>
      <c r="AC62" s="154">
        <f>'12MSynthDepo_used'!AA41</f>
        <v>2.2106218020254247E-3</v>
      </c>
      <c r="AD62" s="200">
        <f>'12MSynthDepo_used'!I15</f>
        <v>2.2100000000000002E-3</v>
      </c>
      <c r="BC62" s="178">
        <f>_xll.qlCalendarAdvance(Calendar,BC61,"1d","mf",,Trigger)</f>
        <v>42216</v>
      </c>
      <c r="BD62" s="41">
        <f>_xll.qlDayCounterYearFraction(DayCounter,SettlementDate,BC62,,,Trigger)</f>
        <v>0.21666666666666667</v>
      </c>
      <c r="BE62" s="47">
        <f>_xll.qlPolynomialFunctionValue(BE$1,$BD62,AllTriggers)</f>
        <v>2.8506284099212853E-3</v>
      </c>
      <c r="BF62" s="47">
        <f>_xll.qlPolynomialFunctionValue(BF$1,$BD62,AllTriggers)</f>
        <v>2.8361340720088443E-3</v>
      </c>
      <c r="BG62" s="47">
        <f>_xll.qlPolynomialFunctionValue(BG$1,$BD62,AllTriggers)</f>
        <v>2.9056802988731258E-3</v>
      </c>
      <c r="BH62" s="47">
        <f>_xll.qlPolynomialFunctionValue(BH$1,$BD62,AllTriggers)</f>
        <v>2.9197549207087147E-3</v>
      </c>
      <c r="BI62" s="47">
        <f>_xll.qlPolynomialFunctionValue(BI$1,$BD62,AllTriggers)</f>
        <v>2.8468965985312933E-3</v>
      </c>
      <c r="BJ62" s="47">
        <f>_xll.qlPolynomialFunctionValue(BJ$1,$BD62,AllTriggers)</f>
        <v>2.834251197497624E-3</v>
      </c>
      <c r="BK62" s="47">
        <f>_xll.qlPolynomialFunctionValue(BK$1,$BD62,AllTriggers)</f>
        <v>2.9061870212472576E-3</v>
      </c>
      <c r="BL62" s="47">
        <f>_xll.qlPolynomialFunctionValue(BL$1,$BD62,AllTriggers)</f>
        <v>2.9210362838100975E-3</v>
      </c>
      <c r="BM62" s="47">
        <f>_xll.qlPolynomialFunctionValue(BM$1,$BD62,AllTriggers)</f>
        <v>2.8927917824620448E-3</v>
      </c>
      <c r="BN62" s="47">
        <f>_xll.qlPolynomialFunctionValue(BN$1,$BD62,AllTriggers)</f>
        <v>2.8683152962964806E-3</v>
      </c>
      <c r="BO62" s="47">
        <f>_xll.qlPolynomialFunctionValue(BO$1,$BD62,AllTriggers)</f>
        <v>2.9038236573596119E-3</v>
      </c>
      <c r="BP62" s="47">
        <f>_xll.qlPolynomialFunctionValue(BP$1,$BD62,AllTriggers)</f>
        <v>2.8881581548732601E-3</v>
      </c>
      <c r="BQ62" s="47">
        <f>_xll.qlPolynomialFunctionValue('12MSynthDepo_used'!$P$18,BD62,AllTriggers)</f>
        <v>2.8552344588065504E-3</v>
      </c>
    </row>
    <row r="63" spans="3:69" x14ac:dyDescent="0.2">
      <c r="C63" s="19">
        <v>12</v>
      </c>
      <c r="D63" s="49" t="str">
        <f>C63+SUBSTITUTE($D$24,"M","")&amp;"M"</f>
        <v>24M</v>
      </c>
      <c r="E63" s="181">
        <f>_xll.qlCalendarAdvance(Calendar,SettlementDate,C63&amp;"M","mf",TRUE,Trigger)</f>
        <v>42506</v>
      </c>
      <c r="F63" s="274">
        <f>_xll.qlInterestRateIndexMaturity($D$25,E63,Trigger)</f>
        <v>42871</v>
      </c>
      <c r="G63" s="275">
        <f>_xll.qlTenorBasisForwardRate2(G$27,$E63,$F63,InterestRatesTrigger)</f>
        <v>2.4293792915868807E-3</v>
      </c>
      <c r="H63" s="50">
        <f>_xll.qlTenorBasisTenorForwardRate(H$27,$E63,InterestRatesTrigger)</f>
        <v>1.9537991024606975E-3</v>
      </c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50">
        <f>_xll.qlTenorBasisTenorForwardRate(S$27,$E63,InterestRatesTrigger)</f>
        <v>2.3426497337772382E-3</v>
      </c>
      <c r="T63" s="276">
        <f>_xll.qlTenorBasisTenorForwardRate(T$27,$E63,InterestRatesTrigger)</f>
        <v>2.4213445218782647E-3</v>
      </c>
      <c r="U63" s="50">
        <f>_xll.qlTenorBasisTenorForwardRate(U$27,$E63,InterestRatesTrigger)</f>
        <v>2.4843478897797612E-3</v>
      </c>
      <c r="V63" s="50">
        <f>_xll.qlTenorBasisTenorForwardRate(V$27,$E63,InterestRatesTrigger)</f>
        <v>1.9373201067762495E-3</v>
      </c>
      <c r="W63" s="50">
        <f>_xll.qlTenorBasisTenorForwardRate(W$27,$E63,InterestRatesTrigger)</f>
        <v>2.3406837748236636E-3</v>
      </c>
      <c r="X63" s="276">
        <f>_xll.qlTenorBasisTenorForwardRate(X$27,$E63,InterestRatesTrigger)</f>
        <v>2.4239476161608256E-3</v>
      </c>
      <c r="Y63" s="275">
        <f>_xll.qlTenorBasisTenorForwardRate(Y$27,$E63,InterestRatesTrigger)</f>
        <v>2.3639624124089692E-3</v>
      </c>
      <c r="Z63" s="50">
        <f>_xll.qlTenorBasisTenorForwardRate(Z$27,$E63,InterestRatesTrigger)</f>
        <v>2.3269293769635742E-3</v>
      </c>
      <c r="AA63" s="50">
        <f>_xll.qlTenorBasisTenorForwardRate(AA$27,$E63,InterestRatesTrigger)</f>
        <v>2.3547934818408467E-3</v>
      </c>
      <c r="AB63" s="50">
        <f>_xll.qlTenorBasisTenorForwardRate(AB$27,$E63,InterestRatesTrigger)</f>
        <v>2.3396963139573194E-3</v>
      </c>
      <c r="AC63" s="276">
        <f>'12MSynthDepo_used'!AA42</f>
        <v>2.3192637084933749E-3</v>
      </c>
      <c r="AD63" s="201">
        <f>'12MSynthDepo_used'!I16</f>
        <v>2.31E-3</v>
      </c>
      <c r="BC63" s="178">
        <f>_xll.qlCalendarAdvance(Calendar,BC62,"1d","mf",,Trigger)</f>
        <v>42219</v>
      </c>
      <c r="BD63" s="41">
        <f>_xll.qlDayCounterYearFraction(DayCounter,SettlementDate,BC63,,,Trigger)</f>
        <v>0.22500000000000001</v>
      </c>
      <c r="BE63" s="47">
        <f>_xll.qlPolynomialFunctionValue(BE$1,$BD63,AllTriggers)</f>
        <v>2.8532113480462923E-3</v>
      </c>
      <c r="BF63" s="47">
        <f>_xll.qlPolynomialFunctionValue(BF$1,$BD63,AllTriggers)</f>
        <v>2.8418520539045013E-3</v>
      </c>
      <c r="BG63" s="47">
        <f>_xll.qlPolynomialFunctionValue(BG$1,$BD63,AllTriggers)</f>
        <v>2.9070664568035271E-3</v>
      </c>
      <c r="BH63" s="47">
        <f>_xll.qlPolynomialFunctionValue(BH$1,$BD63,AllTriggers)</f>
        <v>2.9202644130467714E-3</v>
      </c>
      <c r="BI63" s="47">
        <f>_xll.qlPolynomialFunctionValue(BI$1,$BD63,AllTriggers)</f>
        <v>2.8495652687751671E-3</v>
      </c>
      <c r="BJ63" s="47">
        <f>_xll.qlPolynomialFunctionValue(BJ$1,$BD63,AllTriggers)</f>
        <v>2.8400972353406421E-3</v>
      </c>
      <c r="BK63" s="47">
        <f>_xll.qlPolynomialFunctionValue(BK$1,$BD63,AllTriggers)</f>
        <v>2.9075573610666946E-3</v>
      </c>
      <c r="BL63" s="47">
        <f>_xll.qlPolynomialFunctionValue(BL$1,$BD63,AllTriggers)</f>
        <v>2.921482733255589E-3</v>
      </c>
      <c r="BM63" s="47">
        <f>_xll.qlPolynomialFunctionValue(BM$1,$BD63,AllTriggers)</f>
        <v>2.8943967305342464E-3</v>
      </c>
      <c r="BN63" s="47">
        <f>_xll.qlPolynomialFunctionValue(BN$1,$BD63,AllTriggers)</f>
        <v>2.8709347933323264E-3</v>
      </c>
      <c r="BO63" s="47">
        <f>_xll.qlPolynomialFunctionValue(BO$1,$BD63,AllTriggers)</f>
        <v>2.90529937786866E-3</v>
      </c>
      <c r="BP63" s="47">
        <f>_xll.qlPolynomialFunctionValue(BP$1,$BD63,AllTriggers)</f>
        <v>2.8901740554768919E-3</v>
      </c>
      <c r="BQ63" s="47">
        <f>_xll.qlPolynomialFunctionValue('12MSynthDepo_used'!$P$18,BD63,AllTriggers)</f>
        <v>2.859168636162437E-3</v>
      </c>
    </row>
    <row r="64" spans="3:69" x14ac:dyDescent="0.2">
      <c r="D64" s="194"/>
      <c r="E64" s="195"/>
      <c r="H64" s="35"/>
      <c r="K64" s="55"/>
      <c r="L64" s="55"/>
      <c r="M64" s="55"/>
      <c r="N64" s="55"/>
      <c r="P64" s="35"/>
      <c r="Q64" s="35"/>
      <c r="R64" s="35"/>
      <c r="S64" s="35"/>
      <c r="BC64" s="178">
        <f>_xll.qlCalendarAdvance(Calendar,BC63,"1d","mf",,Trigger)</f>
        <v>42220</v>
      </c>
      <c r="BD64" s="41">
        <f>_xll.qlDayCounterYearFraction(DayCounter,SettlementDate,BC64,,,Trigger)</f>
        <v>0.22777777777777777</v>
      </c>
      <c r="BE64" s="47">
        <f>_xll.qlPolynomialFunctionValue(BE$1,$BD64,AllTriggers)</f>
        <v>2.8540723274212945E-3</v>
      </c>
      <c r="BF64" s="47">
        <f>_xll.qlPolynomialFunctionValue(BF$1,$BD64,AllTriggers)</f>
        <v>2.8437407032292192E-3</v>
      </c>
      <c r="BG64" s="47">
        <f>_xll.qlPolynomialFunctionValue(BG$1,$BD64,AllTriggers)</f>
        <v>2.9075285094469945E-3</v>
      </c>
      <c r="BH64" s="47">
        <f>_xll.qlPolynomialFunctionValue(BH$1,$BD64,AllTriggers)</f>
        <v>2.9204377539986657E-3</v>
      </c>
      <c r="BI64" s="47">
        <f>_xll.qlPolynomialFunctionValue(BI$1,$BD64,AllTriggers)</f>
        <v>2.8504548255231252E-3</v>
      </c>
      <c r="BJ64" s="47">
        <f>_xll.qlPolynomialFunctionValue(BJ$1,$BD64,AllTriggers)</f>
        <v>2.8420279674808337E-3</v>
      </c>
      <c r="BK64" s="47">
        <f>_xll.qlPolynomialFunctionValue(BK$1,$BD64,AllTriggers)</f>
        <v>2.9080141410065068E-3</v>
      </c>
      <c r="BL64" s="47">
        <f>_xll.qlPolynomialFunctionValue(BL$1,$BD64,AllTriggers)</f>
        <v>2.9216352544535439E-3</v>
      </c>
      <c r="BM64" s="47">
        <f>_xll.qlPolynomialFunctionValue(BM$1,$BD64,AllTriggers)</f>
        <v>2.8949317132249798E-3</v>
      </c>
      <c r="BN64" s="47">
        <f>_xll.qlPolynomialFunctionValue(BN$1,$BD64,AllTriggers)</f>
        <v>2.8718049799022444E-3</v>
      </c>
      <c r="BO64" s="47">
        <f>_xll.qlPolynomialFunctionValue(BO$1,$BD64,AllTriggers)</f>
        <v>2.9057912847050092E-3</v>
      </c>
      <c r="BP64" s="47">
        <f>_xll.qlPolynomialFunctionValue(BP$1,$BD64,AllTriggers)</f>
        <v>2.8908445624302656E-3</v>
      </c>
      <c r="BQ64" s="47">
        <f>_xll.qlPolynomialFunctionValue('12MSynthDepo_used'!$P$18,BD64,AllTriggers)</f>
        <v>2.8604685548901574E-3</v>
      </c>
    </row>
    <row r="65" spans="3:69" x14ac:dyDescent="0.2">
      <c r="C65" s="194"/>
      <c r="D65" s="194"/>
      <c r="E65" s="195"/>
      <c r="F65" s="125" t="s">
        <v>69</v>
      </c>
      <c r="G65" s="125" t="s">
        <v>68</v>
      </c>
      <c r="H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0"/>
      <c r="AC65" s="256"/>
      <c r="BC65" s="178">
        <f>_xll.qlCalendarAdvance(Calendar,BC64,"1d","mf",,Trigger)</f>
        <v>42221</v>
      </c>
      <c r="BD65" s="41">
        <f>_xll.qlDayCounterYearFraction(DayCounter,SettlementDate,BC65,,,Trigger)</f>
        <v>0.23055555555555557</v>
      </c>
      <c r="BE65" s="47">
        <f>_xll.qlPolynomialFunctionValue(BE$1,$BD65,AllTriggers)</f>
        <v>2.8549333067962967E-3</v>
      </c>
      <c r="BF65" s="47">
        <f>_xll.qlPolynomialFunctionValue(BF$1,$BD65,AllTriggers)</f>
        <v>2.8456206802336859E-3</v>
      </c>
      <c r="BG65" s="47">
        <f>_xll.qlPolynomialFunctionValue(BG$1,$BD65,AllTriggers)</f>
        <v>2.9079905620904615E-3</v>
      </c>
      <c r="BH65" s="47">
        <f>_xll.qlPolynomialFunctionValue(BH$1,$BD65,AllTriggers)</f>
        <v>2.9206128500368308E-3</v>
      </c>
      <c r="BI65" s="47">
        <f>_xll.qlPolynomialFunctionValue(BI$1,$BD65,AllTriggers)</f>
        <v>2.8513443822710833E-3</v>
      </c>
      <c r="BJ65" s="47">
        <f>_xll.qlPolynomialFunctionValue(BJ$1,$BD65,AllTriggers)</f>
        <v>2.8439497260506186E-3</v>
      </c>
      <c r="BK65" s="47">
        <f>_xll.qlPolynomialFunctionValue(BK$1,$BD65,AllTriggers)</f>
        <v>2.908470920946319E-3</v>
      </c>
      <c r="BL65" s="47">
        <f>_xll.qlPolynomialFunctionValue(BL$1,$BD65,AllTriggers)</f>
        <v>2.9217896280095616E-3</v>
      </c>
      <c r="BM65" s="47">
        <f>_xll.qlPolynomialFunctionValue(BM$1,$BD65,AllTriggers)</f>
        <v>2.8954666959157137E-3</v>
      </c>
      <c r="BN65" s="47">
        <f>_xll.qlPolynomialFunctionValue(BN$1,$BD65,AllTriggers)</f>
        <v>2.8726736769178144E-3</v>
      </c>
      <c r="BO65" s="47">
        <f>_xll.qlPolynomialFunctionValue(BO$1,$BD65,AllTriggers)</f>
        <v>2.9062831915413587E-3</v>
      </c>
      <c r="BP65" s="47">
        <f>_xll.qlPolynomialFunctionValue(BP$1,$BD65,AllTriggers)</f>
        <v>2.8915143394263889E-3</v>
      </c>
      <c r="BQ65" s="47">
        <f>_xll.qlPolynomialFunctionValue('12MSynthDepo_used'!$P$18,BD65,AllTriggers)</f>
        <v>2.861762761280908E-3</v>
      </c>
    </row>
    <row r="66" spans="3:69" x14ac:dyDescent="0.2">
      <c r="C66" s="194"/>
      <c r="D66" s="194"/>
      <c r="E66" s="195"/>
      <c r="F66" s="189" t="str">
        <f>C51&amp;"x"&amp;C51+SUBSTITUTE($D$24,"M","")&amp;"F"</f>
        <v>0x12F</v>
      </c>
      <c r="G66" s="156">
        <f>$AD51-G51</f>
        <v>4.643326975461038E-5</v>
      </c>
      <c r="H66" s="156">
        <f>$AD51-H51</f>
        <v>4.6237059766816684E-6</v>
      </c>
      <c r="I66" s="19">
        <f>$AD51-I51</f>
        <v>1.7100000000000812E-3</v>
      </c>
      <c r="J66" s="19">
        <f>$AD51-J51</f>
        <v>1.7100000000000812E-3</v>
      </c>
      <c r="K66" s="19">
        <f>$AD51-K51</f>
        <v>1.7100000000000812E-3</v>
      </c>
      <c r="L66" s="19">
        <f>$AD51-L51</f>
        <v>1.7100000000000812E-3</v>
      </c>
      <c r="M66" s="19">
        <f>$AD51-M51</f>
        <v>1.7100000000000812E-3</v>
      </c>
      <c r="N66" s="19">
        <f>$AD51-N51</f>
        <v>1.7100000000000812E-3</v>
      </c>
      <c r="O66" s="19">
        <f>$AD51-O51</f>
        <v>1.7100000000000812E-3</v>
      </c>
      <c r="P66" s="19">
        <f>$AD51-P51</f>
        <v>1.7100000000000812E-3</v>
      </c>
      <c r="Q66" s="19">
        <f>$AD51-Q51</f>
        <v>1.7100000000000812E-3</v>
      </c>
      <c r="R66" s="19">
        <f>$AD51-R51</f>
        <v>1.7100000000000812E-3</v>
      </c>
      <c r="S66" s="156">
        <f>$AD51-S51</f>
        <v>-8.1419494324407905E-6</v>
      </c>
      <c r="T66" s="157">
        <f>$AD51-T51</f>
        <v>-1.0725436423294262E-5</v>
      </c>
      <c r="U66" s="158">
        <f>$AD51-U51</f>
        <v>5.3263158333672136E-6</v>
      </c>
      <c r="V66" s="156">
        <f>$AD51-V51</f>
        <v>5.32631583336678E-6</v>
      </c>
      <c r="W66" s="156">
        <f>$AD51-W51</f>
        <v>-8.0897652191512515E-6</v>
      </c>
      <c r="X66" s="157">
        <f>$AD51-X51</f>
        <v>-1.0859162992456987E-5</v>
      </c>
      <c r="Y66" s="158">
        <f>$AD51-Y51</f>
        <v>-2.9840180316210475E-6</v>
      </c>
      <c r="Z66" s="240">
        <f>$AD51-Z51</f>
        <v>2.1816072778005E-6</v>
      </c>
      <c r="AA66" s="156">
        <f>$AD51-AA51</f>
        <v>-9.4498523644419644E-6</v>
      </c>
      <c r="AB66" s="156">
        <f>$AD51-AB51</f>
        <v>-4.7669711334100313E-6</v>
      </c>
      <c r="AC66" s="156">
        <f>$AD51-AC51</f>
        <v>4.6237059766816684E-6</v>
      </c>
      <c r="BC66" s="178">
        <f>_xll.qlCalendarAdvance(Calendar,BC65,"1d","mf",,Trigger)</f>
        <v>42222</v>
      </c>
      <c r="BD66" s="41">
        <f>_xll.qlDayCounterYearFraction(DayCounter,SettlementDate,BC66,,,Trigger)</f>
        <v>0.23333333333333334</v>
      </c>
      <c r="BE66" s="47">
        <f>_xll.qlPolynomialFunctionValue(BE$1,$BD66,AllTriggers)</f>
        <v>2.8557942861712989E-3</v>
      </c>
      <c r="BF66" s="47">
        <f>_xll.qlPolynomialFunctionValue(BF$1,$BD66,AllTriggers)</f>
        <v>2.8474919849179022E-3</v>
      </c>
      <c r="BG66" s="47">
        <f>_xll.qlPolynomialFunctionValue(BG$1,$BD66,AllTriggers)</f>
        <v>2.9084526147339289E-3</v>
      </c>
      <c r="BH66" s="47">
        <f>_xll.qlPolynomialFunctionValue(BH$1,$BD66,AllTriggers)</f>
        <v>2.9207897011612671E-3</v>
      </c>
      <c r="BI66" s="47">
        <f>_xll.qlPolynomialFunctionValue(BI$1,$BD66,AllTriggers)</f>
        <v>2.8522339390190409E-3</v>
      </c>
      <c r="BJ66" s="47">
        <f>_xll.qlPolynomialFunctionValue(BJ$1,$BD66,AllTriggers)</f>
        <v>2.8458625110499959E-3</v>
      </c>
      <c r="BK66" s="47">
        <f>_xll.qlPolynomialFunctionValue(BK$1,$BD66,AllTriggers)</f>
        <v>2.9089277008861312E-3</v>
      </c>
      <c r="BL66" s="47">
        <f>_xll.qlPolynomialFunctionValue(BL$1,$BD66,AllTriggers)</f>
        <v>2.9219458539236414E-3</v>
      </c>
      <c r="BM66" s="47">
        <f>_xll.qlPolynomialFunctionValue(BM$1,$BD66,AllTriggers)</f>
        <v>2.8960016786064476E-3</v>
      </c>
      <c r="BN66" s="47">
        <f>_xll.qlPolynomialFunctionValue(BN$1,$BD66,AllTriggers)</f>
        <v>2.8735408843790357E-3</v>
      </c>
      <c r="BO66" s="47">
        <f>_xll.qlPolynomialFunctionValue(BO$1,$BD66,AllTriggers)</f>
        <v>2.9067750983777082E-3</v>
      </c>
      <c r="BP66" s="47">
        <f>_xll.qlPolynomialFunctionValue(BP$1,$BD66,AllTriggers)</f>
        <v>2.89218338646526E-3</v>
      </c>
      <c r="BQ66" s="47">
        <f>_xll.qlPolynomialFunctionValue('12MSynthDepo_used'!$P$18,BD66,AllTriggers)</f>
        <v>2.8630512700497778E-3</v>
      </c>
    </row>
    <row r="67" spans="3:69" x14ac:dyDescent="0.2">
      <c r="C67" s="194"/>
      <c r="D67" s="194"/>
      <c r="E67" s="195"/>
      <c r="F67" s="190" t="str">
        <f>C52&amp;"x"&amp;C52+SUBSTITUTE($D$24,"M","")&amp;"F"</f>
        <v>1x13F</v>
      </c>
      <c r="G67" s="47">
        <f>$AD52-G52</f>
        <v>4.3424235042445599E-5</v>
      </c>
      <c r="H67" s="47">
        <f>$AD52-H52</f>
        <v>3.1742379551160001E-7</v>
      </c>
      <c r="I67" s="19">
        <f>$AD52-I52</f>
        <v>1.7099999999999999E-3</v>
      </c>
      <c r="J67" s="19">
        <f>$AD52-J52</f>
        <v>1.7099999999999999E-3</v>
      </c>
      <c r="K67" s="19">
        <f>$AD52-K52</f>
        <v>1.7099999999999999E-3</v>
      </c>
      <c r="L67" s="19">
        <f>$AD52-L52</f>
        <v>1.7099999999999999E-3</v>
      </c>
      <c r="M67" s="19">
        <f>$AD52-M52</f>
        <v>1.7099999999999999E-3</v>
      </c>
      <c r="N67" s="19">
        <f>$AD52-N52</f>
        <v>1.7099999999999999E-3</v>
      </c>
      <c r="O67" s="19">
        <f>$AD52-O52</f>
        <v>1.7099999999999999E-3</v>
      </c>
      <c r="P67" s="19">
        <f>$AD52-P52</f>
        <v>1.7099999999999999E-3</v>
      </c>
      <c r="Q67" s="19">
        <f>$AD52-Q52</f>
        <v>1.7099999999999999E-3</v>
      </c>
      <c r="R67" s="19">
        <f>$AD52-R52</f>
        <v>1.7099999999999999E-3</v>
      </c>
      <c r="S67" s="47">
        <f>$AD52-S52</f>
        <v>2.0254362453355455E-7</v>
      </c>
      <c r="T67" s="154">
        <f>$AD52-T52</f>
        <v>1.7929441266709666E-7</v>
      </c>
      <c r="U67" s="155">
        <f>$AD52-U52</f>
        <v>1.7807660613873393E-7</v>
      </c>
      <c r="V67" s="47">
        <f>$AD52-V52</f>
        <v>8.1643897586005688E-7</v>
      </c>
      <c r="W67" s="47">
        <f>$AD52-W52</f>
        <v>4.211430326306765E-7</v>
      </c>
      <c r="X67" s="154">
        <f>$AD52-X52</f>
        <v>3.3954456131186743E-7</v>
      </c>
      <c r="Y67" s="155">
        <f>$AD52-Y52</f>
        <v>3.0586828486096982E-6</v>
      </c>
      <c r="Z67" s="200">
        <f>$AD52-Z52</f>
        <v>3.2054334220281335E-6</v>
      </c>
      <c r="AA67" s="47">
        <f>$AD52-AA52</f>
        <v>-2.0476067102159507E-6</v>
      </c>
      <c r="AB67" s="47">
        <f>$AD52-AB52</f>
        <v>-2.7660821090027231E-7</v>
      </c>
      <c r="AC67" s="47">
        <f>$AD52-AC52</f>
        <v>1.9874907880117459E-6</v>
      </c>
      <c r="BC67" s="178">
        <f>_xll.qlCalendarAdvance(Calendar,BC66,"1d","mf",,Trigger)</f>
        <v>42223</v>
      </c>
      <c r="BD67" s="41">
        <f>_xll.qlDayCounterYearFraction(DayCounter,SettlementDate,BC67,,,Trigger)</f>
        <v>0.2361111111111111</v>
      </c>
      <c r="BE67" s="47">
        <f>_xll.qlPolynomialFunctionValue(BE$1,$BD67,AllTriggers)</f>
        <v>2.8566552655463011E-3</v>
      </c>
      <c r="BF67" s="47">
        <f>_xll.qlPolynomialFunctionValue(BF$1,$BD67,AllTriggers)</f>
        <v>2.8493546172818672E-3</v>
      </c>
      <c r="BG67" s="47">
        <f>_xll.qlPolynomialFunctionValue(BG$1,$BD67,AllTriggers)</f>
        <v>2.9089146673773958E-3</v>
      </c>
      <c r="BH67" s="47">
        <f>_xll.qlPolynomialFunctionValue(BH$1,$BD67,AllTriggers)</f>
        <v>2.9209683073719741E-3</v>
      </c>
      <c r="BI67" s="47">
        <f>_xll.qlPolynomialFunctionValue(BI$1,$BD67,AllTriggers)</f>
        <v>2.853123495766999E-3</v>
      </c>
      <c r="BJ67" s="47">
        <f>_xll.qlPolynomialFunctionValue(BJ$1,$BD67,AllTriggers)</f>
        <v>2.847766322478967E-3</v>
      </c>
      <c r="BK67" s="47">
        <f>_xll.qlPolynomialFunctionValue(BK$1,$BD67,AllTriggers)</f>
        <v>2.9093844808259434E-3</v>
      </c>
      <c r="BL67" s="47">
        <f>_xll.qlPolynomialFunctionValue(BL$1,$BD67,AllTriggers)</f>
        <v>2.9221039321957842E-3</v>
      </c>
      <c r="BM67" s="47">
        <f>_xll.qlPolynomialFunctionValue(BM$1,$BD67,AllTriggers)</f>
        <v>2.8965366612971814E-3</v>
      </c>
      <c r="BN67" s="47">
        <f>_xll.qlPolynomialFunctionValue(BN$1,$BD67,AllTriggers)</f>
        <v>2.8744066022859081E-3</v>
      </c>
      <c r="BO67" s="47">
        <f>_xll.qlPolynomialFunctionValue(BO$1,$BD67,AllTriggers)</f>
        <v>2.9072670052140573E-3</v>
      </c>
      <c r="BP67" s="47">
        <f>_xll.qlPolynomialFunctionValue(BP$1,$BD67,AllTriggers)</f>
        <v>2.8928517035468797E-3</v>
      </c>
      <c r="BQ67" s="47">
        <f>_xll.qlPolynomialFunctionValue('12MSynthDepo_used'!$P$18,BD67,AllTriggers)</f>
        <v>2.8643340959118584E-3</v>
      </c>
    </row>
    <row r="68" spans="3:69" x14ac:dyDescent="0.2">
      <c r="C68" s="194"/>
      <c r="D68" s="194"/>
      <c r="E68" s="195"/>
      <c r="F68" s="190" t="str">
        <f>C53&amp;"x"&amp;C53+SUBSTITUTE($D$24,"M","")&amp;"F"</f>
        <v>2x14F</v>
      </c>
      <c r="G68" s="47">
        <f>$AD53-G53</f>
        <v>4.0097610915504605E-5</v>
      </c>
      <c r="H68" s="47">
        <f>$AD53-H53</f>
        <v>4.0994846237428582E-6</v>
      </c>
      <c r="I68" s="19">
        <f>$AD53-I53</f>
        <v>1.7299999999999998E-3</v>
      </c>
      <c r="J68" s="19">
        <f>$AD53-J53</f>
        <v>1.7299999999999998E-3</v>
      </c>
      <c r="K68" s="19">
        <f>$AD53-K53</f>
        <v>1.7299999999999998E-3</v>
      </c>
      <c r="L68" s="19">
        <f>$AD53-L53</f>
        <v>1.7299999999999998E-3</v>
      </c>
      <c r="M68" s="19">
        <f>$AD53-M53</f>
        <v>1.7299999999999998E-3</v>
      </c>
      <c r="N68" s="19">
        <f>$AD53-N53</f>
        <v>1.7299999999999998E-3</v>
      </c>
      <c r="O68" s="19">
        <f>$AD53-O53</f>
        <v>1.7299999999999998E-3</v>
      </c>
      <c r="P68" s="19">
        <f>$AD53-P53</f>
        <v>1.7299999999999998E-3</v>
      </c>
      <c r="Q68" s="19">
        <f>$AD53-Q53</f>
        <v>1.7299999999999998E-3</v>
      </c>
      <c r="R68" s="19">
        <f>$AD53-R53</f>
        <v>1.7299999999999998E-3</v>
      </c>
      <c r="S68" s="47">
        <f>$AD53-S53</f>
        <v>7.9874180983401186E-6</v>
      </c>
      <c r="T68" s="154">
        <f>$AD53-T53</f>
        <v>8.7742500494640118E-6</v>
      </c>
      <c r="U68" s="155">
        <f>$AD53-U53</f>
        <v>-4.2648375526133358E-6</v>
      </c>
      <c r="V68" s="47">
        <f>$AD53-V53</f>
        <v>4.673197735119471E-6</v>
      </c>
      <c r="W68" s="47">
        <f>$AD53-W53</f>
        <v>8.3568312767314228E-6</v>
      </c>
      <c r="X68" s="154">
        <f>$AD53-X53</f>
        <v>9.1172207293502717E-6</v>
      </c>
      <c r="Y68" s="155">
        <f>$AD53-Y53</f>
        <v>8.7575581622426329E-6</v>
      </c>
      <c r="Z68" s="200">
        <f>$AD53-Z53</f>
        <v>5.6376153747073141E-6</v>
      </c>
      <c r="AA68" s="47">
        <f>$AD53-AA53</f>
        <v>4.8833560548496805E-6</v>
      </c>
      <c r="AB68" s="47">
        <f>$AD53-AB53</f>
        <v>4.6435402106727742E-6</v>
      </c>
      <c r="AC68" s="47">
        <f>$AD53-AC53</f>
        <v>3.0575993178992306E-6</v>
      </c>
      <c r="BC68" s="178">
        <f>_xll.qlCalendarAdvance(Calendar,BC67,"1d","mf",,Trigger)</f>
        <v>42226</v>
      </c>
      <c r="BD68" s="41">
        <f>_xll.qlDayCounterYearFraction(DayCounter,SettlementDate,BC68,,,Trigger)</f>
        <v>0.24444444444444444</v>
      </c>
      <c r="BE68" s="47">
        <f>_xll.qlPolynomialFunctionValue(BE$1,$BD68,AllTriggers)</f>
        <v>2.8592382036713082E-3</v>
      </c>
      <c r="BF68" s="47">
        <f>_xll.qlPolynomialFunctionValue(BF$1,$BD68,AllTriggers)</f>
        <v>2.8548904804522588E-3</v>
      </c>
      <c r="BG68" s="47">
        <f>_xll.qlPolynomialFunctionValue(BG$1,$BD68,AllTriggers)</f>
        <v>2.9103008253077976E-3</v>
      </c>
      <c r="BH68" s="47">
        <f>_xll.qlPolynomialFunctionValue(BH$1,$BD68,AllTriggers)</f>
        <v>2.9215146565217207E-3</v>
      </c>
      <c r="BI68" s="47">
        <f>_xll.qlPolynomialFunctionValue(BI$1,$BD68,AllTriggers)</f>
        <v>2.8557921660108728E-3</v>
      </c>
      <c r="BJ68" s="47">
        <f>_xll.qlPolynomialFunctionValue(BJ$1,$BD68,AllTriggers)</f>
        <v>2.8534239153434355E-3</v>
      </c>
      <c r="BK68" s="47">
        <f>_xll.qlPolynomialFunctionValue(BK$1,$BD68,AllTriggers)</f>
        <v>2.9107548206453804E-3</v>
      </c>
      <c r="BL68" s="47">
        <f>_xll.qlPolynomialFunctionValue(BL$1,$BD68,AllTriggers)</f>
        <v>2.9225892811605867E-3</v>
      </c>
      <c r="BM68" s="47">
        <f>_xll.qlPolynomialFunctionValue(BM$1,$BD68,AllTriggers)</f>
        <v>2.898141609369383E-3</v>
      </c>
      <c r="BN68" s="47">
        <f>_xll.qlPolynomialFunctionValue(BN$1,$BD68,AllTriggers)</f>
        <v>2.8769948186804345E-3</v>
      </c>
      <c r="BO68" s="47">
        <f>_xll.qlPolynomialFunctionValue(BO$1,$BD68,AllTriggers)</f>
        <v>2.9087427257231059E-3</v>
      </c>
      <c r="BP68" s="47">
        <f>_xll.qlPolynomialFunctionValue(BP$1,$BD68,AllTriggers)</f>
        <v>2.8948522750482306E-3</v>
      </c>
      <c r="BQ68" s="47">
        <f>_xll.qlPolynomialFunctionValue('12MSynthDepo_used'!$P$18,BD68,AllTriggers)</f>
        <v>2.8681486232082628E-3</v>
      </c>
    </row>
    <row r="69" spans="3:69" x14ac:dyDescent="0.2">
      <c r="C69" s="194"/>
      <c r="D69" s="194"/>
      <c r="E69" s="195"/>
      <c r="F69" s="190" t="str">
        <f>C54&amp;"x"&amp;C54+SUBSTITUTE($D$24,"M","")&amp;"F"</f>
        <v>3x15F</v>
      </c>
      <c r="G69" s="47">
        <f>$AD54-G54</f>
        <v>2.0349118992486889E-5</v>
      </c>
      <c r="H69" s="47">
        <f>$AD54-H54</f>
        <v>2.6131501758329748E-7</v>
      </c>
      <c r="I69" s="19">
        <f>$AD54-I54</f>
        <v>1.7499999999999998E-3</v>
      </c>
      <c r="J69" s="19">
        <f>$AD54-J54</f>
        <v>1.7499999999999998E-3</v>
      </c>
      <c r="K69" s="19">
        <f>$AD54-K54</f>
        <v>1.7499999999999998E-3</v>
      </c>
      <c r="L69" s="19">
        <f>$AD54-L54</f>
        <v>1.7499999999999998E-3</v>
      </c>
      <c r="M69" s="19">
        <f>$AD54-M54</f>
        <v>1.7499999999999998E-3</v>
      </c>
      <c r="N69" s="19">
        <f>$AD54-N54</f>
        <v>1.7499999999999998E-3</v>
      </c>
      <c r="O69" s="19">
        <f>$AD54-O54</f>
        <v>1.7499999999999998E-3</v>
      </c>
      <c r="P69" s="19">
        <f>$AD54-P54</f>
        <v>1.7499999999999998E-3</v>
      </c>
      <c r="Q69" s="19">
        <f>$AD54-Q54</f>
        <v>1.7499999999999998E-3</v>
      </c>
      <c r="R69" s="19">
        <f>$AD54-R54</f>
        <v>1.7499999999999998E-3</v>
      </c>
      <c r="S69" s="47">
        <f>$AD54-S54</f>
        <v>5.8231292053307487E-7</v>
      </c>
      <c r="T69" s="154">
        <f>$AD54-T54</f>
        <v>6.4727581352902117E-7</v>
      </c>
      <c r="U69" s="155">
        <f>$AD54-U54</f>
        <v>-2.4741027130741663E-5</v>
      </c>
      <c r="V69" s="47">
        <f>$AD54-V54</f>
        <v>1.1874171711237502E-6</v>
      </c>
      <c r="W69" s="47">
        <f>$AD54-W54</f>
        <v>1.1129408188938726E-6</v>
      </c>
      <c r="X69" s="154">
        <f>$AD54-X54</f>
        <v>1.0975671309123615E-6</v>
      </c>
      <c r="Y69" s="155">
        <f>$AD54-Y54</f>
        <v>-8.7740818678497604E-7</v>
      </c>
      <c r="Z69" s="200">
        <f>$AD54-Z54</f>
        <v>-6.1417410648009763E-6</v>
      </c>
      <c r="AA69" s="47">
        <f>$AD54-AA54</f>
        <v>-3.4345512943700397E-6</v>
      </c>
      <c r="AB69" s="47">
        <f>$AD54-AB54</f>
        <v>-5.1634696104480536E-6</v>
      </c>
      <c r="AC69" s="47">
        <f>$AD54-AC54</f>
        <v>-8.5250304326846965E-6</v>
      </c>
      <c r="BC69" s="178">
        <f>_xll.qlCalendarAdvance(Calendar,BC68,"1d","mf",,Trigger)</f>
        <v>42227</v>
      </c>
      <c r="BD69" s="41">
        <f>_xll.qlDayCounterYearFraction(DayCounter,SettlementDate,BC69,,,Trigger)</f>
        <v>0.24722222222222223</v>
      </c>
      <c r="BE69" s="47">
        <f>_xll.qlPolynomialFunctionValue(BE$1,$BD69,AllTriggers)</f>
        <v>2.8600991830463104E-3</v>
      </c>
      <c r="BF69" s="47">
        <f>_xll.qlPolynomialFunctionValue(BF$1,$BD69,AllTriggers)</f>
        <v>2.8567184235352215E-3</v>
      </c>
      <c r="BG69" s="47">
        <f>_xll.qlPolynomialFunctionValue(BG$1,$BD69,AllTriggers)</f>
        <v>2.9107628779512645E-3</v>
      </c>
      <c r="BH69" s="47">
        <f>_xll.qlPolynomialFunctionValue(BH$1,$BD69,AllTriggers)</f>
        <v>2.9217002830775117E-3</v>
      </c>
      <c r="BI69" s="47">
        <f>_xll.qlPolynomialFunctionValue(BI$1,$BD69,AllTriggers)</f>
        <v>2.8566817227588309E-3</v>
      </c>
      <c r="BJ69" s="47">
        <f>_xll.qlPolynomialFunctionValue(BJ$1,$BD69,AllTriggers)</f>
        <v>2.855291832490778E-3</v>
      </c>
      <c r="BK69" s="47">
        <f>_xll.qlPolynomialFunctionValue(BK$1,$BD69,AllTriggers)</f>
        <v>2.9112116005851926E-3</v>
      </c>
      <c r="BL69" s="47">
        <f>_xll.qlPolynomialFunctionValue(BL$1,$BD69,AllTriggers)</f>
        <v>2.9227547688649787E-3</v>
      </c>
      <c r="BM69" s="47">
        <f>_xll.qlPolynomialFunctionValue(BM$1,$BD69,AllTriggers)</f>
        <v>2.8986765920601164E-3</v>
      </c>
      <c r="BN69" s="47">
        <f>_xll.qlPolynomialFunctionValue(BN$1,$BD69,AllTriggers)</f>
        <v>2.8778545783699132E-3</v>
      </c>
      <c r="BO69" s="47">
        <f>_xll.qlPolynomialFunctionValue(BO$1,$BD69,AllTriggers)</f>
        <v>2.909234632559455E-3</v>
      </c>
      <c r="BP69" s="47">
        <f>_xll.qlPolynomialFunctionValue(BP$1,$BD69,AllTriggers)</f>
        <v>2.8955176723008446E-3</v>
      </c>
      <c r="BQ69" s="47">
        <f>_xll.qlPolynomialFunctionValue('12MSynthDepo_used'!$P$18,BD69,AllTriggers)</f>
        <v>2.8694088645940872E-3</v>
      </c>
    </row>
    <row r="70" spans="3:69" x14ac:dyDescent="0.2">
      <c r="C70" s="194"/>
      <c r="D70" s="194"/>
      <c r="E70" s="195"/>
      <c r="F70" s="190" t="str">
        <f>C55&amp;"x"&amp;C55+SUBSTITUTE($D$24,"M","")&amp;"F"</f>
        <v>4x16F</v>
      </c>
      <c r="G70" s="47">
        <f>$AD55-G55</f>
        <v>-9.7943769440038235E-7</v>
      </c>
      <c r="H70" s="47">
        <f>$AD55-H55</f>
        <v>2.1161864477005181E-6</v>
      </c>
      <c r="I70" s="19">
        <f>$AD55-I55</f>
        <v>1.7699999999999999E-3</v>
      </c>
      <c r="J70" s="19">
        <f>$AD55-J55</f>
        <v>1.7699999999999999E-3</v>
      </c>
      <c r="K70" s="19">
        <f>$AD55-K55</f>
        <v>1.7699999999999999E-3</v>
      </c>
      <c r="L70" s="19">
        <f>$AD55-L55</f>
        <v>1.7699999999999999E-3</v>
      </c>
      <c r="M70" s="19">
        <f>$AD55-M55</f>
        <v>1.7699999999999999E-3</v>
      </c>
      <c r="N70" s="19">
        <f>$AD55-N55</f>
        <v>1.7699999999999999E-3</v>
      </c>
      <c r="O70" s="19">
        <f>$AD55-O55</f>
        <v>1.7699999999999999E-3</v>
      </c>
      <c r="P70" s="19">
        <f>$AD55-P55</f>
        <v>1.7699999999999999E-3</v>
      </c>
      <c r="Q70" s="19">
        <f>$AD55-Q55</f>
        <v>1.7699999999999999E-3</v>
      </c>
      <c r="R70" s="19">
        <f>$AD55-R55</f>
        <v>1.7699999999999999E-3</v>
      </c>
      <c r="S70" s="47">
        <f>$AD55-S55</f>
        <v>-9.2370833960644071E-6</v>
      </c>
      <c r="T70" s="154">
        <f>$AD55-T55</f>
        <v>-1.1534734711644498E-5</v>
      </c>
      <c r="U70" s="155">
        <f>$AD55-U55</f>
        <v>-4.7631507847660428E-5</v>
      </c>
      <c r="V70" s="47">
        <f>$AD55-V55</f>
        <v>3.6763018240789508E-6</v>
      </c>
      <c r="W70" s="47">
        <f>$AD55-W55</f>
        <v>-8.5452407777341158E-6</v>
      </c>
      <c r="X70" s="154">
        <f>$AD55-X55</f>
        <v>-1.1068057443446629E-5</v>
      </c>
      <c r="Y70" s="155">
        <f>$AD55-Y55</f>
        <v>-1.2926665674602589E-5</v>
      </c>
      <c r="Z70" s="200">
        <f>$AD55-Z55</f>
        <v>-1.8942876426394223E-5</v>
      </c>
      <c r="AA70" s="47">
        <f>$AD55-AA55</f>
        <v>-1.4166749782380198E-5</v>
      </c>
      <c r="AB70" s="47">
        <f>$AD55-AB55</f>
        <v>-1.6702368890064278E-5</v>
      </c>
      <c r="AC70" s="47">
        <f>$AD55-AC55</f>
        <v>-1.9833173779544924E-5</v>
      </c>
      <c r="BC70" s="178">
        <f>_xll.qlCalendarAdvance(Calendar,BC69,"1d","mf",,Trigger)</f>
        <v>42228</v>
      </c>
      <c r="BD70" s="41">
        <f>_xll.qlDayCounterYearFraction(DayCounter,SettlementDate,BC70,,,Trigger)</f>
        <v>0.25</v>
      </c>
      <c r="BE70" s="47">
        <f>_xll.qlPolynomialFunctionValue(BE$1,$BD70,AllTriggers)</f>
        <v>2.8609601624213126E-3</v>
      </c>
      <c r="BF70" s="47">
        <f>_xll.qlPolynomialFunctionValue(BF$1,$BD70,AllTriggers)</f>
        <v>2.8585376942979329E-3</v>
      </c>
      <c r="BG70" s="47">
        <f>_xll.qlPolynomialFunctionValue(BG$1,$BD70,AllTriggers)</f>
        <v>2.9112249305947319E-3</v>
      </c>
      <c r="BH70" s="47">
        <f>_xll.qlPolynomialFunctionValue(BH$1,$BD70,AllTriggers)</f>
        <v>2.9218876647195738E-3</v>
      </c>
      <c r="BI70" s="47">
        <f>_xll.qlPolynomialFunctionValue(BI$1,$BD70,AllTriggers)</f>
        <v>2.857571279506789E-3</v>
      </c>
      <c r="BJ70" s="47">
        <f>_xll.qlPolynomialFunctionValue(BJ$1,$BD70,AllTriggers)</f>
        <v>2.8571507760677128E-3</v>
      </c>
      <c r="BK70" s="47">
        <f>_xll.qlPolynomialFunctionValue(BK$1,$BD70,AllTriggers)</f>
        <v>2.9116683805250048E-3</v>
      </c>
      <c r="BL70" s="47">
        <f>_xll.qlPolynomialFunctionValue(BL$1,$BD70,AllTriggers)</f>
        <v>2.9229221089274336E-3</v>
      </c>
      <c r="BM70" s="47">
        <f>_xll.qlPolynomialFunctionValue(BM$1,$BD70,AllTriggers)</f>
        <v>2.8992115747508503E-3</v>
      </c>
      <c r="BN70" s="47">
        <f>_xll.qlPolynomialFunctionValue(BN$1,$BD70,AllTriggers)</f>
        <v>2.8787128485050434E-3</v>
      </c>
      <c r="BO70" s="47">
        <f>_xll.qlPolynomialFunctionValue(BO$1,$BD70,AllTriggers)</f>
        <v>2.9097265393958046E-3</v>
      </c>
      <c r="BP70" s="47">
        <f>_xll.qlPolynomialFunctionValue(BP$1,$BD70,AllTriggers)</f>
        <v>2.8961823395962072E-3</v>
      </c>
      <c r="BQ70" s="47">
        <f>_xll.qlPolynomialFunctionValue('12MSynthDepo_used'!$P$18,BD70,AllTriggers)</f>
        <v>2.8706634966485724E-3</v>
      </c>
    </row>
    <row r="71" spans="3:69" x14ac:dyDescent="0.2">
      <c r="C71" s="194"/>
      <c r="D71" s="194"/>
      <c r="F71" s="190" t="str">
        <f>C56&amp;"x"&amp;C56+SUBSTITUTE($D$24,"M","")&amp;"F"</f>
        <v>5x17F</v>
      </c>
      <c r="G71" s="47">
        <f>$AD56-G56</f>
        <v>8.9509770748636992E-6</v>
      </c>
      <c r="H71" s="47">
        <f>$AD56-H56</f>
        <v>4.2579028125908991E-5</v>
      </c>
      <c r="I71" s="19">
        <f>$AD56-I56</f>
        <v>1.81E-3</v>
      </c>
      <c r="J71" s="19">
        <f>$AD56-J56</f>
        <v>1.81E-3</v>
      </c>
      <c r="K71" s="19">
        <f>$AD56-K56</f>
        <v>1.81E-3</v>
      </c>
      <c r="L71" s="19">
        <f>$AD56-L56</f>
        <v>1.81E-3</v>
      </c>
      <c r="M71" s="19">
        <f>$AD56-M56</f>
        <v>1.81E-3</v>
      </c>
      <c r="N71" s="19">
        <f>$AD56-N56</f>
        <v>1.81E-3</v>
      </c>
      <c r="O71" s="19">
        <f>$AD56-O56</f>
        <v>1.81E-3</v>
      </c>
      <c r="P71" s="19">
        <f>$AD56-P56</f>
        <v>1.81E-3</v>
      </c>
      <c r="Q71" s="19">
        <f>$AD56-Q56</f>
        <v>1.81E-3</v>
      </c>
      <c r="R71" s="19">
        <f>$AD56-R56</f>
        <v>1.81E-3</v>
      </c>
      <c r="S71" s="47">
        <f>$AD56-S56</f>
        <v>1.2208819734139823E-5</v>
      </c>
      <c r="T71" s="154">
        <f>$AD56-T56</f>
        <v>6.0625596499470826E-6</v>
      </c>
      <c r="U71" s="155">
        <f>$AD56-U56</f>
        <v>-3.8835041233896373E-5</v>
      </c>
      <c r="V71" s="47">
        <f>$AD56-V56</f>
        <v>4.5020848416497646E-5</v>
      </c>
      <c r="W71" s="47">
        <f>$AD56-W56</f>
        <v>1.3056676597602386E-5</v>
      </c>
      <c r="X71" s="154">
        <f>$AD56-X56</f>
        <v>6.4585123561715797E-6</v>
      </c>
      <c r="Y71" s="155">
        <f>$AD56-Y56</f>
        <v>6.3613072899045432E-6</v>
      </c>
      <c r="Z71" s="200">
        <f>$AD56-Z56</f>
        <v>9.4332989469488905E-7</v>
      </c>
      <c r="AA71" s="47">
        <f>$AD56-AA56</f>
        <v>6.3957964077474439E-6</v>
      </c>
      <c r="AB71" s="47">
        <f>$AD56-AB56</f>
        <v>3.7292364064914468E-6</v>
      </c>
      <c r="AC71" s="47">
        <f>$AD56-AC56</f>
        <v>2.335912665699753E-6</v>
      </c>
      <c r="BC71" s="178">
        <f>_xll.qlCalendarAdvance(Calendar,BC70,"1d","mf",,Trigger)</f>
        <v>42229</v>
      </c>
      <c r="BD71" s="41">
        <f>_xll.qlDayCounterYearFraction(DayCounter,SettlementDate,BC71,,,Trigger)</f>
        <v>0.25277777777777777</v>
      </c>
      <c r="BE71" s="47">
        <f>_xll.qlPolynomialFunctionValue(BE$1,$BD71,AllTriggers)</f>
        <v>2.8618211417963148E-3</v>
      </c>
      <c r="BF71" s="47">
        <f>_xll.qlPolynomialFunctionValue(BF$1,$BD71,AllTriggers)</f>
        <v>2.8603482927403935E-3</v>
      </c>
      <c r="BG71" s="47">
        <f>_xll.qlPolynomialFunctionValue(BG$1,$BD71,AllTriggers)</f>
        <v>2.9116869832381993E-3</v>
      </c>
      <c r="BH71" s="47">
        <f>_xll.qlPolynomialFunctionValue(BH$1,$BD71,AllTriggers)</f>
        <v>2.9220768014479063E-3</v>
      </c>
      <c r="BI71" s="47">
        <f>_xll.qlPolynomialFunctionValue(BI$1,$BD71,AllTriggers)</f>
        <v>2.858460836254747E-3</v>
      </c>
      <c r="BJ71" s="47">
        <f>_xll.qlPolynomialFunctionValue(BJ$1,$BD71,AllTriggers)</f>
        <v>2.8590007460742406E-3</v>
      </c>
      <c r="BK71" s="47">
        <f>_xll.qlPolynomialFunctionValue(BK$1,$BD71,AllTriggers)</f>
        <v>2.912125160464817E-3</v>
      </c>
      <c r="BL71" s="47">
        <f>_xll.qlPolynomialFunctionValue(BL$1,$BD71,AllTriggers)</f>
        <v>2.9230913013479506E-3</v>
      </c>
      <c r="BM71" s="47">
        <f>_xll.qlPolynomialFunctionValue(BM$1,$BD71,AllTriggers)</f>
        <v>2.8997465574415841E-3</v>
      </c>
      <c r="BN71" s="47">
        <f>_xll.qlPolynomialFunctionValue(BN$1,$BD71,AllTriggers)</f>
        <v>2.8795696290858245E-3</v>
      </c>
      <c r="BO71" s="47">
        <f>_xll.qlPolynomialFunctionValue(BO$1,$BD71,AllTriggers)</f>
        <v>2.9102184462321541E-3</v>
      </c>
      <c r="BP71" s="47">
        <f>_xll.qlPolynomialFunctionValue(BP$1,$BD71,AllTriggers)</f>
        <v>2.8968462769343186E-3</v>
      </c>
      <c r="BQ71" s="47">
        <f>_xll.qlPolynomialFunctionValue('12MSynthDepo_used'!$P$18,BD71,AllTriggers)</f>
        <v>2.8719125340868094E-3</v>
      </c>
    </row>
    <row r="72" spans="3:69" x14ac:dyDescent="0.2">
      <c r="C72" s="194"/>
      <c r="D72" s="194"/>
      <c r="F72" s="190" t="str">
        <f>C57&amp;"x"&amp;C57+SUBSTITUTE($D$24,"M","")&amp;"F"</f>
        <v>6x18F</v>
      </c>
      <c r="G72" s="47">
        <f>$AD57-G57</f>
        <v>-2.1010418919402332E-6</v>
      </c>
      <c r="H72" s="47">
        <f>$AD57-H57</f>
        <v>7.3939025677160564E-5</v>
      </c>
      <c r="I72" s="19">
        <f>$AD57-I57</f>
        <v>1.8500000000000001E-3</v>
      </c>
      <c r="J72" s="19">
        <f>$AD57-J57</f>
        <v>1.8500000000000001E-3</v>
      </c>
      <c r="K72" s="19">
        <f>$AD57-K57</f>
        <v>1.8500000000000001E-3</v>
      </c>
      <c r="L72" s="19">
        <f>$AD57-L57</f>
        <v>1.8500000000000001E-3</v>
      </c>
      <c r="M72" s="19">
        <f>$AD57-M57</f>
        <v>1.8500000000000001E-3</v>
      </c>
      <c r="N72" s="19">
        <f>$AD57-N57</f>
        <v>1.8500000000000001E-3</v>
      </c>
      <c r="O72" s="19">
        <f>$AD57-O57</f>
        <v>1.8500000000000001E-3</v>
      </c>
      <c r="P72" s="19">
        <f>$AD57-P57</f>
        <v>1.8500000000000001E-3</v>
      </c>
      <c r="Q72" s="19">
        <f>$AD57-Q57</f>
        <v>1.8500000000000001E-3</v>
      </c>
      <c r="R72" s="19">
        <f>$AD57-R57</f>
        <v>1.8500000000000001E-3</v>
      </c>
      <c r="S72" s="47">
        <f>$AD57-S57</f>
        <v>1.3880599246809044E-5</v>
      </c>
      <c r="T72" s="154">
        <f>$AD57-T57</f>
        <v>1.7260988783372299E-6</v>
      </c>
      <c r="U72" s="155">
        <f>$AD57-U57</f>
        <v>-5.1077641889311085E-5</v>
      </c>
      <c r="V72" s="47">
        <f>$AD57-V57</f>
        <v>7.765535023478696E-5</v>
      </c>
      <c r="W72" s="47">
        <f>$AD57-W57</f>
        <v>1.4900071779916412E-5</v>
      </c>
      <c r="X72" s="154">
        <f>$AD57-X57</f>
        <v>1.945891812170494E-6</v>
      </c>
      <c r="Y72" s="155">
        <f>$AD57-Y57</f>
        <v>5.6593636203071309E-6</v>
      </c>
      <c r="Z72" s="200">
        <f>$AD57-Z57</f>
        <v>2.4057035305162077E-6</v>
      </c>
      <c r="AA72" s="47">
        <f>$AD57-AA57</f>
        <v>7.0958832863322451E-6</v>
      </c>
      <c r="AB72" s="47">
        <f>$AD57-AB57</f>
        <v>5.0234324714159336E-6</v>
      </c>
      <c r="AC72" s="47">
        <f>$AD57-AC57</f>
        <v>6.801676079335817E-6</v>
      </c>
      <c r="BC72" s="178">
        <f>_xll.qlCalendarAdvance(Calendar,BC71,"1d","mf",,Trigger)</f>
        <v>42230</v>
      </c>
      <c r="BD72" s="41">
        <f>_xll.qlDayCounterYearFraction(DayCounter,SettlementDate,BC72,,,Trigger)</f>
        <v>0.25555555555555554</v>
      </c>
      <c r="BE72" s="47">
        <f>_xll.qlPolynomialFunctionValue(BE$1,$BD72,AllTriggers)</f>
        <v>2.862682121171317E-3</v>
      </c>
      <c r="BF72" s="47">
        <f>_xll.qlPolynomialFunctionValue(BF$1,$BD72,AllTriggers)</f>
        <v>2.8621502188626033E-3</v>
      </c>
      <c r="BG72" s="47">
        <f>_xll.qlPolynomialFunctionValue(BG$1,$BD72,AllTriggers)</f>
        <v>2.9121490358816663E-3</v>
      </c>
      <c r="BH72" s="47">
        <f>_xll.qlPolynomialFunctionValue(BH$1,$BD72,AllTriggers)</f>
        <v>2.92226769326251E-3</v>
      </c>
      <c r="BI72" s="47">
        <f>_xll.qlPolynomialFunctionValue(BI$1,$BD72,AllTriggers)</f>
        <v>2.8593503930027051E-3</v>
      </c>
      <c r="BJ72" s="47">
        <f>_xll.qlPolynomialFunctionValue(BJ$1,$BD72,AllTriggers)</f>
        <v>2.8608417425103616E-3</v>
      </c>
      <c r="BK72" s="47">
        <f>_xll.qlPolynomialFunctionValue(BK$1,$BD72,AllTriggers)</f>
        <v>2.9125819404046292E-3</v>
      </c>
      <c r="BL72" s="47">
        <f>_xll.qlPolynomialFunctionValue(BL$1,$BD72,AllTriggers)</f>
        <v>2.9232623461265305E-3</v>
      </c>
      <c r="BM72" s="47">
        <f>_xll.qlPolynomialFunctionValue(BM$1,$BD72,AllTriggers)</f>
        <v>2.900281540132318E-3</v>
      </c>
      <c r="BN72" s="47">
        <f>_xll.qlPolynomialFunctionValue(BN$1,$BD72,AllTriggers)</f>
        <v>2.8804249201122576E-3</v>
      </c>
      <c r="BO72" s="47">
        <f>_xll.qlPolynomialFunctionValue(BO$1,$BD72,AllTriggers)</f>
        <v>2.9107103530685032E-3</v>
      </c>
      <c r="BP72" s="47">
        <f>_xll.qlPolynomialFunctionValue(BP$1,$BD72,AllTriggers)</f>
        <v>2.8975094843151782E-3</v>
      </c>
      <c r="BQ72" s="47">
        <f>_xll.qlPolynomialFunctionValue('12MSynthDepo_used'!$P$18,BD72,AllTriggers)</f>
        <v>2.873155991623889E-3</v>
      </c>
    </row>
    <row r="73" spans="3:69" ht="11.25" customHeight="1" x14ac:dyDescent="0.2">
      <c r="C73" s="194"/>
      <c r="D73" s="194"/>
      <c r="F73" s="190" t="str">
        <f>C58&amp;"x"&amp;C58+SUBSTITUTE($D$24,"M","")&amp;"F"</f>
        <v>7x19F</v>
      </c>
      <c r="G73" s="47">
        <f>$AD58-G58</f>
        <v>-1.8469685358739937E-5</v>
      </c>
      <c r="H73" s="47">
        <f>$AD58-H58</f>
        <v>1.0080339016734267E-4</v>
      </c>
      <c r="I73" s="19">
        <f>$AD58-I58</f>
        <v>1.89E-3</v>
      </c>
      <c r="J73" s="19">
        <f>$AD58-J58</f>
        <v>1.89E-3</v>
      </c>
      <c r="K73" s="19">
        <f>$AD58-K58</f>
        <v>1.89E-3</v>
      </c>
      <c r="L73" s="19">
        <f>$AD58-L58</f>
        <v>1.89E-3</v>
      </c>
      <c r="M73" s="19">
        <f>$AD58-M58</f>
        <v>1.89E-3</v>
      </c>
      <c r="N73" s="19">
        <f>$AD58-N58</f>
        <v>1.89E-3</v>
      </c>
      <c r="O73" s="19">
        <f>$AD58-O58</f>
        <v>1.89E-3</v>
      </c>
      <c r="P73" s="19">
        <f>$AD58-P58</f>
        <v>1.89E-3</v>
      </c>
      <c r="Q73" s="19">
        <f>$AD58-Q58</f>
        <v>1.89E-3</v>
      </c>
      <c r="R73" s="19">
        <f>$AD58-R58</f>
        <v>1.89E-3</v>
      </c>
      <c r="S73" s="47">
        <f>$AD58-S58</f>
        <v>8.3503178081938915E-6</v>
      </c>
      <c r="T73" s="154">
        <f>$AD58-T58</f>
        <v>-1.0360144134374848E-5</v>
      </c>
      <c r="U73" s="155">
        <f>$AD58-U58</f>
        <v>-6.8414064076603763E-5</v>
      </c>
      <c r="V73" s="47">
        <f>$AD58-V58</f>
        <v>1.0585137976697689E-4</v>
      </c>
      <c r="W73" s="47">
        <f>$AD58-W58</f>
        <v>9.5154036367577858E-6</v>
      </c>
      <c r="X73" s="154">
        <f>$AD58-X58</f>
        <v>-1.0370629903141146E-5</v>
      </c>
      <c r="Y73" s="155">
        <f>$AD58-Y58</f>
        <v>-1.8849859729590506E-6</v>
      </c>
      <c r="Z73" s="200">
        <f>$AD58-Z58</f>
        <v>-2.0647889900848263E-6</v>
      </c>
      <c r="AA73" s="47">
        <f>$AD58-AA58</f>
        <v>7.4113537031224828E-7</v>
      </c>
      <c r="AB73" s="47">
        <f>$AD58-AB58</f>
        <v>-2.208013292531643E-7</v>
      </c>
      <c r="AC73" s="47">
        <f>$AD58-AC58</f>
        <v>4.9181605886732416E-6</v>
      </c>
      <c r="BC73" s="178">
        <f>_xll.qlCalendarAdvance(Calendar,BC72,"1d","mf",,Trigger)</f>
        <v>42233</v>
      </c>
      <c r="BD73" s="41">
        <f>_xll.qlDayCounterYearFraction(DayCounter,SettlementDate,BC73,,,Trigger)</f>
        <v>0.2638888888888889</v>
      </c>
      <c r="BE73" s="47">
        <f>_xll.qlPolynomialFunctionValue(BE$1,$BD73,AllTriggers)</f>
        <v>2.865265059296324E-3</v>
      </c>
      <c r="BF73" s="47">
        <f>_xll.qlPolynomialFunctionValue(BF$1,$BD73,AllTriggers)</f>
        <v>2.8675039633077291E-3</v>
      </c>
      <c r="BG73" s="47">
        <f>_xll.qlPolynomialFunctionValue(BG$1,$BD73,AllTriggers)</f>
        <v>2.913535193812068E-3</v>
      </c>
      <c r="BH73" s="47">
        <f>_xll.qlPolynomialFunctionValue(BH$1,$BD73,AllTriggers)</f>
        <v>2.9228508992239473E-3</v>
      </c>
      <c r="BI73" s="47">
        <f>_xll.qlPolynomialFunctionValue(BI$1,$BD73,AllTriggers)</f>
        <v>2.8620190632465789E-3</v>
      </c>
      <c r="BJ73" s="47">
        <f>_xll.qlPolynomialFunctionValue(BJ$1,$BD73,AllTriggers)</f>
        <v>2.8663108903962814E-3</v>
      </c>
      <c r="BK73" s="47">
        <f>_xll.qlPolynomialFunctionValue(BK$1,$BD73,AllTriggers)</f>
        <v>2.9139522802240662E-3</v>
      </c>
      <c r="BL73" s="47">
        <f>_xll.qlPolynomialFunctionValue(BL$1,$BD73,AllTriggers)</f>
        <v>2.923786594610644E-3</v>
      </c>
      <c r="BM73" s="47">
        <f>_xll.qlPolynomialFunctionValue(BM$1,$BD73,AllTriggers)</f>
        <v>2.9018864882045196E-3</v>
      </c>
      <c r="BN73" s="47">
        <f>_xll.qlPolynomialFunctionValue(BN$1,$BD73,AllTriggers)</f>
        <v>2.882981855865465E-3</v>
      </c>
      <c r="BO73" s="47">
        <f>_xll.qlPolynomialFunctionValue(BO$1,$BD73,AllTriggers)</f>
        <v>2.9121860735775518E-3</v>
      </c>
      <c r="BP73" s="47">
        <f>_xll.qlPolynomialFunctionValue(BP$1,$BD73,AllTriggers)</f>
        <v>2.8994947267142481E-3</v>
      </c>
      <c r="BQ73" s="47">
        <f>_xll.qlPolynomialFunctionValue('12MSynthDepo_used'!$P$18,BD73,AllTriggers)</f>
        <v>2.8768530319790825E-3</v>
      </c>
    </row>
    <row r="74" spans="3:69" x14ac:dyDescent="0.2">
      <c r="C74" s="194"/>
      <c r="D74" s="194"/>
      <c r="F74" s="190" t="str">
        <f>C59&amp;"x"&amp;C59+SUBSTITUTE($D$24,"M","")&amp;"F"</f>
        <v>8x20F</v>
      </c>
      <c r="G74" s="47">
        <f>$AD59-G59</f>
        <v>-3.4923004069905509E-5</v>
      </c>
      <c r="H74" s="47">
        <f>$AD59-H59</f>
        <v>1.4088433393369924E-4</v>
      </c>
      <c r="I74" s="19">
        <f>$AD59-I59</f>
        <v>1.97E-3</v>
      </c>
      <c r="J74" s="19">
        <f>$AD59-J59</f>
        <v>1.97E-3</v>
      </c>
      <c r="K74" s="19">
        <f>$AD59-K59</f>
        <v>1.97E-3</v>
      </c>
      <c r="L74" s="19">
        <f>$AD59-L59</f>
        <v>1.97E-3</v>
      </c>
      <c r="M74" s="19">
        <f>$AD59-M59</f>
        <v>1.97E-3</v>
      </c>
      <c r="N74" s="19">
        <f>$AD59-N59</f>
        <v>1.97E-3</v>
      </c>
      <c r="O74" s="19">
        <f>$AD59-O59</f>
        <v>1.97E-3</v>
      </c>
      <c r="P74" s="19">
        <f>$AD59-P59</f>
        <v>1.97E-3</v>
      </c>
      <c r="Q74" s="19">
        <f>$AD59-Q59</f>
        <v>1.97E-3</v>
      </c>
      <c r="R74" s="19">
        <f>$AD59-R59</f>
        <v>1.97E-3</v>
      </c>
      <c r="S74" s="47">
        <f>$AD59-S59</f>
        <v>4.8507188162793223E-6</v>
      </c>
      <c r="T74" s="154">
        <f>$AD59-T59</f>
        <v>-2.2679483410825534E-5</v>
      </c>
      <c r="U74" s="155">
        <f>$AD59-U59</f>
        <v>-8.4984747468839616E-5</v>
      </c>
      <c r="V74" s="47">
        <f>$AD59-V59</f>
        <v>1.4767466417689055E-4</v>
      </c>
      <c r="W74" s="47">
        <f>$AD59-W59</f>
        <v>6.1770193648127102E-6</v>
      </c>
      <c r="X74" s="154">
        <f>$AD59-X59</f>
        <v>-2.3031455221526019E-5</v>
      </c>
      <c r="Y74" s="155">
        <f>$AD59-Y59</f>
        <v>-7.6144461360937513E-6</v>
      </c>
      <c r="Z74" s="200">
        <f>$AD59-Z59</f>
        <v>-3.0659176580242337E-6</v>
      </c>
      <c r="AA74" s="47">
        <f>$AD59-AA59</f>
        <v>-3.6712657930149974E-6</v>
      </c>
      <c r="AB74" s="47">
        <f>$AD59-AB59</f>
        <v>-2.7543224778605983E-6</v>
      </c>
      <c r="AC74" s="47">
        <f>$AD59-AC59</f>
        <v>6.42661757617978E-6</v>
      </c>
      <c r="BC74" s="178">
        <f>_xll.qlCalendarAdvance(Calendar,BC73,"1d","mf",,Trigger)</f>
        <v>42234</v>
      </c>
      <c r="BD74" s="41">
        <f>_xll.qlDayCounterYearFraction(DayCounter,SettlementDate,BC74,,,Trigger)</f>
        <v>0.26666666666666666</v>
      </c>
      <c r="BE74" s="47">
        <f>_xll.qlPolynomialFunctionValue(BE$1,$BD74,AllTriggers)</f>
        <v>2.8661260386713262E-3</v>
      </c>
      <c r="BF74" s="47">
        <f>_xll.qlPolynomialFunctionValue(BF$1,$BD74,AllTriggers)</f>
        <v>2.8692712001489357E-3</v>
      </c>
      <c r="BG74" s="47">
        <f>_xll.qlPolynomialFunctionValue(BG$1,$BD74,AllTriggers)</f>
        <v>2.913997246455535E-3</v>
      </c>
      <c r="BH74" s="47">
        <f>_xll.qlPolynomialFunctionValue(BH$1,$BD74,AllTriggers)</f>
        <v>2.9230488113836349E-3</v>
      </c>
      <c r="BI74" s="47">
        <f>_xll.qlPolynomialFunctionValue(BI$1,$BD74,AllTriggers)</f>
        <v>2.862908619994537E-3</v>
      </c>
      <c r="BJ74" s="47">
        <f>_xll.qlPolynomialFunctionValue(BJ$1,$BD74,AllTriggers)</f>
        <v>2.8681159925507743E-3</v>
      </c>
      <c r="BK74" s="47">
        <f>_xll.qlPolynomialFunctionValue(BK$1,$BD74,AllTriggers)</f>
        <v>2.9144090601638784E-3</v>
      </c>
      <c r="BL74" s="47">
        <f>_xll.qlPolynomialFunctionValue(BL$1,$BD74,AllTriggers)</f>
        <v>2.9239650488214735E-3</v>
      </c>
      <c r="BM74" s="47">
        <f>_xll.qlPolynomialFunctionValue(BM$1,$BD74,AllTriggers)</f>
        <v>2.902421470895253E-3</v>
      </c>
      <c r="BN74" s="47">
        <f>_xll.qlPolynomialFunctionValue(BN$1,$BD74,AllTriggers)</f>
        <v>2.8838311886745034E-3</v>
      </c>
      <c r="BO74" s="47">
        <f>_xll.qlPolynomialFunctionValue(BO$1,$BD74,AllTriggers)</f>
        <v>2.9126779804139009E-3</v>
      </c>
      <c r="BP74" s="47">
        <f>_xll.qlPolynomialFunctionValue(BP$1,$BD74,AllTriggers)</f>
        <v>2.9001550142661024E-3</v>
      </c>
      <c r="BQ74" s="47">
        <f>_xll.qlPolynomialFunctionValue('12MSynthDepo_used'!$P$18,BD74,AllTriggers)</f>
        <v>2.8780743170624336E-3</v>
      </c>
    </row>
    <row r="75" spans="3:69" x14ac:dyDescent="0.2">
      <c r="C75" s="194"/>
      <c r="D75" s="194"/>
      <c r="F75" s="190" t="str">
        <f>C60&amp;"x"&amp;C60+SUBSTITUTE($D$24,"M","")&amp;"F"</f>
        <v>9x21F</v>
      </c>
      <c r="G75" s="47">
        <f>$AD60-G60</f>
        <v>-4.6164195725263268E-5</v>
      </c>
      <c r="H75" s="47">
        <f>$AD60-H60</f>
        <v>1.9473533503715679E-4</v>
      </c>
      <c r="I75" s="19">
        <f>$AD60-I60</f>
        <v>2.0400000000000001E-3</v>
      </c>
      <c r="J75" s="19">
        <f>$AD60-J60</f>
        <v>2.0400000000000001E-3</v>
      </c>
      <c r="K75" s="19">
        <f>$AD60-K60</f>
        <v>2.0400000000000001E-3</v>
      </c>
      <c r="L75" s="19">
        <f>$AD60-L60</f>
        <v>2.0400000000000001E-3</v>
      </c>
      <c r="M75" s="19">
        <f>$AD60-M60</f>
        <v>2.0400000000000001E-3</v>
      </c>
      <c r="N75" s="19">
        <f>$AD60-N60</f>
        <v>2.0400000000000001E-3</v>
      </c>
      <c r="O75" s="19">
        <f>$AD60-O60</f>
        <v>2.0400000000000001E-3</v>
      </c>
      <c r="P75" s="19">
        <f>$AD60-P60</f>
        <v>2.0400000000000001E-3</v>
      </c>
      <c r="Q75" s="19">
        <f>$AD60-Q60</f>
        <v>2.0400000000000001E-3</v>
      </c>
      <c r="R75" s="19">
        <f>$AD60-R60</f>
        <v>2.0400000000000001E-3</v>
      </c>
      <c r="S75" s="47">
        <f>$AD60-S60</f>
        <v>5.2115125850089178E-6</v>
      </c>
      <c r="T75" s="154">
        <f>$AD60-T60</f>
        <v>-3.3143927388103178E-5</v>
      </c>
      <c r="U75" s="155">
        <f>$AD60-U60</f>
        <v>-9.8116685984313279E-5</v>
      </c>
      <c r="V75" s="47">
        <f>$AD60-V60</f>
        <v>2.0361960814458042E-4</v>
      </c>
      <c r="W75" s="47">
        <f>$AD60-W60</f>
        <v>6.7042283283498885E-6</v>
      </c>
      <c r="X75" s="154">
        <f>$AD60-X60</f>
        <v>-3.3943782984207672E-5</v>
      </c>
      <c r="Y75" s="155">
        <f>$AD60-Y60</f>
        <v>-9.5554445441077551E-6</v>
      </c>
      <c r="Z75" s="200">
        <f>$AD60-Z60</f>
        <v>1.3345586037574048E-6</v>
      </c>
      <c r="AA75" s="47">
        <f>$AD60-AA60</f>
        <v>-4.252719427034167E-6</v>
      </c>
      <c r="AB75" s="47">
        <f>$AD60-AB60</f>
        <v>-6.8051090028765221E-7</v>
      </c>
      <c r="AC75" s="47">
        <f>$AD60-AC60</f>
        <v>1.2595124297609325E-5</v>
      </c>
      <c r="BC75" s="178">
        <f>_xll.qlCalendarAdvance(Calendar,BC74,"1d","mf",,Trigger)</f>
        <v>42235</v>
      </c>
      <c r="BD75" s="41">
        <f>_xll.qlDayCounterYearFraction(DayCounter,SettlementDate,BC75,,,Trigger)</f>
        <v>0.26944444444444443</v>
      </c>
      <c r="BE75" s="47">
        <f>_xll.qlPolynomialFunctionValue(BE$1,$BD75,AllTriggers)</f>
        <v>2.8669870180463284E-3</v>
      </c>
      <c r="BF75" s="47">
        <f>_xll.qlPolynomialFunctionValue(BF$1,$BD75,AllTriggers)</f>
        <v>2.8710297646698918E-3</v>
      </c>
      <c r="BG75" s="47">
        <f>_xll.qlPolynomialFunctionValue(BG$1,$BD75,AllTriggers)</f>
        <v>2.9144592990990024E-3</v>
      </c>
      <c r="BH75" s="47">
        <f>_xll.qlPolynomialFunctionValue(BH$1,$BD75,AllTriggers)</f>
        <v>2.9232484786295932E-3</v>
      </c>
      <c r="BI75" s="47">
        <f>_xll.qlPolynomialFunctionValue(BI$1,$BD75,AllTriggers)</f>
        <v>2.8637981767424946E-3</v>
      </c>
      <c r="BJ75" s="47">
        <f>_xll.qlPolynomialFunctionValue(BJ$1,$BD75,AllTriggers)</f>
        <v>2.8699121211348592E-3</v>
      </c>
      <c r="BK75" s="47">
        <f>_xll.qlPolynomialFunctionValue(BK$1,$BD75,AllTriggers)</f>
        <v>2.9148658401036906E-3</v>
      </c>
      <c r="BL75" s="47">
        <f>_xll.qlPolynomialFunctionValue(BL$1,$BD75,AllTriggers)</f>
        <v>2.9241453553903651E-3</v>
      </c>
      <c r="BM75" s="47">
        <f>_xll.qlPolynomialFunctionValue(BM$1,$BD75,AllTriggers)</f>
        <v>2.9029564535859869E-3</v>
      </c>
      <c r="BN75" s="47">
        <f>_xll.qlPolynomialFunctionValue(BN$1,$BD75,AllTriggers)</f>
        <v>2.8846790319291939E-3</v>
      </c>
      <c r="BO75" s="47">
        <f>_xll.qlPolynomialFunctionValue(BO$1,$BD75,AllTriggers)</f>
        <v>2.9131698872502504E-3</v>
      </c>
      <c r="BP75" s="47">
        <f>_xll.qlPolynomialFunctionValue(BP$1,$BD75,AllTriggers)</f>
        <v>2.9008145718607044E-3</v>
      </c>
      <c r="BQ75" s="47">
        <f>_xll.qlPolynomialFunctionValue('12MSynthDepo_used'!$P$18,BD75,AllTriggers)</f>
        <v>2.8792900958200776E-3</v>
      </c>
    </row>
    <row r="76" spans="3:69" x14ac:dyDescent="0.2">
      <c r="C76" s="194"/>
      <c r="D76" s="194"/>
      <c r="F76" s="190" t="str">
        <f>C61&amp;"x"&amp;C61+SUBSTITUTE($D$24,"M","")&amp;"F"</f>
        <v>10x22F</v>
      </c>
      <c r="G76" s="47">
        <f>$AD61-G61</f>
        <v>-7.9587812385047575E-5</v>
      </c>
      <c r="H76" s="47">
        <f>$AD61-H61</f>
        <v>2.2574366983330388E-4</v>
      </c>
      <c r="I76" s="19">
        <f>$AD61-I61</f>
        <v>2.1000000000000003E-3</v>
      </c>
      <c r="J76" s="19">
        <f>$AD61-J61</f>
        <v>2.1000000000000003E-3</v>
      </c>
      <c r="K76" s="19">
        <f>$AD61-K61</f>
        <v>2.1000000000000003E-3</v>
      </c>
      <c r="L76" s="19">
        <f>$AD61-L61</f>
        <v>2.1000000000000003E-3</v>
      </c>
      <c r="M76" s="19">
        <f>$AD61-M61</f>
        <v>2.1000000000000003E-3</v>
      </c>
      <c r="N76" s="19">
        <f>$AD61-N61</f>
        <v>2.1000000000000003E-3</v>
      </c>
      <c r="O76" s="19">
        <f>$AD61-O61</f>
        <v>2.1000000000000003E-3</v>
      </c>
      <c r="P76" s="19">
        <f>$AD61-P61</f>
        <v>2.1000000000000003E-3</v>
      </c>
      <c r="Q76" s="19">
        <f>$AD61-Q61</f>
        <v>2.1000000000000003E-3</v>
      </c>
      <c r="R76" s="19">
        <f>$AD61-R61</f>
        <v>2.1000000000000003E-3</v>
      </c>
      <c r="S76" s="47">
        <f>$AD61-S61</f>
        <v>-1.7670617883824413E-5</v>
      </c>
      <c r="T76" s="154">
        <f>$AD61-T61</f>
        <v>-6.6932298976655948E-5</v>
      </c>
      <c r="U76" s="155">
        <f>$AD61-U61</f>
        <v>-1.328049572018237E-4</v>
      </c>
      <c r="V76" s="47">
        <f>$AD61-V61</f>
        <v>2.36706307683421E-4</v>
      </c>
      <c r="W76" s="47">
        <f>$AD61-W61</f>
        <v>-1.6032288845026915E-5</v>
      </c>
      <c r="X76" s="154">
        <f>$AD61-X61</f>
        <v>-6.8203537938905413E-5</v>
      </c>
      <c r="Y76" s="155">
        <f>$AD61-Y61</f>
        <v>-3.4451643167591681E-5</v>
      </c>
      <c r="Z76" s="200">
        <f>$AD61-Z61</f>
        <v>-1.6795669390177407E-5</v>
      </c>
      <c r="AA76" s="47">
        <f>$AD61-AA61</f>
        <v>-2.7959316373271908E-5</v>
      </c>
      <c r="AB76" s="47">
        <f>$AD61-AB61</f>
        <v>-2.1467270649599794E-5</v>
      </c>
      <c r="AC76" s="47">
        <f>$AD61-AC61</f>
        <v>-5.0332437855791709E-6</v>
      </c>
      <c r="BC76" s="178">
        <f>_xll.qlCalendarAdvance(Calendar,BC75,"1d","mf",,Trigger)</f>
        <v>42236</v>
      </c>
      <c r="BD76" s="41">
        <f>_xll.qlDayCounterYearFraction(DayCounter,SettlementDate,BC76,,,Trigger)</f>
        <v>0.2722222222222222</v>
      </c>
      <c r="BE76" s="47">
        <f>_xll.qlPolynomialFunctionValue(BE$1,$BD76,AllTriggers)</f>
        <v>2.8678479974213306E-3</v>
      </c>
      <c r="BF76" s="47">
        <f>_xll.qlPolynomialFunctionValue(BF$1,$BD76,AllTriggers)</f>
        <v>2.8727796568705976E-3</v>
      </c>
      <c r="BG76" s="47">
        <f>_xll.qlPolynomialFunctionValue(BG$1,$BD76,AllTriggers)</f>
        <v>2.9149213517424694E-3</v>
      </c>
      <c r="BH76" s="47">
        <f>_xll.qlPolynomialFunctionValue(BH$1,$BD76,AllTriggers)</f>
        <v>2.9234499009618228E-3</v>
      </c>
      <c r="BI76" s="47">
        <f>_xll.qlPolynomialFunctionValue(BI$1,$BD76,AllTriggers)</f>
        <v>2.8646877334904527E-3</v>
      </c>
      <c r="BJ76" s="47">
        <f>_xll.qlPolynomialFunctionValue(BJ$1,$BD76,AllTriggers)</f>
        <v>2.8716992761485378E-3</v>
      </c>
      <c r="BK76" s="47">
        <f>_xll.qlPolynomialFunctionValue(BK$1,$BD76,AllTriggers)</f>
        <v>2.9153226200435028E-3</v>
      </c>
      <c r="BL76" s="47">
        <f>_xll.qlPolynomialFunctionValue(BL$1,$BD76,AllTriggers)</f>
        <v>2.9243275143173196E-3</v>
      </c>
      <c r="BM76" s="47">
        <f>_xll.qlPolynomialFunctionValue(BM$1,$BD76,AllTriggers)</f>
        <v>2.9034914362767207E-3</v>
      </c>
      <c r="BN76" s="47">
        <f>_xll.qlPolynomialFunctionValue(BN$1,$BD76,AllTriggers)</f>
        <v>2.8855253856295356E-3</v>
      </c>
      <c r="BO76" s="47">
        <f>_xll.qlPolynomialFunctionValue(BO$1,$BD76,AllTriggers)</f>
        <v>2.9136617940866E-3</v>
      </c>
      <c r="BP76" s="47">
        <f>_xll.qlPolynomialFunctionValue(BP$1,$BD76,AllTriggers)</f>
        <v>2.9014733994980552E-3</v>
      </c>
      <c r="BQ76" s="47">
        <f>_xll.qlPolynomialFunctionValue('12MSynthDepo_used'!$P$18,BD76,AllTriggers)</f>
        <v>2.8805003829671058E-3</v>
      </c>
    </row>
    <row r="77" spans="3:69" x14ac:dyDescent="0.2">
      <c r="F77" s="190" t="str">
        <f>C62&amp;"x"&amp;C62+SUBSTITUTE($D$24,"M","")&amp;"F"</f>
        <v>11x23F</v>
      </c>
      <c r="G77" s="47">
        <f>$AD62-G62</f>
        <v>-9.4700730451189631E-5</v>
      </c>
      <c r="H77" s="47">
        <f>$AD62-H62</f>
        <v>2.9192230997025347E-4</v>
      </c>
      <c r="I77" s="19">
        <f>$AD62-I62</f>
        <v>2.2100000000000002E-3</v>
      </c>
      <c r="J77" s="19">
        <f>$AD62-J62</f>
        <v>2.2100000000000002E-3</v>
      </c>
      <c r="K77" s="19">
        <f>$AD62-K62</f>
        <v>2.2100000000000002E-3</v>
      </c>
      <c r="L77" s="19">
        <f>$AD62-L62</f>
        <v>2.2100000000000002E-3</v>
      </c>
      <c r="M77" s="19">
        <f>$AD62-M62</f>
        <v>2.2100000000000002E-3</v>
      </c>
      <c r="N77" s="19">
        <f>$AD62-N62</f>
        <v>2.2100000000000002E-3</v>
      </c>
      <c r="O77" s="19">
        <f>$AD62-O62</f>
        <v>2.2100000000000002E-3</v>
      </c>
      <c r="P77" s="19">
        <f>$AD62-P62</f>
        <v>2.2100000000000002E-3</v>
      </c>
      <c r="Q77" s="19">
        <f>$AD62-Q62</f>
        <v>2.2100000000000002E-3</v>
      </c>
      <c r="R77" s="19">
        <f>$AD62-R62</f>
        <v>2.2100000000000002E-3</v>
      </c>
      <c r="S77" s="47">
        <f>$AD62-S62</f>
        <v>-1.887146334163519E-5</v>
      </c>
      <c r="T77" s="154">
        <f>$AD62-T62</f>
        <v>-8.1769265644514397E-5</v>
      </c>
      <c r="U77" s="155">
        <f>$AD62-U62</f>
        <v>-1.4707688705995576E-4</v>
      </c>
      <c r="V77" s="47">
        <f>$AD62-V62</f>
        <v>3.0545399170397178E-4</v>
      </c>
      <c r="W77" s="47">
        <f>$AD62-W62</f>
        <v>-1.70719195828682E-5</v>
      </c>
      <c r="X77" s="154">
        <f>$AD62-X62</f>
        <v>-8.3648927954763346E-5</v>
      </c>
      <c r="Y77" s="155">
        <f>$AD62-Y62</f>
        <v>-3.788234979662259E-5</v>
      </c>
      <c r="Z77" s="200">
        <f>$AD62-Z62</f>
        <v>-1.1410347371748012E-5</v>
      </c>
      <c r="AA77" s="47">
        <f>$AD62-AA62</f>
        <v>-3.0072964002495362E-5</v>
      </c>
      <c r="AB77" s="47">
        <f>$AD62-AB62</f>
        <v>-1.9698859138073902E-5</v>
      </c>
      <c r="AC77" s="47">
        <f>$AD62-AC62</f>
        <v>-6.2180202542450047E-7</v>
      </c>
      <c r="BC77" s="178">
        <f>_xll.qlCalendarAdvance(Calendar,BC76,"1d","mf",,Trigger)</f>
        <v>42237</v>
      </c>
      <c r="BD77" s="41">
        <f>_xll.qlDayCounterYearFraction(DayCounter,SettlementDate,BC77,,,Trigger)</f>
        <v>0.27500000000000002</v>
      </c>
      <c r="BE77" s="47">
        <f>_xll.qlPolynomialFunctionValue(BE$1,$BD77,AllTriggers)</f>
        <v>2.8687089767963328E-3</v>
      </c>
      <c r="BF77" s="47">
        <f>_xll.qlPolynomialFunctionValue(BF$1,$BD77,AllTriggers)</f>
        <v>2.8745208767510522E-3</v>
      </c>
      <c r="BG77" s="47">
        <f>_xll.qlPolynomialFunctionValue(BG$1,$BD77,AllTriggers)</f>
        <v>2.9153834043859368E-3</v>
      </c>
      <c r="BH77" s="47">
        <f>_xll.qlPolynomialFunctionValue(BH$1,$BD77,AllTriggers)</f>
        <v>2.9236530783803235E-3</v>
      </c>
      <c r="BI77" s="47">
        <f>_xll.qlPolynomialFunctionValue(BI$1,$BD77,AllTriggers)</f>
        <v>2.8655772902384108E-3</v>
      </c>
      <c r="BJ77" s="47">
        <f>_xll.qlPolynomialFunctionValue(BJ$1,$BD77,AllTriggers)</f>
        <v>2.8734774575918088E-3</v>
      </c>
      <c r="BK77" s="47">
        <f>_xll.qlPolynomialFunctionValue(BK$1,$BD77,AllTriggers)</f>
        <v>2.915779399983315E-3</v>
      </c>
      <c r="BL77" s="47">
        <f>_xll.qlPolynomialFunctionValue(BL$1,$BD77,AllTriggers)</f>
        <v>2.9245115256023363E-3</v>
      </c>
      <c r="BM77" s="47">
        <f>_xll.qlPolynomialFunctionValue(BM$1,$BD77,AllTriggers)</f>
        <v>2.9040264189674546E-3</v>
      </c>
      <c r="BN77" s="47">
        <f>_xll.qlPolynomialFunctionValue(BN$1,$BD77,AllTriggers)</f>
        <v>2.8863702497755285E-3</v>
      </c>
      <c r="BO77" s="47">
        <f>_xll.qlPolynomialFunctionValue(BO$1,$BD77,AllTriggers)</f>
        <v>2.9141537009229491E-3</v>
      </c>
      <c r="BP77" s="47">
        <f>_xll.qlPolynomialFunctionValue(BP$1,$BD77,AllTriggers)</f>
        <v>2.9021314971781546E-3</v>
      </c>
      <c r="BQ77" s="47">
        <f>_xll.qlPolynomialFunctionValue('12MSynthDepo_used'!$P$18,BD77,AllTriggers)</f>
        <v>2.8817051932186082E-3</v>
      </c>
    </row>
    <row r="78" spans="3:69" x14ac:dyDescent="0.2">
      <c r="F78" s="277" t="str">
        <f>C63&amp;"x"&amp;C63+SUBSTITUTE($D$24,"M","")&amp;"F"</f>
        <v>12x24F</v>
      </c>
      <c r="G78" s="50">
        <f>$AD63-G63</f>
        <v>-1.193792915868807E-4</v>
      </c>
      <c r="H78" s="50">
        <f>$AD63-H63</f>
        <v>3.5620089753930252E-4</v>
      </c>
      <c r="I78" s="96">
        <f>$AD63-I63</f>
        <v>2.31E-3</v>
      </c>
      <c r="J78" s="96">
        <f>$AD63-J63</f>
        <v>2.31E-3</v>
      </c>
      <c r="K78" s="96">
        <f>$AD63-K63</f>
        <v>2.31E-3</v>
      </c>
      <c r="L78" s="96">
        <f>$AD63-L63</f>
        <v>2.31E-3</v>
      </c>
      <c r="M78" s="96">
        <f>$AD63-M63</f>
        <v>2.31E-3</v>
      </c>
      <c r="N78" s="96">
        <f>$AD63-N63</f>
        <v>2.31E-3</v>
      </c>
      <c r="O78" s="96">
        <f>$AD63-O63</f>
        <v>2.31E-3</v>
      </c>
      <c r="P78" s="96">
        <f>$AD63-P63</f>
        <v>2.31E-3</v>
      </c>
      <c r="Q78" s="96">
        <f>$AD63-Q63</f>
        <v>2.31E-3</v>
      </c>
      <c r="R78" s="96">
        <f>$AD63-R63</f>
        <v>2.31E-3</v>
      </c>
      <c r="S78" s="50">
        <f>$AD63-S63</f>
        <v>-3.2649733777238236E-5</v>
      </c>
      <c r="T78" s="276">
        <f>$AD63-T63</f>
        <v>-1.1134452187826476E-4</v>
      </c>
      <c r="U78" s="275">
        <f>$AD63-U63</f>
        <v>-1.743478897797612E-4</v>
      </c>
      <c r="V78" s="50">
        <f>$AD63-V63</f>
        <v>3.726798932237505E-4</v>
      </c>
      <c r="W78" s="50">
        <f>$AD63-W63</f>
        <v>-3.0683774823663662E-5</v>
      </c>
      <c r="X78" s="276">
        <f>$AD63-X63</f>
        <v>-1.1394761616082558E-4</v>
      </c>
      <c r="Y78" s="275">
        <f>$AD63-Y63</f>
        <v>-5.3962412408969235E-5</v>
      </c>
      <c r="Z78" s="201">
        <f>$AD63-Z63</f>
        <v>-1.6929376963574234E-5</v>
      </c>
      <c r="AA78" s="50">
        <f>$AD63-AA63</f>
        <v>-4.4793481840846739E-5</v>
      </c>
      <c r="AB78" s="50">
        <f>$AD63-AB63</f>
        <v>-2.9696313957319406E-5</v>
      </c>
      <c r="AC78" s="50">
        <f>$AD63-AC63</f>
        <v>-9.2637084933748851E-6</v>
      </c>
      <c r="BC78" s="178">
        <f>_xll.qlCalendarAdvance(Calendar,BC77,"1d","mf",,Trigger)</f>
        <v>42240</v>
      </c>
      <c r="BD78" s="41">
        <f>_xll.qlDayCounterYearFraction(DayCounter,SettlementDate,BC78,,,Trigger)</f>
        <v>0.28333333333333333</v>
      </c>
      <c r="BE78" s="47">
        <f>_xll.qlPolynomialFunctionValue(BE$1,$BD78,AllTriggers)</f>
        <v>2.8712919149213399E-3</v>
      </c>
      <c r="BF78" s="47">
        <f>_xll.qlPolynomialFunctionValue(BF$1,$BD78,AllTriggers)</f>
        <v>2.8796925024709118E-3</v>
      </c>
      <c r="BG78" s="47">
        <f>_xll.qlPolynomialFunctionValue(BG$1,$BD78,AllTriggers)</f>
        <v>2.9167695623163381E-3</v>
      </c>
      <c r="BH78" s="47">
        <f>_xll.qlPolynomialFunctionValue(BH$1,$BD78,AllTriggers)</f>
        <v>2.9242731411534507E-3</v>
      </c>
      <c r="BI78" s="47">
        <f>_xll.qlPolynomialFunctionValue(BI$1,$BD78,AllTriggers)</f>
        <v>2.8682459604822846E-3</v>
      </c>
      <c r="BJ78" s="47">
        <f>_xll.qlPolynomialFunctionValue(BJ$1,$BD78,AllTriggers)</f>
        <v>2.8787581604991803E-3</v>
      </c>
      <c r="BK78" s="47">
        <f>_xll.qlPolynomialFunctionValue(BK$1,$BD78,AllTriggers)</f>
        <v>2.917149739802752E-3</v>
      </c>
      <c r="BL78" s="47">
        <f>_xll.qlPolynomialFunctionValue(BL$1,$BD78,AllTriggers)</f>
        <v>2.9250746736057612E-3</v>
      </c>
      <c r="BM78" s="47">
        <f>_xll.qlPolynomialFunctionValue(BM$1,$BD78,AllTriggers)</f>
        <v>2.9056313670396561E-3</v>
      </c>
      <c r="BN78" s="47">
        <f>_xll.qlPolynomialFunctionValue(BN$1,$BD78,AllTriggers)</f>
        <v>2.888895904887417E-3</v>
      </c>
      <c r="BO78" s="47">
        <f>_xll.qlPolynomialFunctionValue(BO$1,$BD78,AllTriggers)</f>
        <v>2.9156294214319972E-3</v>
      </c>
      <c r="BP78" s="47">
        <f>_xll.qlPolynomialFunctionValue(BP$1,$BD78,AllTriggers)</f>
        <v>2.904101410474944E-3</v>
      </c>
      <c r="BQ78" s="47">
        <f>_xll.qlPolynomialFunctionValue('12MSynthDepo_used'!$P$18,BD78,AllTriggers)</f>
        <v>2.8852869097508618E-3</v>
      </c>
    </row>
    <row r="79" spans="3:69" x14ac:dyDescent="0.2">
      <c r="K79" s="55"/>
      <c r="L79" s="55"/>
      <c r="M79" s="55"/>
      <c r="N79" s="55"/>
      <c r="BC79" s="178">
        <f>_xll.qlCalendarAdvance(Calendar,BC78,"1d","mf",,Trigger)</f>
        <v>42241</v>
      </c>
      <c r="BD79" s="41">
        <f>_xll.qlDayCounterYearFraction(DayCounter,SettlementDate,BC79,,,Trigger)</f>
        <v>0.28611111111111109</v>
      </c>
      <c r="BE79" s="47">
        <f>_xll.qlPolynomialFunctionValue(BE$1,$BD79,AllTriggers)</f>
        <v>2.8721528942963421E-3</v>
      </c>
      <c r="BF79" s="47">
        <f>_xll.qlPolynomialFunctionValue(BF$1,$BD79,AllTriggers)</f>
        <v>2.8813990330703631E-3</v>
      </c>
      <c r="BG79" s="47">
        <f>_xll.qlPolynomialFunctionValue(BG$1,$BD79,AllTriggers)</f>
        <v>2.9172316149598055E-3</v>
      </c>
      <c r="BH79" s="47">
        <f>_xll.qlPolynomialFunctionValue(BH$1,$BD79,AllTriggers)</f>
        <v>2.9244833389170349E-3</v>
      </c>
      <c r="BI79" s="47">
        <f>_xll.qlPolynomialFunctionValue(BI$1,$BD79,AllTriggers)</f>
        <v>2.8691355172302427E-3</v>
      </c>
      <c r="BJ79" s="47">
        <f>_xll.qlPolynomialFunctionValue(BJ$1,$BD79,AllTriggers)</f>
        <v>2.8805004476608227E-3</v>
      </c>
      <c r="BK79" s="47">
        <f>_xll.qlPolynomialFunctionValue(BK$1,$BD79,AllTriggers)</f>
        <v>2.9176065197425642E-3</v>
      </c>
      <c r="BL79" s="47">
        <f>_xll.qlPolynomialFunctionValue(BL$1,$BD79,AllTriggers)</f>
        <v>2.9252660943230278E-3</v>
      </c>
      <c r="BM79" s="47">
        <f>_xll.qlPolynomialFunctionValue(BM$1,$BD79,AllTriggers)</f>
        <v>2.9061663497303896E-3</v>
      </c>
      <c r="BN79" s="47">
        <f>_xll.qlPolynomialFunctionValue(BN$1,$BD79,AllTriggers)</f>
        <v>2.8897348108160156E-3</v>
      </c>
      <c r="BO79" s="47">
        <f>_xll.qlPolynomialFunctionValue(BO$1,$BD79,AllTriggers)</f>
        <v>2.9161213282683468E-3</v>
      </c>
      <c r="BP79" s="47">
        <f>_xll.qlPolynomialFunctionValue(BP$1,$BD79,AllTriggers)</f>
        <v>2.9047565883260377E-3</v>
      </c>
      <c r="BQ79" s="47">
        <f>_xll.qlPolynomialFunctionValue('12MSynthDepo_used'!$P$18,BD79,AllTriggers)</f>
        <v>2.8864699595711634E-3</v>
      </c>
    </row>
    <row r="80" spans="3:69" x14ac:dyDescent="0.2">
      <c r="K80" s="55"/>
      <c r="L80" s="55"/>
      <c r="M80" s="55"/>
      <c r="N80" s="55"/>
      <c r="R80" s="34"/>
      <c r="BC80" s="178">
        <f>_xll.qlCalendarAdvance(Calendar,BC79,"1d","mf",,Trigger)</f>
        <v>42242</v>
      </c>
      <c r="BD80" s="41">
        <f>_xll.qlDayCounterYearFraction(DayCounter,SettlementDate,BC80,,,Trigger)</f>
        <v>0.28888888888888886</v>
      </c>
      <c r="BE80" s="47">
        <f>_xll.qlPolynomialFunctionValue(BE$1,$BD80,AllTriggers)</f>
        <v>2.8730138736713443E-3</v>
      </c>
      <c r="BF80" s="47">
        <f>_xll.qlPolynomialFunctionValue(BF$1,$BD80,AllTriggers)</f>
        <v>2.883096891349564E-3</v>
      </c>
      <c r="BG80" s="47">
        <f>_xll.qlPolynomialFunctionValue(BG$1,$BD80,AllTriggers)</f>
        <v>2.9176936676032724E-3</v>
      </c>
      <c r="BH80" s="47">
        <f>_xll.qlPolynomialFunctionValue(BH$1,$BD80,AllTriggers)</f>
        <v>2.9246952917668903E-3</v>
      </c>
      <c r="BI80" s="47">
        <f>_xll.qlPolynomialFunctionValue(BI$1,$BD80,AllTriggers)</f>
        <v>2.8700250739782007E-3</v>
      </c>
      <c r="BJ80" s="47">
        <f>_xll.qlPolynomialFunctionValue(BJ$1,$BD80,AllTriggers)</f>
        <v>2.8822337612520589E-3</v>
      </c>
      <c r="BK80" s="47">
        <f>_xll.qlPolynomialFunctionValue(BK$1,$BD80,AllTriggers)</f>
        <v>2.9180632996823764E-3</v>
      </c>
      <c r="BL80" s="47">
        <f>_xll.qlPolynomialFunctionValue(BL$1,$BD80,AllTriggers)</f>
        <v>2.9254593673983566E-3</v>
      </c>
      <c r="BM80" s="47">
        <f>_xll.qlPolynomialFunctionValue(BM$1,$BD80,AllTriggers)</f>
        <v>2.9067013324211234E-3</v>
      </c>
      <c r="BN80" s="47">
        <f>_xll.qlPolynomialFunctionValue(BN$1,$BD80,AllTriggers)</f>
        <v>2.8905722271902667E-3</v>
      </c>
      <c r="BO80" s="47">
        <f>_xll.qlPolynomialFunctionValue(BO$1,$BD80,AllTriggers)</f>
        <v>2.9166132351046963E-3</v>
      </c>
      <c r="BP80" s="47">
        <f>_xll.qlPolynomialFunctionValue(BP$1,$BD80,AllTriggers)</f>
        <v>2.9054110362198801E-3</v>
      </c>
      <c r="BQ80" s="47">
        <f>_xll.qlPolynomialFunctionValue('12MSynthDepo_used'!$P$18,BD80,AllTriggers)</f>
        <v>2.8876476060713903E-3</v>
      </c>
    </row>
    <row r="81" spans="8:69" x14ac:dyDescent="0.2">
      <c r="K81" s="55"/>
      <c r="L81" s="55"/>
      <c r="M81" s="55"/>
      <c r="N81" s="55"/>
      <c r="R81" s="34"/>
      <c r="BC81" s="178">
        <f>_xll.qlCalendarAdvance(Calendar,BC80,"1d","mf",,Trigger)</f>
        <v>42243</v>
      </c>
      <c r="BD81" s="41">
        <f>_xll.qlDayCounterYearFraction(DayCounter,SettlementDate,BC81,,,Trigger)</f>
        <v>0.29166666666666669</v>
      </c>
      <c r="BE81" s="47">
        <f>_xll.qlPolynomialFunctionValue(BE$1,$BD81,AllTriggers)</f>
        <v>2.8738748530463465E-3</v>
      </c>
      <c r="BF81" s="47">
        <f>_xll.qlPolynomialFunctionValue(BF$1,$BD81,AllTriggers)</f>
        <v>2.8847860773085141E-3</v>
      </c>
      <c r="BG81" s="47">
        <f>_xll.qlPolynomialFunctionValue(BG$1,$BD81,AllTriggers)</f>
        <v>2.9181557202467398E-3</v>
      </c>
      <c r="BH81" s="47">
        <f>_xll.qlPolynomialFunctionValue(BH$1,$BD81,AllTriggers)</f>
        <v>2.9249089997030165E-3</v>
      </c>
      <c r="BI81" s="47">
        <f>_xll.qlPolynomialFunctionValue(BI$1,$BD81,AllTriggers)</f>
        <v>2.8709146307261588E-3</v>
      </c>
      <c r="BJ81" s="47">
        <f>_xll.qlPolynomialFunctionValue(BJ$1,$BD81,AllTriggers)</f>
        <v>2.883958101272887E-3</v>
      </c>
      <c r="BK81" s="47">
        <f>_xll.qlPolynomialFunctionValue(BK$1,$BD81,AllTriggers)</f>
        <v>2.9185200796221886E-3</v>
      </c>
      <c r="BL81" s="47">
        <f>_xll.qlPolynomialFunctionValue(BL$1,$BD81,AllTriggers)</f>
        <v>2.9256544928317478E-3</v>
      </c>
      <c r="BM81" s="47">
        <f>_xll.qlPolynomialFunctionValue(BM$1,$BD81,AllTriggers)</f>
        <v>2.9072363151118573E-3</v>
      </c>
      <c r="BN81" s="47">
        <f>_xll.qlPolynomialFunctionValue(BN$1,$BD81,AllTriggers)</f>
        <v>2.8914081540101686E-3</v>
      </c>
      <c r="BO81" s="47">
        <f>_xll.qlPolynomialFunctionValue(BO$1,$BD81,AllTriggers)</f>
        <v>2.9171051419410454E-3</v>
      </c>
      <c r="BP81" s="47">
        <f>_xll.qlPolynomialFunctionValue(BP$1,$BD81,AllTriggers)</f>
        <v>2.9060647541564706E-3</v>
      </c>
      <c r="BQ81" s="47">
        <f>_xll.qlPolynomialFunctionValue('12MSynthDepo_used'!$P$18,BD81,AllTriggers)</f>
        <v>2.8888198639666325E-3</v>
      </c>
    </row>
    <row r="82" spans="8:69" x14ac:dyDescent="0.2">
      <c r="K82" s="55"/>
      <c r="L82" s="55"/>
      <c r="M82" s="55"/>
      <c r="N82" s="55"/>
      <c r="R82" s="34"/>
      <c r="BC82" s="178">
        <f>_xll.qlCalendarAdvance(Calendar,BC81,"1d","mf",,Trigger)</f>
        <v>42244</v>
      </c>
      <c r="BD82" s="41">
        <f>_xll.qlDayCounterYearFraction(DayCounter,SettlementDate,BC82,,,Trigger)</f>
        <v>0.29444444444444445</v>
      </c>
      <c r="BE82" s="47">
        <f>_xll.qlPolynomialFunctionValue(BE$1,$BD82,AllTriggers)</f>
        <v>2.8747358324213487E-3</v>
      </c>
      <c r="BF82" s="47">
        <f>_xll.qlPolynomialFunctionValue(BF$1,$BD82,AllTriggers)</f>
        <v>2.8864665909472138E-3</v>
      </c>
      <c r="BG82" s="47">
        <f>_xll.qlPolynomialFunctionValue(BG$1,$BD82,AllTriggers)</f>
        <v>2.9186177728902068E-3</v>
      </c>
      <c r="BH82" s="47">
        <f>_xll.qlPolynomialFunctionValue(BH$1,$BD82,AllTriggers)</f>
        <v>2.9251244627254138E-3</v>
      </c>
      <c r="BI82" s="47">
        <f>_xll.qlPolynomialFunctionValue(BI$1,$BD82,AllTriggers)</f>
        <v>2.8718041874741165E-3</v>
      </c>
      <c r="BJ82" s="47">
        <f>_xll.qlPolynomialFunctionValue(BJ$1,$BD82,AllTriggers)</f>
        <v>2.8856734677233089E-3</v>
      </c>
      <c r="BK82" s="47">
        <f>_xll.qlPolynomialFunctionValue(BK$1,$BD82,AllTriggers)</f>
        <v>2.9189768595620008E-3</v>
      </c>
      <c r="BL82" s="47">
        <f>_xll.qlPolynomialFunctionValue(BL$1,$BD82,AllTriggers)</f>
        <v>2.9258514706232016E-3</v>
      </c>
      <c r="BM82" s="47">
        <f>_xll.qlPolynomialFunctionValue(BM$1,$BD82,AllTriggers)</f>
        <v>2.9077712978025911E-3</v>
      </c>
      <c r="BN82" s="47">
        <f>_xll.qlPolynomialFunctionValue(BN$1,$BD82,AllTriggers)</f>
        <v>2.8922425912757217E-3</v>
      </c>
      <c r="BO82" s="47">
        <f>_xll.qlPolynomialFunctionValue(BO$1,$BD82,AllTriggers)</f>
        <v>2.917597048777395E-3</v>
      </c>
      <c r="BP82" s="47">
        <f>_xll.qlPolynomialFunctionValue(BP$1,$BD82,AllTriggers)</f>
        <v>2.9067177421358095E-3</v>
      </c>
      <c r="BQ82" s="47">
        <f>_xll.qlPolynomialFunctionValue('12MSynthDepo_used'!$P$18,BD82,AllTriggers)</f>
        <v>2.889986747971981E-3</v>
      </c>
    </row>
    <row r="83" spans="8:69" x14ac:dyDescent="0.2">
      <c r="K83" s="55"/>
      <c r="L83" s="55"/>
      <c r="M83" s="55"/>
      <c r="N83" s="55"/>
      <c r="R83" s="34"/>
      <c r="BC83" s="178">
        <f>_xll.qlCalendarAdvance(Calendar,BC82,"1d","mf",,Trigger)</f>
        <v>42247</v>
      </c>
      <c r="BD83" s="41">
        <f>_xll.qlDayCounterYearFraction(DayCounter,SettlementDate,BC83,,,Trigger)</f>
        <v>0.30277777777777776</v>
      </c>
      <c r="BE83" s="47">
        <f>_xll.qlPolynomialFunctionValue(BE$1,$BD83,AllTriggers)</f>
        <v>2.8773187705463557E-3</v>
      </c>
      <c r="BF83" s="47">
        <f>_xll.qlPolynomialFunctionValue(BF$1,$BD83,AllTriggers)</f>
        <v>2.8914560979418067E-3</v>
      </c>
      <c r="BG83" s="47">
        <f>_xll.qlPolynomialFunctionValue(BG$1,$BD83,AllTriggers)</f>
        <v>2.9200039308206085E-3</v>
      </c>
      <c r="BH83" s="47">
        <f>_xll.qlPolynomialFunctionValue(BH$1,$BD83,AllTriggers)</f>
        <v>2.9257813823102313E-3</v>
      </c>
      <c r="BI83" s="47">
        <f>_xll.qlPolynomialFunctionValue(BI$1,$BD83,AllTriggers)</f>
        <v>2.8744728577179907E-3</v>
      </c>
      <c r="BJ83" s="47">
        <f>_xll.qlPolynomialFunctionValue(BJ$1,$BD83,AllTriggers)</f>
        <v>2.8907657256521308E-3</v>
      </c>
      <c r="BK83" s="47">
        <f>_xll.qlPolynomialFunctionValue(BK$1,$BD83,AllTriggers)</f>
        <v>2.9203471993814378E-3</v>
      </c>
      <c r="BL83" s="47">
        <f>_xll.qlPolynomialFunctionValue(BL$1,$BD83,AllTriggers)</f>
        <v>2.9264535181459379E-3</v>
      </c>
      <c r="BM83" s="47">
        <f>_xll.qlPolynomialFunctionValue(BM$1,$BD83,AllTriggers)</f>
        <v>2.9093762458747927E-3</v>
      </c>
      <c r="BN83" s="47">
        <f>_xll.qlPolynomialFunctionValue(BN$1,$BD83,AllTriggers)</f>
        <v>2.8947369657462908E-3</v>
      </c>
      <c r="BO83" s="47">
        <f>_xll.qlPolynomialFunctionValue(BO$1,$BD83,AllTriggers)</f>
        <v>2.9190727692864431E-3</v>
      </c>
      <c r="BP83" s="47">
        <f>_xll.qlPolynomialFunctionValue(BP$1,$BD83,AllTriggers)</f>
        <v>2.9086723263303188E-3</v>
      </c>
      <c r="BQ83" s="47">
        <f>_xll.qlPolynomialFunctionValue('12MSynthDepo_used'!$P$18,BD83,AllTriggers)</f>
        <v>2.8934553037995654E-3</v>
      </c>
    </row>
    <row r="84" spans="8:69" x14ac:dyDescent="0.2">
      <c r="H84" s="35"/>
      <c r="K84" s="55"/>
      <c r="L84" s="55"/>
      <c r="M84" s="55"/>
      <c r="N84" s="55"/>
      <c r="R84" s="34"/>
      <c r="BC84" s="178">
        <f>_xll.qlCalendarAdvance(Calendar,BC83,"1d","mf",,Trigger)</f>
        <v>42248</v>
      </c>
      <c r="BD84" s="41">
        <f>_xll.qlDayCounterYearFraction(DayCounter,SettlementDate,BC84,,,Trigger)</f>
        <v>0.30555555555555558</v>
      </c>
      <c r="BE84" s="47">
        <f>_xll.qlPolynomialFunctionValue(BE$1,$BD84,AllTriggers)</f>
        <v>2.8781797499213579E-3</v>
      </c>
      <c r="BF84" s="47">
        <f>_xll.qlPolynomialFunctionValue(BF$1,$BD84,AllTriggers)</f>
        <v>2.8931019222995032E-3</v>
      </c>
      <c r="BG84" s="47">
        <f>_xll.qlPolynomialFunctionValue(BG$1,$BD84,AllTriggers)</f>
        <v>2.9204659834640755E-3</v>
      </c>
      <c r="BH84" s="47">
        <f>_xll.qlPolynomialFunctionValue(BH$1,$BD84,AllTriggers)</f>
        <v>2.9260038656777122E-3</v>
      </c>
      <c r="BI84" s="47">
        <f>_xll.qlPolynomialFunctionValue(BI$1,$BD84,AllTriggers)</f>
        <v>2.8753624144659488E-3</v>
      </c>
      <c r="BJ84" s="47">
        <f>_xll.qlPolynomialFunctionValue(BJ$1,$BD84,AllTriggers)</f>
        <v>2.8924451978209241E-3</v>
      </c>
      <c r="BK84" s="47">
        <f>_xll.qlPolynomialFunctionValue(BK$1,$BD84,AllTriggers)</f>
        <v>2.92080397932125E-3</v>
      </c>
      <c r="BL84" s="47">
        <f>_xll.qlPolynomialFunctionValue(BL$1,$BD84,AllTriggers)</f>
        <v>2.9266579053696417E-3</v>
      </c>
      <c r="BM84" s="47">
        <f>_xll.qlPolynomialFunctionValue(BM$1,$BD84,AllTriggers)</f>
        <v>2.9099112285655261E-3</v>
      </c>
      <c r="BN84" s="47">
        <f>_xll.qlPolynomialFunctionValue(BN$1,$BD84,AllTriggers)</f>
        <v>2.8955654447944501E-3</v>
      </c>
      <c r="BO84" s="47">
        <f>_xll.qlPolynomialFunctionValue(BO$1,$BD84,AllTriggers)</f>
        <v>2.9195646761227927E-3</v>
      </c>
      <c r="BP84" s="47">
        <f>_xll.qlPolynomialFunctionValue(BP$1,$BD84,AllTriggers)</f>
        <v>2.9093223944806519E-3</v>
      </c>
      <c r="BQ84" s="47">
        <f>_xll.qlPolynomialFunctionValue('12MSynthDepo_used'!$P$18,BD84,AllTriggers)</f>
        <v>2.8946008393962411E-3</v>
      </c>
    </row>
    <row r="85" spans="8:69" x14ac:dyDescent="0.2">
      <c r="K85" s="55"/>
      <c r="L85" s="55"/>
      <c r="M85" s="55"/>
      <c r="N85" s="55"/>
      <c r="R85" s="34"/>
      <c r="BC85" s="178">
        <f>_xll.qlCalendarAdvance(Calendar,BC84,"1d","mf",,Trigger)</f>
        <v>42249</v>
      </c>
      <c r="BD85" s="41">
        <f>_xll.qlDayCounterYearFraction(DayCounter,SettlementDate,BC85,,,Trigger)</f>
        <v>0.30833333333333335</v>
      </c>
      <c r="BE85" s="47">
        <f>_xll.qlPolynomialFunctionValue(BE$1,$BD85,AllTriggers)</f>
        <v>2.8790407292963601E-3</v>
      </c>
      <c r="BF85" s="47">
        <f>_xll.qlPolynomialFunctionValue(BF$1,$BD85,AllTriggers)</f>
        <v>2.8947390743369488E-3</v>
      </c>
      <c r="BG85" s="47">
        <f>_xll.qlPolynomialFunctionValue(BG$1,$BD85,AllTriggers)</f>
        <v>2.9209280361075429E-3</v>
      </c>
      <c r="BH85" s="47">
        <f>_xll.qlPolynomialFunctionValue(BH$1,$BD85,AllTriggers)</f>
        <v>2.9262281041314642E-3</v>
      </c>
      <c r="BI85" s="47">
        <f>_xll.qlPolynomialFunctionValue(BI$1,$BD85,AllTriggers)</f>
        <v>2.8762519712139064E-3</v>
      </c>
      <c r="BJ85" s="47">
        <f>_xll.qlPolynomialFunctionValue(BJ$1,$BD85,AllTriggers)</f>
        <v>2.8941156964193099E-3</v>
      </c>
      <c r="BK85" s="47">
        <f>_xll.qlPolynomialFunctionValue(BK$1,$BD85,AllTriggers)</f>
        <v>2.9212607592610622E-3</v>
      </c>
      <c r="BL85" s="47">
        <f>_xll.qlPolynomialFunctionValue(BL$1,$BD85,AllTriggers)</f>
        <v>2.9268641449514076E-3</v>
      </c>
      <c r="BM85" s="47">
        <f>_xll.qlPolynomialFunctionValue(BM$1,$BD85,AllTriggers)</f>
        <v>2.91044621125626E-3</v>
      </c>
      <c r="BN85" s="47">
        <f>_xll.qlPolynomialFunctionValue(BN$1,$BD85,AllTriggers)</f>
        <v>2.896392434288261E-3</v>
      </c>
      <c r="BO85" s="47">
        <f>_xll.qlPolynomialFunctionValue(BO$1,$BD85,AllTriggers)</f>
        <v>2.9200565829591422E-3</v>
      </c>
      <c r="BP85" s="47">
        <f>_xll.qlPolynomialFunctionValue(BP$1,$BD85,AllTriggers)</f>
        <v>2.9099717326737337E-3</v>
      </c>
      <c r="BQ85" s="47">
        <f>_xll.qlPolynomialFunctionValue('12MSynthDepo_used'!$P$18,BD85,AllTriggers)</f>
        <v>2.8957410746784742E-3</v>
      </c>
    </row>
    <row r="86" spans="8:69" x14ac:dyDescent="0.2">
      <c r="K86" s="55"/>
      <c r="L86" s="55"/>
      <c r="M86" s="55"/>
      <c r="N86" s="55"/>
      <c r="R86" s="34"/>
      <c r="S86" s="34"/>
      <c r="BC86" s="178">
        <f>_xll.qlCalendarAdvance(Calendar,BC85,"1d","mf",,Trigger)</f>
        <v>42250</v>
      </c>
      <c r="BD86" s="41">
        <f>_xll.qlDayCounterYearFraction(DayCounter,SettlementDate,BC86,,,Trigger)</f>
        <v>0.31111111111111112</v>
      </c>
      <c r="BE86" s="47">
        <f>_xll.qlPolynomialFunctionValue(BE$1,$BD86,AllTriggers)</f>
        <v>2.8799017086713623E-3</v>
      </c>
      <c r="BF86" s="47">
        <f>_xll.qlPolynomialFunctionValue(BF$1,$BD86,AllTriggers)</f>
        <v>2.8963675540541437E-3</v>
      </c>
      <c r="BG86" s="47">
        <f>_xll.qlPolynomialFunctionValue(BG$1,$BD86,AllTriggers)</f>
        <v>2.9213900887510099E-3</v>
      </c>
      <c r="BH86" s="47">
        <f>_xll.qlPolynomialFunctionValue(BH$1,$BD86,AllTriggers)</f>
        <v>2.9264540976714874E-3</v>
      </c>
      <c r="BI86" s="47">
        <f>_xll.qlPolynomialFunctionValue(BI$1,$BD86,AllTriggers)</f>
        <v>2.8771415279618645E-3</v>
      </c>
      <c r="BJ86" s="47">
        <f>_xll.qlPolynomialFunctionValue(BJ$1,$BD86,AllTriggers)</f>
        <v>2.8957772214472893E-3</v>
      </c>
      <c r="BK86" s="47">
        <f>_xll.qlPolynomialFunctionValue(BK$1,$BD86,AllTriggers)</f>
        <v>2.9217175392008744E-3</v>
      </c>
      <c r="BL86" s="47">
        <f>_xll.qlPolynomialFunctionValue(BL$1,$BD86,AllTriggers)</f>
        <v>2.927072236891236E-3</v>
      </c>
      <c r="BM86" s="47">
        <f>_xll.qlPolynomialFunctionValue(BM$1,$BD86,AllTriggers)</f>
        <v>2.9109811939469939E-3</v>
      </c>
      <c r="BN86" s="47">
        <f>_xll.qlPolynomialFunctionValue(BN$1,$BD86,AllTriggers)</f>
        <v>2.8972179342277231E-3</v>
      </c>
      <c r="BO86" s="47">
        <f>_xll.qlPolynomialFunctionValue(BO$1,$BD86,AllTriggers)</f>
        <v>2.9205484897954913E-3</v>
      </c>
      <c r="BP86" s="47">
        <f>_xll.qlPolynomialFunctionValue(BP$1,$BD86,AllTriggers)</f>
        <v>2.9106203409095645E-3</v>
      </c>
      <c r="BQ86" s="47">
        <f>_xll.qlPolynomialFunctionValue('12MSynthDepo_used'!$P$18,BD86,AllTriggers)</f>
        <v>2.8968760243613546E-3</v>
      </c>
    </row>
    <row r="87" spans="8:69" x14ac:dyDescent="0.2">
      <c r="K87" s="55"/>
      <c r="L87" s="55"/>
      <c r="M87" s="55"/>
      <c r="N87" s="55"/>
      <c r="R87" s="34"/>
      <c r="S87" s="34"/>
      <c r="BC87" s="178">
        <f>_xll.qlCalendarAdvance(Calendar,BC86,"1d","mf",,Trigger)</f>
        <v>42251</v>
      </c>
      <c r="BD87" s="41">
        <f>_xll.qlDayCounterYearFraction(DayCounter,SettlementDate,BC87,,,Trigger)</f>
        <v>0.31388888888888888</v>
      </c>
      <c r="BE87" s="47">
        <f>_xll.qlPolynomialFunctionValue(BE$1,$BD87,AllTriggers)</f>
        <v>2.8807626880463645E-3</v>
      </c>
      <c r="BF87" s="47">
        <f>_xll.qlPolynomialFunctionValue(BF$1,$BD87,AllTriggers)</f>
        <v>2.8979873614510877E-3</v>
      </c>
      <c r="BG87" s="47">
        <f>_xll.qlPolynomialFunctionValue(BG$1,$BD87,AllTriggers)</f>
        <v>2.9218521413944772E-3</v>
      </c>
      <c r="BH87" s="47">
        <f>_xll.qlPolynomialFunctionValue(BH$1,$BD87,AllTriggers)</f>
        <v>2.9266818462977814E-3</v>
      </c>
      <c r="BI87" s="47">
        <f>_xll.qlPolynomialFunctionValue(BI$1,$BD87,AllTriggers)</f>
        <v>2.8780310847098226E-3</v>
      </c>
      <c r="BJ87" s="47">
        <f>_xll.qlPolynomialFunctionValue(BJ$1,$BD87,AllTriggers)</f>
        <v>2.8974297729048607E-3</v>
      </c>
      <c r="BK87" s="47">
        <f>_xll.qlPolynomialFunctionValue(BK$1,$BD87,AllTriggers)</f>
        <v>2.922174319140687E-3</v>
      </c>
      <c r="BL87" s="47">
        <f>_xll.qlPolynomialFunctionValue(BL$1,$BD87,AllTriggers)</f>
        <v>2.9272821811891273E-3</v>
      </c>
      <c r="BM87" s="47">
        <f>_xll.qlPolynomialFunctionValue(BM$1,$BD87,AllTriggers)</f>
        <v>2.9115161766377277E-3</v>
      </c>
      <c r="BN87" s="47">
        <f>_xll.qlPolynomialFunctionValue(BN$1,$BD87,AllTriggers)</f>
        <v>2.8980419446128368E-3</v>
      </c>
      <c r="BO87" s="47">
        <f>_xll.qlPolynomialFunctionValue(BO$1,$BD87,AllTriggers)</f>
        <v>2.9210403966318408E-3</v>
      </c>
      <c r="BP87" s="47">
        <f>_xll.qlPolynomialFunctionValue(BP$1,$BD87,AllTriggers)</f>
        <v>2.9112682191881432E-3</v>
      </c>
      <c r="BQ87" s="47">
        <f>_xll.qlPolynomialFunctionValue('12MSynthDepo_used'!$P$18,BD87,AllTriggers)</f>
        <v>2.8980057031599729E-3</v>
      </c>
    </row>
    <row r="88" spans="8:69" x14ac:dyDescent="0.2">
      <c r="K88" s="55"/>
      <c r="L88" s="55"/>
      <c r="M88" s="55"/>
      <c r="N88" s="55"/>
      <c r="R88" s="34"/>
      <c r="S88" s="34"/>
      <c r="BC88" s="178">
        <f>_xll.qlCalendarAdvance(Calendar,BC87,"1d","mf",,Trigger)</f>
        <v>42254</v>
      </c>
      <c r="BD88" s="41">
        <f>_xll.qlDayCounterYearFraction(DayCounter,SettlementDate,BC88,,,Trigger)</f>
        <v>0.32222222222222224</v>
      </c>
      <c r="BE88" s="47">
        <f>_xll.qlPolynomialFunctionValue(BE$1,$BD88,AllTriggers)</f>
        <v>2.8833456261713715E-3</v>
      </c>
      <c r="BF88" s="47">
        <f>_xll.qlPolynomialFunctionValue(BF$1,$BD88,AllTriggers)</f>
        <v>2.9027947497204149E-3</v>
      </c>
      <c r="BG88" s="47">
        <f>_xll.qlPolynomialFunctionValue(BG$1,$BD88,AllTriggers)</f>
        <v>2.9232382993248786E-3</v>
      </c>
      <c r="BH88" s="47">
        <f>_xll.qlPolynomialFunctionValue(BH$1,$BD88,AllTriggers)</f>
        <v>2.9273756226942888E-3</v>
      </c>
      <c r="BI88" s="47">
        <f>_xll.qlPolynomialFunctionValue(BI$1,$BD88,AllTriggers)</f>
        <v>2.8806997549536964E-3</v>
      </c>
      <c r="BJ88" s="47">
        <f>_xll.qlPolynomialFunctionValue(BJ$1,$BD88,AllTriggers)</f>
        <v>2.9023335858551344E-3</v>
      </c>
      <c r="BK88" s="47">
        <f>_xll.qlPolynomialFunctionValue(BK$1,$BD88,AllTriggers)</f>
        <v>2.9235446589601236E-3</v>
      </c>
      <c r="BL88" s="47">
        <f>_xll.qlPolynomialFunctionValue(BL$1,$BD88,AllTriggers)</f>
        <v>2.9279231282311746E-3</v>
      </c>
      <c r="BM88" s="47">
        <f>_xll.qlPolynomialFunctionValue(BM$1,$BD88,AllTriggers)</f>
        <v>2.9131211247099293E-3</v>
      </c>
      <c r="BN88" s="47">
        <f>_xll.qlPolynomialFunctionValue(BN$1,$BD88,AllTriggers)</f>
        <v>2.9005050384420866E-3</v>
      </c>
      <c r="BO88" s="47">
        <f>_xll.qlPolynomialFunctionValue(BO$1,$BD88,AllTriggers)</f>
        <v>2.922516117140889E-3</v>
      </c>
      <c r="BP88" s="47">
        <f>_xll.qlPolynomialFunctionValue(BP$1,$BD88,AllTriggers)</f>
        <v>2.9132074742803716E-3</v>
      </c>
      <c r="BQ88" s="47">
        <f>_xll.qlPolynomialFunctionValue('12MSynthDepo_used'!$P$18,BD88,AllTriggers)</f>
        <v>2.9013632614011595E-3</v>
      </c>
    </row>
    <row r="89" spans="8:69" x14ac:dyDescent="0.2">
      <c r="K89" s="55"/>
      <c r="L89" s="55"/>
      <c r="M89" s="55"/>
      <c r="N89" s="55"/>
      <c r="R89" s="34"/>
      <c r="S89" s="34"/>
      <c r="BC89" s="178">
        <f>_xll.qlCalendarAdvance(Calendar,BC88,"1d","mf",,Trigger)</f>
        <v>42255</v>
      </c>
      <c r="BD89" s="41">
        <f>_xll.qlDayCounterYearFraction(DayCounter,SettlementDate,BC89,,,Trigger)</f>
        <v>0.32500000000000001</v>
      </c>
      <c r="BE89" s="47">
        <f>_xll.qlPolynomialFunctionValue(BE$1,$BD89,AllTriggers)</f>
        <v>2.8842066055463737E-3</v>
      </c>
      <c r="BF89" s="47">
        <f>_xll.qlPolynomialFunctionValue(BF$1,$BD89,AllTriggers)</f>
        <v>2.9043798678363561E-3</v>
      </c>
      <c r="BG89" s="47">
        <f>_xll.qlPolynomialFunctionValue(BG$1,$BD89,AllTriggers)</f>
        <v>2.923700351968346E-3</v>
      </c>
      <c r="BH89" s="47">
        <f>_xll.qlPolynomialFunctionValue(BH$1,$BD89,AllTriggers)</f>
        <v>2.9276103916656667E-3</v>
      </c>
      <c r="BI89" s="47">
        <f>_xll.qlPolynomialFunctionValue(BI$1,$BD89,AllTriggers)</f>
        <v>2.8815893117016544E-3</v>
      </c>
      <c r="BJ89" s="47">
        <f>_xll.qlPolynomialFunctionValue(BJ$1,$BD89,AllTriggers)</f>
        <v>2.9039502430310777E-3</v>
      </c>
      <c r="BK89" s="47">
        <f>_xll.qlPolynomialFunctionValue(BK$1,$BD89,AllTriggers)</f>
        <v>2.9240014388999358E-3</v>
      </c>
      <c r="BL89" s="47">
        <f>_xll.qlPolynomialFunctionValue(BL$1,$BD89,AllTriggers)</f>
        <v>2.9281404819613151E-3</v>
      </c>
      <c r="BM89" s="47">
        <f>_xll.qlPolynomialFunctionValue(BM$1,$BD89,AllTriggers)</f>
        <v>2.9136561074006627E-3</v>
      </c>
      <c r="BN89" s="47">
        <f>_xll.qlPolynomialFunctionValue(BN$1,$BD89,AllTriggers)</f>
        <v>2.901323090609806E-3</v>
      </c>
      <c r="BO89" s="47">
        <f>_xll.qlPolynomialFunctionValue(BO$1,$BD89,AllTriggers)</f>
        <v>2.9230080239772385E-3</v>
      </c>
      <c r="BP89" s="47">
        <f>_xll.qlPolynomialFunctionValue(BP$1,$BD89,AllTriggers)</f>
        <v>2.913852432729945E-3</v>
      </c>
      <c r="BQ89" s="47">
        <f>_xll.qlPolynomialFunctionValue('12MSynthDepo_used'!$P$18,BD89,AllTriggers)</f>
        <v>2.9024720038136327E-3</v>
      </c>
    </row>
    <row r="90" spans="8:69" x14ac:dyDescent="0.2">
      <c r="K90" s="55"/>
      <c r="L90" s="55"/>
      <c r="M90" s="55"/>
      <c r="N90" s="55"/>
      <c r="R90" s="34"/>
      <c r="S90" s="34"/>
      <c r="BC90" s="178">
        <f>_xll.qlCalendarAdvance(Calendar,BC89,"1d","mf",,Trigger)</f>
        <v>42256</v>
      </c>
      <c r="BD90" s="41">
        <f>_xll.qlDayCounterYearFraction(DayCounter,SettlementDate,BC90,,,Trigger)</f>
        <v>0.32777777777777778</v>
      </c>
      <c r="BE90" s="47">
        <f>_xll.qlPolynomialFunctionValue(BE$1,$BD90,AllTriggers)</f>
        <v>2.8850675849213759E-3</v>
      </c>
      <c r="BF90" s="47">
        <f>_xll.qlPolynomialFunctionValue(BF$1,$BD90,AllTriggers)</f>
        <v>2.905956313632046E-3</v>
      </c>
      <c r="BG90" s="47">
        <f>_xll.qlPolynomialFunctionValue(BG$1,$BD90,AllTriggers)</f>
        <v>2.9241624046118129E-3</v>
      </c>
      <c r="BH90" s="47">
        <f>_xll.qlPolynomialFunctionValue(BH$1,$BD90,AllTriggers)</f>
        <v>2.9278469157233158E-3</v>
      </c>
      <c r="BI90" s="47">
        <f>_xll.qlPolynomialFunctionValue(BI$1,$BD90,AllTriggers)</f>
        <v>2.8824788684496125E-3</v>
      </c>
      <c r="BJ90" s="47">
        <f>_xll.qlPolynomialFunctionValue(BJ$1,$BD90,AllTriggers)</f>
        <v>2.9055579266366142E-3</v>
      </c>
      <c r="BK90" s="47">
        <f>_xll.qlPolynomialFunctionValue(BK$1,$BD90,AllTriggers)</f>
        <v>2.924458218839748E-3</v>
      </c>
      <c r="BL90" s="47">
        <f>_xll.qlPolynomialFunctionValue(BL$1,$BD90,AllTriggers)</f>
        <v>2.9283596880495186E-3</v>
      </c>
      <c r="BM90" s="47">
        <f>_xll.qlPolynomialFunctionValue(BM$1,$BD90,AllTriggers)</f>
        <v>2.9141910900913966E-3</v>
      </c>
      <c r="BN90" s="47">
        <f>_xll.qlPolynomialFunctionValue(BN$1,$BD90,AllTriggers)</f>
        <v>2.9021396532231776E-3</v>
      </c>
      <c r="BO90" s="47">
        <f>_xll.qlPolynomialFunctionValue(BO$1,$BD90,AllTriggers)</f>
        <v>2.9234999308135881E-3</v>
      </c>
      <c r="BP90" s="47">
        <f>_xll.qlPolynomialFunctionValue(BP$1,$BD90,AllTriggers)</f>
        <v>2.9144966612222665E-3</v>
      </c>
      <c r="BQ90" s="47">
        <f>_xll.qlPolynomialFunctionValue('12MSynthDepo_used'!$P$18,BD90,AllTriggers)</f>
        <v>2.9035755489172956E-3</v>
      </c>
    </row>
    <row r="91" spans="8:69" x14ac:dyDescent="0.2">
      <c r="K91" s="55"/>
      <c r="L91" s="55"/>
      <c r="M91" s="55"/>
      <c r="N91" s="55"/>
      <c r="R91" s="34"/>
      <c r="S91" s="34"/>
      <c r="BC91" s="178">
        <f>_xll.qlCalendarAdvance(Calendar,BC90,"1d","mf",,Trigger)</f>
        <v>42257</v>
      </c>
      <c r="BD91" s="41">
        <f>_xll.qlDayCounterYearFraction(DayCounter,SettlementDate,BC91,,,Trigger)</f>
        <v>0.33055555555555555</v>
      </c>
      <c r="BE91" s="47">
        <f>_xll.qlPolynomialFunctionValue(BE$1,$BD91,AllTriggers)</f>
        <v>2.8859285642963781E-3</v>
      </c>
      <c r="BF91" s="47">
        <f>_xll.qlPolynomialFunctionValue(BF$1,$BD91,AllTriggers)</f>
        <v>2.9075240871074856E-3</v>
      </c>
      <c r="BG91" s="47">
        <f>_xll.qlPolynomialFunctionValue(BG$1,$BD91,AllTriggers)</f>
        <v>2.9246244572552803E-3</v>
      </c>
      <c r="BH91" s="47">
        <f>_xll.qlPolynomialFunctionValue(BH$1,$BD91,AllTriggers)</f>
        <v>2.9280851948672356E-3</v>
      </c>
      <c r="BI91" s="47">
        <f>_xll.qlPolynomialFunctionValue(BI$1,$BD91,AllTriggers)</f>
        <v>2.8833684251975706E-3</v>
      </c>
      <c r="BJ91" s="47">
        <f>_xll.qlPolynomialFunctionValue(BJ$1,$BD91,AllTriggers)</f>
        <v>2.9071566366717433E-3</v>
      </c>
      <c r="BK91" s="47">
        <f>_xll.qlPolynomialFunctionValue(BK$1,$BD91,AllTriggers)</f>
        <v>2.9249149987795606E-3</v>
      </c>
      <c r="BL91" s="47">
        <f>_xll.qlPolynomialFunctionValue(BL$1,$BD91,AllTriggers)</f>
        <v>2.9285807464957845E-3</v>
      </c>
      <c r="BM91" s="47">
        <f>_xll.qlPolynomialFunctionValue(BM$1,$BD91,AllTriggers)</f>
        <v>2.9147260727821304E-3</v>
      </c>
      <c r="BN91" s="47">
        <f>_xll.qlPolynomialFunctionValue(BN$1,$BD91,AllTriggers)</f>
        <v>2.9029547262821999E-3</v>
      </c>
      <c r="BO91" s="47">
        <f>_xll.qlPolynomialFunctionValue(BO$1,$BD91,AllTriggers)</f>
        <v>2.9239918376499372E-3</v>
      </c>
      <c r="BP91" s="47">
        <f>_xll.qlPolynomialFunctionValue(BP$1,$BD91,AllTriggers)</f>
        <v>2.9151401597573364E-3</v>
      </c>
      <c r="BQ91" s="47">
        <f>_xll.qlPolynomialFunctionValue('12MSynthDepo_used'!$P$18,BD91,AllTriggers)</f>
        <v>2.9046739114272379E-3</v>
      </c>
    </row>
    <row r="92" spans="8:69" x14ac:dyDescent="0.2">
      <c r="K92" s="55"/>
      <c r="L92" s="55"/>
      <c r="M92" s="55"/>
      <c r="N92" s="55"/>
      <c r="R92" s="34"/>
      <c r="S92" s="34"/>
      <c r="BC92" s="178">
        <f>_xll.qlCalendarAdvance(Calendar,BC91,"1d","mf",,Trigger)</f>
        <v>42258</v>
      </c>
      <c r="BD92" s="41">
        <f>_xll.qlDayCounterYearFraction(DayCounter,SettlementDate,BC92,,,Trigger)</f>
        <v>0.33333333333333331</v>
      </c>
      <c r="BE92" s="47">
        <f>_xll.qlPolynomialFunctionValue(BE$1,$BD92,AllTriggers)</f>
        <v>2.8867895436713803E-3</v>
      </c>
      <c r="BF92" s="47">
        <f>_xll.qlPolynomialFunctionValue(BF$1,$BD92,AllTriggers)</f>
        <v>2.9090831882626739E-3</v>
      </c>
      <c r="BG92" s="47">
        <f>_xll.qlPolynomialFunctionValue(BG$1,$BD92,AllTriggers)</f>
        <v>2.9250865098987473E-3</v>
      </c>
      <c r="BH92" s="47">
        <f>_xll.qlPolynomialFunctionValue(BH$1,$BD92,AllTriggers)</f>
        <v>2.9283252290974262E-3</v>
      </c>
      <c r="BI92" s="47">
        <f>_xll.qlPolynomialFunctionValue(BI$1,$BD92,AllTriggers)</f>
        <v>2.8842579819455282E-3</v>
      </c>
      <c r="BJ92" s="47">
        <f>_xll.qlPolynomialFunctionValue(BJ$1,$BD92,AllTriggers)</f>
        <v>2.908746373136466E-3</v>
      </c>
      <c r="BK92" s="47">
        <f>_xll.qlPolynomialFunctionValue(BK$1,$BD92,AllTriggers)</f>
        <v>2.9253717787193728E-3</v>
      </c>
      <c r="BL92" s="47">
        <f>_xll.qlPolynomialFunctionValue(BL$1,$BD92,AllTriggers)</f>
        <v>2.9288036573001121E-3</v>
      </c>
      <c r="BM92" s="47">
        <f>_xll.qlPolynomialFunctionValue(BM$1,$BD92,AllTriggers)</f>
        <v>2.9152610554728643E-3</v>
      </c>
      <c r="BN92" s="47">
        <f>_xll.qlPolynomialFunctionValue(BN$1,$BD92,AllTriggers)</f>
        <v>2.9037683097868738E-3</v>
      </c>
      <c r="BO92" s="47">
        <f>_xll.qlPolynomialFunctionValue(BO$1,$BD92,AllTriggers)</f>
        <v>2.9244837444862867E-3</v>
      </c>
      <c r="BP92" s="47">
        <f>_xll.qlPolynomialFunctionValue(BP$1,$BD92,AllTriggers)</f>
        <v>2.9157829283351553E-3</v>
      </c>
      <c r="BQ92" s="47">
        <f>_xll.qlPolynomialFunctionValue('12MSynthDepo_used'!$P$18,BD92,AllTriggers)</f>
        <v>2.90576710605855E-3</v>
      </c>
    </row>
    <row r="93" spans="8:69" x14ac:dyDescent="0.2">
      <c r="K93" s="55"/>
      <c r="L93" s="55"/>
      <c r="M93" s="55"/>
      <c r="N93" s="55"/>
      <c r="R93" s="34"/>
      <c r="S93" s="34"/>
      <c r="BC93" s="178">
        <f>_xll.qlCalendarAdvance(Calendar,BC92,"1d","mf",,Trigger)</f>
        <v>42261</v>
      </c>
      <c r="BD93" s="41">
        <f>_xll.qlDayCounterYearFraction(DayCounter,SettlementDate,BC93,,,Trigger)</f>
        <v>0.34166666666666667</v>
      </c>
      <c r="BE93" s="47">
        <f>_xll.qlPolynomialFunctionValue(BE$1,$BD93,AllTriggers)</f>
        <v>2.8893724817963869E-3</v>
      </c>
      <c r="BF93" s="47">
        <f>_xll.qlPolynomialFunctionValue(BF$1,$BD93,AllTriggers)</f>
        <v>2.9137084578067358E-3</v>
      </c>
      <c r="BG93" s="47">
        <f>_xll.qlPolynomialFunctionValue(BG$1,$BD93,AllTriggers)</f>
        <v>2.926472667829149E-3</v>
      </c>
      <c r="BH93" s="47">
        <f>_xll.qlPolynomialFunctionValue(BH$1,$BD93,AllTriggers)</f>
        <v>2.9290558623056239E-3</v>
      </c>
      <c r="BI93" s="47">
        <f>_xll.qlPolynomialFunctionValue(BI$1,$BD93,AllTriggers)</f>
        <v>2.8869266521894025E-3</v>
      </c>
      <c r="BJ93" s="47">
        <f>_xll.qlPolynomialFunctionValue(BJ$1,$BD93,AllTriggers)</f>
        <v>2.9134617411081896E-3</v>
      </c>
      <c r="BK93" s="47">
        <f>_xll.qlPolynomialFunctionValue(BK$1,$BD93,AllTriggers)</f>
        <v>2.9267421185388094E-3</v>
      </c>
      <c r="BL93" s="47">
        <f>_xll.qlPolynomialFunctionValue(BL$1,$BD93,AllTriggers)</f>
        <v>2.9294835038614709E-3</v>
      </c>
      <c r="BM93" s="47">
        <f>_xll.qlPolynomialFunctionValue(BM$1,$BD93,AllTriggers)</f>
        <v>2.9168660035450659E-3</v>
      </c>
      <c r="BN93" s="47">
        <f>_xll.qlPolynomialFunctionValue(BN$1,$BD93,AllTriggers)</f>
        <v>2.9062001229748047E-3</v>
      </c>
      <c r="BO93" s="47">
        <f>_xll.qlPolynomialFunctionValue(BO$1,$BD93,AllTriggers)</f>
        <v>2.9259594649953349E-3</v>
      </c>
      <c r="BP93" s="47">
        <f>_xll.qlPolynomialFunctionValue(BP$1,$BD93,AllTriggers)</f>
        <v>2.9177068543251028E-3</v>
      </c>
      <c r="BQ93" s="47">
        <f>_xll.qlPolynomialFunctionValue('12MSynthDepo_used'!$P$18,BD93,AllTriggers)</f>
        <v>2.9090158298316088E-3</v>
      </c>
    </row>
    <row r="94" spans="8:69" x14ac:dyDescent="0.2">
      <c r="K94" s="55"/>
      <c r="L94" s="55"/>
      <c r="M94" s="55"/>
      <c r="N94" s="55"/>
      <c r="R94" s="34"/>
      <c r="S94" s="34"/>
      <c r="BC94" s="178">
        <f>_xll.qlCalendarAdvance(Calendar,BC93,"1d","mf",,Trigger)</f>
        <v>42262</v>
      </c>
      <c r="BD94" s="41">
        <f>_xll.qlDayCounterYearFraction(DayCounter,SettlementDate,BC94,,,Trigger)</f>
        <v>0.34444444444444444</v>
      </c>
      <c r="BE94" s="47">
        <f>_xll.qlPolynomialFunctionValue(BE$1,$BD94,AllTriggers)</f>
        <v>2.8902334611713896E-3</v>
      </c>
      <c r="BF94" s="47">
        <f>_xll.qlPolynomialFunctionValue(BF$1,$BD94,AllTriggers)</f>
        <v>2.9152328696809213E-3</v>
      </c>
      <c r="BG94" s="47">
        <f>_xll.qlPolynomialFunctionValue(BG$1,$BD94,AllTriggers)</f>
        <v>2.926934720472616E-3</v>
      </c>
      <c r="BH94" s="47">
        <f>_xll.qlPolynomialFunctionValue(BH$1,$BD94,AllTriggers)</f>
        <v>2.9293029168808984E-3</v>
      </c>
      <c r="BI94" s="47">
        <f>_xll.qlPolynomialFunctionValue(BI$1,$BD94,AllTriggers)</f>
        <v>2.8878162089373601E-3</v>
      </c>
      <c r="BJ94" s="47">
        <f>_xll.qlPolynomialFunctionValue(BJ$1,$BD94,AllTriggers)</f>
        <v>2.9150155832912837E-3</v>
      </c>
      <c r="BK94" s="47">
        <f>_xll.qlPolynomialFunctionValue(BK$1,$BD94,AllTriggers)</f>
        <v>2.9271988984786216E-3</v>
      </c>
      <c r="BL94" s="47">
        <f>_xll.qlPolynomialFunctionValue(BL$1,$BD94,AllTriggers)</f>
        <v>2.9297138240980485E-3</v>
      </c>
      <c r="BM94" s="47">
        <f>_xll.qlPolynomialFunctionValue(BM$1,$BD94,AllTriggers)</f>
        <v>2.9174009862357993E-3</v>
      </c>
      <c r="BN94" s="47">
        <f>_xll.qlPolynomialFunctionValue(BN$1,$BD94,AllTriggers)</f>
        <v>2.9070077482620843E-3</v>
      </c>
      <c r="BO94" s="47">
        <f>_xll.qlPolynomialFunctionValue(BO$1,$BD94,AllTriggers)</f>
        <v>2.9264513718316844E-3</v>
      </c>
      <c r="BP94" s="47">
        <f>_xll.qlPolynomialFunctionValue(BP$1,$BD94,AllTriggers)</f>
        <v>2.9183467030739155E-3</v>
      </c>
      <c r="BQ94" s="47">
        <f>_xll.qlPolynomialFunctionValue('12MSynthDepo_used'!$P$18,BD94,AllTriggers)</f>
        <v>2.9100885000993039E-3</v>
      </c>
    </row>
    <row r="95" spans="8:69" x14ac:dyDescent="0.2">
      <c r="K95" s="55"/>
      <c r="L95" s="55"/>
      <c r="M95" s="55"/>
      <c r="N95" s="55"/>
      <c r="R95" s="34"/>
      <c r="S95" s="34"/>
      <c r="BC95" s="178">
        <f>_xll.qlCalendarAdvance(Calendar,BC94,"1d","mf",,Trigger)</f>
        <v>42263</v>
      </c>
      <c r="BD95" s="41">
        <f>_xll.qlDayCounterYearFraction(DayCounter,SettlementDate,BC95,,,Trigger)</f>
        <v>0.34722222222222221</v>
      </c>
      <c r="BE95" s="47">
        <f>_xll.qlPolynomialFunctionValue(BE$1,$BD95,AllTriggers)</f>
        <v>2.8910944405463918E-3</v>
      </c>
      <c r="BF95" s="47">
        <f>_xll.qlPolynomialFunctionValue(BF$1,$BD95,AllTriggers)</f>
        <v>2.9167486092348555E-3</v>
      </c>
      <c r="BG95" s="47">
        <f>_xll.qlPolynomialFunctionValue(BG$1,$BD95,AllTriggers)</f>
        <v>2.9273967731160834E-3</v>
      </c>
      <c r="BH95" s="47">
        <f>_xll.qlPolynomialFunctionValue(BH$1,$BD95,AllTriggers)</f>
        <v>2.9295517265424437E-3</v>
      </c>
      <c r="BI95" s="47">
        <f>_xll.qlPolynomialFunctionValue(BI$1,$BD95,AllTriggers)</f>
        <v>2.8887057656853182E-3</v>
      </c>
      <c r="BJ95" s="47">
        <f>_xll.qlPolynomialFunctionValue(BJ$1,$BD95,AllTriggers)</f>
        <v>2.9165604519039703E-3</v>
      </c>
      <c r="BK95" s="47">
        <f>_xll.qlPolynomialFunctionValue(BK$1,$BD95,AllTriggers)</f>
        <v>2.9276556784184338E-3</v>
      </c>
      <c r="BL95" s="47">
        <f>_xll.qlPolynomialFunctionValue(BL$1,$BD95,AllTriggers)</f>
        <v>2.9299459966926887E-3</v>
      </c>
      <c r="BM95" s="47">
        <f>_xll.qlPolynomialFunctionValue(BM$1,$BD95,AllTriggers)</f>
        <v>2.9179359689265332E-3</v>
      </c>
      <c r="BN95" s="47">
        <f>_xll.qlPolynomialFunctionValue(BN$1,$BD95,AllTriggers)</f>
        <v>2.9078138839950156E-3</v>
      </c>
      <c r="BO95" s="47">
        <f>_xll.qlPolynomialFunctionValue(BO$1,$BD95,AllTriggers)</f>
        <v>2.9269432786680335E-3</v>
      </c>
      <c r="BP95" s="47">
        <f>_xll.qlPolynomialFunctionValue(BP$1,$BD95,AllTriggers)</f>
        <v>2.9189858218654774E-3</v>
      </c>
      <c r="BQ95" s="47">
        <f>_xll.qlPolynomialFunctionValue('12MSynthDepo_used'!$P$18,BD95,AllTriggers)</f>
        <v>2.9111560760638196E-3</v>
      </c>
    </row>
    <row r="96" spans="8:69" x14ac:dyDescent="0.2">
      <c r="K96" s="55"/>
      <c r="L96" s="55"/>
      <c r="M96" s="55"/>
      <c r="N96" s="55"/>
      <c r="R96" s="34"/>
      <c r="S96" s="34"/>
      <c r="BC96" s="178">
        <f>_xll.qlCalendarAdvance(Calendar,BC95,"1d","mf",,Trigger)</f>
        <v>42264</v>
      </c>
      <c r="BD96" s="41">
        <f>_xll.qlDayCounterYearFraction(DayCounter,SettlementDate,BC96,,,Trigger)</f>
        <v>0.35</v>
      </c>
      <c r="BE96" s="47">
        <f>_xll.qlPolynomialFunctionValue(BE$1,$BD96,AllTriggers)</f>
        <v>2.891955419921394E-3</v>
      </c>
      <c r="BF96" s="47">
        <f>_xll.qlPolynomialFunctionValue(BF$1,$BD96,AllTriggers)</f>
        <v>2.9182556764685398E-3</v>
      </c>
      <c r="BG96" s="47">
        <f>_xll.qlPolynomialFunctionValue(BG$1,$BD96,AllTriggers)</f>
        <v>2.9278588257595503E-3</v>
      </c>
      <c r="BH96" s="47">
        <f>_xll.qlPolynomialFunctionValue(BH$1,$BD96,AllTriggers)</f>
        <v>2.9298022912902602E-3</v>
      </c>
      <c r="BI96" s="47">
        <f>_xll.qlPolynomialFunctionValue(BI$1,$BD96,AllTriggers)</f>
        <v>2.8895953224332763E-3</v>
      </c>
      <c r="BJ96" s="47">
        <f>_xll.qlPolynomialFunctionValue(BJ$1,$BD96,AllTriggers)</f>
        <v>2.9180963469462502E-3</v>
      </c>
      <c r="BK96" s="47">
        <f>_xll.qlPolynomialFunctionValue(BK$1,$BD96,AllTriggers)</f>
        <v>2.9281124583582464E-3</v>
      </c>
      <c r="BL96" s="47">
        <f>_xll.qlPolynomialFunctionValue(BL$1,$BD96,AllTriggers)</f>
        <v>2.9301800216453918E-3</v>
      </c>
      <c r="BM96" s="47">
        <f>_xll.qlPolynomialFunctionValue(BM$1,$BD96,AllTriggers)</f>
        <v>2.918470951617267E-3</v>
      </c>
      <c r="BN96" s="47">
        <f>_xll.qlPolynomialFunctionValue(BN$1,$BD96,AllTriggers)</f>
        <v>2.9086185301735986E-3</v>
      </c>
      <c r="BO96" s="47">
        <f>_xll.qlPolynomialFunctionValue(BO$1,$BD96,AllTriggers)</f>
        <v>2.9274351855043831E-3</v>
      </c>
      <c r="BP96" s="47">
        <f>_xll.qlPolynomialFunctionValue(BP$1,$BD96,AllTriggers)</f>
        <v>2.9196242106997875E-3</v>
      </c>
      <c r="BQ96" s="47">
        <f>_xll.qlPolynomialFunctionValue('12MSynthDepo_used'!$P$18,BD96,AllTriggers)</f>
        <v>2.9122185724402474E-3</v>
      </c>
    </row>
    <row r="97" spans="11:69" x14ac:dyDescent="0.2">
      <c r="K97" s="55"/>
      <c r="L97" s="55"/>
      <c r="M97" s="55"/>
      <c r="N97" s="55"/>
      <c r="R97" s="34"/>
      <c r="S97" s="34"/>
      <c r="BC97" s="178">
        <f>_xll.qlCalendarAdvance(Calendar,BC96,"1d","mf",,Trigger)</f>
        <v>42265</v>
      </c>
      <c r="BD97" s="41">
        <f>_xll.qlDayCounterYearFraction(DayCounter,SettlementDate,BC97,,,Trigger)</f>
        <v>0.3527777777777778</v>
      </c>
      <c r="BE97" s="47">
        <f>_xll.qlPolynomialFunctionValue(BE$1,$BD97,AllTriggers)</f>
        <v>2.8928163992963962E-3</v>
      </c>
      <c r="BF97" s="47">
        <f>_xll.qlPolynomialFunctionValue(BF$1,$BD97,AllTriggers)</f>
        <v>2.9197540713819733E-3</v>
      </c>
      <c r="BG97" s="47">
        <f>_xll.qlPolynomialFunctionValue(BG$1,$BD97,AllTriggers)</f>
        <v>2.9283208784030177E-3</v>
      </c>
      <c r="BH97" s="47">
        <f>_xll.qlPolynomialFunctionValue(BH$1,$BD97,AllTriggers)</f>
        <v>2.9300546111243478E-3</v>
      </c>
      <c r="BI97" s="47">
        <f>_xll.qlPolynomialFunctionValue(BI$1,$BD97,AllTriggers)</f>
        <v>2.8904848791812343E-3</v>
      </c>
      <c r="BJ97" s="47">
        <f>_xll.qlPolynomialFunctionValue(BJ$1,$BD97,AllTriggers)</f>
        <v>2.9196232684181225E-3</v>
      </c>
      <c r="BK97" s="47">
        <f>_xll.qlPolynomialFunctionValue(BK$1,$BD97,AllTriggers)</f>
        <v>2.9285692382980586E-3</v>
      </c>
      <c r="BL97" s="47">
        <f>_xll.qlPolynomialFunctionValue(BL$1,$BD97,AllTriggers)</f>
        <v>2.9304158989561569E-3</v>
      </c>
      <c r="BM97" s="47">
        <f>_xll.qlPolynomialFunctionValue(BM$1,$BD97,AllTriggers)</f>
        <v>2.9190059343080009E-3</v>
      </c>
      <c r="BN97" s="47">
        <f>_xll.qlPolynomialFunctionValue(BN$1,$BD97,AllTriggers)</f>
        <v>2.9094216867978327E-3</v>
      </c>
      <c r="BO97" s="47">
        <f>_xll.qlPolynomialFunctionValue(BO$1,$BD97,AllTriggers)</f>
        <v>2.9279270923407326E-3</v>
      </c>
      <c r="BP97" s="47">
        <f>_xll.qlPolynomialFunctionValue(BP$1,$BD97,AllTriggers)</f>
        <v>2.9202618695768458E-3</v>
      </c>
      <c r="BQ97" s="47">
        <f>_xll.qlPolynomialFunctionValue('12MSynthDepo_used'!$P$18,BD97,AllTriggers)</f>
        <v>2.9132760039436768E-3</v>
      </c>
    </row>
    <row r="98" spans="11:69" x14ac:dyDescent="0.2">
      <c r="K98" s="55"/>
      <c r="L98" s="55"/>
      <c r="M98" s="55"/>
      <c r="N98" s="55"/>
      <c r="R98" s="34"/>
      <c r="S98" s="34"/>
      <c r="BC98" s="178">
        <f>_xll.qlCalendarAdvance(Calendar,BC97,"1d","mf",,Trigger)</f>
        <v>42268</v>
      </c>
      <c r="BD98" s="41">
        <f>_xll.qlDayCounterYearFraction(DayCounter,SettlementDate,BC98,,,Trigger)</f>
        <v>0.3611111111111111</v>
      </c>
      <c r="BE98" s="47">
        <f>_xll.qlPolynomialFunctionValue(BE$1,$BD98,AllTriggers)</f>
        <v>2.8953993374214028E-3</v>
      </c>
      <c r="BF98" s="47">
        <f>_xll.qlPolynomialFunctionValue(BF$1,$BD98,AllTriggers)</f>
        <v>2.924197222200769E-3</v>
      </c>
      <c r="BG98" s="47">
        <f>_xll.qlPolynomialFunctionValue(BG$1,$BD98,AllTriggers)</f>
        <v>2.9297070363334191E-3</v>
      </c>
      <c r="BH98" s="47">
        <f>_xll.qlPolynomialFunctionValue(BH$1,$BD98,AllTriggers)</f>
        <v>2.9308221011442354E-3</v>
      </c>
      <c r="BI98" s="47">
        <f>_xll.qlPolynomialFunctionValue(BI$1,$BD98,AllTriggers)</f>
        <v>2.8931535494251081E-3</v>
      </c>
      <c r="BJ98" s="47">
        <f>_xll.qlPolynomialFunctionValue(BJ$1,$BD98,AllTriggers)</f>
        <v>2.9241501914112982E-3</v>
      </c>
      <c r="BK98" s="47">
        <f>_xll.qlPolynomialFunctionValue(BK$1,$BD98,AllTriggers)</f>
        <v>2.9299395781174952E-3</v>
      </c>
      <c r="BL98" s="47">
        <f>_xll.qlPolynomialFunctionValue(BL$1,$BD98,AllTriggers)</f>
        <v>2.9311346450368266E-3</v>
      </c>
      <c r="BM98" s="47">
        <f>_xll.qlPolynomialFunctionValue(BM$1,$BD98,AllTriggers)</f>
        <v>2.9206108823802025E-3</v>
      </c>
      <c r="BN98" s="47">
        <f>_xll.qlPolynomialFunctionValue(BN$1,$BD98,AllTriggers)</f>
        <v>2.9118222193444442E-3</v>
      </c>
      <c r="BO98" s="47">
        <f>_xll.qlPolynomialFunctionValue(BO$1,$BD98,AllTriggers)</f>
        <v>2.9294028128497808E-3</v>
      </c>
      <c r="BP98" s="47">
        <f>_xll.qlPolynomialFunctionValue(BP$1,$BD98,AllTriggers)</f>
        <v>2.9221704664645124E-3</v>
      </c>
      <c r="BQ98" s="47">
        <f>_xll.qlPolynomialFunctionValue('12MSynthDepo_used'!$P$18,BD98,AllTriggers)</f>
        <v>2.9164180563668795E-3</v>
      </c>
    </row>
    <row r="99" spans="11:69" x14ac:dyDescent="0.2">
      <c r="K99" s="55"/>
      <c r="L99" s="55"/>
      <c r="M99" s="55"/>
      <c r="N99" s="55"/>
      <c r="R99" s="34"/>
      <c r="S99" s="34"/>
      <c r="BC99" s="178">
        <f>_xll.qlCalendarAdvance(Calendar,BC98,"1d","mf",,Trigger)</f>
        <v>42269</v>
      </c>
      <c r="BD99" s="41">
        <f>_xll.qlDayCounterYearFraction(DayCounter,SettlementDate,BC99,,,Trigger)</f>
        <v>0.36388888888888887</v>
      </c>
      <c r="BE99" s="47">
        <f>_xll.qlPolynomialFunctionValue(BE$1,$BD99,AllTriggers)</f>
        <v>2.8962603167964054E-3</v>
      </c>
      <c r="BF99" s="47">
        <f>_xll.qlPolynomialFunctionValue(BF$1,$BD99,AllTriggers)</f>
        <v>2.9256609278331992E-3</v>
      </c>
      <c r="BG99" s="47">
        <f>_xll.qlPolynomialFunctionValue(BG$1,$BD99,AllTriggers)</f>
        <v>2.9301690889768865E-3</v>
      </c>
      <c r="BH99" s="47">
        <f>_xll.qlPolynomialFunctionValue(BH$1,$BD99,AllTriggers)</f>
        <v>2.9310814413234069E-3</v>
      </c>
      <c r="BI99" s="47">
        <f>_xll.qlPolynomialFunctionValue(BI$1,$BD99,AllTriggers)</f>
        <v>2.8940431061730662E-3</v>
      </c>
      <c r="BJ99" s="47">
        <f>_xll.qlPolynomialFunctionValue(BJ$1,$BD99,AllTriggers)</f>
        <v>2.9256412186015419E-3</v>
      </c>
      <c r="BK99" s="47">
        <f>_xll.qlPolynomialFunctionValue(BK$1,$BD99,AllTriggers)</f>
        <v>2.9303963580573074E-3</v>
      </c>
      <c r="BL99" s="47">
        <f>_xll.qlPolynomialFunctionValue(BL$1,$BD99,AllTriggers)</f>
        <v>2.9313779317798419E-3</v>
      </c>
      <c r="BM99" s="47">
        <f>_xll.qlPolynomialFunctionValue(BM$1,$BD99,AllTriggers)</f>
        <v>2.9211458650709359E-3</v>
      </c>
      <c r="BN99" s="47">
        <f>_xll.qlPolynomialFunctionValue(BN$1,$BD99,AllTriggers)</f>
        <v>2.9126194177512841E-3</v>
      </c>
      <c r="BO99" s="47">
        <f>_xll.qlPolynomialFunctionValue(BO$1,$BD99,AllTriggers)</f>
        <v>2.9298947196861303E-3</v>
      </c>
      <c r="BP99" s="47">
        <f>_xll.qlPolynomialFunctionValue(BP$1,$BD99,AllTriggers)</f>
        <v>2.9228052055125654E-3</v>
      </c>
      <c r="BQ99" s="47">
        <f>_xll.qlPolynomialFunctionValue('12MSynthDepo_used'!$P$18,BD99,AllTriggers)</f>
        <v>2.9174553755292195E-3</v>
      </c>
    </row>
    <row r="100" spans="11:69" x14ac:dyDescent="0.2">
      <c r="K100" s="55"/>
      <c r="L100" s="55"/>
      <c r="M100" s="55"/>
      <c r="N100" s="55"/>
      <c r="R100" s="34"/>
      <c r="S100" s="34"/>
      <c r="BC100" s="178">
        <f>_xll.qlCalendarAdvance(Calendar,BC99,"1d","mf",,Trigger)</f>
        <v>42270</v>
      </c>
      <c r="BD100" s="41">
        <f>_xll.qlDayCounterYearFraction(DayCounter,SettlementDate,BC100,,,Trigger)</f>
        <v>0.36666666666666664</v>
      </c>
      <c r="BE100" s="47">
        <f>_xll.qlPolynomialFunctionValue(BE$1,$BD100,AllTriggers)</f>
        <v>2.8971212961714076E-3</v>
      </c>
      <c r="BF100" s="47">
        <f>_xll.qlPolynomialFunctionValue(BF$1,$BD100,AllTriggers)</f>
        <v>2.9271159611453782E-3</v>
      </c>
      <c r="BG100" s="47">
        <f>_xll.qlPolynomialFunctionValue(BG$1,$BD100,AllTriggers)</f>
        <v>2.9306311416203534E-3</v>
      </c>
      <c r="BH100" s="47">
        <f>_xll.qlPolynomialFunctionValue(BH$1,$BD100,AllTriggers)</f>
        <v>2.9313425365888489E-3</v>
      </c>
      <c r="BI100" s="47">
        <f>_xll.qlPolynomialFunctionValue(BI$1,$BD100,AllTriggers)</f>
        <v>2.8949326629210243E-3</v>
      </c>
      <c r="BJ100" s="47">
        <f>_xll.qlPolynomialFunctionValue(BJ$1,$BD100,AllTriggers)</f>
        <v>2.9271232722213789E-3</v>
      </c>
      <c r="BK100" s="47">
        <f>_xll.qlPolynomialFunctionValue(BK$1,$BD100,AllTriggers)</f>
        <v>2.93085313799712E-3</v>
      </c>
      <c r="BL100" s="47">
        <f>_xll.qlPolynomialFunctionValue(BL$1,$BD100,AllTriggers)</f>
        <v>2.9316230708809191E-3</v>
      </c>
      <c r="BM100" s="47">
        <f>_xll.qlPolynomialFunctionValue(BM$1,$BD100,AllTriggers)</f>
        <v>2.9216808477616697E-3</v>
      </c>
      <c r="BN100" s="47">
        <f>_xll.qlPolynomialFunctionValue(BN$1,$BD100,AllTriggers)</f>
        <v>2.913415126603776E-3</v>
      </c>
      <c r="BO100" s="47">
        <f>_xll.qlPolynomialFunctionValue(BO$1,$BD100,AllTriggers)</f>
        <v>2.9303866265224794E-3</v>
      </c>
      <c r="BP100" s="47">
        <f>_xll.qlPolynomialFunctionValue(BP$1,$BD100,AllTriggers)</f>
        <v>2.9234392146033667E-3</v>
      </c>
      <c r="BQ100" s="47">
        <f>_xll.qlPolynomialFunctionValue('12MSynthDepo_used'!$P$18,BD100,AllTriggers)</f>
        <v>2.9184877033940123E-3</v>
      </c>
    </row>
    <row r="101" spans="11:69" x14ac:dyDescent="0.2">
      <c r="K101" s="55"/>
      <c r="L101" s="55"/>
      <c r="M101" s="55"/>
      <c r="N101" s="55"/>
      <c r="R101" s="34"/>
      <c r="S101" s="34"/>
      <c r="BC101" s="178">
        <f>_xll.qlCalendarAdvance(Calendar,BC100,"1d","mf",,Trigger)</f>
        <v>42271</v>
      </c>
      <c r="BD101" s="41">
        <f>_xll.qlDayCounterYearFraction(DayCounter,SettlementDate,BC101,,,Trigger)</f>
        <v>0.36944444444444446</v>
      </c>
      <c r="BE101" s="47">
        <f>_xll.qlPolynomialFunctionValue(BE$1,$BD101,AllTriggers)</f>
        <v>2.8979822755464098E-3</v>
      </c>
      <c r="BF101" s="47">
        <f>_xll.qlPolynomialFunctionValue(BF$1,$BD101,AllTriggers)</f>
        <v>2.9285623221373073E-3</v>
      </c>
      <c r="BG101" s="47">
        <f>_xll.qlPolynomialFunctionValue(BG$1,$BD101,AllTriggers)</f>
        <v>2.9310931942638208E-3</v>
      </c>
      <c r="BH101" s="47">
        <f>_xll.qlPolynomialFunctionValue(BH$1,$BD101,AllTriggers)</f>
        <v>2.9316053869405619E-3</v>
      </c>
      <c r="BI101" s="47">
        <f>_xll.qlPolynomialFunctionValue(BI$1,$BD101,AllTriggers)</f>
        <v>2.8958222196689819E-3</v>
      </c>
      <c r="BJ101" s="47">
        <f>_xll.qlPolynomialFunctionValue(BJ$1,$BD101,AllTriggers)</f>
        <v>2.9285963522708092E-3</v>
      </c>
      <c r="BK101" s="47">
        <f>_xll.qlPolynomialFunctionValue(BK$1,$BD101,AllTriggers)</f>
        <v>2.9313099179369322E-3</v>
      </c>
      <c r="BL101" s="47">
        <f>_xll.qlPolynomialFunctionValue(BL$1,$BD101,AllTriggers)</f>
        <v>2.9318700623400589E-3</v>
      </c>
      <c r="BM101" s="47">
        <f>_xll.qlPolynomialFunctionValue(BM$1,$BD101,AllTriggers)</f>
        <v>2.9222158304524036E-3</v>
      </c>
      <c r="BN101" s="47">
        <f>_xll.qlPolynomialFunctionValue(BN$1,$BD101,AllTriggers)</f>
        <v>2.9142093459019187E-3</v>
      </c>
      <c r="BO101" s="47">
        <f>_xll.qlPolynomialFunctionValue(BO$1,$BD101,AllTriggers)</f>
        <v>2.9308785333588289E-3</v>
      </c>
      <c r="BP101" s="47">
        <f>_xll.qlPolynomialFunctionValue(BP$1,$BD101,AllTriggers)</f>
        <v>2.9240724937369166E-3</v>
      </c>
      <c r="BQ101" s="47">
        <f>_xll.qlPolynomialFunctionValue('12MSynthDepo_used'!$P$18,BD101,AllTriggers)</f>
        <v>2.9195150546763491E-3</v>
      </c>
    </row>
    <row r="102" spans="11:69" x14ac:dyDescent="0.2">
      <c r="K102" s="55"/>
      <c r="L102" s="55"/>
      <c r="M102" s="55"/>
      <c r="N102" s="55"/>
      <c r="R102" s="34"/>
      <c r="S102" s="34"/>
      <c r="BC102" s="178">
        <f>_xll.qlCalendarAdvance(Calendar,BC101,"1d","mf",,Trigger)</f>
        <v>42272</v>
      </c>
      <c r="BD102" s="41">
        <f>_xll.qlDayCounterYearFraction(DayCounter,SettlementDate,BC102,,,Trigger)</f>
        <v>0.37222222222222223</v>
      </c>
      <c r="BE102" s="47">
        <f>_xll.qlPolynomialFunctionValue(BE$1,$BD102,AllTriggers)</f>
        <v>2.898843254921412E-3</v>
      </c>
      <c r="BF102" s="47">
        <f>_xll.qlPolynomialFunctionValue(BF$1,$BD102,AllTriggers)</f>
        <v>2.9300000108089851E-3</v>
      </c>
      <c r="BG102" s="47">
        <f>_xll.qlPolynomialFunctionValue(BG$1,$BD102,AllTriggers)</f>
        <v>2.9315552469072878E-3</v>
      </c>
      <c r="BH102" s="47">
        <f>_xll.qlPolynomialFunctionValue(BH$1,$BD102,AllTriggers)</f>
        <v>2.9318699923785462E-3</v>
      </c>
      <c r="BI102" s="47">
        <f>_xll.qlPolynomialFunctionValue(BI$1,$BD102,AllTriggers)</f>
        <v>2.89671177641694E-3</v>
      </c>
      <c r="BJ102" s="47">
        <f>_xll.qlPolynomialFunctionValue(BJ$1,$BD102,AllTriggers)</f>
        <v>2.9300604587498323E-3</v>
      </c>
      <c r="BK102" s="47">
        <f>_xll.qlPolynomialFunctionValue(BK$1,$BD102,AllTriggers)</f>
        <v>2.9317666978767444E-3</v>
      </c>
      <c r="BL102" s="47">
        <f>_xll.qlPolynomialFunctionValue(BL$1,$BD102,AllTriggers)</f>
        <v>2.9321189061572613E-3</v>
      </c>
      <c r="BM102" s="47">
        <f>_xll.qlPolynomialFunctionValue(BM$1,$BD102,AllTriggers)</f>
        <v>2.9227508131431375E-3</v>
      </c>
      <c r="BN102" s="47">
        <f>_xll.qlPolynomialFunctionValue(BN$1,$BD102,AllTriggers)</f>
        <v>2.9150020756457131E-3</v>
      </c>
      <c r="BO102" s="47">
        <f>_xll.qlPolynomialFunctionValue(BO$1,$BD102,AllTriggers)</f>
        <v>2.9313704401951785E-3</v>
      </c>
      <c r="BP102" s="47">
        <f>_xll.qlPolynomialFunctionValue(BP$1,$BD102,AllTriggers)</f>
        <v>2.9247050429132147E-3</v>
      </c>
      <c r="BQ102" s="47">
        <f>_xll.qlPolynomialFunctionValue('12MSynthDepo_used'!$P$18,BD102,AllTriggers)</f>
        <v>2.9205374440913197E-3</v>
      </c>
    </row>
    <row r="103" spans="11:69" x14ac:dyDescent="0.2">
      <c r="K103" s="55"/>
      <c r="L103" s="55"/>
      <c r="M103" s="55"/>
      <c r="N103" s="55"/>
      <c r="R103" s="34"/>
      <c r="S103" s="34"/>
      <c r="BC103" s="178">
        <f>_xll.qlCalendarAdvance(Calendar,BC102,"1d","mf",,Trigger)</f>
        <v>42275</v>
      </c>
      <c r="BD103" s="41">
        <f>_xll.qlDayCounterYearFraction(DayCounter,SettlementDate,BC103,,,Trigger)</f>
        <v>0.38055555555555554</v>
      </c>
      <c r="BE103" s="47">
        <f>_xll.qlPolynomialFunctionValue(BE$1,$BD103,AllTriggers)</f>
        <v>2.9014261930464186E-3</v>
      </c>
      <c r="BF103" s="47">
        <f>_xll.qlPolynomialFunctionValue(BF$1,$BD103,AllTriggers)</f>
        <v>2.9342610429025145E-3</v>
      </c>
      <c r="BG103" s="47">
        <f>_xll.qlPolynomialFunctionValue(BG$1,$BD103,AllTriggers)</f>
        <v>2.9329414048376895E-3</v>
      </c>
      <c r="BH103" s="47">
        <f>_xll.qlPolynomialFunctionValue(BH$1,$BD103,AllTriggers)</f>
        <v>2.9326743392101245E-3</v>
      </c>
      <c r="BI103" s="47">
        <f>_xll.qlPolynomialFunctionValue(BI$1,$BD103,AllTriggers)</f>
        <v>2.8993804466608143E-3</v>
      </c>
      <c r="BJ103" s="47">
        <f>_xll.qlPolynomialFunctionValue(BJ$1,$BD103,AllTriggers)</f>
        <v>2.9343989367644585E-3</v>
      </c>
      <c r="BK103" s="47">
        <f>_xll.qlPolynomialFunctionValue(BK$1,$BD103,AllTriggers)</f>
        <v>2.933137037696181E-3</v>
      </c>
      <c r="BL103" s="47">
        <f>_xll.qlPolynomialFunctionValue(BL$1,$BD103,AllTriggers)</f>
        <v>2.9328765517572424E-3</v>
      </c>
      <c r="BM103" s="47">
        <f>_xll.qlPolynomialFunctionValue(BM$1,$BD103,AllTriggers)</f>
        <v>2.924355761215339E-3</v>
      </c>
      <c r="BN103" s="47">
        <f>_xll.qlPolynomialFunctionValue(BN$1,$BD103,AllTriggers)</f>
        <v>2.9173713275510056E-3</v>
      </c>
      <c r="BO103" s="47">
        <f>_xll.qlPolynomialFunctionValue(BO$1,$BD103,AllTriggers)</f>
        <v>2.9328461607042266E-3</v>
      </c>
      <c r="BP103" s="47">
        <f>_xll.qlPolynomialFunctionValue(BP$1,$BD103,AllTriggers)</f>
        <v>2.9265983106986013E-3</v>
      </c>
      <c r="BQ103" s="47">
        <f>_xll.qlPolynomialFunctionValue('12MSynthDepo_used'!$P$18,BD103,AllTriggers)</f>
        <v>2.9235749882829368E-3</v>
      </c>
    </row>
    <row r="104" spans="11:69" x14ac:dyDescent="0.2">
      <c r="K104" s="55"/>
      <c r="L104" s="55"/>
      <c r="M104" s="55"/>
      <c r="N104" s="55"/>
      <c r="R104" s="34"/>
      <c r="S104" s="34"/>
      <c r="BC104" s="178">
        <f>_xll.qlCalendarAdvance(Calendar,BC103,"1d","mf",,Trigger)</f>
        <v>42276</v>
      </c>
      <c r="BD104" s="41">
        <f>_xll.qlDayCounterYearFraction(DayCounter,SettlementDate,BC104,,,Trigger)</f>
        <v>0.38333333333333336</v>
      </c>
      <c r="BE104" s="47">
        <f>_xll.qlPolynomialFunctionValue(BE$1,$BD104,AllTriggers)</f>
        <v>2.9022871724214208E-3</v>
      </c>
      <c r="BF104" s="47">
        <f>_xll.qlPolynomialFunctionValue(BF$1,$BD104,AllTriggers)</f>
        <v>2.9356640422931895E-3</v>
      </c>
      <c r="BG104" s="47">
        <f>_xll.qlPolynomialFunctionValue(BG$1,$BD104,AllTriggers)</f>
        <v>2.9334034574811569E-3</v>
      </c>
      <c r="BH104" s="47">
        <f>_xll.qlPolynomialFunctionValue(BH$1,$BD104,AllTriggers)</f>
        <v>2.9329459649931923E-3</v>
      </c>
      <c r="BI104" s="47">
        <f>_xll.qlPolynomialFunctionValue(BI$1,$BD104,AllTriggers)</f>
        <v>2.9002700034087719E-3</v>
      </c>
      <c r="BJ104" s="47">
        <f>_xll.qlPolynomialFunctionValue(BJ$1,$BD104,AllTriggers)</f>
        <v>2.9358271489618531E-3</v>
      </c>
      <c r="BK104" s="47">
        <f>_xll.qlPolynomialFunctionValue(BK$1,$BD104,AllTriggers)</f>
        <v>2.9335938176359932E-3</v>
      </c>
      <c r="BL104" s="47">
        <f>_xll.qlPolynomialFunctionValue(BL$1,$BD104,AllTriggers)</f>
        <v>2.9331328050066943E-3</v>
      </c>
      <c r="BM104" s="47">
        <f>_xll.qlPolynomialFunctionValue(BM$1,$BD104,AllTriggers)</f>
        <v>2.9248907439060725E-3</v>
      </c>
      <c r="BN104" s="47">
        <f>_xll.qlPolynomialFunctionValue(BN$1,$BD104,AllTriggers)</f>
        <v>2.9181580990774057E-3</v>
      </c>
      <c r="BO104" s="47">
        <f>_xll.qlPolynomialFunctionValue(BO$1,$BD104,AllTriggers)</f>
        <v>2.9333380675405762E-3</v>
      </c>
      <c r="BP104" s="47">
        <f>_xll.qlPolynomialFunctionValue(BP$1,$BD104,AllTriggers)</f>
        <v>2.9272279400458937E-3</v>
      </c>
      <c r="BQ104" s="47">
        <f>_xll.qlPolynomialFunctionValue('12MSynthDepo_used'!$P$18,BD104,AllTriggers)</f>
        <v>2.9245776773793451E-3</v>
      </c>
    </row>
    <row r="105" spans="11:69" x14ac:dyDescent="0.2">
      <c r="R105" s="34"/>
      <c r="S105" s="34"/>
      <c r="BC105" s="178">
        <f>_xll.qlCalendarAdvance(Calendar,BC104,"1d","mf",,Trigger)</f>
        <v>42277</v>
      </c>
      <c r="BD105" s="41">
        <f>_xll.qlDayCounterYearFraction(DayCounter,SettlementDate,BC105,,,Trigger)</f>
        <v>0.38611111111111113</v>
      </c>
      <c r="BE105" s="47">
        <f>_xll.qlPolynomialFunctionValue(BE$1,$BD105,AllTriggers)</f>
        <v>2.9031481517964234E-3</v>
      </c>
      <c r="BF105" s="47">
        <f>_xll.qlPolynomialFunctionValue(BF$1,$BD105,AllTriggers)</f>
        <v>2.9370583693636137E-3</v>
      </c>
      <c r="BG105" s="47">
        <f>_xll.qlPolynomialFunctionValue(BG$1,$BD105,AllTriggers)</f>
        <v>2.9338655101246239E-3</v>
      </c>
      <c r="BH105" s="47">
        <f>_xll.qlPolynomialFunctionValue(BH$1,$BD105,AllTriggers)</f>
        <v>2.9332193458625313E-3</v>
      </c>
      <c r="BI105" s="47">
        <f>_xll.qlPolynomialFunctionValue(BI$1,$BD105,AllTriggers)</f>
        <v>2.90115956015673E-3</v>
      </c>
      <c r="BJ105" s="47">
        <f>_xll.qlPolynomialFunctionValue(BJ$1,$BD105,AllTriggers)</f>
        <v>2.9372463875888405E-3</v>
      </c>
      <c r="BK105" s="47">
        <f>_xll.qlPolynomialFunctionValue(BK$1,$BD105,AllTriggers)</f>
        <v>2.9340505975758058E-3</v>
      </c>
      <c r="BL105" s="47">
        <f>_xll.qlPolynomialFunctionValue(BL$1,$BD105,AllTriggers)</f>
        <v>2.9333909106142092E-3</v>
      </c>
      <c r="BM105" s="47">
        <f>_xll.qlPolynomialFunctionValue(BM$1,$BD105,AllTriggers)</f>
        <v>2.9254257265968063E-3</v>
      </c>
      <c r="BN105" s="47">
        <f>_xll.qlPolynomialFunctionValue(BN$1,$BD105,AllTriggers)</f>
        <v>2.9189433810494578E-3</v>
      </c>
      <c r="BO105" s="47">
        <f>_xll.qlPolynomialFunctionValue(BO$1,$BD105,AllTriggers)</f>
        <v>2.9338299743769253E-3</v>
      </c>
      <c r="BP105" s="47">
        <f>_xll.qlPolynomialFunctionValue(BP$1,$BD105,AllTriggers)</f>
        <v>2.9278568394359348E-3</v>
      </c>
      <c r="BQ105" s="47">
        <f>_xll.qlPolynomialFunctionValue('12MSynthDepo_used'!$P$18,BD105,AllTriggers)</f>
        <v>2.925575478183839E-3</v>
      </c>
    </row>
    <row r="106" spans="11:69" x14ac:dyDescent="0.2">
      <c r="R106" s="34"/>
      <c r="S106" s="34"/>
      <c r="BC106" s="178">
        <f>_xll.qlCalendarAdvance(Calendar,BC105,"1d","mf",,Trigger)</f>
        <v>42278</v>
      </c>
      <c r="BD106" s="41">
        <f>_xll.qlDayCounterYearFraction(DayCounter,SettlementDate,BC106,,,Trigger)</f>
        <v>0.3888888888888889</v>
      </c>
      <c r="BE106" s="47">
        <f>_xll.qlPolynomialFunctionValue(BE$1,$BD106,AllTriggers)</f>
        <v>2.9040091311714256E-3</v>
      </c>
      <c r="BF106" s="47">
        <f>_xll.qlPolynomialFunctionValue(BF$1,$BD106,AllTriggers)</f>
        <v>2.938444024113787E-3</v>
      </c>
      <c r="BG106" s="47">
        <f>_xll.qlPolynomialFunctionValue(BG$1,$BD106,AllTriggers)</f>
        <v>2.9343275627680913E-3</v>
      </c>
      <c r="BH106" s="47">
        <f>_xll.qlPolynomialFunctionValue(BH$1,$BD106,AllTriggers)</f>
        <v>2.933494481818141E-3</v>
      </c>
      <c r="BI106" s="47">
        <f>_xll.qlPolynomialFunctionValue(BI$1,$BD106,AllTriggers)</f>
        <v>2.902049116904688E-3</v>
      </c>
      <c r="BJ106" s="47">
        <f>_xll.qlPolynomialFunctionValue(BJ$1,$BD106,AllTriggers)</f>
        <v>2.9386566526454203E-3</v>
      </c>
      <c r="BK106" s="47">
        <f>_xll.qlPolynomialFunctionValue(BK$1,$BD106,AllTriggers)</f>
        <v>2.934507377515618E-3</v>
      </c>
      <c r="BL106" s="47">
        <f>_xll.qlPolynomialFunctionValue(BL$1,$BD106,AllTriggers)</f>
        <v>2.9336508685797861E-3</v>
      </c>
      <c r="BM106" s="47">
        <f>_xll.qlPolynomialFunctionValue(BM$1,$BD106,AllTriggers)</f>
        <v>2.9259607092875402E-3</v>
      </c>
      <c r="BN106" s="47">
        <f>_xll.qlPolynomialFunctionValue(BN$1,$BD106,AllTriggers)</f>
        <v>2.9197271734671612E-3</v>
      </c>
      <c r="BO106" s="47">
        <f>_xll.qlPolynomialFunctionValue(BO$1,$BD106,AllTriggers)</f>
        <v>2.9343218812132748E-3</v>
      </c>
      <c r="BP106" s="47">
        <f>_xll.qlPolynomialFunctionValue(BP$1,$BD106,AllTriggers)</f>
        <v>2.9284850088687241E-3</v>
      </c>
      <c r="BQ106" s="47">
        <f>_xll.qlPolynomialFunctionValue('12MSynthDepo_used'!$P$18,BD106,AllTriggers)</f>
        <v>2.9265684054115082E-3</v>
      </c>
    </row>
    <row r="107" spans="11:69" x14ac:dyDescent="0.2">
      <c r="R107" s="34"/>
      <c r="S107" s="34"/>
      <c r="BC107" s="178">
        <f>_xll.qlCalendarAdvance(Calendar,BC106,"1d","mf",,Trigger)</f>
        <v>42279</v>
      </c>
      <c r="BD107" s="41">
        <f>_xll.qlDayCounterYearFraction(DayCounter,SettlementDate,BC107,,,Trigger)</f>
        <v>0.39166666666666666</v>
      </c>
      <c r="BE107" s="47">
        <f>_xll.qlPolynomialFunctionValue(BE$1,$BD107,AllTriggers)</f>
        <v>2.9048701105464278E-3</v>
      </c>
      <c r="BF107" s="47">
        <f>_xll.qlPolynomialFunctionValue(BF$1,$BD107,AllTriggers)</f>
        <v>2.9398210065437096E-3</v>
      </c>
      <c r="BG107" s="47">
        <f>_xll.qlPolynomialFunctionValue(BG$1,$BD107,AllTriggers)</f>
        <v>2.9347896154115582E-3</v>
      </c>
      <c r="BH107" s="47">
        <f>_xll.qlPolynomialFunctionValue(BH$1,$BD107,AllTriggers)</f>
        <v>2.9337713728600219E-3</v>
      </c>
      <c r="BI107" s="47">
        <f>_xll.qlPolynomialFunctionValue(BI$1,$BD107,AllTriggers)</f>
        <v>2.9029386736526461E-3</v>
      </c>
      <c r="BJ107" s="47">
        <f>_xll.qlPolynomialFunctionValue(BJ$1,$BD107,AllTriggers)</f>
        <v>2.9400579441315939E-3</v>
      </c>
      <c r="BK107" s="47">
        <f>_xll.qlPolynomialFunctionValue(BK$1,$BD107,AllTriggers)</f>
        <v>2.9349641574554302E-3</v>
      </c>
      <c r="BL107" s="47">
        <f>_xll.qlPolynomialFunctionValue(BL$1,$BD107,AllTriggers)</f>
        <v>2.9339126789034251E-3</v>
      </c>
      <c r="BM107" s="47">
        <f>_xll.qlPolynomialFunctionValue(BM$1,$BD107,AllTriggers)</f>
        <v>2.926495691978274E-3</v>
      </c>
      <c r="BN107" s="47">
        <f>_xll.qlPolynomialFunctionValue(BN$1,$BD107,AllTriggers)</f>
        <v>2.9205094763305158E-3</v>
      </c>
      <c r="BO107" s="47">
        <f>_xll.qlPolynomialFunctionValue(BO$1,$BD107,AllTriggers)</f>
        <v>2.9348137880496243E-3</v>
      </c>
      <c r="BP107" s="47">
        <f>_xll.qlPolynomialFunctionValue(BP$1,$BD107,AllTriggers)</f>
        <v>2.9291124483442625E-3</v>
      </c>
      <c r="BQ107" s="47">
        <f>_xll.qlPolynomialFunctionValue('12MSynthDepo_used'!$P$18,BD107,AllTriggers)</f>
        <v>2.9275564737774435E-3</v>
      </c>
    </row>
    <row r="108" spans="11:69" x14ac:dyDescent="0.2">
      <c r="R108" s="34"/>
      <c r="S108" s="34"/>
      <c r="BC108" s="178">
        <f>_xll.qlCalendarAdvance(Calendar,BC107,"1d","mf",,Trigger)</f>
        <v>42282</v>
      </c>
      <c r="BD108" s="41">
        <f>_xll.qlDayCounterYearFraction(DayCounter,SettlementDate,BC108,,,Trigger)</f>
        <v>0.4</v>
      </c>
      <c r="BE108" s="47">
        <f>_xll.qlPolynomialFunctionValue(BE$1,$BD108,AllTriggers)</f>
        <v>2.9074530486714345E-3</v>
      </c>
      <c r="BF108" s="47">
        <f>_xll.qlPolynomialFunctionValue(BF$1,$BD108,AllTriggers)</f>
        <v>2.9438999199119728E-3</v>
      </c>
      <c r="BG108" s="47">
        <f>_xll.qlPolynomialFunctionValue(BG$1,$BD108,AllTriggers)</f>
        <v>2.93617577334196E-3</v>
      </c>
      <c r="BH108" s="47">
        <f>_xll.qlPolynomialFunctionValue(BH$1,$BD108,AllTriggers)</f>
        <v>2.9346125765032901E-3</v>
      </c>
      <c r="BI108" s="47">
        <f>_xll.qlPolynomialFunctionValue(BI$1,$BD108,AllTriggers)</f>
        <v>2.9056073438965199E-3</v>
      </c>
      <c r="BJ108" s="47">
        <f>_xll.qlPolynomialFunctionValue(BJ$1,$BD108,AllTriggers)</f>
        <v>2.9442079771676709E-3</v>
      </c>
      <c r="BK108" s="47">
        <f>_xll.qlPolynomialFunctionValue(BK$1,$BD108,AllTriggers)</f>
        <v>2.9363344972748668E-3</v>
      </c>
      <c r="BL108" s="47">
        <f>_xll.qlPolynomialFunctionValue(BL$1,$BD108,AllTriggers)</f>
        <v>2.9347092240227177E-3</v>
      </c>
      <c r="BM108" s="47">
        <f>_xll.qlPolynomialFunctionValue(BM$1,$BD108,AllTriggers)</f>
        <v>2.9281006400504756E-3</v>
      </c>
      <c r="BN108" s="47">
        <f>_xll.qlPolynomialFunctionValue(BN$1,$BD108,AllTriggers)</f>
        <v>2.9228474475944889E-3</v>
      </c>
      <c r="BO108" s="47">
        <f>_xll.qlPolynomialFunctionValue(BO$1,$BD108,AllTriggers)</f>
        <v>2.9362895085586725E-3</v>
      </c>
      <c r="BP108" s="47">
        <f>_xll.qlPolynomialFunctionValue(BP$1,$BD108,AllTriggers)</f>
        <v>2.9309903870273681E-3</v>
      </c>
      <c r="BQ108" s="47">
        <f>_xll.qlPolynomialFunctionValue('12MSynthDepo_used'!$P$18,BD108,AllTriggers)</f>
        <v>2.9304916728557463E-3</v>
      </c>
    </row>
    <row r="109" spans="11:69" x14ac:dyDescent="0.2">
      <c r="R109" s="34"/>
      <c r="S109" s="34"/>
      <c r="BC109" s="178">
        <f>_xll.qlCalendarAdvance(Calendar,BC108,"1d","mf",,Trigger)</f>
        <v>42283</v>
      </c>
      <c r="BD109" s="41">
        <f>_xll.qlDayCounterYearFraction(DayCounter,SettlementDate,BC109,,,Trigger)</f>
        <v>0.40277777777777779</v>
      </c>
      <c r="BE109" s="47">
        <f>_xll.qlPolynomialFunctionValue(BE$1,$BD109,AllTriggers)</f>
        <v>2.9083140280464367E-3</v>
      </c>
      <c r="BF109" s="47">
        <f>_xll.qlPolynomialFunctionValue(BF$1,$BD109,AllTriggers)</f>
        <v>2.9452422130608925E-3</v>
      </c>
      <c r="BG109" s="47">
        <f>_xll.qlPolynomialFunctionValue(BG$1,$BD109,AllTriggers)</f>
        <v>2.9366378259854269E-3</v>
      </c>
      <c r="BH109" s="47">
        <f>_xll.qlPolynomialFunctionValue(BH$1,$BD109,AllTriggers)</f>
        <v>2.9348964878902549E-3</v>
      </c>
      <c r="BI109" s="47">
        <f>_xll.qlPolynomialFunctionValue(BI$1,$BD109,AllTriggers)</f>
        <v>2.906496900644478E-3</v>
      </c>
      <c r="BJ109" s="47">
        <f>_xll.qlPolynomialFunctionValue(BJ$1,$BD109,AllTriggers)</f>
        <v>2.9455733743722159E-3</v>
      </c>
      <c r="BK109" s="47">
        <f>_xll.qlPolynomialFunctionValue(BK$1,$BD109,AllTriggers)</f>
        <v>2.9367912772146794E-3</v>
      </c>
      <c r="BL109" s="47">
        <f>_xll.qlPolynomialFunctionValue(BL$1,$BD109,AllTriggers)</f>
        <v>2.9349784437786072E-3</v>
      </c>
      <c r="BM109" s="47">
        <f>_xll.qlPolynomialFunctionValue(BM$1,$BD109,AllTriggers)</f>
        <v>2.928635622741209E-3</v>
      </c>
      <c r="BN109" s="47">
        <f>_xll.qlPolynomialFunctionValue(BN$1,$BD109,AllTriggers)</f>
        <v>2.9236237922404497E-3</v>
      </c>
      <c r="BO109" s="47">
        <f>_xll.qlPolynomialFunctionValue(BO$1,$BD109,AllTriggers)</f>
        <v>2.9367814153950216E-3</v>
      </c>
      <c r="BP109" s="47">
        <f>_xll.qlPolynomialFunctionValue(BP$1,$BD109,AllTriggers)</f>
        <v>2.9316149066738999E-3</v>
      </c>
      <c r="BQ109" s="47">
        <f>_xll.qlPolynomialFunctionValue('12MSynthDepo_used'!$P$18,BD109,AllTriggers)</f>
        <v>2.931460452925647E-3</v>
      </c>
    </row>
    <row r="110" spans="11:69" x14ac:dyDescent="0.2">
      <c r="R110" s="34"/>
      <c r="S110" s="34"/>
      <c r="BC110" s="178">
        <f>_xll.qlCalendarAdvance(Calendar,BC109,"1d","mf",,Trigger)</f>
        <v>42284</v>
      </c>
      <c r="BD110" s="41">
        <f>_xll.qlDayCounterYearFraction(DayCounter,SettlementDate,BC110,,,Trigger)</f>
        <v>0.40555555555555556</v>
      </c>
      <c r="BE110" s="47">
        <f>_xll.qlPolynomialFunctionValue(BE$1,$BD110,AllTriggers)</f>
        <v>2.9091750074214393E-3</v>
      </c>
      <c r="BF110" s="47">
        <f>_xll.qlPolynomialFunctionValue(BF$1,$BD110,AllTriggers)</f>
        <v>2.9465758338895615E-3</v>
      </c>
      <c r="BG110" s="47">
        <f>_xll.qlPolynomialFunctionValue(BG$1,$BD110,AllTriggers)</f>
        <v>2.9370998786288943E-3</v>
      </c>
      <c r="BH110" s="47">
        <f>_xll.qlPolynomialFunctionValue(BH$1,$BD110,AllTriggers)</f>
        <v>2.9351821543634905E-3</v>
      </c>
      <c r="BI110" s="47">
        <f>_xll.qlPolynomialFunctionValue(BI$1,$BD110,AllTriggers)</f>
        <v>2.9073864573924361E-3</v>
      </c>
      <c r="BJ110" s="47">
        <f>_xll.qlPolynomialFunctionValue(BJ$1,$BD110,AllTriggers)</f>
        <v>2.9469297980063537E-3</v>
      </c>
      <c r="BK110" s="47">
        <f>_xll.qlPolynomialFunctionValue(BK$1,$BD110,AllTriggers)</f>
        <v>2.9372480571544916E-3</v>
      </c>
      <c r="BL110" s="47">
        <f>_xll.qlPolynomialFunctionValue(BL$1,$BD110,AllTriggers)</f>
        <v>2.9352495158925587E-3</v>
      </c>
      <c r="BM110" s="47">
        <f>_xll.qlPolynomialFunctionValue(BM$1,$BD110,AllTriggers)</f>
        <v>2.9291706054319429E-3</v>
      </c>
      <c r="BN110" s="47">
        <f>_xll.qlPolynomialFunctionValue(BN$1,$BD110,AllTriggers)</f>
        <v>2.924398647332062E-3</v>
      </c>
      <c r="BO110" s="47">
        <f>_xll.qlPolynomialFunctionValue(BO$1,$BD110,AllTriggers)</f>
        <v>2.9372733222313712E-3</v>
      </c>
      <c r="BP110" s="47">
        <f>_xll.qlPolynomialFunctionValue(BP$1,$BD110,AllTriggers)</f>
        <v>2.9322386963631813E-3</v>
      </c>
      <c r="BQ110" s="47">
        <f>_xll.qlPolynomialFunctionValue('12MSynthDepo_used'!$P$18,BD110,AllTriggers)</f>
        <v>2.9324244477092649E-3</v>
      </c>
    </row>
    <row r="111" spans="11:69" x14ac:dyDescent="0.2">
      <c r="R111" s="34"/>
      <c r="S111" s="34"/>
      <c r="BC111" s="178">
        <f>_xll.qlCalendarAdvance(Calendar,BC110,"1d","mf",,Trigger)</f>
        <v>42285</v>
      </c>
      <c r="BD111" s="41">
        <f>_xll.qlDayCounterYearFraction(DayCounter,SettlementDate,BC111,,,Trigger)</f>
        <v>0.40833333333333333</v>
      </c>
      <c r="BE111" s="47">
        <f>_xll.qlPolynomialFunctionValue(BE$1,$BD111,AllTriggers)</f>
        <v>2.9100359867964415E-3</v>
      </c>
      <c r="BF111" s="47">
        <f>_xll.qlPolynomialFunctionValue(BF$1,$BD111,AllTriggers)</f>
        <v>2.9479007823979796E-3</v>
      </c>
      <c r="BG111" s="47">
        <f>_xll.qlPolynomialFunctionValue(BG$1,$BD111,AllTriggers)</f>
        <v>2.9375619312723613E-3</v>
      </c>
      <c r="BH111" s="47">
        <f>_xll.qlPolynomialFunctionValue(BH$1,$BD111,AllTriggers)</f>
        <v>2.9354695759229972E-3</v>
      </c>
      <c r="BI111" s="47">
        <f>_xll.qlPolynomialFunctionValue(BI$1,$BD111,AllTriggers)</f>
        <v>2.9082760141403937E-3</v>
      </c>
      <c r="BJ111" s="47">
        <f>_xll.qlPolynomialFunctionValue(BJ$1,$BD111,AllTriggers)</f>
        <v>2.9482772480700845E-3</v>
      </c>
      <c r="BK111" s="47">
        <f>_xll.qlPolynomialFunctionValue(BK$1,$BD111,AllTriggers)</f>
        <v>2.9377048370943038E-3</v>
      </c>
      <c r="BL111" s="47">
        <f>_xll.qlPolynomialFunctionValue(BL$1,$BD111,AllTriggers)</f>
        <v>2.9355224403645724E-3</v>
      </c>
      <c r="BM111" s="47">
        <f>_xll.qlPolynomialFunctionValue(BM$1,$BD111,AllTriggers)</f>
        <v>2.9297055881226768E-3</v>
      </c>
      <c r="BN111" s="47">
        <f>_xll.qlPolynomialFunctionValue(BN$1,$BD111,AllTriggers)</f>
        <v>2.9251720128693256E-3</v>
      </c>
      <c r="BO111" s="47">
        <f>_xll.qlPolynomialFunctionValue(BO$1,$BD111,AllTriggers)</f>
        <v>2.9377652290677207E-3</v>
      </c>
      <c r="BP111" s="47">
        <f>_xll.qlPolynomialFunctionValue(BP$1,$BD111,AllTriggers)</f>
        <v>2.9328617560952105E-3</v>
      </c>
      <c r="BQ111" s="47">
        <f>_xll.qlPolynomialFunctionValue('12MSynthDepo_used'!$P$18,BD111,AllTriggers)</f>
        <v>2.9333836719216905E-3</v>
      </c>
    </row>
    <row r="112" spans="11:69" x14ac:dyDescent="0.2">
      <c r="R112" s="34"/>
      <c r="S112" s="34"/>
      <c r="BC112" s="178">
        <f>_xll.qlCalendarAdvance(Calendar,BC111,"1d","mf",,Trigger)</f>
        <v>42286</v>
      </c>
      <c r="BD112" s="41">
        <f>_xll.qlDayCounterYearFraction(DayCounter,SettlementDate,BC112,,,Trigger)</f>
        <v>0.41111111111111109</v>
      </c>
      <c r="BE112" s="47">
        <f>_xll.qlPolynomialFunctionValue(BE$1,$BD112,AllTriggers)</f>
        <v>2.9108969661714437E-3</v>
      </c>
      <c r="BF112" s="47">
        <f>_xll.qlPolynomialFunctionValue(BF$1,$BD112,AllTriggers)</f>
        <v>2.9492170585861469E-3</v>
      </c>
      <c r="BG112" s="47">
        <f>_xll.qlPolynomialFunctionValue(BG$1,$BD112,AllTriggers)</f>
        <v>2.9380239839158287E-3</v>
      </c>
      <c r="BH112" s="47">
        <f>_xll.qlPolynomialFunctionValue(BH$1,$BD112,AllTriggers)</f>
        <v>2.9357587525687748E-3</v>
      </c>
      <c r="BI112" s="47">
        <f>_xll.qlPolynomialFunctionValue(BI$1,$BD112,AllTriggers)</f>
        <v>2.9091655708883518E-3</v>
      </c>
      <c r="BJ112" s="47">
        <f>_xll.qlPolynomialFunctionValue(BJ$1,$BD112,AllTriggers)</f>
        <v>2.949615724563408E-3</v>
      </c>
      <c r="BK112" s="47">
        <f>_xll.qlPolynomialFunctionValue(BK$1,$BD112,AllTriggers)</f>
        <v>2.938161617034116E-3</v>
      </c>
      <c r="BL112" s="47">
        <f>_xll.qlPolynomialFunctionValue(BL$1,$BD112,AllTriggers)</f>
        <v>2.935797217194649E-3</v>
      </c>
      <c r="BM112" s="47">
        <f>_xll.qlPolynomialFunctionValue(BM$1,$BD112,AllTriggers)</f>
        <v>2.9302405708134106E-3</v>
      </c>
      <c r="BN112" s="47">
        <f>_xll.qlPolynomialFunctionValue(BN$1,$BD112,AllTriggers)</f>
        <v>2.9259438888522404E-3</v>
      </c>
      <c r="BO112" s="47">
        <f>_xll.qlPolynomialFunctionValue(BO$1,$BD112,AllTriggers)</f>
        <v>2.9382571359040702E-3</v>
      </c>
      <c r="BP112" s="47">
        <f>_xll.qlPolynomialFunctionValue(BP$1,$BD112,AllTriggers)</f>
        <v>2.9334840858699883E-3</v>
      </c>
      <c r="BQ112" s="47">
        <f>_xll.qlPolynomialFunctionValue('12MSynthDepo_used'!$P$18,BD112,AllTriggers)</f>
        <v>2.9343381402780139E-3</v>
      </c>
    </row>
    <row r="113" spans="18:69" x14ac:dyDescent="0.2">
      <c r="R113" s="34"/>
      <c r="S113" s="34"/>
      <c r="AB113" s="19" t="s">
        <v>70</v>
      </c>
      <c r="BC113" s="178">
        <f>_xll.qlCalendarAdvance(Calendar,BC112,"1d","mf",,Trigger)</f>
        <v>42289</v>
      </c>
      <c r="BD113" s="41">
        <f>_xll.qlDayCounterYearFraction(DayCounter,SettlementDate,BC113,,,Trigger)</f>
        <v>0.41944444444444445</v>
      </c>
      <c r="BE113" s="47">
        <f>_xll.qlPolynomialFunctionValue(BE$1,$BD113,AllTriggers)</f>
        <v>2.9134799042964503E-3</v>
      </c>
      <c r="BF113" s="47">
        <f>_xll.qlPolynomialFunctionValue(BF$1,$BD113,AllTriggers)</f>
        <v>2.9531138532291443E-3</v>
      </c>
      <c r="BG113" s="47">
        <f>_xll.qlPolynomialFunctionValue(BG$1,$BD113,AllTriggers)</f>
        <v>2.93941014184623E-3</v>
      </c>
      <c r="BH113" s="47">
        <f>_xll.qlPolynomialFunctionValue(BH$1,$BD113,AllTriggers)</f>
        <v>2.9366368130237333E-3</v>
      </c>
      <c r="BI113" s="47">
        <f>_xll.qlPolynomialFunctionValue(BI$1,$BD113,AllTriggers)</f>
        <v>2.9118342411322256E-3</v>
      </c>
      <c r="BJ113" s="47">
        <f>_xll.qlPolynomialFunctionValue(BJ$1,$BD113,AllTriggers)</f>
        <v>2.9535773126209367E-3</v>
      </c>
      <c r="BK113" s="47">
        <f>_xll.qlPolynomialFunctionValue(BK$1,$BD113,AllTriggers)</f>
        <v>2.9395319568535526E-3</v>
      </c>
      <c r="BL113" s="47">
        <f>_xll.qlPolynomialFunctionValue(BL$1,$BD113,AllTriggers)</f>
        <v>2.9366326618332525E-3</v>
      </c>
      <c r="BM113" s="47">
        <f>_xll.qlPolynomialFunctionValue(BM$1,$BD113,AllTriggers)</f>
        <v>2.9318455188856122E-3</v>
      </c>
      <c r="BN113" s="47">
        <f>_xll.qlPolynomialFunctionValue(BN$1,$BD113,AllTriggers)</f>
        <v>2.9282505794748946E-3</v>
      </c>
      <c r="BO113" s="47">
        <f>_xll.qlPolynomialFunctionValue(BO$1,$BD113,AllTriggers)</f>
        <v>2.9397328564131184E-3</v>
      </c>
      <c r="BP113" s="47">
        <f>_xll.qlPolynomialFunctionValue(BP$1,$BD113,AllTriggers)</f>
        <v>2.9353466954508134E-3</v>
      </c>
      <c r="BQ113" s="47">
        <f>_xll.qlPolynomialFunctionValue('12MSynthDepo_used'!$P$18,BD113,AllTriggers)</f>
        <v>2.9371731573612728E-3</v>
      </c>
    </row>
    <row r="114" spans="18:69" x14ac:dyDescent="0.2">
      <c r="R114" s="34"/>
      <c r="S114" s="34"/>
      <c r="BC114" s="178">
        <f>_xll.qlCalendarAdvance(Calendar,BC113,"1d","mf",,Trigger)</f>
        <v>42290</v>
      </c>
      <c r="BD114" s="41">
        <f>_xll.qlDayCounterYearFraction(DayCounter,SettlementDate,BC114,,,Trigger)</f>
        <v>0.42222222222222222</v>
      </c>
      <c r="BE114" s="47">
        <f>_xll.qlPolynomialFunctionValue(BE$1,$BD114,AllTriggers)</f>
        <v>2.9143408836714525E-3</v>
      </c>
      <c r="BF114" s="47">
        <f>_xll.qlPolynomialFunctionValue(BF$1,$BD114,AllTriggers)</f>
        <v>2.9543954401363083E-3</v>
      </c>
      <c r="BG114" s="47">
        <f>_xll.qlPolynomialFunctionValue(BG$1,$BD114,AllTriggers)</f>
        <v>2.9398721944896974E-3</v>
      </c>
      <c r="BH114" s="47">
        <f>_xll.qlPolynomialFunctionValue(BH$1,$BD114,AllTriggers)</f>
        <v>2.9369330100145947E-3</v>
      </c>
      <c r="BI114" s="47">
        <f>_xll.qlPolynomialFunctionValue(BI$1,$BD114,AllTriggers)</f>
        <v>2.9127237978801837E-3</v>
      </c>
      <c r="BJ114" s="47">
        <f>_xll.qlPolynomialFunctionValue(BJ$1,$BD114,AllTriggers)</f>
        <v>2.9548798948326317E-3</v>
      </c>
      <c r="BK114" s="47">
        <f>_xll.qlPolynomialFunctionValue(BK$1,$BD114,AllTriggers)</f>
        <v>2.9399887367933652E-3</v>
      </c>
      <c r="BL114" s="47">
        <f>_xll.qlPolynomialFunctionValue(BL$1,$BD114,AllTriggers)</f>
        <v>2.9369148480955791E-3</v>
      </c>
      <c r="BM114" s="47">
        <f>_xll.qlPolynomialFunctionValue(BM$1,$BD114,AllTriggers)</f>
        <v>2.9323805015763461E-3</v>
      </c>
      <c r="BN114" s="47">
        <f>_xll.qlPolynomialFunctionValue(BN$1,$BD114,AllTriggers)</f>
        <v>2.9290164972404151E-3</v>
      </c>
      <c r="BO114" s="47">
        <f>_xll.qlPolynomialFunctionValue(BO$1,$BD114,AllTriggers)</f>
        <v>2.9402247632494675E-3</v>
      </c>
      <c r="BP114" s="47">
        <f>_xll.qlPolynomialFunctionValue(BP$1,$BD114,AllTriggers)</f>
        <v>2.9359661053965855E-3</v>
      </c>
      <c r="BQ114" s="47">
        <f>_xll.qlPolynomialFunctionValue('12MSynthDepo_used'!$P$18,BD114,AllTriggers)</f>
        <v>2.9381087494440893E-3</v>
      </c>
    </row>
    <row r="115" spans="18:69" x14ac:dyDescent="0.2">
      <c r="R115" s="34"/>
      <c r="S115" s="34"/>
      <c r="BC115" s="178">
        <f>_xll.qlCalendarAdvance(Calendar,BC114,"1d","mf",,Trigger)</f>
        <v>42291</v>
      </c>
      <c r="BD115" s="41">
        <f>_xll.qlDayCounterYearFraction(DayCounter,SettlementDate,BC115,,,Trigger)</f>
        <v>0.42499999999999999</v>
      </c>
      <c r="BE115" s="47">
        <f>_xll.qlPolynomialFunctionValue(BE$1,$BD115,AllTriggers)</f>
        <v>2.9152018630464547E-3</v>
      </c>
      <c r="BF115" s="47">
        <f>_xll.qlPolynomialFunctionValue(BF$1,$BD115,AllTriggers)</f>
        <v>2.955668354723222E-3</v>
      </c>
      <c r="BG115" s="47">
        <f>_xll.qlPolynomialFunctionValue(BG$1,$BD115,AllTriggers)</f>
        <v>2.9403342471331644E-3</v>
      </c>
      <c r="BH115" s="47">
        <f>_xll.qlPolynomialFunctionValue(BH$1,$BD115,AllTriggers)</f>
        <v>2.9372309620917269E-3</v>
      </c>
      <c r="BI115" s="47">
        <f>_xll.qlPolynomialFunctionValue(BI$1,$BD115,AllTriggers)</f>
        <v>2.9136133546281417E-3</v>
      </c>
      <c r="BJ115" s="47">
        <f>_xll.qlPolynomialFunctionValue(BJ$1,$BD115,AllTriggers)</f>
        <v>2.95617350347392E-3</v>
      </c>
      <c r="BK115" s="47">
        <f>_xll.qlPolynomialFunctionValue(BK$1,$BD115,AllTriggers)</f>
        <v>2.9404455167331774E-3</v>
      </c>
      <c r="BL115" s="47">
        <f>_xll.qlPolynomialFunctionValue(BL$1,$BD115,AllTriggers)</f>
        <v>2.9371988867159678E-3</v>
      </c>
      <c r="BM115" s="47">
        <f>_xll.qlPolynomialFunctionValue(BM$1,$BD115,AllTriggers)</f>
        <v>2.9329154842670795E-3</v>
      </c>
      <c r="BN115" s="47">
        <f>_xll.qlPolynomialFunctionValue(BN$1,$BD115,AllTriggers)</f>
        <v>2.9297809254515881E-3</v>
      </c>
      <c r="BO115" s="47">
        <f>_xll.qlPolynomialFunctionValue(BO$1,$BD115,AllTriggers)</f>
        <v>2.940716670085817E-3</v>
      </c>
      <c r="BP115" s="47">
        <f>_xll.qlPolynomialFunctionValue(BP$1,$BD115,AllTriggers)</f>
        <v>2.9365847853851058E-3</v>
      </c>
      <c r="BQ115" s="47">
        <f>_xll.qlPolynomialFunctionValue('12MSynthDepo_used'!$P$18,BD115,AllTriggers)</f>
        <v>2.9390396592462553E-3</v>
      </c>
    </row>
    <row r="116" spans="18:69" x14ac:dyDescent="0.2">
      <c r="R116" s="34"/>
      <c r="S116" s="34"/>
      <c r="BC116" s="178">
        <f>_xll.qlCalendarAdvance(Calendar,BC115,"1d","mf",,Trigger)</f>
        <v>42292</v>
      </c>
      <c r="BD116" s="41">
        <f>_xll.qlDayCounterYearFraction(DayCounter,SettlementDate,BC116,,,Trigger)</f>
        <v>0.42777777777777776</v>
      </c>
      <c r="BE116" s="47">
        <f>_xll.qlPolynomialFunctionValue(BE$1,$BD116,AllTriggers)</f>
        <v>2.9160628424214573E-3</v>
      </c>
      <c r="BF116" s="47">
        <f>_xll.qlPolynomialFunctionValue(BF$1,$BD116,AllTriggers)</f>
        <v>2.9569325969898844E-3</v>
      </c>
      <c r="BG116" s="47">
        <f>_xll.qlPolynomialFunctionValue(BG$1,$BD116,AllTriggers)</f>
        <v>2.9407962997766318E-3</v>
      </c>
      <c r="BH116" s="47">
        <f>_xll.qlPolynomialFunctionValue(BH$1,$BD116,AllTriggers)</f>
        <v>2.9375306692551303E-3</v>
      </c>
      <c r="BI116" s="47">
        <f>_xll.qlPolynomialFunctionValue(BI$1,$BD116,AllTriggers)</f>
        <v>2.9145029113760998E-3</v>
      </c>
      <c r="BJ116" s="47">
        <f>_xll.qlPolynomialFunctionValue(BJ$1,$BD116,AllTriggers)</f>
        <v>2.9574581385448007E-3</v>
      </c>
      <c r="BK116" s="47">
        <f>_xll.qlPolynomialFunctionValue(BK$1,$BD116,AllTriggers)</f>
        <v>2.9409022966729896E-3</v>
      </c>
      <c r="BL116" s="47">
        <f>_xll.qlPolynomialFunctionValue(BL$1,$BD116,AllTriggers)</f>
        <v>2.937484777694419E-3</v>
      </c>
      <c r="BM116" s="47">
        <f>_xll.qlPolynomialFunctionValue(BM$1,$BD116,AllTriggers)</f>
        <v>2.9334504669578133E-3</v>
      </c>
      <c r="BN116" s="47">
        <f>_xll.qlPolynomialFunctionValue(BN$1,$BD116,AllTriggers)</f>
        <v>2.9305438641084114E-3</v>
      </c>
      <c r="BO116" s="47">
        <f>_xll.qlPolynomialFunctionValue(BO$1,$BD116,AllTriggers)</f>
        <v>2.9412085769221666E-3</v>
      </c>
      <c r="BP116" s="47">
        <f>_xll.qlPolynomialFunctionValue(BP$1,$BD116,AllTriggers)</f>
        <v>2.9372027354163752E-3</v>
      </c>
      <c r="BQ116" s="47">
        <f>_xll.qlPolynomialFunctionValue('12MSynthDepo_used'!$P$18,BD116,AllTriggers)</f>
        <v>2.9399659014828607E-3</v>
      </c>
    </row>
    <row r="117" spans="18:69" x14ac:dyDescent="0.2">
      <c r="R117" s="34"/>
      <c r="S117" s="34"/>
      <c r="BC117" s="178">
        <f>_xll.qlCalendarAdvance(Calendar,BC116,"1d","mf",,Trigger)</f>
        <v>42293</v>
      </c>
      <c r="BD117" s="41">
        <f>_xll.qlDayCounterYearFraction(DayCounter,SettlementDate,BC117,,,Trigger)</f>
        <v>0.43055555555555558</v>
      </c>
      <c r="BE117" s="47">
        <f>_xll.qlPolynomialFunctionValue(BE$1,$BD117,AllTriggers)</f>
        <v>2.9169238217964595E-3</v>
      </c>
      <c r="BF117" s="47">
        <f>_xll.qlPolynomialFunctionValue(BF$1,$BD117,AllTriggers)</f>
        <v>2.9581881669362969E-3</v>
      </c>
      <c r="BG117" s="47">
        <f>_xll.qlPolynomialFunctionValue(BG$1,$BD117,AllTriggers)</f>
        <v>2.9412583524200987E-3</v>
      </c>
      <c r="BH117" s="47">
        <f>_xll.qlPolynomialFunctionValue(BH$1,$BD117,AllTriggers)</f>
        <v>2.9378321315048045E-3</v>
      </c>
      <c r="BI117" s="47">
        <f>_xll.qlPolynomialFunctionValue(BI$1,$BD117,AllTriggers)</f>
        <v>2.9153924681240579E-3</v>
      </c>
      <c r="BJ117" s="47">
        <f>_xll.qlPolynomialFunctionValue(BJ$1,$BD117,AllTriggers)</f>
        <v>2.9587338000452747E-3</v>
      </c>
      <c r="BK117" s="47">
        <f>_xll.qlPolynomialFunctionValue(BK$1,$BD117,AllTriggers)</f>
        <v>2.9413590766128018E-3</v>
      </c>
      <c r="BL117" s="47">
        <f>_xll.qlPolynomialFunctionValue(BL$1,$BD117,AllTriggers)</f>
        <v>2.9377725210309323E-3</v>
      </c>
      <c r="BM117" s="47">
        <f>_xll.qlPolynomialFunctionValue(BM$1,$BD117,AllTriggers)</f>
        <v>2.9339854496485472E-3</v>
      </c>
      <c r="BN117" s="47">
        <f>_xll.qlPolynomialFunctionValue(BN$1,$BD117,AllTriggers)</f>
        <v>2.9313053132108868E-3</v>
      </c>
      <c r="BO117" s="47">
        <f>_xll.qlPolynomialFunctionValue(BO$1,$BD117,AllTriggers)</f>
        <v>2.9417004837585161E-3</v>
      </c>
      <c r="BP117" s="47">
        <f>_xll.qlPolynomialFunctionValue(BP$1,$BD117,AllTriggers)</f>
        <v>2.9378199554903929E-3</v>
      </c>
      <c r="BQ117" s="47">
        <f>_xll.qlPolynomialFunctionValue('12MSynthDepo_used'!$P$18,BD117,AllTriggers)</f>
        <v>2.9408874908689962E-3</v>
      </c>
    </row>
    <row r="118" spans="18:69" x14ac:dyDescent="0.2">
      <c r="R118" s="34"/>
      <c r="S118" s="34"/>
      <c r="BC118" s="178">
        <f>_xll.qlCalendarAdvance(Calendar,BC117,"1d","mf",,Trigger)</f>
        <v>42296</v>
      </c>
      <c r="BD118" s="41">
        <f>_xll.qlDayCounterYearFraction(DayCounter,SettlementDate,BC118,,,Trigger)</f>
        <v>0.43888888888888888</v>
      </c>
      <c r="BE118" s="47">
        <f>_xll.qlPolynomialFunctionValue(BE$1,$BD118,AllTriggers)</f>
        <v>2.9195067599214661E-3</v>
      </c>
      <c r="BF118" s="47">
        <f>_xll.qlPolynomialFunctionValue(BF$1,$BD118,AllTriggers)</f>
        <v>2.9619028428540281E-3</v>
      </c>
      <c r="BG118" s="47">
        <f>_xll.qlPolynomialFunctionValue(BG$1,$BD118,AllTriggers)</f>
        <v>2.9426445103505005E-3</v>
      </c>
      <c r="BH118" s="47">
        <f>_xll.qlPolynomialFunctionValue(BH$1,$BD118,AllTriggers)</f>
        <v>2.9387470487714533E-3</v>
      </c>
      <c r="BI118" s="47">
        <f>_xll.qlPolynomialFunctionValue(BI$1,$BD118,AllTriggers)</f>
        <v>2.9180611383679317E-3</v>
      </c>
      <c r="BJ118" s="47">
        <f>_xll.qlPolynomialFunctionValue(BJ$1,$BD118,AllTriggers)</f>
        <v>2.9625069431242542E-3</v>
      </c>
      <c r="BK118" s="47">
        <f>_xll.qlPolynomialFunctionValue(BK$1,$BD118,AllTriggers)</f>
        <v>2.9427294164322388E-3</v>
      </c>
      <c r="BL118" s="47">
        <f>_xll.qlPolynomialFunctionValue(BL$1,$BD118,AllTriggers)</f>
        <v>2.9386468651888477E-3</v>
      </c>
      <c r="BM118" s="47">
        <f>_xll.qlPolynomialFunctionValue(BM$1,$BD118,AllTriggers)</f>
        <v>2.9355903977207488E-3</v>
      </c>
      <c r="BN118" s="47">
        <f>_xll.qlPolynomialFunctionValue(BN$1,$BD118,AllTriggers)</f>
        <v>2.9335807231922217E-3</v>
      </c>
      <c r="BO118" s="47">
        <f>_xll.qlPolynomialFunctionValue(BO$1,$BD118,AllTriggers)</f>
        <v>2.9431762042675643E-3</v>
      </c>
      <c r="BP118" s="47">
        <f>_xll.qlPolynomialFunctionValue(BP$1,$BD118,AllTriggers)</f>
        <v>2.9396672359689371E-3</v>
      </c>
      <c r="BQ118" s="47">
        <f>_xll.qlPolynomialFunctionValue('12MSynthDepo_used'!$P$18,BD118,AllTriggers)</f>
        <v>2.9436244890754817E-3</v>
      </c>
    </row>
    <row r="119" spans="18:69" x14ac:dyDescent="0.2">
      <c r="R119" s="34"/>
      <c r="S119" s="34"/>
      <c r="BC119" s="178">
        <f>_xll.qlCalendarAdvance(Calendar,BC118,"1d","mf",,Trigger)</f>
        <v>42297</v>
      </c>
      <c r="BD119" s="41">
        <f>_xll.qlDayCounterYearFraction(DayCounter,SettlementDate,BC119,,,Trigger)</f>
        <v>0.44166666666666665</v>
      </c>
      <c r="BE119" s="47">
        <f>_xll.qlPolynomialFunctionValue(BE$1,$BD119,AllTriggers)</f>
        <v>2.9203677392964683E-3</v>
      </c>
      <c r="BF119" s="47">
        <f>_xll.qlPolynomialFunctionValue(BF$1,$BD119,AllTriggers)</f>
        <v>2.9631237235194369E-3</v>
      </c>
      <c r="BG119" s="47">
        <f>_xll.qlPolynomialFunctionValue(BG$1,$BD119,AllTriggers)</f>
        <v>2.9431065629939674E-3</v>
      </c>
      <c r="BH119" s="47">
        <f>_xll.qlPolynomialFunctionValue(BH$1,$BD119,AllTriggers)</f>
        <v>2.9390555313662113E-3</v>
      </c>
      <c r="BI119" s="47">
        <f>_xll.qlPolynomialFunctionValue(BI$1,$BD119,AllTriggers)</f>
        <v>2.9189506951158898E-3</v>
      </c>
      <c r="BJ119" s="47">
        <f>_xll.qlPolynomialFunctionValue(BJ$1,$BD119,AllTriggers)</f>
        <v>2.9637467103430996E-3</v>
      </c>
      <c r="BK119" s="47">
        <f>_xll.qlPolynomialFunctionValue(BK$1,$BD119,AllTriggers)</f>
        <v>2.943186196372051E-3</v>
      </c>
      <c r="BL119" s="47">
        <f>_xll.qlPolynomialFunctionValue(BL$1,$BD119,AllTriggers)</f>
        <v>2.938942017957611E-3</v>
      </c>
      <c r="BM119" s="47">
        <f>_xll.qlPolynomialFunctionValue(BM$1,$BD119,AllTriggers)</f>
        <v>2.9361253804114826E-3</v>
      </c>
      <c r="BN119" s="47">
        <f>_xll.qlPolynomialFunctionValue(BN$1,$BD119,AllTriggers)</f>
        <v>2.9343362140773028E-3</v>
      </c>
      <c r="BO119" s="47">
        <f>_xll.qlPolynomialFunctionValue(BO$1,$BD119,AllTriggers)</f>
        <v>2.9436681111039134E-3</v>
      </c>
      <c r="BP119" s="47">
        <f>_xll.qlPolynomialFunctionValue(BP$1,$BD119,AllTriggers)</f>
        <v>2.940281536213949E-3</v>
      </c>
      <c r="BQ119" s="47">
        <f>_xll.qlPolynomialFunctionValue('12MSynthDepo_used'!$P$18,BD119,AllTriggers)</f>
        <v>2.9445276142106382E-3</v>
      </c>
    </row>
    <row r="120" spans="18:69" x14ac:dyDescent="0.2">
      <c r="R120" s="34"/>
      <c r="S120" s="34"/>
      <c r="BC120" s="178">
        <f>_xll.qlCalendarAdvance(Calendar,BC119,"1d","mf",,Trigger)</f>
        <v>42298</v>
      </c>
      <c r="BD120" s="41">
        <f>_xll.qlDayCounterYearFraction(DayCounter,SettlementDate,BC120,,,Trigger)</f>
        <v>0.44444444444444442</v>
      </c>
      <c r="BE120" s="47">
        <f>_xll.qlPolynomialFunctionValue(BE$1,$BD120,AllTriggers)</f>
        <v>2.9212287186714705E-3</v>
      </c>
      <c r="BF120" s="47">
        <f>_xll.qlPolynomialFunctionValue(BF$1,$BD120,AllTriggers)</f>
        <v>2.9643359318645953E-3</v>
      </c>
      <c r="BG120" s="47">
        <f>_xll.qlPolynomialFunctionValue(BG$1,$BD120,AllTriggers)</f>
        <v>2.9435686156374348E-3</v>
      </c>
      <c r="BH120" s="47">
        <f>_xll.qlPolynomialFunctionValue(BH$1,$BD120,AllTriggers)</f>
        <v>2.9393657690472402E-3</v>
      </c>
      <c r="BI120" s="47">
        <f>_xll.qlPolynomialFunctionValue(BI$1,$BD120,AllTriggers)</f>
        <v>2.9198402518638474E-3</v>
      </c>
      <c r="BJ120" s="47">
        <f>_xll.qlPolynomialFunctionValue(BJ$1,$BD120,AllTriggers)</f>
        <v>2.9649775039915379E-3</v>
      </c>
      <c r="BK120" s="47">
        <f>_xll.qlPolynomialFunctionValue(BK$1,$BD120,AllTriggers)</f>
        <v>2.9436429763118632E-3</v>
      </c>
      <c r="BL120" s="47">
        <f>_xll.qlPolynomialFunctionValue(BL$1,$BD120,AllTriggers)</f>
        <v>2.9392390230844369E-3</v>
      </c>
      <c r="BM120" s="47">
        <f>_xll.qlPolynomialFunctionValue(BM$1,$BD120,AllTriggers)</f>
        <v>2.9366603631022161E-3</v>
      </c>
      <c r="BN120" s="47">
        <f>_xll.qlPolynomialFunctionValue(BN$1,$BD120,AllTriggers)</f>
        <v>2.9350902154080356E-3</v>
      </c>
      <c r="BO120" s="47">
        <f>_xll.qlPolynomialFunctionValue(BO$1,$BD120,AllTriggers)</f>
        <v>2.9441600179402629E-3</v>
      </c>
      <c r="BP120" s="47">
        <f>_xll.qlPolynomialFunctionValue(BP$1,$BD120,AllTriggers)</f>
        <v>2.9408951065017092E-3</v>
      </c>
      <c r="BQ120" s="47">
        <f>_xll.qlPolynomialFunctionValue('12MSynthDepo_used'!$P$18,BD120,AllTriggers)</f>
        <v>2.9454261600707758E-3</v>
      </c>
    </row>
    <row r="121" spans="18:69" x14ac:dyDescent="0.2">
      <c r="R121" s="34"/>
      <c r="S121" s="34"/>
      <c r="BC121" s="178">
        <f>_xll.qlCalendarAdvance(Calendar,BC120,"1d","mf",,Trigger)</f>
        <v>42299</v>
      </c>
      <c r="BD121" s="41">
        <f>_xll.qlDayCounterYearFraction(DayCounter,SettlementDate,BC121,,,Trigger)</f>
        <v>0.44722222222222224</v>
      </c>
      <c r="BE121" s="47">
        <f>_xll.qlPolynomialFunctionValue(BE$1,$BD121,AllTriggers)</f>
        <v>2.9220896980464732E-3</v>
      </c>
      <c r="BF121" s="47">
        <f>_xll.qlPolynomialFunctionValue(BF$1,$BD121,AllTriggers)</f>
        <v>2.965539467889502E-3</v>
      </c>
      <c r="BG121" s="47">
        <f>_xll.qlPolynomialFunctionValue(BG$1,$BD121,AllTriggers)</f>
        <v>2.9440306682809018E-3</v>
      </c>
      <c r="BH121" s="47">
        <f>_xll.qlPolynomialFunctionValue(BH$1,$BD121,AllTriggers)</f>
        <v>2.9396777618145402E-3</v>
      </c>
      <c r="BI121" s="47">
        <f>_xll.qlPolynomialFunctionValue(BI$1,$BD121,AllTriggers)</f>
        <v>2.9207298086118055E-3</v>
      </c>
      <c r="BJ121" s="47">
        <f>_xll.qlPolynomialFunctionValue(BJ$1,$BD121,AllTriggers)</f>
        <v>2.9661993240695699E-3</v>
      </c>
      <c r="BK121" s="47">
        <f>_xll.qlPolynomialFunctionValue(BK$1,$BD121,AllTriggers)</f>
        <v>2.9440997562516754E-3</v>
      </c>
      <c r="BL121" s="47">
        <f>_xll.qlPolynomialFunctionValue(BL$1,$BD121,AllTriggers)</f>
        <v>2.9395378805693248E-3</v>
      </c>
      <c r="BM121" s="47">
        <f>_xll.qlPolynomialFunctionValue(BM$1,$BD121,AllTriggers)</f>
        <v>2.9371953457929499E-3</v>
      </c>
      <c r="BN121" s="47">
        <f>_xll.qlPolynomialFunctionValue(BN$1,$BD121,AllTriggers)</f>
        <v>2.9358427271844196E-3</v>
      </c>
      <c r="BO121" s="47">
        <f>_xll.qlPolynomialFunctionValue(BO$1,$BD121,AllTriggers)</f>
        <v>2.9446519247766124E-3</v>
      </c>
      <c r="BP121" s="47">
        <f>_xll.qlPolynomialFunctionValue(BP$1,$BD121,AllTriggers)</f>
        <v>2.941507946832218E-3</v>
      </c>
      <c r="BQ121" s="47">
        <f>_xll.qlPolynomialFunctionValue('12MSynthDepo_used'!$P$18,BD121,AllTriggers)</f>
        <v>2.9463201413709849E-3</v>
      </c>
    </row>
    <row r="122" spans="18:69" x14ac:dyDescent="0.2">
      <c r="R122" s="34"/>
      <c r="S122" s="34"/>
      <c r="BC122" s="178">
        <f>_xll.qlCalendarAdvance(Calendar,BC121,"1d","mf",,Trigger)</f>
        <v>42300</v>
      </c>
      <c r="BD122" s="41">
        <f>_xll.qlDayCounterYearFraction(DayCounter,SettlementDate,BC122,,,Trigger)</f>
        <v>0.45</v>
      </c>
      <c r="BE122" s="47">
        <f>_xll.qlPolynomialFunctionValue(BE$1,$BD122,AllTriggers)</f>
        <v>2.9229506774214754E-3</v>
      </c>
      <c r="BF122" s="47">
        <f>_xll.qlPolynomialFunctionValue(BF$1,$BD122,AllTriggers)</f>
        <v>2.9667343315941588E-3</v>
      </c>
      <c r="BG122" s="47">
        <f>_xll.qlPolynomialFunctionValue(BG$1,$BD122,AllTriggers)</f>
        <v>2.9444927209243692E-3</v>
      </c>
      <c r="BH122" s="47">
        <f>_xll.qlPolynomialFunctionValue(BH$1,$BD122,AllTriggers)</f>
        <v>2.9399915096681114E-3</v>
      </c>
      <c r="BI122" s="47">
        <f>_xll.qlPolynomialFunctionValue(BI$1,$BD122,AllTriggers)</f>
        <v>2.9216193653597636E-3</v>
      </c>
      <c r="BJ122" s="47">
        <f>_xll.qlPolynomialFunctionValue(BJ$1,$BD122,AllTriggers)</f>
        <v>2.9674121705771939E-3</v>
      </c>
      <c r="BK122" s="47">
        <f>_xll.qlPolynomialFunctionValue(BK$1,$BD122,AllTriggers)</f>
        <v>2.9445565361914876E-3</v>
      </c>
      <c r="BL122" s="47">
        <f>_xll.qlPolynomialFunctionValue(BL$1,$BD122,AllTriggers)</f>
        <v>2.9398385904122752E-3</v>
      </c>
      <c r="BM122" s="47">
        <f>_xll.qlPolynomialFunctionValue(BM$1,$BD122,AllTriggers)</f>
        <v>2.9377303284836838E-3</v>
      </c>
      <c r="BN122" s="47">
        <f>_xll.qlPolynomialFunctionValue(BN$1,$BD122,AllTriggers)</f>
        <v>2.9365937494064552E-3</v>
      </c>
      <c r="BO122" s="47">
        <f>_xll.qlPolynomialFunctionValue(BO$1,$BD122,AllTriggers)</f>
        <v>2.9451438316129615E-3</v>
      </c>
      <c r="BP122" s="47">
        <f>_xll.qlPolynomialFunctionValue(BP$1,$BD122,AllTriggers)</f>
        <v>2.9421200572054759E-3</v>
      </c>
      <c r="BQ122" s="47">
        <f>_xll.qlPolynomialFunctionValue('12MSynthDepo_used'!$P$18,BD122,AllTriggers)</f>
        <v>2.9472095728263555E-3</v>
      </c>
    </row>
    <row r="123" spans="18:69" x14ac:dyDescent="0.2">
      <c r="R123" s="34"/>
      <c r="S123" s="34"/>
      <c r="BC123" s="178">
        <f>_xll.qlCalendarAdvance(Calendar,BC122,"1d","mf",,Trigger)</f>
        <v>42303</v>
      </c>
      <c r="BD123" s="41">
        <f>_xll.qlDayCounterYearFraction(DayCounter,SettlementDate,BC123,,,Trigger)</f>
        <v>0.45833333333333331</v>
      </c>
      <c r="BE123" s="47">
        <f>_xll.qlPolynomialFunctionValue(BE$1,$BD123,AllTriggers)</f>
        <v>2.925533615546482E-3</v>
      </c>
      <c r="BF123" s="47">
        <f>_xll.qlPolynomialFunctionValue(BF$1,$BD123,AllTriggers)</f>
        <v>2.9702668887866242E-3</v>
      </c>
      <c r="BG123" s="47">
        <f>_xll.qlPolynomialFunctionValue(BG$1,$BD123,AllTriggers)</f>
        <v>2.9458788788547705E-3</v>
      </c>
      <c r="BH123" s="47">
        <f>_xll.qlPolynomialFunctionValue(BH$1,$BD123,AllTriggers)</f>
        <v>2.9409432837464505E-3</v>
      </c>
      <c r="BI123" s="47">
        <f>_xll.qlPolynomialFunctionValue(BI$1,$BD123,AllTriggers)</f>
        <v>2.9242880356036374E-3</v>
      </c>
      <c r="BJ123" s="47">
        <f>_xll.qlPolynomialFunctionValue(BJ$1,$BD123,AllTriggers)</f>
        <v>2.9709968686776242E-3</v>
      </c>
      <c r="BK123" s="47">
        <f>_xll.qlPolynomialFunctionValue(BK$1,$BD123,AllTriggers)</f>
        <v>2.9459268760109246E-3</v>
      </c>
      <c r="BL123" s="47">
        <f>_xll.qlPolynomialFunctionValue(BL$1,$BD123,AllTriggers)</f>
        <v>2.940751834089502E-3</v>
      </c>
      <c r="BM123" s="47">
        <f>_xll.qlPolynomialFunctionValue(BM$1,$BD123,AllTriggers)</f>
        <v>2.9393352765558853E-3</v>
      </c>
      <c r="BN123" s="47">
        <f>_xll.qlPolynomialFunctionValue(BN$1,$BD123,AllTriggers)</f>
        <v>2.9388378787464707E-3</v>
      </c>
      <c r="BO123" s="47">
        <f>_xll.qlPolynomialFunctionValue(BO$1,$BD123,AllTriggers)</f>
        <v>2.9466195521220097E-3</v>
      </c>
      <c r="BP123" s="47">
        <f>_xll.qlPolynomialFunctionValue(BP$1,$BD123,AllTriggers)</f>
        <v>2.9439520085817392E-3</v>
      </c>
      <c r="BQ123" s="47">
        <f>_xll.qlPolynomialFunctionValue('12MSynthDepo_used'!$P$18,BD123,AllTriggers)</f>
        <v>2.9498507152743397E-3</v>
      </c>
    </row>
    <row r="124" spans="18:69" x14ac:dyDescent="0.2">
      <c r="R124" s="34"/>
      <c r="S124" s="34"/>
      <c r="BC124" s="178">
        <f>_xll.qlCalendarAdvance(Calendar,BC123,"1d","mf",,Trigger)</f>
        <v>42304</v>
      </c>
      <c r="BD124" s="41">
        <f>_xll.qlDayCounterYearFraction(DayCounter,SettlementDate,BC124,,,Trigger)</f>
        <v>0.46111111111111114</v>
      </c>
      <c r="BE124" s="47">
        <f>_xll.qlPolynomialFunctionValue(BE$1,$BD124,AllTriggers)</f>
        <v>2.9263945949214842E-3</v>
      </c>
      <c r="BF124" s="47">
        <f>_xll.qlPolynomialFunctionValue(BF$1,$BD124,AllTriggers)</f>
        <v>2.9714270632102782E-3</v>
      </c>
      <c r="BG124" s="47">
        <f>_xll.qlPolynomialFunctionValue(BG$1,$BD124,AllTriggers)</f>
        <v>2.9463409314982379E-3</v>
      </c>
      <c r="BH124" s="47">
        <f>_xll.qlPolynomialFunctionValue(BH$1,$BD124,AllTriggers)</f>
        <v>2.9412640519451056E-3</v>
      </c>
      <c r="BI124" s="47">
        <f>_xll.qlPolynomialFunctionValue(BI$1,$BD124,AllTriggers)</f>
        <v>2.9251775923515955E-3</v>
      </c>
      <c r="BJ124" s="47">
        <f>_xll.qlPolynomialFunctionValue(BJ$1,$BD124,AllTriggers)</f>
        <v>2.9721738209036201E-3</v>
      </c>
      <c r="BK124" s="47">
        <f>_xll.qlPolynomialFunctionValue(BK$1,$BD124,AllTriggers)</f>
        <v>2.9463836559507368E-3</v>
      </c>
      <c r="BL124" s="47">
        <f>_xll.qlPolynomialFunctionValue(BL$1,$BD124,AllTriggers)</f>
        <v>2.9410599533647025E-3</v>
      </c>
      <c r="BM124" s="47">
        <f>_xll.qlPolynomialFunctionValue(BM$1,$BD124,AllTriggers)</f>
        <v>2.9398702592466192E-3</v>
      </c>
      <c r="BN124" s="47">
        <f>_xll.qlPolynomialFunctionValue(BN$1,$BD124,AllTriggers)</f>
        <v>2.939582942751112E-3</v>
      </c>
      <c r="BO124" s="47">
        <f>_xll.qlPolynomialFunctionValue(BO$1,$BD124,AllTriggers)</f>
        <v>2.9471114589583593E-3</v>
      </c>
      <c r="BP124" s="47">
        <f>_xll.qlPolynomialFunctionValue(BP$1,$BD124,AllTriggers)</f>
        <v>2.9445611991259909E-3</v>
      </c>
      <c r="BQ124" s="47">
        <f>_xll.qlPolynomialFunctionValue('12MSynthDepo_used'!$P$18,BD124,AllTriggers)</f>
        <v>2.9507220945012595E-3</v>
      </c>
    </row>
    <row r="125" spans="18:69" x14ac:dyDescent="0.2">
      <c r="R125" s="34"/>
      <c r="S125" s="34"/>
      <c r="BC125" s="178">
        <f>_xll.qlCalendarAdvance(Calendar,BC124,"1d","mf",,Trigger)</f>
        <v>42305</v>
      </c>
      <c r="BD125" s="41">
        <f>_xll.qlDayCounterYearFraction(DayCounter,SettlementDate,BC125,,,Trigger)</f>
        <v>0.46388888888888891</v>
      </c>
      <c r="BE125" s="47">
        <f>_xll.qlPolynomialFunctionValue(BE$1,$BD125,AllTriggers)</f>
        <v>2.9272555742964864E-3</v>
      </c>
      <c r="BF125" s="47">
        <f>_xll.qlPolynomialFunctionValue(BF$1,$BD125,AllTriggers)</f>
        <v>2.9725785653136804E-3</v>
      </c>
      <c r="BG125" s="47">
        <f>_xll.qlPolynomialFunctionValue(BG$1,$BD125,AllTriggers)</f>
        <v>2.9468029841417049E-3</v>
      </c>
      <c r="BH125" s="47">
        <f>_xll.qlPolynomialFunctionValue(BH$1,$BD125,AllTriggers)</f>
        <v>2.9415865752300311E-3</v>
      </c>
      <c r="BI125" s="47">
        <f>_xll.qlPolynomialFunctionValue(BI$1,$BD125,AllTriggers)</f>
        <v>2.9260671490995535E-3</v>
      </c>
      <c r="BJ125" s="47">
        <f>_xll.qlPolynomialFunctionValue(BJ$1,$BD125,AllTriggers)</f>
        <v>2.9733417995592092E-3</v>
      </c>
      <c r="BK125" s="47">
        <f>_xll.qlPolynomialFunctionValue(BK$1,$BD125,AllTriggers)</f>
        <v>2.946840435890549E-3</v>
      </c>
      <c r="BL125" s="47">
        <f>_xll.qlPolynomialFunctionValue(BL$1,$BD125,AllTriggers)</f>
        <v>2.941369924997965E-3</v>
      </c>
      <c r="BM125" s="47">
        <f>_xll.qlPolynomialFunctionValue(BM$1,$BD125,AllTriggers)</f>
        <v>2.9404052419373526E-3</v>
      </c>
      <c r="BN125" s="47">
        <f>_xll.qlPolynomialFunctionValue(BN$1,$BD125,AllTriggers)</f>
        <v>2.9403265172014055E-3</v>
      </c>
      <c r="BO125" s="47">
        <f>_xll.qlPolynomialFunctionValue(BO$1,$BD125,AllTriggers)</f>
        <v>2.9476033657947088E-3</v>
      </c>
      <c r="BP125" s="47">
        <f>_xll.qlPolynomialFunctionValue(BP$1,$BD125,AllTriggers)</f>
        <v>2.9451696597129914E-3</v>
      </c>
      <c r="BQ125" s="47">
        <f>_xll.qlPolynomialFunctionValue('12MSynthDepo_used'!$P$18,BD125,AllTriggers)</f>
        <v>2.9515889974587929E-3</v>
      </c>
    </row>
    <row r="126" spans="18:69" x14ac:dyDescent="0.2">
      <c r="R126" s="34"/>
      <c r="S126" s="34"/>
      <c r="BC126" s="178">
        <f>_xll.qlCalendarAdvance(Calendar,BC125,"1d","mf",,Trigger)</f>
        <v>42306</v>
      </c>
      <c r="BD126" s="41">
        <f>_xll.qlDayCounterYearFraction(DayCounter,SettlementDate,BC126,,,Trigger)</f>
        <v>0.46666666666666667</v>
      </c>
      <c r="BE126" s="47">
        <f>_xll.qlPolynomialFunctionValue(BE$1,$BD126,AllTriggers)</f>
        <v>2.9281165536714886E-3</v>
      </c>
      <c r="BF126" s="47">
        <f>_xll.qlPolynomialFunctionValue(BF$1,$BD126,AllTriggers)</f>
        <v>2.9737213950968328E-3</v>
      </c>
      <c r="BG126" s="47">
        <f>_xll.qlPolynomialFunctionValue(BG$1,$BD126,AllTriggers)</f>
        <v>2.9472650367851723E-3</v>
      </c>
      <c r="BH126" s="47">
        <f>_xll.qlPolynomialFunctionValue(BH$1,$BD126,AllTriggers)</f>
        <v>2.9419108536012282E-3</v>
      </c>
      <c r="BI126" s="47">
        <f>_xll.qlPolynomialFunctionValue(BI$1,$BD126,AllTriggers)</f>
        <v>2.9269567058475116E-3</v>
      </c>
      <c r="BJ126" s="47">
        <f>_xll.qlPolynomialFunctionValue(BJ$1,$BD126,AllTriggers)</f>
        <v>2.9745008046443908E-3</v>
      </c>
      <c r="BK126" s="47">
        <f>_xll.qlPolynomialFunctionValue(BK$1,$BD126,AllTriggers)</f>
        <v>2.9472972158303612E-3</v>
      </c>
      <c r="BL126" s="47">
        <f>_xll.qlPolynomialFunctionValue(BL$1,$BD126,AllTriggers)</f>
        <v>2.9416817489892905E-3</v>
      </c>
      <c r="BM126" s="47">
        <f>_xll.qlPolynomialFunctionValue(BM$1,$BD126,AllTriggers)</f>
        <v>2.9409402246280865E-3</v>
      </c>
      <c r="BN126" s="47">
        <f>_xll.qlPolynomialFunctionValue(BN$1,$BD126,AllTriggers)</f>
        <v>2.9410686020973496E-3</v>
      </c>
      <c r="BO126" s="47">
        <f>_xll.qlPolynomialFunctionValue(BO$1,$BD126,AllTriggers)</f>
        <v>2.9480952726310583E-3</v>
      </c>
      <c r="BP126" s="47">
        <f>_xll.qlPolynomialFunctionValue(BP$1,$BD126,AllTriggers)</f>
        <v>2.9457773903427396E-3</v>
      </c>
      <c r="BQ126" s="47">
        <f>_xll.qlPolynomialFunctionValue('12MSynthDepo_used'!$P$18,BD126,AllTriggers)</f>
        <v>2.9524514388620288E-3</v>
      </c>
    </row>
    <row r="127" spans="18:69" x14ac:dyDescent="0.2">
      <c r="R127" s="34"/>
      <c r="S127" s="34"/>
      <c r="BC127" s="178">
        <f>_xll.qlCalendarAdvance(Calendar,BC126,"1d","mf",,Trigger)</f>
        <v>42307</v>
      </c>
      <c r="BD127" s="41">
        <f>_xll.qlDayCounterYearFraction(DayCounter,SettlementDate,BC127,,,Trigger)</f>
        <v>0.46944444444444444</v>
      </c>
      <c r="BE127" s="47">
        <f>_xll.qlPolynomialFunctionValue(BE$1,$BD127,AllTriggers)</f>
        <v>2.9289775330464912E-3</v>
      </c>
      <c r="BF127" s="47">
        <f>_xll.qlPolynomialFunctionValue(BF$1,$BD127,AllTriggers)</f>
        <v>2.9748555525597339E-3</v>
      </c>
      <c r="BG127" s="47">
        <f>_xll.qlPolynomialFunctionValue(BG$1,$BD127,AllTriggers)</f>
        <v>2.9477270894286392E-3</v>
      </c>
      <c r="BH127" s="47">
        <f>_xll.qlPolynomialFunctionValue(BH$1,$BD127,AllTriggers)</f>
        <v>2.9422368870586956E-3</v>
      </c>
      <c r="BI127" s="47">
        <f>_xll.qlPolynomialFunctionValue(BI$1,$BD127,AllTriggers)</f>
        <v>2.9278462625954692E-3</v>
      </c>
      <c r="BJ127" s="47">
        <f>_xll.qlPolynomialFunctionValue(BJ$1,$BD127,AllTriggers)</f>
        <v>2.9756508361591656E-3</v>
      </c>
      <c r="BK127" s="47">
        <f>_xll.qlPolynomialFunctionValue(BK$1,$BD127,AllTriggers)</f>
        <v>2.9477539957701734E-3</v>
      </c>
      <c r="BL127" s="47">
        <f>_xll.qlPolynomialFunctionValue(BL$1,$BD127,AllTriggers)</f>
        <v>2.9419954253386781E-3</v>
      </c>
      <c r="BM127" s="47">
        <f>_xll.qlPolynomialFunctionValue(BM$1,$BD127,AllTriggers)</f>
        <v>2.9414752073188204E-3</v>
      </c>
      <c r="BN127" s="47">
        <f>_xll.qlPolynomialFunctionValue(BN$1,$BD127,AllTriggers)</f>
        <v>2.9418091974389455E-3</v>
      </c>
      <c r="BO127" s="47">
        <f>_xll.qlPolynomialFunctionValue(BO$1,$BD127,AllTriggers)</f>
        <v>2.9485871794674074E-3</v>
      </c>
      <c r="BP127" s="47">
        <f>_xll.qlPolynomialFunctionValue(BP$1,$BD127,AllTriggers)</f>
        <v>2.9463843910152369E-3</v>
      </c>
      <c r="BQ127" s="47">
        <f>_xll.qlPolynomialFunctionValue('12MSynthDepo_used'!$P$18,BD127,AllTriggers)</f>
        <v>2.9533094334260584E-3</v>
      </c>
    </row>
    <row r="128" spans="18:69" x14ac:dyDescent="0.2">
      <c r="R128" s="34"/>
      <c r="S128" s="34"/>
      <c r="BC128" s="178">
        <f>_xll.qlCalendarAdvance(Calendar,BC127,"1d","mf",,Trigger)</f>
        <v>42310</v>
      </c>
      <c r="BD128" s="41">
        <f>_xll.qlDayCounterYearFraction(DayCounter,SettlementDate,BC128,,,Trigger)</f>
        <v>0.4777777777777778</v>
      </c>
      <c r="BE128" s="47">
        <f>_xll.qlPolynomialFunctionValue(BE$1,$BD128,AllTriggers)</f>
        <v>2.9315604711714978E-3</v>
      </c>
      <c r="BF128" s="47">
        <f>_xll.qlPolynomialFunctionValue(BF$1,$BD128,AllTriggers)</f>
        <v>2.9782059910269335E-3</v>
      </c>
      <c r="BG128" s="47">
        <f>_xll.qlPolynomialFunctionValue(BG$1,$BD128,AllTriggers)</f>
        <v>2.949113247359041E-3</v>
      </c>
      <c r="BH128" s="47">
        <f>_xll.qlPolynomialFunctionValue(BH$1,$BD128,AllTriggers)</f>
        <v>2.9432255179487245E-3</v>
      </c>
      <c r="BI128" s="47">
        <f>_xll.qlPolynomialFunctionValue(BI$1,$BD128,AllTriggers)</f>
        <v>2.9305149328393435E-3</v>
      </c>
      <c r="BJ128" s="47">
        <f>_xll.qlPolynomialFunctionValue(BJ$1,$BD128,AllTriggers)</f>
        <v>2.9790470892810468E-3</v>
      </c>
      <c r="BK128" s="47">
        <f>_xll.qlPolynomialFunctionValue(BK$1,$BD128,AllTriggers)</f>
        <v>2.9491243355896104E-3</v>
      </c>
      <c r="BL128" s="47">
        <f>_xll.qlPolynomialFunctionValue(BL$1,$BD128,AllTriggers)</f>
        <v>2.9429475685352163E-3</v>
      </c>
      <c r="BM128" s="47">
        <f>_xll.qlPolynomialFunctionValue(BM$1,$BD128,AllTriggers)</f>
        <v>2.9430801553910219E-3</v>
      </c>
      <c r="BN128" s="47">
        <f>_xll.qlPolynomialFunctionValue(BN$1,$BD128,AllTriggers)</f>
        <v>2.9440220461376416E-3</v>
      </c>
      <c r="BO128" s="47">
        <f>_xll.qlPolynomialFunctionValue(BO$1,$BD128,AllTriggers)</f>
        <v>2.9500628999764556E-3</v>
      </c>
      <c r="BP128" s="47">
        <f>_xll.qlPolynomialFunctionValue(BP$1,$BD128,AllTriggers)</f>
        <v>2.9482010132892197E-3</v>
      </c>
      <c r="BQ128" s="47">
        <f>_xll.qlPolynomialFunctionValue('12MSynthDepo_used'!$P$18,BD128,AllTriggers)</f>
        <v>2.9558568832338118E-3</v>
      </c>
    </row>
    <row r="129" spans="18:69" x14ac:dyDescent="0.2">
      <c r="R129" s="34"/>
      <c r="S129" s="34"/>
      <c r="BC129" s="178">
        <f>_xll.qlCalendarAdvance(Calendar,BC128,"1d","mf",,Trigger)</f>
        <v>42311</v>
      </c>
      <c r="BD129" s="41">
        <f>_xll.qlDayCounterYearFraction(DayCounter,SettlementDate,BC129,,,Trigger)</f>
        <v>0.48055555555555557</v>
      </c>
      <c r="BE129" s="47">
        <f>_xll.qlPolynomialFunctionValue(BE$1,$BD129,AllTriggers)</f>
        <v>2.9324214505465E-3</v>
      </c>
      <c r="BF129" s="47">
        <f>_xll.qlPolynomialFunctionValue(BF$1,$BD129,AllTriggers)</f>
        <v>2.9793054592088314E-3</v>
      </c>
      <c r="BG129" s="47">
        <f>_xll.qlPolynomialFunctionValue(BG$1,$BD129,AllTriggers)</f>
        <v>2.9495753000025079E-3</v>
      </c>
      <c r="BH129" s="47">
        <f>_xll.qlPolynomialFunctionValue(BH$1,$BD129,AllTriggers)</f>
        <v>2.9435585717512763E-3</v>
      </c>
      <c r="BI129" s="47">
        <f>_xll.qlPolynomialFunctionValue(BI$1,$BD129,AllTriggers)</f>
        <v>2.9314044895873016E-3</v>
      </c>
      <c r="BJ129" s="47">
        <f>_xll.qlPolynomialFunctionValue(BJ$1,$BD129,AllTriggers)</f>
        <v>2.9801612265141931E-3</v>
      </c>
      <c r="BK129" s="47">
        <f>_xll.qlPolynomialFunctionValue(BK$1,$BD129,AllTriggers)</f>
        <v>2.9495811155294226E-3</v>
      </c>
      <c r="BL129" s="47">
        <f>_xll.qlPolynomialFunctionValue(BL$1,$BD129,AllTriggers)</f>
        <v>2.9432686543168535E-3</v>
      </c>
      <c r="BM129" s="47">
        <f>_xll.qlPolynomialFunctionValue(BM$1,$BD129,AllTriggers)</f>
        <v>2.9436151380817558E-3</v>
      </c>
      <c r="BN129" s="47">
        <f>_xll.qlPolynomialFunctionValue(BN$1,$BD129,AllTriggers)</f>
        <v>2.9447566832618436E-3</v>
      </c>
      <c r="BO129" s="47">
        <f>_xll.qlPolynomialFunctionValue(BO$1,$BD129,AllTriggers)</f>
        <v>2.9505548068128051E-3</v>
      </c>
      <c r="BP129" s="47">
        <f>_xll.qlPolynomialFunctionValue(BP$1,$BD129,AllTriggers)</f>
        <v>2.9488050941327113E-3</v>
      </c>
      <c r="BQ129" s="47">
        <f>_xll.qlPolynomialFunctionValue('12MSynthDepo_used'!$P$18,BD129,AllTriggers)</f>
        <v>2.9566972375919182E-3</v>
      </c>
    </row>
    <row r="130" spans="18:69" x14ac:dyDescent="0.2">
      <c r="R130" s="34"/>
      <c r="S130" s="34"/>
      <c r="BC130" s="178">
        <f>_xll.qlCalendarAdvance(Calendar,BC129,"1d","mf",,Trigger)</f>
        <v>42312</v>
      </c>
      <c r="BD130" s="41">
        <f>_xll.qlDayCounterYearFraction(DayCounter,SettlementDate,BC130,,,Trigger)</f>
        <v>0.48333333333333334</v>
      </c>
      <c r="BE130" s="47">
        <f>_xll.qlPolynomialFunctionValue(BE$1,$BD130,AllTriggers)</f>
        <v>2.9332824299215022E-3</v>
      </c>
      <c r="BF130" s="47">
        <f>_xll.qlPolynomialFunctionValue(BF$1,$BD130,AllTriggers)</f>
        <v>2.9803962550704788E-3</v>
      </c>
      <c r="BG130" s="47">
        <f>_xll.qlPolynomialFunctionValue(BG$1,$BD130,AllTriggers)</f>
        <v>2.9500373526459753E-3</v>
      </c>
      <c r="BH130" s="47">
        <f>_xll.qlPolynomialFunctionValue(BH$1,$BD130,AllTriggers)</f>
        <v>2.9438933806400988E-3</v>
      </c>
      <c r="BI130" s="47">
        <f>_xll.qlPolynomialFunctionValue(BI$1,$BD130,AllTriggers)</f>
        <v>2.9322940463352592E-3</v>
      </c>
      <c r="BJ130" s="47">
        <f>_xll.qlPolynomialFunctionValue(BJ$1,$BD130,AllTriggers)</f>
        <v>2.9812663901769322E-3</v>
      </c>
      <c r="BK130" s="47">
        <f>_xll.qlPolynomialFunctionValue(BK$1,$BD130,AllTriggers)</f>
        <v>2.9500378954692348E-3</v>
      </c>
      <c r="BL130" s="47">
        <f>_xll.qlPolynomialFunctionValue(BL$1,$BD130,AllTriggers)</f>
        <v>2.9435915924565536E-3</v>
      </c>
      <c r="BM130" s="47">
        <f>_xll.qlPolynomialFunctionValue(BM$1,$BD130,AllTriggers)</f>
        <v>2.9441501207724892E-3</v>
      </c>
      <c r="BN130" s="47">
        <f>_xll.qlPolynomialFunctionValue(BN$1,$BD130,AllTriggers)</f>
        <v>2.9454898308316968E-3</v>
      </c>
      <c r="BO130" s="47">
        <f>_xll.qlPolynomialFunctionValue(BO$1,$BD130,AllTriggers)</f>
        <v>2.9510467136491547E-3</v>
      </c>
      <c r="BP130" s="47">
        <f>_xll.qlPolynomialFunctionValue(BP$1,$BD130,AllTriggers)</f>
        <v>2.9494084450189511E-3</v>
      </c>
      <c r="BQ130" s="47">
        <f>_xll.qlPolynomialFunctionValue('12MSynthDepo_used'!$P$18,BD130,AllTriggers)</f>
        <v>2.9575332186862701E-3</v>
      </c>
    </row>
    <row r="131" spans="18:69" x14ac:dyDescent="0.2">
      <c r="R131" s="34"/>
      <c r="S131" s="34"/>
      <c r="BC131" s="178">
        <f>_xll.qlCalendarAdvance(Calendar,BC130,"1d","mf",,Trigger)</f>
        <v>42313</v>
      </c>
      <c r="BD131" s="41">
        <f>_xll.qlDayCounterYearFraction(DayCounter,SettlementDate,BC131,,,Trigger)</f>
        <v>0.4861111111111111</v>
      </c>
      <c r="BE131" s="47">
        <f>_xll.qlPolynomialFunctionValue(BE$1,$BD131,AllTriggers)</f>
        <v>2.9341434092965044E-3</v>
      </c>
      <c r="BF131" s="47">
        <f>_xll.qlPolynomialFunctionValue(BF$1,$BD131,AllTriggers)</f>
        <v>2.9814783786118759E-3</v>
      </c>
      <c r="BG131" s="47">
        <f>_xll.qlPolynomialFunctionValue(BG$1,$BD131,AllTriggers)</f>
        <v>2.9504994052894423E-3</v>
      </c>
      <c r="BH131" s="47">
        <f>_xll.qlPolynomialFunctionValue(BH$1,$BD131,AllTriggers)</f>
        <v>2.9442299446151925E-3</v>
      </c>
      <c r="BI131" s="47">
        <f>_xll.qlPolynomialFunctionValue(BI$1,$BD131,AllTriggers)</f>
        <v>2.9331836030832173E-3</v>
      </c>
      <c r="BJ131" s="47">
        <f>_xll.qlPolynomialFunctionValue(BJ$1,$BD131,AllTriggers)</f>
        <v>2.9823625802692646E-3</v>
      </c>
      <c r="BK131" s="47">
        <f>_xll.qlPolynomialFunctionValue(BK$1,$BD131,AllTriggers)</f>
        <v>2.950494675409047E-3</v>
      </c>
      <c r="BL131" s="47">
        <f>_xll.qlPolynomialFunctionValue(BL$1,$BD131,AllTriggers)</f>
        <v>2.9439163829543158E-3</v>
      </c>
      <c r="BM131" s="47">
        <f>_xll.qlPolynomialFunctionValue(BM$1,$BD131,AllTriggers)</f>
        <v>2.9446851034632231E-3</v>
      </c>
      <c r="BN131" s="47">
        <f>_xll.qlPolynomialFunctionValue(BN$1,$BD131,AllTriggers)</f>
        <v>2.9462214888472016E-3</v>
      </c>
      <c r="BO131" s="47">
        <f>_xll.qlPolynomialFunctionValue(BO$1,$BD131,AllTriggers)</f>
        <v>2.9515386204855042E-3</v>
      </c>
      <c r="BP131" s="47">
        <f>_xll.qlPolynomialFunctionValue(BP$1,$BD131,AllTriggers)</f>
        <v>2.95001106594794E-3</v>
      </c>
      <c r="BQ131" s="47">
        <f>_xll.qlPolynomialFunctionValue('12MSynthDepo_used'!$P$18,BD131,AllTriggers)</f>
        <v>2.9583648412319571E-3</v>
      </c>
    </row>
    <row r="132" spans="18:69" x14ac:dyDescent="0.2">
      <c r="R132" s="34"/>
      <c r="S132" s="34"/>
      <c r="BC132" s="178">
        <f>_xll.qlCalendarAdvance(Calendar,BC131,"1d","mf",,Trigger)</f>
        <v>42314</v>
      </c>
      <c r="BD132" s="41">
        <f>_xll.qlDayCounterYearFraction(DayCounter,SettlementDate,BC132,,,Trigger)</f>
        <v>0.48888888888888887</v>
      </c>
      <c r="BE132" s="47">
        <f>_xll.qlPolynomialFunctionValue(BE$1,$BD132,AllTriggers)</f>
        <v>2.935004388671507E-3</v>
      </c>
      <c r="BF132" s="47">
        <f>_xll.qlPolynomialFunctionValue(BF$1,$BD132,AllTriggers)</f>
        <v>2.9825518298330217E-3</v>
      </c>
      <c r="BG132" s="47">
        <f>_xll.qlPolynomialFunctionValue(BG$1,$BD132,AllTriggers)</f>
        <v>2.9509614579329097E-3</v>
      </c>
      <c r="BH132" s="47">
        <f>_xll.qlPolynomialFunctionValue(BH$1,$BD132,AllTriggers)</f>
        <v>2.944568263676557E-3</v>
      </c>
      <c r="BI132" s="47">
        <f>_xll.qlPolynomialFunctionValue(BI$1,$BD132,AllTriggers)</f>
        <v>2.9340731598311754E-3</v>
      </c>
      <c r="BJ132" s="47">
        <f>_xll.qlPolynomialFunctionValue(BJ$1,$BD132,AllTriggers)</f>
        <v>2.983449796791189E-3</v>
      </c>
      <c r="BK132" s="47">
        <f>_xll.qlPolynomialFunctionValue(BK$1,$BD132,AllTriggers)</f>
        <v>2.9509514553488591E-3</v>
      </c>
      <c r="BL132" s="47">
        <f>_xll.qlPolynomialFunctionValue(BL$1,$BD132,AllTriggers)</f>
        <v>2.9442430258101405E-3</v>
      </c>
      <c r="BM132" s="47">
        <f>_xll.qlPolynomialFunctionValue(BM$1,$BD132,AllTriggers)</f>
        <v>2.9452200861539569E-3</v>
      </c>
      <c r="BN132" s="47">
        <f>_xll.qlPolynomialFunctionValue(BN$1,$BD132,AllTriggers)</f>
        <v>2.9469516573083577E-3</v>
      </c>
      <c r="BO132" s="47">
        <f>_xll.qlPolynomialFunctionValue(BO$1,$BD132,AllTriggers)</f>
        <v>2.9520305273218533E-3</v>
      </c>
      <c r="BP132" s="47">
        <f>_xll.qlPolynomialFunctionValue(BP$1,$BD132,AllTriggers)</f>
        <v>2.9506129569196768E-3</v>
      </c>
      <c r="BQ132" s="47">
        <f>_xll.qlPolynomialFunctionValue('12MSynthDepo_used'!$P$18,BD132,AllTriggers)</f>
        <v>2.9591921199440692E-3</v>
      </c>
    </row>
    <row r="133" spans="18:69" x14ac:dyDescent="0.2">
      <c r="R133" s="35"/>
      <c r="S133" s="34"/>
      <c r="BC133" s="178">
        <f>_xll.qlCalendarAdvance(Calendar,BC132,"1d","mf",,Trigger)</f>
        <v>42317</v>
      </c>
      <c r="BD133" s="41">
        <f>_xll.qlDayCounterYearFraction(DayCounter,SettlementDate,BC133,,,Trigger)</f>
        <v>0.49722222222222223</v>
      </c>
      <c r="BE133" s="47">
        <f>_xll.qlPolynomialFunctionValue(BE$1,$BD133,AllTriggers)</f>
        <v>2.9375873267965136E-3</v>
      </c>
      <c r="BF133" s="47">
        <f>_xll.qlPolynomialFunctionValue(BF$1,$BD133,AllTriggers)</f>
        <v>2.9857201495749547E-3</v>
      </c>
      <c r="BG133" s="47">
        <f>_xll.qlPolynomialFunctionValue(BG$1,$BD133,AllTriggers)</f>
        <v>2.952347615863311E-3</v>
      </c>
      <c r="BH133" s="47">
        <f>_xll.qlPolynomialFunctionValue(BH$1,$BD133,AllTriggers)</f>
        <v>2.9455937513782758E-3</v>
      </c>
      <c r="BI133" s="47">
        <f>_xll.qlPolynomialFunctionValue(BI$1,$BD133,AllTriggers)</f>
        <v>2.9367418300750492E-3</v>
      </c>
      <c r="BJ133" s="47">
        <f>_xll.qlPolynomialFunctionValue(BJ$1,$BD133,AllTriggers)</f>
        <v>2.9866576049345219E-3</v>
      </c>
      <c r="BK133" s="47">
        <f>_xll.qlPolynomialFunctionValue(BK$1,$BD133,AllTriggers)</f>
        <v>2.9523217951682962E-3</v>
      </c>
      <c r="BL133" s="47">
        <f>_xll.qlPolynomialFunctionValue(BL$1,$BD133,AllTriggers)</f>
        <v>2.9452340685259901E-3</v>
      </c>
      <c r="BM133" s="47">
        <f>_xll.qlPolynomialFunctionValue(BM$1,$BD133,AllTriggers)</f>
        <v>2.9468250342261585E-3</v>
      </c>
      <c r="BN133" s="47">
        <f>_xll.qlPolynomialFunctionValue(BN$1,$BD133,AllTriggers)</f>
        <v>2.9491332253657348E-3</v>
      </c>
      <c r="BO133" s="47">
        <f>_xll.qlPolynomialFunctionValue(BO$1,$BD133,AllTriggers)</f>
        <v>2.9535062478309015E-3</v>
      </c>
      <c r="BP133" s="47">
        <f>_xll.qlPolynomialFunctionValue(BP$1,$BD133,AllTriggers)</f>
        <v>2.952414250091379E-3</v>
      </c>
      <c r="BQ133" s="47">
        <f>_xll.qlPolynomialFunctionValue('12MSynthDepo_used'!$P$18,BD133,AllTriggers)</f>
        <v>2.9616480402298627E-3</v>
      </c>
    </row>
    <row r="134" spans="18:69" x14ac:dyDescent="0.2">
      <c r="R134" s="35"/>
      <c r="S134" s="34"/>
      <c r="BC134" s="178">
        <f>_xll.qlCalendarAdvance(Calendar,BC133,"1d","mf",,Trigger)</f>
        <v>42318</v>
      </c>
      <c r="BD134" s="41">
        <f>_xll.qlDayCounterYearFraction(DayCounter,SettlementDate,BC134,,,Trigger)</f>
        <v>0.5</v>
      </c>
      <c r="BE134" s="47">
        <f>_xll.qlPolynomialFunctionValue(BE$1,$BD134,AllTriggers)</f>
        <v>2.9384483061715158E-3</v>
      </c>
      <c r="BF134" s="47">
        <f>_xll.qlPolynomialFunctionValue(BF$1,$BD134,AllTriggers)</f>
        <v>2.9867589115150977E-3</v>
      </c>
      <c r="BG134" s="47">
        <f>_xll.qlPolynomialFunctionValue(BG$1,$BD134,AllTriggers)</f>
        <v>2.9528096685067784E-3</v>
      </c>
      <c r="BH134" s="47">
        <f>_xll.qlPolynomialFunctionValue(BH$1,$BD134,AllTriggers)</f>
        <v>2.9459390907847242E-3</v>
      </c>
      <c r="BI134" s="47">
        <f>_xll.qlPolynomialFunctionValue(BI$1,$BD134,AllTriggers)</f>
        <v>2.9376313868230072E-3</v>
      </c>
      <c r="BJ134" s="47">
        <f>_xll.qlPolynomialFunctionValue(BJ$1,$BD134,AllTriggers)</f>
        <v>2.9877089271748182E-3</v>
      </c>
      <c r="BK134" s="47">
        <f>_xll.qlPolynomialFunctionValue(BK$1,$BD134,AllTriggers)</f>
        <v>2.9527785751081084E-3</v>
      </c>
      <c r="BL134" s="47">
        <f>_xll.qlPolynomialFunctionValue(BL$1,$BD134,AllTriggers)</f>
        <v>2.9455681208140645E-3</v>
      </c>
      <c r="BM134" s="47">
        <f>_xll.qlPolynomialFunctionValue(BM$1,$BD134,AllTriggers)</f>
        <v>2.9473600169168924E-3</v>
      </c>
      <c r="BN134" s="47">
        <f>_xll.qlPolynomialFunctionValue(BN$1,$BD134,AllTriggers)</f>
        <v>2.9498574356094966E-3</v>
      </c>
      <c r="BO134" s="47">
        <f>_xll.qlPolynomialFunctionValue(BO$1,$BD134,AllTriggers)</f>
        <v>2.953998154667251E-3</v>
      </c>
      <c r="BP134" s="47">
        <f>_xll.qlPolynomialFunctionValue(BP$1,$BD134,AllTriggers)</f>
        <v>2.9530132212341105E-3</v>
      </c>
      <c r="BQ134" s="47">
        <f>_xll.qlPolynomialFunctionValue('12MSynthDepo_used'!$P$18,BD134,AllTriggers)</f>
        <v>2.9624580907585802E-3</v>
      </c>
    </row>
    <row r="135" spans="18:69" x14ac:dyDescent="0.2">
      <c r="R135" s="35"/>
      <c r="S135" s="34"/>
      <c r="BC135" s="178">
        <f>_xll.qlCalendarAdvance(Calendar,BC134,"1d","mf",,Trigger)</f>
        <v>42319</v>
      </c>
      <c r="BD135" s="41">
        <f>_xll.qlDayCounterYearFraction(DayCounter,SettlementDate,BC135,,,Trigger)</f>
        <v>0.50277777777777777</v>
      </c>
      <c r="BE135" s="47">
        <f>_xll.qlPolynomialFunctionValue(BE$1,$BD135,AllTriggers)</f>
        <v>2.939309285546518E-3</v>
      </c>
      <c r="BF135" s="47">
        <f>_xll.qlPolynomialFunctionValue(BF$1,$BD135,AllTriggers)</f>
        <v>2.9877890011349899E-3</v>
      </c>
      <c r="BG135" s="47">
        <f>_xll.qlPolynomialFunctionValue(BG$1,$BD135,AllTriggers)</f>
        <v>2.9532717211502458E-3</v>
      </c>
      <c r="BH135" s="47">
        <f>_xll.qlPolynomialFunctionValue(BH$1,$BD135,AllTriggers)</f>
        <v>2.9462861852774433E-3</v>
      </c>
      <c r="BI135" s="47">
        <f>_xll.qlPolynomialFunctionValue(BI$1,$BD135,AllTriggers)</f>
        <v>2.9385209435709653E-3</v>
      </c>
      <c r="BJ135" s="47">
        <f>_xll.qlPolynomialFunctionValue(BJ$1,$BD135,AllTriggers)</f>
        <v>2.9887512758447073E-3</v>
      </c>
      <c r="BK135" s="47">
        <f>_xll.qlPolynomialFunctionValue(BK$1,$BD135,AllTriggers)</f>
        <v>2.9532353550479206E-3</v>
      </c>
      <c r="BL135" s="47">
        <f>_xll.qlPolynomialFunctionValue(BL$1,$BD135,AllTriggers)</f>
        <v>2.9459040254602013E-3</v>
      </c>
      <c r="BM135" s="47">
        <f>_xll.qlPolynomialFunctionValue(BM$1,$BD135,AllTriggers)</f>
        <v>2.9478949996076258E-3</v>
      </c>
      <c r="BN135" s="47">
        <f>_xll.qlPolynomialFunctionValue(BN$1,$BD135,AllTriggers)</f>
        <v>2.9505801562989104E-3</v>
      </c>
      <c r="BO135" s="47">
        <f>_xll.qlPolynomialFunctionValue(BO$1,$BD135,AllTriggers)</f>
        <v>2.9544900615036005E-3</v>
      </c>
      <c r="BP135" s="47">
        <f>_xll.qlPolynomialFunctionValue(BP$1,$BD135,AllTriggers)</f>
        <v>2.9536114624195901E-3</v>
      </c>
      <c r="BQ135" s="47">
        <f>_xll.qlPolynomialFunctionValue('12MSynthDepo_used'!$P$18,BD135,AllTriggers)</f>
        <v>2.9632638710291744E-3</v>
      </c>
    </row>
    <row r="136" spans="18:69" x14ac:dyDescent="0.2">
      <c r="R136" s="35"/>
      <c r="S136" s="34"/>
      <c r="BC136" s="178">
        <f>_xll.qlCalendarAdvance(Calendar,BC135,"1d","mf",,Trigger)</f>
        <v>42320</v>
      </c>
      <c r="BD136" s="41">
        <f>_xll.qlDayCounterYearFraction(DayCounter,SettlementDate,BC136,,,Trigger)</f>
        <v>0.50555555555555554</v>
      </c>
      <c r="BE136" s="47">
        <f>_xll.qlPolynomialFunctionValue(BE$1,$BD136,AllTriggers)</f>
        <v>2.9401702649215202E-3</v>
      </c>
      <c r="BF136" s="47">
        <f>_xll.qlPolynomialFunctionValue(BF$1,$BD136,AllTriggers)</f>
        <v>2.9888104184346313E-3</v>
      </c>
      <c r="BG136" s="47">
        <f>_xll.qlPolynomialFunctionValue(BG$1,$BD136,AllTriggers)</f>
        <v>2.9537337737937128E-3</v>
      </c>
      <c r="BH136" s="47">
        <f>_xll.qlPolynomialFunctionValue(BH$1,$BD136,AllTriggers)</f>
        <v>2.9466350348564337E-3</v>
      </c>
      <c r="BI136" s="47">
        <f>_xll.qlPolynomialFunctionValue(BI$1,$BD136,AllTriggers)</f>
        <v>2.9394105003189234E-3</v>
      </c>
      <c r="BJ136" s="47">
        <f>_xll.qlPolynomialFunctionValue(BJ$1,$BD136,AllTriggers)</f>
        <v>2.9897846509441901E-3</v>
      </c>
      <c r="BK136" s="47">
        <f>_xll.qlPolynomialFunctionValue(BK$1,$BD136,AllTriggers)</f>
        <v>2.9536921349877327E-3</v>
      </c>
      <c r="BL136" s="47">
        <f>_xll.qlPolynomialFunctionValue(BL$1,$BD136,AllTriggers)</f>
        <v>2.946241782464401E-3</v>
      </c>
      <c r="BM136" s="47">
        <f>_xll.qlPolynomialFunctionValue(BM$1,$BD136,AllTriggers)</f>
        <v>2.9484299822983596E-3</v>
      </c>
      <c r="BN136" s="47">
        <f>_xll.qlPolynomialFunctionValue(BN$1,$BD136,AllTriggers)</f>
        <v>2.951301387433975E-3</v>
      </c>
      <c r="BO136" s="47">
        <f>_xll.qlPolynomialFunctionValue(BO$1,$BD136,AllTriggers)</f>
        <v>2.9549819683399496E-3</v>
      </c>
      <c r="BP136" s="47">
        <f>_xll.qlPolynomialFunctionValue(BP$1,$BD136,AllTriggers)</f>
        <v>2.954208973647818E-3</v>
      </c>
      <c r="BQ136" s="47">
        <f>_xll.qlPolynomialFunctionValue('12MSynthDepo_used'!$P$18,BD136,AllTriggers)</f>
        <v>2.9640653957567356E-3</v>
      </c>
    </row>
    <row r="137" spans="18:69" x14ac:dyDescent="0.2">
      <c r="R137" s="35"/>
      <c r="S137" s="34"/>
      <c r="BC137" s="178">
        <f>_xll.qlCalendarAdvance(Calendar,BC136,"1d","mf",,Trigger)</f>
        <v>42321</v>
      </c>
      <c r="BD137" s="41">
        <f>_xll.qlDayCounterYearFraction(DayCounter,SettlementDate,BC137,,,Trigger)</f>
        <v>0.5083333333333333</v>
      </c>
      <c r="BE137" s="47">
        <f>_xll.qlPolynomialFunctionValue(BE$1,$BD137,AllTriggers)</f>
        <v>2.9410312442965224E-3</v>
      </c>
      <c r="BF137" s="47">
        <f>_xll.qlPolynomialFunctionValue(BF$1,$BD137,AllTriggers)</f>
        <v>2.9898231634140219E-3</v>
      </c>
      <c r="BG137" s="47">
        <f>_xll.qlPolynomialFunctionValue(BG$1,$BD137,AllTriggers)</f>
        <v>2.9541958264371801E-3</v>
      </c>
      <c r="BH137" s="47">
        <f>_xll.qlPolynomialFunctionValue(BH$1,$BD137,AllTriggers)</f>
        <v>2.9469856395216948E-3</v>
      </c>
      <c r="BI137" s="47">
        <f>_xll.qlPolynomialFunctionValue(BI$1,$BD137,AllTriggers)</f>
        <v>2.940300057066881E-3</v>
      </c>
      <c r="BJ137" s="47">
        <f>_xll.qlPolynomialFunctionValue(BJ$1,$BD137,AllTriggers)</f>
        <v>2.9908090524732654E-3</v>
      </c>
      <c r="BK137" s="47">
        <f>_xll.qlPolynomialFunctionValue(BK$1,$BD137,AllTriggers)</f>
        <v>2.9541489149275449E-3</v>
      </c>
      <c r="BL137" s="47">
        <f>_xll.qlPolynomialFunctionValue(BL$1,$BD137,AllTriggers)</f>
        <v>2.9465813918266629E-3</v>
      </c>
      <c r="BM137" s="47">
        <f>_xll.qlPolynomialFunctionValue(BM$1,$BD137,AllTriggers)</f>
        <v>2.9489649649890935E-3</v>
      </c>
      <c r="BN137" s="47">
        <f>_xll.qlPolynomialFunctionValue(BN$1,$BD137,AllTriggers)</f>
        <v>2.9520211290146913E-3</v>
      </c>
      <c r="BO137" s="47">
        <f>_xll.qlPolynomialFunctionValue(BO$1,$BD137,AllTriggers)</f>
        <v>2.9554738751762992E-3</v>
      </c>
      <c r="BP137" s="47">
        <f>_xll.qlPolynomialFunctionValue(BP$1,$BD137,AllTriggers)</f>
        <v>2.954805754918795E-3</v>
      </c>
      <c r="BQ137" s="47">
        <f>_xll.qlPolynomialFunctionValue('12MSynthDepo_used'!$P$18,BD137,AllTriggers)</f>
        <v>2.9648626796563546E-3</v>
      </c>
    </row>
    <row r="138" spans="18:69" x14ac:dyDescent="0.2">
      <c r="R138" s="35"/>
      <c r="S138" s="34"/>
      <c r="BC138" s="178">
        <f>_xll.qlCalendarAdvance(Calendar,BC137,"1d","mf",,Trigger)</f>
        <v>42324</v>
      </c>
      <c r="BD138" s="41">
        <f>_xll.qlDayCounterYearFraction(DayCounter,SettlementDate,BC138,,,Trigger)</f>
        <v>0.51666666666666672</v>
      </c>
      <c r="BE138" s="47">
        <f>_xll.qlPolynomialFunctionValue(BE$1,$BD138,AllTriggers)</f>
        <v>2.9436141824215295E-3</v>
      </c>
      <c r="BF138" s="47">
        <f>_xll.qlPolynomialFunctionValue(BF$1,$BD138,AllTriggers)</f>
        <v>2.9928093644306891E-3</v>
      </c>
      <c r="BG138" s="47">
        <f>_xll.qlPolynomialFunctionValue(BG$1,$BD138,AllTriggers)</f>
        <v>2.9555819843675815E-3</v>
      </c>
      <c r="BH138" s="47">
        <f>_xll.qlPolynomialFunctionValue(BH$1,$BD138,AllTriggers)</f>
        <v>2.9480479840351043E-3</v>
      </c>
      <c r="BI138" s="47">
        <f>_xll.qlPolynomialFunctionValue(BI$1,$BD138,AllTriggers)</f>
        <v>2.9429687273107553E-3</v>
      </c>
      <c r="BJ138" s="47">
        <f>_xll.qlPolynomialFunctionValue(BJ$1,$BD138,AllTriggers)</f>
        <v>2.9938284156380487E-3</v>
      </c>
      <c r="BK138" s="47">
        <f>_xll.qlPolynomialFunctionValue(BK$1,$BD138,AllTriggers)</f>
        <v>2.955519254746982E-3</v>
      </c>
      <c r="BL138" s="47">
        <f>_xll.qlPolynomialFunctionValue(BL$1,$BD138,AllTriggers)</f>
        <v>2.9476113340618235E-3</v>
      </c>
      <c r="BM138" s="47">
        <f>_xll.qlPolynomialFunctionValue(BM$1,$BD138,AllTriggers)</f>
        <v>2.9505699130612951E-3</v>
      </c>
      <c r="BN138" s="47">
        <f>_xll.qlPolynomialFunctionValue(BN$1,$BD138,AllTriggers)</f>
        <v>2.9541714164307495E-3</v>
      </c>
      <c r="BO138" s="47">
        <f>_xll.qlPolynomialFunctionValue(BO$1,$BD138,AllTriggers)</f>
        <v>2.9569495956853474E-3</v>
      </c>
      <c r="BP138" s="47">
        <f>_xll.qlPolynomialFunctionValue(BP$1,$BD138,AllTriggers)</f>
        <v>2.9565917189882168E-3</v>
      </c>
      <c r="BQ138" s="47">
        <f>_xll.qlPolynomialFunctionValue('12MSynthDepo_used'!$P$18,BD138,AllTriggers)</f>
        <v>2.9672292335384586E-3</v>
      </c>
    </row>
    <row r="139" spans="18:69" x14ac:dyDescent="0.2">
      <c r="R139" s="35"/>
      <c r="S139" s="35"/>
      <c r="BC139" s="178">
        <f>_xll.qlCalendarAdvance(Calendar,BC138,"1d","mf",,Trigger)</f>
        <v>42325</v>
      </c>
      <c r="BD139" s="41">
        <f>_xll.qlDayCounterYearFraction(DayCounter,SettlementDate,BC139,,,Trigger)</f>
        <v>0.51944444444444449</v>
      </c>
      <c r="BE139" s="47">
        <f>_xll.qlPolynomialFunctionValue(BE$1,$BD139,AllTriggers)</f>
        <v>2.9444751617965317E-3</v>
      </c>
      <c r="BF139" s="47">
        <f>_xll.qlPolynomialFunctionValue(BF$1,$BD139,AllTriggers)</f>
        <v>2.9937874201290769E-3</v>
      </c>
      <c r="BG139" s="47">
        <f>_xll.qlPolynomialFunctionValue(BG$1,$BD139,AllTriggers)</f>
        <v>2.9560440370110489E-3</v>
      </c>
      <c r="BH139" s="47">
        <f>_xll.qlPolynomialFunctionValue(BH$1,$BD139,AllTriggers)</f>
        <v>2.9484056090454494E-3</v>
      </c>
      <c r="BI139" s="47">
        <f>_xll.qlPolynomialFunctionValue(BI$1,$BD139,AllTriggers)</f>
        <v>2.9438582840587129E-3</v>
      </c>
      <c r="BJ139" s="47">
        <f>_xll.qlPolynomialFunctionValue(BJ$1,$BD139,AllTriggers)</f>
        <v>2.9948169228854963E-3</v>
      </c>
      <c r="BK139" s="47">
        <f>_xll.qlPolynomialFunctionValue(BK$1,$BD139,AllTriggers)</f>
        <v>2.9559760346867942E-3</v>
      </c>
      <c r="BL139" s="47">
        <f>_xll.qlPolynomialFunctionValue(BL$1,$BD139,AllTriggers)</f>
        <v>2.947958352856335E-3</v>
      </c>
      <c r="BM139" s="47">
        <f>_xll.qlPolynomialFunctionValue(BM$1,$BD139,AllTriggers)</f>
        <v>2.9511048957520289E-3</v>
      </c>
      <c r="BN139" s="47">
        <f>_xll.qlPolynomialFunctionValue(BN$1,$BD139,AllTriggers)</f>
        <v>2.9548851997940723E-3</v>
      </c>
      <c r="BO139" s="47">
        <f>_xll.qlPolynomialFunctionValue(BO$1,$BD139,AllTriggers)</f>
        <v>2.9574415025216969E-3</v>
      </c>
      <c r="BP139" s="47">
        <f>_xll.qlPolynomialFunctionValue(BP$1,$BD139,AllTriggers)</f>
        <v>2.9571855804301876E-3</v>
      </c>
      <c r="BQ139" s="47">
        <f>_xll.qlPolynomialFunctionValue('12MSynthDepo_used'!$P$18,BD139,AllTriggers)</f>
        <v>2.9680097012772105E-3</v>
      </c>
    </row>
    <row r="140" spans="18:69" x14ac:dyDescent="0.2">
      <c r="R140" s="35"/>
      <c r="S140" s="35"/>
      <c r="BC140" s="178">
        <f>_xll.qlCalendarAdvance(Calendar,BC139,"1d","mf",,Trigger)</f>
        <v>42326</v>
      </c>
      <c r="BD140" s="41">
        <f>_xll.qlDayCounterYearFraction(DayCounter,SettlementDate,BC140,,,Trigger)</f>
        <v>0.52222222222222225</v>
      </c>
      <c r="BE140" s="47">
        <f>_xll.qlPolynomialFunctionValue(BE$1,$BD140,AllTriggers)</f>
        <v>2.9453361411715339E-3</v>
      </c>
      <c r="BF140" s="47">
        <f>_xll.qlPolynomialFunctionValue(BF$1,$BD140,AllTriggers)</f>
        <v>2.9947568035072133E-3</v>
      </c>
      <c r="BG140" s="47">
        <f>_xll.qlPolynomialFunctionValue(BG$1,$BD140,AllTriggers)</f>
        <v>2.9565060896545158E-3</v>
      </c>
      <c r="BH140" s="47">
        <f>_xll.qlPolynomialFunctionValue(BH$1,$BD140,AllTriggers)</f>
        <v>2.9487649891420651E-3</v>
      </c>
      <c r="BI140" s="47">
        <f>_xll.qlPolynomialFunctionValue(BI$1,$BD140,AllTriggers)</f>
        <v>2.944747840806671E-3</v>
      </c>
      <c r="BJ140" s="47">
        <f>_xll.qlPolynomialFunctionValue(BJ$1,$BD140,AllTriggers)</f>
        <v>2.9957964565625358E-3</v>
      </c>
      <c r="BK140" s="47">
        <f>_xll.qlPolynomialFunctionValue(BK$1,$BD140,AllTriggers)</f>
        <v>2.9564328146266063E-3</v>
      </c>
      <c r="BL140" s="47">
        <f>_xll.qlPolynomialFunctionValue(BL$1,$BD140,AllTriggers)</f>
        <v>2.9483072240089089E-3</v>
      </c>
      <c r="BM140" s="47">
        <f>_xll.qlPolynomialFunctionValue(BM$1,$BD140,AllTriggers)</f>
        <v>2.9516398784427624E-3</v>
      </c>
      <c r="BN140" s="47">
        <f>_xll.qlPolynomialFunctionValue(BN$1,$BD140,AllTriggers)</f>
        <v>2.9555974936030459E-3</v>
      </c>
      <c r="BO140" s="47">
        <f>_xll.qlPolynomialFunctionValue(BO$1,$BD140,AllTriggers)</f>
        <v>2.9579334093580464E-3</v>
      </c>
      <c r="BP140" s="47">
        <f>_xll.qlPolynomialFunctionValue(BP$1,$BD140,AllTriggers)</f>
        <v>2.9577787119149076E-3</v>
      </c>
      <c r="BQ140" s="47">
        <f>_xll.qlPolynomialFunctionValue('12MSynthDepo_used'!$P$18,BD140,AllTriggers)</f>
        <v>2.9687860017634706E-3</v>
      </c>
    </row>
    <row r="141" spans="18:69" x14ac:dyDescent="0.2">
      <c r="R141" s="35"/>
      <c r="S141" s="35"/>
      <c r="BC141" s="178">
        <f>_xll.qlCalendarAdvance(Calendar,BC140,"1d","mf",,Trigger)</f>
        <v>42327</v>
      </c>
      <c r="BD141" s="41">
        <f>_xll.qlDayCounterYearFraction(DayCounter,SettlementDate,BC141,,,Trigger)</f>
        <v>0.52500000000000002</v>
      </c>
      <c r="BE141" s="47">
        <f>_xll.qlPolynomialFunctionValue(BE$1,$BD141,AllTriggers)</f>
        <v>2.9461971205465361E-3</v>
      </c>
      <c r="BF141" s="47">
        <f>_xll.qlPolynomialFunctionValue(BF$1,$BD141,AllTriggers)</f>
        <v>2.9957175145650999E-3</v>
      </c>
      <c r="BG141" s="47">
        <f>_xll.qlPolynomialFunctionValue(BG$1,$BD141,AllTriggers)</f>
        <v>2.9569681422979832E-3</v>
      </c>
      <c r="BH141" s="47">
        <f>_xll.qlPolynomialFunctionValue(BH$1,$BD141,AllTriggers)</f>
        <v>2.9491261243249521E-3</v>
      </c>
      <c r="BI141" s="47">
        <f>_xll.qlPolynomialFunctionValue(BI$1,$BD141,AllTriggers)</f>
        <v>2.9456373975546291E-3</v>
      </c>
      <c r="BJ141" s="47">
        <f>_xll.qlPolynomialFunctionValue(BJ$1,$BD141,AllTriggers)</f>
        <v>2.9967670166691682E-3</v>
      </c>
      <c r="BK141" s="47">
        <f>_xll.qlPolynomialFunctionValue(BK$1,$BD141,AllTriggers)</f>
        <v>2.9568895945664185E-3</v>
      </c>
      <c r="BL141" s="47">
        <f>_xll.qlPolynomialFunctionValue(BL$1,$BD141,AllTriggers)</f>
        <v>2.9486579475195454E-3</v>
      </c>
      <c r="BM141" s="47">
        <f>_xll.qlPolynomialFunctionValue(BM$1,$BD141,AllTriggers)</f>
        <v>2.9521748611334962E-3</v>
      </c>
      <c r="BN141" s="47">
        <f>_xll.qlPolynomialFunctionValue(BN$1,$BD141,AllTriggers)</f>
        <v>2.9563082978576708E-3</v>
      </c>
      <c r="BO141" s="47">
        <f>_xll.qlPolynomialFunctionValue(BO$1,$BD141,AllTriggers)</f>
        <v>2.9584253161943955E-3</v>
      </c>
      <c r="BP141" s="47">
        <f>_xll.qlPolynomialFunctionValue(BP$1,$BD141,AllTriggers)</f>
        <v>2.9583711134423753E-3</v>
      </c>
      <c r="BQ141" s="47">
        <f>_xll.qlPolynomialFunctionValue('12MSynthDepo_used'!$P$18,BD141,AllTriggers)</f>
        <v>2.9695581497123304E-3</v>
      </c>
    </row>
    <row r="142" spans="18:69" x14ac:dyDescent="0.2">
      <c r="R142" s="35"/>
      <c r="S142" s="35"/>
      <c r="BC142" s="178">
        <f>_xll.qlCalendarAdvance(Calendar,BC141,"1d","mf",,Trigger)</f>
        <v>42328</v>
      </c>
      <c r="BD142" s="41">
        <f>_xll.qlDayCounterYearFraction(DayCounter,SettlementDate,BC142,,,Trigger)</f>
        <v>0.52777777777777779</v>
      </c>
      <c r="BE142" s="47">
        <f>_xll.qlPolynomialFunctionValue(BE$1,$BD142,AllTriggers)</f>
        <v>2.9470580999215383E-3</v>
      </c>
      <c r="BF142" s="47">
        <f>_xll.qlPolynomialFunctionValue(BF$1,$BD142,AllTriggers)</f>
        <v>2.9966695533027348E-3</v>
      </c>
      <c r="BG142" s="47">
        <f>_xll.qlPolynomialFunctionValue(BG$1,$BD142,AllTriggers)</f>
        <v>2.9574301949414502E-3</v>
      </c>
      <c r="BH142" s="47">
        <f>_xll.qlPolynomialFunctionValue(BH$1,$BD142,AllTriggers)</f>
        <v>2.9494890145941102E-3</v>
      </c>
      <c r="BI142" s="47">
        <f>_xll.qlPolynomialFunctionValue(BI$1,$BD142,AllTriggers)</f>
        <v>2.9465269543025871E-3</v>
      </c>
      <c r="BJ142" s="47">
        <f>_xll.qlPolynomialFunctionValue(BJ$1,$BD142,AllTriggers)</f>
        <v>2.9977286032053943E-3</v>
      </c>
      <c r="BK142" s="47">
        <f>_xll.qlPolynomialFunctionValue(BK$1,$BD142,AllTriggers)</f>
        <v>2.9573463745062312E-3</v>
      </c>
      <c r="BL142" s="47">
        <f>_xll.qlPolynomialFunctionValue(BL$1,$BD142,AllTriggers)</f>
        <v>2.9490105233882448E-3</v>
      </c>
      <c r="BM142" s="47">
        <f>_xll.qlPolynomialFunctionValue(BM$1,$BD142,AllTriggers)</f>
        <v>2.9527098438242301E-3</v>
      </c>
      <c r="BN142" s="47">
        <f>_xll.qlPolynomialFunctionValue(BN$1,$BD142,AllTriggers)</f>
        <v>2.9570176125579472E-3</v>
      </c>
      <c r="BO142" s="47">
        <f>_xll.qlPolynomialFunctionValue(BO$1,$BD142,AllTriggers)</f>
        <v>2.9589172230307451E-3</v>
      </c>
      <c r="BP142" s="47">
        <f>_xll.qlPolynomialFunctionValue(BP$1,$BD142,AllTriggers)</f>
        <v>2.9589627850125917E-3</v>
      </c>
      <c r="BQ142" s="47">
        <f>_xll.qlPolynomialFunctionValue('12MSynthDepo_used'!$P$18,BD142,AllTriggers)</f>
        <v>2.9703261598388792E-3</v>
      </c>
    </row>
    <row r="143" spans="18:69" x14ac:dyDescent="0.2">
      <c r="R143" s="35"/>
      <c r="S143" s="35"/>
      <c r="BC143" s="178">
        <f>_xll.qlCalendarAdvance(Calendar,BC142,"1d","mf",,Trigger)</f>
        <v>42331</v>
      </c>
      <c r="BD143" s="41">
        <f>_xll.qlDayCounterYearFraction(DayCounter,SettlementDate,BC143,,,Trigger)</f>
        <v>0.53611111111111109</v>
      </c>
      <c r="BE143" s="47">
        <f>_xll.qlPolynomialFunctionValue(BE$1,$BD143,AllTriggers)</f>
        <v>2.9496410380465453E-3</v>
      </c>
      <c r="BF143" s="47">
        <f>_xll.qlPolynomialFunctionValue(BF$1,$BD143,AllTriggers)</f>
        <v>2.9994736355941362E-3</v>
      </c>
      <c r="BG143" s="47">
        <f>_xll.qlPolynomialFunctionValue(BG$1,$BD143,AllTriggers)</f>
        <v>2.9588163528718519E-3</v>
      </c>
      <c r="BH143" s="47">
        <f>_xll.qlPolynomialFunctionValue(BH$1,$BD143,AllTriggers)</f>
        <v>2.9505882159192097E-3</v>
      </c>
      <c r="BI143" s="47">
        <f>_xll.qlPolynomialFunctionValue(BI$1,$BD143,AllTriggers)</f>
        <v>2.9491956245464609E-3</v>
      </c>
      <c r="BJ143" s="47">
        <f>_xll.qlPolynomialFunctionValue(BJ$1,$BD143,AllTriggers)</f>
        <v>3.0005595213916285E-3</v>
      </c>
      <c r="BK143" s="47">
        <f>_xll.qlPolynomialFunctionValue(BK$1,$BD143,AllTriggers)</f>
        <v>2.9587167143256678E-3</v>
      </c>
      <c r="BL143" s="47">
        <f>_xll.qlPolynomialFunctionValue(BL$1,$BD143,AllTriggers)</f>
        <v>2.9500793651427164E-3</v>
      </c>
      <c r="BM143" s="47">
        <f>_xll.qlPolynomialFunctionValue(BM$1,$BD143,AllTriggers)</f>
        <v>2.9543147918964317E-3</v>
      </c>
      <c r="BN143" s="47">
        <f>_xll.qlPolynomialFunctionValue(BN$1,$BD143,AllTriggers)</f>
        <v>2.9591366193326865E-3</v>
      </c>
      <c r="BO143" s="47">
        <f>_xll.qlPolynomialFunctionValue(BO$1,$BD143,AllTriggers)</f>
        <v>2.9603929435397932E-3</v>
      </c>
      <c r="BP143" s="47">
        <f>_xll.qlPolynomialFunctionValue(BP$1,$BD143,AllTriggers)</f>
        <v>2.960733419979733E-3</v>
      </c>
      <c r="BQ143" s="47">
        <f>_xll.qlPolynomialFunctionValue('12MSynthDepo_used'!$P$18,BD143,AllTriggers)</f>
        <v>2.972605510435565E-3</v>
      </c>
    </row>
    <row r="144" spans="18:69" x14ac:dyDescent="0.2">
      <c r="R144" s="35"/>
      <c r="S144" s="35"/>
      <c r="BC144" s="178">
        <f>_xll.qlCalendarAdvance(Calendar,BC143,"1d","mf",,Trigger)</f>
        <v>42332</v>
      </c>
      <c r="BD144" s="41">
        <f>_xll.qlDayCounterYearFraction(DayCounter,SettlementDate,BC144,,,Trigger)</f>
        <v>0.53888888888888886</v>
      </c>
      <c r="BE144" s="47">
        <f>_xll.qlPolynomialFunctionValue(BE$1,$BD144,AllTriggers)</f>
        <v>2.9505020174215475E-3</v>
      </c>
      <c r="BF144" s="47">
        <f>_xll.qlPolynomialFunctionValue(BF$1,$BD144,AllTriggers)</f>
        <v>3.0003909850507683E-3</v>
      </c>
      <c r="BG144" s="47">
        <f>_xll.qlPolynomialFunctionValue(BG$1,$BD144,AllTriggers)</f>
        <v>2.9592784055153189E-3</v>
      </c>
      <c r="BH144" s="47">
        <f>_xll.qlPolynomialFunctionValue(BH$1,$BD144,AllTriggers)</f>
        <v>2.9509581265334513E-3</v>
      </c>
      <c r="BI144" s="47">
        <f>_xll.qlPolynomialFunctionValue(BI$1,$BD144,AllTriggers)</f>
        <v>2.950085181294419E-3</v>
      </c>
      <c r="BJ144" s="47">
        <f>_xll.qlPolynomialFunctionValue(BJ$1,$BD144,AllTriggers)</f>
        <v>3.0014852136462261E-3</v>
      </c>
      <c r="BK144" s="47">
        <f>_xll.qlPolynomialFunctionValue(BK$1,$BD144,AllTriggers)</f>
        <v>2.9591734942654799E-3</v>
      </c>
      <c r="BL144" s="47">
        <f>_xll.qlPolynomialFunctionValue(BL$1,$BD144,AllTriggers)</f>
        <v>2.950439350443665E-3</v>
      </c>
      <c r="BM144" s="47">
        <f>_xll.qlPolynomialFunctionValue(BM$1,$BD144,AllTriggers)</f>
        <v>2.9548497745871655E-3</v>
      </c>
      <c r="BN144" s="47">
        <f>_xll.qlPolynomialFunctionValue(BN$1,$BD144,AllTriggers)</f>
        <v>2.9598399758155687E-3</v>
      </c>
      <c r="BO144" s="47">
        <f>_xll.qlPolynomialFunctionValue(BO$1,$BD144,AllTriggers)</f>
        <v>2.9608848503761428E-3</v>
      </c>
      <c r="BP144" s="47">
        <f>_xll.qlPolynomialFunctionValue(BP$1,$BD144,AllTriggers)</f>
        <v>2.9613221717209436E-3</v>
      </c>
      <c r="BQ144" s="47">
        <f>_xll.qlPolynomialFunctionValue('12MSynthDepo_used'!$P$18,BD144,AllTriggers)</f>
        <v>2.9733571164237745E-3</v>
      </c>
    </row>
    <row r="145" spans="18:69" x14ac:dyDescent="0.2">
      <c r="R145" s="35"/>
      <c r="S145" s="35"/>
      <c r="BC145" s="178">
        <f>_xll.qlCalendarAdvance(Calendar,BC144,"1d","mf",,Trigger)</f>
        <v>42333</v>
      </c>
      <c r="BD145" s="41">
        <f>_xll.qlDayCounterYearFraction(DayCounter,SettlementDate,BC145,,,Trigger)</f>
        <v>0.54166666666666663</v>
      </c>
      <c r="BE145" s="47">
        <f>_xll.qlPolynomialFunctionValue(BE$1,$BD145,AllTriggers)</f>
        <v>2.9513629967965497E-3</v>
      </c>
      <c r="BF145" s="47">
        <f>_xll.qlPolynomialFunctionValue(BF$1,$BD145,AllTriggers)</f>
        <v>3.0012996621871495E-3</v>
      </c>
      <c r="BG145" s="47">
        <f>_xll.qlPolynomialFunctionValue(BG$1,$BD145,AllTriggers)</f>
        <v>2.9597404581587863E-3</v>
      </c>
      <c r="BH145" s="47">
        <f>_xll.qlPolynomialFunctionValue(BH$1,$BD145,AllTriggers)</f>
        <v>2.9513297922339641E-3</v>
      </c>
      <c r="BI145" s="47">
        <f>_xll.qlPolynomialFunctionValue(BI$1,$BD145,AllTriggers)</f>
        <v>2.9509747380423771E-3</v>
      </c>
      <c r="BJ145" s="47">
        <f>_xll.qlPolynomialFunctionValue(BJ$1,$BD145,AllTriggers)</f>
        <v>3.002401932330416E-3</v>
      </c>
      <c r="BK145" s="47">
        <f>_xll.qlPolynomialFunctionValue(BK$1,$BD145,AllTriggers)</f>
        <v>2.9596302742052921E-3</v>
      </c>
      <c r="BL145" s="47">
        <f>_xll.qlPolynomialFunctionValue(BL$1,$BD145,AllTriggers)</f>
        <v>2.9508011881026765E-3</v>
      </c>
      <c r="BM145" s="47">
        <f>_xll.qlPolynomialFunctionValue(BM$1,$BD145,AllTriggers)</f>
        <v>2.9553847572778989E-3</v>
      </c>
      <c r="BN145" s="47">
        <f>_xll.qlPolynomialFunctionValue(BN$1,$BD145,AllTriggers)</f>
        <v>2.9605418427441029E-3</v>
      </c>
      <c r="BO145" s="47">
        <f>_xll.qlPolynomialFunctionValue(BO$1,$BD145,AllTriggers)</f>
        <v>2.9613767572124923E-3</v>
      </c>
      <c r="BP145" s="47">
        <f>_xll.qlPolynomialFunctionValue(BP$1,$BD145,AllTriggers)</f>
        <v>2.961910193504903E-3</v>
      </c>
      <c r="BQ145" s="47">
        <f>_xll.qlPolynomialFunctionValue('12MSynthDepo_used'!$P$18,BD145,AllTriggers)</f>
        <v>2.9741046581651248E-3</v>
      </c>
    </row>
    <row r="146" spans="18:69" x14ac:dyDescent="0.2">
      <c r="R146" s="35"/>
      <c r="S146" s="35"/>
      <c r="BC146" s="178">
        <f>_xll.qlCalendarAdvance(Calendar,BC145,"1d","mf",,Trigger)</f>
        <v>42334</v>
      </c>
      <c r="BD146" s="41">
        <f>_xll.qlDayCounterYearFraction(DayCounter,SettlementDate,BC146,,,Trigger)</f>
        <v>0.5444444444444444</v>
      </c>
      <c r="BE146" s="47">
        <f>_xll.qlPolynomialFunctionValue(BE$1,$BD146,AllTriggers)</f>
        <v>2.9522239761715519E-3</v>
      </c>
      <c r="BF146" s="47">
        <f>_xll.qlPolynomialFunctionValue(BF$1,$BD146,AllTriggers)</f>
        <v>3.0021996670032804E-3</v>
      </c>
      <c r="BG146" s="47">
        <f>_xll.qlPolynomialFunctionValue(BG$1,$BD146,AllTriggers)</f>
        <v>2.9602025108022532E-3</v>
      </c>
      <c r="BH146" s="47">
        <f>_xll.qlPolynomialFunctionValue(BH$1,$BD146,AllTriggers)</f>
        <v>2.9517032130207477E-3</v>
      </c>
      <c r="BI146" s="47">
        <f>_xll.qlPolynomialFunctionValue(BI$1,$BD146,AllTriggers)</f>
        <v>2.9518642947903347E-3</v>
      </c>
      <c r="BJ146" s="47">
        <f>_xll.qlPolynomialFunctionValue(BJ$1,$BD146,AllTriggers)</f>
        <v>3.0033096774441993E-3</v>
      </c>
      <c r="BK146" s="47">
        <f>_xll.qlPolynomialFunctionValue(BK$1,$BD146,AllTriggers)</f>
        <v>2.9600870541451043E-3</v>
      </c>
      <c r="BL146" s="47">
        <f>_xll.qlPolynomialFunctionValue(BL$1,$BD146,AllTriggers)</f>
        <v>2.9511648781197501E-3</v>
      </c>
      <c r="BM146" s="47">
        <f>_xll.qlPolynomialFunctionValue(BM$1,$BD146,AllTriggers)</f>
        <v>2.9559197399686328E-3</v>
      </c>
      <c r="BN146" s="47">
        <f>_xll.qlPolynomialFunctionValue(BN$1,$BD146,AllTriggers)</f>
        <v>2.9612422201182884E-3</v>
      </c>
      <c r="BO146" s="47">
        <f>_xll.qlPolynomialFunctionValue(BO$1,$BD146,AllTriggers)</f>
        <v>2.9618686640488414E-3</v>
      </c>
      <c r="BP146" s="47">
        <f>_xll.qlPolynomialFunctionValue(BP$1,$BD146,AllTriggers)</f>
        <v>2.962497485331611E-3</v>
      </c>
      <c r="BQ146" s="47">
        <f>_xll.qlPolynomialFunctionValue('12MSynthDepo_used'!$P$18,BD146,AllTriggers)</f>
        <v>2.9748481503747062E-3</v>
      </c>
    </row>
    <row r="147" spans="18:69" x14ac:dyDescent="0.2">
      <c r="R147" s="35"/>
      <c r="S147" s="35"/>
      <c r="BC147" s="178">
        <f>_xll.qlCalendarAdvance(Calendar,BC146,"1d","mf",,Trigger)</f>
        <v>42335</v>
      </c>
      <c r="BD147" s="41">
        <f>_xll.qlDayCounterYearFraction(DayCounter,SettlementDate,BC147,,,Trigger)</f>
        <v>0.54722222222222228</v>
      </c>
      <c r="BE147" s="47">
        <f>_xll.qlPolynomialFunctionValue(BE$1,$BD147,AllTriggers)</f>
        <v>2.9530849555465541E-3</v>
      </c>
      <c r="BF147" s="47">
        <f>_xll.qlPolynomialFunctionValue(BF$1,$BD147,AllTriggers)</f>
        <v>3.00309099949916E-3</v>
      </c>
      <c r="BG147" s="47">
        <f>_xll.qlPolynomialFunctionValue(BG$1,$BD147,AllTriggers)</f>
        <v>2.9606645634457206E-3</v>
      </c>
      <c r="BH147" s="47">
        <f>_xll.qlPolynomialFunctionValue(BH$1,$BD147,AllTriggers)</f>
        <v>2.9520783888938021E-3</v>
      </c>
      <c r="BI147" s="47">
        <f>_xll.qlPolynomialFunctionValue(BI$1,$BD147,AllTriggers)</f>
        <v>2.9527538515382928E-3</v>
      </c>
      <c r="BJ147" s="47">
        <f>_xll.qlPolynomialFunctionValue(BJ$1,$BD147,AllTriggers)</f>
        <v>3.0042084489875749E-3</v>
      </c>
      <c r="BK147" s="47">
        <f>_xll.qlPolynomialFunctionValue(BK$1,$BD147,AllTriggers)</f>
        <v>2.960543834084917E-3</v>
      </c>
      <c r="BL147" s="47">
        <f>_xll.qlPolynomialFunctionValue(BL$1,$BD147,AllTriggers)</f>
        <v>2.9515304204948863E-3</v>
      </c>
      <c r="BM147" s="47">
        <f>_xll.qlPolynomialFunctionValue(BM$1,$BD147,AllTriggers)</f>
        <v>2.9564547226593667E-3</v>
      </c>
      <c r="BN147" s="47">
        <f>_xll.qlPolynomialFunctionValue(BN$1,$BD147,AllTriggers)</f>
        <v>2.9619411079381251E-3</v>
      </c>
      <c r="BO147" s="47">
        <f>_xll.qlPolynomialFunctionValue(BO$1,$BD147,AllTriggers)</f>
        <v>2.9623605708851909E-3</v>
      </c>
      <c r="BP147" s="47">
        <f>_xll.qlPolynomialFunctionValue(BP$1,$BD147,AllTriggers)</f>
        <v>2.9630840472010672E-3</v>
      </c>
      <c r="BQ147" s="47">
        <f>_xll.qlPolynomialFunctionValue('12MSynthDepo_used'!$P$18,BD147,AllTriggers)</f>
        <v>2.9755876077676088E-3</v>
      </c>
    </row>
    <row r="148" spans="18:69" x14ac:dyDescent="0.2">
      <c r="R148" s="35"/>
      <c r="S148" s="35"/>
      <c r="BC148" s="178">
        <f>_xll.qlCalendarAdvance(Calendar,BC147,"1d","mf",,Trigger)</f>
        <v>42338</v>
      </c>
      <c r="BD148" s="41">
        <f>_xll.qlDayCounterYearFraction(DayCounter,SettlementDate,BC148,,,Trigger)</f>
        <v>0.55555555555555558</v>
      </c>
      <c r="BE148" s="47">
        <f>_xll.qlPolynomialFunctionValue(BE$1,$BD148,AllTriggers)</f>
        <v>2.9556678936715612E-3</v>
      </c>
      <c r="BF148" s="47">
        <f>_xll.qlPolynomialFunctionValue(BF$1,$BD148,AllTriggers)</f>
        <v>3.0057129630652957E-3</v>
      </c>
      <c r="BG148" s="47">
        <f>_xll.qlPolynomialFunctionValue(BG$1,$BD148,AllTriggers)</f>
        <v>2.962050721376122E-3</v>
      </c>
      <c r="BH148" s="47">
        <f>_xll.qlPolynomialFunctionValue(BH$1,$BD148,AllTriggers)</f>
        <v>2.9532144470305918E-3</v>
      </c>
      <c r="BI148" s="47">
        <f>_xll.qlPolynomialFunctionValue(BI$1,$BD148,AllTriggers)</f>
        <v>2.955422521782167E-3</v>
      </c>
      <c r="BJ148" s="47">
        <f>_xll.qlPolynomialFunctionValue(BJ$1,$BD148,AllTriggers)</f>
        <v>3.0068509221952608E-3</v>
      </c>
      <c r="BK148" s="47">
        <f>_xll.qlPolynomialFunctionValue(BK$1,$BD148,AllTriggers)</f>
        <v>2.9619141739043535E-3</v>
      </c>
      <c r="BL148" s="47">
        <f>_xll.qlPolynomialFunctionValue(BL$1,$BD148,AllTriggers)</f>
        <v>2.9526381617686693E-3</v>
      </c>
      <c r="BM148" s="47">
        <f>_xll.qlPolynomialFunctionValue(BM$1,$BD148,AllTriggers)</f>
        <v>2.9580596707315682E-3</v>
      </c>
      <c r="BN148" s="47">
        <f>_xll.qlPolynomialFunctionValue(BN$1,$BD148,AllTriggers)</f>
        <v>2.964028834071545E-3</v>
      </c>
      <c r="BO148" s="47">
        <f>_xll.qlPolynomialFunctionValue(BO$1,$BD148,AllTriggers)</f>
        <v>2.9638362913942391E-3</v>
      </c>
      <c r="BP148" s="47">
        <f>_xll.qlPolynomialFunctionValue(BP$1,$BD148,AllTriggers)</f>
        <v>2.9648393530659276E-3</v>
      </c>
      <c r="BQ148" s="47">
        <f>_xll.qlPolynomialFunctionValue('12MSynthDepo_used'!$P$18,BD148,AllTriggers)</f>
        <v>2.9777819181971469E-3</v>
      </c>
    </row>
    <row r="149" spans="18:69" x14ac:dyDescent="0.2">
      <c r="S149" s="35"/>
      <c r="BC149" s="178">
        <f>_xll.qlCalendarAdvance(Calendar,BC148,"1d","mf",,Trigger)</f>
        <v>42339</v>
      </c>
      <c r="BD149" s="41">
        <f>_xll.qlDayCounterYearFraction(DayCounter,SettlementDate,BC149,,,Trigger)</f>
        <v>0.55833333333333335</v>
      </c>
      <c r="BE149" s="47">
        <f>_xll.qlPolynomialFunctionValue(BE$1,$BD149,AllTriggers)</f>
        <v>2.9565288730465634E-3</v>
      </c>
      <c r="BF149" s="47">
        <f>_xll.qlPolynomialFunctionValue(BF$1,$BD149,AllTriggers)</f>
        <v>3.0065696062801725E-3</v>
      </c>
      <c r="BG149" s="47">
        <f>_xll.qlPolynomialFunctionValue(BG$1,$BD149,AllTriggers)</f>
        <v>2.9625127740195894E-3</v>
      </c>
      <c r="BH149" s="47">
        <f>_xll.qlPolynomialFunctionValue(BH$1,$BD149,AllTriggers)</f>
        <v>2.9535966432487305E-3</v>
      </c>
      <c r="BI149" s="47">
        <f>_xll.qlPolynomialFunctionValue(BI$1,$BD149,AllTriggers)</f>
        <v>2.9563120785301247E-3</v>
      </c>
      <c r="BJ149" s="47">
        <f>_xll.qlPolynomialFunctionValue(BJ$1,$BD149,AllTriggers)</f>
        <v>3.0077137994570084E-3</v>
      </c>
      <c r="BK149" s="47">
        <f>_xll.qlPolynomialFunctionValue(BK$1,$BD149,AllTriggers)</f>
        <v>2.9623709538441657E-3</v>
      </c>
      <c r="BL149" s="47">
        <f>_xll.qlPolynomialFunctionValue(BL$1,$BD149,AllTriggers)</f>
        <v>2.953011113576055E-3</v>
      </c>
      <c r="BM149" s="47">
        <f>_xll.qlPolynomialFunctionValue(BM$1,$BD149,AllTriggers)</f>
        <v>2.9585946534223021E-3</v>
      </c>
      <c r="BN149" s="47">
        <f>_xll.qlPolynomialFunctionValue(BN$1,$BD149,AllTriggers)</f>
        <v>2.9647217636739878E-3</v>
      </c>
      <c r="BO149" s="47">
        <f>_xll.qlPolynomialFunctionValue(BO$1,$BD149,AllTriggers)</f>
        <v>2.9643281982305886E-3</v>
      </c>
      <c r="BP149" s="47">
        <f>_xll.qlPolynomialFunctionValue(BP$1,$BD149,AllTriggers)</f>
        <v>2.9654229951063781E-3</v>
      </c>
      <c r="BQ149" s="47">
        <f>_xll.qlPolynomialFunctionValue('12MSynthDepo_used'!$P$18,BD149,AllTriggers)</f>
        <v>2.9785053834742383E-3</v>
      </c>
    </row>
    <row r="150" spans="18:69" x14ac:dyDescent="0.2">
      <c r="S150" s="35"/>
      <c r="BC150" s="178">
        <f>_xll.qlCalendarAdvance(Calendar,BC149,"1d","mf",,Trigger)</f>
        <v>42340</v>
      </c>
      <c r="BD150" s="41">
        <f>_xll.qlDayCounterYearFraction(DayCounter,SettlementDate,BC150,,,Trigger)</f>
        <v>0.56111111111111112</v>
      </c>
      <c r="BE150" s="47">
        <f>_xll.qlPolynomialFunctionValue(BE$1,$BD150,AllTriggers)</f>
        <v>2.9573898524215656E-3</v>
      </c>
      <c r="BF150" s="47">
        <f>_xll.qlPolynomialFunctionValue(BF$1,$BD150,AllTriggers)</f>
        <v>3.0074175771747985E-3</v>
      </c>
      <c r="BG150" s="47">
        <f>_xll.qlPolynomialFunctionValue(BG$1,$BD150,AllTriggers)</f>
        <v>2.9629748266630563E-3</v>
      </c>
      <c r="BH150" s="47">
        <f>_xll.qlPolynomialFunctionValue(BH$1,$BD150,AllTriggers)</f>
        <v>2.9539805945531399E-3</v>
      </c>
      <c r="BI150" s="47">
        <f>_xll.qlPolynomialFunctionValue(BI$1,$BD150,AllTriggers)</f>
        <v>2.9572016352780828E-3</v>
      </c>
      <c r="BJ150" s="47">
        <f>_xll.qlPolynomialFunctionValue(BJ$1,$BD150,AllTriggers)</f>
        <v>3.0085677031483492E-3</v>
      </c>
      <c r="BK150" s="47">
        <f>_xll.qlPolynomialFunctionValue(BK$1,$BD150,AllTriggers)</f>
        <v>2.9628277337839779E-3</v>
      </c>
      <c r="BL150" s="47">
        <f>_xll.qlPolynomialFunctionValue(BL$1,$BD150,AllTriggers)</f>
        <v>2.9533859177415032E-3</v>
      </c>
      <c r="BM150" s="47">
        <f>_xll.qlPolynomialFunctionValue(BM$1,$BD150,AllTriggers)</f>
        <v>2.9591296361130355E-3</v>
      </c>
      <c r="BN150" s="47">
        <f>_xll.qlPolynomialFunctionValue(BN$1,$BD150,AllTriggers)</f>
        <v>2.9654132037220822E-3</v>
      </c>
      <c r="BO150" s="47">
        <f>_xll.qlPolynomialFunctionValue(BO$1,$BD150,AllTriggers)</f>
        <v>2.9648201050669377E-3</v>
      </c>
      <c r="BP150" s="47">
        <f>_xll.qlPolynomialFunctionValue(BP$1,$BD150,AllTriggers)</f>
        <v>2.9660059071895772E-3</v>
      </c>
      <c r="BQ150" s="47">
        <f>_xll.qlPolynomialFunctionValue('12MSynthDepo_used'!$P$18,BD150,AllTriggers)</f>
        <v>2.9792248875101018E-3</v>
      </c>
    </row>
    <row r="151" spans="18:69" x14ac:dyDescent="0.2">
      <c r="S151" s="35"/>
      <c r="BC151" s="178">
        <f>_xll.qlCalendarAdvance(Calendar,BC150,"1d","mf",,Trigger)</f>
        <v>42341</v>
      </c>
      <c r="BD151" s="41">
        <f>_xll.qlDayCounterYearFraction(DayCounter,SettlementDate,BC151,,,Trigger)</f>
        <v>0.56388888888888888</v>
      </c>
      <c r="BE151" s="47">
        <f>_xll.qlPolynomialFunctionValue(BE$1,$BD151,AllTriggers)</f>
        <v>2.9582508317965678E-3</v>
      </c>
      <c r="BF151" s="47">
        <f>_xll.qlPolynomialFunctionValue(BF$1,$BD151,AllTriggers)</f>
        <v>3.0082568757491737E-3</v>
      </c>
      <c r="BG151" s="47">
        <f>_xll.qlPolynomialFunctionValue(BG$1,$BD151,AllTriggers)</f>
        <v>2.9634368793065237E-3</v>
      </c>
      <c r="BH151" s="47">
        <f>_xll.qlPolynomialFunctionValue(BH$1,$BD151,AllTriggers)</f>
        <v>2.9543663009438201E-3</v>
      </c>
      <c r="BI151" s="47">
        <f>_xll.qlPolynomialFunctionValue(BI$1,$BD151,AllTriggers)</f>
        <v>2.9580911920260408E-3</v>
      </c>
      <c r="BJ151" s="47">
        <f>_xll.qlPolynomialFunctionValue(BJ$1,$BD151,AllTriggers)</f>
        <v>3.0094126332692824E-3</v>
      </c>
      <c r="BK151" s="47">
        <f>_xll.qlPolynomialFunctionValue(BK$1,$BD151,AllTriggers)</f>
        <v>2.9632845137237906E-3</v>
      </c>
      <c r="BL151" s="47">
        <f>_xll.qlPolynomialFunctionValue(BL$1,$BD151,AllTriggers)</f>
        <v>2.9537625742650144E-3</v>
      </c>
      <c r="BM151" s="47">
        <f>_xll.qlPolynomialFunctionValue(BM$1,$BD151,AllTriggers)</f>
        <v>2.9596646188037694E-3</v>
      </c>
      <c r="BN151" s="47">
        <f>_xll.qlPolynomialFunctionValue(BN$1,$BD151,AllTriggers)</f>
        <v>2.9661031542158279E-3</v>
      </c>
      <c r="BO151" s="47">
        <f>_xll.qlPolynomialFunctionValue(BO$1,$BD151,AllTriggers)</f>
        <v>2.9653120119032873E-3</v>
      </c>
      <c r="BP151" s="47">
        <f>_xll.qlPolynomialFunctionValue(BP$1,$BD151,AllTriggers)</f>
        <v>2.9665880893155246E-3</v>
      </c>
      <c r="BQ151" s="47">
        <f>_xll.qlPolynomialFunctionValue('12MSynthDepo_used'!$P$18,BD151,AllTriggers)</f>
        <v>2.9799404450198282E-3</v>
      </c>
    </row>
    <row r="152" spans="18:69" x14ac:dyDescent="0.2">
      <c r="S152" s="35"/>
      <c r="BC152" s="178">
        <f>_xll.qlCalendarAdvance(Calendar,BC151,"1d","mf",,Trigger)</f>
        <v>42342</v>
      </c>
      <c r="BD152" s="41">
        <f>_xll.qlDayCounterYearFraction(DayCounter,SettlementDate,BC152,,,Trigger)</f>
        <v>0.56666666666666665</v>
      </c>
      <c r="BE152" s="47">
        <f>_xll.qlPolynomialFunctionValue(BE$1,$BD152,AllTriggers)</f>
        <v>2.95911181117157E-3</v>
      </c>
      <c r="BF152" s="47">
        <f>_xll.qlPolynomialFunctionValue(BF$1,$BD152,AllTriggers)</f>
        <v>3.0090875020032984E-3</v>
      </c>
      <c r="BG152" s="47">
        <f>_xll.qlPolynomialFunctionValue(BG$1,$BD152,AllTriggers)</f>
        <v>2.9638989319499907E-3</v>
      </c>
      <c r="BH152" s="47">
        <f>_xll.qlPolynomialFunctionValue(BH$1,$BD152,AllTriggers)</f>
        <v>2.9547537624207715E-3</v>
      </c>
      <c r="BI152" s="47">
        <f>_xll.qlPolynomialFunctionValue(BI$1,$BD152,AllTriggers)</f>
        <v>2.9589807487739989E-3</v>
      </c>
      <c r="BJ152" s="47">
        <f>_xll.qlPolynomialFunctionValue(BJ$1,$BD152,AllTriggers)</f>
        <v>3.010248589819809E-3</v>
      </c>
      <c r="BK152" s="47">
        <f>_xll.qlPolynomialFunctionValue(BK$1,$BD152,AllTriggers)</f>
        <v>2.9637412936636028E-3</v>
      </c>
      <c r="BL152" s="47">
        <f>_xll.qlPolynomialFunctionValue(BL$1,$BD152,AllTriggers)</f>
        <v>2.9541410831465877E-3</v>
      </c>
      <c r="BM152" s="47">
        <f>_xll.qlPolynomialFunctionValue(BM$1,$BD152,AllTriggers)</f>
        <v>2.9601996014945032E-3</v>
      </c>
      <c r="BN152" s="47">
        <f>_xll.qlPolynomialFunctionValue(BN$1,$BD152,AllTriggers)</f>
        <v>2.9667916151552248E-3</v>
      </c>
      <c r="BO152" s="47">
        <f>_xll.qlPolynomialFunctionValue(BO$1,$BD152,AllTriggers)</f>
        <v>2.9658039187396368E-3</v>
      </c>
      <c r="BP152" s="47">
        <f>_xll.qlPolynomialFunctionValue(BP$1,$BD152,AllTriggers)</f>
        <v>2.9671695414842211E-3</v>
      </c>
      <c r="BQ152" s="47">
        <f>_xll.qlPolynomialFunctionValue('12MSynthDepo_used'!$P$18,BD152,AllTriggers)</f>
        <v>2.9806520707185082E-3</v>
      </c>
    </row>
    <row r="153" spans="18:69" x14ac:dyDescent="0.2">
      <c r="S153" s="35"/>
      <c r="BC153" s="178">
        <f>_xll.qlCalendarAdvance(Calendar,BC152,"1d","mf",,Trigger)</f>
        <v>42345</v>
      </c>
      <c r="BD153" s="41">
        <f>_xll.qlDayCounterYearFraction(DayCounter,SettlementDate,BC153,,,Trigger)</f>
        <v>0.57499999999999996</v>
      </c>
      <c r="BE153" s="47">
        <f>_xll.qlPolynomialFunctionValue(BE$1,$BD153,AllTriggers)</f>
        <v>2.961694749296577E-3</v>
      </c>
      <c r="BF153" s="47">
        <f>_xll.qlPolynomialFunctionValue(BF$1,$BD153,AllTriggers)</f>
        <v>3.0115273468441675E-3</v>
      </c>
      <c r="BG153" s="47">
        <f>_xll.qlPolynomialFunctionValue(BG$1,$BD153,AllTriggers)</f>
        <v>2.9652850898803924E-3</v>
      </c>
      <c r="BH153" s="47">
        <f>_xll.qlPolynomialFunctionValue(BH$1,$BD153,AllTriggers)</f>
        <v>2.9559266773692512E-3</v>
      </c>
      <c r="BI153" s="47">
        <f>_xll.qlPolynomialFunctionValue(BI$1,$BD153,AllTriggers)</f>
        <v>2.9616494190178727E-3</v>
      </c>
      <c r="BJ153" s="47">
        <f>_xll.qlPolynomialFunctionValue(BJ$1,$BD153,AllTriggers)</f>
        <v>3.0127026180489453E-3</v>
      </c>
      <c r="BK153" s="47">
        <f>_xll.qlPolynomialFunctionValue(BK$1,$BD153,AllTriggers)</f>
        <v>2.9651116334830393E-3</v>
      </c>
      <c r="BL153" s="47">
        <f>_xll.qlPolynomialFunctionValue(BL$1,$BD153,AllTriggers)</f>
        <v>2.9552877239396817E-3</v>
      </c>
      <c r="BM153" s="47">
        <f>_xll.qlPolynomialFunctionValue(BM$1,$BD153,AllTriggers)</f>
        <v>2.9618045495667048E-3</v>
      </c>
      <c r="BN153" s="47">
        <f>_xll.qlPolynomialFunctionValue(BN$1,$BD153,AllTriggers)</f>
        <v>2.9688480606473253E-3</v>
      </c>
      <c r="BO153" s="47">
        <f>_xll.qlPolynomialFunctionValue(BO$1,$BD153,AllTriggers)</f>
        <v>2.967279639248685E-3</v>
      </c>
      <c r="BP153" s="47">
        <f>_xll.qlPolynomialFunctionValue(BP$1,$BD153,AllTriggers)</f>
        <v>2.9689095182468006E-3</v>
      </c>
      <c r="BQ153" s="47">
        <f>_xll.qlPolynomialFunctionValue('12MSynthDepo_used'!$P$18,BD153,AllTriggers)</f>
        <v>2.9827635040991698E-3</v>
      </c>
    </row>
    <row r="154" spans="18:69" x14ac:dyDescent="0.2">
      <c r="S154" s="35"/>
      <c r="BC154" s="178">
        <f>_xll.qlCalendarAdvance(Calendar,BC153,"1d","mf",,Trigger)</f>
        <v>42346</v>
      </c>
      <c r="BD154" s="41">
        <f>_xll.qlDayCounterYearFraction(DayCounter,SettlementDate,BC154,,,Trigger)</f>
        <v>0.57777777777777772</v>
      </c>
      <c r="BE154" s="47">
        <f>_xll.qlPolynomialFunctionValue(BE$1,$BD154,AllTriggers)</f>
        <v>2.9625557286715792E-3</v>
      </c>
      <c r="BF154" s="47">
        <f>_xll.qlPolynomialFunctionValue(BF$1,$BD154,AllTriggers)</f>
        <v>3.012323283817289E-3</v>
      </c>
      <c r="BG154" s="47">
        <f>_xll.qlPolynomialFunctionValue(BG$1,$BD154,AllTriggers)</f>
        <v>2.9657471425238594E-3</v>
      </c>
      <c r="BH154" s="47">
        <f>_xll.qlPolynomialFunctionValue(BH$1,$BD154,AllTriggers)</f>
        <v>2.9563211591912865E-3</v>
      </c>
      <c r="BI154" s="47">
        <f>_xll.qlPolynomialFunctionValue(BI$1,$BD154,AllTriggers)</f>
        <v>2.9625389757658308E-3</v>
      </c>
      <c r="BJ154" s="47">
        <f>_xll.qlPolynomialFunctionValue(BJ$1,$BD154,AllTriggers)</f>
        <v>3.0135026803178432E-3</v>
      </c>
      <c r="BK154" s="47">
        <f>_xll.qlPolynomialFunctionValue(BK$1,$BD154,AllTriggers)</f>
        <v>2.9655684134228515E-3</v>
      </c>
      <c r="BL154" s="47">
        <f>_xll.qlPolynomialFunctionValue(BL$1,$BD154,AllTriggers)</f>
        <v>2.9556736422535045E-3</v>
      </c>
      <c r="BM154" s="47">
        <f>_xll.qlPolynomialFunctionValue(BM$1,$BD154,AllTriggers)</f>
        <v>2.9623395322574387E-3</v>
      </c>
      <c r="BN154" s="47">
        <f>_xll.qlPolynomialFunctionValue(BN$1,$BD154,AllTriggers)</f>
        <v>2.9695305633693284E-3</v>
      </c>
      <c r="BO154" s="47">
        <f>_xll.qlPolynomialFunctionValue(BO$1,$BD154,AllTriggers)</f>
        <v>2.9677715460850345E-3</v>
      </c>
      <c r="BP154" s="47">
        <f>_xll.qlPolynomialFunctionValue(BP$1,$BD154,AllTriggers)</f>
        <v>2.9694880505864909E-3</v>
      </c>
      <c r="BQ154" s="47">
        <f>_xll.qlPolynomialFunctionValue('12MSynthDepo_used'!$P$18,BD154,AllTriggers)</f>
        <v>2.9834595497045657E-3</v>
      </c>
    </row>
    <row r="155" spans="18:69" x14ac:dyDescent="0.2">
      <c r="BC155" s="178">
        <f>_xll.qlCalendarAdvance(Calendar,BC154,"1d","mf",,Trigger)</f>
        <v>42347</v>
      </c>
      <c r="BD155" s="41">
        <f>_xll.qlDayCounterYearFraction(DayCounter,SettlementDate,BC155,,,Trigger)</f>
        <v>0.5805555555555556</v>
      </c>
      <c r="BE155" s="47">
        <f>_xll.qlPolynomialFunctionValue(BE$1,$BD155,AllTriggers)</f>
        <v>2.9634167080465814E-3</v>
      </c>
      <c r="BF155" s="47">
        <f>_xll.qlPolynomialFunctionValue(BF$1,$BD155,AllTriggers)</f>
        <v>3.0131105484701597E-3</v>
      </c>
      <c r="BG155" s="47">
        <f>_xll.qlPolynomialFunctionValue(BG$1,$BD155,AllTriggers)</f>
        <v>2.9662091951673268E-3</v>
      </c>
      <c r="BH155" s="47">
        <f>_xll.qlPolynomialFunctionValue(BH$1,$BD155,AllTriggers)</f>
        <v>2.9567173960995926E-3</v>
      </c>
      <c r="BI155" s="47">
        <f>_xll.qlPolynomialFunctionValue(BI$1,$BD155,AllTriggers)</f>
        <v>2.9634285325137889E-3</v>
      </c>
      <c r="BJ155" s="47">
        <f>_xll.qlPolynomialFunctionValue(BJ$1,$BD155,AllTriggers)</f>
        <v>3.014293769016334E-3</v>
      </c>
      <c r="BK155" s="47">
        <f>_xll.qlPolynomialFunctionValue(BK$1,$BD155,AllTriggers)</f>
        <v>2.9660251933626642E-3</v>
      </c>
      <c r="BL155" s="47">
        <f>_xll.qlPolynomialFunctionValue(BL$1,$BD155,AllTriggers)</f>
        <v>2.9560614129253903E-3</v>
      </c>
      <c r="BM155" s="47">
        <f>_xll.qlPolynomialFunctionValue(BM$1,$BD155,AllTriggers)</f>
        <v>2.9628745149481725E-3</v>
      </c>
      <c r="BN155" s="47">
        <f>_xll.qlPolynomialFunctionValue(BN$1,$BD155,AllTriggers)</f>
        <v>2.9702115765369835E-3</v>
      </c>
      <c r="BO155" s="47">
        <f>_xll.qlPolynomialFunctionValue(BO$1,$BD155,AllTriggers)</f>
        <v>2.9682634529213836E-3</v>
      </c>
      <c r="BP155" s="47">
        <f>_xll.qlPolynomialFunctionValue(BP$1,$BD155,AllTriggers)</f>
        <v>2.9700658529689299E-3</v>
      </c>
      <c r="BQ155" s="47">
        <f>_xll.qlPolynomialFunctionValue('12MSynthDepo_used'!$P$18,BD155,AllTriggers)</f>
        <v>2.9841517370743672E-3</v>
      </c>
    </row>
    <row r="156" spans="18:69" x14ac:dyDescent="0.2">
      <c r="BC156" s="178">
        <f>_xll.qlCalendarAdvance(Calendar,BC155,"1d","mf",,Trigger)</f>
        <v>42348</v>
      </c>
      <c r="BD156" s="41">
        <f>_xll.qlDayCounterYearFraction(DayCounter,SettlementDate,BC156,,,Trigger)</f>
        <v>0.58333333333333337</v>
      </c>
      <c r="BE156" s="47">
        <f>_xll.qlPolynomialFunctionValue(BE$1,$BD156,AllTriggers)</f>
        <v>2.9642776874215836E-3</v>
      </c>
      <c r="BF156" s="47">
        <f>_xll.qlPolynomialFunctionValue(BF$1,$BD156,AllTriggers)</f>
        <v>3.0138891408027801E-3</v>
      </c>
      <c r="BG156" s="47">
        <f>_xll.qlPolynomialFunctionValue(BG$1,$BD156,AllTriggers)</f>
        <v>2.9666712478107937E-3</v>
      </c>
      <c r="BH156" s="47">
        <f>_xll.qlPolynomialFunctionValue(BH$1,$BD156,AllTriggers)</f>
        <v>2.9571153880941698E-3</v>
      </c>
      <c r="BI156" s="47">
        <f>_xll.qlPolynomialFunctionValue(BI$1,$BD156,AllTriggers)</f>
        <v>2.9643180892617465E-3</v>
      </c>
      <c r="BJ156" s="47">
        <f>_xll.qlPolynomialFunctionValue(BJ$1,$BD156,AllTriggers)</f>
        <v>3.0150758841444181E-3</v>
      </c>
      <c r="BK156" s="47">
        <f>_xll.qlPolynomialFunctionValue(BK$1,$BD156,AllTriggers)</f>
        <v>2.9664819733024764E-3</v>
      </c>
      <c r="BL156" s="47">
        <f>_xll.qlPolynomialFunctionValue(BL$1,$BD156,AllTriggers)</f>
        <v>2.9564510359553382E-3</v>
      </c>
      <c r="BM156" s="47">
        <f>_xll.qlPolynomialFunctionValue(BM$1,$BD156,AllTriggers)</f>
        <v>2.963409497638906E-3</v>
      </c>
      <c r="BN156" s="47">
        <f>_xll.qlPolynomialFunctionValue(BN$1,$BD156,AllTriggers)</f>
        <v>2.9708911001502893E-3</v>
      </c>
      <c r="BO156" s="47">
        <f>_xll.qlPolynomialFunctionValue(BO$1,$BD156,AllTriggers)</f>
        <v>2.9687553597577332E-3</v>
      </c>
      <c r="BP156" s="47">
        <f>_xll.qlPolynomialFunctionValue(BP$1,$BD156,AllTriggers)</f>
        <v>2.9706429253941171E-3</v>
      </c>
      <c r="BQ156" s="47">
        <f>_xll.qlPolynomialFunctionValue('12MSynthDepo_used'!$P$18,BD156,AllTriggers)</f>
        <v>2.9848400809236622E-3</v>
      </c>
    </row>
    <row r="157" spans="18:69" x14ac:dyDescent="0.2">
      <c r="BC157" s="178">
        <f>_xll.qlCalendarAdvance(Calendar,BC156,"1d","mf",,Trigger)</f>
        <v>42349</v>
      </c>
      <c r="BD157" s="41">
        <f>_xll.qlDayCounterYearFraction(DayCounter,SettlementDate,BC157,,,Trigger)</f>
        <v>0.58611111111111114</v>
      </c>
      <c r="BE157" s="47">
        <f>_xll.qlPolynomialFunctionValue(BE$1,$BD157,AllTriggers)</f>
        <v>2.9651386667965858E-3</v>
      </c>
      <c r="BF157" s="47">
        <f>_xll.qlPolynomialFunctionValue(BF$1,$BD157,AllTriggers)</f>
        <v>3.0146590608151492E-3</v>
      </c>
      <c r="BG157" s="47">
        <f>_xll.qlPolynomialFunctionValue(BG$1,$BD157,AllTriggers)</f>
        <v>2.9671333004542611E-3</v>
      </c>
      <c r="BH157" s="47">
        <f>_xll.qlPolynomialFunctionValue(BH$1,$BD157,AllTriggers)</f>
        <v>2.9575151351750179E-3</v>
      </c>
      <c r="BI157" s="47">
        <f>_xll.qlPolynomialFunctionValue(BI$1,$BD157,AllTriggers)</f>
        <v>2.9652076460097046E-3</v>
      </c>
      <c r="BJ157" s="47">
        <f>_xll.qlPolynomialFunctionValue(BJ$1,$BD157,AllTriggers)</f>
        <v>3.0158490257020947E-3</v>
      </c>
      <c r="BK157" s="47">
        <f>_xll.qlPolynomialFunctionValue(BK$1,$BD157,AllTriggers)</f>
        <v>2.9669387532422885E-3</v>
      </c>
      <c r="BL157" s="47">
        <f>_xll.qlPolynomialFunctionValue(BL$1,$BD157,AllTriggers)</f>
        <v>2.9568425113433486E-3</v>
      </c>
      <c r="BM157" s="47">
        <f>_xll.qlPolynomialFunctionValue(BM$1,$BD157,AllTriggers)</f>
        <v>2.9639444803296398E-3</v>
      </c>
      <c r="BN157" s="47">
        <f>_xll.qlPolynomialFunctionValue(BN$1,$BD157,AllTriggers)</f>
        <v>2.9715691342092464E-3</v>
      </c>
      <c r="BO157" s="47">
        <f>_xll.qlPolynomialFunctionValue(BO$1,$BD157,AllTriggers)</f>
        <v>2.9692472665940827E-3</v>
      </c>
      <c r="BP157" s="47">
        <f>_xll.qlPolynomialFunctionValue(BP$1,$BD157,AllTriggers)</f>
        <v>2.9712192678620531E-3</v>
      </c>
      <c r="BQ157" s="47">
        <f>_xll.qlPolynomialFunctionValue('12MSynthDepo_used'!$P$18,BD157,AllTriggers)</f>
        <v>2.9855245959675429E-3</v>
      </c>
    </row>
    <row r="158" spans="18:69" x14ac:dyDescent="0.2">
      <c r="BC158" s="178">
        <f>_xll.qlCalendarAdvance(Calendar,BC157,"1d","mf",,Trigger)</f>
        <v>42352</v>
      </c>
      <c r="BD158" s="41">
        <f>_xll.qlDayCounterYearFraction(DayCounter,SettlementDate,BC158,,,Trigger)</f>
        <v>0.59444444444444444</v>
      </c>
      <c r="BE158" s="47">
        <f>_xll.qlPolynomialFunctionValue(BE$1,$BD158,AllTriggers)</f>
        <v>2.9677216049215928E-3</v>
      </c>
      <c r="BF158" s="47">
        <f>_xll.qlPolynomialFunctionValue(BF$1,$BD158,AllTriggers)</f>
        <v>3.0169167869307525E-3</v>
      </c>
      <c r="BG158" s="47">
        <f>_xll.qlPolynomialFunctionValue(BG$1,$BD158,AllTriggers)</f>
        <v>2.9685194583846625E-3</v>
      </c>
      <c r="BH158" s="47">
        <f>_xll.qlPolynomialFunctionValue(BH$1,$BD158,AllTriggers)</f>
        <v>2.9587249069351882E-3</v>
      </c>
      <c r="BI158" s="47">
        <f>_xll.qlPolynomialFunctionValue(BI$1,$BD158,AllTriggers)</f>
        <v>2.9678763162535784E-3</v>
      </c>
      <c r="BJ158" s="47">
        <f>_xll.qlPolynomialFunctionValue(BJ$1,$BD158,AllTriggers)</f>
        <v>3.0181146089526818E-3</v>
      </c>
      <c r="BK158" s="47">
        <f>_xll.qlPolynomialFunctionValue(BK$1,$BD158,AllTriggers)</f>
        <v>2.9683090930617251E-3</v>
      </c>
      <c r="BL158" s="47">
        <f>_xll.qlPolynomialFunctionValue(BL$1,$BD158,AllTriggers)</f>
        <v>2.958028051655754E-3</v>
      </c>
      <c r="BM158" s="47">
        <f>_xll.qlPolynomialFunctionValue(BM$1,$BD158,AllTriggers)</f>
        <v>2.9655494284018414E-3</v>
      </c>
      <c r="BN158" s="47">
        <f>_xll.qlPolynomialFunctionValue(BN$1,$BD158,AllTriggers)</f>
        <v>2.973594299060028E-3</v>
      </c>
      <c r="BO158" s="47">
        <f>_xll.qlPolynomialFunctionValue(BO$1,$BD158,AllTriggers)</f>
        <v>2.9707229871031309E-3</v>
      </c>
      <c r="BP158" s="47">
        <f>_xll.qlPolynomialFunctionValue(BP$1,$BD158,AllTriggers)</f>
        <v>2.972943915522352E-3</v>
      </c>
      <c r="BQ158" s="47">
        <f>_xll.qlPolynomialFunctionValue('12MSynthDepo_used'!$P$18,BD158,AllTriggers)</f>
        <v>2.9875553154175998E-3</v>
      </c>
    </row>
    <row r="159" spans="18:69" x14ac:dyDescent="0.2">
      <c r="BC159" s="178">
        <f>_xll.qlCalendarAdvance(Calendar,BC158,"1d","mf",,Trigger)</f>
        <v>42353</v>
      </c>
      <c r="BD159" s="41">
        <f>_xll.qlDayCounterYearFraction(DayCounter,SettlementDate,BC159,,,Trigger)</f>
        <v>0.59722222222222221</v>
      </c>
      <c r="BE159" s="47">
        <f>_xll.qlPolynomialFunctionValue(BE$1,$BD159,AllTriggers)</f>
        <v>2.968582584296595E-3</v>
      </c>
      <c r="BF159" s="47">
        <f>_xll.qlPolynomialFunctionValue(BF$1,$BD159,AllTriggers)</f>
        <v>3.0176520176621187E-3</v>
      </c>
      <c r="BG159" s="47">
        <f>_xll.qlPolynomialFunctionValue(BG$1,$BD159,AllTriggers)</f>
        <v>2.9689815110281298E-3</v>
      </c>
      <c r="BH159" s="47">
        <f>_xll.qlPolynomialFunctionValue(BH$1,$BD159,AllTriggers)</f>
        <v>2.9591316743611202E-3</v>
      </c>
      <c r="BI159" s="47">
        <f>_xll.qlPolynomialFunctionValue(BI$1,$BD159,AllTriggers)</f>
        <v>2.9687658730015365E-3</v>
      </c>
      <c r="BJ159" s="47">
        <f>_xll.qlPolynomialFunctionValue(BJ$1,$BD159,AllTriggers)</f>
        <v>3.0188518562287306E-3</v>
      </c>
      <c r="BK159" s="47">
        <f>_xll.qlPolynomialFunctionValue(BK$1,$BD159,AllTriggers)</f>
        <v>2.9687658730015373E-3</v>
      </c>
      <c r="BL159" s="47">
        <f>_xll.qlPolynomialFunctionValue(BL$1,$BD159,AllTriggers)</f>
        <v>2.958426936476014E-3</v>
      </c>
      <c r="BM159" s="47">
        <f>_xll.qlPolynomialFunctionValue(BM$1,$BD159,AllTriggers)</f>
        <v>2.9660844110925753E-3</v>
      </c>
      <c r="BN159" s="47">
        <f>_xll.qlPolynomialFunctionValue(BN$1,$BD159,AllTriggers)</f>
        <v>2.9742663749015913E-3</v>
      </c>
      <c r="BO159" s="47">
        <f>_xll.qlPolynomialFunctionValue(BO$1,$BD159,AllTriggers)</f>
        <v>2.9712148939394804E-3</v>
      </c>
      <c r="BP159" s="47">
        <f>_xll.qlPolynomialFunctionValue(BP$1,$BD159,AllTriggers)</f>
        <v>2.9735173381612821E-3</v>
      </c>
      <c r="BQ159" s="47">
        <f>_xll.qlPolynomialFunctionValue('12MSynthDepo_used'!$P$18,BD159,AllTriggers)</f>
        <v>2.9882246623907246E-3</v>
      </c>
    </row>
    <row r="160" spans="18:69" x14ac:dyDescent="0.2">
      <c r="BC160" s="178">
        <f>_xll.qlCalendarAdvance(Calendar,BC159,"1d","mf",,Trigger)</f>
        <v>42354</v>
      </c>
      <c r="BD160" s="41">
        <f>_xll.qlDayCounterYearFraction(DayCounter,SettlementDate,BC160,,,Trigger)</f>
        <v>0.6</v>
      </c>
      <c r="BE160" s="47">
        <f>_xll.qlPolynomialFunctionValue(BE$1,$BD160,AllTriggers)</f>
        <v>2.9694435636715972E-3</v>
      </c>
      <c r="BF160" s="47">
        <f>_xll.qlPolynomialFunctionValue(BF$1,$BD160,AllTriggers)</f>
        <v>3.0183785760732342E-3</v>
      </c>
      <c r="BG160" s="47">
        <f>_xll.qlPolynomialFunctionValue(BG$1,$BD160,AllTriggers)</f>
        <v>2.9694435636715968E-3</v>
      </c>
      <c r="BH160" s="47">
        <f>_xll.qlPolynomialFunctionValue(BH$1,$BD160,AllTriggers)</f>
        <v>2.9595401968733233E-3</v>
      </c>
      <c r="BI160" s="47">
        <f>_xll.qlPolynomialFunctionValue(BI$1,$BD160,AllTriggers)</f>
        <v>2.9696554297494945E-3</v>
      </c>
      <c r="BJ160" s="47">
        <f>_xll.qlPolynomialFunctionValue(BJ$1,$BD160,AllTriggers)</f>
        <v>3.0195801299343719E-3</v>
      </c>
      <c r="BK160" s="47">
        <f>_xll.qlPolynomialFunctionValue(BK$1,$BD160,AllTriggers)</f>
        <v>2.96922265294135E-3</v>
      </c>
      <c r="BL160" s="47">
        <f>_xll.qlPolynomialFunctionValue(BL$1,$BD160,AllTriggers)</f>
        <v>2.958827673654337E-3</v>
      </c>
      <c r="BM160" s="47">
        <f>_xll.qlPolynomialFunctionValue(BM$1,$BD160,AllTriggers)</f>
        <v>2.9666193937833087E-3</v>
      </c>
      <c r="BN160" s="47">
        <f>_xll.qlPolynomialFunctionValue(BN$1,$BD160,AllTriggers)</f>
        <v>2.9749369611888061E-3</v>
      </c>
      <c r="BO160" s="47">
        <f>_xll.qlPolynomialFunctionValue(BO$1,$BD160,AllTriggers)</f>
        <v>2.9717068007758295E-3</v>
      </c>
      <c r="BP160" s="47">
        <f>_xll.qlPolynomialFunctionValue(BP$1,$BD160,AllTriggers)</f>
        <v>2.9740900308429605E-3</v>
      </c>
      <c r="BQ160" s="47">
        <f>_xll.qlPolynomialFunctionValue('12MSynthDepo_used'!$P$18,BD160,AllTriggers)</f>
        <v>2.9888902541338864E-3</v>
      </c>
    </row>
    <row r="161" spans="55:69" x14ac:dyDescent="0.2">
      <c r="BC161" s="178">
        <f>_xll.qlCalendarAdvance(Calendar,BC160,"1d","mf",,Trigger)</f>
        <v>42355</v>
      </c>
      <c r="BD161" s="41">
        <f>_xll.qlDayCounterYearFraction(DayCounter,SettlementDate,BC161,,,Trigger)</f>
        <v>0.60277777777777775</v>
      </c>
      <c r="BE161" s="47">
        <f>_xll.qlPolynomialFunctionValue(BE$1,$BD161,AllTriggers)</f>
        <v>2.9703045430465994E-3</v>
      </c>
      <c r="BF161" s="47">
        <f>_xll.qlPolynomialFunctionValue(BF$1,$BD161,AllTriggers)</f>
        <v>3.0190964621640989E-3</v>
      </c>
      <c r="BG161" s="47">
        <f>_xll.qlPolynomialFunctionValue(BG$1,$BD161,AllTriggers)</f>
        <v>2.9699056163150642E-3</v>
      </c>
      <c r="BH161" s="47">
        <f>_xll.qlPolynomialFunctionValue(BH$1,$BD161,AllTriggers)</f>
        <v>2.9599504744717967E-3</v>
      </c>
      <c r="BI161" s="47">
        <f>_xll.qlPolynomialFunctionValue(BI$1,$BD161,AllTriggers)</f>
        <v>2.9705449864974526E-3</v>
      </c>
      <c r="BJ161" s="47">
        <f>_xll.qlPolynomialFunctionValue(BJ$1,$BD161,AllTriggers)</f>
        <v>3.020299430069606E-3</v>
      </c>
      <c r="BK161" s="47">
        <f>_xll.qlPolynomialFunctionValue(BK$1,$BD161,AllTriggers)</f>
        <v>2.9696794328811621E-3</v>
      </c>
      <c r="BL161" s="47">
        <f>_xll.qlPolynomialFunctionValue(BL$1,$BD161,AllTriggers)</f>
        <v>2.9592302631907216E-3</v>
      </c>
      <c r="BM161" s="47">
        <f>_xll.qlPolynomialFunctionValue(BM$1,$BD161,AllTriggers)</f>
        <v>2.9671543764740425E-3</v>
      </c>
      <c r="BN161" s="47">
        <f>_xll.qlPolynomialFunctionValue(BN$1,$BD161,AllTriggers)</f>
        <v>2.9756060579216722E-3</v>
      </c>
      <c r="BO161" s="47">
        <f>_xll.qlPolynomialFunctionValue(BO$1,$BD161,AllTriggers)</f>
        <v>2.972198707612179E-3</v>
      </c>
      <c r="BP161" s="47">
        <f>_xll.qlPolynomialFunctionValue(BP$1,$BD161,AllTriggers)</f>
        <v>2.9746619935673881E-3</v>
      </c>
      <c r="BQ161" s="47">
        <f>_xll.qlPolynomialFunctionValue('12MSynthDepo_used'!$P$18,BD161,AllTriggers)</f>
        <v>2.9895521053621742E-3</v>
      </c>
    </row>
    <row r="162" spans="55:69" x14ac:dyDescent="0.2">
      <c r="BC162" s="178">
        <f>_xll.qlCalendarAdvance(Calendar,BC161,"1d","mf",,Trigger)</f>
        <v>42356</v>
      </c>
      <c r="BD162" s="41">
        <f>_xll.qlDayCounterYearFraction(DayCounter,SettlementDate,BC162,,,Trigger)</f>
        <v>0.60555555555555551</v>
      </c>
      <c r="BE162" s="47">
        <f>_xll.qlPolynomialFunctionValue(BE$1,$BD162,AllTriggers)</f>
        <v>2.9711655224216016E-3</v>
      </c>
      <c r="BF162" s="47">
        <f>_xll.qlPolynomialFunctionValue(BF$1,$BD162,AllTriggers)</f>
        <v>3.0198056759347127E-3</v>
      </c>
      <c r="BG162" s="47">
        <f>_xll.qlPolynomialFunctionValue(BG$1,$BD162,AllTriggers)</f>
        <v>2.9703676689585312E-3</v>
      </c>
      <c r="BH162" s="47">
        <f>_xll.qlPolynomialFunctionValue(BH$1,$BD162,AllTriggers)</f>
        <v>2.9603625071565418E-3</v>
      </c>
      <c r="BI162" s="47">
        <f>_xll.qlPolynomialFunctionValue(BI$1,$BD162,AllTriggers)</f>
        <v>2.9714345432454107E-3</v>
      </c>
      <c r="BJ162" s="47">
        <f>_xll.qlPolynomialFunctionValue(BJ$1,$BD162,AllTriggers)</f>
        <v>3.0210097566344329E-3</v>
      </c>
      <c r="BK162" s="47">
        <f>_xll.qlPolynomialFunctionValue(BK$1,$BD162,AllTriggers)</f>
        <v>2.9701362128209743E-3</v>
      </c>
      <c r="BL162" s="47">
        <f>_xll.qlPolynomialFunctionValue(BL$1,$BD162,AllTriggers)</f>
        <v>2.9596347050851691E-3</v>
      </c>
      <c r="BM162" s="47">
        <f>_xll.qlPolynomialFunctionValue(BM$1,$BD162,AllTriggers)</f>
        <v>2.9676893591647764E-3</v>
      </c>
      <c r="BN162" s="47">
        <f>_xll.qlPolynomialFunctionValue(BN$1,$BD162,AllTriggers)</f>
        <v>2.97627366510019E-3</v>
      </c>
      <c r="BO162" s="47">
        <f>_xll.qlPolynomialFunctionValue(BO$1,$BD162,AllTriggers)</f>
        <v>2.9726906144485286E-3</v>
      </c>
      <c r="BP162" s="47">
        <f>_xll.qlPolynomialFunctionValue(BP$1,$BD162,AllTriggers)</f>
        <v>2.9752332263345638E-3</v>
      </c>
      <c r="BQ162" s="47">
        <f>_xll.qlPolynomialFunctionValue('12MSynthDepo_used'!$P$18,BD162,AllTriggers)</f>
        <v>2.9902102307906796E-3</v>
      </c>
    </row>
    <row r="163" spans="55:69" x14ac:dyDescent="0.2">
      <c r="BC163" s="178">
        <f>_xll.qlCalendarAdvance(Calendar,BC162,"1d","mf",,Trigger)</f>
        <v>42359</v>
      </c>
      <c r="BD163" s="41">
        <f>_xll.qlDayCounterYearFraction(DayCounter,SettlementDate,BC163,,,Trigger)</f>
        <v>0.61388888888888893</v>
      </c>
      <c r="BE163" s="47">
        <f>_xll.qlPolynomialFunctionValue(BE$1,$BD163,AllTriggers)</f>
        <v>2.9737484605466087E-3</v>
      </c>
      <c r="BF163" s="47">
        <f>_xll.qlPolynomialFunctionValue(BF$1,$BD163,AllTriggers)</f>
        <v>3.0218812833250498E-3</v>
      </c>
      <c r="BG163" s="47">
        <f>_xll.qlPolynomialFunctionValue(BG$1,$BD163,AllTriggers)</f>
        <v>2.9717538268889329E-3</v>
      </c>
      <c r="BH163" s="47">
        <f>_xll.qlPolynomialFunctionValue(BH$1,$BD163,AllTriggers)</f>
        <v>2.9616091357284021E-3</v>
      </c>
      <c r="BI163" s="47">
        <f>_xll.qlPolynomialFunctionValue(BI$1,$BD163,AllTriggers)</f>
        <v>2.9741032134892845E-3</v>
      </c>
      <c r="BJ163" s="47">
        <f>_xll.qlPolynomialFunctionValue(BJ$1,$BD163,AllTriggers)</f>
        <v>3.0230868949064713E-3</v>
      </c>
      <c r="BK163" s="47">
        <f>_xll.qlPolynomialFunctionValue(BK$1,$BD163,AllTriggers)</f>
        <v>2.9715065526404109E-3</v>
      </c>
      <c r="BL163" s="47">
        <f>_xll.qlPolynomialFunctionValue(BL$1,$BD163,AllTriggers)</f>
        <v>2.9608591449168859E-3</v>
      </c>
      <c r="BM163" s="47">
        <f>_xll.qlPolynomialFunctionValue(BM$1,$BD163,AllTriggers)</f>
        <v>2.969294307236978E-3</v>
      </c>
      <c r="BN163" s="47">
        <f>_xll.qlPolynomialFunctionValue(BN$1,$BD163,AllTriggers)</f>
        <v>2.9782675493096522E-3</v>
      </c>
      <c r="BO163" s="47">
        <f>_xll.qlPolynomialFunctionValue(BO$1,$BD163,AllTriggers)</f>
        <v>2.9741663349575767E-3</v>
      </c>
      <c r="BP163" s="47">
        <f>_xll.qlPolynomialFunctionValue(BP$1,$BD163,AllTriggers)</f>
        <v>2.9769425448925822E-3</v>
      </c>
      <c r="BQ163" s="47">
        <f>_xll.qlPolynomialFunctionValue('12MSynthDepo_used'!$P$18,BD163,AllTriggers)</f>
        <v>2.9921623994284018E-3</v>
      </c>
    </row>
    <row r="164" spans="55:69" x14ac:dyDescent="0.2">
      <c r="BC164" s="178">
        <f>_xll.qlCalendarAdvance(Calendar,BC163,"1d","mf",,Trigger)</f>
        <v>42360</v>
      </c>
      <c r="BD164" s="41">
        <f>_xll.qlDayCounterYearFraction(DayCounter,SettlementDate,BC164,,,Trigger)</f>
        <v>0.6166666666666667</v>
      </c>
      <c r="BE164" s="47">
        <f>_xll.qlPolynomialFunctionValue(BE$1,$BD164,AllTriggers)</f>
        <v>2.9746094399216109E-3</v>
      </c>
      <c r="BF164" s="47">
        <f>_xll.qlPolynomialFunctionValue(BF$1,$BD164,AllTriggers)</f>
        <v>3.0225558078146608E-3</v>
      </c>
      <c r="BG164" s="47">
        <f>_xll.qlPolynomialFunctionValue(BG$1,$BD164,AllTriggers)</f>
        <v>2.9722158795323999E-3</v>
      </c>
      <c r="BH164" s="47">
        <f>_xll.qlPolynomialFunctionValue(BH$1,$BD164,AllTriggers)</f>
        <v>2.9620281887582306E-3</v>
      </c>
      <c r="BI164" s="47">
        <f>_xll.qlPolynomialFunctionValue(BI$1,$BD164,AllTriggers)</f>
        <v>2.9749927702372426E-3</v>
      </c>
      <c r="BJ164" s="47">
        <f>_xll.qlPolynomialFunctionValue(BJ$1,$BD164,AllTriggers)</f>
        <v>3.0237613271896701E-3</v>
      </c>
      <c r="BK164" s="47">
        <f>_xll.qlPolynomialFunctionValue(BK$1,$BD164,AllTriggers)</f>
        <v>2.9719633325802236E-3</v>
      </c>
      <c r="BL164" s="47">
        <f>_xll.qlPolynomialFunctionValue(BL$1,$BD164,AllTriggers)</f>
        <v>2.9612709962435835E-3</v>
      </c>
      <c r="BM164" s="47">
        <f>_xll.qlPolynomialFunctionValue(BM$1,$BD164,AllTriggers)</f>
        <v>2.9698292899277118E-3</v>
      </c>
      <c r="BN164" s="47">
        <f>_xll.qlPolynomialFunctionValue(BN$1,$BD164,AllTriggers)</f>
        <v>2.9789291982707756E-3</v>
      </c>
      <c r="BO164" s="47">
        <f>_xll.qlPolynomialFunctionValue(BO$1,$BD164,AllTriggers)</f>
        <v>2.9746582417939258E-3</v>
      </c>
      <c r="BP164" s="47">
        <f>_xll.qlPolynomialFunctionValue(BP$1,$BD164,AllTriggers)</f>
        <v>2.9775108578307522E-3</v>
      </c>
      <c r="BQ164" s="47">
        <f>_xll.qlPolynomialFunctionValue('12MSynthDepo_used'!$P$18,BD164,AllTriggers)</f>
        <v>2.9928057688086789E-3</v>
      </c>
    </row>
    <row r="165" spans="55:69" x14ac:dyDescent="0.2">
      <c r="BC165" s="178">
        <f>_xll.qlCalendarAdvance(Calendar,BC164,"1d","mf",,Trigger)</f>
        <v>42361</v>
      </c>
      <c r="BD165" s="41">
        <f>_xll.qlDayCounterYearFraction(DayCounter,SettlementDate,BC165,,,Trigger)</f>
        <v>0.61944444444444446</v>
      </c>
      <c r="BE165" s="47">
        <f>_xll.qlPolynomialFunctionValue(BE$1,$BD165,AllTriggers)</f>
        <v>2.9754704192966131E-3</v>
      </c>
      <c r="BF165" s="47">
        <f>_xll.qlPolynomialFunctionValue(BF$1,$BD165,AllTriggers)</f>
        <v>3.023221659984021E-3</v>
      </c>
      <c r="BG165" s="47">
        <f>_xll.qlPolynomialFunctionValue(BG$1,$BD165,AllTriggers)</f>
        <v>2.9726779321758673E-3</v>
      </c>
      <c r="BH165" s="47">
        <f>_xll.qlPolynomialFunctionValue(BH$1,$BD165,AllTriggers)</f>
        <v>2.9624489968743299E-3</v>
      </c>
      <c r="BI165" s="47">
        <f>_xll.qlPolynomialFunctionValue(BI$1,$BD165,AllTriggers)</f>
        <v>2.9758823269852002E-3</v>
      </c>
      <c r="BJ165" s="47">
        <f>_xll.qlPolynomialFunctionValue(BJ$1,$BD165,AllTriggers)</f>
        <v>3.0244267859024618E-3</v>
      </c>
      <c r="BK165" s="47">
        <f>_xll.qlPolynomialFunctionValue(BK$1,$BD165,AllTriggers)</f>
        <v>2.9724201125200357E-3</v>
      </c>
      <c r="BL165" s="47">
        <f>_xll.qlPolynomialFunctionValue(BL$1,$BD165,AllTriggers)</f>
        <v>2.9616846999283427E-3</v>
      </c>
      <c r="BM165" s="47">
        <f>_xll.qlPolynomialFunctionValue(BM$1,$BD165,AllTriggers)</f>
        <v>2.9703642726184457E-3</v>
      </c>
      <c r="BN165" s="47">
        <f>_xll.qlPolynomialFunctionValue(BN$1,$BD165,AllTriggers)</f>
        <v>2.9795893576775511E-3</v>
      </c>
      <c r="BO165" s="47">
        <f>_xll.qlPolynomialFunctionValue(BO$1,$BD165,AllTriggers)</f>
        <v>2.9751501486302754E-3</v>
      </c>
      <c r="BP165" s="47">
        <f>_xll.qlPolynomialFunctionValue(BP$1,$BD165,AllTriggers)</f>
        <v>2.9780784408116705E-3</v>
      </c>
      <c r="BQ165" s="47">
        <f>_xll.qlPolynomialFunctionValue('12MSynthDepo_used'!$P$18,BD165,AllTriggers)</f>
        <v>2.9934454859646248E-3</v>
      </c>
    </row>
    <row r="166" spans="55:69" x14ac:dyDescent="0.2">
      <c r="BC166" s="178">
        <f>_xll.qlCalendarAdvance(Calendar,BC165,"1d","mf",,Trigger)</f>
        <v>42362</v>
      </c>
      <c r="BD166" s="41">
        <f>_xll.qlDayCounterYearFraction(DayCounter,SettlementDate,BC166,,,Trigger)</f>
        <v>0.62222222222222223</v>
      </c>
      <c r="BE166" s="47">
        <f>_xll.qlPolynomialFunctionValue(BE$1,$BD166,AllTriggers)</f>
        <v>2.9763313986716153E-3</v>
      </c>
      <c r="BF166" s="47">
        <f>_xll.qlPolynomialFunctionValue(BF$1,$BD166,AllTriggers)</f>
        <v>3.0238788398331299E-3</v>
      </c>
      <c r="BG166" s="47">
        <f>_xll.qlPolynomialFunctionValue(BG$1,$BD166,AllTriggers)</f>
        <v>2.9731399848193342E-3</v>
      </c>
      <c r="BH166" s="47">
        <f>_xll.qlPolynomialFunctionValue(BH$1,$BD166,AllTriggers)</f>
        <v>2.9628715600767009E-3</v>
      </c>
      <c r="BI166" s="47">
        <f>_xll.qlPolynomialFunctionValue(BI$1,$BD166,AllTriggers)</f>
        <v>2.9767718837331583E-3</v>
      </c>
      <c r="BJ166" s="47">
        <f>_xll.qlPolynomialFunctionValue(BJ$1,$BD166,AllTriggers)</f>
        <v>3.0250832710448463E-3</v>
      </c>
      <c r="BK166" s="47">
        <f>_xll.qlPolynomialFunctionValue(BK$1,$BD166,AllTriggers)</f>
        <v>2.9728768924598479E-3</v>
      </c>
      <c r="BL166" s="47">
        <f>_xll.qlPolynomialFunctionValue(BL$1,$BD166,AllTriggers)</f>
        <v>2.9621002559711649E-3</v>
      </c>
      <c r="BM166" s="47">
        <f>_xll.qlPolynomialFunctionValue(BM$1,$BD166,AllTriggers)</f>
        <v>2.9708992553091791E-3</v>
      </c>
      <c r="BN166" s="47">
        <f>_xll.qlPolynomialFunctionValue(BN$1,$BD166,AllTriggers)</f>
        <v>2.9802480275299774E-3</v>
      </c>
      <c r="BO166" s="47">
        <f>_xll.qlPolynomialFunctionValue(BO$1,$BD166,AllTriggers)</f>
        <v>2.9756420554666249E-3</v>
      </c>
      <c r="BP166" s="47">
        <f>_xll.qlPolynomialFunctionValue(BP$1,$BD166,AllTriggers)</f>
        <v>2.9786452938353374E-3</v>
      </c>
      <c r="BQ166" s="47">
        <f>_xll.qlPolynomialFunctionValue('12MSynthDepo_used'!$P$18,BD166,AllTriggers)</f>
        <v>2.994081565611329E-3</v>
      </c>
    </row>
    <row r="167" spans="55:69" x14ac:dyDescent="0.2">
      <c r="BC167" s="178">
        <f>_xll.qlCalendarAdvance(Calendar,BC166,"1d","mf",,Trigger)</f>
        <v>42366</v>
      </c>
      <c r="BD167" s="41">
        <f>_xll.qlDayCounterYearFraction(DayCounter,SettlementDate,BC167,,,Trigger)</f>
        <v>0.6333333333333333</v>
      </c>
      <c r="BE167" s="47">
        <f>_xll.qlPolynomialFunctionValue(BE$1,$BD167,AllTriggers)</f>
        <v>2.9797753161716241E-3</v>
      </c>
      <c r="BF167" s="47">
        <f>_xll.qlPolynomialFunctionValue(BF$1,$BD167,AllTriggers)</f>
        <v>3.0264208360270598E-3</v>
      </c>
      <c r="BG167" s="47">
        <f>_xll.qlPolynomialFunctionValue(BG$1,$BD167,AllTriggers)</f>
        <v>2.9749881953932034E-3</v>
      </c>
      <c r="BH167" s="47">
        <f>_xll.qlPolynomialFunctionValue(BH$1,$BD167,AllTriggers)</f>
        <v>2.9645793637488927E-3</v>
      </c>
      <c r="BI167" s="47">
        <f>_xll.qlPolynomialFunctionValue(BI$1,$BD167,AllTriggers)</f>
        <v>2.9803301107249902E-3</v>
      </c>
      <c r="BJ167" s="47">
        <f>_xll.qlPolynomialFunctionValue(BJ$1,$BD167,AllTriggers)</f>
        <v>3.0276194759103134E-3</v>
      </c>
      <c r="BK167" s="47">
        <f>_xll.qlPolynomialFunctionValue(BK$1,$BD167,AllTriggers)</f>
        <v>2.9747040122190967E-3</v>
      </c>
      <c r="BL167" s="47">
        <f>_xll.qlPolynomialFunctionValue(BL$1,$BD167,AllTriggers)</f>
        <v>2.9637810037230774E-3</v>
      </c>
      <c r="BM167" s="47">
        <f>_xll.qlPolynomialFunctionValue(BM$1,$BD167,AllTriggers)</f>
        <v>2.9730391860721146E-3</v>
      </c>
      <c r="BN167" s="47">
        <f>_xll.qlPolynomialFunctionValue(BN$1,$BD167,AllTriggers)</f>
        <v>2.9828678113961982E-3</v>
      </c>
      <c r="BO167" s="47">
        <f>_xll.qlPolynomialFunctionValue(BO$1,$BD167,AllTriggers)</f>
        <v>2.9776096828120226E-3</v>
      </c>
      <c r="BP167" s="47">
        <f>_xll.qlPolynomialFunctionValue(BP$1,$BD167,AllTriggers)</f>
        <v>2.9809054063574909E-3</v>
      </c>
      <c r="BQ167" s="47">
        <f>_xll.qlPolynomialFunctionValue('12MSynthDepo_used'!$P$18,BD167,AllTriggers)</f>
        <v>2.9965898034075419E-3</v>
      </c>
    </row>
    <row r="168" spans="55:69" x14ac:dyDescent="0.2">
      <c r="BC168" s="178">
        <f>_xll.qlCalendarAdvance(Calendar,BC167,"1d","mf",,Trigger)</f>
        <v>42367</v>
      </c>
      <c r="BD168" s="41">
        <f>_xll.qlDayCounterYearFraction(DayCounter,SettlementDate,BC168,,,Trigger)</f>
        <v>0.63611111111111107</v>
      </c>
      <c r="BE168" s="47">
        <f>_xll.qlPolynomialFunctionValue(BE$1,$BD168,AllTriggers)</f>
        <v>2.9806362955466267E-3</v>
      </c>
      <c r="BF168" s="47">
        <f>_xll.qlPolynomialFunctionValue(BF$1,$BD168,AllTriggers)</f>
        <v>3.0270346542749156E-3</v>
      </c>
      <c r="BG168" s="47">
        <f>_xll.qlPolynomialFunctionValue(BG$1,$BD168,AllTriggers)</f>
        <v>2.9754502480366703E-3</v>
      </c>
      <c r="BH168" s="47">
        <f>_xll.qlPolynomialFunctionValue(BH$1,$BD168,AllTriggers)</f>
        <v>2.9650107023826179E-3</v>
      </c>
      <c r="BI168" s="47">
        <f>_xll.qlPolynomialFunctionValue(BI$1,$BD168,AllTriggers)</f>
        <v>2.9812196674729482E-3</v>
      </c>
      <c r="BJ168" s="47">
        <f>_xll.qlPolynomialFunctionValue(BJ$1,$BD168,AllTriggers)</f>
        <v>3.0282310932006626E-3</v>
      </c>
      <c r="BK168" s="47">
        <f>_xll.qlPolynomialFunctionValue(BK$1,$BD168,AllTriggers)</f>
        <v>2.9751607921589093E-3</v>
      </c>
      <c r="BL168" s="47">
        <f>_xll.qlPolynomialFunctionValue(BL$1,$BD168,AllTriggers)</f>
        <v>2.9642058215562121E-3</v>
      </c>
      <c r="BM168" s="47">
        <f>_xll.qlPolynomialFunctionValue(BM$1,$BD168,AllTriggers)</f>
        <v>2.9735741687628484E-3</v>
      </c>
      <c r="BN168" s="47">
        <f>_xll.qlPolynomialFunctionValue(BN$1,$BD168,AllTriggers)</f>
        <v>2.9835190334768823E-3</v>
      </c>
      <c r="BO168" s="47">
        <f>_xll.qlPolynomialFunctionValue(BO$1,$BD168,AllTriggers)</f>
        <v>2.9781015896483717E-3</v>
      </c>
      <c r="BP168" s="47">
        <f>_xll.qlPolynomialFunctionValue(BP$1,$BD168,AllTriggers)</f>
        <v>2.9814686095949003E-3</v>
      </c>
      <c r="BQ168" s="47">
        <f>_xll.qlPolynomialFunctionValue('12MSynthDepo_used'!$P$18,BD168,AllTriggers)</f>
        <v>2.9972079162343952E-3</v>
      </c>
    </row>
    <row r="169" spans="55:69" x14ac:dyDescent="0.2">
      <c r="BC169" s="178">
        <f>_xll.qlCalendarAdvance(Calendar,BC168,"1d","mf",,Trigger)</f>
        <v>42368</v>
      </c>
      <c r="BD169" s="41">
        <f>_xll.qlDayCounterYearFraction(DayCounter,SettlementDate,BC169,,,Trigger)</f>
        <v>0.63888888888888884</v>
      </c>
      <c r="BE169" s="47">
        <f>_xll.qlPolynomialFunctionValue(BE$1,$BD169,AllTriggers)</f>
        <v>2.9814972749216289E-3</v>
      </c>
      <c r="BF169" s="47">
        <f>_xll.qlPolynomialFunctionValue(BF$1,$BD169,AllTriggers)</f>
        <v>3.0276398002025205E-3</v>
      </c>
      <c r="BG169" s="47">
        <f>_xll.qlPolynomialFunctionValue(BG$1,$BD169,AllTriggers)</f>
        <v>2.9759123006801377E-3</v>
      </c>
      <c r="BH169" s="47">
        <f>_xll.qlPolynomialFunctionValue(BH$1,$BD169,AllTriggers)</f>
        <v>2.9654437961026143E-3</v>
      </c>
      <c r="BI169" s="47">
        <f>_xll.qlPolynomialFunctionValue(BI$1,$BD169,AllTriggers)</f>
        <v>2.9821092242209063E-3</v>
      </c>
      <c r="BJ169" s="47">
        <f>_xll.qlPolynomialFunctionValue(BJ$1,$BD169,AllTriggers)</f>
        <v>3.0288337369206043E-3</v>
      </c>
      <c r="BK169" s="47">
        <f>_xll.qlPolynomialFunctionValue(BK$1,$BD169,AllTriggers)</f>
        <v>2.9756175720987215E-3</v>
      </c>
      <c r="BL169" s="47">
        <f>_xll.qlPolynomialFunctionValue(BL$1,$BD169,AllTriggers)</f>
        <v>2.9646324917474084E-3</v>
      </c>
      <c r="BM169" s="47">
        <f>_xll.qlPolynomialFunctionValue(BM$1,$BD169,AllTriggers)</f>
        <v>2.9741091514535823E-3</v>
      </c>
      <c r="BN169" s="47">
        <f>_xll.qlPolynomialFunctionValue(BN$1,$BD169,AllTriggers)</f>
        <v>2.984168766003218E-3</v>
      </c>
      <c r="BO169" s="47">
        <f>_xll.qlPolynomialFunctionValue(BO$1,$BD169,AllTriggers)</f>
        <v>2.9785934964847213E-3</v>
      </c>
      <c r="BP169" s="47">
        <f>_xll.qlPolynomialFunctionValue(BP$1,$BD169,AllTriggers)</f>
        <v>2.9820310828750588E-3</v>
      </c>
      <c r="BQ169" s="47">
        <f>_xll.qlPolynomialFunctionValue('12MSynthDepo_used'!$P$18,BD169,AllTriggers)</f>
        <v>2.9978224798425488E-3</v>
      </c>
    </row>
    <row r="170" spans="55:69" x14ac:dyDescent="0.2">
      <c r="BC170" s="178">
        <f>_xll.qlCalendarAdvance(Calendar,BC169,"1d","mf",,Trigger)</f>
        <v>42369</v>
      </c>
      <c r="BD170" s="41">
        <f>_xll.qlDayCounterYearFraction(DayCounter,SettlementDate,BC170,,,Trigger)</f>
        <v>0.64166666666666672</v>
      </c>
      <c r="BE170" s="47">
        <f>_xll.qlPolynomialFunctionValue(BE$1,$BD170,AllTriggers)</f>
        <v>2.9823582542966311E-3</v>
      </c>
      <c r="BF170" s="47">
        <f>_xll.qlPolynomialFunctionValue(BF$1,$BD170,AllTriggers)</f>
        <v>3.0282362738098738E-3</v>
      </c>
      <c r="BG170" s="47">
        <f>_xll.qlPolynomialFunctionValue(BG$1,$BD170,AllTriggers)</f>
        <v>2.9763743533236047E-3</v>
      </c>
      <c r="BH170" s="47">
        <f>_xll.qlPolynomialFunctionValue(BH$1,$BD170,AllTriggers)</f>
        <v>2.9658786449088814E-3</v>
      </c>
      <c r="BI170" s="47">
        <f>_xll.qlPolynomialFunctionValue(BI$1,$BD170,AllTriggers)</f>
        <v>2.9829987809688644E-3</v>
      </c>
      <c r="BJ170" s="47">
        <f>_xll.qlPolynomialFunctionValue(BJ$1,$BD170,AllTriggers)</f>
        <v>3.0294274070701392E-3</v>
      </c>
      <c r="BK170" s="47">
        <f>_xll.qlPolynomialFunctionValue(BK$1,$BD170,AllTriggers)</f>
        <v>2.9760743520385337E-3</v>
      </c>
      <c r="BL170" s="47">
        <f>_xll.qlPolynomialFunctionValue(BL$1,$BD170,AllTriggers)</f>
        <v>2.9650610142966678E-3</v>
      </c>
      <c r="BM170" s="47">
        <f>_xll.qlPolynomialFunctionValue(BM$1,$BD170,AllTriggers)</f>
        <v>2.9746441341443157E-3</v>
      </c>
      <c r="BN170" s="47">
        <f>_xll.qlPolynomialFunctionValue(BN$1,$BD170,AllTriggers)</f>
        <v>2.9848170089752045E-3</v>
      </c>
      <c r="BO170" s="47">
        <f>_xll.qlPolynomialFunctionValue(BO$1,$BD170,AllTriggers)</f>
        <v>2.9790854033210708E-3</v>
      </c>
      <c r="BP170" s="47">
        <f>_xll.qlPolynomialFunctionValue(BP$1,$BD170,AllTriggers)</f>
        <v>2.9825928261979651E-3</v>
      </c>
      <c r="BQ170" s="47">
        <f>_xll.qlPolynomialFunctionValue('12MSynthDepo_used'!$P$18,BD170,AllTriggers)</f>
        <v>2.9984335089470932E-3</v>
      </c>
    </row>
    <row r="171" spans="55:69" x14ac:dyDescent="0.2">
      <c r="BC171" s="178">
        <f>_xll.qlCalendarAdvance(Calendar,BC170,"1d","mf",,Trigger)</f>
        <v>42373</v>
      </c>
      <c r="BD171" s="41">
        <f>_xll.qlDayCounterYearFraction(DayCounter,SettlementDate,BC171,,,Trigger)</f>
        <v>0.65277777777777779</v>
      </c>
      <c r="BE171" s="47">
        <f>_xll.qlPolynomialFunctionValue(BE$1,$BD171,AllTriggers)</f>
        <v>2.9858021717966399E-3</v>
      </c>
      <c r="BF171" s="47">
        <f>_xll.qlPolynomialFunctionValue(BF$1,$BD171,AllTriggers)</f>
        <v>3.0305354450367826E-3</v>
      </c>
      <c r="BG171" s="47">
        <f>_xll.qlPolynomialFunctionValue(BG$1,$BD171,AllTriggers)</f>
        <v>2.9782225638974734E-3</v>
      </c>
      <c r="BH171" s="47">
        <f>_xll.qlPolynomialFunctionValue(BH$1,$BD171,AllTriggers)</f>
        <v>2.9676355909966602E-3</v>
      </c>
      <c r="BI171" s="47">
        <f>_xll.qlPolynomialFunctionValue(BI$1,$BD171,AllTriggers)</f>
        <v>2.9865570079606963E-3</v>
      </c>
      <c r="BJ171" s="47">
        <f>_xll.qlPolynomialFunctionValue(BJ$1,$BD171,AllTriggers)</f>
        <v>3.0317123519642076E-3</v>
      </c>
      <c r="BK171" s="47">
        <f>_xll.qlPolynomialFunctionValue(BK$1,$BD171,AllTriggers)</f>
        <v>2.9779014717977829E-3</v>
      </c>
      <c r="BL171" s="47">
        <f>_xll.qlPolynomialFunctionValue(BL$1,$BD171,AllTriggers)</f>
        <v>2.9667936280743292E-3</v>
      </c>
      <c r="BM171" s="47">
        <f>_xll.qlPolynomialFunctionValue(BM$1,$BD171,AllTriggers)</f>
        <v>2.9767840649072511E-3</v>
      </c>
      <c r="BN171" s="47">
        <f>_xll.qlPolynomialFunctionValue(BN$1,$BD171,AllTriggers)</f>
        <v>2.9873950853196666E-3</v>
      </c>
      <c r="BO171" s="47">
        <f>_xll.qlPolynomialFunctionValue(BO$1,$BD171,AllTriggers)</f>
        <v>2.9810530306664685E-3</v>
      </c>
      <c r="BP171" s="47">
        <f>_xll.qlPolynomialFunctionValue(BP$1,$BD171,AllTriggers)</f>
        <v>2.984832499917078E-3</v>
      </c>
      <c r="BQ171" s="47">
        <f>_xll.qlPolynomialFunctionValue('12MSynthDepo_used'!$P$18,BD171,AllTriggers)</f>
        <v>3.0008425746309848E-3</v>
      </c>
    </row>
    <row r="172" spans="55:69" x14ac:dyDescent="0.2">
      <c r="BC172" s="178">
        <f>_xll.qlCalendarAdvance(Calendar,BC171,"1d","mf",,Trigger)</f>
        <v>42374</v>
      </c>
      <c r="BD172" s="41">
        <f>_xll.qlDayCounterYearFraction(DayCounter,SettlementDate,BC172,,,Trigger)</f>
        <v>0.65555555555555556</v>
      </c>
      <c r="BE172" s="47">
        <f>_xll.qlPolynomialFunctionValue(BE$1,$BD172,AllTriggers)</f>
        <v>2.9866631511716426E-3</v>
      </c>
      <c r="BF172" s="47">
        <f>_xll.qlPolynomialFunctionValue(BF$1,$BD172,AllTriggers)</f>
        <v>3.0310885570428827E-3</v>
      </c>
      <c r="BG172" s="47">
        <f>_xll.qlPolynomialFunctionValue(BG$1,$BD172,AllTriggers)</f>
        <v>2.9786846165409408E-3</v>
      </c>
      <c r="BH172" s="47">
        <f>_xll.qlPolynomialFunctionValue(BH$1,$BD172,AllTriggers)</f>
        <v>2.9680792152342824E-3</v>
      </c>
      <c r="BI172" s="47">
        <f>_xll.qlPolynomialFunctionValue(BI$1,$BD172,AllTriggers)</f>
        <v>2.9874465647086543E-3</v>
      </c>
      <c r="BJ172" s="47">
        <f>_xll.qlPolynomialFunctionValue(BJ$1,$BD172,AllTriggers)</f>
        <v>3.0322611542617072E-3</v>
      </c>
      <c r="BK172" s="47">
        <f>_xll.qlPolynomialFunctionValue(BK$1,$BD172,AllTriggers)</f>
        <v>2.9783582517375951E-3</v>
      </c>
      <c r="BL172" s="47">
        <f>_xll.qlPolynomialFunctionValue(BL$1,$BD172,AllTriggers)</f>
        <v>2.9672314124139002E-3</v>
      </c>
      <c r="BM172" s="47">
        <f>_xll.qlPolynomialFunctionValue(BM$1,$BD172,AllTriggers)</f>
        <v>2.977319047597985E-3</v>
      </c>
      <c r="BN172" s="47">
        <f>_xll.qlPolynomialFunctionValue(BN$1,$BD172,AllTriggers)</f>
        <v>2.9880358805199105E-3</v>
      </c>
      <c r="BO172" s="47">
        <f>_xll.qlPolynomialFunctionValue(BO$1,$BD172,AllTriggers)</f>
        <v>2.9815449375028176E-3</v>
      </c>
      <c r="BP172" s="47">
        <f>_xll.qlPolynomialFunctionValue(BP$1,$BD172,AllTriggers)</f>
        <v>2.9853905934537272E-3</v>
      </c>
      <c r="BQ172" s="47">
        <f>_xll.qlPolynomialFunctionValue('12MSynthDepo_used'!$P$18,BD172,AllTriggers)</f>
        <v>3.0014361519438374E-3</v>
      </c>
    </row>
    <row r="173" spans="55:69" x14ac:dyDescent="0.2">
      <c r="BC173" s="178">
        <f>_xll.qlCalendarAdvance(Calendar,BC172,"1d","mf",,Trigger)</f>
        <v>42375</v>
      </c>
      <c r="BD173" s="41">
        <f>_xll.qlDayCounterYearFraction(DayCounter,SettlementDate,BC173,,,Trigger)</f>
        <v>0.65833333333333333</v>
      </c>
      <c r="BE173" s="47">
        <f>_xll.qlPolynomialFunctionValue(BE$1,$BD173,AllTriggers)</f>
        <v>2.9875241305466448E-3</v>
      </c>
      <c r="BF173" s="47">
        <f>_xll.qlPolynomialFunctionValue(BF$1,$BD173,AllTriggers)</f>
        <v>3.0316329967287319E-3</v>
      </c>
      <c r="BG173" s="47">
        <f>_xll.qlPolynomialFunctionValue(BG$1,$BD173,AllTriggers)</f>
        <v>2.9791466691844078E-3</v>
      </c>
      <c r="BH173" s="47">
        <f>_xll.qlPolynomialFunctionValue(BH$1,$BD173,AllTriggers)</f>
        <v>2.9685245945581754E-3</v>
      </c>
      <c r="BI173" s="47">
        <f>_xll.qlPolynomialFunctionValue(BI$1,$BD173,AllTriggers)</f>
        <v>2.988336121456612E-3</v>
      </c>
      <c r="BJ173" s="47">
        <f>_xll.qlPolynomialFunctionValue(BJ$1,$BD173,AllTriggers)</f>
        <v>3.0328009829887993E-3</v>
      </c>
      <c r="BK173" s="47">
        <f>_xll.qlPolynomialFunctionValue(BK$1,$BD173,AllTriggers)</f>
        <v>2.9788150316774073E-3</v>
      </c>
      <c r="BL173" s="47">
        <f>_xll.qlPolynomialFunctionValue(BL$1,$BD173,AllTriggers)</f>
        <v>2.9676710491115341E-3</v>
      </c>
      <c r="BM173" s="47">
        <f>_xll.qlPolynomialFunctionValue(BM$1,$BD173,AllTriggers)</f>
        <v>2.9778540302887188E-3</v>
      </c>
      <c r="BN173" s="47">
        <f>_xll.qlPolynomialFunctionValue(BN$1,$BD173,AllTriggers)</f>
        <v>2.9886751861658064E-3</v>
      </c>
      <c r="BO173" s="47">
        <f>_xll.qlPolynomialFunctionValue(BO$1,$BD173,AllTriggers)</f>
        <v>2.9820368443391671E-3</v>
      </c>
      <c r="BP173" s="47">
        <f>_xll.qlPolynomialFunctionValue(BP$1,$BD173,AllTriggers)</f>
        <v>2.9859479570331247E-3</v>
      </c>
      <c r="BQ173" s="47">
        <f>_xll.qlPolynomialFunctionValue('12MSynthDepo_used'!$P$18,BD173,AllTriggers)</f>
        <v>3.0020262830436225E-3</v>
      </c>
    </row>
    <row r="174" spans="55:69" x14ac:dyDescent="0.2">
      <c r="BC174" s="178">
        <f>_xll.qlCalendarAdvance(Calendar,BC173,"1d","mf",,Trigger)</f>
        <v>42376</v>
      </c>
      <c r="BD174" s="41">
        <f>_xll.qlDayCounterYearFraction(DayCounter,SettlementDate,BC174,,,Trigger)</f>
        <v>0.66111111111111109</v>
      </c>
      <c r="BE174" s="47">
        <f>_xll.qlPolynomialFunctionValue(BE$1,$BD174,AllTriggers)</f>
        <v>2.988385109921647E-3</v>
      </c>
      <c r="BF174" s="47">
        <f>_xll.qlPolynomialFunctionValue(BF$1,$BD174,AllTriggers)</f>
        <v>3.0321687640943308E-3</v>
      </c>
      <c r="BG174" s="47">
        <f>_xll.qlPolynomialFunctionValue(BG$1,$BD174,AllTriggers)</f>
        <v>2.9796087218278752E-3</v>
      </c>
      <c r="BH174" s="47">
        <f>_xll.qlPolynomialFunctionValue(BH$1,$BD174,AllTriggers)</f>
        <v>2.9689717289683396E-3</v>
      </c>
      <c r="BI174" s="47">
        <f>_xll.qlPolynomialFunctionValue(BI$1,$BD174,AllTriggers)</f>
        <v>2.9892256782045701E-3</v>
      </c>
      <c r="BJ174" s="47">
        <f>_xll.qlPolynomialFunctionValue(BJ$1,$BD174,AllTriggers)</f>
        <v>3.0333318381454842E-3</v>
      </c>
      <c r="BK174" s="47">
        <f>_xll.qlPolynomialFunctionValue(BK$1,$BD174,AllTriggers)</f>
        <v>2.9792718116172195E-3</v>
      </c>
      <c r="BL174" s="47">
        <f>_xll.qlPolynomialFunctionValue(BL$1,$BD174,AllTriggers)</f>
        <v>2.9681125381672301E-3</v>
      </c>
      <c r="BM174" s="47">
        <f>_xll.qlPolynomialFunctionValue(BM$1,$BD174,AllTriggers)</f>
        <v>2.9783890129794523E-3</v>
      </c>
      <c r="BN174" s="47">
        <f>_xll.qlPolynomialFunctionValue(BN$1,$BD174,AllTriggers)</f>
        <v>2.9893130022573535E-3</v>
      </c>
      <c r="BO174" s="47">
        <f>_xll.qlPolynomialFunctionValue(BO$1,$BD174,AllTriggers)</f>
        <v>2.9825287511755167E-3</v>
      </c>
      <c r="BP174" s="47">
        <f>_xll.qlPolynomialFunctionValue(BP$1,$BD174,AllTriggers)</f>
        <v>2.9865045906552717E-3</v>
      </c>
      <c r="BQ174" s="47">
        <f>_xll.qlPolynomialFunctionValue('12MSynthDepo_used'!$P$18,BD174,AllTriggers)</f>
        <v>3.0026129826454307E-3</v>
      </c>
    </row>
    <row r="175" spans="55:69" x14ac:dyDescent="0.2">
      <c r="BC175" s="178">
        <f>_xll.qlCalendarAdvance(Calendar,BC174,"1d","mf",,Trigger)</f>
        <v>42377</v>
      </c>
      <c r="BD175" s="41">
        <f>_xll.qlDayCounterYearFraction(DayCounter,SettlementDate,BC175,,,Trigger)</f>
        <v>0.66388888888888886</v>
      </c>
      <c r="BE175" s="47">
        <f>_xll.qlPolynomialFunctionValue(BE$1,$BD175,AllTriggers)</f>
        <v>2.9892460892966492E-3</v>
      </c>
      <c r="BF175" s="47">
        <f>_xll.qlPolynomialFunctionValue(BF$1,$BD175,AllTriggers)</f>
        <v>3.0326958591396789E-3</v>
      </c>
      <c r="BG175" s="47">
        <f>_xll.qlPolynomialFunctionValue(BG$1,$BD175,AllTriggers)</f>
        <v>2.9800707744713421E-3</v>
      </c>
      <c r="BH175" s="47">
        <f>_xll.qlPolynomialFunctionValue(BH$1,$BD175,AllTriggers)</f>
        <v>2.9694206184647746E-3</v>
      </c>
      <c r="BI175" s="47">
        <f>_xll.qlPolynomialFunctionValue(BI$1,$BD175,AllTriggers)</f>
        <v>2.9901152349525281E-3</v>
      </c>
      <c r="BJ175" s="47">
        <f>_xll.qlPolynomialFunctionValue(BJ$1,$BD175,AllTriggers)</f>
        <v>3.0338537197317625E-3</v>
      </c>
      <c r="BK175" s="47">
        <f>_xll.qlPolynomialFunctionValue(BK$1,$BD175,AllTriggers)</f>
        <v>2.9797285915570317E-3</v>
      </c>
      <c r="BL175" s="47">
        <f>_xll.qlPolynomialFunctionValue(BL$1,$BD175,AllTriggers)</f>
        <v>2.9685558795809891E-3</v>
      </c>
      <c r="BM175" s="47">
        <f>_xll.qlPolynomialFunctionValue(BM$1,$BD175,AllTriggers)</f>
        <v>2.9789239956701861E-3</v>
      </c>
      <c r="BN175" s="47">
        <f>_xll.qlPolynomialFunctionValue(BN$1,$BD175,AllTriggers)</f>
        <v>2.9899493287945519E-3</v>
      </c>
      <c r="BO175" s="47">
        <f>_xll.qlPolynomialFunctionValue(BO$1,$BD175,AllTriggers)</f>
        <v>2.9830206580118658E-3</v>
      </c>
      <c r="BP175" s="47">
        <f>_xll.qlPolynomialFunctionValue(BP$1,$BD175,AllTriggers)</f>
        <v>2.9870604943201665E-3</v>
      </c>
      <c r="BQ175" s="47">
        <f>_xll.qlPolynomialFunctionValue('12MSynthDepo_used'!$P$18,BD175,AllTriggers)</f>
        <v>3.0031962654643515E-3</v>
      </c>
    </row>
    <row r="176" spans="55:69" x14ac:dyDescent="0.2">
      <c r="BC176" s="178">
        <f>_xll.qlCalendarAdvance(Calendar,BC175,"1d","mf",,Trigger)</f>
        <v>42380</v>
      </c>
      <c r="BD176" s="41">
        <f>_xll.qlDayCounterYearFraction(DayCounter,SettlementDate,BC176,,,Trigger)</f>
        <v>0.67222222222222228</v>
      </c>
      <c r="BE176" s="47">
        <f>_xll.qlPolynomialFunctionValue(BE$1,$BD176,AllTriggers)</f>
        <v>2.9918290274216558E-3</v>
      </c>
      <c r="BF176" s="47">
        <f>_xll.qlPolynomialFunctionValue(BF$1,$BD176,AllTriggers)</f>
        <v>3.0342251103542177E-3</v>
      </c>
      <c r="BG176" s="47">
        <f>_xll.qlPolynomialFunctionValue(BG$1,$BD176,AllTriggers)</f>
        <v>2.9814569324017439E-3</v>
      </c>
      <c r="BH176" s="47">
        <f>_xll.qlPolynomialFunctionValue(BH$1,$BD176,AllTriggers)</f>
        <v>2.9707778174717053E-3</v>
      </c>
      <c r="BI176" s="47">
        <f>_xll.qlPolynomialFunctionValue(BI$1,$BD176,AllTriggers)</f>
        <v>2.9927839051964019E-3</v>
      </c>
      <c r="BJ176" s="47">
        <f>_xll.qlPolynomialFunctionValue(BJ$1,$BD176,AllTriggers)</f>
        <v>3.0353655230681538E-3</v>
      </c>
      <c r="BK176" s="47">
        <f>_xll.qlPolynomialFunctionValue(BK$1,$BD176,AllTriggers)</f>
        <v>2.9810989313764687E-3</v>
      </c>
      <c r="BL176" s="47">
        <f>_xll.qlPolynomialFunctionValue(BL$1,$BD176,AllTriggers)</f>
        <v>2.9698970179706402E-3</v>
      </c>
      <c r="BM176" s="47">
        <f>_xll.qlPolynomialFunctionValue(BM$1,$BD176,AllTriggers)</f>
        <v>2.9805289437423877E-3</v>
      </c>
      <c r="BN176" s="47">
        <f>_xll.qlPolynomialFunctionValue(BN$1,$BD176,AllTriggers)</f>
        <v>2.9918493710800564E-3</v>
      </c>
      <c r="BO176" s="47">
        <f>_xll.qlPolynomialFunctionValue(BO$1,$BD176,AllTriggers)</f>
        <v>2.9844963785209139E-3</v>
      </c>
      <c r="BP176" s="47">
        <f>_xll.qlPolynomialFunctionValue(BP$1,$BD176,AllTriggers)</f>
        <v>2.988723825571343E-3</v>
      </c>
      <c r="BQ176" s="47">
        <f>_xll.qlPolynomialFunctionValue('12MSynthDepo_used'!$P$18,BD176,AllTriggers)</f>
        <v>3.0049257603746962E-3</v>
      </c>
    </row>
    <row r="177" spans="55:69" x14ac:dyDescent="0.2">
      <c r="BC177" s="178">
        <f>_xll.qlCalendarAdvance(Calendar,BC176,"1d","mf",,Trigger)</f>
        <v>42381</v>
      </c>
      <c r="BD177" s="41">
        <f>_xll.qlDayCounterYearFraction(DayCounter,SettlementDate,BC177,,,Trigger)</f>
        <v>0.67500000000000004</v>
      </c>
      <c r="BE177" s="47">
        <f>_xll.qlPolynomialFunctionValue(BE$1,$BD177,AllTriggers)</f>
        <v>2.992690006796658E-3</v>
      </c>
      <c r="BF177" s="47">
        <f>_xll.qlPolynomialFunctionValue(BF$1,$BD177,AllTriggers)</f>
        <v>3.0347175161185625E-3</v>
      </c>
      <c r="BG177" s="47">
        <f>_xll.qlPolynomialFunctionValue(BG$1,$BD177,AllTriggers)</f>
        <v>2.9819189850452108E-3</v>
      </c>
      <c r="BH177" s="47">
        <f>_xll.qlPolynomialFunctionValue(BH$1,$BD177,AllTriggers)</f>
        <v>2.9712337273132237E-3</v>
      </c>
      <c r="BI177" s="47">
        <f>_xll.qlPolynomialFunctionValue(BI$1,$BD177,AllTriggers)</f>
        <v>2.99367346194436E-3</v>
      </c>
      <c r="BJ177" s="47">
        <f>_xll.qlPolynomialFunctionValue(BJ$1,$BD177,AllTriggers)</f>
        <v>3.0358515103728039E-3</v>
      </c>
      <c r="BK177" s="47">
        <f>_xll.qlPolynomialFunctionValue(BK$1,$BD177,AllTriggers)</f>
        <v>2.9815557113162809E-3</v>
      </c>
      <c r="BL177" s="47">
        <f>_xll.qlPolynomialFunctionValue(BL$1,$BD177,AllTriggers)</f>
        <v>2.9703477688166483E-3</v>
      </c>
      <c r="BM177" s="47">
        <f>_xll.qlPolynomialFunctionValue(BM$1,$BD177,AllTriggers)</f>
        <v>2.9810639264331216E-3</v>
      </c>
      <c r="BN177" s="47">
        <f>_xll.qlPolynomialFunctionValue(BN$1,$BD177,AllTriggers)</f>
        <v>2.9924797393998614E-3</v>
      </c>
      <c r="BO177" s="47">
        <f>_xll.qlPolynomialFunctionValue(BO$1,$BD177,AllTriggers)</f>
        <v>2.9849882853572635E-3</v>
      </c>
      <c r="BP177" s="47">
        <f>_xll.qlPolynomialFunctionValue(BP$1,$BD177,AllTriggers)</f>
        <v>2.9892768094072326E-3</v>
      </c>
      <c r="BQ177" s="47">
        <f>_xll.qlPolynomialFunctionValue('12MSynthDepo_used'!$P$18,BD177,AllTriggers)</f>
        <v>3.005495523212972E-3</v>
      </c>
    </row>
    <row r="178" spans="55:69" x14ac:dyDescent="0.2">
      <c r="BC178" s="178">
        <f>_xll.qlCalendarAdvance(Calendar,BC177,"1d","mf",,Trigger)</f>
        <v>42382</v>
      </c>
      <c r="BD178" s="41">
        <f>_xll.qlDayCounterYearFraction(DayCounter,SettlementDate,BC178,,,Trigger)</f>
        <v>0.67777777777777781</v>
      </c>
      <c r="BE178" s="47">
        <f>_xll.qlPolynomialFunctionValue(BE$1,$BD178,AllTriggers)</f>
        <v>2.9935509861716606E-3</v>
      </c>
      <c r="BF178" s="47">
        <f>_xll.qlPolynomialFunctionValue(BF$1,$BD178,AllTriggers)</f>
        <v>3.0352012495626565E-3</v>
      </c>
      <c r="BG178" s="47">
        <f>_xll.qlPolynomialFunctionValue(BG$1,$BD178,AllTriggers)</f>
        <v>2.9823810376886782E-3</v>
      </c>
      <c r="BH178" s="47">
        <f>_xll.qlPolynomialFunctionValue(BH$1,$BD178,AllTriggers)</f>
        <v>2.9716913922410138E-3</v>
      </c>
      <c r="BI178" s="47">
        <f>_xll.qlPolynomialFunctionValue(BI$1,$BD178,AllTriggers)</f>
        <v>2.9945630186923181E-3</v>
      </c>
      <c r="BJ178" s="47">
        <f>_xll.qlPolynomialFunctionValue(BJ$1,$BD178,AllTriggers)</f>
        <v>3.0363285241070464E-3</v>
      </c>
      <c r="BK178" s="47">
        <f>_xll.qlPolynomialFunctionValue(BK$1,$BD178,AllTriggers)</f>
        <v>2.9820124912560931E-3</v>
      </c>
      <c r="BL178" s="47">
        <f>_xll.qlPolynomialFunctionValue(BL$1,$BD178,AllTriggers)</f>
        <v>2.9708003720207194E-3</v>
      </c>
      <c r="BM178" s="47">
        <f>_xll.qlPolynomialFunctionValue(BM$1,$BD178,AllTriggers)</f>
        <v>2.9815989091238554E-3</v>
      </c>
      <c r="BN178" s="47">
        <f>_xll.qlPolynomialFunctionValue(BN$1,$BD178,AllTriggers)</f>
        <v>2.9931086181653171E-3</v>
      </c>
      <c r="BO178" s="47">
        <f>_xll.qlPolynomialFunctionValue(BO$1,$BD178,AllTriggers)</f>
        <v>2.985480192193613E-3</v>
      </c>
      <c r="BP178" s="47">
        <f>_xll.qlPolynomialFunctionValue(BP$1,$BD178,AllTriggers)</f>
        <v>2.9898290632858699E-3</v>
      </c>
      <c r="BQ178" s="47">
        <f>_xll.qlPolynomialFunctionValue('12MSynthDepo_used'!$P$18,BD178,AllTriggers)</f>
        <v>3.0060619428438125E-3</v>
      </c>
    </row>
    <row r="179" spans="55:69" x14ac:dyDescent="0.2">
      <c r="BC179" s="178">
        <f>_xll.qlCalendarAdvance(Calendar,BC178,"1d","mf",,Trigger)</f>
        <v>42383</v>
      </c>
      <c r="BD179" s="41">
        <f>_xll.qlDayCounterYearFraction(DayCounter,SettlementDate,BC179,,,Trigger)</f>
        <v>0.68055555555555558</v>
      </c>
      <c r="BE179" s="47">
        <f>_xll.qlPolynomialFunctionValue(BE$1,$BD179,AllTriggers)</f>
        <v>2.9944119655466628E-3</v>
      </c>
      <c r="BF179" s="47">
        <f>_xll.qlPolynomialFunctionValue(BF$1,$BD179,AllTriggers)</f>
        <v>3.0356763106865001E-3</v>
      </c>
      <c r="BG179" s="47">
        <f>_xll.qlPolynomialFunctionValue(BG$1,$BD179,AllTriggers)</f>
        <v>2.9828430903321452E-3</v>
      </c>
      <c r="BH179" s="47">
        <f>_xll.qlPolynomialFunctionValue(BH$1,$BD179,AllTriggers)</f>
        <v>2.9721508122550746E-3</v>
      </c>
      <c r="BI179" s="47">
        <f>_xll.qlPolynomialFunctionValue(BI$1,$BD179,AllTriggers)</f>
        <v>2.9954525754402762E-3</v>
      </c>
      <c r="BJ179" s="47">
        <f>_xll.qlPolynomialFunctionValue(BJ$1,$BD179,AllTriggers)</f>
        <v>3.0367965642708818E-3</v>
      </c>
      <c r="BK179" s="47">
        <f>_xll.qlPolynomialFunctionValue(BK$1,$BD179,AllTriggers)</f>
        <v>2.9824692711959053E-3</v>
      </c>
      <c r="BL179" s="47">
        <f>_xll.qlPolynomialFunctionValue(BL$1,$BD179,AllTriggers)</f>
        <v>2.9712548275828525E-3</v>
      </c>
      <c r="BM179" s="47">
        <f>_xll.qlPolynomialFunctionValue(BM$1,$BD179,AllTriggers)</f>
        <v>2.9821338918145888E-3</v>
      </c>
      <c r="BN179" s="47">
        <f>_xll.qlPolynomialFunctionValue(BN$1,$BD179,AllTriggers)</f>
        <v>2.9937360073764244E-3</v>
      </c>
      <c r="BO179" s="47">
        <f>_xll.qlPolynomialFunctionValue(BO$1,$BD179,AllTriggers)</f>
        <v>2.9859720990299621E-3</v>
      </c>
      <c r="BP179" s="47">
        <f>_xll.qlPolynomialFunctionValue(BP$1,$BD179,AllTriggers)</f>
        <v>2.9903805872072563E-3</v>
      </c>
      <c r="BQ179" s="47">
        <f>_xll.qlPolynomialFunctionValue('12MSynthDepo_used'!$P$18,BD179,AllTriggers)</f>
        <v>3.006625033982308E-3</v>
      </c>
    </row>
    <row r="180" spans="55:69" x14ac:dyDescent="0.2">
      <c r="BC180" s="178">
        <f>_xll.qlCalendarAdvance(Calendar,BC179,"1d","mf",,Trigger)</f>
        <v>42384</v>
      </c>
      <c r="BD180" s="41">
        <f>_xll.qlDayCounterYearFraction(DayCounter,SettlementDate,BC180,,,Trigger)</f>
        <v>0.68333333333333335</v>
      </c>
      <c r="BE180" s="47">
        <f>_xll.qlPolynomialFunctionValue(BE$1,$BD180,AllTriggers)</f>
        <v>2.995272944921665E-3</v>
      </c>
      <c r="BF180" s="47">
        <f>_xll.qlPolynomialFunctionValue(BF$1,$BD180,AllTriggers)</f>
        <v>3.0361426994900925E-3</v>
      </c>
      <c r="BG180" s="47">
        <f>_xll.qlPolynomialFunctionValue(BG$1,$BD180,AllTriggers)</f>
        <v>2.9833051429756126E-3</v>
      </c>
      <c r="BH180" s="47">
        <f>_xll.qlPolynomialFunctionValue(BH$1,$BD180,AllTriggers)</f>
        <v>2.9726119873554062E-3</v>
      </c>
      <c r="BI180" s="47">
        <f>_xll.qlPolynomialFunctionValue(BI$1,$BD180,AllTriggers)</f>
        <v>2.9963421321882338E-3</v>
      </c>
      <c r="BJ180" s="47">
        <f>_xll.qlPolynomialFunctionValue(BJ$1,$BD180,AllTriggers)</f>
        <v>3.03725563086431E-3</v>
      </c>
      <c r="BK180" s="47">
        <f>_xll.qlPolynomialFunctionValue(BK$1,$BD180,AllTriggers)</f>
        <v>2.9829260511357175E-3</v>
      </c>
      <c r="BL180" s="47">
        <f>_xll.qlPolynomialFunctionValue(BL$1,$BD180,AllTriggers)</f>
        <v>2.9717111355030482E-3</v>
      </c>
      <c r="BM180" s="47">
        <f>_xll.qlPolynomialFunctionValue(BM$1,$BD180,AllTriggers)</f>
        <v>2.9826688745053227E-3</v>
      </c>
      <c r="BN180" s="47">
        <f>_xll.qlPolynomialFunctionValue(BN$1,$BD180,AllTriggers)</f>
        <v>2.994361907033183E-3</v>
      </c>
      <c r="BO180" s="47">
        <f>_xll.qlPolynomialFunctionValue(BO$1,$BD180,AllTriggers)</f>
        <v>2.9864640058663116E-3</v>
      </c>
      <c r="BP180" s="47">
        <f>_xll.qlPolynomialFunctionValue(BP$1,$BD180,AllTriggers)</f>
        <v>2.9909313811713914E-3</v>
      </c>
      <c r="BQ180" s="47">
        <f>_xll.qlPolynomialFunctionValue('12MSynthDepo_used'!$P$18,BD180,AllTriggers)</f>
        <v>3.0071848113435479E-3</v>
      </c>
    </row>
    <row r="181" spans="55:69" x14ac:dyDescent="0.2">
      <c r="BC181" s="178">
        <f>_xll.qlCalendarAdvance(Calendar,BC180,"1d","mf",,Trigger)</f>
        <v>42387</v>
      </c>
      <c r="BD181" s="41">
        <f>_xll.qlDayCounterYearFraction(DayCounter,SettlementDate,BC181,,,Trigger)</f>
        <v>0.69166666666666665</v>
      </c>
      <c r="BE181" s="47">
        <f>_xll.qlPolynomialFunctionValue(BE$1,$BD181,AllTriggers)</f>
        <v>2.9978558830466716E-3</v>
      </c>
      <c r="BF181" s="47">
        <f>_xll.qlPolynomialFunctionValue(BF$1,$BD181,AllTriggers)</f>
        <v>3.0374898319793656E-3</v>
      </c>
      <c r="BG181" s="47">
        <f>_xll.qlPolynomialFunctionValue(BG$1,$BD181,AllTriggers)</f>
        <v>2.9846913009060139E-3</v>
      </c>
      <c r="BH181" s="47">
        <f>_xll.qlPolynomialFunctionValue(BH$1,$BD181,AllTriggers)</f>
        <v>2.9740060431740268E-3</v>
      </c>
      <c r="BI181" s="47">
        <f>_xll.qlPolynomialFunctionValue(BI$1,$BD181,AllTriggers)</f>
        <v>2.999010802432108E-3</v>
      </c>
      <c r="BJ181" s="47">
        <f>_xll.qlPolynomialFunctionValue(BJ$1,$BD181,AllTriggers)</f>
        <v>3.0385789892221531E-3</v>
      </c>
      <c r="BK181" s="47">
        <f>_xll.qlPolynomialFunctionValue(BK$1,$BD181,AllTriggers)</f>
        <v>2.9842963909551545E-3</v>
      </c>
      <c r="BL181" s="47">
        <f>_xll.qlPolynomialFunctionValue(BL$1,$BD181,AllTriggers)</f>
        <v>2.9730911734120106E-3</v>
      </c>
      <c r="BM181" s="47">
        <f>_xll.qlPolynomialFunctionValue(BM$1,$BD181,AllTriggers)</f>
        <v>2.9842738225775243E-3</v>
      </c>
      <c r="BN181" s="47">
        <f>_xll.qlPolynomialFunctionValue(BN$1,$BD181,AllTriggers)</f>
        <v>2.9962306686773686E-3</v>
      </c>
      <c r="BO181" s="47">
        <f>_xll.qlPolynomialFunctionValue(BO$1,$BD181,AllTriggers)</f>
        <v>2.9879397263753598E-3</v>
      </c>
      <c r="BP181" s="47">
        <f>_xll.qlPolynomialFunctionValue(BP$1,$BD181,AllTriggers)</f>
        <v>2.992579383320287E-3</v>
      </c>
      <c r="BQ181" s="47">
        <f>_xll.qlPolynomialFunctionValue('12MSynthDepo_used'!$P$18,BD181,AllTriggers)</f>
        <v>3.0088444079146414E-3</v>
      </c>
    </row>
    <row r="182" spans="55:69" x14ac:dyDescent="0.2">
      <c r="BC182" s="178">
        <f>_xll.qlCalendarAdvance(Calendar,BC181,"1d","mf",,Trigger)</f>
        <v>42388</v>
      </c>
      <c r="BD182" s="41">
        <f>_xll.qlDayCounterYearFraction(DayCounter,SettlementDate,BC182,,,Trigger)</f>
        <v>0.69444444444444442</v>
      </c>
      <c r="BE182" s="47">
        <f>_xll.qlPolynomialFunctionValue(BE$1,$BD182,AllTriggers)</f>
        <v>2.9987168624216738E-3</v>
      </c>
      <c r="BF182" s="47">
        <f>_xll.qlPolynomialFunctionValue(BF$1,$BD182,AllTriggers)</f>
        <v>3.0379215315019551E-3</v>
      </c>
      <c r="BG182" s="47">
        <f>_xll.qlPolynomialFunctionValue(BG$1,$BD182,AllTriggers)</f>
        <v>2.9851533535494813E-3</v>
      </c>
      <c r="BH182" s="47">
        <f>_xll.qlPolynomialFunctionValue(BH$1,$BD182,AllTriggers)</f>
        <v>2.9744742386194423E-3</v>
      </c>
      <c r="BI182" s="47">
        <f>_xll.qlPolynomialFunctionValue(BI$1,$BD182,AllTriggers)</f>
        <v>2.9999003591800657E-3</v>
      </c>
      <c r="BJ182" s="47">
        <f>_xll.qlPolynomialFunctionValue(BJ$1,$BD182,AllTriggers)</f>
        <v>3.0390021615339532E-3</v>
      </c>
      <c r="BK182" s="47">
        <f>_xll.qlPolynomialFunctionValue(BK$1,$BD182,AllTriggers)</f>
        <v>2.9847531708949667E-3</v>
      </c>
      <c r="BL182" s="47">
        <f>_xll.qlPolynomialFunctionValue(BL$1,$BD182,AllTriggers)</f>
        <v>2.9735548907644559E-3</v>
      </c>
      <c r="BM182" s="47">
        <f>_xll.qlPolynomialFunctionValue(BM$1,$BD182,AllTriggers)</f>
        <v>2.9848088052682581E-3</v>
      </c>
      <c r="BN182" s="47">
        <f>_xll.qlPolynomialFunctionValue(BN$1,$BD182,AllTriggers)</f>
        <v>2.9968506101167329E-3</v>
      </c>
      <c r="BO182" s="47">
        <f>_xll.qlPolynomialFunctionValue(BO$1,$BD182,AllTriggers)</f>
        <v>2.9884316332117094E-3</v>
      </c>
      <c r="BP182" s="47">
        <f>_xll.qlPolynomialFunctionValue(BP$1,$BD182,AllTriggers)</f>
        <v>2.9931272574554159E-3</v>
      </c>
      <c r="BQ182" s="47">
        <f>_xll.qlPolynomialFunctionValue('12MSynthDepo_used'!$P$18,BD182,AllTriggers)</f>
        <v>3.0093910773177643E-3</v>
      </c>
    </row>
    <row r="183" spans="55:69" x14ac:dyDescent="0.2">
      <c r="BC183" s="178">
        <f>_xll.qlCalendarAdvance(Calendar,BC182,"1d","mf",,Trigger)</f>
        <v>42389</v>
      </c>
      <c r="BD183" s="41">
        <f>_xll.qlDayCounterYearFraction(DayCounter,SettlementDate,BC183,,,Trigger)</f>
        <v>0.69722222222222219</v>
      </c>
      <c r="BE183" s="47">
        <f>_xll.qlPolynomialFunctionValue(BE$1,$BD183,AllTriggers)</f>
        <v>2.9995778417966764E-3</v>
      </c>
      <c r="BF183" s="47">
        <f>_xll.qlPolynomialFunctionValue(BF$1,$BD183,AllTriggers)</f>
        <v>3.0383445587042939E-3</v>
      </c>
      <c r="BG183" s="47">
        <f>_xll.qlPolynomialFunctionValue(BG$1,$BD183,AllTriggers)</f>
        <v>2.9856154061929483E-3</v>
      </c>
      <c r="BH183" s="47">
        <f>_xll.qlPolynomialFunctionValue(BH$1,$BD183,AllTriggers)</f>
        <v>2.974944189151129E-3</v>
      </c>
      <c r="BI183" s="47">
        <f>_xll.qlPolynomialFunctionValue(BI$1,$BD183,AllTriggers)</f>
        <v>3.0007899159280238E-3</v>
      </c>
      <c r="BJ183" s="47">
        <f>_xll.qlPolynomialFunctionValue(BJ$1,$BD183,AllTriggers)</f>
        <v>3.0394163602753461E-3</v>
      </c>
      <c r="BK183" s="47">
        <f>_xll.qlPolynomialFunctionValue(BK$1,$BD183,AllTriggers)</f>
        <v>2.9852099508347789E-3</v>
      </c>
      <c r="BL183" s="47">
        <f>_xll.qlPolynomialFunctionValue(BL$1,$BD183,AllTriggers)</f>
        <v>2.9740204604749641E-3</v>
      </c>
      <c r="BM183" s="47">
        <f>_xll.qlPolynomialFunctionValue(BM$1,$BD183,AllTriggers)</f>
        <v>2.985343787958992E-3</v>
      </c>
      <c r="BN183" s="47">
        <f>_xll.qlPolynomialFunctionValue(BN$1,$BD183,AllTriggers)</f>
        <v>2.9974690620017497E-3</v>
      </c>
      <c r="BO183" s="47">
        <f>_xll.qlPolynomialFunctionValue(BO$1,$BD183,AllTriggers)</f>
        <v>2.9889235400480589E-3</v>
      </c>
      <c r="BP183" s="47">
        <f>_xll.qlPolynomialFunctionValue(BP$1,$BD183,AllTriggers)</f>
        <v>2.9936744016332939E-3</v>
      </c>
      <c r="BQ183" s="47">
        <f>_xll.qlPolynomialFunctionValue('12MSynthDepo_used'!$P$18,BD183,AllTriggers)</f>
        <v>3.0099345065190838E-3</v>
      </c>
    </row>
    <row r="184" spans="55:69" x14ac:dyDescent="0.2">
      <c r="BC184" s="178">
        <f>_xll.qlCalendarAdvance(Calendar,BC183,"1d","mf",,Trigger)</f>
        <v>42390</v>
      </c>
      <c r="BD184" s="41">
        <f>_xll.qlDayCounterYearFraction(DayCounter,SettlementDate,BC184,,,Trigger)</f>
        <v>0.7</v>
      </c>
      <c r="BE184" s="47">
        <f>_xll.qlPolynomialFunctionValue(BE$1,$BD184,AllTriggers)</f>
        <v>3.0004388211716786E-3</v>
      </c>
      <c r="BF184" s="47">
        <f>_xll.qlPolynomialFunctionValue(BF$1,$BD184,AllTriggers)</f>
        <v>3.0387589135863822E-3</v>
      </c>
      <c r="BG184" s="47">
        <f>_xll.qlPolynomialFunctionValue(BG$1,$BD184,AllTriggers)</f>
        <v>2.9860774588364157E-3</v>
      </c>
      <c r="BH184" s="47">
        <f>_xll.qlPolynomialFunctionValue(BH$1,$BD184,AllTriggers)</f>
        <v>2.9754158947690864E-3</v>
      </c>
      <c r="BI184" s="47">
        <f>_xll.qlPolynomialFunctionValue(BI$1,$BD184,AllTriggers)</f>
        <v>3.0016794726759818E-3</v>
      </c>
      <c r="BJ184" s="47">
        <f>_xll.qlPolynomialFunctionValue(BJ$1,$BD184,AllTriggers)</f>
        <v>3.0398215854463319E-3</v>
      </c>
      <c r="BK184" s="47">
        <f>_xll.qlPolynomialFunctionValue(BK$1,$BD184,AllTriggers)</f>
        <v>2.9856667307745911E-3</v>
      </c>
      <c r="BL184" s="47">
        <f>_xll.qlPolynomialFunctionValue(BL$1,$BD184,AllTriggers)</f>
        <v>2.9744878825435344E-3</v>
      </c>
      <c r="BM184" s="47">
        <f>_xll.qlPolynomialFunctionValue(BM$1,$BD184,AllTriggers)</f>
        <v>2.9858787706497254E-3</v>
      </c>
      <c r="BN184" s="47">
        <f>_xll.qlPolynomialFunctionValue(BN$1,$BD184,AllTriggers)</f>
        <v>2.9980860243324172E-3</v>
      </c>
      <c r="BO184" s="47">
        <f>_xll.qlPolynomialFunctionValue(BO$1,$BD184,AllTriggers)</f>
        <v>2.989415446884408E-3</v>
      </c>
      <c r="BP184" s="47">
        <f>_xll.qlPolynomialFunctionValue(BP$1,$BD184,AllTriggers)</f>
        <v>2.9942208158539197E-3</v>
      </c>
      <c r="BQ184" s="47">
        <f>_xll.qlPolynomialFunctionValue('12MSynthDepo_used'!$P$18,BD184,AllTriggers)</f>
        <v>3.0104747102336895E-3</v>
      </c>
    </row>
    <row r="185" spans="55:69" x14ac:dyDescent="0.2">
      <c r="BC185" s="178">
        <f>_xll.qlCalendarAdvance(Calendar,BC184,"1d","mf",,Trigger)</f>
        <v>42391</v>
      </c>
      <c r="BD185" s="41">
        <f>_xll.qlDayCounterYearFraction(DayCounter,SettlementDate,BC185,,,Trigger)</f>
        <v>0.70277777777777772</v>
      </c>
      <c r="BE185" s="47">
        <f>_xll.qlPolynomialFunctionValue(BE$1,$BD185,AllTriggers)</f>
        <v>3.0012998005466808E-3</v>
      </c>
      <c r="BF185" s="47">
        <f>_xll.qlPolynomialFunctionValue(BF$1,$BD185,AllTriggers)</f>
        <v>3.0391645961482189E-3</v>
      </c>
      <c r="BG185" s="47">
        <f>_xll.qlPolynomialFunctionValue(BG$1,$BD185,AllTriggers)</f>
        <v>2.9865395114798826E-3</v>
      </c>
      <c r="BH185" s="47">
        <f>_xll.qlPolynomialFunctionValue(BH$1,$BD185,AllTriggers)</f>
        <v>2.9758893554733151E-3</v>
      </c>
      <c r="BI185" s="47">
        <f>_xll.qlPolynomialFunctionValue(BI$1,$BD185,AllTriggers)</f>
        <v>3.0025690294239399E-3</v>
      </c>
      <c r="BJ185" s="47">
        <f>_xll.qlPolynomialFunctionValue(BJ$1,$BD185,AllTriggers)</f>
        <v>3.040217837046911E-3</v>
      </c>
      <c r="BK185" s="47">
        <f>_xll.qlPolynomialFunctionValue(BK$1,$BD185,AllTriggers)</f>
        <v>2.9861235107144033E-3</v>
      </c>
      <c r="BL185" s="47">
        <f>_xll.qlPolynomialFunctionValue(BL$1,$BD185,AllTriggers)</f>
        <v>2.9749571569701672E-3</v>
      </c>
      <c r="BM185" s="47">
        <f>_xll.qlPolynomialFunctionValue(BM$1,$BD185,AllTriggers)</f>
        <v>2.9864137533404593E-3</v>
      </c>
      <c r="BN185" s="47">
        <f>_xll.qlPolynomialFunctionValue(BN$1,$BD185,AllTriggers)</f>
        <v>2.998701497108736E-3</v>
      </c>
      <c r="BO185" s="47">
        <f>_xll.qlPolynomialFunctionValue(BO$1,$BD185,AllTriggers)</f>
        <v>2.9899073537207575E-3</v>
      </c>
      <c r="BP185" s="47">
        <f>_xll.qlPolynomialFunctionValue(BP$1,$BD185,AllTriggers)</f>
        <v>2.9947665001172942E-3</v>
      </c>
      <c r="BQ185" s="47">
        <f>_xll.qlPolynomialFunctionValue('12MSynthDepo_used'!$P$18,BD185,AllTriggers)</f>
        <v>3.0110117031766728E-3</v>
      </c>
    </row>
    <row r="186" spans="55:69" x14ac:dyDescent="0.2">
      <c r="BC186" s="178">
        <f>_xll.qlCalendarAdvance(Calendar,BC185,"1d","mf",,Trigger)</f>
        <v>42394</v>
      </c>
      <c r="BD186" s="41">
        <f>_xll.qlDayCounterYearFraction(DayCounter,SettlementDate,BC186,,,Trigger)</f>
        <v>0.71111111111111114</v>
      </c>
      <c r="BE186" s="47">
        <f>_xll.qlPolynomialFunctionValue(BE$1,$BD186,AllTriggers)</f>
        <v>3.0038827386716874E-3</v>
      </c>
      <c r="BF186" s="47">
        <f>_xll.qlPolynomialFunctionValue(BF$1,$BD186,AllTriggers)</f>
        <v>3.0403296099122262E-3</v>
      </c>
      <c r="BG186" s="47">
        <f>_xll.qlPolynomialFunctionValue(BG$1,$BD186,AllTriggers)</f>
        <v>2.9879256694102844E-3</v>
      </c>
      <c r="BH186" s="47">
        <f>_xll.qlPolynomialFunctionValue(BH$1,$BD186,AllTriggers)</f>
        <v>2.977320268103626E-3</v>
      </c>
      <c r="BI186" s="47">
        <f>_xll.qlPolynomialFunctionValue(BI$1,$BD186,AllTriggers)</f>
        <v>3.0052376996678137E-3</v>
      </c>
      <c r="BJ186" s="47">
        <f>_xll.qlPolynomialFunctionValue(BJ$1,$BD186,AllTriggers)</f>
        <v>3.0413527504262045E-3</v>
      </c>
      <c r="BK186" s="47">
        <f>_xll.qlPolynomialFunctionValue(BK$1,$BD186,AllTriggers)</f>
        <v>2.9874938505338403E-3</v>
      </c>
      <c r="BL186" s="47">
        <f>_xll.qlPolynomialFunctionValue(BL$1,$BD186,AllTriggers)</f>
        <v>2.9763760943984411E-3</v>
      </c>
      <c r="BM186" s="47">
        <f>_xll.qlPolynomialFunctionValue(BM$1,$BD186,AllTriggers)</f>
        <v>2.9880187014126609E-3</v>
      </c>
      <c r="BN186" s="47">
        <f>_xll.qlPolynomialFunctionValue(BN$1,$BD186,AllTriggers)</f>
        <v>3.0005389781116022E-3</v>
      </c>
      <c r="BO186" s="47">
        <f>_xll.qlPolynomialFunctionValue(BO$1,$BD186,AllTriggers)</f>
        <v>2.9913830742298057E-3</v>
      </c>
      <c r="BP186" s="47">
        <f>_xll.qlPolynomialFunctionValue(BP$1,$BD186,AllTriggers)</f>
        <v>2.9963991731639093E-3</v>
      </c>
      <c r="BQ186" s="47">
        <f>_xll.qlPolynomialFunctionValue('12MSynthDepo_used'!$P$18,BD186,AllTriggers)</f>
        <v>3.012603564526786E-3</v>
      </c>
    </row>
    <row r="187" spans="55:69" x14ac:dyDescent="0.2">
      <c r="BC187" s="178">
        <f>_xll.qlCalendarAdvance(Calendar,BC186,"1d","mf",,Trigger)</f>
        <v>42395</v>
      </c>
      <c r="BD187" s="41">
        <f>_xll.qlDayCounterYearFraction(DayCounter,SettlementDate,BC187,,,Trigger)</f>
        <v>0.71388888888888891</v>
      </c>
      <c r="BE187" s="47">
        <f>_xll.qlPolynomialFunctionValue(BE$1,$BD187,AllTriggers)</f>
        <v>3.0047437180466896E-3</v>
      </c>
      <c r="BF187" s="47">
        <f>_xll.qlPolynomialFunctionValue(BF$1,$BD187,AllTriggers)</f>
        <v>3.0407006031930605E-3</v>
      </c>
      <c r="BG187" s="47">
        <f>_xll.qlPolynomialFunctionValue(BG$1,$BD187,AllTriggers)</f>
        <v>2.9883877220537513E-3</v>
      </c>
      <c r="BH187" s="47">
        <f>_xll.qlPolynomialFunctionValue(BH$1,$BD187,AllTriggers)</f>
        <v>2.9778007491529381E-3</v>
      </c>
      <c r="BI187" s="47">
        <f>_xll.qlPolynomialFunctionValue(BI$1,$BD187,AllTriggers)</f>
        <v>3.0061272564157718E-3</v>
      </c>
      <c r="BJ187" s="47">
        <f>_xll.qlPolynomialFunctionValue(BJ$1,$BD187,AllTriggers)</f>
        <v>3.041713107745155E-3</v>
      </c>
      <c r="BK187" s="47">
        <f>_xll.qlPolynomialFunctionValue(BK$1,$BD187,AllTriggers)</f>
        <v>2.9879506304736525E-3</v>
      </c>
      <c r="BL187" s="47">
        <f>_xll.qlPolynomialFunctionValue(BL$1,$BD187,AllTriggers)</f>
        <v>2.9768527782573235E-3</v>
      </c>
      <c r="BM187" s="47">
        <f>_xll.qlPolynomialFunctionValue(BM$1,$BD187,AllTriggers)</f>
        <v>2.9885536841033947E-3</v>
      </c>
      <c r="BN187" s="47">
        <f>_xll.qlPolynomialFunctionValue(BN$1,$BD187,AllTriggers)</f>
        <v>3.0011484926705276E-3</v>
      </c>
      <c r="BO187" s="47">
        <f>_xll.qlPolynomialFunctionValue(BO$1,$BD187,AllTriggers)</f>
        <v>2.9918749810661552E-3</v>
      </c>
      <c r="BP187" s="47">
        <f>_xll.qlPolynomialFunctionValue(BP$1,$BD187,AllTriggers)</f>
        <v>2.996941937598278E-3</v>
      </c>
      <c r="BQ187" s="47">
        <f>_xll.qlPolynomialFunctionValue('12MSynthDepo_used'!$P$18,BD187,AllTriggers)</f>
        <v>3.0131278615341799E-3</v>
      </c>
    </row>
    <row r="188" spans="55:69" x14ac:dyDescent="0.2">
      <c r="BC188" s="178">
        <f>_xll.qlCalendarAdvance(Calendar,BC187,"1d","mf",,Trigger)</f>
        <v>42396</v>
      </c>
      <c r="BD188" s="41">
        <f>_xll.qlDayCounterYearFraction(DayCounter,SettlementDate,BC188,,,Trigger)</f>
        <v>0.71666666666666667</v>
      </c>
      <c r="BE188" s="47">
        <f>_xll.qlPolynomialFunctionValue(BE$1,$BD188,AllTriggers)</f>
        <v>3.0056046974216918E-3</v>
      </c>
      <c r="BF188" s="47">
        <f>_xll.qlPolynomialFunctionValue(BF$1,$BD188,AllTriggers)</f>
        <v>3.041062924153644E-3</v>
      </c>
      <c r="BG188" s="47">
        <f>_xll.qlPolynomialFunctionValue(BG$1,$BD188,AllTriggers)</f>
        <v>2.9888497746972187E-3</v>
      </c>
      <c r="BH188" s="47">
        <f>_xll.qlPolynomialFunctionValue(BH$1,$BD188,AllTriggers)</f>
        <v>2.9782829852885214E-3</v>
      </c>
      <c r="BI188" s="47">
        <f>_xll.qlPolynomialFunctionValue(BI$1,$BD188,AllTriggers)</f>
        <v>3.0070168131637299E-3</v>
      </c>
      <c r="BJ188" s="47">
        <f>_xll.qlPolynomialFunctionValue(BJ$1,$BD188,AllTriggers)</f>
        <v>3.0420644914936979E-3</v>
      </c>
      <c r="BK188" s="47">
        <f>_xll.qlPolynomialFunctionValue(BK$1,$BD188,AllTriggers)</f>
        <v>2.9884074104134647E-3</v>
      </c>
      <c r="BL188" s="47">
        <f>_xll.qlPolynomialFunctionValue(BL$1,$BD188,AllTriggers)</f>
        <v>2.9773313144742684E-3</v>
      </c>
      <c r="BM188" s="47">
        <f>_xll.qlPolynomialFunctionValue(BM$1,$BD188,AllTriggers)</f>
        <v>2.9890886667941286E-3</v>
      </c>
      <c r="BN188" s="47">
        <f>_xll.qlPolynomialFunctionValue(BN$1,$BD188,AllTriggers)</f>
        <v>3.0017565176751037E-3</v>
      </c>
      <c r="BO188" s="47">
        <f>_xll.qlPolynomialFunctionValue(BO$1,$BD188,AllTriggers)</f>
        <v>2.9923668879025048E-3</v>
      </c>
      <c r="BP188" s="47">
        <f>_xll.qlPolynomialFunctionValue(BP$1,$BD188,AllTriggers)</f>
        <v>2.9974839720753954E-3</v>
      </c>
      <c r="BQ188" s="47">
        <f>_xll.qlPolynomialFunctionValue('12MSynthDepo_used'!$P$18,BD188,AllTriggers)</f>
        <v>3.0136490213454018E-3</v>
      </c>
    </row>
    <row r="189" spans="55:69" x14ac:dyDescent="0.2">
      <c r="BC189" s="178">
        <f>_xll.qlCalendarAdvance(Calendar,BC188,"1d","mf",,Trigger)</f>
        <v>42397</v>
      </c>
      <c r="BD189" s="41">
        <f>_xll.qlDayCounterYearFraction(DayCounter,SettlementDate,BC189,,,Trigger)</f>
        <v>0.71944444444444444</v>
      </c>
      <c r="BE189" s="47">
        <f>_xll.qlPolynomialFunctionValue(BE$1,$BD189,AllTriggers)</f>
        <v>3.0064656767966945E-3</v>
      </c>
      <c r="BF189" s="47">
        <f>_xll.qlPolynomialFunctionValue(BF$1,$BD189,AllTriggers)</f>
        <v>3.0414165727939767E-3</v>
      </c>
      <c r="BG189" s="47">
        <f>_xll.qlPolynomialFunctionValue(BG$1,$BD189,AllTriggers)</f>
        <v>2.9893118273406857E-3</v>
      </c>
      <c r="BH189" s="47">
        <f>_xll.qlPolynomialFunctionValue(BH$1,$BD189,AllTriggers)</f>
        <v>2.9787669765103759E-3</v>
      </c>
      <c r="BI189" s="47">
        <f>_xll.qlPolynomialFunctionValue(BI$1,$BD189,AllTriggers)</f>
        <v>3.0079063699116875E-3</v>
      </c>
      <c r="BJ189" s="47">
        <f>_xll.qlPolynomialFunctionValue(BJ$1,$BD189,AllTriggers)</f>
        <v>3.0424069016718341E-3</v>
      </c>
      <c r="BK189" s="47">
        <f>_xll.qlPolynomialFunctionValue(BK$1,$BD189,AllTriggers)</f>
        <v>2.9888641903532769E-3</v>
      </c>
      <c r="BL189" s="47">
        <f>_xll.qlPolynomialFunctionValue(BL$1,$BD189,AllTriggers)</f>
        <v>2.9778117030492763E-3</v>
      </c>
      <c r="BM189" s="47">
        <f>_xll.qlPolynomialFunctionValue(BM$1,$BD189,AllTriggers)</f>
        <v>2.989623649484862E-3</v>
      </c>
      <c r="BN189" s="47">
        <f>_xll.qlPolynomialFunctionValue(BN$1,$BD189,AllTriggers)</f>
        <v>3.0023630531253315E-3</v>
      </c>
      <c r="BO189" s="47">
        <f>_xll.qlPolynomialFunctionValue(BO$1,$BD189,AllTriggers)</f>
        <v>2.9928587947388539E-3</v>
      </c>
      <c r="BP189" s="47">
        <f>_xll.qlPolynomialFunctionValue(BP$1,$BD189,AllTriggers)</f>
        <v>2.9980252765952615E-3</v>
      </c>
      <c r="BQ189" s="47">
        <f>_xll.qlPolynomialFunctionValue('12MSynthDepo_used'!$P$18,BD189,AllTriggers)</f>
        <v>3.0141670586755422E-3</v>
      </c>
    </row>
    <row r="190" spans="55:69" x14ac:dyDescent="0.2">
      <c r="BC190" s="178">
        <f>_xll.qlCalendarAdvance(Calendar,BC189,"1d","mf",,Trigger)</f>
        <v>42398</v>
      </c>
      <c r="BD190" s="41">
        <f>_xll.qlDayCounterYearFraction(DayCounter,SettlementDate,BC190,,,Trigger)</f>
        <v>0.72222222222222221</v>
      </c>
      <c r="BE190" s="47">
        <f>_xll.qlPolynomialFunctionValue(BE$1,$BD190,AllTriggers)</f>
        <v>3.0073266561716967E-3</v>
      </c>
      <c r="BF190" s="47">
        <f>_xll.qlPolynomialFunctionValue(BF$1,$BD190,AllTriggers)</f>
        <v>3.0417615491140581E-3</v>
      </c>
      <c r="BG190" s="47">
        <f>_xll.qlPolynomialFunctionValue(BG$1,$BD190,AllTriggers)</f>
        <v>2.9897738799841531E-3</v>
      </c>
      <c r="BH190" s="47">
        <f>_xll.qlPolynomialFunctionValue(BH$1,$BD190,AllTriggers)</f>
        <v>2.9792527228185012E-3</v>
      </c>
      <c r="BI190" s="47">
        <f>_xll.qlPolynomialFunctionValue(BI$1,$BD190,AllTriggers)</f>
        <v>3.0087959266596456E-3</v>
      </c>
      <c r="BJ190" s="47">
        <f>_xll.qlPolynomialFunctionValue(BJ$1,$BD190,AllTriggers)</f>
        <v>3.0427403382795636E-3</v>
      </c>
      <c r="BK190" s="47">
        <f>_xll.qlPolynomialFunctionValue(BK$1,$BD190,AllTriggers)</f>
        <v>2.9893209702930891E-3</v>
      </c>
      <c r="BL190" s="47">
        <f>_xll.qlPolynomialFunctionValue(BL$1,$BD190,AllTriggers)</f>
        <v>2.9782939439823462E-3</v>
      </c>
      <c r="BM190" s="47">
        <f>_xll.qlPolynomialFunctionValue(BM$1,$BD190,AllTriggers)</f>
        <v>2.9901586321755959E-3</v>
      </c>
      <c r="BN190" s="47">
        <f>_xll.qlPolynomialFunctionValue(BN$1,$BD190,AllTriggers)</f>
        <v>3.0029680990212109E-3</v>
      </c>
      <c r="BO190" s="47">
        <f>_xll.qlPolynomialFunctionValue(BO$1,$BD190,AllTriggers)</f>
        <v>2.9933507015752034E-3</v>
      </c>
      <c r="BP190" s="47">
        <f>_xll.qlPolynomialFunctionValue(BP$1,$BD190,AllTriggers)</f>
        <v>2.9985658511578759E-3</v>
      </c>
      <c r="BQ190" s="47">
        <f>_xll.qlPolynomialFunctionValue('12MSynthDepo_used'!$P$18,BD190,AllTriggers)</f>
        <v>3.0146819882396919E-3</v>
      </c>
    </row>
    <row r="191" spans="55:69" x14ac:dyDescent="0.2">
      <c r="BC191" s="178">
        <f>_xll.qlCalendarAdvance(Calendar,BC190,"1d","mf",,Trigger)</f>
        <v>42401</v>
      </c>
      <c r="BD191" s="41">
        <f>_xll.qlDayCounterYearFraction(DayCounter,SettlementDate,BC191,,,Trigger)</f>
        <v>0.73055555555555551</v>
      </c>
      <c r="BE191" s="47">
        <f>_xll.qlPolynomialFunctionValue(BE$1,$BD191,AllTriggers)</f>
        <v>3.0099095942967033E-3</v>
      </c>
      <c r="BF191" s="47">
        <f>_xll.qlPolynomialFunctionValue(BF$1,$BD191,AllTriggers)</f>
        <v>3.0427444441527996E-3</v>
      </c>
      <c r="BG191" s="47">
        <f>_xll.qlPolynomialFunctionValue(BG$1,$BD191,AllTriggers)</f>
        <v>2.9911600379145544E-3</v>
      </c>
      <c r="BH191" s="47">
        <f>_xll.qlPolynomialFunctionValue(BH$1,$BD191,AllTriggers)</f>
        <v>2.9807204922605024E-3</v>
      </c>
      <c r="BI191" s="47">
        <f>_xll.qlPolynomialFunctionValue(BI$1,$BD191,AllTriggers)</f>
        <v>3.0114645969035198E-3</v>
      </c>
      <c r="BJ191" s="47">
        <f>_xll.qlPolynomialFunctionValue(BJ$1,$BD191,AllTriggers)</f>
        <v>3.0436868066803079E-3</v>
      </c>
      <c r="BK191" s="47">
        <f>_xll.qlPolynomialFunctionValue(BK$1,$BD191,AllTriggers)</f>
        <v>2.9906913101125261E-3</v>
      </c>
      <c r="BL191" s="47">
        <f>_xll.qlPolynomialFunctionValue(BL$1,$BD191,AllTriggers)</f>
        <v>2.9797517809299311E-3</v>
      </c>
      <c r="BM191" s="47">
        <f>_xll.qlPolynomialFunctionValue(BM$1,$BD191,AllTriggers)</f>
        <v>2.9917635802477974E-3</v>
      </c>
      <c r="BN191" s="47">
        <f>_xll.qlPolynomialFunctionValue(BN$1,$BD191,AllTriggers)</f>
        <v>3.0047742993827582E-3</v>
      </c>
      <c r="BO191" s="47">
        <f>_xll.qlPolynomialFunctionValue(BO$1,$BD191,AllTriggers)</f>
        <v>2.9948264220842516E-3</v>
      </c>
      <c r="BP191" s="47">
        <f>_xll.qlPolynomialFunctionValue(BP$1,$BD191,AllTriggers)</f>
        <v>3.00018319510221E-3</v>
      </c>
      <c r="BQ191" s="47">
        <f>_xll.qlPolynomialFunctionValue('12MSynthDepo_used'!$P$18,BD191,AllTriggers)</f>
        <v>3.0162082774870961E-3</v>
      </c>
    </row>
    <row r="192" spans="55:69" x14ac:dyDescent="0.2">
      <c r="BC192" s="178">
        <f>_xll.qlCalendarAdvance(Calendar,BC191,"1d","mf",,Trigger)</f>
        <v>42402</v>
      </c>
      <c r="BD192" s="41">
        <f>_xll.qlDayCounterYearFraction(DayCounter,SettlementDate,BC192,,,Trigger)</f>
        <v>0.73333333333333328</v>
      </c>
      <c r="BE192" s="47">
        <f>_xll.qlPolynomialFunctionValue(BE$1,$BD192,AllTriggers)</f>
        <v>3.0107705736717055E-3</v>
      </c>
      <c r="BF192" s="47">
        <f>_xll.qlPolynomialFunctionValue(BF$1,$BD192,AllTriggers)</f>
        <v>3.0430547311918782E-3</v>
      </c>
      <c r="BG192" s="47">
        <f>_xll.qlPolynomialFunctionValue(BG$1,$BD192,AllTriggers)</f>
        <v>2.9916220905580218E-3</v>
      </c>
      <c r="BH192" s="47">
        <f>_xll.qlPolynomialFunctionValue(BH$1,$BD192,AllTriggers)</f>
        <v>2.9812132589137111E-3</v>
      </c>
      <c r="BI192" s="47">
        <f>_xll.qlPolynomialFunctionValue(BI$1,$BD192,AllTriggers)</f>
        <v>3.0123541536514775E-3</v>
      </c>
      <c r="BJ192" s="47">
        <f>_xll.qlPolynomialFunctionValue(BJ$1,$BD192,AllTriggers)</f>
        <v>3.0439843490064089E-3</v>
      </c>
      <c r="BK192" s="47">
        <f>_xll.qlPolynomialFunctionValue(BK$1,$BD192,AllTriggers)</f>
        <v>2.9911480900523383E-3</v>
      </c>
      <c r="BL192" s="47">
        <f>_xll.qlPolynomialFunctionValue(BL$1,$BD192,AllTriggers)</f>
        <v>2.9802414312952506E-3</v>
      </c>
      <c r="BM192" s="47">
        <f>_xll.qlPolynomialFunctionValue(BM$1,$BD192,AllTriggers)</f>
        <v>2.9922985629385313E-3</v>
      </c>
      <c r="BN192" s="47">
        <f>_xll.qlPolynomialFunctionValue(BN$1,$BD192,AllTriggers)</f>
        <v>3.0053733870612433E-3</v>
      </c>
      <c r="BO192" s="47">
        <f>_xll.qlPolynomialFunctionValue(BO$1,$BD192,AllTriggers)</f>
        <v>2.9953183289206011E-3</v>
      </c>
      <c r="BP192" s="47">
        <f>_xll.qlPolynomialFunctionValue(BP$1,$BD192,AllTriggers)</f>
        <v>3.000720849835819E-3</v>
      </c>
      <c r="BQ192" s="47">
        <f>_xll.qlPolynomialFunctionValue('12MSynthDepo_used'!$P$18,BD192,AllTriggers)</f>
        <v>3.0167109231381841E-3</v>
      </c>
    </row>
    <row r="193" spans="55:69" x14ac:dyDescent="0.2">
      <c r="BC193" s="178">
        <f>_xll.qlCalendarAdvance(Calendar,BC192,"1d","mf",,Trigger)</f>
        <v>42403</v>
      </c>
      <c r="BD193" s="41">
        <f>_xll.qlDayCounterYearFraction(DayCounter,SettlementDate,BC193,,,Trigger)</f>
        <v>0.73611111111111116</v>
      </c>
      <c r="BE193" s="47">
        <f>_xll.qlPolynomialFunctionValue(BE$1,$BD193,AllTriggers)</f>
        <v>3.0116315530467077E-3</v>
      </c>
      <c r="BF193" s="47">
        <f>_xll.qlPolynomialFunctionValue(BF$1,$BD193,AllTriggers)</f>
        <v>3.0433563459107064E-3</v>
      </c>
      <c r="BG193" s="47">
        <f>_xll.qlPolynomialFunctionValue(BG$1,$BD193,AllTriggers)</f>
        <v>2.9920841432014888E-3</v>
      </c>
      <c r="BH193" s="47">
        <f>_xll.qlPolynomialFunctionValue(BH$1,$BD193,AllTriggers)</f>
        <v>2.9817077806531911E-3</v>
      </c>
      <c r="BI193" s="47">
        <f>_xll.qlPolynomialFunctionValue(BI$1,$BD193,AllTriggers)</f>
        <v>3.0132437103994355E-3</v>
      </c>
      <c r="BJ193" s="47">
        <f>_xll.qlPolynomialFunctionValue(BJ$1,$BD193,AllTriggers)</f>
        <v>3.0442729177621026E-3</v>
      </c>
      <c r="BK193" s="47">
        <f>_xll.qlPolynomialFunctionValue(BK$1,$BD193,AllTriggers)</f>
        <v>2.9916048699921505E-3</v>
      </c>
      <c r="BL193" s="47">
        <f>_xll.qlPolynomialFunctionValue(BL$1,$BD193,AllTriggers)</f>
        <v>2.9807329340186327E-3</v>
      </c>
      <c r="BM193" s="47">
        <f>_xll.qlPolynomialFunctionValue(BM$1,$BD193,AllTriggers)</f>
        <v>2.9928335456292652E-3</v>
      </c>
      <c r="BN193" s="47">
        <f>_xll.qlPolynomialFunctionValue(BN$1,$BD193,AllTriggers)</f>
        <v>3.0059709851853801E-3</v>
      </c>
      <c r="BO193" s="47">
        <f>_xll.qlPolynomialFunctionValue(BO$1,$BD193,AllTriggers)</f>
        <v>2.9958102357569502E-3</v>
      </c>
      <c r="BP193" s="47">
        <f>_xll.qlPolynomialFunctionValue(BP$1,$BD193,AllTriggers)</f>
        <v>3.0012577746121758E-3</v>
      </c>
      <c r="BQ193" s="47">
        <f>_xll.qlPolynomialFunctionValue('12MSynthDepo_used'!$P$18,BD193,AllTriggers)</f>
        <v>3.0172105345987318E-3</v>
      </c>
    </row>
    <row r="194" spans="55:69" x14ac:dyDescent="0.2">
      <c r="BC194" s="178">
        <f>_xll.qlCalendarAdvance(Calendar,BC193,"1d","mf",,Trigger)</f>
        <v>42404</v>
      </c>
      <c r="BD194" s="41">
        <f>_xll.qlDayCounterYearFraction(DayCounter,SettlementDate,BC194,,,Trigger)</f>
        <v>0.73888888888888893</v>
      </c>
      <c r="BE194" s="47">
        <f>_xll.qlPolynomialFunctionValue(BE$1,$BD194,AllTriggers)</f>
        <v>3.0124925324217103E-3</v>
      </c>
      <c r="BF194" s="47">
        <f>_xll.qlPolynomialFunctionValue(BF$1,$BD194,AllTriggers)</f>
        <v>3.0436492883092838E-3</v>
      </c>
      <c r="BG194" s="47">
        <f>_xll.qlPolynomialFunctionValue(BG$1,$BD194,AllTriggers)</f>
        <v>2.9925461958449561E-3</v>
      </c>
      <c r="BH194" s="47">
        <f>_xll.qlPolynomialFunctionValue(BH$1,$BD194,AllTriggers)</f>
        <v>2.9822040574789422E-3</v>
      </c>
      <c r="BI194" s="47">
        <f>_xll.qlPolynomialFunctionValue(BI$1,$BD194,AllTriggers)</f>
        <v>3.0141332671473936E-3</v>
      </c>
      <c r="BJ194" s="47">
        <f>_xll.qlPolynomialFunctionValue(BJ$1,$BD194,AllTriggers)</f>
        <v>3.0445525129473893E-3</v>
      </c>
      <c r="BK194" s="47">
        <f>_xll.qlPolynomialFunctionValue(BK$1,$BD194,AllTriggers)</f>
        <v>2.9920616499319627E-3</v>
      </c>
      <c r="BL194" s="47">
        <f>_xll.qlPolynomialFunctionValue(BL$1,$BD194,AllTriggers)</f>
        <v>2.9812262891000772E-3</v>
      </c>
      <c r="BM194" s="47">
        <f>_xll.qlPolynomialFunctionValue(BM$1,$BD194,AllTriggers)</f>
        <v>2.9933685283199986E-3</v>
      </c>
      <c r="BN194" s="47">
        <f>_xll.qlPolynomialFunctionValue(BN$1,$BD194,AllTriggers)</f>
        <v>3.006567093755168E-3</v>
      </c>
      <c r="BO194" s="47">
        <f>_xll.qlPolynomialFunctionValue(BO$1,$BD194,AllTriggers)</f>
        <v>2.9963021425932997E-3</v>
      </c>
      <c r="BP194" s="47">
        <f>_xll.qlPolynomialFunctionValue(BP$1,$BD194,AllTriggers)</f>
        <v>3.0017939694312813E-3</v>
      </c>
      <c r="BQ194" s="47">
        <f>_xll.qlPolynomialFunctionValue('12MSynthDepo_used'!$P$18,BD194,AllTriggers)</f>
        <v>3.0177071265838308E-3</v>
      </c>
    </row>
    <row r="195" spans="55:69" x14ac:dyDescent="0.2">
      <c r="BC195" s="178">
        <f>_xll.qlCalendarAdvance(Calendar,BC194,"1d","mf",,Trigger)</f>
        <v>42405</v>
      </c>
      <c r="BD195" s="41">
        <f>_xll.qlDayCounterYearFraction(DayCounter,SettlementDate,BC195,,,Trigger)</f>
        <v>0.7416666666666667</v>
      </c>
      <c r="BE195" s="47">
        <f>_xll.qlPolynomialFunctionValue(BE$1,$BD195,AllTriggers)</f>
        <v>3.0133535117967125E-3</v>
      </c>
      <c r="BF195" s="47">
        <f>_xll.qlPolynomialFunctionValue(BF$1,$BD195,AllTriggers)</f>
        <v>3.04393355838761E-3</v>
      </c>
      <c r="BG195" s="47">
        <f>_xll.qlPolynomialFunctionValue(BG$1,$BD195,AllTriggers)</f>
        <v>2.9930082484884235E-3</v>
      </c>
      <c r="BH195" s="47">
        <f>_xll.qlPolynomialFunctionValue(BH$1,$BD195,AllTriggers)</f>
        <v>2.9827020893909641E-3</v>
      </c>
      <c r="BI195" s="47">
        <f>_xll.qlPolynomialFunctionValue(BI$1,$BD195,AllTriggers)</f>
        <v>3.0150228238953517E-3</v>
      </c>
      <c r="BJ195" s="47">
        <f>_xll.qlPolynomialFunctionValue(BJ$1,$BD195,AllTriggers)</f>
        <v>3.0448231345622683E-3</v>
      </c>
      <c r="BK195" s="47">
        <f>_xll.qlPolynomialFunctionValue(BK$1,$BD195,AllTriggers)</f>
        <v>2.9925184298717753E-3</v>
      </c>
      <c r="BL195" s="47">
        <f>_xll.qlPolynomialFunctionValue(BL$1,$BD195,AllTriggers)</f>
        <v>2.9817214965395847E-3</v>
      </c>
      <c r="BM195" s="47">
        <f>_xll.qlPolynomialFunctionValue(BM$1,$BD195,AllTriggers)</f>
        <v>2.9939035110107324E-3</v>
      </c>
      <c r="BN195" s="47">
        <f>_xll.qlPolynomialFunctionValue(BN$1,$BD195,AllTriggers)</f>
        <v>3.0071617127706077E-3</v>
      </c>
      <c r="BO195" s="47">
        <f>_xll.qlPolynomialFunctionValue(BO$1,$BD195,AllTriggers)</f>
        <v>2.9967940494296493E-3</v>
      </c>
      <c r="BP195" s="47">
        <f>_xll.qlPolynomialFunctionValue(BP$1,$BD195,AllTriggers)</f>
        <v>3.0023294342931359E-3</v>
      </c>
      <c r="BQ195" s="47">
        <f>_xll.qlPolynomialFunctionValue('12MSynthDepo_used'!$P$18,BD195,AllTriggers)</f>
        <v>3.0182007138085699E-3</v>
      </c>
    </row>
    <row r="196" spans="55:69" x14ac:dyDescent="0.2">
      <c r="BC196" s="178">
        <f>_xll.qlCalendarAdvance(Calendar,BC195,"1d","mf",,Trigger)</f>
        <v>42408</v>
      </c>
      <c r="BD196" s="41">
        <f>_xll.qlDayCounterYearFraction(DayCounter,SettlementDate,BC196,,,Trigger)</f>
        <v>0.75</v>
      </c>
      <c r="BE196" s="47">
        <f>_xll.qlPolynomialFunctionValue(BE$1,$BD196,AllTriggers)</f>
        <v>3.0159364499217191E-3</v>
      </c>
      <c r="BF196" s="47">
        <f>_xll.qlPolynomialFunctionValue(BF$1,$BD196,AllTriggers)</f>
        <v>3.0447343347010853E-3</v>
      </c>
      <c r="BG196" s="47">
        <f>_xll.qlPolynomialFunctionValue(BG$1,$BD196,AllTriggers)</f>
        <v>2.9943944064188249E-3</v>
      </c>
      <c r="BH196" s="47">
        <f>_xll.qlPolynomialFunctionValue(BH$1,$BD196,AllTriggers)</f>
        <v>2.9842067156446556E-3</v>
      </c>
      <c r="BI196" s="47">
        <f>_xll.qlPolynomialFunctionValue(BI$1,$BD196,AllTriggers)</f>
        <v>3.0176914941392255E-3</v>
      </c>
      <c r="BJ196" s="47">
        <f>_xll.qlPolynomialFunctionValue(BJ$1,$BD196,AllTriggers)</f>
        <v>3.0455811579844644E-3</v>
      </c>
      <c r="BK196" s="47">
        <f>_xll.qlPolynomialFunctionValue(BK$1,$BD196,AllTriggers)</f>
        <v>2.9938887696912119E-3</v>
      </c>
      <c r="BL196" s="47">
        <f>_xll.qlPolynomialFunctionValue(BL$1,$BD196,AllTriggers)</f>
        <v>2.9832182330064806E-3</v>
      </c>
      <c r="BM196" s="47">
        <f>_xll.qlPolynomialFunctionValue(BM$1,$BD196,AllTriggers)</f>
        <v>2.995508459082934E-3</v>
      </c>
      <c r="BN196" s="47">
        <f>_xll.qlPolynomialFunctionValue(BN$1,$BD196,AllTriggers)</f>
        <v>3.0089366324908356E-3</v>
      </c>
      <c r="BO196" s="47">
        <f>_xll.qlPolynomialFunctionValue(BO$1,$BD196,AllTriggers)</f>
        <v>2.9982697699386975E-3</v>
      </c>
      <c r="BP196" s="47">
        <f>_xll.qlPolynomialFunctionValue(BP$1,$BD196,AllTriggers)</f>
        <v>3.0039314491351896E-3</v>
      </c>
      <c r="BQ196" s="47">
        <f>_xll.qlPolynomialFunctionValue('12MSynthDepo_used'!$P$18,BD196,AllTriggers)</f>
        <v>3.019663594071536E-3</v>
      </c>
    </row>
    <row r="197" spans="55:69" x14ac:dyDescent="0.2">
      <c r="BC197" s="178">
        <f>_xll.qlCalendarAdvance(Calendar,BC196,"1d","mf",,Trigger)</f>
        <v>42409</v>
      </c>
      <c r="BD197" s="41">
        <f>_xll.qlDayCounterYearFraction(DayCounter,SettlementDate,BC197,,,Trigger)</f>
        <v>0.75277777777777777</v>
      </c>
      <c r="BE197" s="47">
        <f>_xll.qlPolynomialFunctionValue(BE$1,$BD197,AllTriggers)</f>
        <v>3.0167974292967213E-3</v>
      </c>
      <c r="BF197" s="47">
        <f>_xll.qlPolynomialFunctionValue(BF$1,$BD197,AllTriggers)</f>
        <v>3.0449839154984091E-3</v>
      </c>
      <c r="BG197" s="47">
        <f>_xll.qlPolynomialFunctionValue(BG$1,$BD197,AllTriggers)</f>
        <v>2.9948564590622923E-3</v>
      </c>
      <c r="BH197" s="47">
        <f>_xll.qlPolynomialFunctionValue(BH$1,$BD197,AllTriggers)</f>
        <v>2.984711767901761E-3</v>
      </c>
      <c r="BI197" s="47">
        <f>_xll.qlPolynomialFunctionValue(BI$1,$BD197,AllTriggers)</f>
        <v>3.0185810508871836E-3</v>
      </c>
      <c r="BJ197" s="47">
        <f>_xll.qlPolynomialFunctionValue(BJ$1,$BD197,AllTriggers)</f>
        <v>3.0458158853177153E-3</v>
      </c>
      <c r="BK197" s="47">
        <f>_xll.qlPolynomialFunctionValue(BK$1,$BD197,AllTriggers)</f>
        <v>2.9943455496310241E-3</v>
      </c>
      <c r="BL197" s="47">
        <f>_xll.qlPolynomialFunctionValue(BL$1,$BD197,AllTriggers)</f>
        <v>2.9837208498782373E-3</v>
      </c>
      <c r="BM197" s="47">
        <f>_xll.qlPolynomialFunctionValue(BM$1,$BD197,AllTriggers)</f>
        <v>2.9960434417736679E-3</v>
      </c>
      <c r="BN197" s="47">
        <f>_xll.qlPolynomialFunctionValue(BN$1,$BD197,AllTriggers)</f>
        <v>3.0095252932888809E-3</v>
      </c>
      <c r="BO197" s="47">
        <f>_xll.qlPolynomialFunctionValue(BO$1,$BD197,AllTriggers)</f>
        <v>2.998761676775047E-3</v>
      </c>
      <c r="BP197" s="47">
        <f>_xll.qlPolynomialFunctionValue(BP$1,$BD197,AllTriggers)</f>
        <v>3.0044639941680376E-3</v>
      </c>
      <c r="BQ197" s="47">
        <f>_xll.qlPolynomialFunctionValue('12MSynthDepo_used'!$P$18,BD197,AllTriggers)</f>
        <v>3.020145309405742E-3</v>
      </c>
    </row>
    <row r="198" spans="55:69" x14ac:dyDescent="0.2">
      <c r="BC198" s="178">
        <f>_xll.qlCalendarAdvance(Calendar,BC197,"1d","mf",,Trigger)</f>
        <v>42410</v>
      </c>
      <c r="BD198" s="41">
        <f>_xll.qlDayCounterYearFraction(DayCounter,SettlementDate,BC198,,,Trigger)</f>
        <v>0.75555555555555554</v>
      </c>
      <c r="BE198" s="47">
        <f>_xll.qlPolynomialFunctionValue(BE$1,$BD198,AllTriggers)</f>
        <v>3.0176584086717235E-3</v>
      </c>
      <c r="BF198" s="47">
        <f>_xll.qlPolynomialFunctionValue(BF$1,$BD198,AllTriggers)</f>
        <v>3.0452248239754812E-3</v>
      </c>
      <c r="BG198" s="47">
        <f>_xll.qlPolynomialFunctionValue(BG$1,$BD198,AllTriggers)</f>
        <v>2.9953185117057592E-3</v>
      </c>
      <c r="BH198" s="47">
        <f>_xll.qlPolynomialFunctionValue(BH$1,$BD198,AllTriggers)</f>
        <v>2.985218575245138E-3</v>
      </c>
      <c r="BI198" s="47">
        <f>_xll.qlPolynomialFunctionValue(BI$1,$BD198,AllTriggers)</f>
        <v>3.0194706076351416E-3</v>
      </c>
      <c r="BJ198" s="47">
        <f>_xll.qlPolynomialFunctionValue(BJ$1,$BD198,AllTriggers)</f>
        <v>3.0460416390805595E-3</v>
      </c>
      <c r="BK198" s="47">
        <f>_xll.qlPolynomialFunctionValue(BK$1,$BD198,AllTriggers)</f>
        <v>2.9948023295708363E-3</v>
      </c>
      <c r="BL198" s="47">
        <f>_xll.qlPolynomialFunctionValue(BL$1,$BD198,AllTriggers)</f>
        <v>2.9842253191080565E-3</v>
      </c>
      <c r="BM198" s="47">
        <f>_xll.qlPolynomialFunctionValue(BM$1,$BD198,AllTriggers)</f>
        <v>2.9965784244644017E-3</v>
      </c>
      <c r="BN198" s="47">
        <f>_xll.qlPolynomialFunctionValue(BN$1,$BD198,AllTriggers)</f>
        <v>3.0101124645325783E-3</v>
      </c>
      <c r="BO198" s="47">
        <f>_xll.qlPolynomialFunctionValue(BO$1,$BD198,AllTriggers)</f>
        <v>2.9992535836113961E-3</v>
      </c>
      <c r="BP198" s="47">
        <f>_xll.qlPolynomialFunctionValue(BP$1,$BD198,AllTriggers)</f>
        <v>3.0049958092436351E-3</v>
      </c>
      <c r="BQ198" s="47">
        <f>_xll.qlPolynomialFunctionValue('12MSynthDepo_used'!$P$18,BD198,AllTriggers)</f>
        <v>3.0206240935550395E-3</v>
      </c>
    </row>
    <row r="199" spans="55:69" x14ac:dyDescent="0.2">
      <c r="BC199" s="178">
        <f>_xll.qlCalendarAdvance(Calendar,BC198,"1d","mf",,Trigger)</f>
        <v>42411</v>
      </c>
      <c r="BD199" s="41">
        <f>_xll.qlDayCounterYearFraction(DayCounter,SettlementDate,BC199,,,Trigger)</f>
        <v>0.7583333333333333</v>
      </c>
      <c r="BE199" s="47">
        <f>_xll.qlPolynomialFunctionValue(BE$1,$BD199,AllTriggers)</f>
        <v>3.0185193880467257E-3</v>
      </c>
      <c r="BF199" s="47">
        <f>_xll.qlPolynomialFunctionValue(BF$1,$BD199,AllTriggers)</f>
        <v>3.0454570601323033E-3</v>
      </c>
      <c r="BG199" s="47">
        <f>_xll.qlPolynomialFunctionValue(BG$1,$BD199,AllTriggers)</f>
        <v>2.9957805643492262E-3</v>
      </c>
      <c r="BH199" s="47">
        <f>_xll.qlPolynomialFunctionValue(BH$1,$BD199,AllTriggers)</f>
        <v>2.9857271376747853E-3</v>
      </c>
      <c r="BI199" s="47">
        <f>_xll.qlPolynomialFunctionValue(BI$1,$BD199,AllTriggers)</f>
        <v>3.0203601643830993E-3</v>
      </c>
      <c r="BJ199" s="47">
        <f>_xll.qlPolynomialFunctionValue(BJ$1,$BD199,AllTriggers)</f>
        <v>3.0462584192729966E-3</v>
      </c>
      <c r="BK199" s="47">
        <f>_xll.qlPolynomialFunctionValue(BK$1,$BD199,AllTriggers)</f>
        <v>2.9952591095106485E-3</v>
      </c>
      <c r="BL199" s="47">
        <f>_xll.qlPolynomialFunctionValue(BL$1,$BD199,AllTriggers)</f>
        <v>2.9847316406959382E-3</v>
      </c>
      <c r="BM199" s="47">
        <f>_xll.qlPolynomialFunctionValue(BM$1,$BD199,AllTriggers)</f>
        <v>2.9971134071551352E-3</v>
      </c>
      <c r="BN199" s="47">
        <f>_xll.qlPolynomialFunctionValue(BN$1,$BD199,AllTriggers)</f>
        <v>3.0106981462219265E-3</v>
      </c>
      <c r="BO199" s="47">
        <f>_xll.qlPolynomialFunctionValue(BO$1,$BD199,AllTriggers)</f>
        <v>2.9997454904477456E-3</v>
      </c>
      <c r="BP199" s="47">
        <f>_xll.qlPolynomialFunctionValue(BP$1,$BD199,AllTriggers)</f>
        <v>3.00552689436198E-3</v>
      </c>
      <c r="BQ199" s="47">
        <f>_xll.qlPolynomialFunctionValue('12MSynthDepo_used'!$P$18,BD199,AllTriggers)</f>
        <v>3.0210999612345201E-3</v>
      </c>
    </row>
    <row r="200" spans="55:69" x14ac:dyDescent="0.2">
      <c r="BC200" s="178">
        <f>_xll.qlCalendarAdvance(Calendar,BC199,"1d","mf",,Trigger)</f>
        <v>42412</v>
      </c>
      <c r="BD200" s="41">
        <f>_xll.qlDayCounterYearFraction(DayCounter,SettlementDate,BC200,,,Trigger)</f>
        <v>0.76111111111111107</v>
      </c>
      <c r="BE200" s="47">
        <f>_xll.qlPolynomialFunctionValue(BE$1,$BD200,AllTriggers)</f>
        <v>3.0193803674217284E-3</v>
      </c>
      <c r="BF200" s="47">
        <f>_xll.qlPolynomialFunctionValue(BF$1,$BD200,AllTriggers)</f>
        <v>3.0456806239688747E-3</v>
      </c>
      <c r="BG200" s="47">
        <f>_xll.qlPolynomialFunctionValue(BG$1,$BD200,AllTriggers)</f>
        <v>2.9962426169926936E-3</v>
      </c>
      <c r="BH200" s="47">
        <f>_xll.qlPolynomialFunctionValue(BH$1,$BD200,AllTriggers)</f>
        <v>2.9862374551907038E-3</v>
      </c>
      <c r="BI200" s="47">
        <f>_xll.qlPolynomialFunctionValue(BI$1,$BD200,AllTriggers)</f>
        <v>3.0212497211310574E-3</v>
      </c>
      <c r="BJ200" s="47">
        <f>_xll.qlPolynomialFunctionValue(BJ$1,$BD200,AllTriggers)</f>
        <v>3.0464662258950261E-3</v>
      </c>
      <c r="BK200" s="47">
        <f>_xll.qlPolynomialFunctionValue(BK$1,$BD200,AllTriggers)</f>
        <v>2.9957158894504611E-3</v>
      </c>
      <c r="BL200" s="47">
        <f>_xll.qlPolynomialFunctionValue(BL$1,$BD200,AllTriggers)</f>
        <v>2.9852398146418828E-3</v>
      </c>
      <c r="BM200" s="47">
        <f>_xll.qlPolynomialFunctionValue(BM$1,$BD200,AllTriggers)</f>
        <v>2.997648389845869E-3</v>
      </c>
      <c r="BN200" s="47">
        <f>_xll.qlPolynomialFunctionValue(BN$1,$BD200,AllTriggers)</f>
        <v>3.0112823383569264E-3</v>
      </c>
      <c r="BO200" s="47">
        <f>_xll.qlPolynomialFunctionValue(BO$1,$BD200,AllTriggers)</f>
        <v>3.0002373972840952E-3</v>
      </c>
      <c r="BP200" s="47">
        <f>_xll.qlPolynomialFunctionValue(BP$1,$BD200,AllTriggers)</f>
        <v>3.006057249523074E-3</v>
      </c>
      <c r="BQ200" s="47">
        <f>_xll.qlPolynomialFunctionValue('12MSynthDepo_used'!$P$18,BD200,AllTriggers)</f>
        <v>3.0215729271592731E-3</v>
      </c>
    </row>
    <row r="201" spans="55:69" x14ac:dyDescent="0.2">
      <c r="BC201" s="178">
        <f>_xll.qlCalendarAdvance(Calendar,BC200,"1d","mf",,Trigger)</f>
        <v>42415</v>
      </c>
      <c r="BD201" s="41">
        <f>_xll.qlDayCounterYearFraction(DayCounter,SettlementDate,BC201,,,Trigger)</f>
        <v>0.76944444444444449</v>
      </c>
      <c r="BE201" s="47">
        <f>_xll.qlPolynomialFunctionValue(BE$1,$BD201,AllTriggers)</f>
        <v>3.021963305546735E-3</v>
      </c>
      <c r="BF201" s="47">
        <f>_xll.qlPolynomialFunctionValue(BF$1,$BD201,AllTriggers)</f>
        <v>3.0462992815570833E-3</v>
      </c>
      <c r="BG201" s="47">
        <f>_xll.qlPolynomialFunctionValue(BG$1,$BD201,AllTriggers)</f>
        <v>2.9976287749230953E-3</v>
      </c>
      <c r="BH201" s="47">
        <f>_xll.qlPolynomialFunctionValue(BH$1,$BD201,AllTriggers)</f>
        <v>2.9877789382560856E-3</v>
      </c>
      <c r="BI201" s="47">
        <f>_xll.qlPolynomialFunctionValue(BI$1,$BD201,AllTriggers)</f>
        <v>3.0239183913749312E-3</v>
      </c>
      <c r="BJ201" s="47">
        <f>_xll.qlPolynomialFunctionValue(BJ$1,$BD201,AllTriggers)</f>
        <v>3.0470358043386734E-3</v>
      </c>
      <c r="BK201" s="47">
        <f>_xll.qlPolynomialFunctionValue(BK$1,$BD201,AllTriggers)</f>
        <v>2.9970862292698977E-3</v>
      </c>
      <c r="BL201" s="47">
        <f>_xll.qlPolynomialFunctionValue(BL$1,$BD201,AllTriggers)</f>
        <v>2.9867754506280901E-3</v>
      </c>
      <c r="BM201" s="47">
        <f>_xll.qlPolynomialFunctionValue(BM$1,$BD201,AllTriggers)</f>
        <v>2.9992533379180706E-3</v>
      </c>
      <c r="BN201" s="47">
        <f>_xll.qlPolynomialFunctionValue(BN$1,$BD201,AllTriggers)</f>
        <v>3.0130259774358349E-3</v>
      </c>
      <c r="BO201" s="47">
        <f>_xll.qlPolynomialFunctionValue(BO$1,$BD201,AllTriggers)</f>
        <v>3.0017131177931433E-3</v>
      </c>
      <c r="BP201" s="47">
        <f>_xll.qlPolynomialFunctionValue(BP$1,$BD201,AllTriggers)</f>
        <v>3.0076439352628476E-3</v>
      </c>
      <c r="BQ201" s="47">
        <f>_xll.qlPolynomialFunctionValue('12MSynthDepo_used'!$P$18,BD201,AllTriggers)</f>
        <v>3.0229745615560719E-3</v>
      </c>
    </row>
    <row r="202" spans="55:69" x14ac:dyDescent="0.2">
      <c r="BC202" s="178">
        <f>_xll.qlCalendarAdvance(Calendar,BC201,"1d","mf",,Trigger)</f>
        <v>42416</v>
      </c>
      <c r="BD202" s="41">
        <f>_xll.qlDayCounterYearFraction(DayCounter,SettlementDate,BC202,,,Trigger)</f>
        <v>0.77222222222222225</v>
      </c>
      <c r="BE202" s="47">
        <f>_xll.qlPolynomialFunctionValue(BE$1,$BD202,AllTriggers)</f>
        <v>3.0228242849217372E-3</v>
      </c>
      <c r="BF202" s="47">
        <f>_xll.qlPolynomialFunctionValue(BF$1,$BD202,AllTriggers)</f>
        <v>3.0464881561126523E-3</v>
      </c>
      <c r="BG202" s="47">
        <f>_xll.qlPolynomialFunctionValue(BG$1,$BD202,AllTriggers)</f>
        <v>2.9980908275665623E-3</v>
      </c>
      <c r="BH202" s="47">
        <f>_xll.qlPolynomialFunctionValue(BH$1,$BD202,AllTriggers)</f>
        <v>2.9882962761170881E-3</v>
      </c>
      <c r="BI202" s="47">
        <f>_xll.qlPolynomialFunctionValue(BI$1,$BD202,AllTriggers)</f>
        <v>3.0248079481228892E-3</v>
      </c>
      <c r="BJ202" s="47">
        <f>_xll.qlPolynomialFunctionValue(BJ$1,$BD202,AllTriggers)</f>
        <v>3.0472077166790743E-3</v>
      </c>
      <c r="BK202" s="47">
        <f>_xll.qlPolynomialFunctionValue(BK$1,$BD202,AllTriggers)</f>
        <v>2.9975430092097099E-3</v>
      </c>
      <c r="BL202" s="47">
        <f>_xll.qlPolynomialFunctionValue(BL$1,$BD202,AllTriggers)</f>
        <v>2.9872910340062839E-3</v>
      </c>
      <c r="BM202" s="47">
        <f>_xll.qlPolynomialFunctionValue(BM$1,$BD202,AllTriggers)</f>
        <v>2.9997883206088045E-3</v>
      </c>
      <c r="BN202" s="47">
        <f>_xll.qlPolynomialFunctionValue(BN$1,$BD202,AllTriggers)</f>
        <v>3.0136042113534413E-3</v>
      </c>
      <c r="BO202" s="47">
        <f>_xll.qlPolynomialFunctionValue(BO$1,$BD202,AllTriggers)</f>
        <v>3.0022050246294929E-3</v>
      </c>
      <c r="BP202" s="47">
        <f>_xll.qlPolynomialFunctionValue(BP$1,$BD202,AllTriggers)</f>
        <v>3.0081713705949354E-3</v>
      </c>
      <c r="BQ202" s="47">
        <f>_xll.qlPolynomialFunctionValue('12MSynthDepo_used'!$P$18,BD202,AllTriggers)</f>
        <v>3.0234360676128194E-3</v>
      </c>
    </row>
    <row r="203" spans="55:69" x14ac:dyDescent="0.2">
      <c r="BC203" s="178">
        <f>_xll.qlCalendarAdvance(Calendar,BC202,"1d","mf",,Trigger)</f>
        <v>42417</v>
      </c>
      <c r="BD203" s="41">
        <f>_xll.qlDayCounterYearFraction(DayCounter,SettlementDate,BC203,,,Trigger)</f>
        <v>0.77500000000000002</v>
      </c>
      <c r="BE203" s="47">
        <f>_xll.qlPolynomialFunctionValue(BE$1,$BD203,AllTriggers)</f>
        <v>3.0236852642967394E-3</v>
      </c>
      <c r="BF203" s="47">
        <f>_xll.qlPolynomialFunctionValue(BF$1,$BD203,AllTriggers)</f>
        <v>3.0466683583479691E-3</v>
      </c>
      <c r="BG203" s="47">
        <f>_xll.qlPolynomialFunctionValue(BG$1,$BD203,AllTriggers)</f>
        <v>2.9985528802100297E-3</v>
      </c>
      <c r="BH203" s="47">
        <f>_xll.qlPolynomialFunctionValue(BH$1,$BD203,AllTriggers)</f>
        <v>2.9888153690643612E-3</v>
      </c>
      <c r="BI203" s="47">
        <f>_xll.qlPolynomialFunctionValue(BI$1,$BD203,AllTriggers)</f>
        <v>3.0256975048708473E-3</v>
      </c>
      <c r="BJ203" s="47">
        <f>_xll.qlPolynomialFunctionValue(BJ$1,$BD203,AllTriggers)</f>
        <v>3.0473706554490685E-3</v>
      </c>
      <c r="BK203" s="47">
        <f>_xll.qlPolynomialFunctionValue(BK$1,$BD203,AllTriggers)</f>
        <v>2.9979997891495221E-3</v>
      </c>
      <c r="BL203" s="47">
        <f>_xll.qlPolynomialFunctionValue(BL$1,$BD203,AllTriggers)</f>
        <v>2.9878084697425402E-3</v>
      </c>
      <c r="BM203" s="47">
        <f>_xll.qlPolynomialFunctionValue(BM$1,$BD203,AllTriggers)</f>
        <v>3.0003233032995383E-3</v>
      </c>
      <c r="BN203" s="47">
        <f>_xll.qlPolynomialFunctionValue(BN$1,$BD203,AllTriggers)</f>
        <v>3.0141809557166985E-3</v>
      </c>
      <c r="BO203" s="47">
        <f>_xll.qlPolynomialFunctionValue(BO$1,$BD203,AllTriggers)</f>
        <v>3.002696931465842E-3</v>
      </c>
      <c r="BP203" s="47">
        <f>_xll.qlPolynomialFunctionValue(BP$1,$BD203,AllTriggers)</f>
        <v>3.0086980759697719E-3</v>
      </c>
      <c r="BQ203" s="47">
        <f>_xll.qlPolynomialFunctionValue('12MSynthDepo_used'!$P$18,BD203,AllTriggers)</f>
        <v>3.0238947454902907E-3</v>
      </c>
    </row>
    <row r="204" spans="55:69" x14ac:dyDescent="0.2">
      <c r="BC204" s="178">
        <f>_xll.qlCalendarAdvance(Calendar,BC203,"1d","mf",,Trigger)</f>
        <v>42418</v>
      </c>
      <c r="BD204" s="41">
        <f>_xll.qlDayCounterYearFraction(DayCounter,SettlementDate,BC204,,,Trigger)</f>
        <v>0.77777777777777779</v>
      </c>
      <c r="BE204" s="47">
        <f>_xll.qlPolynomialFunctionValue(BE$1,$BD204,AllTriggers)</f>
        <v>3.0245462436717416E-3</v>
      </c>
      <c r="BF204" s="47">
        <f>_xll.qlPolynomialFunctionValue(BF$1,$BD204,AllTriggers)</f>
        <v>3.046839888263036E-3</v>
      </c>
      <c r="BG204" s="47">
        <f>_xll.qlPolynomialFunctionValue(BG$1,$BD204,AllTriggers)</f>
        <v>2.9990149328534966E-3</v>
      </c>
      <c r="BH204" s="47">
        <f>_xll.qlPolynomialFunctionValue(BH$1,$BD204,AllTriggers)</f>
        <v>2.9893362170979056E-3</v>
      </c>
      <c r="BI204" s="47">
        <f>_xll.qlPolynomialFunctionValue(BI$1,$BD204,AllTriggers)</f>
        <v>3.0265870616188054E-3</v>
      </c>
      <c r="BJ204" s="47">
        <f>_xll.qlPolynomialFunctionValue(BJ$1,$BD204,AllTriggers)</f>
        <v>3.047524620648656E-3</v>
      </c>
      <c r="BK204" s="47">
        <f>_xll.qlPolynomialFunctionValue(BK$1,$BD204,AllTriggers)</f>
        <v>2.9984565690893347E-3</v>
      </c>
      <c r="BL204" s="47">
        <f>_xll.qlPolynomialFunctionValue(BL$1,$BD204,AllTriggers)</f>
        <v>2.9883277578368595E-3</v>
      </c>
      <c r="BM204" s="47">
        <f>_xll.qlPolynomialFunctionValue(BM$1,$BD204,AllTriggers)</f>
        <v>3.0008582859902717E-3</v>
      </c>
      <c r="BN204" s="47">
        <f>_xll.qlPolynomialFunctionValue(BN$1,$BD204,AllTriggers)</f>
        <v>3.0147562105256069E-3</v>
      </c>
      <c r="BO204" s="47">
        <f>_xll.qlPolynomialFunctionValue(BO$1,$BD204,AllTriggers)</f>
        <v>3.0031888383021915E-3</v>
      </c>
      <c r="BP204" s="47">
        <f>_xll.qlPolynomialFunctionValue(BP$1,$BD204,AllTriggers)</f>
        <v>3.0092240513873575E-3</v>
      </c>
      <c r="BQ204" s="47">
        <f>_xll.qlPolynomialFunctionValue('12MSynthDepo_used'!$P$18,BD204,AllTriggers)</f>
        <v>3.0243506099035759E-3</v>
      </c>
    </row>
    <row r="205" spans="55:69" x14ac:dyDescent="0.2">
      <c r="BC205" s="178">
        <f>_xll.qlCalendarAdvance(Calendar,BC204,"1d","mf",,Trigger)</f>
        <v>42419</v>
      </c>
      <c r="BD205" s="41">
        <f>_xll.qlDayCounterYearFraction(DayCounter,SettlementDate,BC205,,,Trigger)</f>
        <v>0.78055555555555556</v>
      </c>
      <c r="BE205" s="47">
        <f>_xll.qlPolynomialFunctionValue(BE$1,$BD205,AllTriggers)</f>
        <v>3.0254072230467442E-3</v>
      </c>
      <c r="BF205" s="47">
        <f>_xll.qlPolynomialFunctionValue(BF$1,$BD205,AllTriggers)</f>
        <v>3.0470027458578517E-3</v>
      </c>
      <c r="BG205" s="47">
        <f>_xll.qlPolynomialFunctionValue(BG$1,$BD205,AllTriggers)</f>
        <v>2.999476985496964E-3</v>
      </c>
      <c r="BH205" s="47">
        <f>_xll.qlPolynomialFunctionValue(BH$1,$BD205,AllTriggers)</f>
        <v>2.9898588202177212E-3</v>
      </c>
      <c r="BI205" s="47">
        <f>_xll.qlPolynomialFunctionValue(BI$1,$BD205,AllTriggers)</f>
        <v>3.0274766183667635E-3</v>
      </c>
      <c r="BJ205" s="47">
        <f>_xll.qlPolynomialFunctionValue(BJ$1,$BD205,AllTriggers)</f>
        <v>3.0476696122778363E-3</v>
      </c>
      <c r="BK205" s="47">
        <f>_xll.qlPolynomialFunctionValue(BK$1,$BD205,AllTriggers)</f>
        <v>2.9989133490291469E-3</v>
      </c>
      <c r="BL205" s="47">
        <f>_xll.qlPolynomialFunctionValue(BL$1,$BD205,AllTriggers)</f>
        <v>2.9888488982892408E-3</v>
      </c>
      <c r="BM205" s="47">
        <f>_xll.qlPolynomialFunctionValue(BM$1,$BD205,AllTriggers)</f>
        <v>3.0013932686810056E-3</v>
      </c>
      <c r="BN205" s="47">
        <f>_xll.qlPolynomialFunctionValue(BN$1,$BD205,AllTriggers)</f>
        <v>3.0153299757801669E-3</v>
      </c>
      <c r="BO205" s="47">
        <f>_xll.qlPolynomialFunctionValue(BO$1,$BD205,AllTriggers)</f>
        <v>3.003680745138541E-3</v>
      </c>
      <c r="BP205" s="47">
        <f>_xll.qlPolynomialFunctionValue(BP$1,$BD205,AllTriggers)</f>
        <v>3.0097492968476909E-3</v>
      </c>
      <c r="BQ205" s="47">
        <f>_xll.qlPolynomialFunctionValue('12MSynthDepo_used'!$P$18,BD205,AllTriggers)</f>
        <v>3.0248036755677666E-3</v>
      </c>
    </row>
    <row r="206" spans="55:69" x14ac:dyDescent="0.2">
      <c r="BC206" s="178">
        <f>_xll.qlCalendarAdvance(Calendar,BC205,"1d","mf",,Trigger)</f>
        <v>42422</v>
      </c>
      <c r="BD206" s="41">
        <f>_xll.qlDayCounterYearFraction(DayCounter,SettlementDate,BC206,,,Trigger)</f>
        <v>0.78888888888888886</v>
      </c>
      <c r="BE206" s="47">
        <f>_xll.qlPolynomialFunctionValue(BE$1,$BD206,AllTriggers)</f>
        <v>3.0279901611717508E-3</v>
      </c>
      <c r="BF206" s="47">
        <f>_xll.qlPolynomialFunctionValue(BF$1,$BD206,AllTriggers)</f>
        <v>3.0474392847207946E-3</v>
      </c>
      <c r="BG206" s="47">
        <f>_xll.qlPolynomialFunctionValue(BG$1,$BD206,AllTriggers)</f>
        <v>3.0008631434273654E-3</v>
      </c>
      <c r="BH206" s="47">
        <f>_xll.qlPolynomialFunctionValue(BH$1,$BD206,AllTriggers)</f>
        <v>2.9914371600947929E-3</v>
      </c>
      <c r="BI206" s="47">
        <f>_xll.qlPolynomialFunctionValue(BI$1,$BD206,AllTriggers)</f>
        <v>3.0301452886106373E-3</v>
      </c>
      <c r="BJ206" s="47">
        <f>_xll.qlPolynomialFunctionValue(BJ$1,$BD206,AllTriggers)</f>
        <v>3.048050745742934E-3</v>
      </c>
      <c r="BK206" s="47">
        <f>_xll.qlPolynomialFunctionValue(BK$1,$BD206,AllTriggers)</f>
        <v>3.0002836888485835E-3</v>
      </c>
      <c r="BL206" s="47">
        <f>_xll.qlPolynomialFunctionValue(BL$1,$BD206,AllTriggers)</f>
        <v>2.9904234337947591E-3</v>
      </c>
      <c r="BM206" s="47">
        <f>_xll.qlPolynomialFunctionValue(BM$1,$BD206,AllTriggers)</f>
        <v>3.0029982167532072E-3</v>
      </c>
      <c r="BN206" s="47">
        <f>_xll.qlPolynomialFunctionValue(BN$1,$BD206,AllTriggers)</f>
        <v>3.0170423342177565E-3</v>
      </c>
      <c r="BO206" s="47">
        <f>_xll.qlPolynomialFunctionValue(BO$1,$BD206,AllTriggers)</f>
        <v>3.0051564656475892E-3</v>
      </c>
      <c r="BP206" s="47">
        <f>_xll.qlPolynomialFunctionValue(BP$1,$BD206,AllTriggers)</f>
        <v>3.0113206534851836E-3</v>
      </c>
      <c r="BQ206" s="47">
        <f>_xll.qlPolynomialFunctionValue('12MSynthDepo_used'!$P$18,BD206,AllTriggers)</f>
        <v>3.0261462272166695E-3</v>
      </c>
    </row>
    <row r="207" spans="55:69" x14ac:dyDescent="0.2">
      <c r="BC207" s="178">
        <f>_xll.qlCalendarAdvance(Calendar,BC206,"1d","mf",,Trigger)</f>
        <v>42423</v>
      </c>
      <c r="BD207" s="41">
        <f>_xll.qlDayCounterYearFraction(DayCounter,SettlementDate,BC207,,,Trigger)</f>
        <v>0.79166666666666663</v>
      </c>
      <c r="BE207" s="47">
        <f>_xll.qlPolynomialFunctionValue(BE$1,$BD207,AllTriggers)</f>
        <v>3.028851140546753E-3</v>
      </c>
      <c r="BF207" s="47">
        <f>_xll.qlPolynomialFunctionValue(BF$1,$BD207,AllTriggers)</f>
        <v>3.0475674530346074E-3</v>
      </c>
      <c r="BG207" s="47">
        <f>_xll.qlPolynomialFunctionValue(BG$1,$BD207,AllTriggers)</f>
        <v>3.0013251960708327E-3</v>
      </c>
      <c r="BH207" s="47">
        <f>_xll.qlPolynomialFunctionValue(BH$1,$BD207,AllTriggers)</f>
        <v>2.9919667835596919E-3</v>
      </c>
      <c r="BI207" s="47">
        <f>_xll.qlPolynomialFunctionValue(BI$1,$BD207,AllTriggers)</f>
        <v>3.0310348453585953E-3</v>
      </c>
      <c r="BJ207" s="47">
        <f>_xll.qlPolynomialFunctionValue(BJ$1,$BD207,AllTriggers)</f>
        <v>3.0481598430904858E-3</v>
      </c>
      <c r="BK207" s="47">
        <f>_xll.qlPolynomialFunctionValue(BK$1,$BD207,AllTriggers)</f>
        <v>3.0007404687883957E-3</v>
      </c>
      <c r="BL207" s="47">
        <f>_xll.qlPolynomialFunctionValue(BL$1,$BD207,AllTriggers)</f>
        <v>2.9909519836793901E-3</v>
      </c>
      <c r="BM207" s="47">
        <f>_xll.qlPolynomialFunctionValue(BM$1,$BD207,AllTriggers)</f>
        <v>3.003533199443941E-3</v>
      </c>
      <c r="BN207" s="47">
        <f>_xll.qlPolynomialFunctionValue(BN$1,$BD207,AllTriggers)</f>
        <v>3.0176101412549223E-3</v>
      </c>
      <c r="BO207" s="47">
        <f>_xll.qlPolynomialFunctionValue(BO$1,$BD207,AllTriggers)</f>
        <v>3.0056483724839383E-3</v>
      </c>
      <c r="BP207" s="47">
        <f>_xll.qlPolynomialFunctionValue(BP$1,$BD207,AllTriggers)</f>
        <v>3.0118429791165116E-3</v>
      </c>
      <c r="BQ207" s="47">
        <f>_xll.qlPolynomialFunctionValue('12MSynthDepo_used'!$P$18,BD207,AllTriggers)</f>
        <v>3.0265882450353815E-3</v>
      </c>
    </row>
    <row r="208" spans="55:69" x14ac:dyDescent="0.2">
      <c r="BC208" s="178">
        <f>_xll.qlCalendarAdvance(Calendar,BC207,"1d","mf",,Trigger)</f>
        <v>42424</v>
      </c>
      <c r="BD208" s="41">
        <f>_xll.qlDayCounterYearFraction(DayCounter,SettlementDate,BC208,,,Trigger)</f>
        <v>0.7944444444444444</v>
      </c>
      <c r="BE208" s="47">
        <f>_xll.qlPolynomialFunctionValue(BE$1,$BD208,AllTriggers)</f>
        <v>3.0297121199217552E-3</v>
      </c>
      <c r="BF208" s="47">
        <f>_xll.qlPolynomialFunctionValue(BF$1,$BD208,AllTriggers)</f>
        <v>3.0476869490281694E-3</v>
      </c>
      <c r="BG208" s="47">
        <f>_xll.qlPolynomialFunctionValue(BG$1,$BD208,AllTriggers)</f>
        <v>3.0017872487142997E-3</v>
      </c>
      <c r="BH208" s="47">
        <f>_xll.qlPolynomialFunctionValue(BH$1,$BD208,AllTriggers)</f>
        <v>2.9924981621108622E-3</v>
      </c>
      <c r="BI208" s="47">
        <f>_xll.qlPolynomialFunctionValue(BI$1,$BD208,AllTriggers)</f>
        <v>3.031924402106553E-3</v>
      </c>
      <c r="BJ208" s="47">
        <f>_xll.qlPolynomialFunctionValue(BJ$1,$BD208,AllTriggers)</f>
        <v>3.0482599668676304E-3</v>
      </c>
      <c r="BK208" s="47">
        <f>_xll.qlPolynomialFunctionValue(BK$1,$BD208,AllTriggers)</f>
        <v>3.0011972487282079E-3</v>
      </c>
      <c r="BL208" s="47">
        <f>_xll.qlPolynomialFunctionValue(BL$1,$BD208,AllTriggers)</f>
        <v>2.9914823859220835E-3</v>
      </c>
      <c r="BM208" s="47">
        <f>_xll.qlPolynomialFunctionValue(BM$1,$BD208,AllTriggers)</f>
        <v>3.0040681821346749E-3</v>
      </c>
      <c r="BN208" s="47">
        <f>_xll.qlPolynomialFunctionValue(BN$1,$BD208,AllTriggers)</f>
        <v>3.0181764587377401E-3</v>
      </c>
      <c r="BO208" s="47">
        <f>_xll.qlPolynomialFunctionValue(BO$1,$BD208,AllTriggers)</f>
        <v>3.0061402793202878E-3</v>
      </c>
      <c r="BP208" s="47">
        <f>_xll.qlPolynomialFunctionValue(BP$1,$BD208,AllTriggers)</f>
        <v>3.012364574790588E-3</v>
      </c>
      <c r="BQ208" s="47">
        <f>_xll.qlPolynomialFunctionValue('12MSynthDepo_used'!$P$18,BD208,AllTriggers)</f>
        <v>3.0270275376804499E-3</v>
      </c>
    </row>
    <row r="209" spans="55:69" x14ac:dyDescent="0.2">
      <c r="BC209" s="178">
        <f>_xll.qlCalendarAdvance(Calendar,BC208,"1d","mf",,Trigger)</f>
        <v>42425</v>
      </c>
      <c r="BD209" s="41">
        <f>_xll.qlDayCounterYearFraction(DayCounter,SettlementDate,BC209,,,Trigger)</f>
        <v>0.79722222222222228</v>
      </c>
      <c r="BE209" s="47">
        <f>_xll.qlPolynomialFunctionValue(BE$1,$BD209,AllTriggers)</f>
        <v>3.0305730992967574E-3</v>
      </c>
      <c r="BF209" s="47">
        <f>_xll.qlPolynomialFunctionValue(BF$1,$BD209,AllTriggers)</f>
        <v>3.047797772701481E-3</v>
      </c>
      <c r="BG209" s="47">
        <f>_xll.qlPolynomialFunctionValue(BG$1,$BD209,AllTriggers)</f>
        <v>3.0022493013577671E-3</v>
      </c>
      <c r="BH209" s="47">
        <f>_xll.qlPolynomialFunctionValue(BH$1,$BD209,AllTriggers)</f>
        <v>2.9930312957483032E-3</v>
      </c>
      <c r="BI209" s="47">
        <f>_xll.qlPolynomialFunctionValue(BI$1,$BD209,AllTriggers)</f>
        <v>3.0328139588545111E-3</v>
      </c>
      <c r="BJ209" s="47">
        <f>_xll.qlPolynomialFunctionValue(BJ$1,$BD209,AllTriggers)</f>
        <v>3.0483511170743679E-3</v>
      </c>
      <c r="BK209" s="47">
        <f>_xll.qlPolynomialFunctionValue(BK$1,$BD209,AllTriggers)</f>
        <v>3.0016540286680205E-3</v>
      </c>
      <c r="BL209" s="47">
        <f>_xll.qlPolynomialFunctionValue(BL$1,$BD209,AllTriggers)</f>
        <v>2.9920146405228399E-3</v>
      </c>
      <c r="BM209" s="47">
        <f>_xll.qlPolynomialFunctionValue(BM$1,$BD209,AllTriggers)</f>
        <v>3.0046031648254083E-3</v>
      </c>
      <c r="BN209" s="47">
        <f>_xll.qlPolynomialFunctionValue(BN$1,$BD209,AllTriggers)</f>
        <v>3.0187412866662091E-3</v>
      </c>
      <c r="BO209" s="47">
        <f>_xll.qlPolynomialFunctionValue(BO$1,$BD209,AllTriggers)</f>
        <v>3.0066321861566374E-3</v>
      </c>
      <c r="BP209" s="47">
        <f>_xll.qlPolynomialFunctionValue(BP$1,$BD209,AllTriggers)</f>
        <v>3.012885440507413E-3</v>
      </c>
      <c r="BQ209" s="47">
        <f>_xll.qlPolynomialFunctionValue('12MSynthDepo_used'!$P$18,BD209,AllTriggers)</f>
        <v>3.027464119866965E-3</v>
      </c>
    </row>
    <row r="210" spans="55:69" x14ac:dyDescent="0.2">
      <c r="BC210" s="178">
        <f>_xll.qlCalendarAdvance(Calendar,BC209,"1d","mf",,Trigger)</f>
        <v>42426</v>
      </c>
      <c r="BD210" s="41">
        <f>_xll.qlDayCounterYearFraction(DayCounter,SettlementDate,BC210,,,Trigger)</f>
        <v>0.8</v>
      </c>
      <c r="BE210" s="47">
        <f>_xll.qlPolynomialFunctionValue(BE$1,$BD210,AllTriggers)</f>
        <v>3.0314340786717596E-3</v>
      </c>
      <c r="BF210" s="47">
        <f>_xll.qlPolynomialFunctionValue(BF$1,$BD210,AllTriggers)</f>
        <v>3.0478999240545414E-3</v>
      </c>
      <c r="BG210" s="47">
        <f>_xll.qlPolynomialFunctionValue(BG$1,$BD210,AllTriggers)</f>
        <v>3.0027113540012341E-3</v>
      </c>
      <c r="BH210" s="47">
        <f>_xll.qlPolynomialFunctionValue(BH$1,$BD210,AllTriggers)</f>
        <v>2.9935661844720154E-3</v>
      </c>
      <c r="BI210" s="47">
        <f>_xll.qlPolynomialFunctionValue(BI$1,$BD210,AllTriggers)</f>
        <v>3.0337035156024691E-3</v>
      </c>
      <c r="BJ210" s="47">
        <f>_xll.qlPolynomialFunctionValue(BJ$1,$BD210,AllTriggers)</f>
        <v>3.0484332937106987E-3</v>
      </c>
      <c r="BK210" s="47">
        <f>_xll.qlPolynomialFunctionValue(BK$1,$BD210,AllTriggers)</f>
        <v>3.0021108086078327E-3</v>
      </c>
      <c r="BL210" s="47">
        <f>_xll.qlPolynomialFunctionValue(BL$1,$BD210,AllTriggers)</f>
        <v>2.992548747481658E-3</v>
      </c>
      <c r="BM210" s="47">
        <f>_xll.qlPolynomialFunctionValue(BM$1,$BD210,AllTriggers)</f>
        <v>3.0051381475161422E-3</v>
      </c>
      <c r="BN210" s="47">
        <f>_xll.qlPolynomialFunctionValue(BN$1,$BD210,AllTriggers)</f>
        <v>3.0193046250403294E-3</v>
      </c>
      <c r="BO210" s="47">
        <f>_xll.qlPolynomialFunctionValue(BO$1,$BD210,AllTriggers)</f>
        <v>3.0071240929929869E-3</v>
      </c>
      <c r="BP210" s="47">
        <f>_xll.qlPolynomialFunctionValue(BP$1,$BD210,AllTriggers)</f>
        <v>3.0134055762669866E-3</v>
      </c>
      <c r="BQ210" s="47">
        <f>_xll.qlPolynomialFunctionValue('12MSynthDepo_used'!$P$18,BD210,AllTriggers)</f>
        <v>3.0278980063100161E-3</v>
      </c>
    </row>
    <row r="211" spans="55:69" x14ac:dyDescent="0.2">
      <c r="BC211" s="178">
        <f>_xll.qlCalendarAdvance(Calendar,BC210,"1d","mf",,Trigger)</f>
        <v>42429</v>
      </c>
      <c r="BD211" s="41">
        <f>_xll.qlDayCounterYearFraction(DayCounter,SettlementDate,BC211,,,Trigger)</f>
        <v>0.80833333333333335</v>
      </c>
      <c r="BE211" s="47">
        <f>_xll.qlPolynomialFunctionValue(BE$1,$BD211,AllTriggers)</f>
        <v>3.0340170167967666E-3</v>
      </c>
      <c r="BF211" s="47">
        <f>_xll.qlPolynomialFunctionValue(BF$1,$BD211,AllTriggers)</f>
        <v>3.0481543441922181E-3</v>
      </c>
      <c r="BG211" s="47">
        <f>_xll.qlPolynomialFunctionValue(BG$1,$BD211,AllTriggers)</f>
        <v>3.0040975119316358E-3</v>
      </c>
      <c r="BH211" s="47">
        <f>_xll.qlPolynomialFunctionValue(BH$1,$BD211,AllTriggers)</f>
        <v>2.995181381160777E-3</v>
      </c>
      <c r="BI211" s="47">
        <f>_xll.qlPolynomialFunctionValue(BI$1,$BD211,AllTriggers)</f>
        <v>3.0363721858463429E-3</v>
      </c>
      <c r="BJ211" s="47">
        <f>_xll.qlPolynomialFunctionValue(BJ$1,$BD211,AllTriggers)</f>
        <v>3.0486259821972473E-3</v>
      </c>
      <c r="BK211" s="47">
        <f>_xll.qlPolynomialFunctionValue(BK$1,$BD211,AllTriggers)</f>
        <v>3.0034811484272693E-3</v>
      </c>
      <c r="BL211" s="47">
        <f>_xll.qlPolynomialFunctionValue(BL$1,$BD211,AllTriggers)</f>
        <v>2.9941621825064877E-3</v>
      </c>
      <c r="BM211" s="47">
        <f>_xll.qlPolynomialFunctionValue(BM$1,$BD211,AllTriggers)</f>
        <v>3.0067430955883438E-3</v>
      </c>
      <c r="BN211" s="47">
        <f>_xll.qlPolynomialFunctionValue(BN$1,$BD211,AllTriggers)</f>
        <v>3.0209857028365996E-3</v>
      </c>
      <c r="BO211" s="47">
        <f>_xll.qlPolynomialFunctionValue(BO$1,$BD211,AllTriggers)</f>
        <v>3.0085998135020351E-3</v>
      </c>
      <c r="BP211" s="47">
        <f>_xll.qlPolynomialFunctionValue(BP$1,$BD211,AllTriggers)</f>
        <v>3.0149616038021984E-3</v>
      </c>
      <c r="BQ211" s="47">
        <f>_xll.qlPolynomialFunctionValue('12MSynthDepo_used'!$P$18,BD211,AllTriggers)</f>
        <v>3.0291836383292935E-3</v>
      </c>
    </row>
    <row r="212" spans="55:69" x14ac:dyDescent="0.2">
      <c r="BC212" s="178">
        <f>_xll.qlCalendarAdvance(Calendar,BC211,"1d","mf",,Trigger)</f>
        <v>42430</v>
      </c>
      <c r="BD212" s="41">
        <f>_xll.qlDayCounterYearFraction(DayCounter,SettlementDate,BC212,,,Trigger)</f>
        <v>0.81111111111111112</v>
      </c>
      <c r="BE212" s="47">
        <f>_xll.qlPolynomialFunctionValue(BE$1,$BD212,AllTriggers)</f>
        <v>3.0348779961717688E-3</v>
      </c>
      <c r="BF212" s="47">
        <f>_xll.qlPolynomialFunctionValue(BF$1,$BD212,AllTriggers)</f>
        <v>3.0482218062642757E-3</v>
      </c>
      <c r="BG212" s="47">
        <f>_xll.qlPolynomialFunctionValue(BG$1,$BD212,AllTriggers)</f>
        <v>3.0045595645751028E-3</v>
      </c>
      <c r="BH212" s="47">
        <f>_xll.qlPolynomialFunctionValue(BH$1,$BD212,AllTriggers)</f>
        <v>2.9957232902295731E-3</v>
      </c>
      <c r="BI212" s="47">
        <f>_xll.qlPolynomialFunctionValue(BI$1,$BD212,AllTriggers)</f>
        <v>3.037261742594301E-3</v>
      </c>
      <c r="BJ212" s="47">
        <f>_xll.qlPolynomialFunctionValue(BJ$1,$BD212,AllTriggers)</f>
        <v>3.0486722645519495E-3</v>
      </c>
      <c r="BK212" s="47">
        <f>_xll.qlPolynomialFunctionValue(BK$1,$BD212,AllTriggers)</f>
        <v>3.0039379283670815E-3</v>
      </c>
      <c r="BL212" s="47">
        <f>_xll.qlPolynomialFunctionValue(BL$1,$BD212,AllTriggers)</f>
        <v>2.9947036988975557E-3</v>
      </c>
      <c r="BM212" s="47">
        <f>_xll.qlPolynomialFunctionValue(BM$1,$BD212,AllTriggers)</f>
        <v>3.0072780782790776E-3</v>
      </c>
      <c r="BN212" s="47">
        <f>_xll.qlPolynomialFunctionValue(BN$1,$BD212,AllTriggers)</f>
        <v>3.0215430829933264E-3</v>
      </c>
      <c r="BO212" s="47">
        <f>_xll.qlPolynomialFunctionValue(BO$1,$BD212,AllTriggers)</f>
        <v>3.0090917203383842E-3</v>
      </c>
      <c r="BP212" s="47">
        <f>_xll.qlPolynomialFunctionValue(BP$1,$BD212,AllTriggers)</f>
        <v>3.0154788197327659E-3</v>
      </c>
      <c r="BQ212" s="47">
        <f>_xll.qlPolynomialFunctionValue('12MSynthDepo_used'!$P$18,BD212,AllTriggers)</f>
        <v>3.0296068889493944E-3</v>
      </c>
    </row>
    <row r="213" spans="55:69" x14ac:dyDescent="0.2">
      <c r="BC213" s="178">
        <f>_xll.qlCalendarAdvance(Calendar,BC212,"1d","mf",,Trigger)</f>
        <v>42431</v>
      </c>
      <c r="BD213" s="41">
        <f>_xll.qlDayCounterYearFraction(DayCounter,SettlementDate,BC213,,,Trigger)</f>
        <v>0.81388888888888888</v>
      </c>
      <c r="BE213" s="47">
        <f>_xll.qlPolynomialFunctionValue(BE$1,$BD213,AllTriggers)</f>
        <v>3.035738975546771E-3</v>
      </c>
      <c r="BF213" s="47">
        <f>_xll.qlPolynomialFunctionValue(BF$1,$BD213,AllTriggers)</f>
        <v>3.0482805960160828E-3</v>
      </c>
      <c r="BG213" s="47">
        <f>_xll.qlPolynomialFunctionValue(BG$1,$BD213,AllTriggers)</f>
        <v>3.0050216172185702E-3</v>
      </c>
      <c r="BH213" s="47">
        <f>_xll.qlPolynomialFunctionValue(BH$1,$BD213,AllTriggers)</f>
        <v>2.9962669543846399E-3</v>
      </c>
      <c r="BI213" s="47">
        <f>_xll.qlPolynomialFunctionValue(BI$1,$BD213,AllTriggers)</f>
        <v>3.0381512993422591E-3</v>
      </c>
      <c r="BJ213" s="47">
        <f>_xll.qlPolynomialFunctionValue(BJ$1,$BD213,AllTriggers)</f>
        <v>3.0487095733362445E-3</v>
      </c>
      <c r="BK213" s="47">
        <f>_xll.qlPolynomialFunctionValue(BK$1,$BD213,AllTriggers)</f>
        <v>3.0043947083068941E-3</v>
      </c>
      <c r="BL213" s="47">
        <f>_xll.qlPolynomialFunctionValue(BL$1,$BD213,AllTriggers)</f>
        <v>2.9952470676466868E-3</v>
      </c>
      <c r="BM213" s="47">
        <f>_xll.qlPolynomialFunctionValue(BM$1,$BD213,AllTriggers)</f>
        <v>3.0078130609698115E-3</v>
      </c>
      <c r="BN213" s="47">
        <f>_xll.qlPolynomialFunctionValue(BN$1,$BD213,AllTriggers)</f>
        <v>3.022098973595704E-3</v>
      </c>
      <c r="BO213" s="47">
        <f>_xll.qlPolynomialFunctionValue(BO$1,$BD213,AllTriggers)</f>
        <v>3.0095836271747337E-3</v>
      </c>
      <c r="BP213" s="47">
        <f>_xll.qlPolynomialFunctionValue(BP$1,$BD213,AllTriggers)</f>
        <v>3.0159953057060825E-3</v>
      </c>
      <c r="BQ213" s="47">
        <f>_xll.qlPolynomialFunctionValue('12MSynthDepo_used'!$P$18,BD213,AllTriggers)</f>
        <v>3.0300275174014834E-3</v>
      </c>
    </row>
    <row r="214" spans="55:69" x14ac:dyDescent="0.2">
      <c r="BC214" s="178">
        <f>_xll.qlCalendarAdvance(Calendar,BC213,"1d","mf",,Trigger)</f>
        <v>42432</v>
      </c>
      <c r="BD214" s="41">
        <f>_xll.qlDayCounterYearFraction(DayCounter,SettlementDate,BC214,,,Trigger)</f>
        <v>0.81666666666666665</v>
      </c>
      <c r="BE214" s="47">
        <f>_xll.qlPolynomialFunctionValue(BE$1,$BD214,AllTriggers)</f>
        <v>3.0365999549217732E-3</v>
      </c>
      <c r="BF214" s="47">
        <f>_xll.qlPolynomialFunctionValue(BF$1,$BD214,AllTriggers)</f>
        <v>3.0483307134476383E-3</v>
      </c>
      <c r="BG214" s="47">
        <f>_xll.qlPolynomialFunctionValue(BG$1,$BD214,AllTriggers)</f>
        <v>3.0054836698620371E-3</v>
      </c>
      <c r="BH214" s="47">
        <f>_xll.qlPolynomialFunctionValue(BH$1,$BD214,AllTriggers)</f>
        <v>2.9968123736259776E-3</v>
      </c>
      <c r="BI214" s="47">
        <f>_xll.qlPolynomialFunctionValue(BI$1,$BD214,AllTriggers)</f>
        <v>3.0390408560902172E-3</v>
      </c>
      <c r="BJ214" s="47">
        <f>_xll.qlPolynomialFunctionValue(BJ$1,$BD214,AllTriggers)</f>
        <v>3.0487379085501324E-3</v>
      </c>
      <c r="BK214" s="47">
        <f>_xll.qlPolynomialFunctionValue(BK$1,$BD214,AllTriggers)</f>
        <v>3.0048514882467063E-3</v>
      </c>
      <c r="BL214" s="47">
        <f>_xll.qlPolynomialFunctionValue(BL$1,$BD214,AllTriggers)</f>
        <v>2.9957922887538799E-3</v>
      </c>
      <c r="BM214" s="47">
        <f>_xll.qlPolynomialFunctionValue(BM$1,$BD214,AllTriggers)</f>
        <v>3.0083480436605449E-3</v>
      </c>
      <c r="BN214" s="47">
        <f>_xll.qlPolynomialFunctionValue(BN$1,$BD214,AllTriggers)</f>
        <v>3.0226533746437333E-3</v>
      </c>
      <c r="BO214" s="47">
        <f>_xll.qlPolynomialFunctionValue(BO$1,$BD214,AllTriggers)</f>
        <v>3.0100755340110833E-3</v>
      </c>
      <c r="BP214" s="47">
        <f>_xll.qlPolynomialFunctionValue(BP$1,$BD214,AllTriggers)</f>
        <v>3.0165110617221469E-3</v>
      </c>
      <c r="BQ214" s="47">
        <f>_xll.qlPolynomialFunctionValue('12MSynthDepo_used'!$P$18,BD214,AllTriggers)</f>
        <v>3.0304455384006514E-3</v>
      </c>
    </row>
    <row r="215" spans="55:69" x14ac:dyDescent="0.2">
      <c r="BC215" s="178">
        <f>_xll.qlCalendarAdvance(Calendar,BC214,"1d","mf",,Trigger)</f>
        <v>42433</v>
      </c>
      <c r="BD215" s="41">
        <f>_xll.qlDayCounterYearFraction(DayCounter,SettlementDate,BC215,,,Trigger)</f>
        <v>0.81944444444444442</v>
      </c>
      <c r="BE215" s="47">
        <f>_xll.qlPolynomialFunctionValue(BE$1,$BD215,AllTriggers)</f>
        <v>3.0374609342967754E-3</v>
      </c>
      <c r="BF215" s="47">
        <f>_xll.qlPolynomialFunctionValue(BF$1,$BD215,AllTriggers)</f>
        <v>3.0483721585589435E-3</v>
      </c>
      <c r="BG215" s="47">
        <f>_xll.qlPolynomialFunctionValue(BG$1,$BD215,AllTriggers)</f>
        <v>3.0059457225055045E-3</v>
      </c>
      <c r="BH215" s="47">
        <f>_xll.qlPolynomialFunctionValue(BH$1,$BD215,AllTriggers)</f>
        <v>2.9973595479535864E-3</v>
      </c>
      <c r="BI215" s="47">
        <f>_xll.qlPolynomialFunctionValue(BI$1,$BD215,AllTriggers)</f>
        <v>3.0399304128381748E-3</v>
      </c>
      <c r="BJ215" s="47">
        <f>_xll.qlPolynomialFunctionValue(BJ$1,$BD215,AllTriggers)</f>
        <v>3.0487572701936132E-3</v>
      </c>
      <c r="BK215" s="47">
        <f>_xll.qlPolynomialFunctionValue(BK$1,$BD215,AllTriggers)</f>
        <v>3.0053082681865185E-3</v>
      </c>
      <c r="BL215" s="47">
        <f>_xll.qlPolynomialFunctionValue(BL$1,$BD215,AllTriggers)</f>
        <v>2.9963393622191351E-3</v>
      </c>
      <c r="BM215" s="47">
        <f>_xll.qlPolynomialFunctionValue(BM$1,$BD215,AllTriggers)</f>
        <v>3.0088830263512788E-3</v>
      </c>
      <c r="BN215" s="47">
        <f>_xll.qlPolynomialFunctionValue(BN$1,$BD215,AllTriggers)</f>
        <v>3.0232062861374137E-3</v>
      </c>
      <c r="BO215" s="47">
        <f>_xll.qlPolynomialFunctionValue(BO$1,$BD215,AllTriggers)</f>
        <v>3.0105674408474328E-3</v>
      </c>
      <c r="BP215" s="47">
        <f>_xll.qlPolynomialFunctionValue(BP$1,$BD215,AllTriggers)</f>
        <v>3.0170260877809604E-3</v>
      </c>
      <c r="BQ215" s="47">
        <f>_xll.qlPolynomialFunctionValue('12MSynthDepo_used'!$P$18,BD215,AllTriggers)</f>
        <v>3.0308609666619872E-3</v>
      </c>
    </row>
    <row r="216" spans="55:69" x14ac:dyDescent="0.2">
      <c r="BC216" s="178">
        <f>_xll.qlCalendarAdvance(Calendar,BC215,"1d","mf",,Trigger)</f>
        <v>42436</v>
      </c>
      <c r="BD216" s="41">
        <f>_xll.qlDayCounterYearFraction(DayCounter,SettlementDate,BC216,,,Trigger)</f>
        <v>0.82777777777777772</v>
      </c>
      <c r="BE216" s="47">
        <f>_xll.qlPolynomialFunctionValue(BE$1,$BD216,AllTriggers)</f>
        <v>3.0400438724217825E-3</v>
      </c>
      <c r="BF216" s="47">
        <f>_xll.qlPolynomialFunctionValue(BF$1,$BD216,AllTriggers)</f>
        <v>3.0484444599713548E-3</v>
      </c>
      <c r="BG216" s="47">
        <f>_xll.qlPolynomialFunctionValue(BG$1,$BD216,AllTriggers)</f>
        <v>3.0073318804359058E-3</v>
      </c>
      <c r="BH216" s="47">
        <f>_xll.qlPolynomialFunctionValue(BH$1,$BD216,AllTriggers)</f>
        <v>2.9990116014540383E-3</v>
      </c>
      <c r="BI216" s="47">
        <f>_xll.qlPolynomialFunctionValue(BI$1,$BD216,AllTriggers)</f>
        <v>3.0425990830820491E-3</v>
      </c>
      <c r="BJ216" s="47">
        <f>_xll.qlPolynomialFunctionValue(BJ$1,$BD216,AllTriggers)</f>
        <v>3.0487615137016135E-3</v>
      </c>
      <c r="BK216" s="47">
        <f>_xll.qlPolynomialFunctionValue(BK$1,$BD216,AllTriggers)</f>
        <v>3.0066786080059551E-3</v>
      </c>
      <c r="BL216" s="47">
        <f>_xll.qlPolynomialFunctionValue(BL$1,$BD216,AllTriggers)</f>
        <v>2.9979916967632762E-3</v>
      </c>
      <c r="BM216" s="47">
        <f>_xll.qlPolynomialFunctionValue(BM$1,$BD216,AllTriggers)</f>
        <v>3.0104879744234803E-3</v>
      </c>
      <c r="BN216" s="47">
        <f>_xll.qlPolynomialFunctionValue(BN$1,$BD216,AllTriggers)</f>
        <v>3.024856083292365E-3</v>
      </c>
      <c r="BO216" s="47">
        <f>_xll.qlPolynomialFunctionValue(BO$1,$BD216,AllTriggers)</f>
        <v>3.012043161356481E-3</v>
      </c>
      <c r="BP216" s="47">
        <f>_xll.qlPolynomialFunctionValue(BP$1,$BD216,AllTriggers)</f>
        <v>3.0185667862138912E-3</v>
      </c>
      <c r="BQ216" s="47">
        <f>_xll.qlPolynomialFunctionValue('12MSynthDepo_used'!$P$18,BD216,AllTriggers)</f>
        <v>3.0320918421699104E-3</v>
      </c>
    </row>
    <row r="217" spans="55:69" x14ac:dyDescent="0.2">
      <c r="BC217" s="178">
        <f>_xll.qlCalendarAdvance(Calendar,BC216,"1d","mf",,Trigger)</f>
        <v>42437</v>
      </c>
      <c r="BD217" s="41">
        <f>_xll.qlDayCounterYearFraction(DayCounter,SettlementDate,BC217,,,Trigger)</f>
        <v>0.8305555555555556</v>
      </c>
      <c r="BE217" s="47">
        <f>_xll.qlPolynomialFunctionValue(BE$1,$BD217,AllTriggers)</f>
        <v>3.0409048517967847E-3</v>
      </c>
      <c r="BF217" s="47">
        <f>_xll.qlPolynomialFunctionValue(BF$1,$BD217,AllTriggers)</f>
        <v>3.0484512158016567E-3</v>
      </c>
      <c r="BG217" s="47">
        <f>_xll.qlPolynomialFunctionValue(BG$1,$BD217,AllTriggers)</f>
        <v>3.0077939330793732E-3</v>
      </c>
      <c r="BH217" s="47">
        <f>_xll.qlPolynomialFunctionValue(BH$1,$BD217,AllTriggers)</f>
        <v>2.999565796126731E-3</v>
      </c>
      <c r="BI217" s="47">
        <f>_xll.qlPolynomialFunctionValue(BI$1,$BD217,AllTriggers)</f>
        <v>3.0434886398300071E-3</v>
      </c>
      <c r="BJ217" s="47">
        <f>_xll.qlPolynomialFunctionValue(BJ$1,$BD217,AllTriggers)</f>
        <v>3.0487449810634656E-3</v>
      </c>
      <c r="BK217" s="47">
        <f>_xll.qlPolynomialFunctionValue(BK$1,$BD217,AllTriggers)</f>
        <v>3.0071353879457677E-3</v>
      </c>
      <c r="BL217" s="47">
        <f>_xll.qlPolynomialFunctionValue(BL$1,$BD217,AllTriggers)</f>
        <v>2.9985461796607818E-3</v>
      </c>
      <c r="BM217" s="47">
        <f>_xll.qlPolynomialFunctionValue(BM$1,$BD217,AllTriggers)</f>
        <v>3.0110229571142142E-3</v>
      </c>
      <c r="BN217" s="47">
        <f>_xll.qlPolynomialFunctionValue(BN$1,$BD217,AllTriggers)</f>
        <v>3.025403036568652E-3</v>
      </c>
      <c r="BO217" s="47">
        <f>_xll.qlPolynomialFunctionValue(BO$1,$BD217,AllTriggers)</f>
        <v>3.0125350681928301E-3</v>
      </c>
      <c r="BP217" s="47">
        <f>_xll.qlPolynomialFunctionValue(BP$1,$BD217,AllTriggers)</f>
        <v>3.0190788924436989E-3</v>
      </c>
      <c r="BQ217" s="47">
        <f>_xll.qlPolynomialFunctionValue('12MSynthDepo_used'!$P$18,BD217,AllTriggers)</f>
        <v>3.0324970466308237E-3</v>
      </c>
    </row>
    <row r="218" spans="55:69" x14ac:dyDescent="0.2">
      <c r="BC218" s="178">
        <f>_xll.qlCalendarAdvance(Calendar,BC217,"1d","mf",,Trigger)</f>
        <v>42438</v>
      </c>
      <c r="BD218" s="41">
        <f>_xll.qlDayCounterYearFraction(DayCounter,SettlementDate,BC218,,,Trigger)</f>
        <v>0.83333333333333337</v>
      </c>
      <c r="BE218" s="47">
        <f>_xll.qlPolynomialFunctionValue(BE$1,$BD218,AllTriggers)</f>
        <v>3.0417658311717869E-3</v>
      </c>
      <c r="BF218" s="47">
        <f>_xll.qlPolynomialFunctionValue(BF$1,$BD218,AllTriggers)</f>
        <v>3.0484492993117082E-3</v>
      </c>
      <c r="BG218" s="47">
        <f>_xll.qlPolynomialFunctionValue(BG$1,$BD218,AllTriggers)</f>
        <v>3.0082559857228402E-3</v>
      </c>
      <c r="BH218" s="47">
        <f>_xll.qlPolynomialFunctionValue(BH$1,$BD218,AllTriggers)</f>
        <v>3.0001217458856945E-3</v>
      </c>
      <c r="BI218" s="47">
        <f>_xll.qlPolynomialFunctionValue(BI$1,$BD218,AllTriggers)</f>
        <v>3.0443781965779648E-3</v>
      </c>
      <c r="BJ218" s="47">
        <f>_xll.qlPolynomialFunctionValue(BJ$1,$BD218,AllTriggers)</f>
        <v>3.0487194748549111E-3</v>
      </c>
      <c r="BK218" s="47">
        <f>_xll.qlPolynomialFunctionValue(BK$1,$BD218,AllTriggers)</f>
        <v>3.0075921678855799E-3</v>
      </c>
      <c r="BL218" s="47">
        <f>_xll.qlPolynomialFunctionValue(BL$1,$BD218,AllTriggers)</f>
        <v>2.9991025149163496E-3</v>
      </c>
      <c r="BM218" s="47">
        <f>_xll.qlPolynomialFunctionValue(BM$1,$BD218,AllTriggers)</f>
        <v>3.011557939804948E-3</v>
      </c>
      <c r="BN218" s="47">
        <f>_xll.qlPolynomialFunctionValue(BN$1,$BD218,AllTriggers)</f>
        <v>3.0259485002905899E-3</v>
      </c>
      <c r="BO218" s="47">
        <f>_xll.qlPolynomialFunctionValue(BO$1,$BD218,AllTriggers)</f>
        <v>3.0130269750291796E-3</v>
      </c>
      <c r="BP218" s="47">
        <f>_xll.qlPolynomialFunctionValue(BP$1,$BD218,AllTriggers)</f>
        <v>3.0195902687162549E-3</v>
      </c>
      <c r="BQ218" s="47">
        <f>_xll.qlPolynomialFunctionValue('12MSynthDepo_used'!$P$18,BD218,AllTriggers)</f>
        <v>3.0328997319293573E-3</v>
      </c>
    </row>
    <row r="219" spans="55:69" x14ac:dyDescent="0.2">
      <c r="BC219" s="178">
        <f>_xll.qlCalendarAdvance(Calendar,BC218,"1d","mf",,Trigger)</f>
        <v>42439</v>
      </c>
      <c r="BD219" s="41">
        <f>_xll.qlDayCounterYearFraction(DayCounter,SettlementDate,BC219,,,Trigger)</f>
        <v>0.83611111111111114</v>
      </c>
      <c r="BE219" s="47">
        <f>_xll.qlPolynomialFunctionValue(BE$1,$BD219,AllTriggers)</f>
        <v>3.0426268105467891E-3</v>
      </c>
      <c r="BF219" s="47">
        <f>_xll.qlPolynomialFunctionValue(BF$1,$BD219,AllTriggers)</f>
        <v>3.0484387105015084E-3</v>
      </c>
      <c r="BG219" s="47">
        <f>_xll.qlPolynomialFunctionValue(BG$1,$BD219,AllTriggers)</f>
        <v>3.0087180383663076E-3</v>
      </c>
      <c r="BH219" s="47">
        <f>_xll.qlPolynomialFunctionValue(BH$1,$BD219,AllTriggers)</f>
        <v>3.0006794507309292E-3</v>
      </c>
      <c r="BI219" s="47">
        <f>_xll.qlPolynomialFunctionValue(BI$1,$BD219,AllTriggers)</f>
        <v>3.0452677533259228E-3</v>
      </c>
      <c r="BJ219" s="47">
        <f>_xll.qlPolynomialFunctionValue(BJ$1,$BD219,AllTriggers)</f>
        <v>3.048684995075949E-3</v>
      </c>
      <c r="BK219" s="47">
        <f>_xll.qlPolynomialFunctionValue(BK$1,$BD219,AllTriggers)</f>
        <v>3.0080489478253921E-3</v>
      </c>
      <c r="BL219" s="47">
        <f>_xll.qlPolynomialFunctionValue(BL$1,$BD219,AllTriggers)</f>
        <v>2.9996607025299794E-3</v>
      </c>
      <c r="BM219" s="47">
        <f>_xll.qlPolynomialFunctionValue(BM$1,$BD219,AllTriggers)</f>
        <v>3.0120929224956815E-3</v>
      </c>
      <c r="BN219" s="47">
        <f>_xll.qlPolynomialFunctionValue(BN$1,$BD219,AllTriggers)</f>
        <v>3.0264924744581793E-3</v>
      </c>
      <c r="BO219" s="47">
        <f>_xll.qlPolynomialFunctionValue(BO$1,$BD219,AllTriggers)</f>
        <v>3.0135188818655291E-3</v>
      </c>
      <c r="BP219" s="47">
        <f>_xll.qlPolynomialFunctionValue(BP$1,$BD219,AllTriggers)</f>
        <v>3.0201009150315596E-3</v>
      </c>
      <c r="BQ219" s="47">
        <f>_xll.qlPolynomialFunctionValue('12MSynthDepo_used'!$P$18,BD219,AllTriggers)</f>
        <v>3.0332999127806008E-3</v>
      </c>
    </row>
    <row r="220" spans="55:69" x14ac:dyDescent="0.2">
      <c r="BC220" s="178">
        <f>_xll.qlCalendarAdvance(Calendar,BC219,"1d","mf",,Trigger)</f>
        <v>42440</v>
      </c>
      <c r="BD220" s="41">
        <f>_xll.qlDayCounterYearFraction(DayCounter,SettlementDate,BC220,,,Trigger)</f>
        <v>0.83888888888888891</v>
      </c>
      <c r="BE220" s="47">
        <f>_xll.qlPolynomialFunctionValue(BE$1,$BD220,AllTriggers)</f>
        <v>3.0434877899217913E-3</v>
      </c>
      <c r="BF220" s="47">
        <f>_xll.qlPolynomialFunctionValue(BF$1,$BD220,AllTriggers)</f>
        <v>3.0484194493710587E-3</v>
      </c>
      <c r="BG220" s="47">
        <f>_xll.qlPolynomialFunctionValue(BG$1,$BD220,AllTriggers)</f>
        <v>3.0091800910097746E-3</v>
      </c>
      <c r="BH220" s="47">
        <f>_xll.qlPolynomialFunctionValue(BH$1,$BD220,AllTriggers)</f>
        <v>3.0012389106624346E-3</v>
      </c>
      <c r="BI220" s="47">
        <f>_xll.qlPolynomialFunctionValue(BI$1,$BD220,AllTriggers)</f>
        <v>3.0461573100738809E-3</v>
      </c>
      <c r="BJ220" s="47">
        <f>_xll.qlPolynomialFunctionValue(BJ$1,$BD220,AllTriggers)</f>
        <v>3.0486415417265806E-3</v>
      </c>
      <c r="BK220" s="47">
        <f>_xll.qlPolynomialFunctionValue(BK$1,$BD220,AllTriggers)</f>
        <v>3.0085057277652043E-3</v>
      </c>
      <c r="BL220" s="47">
        <f>_xll.qlPolynomialFunctionValue(BL$1,$BD220,AllTriggers)</f>
        <v>3.0002207425016722E-3</v>
      </c>
      <c r="BM220" s="47">
        <f>_xll.qlPolynomialFunctionValue(BM$1,$BD220,AllTriggers)</f>
        <v>3.0126279051864153E-3</v>
      </c>
      <c r="BN220" s="47">
        <f>_xll.qlPolynomialFunctionValue(BN$1,$BD220,AllTriggers)</f>
        <v>3.02703495907142E-3</v>
      </c>
      <c r="BO220" s="47">
        <f>_xll.qlPolynomialFunctionValue(BO$1,$BD220,AllTriggers)</f>
        <v>3.0140107887018782E-3</v>
      </c>
      <c r="BP220" s="47">
        <f>_xll.qlPolynomialFunctionValue(BP$1,$BD220,AllTriggers)</f>
        <v>3.0206108313896129E-3</v>
      </c>
      <c r="BQ220" s="47">
        <f>_xll.qlPolynomialFunctionValue('12MSynthDepo_used'!$P$18,BD220,AllTriggers)</f>
        <v>3.0336976038996453E-3</v>
      </c>
    </row>
    <row r="221" spans="55:69" x14ac:dyDescent="0.2">
      <c r="BC221" s="178">
        <f>_xll.qlCalendarAdvance(Calendar,BC220,"1d","mf",,Trigger)</f>
        <v>42443</v>
      </c>
      <c r="BD221" s="41">
        <f>_xll.qlDayCounterYearFraction(DayCounter,SettlementDate,BC221,,,Trigger)</f>
        <v>0.84722222222222221</v>
      </c>
      <c r="BE221" s="47">
        <f>_xll.qlPolynomialFunctionValue(BE$1,$BD221,AllTriggers)</f>
        <v>3.0460707280467983E-3</v>
      </c>
      <c r="BF221" s="47">
        <f>_xll.qlPolynomialFunctionValue(BF$1,$BD221,AllTriggers)</f>
        <v>3.0483096320582039E-3</v>
      </c>
      <c r="BG221" s="47">
        <f>_xll.qlPolynomialFunctionValue(BG$1,$BD221,AllTriggers)</f>
        <v>3.0105662489401763E-3</v>
      </c>
      <c r="BH221" s="47">
        <f>_xll.qlPolynomialFunctionValue(BH$1,$BD221,AllTriggers)</f>
        <v>3.0029278209745768E-3</v>
      </c>
      <c r="BI221" s="47">
        <f>_xll.qlPolynomialFunctionValue(BI$1,$BD221,AllTriggers)</f>
        <v>3.0488259803177547E-3</v>
      </c>
      <c r="BJ221" s="47">
        <f>_xll.qlPolynomialFunctionValue(BJ$1,$BD221,AllTriggers)</f>
        <v>3.0484573402560313E-3</v>
      </c>
      <c r="BK221" s="47">
        <f>_xll.qlPolynomialFunctionValue(BK$1,$BD221,AllTriggers)</f>
        <v>3.0098760675846409E-3</v>
      </c>
      <c r="BL221" s="47">
        <f>_xll.qlPolynomialFunctionValue(BL$1,$BD221,AllTriggers)</f>
        <v>3.0019119765651242E-3</v>
      </c>
      <c r="BM221" s="47">
        <f>_xll.qlPolynomialFunctionValue(BM$1,$BD221,AllTriggers)</f>
        <v>3.0142328532586169E-3</v>
      </c>
      <c r="BN221" s="47">
        <f>_xll.qlPolynomialFunctionValue(BN$1,$BD221,AllTriggers)</f>
        <v>3.0286534755850519E-3</v>
      </c>
      <c r="BO221" s="47">
        <f>_xll.qlPolynomialFunctionValue(BO$1,$BD221,AllTriggers)</f>
        <v>3.0154865092109264E-3</v>
      </c>
      <c r="BP221" s="47">
        <f>_xll.qlPolynomialFunctionValue(BP$1,$BD221,AllTriggers)</f>
        <v>3.0221362007202632E-3</v>
      </c>
      <c r="BQ221" s="47">
        <f>_xll.qlPolynomialFunctionValue('12MSynthDepo_used'!$P$18,BD221,AllTriggers)</f>
        <v>3.0348758860144842E-3</v>
      </c>
    </row>
    <row r="222" spans="55:69" x14ac:dyDescent="0.2">
      <c r="BC222" s="178">
        <f>_xll.qlCalendarAdvance(Calendar,BC221,"1d","mf",,Trigger)</f>
        <v>42444</v>
      </c>
      <c r="BD222" s="41">
        <f>_xll.qlDayCounterYearFraction(DayCounter,SettlementDate,BC222,,,Trigger)</f>
        <v>0.85</v>
      </c>
      <c r="BE222" s="47">
        <f>_xll.qlPolynomialFunctionValue(BE$1,$BD222,AllTriggers)</f>
        <v>3.0469317074218005E-3</v>
      </c>
      <c r="BF222" s="47">
        <f>_xll.qlPolynomialFunctionValue(BF$1,$BD222,AllTriggers)</f>
        <v>3.04825568164675E-3</v>
      </c>
      <c r="BG222" s="47">
        <f>_xll.qlPolynomialFunctionValue(BG$1,$BD222,AllTriggers)</f>
        <v>3.0110283015836433E-3</v>
      </c>
      <c r="BH222" s="47">
        <f>_xll.qlPolynomialFunctionValue(BH$1,$BD222,AllTriggers)</f>
        <v>3.0034943012511666E-3</v>
      </c>
      <c r="BI222" s="47">
        <f>_xll.qlPolynomialFunctionValue(BI$1,$BD222,AllTriggers)</f>
        <v>3.0497155370657128E-3</v>
      </c>
      <c r="BJ222" s="47">
        <f>_xll.qlPolynomialFunctionValue(BJ$1,$BD222,AllTriggers)</f>
        <v>3.0483779926250344E-3</v>
      </c>
      <c r="BK222" s="47">
        <f>_xll.qlPolynomialFunctionValue(BK$1,$BD222,AllTriggers)</f>
        <v>3.0103328475244535E-3</v>
      </c>
      <c r="BL222" s="47">
        <f>_xll.qlPolynomialFunctionValue(BL$1,$BD222,AllTriggers)</f>
        <v>3.002479425969067E-3</v>
      </c>
      <c r="BM222" s="47">
        <f>_xll.qlPolynomialFunctionValue(BM$1,$BD222,AllTriggers)</f>
        <v>3.0147678359493508E-3</v>
      </c>
      <c r="BN222" s="47">
        <f>_xll.qlPolynomialFunctionValue(BN$1,$BD222,AllTriggers)</f>
        <v>3.0291900019808987E-3</v>
      </c>
      <c r="BO222" s="47">
        <f>_xll.qlPolynomialFunctionValue(BO$1,$BD222,AllTriggers)</f>
        <v>3.0159784160472759E-3</v>
      </c>
      <c r="BP222" s="47">
        <f>_xll.qlPolynomialFunctionValue(BP$1,$BD222,AllTriggers)</f>
        <v>3.0226431972493108E-3</v>
      </c>
      <c r="BQ222" s="47">
        <f>_xll.qlPolynomialFunctionValue('12MSynthDepo_used'!$P$18,BD222,AllTriggers)</f>
        <v>3.0352637653556342E-3</v>
      </c>
    </row>
    <row r="223" spans="55:69" x14ac:dyDescent="0.2">
      <c r="BC223" s="178">
        <f>_xll.qlCalendarAdvance(Calendar,BC222,"1d","mf",,Trigger)</f>
        <v>42445</v>
      </c>
      <c r="BD223" s="41">
        <f>_xll.qlDayCounterYearFraction(DayCounter,SettlementDate,BC223,,,Trigger)</f>
        <v>0.85277777777777775</v>
      </c>
      <c r="BE223" s="47">
        <f>_xll.qlPolynomialFunctionValue(BE$1,$BD223,AllTriggers)</f>
        <v>3.0477926867968027E-3</v>
      </c>
      <c r="BF223" s="47">
        <f>_xll.qlPolynomialFunctionValue(BF$1,$BD223,AllTriggers)</f>
        <v>3.0481930589150463E-3</v>
      </c>
      <c r="BG223" s="47">
        <f>_xll.qlPolynomialFunctionValue(BG$1,$BD223,AllTriggers)</f>
        <v>3.0114903542271107E-3</v>
      </c>
      <c r="BH223" s="47">
        <f>_xll.qlPolynomialFunctionValue(BH$1,$BD223,AllTriggers)</f>
        <v>3.0040625366140267E-3</v>
      </c>
      <c r="BI223" s="47">
        <f>_xll.qlPolynomialFunctionValue(BI$1,$BD223,AllTriggers)</f>
        <v>3.0506050938136709E-3</v>
      </c>
      <c r="BJ223" s="47">
        <f>_xll.qlPolynomialFunctionValue(BJ$1,$BD223,AllTriggers)</f>
        <v>3.0482896714236298E-3</v>
      </c>
      <c r="BK223" s="47">
        <f>_xll.qlPolynomialFunctionValue(BK$1,$BD223,AllTriggers)</f>
        <v>3.0107896274642657E-3</v>
      </c>
      <c r="BL223" s="47">
        <f>_xll.qlPolynomialFunctionValue(BL$1,$BD223,AllTriggers)</f>
        <v>3.0030487277310719E-3</v>
      </c>
      <c r="BM223" s="47">
        <f>_xll.qlPolynomialFunctionValue(BM$1,$BD223,AllTriggers)</f>
        <v>3.0153028186400846E-3</v>
      </c>
      <c r="BN223" s="47">
        <f>_xll.qlPolynomialFunctionValue(BN$1,$BD223,AllTriggers)</f>
        <v>3.0297250388223976E-3</v>
      </c>
      <c r="BO223" s="47">
        <f>_xll.qlPolynomialFunctionValue(BO$1,$BD223,AllTriggers)</f>
        <v>3.0164703228836255E-3</v>
      </c>
      <c r="BP223" s="47">
        <f>_xll.qlPolynomialFunctionValue(BP$1,$BD223,AllTriggers)</f>
        <v>3.0231494638211062E-3</v>
      </c>
      <c r="BQ223" s="47">
        <f>_xll.qlPolynomialFunctionValue('12MSynthDepo_used'!$P$18,BD223,AllTriggers)</f>
        <v>3.0356492285400355E-3</v>
      </c>
    </row>
    <row r="224" spans="55:69" x14ac:dyDescent="0.2">
      <c r="BC224" s="178">
        <f>_xll.qlCalendarAdvance(Calendar,BC223,"1d","mf",,Trigger)</f>
        <v>42446</v>
      </c>
      <c r="BD224" s="41">
        <f>_xll.qlDayCounterYearFraction(DayCounter,SettlementDate,BC224,,,Trigger)</f>
        <v>0.85555555555555551</v>
      </c>
      <c r="BE224" s="47">
        <f>_xll.qlPolynomialFunctionValue(BE$1,$BD224,AllTriggers)</f>
        <v>3.0486536661718049E-3</v>
      </c>
      <c r="BF224" s="47">
        <f>_xll.qlPolynomialFunctionValue(BF$1,$BD224,AllTriggers)</f>
        <v>3.0481217638630917E-3</v>
      </c>
      <c r="BG224" s="47">
        <f>_xll.qlPolynomialFunctionValue(BG$1,$BD224,AllTriggers)</f>
        <v>3.0119524068705776E-3</v>
      </c>
      <c r="BH224" s="47">
        <f>_xll.qlPolynomialFunctionValue(BH$1,$BD224,AllTriggers)</f>
        <v>3.004632527063158E-3</v>
      </c>
      <c r="BI224" s="47">
        <f>_xll.qlPolynomialFunctionValue(BI$1,$BD224,AllTriggers)</f>
        <v>3.051494650561629E-3</v>
      </c>
      <c r="BJ224" s="47">
        <f>_xll.qlPolynomialFunctionValue(BJ$1,$BD224,AllTriggers)</f>
        <v>3.0481923766518182E-3</v>
      </c>
      <c r="BK224" s="47">
        <f>_xll.qlPolynomialFunctionValue(BK$1,$BD224,AllTriggers)</f>
        <v>3.0112464074040779E-3</v>
      </c>
      <c r="BL224" s="47">
        <f>_xll.qlPolynomialFunctionValue(BL$1,$BD224,AllTriggers)</f>
        <v>3.0036198818511389E-3</v>
      </c>
      <c r="BM224" s="47">
        <f>_xll.qlPolynomialFunctionValue(BM$1,$BD224,AllTriggers)</f>
        <v>3.0158378013308181E-3</v>
      </c>
      <c r="BN224" s="47">
        <f>_xll.qlPolynomialFunctionValue(BN$1,$BD224,AllTriggers)</f>
        <v>3.0302585861095473E-3</v>
      </c>
      <c r="BO224" s="47">
        <f>_xll.qlPolynomialFunctionValue(BO$1,$BD224,AllTriggers)</f>
        <v>3.016962229719975E-3</v>
      </c>
      <c r="BP224" s="47">
        <f>_xll.qlPolynomialFunctionValue(BP$1,$BD224,AllTriggers)</f>
        <v>3.0236550004356507E-3</v>
      </c>
      <c r="BQ224" s="47">
        <f>_xll.qlPolynomialFunctionValue('12MSynthDepo_used'!$P$18,BD224,AllTriggers)</f>
        <v>3.0360322902827789E-3</v>
      </c>
    </row>
    <row r="225" spans="55:69" x14ac:dyDescent="0.2">
      <c r="BC225" s="178">
        <f>_xll.qlCalendarAdvance(Calendar,BC224,"1d","mf",,Trigger)</f>
        <v>42447</v>
      </c>
      <c r="BD225" s="41">
        <f>_xll.qlDayCounterYearFraction(DayCounter,SettlementDate,BC225,,,Trigger)</f>
        <v>0.85833333333333328</v>
      </c>
      <c r="BE225" s="47">
        <f>_xll.qlPolynomialFunctionValue(BE$1,$BD225,AllTriggers)</f>
        <v>3.0495146455468071E-3</v>
      </c>
      <c r="BF225" s="47">
        <f>_xll.qlPolynomialFunctionValue(BF$1,$BD225,AllTriggers)</f>
        <v>3.0480417964908863E-3</v>
      </c>
      <c r="BG225" s="47">
        <f>_xll.qlPolynomialFunctionValue(BG$1,$BD225,AllTriggers)</f>
        <v>3.012414459514045E-3</v>
      </c>
      <c r="BH225" s="47">
        <f>_xll.qlPolynomialFunctionValue(BH$1,$BD225,AllTriggers)</f>
        <v>3.0052042725985601E-3</v>
      </c>
      <c r="BI225" s="47">
        <f>_xll.qlPolynomialFunctionValue(BI$1,$BD225,AllTriggers)</f>
        <v>3.0523842073095866E-3</v>
      </c>
      <c r="BJ225" s="47">
        <f>_xll.qlPolynomialFunctionValue(BJ$1,$BD225,AllTriggers)</f>
        <v>3.0480861083096002E-3</v>
      </c>
      <c r="BK225" s="47">
        <f>_xll.qlPolynomialFunctionValue(BK$1,$BD225,AllTriggers)</f>
        <v>3.0117031873438901E-3</v>
      </c>
      <c r="BL225" s="47">
        <f>_xll.qlPolynomialFunctionValue(BL$1,$BD225,AllTriggers)</f>
        <v>3.0041928883292688E-3</v>
      </c>
      <c r="BM225" s="47">
        <f>_xll.qlPolynomialFunctionValue(BM$1,$BD225,AllTriggers)</f>
        <v>3.0163727840215519E-3</v>
      </c>
      <c r="BN225" s="47">
        <f>_xll.qlPolynomialFunctionValue(BN$1,$BD225,AllTriggers)</f>
        <v>3.0307906438423481E-3</v>
      </c>
      <c r="BO225" s="47">
        <f>_xll.qlPolynomialFunctionValue(BO$1,$BD225,AllTriggers)</f>
        <v>3.0174541365563241E-3</v>
      </c>
      <c r="BP225" s="47">
        <f>_xll.qlPolynomialFunctionValue(BP$1,$BD225,AllTriggers)</f>
        <v>3.0241598070929439E-3</v>
      </c>
      <c r="BQ225" s="47">
        <f>_xll.qlPolynomialFunctionValue('12MSynthDepo_used'!$P$18,BD225,AllTriggers)</f>
        <v>3.0364129652989554E-3</v>
      </c>
    </row>
    <row r="226" spans="55:69" x14ac:dyDescent="0.2">
      <c r="BC226" s="178">
        <f>_xll.qlCalendarAdvance(Calendar,BC225,"1d","mf",,Trigger)</f>
        <v>42450</v>
      </c>
      <c r="BD226" s="41">
        <f>_xll.qlDayCounterYearFraction(DayCounter,SettlementDate,BC226,,,Trigger)</f>
        <v>0.8666666666666667</v>
      </c>
      <c r="BE226" s="47">
        <f>_xll.qlPolynomialFunctionValue(BE$1,$BD226,AllTriggers)</f>
        <v>3.0520975836718141E-3</v>
      </c>
      <c r="BF226" s="47">
        <f>_xll.qlPolynomialFunctionValue(BF$1,$BD226,AllTriggers)</f>
        <v>3.0477498604527652E-3</v>
      </c>
      <c r="BG226" s="47">
        <f>_xll.qlPolynomialFunctionValue(BG$1,$BD226,AllTriggers)</f>
        <v>3.0138006174444468E-3</v>
      </c>
      <c r="BH226" s="47">
        <f>_xll.qlPolynomialFunctionValue(BH$1,$BD226,AllTriggers)</f>
        <v>3.0069300397223926E-3</v>
      </c>
      <c r="BI226" s="47">
        <f>_xll.qlPolynomialFunctionValue(BI$1,$BD226,AllTriggers)</f>
        <v>3.0550528775534608E-3</v>
      </c>
      <c r="BJ226" s="47">
        <f>_xll.qlPolynomialFunctionValue(BJ$1,$BD226,AllTriggers)</f>
        <v>3.0477134618605017E-3</v>
      </c>
      <c r="BK226" s="47">
        <f>_xll.qlPolynomialFunctionValue(BK$1,$BD226,AllTriggers)</f>
        <v>3.0130735271633271E-3</v>
      </c>
      <c r="BL226" s="47">
        <f>_xll.qlPolynomialFunctionValue(BL$1,$BD226,AllTriggers)</f>
        <v>3.0059230219120327E-3</v>
      </c>
      <c r="BM226" s="47">
        <f>_xll.qlPolynomialFunctionValue(BM$1,$BD226,AllTriggers)</f>
        <v>3.0179777320937535E-3</v>
      </c>
      <c r="BN226" s="47">
        <f>_xll.qlPolynomialFunctionValue(BN$1,$BD226,AllTriggers)</f>
        <v>3.0323778797146611E-3</v>
      </c>
      <c r="BO226" s="47">
        <f>_xll.qlPolynomialFunctionValue(BO$1,$BD226,AllTriggers)</f>
        <v>3.0189298570653723E-3</v>
      </c>
      <c r="BP226" s="47">
        <f>_xll.qlPolynomialFunctionValue(BP$1,$BD226,AllTriggers)</f>
        <v>3.0256698473213133E-3</v>
      </c>
      <c r="BQ226" s="47">
        <f>_xll.qlPolynomialFunctionValue('12MSynthDepo_used'!$P$18,BD226,AllTriggers)</f>
        <v>3.0375408171389819E-3</v>
      </c>
    </row>
    <row r="227" spans="55:69" x14ac:dyDescent="0.2">
      <c r="BC227" s="178">
        <f>_xll.qlCalendarAdvance(Calendar,BC226,"1d","mf",,Trigger)</f>
        <v>42451</v>
      </c>
      <c r="BD227" s="41">
        <f>_xll.qlDayCounterYearFraction(DayCounter,SettlementDate,BC227,,,Trigger)</f>
        <v>0.86944444444444446</v>
      </c>
      <c r="BE227" s="47">
        <f>_xll.qlPolynomialFunctionValue(BE$1,$BD227,AllTriggers)</f>
        <v>3.0529585630468163E-3</v>
      </c>
      <c r="BF227" s="47">
        <f>_xll.qlPolynomialFunctionValue(BF$1,$BD227,AllTriggers)</f>
        <v>3.0476352037995566E-3</v>
      </c>
      <c r="BG227" s="47">
        <f>_xll.qlPolynomialFunctionValue(BG$1,$BD227,AllTriggers)</f>
        <v>3.0142626700879137E-3</v>
      </c>
      <c r="BH227" s="47">
        <f>_xll.qlPolynomialFunctionValue(BH$1,$BD227,AllTriggers)</f>
        <v>3.0075088056028786E-3</v>
      </c>
      <c r="BI227" s="47">
        <f>_xll.qlPolynomialFunctionValue(BI$1,$BD227,AllTriggers)</f>
        <v>3.0559424343014185E-3</v>
      </c>
      <c r="BJ227" s="47">
        <f>_xll.qlPolynomialFunctionValue(BJ$1,$BD227,AllTriggers)</f>
        <v>3.0475712992366552E-3</v>
      </c>
      <c r="BK227" s="47">
        <f>_xll.qlPolynomialFunctionValue(BK$1,$BD227,AllTriggers)</f>
        <v>3.0135303071031393E-3</v>
      </c>
      <c r="BL227" s="47">
        <f>_xll.qlPolynomialFunctionValue(BL$1,$BD227,AllTriggers)</f>
        <v>3.0065034378224118E-3</v>
      </c>
      <c r="BM227" s="47">
        <f>_xll.qlPolynomialFunctionValue(BM$1,$BD227,AllTriggers)</f>
        <v>3.0185127147844873E-3</v>
      </c>
      <c r="BN227" s="47">
        <f>_xll.qlPolynomialFunctionValue(BN$1,$BD227,AllTriggers)</f>
        <v>3.0329039792300685E-3</v>
      </c>
      <c r="BO227" s="47">
        <f>_xll.qlPolynomialFunctionValue(BO$1,$BD227,AllTriggers)</f>
        <v>3.0194217639017218E-3</v>
      </c>
      <c r="BP227" s="47">
        <f>_xll.qlPolynomialFunctionValue(BP$1,$BD227,AllTriggers)</f>
        <v>3.0261717341496003E-3</v>
      </c>
      <c r="BQ227" s="47">
        <f>_xll.qlPolynomialFunctionValue('12MSynthDepo_used'!$P$18,BD227,AllTriggers)</f>
        <v>3.0379120923997912E-3</v>
      </c>
    </row>
    <row r="228" spans="55:69" x14ac:dyDescent="0.2">
      <c r="BC228" s="178">
        <f>_xll.qlCalendarAdvance(Calendar,BC227,"1d","mf",,Trigger)</f>
        <v>42452</v>
      </c>
      <c r="BD228" s="41">
        <f>_xll.qlDayCounterYearFraction(DayCounter,SettlementDate,BC228,,,Trigger)</f>
        <v>0.87222222222222223</v>
      </c>
      <c r="BE228" s="47">
        <f>_xll.qlPolynomialFunctionValue(BE$1,$BD228,AllTriggers)</f>
        <v>3.0538195424218186E-3</v>
      </c>
      <c r="BF228" s="47">
        <f>_xll.qlPolynomialFunctionValue(BF$1,$BD228,AllTriggers)</f>
        <v>3.0475118748260971E-3</v>
      </c>
      <c r="BG228" s="47">
        <f>_xll.qlPolynomialFunctionValue(BG$1,$BD228,AllTriggers)</f>
        <v>3.0147247227313807E-3</v>
      </c>
      <c r="BH228" s="47">
        <f>_xll.qlPolynomialFunctionValue(BH$1,$BD228,AllTriggers)</f>
        <v>3.0080893265696357E-3</v>
      </c>
      <c r="BI228" s="47">
        <f>_xll.qlPolynomialFunctionValue(BI$1,$BD228,AllTriggers)</f>
        <v>3.0568319910493765E-3</v>
      </c>
      <c r="BJ228" s="47">
        <f>_xll.qlPolynomialFunctionValue(BJ$1,$BD228,AllTriggers)</f>
        <v>3.0474201630424015E-3</v>
      </c>
      <c r="BK228" s="47">
        <f>_xll.qlPolynomialFunctionValue(BK$1,$BD228,AllTriggers)</f>
        <v>3.0139870870429515E-3</v>
      </c>
      <c r="BL228" s="47">
        <f>_xll.qlPolynomialFunctionValue(BL$1,$BD228,AllTriggers)</f>
        <v>3.0070857060908538E-3</v>
      </c>
      <c r="BM228" s="47">
        <f>_xll.qlPolynomialFunctionValue(BM$1,$BD228,AllTriggers)</f>
        <v>3.0190476974752212E-3</v>
      </c>
      <c r="BN228" s="47">
        <f>_xll.qlPolynomialFunctionValue(BN$1,$BD228,AllTriggers)</f>
        <v>3.0334285891911268E-3</v>
      </c>
      <c r="BO228" s="47">
        <f>_xll.qlPolynomialFunctionValue(BO$1,$BD228,AllTriggers)</f>
        <v>3.0199136707380714E-3</v>
      </c>
      <c r="BP228" s="47">
        <f>_xll.qlPolynomialFunctionValue(BP$1,$BD228,AllTriggers)</f>
        <v>3.0266728910206364E-3</v>
      </c>
      <c r="BQ228" s="47">
        <f>_xll.qlPolynomialFunctionValue('12MSynthDepo_used'!$P$18,BD228,AllTriggers)</f>
        <v>3.038281054509484E-3</v>
      </c>
    </row>
    <row r="229" spans="55:69" x14ac:dyDescent="0.2">
      <c r="BC229" s="178">
        <f>_xll.qlCalendarAdvance(Calendar,BC228,"1d","mf",,Trigger)</f>
        <v>42453</v>
      </c>
      <c r="BD229" s="41">
        <f>_xll.qlDayCounterYearFraction(DayCounter,SettlementDate,BC229,,,Trigger)</f>
        <v>0.875</v>
      </c>
      <c r="BE229" s="47">
        <f>_xll.qlPolynomialFunctionValue(BE$1,$BD229,AllTriggers)</f>
        <v>3.0546805217968208E-3</v>
      </c>
      <c r="BF229" s="47">
        <f>_xll.qlPolynomialFunctionValue(BF$1,$BD229,AllTriggers)</f>
        <v>3.0473798735323873E-3</v>
      </c>
      <c r="BG229" s="47">
        <f>_xll.qlPolynomialFunctionValue(BG$1,$BD229,AllTriggers)</f>
        <v>3.0151867753748481E-3</v>
      </c>
      <c r="BH229" s="47">
        <f>_xll.qlPolynomialFunctionValue(BH$1,$BD229,AllTriggers)</f>
        <v>3.0086716026226637E-3</v>
      </c>
      <c r="BI229" s="47">
        <f>_xll.qlPolynomialFunctionValue(BI$1,$BD229,AllTriggers)</f>
        <v>3.0577215477973346E-3</v>
      </c>
      <c r="BJ229" s="47">
        <f>_xll.qlPolynomialFunctionValue(BJ$1,$BD229,AllTriggers)</f>
        <v>3.0472600532777403E-3</v>
      </c>
      <c r="BK229" s="47">
        <f>_xll.qlPolynomialFunctionValue(BK$1,$BD229,AllTriggers)</f>
        <v>3.0144438669827637E-3</v>
      </c>
      <c r="BL229" s="47">
        <f>_xll.qlPolynomialFunctionValue(BL$1,$BD229,AllTriggers)</f>
        <v>3.0076698267173579E-3</v>
      </c>
      <c r="BM229" s="47">
        <f>_xll.qlPolynomialFunctionValue(BM$1,$BD229,AllTriggers)</f>
        <v>3.0195826801659546E-3</v>
      </c>
      <c r="BN229" s="47">
        <f>_xll.qlPolynomialFunctionValue(BN$1,$BD229,AllTriggers)</f>
        <v>3.0339517095978371E-3</v>
      </c>
      <c r="BO229" s="47">
        <f>_xll.qlPolynomialFunctionValue(BO$1,$BD229,AllTriggers)</f>
        <v>3.0204055775744209E-3</v>
      </c>
      <c r="BP229" s="47">
        <f>_xll.qlPolynomialFunctionValue(BP$1,$BD229,AllTriggers)</f>
        <v>3.0271733179344203E-3</v>
      </c>
      <c r="BQ229" s="47">
        <f>_xll.qlPolynomialFunctionValue('12MSynthDepo_used'!$P$18,BD229,AllTriggers)</f>
        <v>3.0386477181831512E-3</v>
      </c>
    </row>
    <row r="230" spans="55:69" x14ac:dyDescent="0.2">
      <c r="BC230" s="178">
        <f>_xll.qlCalendarAdvance(Calendar,BC229,"1d","mf",,Trigger)</f>
        <v>42458</v>
      </c>
      <c r="BD230" s="41">
        <f>_xll.qlDayCounterYearFraction(DayCounter,SettlementDate,BC230,,,Trigger)</f>
        <v>0.88888888888888884</v>
      </c>
      <c r="BE230" s="47">
        <f>_xll.qlPolynomialFunctionValue(BE$1,$BD230,AllTriggers)</f>
        <v>3.0589854186718322E-3</v>
      </c>
      <c r="BF230" s="47">
        <f>_xll.qlPolynomialFunctionValue(BF$1,$BD230,AllTriggers)</f>
        <v>3.0465897822600754E-3</v>
      </c>
      <c r="BG230" s="47">
        <f>_xll.qlPolynomialFunctionValue(BG$1,$BD230,AllTriggers)</f>
        <v>3.0174970385921842E-3</v>
      </c>
      <c r="BH230" s="47">
        <f>_xll.qlPolynomialFunctionValue(BH$1,$BD230,AllTriggers)</f>
        <v>3.0116093091818682E-3</v>
      </c>
      <c r="BI230" s="47">
        <f>_xll.qlPolynomialFunctionValue(BI$1,$BD230,AllTriggers)</f>
        <v>3.0621693315371246E-3</v>
      </c>
      <c r="BJ230" s="47">
        <f>_xll.qlPolynomialFunctionValue(BJ$1,$BD230,AllTriggers)</f>
        <v>3.0463249008983286E-3</v>
      </c>
      <c r="BK230" s="47">
        <f>_xll.qlPolynomialFunctionValue(BK$1,$BD230,AllTriggers)</f>
        <v>3.0167277666818251E-3</v>
      </c>
      <c r="BL230" s="47">
        <f>_xll.qlPolynomialFunctionValue(BL$1,$BD230,AllTriggers)</f>
        <v>3.0106182152208165E-3</v>
      </c>
      <c r="BM230" s="47">
        <f>_xll.qlPolynomialFunctionValue(BM$1,$BD230,AllTriggers)</f>
        <v>3.0222575936196239E-3</v>
      </c>
      <c r="BN230" s="47">
        <f>_xll.qlPolynomialFunctionValue(BN$1,$BD230,AllTriggers)</f>
        <v>3.0365449683161594E-3</v>
      </c>
      <c r="BO230" s="47">
        <f>_xll.qlPolynomialFunctionValue(BO$1,$BD230,AllTriggers)</f>
        <v>3.0228651117561677E-3</v>
      </c>
      <c r="BP230" s="47">
        <f>_xll.qlPolynomialFunctionValue(BP$1,$BD230,AllTriggers)</f>
        <v>3.029664503144569E-3</v>
      </c>
      <c r="BQ230" s="47">
        <f>_xll.qlPolynomialFunctionValue('12MSynthDepo_used'!$P$18,BD230,AllTriggers)</f>
        <v>3.0404470750392603E-3</v>
      </c>
    </row>
    <row r="231" spans="55:69" x14ac:dyDescent="0.2">
      <c r="BC231" s="178">
        <f>_xll.qlCalendarAdvance(Calendar,BC230,"1d","mf",,Trigger)</f>
        <v>42459</v>
      </c>
      <c r="BD231" s="41">
        <f>_xll.qlDayCounterYearFraction(DayCounter,SettlementDate,BC231,,,Trigger)</f>
        <v>0.89166666666666672</v>
      </c>
      <c r="BE231" s="47">
        <f>_xll.qlPolynomialFunctionValue(BE$1,$BD231,AllTriggers)</f>
        <v>3.0598463980468344E-3</v>
      </c>
      <c r="BF231" s="47">
        <f>_xll.qlPolynomialFunctionValue(BF$1,$BD231,AllTriggers)</f>
        <v>3.0464057470448607E-3</v>
      </c>
      <c r="BG231" s="47">
        <f>_xll.qlPolynomialFunctionValue(BG$1,$BD231,AllTriggers)</f>
        <v>3.0179590912356512E-3</v>
      </c>
      <c r="BH231" s="47">
        <f>_xll.qlPolynomialFunctionValue(BH$1,$BD231,AllTriggers)</f>
        <v>3.0122021157525216E-3</v>
      </c>
      <c r="BI231" s="47">
        <f>_xll.qlPolynomialFunctionValue(BI$1,$BD231,AllTriggers)</f>
        <v>3.0630588882850827E-3</v>
      </c>
      <c r="BJ231" s="47">
        <f>_xll.qlPolynomialFunctionValue(BJ$1,$BD231,AllTriggers)</f>
        <v>3.0461109497112249E-3</v>
      </c>
      <c r="BK231" s="47">
        <f>_xll.qlPolynomialFunctionValue(BK$1,$BD231,AllTriggers)</f>
        <v>3.0171845466216373E-3</v>
      </c>
      <c r="BL231" s="47">
        <f>_xll.qlPolynomialFunctionValue(BL$1,$BD231,AllTriggers)</f>
        <v>3.0112134499956957E-3</v>
      </c>
      <c r="BM231" s="47">
        <f>_xll.qlPolynomialFunctionValue(BM$1,$BD231,AllTriggers)</f>
        <v>3.0227925763103578E-3</v>
      </c>
      <c r="BN231" s="47">
        <f>_xll.qlPolynomialFunctionValue(BN$1,$BD231,AllTriggers)</f>
        <v>3.0370591513967783E-3</v>
      </c>
      <c r="BO231" s="47">
        <f>_xll.qlPolynomialFunctionValue(BO$1,$BD231,AllTriggers)</f>
        <v>3.0233570185925172E-3</v>
      </c>
      <c r="BP231" s="47">
        <f>_xll.qlPolynomialFunctionValue(BP$1,$BD231,AllTriggers)</f>
        <v>3.0301605503148441E-3</v>
      </c>
      <c r="BQ231" s="47">
        <f>_xll.qlPolynomialFunctionValue('12MSynthDepo_used'!$P$18,BD231,AllTriggers)</f>
        <v>3.0408002571136691E-3</v>
      </c>
    </row>
    <row r="232" spans="55:69" x14ac:dyDescent="0.2">
      <c r="BC232" s="178">
        <f>_xll.qlCalendarAdvance(Calendar,BC231,"1d","mf",,Trigger)</f>
        <v>42460</v>
      </c>
      <c r="BD232" s="41">
        <f>_xll.qlDayCounterYearFraction(DayCounter,SettlementDate,BC232,,,Trigger)</f>
        <v>0.89444444444444449</v>
      </c>
      <c r="BE232" s="47">
        <f>_xll.qlPolynomialFunctionValue(BE$1,$BD232,AllTriggers)</f>
        <v>3.0607073774218366E-3</v>
      </c>
      <c r="BF232" s="47">
        <f>_xll.qlPolynomialFunctionValue(BF$1,$BD232,AllTriggers)</f>
        <v>3.0462130395093956E-3</v>
      </c>
      <c r="BG232" s="47">
        <f>_xll.qlPolynomialFunctionValue(BG$1,$BD232,AllTriggers)</f>
        <v>3.0184211438791186E-3</v>
      </c>
      <c r="BH232" s="47">
        <f>_xll.qlPolynomialFunctionValue(BH$1,$BD232,AllTriggers)</f>
        <v>3.0127966774094466E-3</v>
      </c>
      <c r="BI232" s="47">
        <f>_xll.qlPolynomialFunctionValue(BI$1,$BD232,AllTriggers)</f>
        <v>3.0639484450330403E-3</v>
      </c>
      <c r="BJ232" s="47">
        <f>_xll.qlPolynomialFunctionValue(BJ$1,$BD232,AllTriggers)</f>
        <v>3.0458880249537145E-3</v>
      </c>
      <c r="BK232" s="47">
        <f>_xll.qlPolynomialFunctionValue(BK$1,$BD232,AllTriggers)</f>
        <v>3.0176413265614495E-3</v>
      </c>
      <c r="BL232" s="47">
        <f>_xll.qlPolynomialFunctionValue(BL$1,$BD232,AllTriggers)</f>
        <v>3.0118105371286369E-3</v>
      </c>
      <c r="BM232" s="47">
        <f>_xll.qlPolynomialFunctionValue(BM$1,$BD232,AllTriggers)</f>
        <v>3.0233275590010912E-3</v>
      </c>
      <c r="BN232" s="47">
        <f>_xll.qlPolynomialFunctionValue(BN$1,$BD232,AllTriggers)</f>
        <v>3.0375718449230488E-3</v>
      </c>
      <c r="BO232" s="47">
        <f>_xll.qlPolynomialFunctionValue(BO$1,$BD232,AllTriggers)</f>
        <v>3.0238489254288663E-3</v>
      </c>
      <c r="BP232" s="47">
        <f>_xll.qlPolynomialFunctionValue(BP$1,$BD232,AllTriggers)</f>
        <v>3.0306558675278683E-3</v>
      </c>
      <c r="BQ232" s="47">
        <f>_xll.qlPolynomialFunctionValue('12MSynthDepo_used'!$P$18,BD232,AllTriggers)</f>
        <v>3.0411512437576835E-3</v>
      </c>
    </row>
    <row r="233" spans="55:69" x14ac:dyDescent="0.2">
      <c r="BC233" s="178">
        <f>_xll.qlCalendarAdvance(Calendar,BC232,"1d","mf",,Trigger)</f>
        <v>42461</v>
      </c>
      <c r="BD233" s="41">
        <f>_xll.qlDayCounterYearFraction(DayCounter,SettlementDate,BC233,,,Trigger)</f>
        <v>0.89722222222222225</v>
      </c>
      <c r="BE233" s="47">
        <f>_xll.qlPolynomialFunctionValue(BE$1,$BD233,AllTriggers)</f>
        <v>3.0615683567968388E-3</v>
      </c>
      <c r="BF233" s="47">
        <f>_xll.qlPolynomialFunctionValue(BF$1,$BD233,AllTriggers)</f>
        <v>3.0460116596536793E-3</v>
      </c>
      <c r="BG233" s="47">
        <f>_xll.qlPolynomialFunctionValue(BG$1,$BD233,AllTriggers)</f>
        <v>3.0188831965225855E-3</v>
      </c>
      <c r="BH233" s="47">
        <f>_xll.qlPolynomialFunctionValue(BH$1,$BD233,AllTriggers)</f>
        <v>3.0133929941526423E-3</v>
      </c>
      <c r="BI233" s="47">
        <f>_xll.qlPolynomialFunctionValue(BI$1,$BD233,AllTriggers)</f>
        <v>3.0648380017809984E-3</v>
      </c>
      <c r="BJ233" s="47">
        <f>_xll.qlPolynomialFunctionValue(BJ$1,$BD233,AllTriggers)</f>
        <v>3.0456561266257965E-3</v>
      </c>
      <c r="BK233" s="47">
        <f>_xll.qlPolynomialFunctionValue(BK$1,$BD233,AllTriggers)</f>
        <v>3.0180981065012617E-3</v>
      </c>
      <c r="BL233" s="47">
        <f>_xll.qlPolynomialFunctionValue(BL$1,$BD233,AllTriggers)</f>
        <v>3.0124094766196406E-3</v>
      </c>
      <c r="BM233" s="47">
        <f>_xll.qlPolynomialFunctionValue(BM$1,$BD233,AllTriggers)</f>
        <v>3.0238625416918251E-3</v>
      </c>
      <c r="BN233" s="47">
        <f>_xll.qlPolynomialFunctionValue(BN$1,$BD233,AllTriggers)</f>
        <v>3.0380830488949706E-3</v>
      </c>
      <c r="BO233" s="47">
        <f>_xll.qlPolynomialFunctionValue(BO$1,$BD233,AllTriggers)</f>
        <v>3.0243408322652159E-3</v>
      </c>
      <c r="BP233" s="47">
        <f>_xll.qlPolynomialFunctionValue(BP$1,$BD233,AllTriggers)</f>
        <v>3.0311504547836407E-3</v>
      </c>
      <c r="BQ233" s="47">
        <f>_xll.qlPolynomialFunctionValue('12MSynthDepo_used'!$P$18,BD233,AllTriggers)</f>
        <v>3.0415000496863947E-3</v>
      </c>
    </row>
    <row r="234" spans="55:69" x14ac:dyDescent="0.2">
      <c r="BC234" s="178">
        <f>_xll.qlCalendarAdvance(Calendar,BC233,"1d","mf",,Trigger)</f>
        <v>42464</v>
      </c>
      <c r="BD234" s="41">
        <f>_xll.qlDayCounterYearFraction(DayCounter,SettlementDate,BC234,,,Trigger)</f>
        <v>0.90555555555555556</v>
      </c>
      <c r="BE234" s="47">
        <f>_xll.qlPolynomialFunctionValue(BE$1,$BD234,AllTriggers)</f>
        <v>3.0641512949218458E-3</v>
      </c>
      <c r="BF234" s="47">
        <f>_xll.qlPolynomialFunctionValue(BF$1,$BD234,AllTriggers)</f>
        <v>3.0453554861650262E-3</v>
      </c>
      <c r="BG234" s="47">
        <f>_xll.qlPolynomialFunctionValue(BG$1,$BD234,AllTriggers)</f>
        <v>3.0202693544529873E-3</v>
      </c>
      <c r="BH234" s="47">
        <f>_xll.qlPolynomialFunctionValue(BH$1,$BD234,AllTriggers)</f>
        <v>3.015192474899855E-3</v>
      </c>
      <c r="BI234" s="47">
        <f>_xll.qlPolynomialFunctionValue(BI$1,$BD234,AllTriggers)</f>
        <v>3.0675066720248726E-3</v>
      </c>
      <c r="BJ234" s="47">
        <f>_xll.qlPolynomialFunctionValue(BJ$1,$BD234,AllTriggers)</f>
        <v>3.0449065902196011E-3</v>
      </c>
      <c r="BK234" s="47">
        <f>_xll.qlPolynomialFunctionValue(BK$1,$BD234,AllTriggers)</f>
        <v>3.0194684463206987E-3</v>
      </c>
      <c r="BL234" s="47">
        <f>_xll.qlPolynomialFunctionValue(BL$1,$BD234,AllTriggers)</f>
        <v>3.0142174092410274E-3</v>
      </c>
      <c r="BM234" s="47">
        <f>_xll.qlPolynomialFunctionValue(BM$1,$BD234,AllTriggers)</f>
        <v>3.0254674897640266E-3</v>
      </c>
      <c r="BN234" s="47">
        <f>_xll.qlPolynomialFunctionValue(BN$1,$BD234,AllTriggers)</f>
        <v>3.0396077234846447E-3</v>
      </c>
      <c r="BO234" s="47">
        <f>_xll.qlPolynomialFunctionValue(BO$1,$BD234,AllTriggers)</f>
        <v>3.025816552774264E-3</v>
      </c>
      <c r="BP234" s="47">
        <f>_xll.qlPolynomialFunctionValue(BP$1,$BD234,AllTriggers)</f>
        <v>3.0326298368074491E-3</v>
      </c>
      <c r="BQ234" s="47">
        <f>_xll.qlPolynomialFunctionValue('12MSynthDepo_used'!$P$18,BD234,AllTriggers)</f>
        <v>3.0425335303316081E-3</v>
      </c>
    </row>
    <row r="235" spans="55:69" x14ac:dyDescent="0.2">
      <c r="BC235" s="178">
        <f>_xll.qlCalendarAdvance(Calendar,BC234,"1d","mf",,Trigger)</f>
        <v>42465</v>
      </c>
      <c r="BD235" s="41">
        <f>_xll.qlDayCounterYearFraction(DayCounter,SettlementDate,BC235,,,Trigger)</f>
        <v>0.90833333333333333</v>
      </c>
      <c r="BE235" s="47">
        <f>_xll.qlPolynomialFunctionValue(BE$1,$BD235,AllTriggers)</f>
        <v>3.065012274296848E-3</v>
      </c>
      <c r="BF235" s="47">
        <f>_xll.qlPolynomialFunctionValue(BF$1,$BD235,AllTriggers)</f>
        <v>3.0451194170283071E-3</v>
      </c>
      <c r="BG235" s="47">
        <f>_xll.qlPolynomialFunctionValue(BG$1,$BD235,AllTriggers)</f>
        <v>3.0207314070964542E-3</v>
      </c>
      <c r="BH235" s="47">
        <f>_xll.qlPolynomialFunctionValue(BH$1,$BD235,AllTriggers)</f>
        <v>3.0157958119881342E-3</v>
      </c>
      <c r="BI235" s="47">
        <f>_xll.qlPolynomialFunctionValue(BI$1,$BD235,AllTriggers)</f>
        <v>3.0683962287728303E-3</v>
      </c>
      <c r="BJ235" s="47">
        <f>_xll.qlPolynomialFunctionValue(BJ$1,$BD235,AllTriggers)</f>
        <v>3.0446387976100545E-3</v>
      </c>
      <c r="BK235" s="47">
        <f>_xll.qlPolynomialFunctionValue(BK$1,$BD235,AllTriggers)</f>
        <v>3.0199252262605109E-3</v>
      </c>
      <c r="BL235" s="47">
        <f>_xll.qlPolynomialFunctionValue(BL$1,$BD235,AllTriggers)</f>
        <v>3.0148237581642807E-3</v>
      </c>
      <c r="BM235" s="47">
        <f>_xll.qlPolynomialFunctionValue(BM$1,$BD235,AllTriggers)</f>
        <v>3.0260024724547605E-3</v>
      </c>
      <c r="BN235" s="47">
        <f>_xll.qlPolynomialFunctionValue(BN$1,$BD235,AllTriggers)</f>
        <v>3.0401129692391726E-3</v>
      </c>
      <c r="BO235" s="47">
        <f>_xll.qlPolynomialFunctionValue(BO$1,$BD235,AllTriggers)</f>
        <v>3.0263084596106136E-3</v>
      </c>
      <c r="BP235" s="47">
        <f>_xll.qlPolynomialFunctionValue(BP$1,$BD235,AllTriggers)</f>
        <v>3.0331215042342162E-3</v>
      </c>
      <c r="BQ235" s="47">
        <f>_xll.qlPolynomialFunctionValue('12MSynthDepo_used'!$P$18,BD235,AllTriggers)</f>
        <v>3.0428737605500077E-3</v>
      </c>
    </row>
    <row r="236" spans="55:69" x14ac:dyDescent="0.2">
      <c r="BC236" s="178">
        <f>_xll.qlCalendarAdvance(Calendar,BC235,"1d","mf",,Trigger)</f>
        <v>42466</v>
      </c>
      <c r="BD236" s="41">
        <f>_xll.qlDayCounterYearFraction(DayCounter,SettlementDate,BC236,,,Trigger)</f>
        <v>0.91111111111111109</v>
      </c>
      <c r="BE236" s="47">
        <f>_xll.qlPolynomialFunctionValue(BE$1,$BD236,AllTriggers)</f>
        <v>3.0658732536718502E-3</v>
      </c>
      <c r="BF236" s="47">
        <f>_xll.qlPolynomialFunctionValue(BF$1,$BD236,AllTriggers)</f>
        <v>3.0448746755713371E-3</v>
      </c>
      <c r="BG236" s="47">
        <f>_xll.qlPolynomialFunctionValue(BG$1,$BD236,AllTriggers)</f>
        <v>3.0211934597399216E-3</v>
      </c>
      <c r="BH236" s="47">
        <f>_xll.qlPolynomialFunctionValue(BH$1,$BD236,AllTriggers)</f>
        <v>3.0164009041626846E-3</v>
      </c>
      <c r="BI236" s="47">
        <f>_xll.qlPolynomialFunctionValue(BI$1,$BD236,AllTriggers)</f>
        <v>3.0692857855207883E-3</v>
      </c>
      <c r="BJ236" s="47">
        <f>_xll.qlPolynomialFunctionValue(BJ$1,$BD236,AllTriggers)</f>
        <v>3.0443620314301008E-3</v>
      </c>
      <c r="BK236" s="47">
        <f>_xll.qlPolynomialFunctionValue(BK$1,$BD236,AllTriggers)</f>
        <v>3.0203820062003231E-3</v>
      </c>
      <c r="BL236" s="47">
        <f>_xll.qlPolynomialFunctionValue(BL$1,$BD236,AllTriggers)</f>
        <v>3.015431959445597E-3</v>
      </c>
      <c r="BM236" s="47">
        <f>_xll.qlPolynomialFunctionValue(BM$1,$BD236,AllTriggers)</f>
        <v>3.0265374551454944E-3</v>
      </c>
      <c r="BN236" s="47">
        <f>_xll.qlPolynomialFunctionValue(BN$1,$BD236,AllTriggers)</f>
        <v>3.0406167254393517E-3</v>
      </c>
      <c r="BO236" s="47">
        <f>_xll.qlPolynomialFunctionValue(BO$1,$BD236,AllTriggers)</f>
        <v>3.0268003664469631E-3</v>
      </c>
      <c r="BP236" s="47">
        <f>_xll.qlPolynomialFunctionValue(BP$1,$BD236,AllTriggers)</f>
        <v>3.0336124417037311E-3</v>
      </c>
      <c r="BQ236" s="47">
        <f>_xll.qlPolynomialFunctionValue('12MSynthDepo_used'!$P$18,BD236,AllTriggers)</f>
        <v>3.043211883628555E-3</v>
      </c>
    </row>
    <row r="237" spans="55:69" x14ac:dyDescent="0.2">
      <c r="BC237" s="178">
        <f>_xll.qlCalendarAdvance(Calendar,BC236,"1d","mf",,Trigger)</f>
        <v>42467</v>
      </c>
      <c r="BD237" s="41">
        <f>_xll.qlDayCounterYearFraction(DayCounter,SettlementDate,BC237,,,Trigger)</f>
        <v>0.91388888888888886</v>
      </c>
      <c r="BE237" s="47">
        <f>_xll.qlPolynomialFunctionValue(BE$1,$BD237,AllTriggers)</f>
        <v>3.0667342330468524E-3</v>
      </c>
      <c r="BF237" s="47">
        <f>_xll.qlPolynomialFunctionValue(BF$1,$BD237,AllTriggers)</f>
        <v>3.0446212617941167E-3</v>
      </c>
      <c r="BG237" s="47">
        <f>_xll.qlPolynomialFunctionValue(BG$1,$BD237,AllTriggers)</f>
        <v>3.0216555123833886E-3</v>
      </c>
      <c r="BH237" s="47">
        <f>_xll.qlPolynomialFunctionValue(BH$1,$BD237,AllTriggers)</f>
        <v>3.0170077514235063E-3</v>
      </c>
      <c r="BI237" s="47">
        <f>_xll.qlPolynomialFunctionValue(BI$1,$BD237,AllTriggers)</f>
        <v>3.0701753422687464E-3</v>
      </c>
      <c r="BJ237" s="47">
        <f>_xll.qlPolynomialFunctionValue(BJ$1,$BD237,AllTriggers)</f>
        <v>3.0440762916797409E-3</v>
      </c>
      <c r="BK237" s="47">
        <f>_xll.qlPolynomialFunctionValue(BK$1,$BD237,AllTriggers)</f>
        <v>3.0208387861401353E-3</v>
      </c>
      <c r="BL237" s="47">
        <f>_xll.qlPolynomialFunctionValue(BL$1,$BD237,AllTriggers)</f>
        <v>3.0160420130849754E-3</v>
      </c>
      <c r="BM237" s="47">
        <f>_xll.qlPolynomialFunctionValue(BM$1,$BD237,AllTriggers)</f>
        <v>3.0270724378362278E-3</v>
      </c>
      <c r="BN237" s="47">
        <f>_xll.qlPolynomialFunctionValue(BN$1,$BD237,AllTriggers)</f>
        <v>3.0411189920851824E-3</v>
      </c>
      <c r="BO237" s="47">
        <f>_xll.qlPolynomialFunctionValue(BO$1,$BD237,AllTriggers)</f>
        <v>3.0272922732833122E-3</v>
      </c>
      <c r="BP237" s="47">
        <f>_xll.qlPolynomialFunctionValue(BP$1,$BD237,AllTriggers)</f>
        <v>3.0341026492159947E-3</v>
      </c>
      <c r="BQ237" s="47">
        <f>_xll.qlPolynomialFunctionValue('12MSynthDepo_used'!$P$18,BD237,AllTriggers)</f>
        <v>3.0435479142823406E-3</v>
      </c>
    </row>
    <row r="238" spans="55:69" x14ac:dyDescent="0.2">
      <c r="BC238" s="178">
        <f>_xll.qlCalendarAdvance(Calendar,BC237,"1d","mf",,Trigger)</f>
        <v>42468</v>
      </c>
      <c r="BD238" s="41">
        <f>_xll.qlDayCounterYearFraction(DayCounter,SettlementDate,BC238,,,Trigger)</f>
        <v>0.91666666666666663</v>
      </c>
      <c r="BE238" s="47">
        <f>_xll.qlPolynomialFunctionValue(BE$1,$BD238,AllTriggers)</f>
        <v>3.0675952124218546E-3</v>
      </c>
      <c r="BF238" s="47">
        <f>_xll.qlPolynomialFunctionValue(BF$1,$BD238,AllTriggers)</f>
        <v>3.0443591756966447E-3</v>
      </c>
      <c r="BG238" s="47">
        <f>_xll.qlPolynomialFunctionValue(BG$1,$BD238,AllTriggers)</f>
        <v>3.022117565026856E-3</v>
      </c>
      <c r="BH238" s="47">
        <f>_xll.qlPolynomialFunctionValue(BH$1,$BD238,AllTriggers)</f>
        <v>3.0176163537705986E-3</v>
      </c>
      <c r="BI238" s="47">
        <f>_xll.qlPolynomialFunctionValue(BI$1,$BD238,AllTriggers)</f>
        <v>3.0710648990167045E-3</v>
      </c>
      <c r="BJ238" s="47">
        <f>_xll.qlPolynomialFunctionValue(BJ$1,$BD238,AllTriggers)</f>
        <v>3.0437815783589733E-3</v>
      </c>
      <c r="BK238" s="47">
        <f>_xll.qlPolynomialFunctionValue(BK$1,$BD238,AllTriggers)</f>
        <v>3.0212955660799475E-3</v>
      </c>
      <c r="BL238" s="47">
        <f>_xll.qlPolynomialFunctionValue(BL$1,$BD238,AllTriggers)</f>
        <v>3.0166539190824163E-3</v>
      </c>
      <c r="BM238" s="47">
        <f>_xll.qlPolynomialFunctionValue(BM$1,$BD238,AllTriggers)</f>
        <v>3.0276074205269616E-3</v>
      </c>
      <c r="BN238" s="47">
        <f>_xll.qlPolynomialFunctionValue(BN$1,$BD238,AllTriggers)</f>
        <v>3.0416197691766644E-3</v>
      </c>
      <c r="BO238" s="47">
        <f>_xll.qlPolynomialFunctionValue(BO$1,$BD238,AllTriggers)</f>
        <v>3.0277841801196618E-3</v>
      </c>
      <c r="BP238" s="47">
        <f>_xll.qlPolynomialFunctionValue(BP$1,$BD238,AllTriggers)</f>
        <v>3.0345921267710069E-3</v>
      </c>
      <c r="BQ238" s="47">
        <f>_xll.qlPolynomialFunctionValue('12MSynthDepo_used'!$P$18,BD238,AllTriggers)</f>
        <v>3.0438818672264543E-3</v>
      </c>
    </row>
    <row r="239" spans="55:69" x14ac:dyDescent="0.2">
      <c r="BC239" s="178">
        <f>_xll.qlCalendarAdvance(Calendar,BC238,"1d","mf",,Trigger)</f>
        <v>42471</v>
      </c>
      <c r="BD239" s="41">
        <f>_xll.qlDayCounterYearFraction(DayCounter,SettlementDate,BC239,,,Trigger)</f>
        <v>0.92500000000000004</v>
      </c>
      <c r="BE239" s="47">
        <f>_xll.qlPolynomialFunctionValue(BE$1,$BD239,AllTriggers)</f>
        <v>3.0701781505468612E-3</v>
      </c>
      <c r="BF239" s="47">
        <f>_xll.qlPolynomialFunctionValue(BF$1,$BD239,AllTriggers)</f>
        <v>3.0435208834827259E-3</v>
      </c>
      <c r="BG239" s="47">
        <f>_xll.qlPolynomialFunctionValue(BG$1,$BD239,AllTriggers)</f>
        <v>3.0235037229572573E-3</v>
      </c>
      <c r="BH239" s="47">
        <f>_xll.qlPolynomialFunctionValue(BH$1,$BD239,AllTriggers)</f>
        <v>3.0194526913295016E-3</v>
      </c>
      <c r="BI239" s="47">
        <f>_xll.qlPolynomialFunctionValue(BI$1,$BD239,AllTriggers)</f>
        <v>3.0737335692605783E-3</v>
      </c>
      <c r="BJ239" s="47">
        <f>_xll.qlPolynomialFunctionValue(BJ$1,$BD239,AllTriggers)</f>
        <v>3.0428435969742287E-3</v>
      </c>
      <c r="BK239" s="47">
        <f>_xll.qlPolynomialFunctionValue(BK$1,$BD239,AllTriggers)</f>
        <v>3.0226659058993845E-3</v>
      </c>
      <c r="BL239" s="47">
        <f>_xll.qlPolynomialFunctionValue(BL$1,$BD239,AllTriggers)</f>
        <v>3.018500751223114E-3</v>
      </c>
      <c r="BM239" s="47">
        <f>_xll.qlPolynomialFunctionValue(BM$1,$BD239,AllTriggers)</f>
        <v>3.0292123685991632E-3</v>
      </c>
      <c r="BN239" s="47">
        <f>_xll.qlPolynomialFunctionValue(BN$1,$BD239,AllTriggers)</f>
        <v>3.0431131631250196E-3</v>
      </c>
      <c r="BO239" s="47">
        <f>_xll.qlPolynomialFunctionValue(BO$1,$BD239,AllTriggers)</f>
        <v>3.0292599006287099E-3</v>
      </c>
      <c r="BP239" s="47">
        <f>_xll.qlPolynomialFunctionValue(BP$1,$BD239,AllTriggers)</f>
        <v>3.0360561796925348E-3</v>
      </c>
      <c r="BQ239" s="47">
        <f>_xll.qlPolynomialFunctionValue('12MSynthDepo_used'!$P$18,BD239,AllTriggers)</f>
        <v>3.0448714069516683E-3</v>
      </c>
    </row>
    <row r="240" spans="55:69" x14ac:dyDescent="0.2">
      <c r="BC240" s="178">
        <f>_xll.qlCalendarAdvance(Calendar,BC239,"1d","mf",,Trigger)</f>
        <v>42472</v>
      </c>
      <c r="BD240" s="41">
        <f>_xll.qlDayCounterYearFraction(DayCounter,SettlementDate,BC240,,,Trigger)</f>
        <v>0.92777777777777781</v>
      </c>
      <c r="BE240" s="47">
        <f>_xll.qlPolynomialFunctionValue(BE$1,$BD240,AllTriggers)</f>
        <v>3.0710391299218639E-3</v>
      </c>
      <c r="BF240" s="47">
        <f>_xll.qlPolynomialFunctionValue(BF$1,$BD240,AllTriggers)</f>
        <v>3.043224108104251E-3</v>
      </c>
      <c r="BG240" s="47">
        <f>_xll.qlPolynomialFunctionValue(BG$1,$BD240,AllTriggers)</f>
        <v>3.0239657756007247E-3</v>
      </c>
      <c r="BH240" s="47">
        <f>_xll.qlPolynomialFunctionValue(BH$1,$BD240,AllTriggers)</f>
        <v>3.0200683140216779E-3</v>
      </c>
      <c r="BI240" s="47">
        <f>_xll.qlPolynomialFunctionValue(BI$1,$BD240,AllTriggers)</f>
        <v>3.0746231260085364E-3</v>
      </c>
      <c r="BJ240" s="47">
        <f>_xll.qlPolynomialFunctionValue(BJ$1,$BD240,AllTriggers)</f>
        <v>3.0425129893718325E-3</v>
      </c>
      <c r="BK240" s="47">
        <f>_xll.qlPolynomialFunctionValue(BK$1,$BD240,AllTriggers)</f>
        <v>3.0231226858391967E-3</v>
      </c>
      <c r="BL240" s="47">
        <f>_xll.qlPolynomialFunctionValue(BL$1,$BD240,AllTriggers)</f>
        <v>3.0191200666528049E-3</v>
      </c>
      <c r="BM240" s="47">
        <f>_xll.qlPolynomialFunctionValue(BM$1,$BD240,AllTriggers)</f>
        <v>3.0297473512898971E-3</v>
      </c>
      <c r="BN240" s="47">
        <f>_xll.qlPolynomialFunctionValue(BN$1,$BD240,AllTriggers)</f>
        <v>3.0436079819991077E-3</v>
      </c>
      <c r="BO240" s="47">
        <f>_xll.qlPolynomialFunctionValue(BO$1,$BD240,AllTriggers)</f>
        <v>3.0297518074650595E-3</v>
      </c>
      <c r="BP240" s="47">
        <f>_xll.qlPolynomialFunctionValue(BP$1,$BD240,AllTriggers)</f>
        <v>3.0365427374185409E-3</v>
      </c>
      <c r="BQ240" s="47">
        <f>_xll.qlPolynomialFunctionValue('12MSynthDepo_used'!$P$18,BD240,AllTriggers)</f>
        <v>3.0451971962079981E-3</v>
      </c>
    </row>
    <row r="241" spans="55:69" x14ac:dyDescent="0.2">
      <c r="BC241" s="178">
        <f>_xll.qlCalendarAdvance(Calendar,BC240,"1d","mf",,Trigger)</f>
        <v>42473</v>
      </c>
      <c r="BD241" s="41">
        <f>_xll.qlDayCounterYearFraction(DayCounter,SettlementDate,BC241,,,Trigger)</f>
        <v>0.93055555555555558</v>
      </c>
      <c r="BE241" s="47">
        <f>_xll.qlPolynomialFunctionValue(BE$1,$BD241,AllTriggers)</f>
        <v>3.0719001092968661E-3</v>
      </c>
      <c r="BF241" s="47">
        <f>_xll.qlPolynomialFunctionValue(BF$1,$BD241,AllTriggers)</f>
        <v>3.0429186604055258E-3</v>
      </c>
      <c r="BG241" s="47">
        <f>_xll.qlPolynomialFunctionValue(BG$1,$BD241,AllTriggers)</f>
        <v>3.0244278282441917E-3</v>
      </c>
      <c r="BH241" s="47">
        <f>_xll.qlPolynomialFunctionValue(BH$1,$BD241,AllTriggers)</f>
        <v>3.0206856918001249E-3</v>
      </c>
      <c r="BI241" s="47">
        <f>_xll.qlPolynomialFunctionValue(BI$1,$BD241,AllTriggers)</f>
        <v>3.0755126827564944E-3</v>
      </c>
      <c r="BJ241" s="47">
        <f>_xll.qlPolynomialFunctionValue(BJ$1,$BD241,AllTriggers)</f>
        <v>3.0421734081990297E-3</v>
      </c>
      <c r="BK241" s="47">
        <f>_xll.qlPolynomialFunctionValue(BK$1,$BD241,AllTriggers)</f>
        <v>3.0235794657790089E-3</v>
      </c>
      <c r="BL241" s="47">
        <f>_xll.qlPolynomialFunctionValue(BL$1,$BD241,AllTriggers)</f>
        <v>3.0197412344405579E-3</v>
      </c>
      <c r="BM241" s="47">
        <f>_xll.qlPolynomialFunctionValue(BM$1,$BD241,AllTriggers)</f>
        <v>3.0302823339806309E-3</v>
      </c>
      <c r="BN241" s="47">
        <f>_xll.qlPolynomialFunctionValue(BN$1,$BD241,AllTriggers)</f>
        <v>3.044101311318847E-3</v>
      </c>
      <c r="BO241" s="47">
        <f>_xll.qlPolynomialFunctionValue(BO$1,$BD241,AllTriggers)</f>
        <v>3.030243714301409E-3</v>
      </c>
      <c r="BP241" s="47">
        <f>_xll.qlPolynomialFunctionValue(BP$1,$BD241,AllTriggers)</f>
        <v>3.0370285651872965E-3</v>
      </c>
      <c r="BQ241" s="47">
        <f>_xll.qlPolynomialFunctionValue('12MSynthDepo_used'!$P$18,BD241,AllTriggers)</f>
        <v>3.0455209813301078E-3</v>
      </c>
    </row>
    <row r="242" spans="55:69" x14ac:dyDescent="0.2">
      <c r="BC242" s="178">
        <f>_xll.qlCalendarAdvance(Calendar,BC241,"1d","mf",,Trigger)</f>
        <v>42474</v>
      </c>
      <c r="BD242" s="41">
        <f>_xll.qlDayCounterYearFraction(DayCounter,SettlementDate,BC242,,,Trigger)</f>
        <v>0.93333333333333335</v>
      </c>
      <c r="BE242" s="47">
        <f>_xll.qlPolynomialFunctionValue(BE$1,$BD242,AllTriggers)</f>
        <v>3.0727610886718683E-3</v>
      </c>
      <c r="BF242" s="47">
        <f>_xll.qlPolynomialFunctionValue(BF$1,$BD242,AllTriggers)</f>
        <v>3.0426045403865497E-3</v>
      </c>
      <c r="BG242" s="47">
        <f>_xll.qlPolynomialFunctionValue(BG$1,$BD242,AllTriggers)</f>
        <v>3.024889880887659E-3</v>
      </c>
      <c r="BH242" s="47">
        <f>_xll.qlPolynomialFunctionValue(BH$1,$BD242,AllTriggers)</f>
        <v>3.0213048246648432E-3</v>
      </c>
      <c r="BI242" s="47">
        <f>_xll.qlPolynomialFunctionValue(BI$1,$BD242,AllTriggers)</f>
        <v>3.0764022395044521E-3</v>
      </c>
      <c r="BJ242" s="47">
        <f>_xll.qlPolynomialFunctionValue(BJ$1,$BD242,AllTriggers)</f>
        <v>3.0418248534558197E-3</v>
      </c>
      <c r="BK242" s="47">
        <f>_xll.qlPolynomialFunctionValue(BK$1,$BD242,AllTriggers)</f>
        <v>3.0240362457188211E-3</v>
      </c>
      <c r="BL242" s="47">
        <f>_xll.qlPolynomialFunctionValue(BL$1,$BD242,AllTriggers)</f>
        <v>3.0203642545863735E-3</v>
      </c>
      <c r="BM242" s="47">
        <f>_xll.qlPolynomialFunctionValue(BM$1,$BD242,AllTriggers)</f>
        <v>3.0308173166713644E-3</v>
      </c>
      <c r="BN242" s="47">
        <f>_xll.qlPolynomialFunctionValue(BN$1,$BD242,AllTriggers)</f>
        <v>3.044593151084238E-3</v>
      </c>
      <c r="BO242" s="47">
        <f>_xll.qlPolynomialFunctionValue(BO$1,$BD242,AllTriggers)</f>
        <v>3.0307356211377581E-3</v>
      </c>
      <c r="BP242" s="47">
        <f>_xll.qlPolynomialFunctionValue(BP$1,$BD242,AllTriggers)</f>
        <v>3.0375136629987995E-3</v>
      </c>
      <c r="BQ242" s="47">
        <f>_xll.qlPolynomialFunctionValue('12MSynthDepo_used'!$P$18,BD242,AllTriggers)</f>
        <v>3.045842777033088E-3</v>
      </c>
    </row>
    <row r="243" spans="55:69" x14ac:dyDescent="0.2">
      <c r="BC243" s="178">
        <f>_xll.qlCalendarAdvance(Calendar,BC242,"1d","mf",,Trigger)</f>
        <v>42475</v>
      </c>
      <c r="BD243" s="41">
        <f>_xll.qlDayCounterYearFraction(DayCounter,SettlementDate,BC243,,,Trigger)</f>
        <v>0.93611111111111112</v>
      </c>
      <c r="BE243" s="47">
        <f>_xll.qlPolynomialFunctionValue(BE$1,$BD243,AllTriggers)</f>
        <v>3.0736220680468705E-3</v>
      </c>
      <c r="BF243" s="47">
        <f>_xll.qlPolynomialFunctionValue(BF$1,$BD243,AllTriggers)</f>
        <v>3.0422817480473228E-3</v>
      </c>
      <c r="BG243" s="47">
        <f>_xll.qlPolynomialFunctionValue(BG$1,$BD243,AllTriggers)</f>
        <v>3.025351933531126E-3</v>
      </c>
      <c r="BH243" s="47">
        <f>_xll.qlPolynomialFunctionValue(BH$1,$BD243,AllTriggers)</f>
        <v>3.0219257126158322E-3</v>
      </c>
      <c r="BI243" s="47">
        <f>_xll.qlPolynomialFunctionValue(BI$1,$BD243,AllTriggers)</f>
        <v>3.0772917962524102E-3</v>
      </c>
      <c r="BJ243" s="47">
        <f>_xll.qlPolynomialFunctionValue(BJ$1,$BD243,AllTriggers)</f>
        <v>3.0414673251422026E-3</v>
      </c>
      <c r="BK243" s="47">
        <f>_xll.qlPolynomialFunctionValue(BK$1,$BD243,AllTriggers)</f>
        <v>3.0244930256586333E-3</v>
      </c>
      <c r="BL243" s="47">
        <f>_xll.qlPolynomialFunctionValue(BL$1,$BD243,AllTriggers)</f>
        <v>3.0209891270902515E-3</v>
      </c>
      <c r="BM243" s="47">
        <f>_xll.qlPolynomialFunctionValue(BM$1,$BD243,AllTriggers)</f>
        <v>3.0313522993620982E-3</v>
      </c>
      <c r="BN243" s="47">
        <f>_xll.qlPolynomialFunctionValue(BN$1,$BD243,AllTriggers)</f>
        <v>3.0450835012952801E-3</v>
      </c>
      <c r="BO243" s="47">
        <f>_xll.qlPolynomialFunctionValue(BO$1,$BD243,AllTriggers)</f>
        <v>3.0312275279741076E-3</v>
      </c>
      <c r="BP243" s="47">
        <f>_xll.qlPolynomialFunctionValue(BP$1,$BD243,AllTriggers)</f>
        <v>3.0379980308530515E-3</v>
      </c>
      <c r="BQ243" s="47">
        <f>_xll.qlPolynomialFunctionValue('12MSynthDepo_used'!$P$18,BD243,AllTriggers)</f>
        <v>3.0461625980320278E-3</v>
      </c>
    </row>
    <row r="244" spans="55:69" x14ac:dyDescent="0.2">
      <c r="BC244" s="178">
        <f>_xll.qlCalendarAdvance(Calendar,BC243,"1d","mf",,Trigger)</f>
        <v>42478</v>
      </c>
      <c r="BD244" s="41">
        <f>_xll.qlDayCounterYearFraction(DayCounter,SettlementDate,BC244,,,Trigger)</f>
        <v>0.94444444444444442</v>
      </c>
      <c r="BE244" s="47">
        <f>_xll.qlPolynomialFunctionValue(BE$1,$BD244,AllTriggers)</f>
        <v>3.0762050061718771E-3</v>
      </c>
      <c r="BF244" s="47">
        <f>_xll.qlPolynomialFunctionValue(BF$1,$BD244,AllTriggers)</f>
        <v>3.0412613371081378E-3</v>
      </c>
      <c r="BG244" s="47">
        <f>_xll.qlPolynomialFunctionValue(BG$1,$BD244,AllTriggers)</f>
        <v>3.0267380914615278E-3</v>
      </c>
      <c r="BH244" s="47">
        <f>_xll.qlPolynomialFunctionValue(BH$1,$BD244,AllTriggers)</f>
        <v>3.0237989069864255E-3</v>
      </c>
      <c r="BI244" s="47">
        <f>_xll.qlPolynomialFunctionValue(BI$1,$BD244,AllTriggers)</f>
        <v>3.079960466496284E-3</v>
      </c>
      <c r="BJ244" s="47">
        <f>_xll.qlPolynomialFunctionValue(BJ$1,$BD244,AllTriggers)</f>
        <v>3.0403408987789088E-3</v>
      </c>
      <c r="BK244" s="47">
        <f>_xll.qlPolynomialFunctionValue(BK$1,$BD244,AllTriggers)</f>
        <v>3.0258633654780703E-3</v>
      </c>
      <c r="BL244" s="47">
        <f>_xll.qlPolynomialFunctionValue(BL$1,$BD244,AllTriggers)</f>
        <v>3.0228748587502606E-3</v>
      </c>
      <c r="BM244" s="47">
        <f>_xll.qlPolynomialFunctionValue(BM$1,$BD244,AllTriggers)</f>
        <v>3.0329572474342998E-3</v>
      </c>
      <c r="BN244" s="47">
        <f>_xll.qlPolynomialFunctionValue(BN$1,$BD244,AllTriggers)</f>
        <v>3.046545614602316E-3</v>
      </c>
      <c r="BO244" s="47">
        <f>_xll.qlPolynomialFunctionValue(BO$1,$BD244,AllTriggers)</f>
        <v>3.0327032484831558E-3</v>
      </c>
      <c r="BP244" s="47">
        <f>_xll.qlPolynomialFunctionValue(BP$1,$BD244,AllTriggers)</f>
        <v>3.0394467546722985E-3</v>
      </c>
      <c r="BQ244" s="47">
        <f>_xll.qlPolynomialFunctionValue('12MSynthDepo_used'!$P$18,BD244,AllTriggers)</f>
        <v>3.0471103599555133E-3</v>
      </c>
    </row>
    <row r="245" spans="55:69" x14ac:dyDescent="0.2">
      <c r="BC245" s="178">
        <f>_xll.qlCalendarAdvance(Calendar,BC244,"1d","mf",,Trigger)</f>
        <v>42479</v>
      </c>
      <c r="BD245" s="41">
        <f>_xll.qlDayCounterYearFraction(DayCounter,SettlementDate,BC245,,,Trigger)</f>
        <v>0.94722222222222219</v>
      </c>
      <c r="BE245" s="47">
        <f>_xll.qlPolynomialFunctionValue(BE$1,$BD245,AllTriggers)</f>
        <v>3.0770659855468797E-3</v>
      </c>
      <c r="BF245" s="47">
        <f>_xll.qlPolynomialFunctionValue(BF$1,$BD245,AllTriggers)</f>
        <v>3.0409038554879081E-3</v>
      </c>
      <c r="BG245" s="47">
        <f>_xll.qlPolynomialFunctionValue(BG$1,$BD245,AllTriggers)</f>
        <v>3.0272001441049947E-3</v>
      </c>
      <c r="BH245" s="47">
        <f>_xll.qlPolynomialFunctionValue(BH$1,$BD245,AllTriggers)</f>
        <v>3.0244268152824984E-3</v>
      </c>
      <c r="BI245" s="47">
        <f>_xll.qlPolynomialFunctionValue(BI$1,$BD245,AllTriggers)</f>
        <v>3.080850023244242E-3</v>
      </c>
      <c r="BJ245" s="47">
        <f>_xll.qlPolynomialFunctionValue(BJ$1,$BD245,AllTriggers)</f>
        <v>3.0399474761836636E-3</v>
      </c>
      <c r="BK245" s="47">
        <f>_xll.qlPolynomialFunctionValue(BK$1,$BD245,AllTriggers)</f>
        <v>3.0263201454178825E-3</v>
      </c>
      <c r="BL245" s="47">
        <f>_xll.qlPolynomialFunctionValue(BL$1,$BD245,AllTriggers)</f>
        <v>3.0235071406863887E-3</v>
      </c>
      <c r="BM245" s="47">
        <f>_xll.qlPolynomialFunctionValue(BM$1,$BD245,AllTriggers)</f>
        <v>3.0334922301250337E-3</v>
      </c>
      <c r="BN245" s="47">
        <f>_xll.qlPolynomialFunctionValue(BN$1,$BD245,AllTriggers)</f>
        <v>3.0470300065959643E-3</v>
      </c>
      <c r="BO245" s="47">
        <f>_xll.qlPolynomialFunctionValue(BO$1,$BD245,AllTriggers)</f>
        <v>3.0331951553195053E-3</v>
      </c>
      <c r="BP245" s="47">
        <f>_xll.qlPolynomialFunctionValue(BP$1,$BD245,AllTriggers)</f>
        <v>3.0399282026975453E-3</v>
      </c>
      <c r="BQ245" s="47">
        <f>_xll.qlPolynomialFunctionValue('12MSynthDepo_used'!$P$18,BD245,AllTriggers)</f>
        <v>3.0474224292891977E-3</v>
      </c>
    </row>
    <row r="246" spans="55:69" x14ac:dyDescent="0.2">
      <c r="BC246" s="178">
        <f>_xll.qlCalendarAdvance(Calendar,BC245,"1d","mf",,Trigger)</f>
        <v>42480</v>
      </c>
      <c r="BD246" s="41">
        <f>_xll.qlDayCounterYearFraction(DayCounter,SettlementDate,BC246,,,Trigger)</f>
        <v>0.95</v>
      </c>
      <c r="BE246" s="47">
        <f>_xll.qlPolynomialFunctionValue(BE$1,$BD246,AllTriggers)</f>
        <v>3.0779269649218819E-3</v>
      </c>
      <c r="BF246" s="47">
        <f>_xll.qlPolynomialFunctionValue(BF$1,$BD246,AllTriggers)</f>
        <v>3.0405377015474272E-3</v>
      </c>
      <c r="BG246" s="47">
        <f>_xll.qlPolynomialFunctionValue(BG$1,$BD246,AllTriggers)</f>
        <v>3.0276621967484621E-3</v>
      </c>
      <c r="BH246" s="47">
        <f>_xll.qlPolynomialFunctionValue(BH$1,$BD246,AllTriggers)</f>
        <v>3.0250564786648421E-3</v>
      </c>
      <c r="BI246" s="47">
        <f>_xll.qlPolynomialFunctionValue(BI$1,$BD246,AllTriggers)</f>
        <v>3.0817395799922001E-3</v>
      </c>
      <c r="BJ246" s="47">
        <f>_xll.qlPolynomialFunctionValue(BJ$1,$BD246,AllTriggers)</f>
        <v>3.0395450800180107E-3</v>
      </c>
      <c r="BK246" s="47">
        <f>_xll.qlPolynomialFunctionValue(BK$1,$BD246,AllTriggers)</f>
        <v>3.0267769253576947E-3</v>
      </c>
      <c r="BL246" s="47">
        <f>_xll.qlPolynomialFunctionValue(BL$1,$BD246,AllTriggers)</f>
        <v>3.0241412749805788E-3</v>
      </c>
      <c r="BM246" s="47">
        <f>_xll.qlPolynomialFunctionValue(BM$1,$BD246,AllTriggers)</f>
        <v>3.0340272128157675E-3</v>
      </c>
      <c r="BN246" s="47">
        <f>_xll.qlPolynomialFunctionValue(BN$1,$BD246,AllTriggers)</f>
        <v>3.0475129090352642E-3</v>
      </c>
      <c r="BO246" s="47">
        <f>_xll.qlPolynomialFunctionValue(BO$1,$BD246,AllTriggers)</f>
        <v>3.0336870621558544E-3</v>
      </c>
      <c r="BP246" s="47">
        <f>_xll.qlPolynomialFunctionValue(BP$1,$BD246,AllTriggers)</f>
        <v>3.0404089207655394E-3</v>
      </c>
      <c r="BQ246" s="47">
        <f>_xll.qlPolynomialFunctionValue('12MSynthDepo_used'!$P$18,BD246,AllTriggers)</f>
        <v>3.0477325974942937E-3</v>
      </c>
    </row>
    <row r="247" spans="55:69" x14ac:dyDescent="0.2">
      <c r="BC247" s="178">
        <f>_xll.qlCalendarAdvance(Calendar,BC246,"1d","mf",,Trigger)</f>
        <v>42481</v>
      </c>
      <c r="BD247" s="41">
        <f>_xll.qlDayCounterYearFraction(DayCounter,SettlementDate,BC247,,,Trigger)</f>
        <v>0.95277777777777772</v>
      </c>
      <c r="BE247" s="47">
        <f>_xll.qlPolynomialFunctionValue(BE$1,$BD247,AllTriggers)</f>
        <v>3.0787879442968841E-3</v>
      </c>
      <c r="BF247" s="47">
        <f>_xll.qlPolynomialFunctionValue(BF$1,$BD247,AllTriggers)</f>
        <v>3.0401628752866959E-3</v>
      </c>
      <c r="BG247" s="47">
        <f>_xll.qlPolynomialFunctionValue(BG$1,$BD247,AllTriggers)</f>
        <v>3.0281242493919291E-3</v>
      </c>
      <c r="BH247" s="47">
        <f>_xll.qlPolynomialFunctionValue(BH$1,$BD247,AllTriggers)</f>
        <v>3.0256878971334569E-3</v>
      </c>
      <c r="BI247" s="47">
        <f>_xll.qlPolynomialFunctionValue(BI$1,$BD247,AllTriggers)</f>
        <v>3.0826291367401582E-3</v>
      </c>
      <c r="BJ247" s="47">
        <f>_xll.qlPolynomialFunctionValue(BJ$1,$BD247,AllTriggers)</f>
        <v>3.0391337102819512E-3</v>
      </c>
      <c r="BK247" s="47">
        <f>_xll.qlPolynomialFunctionValue(BK$1,$BD247,AllTriggers)</f>
        <v>3.0272337052975069E-3</v>
      </c>
      <c r="BL247" s="47">
        <f>_xll.qlPolynomialFunctionValue(BL$1,$BD247,AllTriggers)</f>
        <v>3.0247772616328315E-3</v>
      </c>
      <c r="BM247" s="47">
        <f>_xll.qlPolynomialFunctionValue(BM$1,$BD247,AllTriggers)</f>
        <v>3.0345621955065009E-3</v>
      </c>
      <c r="BN247" s="47">
        <f>_xll.qlPolynomialFunctionValue(BN$1,$BD247,AllTriggers)</f>
        <v>3.0479943219202154E-3</v>
      </c>
      <c r="BO247" s="47">
        <f>_xll.qlPolynomialFunctionValue(BO$1,$BD247,AllTriggers)</f>
        <v>3.034178968992204E-3</v>
      </c>
      <c r="BP247" s="47">
        <f>_xll.qlPolynomialFunctionValue(BP$1,$BD247,AllTriggers)</f>
        <v>3.0408889088762831E-3</v>
      </c>
      <c r="BQ247" s="47">
        <f>_xll.qlPolynomialFunctionValue('12MSynthDepo_used'!$P$18,BD247,AllTriggers)</f>
        <v>3.0480408792858916E-3</v>
      </c>
    </row>
    <row r="248" spans="55:69" x14ac:dyDescent="0.2">
      <c r="BC248" s="178">
        <f>_xll.qlCalendarAdvance(Calendar,BC247,"1d","mf",,Trigger)</f>
        <v>42482</v>
      </c>
      <c r="BD248" s="41">
        <f>_xll.qlDayCounterYearFraction(DayCounter,SettlementDate,BC248,,,Trigger)</f>
        <v>0.9555555555555556</v>
      </c>
      <c r="BE248" s="47">
        <f>_xll.qlPolynomialFunctionValue(BE$1,$BD248,AllTriggers)</f>
        <v>3.0796489236718863E-3</v>
      </c>
      <c r="BF248" s="47">
        <f>_xll.qlPolynomialFunctionValue(BF$1,$BD248,AllTriggers)</f>
        <v>3.0397793767057138E-3</v>
      </c>
      <c r="BG248" s="47">
        <f>_xll.qlPolynomialFunctionValue(BG$1,$BD248,AllTriggers)</f>
        <v>3.0285863020353965E-3</v>
      </c>
      <c r="BH248" s="47">
        <f>_xll.qlPolynomialFunctionValue(BH$1,$BD248,AllTriggers)</f>
        <v>3.026321070688343E-3</v>
      </c>
      <c r="BI248" s="47">
        <f>_xll.qlPolynomialFunctionValue(BI$1,$BD248,AllTriggers)</f>
        <v>3.0835186934881163E-3</v>
      </c>
      <c r="BJ248" s="47">
        <f>_xll.qlPolynomialFunctionValue(BJ$1,$BD248,AllTriggers)</f>
        <v>3.038713366975484E-3</v>
      </c>
      <c r="BK248" s="47">
        <f>_xll.qlPolynomialFunctionValue(BK$1,$BD248,AllTriggers)</f>
        <v>3.0276904852373195E-3</v>
      </c>
      <c r="BL248" s="47">
        <f>_xll.qlPolynomialFunctionValue(BL$1,$BD248,AllTriggers)</f>
        <v>3.0254151006431471E-3</v>
      </c>
      <c r="BM248" s="47">
        <f>_xll.qlPolynomialFunctionValue(BM$1,$BD248,AllTriggers)</f>
        <v>3.0350971781972348E-3</v>
      </c>
      <c r="BN248" s="47">
        <f>_xll.qlPolynomialFunctionValue(BN$1,$BD248,AllTriggers)</f>
        <v>3.0484742452508177E-3</v>
      </c>
      <c r="BO248" s="47">
        <f>_xll.qlPolynomialFunctionValue(BO$1,$BD248,AllTriggers)</f>
        <v>3.0346708758285535E-3</v>
      </c>
      <c r="BP248" s="47">
        <f>_xll.qlPolynomialFunctionValue(BP$1,$BD248,AllTriggers)</f>
        <v>3.0413681670297746E-3</v>
      </c>
      <c r="BQ248" s="47">
        <f>_xll.qlPolynomialFunctionValue('12MSynthDepo_used'!$P$18,BD248,AllTriggers)</f>
        <v>3.0483472893790822E-3</v>
      </c>
    </row>
    <row r="249" spans="55:69" x14ac:dyDescent="0.2">
      <c r="BC249" s="178">
        <f>_xll.qlCalendarAdvance(Calendar,BC248,"1d","mf",,Trigger)</f>
        <v>42485</v>
      </c>
      <c r="BD249" s="41">
        <f>_xll.qlDayCounterYearFraction(DayCounter,SettlementDate,BC249,,,Trigger)</f>
        <v>0.96388888888888891</v>
      </c>
      <c r="BE249" s="47">
        <f>_xll.qlPolynomialFunctionValue(BE$1,$BD249,AllTriggers)</f>
        <v>3.0822318617968929E-3</v>
      </c>
      <c r="BF249" s="47">
        <f>_xll.qlPolynomialFunctionValue(BF$1,$BD249,AllTriggers)</f>
        <v>3.0385768470412621E-3</v>
      </c>
      <c r="BG249" s="47">
        <f>_xll.qlPolynomialFunctionValue(BG$1,$BD249,AllTriggers)</f>
        <v>3.0299724599657978E-3</v>
      </c>
      <c r="BH249" s="47">
        <f>_xll.qlPolynomialFunctionValue(BH$1,$BD249,AllTriggers)</f>
        <v>3.0282311218706262E-3</v>
      </c>
      <c r="BI249" s="47">
        <f>_xll.qlPolynomialFunctionValue(BI$1,$BD249,AllTriggers)</f>
        <v>3.0861873637319901E-3</v>
      </c>
      <c r="BJ249" s="47">
        <f>_xll.qlPolynomialFunctionValue(BJ$1,$BD249,AllTriggers)</f>
        <v>3.0373984956336415E-3</v>
      </c>
      <c r="BK249" s="47">
        <f>_xll.qlPolynomialFunctionValue(BK$1,$BD249,AllTriggers)</f>
        <v>3.0290608250567561E-3</v>
      </c>
      <c r="BL249" s="47">
        <f>_xll.qlPolynomialFunctionValue(BL$1,$BD249,AllTriggers)</f>
        <v>3.0273397318224672E-3</v>
      </c>
      <c r="BM249" s="47">
        <f>_xll.qlPolynomialFunctionValue(BM$1,$BD249,AllTriggers)</f>
        <v>3.0367021262694364E-3</v>
      </c>
      <c r="BN249" s="47">
        <f>_xll.qlPolynomialFunctionValue(BN$1,$BD249,AllTriggers)</f>
        <v>3.0499050779165347E-3</v>
      </c>
      <c r="BO249" s="47">
        <f>_xll.qlPolynomialFunctionValue(BO$1,$BD249,AllTriggers)</f>
        <v>3.0361465963376017E-3</v>
      </c>
      <c r="BP249" s="47">
        <f>_xll.qlPolynomialFunctionValue(BP$1,$BD249,AllTriggers)</f>
        <v>3.0428015617467415E-3</v>
      </c>
      <c r="BQ249" s="47">
        <f>_xll.qlPolynomialFunctionValue('12MSynthDepo_used'!$P$18,BD249,AllTriggers)</f>
        <v>3.0492554366191092E-3</v>
      </c>
    </row>
    <row r="250" spans="55:69" x14ac:dyDescent="0.2">
      <c r="BC250" s="178">
        <f>_xll.qlCalendarAdvance(Calendar,BC249,"1d","mf",,Trigger)</f>
        <v>42486</v>
      </c>
      <c r="BD250" s="41">
        <f>_xll.qlDayCounterYearFraction(DayCounter,SettlementDate,BC250,,,Trigger)</f>
        <v>0.96666666666666667</v>
      </c>
      <c r="BE250" s="47">
        <f>_xll.qlPolynomialFunctionValue(BE$1,$BD250,AllTriggers)</f>
        <v>3.0830928411718951E-3</v>
      </c>
      <c r="BF250" s="47">
        <f>_xll.qlPolynomialFunctionValue(BF$1,$BD250,AllTriggers)</f>
        <v>3.0381586591792771E-3</v>
      </c>
      <c r="BG250" s="47">
        <f>_xll.qlPolynomialFunctionValue(BG$1,$BD250,AllTriggers)</f>
        <v>3.0304345126092652E-3</v>
      </c>
      <c r="BH250" s="47">
        <f>_xll.qlPolynomialFunctionValue(BH$1,$BD250,AllTriggers)</f>
        <v>3.0288713157705957E-3</v>
      </c>
      <c r="BI250" s="47">
        <f>_xll.qlPolynomialFunctionValue(BI$1,$BD250,AllTriggers)</f>
        <v>3.0870769204799481E-3</v>
      </c>
      <c r="BJ250" s="47">
        <f>_xll.qlPolynomialFunctionValue(BJ$1,$BD250,AllTriggers)</f>
        <v>3.0369422580455462E-3</v>
      </c>
      <c r="BK250" s="47">
        <f>_xll.qlPolynomialFunctionValue(BK$1,$BD250,AllTriggers)</f>
        <v>3.0295176049965683E-3</v>
      </c>
      <c r="BL250" s="47">
        <f>_xll.qlPolynomialFunctionValue(BL$1,$BD250,AllTriggers)</f>
        <v>3.027984980265032E-3</v>
      </c>
      <c r="BM250" s="47">
        <f>_xll.qlPolynomialFunctionValue(BM$1,$BD250,AllTriggers)</f>
        <v>3.0372371089601702E-3</v>
      </c>
      <c r="BN250" s="47">
        <f>_xll.qlPolynomialFunctionValue(BN$1,$BD250,AllTriggers)</f>
        <v>3.0503790430297432E-3</v>
      </c>
      <c r="BO250" s="47">
        <f>_xll.qlPolynomialFunctionValue(BO$1,$BD250,AllTriggers)</f>
        <v>3.0366385031739512E-3</v>
      </c>
      <c r="BP250" s="47">
        <f>_xll.qlPolynomialFunctionValue(BP$1,$BD250,AllTriggers)</f>
        <v>3.0432779000712277E-3</v>
      </c>
      <c r="BQ250" s="47">
        <f>_xll.qlPolynomialFunctionValue('12MSynthDepo_used'!$P$18,BD250,AllTriggers)</f>
        <v>3.0495545070695716E-3</v>
      </c>
    </row>
    <row r="251" spans="55:69" x14ac:dyDescent="0.2">
      <c r="BC251" s="178">
        <f>_xll.qlCalendarAdvance(Calendar,BC250,"1d","mf",,Trigger)</f>
        <v>42487</v>
      </c>
      <c r="BD251" s="41">
        <f>_xll.qlDayCounterYearFraction(DayCounter,SettlementDate,BC251,,,Trigger)</f>
        <v>0.96944444444444444</v>
      </c>
      <c r="BE251" s="47">
        <f>_xll.qlPolynomialFunctionValue(BE$1,$BD251,AllTriggers)</f>
        <v>3.0839538205468977E-3</v>
      </c>
      <c r="BF251" s="47">
        <f>_xll.qlPolynomialFunctionValue(BF$1,$BD251,AllTriggers)</f>
        <v>3.0377317989970414E-3</v>
      </c>
      <c r="BG251" s="47">
        <f>_xll.qlPolynomialFunctionValue(BG$1,$BD251,AllTriggers)</f>
        <v>3.0308965652527321E-3</v>
      </c>
      <c r="BH251" s="47">
        <f>_xll.qlPolynomialFunctionValue(BH$1,$BD251,AllTriggers)</f>
        <v>3.0295132647568364E-3</v>
      </c>
      <c r="BI251" s="47">
        <f>_xll.qlPolynomialFunctionValue(BI$1,$BD251,AllTriggers)</f>
        <v>3.0879664772279058E-3</v>
      </c>
      <c r="BJ251" s="47">
        <f>_xll.qlPolynomialFunctionValue(BJ$1,$BD251,AllTriggers)</f>
        <v>3.0364770468870438E-3</v>
      </c>
      <c r="BK251" s="47">
        <f>_xll.qlPolynomialFunctionValue(BK$1,$BD251,AllTriggers)</f>
        <v>3.0299743849363805E-3</v>
      </c>
      <c r="BL251" s="47">
        <f>_xll.qlPolynomialFunctionValue(BL$1,$BD251,AllTriggers)</f>
        <v>3.0286320810656592E-3</v>
      </c>
      <c r="BM251" s="47">
        <f>_xll.qlPolynomialFunctionValue(BM$1,$BD251,AllTriggers)</f>
        <v>3.0377720916509041E-3</v>
      </c>
      <c r="BN251" s="47">
        <f>_xll.qlPolynomialFunctionValue(BN$1,$BD251,AllTriggers)</f>
        <v>3.0508515185886033E-3</v>
      </c>
      <c r="BO251" s="47">
        <f>_xll.qlPolynomialFunctionValue(BO$1,$BD251,AllTriggers)</f>
        <v>3.0371304100103003E-3</v>
      </c>
      <c r="BP251" s="47">
        <f>_xll.qlPolynomialFunctionValue(BP$1,$BD251,AllTriggers)</f>
        <v>3.0437535084384621E-3</v>
      </c>
      <c r="BQ251" s="47">
        <f>_xll.qlPolynomialFunctionValue('12MSynthDepo_used'!$P$18,BD251,AllTriggers)</f>
        <v>3.0498517793970774E-3</v>
      </c>
    </row>
    <row r="252" spans="55:69" x14ac:dyDescent="0.2">
      <c r="BC252" s="178">
        <f>_xll.qlCalendarAdvance(Calendar,BC251,"1d","mf",,Trigger)</f>
        <v>42488</v>
      </c>
      <c r="BD252" s="41">
        <f>_xll.qlDayCounterYearFraction(DayCounter,SettlementDate,BC252,,,Trigger)</f>
        <v>0.97222222222222221</v>
      </c>
      <c r="BE252" s="47">
        <f>_xll.qlPolynomialFunctionValue(BE$1,$BD252,AllTriggers)</f>
        <v>3.0848147999218999E-3</v>
      </c>
      <c r="BF252" s="47">
        <f>_xll.qlPolynomialFunctionValue(BF$1,$BD252,AllTriggers)</f>
        <v>3.0372962664945544E-3</v>
      </c>
      <c r="BG252" s="47">
        <f>_xll.qlPolynomialFunctionValue(BG$1,$BD252,AllTriggers)</f>
        <v>3.0313586178961995E-3</v>
      </c>
      <c r="BH252" s="47">
        <f>_xll.qlPolynomialFunctionValue(BH$1,$BD252,AllTriggers)</f>
        <v>3.0301569688293479E-3</v>
      </c>
      <c r="BI252" s="47">
        <f>_xll.qlPolynomialFunctionValue(BI$1,$BD252,AllTriggers)</f>
        <v>3.0888560339758639E-3</v>
      </c>
      <c r="BJ252" s="47">
        <f>_xll.qlPolynomialFunctionValue(BJ$1,$BD252,AllTriggers)</f>
        <v>3.0360028621581347E-3</v>
      </c>
      <c r="BK252" s="47">
        <f>_xll.qlPolynomialFunctionValue(BK$1,$BD252,AllTriggers)</f>
        <v>3.0304311648761927E-3</v>
      </c>
      <c r="BL252" s="47">
        <f>_xll.qlPolynomialFunctionValue(BL$1,$BD252,AllTriggers)</f>
        <v>3.029281034224349E-3</v>
      </c>
      <c r="BM252" s="47">
        <f>_xll.qlPolynomialFunctionValue(BM$1,$BD252,AllTriggers)</f>
        <v>3.038307074341638E-3</v>
      </c>
      <c r="BN252" s="47">
        <f>_xll.qlPolynomialFunctionValue(BN$1,$BD252,AllTriggers)</f>
        <v>3.0513225045931147E-3</v>
      </c>
      <c r="BO252" s="47">
        <f>_xll.qlPolynomialFunctionValue(BO$1,$BD252,AllTriggers)</f>
        <v>3.0376223168466499E-3</v>
      </c>
      <c r="BP252" s="47">
        <f>_xll.qlPolynomialFunctionValue(BP$1,$BD252,AllTriggers)</f>
        <v>3.0442283868484447E-3</v>
      </c>
      <c r="BQ252" s="47">
        <f>_xll.qlPolynomialFunctionValue('12MSynthDepo_used'!$P$18,BD252,AllTriggers)</f>
        <v>3.0501472683167165E-3</v>
      </c>
    </row>
    <row r="253" spans="55:69" x14ac:dyDescent="0.2">
      <c r="BC253" s="178">
        <f>_xll.qlCalendarAdvance(Calendar,BC252,"1d","mf",,Trigger)</f>
        <v>42489</v>
      </c>
      <c r="BD253" s="41">
        <f>_xll.qlDayCounterYearFraction(DayCounter,SettlementDate,BC253,,,Trigger)</f>
        <v>0.97499999999999998</v>
      </c>
      <c r="BE253" s="47">
        <f>_xll.qlPolynomialFunctionValue(BE$1,$BD253,AllTriggers)</f>
        <v>3.0856757792969021E-3</v>
      </c>
      <c r="BF253" s="47">
        <f>_xll.qlPolynomialFunctionValue(BF$1,$BD253,AllTriggers)</f>
        <v>3.036852061671817E-3</v>
      </c>
      <c r="BG253" s="47">
        <f>_xll.qlPolynomialFunctionValue(BG$1,$BD253,AllTriggers)</f>
        <v>3.0318206705396665E-3</v>
      </c>
      <c r="BH253" s="47">
        <f>_xll.qlPolynomialFunctionValue(BH$1,$BD253,AllTriggers)</f>
        <v>3.0308024279881306E-3</v>
      </c>
      <c r="BI253" s="47">
        <f>_xll.qlPolynomialFunctionValue(BI$1,$BD253,AllTriggers)</f>
        <v>3.0897455907238219E-3</v>
      </c>
      <c r="BJ253" s="47">
        <f>_xll.qlPolynomialFunctionValue(BJ$1,$BD253,AllTriggers)</f>
        <v>3.0355197038588184E-3</v>
      </c>
      <c r="BK253" s="47">
        <f>_xll.qlPolynomialFunctionValue(BK$1,$BD253,AllTriggers)</f>
        <v>3.0308879448160053E-3</v>
      </c>
      <c r="BL253" s="47">
        <f>_xll.qlPolynomialFunctionValue(BL$1,$BD253,AllTriggers)</f>
        <v>3.0299318397411018E-3</v>
      </c>
      <c r="BM253" s="47">
        <f>_xll.qlPolynomialFunctionValue(BM$1,$BD253,AllTriggers)</f>
        <v>3.0388420570323714E-3</v>
      </c>
      <c r="BN253" s="47">
        <f>_xll.qlPolynomialFunctionValue(BN$1,$BD253,AllTriggers)</f>
        <v>3.0517920010432772E-3</v>
      </c>
      <c r="BO253" s="47">
        <f>_xll.qlPolynomialFunctionValue(BO$1,$BD253,AllTriggers)</f>
        <v>3.0381142236829994E-3</v>
      </c>
      <c r="BP253" s="47">
        <f>_xll.qlPolynomialFunctionValue(BP$1,$BD253,AllTriggers)</f>
        <v>3.0447025353011765E-3</v>
      </c>
      <c r="BQ253" s="47">
        <f>_xll.qlPolynomialFunctionValue('12MSynthDepo_used'!$P$18,BD253,AllTriggers)</f>
        <v>3.0504409885435809E-3</v>
      </c>
    </row>
    <row r="254" spans="55:69" x14ac:dyDescent="0.2">
      <c r="BC254" s="178">
        <f>_xll.qlCalendarAdvance(Calendar,BC253,"1d","mf",,Trigger)</f>
        <v>42492</v>
      </c>
      <c r="BD254" s="41">
        <f>_xll.qlDayCounterYearFraction(DayCounter,SettlementDate,BC254,,,Trigger)</f>
        <v>0.98333333333333328</v>
      </c>
      <c r="BE254" s="47">
        <f>_xll.qlPolynomialFunctionValue(BE$1,$BD254,AllTriggers)</f>
        <v>3.0882587174219087E-3</v>
      </c>
      <c r="BF254" s="47">
        <f>_xll.qlPolynomialFunctionValue(BF$1,$BD254,AllTriggers)</f>
        <v>3.0354674132820995E-3</v>
      </c>
      <c r="BG254" s="47">
        <f>_xll.qlPolynomialFunctionValue(BG$1,$BD254,AllTriggers)</f>
        <v>3.0332068284700683E-3</v>
      </c>
      <c r="BH254" s="47">
        <f>_xll.qlPolynomialFunctionValue(BH$1,$BD254,AllTriggers)</f>
        <v>3.0327493359821045E-3</v>
      </c>
      <c r="BI254" s="47">
        <f>_xll.qlPolynomialFunctionValue(BI$1,$BD254,AllTriggers)</f>
        <v>3.0924142609676957E-3</v>
      </c>
      <c r="BJ254" s="47">
        <f>_xll.qlPolynomialFunctionValue(BJ$1,$BD254,AllTriggers)</f>
        <v>3.0340163875384263E-3</v>
      </c>
      <c r="BK254" s="47">
        <f>_xll.qlPolynomialFunctionValue(BK$1,$BD254,AllTriggers)</f>
        <v>3.0322582846354419E-3</v>
      </c>
      <c r="BL254" s="47">
        <f>_xll.qlPolynomialFunctionValue(BL$1,$BD254,AllTriggers)</f>
        <v>3.0318953704397329E-3</v>
      </c>
      <c r="BM254" s="47">
        <f>_xll.qlPolynomialFunctionValue(BM$1,$BD254,AllTriggers)</f>
        <v>3.040447005104573E-3</v>
      </c>
      <c r="BN254" s="47">
        <f>_xll.qlPolynomialFunctionValue(BN$1,$BD254,AllTriggers)</f>
        <v>3.0531915530676748E-3</v>
      </c>
      <c r="BO254" s="47">
        <f>_xll.qlPolynomialFunctionValue(BO$1,$BD254,AllTriggers)</f>
        <v>3.0395899441920476E-3</v>
      </c>
      <c r="BP254" s="47">
        <f>_xll.qlPolynomialFunctionValue(BP$1,$BD254,AllTriggers)</f>
        <v>3.0461206009158625E-3</v>
      </c>
      <c r="BQ254" s="47">
        <f>_xll.qlPolynomialFunctionValue('12MSynthDepo_used'!$P$18,BD254,AllTriggers)</f>
        <v>3.0513116842184208E-3</v>
      </c>
    </row>
    <row r="255" spans="55:69" x14ac:dyDescent="0.2">
      <c r="BC255" s="178">
        <f>_xll.qlCalendarAdvance(Calendar,BC254,"1d","mf",,Trigger)</f>
        <v>42493</v>
      </c>
      <c r="BD255" s="41">
        <f>_xll.qlDayCounterYearFraction(DayCounter,SettlementDate,BC255,,,Trigger)</f>
        <v>0.98611111111111116</v>
      </c>
      <c r="BE255" s="47">
        <f>_xll.qlPolynomialFunctionValue(BE$1,$BD255,AllTriggers)</f>
        <v>3.0891196967969114E-3</v>
      </c>
      <c r="BF255" s="47">
        <f>_xll.qlPolynomialFunctionValue(BF$1,$BD255,AllTriggers)</f>
        <v>3.0349885191783589E-3</v>
      </c>
      <c r="BG255" s="47">
        <f>_xll.qlPolynomialFunctionValue(BG$1,$BD255,AllTriggers)</f>
        <v>3.0336688811135352E-3</v>
      </c>
      <c r="BH255" s="47">
        <f>_xll.qlPolynomialFunctionValue(BH$1,$BD255,AllTriggers)</f>
        <v>3.0334018154859707E-3</v>
      </c>
      <c r="BI255" s="47">
        <f>_xll.qlPolynomialFunctionValue(BI$1,$BD255,AllTriggers)</f>
        <v>3.0933038177156538E-3</v>
      </c>
      <c r="BJ255" s="47">
        <f>_xll.qlPolynomialFunctionValue(BJ$1,$BD255,AllTriggers)</f>
        <v>3.0334973349574819E-3</v>
      </c>
      <c r="BK255" s="47">
        <f>_xll.qlPolynomialFunctionValue(BK$1,$BD255,AllTriggers)</f>
        <v>3.0327150645752541E-3</v>
      </c>
      <c r="BL255" s="47">
        <f>_xll.qlPolynomialFunctionValue(BL$1,$BD255,AllTriggers)</f>
        <v>3.0325535853887348E-3</v>
      </c>
      <c r="BM255" s="47">
        <f>_xll.qlPolynomialFunctionValue(BM$1,$BD255,AllTriggers)</f>
        <v>3.0409819877953068E-3</v>
      </c>
      <c r="BN255" s="47">
        <f>_xll.qlPolynomialFunctionValue(BN$1,$BD255,AllTriggers)</f>
        <v>3.0536550913004439E-3</v>
      </c>
      <c r="BO255" s="47">
        <f>_xll.qlPolynomialFunctionValue(BO$1,$BD255,AllTriggers)</f>
        <v>3.0400818510283971E-3</v>
      </c>
      <c r="BP255" s="47">
        <f>_xll.qlPolynomialFunctionValue(BP$1,$BD255,AllTriggers)</f>
        <v>3.046591829539588E-3</v>
      </c>
      <c r="BQ255" s="47">
        <f>_xll.qlPolynomialFunctionValue('12MSynthDepo_used'!$P$18,BD255,AllTriggers)</f>
        <v>3.0515984768250842E-3</v>
      </c>
    </row>
    <row r="256" spans="55:69" x14ac:dyDescent="0.2">
      <c r="BC256" s="178">
        <f>_xll.qlCalendarAdvance(Calendar,BC255,"1d","mf",,Trigger)</f>
        <v>42494</v>
      </c>
      <c r="BD256" s="41">
        <f>_xll.qlDayCounterYearFraction(DayCounter,SettlementDate,BC256,,,Trigger)</f>
        <v>0.98888888888888893</v>
      </c>
      <c r="BE256" s="47">
        <f>_xll.qlPolynomialFunctionValue(BE$1,$BD256,AllTriggers)</f>
        <v>3.0899806761719136E-3</v>
      </c>
      <c r="BF256" s="47">
        <f>_xll.qlPolynomialFunctionValue(BF$1,$BD256,AllTriggers)</f>
        <v>3.0345009527543679E-3</v>
      </c>
      <c r="BG256" s="47">
        <f>_xll.qlPolynomialFunctionValue(BG$1,$BD256,AllTriggers)</f>
        <v>3.0341309337570026E-3</v>
      </c>
      <c r="BH256" s="47">
        <f>_xll.qlPolynomialFunctionValue(BH$1,$BD256,AllTriggers)</f>
        <v>3.034056050076108E-3</v>
      </c>
      <c r="BI256" s="47">
        <f>_xll.qlPolynomialFunctionValue(BI$1,$BD256,AllTriggers)</f>
        <v>3.0941933744636119E-3</v>
      </c>
      <c r="BJ256" s="47">
        <f>_xll.qlPolynomialFunctionValue(BJ$1,$BD256,AllTriggers)</f>
        <v>3.0329693088061299E-3</v>
      </c>
      <c r="BK256" s="47">
        <f>_xll.qlPolynomialFunctionValue(BK$1,$BD256,AllTriggers)</f>
        <v>3.0331718445150663E-3</v>
      </c>
      <c r="BL256" s="47">
        <f>_xll.qlPolynomialFunctionValue(BL$1,$BD256,AllTriggers)</f>
        <v>3.0332136526957992E-3</v>
      </c>
      <c r="BM256" s="47">
        <f>_xll.qlPolynomialFunctionValue(BM$1,$BD256,AllTriggers)</f>
        <v>3.0415169704860407E-3</v>
      </c>
      <c r="BN256" s="47">
        <f>_xll.qlPolynomialFunctionValue(BN$1,$BD256,AllTriggers)</f>
        <v>3.0541171399788643E-3</v>
      </c>
      <c r="BO256" s="47">
        <f>_xll.qlPolynomialFunctionValue(BO$1,$BD256,AllTriggers)</f>
        <v>3.0405737578647462E-3</v>
      </c>
      <c r="BP256" s="47">
        <f>_xll.qlPolynomialFunctionValue(BP$1,$BD256,AllTriggers)</f>
        <v>3.0470623282060627E-3</v>
      </c>
      <c r="BQ256" s="47">
        <f>_xll.qlPolynomialFunctionValue('12MSynthDepo_used'!$P$18,BD256,AllTriggers)</f>
        <v>3.0518835743144237E-3</v>
      </c>
    </row>
    <row r="257" spans="55:69" x14ac:dyDescent="0.2">
      <c r="BC257" s="178">
        <f>_xll.qlCalendarAdvance(Calendar,BC256,"1d","mf",,Trigger)</f>
        <v>42495</v>
      </c>
      <c r="BD257" s="41">
        <f>_xll.qlDayCounterYearFraction(DayCounter,SettlementDate,BC257,,,Trigger)</f>
        <v>0.9916666666666667</v>
      </c>
      <c r="BE257" s="47">
        <f>_xll.qlPolynomialFunctionValue(BE$1,$BD257,AllTriggers)</f>
        <v>3.0908416555469158E-3</v>
      </c>
      <c r="BF257" s="47">
        <f>_xll.qlPolynomialFunctionValue(BF$1,$BD257,AllTriggers)</f>
        <v>3.0340047140101261E-3</v>
      </c>
      <c r="BG257" s="47">
        <f>_xll.qlPolynomialFunctionValue(BG$1,$BD257,AllTriggers)</f>
        <v>3.03459298640047E-3</v>
      </c>
      <c r="BH257" s="47">
        <f>_xll.qlPolynomialFunctionValue(BH$1,$BD257,AllTriggers)</f>
        <v>3.0347120397525166E-3</v>
      </c>
      <c r="BI257" s="47">
        <f>_xll.qlPolynomialFunctionValue(BI$1,$BD257,AllTriggers)</f>
        <v>3.09508293121157E-3</v>
      </c>
      <c r="BJ257" s="47">
        <f>_xll.qlPolynomialFunctionValue(BJ$1,$BD257,AllTriggers)</f>
        <v>3.0324323090843708E-3</v>
      </c>
      <c r="BK257" s="47">
        <f>_xll.qlPolynomialFunctionValue(BK$1,$BD257,AllTriggers)</f>
        <v>3.0336286244548789E-3</v>
      </c>
      <c r="BL257" s="47">
        <f>_xll.qlPolynomialFunctionValue(BL$1,$BD257,AllTriggers)</f>
        <v>3.0338755723609266E-3</v>
      </c>
      <c r="BM257" s="47">
        <f>_xll.qlPolynomialFunctionValue(BM$1,$BD257,AllTriggers)</f>
        <v>3.0420519531767745E-3</v>
      </c>
      <c r="BN257" s="47">
        <f>_xll.qlPolynomialFunctionValue(BN$1,$BD257,AllTriggers)</f>
        <v>3.0545776991029359E-3</v>
      </c>
      <c r="BO257" s="47">
        <f>_xll.qlPolynomialFunctionValue(BO$1,$BD257,AllTriggers)</f>
        <v>3.0410656647010957E-3</v>
      </c>
      <c r="BP257" s="47">
        <f>_xll.qlPolynomialFunctionValue(BP$1,$BD257,AllTriggers)</f>
        <v>3.0475320969152852E-3</v>
      </c>
      <c r="BQ257" s="47">
        <f>_xll.qlPolynomialFunctionValue('12MSynthDepo_used'!$P$18,BD257,AllTriggers)</f>
        <v>3.0521669914015288E-3</v>
      </c>
    </row>
    <row r="258" spans="55:69" x14ac:dyDescent="0.2">
      <c r="BC258" s="178">
        <f>_xll.qlCalendarAdvance(Calendar,BC257,"1d","mf",,Trigger)</f>
        <v>42496</v>
      </c>
      <c r="BD258" s="41">
        <f>_xll.qlDayCounterYearFraction(DayCounter,SettlementDate,BC258,,,Trigger)</f>
        <v>0.99444444444444446</v>
      </c>
      <c r="BE258" s="47">
        <f>_xll.qlPolynomialFunctionValue(BE$1,$BD258,AllTriggers)</f>
        <v>3.091702634921918E-3</v>
      </c>
      <c r="BF258" s="47">
        <f>_xll.qlPolynomialFunctionValue(BF$1,$BD258,AllTriggers)</f>
        <v>3.033499802945633E-3</v>
      </c>
      <c r="BG258" s="47">
        <f>_xll.qlPolynomialFunctionValue(BG$1,$BD258,AllTriggers)</f>
        <v>3.035055039043937E-3</v>
      </c>
      <c r="BH258" s="47">
        <f>_xll.qlPolynomialFunctionValue(BH$1,$BD258,AllTriggers)</f>
        <v>3.0353697845151959E-3</v>
      </c>
      <c r="BI258" s="47">
        <f>_xll.qlPolynomialFunctionValue(BI$1,$BD258,AllTriggers)</f>
        <v>3.0959724879595276E-3</v>
      </c>
      <c r="BJ258" s="47">
        <f>_xll.qlPolynomialFunctionValue(BJ$1,$BD258,AllTriggers)</f>
        <v>3.0318863357922049E-3</v>
      </c>
      <c r="BK258" s="47">
        <f>_xll.qlPolynomialFunctionValue(BK$1,$BD258,AllTriggers)</f>
        <v>3.0340854043946911E-3</v>
      </c>
      <c r="BL258" s="47">
        <f>_xll.qlPolynomialFunctionValue(BL$1,$BD258,AllTriggers)</f>
        <v>3.034539344384116E-3</v>
      </c>
      <c r="BM258" s="47">
        <f>_xll.qlPolynomialFunctionValue(BM$1,$BD258,AllTriggers)</f>
        <v>3.042586935867508E-3</v>
      </c>
      <c r="BN258" s="47">
        <f>_xll.qlPolynomialFunctionValue(BN$1,$BD258,AllTriggers)</f>
        <v>3.0550367686726586E-3</v>
      </c>
      <c r="BO258" s="47">
        <f>_xll.qlPolynomialFunctionValue(BO$1,$BD258,AllTriggers)</f>
        <v>3.0415575715374453E-3</v>
      </c>
      <c r="BP258" s="47">
        <f>_xll.qlPolynomialFunctionValue(BP$1,$BD258,AllTriggers)</f>
        <v>3.0480011356672563E-3</v>
      </c>
      <c r="BQ258" s="47">
        <f>_xll.qlPolynomialFunctionValue('12MSynthDepo_used'!$P$18,BD258,AllTriggers)</f>
        <v>3.0524487428014902E-3</v>
      </c>
    </row>
    <row r="259" spans="55:69" x14ac:dyDescent="0.2">
      <c r="BC259" s="178">
        <f>_xll.qlCalendarAdvance(Calendar,BC258,"1d","mf",,Trigger)</f>
        <v>42499</v>
      </c>
      <c r="BD259" s="41">
        <f>_xll.qlDayCounterYearFraction(DayCounter,SettlementDate,BC259,,,Trigger)</f>
        <v>1.0027777777777778</v>
      </c>
      <c r="BE259" s="47">
        <f>_xll.qlPolynomialFunctionValue(BE$1,$BD259,AllTriggers)</f>
        <v>3.0942855730469246E-3</v>
      </c>
      <c r="BF259" s="47">
        <f>_xll.qlPolynomialFunctionValue(BF$1,$BD259,AllTriggers)</f>
        <v>3.0319330358306498E-3</v>
      </c>
      <c r="BG259" s="47">
        <f>_xll.qlPolynomialFunctionValue(BG$1,$BD259,AllTriggers)</f>
        <v>3.0364411969743387E-3</v>
      </c>
      <c r="BH259" s="47">
        <f>_xll.qlPolynomialFunctionValue(BH$1,$BD259,AllTriggers)</f>
        <v>3.0373535493208592E-3</v>
      </c>
      <c r="BI259" s="47">
        <f>_xll.qlPolynomialFunctionValue(BI$1,$BD259,AllTriggers)</f>
        <v>3.0986411582034018E-3</v>
      </c>
      <c r="BJ259" s="47">
        <f>_xll.qlPolynomialFunctionValue(BJ$1,$BD259,AllTriggers)</f>
        <v>3.0301945744932637E-3</v>
      </c>
      <c r="BK259" s="47">
        <f>_xll.qlPolynomialFunctionValue(BK$1,$BD259,AllTriggers)</f>
        <v>3.0354557442141277E-3</v>
      </c>
      <c r="BL259" s="47">
        <f>_xll.qlPolynomialFunctionValue(BL$1,$BD259,AllTriggers)</f>
        <v>3.0365417746020585E-3</v>
      </c>
      <c r="BM259" s="47">
        <f>_xll.qlPolynomialFunctionValue(BM$1,$BD259,AllTriggers)</f>
        <v>3.0441918839397095E-3</v>
      </c>
      <c r="BN259" s="47">
        <f>_xll.qlPolynomialFunctionValue(BN$1,$BD259,AllTriggers)</f>
        <v>3.0564050400557373E-3</v>
      </c>
      <c r="BO259" s="47">
        <f>_xll.qlPolynomialFunctionValue(BO$1,$BD259,AllTriggers)</f>
        <v>3.0430332920464934E-3</v>
      </c>
      <c r="BP259" s="47">
        <f>_xll.qlPolynomialFunctionValue(BP$1,$BD259,AllTriggers)</f>
        <v>3.0494038721796623E-3</v>
      </c>
      <c r="BQ259" s="47">
        <f>_xll.qlPolynomialFunctionValue('12MSynthDepo_used'!$P$18,BD259,AllTriggers)</f>
        <v>3.0532841500294141E-3</v>
      </c>
    </row>
    <row r="260" spans="55:69" x14ac:dyDescent="0.2">
      <c r="BC260" s="178">
        <f>_xll.qlCalendarAdvance(Calendar,BC259,"1d","mf",,Trigger)</f>
        <v>42500</v>
      </c>
      <c r="BD260" s="41">
        <f>_xll.qlDayCounterYearFraction(DayCounter,SettlementDate,BC260,,,Trigger)</f>
        <v>1.0055555555555555</v>
      </c>
      <c r="BE260" s="47">
        <f>_xll.qlPolynomialFunctionValue(BE$1,$BD260,AllTriggers)</f>
        <v>3.0951465524219268E-3</v>
      </c>
      <c r="BF260" s="47">
        <f>_xll.qlPolynomialFunctionValue(BF$1,$BD260,AllTriggers)</f>
        <v>3.0313934354851539E-3</v>
      </c>
      <c r="BG260" s="47">
        <f>_xll.qlPolynomialFunctionValue(BG$1,$BD260,AllTriggers)</f>
        <v>3.0369032496178057E-3</v>
      </c>
      <c r="BH260" s="47">
        <f>_xll.qlPolynomialFunctionValue(BH$1,$BD260,AllTriggers)</f>
        <v>3.0380183144286224E-3</v>
      </c>
      <c r="BI260" s="47">
        <f>_xll.qlPolynomialFunctionValue(BI$1,$BD260,AllTriggers)</f>
        <v>3.0995307149513599E-3</v>
      </c>
      <c r="BJ260" s="47">
        <f>_xll.qlPolynomialFunctionValue(BJ$1,$BD260,AllTriggers)</f>
        <v>3.0296127069194697E-3</v>
      </c>
      <c r="BK260" s="47">
        <f>_xll.qlPolynomialFunctionValue(BK$1,$BD260,AllTriggers)</f>
        <v>3.0359125241539399E-3</v>
      </c>
      <c r="BL260" s="47">
        <f>_xll.qlPolynomialFunctionValue(BL$1,$BD260,AllTriggers)</f>
        <v>3.0372129560574976E-3</v>
      </c>
      <c r="BM260" s="47">
        <f>_xll.qlPolynomialFunctionValue(BM$1,$BD260,AllTriggers)</f>
        <v>3.0447268666304434E-3</v>
      </c>
      <c r="BN260" s="47">
        <f>_xll.qlPolynomialFunctionValue(BN$1,$BD260,AllTriggers)</f>
        <v>3.0568581514080662E-3</v>
      </c>
      <c r="BO260" s="47">
        <f>_xll.qlPolynomialFunctionValue(BO$1,$BD260,AllTriggers)</f>
        <v>3.0435251988828425E-3</v>
      </c>
      <c r="BP260" s="47">
        <f>_xll.qlPolynomialFunctionValue(BP$1,$BD260,AllTriggers)</f>
        <v>3.0498699911026272E-3</v>
      </c>
      <c r="BQ260" s="47">
        <f>_xll.qlPolynomialFunctionValue('12MSynthDepo_used'!$P$18,BD260,AllTriggers)</f>
        <v>3.0535593858317029E-3</v>
      </c>
    </row>
    <row r="261" spans="55:69" x14ac:dyDescent="0.2">
      <c r="BC261" s="178">
        <f>_xll.qlCalendarAdvance(Calendar,BC260,"1d","mf",,Trigger)</f>
        <v>42501</v>
      </c>
      <c r="BD261" s="41">
        <f>_xll.qlDayCounterYearFraction(DayCounter,SettlementDate,BC261,,,Trigger)</f>
        <v>1.0083333333333333</v>
      </c>
      <c r="BE261" s="47">
        <f>_xll.qlPolynomialFunctionValue(BE$1,$BD261,AllTriggers)</f>
        <v>3.096007531796929E-3</v>
      </c>
      <c r="BF261" s="47">
        <f>_xll.qlPolynomialFunctionValue(BF$1,$BD261,AllTriggers)</f>
        <v>3.0308451628194072E-3</v>
      </c>
      <c r="BG261" s="47">
        <f>_xll.qlPolynomialFunctionValue(BG$1,$BD261,AllTriggers)</f>
        <v>3.0373653022612726E-3</v>
      </c>
      <c r="BH261" s="47">
        <f>_xll.qlPolynomialFunctionValue(BH$1,$BD261,AllTriggers)</f>
        <v>3.0386848346226564E-3</v>
      </c>
      <c r="BI261" s="47">
        <f>_xll.qlPolynomialFunctionValue(BI$1,$BD261,AllTriggers)</f>
        <v>3.1004202716993176E-3</v>
      </c>
      <c r="BJ261" s="47">
        <f>_xll.qlPolynomialFunctionValue(BJ$1,$BD261,AllTriggers)</f>
        <v>3.0290218657752681E-3</v>
      </c>
      <c r="BK261" s="47">
        <f>_xll.qlPolynomialFunctionValue(BK$1,$BD261,AllTriggers)</f>
        <v>3.036369304093752E-3</v>
      </c>
      <c r="BL261" s="47">
        <f>_xll.qlPolynomialFunctionValue(BL$1,$BD261,AllTriggers)</f>
        <v>3.0378859898709991E-3</v>
      </c>
      <c r="BM261" s="47">
        <f>_xll.qlPolynomialFunctionValue(BM$1,$BD261,AllTriggers)</f>
        <v>3.0452618493211773E-3</v>
      </c>
      <c r="BN261" s="47">
        <f>_xll.qlPolynomialFunctionValue(BN$1,$BD261,AllTriggers)</f>
        <v>3.0573097732060467E-3</v>
      </c>
      <c r="BO261" s="47">
        <f>_xll.qlPolynomialFunctionValue(BO$1,$BD261,AllTriggers)</f>
        <v>3.0440171057191921E-3</v>
      </c>
      <c r="BP261" s="47">
        <f>_xll.qlPolynomialFunctionValue(BP$1,$BD261,AllTriggers)</f>
        <v>3.0503353800683413E-3</v>
      </c>
      <c r="BQ261" s="47">
        <f>_xll.qlPolynomialFunctionValue('12MSynthDepo_used'!$P$18,BD261,AllTriggers)</f>
        <v>3.0538330295222988E-3</v>
      </c>
    </row>
    <row r="262" spans="55:69" x14ac:dyDescent="0.2">
      <c r="BC262" s="178">
        <f>_xll.qlCalendarAdvance(Calendar,BC261,"1d","mf",,Trigger)</f>
        <v>42502</v>
      </c>
      <c r="BD262" s="41">
        <f>_xll.qlDayCounterYearFraction(DayCounter,SettlementDate,BC262,,,Trigger)</f>
        <v>1.0111111111111111</v>
      </c>
      <c r="BE262" s="47">
        <f>_xll.qlPolynomialFunctionValue(BE$1,$BD262,AllTriggers)</f>
        <v>3.0968685111719316E-3</v>
      </c>
      <c r="BF262" s="47">
        <f>_xll.qlPolynomialFunctionValue(BF$1,$BD262,AllTriggers)</f>
        <v>3.0302882178334096E-3</v>
      </c>
      <c r="BG262" s="47">
        <f>_xll.qlPolynomialFunctionValue(BG$1,$BD262,AllTriggers)</f>
        <v>3.03782735490474E-3</v>
      </c>
      <c r="BH262" s="47">
        <f>_xll.qlPolynomialFunctionValue(BH$1,$BD262,AllTriggers)</f>
        <v>3.0393531099029616E-3</v>
      </c>
      <c r="BI262" s="47">
        <f>_xll.qlPolynomialFunctionValue(BI$1,$BD262,AllTriggers)</f>
        <v>3.1013098284472756E-3</v>
      </c>
      <c r="BJ262" s="47">
        <f>_xll.qlPolynomialFunctionValue(BJ$1,$BD262,AllTriggers)</f>
        <v>3.0284220510606594E-3</v>
      </c>
      <c r="BK262" s="47">
        <f>_xll.qlPolynomialFunctionValue(BK$1,$BD262,AllTriggers)</f>
        <v>3.0368260840335647E-3</v>
      </c>
      <c r="BL262" s="47">
        <f>_xll.qlPolynomialFunctionValue(BL$1,$BD262,AllTriggers)</f>
        <v>3.0385608760425636E-3</v>
      </c>
      <c r="BM262" s="47">
        <f>_xll.qlPolynomialFunctionValue(BM$1,$BD262,AllTriggers)</f>
        <v>3.0457968320119111E-3</v>
      </c>
      <c r="BN262" s="47">
        <f>_xll.qlPolynomialFunctionValue(BN$1,$BD262,AllTriggers)</f>
        <v>3.0577599054496789E-3</v>
      </c>
      <c r="BO262" s="47">
        <f>_xll.qlPolynomialFunctionValue(BO$1,$BD262,AllTriggers)</f>
        <v>3.0445090125555416E-3</v>
      </c>
      <c r="BP262" s="47">
        <f>_xll.qlPolynomialFunctionValue(BP$1,$BD262,AllTriggers)</f>
        <v>3.0508000390768041E-3</v>
      </c>
      <c r="BQ262" s="47">
        <f>_xll.qlPolynomialFunctionValue('12MSynthDepo_used'!$P$18,BD262,AllTriggers)</f>
        <v>3.0541050958162934E-3</v>
      </c>
    </row>
    <row r="263" spans="55:69" x14ac:dyDescent="0.2">
      <c r="BC263" s="178">
        <f>_xll.qlCalendarAdvance(Calendar,BC262,"1d","mf",,Trigger)</f>
        <v>42503</v>
      </c>
      <c r="BD263" s="41">
        <f>_xll.qlDayCounterYearFraction(DayCounter,SettlementDate,BC263,,,Trigger)</f>
        <v>1.0138888888888888</v>
      </c>
      <c r="BE263" s="47">
        <f>_xll.qlPolynomialFunctionValue(BE$1,$BD263,AllTriggers)</f>
        <v>3.0977294905469338E-3</v>
      </c>
      <c r="BF263" s="47">
        <f>_xll.qlPolynomialFunctionValue(BF$1,$BD263,AllTriggers)</f>
        <v>3.0297226005271613E-3</v>
      </c>
      <c r="BG263" s="47">
        <f>_xll.qlPolynomialFunctionValue(BG$1,$BD263,AllTriggers)</f>
        <v>3.0382894075482074E-3</v>
      </c>
      <c r="BH263" s="47">
        <f>_xll.qlPolynomialFunctionValue(BH$1,$BD263,AllTriggers)</f>
        <v>3.0400231402695375E-3</v>
      </c>
      <c r="BI263" s="47">
        <f>_xll.qlPolynomialFunctionValue(BI$1,$BD263,AllTriggers)</f>
        <v>3.1021993851952337E-3</v>
      </c>
      <c r="BJ263" s="47">
        <f>_xll.qlPolynomialFunctionValue(BJ$1,$BD263,AllTriggers)</f>
        <v>3.0278132627756436E-3</v>
      </c>
      <c r="BK263" s="47">
        <f>_xll.qlPolynomialFunctionValue(BK$1,$BD263,AllTriggers)</f>
        <v>3.0372828639733769E-3</v>
      </c>
      <c r="BL263" s="47">
        <f>_xll.qlPolynomialFunctionValue(BL$1,$BD263,AllTriggers)</f>
        <v>3.0392376145721902E-3</v>
      </c>
      <c r="BM263" s="47">
        <f>_xll.qlPolynomialFunctionValue(BM$1,$BD263,AllTriggers)</f>
        <v>3.0463318147026445E-3</v>
      </c>
      <c r="BN263" s="47">
        <f>_xll.qlPolynomialFunctionValue(BN$1,$BD263,AllTriggers)</f>
        <v>3.0582085481389619E-3</v>
      </c>
      <c r="BO263" s="47">
        <f>_xll.qlPolynomialFunctionValue(BO$1,$BD263,AllTriggers)</f>
        <v>3.0450009193918907E-3</v>
      </c>
      <c r="BP263" s="47">
        <f>_xll.qlPolynomialFunctionValue(BP$1,$BD263,AllTriggers)</f>
        <v>3.0512639681280151E-3</v>
      </c>
      <c r="BQ263" s="47">
        <f>_xll.qlPolynomialFunctionValue('12MSynthDepo_used'!$P$18,BD263,AllTriggers)</f>
        <v>3.0543755994287759E-3</v>
      </c>
    </row>
    <row r="264" spans="55:69" x14ac:dyDescent="0.2">
      <c r="BC264" s="182">
        <f>_xll.qlCalendarAdvance(Calendar,BC263,"1d","mf",,Trigger)</f>
        <v>42506</v>
      </c>
      <c r="BD264" s="44">
        <f>_xll.qlDayCounterYearFraction(DayCounter,SettlementDate,BC264,,,Trigger)</f>
        <v>1.0222222222222221</v>
      </c>
      <c r="BE264" s="50">
        <f>_xll.qlPolynomialFunctionValue(BE$1,$BD264,AllTriggers)</f>
        <v>3.1003124286719404E-3</v>
      </c>
      <c r="BF264" s="50">
        <f>_xll.qlPolynomialFunctionValue(BF$1,$BD264,AllTriggers)</f>
        <v>3.0279737146869127E-3</v>
      </c>
      <c r="BG264" s="50">
        <f>_xll.qlPolynomialFunctionValue(BG$1,$BD264,AllTriggers)</f>
        <v>3.0396755654786087E-3</v>
      </c>
      <c r="BH264" s="50">
        <f>_xll.qlPolynomialFunctionValue(BH$1,$BD264,AllTriggers)</f>
        <v>3.0420437618868912E-3</v>
      </c>
      <c r="BI264" s="50">
        <f>_xll.qlPolynomialFunctionValue(BI$1,$BD264,AllTriggers)</f>
        <v>3.1048680554391075E-3</v>
      </c>
      <c r="BJ264" s="50">
        <f>_xll.qlPolynomialFunctionValue(BJ$1,$BD264,AllTriggers)</f>
        <v>3.025933056498154E-3</v>
      </c>
      <c r="BK264" s="50">
        <f>_xll.qlPolynomialFunctionValue(BK$1,$BD264,AllTriggers)</f>
        <v>3.0386532037928135E-3</v>
      </c>
      <c r="BL264" s="50">
        <f>_xll.qlPolynomialFunctionValue(BL$1,$BD264,AllTriggers)</f>
        <v>3.0412789443094437E-3</v>
      </c>
      <c r="BM264" s="50">
        <f>_xll.qlPolynomialFunctionValue(BM$1,$BD264,AllTriggers)</f>
        <v>3.0479367627748461E-3</v>
      </c>
      <c r="BN264" s="50">
        <f>_xll.qlPolynomialFunctionValue(BN$1,$BD264,AllTriggers)</f>
        <v>3.0595455388807212E-3</v>
      </c>
      <c r="BO264" s="50">
        <f>_xll.qlPolynomialFunctionValue(BO$1,$BD264,AllTriggers)</f>
        <v>3.0464766399009393E-3</v>
      </c>
      <c r="BP264" s="50">
        <f>_xll.qlPolynomialFunctionValue(BP$1,$BD264,AllTriggers)</f>
        <v>3.0526513755381396E-3</v>
      </c>
      <c r="BQ264" s="50">
        <f>_xll.qlPolynomialFunctionValue('12MSynthDepo_used'!$P$18,BD264,AllTriggers)</f>
        <v>3.0551778813280544E-3</v>
      </c>
    </row>
  </sheetData>
  <mergeCells count="16">
    <mergeCell ref="AH14:AH16"/>
    <mergeCell ref="AJ14:AJ16"/>
    <mergeCell ref="AT14:AT16"/>
    <mergeCell ref="AV14:AV16"/>
    <mergeCell ref="AH19:AH21"/>
    <mergeCell ref="AJ19:AJ21"/>
    <mergeCell ref="AT19:AT21"/>
    <mergeCell ref="AV19:AV21"/>
    <mergeCell ref="AH5:AH6"/>
    <mergeCell ref="AJ5:AJ6"/>
    <mergeCell ref="AT5:AT6"/>
    <mergeCell ref="AV5:AV6"/>
    <mergeCell ref="AH9:AH10"/>
    <mergeCell ref="AJ9:AJ10"/>
    <mergeCell ref="AT9:AT10"/>
    <mergeCell ref="AV9:AV10"/>
  </mergeCells>
  <dataValidations count="4">
    <dataValidation type="list" allowBlank="1" showInputMessage="1" showErrorMessage="1" sqref="D27:D28">
      <formula1>"FIXING,ESTIMATED"</formula1>
    </dataValidation>
    <dataValidation type="list" allowBlank="1" showInputMessage="1" showErrorMessage="1" sqref="S15:V20 T10:W10 S4:V8 T9:V9">
      <formula1>"TRUE,FALSE"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3:T3 S14:T14">
      <formula1>"TRUE"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9" customWidth="1"/>
    <col min="2" max="2" width="2.33203125" style="19" customWidth="1"/>
    <col min="3" max="3" width="3.1640625" style="19" customWidth="1"/>
    <col min="4" max="4" width="23.1640625" style="19" customWidth="1"/>
    <col min="5" max="5" width="34.83203125" style="19" hidden="1" customWidth="1" outlineLevel="1"/>
    <col min="6" max="6" width="9.33203125" style="19" hidden="1" customWidth="1" outlineLevel="1"/>
    <col min="7" max="7" width="12.83203125" style="19" bestFit="1" customWidth="1" collapsed="1"/>
    <col min="8" max="8" width="12.83203125" style="19" customWidth="1"/>
    <col min="9" max="10" width="11.33203125" style="19" customWidth="1"/>
    <col min="11" max="11" width="10.5" style="19" bestFit="1" customWidth="1"/>
    <col min="12" max="12" width="9.33203125" style="19" bestFit="1" customWidth="1"/>
    <col min="13" max="13" width="8.1640625" style="19" bestFit="1" customWidth="1"/>
    <col min="14" max="14" width="2.83203125" style="19" customWidth="1"/>
    <col min="15" max="15" width="14.1640625" style="19" bestFit="1" customWidth="1"/>
    <col min="16" max="16" width="17.83203125" style="19" bestFit="1" customWidth="1"/>
    <col min="17" max="17" width="2.83203125" style="19" customWidth="1"/>
    <col min="18" max="18" width="12.83203125" style="19" bestFit="1" customWidth="1"/>
    <col min="19" max="19" width="9.33203125" style="19"/>
    <col min="20" max="20" width="0" style="19" hidden="1" customWidth="1" outlineLevel="1"/>
    <col min="21" max="21" width="9.33203125" style="19" collapsed="1"/>
    <col min="22" max="22" width="3.5" style="19" bestFit="1" customWidth="1"/>
    <col min="23" max="24" width="9.33203125" style="19"/>
    <col min="25" max="25" width="12.83203125" style="19" bestFit="1" customWidth="1"/>
    <col min="26" max="26" width="16.5" style="19" bestFit="1" customWidth="1"/>
    <col min="27" max="27" width="12.83203125" style="19" bestFit="1" customWidth="1"/>
    <col min="28" max="16384" width="9.33203125" style="19"/>
  </cols>
  <sheetData>
    <row r="1" spans="1:27" x14ac:dyDescent="0.2">
      <c r="G1" s="126" t="s">
        <v>49</v>
      </c>
      <c r="H1" s="127" t="s">
        <v>22</v>
      </c>
    </row>
    <row r="2" spans="1:27" ht="26.25" customHeight="1" x14ac:dyDescent="0.2">
      <c r="D2" s="36" t="str">
        <f>H1&amp;" Instruments"</f>
        <v>1M Instruments</v>
      </c>
      <c r="E2" s="36" t="s">
        <v>84</v>
      </c>
      <c r="F2" s="36" t="s">
        <v>85</v>
      </c>
      <c r="G2" s="36" t="s">
        <v>50</v>
      </c>
      <c r="H2" s="36" t="s">
        <v>96</v>
      </c>
      <c r="I2" s="36" t="str">
        <f>"F "&amp;H1</f>
        <v>F 1M</v>
      </c>
      <c r="J2" s="36" t="s">
        <v>56</v>
      </c>
      <c r="K2" s="36" t="s">
        <v>61</v>
      </c>
      <c r="L2" s="36" t="s">
        <v>83</v>
      </c>
      <c r="M2" s="36" t="s">
        <v>63</v>
      </c>
      <c r="N2" s="21"/>
      <c r="R2" s="36" t="s">
        <v>71</v>
      </c>
      <c r="S2" s="36" t="s">
        <v>98</v>
      </c>
      <c r="T2" s="36" t="s">
        <v>89</v>
      </c>
      <c r="U2" s="36" t="s">
        <v>97</v>
      </c>
    </row>
    <row r="3" spans="1:27" ht="11.25" customHeight="1" x14ac:dyDescent="0.2">
      <c r="A3" s="104">
        <v>0</v>
      </c>
      <c r="B3" s="105" t="s">
        <v>20</v>
      </c>
      <c r="C3" s="106" t="str">
        <f>SUBSTITUTE($H$1,"M","")</f>
        <v>1</v>
      </c>
      <c r="D3" s="108" t="str">
        <f>Currency&amp;A3&amp;B3&amp;C3&amp;"F"&amp;"_Estimated"</f>
        <v>EUR0x1F_Estimated</v>
      </c>
      <c r="E3" s="108" t="str">
        <f>_xll.qlSimpleQuote(UPPER("B"&amp;$H$1&amp;"_"&amp;A3&amp;B3&amp;C3&amp;"Estimated"),,,Permanent,Trigger,ObjectOverwrite)</f>
        <v>B1M_0X1ESTIMATED#0008</v>
      </c>
      <c r="F3" s="197" t="e">
        <f>_xll.qlSimpleQuoteSetValue(E3,L3,AllTriggers)</f>
        <v>#N/A</v>
      </c>
      <c r="G3" s="210">
        <f>SettlementDate</f>
        <v>42138</v>
      </c>
      <c r="H3" s="210">
        <f>_xll.qlInterestRateIndexMaturity(PROPER(Currency)&amp;"ibor"&amp;$H$1,G3)</f>
        <v>42170</v>
      </c>
      <c r="I3" s="107">
        <f>L3+$J$4</f>
        <v>-3.4000000000047881E-4</v>
      </c>
      <c r="J3" s="89"/>
      <c r="K3" s="89"/>
      <c r="L3" s="66">
        <f>_xll.qlTenorBasisValue($P$3,G3,Trigger)</f>
        <v>6.521855532326537E-4</v>
      </c>
      <c r="M3" s="89"/>
      <c r="N3" s="21"/>
      <c r="O3" s="192" t="s">
        <v>82</v>
      </c>
      <c r="P3" s="66" t="str">
        <f>'[2]1MSynthDepo'!TenorBasis1M</f>
        <v>obj_00869#0006</v>
      </c>
      <c r="R3" s="211">
        <f>SettlementDate</f>
        <v>42138</v>
      </c>
      <c r="S3" s="52">
        <f>_xll.qlTenorBasisValue($P$3,R3,AllTriggers)</f>
        <v>6.521855532326537E-4</v>
      </c>
      <c r="T3" s="46">
        <f>_xll.qlDayCounterYearFraction("actual/365 (fixed)",SettlementDate,R3,,,Trigger)</f>
        <v>0</v>
      </c>
      <c r="U3" s="52">
        <f>_xll.qlPolynomialFunctionValue($P$18,T3,AllTriggers)</f>
        <v>9.851375372000096E-4</v>
      </c>
    </row>
    <row r="4" spans="1:27" ht="11.25" customHeight="1" x14ac:dyDescent="0.2">
      <c r="A4" s="104">
        <v>0</v>
      </c>
      <c r="B4" s="105" t="s">
        <v>20</v>
      </c>
      <c r="C4" s="106">
        <v>6</v>
      </c>
      <c r="D4" s="97" t="str">
        <f>PROPER(Currency&amp;IborType)&amp;H1&amp;"LastFixing"&amp;QuoteSuffix</f>
        <v>Euribor1MLastFixing_Quote</v>
      </c>
      <c r="E4" s="97" t="str">
        <f>_xll.qlSimpleQuote(UPPER("B"&amp;$H$1&amp;"_"&amp;A4&amp;B4&amp;C4&amp;"FIXING"),,,Permanent,Trigger,ObjectOverwrite)</f>
        <v>B1M_0X6FIXING#0008</v>
      </c>
      <c r="F4" s="198">
        <f>_xll.qlSimpleQuoteSetValue(E4,K4,AllTriggers)</f>
        <v>0</v>
      </c>
      <c r="G4" s="210">
        <f>SettlementDate</f>
        <v>42138</v>
      </c>
      <c r="H4" s="210">
        <f>_xll.qlInterestRateIndexMaturity(ON_6M_index,G4)</f>
        <v>42324</v>
      </c>
      <c r="I4" s="66">
        <f>_xll.qlQuoteValue(D4,LastFixingsTrigger)</f>
        <v>-3.4000000000047881E-4</v>
      </c>
      <c r="J4" s="66">
        <f>_xll.qlIndexFixing(ON_1M_index,_xll.qlInterestRateIndexFixingDate(ON_1M_index,G4),,AllTriggers)</f>
        <v>-9.9218555323313251E-4</v>
      </c>
      <c r="K4" s="107">
        <f t="shared" ref="K4:K22" si="0">I4-J4</f>
        <v>6.521855532326537E-4</v>
      </c>
      <c r="L4" s="62">
        <f>_xll.qlTenorBasisValue($P$3,G4,Trigger)</f>
        <v>6.521855532326537E-4</v>
      </c>
      <c r="M4" s="63">
        <f>(K4-L4)*10000</f>
        <v>0</v>
      </c>
      <c r="N4" s="21"/>
      <c r="R4" s="212">
        <f>_xll.qlCalendarAdvance(Calendar,R3,"1D","f")</f>
        <v>42139</v>
      </c>
      <c r="S4" s="47">
        <f>_xll.qlTenorBasisValue($P$3,R4,AllTriggers)</f>
        <v>6.3654127265375679E-4</v>
      </c>
      <c r="T4" s="41">
        <f>_xll.qlDayCounterYearFraction("actual/365 (fixed)",SettlementDate,R4,,,Trigger)</f>
        <v>2.7397260273972603E-3</v>
      </c>
      <c r="U4" s="47">
        <f>_xll.qlPolynomialFunctionValue($P$18,T4,AllTriggers)</f>
        <v>9.5483710420899955E-4</v>
      </c>
    </row>
    <row r="5" spans="1:27" ht="11.25" customHeight="1" x14ac:dyDescent="0.2">
      <c r="A5" s="94">
        <v>0</v>
      </c>
      <c r="B5" s="21" t="s">
        <v>20</v>
      </c>
      <c r="C5" s="101">
        <f t="shared" ref="C5:C22" si="1">A5+SUBSTITUTE($H$1,"M","")</f>
        <v>1</v>
      </c>
      <c r="D5" s="98" t="str">
        <f t="shared" ref="D5:D22" si="2">Currency&amp;A5&amp;B5&amp;C5&amp;"F"&amp;QuoteSuffix</f>
        <v>EUR0x1F_Quote</v>
      </c>
      <c r="E5" s="98" t="str">
        <f>_xll.qlSimpleQuote(UPPER("B"&amp;$H$1&amp;"_"&amp;A5&amp;B5&amp;C5),,,Permanent,Trigger,ObjectOverwrite)</f>
        <v>B1M_0X1#0009</v>
      </c>
      <c r="F5" s="199">
        <f>_xll.qlSimpleQuoteSetValue(E5,K5,AllTriggers)</f>
        <v>0</v>
      </c>
      <c r="G5" s="211">
        <f>_xll.qlCalendarAdvance("target",SettlementDate,A5&amp;"M","mf",,Trigger)</f>
        <v>42138</v>
      </c>
      <c r="H5" s="211">
        <f>_xll.qlInterestRateIndexMaturity(ON_6M_index,G5)</f>
        <v>42324</v>
      </c>
      <c r="I5" s="52">
        <f>_xll.qlIndexFixing([2]!iborindex1M,_xll.qlInterestRateIndexFixingDate("Euribor1M",G5,Trigger),,AllTriggers)</f>
        <v>-3.4000000000047881E-4</v>
      </c>
      <c r="J5" s="52">
        <f>_xll.qlIndexFixing(ON_1M_index,_xll.qlInterestRateIndexFixingDate(ON_1M_index,G5),,AllTriggers)</f>
        <v>-9.9218555323313251E-4</v>
      </c>
      <c r="K5" s="193">
        <f t="shared" si="0"/>
        <v>6.521855532326537E-4</v>
      </c>
      <c r="L5" s="52">
        <f>_xll.qlTenorBasisValue($P$3,G5,Trigger)</f>
        <v>6.521855532326537E-4</v>
      </c>
      <c r="M5" s="91">
        <f t="shared" ref="M5:M22" si="3">(K5-L5)*10000</f>
        <v>0</v>
      </c>
      <c r="N5" s="21"/>
      <c r="O5" s="119" t="s">
        <v>94</v>
      </c>
      <c r="P5" s="120"/>
      <c r="Q5" s="20"/>
      <c r="R5" s="212">
        <f>_xll.qlCalendarAdvance(Calendar,R4,"1D","f")</f>
        <v>42142</v>
      </c>
      <c r="S5" s="47">
        <f>_xll.qlTenorBasisValue($P$3,R5,AllTriggers)</f>
        <v>5.9441100743423474E-4</v>
      </c>
      <c r="T5" s="41">
        <f>_xll.qlDayCounterYearFraction("actual/365 (fixed)",SettlementDate,R5,,,Trigger)</f>
        <v>1.0958904109589041E-2</v>
      </c>
      <c r="U5" s="47">
        <f>_xll.qlPolynomialFunctionValue($P$18,T5,AllTriggers)</f>
        <v>8.7026383626717966E-4</v>
      </c>
    </row>
    <row r="6" spans="1:27" ht="11.25" customHeight="1" x14ac:dyDescent="0.2">
      <c r="A6" s="94">
        <v>1</v>
      </c>
      <c r="B6" s="21" t="s">
        <v>20</v>
      </c>
      <c r="C6" s="101">
        <f t="shared" si="1"/>
        <v>2</v>
      </c>
      <c r="D6" s="99" t="str">
        <f t="shared" si="2"/>
        <v>EUR1x2F_Quote</v>
      </c>
      <c r="E6" s="99" t="str">
        <f>_xll.qlSimpleQuote(UPPER("B"&amp;$H$1&amp;"_"&amp;A6&amp;B6&amp;C6),,,Permanent,Trigger,ObjectOverwrite)</f>
        <v>B1M_1X2#0009</v>
      </c>
      <c r="F6" s="200">
        <f>_xll.qlSimpleQuoteSetValue(E6,K6,AllTriggers)</f>
        <v>0</v>
      </c>
      <c r="G6" s="212">
        <f>_xll.qlCalendarAdvance("target",SettlementDate,A6&amp;"M","mf",,Trigger)</f>
        <v>42170</v>
      </c>
      <c r="H6" s="212">
        <f>_xll.qlInterestRateIndexMaturity(ON_6M_index,G6)</f>
        <v>42353</v>
      </c>
      <c r="I6" s="47">
        <f>_xll.qlIndexFixing([2]!iborindex1M,_xll.qlInterestRateIndexFixingDate("Euribor1M",G6,Trigger),,AllTriggers)</f>
        <v>-6.5399284035994043E-4</v>
      </c>
      <c r="J6" s="47">
        <f>_xll.qlIndexFixing(ON_1M_index,_xll.qlInterestRateIndexFixingDate(ON_1M_index,G6),,AllTriggers)</f>
        <v>-1.1300212828695422E-3</v>
      </c>
      <c r="K6" s="128">
        <f t="shared" si="0"/>
        <v>4.7602844250960175E-4</v>
      </c>
      <c r="L6" s="47">
        <f>_xll.qlTenorBasisValue($P$3,G6,Trigger)</f>
        <v>4.7602844250960175E-4</v>
      </c>
      <c r="M6" s="64">
        <f t="shared" si="3"/>
        <v>0</v>
      </c>
      <c r="N6" s="21"/>
      <c r="O6" s="192" t="s">
        <v>77</v>
      </c>
      <c r="P6" s="66">
        <f t="array" ref="P6:P10">_xll.qlTenorBasisCoefficients(P3)</f>
        <v>6.521855532326537E-4</v>
      </c>
      <c r="Q6" s="20"/>
      <c r="R6" s="212">
        <f>_xll.qlCalendarAdvance(Calendar,R5,"1D","f")</f>
        <v>42143</v>
      </c>
      <c r="S6" s="47">
        <f>_xll.qlTenorBasisValue($P$3,R6,AllTriggers)</f>
        <v>5.8191620294050352E-4</v>
      </c>
      <c r="T6" s="41">
        <f>_xll.qlDayCounterYearFraction("actual/365 (fixed)",SettlementDate,R6,,,Trigger)</f>
        <v>1.3698630136986301E-2</v>
      </c>
      <c r="U6" s="47">
        <f>_xll.qlPolynomialFunctionValue($P$18,T6,AllTriggers)</f>
        <v>8.441298490373633E-4</v>
      </c>
    </row>
    <row r="7" spans="1:27" ht="11.25" customHeight="1" x14ac:dyDescent="0.2">
      <c r="A7" s="94">
        <v>2</v>
      </c>
      <c r="B7" s="21" t="s">
        <v>20</v>
      </c>
      <c r="C7" s="101">
        <f t="shared" si="1"/>
        <v>3</v>
      </c>
      <c r="D7" s="99" t="str">
        <f t="shared" si="2"/>
        <v>EUR2x3F_Quote</v>
      </c>
      <c r="E7" s="99" t="str">
        <f>_xll.qlSimpleQuote(UPPER("B"&amp;$H$1&amp;"_"&amp;A7&amp;B7&amp;C7),,,Permanent,Trigger,ObjectOverwrite)</f>
        <v>B1M_2X3#0010</v>
      </c>
      <c r="F7" s="200">
        <f>_xll.qlSimpleQuoteSetValue(E7,K7,AllTriggers)</f>
        <v>0</v>
      </c>
      <c r="G7" s="212">
        <f>_xll.qlCalendarAdvance("target",SettlementDate,A7&amp;"M","mf",,Trigger)</f>
        <v>42199</v>
      </c>
      <c r="H7" s="212">
        <f>_xll.qlInterestRateIndexMaturity(ON_6M_index,G7)</f>
        <v>42383</v>
      </c>
      <c r="I7" s="47">
        <f>_xll.qlIndexFixing([2]!iborindex1M,_xll.qlInterestRateIndexFixingDate("Euribor1M",G7,Trigger),,AllTriggers)</f>
        <v>-6.0881151511890934E-4</v>
      </c>
      <c r="J7" s="47">
        <f>_xll.qlIndexFixing(ON_1M_index,_xll.qlInterestRateIndexFixingDate(ON_1M_index,G7),,AllTriggers)</f>
        <v>-1.2265497347488832E-3</v>
      </c>
      <c r="K7" s="128">
        <f t="shared" si="0"/>
        <v>6.1773821962997388E-4</v>
      </c>
      <c r="L7" s="47">
        <f>_xll.qlTenorBasisValue($P$3,G7,Trigger)</f>
        <v>6.1773821962997366E-4</v>
      </c>
      <c r="M7" s="64">
        <f t="shared" si="3"/>
        <v>2.1684043449710089E-15</v>
      </c>
      <c r="N7" s="21"/>
      <c r="O7" s="192" t="s">
        <v>78</v>
      </c>
      <c r="P7" s="66">
        <v>-5.860054416646371E-3</v>
      </c>
      <c r="Q7" s="20"/>
      <c r="R7" s="212">
        <f>_xll.qlCalendarAdvance(Calendar,R6,"1D","f")</f>
        <v>42144</v>
      </c>
      <c r="S7" s="47">
        <f>_xll.qlTenorBasisValue($P$3,R7,AllTriggers)</f>
        <v>5.701695862733539E-4</v>
      </c>
      <c r="T7" s="41">
        <f>_xll.qlDayCounterYearFraction("actual/365 (fixed)",SettlementDate,R7,,,Trigger)</f>
        <v>1.643835616438356E-2</v>
      </c>
      <c r="U7" s="47">
        <f>_xll.qlPolynomialFunctionValue($P$18,T7,AllTriggers)</f>
        <v>8.189982920531354E-4</v>
      </c>
    </row>
    <row r="8" spans="1:27" ht="11.25" customHeight="1" x14ac:dyDescent="0.2">
      <c r="A8" s="94">
        <v>3</v>
      </c>
      <c r="B8" s="21" t="s">
        <v>20</v>
      </c>
      <c r="C8" s="101">
        <f t="shared" si="1"/>
        <v>4</v>
      </c>
      <c r="D8" s="281" t="str">
        <f t="shared" si="2"/>
        <v>EUR3x4F_Quote</v>
      </c>
      <c r="E8" s="100" t="str">
        <f>_xll.qlSimpleQuote(UPPER("B"&amp;$H$1&amp;"_"&amp;A8&amp;B8&amp;C8),,,Permanent,Trigger,ObjectOverwrite)</f>
        <v>B1M_3X4#0011</v>
      </c>
      <c r="F8" s="201">
        <f>_xll.qlSimpleQuoteSetValue(E8,K8,AllTriggers)</f>
        <v>0</v>
      </c>
      <c r="G8" s="213">
        <f>_xll.qlCalendarAdvance("target",SettlementDate,A8&amp;"M","mf",,Trigger)</f>
        <v>42230</v>
      </c>
      <c r="H8" s="213">
        <f>_xll.qlInterestRateIndexMaturity(ON_6M_index,G8)</f>
        <v>42415</v>
      </c>
      <c r="I8" s="50">
        <f>_xll.qlIndexFixing([2]!iborindex1M,_xll.qlInterestRateIndexFixingDate("Euribor1M",G8,Trigger),,AllTriggers)</f>
        <v>-6.0952395736862052E-4</v>
      </c>
      <c r="J8" s="50">
        <f>_xll.qlIndexFixing(ON_1M_index,_xll.qlInterestRateIndexFixingDate(ON_1M_index,G8),,AllTriggers)</f>
        <v>-1.2486201364305958E-3</v>
      </c>
      <c r="K8" s="115">
        <f t="shared" si="0"/>
        <v>6.3909617906197523E-4</v>
      </c>
      <c r="L8" s="50">
        <f>_xll.qlTenorBasisValue($P$3,G8,Trigger)</f>
        <v>6.3909617906197577E-4</v>
      </c>
      <c r="M8" s="65">
        <f t="shared" si="3"/>
        <v>-5.4210108624275222E-15</v>
      </c>
      <c r="N8" s="21"/>
      <c r="O8" s="192" t="s">
        <v>79</v>
      </c>
      <c r="P8" s="66">
        <v>5.5058576263395879E-2</v>
      </c>
      <c r="Q8" s="20"/>
      <c r="R8" s="212">
        <f>_xll.qlCalendarAdvance(Calendar,R7,"1D","f")</f>
        <v>42145</v>
      </c>
      <c r="S8" s="47">
        <f>_xll.qlTenorBasisValue($P$3,R8,AllTriggers)</f>
        <v>5.5915548495490185E-4</v>
      </c>
      <c r="T8" s="41">
        <f>_xll.qlDayCounterYearFraction("actual/365 (fixed)",SettlementDate,R8,,,Trigger)</f>
        <v>1.9178082191780823E-2</v>
      </c>
      <c r="U8" s="47">
        <f>_xll.qlPolynomialFunctionValue($P$18,T8,AllTriggers)</f>
        <v>7.94853492836612E-4</v>
      </c>
    </row>
    <row r="9" spans="1:27" ht="11.25" customHeight="1" x14ac:dyDescent="0.2">
      <c r="G9" s="60"/>
      <c r="H9" s="60"/>
      <c r="I9" s="35"/>
      <c r="J9" s="35"/>
      <c r="K9" s="35"/>
      <c r="L9" s="21"/>
      <c r="M9" s="21"/>
      <c r="N9" s="21"/>
      <c r="O9" s="192" t="s">
        <v>80</v>
      </c>
      <c r="P9" s="66">
        <v>-0.12701792352077401</v>
      </c>
      <c r="Q9" s="20"/>
      <c r="R9" s="212">
        <f>_xll.qlCalendarAdvance(Calendar,R8,"1D","f")</f>
        <v>42146</v>
      </c>
      <c r="S9" s="47">
        <f>_xll.qlTenorBasisValue($P$3,R9,AllTriggers)</f>
        <v>5.4885822650726308E-4</v>
      </c>
      <c r="T9" s="41">
        <f>_xll.qlDayCounterYearFraction("actual/365 (fixed)",SettlementDate,R9,,,Trigger)</f>
        <v>2.1917808219178082E-2</v>
      </c>
      <c r="U9" s="47">
        <f>_xll.qlPolynomialFunctionValue($P$18,T9,AllTriggers)</f>
        <v>7.7167977890990895E-4</v>
      </c>
    </row>
    <row r="10" spans="1:27" ht="11.25" customHeight="1" x14ac:dyDescent="0.2">
      <c r="G10" s="60"/>
      <c r="H10" s="60"/>
      <c r="I10" s="35"/>
      <c r="J10" s="35"/>
      <c r="K10" s="35"/>
      <c r="L10" s="21"/>
      <c r="M10" s="21"/>
      <c r="N10" s="21"/>
      <c r="O10" s="192" t="s">
        <v>81</v>
      </c>
      <c r="P10" s="66" t="e">
        <v>#N/A</v>
      </c>
      <c r="Q10" s="20"/>
      <c r="R10" s="212">
        <f>_xll.qlCalendarAdvance(Calendar,R9,"1D","f")</f>
        <v>42149</v>
      </c>
      <c r="S10" s="47">
        <f>_xll.qlTenorBasisValue($P$3,R10,AllTriggers)</f>
        <v>5.2211078361038806E-4</v>
      </c>
      <c r="T10" s="41">
        <f>_xll.qlDayCounterYearFraction("actual/365 (fixed)",SettlementDate,R10,,,Trigger)</f>
        <v>3.0136986301369864E-2</v>
      </c>
      <c r="U10" s="47">
        <f>_xll.qlPolynomialFunctionValue($P$18,T10,AllTriggers)</f>
        <v>7.0782842408988319E-4</v>
      </c>
    </row>
    <row r="11" spans="1:27" ht="11.25" customHeight="1" x14ac:dyDescent="0.2">
      <c r="G11" s="60"/>
      <c r="H11" s="60"/>
      <c r="I11" s="35"/>
      <c r="J11" s="35"/>
      <c r="K11" s="35"/>
      <c r="L11" s="21"/>
      <c r="M11" s="21"/>
      <c r="N11" s="21"/>
      <c r="Q11" s="20"/>
      <c r="R11" s="212">
        <f>_xll.qlCalendarAdvance(Calendar,R10,"1D","f")</f>
        <v>42150</v>
      </c>
      <c r="S11" s="47">
        <f>_xll.qlTenorBasisValue($P$3,R11,AllTriggers)</f>
        <v>5.1452417186716355E-4</v>
      </c>
      <c r="T11" s="41">
        <f>_xll.qlDayCounterYearFraction("actual/365 (fixed)",SettlementDate,R11,,,Trigger)</f>
        <v>3.287671232876712E-2</v>
      </c>
      <c r="U11" s="47">
        <f>_xll.qlPolynomialFunctionValue($P$18,T11,AllTriggers)</f>
        <v>6.883823265436223E-4</v>
      </c>
    </row>
    <row r="12" spans="1:27" ht="11.25" customHeight="1" x14ac:dyDescent="0.2">
      <c r="G12" s="60"/>
      <c r="H12" s="60"/>
      <c r="I12" s="35"/>
      <c r="J12" s="35"/>
      <c r="K12" s="35"/>
      <c r="L12" s="21"/>
      <c r="M12" s="21"/>
      <c r="N12" s="21"/>
      <c r="O12" s="119" t="s">
        <v>95</v>
      </c>
      <c r="P12" s="120"/>
      <c r="Q12" s="20"/>
      <c r="R12" s="212">
        <f>_xll.qlCalendarAdvance(Calendar,R11,"1D","f")</f>
        <v>42151</v>
      </c>
      <c r="S12" s="47">
        <f>_xll.qlTenorBasisValue($P$3,R12,AllTriggers)</f>
        <v>5.0757604060533239E-4</v>
      </c>
      <c r="T12" s="41">
        <f>_xll.qlDayCounterYearFraction("actual/365 (fixed)",SettlementDate,R12,,,Trigger)</f>
        <v>3.5616438356164383E-2</v>
      </c>
      <c r="U12" s="47">
        <f>_xll.qlPolynomialFunctionValue($P$18,T12,AllTriggers)</f>
        <v>6.6982895189776192E-4</v>
      </c>
    </row>
    <row r="13" spans="1:27" ht="11.25" customHeight="1" x14ac:dyDescent="0.2">
      <c r="G13" s="60"/>
      <c r="H13" s="60"/>
      <c r="I13" s="35"/>
      <c r="J13" s="35"/>
      <c r="K13" s="35"/>
      <c r="L13" s="21"/>
      <c r="M13" s="21"/>
      <c r="N13" s="21"/>
      <c r="O13" s="192" t="s">
        <v>77</v>
      </c>
      <c r="P13" s="66">
        <f t="array" ref="P13:P17">_xll.qlTenorInstCoefficients(P3)</f>
        <v>9.851375372000096E-4</v>
      </c>
      <c r="Q13" s="20"/>
      <c r="R13" s="212">
        <f>_xll.qlCalendarAdvance(Calendar,R12,"1D","f")</f>
        <v>42152</v>
      </c>
      <c r="S13" s="47">
        <f>_xll.qlTenorBasisValue($P$3,R13,AllTriggers)</f>
        <v>5.0125071734701074E-4</v>
      </c>
      <c r="T13" s="41">
        <f>_xll.qlDayCounterYearFraction("actual/365 (fixed)",SettlementDate,R13,,,Trigger)</f>
        <v>3.8356164383561646E-2</v>
      </c>
      <c r="U13" s="47">
        <f>_xll.qlPolynomialFunctionValue($P$18,T13,AllTriggers)</f>
        <v>6.5215262767441789E-4</v>
      </c>
    </row>
    <row r="14" spans="1:27" ht="11.25" customHeight="1" thickBot="1" x14ac:dyDescent="0.25">
      <c r="G14" s="60"/>
      <c r="H14" s="60"/>
      <c r="I14" s="35"/>
      <c r="J14" s="35"/>
      <c r="K14" s="35"/>
      <c r="L14" s="21"/>
      <c r="M14" s="21"/>
      <c r="N14" s="21"/>
      <c r="O14" s="192" t="s">
        <v>78</v>
      </c>
      <c r="P14" s="66">
        <v>-1.125594928853647E-2</v>
      </c>
      <c r="Q14" s="20"/>
      <c r="R14" s="212">
        <f>_xll.qlCalendarAdvance(Calendar,R13,"1D","f")</f>
        <v>42153</v>
      </c>
      <c r="S14" s="47">
        <f>_xll.qlTenorBasisValue($P$3,R14,AllTriggers)</f>
        <v>4.9553252961431478E-4</v>
      </c>
      <c r="T14" s="41">
        <f>_xll.qlDayCounterYearFraction("actual/365 (fixed)",SettlementDate,R14,,,Trigger)</f>
        <v>4.1095890410958902E-2</v>
      </c>
      <c r="U14" s="47">
        <f>_xll.qlPolynomialFunctionValue($P$18,T14,AllTriggers)</f>
        <v>6.353376813957066E-4</v>
      </c>
      <c r="W14" s="36"/>
      <c r="X14" s="36" t="s">
        <v>49</v>
      </c>
      <c r="Y14" s="36" t="s">
        <v>38</v>
      </c>
      <c r="Z14" s="36" t="s">
        <v>39</v>
      </c>
      <c r="AA14" s="204" t="s">
        <v>93</v>
      </c>
    </row>
    <row r="15" spans="1:27" ht="11.25" customHeight="1" x14ac:dyDescent="0.2">
      <c r="G15" s="60"/>
      <c r="H15" s="60"/>
      <c r="I15" s="35"/>
      <c r="J15" s="35"/>
      <c r="K15" s="35"/>
      <c r="L15" s="21"/>
      <c r="M15" s="21"/>
      <c r="N15" s="21"/>
      <c r="O15" s="192" t="s">
        <v>79</v>
      </c>
      <c r="P15" s="66">
        <v>7.1994299399499084E-2</v>
      </c>
      <c r="Q15" s="20"/>
      <c r="R15" s="212">
        <f>_xll.qlCalendarAdvance(Calendar,R14,"1D","f")</f>
        <v>42156</v>
      </c>
      <c r="S15" s="47">
        <f>_xll.qlTenorBasisValue($P$3,R15,AllTriggers)</f>
        <v>4.8186405479114008E-4</v>
      </c>
      <c r="T15" s="41">
        <f>_xll.qlDayCounterYearFraction("actual/365 (fixed)",SettlementDate,R15,,,Trigger)</f>
        <v>4.9315068493150684E-2</v>
      </c>
      <c r="U15" s="47">
        <f>_xll.qlPolynomialFunctionValue($P$18,T15,AllTriggers)</f>
        <v>5.8990438544852773E-4</v>
      </c>
      <c r="W15" s="45">
        <v>0</v>
      </c>
      <c r="X15" s="45" t="s">
        <v>25</v>
      </c>
      <c r="Y15" s="175">
        <f>_xll.qlCalendarAdvance(Calendar,SettlementDate,W15&amp;"M","mf",TRUE,Trigger)</f>
        <v>42138</v>
      </c>
      <c r="Z15" s="176">
        <f>_xll.qlCalendarAdvance(Calendar,SettlementDate,X15,"Following",,Trigger)</f>
        <v>42139</v>
      </c>
      <c r="AA15" s="205">
        <f>_xll.qlTenorBasisForwardRate2(TenorBasis6M,Y15,Z15,AllTriggers)</f>
        <v>-3.3397892371667126E-5</v>
      </c>
    </row>
    <row r="16" spans="1:27" ht="11.25" customHeight="1" x14ac:dyDescent="0.2">
      <c r="G16" s="60"/>
      <c r="H16" s="60"/>
      <c r="I16" s="35"/>
      <c r="J16" s="35"/>
      <c r="K16" s="35"/>
      <c r="L16" s="21"/>
      <c r="M16" s="21"/>
      <c r="N16" s="21"/>
      <c r="O16" s="192" t="s">
        <v>80</v>
      </c>
      <c r="P16" s="66">
        <v>-0.12701792352077401</v>
      </c>
      <c r="Q16" s="20"/>
      <c r="R16" s="212">
        <f>_xll.qlCalendarAdvance(Calendar,R15,"1D","f")</f>
        <v>42157</v>
      </c>
      <c r="S16" s="47">
        <f>_xll.qlTenorBasisValue($P$3,R16,AllTriggers)</f>
        <v>4.7841768438210629E-4</v>
      </c>
      <c r="T16" s="41">
        <f>_xll.qlDayCounterYearFraction("actual/365 (fixed)",SettlementDate,R16,,,Trigger)</f>
        <v>5.2054794520547946E-2</v>
      </c>
      <c r="U16" s="47">
        <f>_xll.qlPolynomialFunctionValue($P$18,T16,AllTriggers)</f>
        <v>5.7637822616950652E-4</v>
      </c>
      <c r="W16" s="48">
        <v>0</v>
      </c>
      <c r="X16" s="48" t="s">
        <v>26</v>
      </c>
      <c r="Y16" s="177">
        <f>_xll.qlCalendarAdvance(Calendar,SettlementDate,W16&amp;"M","mf",TRUE,Trigger)</f>
        <v>42138</v>
      </c>
      <c r="Z16" s="178">
        <f>_xll.qlCalendarAdvance(Calendar,SettlementDate,X16,"Following",,Trigger)</f>
        <v>42145</v>
      </c>
      <c r="AA16" s="206">
        <f>_xll.qlTenorBasisForwardRate2(TenorBasis6M,Y16,Z16,AllTriggers)</f>
        <v>-1.1633746541545824E-4</v>
      </c>
    </row>
    <row r="17" spans="7:27" ht="11.25" customHeight="1" x14ac:dyDescent="0.2">
      <c r="G17" s="60"/>
      <c r="H17" s="60"/>
      <c r="I17" s="35"/>
      <c r="J17" s="35"/>
      <c r="K17" s="35"/>
      <c r="L17" s="21"/>
      <c r="M17" s="21"/>
      <c r="N17" s="21"/>
      <c r="O17" s="192" t="s">
        <v>81</v>
      </c>
      <c r="P17" s="66" t="e">
        <v>#N/A</v>
      </c>
      <c r="Q17" s="20"/>
      <c r="R17" s="212">
        <f>_xll.qlCalendarAdvance(Calendar,R16,"1D","f")</f>
        <v>42158</v>
      </c>
      <c r="S17" s="47">
        <f>_xll.qlTenorBasisValue($P$3,R17,AllTriggers)</f>
        <v>4.7550008710927814E-4</v>
      </c>
      <c r="T17" s="41">
        <f>_xll.qlDayCounterYearFraction("actual/365 (fixed)",SettlementDate,R17,,,Trigger)</f>
        <v>5.4794520547945202E-2</v>
      </c>
      <c r="U17" s="47">
        <f>_xll.qlPolynomialFunctionValue($P$18,T17,AllTriggers)</f>
        <v>5.6363508244569799E-4</v>
      </c>
      <c r="W17" s="48">
        <v>0</v>
      </c>
      <c r="X17" s="48" t="s">
        <v>27</v>
      </c>
      <c r="Y17" s="177">
        <f>_xll.qlCalendarAdvance(Calendar,SettlementDate,W17&amp;"M","mf",TRUE,Trigger)</f>
        <v>42138</v>
      </c>
      <c r="Z17" s="178">
        <f>_xll.qlCalendarAdvance(Calendar,SettlementDate,X17,"Following",,Trigger)</f>
        <v>42152</v>
      </c>
      <c r="AA17" s="206">
        <f>_xll.qlTenorBasisForwardRate2(TenorBasis6M,Y17,Z17,AllTriggers)</f>
        <v>-2.0823162058932913E-4</v>
      </c>
    </row>
    <row r="18" spans="7:27" ht="11.25" customHeight="1" x14ac:dyDescent="0.2">
      <c r="G18" s="60"/>
      <c r="H18" s="60"/>
      <c r="I18" s="35"/>
      <c r="J18" s="35"/>
      <c r="K18" s="35"/>
      <c r="L18" s="21"/>
      <c r="M18" s="21"/>
      <c r="N18" s="21"/>
      <c r="O18" s="192" t="s">
        <v>99</v>
      </c>
      <c r="P18" s="66" t="str">
        <f>_xll.qlPolynomialFunction(,_xll.ohPack(P13:P17),,Trigger)</f>
        <v>obj_00952#0011</v>
      </c>
      <c r="Q18" s="20"/>
      <c r="R18" s="212">
        <f>_xll.qlCalendarAdvance(Calendar,R17,"1D","f")</f>
        <v>42159</v>
      </c>
      <c r="S18" s="47">
        <f>_xll.qlTenorBasisValue($P$3,R18,AllTriggers)</f>
        <v>4.7309559049477155E-4</v>
      </c>
      <c r="T18" s="41">
        <f>_xll.qlDayCounterYearFraction("actual/365 (fixed)",SettlementDate,R18,,,Trigger)</f>
        <v>5.7534246575342465E-2</v>
      </c>
      <c r="U18" s="47">
        <f>_xll.qlPolynomialFunctionValue($P$18,T18,AllTriggers)</f>
        <v>5.516592817992181E-4</v>
      </c>
      <c r="W18" s="48">
        <v>0</v>
      </c>
      <c r="X18" s="48" t="s">
        <v>28</v>
      </c>
      <c r="Y18" s="177">
        <f>_xll.qlCalendarAdvance(Calendar,SettlementDate,W18&amp;"M","mf",TRUE,Trigger)</f>
        <v>42138</v>
      </c>
      <c r="Z18" s="178">
        <f>_xll.qlCalendarAdvance(Calendar,SettlementDate,X18,"Following",,Trigger)</f>
        <v>42159</v>
      </c>
      <c r="AA18" s="208">
        <f>_xll.qlTenorBasisForwardRate2(TenorBasis6M,Y18,Z18,AllTriggers)</f>
        <v>-1.9536142940701495E-4</v>
      </c>
    </row>
    <row r="19" spans="7:27" ht="11.25" customHeight="1" thickBot="1" x14ac:dyDescent="0.25">
      <c r="G19" s="60"/>
      <c r="H19" s="60"/>
      <c r="I19" s="35"/>
      <c r="J19" s="35"/>
      <c r="K19" s="35"/>
      <c r="L19" s="21"/>
      <c r="M19" s="21"/>
      <c r="N19" s="21"/>
      <c r="Q19" s="20"/>
      <c r="R19" s="212">
        <f>_xll.qlCalendarAdvance(Calendar,R18,"1D","f")</f>
        <v>42160</v>
      </c>
      <c r="S19" s="47">
        <f>_xll.qlTenorBasisValue($P$3,R19,AllTriggers)</f>
        <v>4.7118852206070255E-4</v>
      </c>
      <c r="T19" s="41">
        <f>_xll.qlDayCounterYearFraction("actual/365 (fixed)",SettlementDate,R19,,,Trigger)</f>
        <v>6.0273972602739728E-2</v>
      </c>
      <c r="U19" s="47">
        <f>_xll.qlPolynomialFunctionValue($P$18,T19,AllTriggers)</f>
        <v>5.4043515175218257E-4</v>
      </c>
      <c r="W19" s="162">
        <v>0</v>
      </c>
      <c r="X19" s="162" t="s">
        <v>22</v>
      </c>
      <c r="Y19" s="185">
        <f>_xll.qlCalendarAdvance(Calendar,SettlementDate,W19&amp;"M","mf",TRUE,Trigger)</f>
        <v>42138</v>
      </c>
      <c r="Z19" s="296">
        <f>_xll.qlCalendarAdvance(Calendar,SettlementDate,X19,"mf",TRUE,Trigger)</f>
        <v>42170</v>
      </c>
      <c r="AA19" s="209">
        <f>_xll.qlTenorBasisForwardRate2(TenorBasis6M,Y19,Z19,AllTriggers)</f>
        <v>-3.4641042607544414E-4</v>
      </c>
    </row>
    <row r="20" spans="7:27" ht="11.25" customHeight="1" x14ac:dyDescent="0.2">
      <c r="G20" s="60"/>
      <c r="H20" s="60"/>
      <c r="I20" s="35"/>
      <c r="J20" s="35"/>
      <c r="K20" s="35"/>
      <c r="L20" s="21"/>
      <c r="M20" s="21"/>
      <c r="N20" s="21"/>
      <c r="Q20" s="20"/>
      <c r="R20" s="212">
        <f>_xll.qlCalendarAdvance(Calendar,R19,"1D","f")</f>
        <v>42163</v>
      </c>
      <c r="S20" s="47">
        <f>_xll.qlTenorBasisValue($P$3,R20,AllTriggers)</f>
        <v>4.6829516106228111E-4</v>
      </c>
      <c r="T20" s="41">
        <f>_xll.qlDayCounterYearFraction("actual/365 (fixed)",SettlementDate,R20,,,Trigger)</f>
        <v>6.8493150684931503E-2</v>
      </c>
      <c r="U20" s="47">
        <f>_xll.qlPolynomialFunctionValue($P$18,T20,AllTriggers)</f>
        <v>5.11116060428904E-4</v>
      </c>
      <c r="W20" s="48">
        <v>1</v>
      </c>
      <c r="X20" s="48" t="s">
        <v>29</v>
      </c>
      <c r="Y20" s="177">
        <f>_xll.qlCalendarAdvance(Calendar,SettlementDate,W20&amp;"M","mf",TRUE,Trigger)</f>
        <v>42170</v>
      </c>
      <c r="Z20" s="178">
        <f>_xll.qlCalendarAdvance(Calendar,SettlementDate,X20,"mf",TRUE,Trigger)</f>
        <v>42199</v>
      </c>
      <c r="AA20" s="47">
        <f>_xll.qlTenorBasisForwardRate2(TenorBasis6M,Y20,Z20,AllTriggers)</f>
        <v>-6.6714858506863579E-4</v>
      </c>
    </row>
    <row r="21" spans="7:27" ht="11.25" customHeight="1" x14ac:dyDescent="0.2">
      <c r="G21" s="60"/>
      <c r="H21" s="60"/>
      <c r="I21" s="35"/>
      <c r="J21" s="35"/>
      <c r="K21" s="35"/>
      <c r="L21" s="21"/>
      <c r="M21" s="21"/>
      <c r="N21" s="21"/>
      <c r="Q21" s="20"/>
      <c r="R21" s="212">
        <f>_xll.qlCalendarAdvance(Calendar,R20,"1D","f")</f>
        <v>42164</v>
      </c>
      <c r="S21" s="47">
        <f>_xll.qlTenorBasisValue($P$3,R21,AllTriggers)</f>
        <v>4.6822108057112258E-4</v>
      </c>
      <c r="T21" s="41">
        <f>_xll.qlDayCounterYearFraction("actual/365 (fixed)",SettlementDate,R21,,,Trigger)</f>
        <v>7.1232876712328766E-2</v>
      </c>
      <c r="U21" s="47">
        <f>_xll.qlPolynomialFunctionValue($P$18,T21,AllTriggers)</f>
        <v>5.0274188800080713E-4</v>
      </c>
      <c r="W21" s="48">
        <v>2</v>
      </c>
      <c r="X21" s="48" t="s">
        <v>23</v>
      </c>
      <c r="Y21" s="177">
        <f>_xll.qlCalendarAdvance(Calendar,SettlementDate,W21&amp;"M","mf",TRUE,Trigger)</f>
        <v>42199</v>
      </c>
      <c r="Z21" s="178">
        <f>_xll.qlCalendarAdvance(Calendar,SettlementDate,X21,"mf",TRUE,Trigger)</f>
        <v>42230</v>
      </c>
      <c r="AA21" s="47">
        <f>_xll.qlTenorBasisForwardRate2(TenorBasis6M,Y21,Z21,AllTriggers)</f>
        <v>-6.2061760241765955E-4</v>
      </c>
    </row>
    <row r="22" spans="7:27" ht="11.25" customHeight="1" x14ac:dyDescent="0.2">
      <c r="G22" s="60"/>
      <c r="H22" s="60"/>
      <c r="I22" s="35"/>
      <c r="J22" s="35"/>
      <c r="K22" s="35"/>
      <c r="L22" s="21"/>
      <c r="M22" s="21"/>
      <c r="N22" s="21"/>
      <c r="Q22" s="20"/>
      <c r="R22" s="212">
        <f>_xll.qlCalendarAdvance(Calendar,R21,"1D","f")</f>
        <v>42165</v>
      </c>
      <c r="S22" s="47">
        <f>_xll.qlTenorBasisValue($P$3,R22,AllTriggers)</f>
        <v>4.685660658709817E-4</v>
      </c>
      <c r="T22" s="41">
        <f>_xll.qlDayCounterYearFraction("actual/365 (fixed)",SettlementDate,R22,,,Trigger)</f>
        <v>7.3972602739726029E-2</v>
      </c>
      <c r="U22" s="47">
        <f>_xll.qlPolynomialFunctionValue($P$18,T22,AllTriggers)</f>
        <v>4.9504102378273467E-4</v>
      </c>
      <c r="W22" s="48">
        <v>3</v>
      </c>
      <c r="X22" s="48" t="s">
        <v>30</v>
      </c>
      <c r="Y22" s="177">
        <f>_xll.qlCalendarAdvance(Calendar,SettlementDate,W22&amp;"M","mf",TRUE,Trigger)</f>
        <v>42230</v>
      </c>
      <c r="Z22" s="178">
        <f>_xll.qlCalendarAdvance(Calendar,SettlementDate,X22,"mf",TRUE,Trigger)</f>
        <v>42261</v>
      </c>
      <c r="AA22" s="47">
        <f>_xll.qlTenorBasisForwardRate2(TenorBasis6M,Y22,Z22,AllTriggers)</f>
        <v>-6.1169738421872739E-4</v>
      </c>
    </row>
    <row r="23" spans="7:27" ht="11.25" customHeight="1" x14ac:dyDescent="0.2">
      <c r="G23" s="60"/>
      <c r="H23" s="60"/>
      <c r="I23" s="35"/>
      <c r="J23" s="35"/>
      <c r="K23" s="35"/>
      <c r="L23" s="21"/>
      <c r="M23" s="21"/>
      <c r="N23" s="21"/>
      <c r="Q23" s="20"/>
      <c r="R23" s="212">
        <f>_xll.qlCalendarAdvance(Calendar,R22,"1D","f")</f>
        <v>42166</v>
      </c>
      <c r="S23" s="47">
        <f>_xll.qlTenorBasisValue($P$3,R23,AllTriggers)</f>
        <v>4.6931444448397445E-4</v>
      </c>
      <c r="T23" s="41">
        <f>_xll.qlDayCounterYearFraction("actual/365 (fixed)",SettlementDate,R23,,,Trigger)</f>
        <v>7.6712328767123292E-2</v>
      </c>
      <c r="U23" s="47">
        <f>_xll.qlPolynomialFunctionValue($P$18,T23,AllTriggers)</f>
        <v>4.8799779529680291E-4</v>
      </c>
      <c r="W23" s="48">
        <v>4</v>
      </c>
      <c r="X23" s="48" t="s">
        <v>31</v>
      </c>
      <c r="Y23" s="177">
        <f>_xll.qlCalendarAdvance(Calendar,SettlementDate,W23&amp;"M","mf",TRUE,Trigger)</f>
        <v>42261</v>
      </c>
      <c r="Z23" s="178">
        <f>_xll.qlCalendarAdvance(Calendar,SettlementDate,X23,"mf",TRUE,Trigger)</f>
        <v>42291</v>
      </c>
      <c r="AA23" s="47">
        <f>_xll.qlTenorBasisForwardRate2(TenorBasis6M,Y23,Z23,AllTriggers)</f>
        <v>-9.882153338769406E-4</v>
      </c>
    </row>
    <row r="24" spans="7:27" ht="11.25" customHeight="1" x14ac:dyDescent="0.2">
      <c r="G24" s="60"/>
      <c r="H24" s="60"/>
      <c r="I24" s="35"/>
      <c r="J24" s="35"/>
      <c r="K24" s="35"/>
      <c r="Q24" s="20"/>
      <c r="R24" s="212">
        <f>_xll.qlCalendarAdvance(Calendar,R23,"1D","f")</f>
        <v>42167</v>
      </c>
      <c r="S24" s="47">
        <f>_xll.qlTenorBasisValue($P$3,R24,AllTriggers)</f>
        <v>4.7045054393221662E-4</v>
      </c>
      <c r="T24" s="41">
        <f>_xll.qlDayCounterYearFraction("actual/365 (fixed)",SettlementDate,R24,,,Trigger)</f>
        <v>7.9452054794520555E-2</v>
      </c>
      <c r="U24" s="47">
        <f>_xll.qlPolynomialFunctionValue($P$18,T24,AllTriggers)</f>
        <v>4.8159653006512779E-4</v>
      </c>
      <c r="W24" s="48">
        <v>5</v>
      </c>
      <c r="X24" s="48" t="s">
        <v>24</v>
      </c>
      <c r="Y24" s="177">
        <f>_xll.qlCalendarAdvance(Calendar,SettlementDate,W24&amp;"M","mf",TRUE,Trigger)</f>
        <v>42291</v>
      </c>
      <c r="Z24" s="178">
        <f>_xll.qlCalendarAdvance(Calendar,SettlementDate,X24,"mf",TRUE,Trigger)</f>
        <v>42324</v>
      </c>
      <c r="AA24" s="47">
        <f>_xll.qlTenorBasisForwardRate2(TenorBasis6M,Y24,Z24,AllTriggers)</f>
        <v>-2.7628999234971278E-3</v>
      </c>
    </row>
    <row r="25" spans="7:27" ht="11.25" customHeight="1" x14ac:dyDescent="0.2">
      <c r="G25" s="60"/>
      <c r="H25" s="60"/>
      <c r="I25" s="35"/>
      <c r="J25" s="35"/>
      <c r="K25" s="35"/>
      <c r="R25" s="212">
        <f>_xll.qlCalendarAdvance(Calendar,R24,"1D","f")</f>
        <v>42170</v>
      </c>
      <c r="S25" s="47">
        <f>_xll.qlTenorBasisValue($P$3,R25,AllTriggers)</f>
        <v>4.7602844250960175E-4</v>
      </c>
      <c r="T25" s="41">
        <f>_xll.qlDayCounterYearFraction("actual/365 (fixed)",SettlementDate,R25,,,Trigger)</f>
        <v>8.7671232876712329E-2</v>
      </c>
      <c r="U25" s="47">
        <f>_xll.qlPolynomialFunctionValue($P$18,T25,AllTriggers)</f>
        <v>4.6608778911680251E-4</v>
      </c>
      <c r="W25" s="49">
        <v>6</v>
      </c>
      <c r="X25" s="49" t="str">
        <f t="shared" ref="X25:X30" si="4">W25+SUBSTITUTE($H$1,"M","")&amp;"M"</f>
        <v>7M</v>
      </c>
      <c r="Y25" s="181">
        <f>_xll.qlCalendarAdvance(Calendar,SettlementDate,W25&amp;"M","mf",TRUE,Trigger)</f>
        <v>42324</v>
      </c>
      <c r="Z25" s="181">
        <f>_xll.qlCalendarAdvance(Calendar,SettlementDate,X25,"mf",TRUE,Trigger)</f>
        <v>42352</v>
      </c>
      <c r="AA25" s="50">
        <f>_xll.qlTenorBasisTenorForwardRate(TenorBasis6M,Y25,AllTriggers)</f>
        <v>-6.2424861287412974E-3</v>
      </c>
    </row>
    <row r="26" spans="7:27" ht="11.25" customHeight="1" x14ac:dyDescent="0.2">
      <c r="R26" s="212">
        <f>_xll.qlCalendarAdvance(Calendar,R25,"1D","f")</f>
        <v>42171</v>
      </c>
      <c r="S26" s="47">
        <f>_xll.qlTenorBasisValue($P$3,R26,AllTriggers)</f>
        <v>4.785587005200027E-4</v>
      </c>
      <c r="T26" s="41">
        <f>_xll.qlDayCounterYearFraction("actual/365 (fixed)",SettlementDate,R26,,,Trigger)</f>
        <v>9.0410958904109592E-2</v>
      </c>
      <c r="U26" s="47">
        <f>_xll.qlPolynomialFunctionValue($P$18,T26,AllTriggers)</f>
        <v>4.6209765212331397E-4</v>
      </c>
    </row>
    <row r="27" spans="7:27" ht="11.25" customHeight="1" x14ac:dyDescent="0.2">
      <c r="R27" s="212">
        <f>_xll.qlCalendarAdvance(Calendar,R26,"1D","f")</f>
        <v>42172</v>
      </c>
      <c r="S27" s="47">
        <f>_xll.qlTenorBasisValue($P$3,R27,AllTriggers)</f>
        <v>4.8139831697623347E-4</v>
      </c>
      <c r="T27" s="41">
        <f>_xll.qlDayCounterYearFraction("actual/365 (fixed)",SettlementDate,R27,,,Trigger)</f>
        <v>9.3150684931506855E-2</v>
      </c>
      <c r="U27" s="47">
        <f>_xll.qlPolynomialFunctionValue($P$18,T27,AllTriggers)</f>
        <v>4.5867111599466219E-4</v>
      </c>
    </row>
    <row r="28" spans="7:27" ht="11.25" customHeight="1" x14ac:dyDescent="0.2">
      <c r="R28" s="212">
        <f>_xll.qlCalendarAdvance(Calendar,R27,"1D","f")</f>
        <v>42173</v>
      </c>
      <c r="S28" s="47">
        <f>_xll.qlTenorBasisValue($P$3,R28,AllTriggers)</f>
        <v>4.8453161940040977E-4</v>
      </c>
      <c r="T28" s="41">
        <f>_xll.qlDayCounterYearFraction("actual/365 (fixed)",SettlementDate,R28,,,Trigger)</f>
        <v>9.5890410958904104E-2</v>
      </c>
      <c r="U28" s="47">
        <f>_xll.qlPolynomialFunctionValue($P$18,T28,AllTriggers)</f>
        <v>4.557925082529631E-4</v>
      </c>
    </row>
    <row r="29" spans="7:27" ht="11.25" customHeight="1" x14ac:dyDescent="0.2">
      <c r="R29" s="212">
        <f>_xll.qlCalendarAdvance(Calendar,R28,"1D","f")</f>
        <v>42174</v>
      </c>
      <c r="S29" s="47">
        <f>_xll.qlTenorBasisValue($P$3,R29,AllTriggers)</f>
        <v>4.8794293531464794E-4</v>
      </c>
      <c r="T29" s="41">
        <f>_xll.qlDayCounterYearFraction("actual/365 (fixed)",SettlementDate,R29,,,Trigger)</f>
        <v>9.8630136986301367E-2</v>
      </c>
      <c r="U29" s="47">
        <f>_xll.qlPolynomialFunctionValue($P$18,T29,AllTriggers)</f>
        <v>4.5344615642033261E-4</v>
      </c>
    </row>
    <row r="30" spans="7:27" ht="11.25" customHeight="1" x14ac:dyDescent="0.2">
      <c r="R30" s="212">
        <f>_xll.qlCalendarAdvance(Calendar,R29,"1D","f")</f>
        <v>42177</v>
      </c>
      <c r="S30" s="47">
        <f>_xll.qlTenorBasisValue($P$3,R30,AllTriggers)</f>
        <v>4.996882392188925E-4</v>
      </c>
      <c r="T30" s="41">
        <f>_xll.qlDayCounterYearFraction("actual/365 (fixed)",SettlementDate,R30,,,Trigger)</f>
        <v>0.10684931506849316</v>
      </c>
      <c r="U30" s="47">
        <f>_xll.qlPolynomialFunctionValue($P$18,T30,AllTriggers)</f>
        <v>4.4944391159801355E-4</v>
      </c>
    </row>
    <row r="31" spans="7:27" ht="11.25" customHeight="1" x14ac:dyDescent="0.2">
      <c r="R31" s="212">
        <f>_xll.qlCalendarAdvance(Calendar,R30,"1D","f")</f>
        <v>42178</v>
      </c>
      <c r="S31" s="47">
        <f>_xll.qlTenorBasisValue($P$3,R31,AllTriggers)</f>
        <v>5.0405488431453738E-4</v>
      </c>
      <c r="T31" s="41">
        <f>_xll.qlDayCounterYearFraction("actual/365 (fixed)",SettlementDate,R31,,,Trigger)</f>
        <v>0.1095890410958904</v>
      </c>
      <c r="U31" s="47">
        <f>_xll.qlPolynomialFunctionValue($P$18,T31,AllTriggers)</f>
        <v>4.4906985862281778E-4</v>
      </c>
    </row>
    <row r="32" spans="7:27" ht="11.25" customHeight="1" x14ac:dyDescent="0.2">
      <c r="R32" s="212">
        <f>_xll.qlCalendarAdvance(Calendar,R31,"1D","f")</f>
        <v>42179</v>
      </c>
      <c r="S32" s="47">
        <f>_xll.qlTenorBasisValue($P$3,R32,AllTriggers)</f>
        <v>5.0862118051082418E-4</v>
      </c>
      <c r="T32" s="41">
        <f>_xll.qlDayCounterYearFraction("actual/365 (fixed)",SettlementDate,R32,,,Trigger)</f>
        <v>0.11232876712328767</v>
      </c>
      <c r="U32" s="47">
        <f>_xll.qlPolynomialFunctionValue($P$18,T32,AllTriggers)</f>
        <v>4.491496991672712E-4</v>
      </c>
    </row>
    <row r="33" spans="7:21" ht="11.25" customHeight="1" x14ac:dyDescent="0.2">
      <c r="R33" s="212">
        <f>_xll.qlCalendarAdvance(Calendar,R32,"1D","f")</f>
        <v>42180</v>
      </c>
      <c r="S33" s="47">
        <f>_xll.qlTenorBasisValue($P$3,R33,AllTriggers)</f>
        <v>5.1337145532986863E-4</v>
      </c>
      <c r="T33" s="41">
        <f>_xll.qlDayCounterYearFraction("actual/365 (fixed)",SettlementDate,R33,,,Trigger)</f>
        <v>0.11506849315068493</v>
      </c>
      <c r="U33" s="47">
        <f>_xll.qlPolynomialFunctionValue($P$18,T33,AllTriggers)</f>
        <v>4.4966776075348902E-4</v>
      </c>
    </row>
    <row r="34" spans="7:21" ht="11.25" customHeight="1" x14ac:dyDescent="0.2">
      <c r="R34" s="212">
        <f>_xll.qlCalendarAdvance(Calendar,R33,"1D","f")</f>
        <v>42181</v>
      </c>
      <c r="S34" s="47">
        <f>_xll.qlTenorBasisValue($P$3,R34,AllTriggers)</f>
        <v>5.182900362937868E-4</v>
      </c>
      <c r="T34" s="41">
        <f>_xll.qlDayCounterYearFraction("actual/365 (fixed)",SettlementDate,R34,,,Trigger)</f>
        <v>0.11780821917808219</v>
      </c>
      <c r="U34" s="47">
        <f>_xll.qlPolynomialFunctionValue($P$18,T34,AllTriggers)</f>
        <v>4.5060837090358754E-4</v>
      </c>
    </row>
    <row r="35" spans="7:21" ht="11.25" customHeight="1" x14ac:dyDescent="0.2">
      <c r="R35" s="212">
        <f>_xll.qlCalendarAdvance(Calendar,R34,"1D","f")</f>
        <v>42184</v>
      </c>
      <c r="S35" s="47">
        <f>_xll.qlTenorBasisValue($P$3,R35,AllTriggers)</f>
        <v>5.3389889127594399E-4</v>
      </c>
      <c r="T35" s="41">
        <f>_xll.qlDayCounterYearFraction("actual/365 (fixed)",SettlementDate,R35,,,Trigger)</f>
        <v>0.12602739726027398</v>
      </c>
      <c r="U35" s="47">
        <f>_xll.qlPolynomialFunctionValue($P$18,T35,AllTriggers)</f>
        <v>4.5580876795832794E-4</v>
      </c>
    </row>
    <row r="36" spans="7:21" ht="11.25" customHeight="1" x14ac:dyDescent="0.2">
      <c r="R36" s="212">
        <f>_xll.qlCalendarAdvance(Calendar,R35,"1D","f")</f>
        <v>42185</v>
      </c>
      <c r="S36" s="47">
        <f>_xll.qlTenorBasisValue($P$3,R36,AllTriggers)</f>
        <v>5.3933397204051711E-4</v>
      </c>
      <c r="T36" s="41">
        <f>_xll.qlDayCounterYearFraction("actual/365 (fixed)",SettlementDate,R36,,,Trigger)</f>
        <v>0.12876712328767123</v>
      </c>
      <c r="U36" s="47">
        <f>_xll.qlPolynomialFunctionValue($P$18,T36,AllTriggers)</f>
        <v>4.5828284758510937E-4</v>
      </c>
    </row>
    <row r="37" spans="7:21" ht="11.25" customHeight="1" x14ac:dyDescent="0.2">
      <c r="R37" s="212">
        <f>_xll.qlCalendarAdvance(Calendar,R36,"1D","f")</f>
        <v>42186</v>
      </c>
      <c r="S37" s="47">
        <f>_xll.qlTenorBasisValue($P$3,R37,AllTriggers)</f>
        <v>5.4485899656054422E-4</v>
      </c>
      <c r="T37" s="41">
        <f>_xll.qlDayCounterYearFraction("actual/365 (fixed)",SettlementDate,R37,,,Trigger)</f>
        <v>0.13150684931506848</v>
      </c>
      <c r="U37" s="47">
        <f>_xll.qlPolynomialFunctionValue($P$18,T37,AllTriggers)</f>
        <v>4.611011133863519E-4</v>
      </c>
    </row>
    <row r="38" spans="7:21" ht="11.25" customHeight="1" x14ac:dyDescent="0.2">
      <c r="R38" s="212">
        <f>_xll.qlCalendarAdvance(Calendar,R37,"1D","f")</f>
        <v>42187</v>
      </c>
      <c r="S38" s="47">
        <f>_xll.qlTenorBasisValue($P$3,R38,AllTriggers)</f>
        <v>5.5045829235814093E-4</v>
      </c>
      <c r="T38" s="41">
        <f>_xll.qlDayCounterYearFraction("actual/365 (fixed)",SettlementDate,R38,,,Trigger)</f>
        <v>0.13424657534246576</v>
      </c>
      <c r="U38" s="47">
        <f>_xll.qlPolynomialFunctionValue($P$18,T38,AllTriggers)</f>
        <v>4.6424789288417094E-4</v>
      </c>
    </row>
    <row r="39" spans="7:21" ht="11.25" customHeight="1" x14ac:dyDescent="0.2">
      <c r="R39" s="212">
        <f>_xll.qlCalendarAdvance(Calendar,R38,"1D","f")</f>
        <v>42188</v>
      </c>
      <c r="S39" s="47">
        <f>_xll.qlTenorBasisValue($P$3,R39,AllTriggers)</f>
        <v>5.5611618695542353E-4</v>
      </c>
      <c r="T39" s="41">
        <f>_xll.qlDayCounterYearFraction("actual/365 (fixed)",SettlementDate,R39,,,Trigger)</f>
        <v>0.13698630136986301</v>
      </c>
      <c r="U39" s="47">
        <f>_xll.qlPolynomialFunctionValue($P$18,T39,AllTriggers)</f>
        <v>4.6770751360068297E-4</v>
      </c>
    </row>
    <row r="40" spans="7:21" ht="11.25" customHeight="1" x14ac:dyDescent="0.2">
      <c r="R40" s="212">
        <f>_xll.qlCalendarAdvance(Calendar,R39,"1D","f")</f>
        <v>42191</v>
      </c>
      <c r="S40" s="47">
        <f>_xll.qlTenorBasisValue($P$3,R40,AllTriggers)</f>
        <v>5.7328473876654639E-4</v>
      </c>
      <c r="T40" s="41">
        <f>_xll.qlDayCounterYearFraction("actual/365 (fixed)",SettlementDate,R40,,,Trigger)</f>
        <v>0.14520547945205478</v>
      </c>
      <c r="U40" s="47">
        <f>_xll.qlPolynomialFunctionValue($P$18,T40,AllTriggers)</f>
        <v>4.7980669828353575E-4</v>
      </c>
    </row>
    <row r="41" spans="7:21" ht="11.25" customHeight="1" x14ac:dyDescent="0.2">
      <c r="R41" s="212">
        <f>_xll.qlCalendarAdvance(Calendar,R40,"1D","f")</f>
        <v>42192</v>
      </c>
      <c r="S41" s="47">
        <f>_xll.qlTenorBasisValue($P$3,R41,AllTriggers)</f>
        <v>5.790203037837324E-4</v>
      </c>
      <c r="T41" s="41">
        <f>_xll.qlDayCounterYearFraction("actual/365 (fixed)",SettlementDate,R41,,,Trigger)</f>
        <v>0.14794520547945206</v>
      </c>
      <c r="U41" s="47">
        <f>_xll.qlPolynomialFunctionValue($P$18,T41,AllTriggers)</f>
        <v>4.8436095909597926E-4</v>
      </c>
    </row>
    <row r="42" spans="7:21" ht="11.25" customHeight="1" x14ac:dyDescent="0.2">
      <c r="R42" s="212">
        <f>_xll.qlCalendarAdvance(Calendar,R41,"1D","f")</f>
        <v>42193</v>
      </c>
      <c r="S42" s="47">
        <f>_xll.qlTenorBasisValue($P$3,R42,AllTriggers)</f>
        <v>5.8473610521118415E-4</v>
      </c>
      <c r="T42" s="41">
        <f>_xll.qlDayCounterYearFraction("actual/365 (fixed)",SettlementDate,R42,,,Trigger)</f>
        <v>0.15068493150684931</v>
      </c>
      <c r="U42" s="47">
        <f>_xll.qlPolynomialFunctionValue($P$18,T42,AllTriggers)</f>
        <v>4.8914969873769523E-4</v>
      </c>
    </row>
    <row r="43" spans="7:21" ht="11.25" customHeight="1" x14ac:dyDescent="0.2">
      <c r="G43" s="60"/>
      <c r="H43" s="60"/>
      <c r="I43" s="35"/>
      <c r="J43" s="35"/>
      <c r="K43" s="35"/>
      <c r="R43" s="212">
        <f>_xll.qlCalendarAdvance(Calendar,R42,"1D","f")</f>
        <v>42194</v>
      </c>
      <c r="S43" s="47">
        <f>_xll.qlTenorBasisValue($P$3,R43,AllTriggers)</f>
        <v>5.9041647057101767E-4</v>
      </c>
      <c r="T43" s="41">
        <f>_xll.qlDayCounterYearFraction("actual/365 (fixed)",SettlementDate,R43,,,Trigger)</f>
        <v>0.15342465753424658</v>
      </c>
      <c r="U43" s="47">
        <f>_xll.qlPolynomialFunctionValue($P$18,T43,AllTriggers)</f>
        <v>4.9415724473080025E-4</v>
      </c>
    </row>
    <row r="44" spans="7:21" ht="11.25" customHeight="1" x14ac:dyDescent="0.2">
      <c r="G44" s="60"/>
      <c r="H44" s="60"/>
      <c r="I44" s="35"/>
      <c r="J44" s="35"/>
      <c r="K44" s="35"/>
      <c r="R44" s="212">
        <f>_xll.qlCalendarAdvance(Calendar,R43,"1D","f")</f>
        <v>42195</v>
      </c>
      <c r="S44" s="47">
        <f>_xll.qlTenorBasisValue($P$3,R44,AllTriggers)</f>
        <v>5.9604572738534913E-4</v>
      </c>
      <c r="T44" s="41">
        <f>_xll.qlDayCounterYearFraction("actual/365 (fixed)",SettlementDate,R44,,,Trigger)</f>
        <v>0.15616438356164383</v>
      </c>
      <c r="U44" s="47">
        <f>_xll.qlPolynomialFunctionValue($P$18,T44,AllTriggers)</f>
        <v>4.9936792459740983E-4</v>
      </c>
    </row>
    <row r="45" spans="7:21" ht="11.25" customHeight="1" x14ac:dyDescent="0.2">
      <c r="G45" s="60"/>
      <c r="H45" s="60"/>
      <c r="I45" s="35"/>
      <c r="J45" s="35"/>
      <c r="K45" s="35"/>
      <c r="R45" s="212">
        <f>_xll.qlCalendarAdvance(Calendar,R44,"1D","f")</f>
        <v>42198</v>
      </c>
      <c r="S45" s="47">
        <f>_xll.qlTenorBasisValue($P$3,R45,AllTriggers)</f>
        <v>6.1247012177649085E-4</v>
      </c>
      <c r="T45" s="41">
        <f>_xll.qlDayCounterYearFraction("actual/365 (fixed)",SettlementDate,R45,,,Trigger)</f>
        <v>0.16438356164383561</v>
      </c>
      <c r="U45" s="47">
        <f>_xll.qlPolynomialFunctionValue($P$18,T45,AllTriggers)</f>
        <v>5.1606204265942826E-4</v>
      </c>
    </row>
    <row r="46" spans="7:21" ht="11.25" customHeight="1" x14ac:dyDescent="0.2">
      <c r="G46" s="60"/>
      <c r="H46" s="60"/>
      <c r="I46" s="35"/>
      <c r="J46" s="35"/>
      <c r="K46" s="35"/>
      <c r="R46" s="212">
        <f>_xll.qlCalendarAdvance(Calendar,R45,"1D","f")</f>
        <v>42199</v>
      </c>
      <c r="S46" s="47">
        <f>_xll.qlTenorBasisValue($P$3,R46,AllTriggers)</f>
        <v>6.1773821962997366E-4</v>
      </c>
      <c r="T46" s="41">
        <f>_xll.qlDayCounterYearFraction("actual/365 (fixed)",SettlementDate,R46,,,Trigger)</f>
        <v>0.16712328767123288</v>
      </c>
      <c r="U46" s="47">
        <f>_xll.qlPolynomialFunctionValue($P$18,T46,AllTriggers)</f>
        <v>5.2192853324121719E-4</v>
      </c>
    </row>
    <row r="47" spans="7:21" ht="11.25" customHeight="1" x14ac:dyDescent="0.2">
      <c r="G47" s="60"/>
      <c r="H47" s="60"/>
      <c r="I47" s="35"/>
      <c r="J47" s="35"/>
      <c r="K47" s="35"/>
      <c r="R47" s="212">
        <f>_xll.qlCalendarAdvance(Calendar,R46,"1D","f")</f>
        <v>42200</v>
      </c>
      <c r="S47" s="47">
        <f>_xll.qlTenorBasisValue($P$3,R47,AllTriggers)</f>
        <v>6.2287684654853436E-4</v>
      </c>
      <c r="T47" s="41">
        <f>_xll.qlDayCounterYearFraction("actual/365 (fixed)",SettlementDate,R47,,,Trigger)</f>
        <v>0.16986301369863013</v>
      </c>
      <c r="U47" s="47">
        <f>_xll.qlPolynomialFunctionValue($P$18,T47,AllTriggers)</f>
        <v>5.2791979530709152E-4</v>
      </c>
    </row>
    <row r="48" spans="7:21" ht="11.25" customHeight="1" x14ac:dyDescent="0.2">
      <c r="G48" s="60"/>
      <c r="H48" s="60"/>
      <c r="I48" s="35"/>
      <c r="J48" s="35"/>
      <c r="K48" s="35"/>
      <c r="R48" s="212">
        <f>_xll.qlCalendarAdvance(Calendar,R47,"1D","f")</f>
        <v>42201</v>
      </c>
      <c r="S48" s="47">
        <f>_xll.qlTenorBasisValue($P$3,R48,AllTriggers)</f>
        <v>6.2787033005428934E-4</v>
      </c>
      <c r="T48" s="41">
        <f>_xll.qlDayCounterYearFraction("actual/365 (fixed)",SettlementDate,R48,,,Trigger)</f>
        <v>0.17260273972602741</v>
      </c>
      <c r="U48" s="47">
        <f>_xll.qlPolynomialFunctionValue($P$18,T48,AllTriggers)</f>
        <v>5.3402015637916674E-4</v>
      </c>
    </row>
    <row r="49" spans="7:21" ht="11.25" customHeight="1" x14ac:dyDescent="0.2">
      <c r="G49" s="60"/>
      <c r="H49" s="60"/>
      <c r="I49" s="35"/>
      <c r="J49" s="35"/>
      <c r="K49" s="35"/>
      <c r="R49" s="212">
        <f>_xll.qlCalendarAdvance(Calendar,R48,"1D","f")</f>
        <v>42202</v>
      </c>
      <c r="S49" s="47">
        <f>_xll.qlTenorBasisValue($P$3,R49,AllTriggers)</f>
        <v>6.3270299766935388E-4</v>
      </c>
      <c r="T49" s="41">
        <f>_xll.qlDayCounterYearFraction("actual/365 (fixed)",SettlementDate,R49,,,Trigger)</f>
        <v>0.17534246575342466</v>
      </c>
      <c r="U49" s="47">
        <f>_xll.qlPolynomialFunctionValue($P$18,T49,AllTriggers)</f>
        <v>5.4021394397955858E-4</v>
      </c>
    </row>
    <row r="50" spans="7:21" ht="11.25" customHeight="1" x14ac:dyDescent="0.2">
      <c r="G50" s="60"/>
      <c r="H50" s="60"/>
      <c r="I50" s="35"/>
      <c r="J50" s="35"/>
      <c r="K50" s="35"/>
      <c r="R50" s="212">
        <f>_xll.qlCalendarAdvance(Calendar,R49,"1D","f")</f>
        <v>42205</v>
      </c>
      <c r="S50" s="47">
        <f>_xll.qlTenorBasisValue($P$3,R50,AllTriggers)</f>
        <v>6.4607938039156745E-4</v>
      </c>
      <c r="T50" s="41">
        <f>_xll.qlDayCounterYearFraction("actual/365 (fixed)",SettlementDate,R50,,,Trigger)</f>
        <v>0.18356164383561643</v>
      </c>
      <c r="U50" s="47">
        <f>_xll.qlPolynomialFunctionValue($P$18,T50,AllTriggers)</f>
        <v>5.5919914117179574E-4</v>
      </c>
    </row>
    <row r="51" spans="7:21" ht="11.25" customHeight="1" x14ac:dyDescent="0.2">
      <c r="G51" s="60"/>
      <c r="H51" s="60"/>
      <c r="I51" s="35"/>
      <c r="J51" s="35"/>
      <c r="K51" s="35"/>
      <c r="R51" s="212">
        <f>_xll.qlCalendarAdvance(Calendar,R50,"1D","f")</f>
        <v>42206</v>
      </c>
      <c r="S51" s="47">
        <f>_xll.qlTenorBasisValue($P$3,R51,AllTriggers)</f>
        <v>6.501120596650317E-4</v>
      </c>
      <c r="T51" s="41">
        <f>_xll.qlDayCounterYearFraction("actual/365 (fixed)",SettlementDate,R51,,,Trigger)</f>
        <v>0.18630136986301371</v>
      </c>
      <c r="U51" s="47">
        <f>_xll.qlPolynomialFunctionValue($P$18,T51,AllTriggers)</f>
        <v>5.656099101066153E-4</v>
      </c>
    </row>
    <row r="52" spans="7:21" ht="11.25" customHeight="1" x14ac:dyDescent="0.2">
      <c r="G52" s="60"/>
      <c r="H52" s="60"/>
      <c r="I52" s="35"/>
      <c r="J52" s="35"/>
      <c r="K52" s="35"/>
      <c r="R52" s="212">
        <f>_xll.qlCalendarAdvance(Calendar,R51,"1D","f")</f>
        <v>42207</v>
      </c>
      <c r="S52" s="47">
        <f>_xll.qlTenorBasisValue($P$3,R52,AllTriggers)</f>
        <v>6.5390556065838591E-4</v>
      </c>
      <c r="T52" s="41">
        <f>_xll.qlDayCounterYearFraction("actual/365 (fixed)",SettlementDate,R52,,,Trigger)</f>
        <v>0.18904109589041096</v>
      </c>
      <c r="U52" s="47">
        <f>_xll.qlPolynomialFunctionValue($P$18,T52,AllTriggers)</f>
        <v>5.7203574318033165E-4</v>
      </c>
    </row>
    <row r="53" spans="7:21" ht="11.25" customHeight="1" x14ac:dyDescent="0.2">
      <c r="G53" s="60"/>
      <c r="H53" s="60"/>
      <c r="I53" s="35"/>
      <c r="J53" s="35"/>
      <c r="K53" s="35"/>
      <c r="R53" s="212">
        <f>_xll.qlCalendarAdvance(Calendar,R52,"1D","f")</f>
        <v>42208</v>
      </c>
      <c r="S53" s="47">
        <f>_xll.qlTenorBasisValue($P$3,R53,AllTriggers)</f>
        <v>6.5744421089374591E-4</v>
      </c>
      <c r="T53" s="41">
        <f>_xll.qlDayCounterYearFraction("actual/365 (fixed)",SettlementDate,R53,,,Trigger)</f>
        <v>0.19178082191780821</v>
      </c>
      <c r="U53" s="47">
        <f>_xll.qlPolynomialFunctionValue($P$18,T53,AllTriggers)</f>
        <v>5.7846096791506108E-4</v>
      </c>
    </row>
    <row r="54" spans="7:21" x14ac:dyDescent="0.2">
      <c r="R54" s="212">
        <f>_xll.qlCalendarAdvance(Calendar,R53,"1D","f")</f>
        <v>42209</v>
      </c>
      <c r="S54" s="47">
        <f>_xll.qlTenorBasisValue($P$3,R54,AllTriggers)</f>
        <v>6.6071233789322798E-4</v>
      </c>
      <c r="T54" s="41">
        <f>_xll.qlDayCounterYearFraction("actual/365 (fixed)",SettlementDate,R54,,,Trigger)</f>
        <v>0.19452054794520549</v>
      </c>
      <c r="U54" s="47">
        <f>_xll.qlPolynomialFunctionValue($P$18,T54,AllTriggers)</f>
        <v>5.8486991183291919E-4</v>
      </c>
    </row>
    <row r="55" spans="7:21" x14ac:dyDescent="0.2">
      <c r="R55" s="212">
        <f>_xll.qlCalendarAdvance(Calendar,R54,"1D","f")</f>
        <v>42212</v>
      </c>
      <c r="S55" s="47">
        <f>_xll.qlTenorBasisValue($P$3,R55,AllTriggers)</f>
        <v>6.6873685469756648E-4</v>
      </c>
      <c r="T55" s="41">
        <f>_xll.qlDayCounterYearFraction("actual/365 (fixed)",SettlementDate,R55,,,Trigger)</f>
        <v>0.20273972602739726</v>
      </c>
      <c r="U55" s="47">
        <f>_xll.qlPolynomialFunctionValue($P$18,T55,AllTriggers)</f>
        <v>6.0384233390642817E-4</v>
      </c>
    </row>
    <row r="56" spans="7:21" x14ac:dyDescent="0.2">
      <c r="R56" s="212">
        <f>_xll.qlCalendarAdvance(Calendar,R55,"1D","f")</f>
        <v>42213</v>
      </c>
      <c r="S56" s="47">
        <f>_xll.qlTenorBasisValue($P$3,R56,AllTriggers)</f>
        <v>6.7076616397469661E-4</v>
      </c>
      <c r="T56" s="41">
        <f>_xll.qlDayCounterYearFraction("actual/365 (fixed)",SettlementDate,R56,,,Trigger)</f>
        <v>0.20547945205479451</v>
      </c>
      <c r="U56" s="47">
        <f>_xll.qlPolynomialFunctionValue($P$18,T56,AllTriggers)</f>
        <v>6.1002942977796191E-4</v>
      </c>
    </row>
    <row r="57" spans="7:21" x14ac:dyDescent="0.2">
      <c r="R57" s="212">
        <f>_xll.qlCalendarAdvance(Calendar,R56,"1D","f")</f>
        <v>42214</v>
      </c>
      <c r="S57" s="47">
        <f>_xll.qlTenorBasisValue($P$3,R57,AllTriggers)</f>
        <v>6.7244658762652854E-4</v>
      </c>
      <c r="T57" s="41">
        <f>_xll.qlDayCounterYearFraction("actual/365 (fixed)",SettlementDate,R57,,,Trigger)</f>
        <v>0.20821917808219179</v>
      </c>
      <c r="U57" s="47">
        <f>_xll.qlPolynomialFunctionValue($P$18,T57,AllTriggers)</f>
        <v>6.1612188244320517E-4</v>
      </c>
    </row>
    <row r="58" spans="7:21" x14ac:dyDescent="0.2">
      <c r="R58" s="212">
        <f>_xll.qlCalendarAdvance(Calendar,R57,"1D","f")</f>
        <v>42215</v>
      </c>
      <c r="S58" s="47">
        <f>_xll.qlTenorBasisValue($P$3,R58,AllTriggers)</f>
        <v>6.7376245317517908E-4</v>
      </c>
      <c r="T58" s="41">
        <f>_xll.qlDayCounterYearFraction("actual/365 (fixed)",SettlementDate,R58,,,Trigger)</f>
        <v>0.21095890410958903</v>
      </c>
      <c r="U58" s="47">
        <f>_xll.qlPolynomialFunctionValue($P$18,T58,AllTriggers)</f>
        <v>6.2210401942427345E-4</v>
      </c>
    </row>
    <row r="59" spans="7:21" x14ac:dyDescent="0.2">
      <c r="R59" s="212">
        <f>_xll.qlCalendarAdvance(Calendar,R58,"1D","f")</f>
        <v>42216</v>
      </c>
      <c r="S59" s="47">
        <f>_xll.qlTenorBasisValue($P$3,R59,AllTriggers)</f>
        <v>6.746980881427631E-4</v>
      </c>
      <c r="T59" s="41">
        <f>_xll.qlDayCounterYearFraction("actual/365 (fixed)",SettlementDate,R59,,,Trigger)</f>
        <v>0.21369863013698631</v>
      </c>
      <c r="U59" s="47">
        <f>_xll.qlPolynomialFunctionValue($P$18,T59,AllTriggers)</f>
        <v>6.2796016824328291E-4</v>
      </c>
    </row>
    <row r="60" spans="7:21" x14ac:dyDescent="0.2">
      <c r="R60" s="212">
        <f>_xll.qlCalendarAdvance(Calendar,R59,"1D","f")</f>
        <v>42219</v>
      </c>
      <c r="S60" s="47">
        <f>_xll.qlTenorBasisValue($P$3,R60,AllTriggers)</f>
        <v>6.7506688478027941E-4</v>
      </c>
      <c r="T60" s="41">
        <f>_xll.qlDayCounterYearFraction("actual/365 (fixed)",SettlementDate,R60,,,Trigger)</f>
        <v>0.22191780821917809</v>
      </c>
      <c r="U60" s="47">
        <f>_xll.qlPolynomialFunctionValue($P$18,T60,AllTriggers)</f>
        <v>6.4461596094911723E-4</v>
      </c>
    </row>
    <row r="61" spans="7:21" x14ac:dyDescent="0.2">
      <c r="R61" s="212">
        <f>_xll.qlCalendarAdvance(Calendar,R60,"1D","f")</f>
        <v>42220</v>
      </c>
      <c r="S61" s="47">
        <f>_xll.qlTenorBasisValue($P$3,R61,AllTriggers)</f>
        <v>6.7432487264476007E-4</v>
      </c>
      <c r="T61" s="41">
        <f>_xll.qlDayCounterYearFraction("actual/365 (fixed)",SettlementDate,R61,,,Trigger)</f>
        <v>0.22465753424657534</v>
      </c>
      <c r="U61" s="47">
        <f>_xll.qlPolynomialFunctionValue($P$18,T61,AllTriggers)</f>
        <v>6.4981143234105047E-4</v>
      </c>
    </row>
    <row r="62" spans="7:21" x14ac:dyDescent="0.2">
      <c r="R62" s="212">
        <f>_xll.qlCalendarAdvance(Calendar,R61,"1D","f")</f>
        <v>42221</v>
      </c>
      <c r="S62" s="47">
        <f>_xll.qlTenorBasisValue($P$3,R62,AllTriggers)</f>
        <v>6.7312426753875351E-4</v>
      </c>
      <c r="T62" s="41">
        <f>_xll.qlDayCounterYearFraction("actual/365 (fixed)",SettlementDate,R62,,,Trigger)</f>
        <v>0.22739726027397261</v>
      </c>
      <c r="U62" s="47">
        <f>_xll.qlPolynomialFunctionValue($P$18,T62,AllTriggers)</f>
        <v>6.5480255318150441E-4</v>
      </c>
    </row>
    <row r="63" spans="7:21" x14ac:dyDescent="0.2">
      <c r="R63" s="212">
        <f>_xll.qlCalendarAdvance(Calendar,R62,"1D","f")</f>
        <v>42222</v>
      </c>
      <c r="S63" s="47">
        <f>_xll.qlTenorBasisValue($P$3,R63,AllTriggers)</f>
        <v>6.7144939698437827E-4</v>
      </c>
      <c r="T63" s="41">
        <f>_xll.qlDayCounterYearFraction("actual/365 (fixed)",SettlementDate,R63,,,Trigger)</f>
        <v>0.23013698630136986</v>
      </c>
      <c r="U63" s="47">
        <f>_xll.qlPolynomialFunctionValue($P$18,T63,AllTriggers)</f>
        <v>6.5957365099259587E-4</v>
      </c>
    </row>
    <row r="64" spans="7:21" x14ac:dyDescent="0.2">
      <c r="R64" s="212">
        <f>_xll.qlCalendarAdvance(Calendar,R63,"1D","f")</f>
        <v>42223</v>
      </c>
      <c r="S64" s="47">
        <f>_xll.qlTenorBasisValue($P$3,R64,AllTriggers)</f>
        <v>6.6928458850374836E-4</v>
      </c>
      <c r="T64" s="41">
        <f>_xll.qlDayCounterYearFraction("actual/365 (fixed)",SettlementDate,R64,,,Trigger)</f>
        <v>0.23287671232876711</v>
      </c>
      <c r="U64" s="47">
        <f>_xll.qlPolynomialFunctionValue($P$18,T64,AllTriggers)</f>
        <v>6.6410905329643971E-4</v>
      </c>
    </row>
    <row r="65" spans="18:21" x14ac:dyDescent="0.2">
      <c r="R65" s="212">
        <f>_xll.qlCalendarAdvance(Calendar,R64,"1D","f")</f>
        <v>42226</v>
      </c>
      <c r="S65" s="47">
        <f>_xll.qlTenorBasisValue($P$3,R65,AllTriggers)</f>
        <v>6.5969381072549611E-4</v>
      </c>
      <c r="T65" s="41">
        <f>_xll.qlDayCounterYearFraction("actual/365 (fixed)",SettlementDate,R65,,,Trigger)</f>
        <v>0.24109589041095891</v>
      </c>
      <c r="U65" s="47">
        <f>_xll.qlPolynomialFunctionValue($P$18,T65,AllTriggers)</f>
        <v>6.7614436238565149E-4</v>
      </c>
    </row>
    <row r="66" spans="18:21" x14ac:dyDescent="0.2">
      <c r="R66" s="212">
        <f>_xll.qlCalendarAdvance(Calendar,R65,"1D","f")</f>
        <v>42227</v>
      </c>
      <c r="S66" s="47">
        <f>_xll.qlTenorBasisValue($P$3,R66,AllTriggers)</f>
        <v>6.5541252576101E-4</v>
      </c>
      <c r="T66" s="41">
        <f>_xll.qlDayCounterYearFraction("actual/365 (fixed)",SettlementDate,R66,,,Trigger)</f>
        <v>0.24383561643835616</v>
      </c>
      <c r="U66" s="47">
        <f>_xll.qlPolynomialFunctionValue($P$18,T66,AllTriggers)</f>
        <v>6.7958025788166778E-4</v>
      </c>
    </row>
    <row r="67" spans="18:21" x14ac:dyDescent="0.2">
      <c r="R67" s="212">
        <f>_xll.qlCalendarAdvance(Calendar,R66,"1D","f")</f>
        <v>42228</v>
      </c>
      <c r="S67" s="47">
        <f>_xll.qlTenorBasisValue($P$3,R67,AllTriggers)</f>
        <v>6.5056294048085133E-4</v>
      </c>
      <c r="T67" s="41">
        <f>_xll.qlDayCounterYearFraction("actual/365 (fixed)",SettlementDate,R67,,,Trigger)</f>
        <v>0.24657534246575341</v>
      </c>
      <c r="U67" s="47">
        <f>_xll.qlPolynomialFunctionValue($P$18,T67,AllTriggers)</f>
        <v>6.8270209548101815E-4</v>
      </c>
    </row>
    <row r="68" spans="18:21" x14ac:dyDescent="0.2">
      <c r="R68" s="212">
        <f>_xll.qlCalendarAdvance(Calendar,R67,"1D","f")</f>
        <v>42229</v>
      </c>
      <c r="S68" s="47">
        <f>_xll.qlTenorBasisValue($P$3,R68,AllTriggers)</f>
        <v>6.451293824071341E-4</v>
      </c>
      <c r="T68" s="41">
        <f>_xll.qlDayCounterYearFraction("actual/365 (fixed)",SettlementDate,R68,,,Trigger)</f>
        <v>0.24931506849315069</v>
      </c>
      <c r="U68" s="47">
        <f>_xll.qlPolynomialFunctionValue($P$18,T68,AllTriggers)</f>
        <v>6.8549420270581658E-4</v>
      </c>
    </row>
    <row r="69" spans="18:21" x14ac:dyDescent="0.2">
      <c r="R69" s="212">
        <f>_xll.qlCalendarAdvance(Calendar,R68,"1D","f")</f>
        <v>42230</v>
      </c>
      <c r="S69" s="47">
        <f>_xll.qlTenorBasisValue($P$3,R69,AllTriggers)</f>
        <v>6.3909617906197577E-4</v>
      </c>
      <c r="T69" s="41">
        <f>_xll.qlDayCounterYearFraction("actual/365 (fixed)",SettlementDate,R69,,,Trigger)</f>
        <v>0.25205479452054796</v>
      </c>
      <c r="U69" s="47">
        <f>_xll.qlPolynomialFunctionValue($P$18,T69,AllTriggers)</f>
        <v>6.879409070781814E-4</v>
      </c>
    </row>
    <row r="70" spans="18:21" x14ac:dyDescent="0.2">
      <c r="R70" s="213">
        <f>_xll.qlCalendarAdvance(Calendar,R69,"1D","f")</f>
        <v>42233</v>
      </c>
      <c r="S70" s="50">
        <f>_xll.qlTenorBasisValue($P$3,R70,AllTriggers)</f>
        <v>6.1724197261900675E-4</v>
      </c>
      <c r="T70" s="44">
        <f>_xll.qlDayCounterYearFraction("actual/365 (fixed)",SettlementDate,R70,,,Trigger)</f>
        <v>0.26027397260273971</v>
      </c>
      <c r="U70" s="50">
        <f>_xll.qlPolynomialFunctionValue($P$18,T70,AllTriggers)</f>
        <v>6.9305187830182372E-4</v>
      </c>
    </row>
    <row r="71" spans="18:21" x14ac:dyDescent="0.2">
      <c r="R71" s="61"/>
    </row>
    <row r="72" spans="18:21" x14ac:dyDescent="0.2">
      <c r="R72" s="61"/>
    </row>
    <row r="73" spans="18:21" x14ac:dyDescent="0.2">
      <c r="R73" s="61"/>
    </row>
    <row r="74" spans="18:21" x14ac:dyDescent="0.2">
      <c r="R74" s="61"/>
    </row>
    <row r="75" spans="18:21" x14ac:dyDescent="0.2">
      <c r="R75" s="61"/>
    </row>
    <row r="76" spans="18:21" x14ac:dyDescent="0.2">
      <c r="R76" s="61"/>
    </row>
    <row r="77" spans="18:21" x14ac:dyDescent="0.2">
      <c r="R77" s="61"/>
    </row>
    <row r="78" spans="18:21" x14ac:dyDescent="0.2">
      <c r="R78" s="61"/>
    </row>
    <row r="79" spans="18:21" x14ac:dyDescent="0.2">
      <c r="R79" s="61"/>
    </row>
    <row r="80" spans="18:21" x14ac:dyDescent="0.2">
      <c r="R80" s="61"/>
    </row>
    <row r="81" spans="18:18" x14ac:dyDescent="0.2">
      <c r="R81" s="61"/>
    </row>
    <row r="82" spans="18:18" x14ac:dyDescent="0.2">
      <c r="R82" s="61"/>
    </row>
    <row r="83" spans="18:18" x14ac:dyDescent="0.2">
      <c r="R83" s="61"/>
    </row>
    <row r="84" spans="18:18" x14ac:dyDescent="0.2">
      <c r="R84" s="61"/>
    </row>
    <row r="85" spans="18:18" x14ac:dyDescent="0.2">
      <c r="R85" s="61"/>
    </row>
    <row r="86" spans="18:18" x14ac:dyDescent="0.2">
      <c r="R86" s="61"/>
    </row>
    <row r="87" spans="18:18" x14ac:dyDescent="0.2">
      <c r="R87" s="61"/>
    </row>
    <row r="88" spans="18:18" x14ac:dyDescent="0.2">
      <c r="R88" s="61"/>
    </row>
    <row r="89" spans="18:18" x14ac:dyDescent="0.2">
      <c r="R89" s="61"/>
    </row>
    <row r="90" spans="18:18" x14ac:dyDescent="0.2">
      <c r="R90" s="61"/>
    </row>
    <row r="91" spans="18:18" x14ac:dyDescent="0.2">
      <c r="R91" s="61"/>
    </row>
    <row r="92" spans="18:18" x14ac:dyDescent="0.2">
      <c r="R92" s="61"/>
    </row>
    <row r="93" spans="18:18" x14ac:dyDescent="0.2">
      <c r="R93" s="61"/>
    </row>
    <row r="94" spans="18:18" x14ac:dyDescent="0.2">
      <c r="R94" s="61"/>
    </row>
    <row r="95" spans="18:18" x14ac:dyDescent="0.2">
      <c r="R95" s="61"/>
    </row>
    <row r="96" spans="18:18" x14ac:dyDescent="0.2">
      <c r="R96" s="61"/>
    </row>
    <row r="97" spans="18:18" x14ac:dyDescent="0.2">
      <c r="R97" s="61"/>
    </row>
    <row r="98" spans="18:18" x14ac:dyDescent="0.2">
      <c r="R98" s="61"/>
    </row>
    <row r="99" spans="18:18" x14ac:dyDescent="0.2">
      <c r="R99" s="61"/>
    </row>
    <row r="100" spans="18:18" x14ac:dyDescent="0.2">
      <c r="R100" s="61"/>
    </row>
    <row r="101" spans="18:18" x14ac:dyDescent="0.2">
      <c r="R101" s="61"/>
    </row>
    <row r="102" spans="18:18" x14ac:dyDescent="0.2">
      <c r="R102" s="61"/>
    </row>
    <row r="103" spans="18:18" x14ac:dyDescent="0.2">
      <c r="R103" s="61"/>
    </row>
    <row r="104" spans="18:18" x14ac:dyDescent="0.2">
      <c r="R104" s="61"/>
    </row>
    <row r="105" spans="18:18" x14ac:dyDescent="0.2">
      <c r="R105" s="61"/>
    </row>
    <row r="106" spans="18:18" x14ac:dyDescent="0.2">
      <c r="R106" s="61"/>
    </row>
    <row r="107" spans="18:18" x14ac:dyDescent="0.2">
      <c r="R107" s="61"/>
    </row>
    <row r="108" spans="18:18" x14ac:dyDescent="0.2">
      <c r="R108" s="61"/>
    </row>
    <row r="109" spans="18:18" x14ac:dyDescent="0.2">
      <c r="R109" s="61"/>
    </row>
    <row r="110" spans="18:18" x14ac:dyDescent="0.2">
      <c r="R110" s="61"/>
    </row>
    <row r="111" spans="18:18" x14ac:dyDescent="0.2">
      <c r="R111" s="61"/>
    </row>
    <row r="112" spans="18:18" x14ac:dyDescent="0.2">
      <c r="R112" s="61"/>
    </row>
    <row r="113" spans="18:18" x14ac:dyDescent="0.2">
      <c r="R113" s="61"/>
    </row>
    <row r="114" spans="18:18" x14ac:dyDescent="0.2">
      <c r="R114" s="61"/>
    </row>
    <row r="115" spans="18:18" x14ac:dyDescent="0.2">
      <c r="R115" s="61"/>
    </row>
    <row r="116" spans="18:18" x14ac:dyDescent="0.2">
      <c r="R116" s="61"/>
    </row>
    <row r="117" spans="18:18" x14ac:dyDescent="0.2">
      <c r="R117" s="61"/>
    </row>
    <row r="118" spans="18:18" x14ac:dyDescent="0.2">
      <c r="R118" s="61"/>
    </row>
    <row r="119" spans="18:18" x14ac:dyDescent="0.2">
      <c r="R119" s="61"/>
    </row>
    <row r="120" spans="18:18" x14ac:dyDescent="0.2">
      <c r="R120" s="61"/>
    </row>
    <row r="121" spans="18:18" x14ac:dyDescent="0.2">
      <c r="R121" s="61"/>
    </row>
    <row r="122" spans="18:18" x14ac:dyDescent="0.2">
      <c r="R122" s="61"/>
    </row>
    <row r="123" spans="18:18" x14ac:dyDescent="0.2">
      <c r="R123" s="61"/>
    </row>
    <row r="124" spans="18:18" x14ac:dyDescent="0.2">
      <c r="R124" s="61"/>
    </row>
    <row r="125" spans="18:18" x14ac:dyDescent="0.2">
      <c r="R125" s="61"/>
    </row>
    <row r="126" spans="18:18" x14ac:dyDescent="0.2">
      <c r="R126" s="61"/>
    </row>
    <row r="127" spans="18:18" x14ac:dyDescent="0.2">
      <c r="R127" s="61"/>
    </row>
    <row r="128" spans="18:18" x14ac:dyDescent="0.2">
      <c r="R128" s="61"/>
    </row>
    <row r="129" spans="18:18" x14ac:dyDescent="0.2">
      <c r="R129" s="61"/>
    </row>
    <row r="130" spans="18:18" x14ac:dyDescent="0.2">
      <c r="R130" s="61"/>
    </row>
    <row r="131" spans="18:18" x14ac:dyDescent="0.2">
      <c r="R131" s="61"/>
    </row>
    <row r="132" spans="18:18" x14ac:dyDescent="0.2">
      <c r="R132" s="61"/>
    </row>
    <row r="133" spans="18:18" x14ac:dyDescent="0.2">
      <c r="R133" s="61"/>
    </row>
    <row r="134" spans="18:18" x14ac:dyDescent="0.2">
      <c r="R134" s="61"/>
    </row>
    <row r="135" spans="18:18" x14ac:dyDescent="0.2">
      <c r="R135" s="61"/>
    </row>
    <row r="136" spans="18:18" x14ac:dyDescent="0.2">
      <c r="R136" s="61"/>
    </row>
    <row r="137" spans="18:18" x14ac:dyDescent="0.2">
      <c r="R137" s="61"/>
    </row>
    <row r="138" spans="18:18" x14ac:dyDescent="0.2">
      <c r="R138" s="61"/>
    </row>
    <row r="139" spans="18:18" x14ac:dyDescent="0.2">
      <c r="R139" s="61"/>
    </row>
    <row r="140" spans="18:18" x14ac:dyDescent="0.2">
      <c r="R140" s="61"/>
    </row>
    <row r="141" spans="18:18" x14ac:dyDescent="0.2">
      <c r="R141" s="61"/>
    </row>
    <row r="142" spans="18:18" x14ac:dyDescent="0.2">
      <c r="R142" s="61"/>
    </row>
    <row r="143" spans="18:18" x14ac:dyDescent="0.2">
      <c r="R143" s="61"/>
    </row>
    <row r="144" spans="18:18" x14ac:dyDescent="0.2">
      <c r="R144" s="61"/>
    </row>
    <row r="145" spans="18:18" x14ac:dyDescent="0.2">
      <c r="R145" s="61"/>
    </row>
    <row r="146" spans="18:18" x14ac:dyDescent="0.2">
      <c r="R146" s="61"/>
    </row>
    <row r="147" spans="18:18" x14ac:dyDescent="0.2">
      <c r="R147" s="61"/>
    </row>
    <row r="148" spans="18:18" x14ac:dyDescent="0.2">
      <c r="R148" s="61"/>
    </row>
    <row r="149" spans="18:18" x14ac:dyDescent="0.2">
      <c r="R149" s="61"/>
    </row>
    <row r="150" spans="18:18" x14ac:dyDescent="0.2">
      <c r="R150" s="61"/>
    </row>
    <row r="151" spans="18:18" x14ac:dyDescent="0.2">
      <c r="R151" s="61"/>
    </row>
    <row r="152" spans="18:18" x14ac:dyDescent="0.2">
      <c r="R152" s="61"/>
    </row>
    <row r="153" spans="18:18" x14ac:dyDescent="0.2">
      <c r="R153" s="61"/>
    </row>
    <row r="154" spans="18:18" x14ac:dyDescent="0.2">
      <c r="R154" s="61"/>
    </row>
    <row r="155" spans="18:18" x14ac:dyDescent="0.2">
      <c r="R155" s="61"/>
    </row>
    <row r="156" spans="18:18" x14ac:dyDescent="0.2">
      <c r="R156" s="61"/>
    </row>
    <row r="157" spans="18:18" x14ac:dyDescent="0.2">
      <c r="R157" s="61"/>
    </row>
    <row r="158" spans="18:18" x14ac:dyDescent="0.2">
      <c r="R158" s="61"/>
    </row>
    <row r="159" spans="18:18" x14ac:dyDescent="0.2">
      <c r="R159" s="61"/>
    </row>
    <row r="160" spans="18:18" x14ac:dyDescent="0.2">
      <c r="R160" s="61"/>
    </row>
    <row r="161" spans="18:18" x14ac:dyDescent="0.2">
      <c r="R161" s="61"/>
    </row>
    <row r="162" spans="18:18" x14ac:dyDescent="0.2">
      <c r="R162" s="61"/>
    </row>
    <row r="163" spans="18:18" x14ac:dyDescent="0.2">
      <c r="R163" s="61"/>
    </row>
    <row r="164" spans="18:18" x14ac:dyDescent="0.2">
      <c r="R164" s="61"/>
    </row>
    <row r="165" spans="18:18" x14ac:dyDescent="0.2">
      <c r="R165" s="61"/>
    </row>
    <row r="166" spans="18:18" x14ac:dyDescent="0.2">
      <c r="R166" s="61"/>
    </row>
    <row r="167" spans="18:18" x14ac:dyDescent="0.2">
      <c r="R167" s="61"/>
    </row>
    <row r="168" spans="18:18" x14ac:dyDescent="0.2">
      <c r="R168" s="61"/>
    </row>
    <row r="169" spans="18:18" x14ac:dyDescent="0.2">
      <c r="R169" s="61"/>
    </row>
    <row r="170" spans="18:18" x14ac:dyDescent="0.2">
      <c r="R170" s="61"/>
    </row>
    <row r="171" spans="18:18" x14ac:dyDescent="0.2">
      <c r="R171" s="61"/>
    </row>
    <row r="172" spans="18:18" x14ac:dyDescent="0.2">
      <c r="R172" s="61"/>
    </row>
    <row r="173" spans="18:18" x14ac:dyDescent="0.2">
      <c r="R173" s="61"/>
    </row>
    <row r="174" spans="18:18" x14ac:dyDescent="0.2">
      <c r="R174" s="61"/>
    </row>
    <row r="175" spans="18:18" x14ac:dyDescent="0.2">
      <c r="R175" s="61"/>
    </row>
    <row r="176" spans="18:18" x14ac:dyDescent="0.2">
      <c r="R176" s="61"/>
    </row>
    <row r="177" spans="18:18" x14ac:dyDescent="0.2">
      <c r="R177" s="61"/>
    </row>
    <row r="178" spans="18:18" x14ac:dyDescent="0.2">
      <c r="R178" s="61"/>
    </row>
    <row r="179" spans="18:18" x14ac:dyDescent="0.2">
      <c r="R179" s="61"/>
    </row>
    <row r="180" spans="18:18" x14ac:dyDescent="0.2">
      <c r="R180" s="61"/>
    </row>
    <row r="181" spans="18:18" x14ac:dyDescent="0.2">
      <c r="R181" s="61"/>
    </row>
    <row r="182" spans="18:18" x14ac:dyDescent="0.2">
      <c r="R182" s="61"/>
    </row>
    <row r="183" spans="18:18" x14ac:dyDescent="0.2">
      <c r="R183" s="61"/>
    </row>
    <row r="184" spans="18:18" x14ac:dyDescent="0.2">
      <c r="R184" s="61"/>
    </row>
    <row r="185" spans="18:18" x14ac:dyDescent="0.2">
      <c r="R185" s="61"/>
    </row>
    <row r="186" spans="18:18" x14ac:dyDescent="0.2">
      <c r="R186" s="61"/>
    </row>
    <row r="187" spans="18:18" x14ac:dyDescent="0.2">
      <c r="R187" s="61"/>
    </row>
    <row r="188" spans="18:18" x14ac:dyDescent="0.2">
      <c r="R188" s="61"/>
    </row>
    <row r="189" spans="18:18" x14ac:dyDescent="0.2">
      <c r="R189" s="61"/>
    </row>
    <row r="190" spans="18:18" x14ac:dyDescent="0.2">
      <c r="R190" s="61"/>
    </row>
    <row r="191" spans="18:18" x14ac:dyDescent="0.2">
      <c r="R191" s="61"/>
    </row>
    <row r="192" spans="18:18" x14ac:dyDescent="0.2">
      <c r="R192" s="61"/>
    </row>
    <row r="193" spans="18:18" x14ac:dyDescent="0.2">
      <c r="R193" s="61"/>
    </row>
    <row r="194" spans="18:18" x14ac:dyDescent="0.2">
      <c r="R194" s="61"/>
    </row>
    <row r="195" spans="18:18" x14ac:dyDescent="0.2">
      <c r="R195" s="61"/>
    </row>
    <row r="196" spans="18:18" x14ac:dyDescent="0.2">
      <c r="R196" s="61"/>
    </row>
    <row r="197" spans="18:18" x14ac:dyDescent="0.2">
      <c r="R197" s="61"/>
    </row>
    <row r="198" spans="18:18" x14ac:dyDescent="0.2">
      <c r="R198" s="61"/>
    </row>
    <row r="199" spans="18:18" x14ac:dyDescent="0.2">
      <c r="R199" s="61"/>
    </row>
    <row r="200" spans="18:18" x14ac:dyDescent="0.2">
      <c r="R200" s="61"/>
    </row>
    <row r="201" spans="18:18" x14ac:dyDescent="0.2">
      <c r="R201" s="61"/>
    </row>
    <row r="202" spans="18:18" x14ac:dyDescent="0.2">
      <c r="R202" s="61"/>
    </row>
    <row r="203" spans="18:18" x14ac:dyDescent="0.2">
      <c r="R203" s="61"/>
    </row>
    <row r="204" spans="18:18" x14ac:dyDescent="0.2">
      <c r="R204" s="61"/>
    </row>
    <row r="205" spans="18:18" x14ac:dyDescent="0.2">
      <c r="R205" s="61"/>
    </row>
    <row r="206" spans="18:18" x14ac:dyDescent="0.2">
      <c r="R206" s="61"/>
    </row>
    <row r="207" spans="18:18" x14ac:dyDescent="0.2">
      <c r="R207" s="61"/>
    </row>
    <row r="208" spans="18:18" x14ac:dyDescent="0.2">
      <c r="R208" s="61"/>
    </row>
    <row r="209" spans="18:18" x14ac:dyDescent="0.2">
      <c r="R209" s="61"/>
    </row>
    <row r="210" spans="18:18" x14ac:dyDescent="0.2">
      <c r="R210" s="61"/>
    </row>
    <row r="211" spans="18:18" x14ac:dyDescent="0.2">
      <c r="R211" s="61"/>
    </row>
    <row r="212" spans="18:18" x14ac:dyDescent="0.2">
      <c r="R212" s="61"/>
    </row>
    <row r="213" spans="18:18" x14ac:dyDescent="0.2">
      <c r="R213" s="61"/>
    </row>
    <row r="214" spans="18:18" x14ac:dyDescent="0.2">
      <c r="R214" s="61"/>
    </row>
    <row r="215" spans="18:18" x14ac:dyDescent="0.2">
      <c r="R215" s="61"/>
    </row>
    <row r="216" spans="18:18" x14ac:dyDescent="0.2">
      <c r="R216" s="61"/>
    </row>
    <row r="217" spans="18:18" x14ac:dyDescent="0.2">
      <c r="R217" s="61"/>
    </row>
    <row r="218" spans="18:18" x14ac:dyDescent="0.2">
      <c r="R218" s="61"/>
    </row>
    <row r="219" spans="18:18" x14ac:dyDescent="0.2">
      <c r="R219" s="61"/>
    </row>
    <row r="220" spans="18:18" x14ac:dyDescent="0.2">
      <c r="R220" s="61"/>
    </row>
    <row r="221" spans="18:18" x14ac:dyDescent="0.2">
      <c r="R221" s="61"/>
    </row>
    <row r="222" spans="18:18" x14ac:dyDescent="0.2">
      <c r="R222" s="61"/>
    </row>
    <row r="223" spans="18:18" x14ac:dyDescent="0.2">
      <c r="R223" s="61"/>
    </row>
    <row r="224" spans="18:18" x14ac:dyDescent="0.2">
      <c r="R224" s="61"/>
    </row>
    <row r="225" spans="18:18" x14ac:dyDescent="0.2">
      <c r="R225" s="61"/>
    </row>
    <row r="226" spans="18:18" x14ac:dyDescent="0.2">
      <c r="R226" s="61"/>
    </row>
    <row r="227" spans="18:18" x14ac:dyDescent="0.2">
      <c r="R227" s="61"/>
    </row>
    <row r="228" spans="18:18" x14ac:dyDescent="0.2">
      <c r="R228" s="61"/>
    </row>
    <row r="229" spans="18:18" x14ac:dyDescent="0.2">
      <c r="R229" s="61"/>
    </row>
    <row r="230" spans="18:18" x14ac:dyDescent="0.2">
      <c r="R230" s="61"/>
    </row>
    <row r="231" spans="18:18" x14ac:dyDescent="0.2">
      <c r="R231" s="61"/>
    </row>
    <row r="232" spans="18:18" x14ac:dyDescent="0.2">
      <c r="R232" s="61"/>
    </row>
    <row r="233" spans="18:18" x14ac:dyDescent="0.2">
      <c r="R233" s="61"/>
    </row>
    <row r="234" spans="18:18" x14ac:dyDescent="0.2">
      <c r="R234" s="61"/>
    </row>
    <row r="235" spans="18:18" x14ac:dyDescent="0.2">
      <c r="R235" s="61"/>
    </row>
    <row r="236" spans="18:18" x14ac:dyDescent="0.2">
      <c r="R236" s="61"/>
    </row>
    <row r="237" spans="18:18" x14ac:dyDescent="0.2">
      <c r="R237" s="61"/>
    </row>
    <row r="238" spans="18:18" x14ac:dyDescent="0.2">
      <c r="R238" s="61"/>
    </row>
    <row r="239" spans="18:18" x14ac:dyDescent="0.2">
      <c r="R239" s="61"/>
    </row>
    <row r="240" spans="18:18" x14ac:dyDescent="0.2">
      <c r="R240" s="61"/>
    </row>
    <row r="241" spans="18:18" x14ac:dyDescent="0.2">
      <c r="R241" s="61"/>
    </row>
    <row r="242" spans="18:18" x14ac:dyDescent="0.2">
      <c r="R242" s="61"/>
    </row>
    <row r="243" spans="18:18" x14ac:dyDescent="0.2">
      <c r="R243" s="61"/>
    </row>
    <row r="244" spans="18:18" x14ac:dyDescent="0.2">
      <c r="R244" s="61"/>
    </row>
    <row r="245" spans="18:18" x14ac:dyDescent="0.2">
      <c r="R245" s="61"/>
    </row>
    <row r="246" spans="18:18" x14ac:dyDescent="0.2">
      <c r="R246" s="61"/>
    </row>
    <row r="247" spans="18:18" x14ac:dyDescent="0.2">
      <c r="R247" s="61"/>
    </row>
    <row r="248" spans="18:18" x14ac:dyDescent="0.2">
      <c r="R248" s="61"/>
    </row>
    <row r="249" spans="18:18" x14ac:dyDescent="0.2">
      <c r="R249" s="61"/>
    </row>
    <row r="250" spans="18:18" x14ac:dyDescent="0.2">
      <c r="R250" s="61"/>
    </row>
    <row r="251" spans="18:18" x14ac:dyDescent="0.2">
      <c r="R251" s="61"/>
    </row>
    <row r="252" spans="18:18" x14ac:dyDescent="0.2">
      <c r="R252" s="61"/>
    </row>
    <row r="253" spans="18:18" x14ac:dyDescent="0.2">
      <c r="R253" s="61"/>
    </row>
    <row r="254" spans="18:18" x14ac:dyDescent="0.2">
      <c r="R254" s="61"/>
    </row>
    <row r="255" spans="18:18" x14ac:dyDescent="0.2">
      <c r="R255" s="61"/>
    </row>
    <row r="256" spans="18:18" x14ac:dyDescent="0.2">
      <c r="R256" s="61"/>
    </row>
    <row r="257" spans="18:18" x14ac:dyDescent="0.2">
      <c r="R257" s="61"/>
    </row>
    <row r="258" spans="18:18" x14ac:dyDescent="0.2">
      <c r="R258" s="61"/>
    </row>
    <row r="259" spans="18:18" x14ac:dyDescent="0.2">
      <c r="R259" s="61"/>
    </row>
    <row r="260" spans="18:18" x14ac:dyDescent="0.2">
      <c r="R260" s="61"/>
    </row>
    <row r="261" spans="18:18" x14ac:dyDescent="0.2">
      <c r="R261" s="61"/>
    </row>
    <row r="262" spans="18:18" x14ac:dyDescent="0.2">
      <c r="R262" s="61"/>
    </row>
    <row r="263" spans="18:18" x14ac:dyDescent="0.2">
      <c r="R263" s="61"/>
    </row>
    <row r="264" spans="18:18" x14ac:dyDescent="0.2">
      <c r="R264" s="61"/>
    </row>
    <row r="265" spans="18:18" x14ac:dyDescent="0.2">
      <c r="R265" s="61"/>
    </row>
    <row r="266" spans="18:18" x14ac:dyDescent="0.2">
      <c r="R266" s="61"/>
    </row>
    <row r="267" spans="18:18" x14ac:dyDescent="0.2">
      <c r="R267" s="61"/>
    </row>
    <row r="268" spans="18:18" x14ac:dyDescent="0.2">
      <c r="R268" s="61"/>
    </row>
    <row r="269" spans="18:18" x14ac:dyDescent="0.2">
      <c r="R269" s="61"/>
    </row>
    <row r="270" spans="18:18" x14ac:dyDescent="0.2">
      <c r="R270" s="61"/>
    </row>
    <row r="271" spans="18:18" x14ac:dyDescent="0.2">
      <c r="R271" s="61"/>
    </row>
    <row r="272" spans="18:18" x14ac:dyDescent="0.2">
      <c r="R272" s="61"/>
    </row>
    <row r="273" spans="18:18" x14ac:dyDescent="0.2">
      <c r="R273" s="61"/>
    </row>
    <row r="274" spans="18:18" x14ac:dyDescent="0.2">
      <c r="R274" s="61"/>
    </row>
    <row r="275" spans="18:18" x14ac:dyDescent="0.2">
      <c r="R275" s="61"/>
    </row>
    <row r="276" spans="18:18" x14ac:dyDescent="0.2">
      <c r="R276" s="61"/>
    </row>
    <row r="277" spans="18:18" x14ac:dyDescent="0.2">
      <c r="R277" s="61"/>
    </row>
    <row r="278" spans="18:18" x14ac:dyDescent="0.2">
      <c r="R278" s="61"/>
    </row>
    <row r="279" spans="18:18" x14ac:dyDescent="0.2">
      <c r="R279" s="61"/>
    </row>
    <row r="280" spans="18:18" x14ac:dyDescent="0.2">
      <c r="R280" s="61"/>
    </row>
    <row r="281" spans="18:18" x14ac:dyDescent="0.2">
      <c r="R281" s="61"/>
    </row>
    <row r="282" spans="18:18" x14ac:dyDescent="0.2">
      <c r="R282" s="61"/>
    </row>
    <row r="283" spans="18:18" x14ac:dyDescent="0.2">
      <c r="R283" s="61"/>
    </row>
    <row r="284" spans="18:18" x14ac:dyDescent="0.2">
      <c r="R284" s="61"/>
    </row>
    <row r="285" spans="18:18" x14ac:dyDescent="0.2">
      <c r="R285" s="61"/>
    </row>
    <row r="286" spans="18:18" x14ac:dyDescent="0.2">
      <c r="R286" s="61"/>
    </row>
    <row r="287" spans="18:18" x14ac:dyDescent="0.2">
      <c r="R287" s="61"/>
    </row>
    <row r="288" spans="18:18" x14ac:dyDescent="0.2">
      <c r="R288" s="61"/>
    </row>
    <row r="289" spans="18:18" x14ac:dyDescent="0.2">
      <c r="R289" s="61"/>
    </row>
    <row r="290" spans="18:18" x14ac:dyDescent="0.2">
      <c r="R290" s="61"/>
    </row>
    <row r="291" spans="18:18" x14ac:dyDescent="0.2">
      <c r="R291" s="61"/>
    </row>
    <row r="292" spans="18:18" x14ac:dyDescent="0.2">
      <c r="R292" s="61"/>
    </row>
    <row r="293" spans="18:18" x14ac:dyDescent="0.2">
      <c r="R293" s="61"/>
    </row>
    <row r="294" spans="18:18" x14ac:dyDescent="0.2">
      <c r="R294" s="61"/>
    </row>
    <row r="295" spans="18:18" x14ac:dyDescent="0.2">
      <c r="R295" s="61"/>
    </row>
    <row r="296" spans="18:18" x14ac:dyDescent="0.2">
      <c r="R296" s="61"/>
    </row>
    <row r="297" spans="18:18" x14ac:dyDescent="0.2">
      <c r="R297" s="61"/>
    </row>
    <row r="298" spans="18:18" x14ac:dyDescent="0.2">
      <c r="R298" s="61"/>
    </row>
    <row r="299" spans="18:18" x14ac:dyDescent="0.2">
      <c r="R299" s="61"/>
    </row>
    <row r="300" spans="18:18" x14ac:dyDescent="0.2">
      <c r="R300" s="61"/>
    </row>
    <row r="301" spans="18:18" x14ac:dyDescent="0.2">
      <c r="R301" s="61"/>
    </row>
    <row r="302" spans="18:18" x14ac:dyDescent="0.2">
      <c r="R302" s="61"/>
    </row>
    <row r="303" spans="18:18" x14ac:dyDescent="0.2">
      <c r="R303" s="61"/>
    </row>
    <row r="304" spans="18:18" x14ac:dyDescent="0.2">
      <c r="R304" s="61"/>
    </row>
    <row r="305" spans="18:18" x14ac:dyDescent="0.2">
      <c r="R305" s="61"/>
    </row>
    <row r="306" spans="18:18" x14ac:dyDescent="0.2">
      <c r="R306" s="61"/>
    </row>
    <row r="307" spans="18:18" x14ac:dyDescent="0.2">
      <c r="R307" s="61"/>
    </row>
    <row r="308" spans="18:18" x14ac:dyDescent="0.2">
      <c r="R308" s="61"/>
    </row>
    <row r="309" spans="18:18" x14ac:dyDescent="0.2">
      <c r="R309" s="61"/>
    </row>
    <row r="310" spans="18:18" x14ac:dyDescent="0.2">
      <c r="R310" s="61"/>
    </row>
    <row r="311" spans="18:18" x14ac:dyDescent="0.2">
      <c r="R311" s="61"/>
    </row>
    <row r="312" spans="18:18" x14ac:dyDescent="0.2">
      <c r="R312" s="61"/>
    </row>
    <row r="313" spans="18:18" x14ac:dyDescent="0.2">
      <c r="R313" s="61"/>
    </row>
    <row r="314" spans="18:18" x14ac:dyDescent="0.2">
      <c r="R314" s="61"/>
    </row>
    <row r="315" spans="18:18" x14ac:dyDescent="0.2">
      <c r="R315" s="61"/>
    </row>
    <row r="316" spans="18:18" x14ac:dyDescent="0.2">
      <c r="R316" s="61"/>
    </row>
    <row r="317" spans="18:18" x14ac:dyDescent="0.2">
      <c r="R317" s="61"/>
    </row>
    <row r="318" spans="18:18" x14ac:dyDescent="0.2">
      <c r="R318" s="61"/>
    </row>
    <row r="319" spans="18:18" x14ac:dyDescent="0.2">
      <c r="R319" s="61"/>
    </row>
    <row r="320" spans="18:18" x14ac:dyDescent="0.2">
      <c r="R320" s="61"/>
    </row>
    <row r="321" spans="18:18" x14ac:dyDescent="0.2">
      <c r="R321" s="61"/>
    </row>
    <row r="322" spans="18:18" x14ac:dyDescent="0.2">
      <c r="R322" s="61"/>
    </row>
    <row r="323" spans="18:18" x14ac:dyDescent="0.2">
      <c r="R323" s="61"/>
    </row>
    <row r="324" spans="18:18" x14ac:dyDescent="0.2">
      <c r="R324" s="61"/>
    </row>
    <row r="325" spans="18:18" x14ac:dyDescent="0.2">
      <c r="R325" s="61"/>
    </row>
    <row r="326" spans="18:18" x14ac:dyDescent="0.2">
      <c r="R326" s="61"/>
    </row>
    <row r="327" spans="18:18" x14ac:dyDescent="0.2">
      <c r="R327" s="61"/>
    </row>
    <row r="328" spans="18:18" x14ac:dyDescent="0.2">
      <c r="R328" s="61"/>
    </row>
    <row r="329" spans="18:18" x14ac:dyDescent="0.2">
      <c r="R329" s="61"/>
    </row>
    <row r="330" spans="18:18" x14ac:dyDescent="0.2">
      <c r="R330" s="61"/>
    </row>
    <row r="331" spans="18:18" x14ac:dyDescent="0.2">
      <c r="R331" s="61"/>
    </row>
    <row r="332" spans="18:18" x14ac:dyDescent="0.2">
      <c r="R332" s="61"/>
    </row>
    <row r="333" spans="18:18" x14ac:dyDescent="0.2">
      <c r="R333" s="61"/>
    </row>
    <row r="334" spans="18:18" x14ac:dyDescent="0.2">
      <c r="R334" s="61"/>
    </row>
    <row r="335" spans="18:18" x14ac:dyDescent="0.2">
      <c r="R335" s="61"/>
    </row>
    <row r="336" spans="18:18" x14ac:dyDescent="0.2">
      <c r="R336" s="61"/>
    </row>
    <row r="337" spans="18:18" x14ac:dyDescent="0.2">
      <c r="R337" s="61"/>
    </row>
    <row r="338" spans="18:18" x14ac:dyDescent="0.2">
      <c r="R338" s="61"/>
    </row>
    <row r="339" spans="18:18" x14ac:dyDescent="0.2">
      <c r="R339" s="61"/>
    </row>
    <row r="340" spans="18:18" x14ac:dyDescent="0.2">
      <c r="R340" s="61"/>
    </row>
    <row r="341" spans="18:18" x14ac:dyDescent="0.2">
      <c r="R341" s="61"/>
    </row>
    <row r="342" spans="18:18" x14ac:dyDescent="0.2">
      <c r="R342" s="61"/>
    </row>
    <row r="343" spans="18:18" x14ac:dyDescent="0.2">
      <c r="R343" s="61"/>
    </row>
    <row r="344" spans="18:18" x14ac:dyDescent="0.2">
      <c r="R344" s="61"/>
    </row>
    <row r="345" spans="18:18" x14ac:dyDescent="0.2">
      <c r="R345" s="61"/>
    </row>
    <row r="346" spans="18:18" x14ac:dyDescent="0.2">
      <c r="R346" s="61"/>
    </row>
    <row r="347" spans="18:18" x14ac:dyDescent="0.2">
      <c r="R347" s="61"/>
    </row>
    <row r="348" spans="18:18" x14ac:dyDescent="0.2">
      <c r="R348" s="61"/>
    </row>
    <row r="349" spans="18:18" x14ac:dyDescent="0.2">
      <c r="R349" s="61"/>
    </row>
    <row r="350" spans="18:18" x14ac:dyDescent="0.2">
      <c r="R350" s="61"/>
    </row>
    <row r="351" spans="18:18" x14ac:dyDescent="0.2">
      <c r="R351" s="61"/>
    </row>
    <row r="352" spans="18:18" x14ac:dyDescent="0.2">
      <c r="R352" s="61"/>
    </row>
    <row r="353" spans="18:18" x14ac:dyDescent="0.2">
      <c r="R353" s="61"/>
    </row>
    <row r="354" spans="18:18" x14ac:dyDescent="0.2">
      <c r="R354" s="61"/>
    </row>
    <row r="355" spans="18:18" x14ac:dyDescent="0.2">
      <c r="R355" s="61"/>
    </row>
    <row r="356" spans="18:18" x14ac:dyDescent="0.2">
      <c r="R356" s="61"/>
    </row>
    <row r="357" spans="18:18" x14ac:dyDescent="0.2">
      <c r="R357" s="61"/>
    </row>
    <row r="358" spans="18:18" x14ac:dyDescent="0.2">
      <c r="R358" s="61"/>
    </row>
    <row r="359" spans="18:18" x14ac:dyDescent="0.2">
      <c r="R359" s="61"/>
    </row>
    <row r="360" spans="18:18" x14ac:dyDescent="0.2">
      <c r="R360" s="61"/>
    </row>
    <row r="361" spans="18:18" x14ac:dyDescent="0.2">
      <c r="R361" s="61"/>
    </row>
    <row r="362" spans="18:18" x14ac:dyDescent="0.2">
      <c r="R362" s="61"/>
    </row>
    <row r="363" spans="18:18" x14ac:dyDescent="0.2">
      <c r="R363" s="61"/>
    </row>
    <row r="364" spans="18:18" x14ac:dyDescent="0.2">
      <c r="R364" s="61"/>
    </row>
    <row r="365" spans="18:18" x14ac:dyDescent="0.2">
      <c r="R365" s="61"/>
    </row>
    <row r="366" spans="18:18" x14ac:dyDescent="0.2">
      <c r="R366" s="61"/>
    </row>
    <row r="367" spans="18:18" x14ac:dyDescent="0.2">
      <c r="R367" s="61"/>
    </row>
    <row r="368" spans="18:18" x14ac:dyDescent="0.2">
      <c r="R368" s="61"/>
    </row>
    <row r="369" spans="18:18" x14ac:dyDescent="0.2">
      <c r="R369" s="61"/>
    </row>
    <row r="370" spans="18:18" x14ac:dyDescent="0.2">
      <c r="R370" s="61"/>
    </row>
    <row r="371" spans="18:18" x14ac:dyDescent="0.2">
      <c r="R371" s="61"/>
    </row>
    <row r="372" spans="18:18" x14ac:dyDescent="0.2">
      <c r="R372" s="61"/>
    </row>
    <row r="373" spans="18:18" x14ac:dyDescent="0.2">
      <c r="R373" s="61"/>
    </row>
    <row r="374" spans="18:18" x14ac:dyDescent="0.2">
      <c r="R374" s="61"/>
    </row>
    <row r="375" spans="18:18" x14ac:dyDescent="0.2">
      <c r="R375" s="61"/>
    </row>
    <row r="376" spans="18:18" x14ac:dyDescent="0.2">
      <c r="R376" s="61"/>
    </row>
    <row r="377" spans="18:18" x14ac:dyDescent="0.2">
      <c r="R377" s="61"/>
    </row>
    <row r="378" spans="18:18" x14ac:dyDescent="0.2">
      <c r="R378" s="61"/>
    </row>
    <row r="379" spans="18:18" x14ac:dyDescent="0.2">
      <c r="R379" s="61"/>
    </row>
    <row r="380" spans="18:18" x14ac:dyDescent="0.2">
      <c r="R380" s="61"/>
    </row>
    <row r="381" spans="18:18" x14ac:dyDescent="0.2">
      <c r="R381" s="61"/>
    </row>
    <row r="382" spans="18:18" x14ac:dyDescent="0.2">
      <c r="R382" s="61"/>
    </row>
    <row r="383" spans="18:18" x14ac:dyDescent="0.2">
      <c r="R383" s="61"/>
    </row>
    <row r="384" spans="18:18" x14ac:dyDescent="0.2">
      <c r="R384" s="6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154"/>
  <sheetViews>
    <sheetView topLeftCell="A19" workbookViewId="0">
      <selection activeCell="D21" sqref="D21"/>
    </sheetView>
  </sheetViews>
  <sheetFormatPr defaultColWidth="9.5" defaultRowHeight="11.25" outlineLevelCol="1" x14ac:dyDescent="0.2"/>
  <cols>
    <col min="1" max="2" width="3.5" style="19" customWidth="1"/>
    <col min="3" max="3" width="19.5" style="19" customWidth="1"/>
    <col min="4" max="4" width="17.83203125" style="19" bestFit="1" customWidth="1"/>
    <col min="5" max="5" width="12.83203125" style="19" bestFit="1" customWidth="1"/>
    <col min="6" max="6" width="16.83203125" style="19" customWidth="1"/>
    <col min="7" max="8" width="14.83203125" style="19" customWidth="1"/>
    <col min="9" max="18" width="14.83203125" style="19" hidden="1" customWidth="1" outlineLevel="1"/>
    <col min="19" max="19" width="14.83203125" style="19" customWidth="1" collapsed="1"/>
    <col min="20" max="30" width="14.83203125" style="19" customWidth="1"/>
    <col min="31" max="33" width="5.83203125" style="19" bestFit="1" customWidth="1"/>
    <col min="34" max="34" width="2.33203125" style="19" bestFit="1" customWidth="1"/>
    <col min="35" max="35" width="10.5" style="19" bestFit="1" customWidth="1"/>
    <col min="36" max="36" width="2.33203125" style="19" bestFit="1" customWidth="1" collapsed="1"/>
    <col min="37" max="37" width="9.33203125" style="19" bestFit="1" customWidth="1"/>
    <col min="38" max="38" width="8.1640625" style="19" hidden="1" customWidth="1" outlineLevel="1"/>
    <col min="39" max="39" width="9.33203125" style="19" hidden="1" customWidth="1" outlineLevel="1"/>
    <col min="40" max="40" width="8.1640625" style="19" hidden="1" customWidth="1" outlineLevel="1"/>
    <col min="41" max="41" width="2.83203125" style="19" customWidth="1" collapsed="1"/>
    <col min="42" max="42" width="2.83203125" style="19" customWidth="1"/>
    <col min="43" max="45" width="5.83203125" style="19" bestFit="1" customWidth="1"/>
    <col min="46" max="46" width="2.33203125" style="19" bestFit="1" customWidth="1"/>
    <col min="47" max="47" width="10.5" style="19" bestFit="1" customWidth="1"/>
    <col min="48" max="48" width="2.33203125" style="19" bestFit="1" customWidth="1"/>
    <col min="49" max="49" width="9.33203125" style="19" bestFit="1" customWidth="1"/>
    <col min="50" max="52" width="9.33203125" style="19" hidden="1" customWidth="1" outlineLevel="1"/>
    <col min="53" max="53" width="2.83203125" style="19" customWidth="1" collapsed="1"/>
    <col min="54" max="54" width="2.83203125" style="19" customWidth="1"/>
    <col min="55" max="55" width="12.83203125" style="19" bestFit="1" customWidth="1"/>
    <col min="56" max="56" width="8.1640625" style="19" bestFit="1" customWidth="1"/>
    <col min="57" max="69" width="14.83203125" style="19" customWidth="1"/>
    <col min="70" max="16384" width="9.5" style="19"/>
  </cols>
  <sheetData>
    <row r="1" spans="1:69" x14ac:dyDescent="0.2">
      <c r="C1" s="116" t="s">
        <v>66</v>
      </c>
      <c r="D1" s="117"/>
      <c r="E1" s="117"/>
      <c r="F1" s="117"/>
      <c r="G1" s="117"/>
      <c r="H1" s="117"/>
      <c r="I1" s="117"/>
      <c r="J1" s="117"/>
      <c r="K1" s="117"/>
      <c r="L1" s="117"/>
      <c r="M1" s="223"/>
      <c r="N1" s="223"/>
      <c r="O1" s="223"/>
      <c r="P1" s="223"/>
      <c r="Q1" s="223"/>
      <c r="R1" s="223"/>
      <c r="S1" s="116" t="str">
        <f>"with 0X"&amp;SUBSTITUTE($D$21,"M","")</f>
        <v>with 0X1</v>
      </c>
      <c r="T1" s="118"/>
      <c r="U1" s="117" t="str">
        <f>"without 0X"&amp;SUBSTITUTE($D$21,"M","")</f>
        <v>without 0X1</v>
      </c>
      <c r="V1" s="118"/>
      <c r="AG1" s="225"/>
      <c r="AH1" s="225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E1" s="19" t="str">
        <f>_xll.qlPolynomialFunction(,_xll.qlTenorInstCoefficients(G$24),,_xll.ohTrigger(Trigger,G$25:G$28))</f>
        <v>obj_0095c#0005</v>
      </c>
      <c r="BF1" s="19" t="str">
        <f>_xll.qlPolynomialFunction(,_xll.qlTenorInstCoefficients(H$24),,_xll.ohTrigger(Trigger,H$25:H$28))</f>
        <v>obj_0095e#0005</v>
      </c>
      <c r="BG1" s="19" t="str">
        <f>_xll.qlPolynomialFunction(,_xll.qlTenorInstCoefficients(S$24),,_xll.ohTrigger(Trigger,S$25:S$28))</f>
        <v>obj_00956#0007</v>
      </c>
      <c r="BH1" s="19" t="str">
        <f>_xll.qlPolynomialFunction(,_xll.qlTenorInstCoefficients(T$24),,_xll.ohTrigger(Trigger,T$25:T$28))</f>
        <v>obj_00959#0005</v>
      </c>
      <c r="BI1" s="19" t="str">
        <f>_xll.qlPolynomialFunction(,U$25:U$28,,_xll.ohTrigger(Trigger,G$25:G$28))</f>
        <v>obj_00953#0008</v>
      </c>
      <c r="BJ1" s="19" t="str">
        <f>_xll.qlPolynomialFunction(,V$25:V$28,,_xll.ohTrigger(Trigger,H$25:H$28))</f>
        <v>obj_00954#0007</v>
      </c>
      <c r="BK1" s="19" t="str">
        <f>_xll.qlPolynomialFunction(,W$25:W$28,,_xll.ohTrigger(Trigger,S$25:S$28))</f>
        <v>obj_00961#0005</v>
      </c>
      <c r="BL1" s="19" t="str">
        <f>_xll.qlPolynomialFunction(,X$25:X$28,,_xll.ohTrigger(Trigger,T$25:T$28))</f>
        <v>obj_00957#0006</v>
      </c>
      <c r="BM1" s="19" t="str">
        <f>_xll.qlPolynomialFunction(,_xll.qlTenorInstCoefficients(Y$24),,_xll.ohTrigger(Trigger,G$25:G$28))</f>
        <v>obj_0096c#0008</v>
      </c>
      <c r="BN1" s="19" t="str">
        <f>_xll.qlPolynomialFunction(,_xll.qlTenorInstCoefficients(Z$24),,_xll.ohTrigger(Trigger,H$25:H$28))</f>
        <v>obj_00968#0008</v>
      </c>
      <c r="BO1" s="19" t="str">
        <f>_xll.qlPolynomialFunction(,_xll.qlTenorInstCoefficients(AA$24),,_xll.ohTrigger(Trigger,S$25:S$28))</f>
        <v>obj_0096d#0008</v>
      </c>
      <c r="BP1" s="19" t="str">
        <f>_xll.qlPolynomialFunction(,_xll.qlTenorInstCoefficients(AB$24),,_xll.ohTrigger(Trigger,T$25:T$28))</f>
        <v>obj_0096e#0008</v>
      </c>
    </row>
    <row r="2" spans="1:69" ht="21.75" customHeight="1" x14ac:dyDescent="0.2">
      <c r="C2" s="36" t="s">
        <v>43</v>
      </c>
      <c r="D2" s="36" t="s">
        <v>101</v>
      </c>
      <c r="E2" s="36" t="s">
        <v>102</v>
      </c>
      <c r="F2" s="36" t="s">
        <v>56</v>
      </c>
      <c r="G2" s="36" t="str">
        <f>"F "&amp;$D$21</f>
        <v>F 1M</v>
      </c>
      <c r="H2" s="36" t="str">
        <f>"B "&amp;$D$21</f>
        <v>B 1M</v>
      </c>
      <c r="I2" s="36" t="s">
        <v>89</v>
      </c>
      <c r="J2" s="36" t="s">
        <v>46</v>
      </c>
      <c r="K2" s="37" t="s">
        <v>47</v>
      </c>
      <c r="L2" s="36" t="s">
        <v>48</v>
      </c>
      <c r="M2" s="36" t="s">
        <v>57</v>
      </c>
      <c r="N2" s="36" t="s">
        <v>59</v>
      </c>
      <c r="O2" s="36" t="s">
        <v>60</v>
      </c>
      <c r="P2" s="36" t="s">
        <v>46</v>
      </c>
      <c r="Q2" s="37" t="s">
        <v>47</v>
      </c>
      <c r="R2" s="36" t="s">
        <v>48</v>
      </c>
      <c r="S2" s="36" t="s">
        <v>41</v>
      </c>
      <c r="T2" s="36" t="s">
        <v>42</v>
      </c>
      <c r="U2" s="36" t="s">
        <v>41</v>
      </c>
      <c r="V2" s="36" t="s">
        <v>42</v>
      </c>
      <c r="AD2" s="19" t="s">
        <v>103</v>
      </c>
      <c r="AP2" s="19" t="s">
        <v>100</v>
      </c>
      <c r="BE2" s="125" t="s">
        <v>66</v>
      </c>
      <c r="BF2" s="121"/>
      <c r="BG2" s="121"/>
      <c r="BH2" s="120"/>
      <c r="BI2" s="121"/>
      <c r="BJ2" s="121"/>
      <c r="BK2" s="121"/>
      <c r="BL2" s="121"/>
      <c r="BM2" s="125" t="s">
        <v>67</v>
      </c>
      <c r="BN2" s="121"/>
      <c r="BO2" s="121"/>
      <c r="BP2" s="120"/>
    </row>
    <row r="3" spans="1:69" ht="12" customHeight="1" x14ac:dyDescent="0.2">
      <c r="A3" s="21">
        <f>'6MSynthDepo_used'!A3</f>
        <v>0</v>
      </c>
      <c r="B3" s="55">
        <f>A3+SUBSTITUTE($D$21,"M","")</f>
        <v>1</v>
      </c>
      <c r="C3" s="171" t="str">
        <f>"B"&amp;$D$21&amp;"_"&amp;A3&amp;"X"&amp;B3&amp;$D$24</f>
        <v>B1M_0X1ESTIMATED</v>
      </c>
      <c r="D3" s="186">
        <f>SettlementDate</f>
        <v>42138</v>
      </c>
      <c r="E3" s="186">
        <f>_xll.qlInterestRateIndexMaturity($D$22,D3)</f>
        <v>42170</v>
      </c>
      <c r="F3" s="172">
        <f>_xll.qlIndexFixing(ON_1M_index,_xll.qlInterestRateIndexFixingDate(ON_1M_index,D3,Trigger),,AllTriggers)</f>
        <v>-9.9218555323313251E-4</v>
      </c>
      <c r="G3" s="172">
        <f>H3+F3</f>
        <v>-3.4000000000047881E-4</v>
      </c>
      <c r="H3" s="226">
        <f>_xll.qlQuoteValue(C3,_xll.ohTrigger(InterestRatesTrigger,'1MSynthDepo_used'!E3))</f>
        <v>6.521855532326537E-4</v>
      </c>
      <c r="I3" s="173">
        <f>_xll.qlDayCounterYearFraction(DayCounter,SettlementDate,D3,,,Trigger)</f>
        <v>0</v>
      </c>
      <c r="J3" s="173">
        <f>1</f>
        <v>1</v>
      </c>
      <c r="K3" s="173">
        <f t="shared" ref="K3:K9" si="0">I3</f>
        <v>0</v>
      </c>
      <c r="L3" s="173">
        <f t="shared" ref="L3:L9" si="1">I3^2</f>
        <v>0</v>
      </c>
      <c r="M3" s="217">
        <f>LN((1+G3*_xll.qlDayCounterYearFraction(DayCounter,D3,E3,,,Trigger))/(1+F3*_xll.qlDayCounterYearFraction(DayCounter,D3,E3,,,Trigger)))</f>
        <v>5.7975481819110203E-5</v>
      </c>
      <c r="N3" s="173">
        <f>_xll.qlDayCounterYearFraction(DayCounter,SettlementDate,D3,,,Trigger)</f>
        <v>0</v>
      </c>
      <c r="O3" s="173">
        <f>_xll.qlDayCounterYearFraction(DayCounter,SettlementDate,E3,,,Trigger)</f>
        <v>8.8888888888888892E-2</v>
      </c>
      <c r="P3" s="173">
        <f>O3-N3</f>
        <v>8.8888888888888892E-2</v>
      </c>
      <c r="Q3" s="173">
        <f>(O3^2-N3^2)/2</f>
        <v>3.9506172839506174E-3</v>
      </c>
      <c r="R3" s="173">
        <f>(O3^3-N3^3)/3</f>
        <v>2.341106538637403E-4</v>
      </c>
      <c r="S3" s="174" t="b">
        <v>1</v>
      </c>
      <c r="T3" s="174" t="b">
        <v>1</v>
      </c>
      <c r="U3" s="174" t="b">
        <v>0</v>
      </c>
      <c r="V3" s="174" t="b">
        <v>0</v>
      </c>
      <c r="AD3" s="219" t="s">
        <v>41</v>
      </c>
      <c r="AE3" s="220"/>
      <c r="AF3" s="220"/>
      <c r="AG3" s="220"/>
      <c r="AH3" s="220"/>
      <c r="AI3" s="220"/>
      <c r="AJ3" s="220"/>
      <c r="AK3" s="220"/>
      <c r="AL3" s="220"/>
      <c r="AM3" s="221"/>
      <c r="AN3" s="221"/>
      <c r="AO3" s="222"/>
      <c r="AP3" s="219"/>
      <c r="AQ3" s="220"/>
      <c r="AR3" s="220"/>
      <c r="AS3" s="220"/>
      <c r="AT3" s="220"/>
      <c r="AU3" s="220"/>
      <c r="AV3" s="220"/>
      <c r="AW3" s="220"/>
      <c r="AX3" s="220"/>
      <c r="AY3" s="221"/>
      <c r="AZ3" s="221"/>
      <c r="BA3" s="222"/>
      <c r="BE3" s="125" t="s">
        <v>109</v>
      </c>
      <c r="BF3" s="121"/>
      <c r="BG3" s="121"/>
      <c r="BH3" s="120"/>
      <c r="BI3" s="125" t="s">
        <v>108</v>
      </c>
      <c r="BJ3" s="121"/>
      <c r="BK3" s="121"/>
      <c r="BL3" s="120"/>
      <c r="BM3" s="125" t="s">
        <v>109</v>
      </c>
      <c r="BN3" s="121"/>
      <c r="BO3" s="121"/>
      <c r="BP3" s="120"/>
    </row>
    <row r="4" spans="1:69" ht="12" customHeight="1" x14ac:dyDescent="0.2">
      <c r="A4" s="21">
        <f>'6MSynthDepo_used'!A5</f>
        <v>1</v>
      </c>
      <c r="B4" s="55">
        <f>A4+SUBSTITUTE($D$21,"M","")</f>
        <v>2</v>
      </c>
      <c r="C4" s="39" t="str">
        <f>"B"&amp;$D$21&amp;"_"&amp;A4&amp;"X"&amp;B4</f>
        <v>B1M_1X2</v>
      </c>
      <c r="D4" s="177">
        <f>_xll.qlCalendarAdvance(Calendar,SettlementDate,A4&amp;"M","mf")</f>
        <v>42170</v>
      </c>
      <c r="E4" s="177">
        <f>_xll.qlInterestRateIndexMaturity($D$22,D4)</f>
        <v>42200</v>
      </c>
      <c r="F4" s="53">
        <f>_xll.qlIndexFixing(ON_1M_index,_xll.qlInterestRateIndexFixingDate(ON_1M_index,D4,Trigger),,AllTriggers)</f>
        <v>-1.1300212828695422E-3</v>
      </c>
      <c r="G4" s="53">
        <f t="shared" ref="G4:G9" si="2">H4+F4</f>
        <v>-6.5399284035994043E-4</v>
      </c>
      <c r="H4" s="202">
        <f>_xll.qlQuoteValue(C4,_xll.ohTrigger(InterestRatesTrigger,'1MSynthDepo_used'!E4))</f>
        <v>4.7602844250960175E-4</v>
      </c>
      <c r="I4" s="41">
        <f>_xll.qlDayCounterYearFraction(DayCounter,SettlementDate,D4,,,Trigger)</f>
        <v>8.8888888888888892E-2</v>
      </c>
      <c r="J4" s="41">
        <f>1</f>
        <v>1</v>
      </c>
      <c r="K4" s="41">
        <f t="shared" si="0"/>
        <v>8.8888888888888892E-2</v>
      </c>
      <c r="L4" s="41">
        <f t="shared" si="1"/>
        <v>7.9012345679012348E-3</v>
      </c>
      <c r="M4" s="40">
        <f>LN((1+G4*_xll.qlDayCounterYearFraction(DayCounter,D4,E4,,,Trigger))/(1+F4*_xll.qlDayCounterYearFraction(DayCounter,D4,E4,,,Trigger)))</f>
        <v>3.9671985855289202E-5</v>
      </c>
      <c r="N4" s="41">
        <f>_xll.qlDayCounterYearFraction(DayCounter,SettlementDate,D4,,,Trigger)</f>
        <v>8.8888888888888892E-2</v>
      </c>
      <c r="O4" s="41">
        <f>_xll.qlDayCounterYearFraction(DayCounter,SettlementDate,E4,,,Trigger)</f>
        <v>0.17222222222222222</v>
      </c>
      <c r="P4" s="41">
        <f t="shared" ref="P4:P9" si="3">O4-N4</f>
        <v>8.3333333333333329E-2</v>
      </c>
      <c r="Q4" s="41">
        <f t="shared" ref="Q4:Q9" si="4">(O4^2-N4^2)/2</f>
        <v>1.0879629629629628E-2</v>
      </c>
      <c r="R4" s="41">
        <f t="shared" ref="R4:R9" si="5">(O4^3-N4^3)/3</f>
        <v>1.4686213991769545E-3</v>
      </c>
      <c r="S4" s="114" t="b">
        <v>1</v>
      </c>
      <c r="T4" s="114" t="b">
        <v>1</v>
      </c>
      <c r="U4" s="114" t="b">
        <v>1</v>
      </c>
      <c r="V4" s="114" t="b">
        <v>1</v>
      </c>
      <c r="AD4" s="94" t="s">
        <v>64</v>
      </c>
      <c r="AE4" s="21"/>
      <c r="AF4" s="21"/>
      <c r="AG4" s="21"/>
      <c r="AH4" s="21"/>
      <c r="AI4" s="112" t="s">
        <v>45</v>
      </c>
      <c r="AJ4" s="33"/>
      <c r="AK4" s="22"/>
      <c r="AL4" s="21"/>
      <c r="AM4" s="21"/>
      <c r="AN4" s="21"/>
      <c r="AO4" s="101"/>
      <c r="AP4" s="94"/>
      <c r="AQ4" s="21"/>
      <c r="AR4" s="21"/>
      <c r="AS4" s="21"/>
      <c r="AT4" s="21"/>
      <c r="AU4" s="112" t="s">
        <v>45</v>
      </c>
      <c r="AV4" s="33"/>
      <c r="AW4" s="22"/>
      <c r="AX4" s="21"/>
      <c r="AY4" s="21"/>
      <c r="AZ4" s="21"/>
      <c r="BA4" s="101"/>
      <c r="BE4" s="116" t="str">
        <f>G31</f>
        <v>with 0X1</v>
      </c>
      <c r="BF4" s="118"/>
      <c r="BG4" s="117" t="str">
        <f>S31</f>
        <v>without 0X1</v>
      </c>
      <c r="BH4" s="118"/>
      <c r="BI4" s="116" t="str">
        <f>U31</f>
        <v>with 0X1</v>
      </c>
      <c r="BJ4" s="118"/>
      <c r="BK4" s="117" t="str">
        <f>W31</f>
        <v>without 0X1</v>
      </c>
      <c r="BL4" s="118"/>
      <c r="BM4" s="116" t="str">
        <f>Y31</f>
        <v>with 0X1</v>
      </c>
      <c r="BN4" s="118"/>
      <c r="BO4" s="117" t="str">
        <f>AA31</f>
        <v>without 0X1</v>
      </c>
      <c r="BP4" s="118"/>
    </row>
    <row r="5" spans="1:69" ht="12" customHeight="1" x14ac:dyDescent="0.2">
      <c r="A5" s="21">
        <f>'6MSynthDepo_used'!A6</f>
        <v>2</v>
      </c>
      <c r="B5" s="55">
        <f>A5+SUBSTITUTE($D$21,"M","")</f>
        <v>3</v>
      </c>
      <c r="C5" s="39" t="str">
        <f>"B"&amp;$D$21&amp;"_"&amp;A5&amp;"X"&amp;B5</f>
        <v>B1M_2X3</v>
      </c>
      <c r="D5" s="177">
        <f>_xll.qlCalendarAdvance(Calendar,SettlementDate,A5&amp;"M","mf")</f>
        <v>42199</v>
      </c>
      <c r="E5" s="177">
        <f>_xll.qlInterestRateIndexMaturity($D$22,D5)</f>
        <v>42230</v>
      </c>
      <c r="F5" s="53">
        <f>_xll.qlIndexFixing(ON_1M_index,_xll.qlInterestRateIndexFixingDate(ON_1M_index,D5,Trigger),,AllTriggers)</f>
        <v>-1.2265497347488832E-3</v>
      </c>
      <c r="G5" s="53">
        <f t="shared" si="2"/>
        <v>-6.0881151511890934E-4</v>
      </c>
      <c r="H5" s="202">
        <f>_xll.qlQuoteValue(C5,_xll.ohTrigger(InterestRatesTrigger,'1MSynthDepo_used'!E5))</f>
        <v>6.1773821962997388E-4</v>
      </c>
      <c r="I5" s="41">
        <f>_xll.qlDayCounterYearFraction(DayCounter,SettlementDate,D5,,,Trigger)</f>
        <v>0.16944444444444445</v>
      </c>
      <c r="J5" s="41">
        <f>1</f>
        <v>1</v>
      </c>
      <c r="K5" s="41">
        <f t="shared" si="0"/>
        <v>0.16944444444444445</v>
      </c>
      <c r="L5" s="41">
        <f t="shared" si="1"/>
        <v>2.8711419753086422E-2</v>
      </c>
      <c r="M5" s="40">
        <f>LN((1+G5*_xll.qlDayCounterYearFraction(DayCounter,D5,E5,,,Trigger))/(1+F5*_xll.qlDayCounterYearFraction(DayCounter,D5,E5,,,Trigger)))</f>
        <v>5.319832834551518E-5</v>
      </c>
      <c r="N5" s="41">
        <f>_xll.qlDayCounterYearFraction(DayCounter,SettlementDate,D5,,,Trigger)</f>
        <v>0.16944444444444445</v>
      </c>
      <c r="O5" s="41">
        <f>_xll.qlDayCounterYearFraction(DayCounter,SettlementDate,E5,,,Trigger)</f>
        <v>0.25555555555555554</v>
      </c>
      <c r="P5" s="41">
        <f t="shared" si="3"/>
        <v>8.6111111111111083E-2</v>
      </c>
      <c r="Q5" s="41">
        <f t="shared" si="4"/>
        <v>1.8298611111111102E-2</v>
      </c>
      <c r="R5" s="41">
        <f t="shared" si="5"/>
        <v>3.9416652377686308E-3</v>
      </c>
      <c r="S5" s="114" t="b">
        <v>1</v>
      </c>
      <c r="T5" s="114" t="b">
        <v>1</v>
      </c>
      <c r="U5" s="114" t="b">
        <v>1</v>
      </c>
      <c r="V5" s="114" t="b">
        <v>1</v>
      </c>
      <c r="AD5" s="94"/>
      <c r="AE5" s="124"/>
      <c r="AF5" s="27">
        <f t="array" ref="AF5:AF6">_xll.ohFilter(K3:K9,S3:S9)</f>
        <v>0</v>
      </c>
      <c r="AG5" s="28">
        <f t="array" ref="AG5:AG6">_xll.ohFilter(J3:J9,S3:S9)</f>
        <v>1</v>
      </c>
      <c r="AH5" s="280" t="s">
        <v>20</v>
      </c>
      <c r="AI5" s="29">
        <f t="array" ref="AI5:AI6">MMULT(AL5:AM6,AK5:AK6)</f>
        <v>-1.9817674956343345E-3</v>
      </c>
      <c r="AJ5" s="280" t="s">
        <v>21</v>
      </c>
      <c r="AK5" s="30">
        <f t="array" ref="AK5:AK6">_xll.ohFilter(H3:H9,S3:S9)</f>
        <v>6.521855532326537E-4</v>
      </c>
      <c r="AL5" s="27">
        <f t="array" ref="AL5:AM6">MINVERSE(AF5:AG6)</f>
        <v>-11.25</v>
      </c>
      <c r="AM5" s="28">
        <v>11.25</v>
      </c>
      <c r="AN5" s="21"/>
      <c r="AO5" s="101"/>
      <c r="AP5" s="94"/>
      <c r="AQ5" s="124"/>
      <c r="AR5" s="27">
        <f t="array" ref="AR5:AR6">_xll.ohFilter(Q3:Q9,S3:S9)</f>
        <v>3.9506172839506174E-3</v>
      </c>
      <c r="AS5" s="28">
        <f t="array" ref="AS5:AS6">_xll.ohFilter(P3:P9,S3:S9)</f>
        <v>8.8888888888888892E-2</v>
      </c>
      <c r="AT5" s="280" t="s">
        <v>20</v>
      </c>
      <c r="AU5" s="29">
        <f t="array" ref="AU5:AU6">MMULT(AX5:AY6,AW5:AW6)</f>
        <v>-2.0457329829853864E-3</v>
      </c>
      <c r="AV5" s="280" t="s">
        <v>21</v>
      </c>
      <c r="AW5" s="56">
        <f t="array" ref="AW5:AW6">_xll.ohFilter(M3:M9,S3:S9)</f>
        <v>5.7975481819110203E-5</v>
      </c>
      <c r="AX5" s="27">
        <f t="array" ref="AX5:AY6">MINVERSE(AR5:AS6)</f>
        <v>-130.64516129032259</v>
      </c>
      <c r="AY5" s="28">
        <v>139.35483870967744</v>
      </c>
      <c r="AZ5" s="21"/>
      <c r="BA5" s="101"/>
      <c r="BC5" s="36" t="s">
        <v>38</v>
      </c>
      <c r="BD5" s="36" t="s">
        <v>55</v>
      </c>
      <c r="BE5" s="36" t="str">
        <f>G32</f>
        <v>Linear</v>
      </c>
      <c r="BF5" s="36" t="str">
        <f>H32</f>
        <v>Quadratic</v>
      </c>
      <c r="BG5" s="36" t="str">
        <f>S32</f>
        <v>Linear</v>
      </c>
      <c r="BH5" s="36" t="str">
        <f>T32</f>
        <v>Quadratic</v>
      </c>
      <c r="BI5" s="36" t="str">
        <f>U32</f>
        <v>Linear</v>
      </c>
      <c r="BJ5" s="36" t="str">
        <f>V32</f>
        <v>Quadratic</v>
      </c>
      <c r="BK5" s="36" t="str">
        <f>W32</f>
        <v>Linear</v>
      </c>
      <c r="BL5" s="36" t="str">
        <f>X32</f>
        <v>Quadratic</v>
      </c>
      <c r="BM5" s="36" t="str">
        <f>Y32</f>
        <v>Linear</v>
      </c>
      <c r="BN5" s="36" t="str">
        <f>Z32</f>
        <v>Quadratic</v>
      </c>
      <c r="BO5" s="36" t="str">
        <f>AA32</f>
        <v>Linear</v>
      </c>
      <c r="BP5" s="36" t="str">
        <f>AB32</f>
        <v>Quadratic</v>
      </c>
      <c r="BQ5" s="36" t="s">
        <v>105</v>
      </c>
    </row>
    <row r="6" spans="1:69" ht="12" customHeight="1" x14ac:dyDescent="0.2">
      <c r="A6" s="21">
        <f>'6MSynthDepo_used'!A7</f>
        <v>3</v>
      </c>
      <c r="B6" s="55">
        <f>A6+SUBSTITUTE($D$21,"M","")</f>
        <v>4</v>
      </c>
      <c r="C6" s="42" t="str">
        <f>"B"&amp;$D$21&amp;"_"&amp;A6&amp;"X"&amp;B6</f>
        <v>B1M_3X4</v>
      </c>
      <c r="D6" s="181">
        <f>_xll.qlCalendarAdvance(Calendar,SettlementDate,A6&amp;"M","mf")</f>
        <v>42230</v>
      </c>
      <c r="E6" s="181">
        <f>_xll.qlInterestRateIndexMaturity($D$22,D6)</f>
        <v>42261</v>
      </c>
      <c r="F6" s="54">
        <f>_xll.qlIndexFixing(ON_1M_index,_xll.qlInterestRateIndexFixingDate(ON_1M_index,D6,Trigger),,AllTriggers)</f>
        <v>-1.2486201364305958E-3</v>
      </c>
      <c r="G6" s="54">
        <f t="shared" si="2"/>
        <v>-6.0952395736862052E-4</v>
      </c>
      <c r="H6" s="203">
        <f>_xll.qlQuoteValue(C6,_xll.ohTrigger(InterestRatesTrigger,'1MSynthDepo_used'!E6))</f>
        <v>6.3909617906197523E-4</v>
      </c>
      <c r="I6" s="44">
        <f>_xll.qlDayCounterYearFraction(DayCounter,SettlementDate,D6,,,Trigger)</f>
        <v>0.25555555555555554</v>
      </c>
      <c r="J6" s="44">
        <f>1</f>
        <v>1</v>
      </c>
      <c r="K6" s="44">
        <f t="shared" si="0"/>
        <v>0.25555555555555554</v>
      </c>
      <c r="L6" s="44">
        <f t="shared" si="1"/>
        <v>6.5308641975308626E-2</v>
      </c>
      <c r="M6" s="43">
        <f>LN((1+G6*_xll.qlDayCounterYearFraction(DayCounter,D6,E6,,,Trigger))/(1+F6*_xll.qlDayCounterYearFraction(DayCounter,D6,E6,,,Trigger)))</f>
        <v>5.5037685303161449E-5</v>
      </c>
      <c r="N6" s="44">
        <f>_xll.qlDayCounterYearFraction(DayCounter,SettlementDate,D6,,,Trigger)</f>
        <v>0.25555555555555554</v>
      </c>
      <c r="O6" s="44">
        <f>_xll.qlDayCounterYearFraction(DayCounter,SettlementDate,E6,,,Trigger)</f>
        <v>0.34166666666666667</v>
      </c>
      <c r="P6" s="44">
        <f t="shared" si="3"/>
        <v>8.6111111111111138E-2</v>
      </c>
      <c r="Q6" s="44">
        <f t="shared" si="4"/>
        <v>2.5713734567901242E-2</v>
      </c>
      <c r="R6" s="44">
        <f t="shared" si="5"/>
        <v>7.7316172267946981E-3</v>
      </c>
      <c r="S6" s="150" t="b">
        <v>0</v>
      </c>
      <c r="T6" s="150" t="b">
        <v>0</v>
      </c>
      <c r="U6" s="150" t="b">
        <v>1</v>
      </c>
      <c r="V6" s="150" t="b">
        <v>1</v>
      </c>
      <c r="AD6" s="94"/>
      <c r="AE6" s="21"/>
      <c r="AF6" s="27">
        <v>8.8888888888888892E-2</v>
      </c>
      <c r="AG6" s="28">
        <v>1</v>
      </c>
      <c r="AH6" s="280"/>
      <c r="AI6" s="29">
        <v>6.521855532326537E-4</v>
      </c>
      <c r="AJ6" s="280"/>
      <c r="AK6" s="30">
        <v>4.7602844250960175E-4</v>
      </c>
      <c r="AL6" s="27">
        <v>1</v>
      </c>
      <c r="AM6" s="28">
        <v>0</v>
      </c>
      <c r="AN6" s="21"/>
      <c r="AO6" s="101"/>
      <c r="AP6" s="94"/>
      <c r="AQ6" s="21"/>
      <c r="AR6" s="27">
        <v>1.0879629629629628E-2</v>
      </c>
      <c r="AS6" s="28">
        <v>8.3333333333333329E-2</v>
      </c>
      <c r="AT6" s="280"/>
      <c r="AU6" s="29">
        <v>7.4314563637545121E-4</v>
      </c>
      <c r="AV6" s="280"/>
      <c r="AW6" s="56">
        <v>3.9671985855289202E-5</v>
      </c>
      <c r="AX6" s="27">
        <v>17.056451612903224</v>
      </c>
      <c r="AY6" s="28">
        <v>-6.1935483870967758</v>
      </c>
      <c r="AZ6" s="21"/>
      <c r="BA6" s="101"/>
      <c r="BC6" s="176">
        <f>SettlementDate</f>
        <v>42138</v>
      </c>
      <c r="BD6" s="41">
        <f>_xll.qlDayCounterYearFraction(DayCounter,SettlementDate,BC6,,,Trigger)</f>
        <v>0</v>
      </c>
      <c r="BE6" s="47">
        <f>_xll.qlPolynomialFunctionValue(BE$1,$BD6,AllTriggers)</f>
        <v>7.4026410859417968E-4</v>
      </c>
      <c r="BF6" s="52">
        <f>_xll.qlPolynomialFunctionValue(BF$1,$BD6,AllTriggers)</f>
        <v>8.5655753633951737E-4</v>
      </c>
      <c r="BG6" s="47">
        <f>_xll.qlPolynomialFunctionValue(BG$1,$BD6,AllTriggers)</f>
        <v>2.4147432865519262E-4</v>
      </c>
      <c r="BH6" s="52">
        <f>_xll.qlPolynomialFunctionValue(BH$1,$BD6,AllTriggers)</f>
        <v>-1.1126563684124268E-5</v>
      </c>
      <c r="BI6" s="52">
        <f>_xll.qlPolynomialFunctionValue(BI$1,$BD6,AllTriggers)</f>
        <v>7.4314563637545121E-4</v>
      </c>
      <c r="BJ6" s="52">
        <f>_xll.qlPolynomialFunctionValue(BJ$1,$BD6,AllTriggers)</f>
        <v>8.568277197498565E-4</v>
      </c>
      <c r="BK6" s="52">
        <f>_xll.qlPolynomialFunctionValue(BK$1,$BD6,AllTriggers)</f>
        <v>2.5026753183565124E-4</v>
      </c>
      <c r="BL6" s="52">
        <f>_xll.qlPolynomialFunctionValue(BL$1,$BD6,AllTriggers)</f>
        <v>9.5710315895602797E-6</v>
      </c>
      <c r="BM6" s="52">
        <f>_xll.qlPolynomialFunctionValue(BM$1,$BD6,AllTriggers)</f>
        <v>5.7748706527217494E-4</v>
      </c>
      <c r="BN6" s="52">
        <f>_xll.qlPolynomialFunctionValue(BN$1,$BD6,AllTriggers)</f>
        <v>7.1319801622629761E-4</v>
      </c>
      <c r="BO6" s="52">
        <f>_xll.qlPolynomialFunctionValue(BO$1,$BD6,AllTriggers)</f>
        <v>3.6834731619110752E-4</v>
      </c>
      <c r="BP6" s="52">
        <f>_xll.qlPolynomialFunctionValue(BP$1,$BD6,AllTriggers)</f>
        <v>-1.1126563684124942E-5</v>
      </c>
      <c r="BQ6" s="52">
        <f>_xll.qlPolynomialFunctionValue('1MSynthDepo_used'!$P$18,BD6,AllTriggers)</f>
        <v>9.851375372000096E-4</v>
      </c>
    </row>
    <row r="7" spans="1:69" ht="12" customHeight="1" x14ac:dyDescent="0.2">
      <c r="A7" s="21"/>
      <c r="B7" s="55"/>
      <c r="C7" s="22"/>
      <c r="D7" s="23"/>
      <c r="E7" s="23"/>
      <c r="F7" s="122"/>
      <c r="G7" s="122"/>
      <c r="H7" s="123"/>
      <c r="I7" s="24"/>
      <c r="J7" s="25"/>
      <c r="K7" s="25"/>
      <c r="L7" s="25"/>
      <c r="M7" s="25"/>
      <c r="N7" s="25"/>
      <c r="O7" s="25"/>
      <c r="P7" s="25"/>
      <c r="Q7" s="25"/>
      <c r="R7" s="25"/>
      <c r="S7" s="25"/>
      <c r="T7" s="26"/>
      <c r="U7" s="26"/>
      <c r="V7" s="26"/>
      <c r="AD7" s="94"/>
      <c r="AE7" s="21"/>
      <c r="AF7" s="21"/>
      <c r="AG7" s="21"/>
      <c r="AH7" s="21"/>
      <c r="AI7" s="111"/>
      <c r="AJ7" s="33"/>
      <c r="AK7" s="22"/>
      <c r="AL7" s="21"/>
      <c r="AM7" s="21"/>
      <c r="AN7" s="21"/>
      <c r="AO7" s="101"/>
      <c r="AP7" s="94"/>
      <c r="AQ7" s="21"/>
      <c r="AR7" s="21"/>
      <c r="AS7" s="21"/>
      <c r="AT7" s="21"/>
      <c r="AU7" s="111"/>
      <c r="AV7" s="33"/>
      <c r="AW7" s="218"/>
      <c r="AX7" s="21"/>
      <c r="AY7" s="21"/>
      <c r="AZ7" s="21"/>
      <c r="BA7" s="101"/>
      <c r="BC7" s="178">
        <f>_xll.qlCalendarAdvance(Calendar,BC6,"1d","mf",,Trigger)</f>
        <v>42139</v>
      </c>
      <c r="BD7" s="41">
        <f>_xll.qlDayCounterYearFraction(DayCounter,SettlementDate,BC7,,,Trigger)</f>
        <v>2.7777777777777779E-3</v>
      </c>
      <c r="BE7" s="47">
        <f>_xll.qlPolynomialFunctionValue(BE$1,$BD7,AllTriggers)</f>
        <v>7.3475919888408431E-4</v>
      </c>
      <c r="BF7" s="47">
        <f>_xll.qlPolynomialFunctionValue(BF$1,$BD7,AllTriggers)</f>
        <v>8.4032046947909544E-4</v>
      </c>
      <c r="BG7" s="47">
        <f>_xll.qlPolynomialFunctionValue(BG$1,$BD7,AllTriggers)</f>
        <v>2.4636087269382616E-4</v>
      </c>
      <c r="BH7" s="47">
        <f>_xll.qlPolynomialFunctionValue(BH$1,$BD7,AllTriggers)</f>
        <v>2.4349740722184311E-6</v>
      </c>
      <c r="BI7" s="47">
        <f>_xll.qlPolynomialFunctionValue(BI$1,$BD7,AllTriggers)</f>
        <v>7.3746304475604733E-4</v>
      </c>
      <c r="BJ7" s="47">
        <f>_xll.qlPolynomialFunctionValue(BJ$1,$BD7,AllTriggers)</f>
        <v>8.4054473225128688E-4</v>
      </c>
      <c r="BK7" s="47">
        <f>_xll.qlPolynomialFunctionValue(BK$1,$BD7,AllTriggers)</f>
        <v>2.5507170839794528E-4</v>
      </c>
      <c r="BL7" s="47">
        <f>_xll.qlPolynomialFunctionValue(BL$1,$BD7,AllTriggers)</f>
        <v>2.2743061319103311E-5</v>
      </c>
      <c r="BM7" s="47">
        <f>_xll.qlPolynomialFunctionValue(BM$1,$BD7,AllTriggers)</f>
        <v>5.7778867223339935E-4</v>
      </c>
      <c r="BN7" s="47">
        <f>_xll.qlPolynomialFunctionValue(BN$1,$BD7,AllTriggers)</f>
        <v>7.070564169404435E-4</v>
      </c>
      <c r="BO7" s="47">
        <f>_xll.qlPolynomialFunctionValue(BO$1,$BD7,AllTriggers)</f>
        <v>3.7104182645989728E-4</v>
      </c>
      <c r="BP7" s="47">
        <f>_xll.qlPolynomialFunctionValue(BP$1,$BD7,AllTriggers)</f>
        <v>2.4349740722177852E-6</v>
      </c>
      <c r="BQ7" s="47">
        <f>_xll.qlPolynomialFunctionValue('1MSynthDepo_used'!$P$18,BD7,AllTriggers)</f>
        <v>9.5442380053304234E-4</v>
      </c>
    </row>
    <row r="8" spans="1:69" ht="12" customHeight="1" x14ac:dyDescent="0.2">
      <c r="A8" s="21"/>
      <c r="B8" s="55"/>
      <c r="C8" s="22"/>
      <c r="D8" s="23"/>
      <c r="E8" s="23"/>
      <c r="F8" s="122"/>
      <c r="G8" s="122"/>
      <c r="H8" s="123"/>
      <c r="I8" s="24"/>
      <c r="J8" s="25"/>
      <c r="K8" s="25"/>
      <c r="L8" s="25"/>
      <c r="M8" s="25"/>
      <c r="N8" s="25"/>
      <c r="O8" s="25"/>
      <c r="P8" s="25"/>
      <c r="Q8" s="25"/>
      <c r="R8" s="25"/>
      <c r="S8" s="25"/>
      <c r="T8" s="26"/>
      <c r="U8" s="26"/>
      <c r="V8" s="26"/>
      <c r="AD8" s="94" t="s">
        <v>65</v>
      </c>
      <c r="AE8" s="21"/>
      <c r="AF8" s="21"/>
      <c r="AG8" s="21"/>
      <c r="AH8" s="21"/>
      <c r="AI8" s="112" t="s">
        <v>45</v>
      </c>
      <c r="AJ8" s="33"/>
      <c r="AK8" s="22"/>
      <c r="AL8" s="21"/>
      <c r="AM8" s="21"/>
      <c r="AN8" s="21"/>
      <c r="AO8" s="101"/>
      <c r="AP8" s="94"/>
      <c r="AQ8" s="21"/>
      <c r="AR8" s="21"/>
      <c r="AS8" s="21"/>
      <c r="AT8" s="21"/>
      <c r="AU8" s="112" t="s">
        <v>45</v>
      </c>
      <c r="AV8" s="33"/>
      <c r="AW8" s="218"/>
      <c r="AX8" s="21"/>
      <c r="AY8" s="21"/>
      <c r="AZ8" s="21"/>
      <c r="BA8" s="101"/>
      <c r="BC8" s="178">
        <f>_xll.qlCalendarAdvance(Calendar,BC7,"1d","mf",,Trigger)</f>
        <v>42142</v>
      </c>
      <c r="BD8" s="41">
        <f>_xll.qlDayCounterYearFraction(DayCounter,SettlementDate,BC8,,,Trigger)</f>
        <v>1.1111111111111112E-2</v>
      </c>
      <c r="BE8" s="47">
        <f>_xll.qlPolynomialFunctionValue(BE$1,$BD8,AllTriggers)</f>
        <v>7.1824446975379819E-4</v>
      </c>
      <c r="BF8" s="47">
        <f>_xll.qlPolynomialFunctionValue(BF$1,$BD8,AllTriggers)</f>
        <v>7.9365348930741562E-4</v>
      </c>
      <c r="BG8" s="47">
        <f>_xll.qlPolynomialFunctionValue(BG$1,$BD8,AllTriggers)</f>
        <v>2.6102050480972673E-4</v>
      </c>
      <c r="BH8" s="47">
        <f>_xll.qlPolynomialFunctionValue(BH$1,$BD8,AllTriggers)</f>
        <v>4.2280071820177899E-5</v>
      </c>
      <c r="BI8" s="47">
        <f>_xll.qlPolynomialFunctionValue(BI$1,$BD8,AllTriggers)</f>
        <v>7.2041526989783582E-4</v>
      </c>
      <c r="BJ8" s="47">
        <f>_xll.qlPolynomialFunctionValue(BJ$1,$BD8,AllTriggers)</f>
        <v>7.9375854949422636E-4</v>
      </c>
      <c r="BK8" s="47">
        <f>_xll.qlPolynomialFunctionValue(BK$1,$BD8,AllTriggers)</f>
        <v>2.6948423808482731E-4</v>
      </c>
      <c r="BL8" s="47">
        <f>_xll.qlPolynomialFunctionValue(BL$1,$BD8,AllTriggers)</f>
        <v>6.1440593876809147E-5</v>
      </c>
      <c r="BM8" s="47">
        <f>_xll.qlPolynomialFunctionValue(BM$1,$BD8,AllTriggers)</f>
        <v>5.786934931170727E-4</v>
      </c>
      <c r="BN8" s="47">
        <f>_xll.qlPolynomialFunctionValue(BN$1,$BD8,AllTriggers)</f>
        <v>6.892608097418218E-4</v>
      </c>
      <c r="BO8" s="47">
        <f>_xll.qlPolynomialFunctionValue(BO$1,$BD8,AllTriggers)</f>
        <v>3.791253572662665E-4</v>
      </c>
      <c r="BP8" s="47">
        <f>_xll.qlPolynomialFunctionValue(BP$1,$BD8,AllTriggers)</f>
        <v>4.2280071820177337E-5</v>
      </c>
      <c r="BQ8" s="47">
        <f>_xll.qlPolynomialFunctionValue('1MSynthDepo_used'!$P$18,BD8,AllTriggers)</f>
        <v>8.6878538327036451E-4</v>
      </c>
    </row>
    <row r="9" spans="1:69" ht="12" customHeight="1" x14ac:dyDescent="0.2">
      <c r="A9" s="21"/>
      <c r="B9" s="55"/>
      <c r="C9" s="22"/>
      <c r="D9" s="23"/>
      <c r="E9" s="23"/>
      <c r="F9" s="122"/>
      <c r="G9" s="122"/>
      <c r="H9" s="123"/>
      <c r="I9" s="24"/>
      <c r="J9" s="25"/>
      <c r="K9" s="25"/>
      <c r="L9" s="25"/>
      <c r="M9" s="25"/>
      <c r="N9" s="25"/>
      <c r="O9" s="25"/>
      <c r="P9" s="25"/>
      <c r="Q9" s="25"/>
      <c r="R9" s="25"/>
      <c r="S9" s="25"/>
      <c r="T9" s="26"/>
      <c r="U9" s="26"/>
      <c r="V9" s="26"/>
      <c r="AD9" s="94"/>
      <c r="AE9" s="32"/>
      <c r="AF9" s="27">
        <f t="array" ref="AF9:AF10">_xll.ohFilter(K3:K9,U3:U9)</f>
        <v>8.8888888888888892E-2</v>
      </c>
      <c r="AG9" s="28">
        <f t="array" ref="AG9:AG10">_xll.ohFilter(J3:J9,U3:U9)</f>
        <v>1</v>
      </c>
      <c r="AH9" s="280" t="s">
        <v>20</v>
      </c>
      <c r="AI9" s="29">
        <f t="array" ref="AI9:AI10">MMULT(AL9:AM10,AK9:AK10)</f>
        <v>1.7591558539080685E-3</v>
      </c>
      <c r="AJ9" s="280" t="s">
        <v>21</v>
      </c>
      <c r="AK9" s="30">
        <f t="array" ref="AK9:AK10">_xll.ohFilter(H3:H9,U3:U9)</f>
        <v>4.7602844250960175E-4</v>
      </c>
      <c r="AL9" s="27">
        <f t="array" ref="AL9:AM10">MINVERSE(AF9:AG10)</f>
        <v>-12.413793103448276</v>
      </c>
      <c r="AM9" s="28">
        <v>12.413793103448278</v>
      </c>
      <c r="AN9" s="21"/>
      <c r="AO9" s="101"/>
      <c r="AP9" s="94"/>
      <c r="AQ9" s="32"/>
      <c r="AR9" s="27">
        <f t="array" ref="AR9:AR10">_xll.ohFilter(Q3:Q9,U3:U9)</f>
        <v>1.0879629629629628E-2</v>
      </c>
      <c r="AS9" s="28">
        <f t="array" ref="AS9:AS10">_xll.ohFilter(P3:P9,U3:U9)</f>
        <v>8.3333333333333329E-2</v>
      </c>
      <c r="AT9" s="280" t="s">
        <v>20</v>
      </c>
      <c r="AU9" s="29">
        <f t="array" ref="AU9:AU10">MMULT(AX9:AY10,AW9:AW10)</f>
        <v>1.7295035624258484E-3</v>
      </c>
      <c r="AV9" s="280" t="s">
        <v>21</v>
      </c>
      <c r="AW9" s="56">
        <f t="array" ref="AW9:AW10">_xll.ohFilter(M3:M9,U3:U9)</f>
        <v>3.9671985855289202E-5</v>
      </c>
      <c r="AX9" s="27">
        <f t="array" ref="AX9:AY10">MINVERSE(AR9:AS10)</f>
        <v>-146.44067796610173</v>
      </c>
      <c r="AY9" s="28">
        <v>141.71678512848555</v>
      </c>
      <c r="AZ9" s="21"/>
      <c r="BA9" s="101"/>
      <c r="BC9" s="178">
        <f>_xll.qlCalendarAdvance(Calendar,BC8,"1d","mf",,Trigger)</f>
        <v>42143</v>
      </c>
      <c r="BD9" s="41">
        <f>_xll.qlDayCounterYearFraction(DayCounter,SettlementDate,BC9,,,Trigger)</f>
        <v>1.3888888888888888E-2</v>
      </c>
      <c r="BE9" s="47">
        <f>_xll.qlPolynomialFunctionValue(BE$1,$BD9,AllTriggers)</f>
        <v>7.1273956004370281E-4</v>
      </c>
      <c r="BF9" s="47">
        <f>_xll.qlPolynomialFunctionValue(BF$1,$BD9,AllTriggers)</f>
        <v>7.7877923605338436E-4</v>
      </c>
      <c r="BG9" s="47">
        <f>_xll.qlPolynomialFunctionValue(BG$1,$BD9,AllTriggers)</f>
        <v>2.6590704884836027E-4</v>
      </c>
      <c r="BH9" s="47">
        <f>_xll.qlPolynomialFunctionValue(BH$1,$BD9,AllTriggers)</f>
        <v>5.5281932562474842E-5</v>
      </c>
      <c r="BI9" s="47">
        <f>_xll.qlPolynomialFunctionValue(BI$1,$BD9,AllTriggers)</f>
        <v>7.1473267827843194E-4</v>
      </c>
      <c r="BJ9" s="47">
        <f>_xll.qlPolynomialFunctionValue(BJ$1,$BD9,AllTriggers)</f>
        <v>7.7885074848808909E-4</v>
      </c>
      <c r="BK9" s="47">
        <f>_xll.qlPolynomialFunctionValue(BK$1,$BD9,AllTriggers)</f>
        <v>2.7428841464712135E-4</v>
      </c>
      <c r="BL9" s="47">
        <f>_xll.qlPolynomialFunctionValue(BL$1,$BD9,AllTriggers)</f>
        <v>7.4066919185736659E-5</v>
      </c>
      <c r="BM9" s="47">
        <f>_xll.qlPolynomialFunctionValue(BM$1,$BD9,AllTriggers)</f>
        <v>5.7899510007829711E-4</v>
      </c>
      <c r="BN9" s="47">
        <f>_xll.qlPolynomialFunctionValue(BN$1,$BD9,AllTriggers)</f>
        <v>6.8353867089526125E-4</v>
      </c>
      <c r="BO9" s="47">
        <f>_xll.qlPolynomialFunctionValue(BO$1,$BD9,AllTriggers)</f>
        <v>3.818198675350562E-4</v>
      </c>
      <c r="BP9" s="47">
        <f>_xll.qlPolynomialFunctionValue(BP$1,$BD9,AllTriggers)</f>
        <v>5.5281932562474293E-5</v>
      </c>
      <c r="BQ9" s="47">
        <f>_xll.qlPolynomialFunctionValue('1MSynthDepo_used'!$P$18,BD9,AllTriggers)</f>
        <v>8.4235239306385912E-4</v>
      </c>
    </row>
    <row r="10" spans="1:69" ht="12" customHeight="1" x14ac:dyDescent="0.2">
      <c r="A10" s="21"/>
      <c r="B10" s="55"/>
      <c r="C10" s="22"/>
      <c r="D10" s="23"/>
      <c r="E10" s="23"/>
      <c r="F10" s="122"/>
      <c r="G10" s="122"/>
      <c r="H10" s="123"/>
      <c r="I10" s="2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  <c r="U10" s="26"/>
      <c r="V10" s="26"/>
      <c r="W10" s="26"/>
      <c r="AD10" s="94"/>
      <c r="AE10" s="32"/>
      <c r="AF10" s="27">
        <v>0.16944444444444445</v>
      </c>
      <c r="AG10" s="28">
        <v>1</v>
      </c>
      <c r="AH10" s="280"/>
      <c r="AI10" s="29">
        <v>3.1965903327332899E-4</v>
      </c>
      <c r="AJ10" s="280"/>
      <c r="AK10" s="30">
        <v>6.1773821962997388E-4</v>
      </c>
      <c r="AL10" s="27">
        <v>2.103448275862069</v>
      </c>
      <c r="AM10" s="28">
        <v>-1.1034482758620692</v>
      </c>
      <c r="AN10" s="21"/>
      <c r="AO10" s="101"/>
      <c r="AP10" s="94"/>
      <c r="AQ10" s="32"/>
      <c r="AR10" s="27">
        <v>1.8298611111111102E-2</v>
      </c>
      <c r="AS10" s="28">
        <v>8.6111111111111083E-2</v>
      </c>
      <c r="AT10" s="280"/>
      <c r="AU10" s="29">
        <v>2.5026753183565124E-4</v>
      </c>
      <c r="AV10" s="280"/>
      <c r="AW10" s="56">
        <v>5.319832834551518E-5</v>
      </c>
      <c r="AX10" s="27">
        <v>31.118644067796609</v>
      </c>
      <c r="AY10" s="28">
        <v>-18.501913613996724</v>
      </c>
      <c r="AZ10" s="21"/>
      <c r="BA10" s="101"/>
      <c r="BC10" s="178">
        <f>_xll.qlCalendarAdvance(Calendar,BC9,"1d","mf",,Trigger)</f>
        <v>42144</v>
      </c>
      <c r="BD10" s="41">
        <f>_xll.qlDayCounterYearFraction(DayCounter,SettlementDate,BC10,,,Trigger)</f>
        <v>1.6666666666666666E-2</v>
      </c>
      <c r="BE10" s="47">
        <f>_xll.qlPolynomialFunctionValue(BE$1,$BD10,AllTriggers)</f>
        <v>7.0723465033360744E-4</v>
      </c>
      <c r="BF10" s="47">
        <f>_xll.qlPolynomialFunctionValue(BF$1,$BD10,AllTriggers)</f>
        <v>7.6424568620095076E-4</v>
      </c>
      <c r="BG10" s="47">
        <f>_xll.qlPolynomialFunctionValue(BG$1,$BD10,AllTriggers)</f>
        <v>2.7079359288699375E-4</v>
      </c>
      <c r="BH10" s="47">
        <f>_xll.qlPolynomialFunctionValue(BH$1,$BD10,AllTriggers)</f>
        <v>6.8143874051260352E-5</v>
      </c>
      <c r="BI10" s="47">
        <f>_xll.qlPolynomialFunctionValue(BI$1,$BD10,AllTriggers)</f>
        <v>7.0905008665902807E-4</v>
      </c>
      <c r="BJ10" s="47">
        <f>_xll.qlPolynomialFunctionValue(BJ$1,$BD10,AllTriggers)</f>
        <v>7.6428674410505988E-4</v>
      </c>
      <c r="BK10" s="47">
        <f>_xll.qlPolynomialFunctionValue(BK$1,$BD10,AllTriggers)</f>
        <v>2.790925912094154E-4</v>
      </c>
      <c r="BL10" s="47">
        <f>_xll.qlPolynomialFunctionValue(BL$1,$BD10,AllTriggers)</f>
        <v>8.6556818389510297E-5</v>
      </c>
      <c r="BM10" s="47">
        <f>_xll.qlPolynomialFunctionValue(BM$1,$BD10,AllTriggers)</f>
        <v>5.7929670703952153E-4</v>
      </c>
      <c r="BN10" s="47">
        <f>_xll.qlPolynomialFunctionValue(BN$1,$BD10,AllTriggers)</f>
        <v>6.7792139715852412E-4</v>
      </c>
      <c r="BO10" s="47">
        <f>_xll.qlPolynomialFunctionValue(BO$1,$BD10,AllTriggers)</f>
        <v>3.8451437780384596E-4</v>
      </c>
      <c r="BP10" s="47">
        <f>_xll.qlPolynomialFunctionValue(BP$1,$BD10,AllTriggers)</f>
        <v>6.8143874051259837E-5</v>
      </c>
      <c r="BQ10" s="47">
        <f>_xll.qlPolynomialFunctionValue('1MSynthDepo_used'!$P$18,BD10,AllTriggers)</f>
        <v>8.1694875294870356E-4</v>
      </c>
    </row>
    <row r="11" spans="1:69" ht="12" customHeight="1" x14ac:dyDescent="0.2">
      <c r="A11" s="21"/>
      <c r="B11" s="55"/>
      <c r="C11" s="21"/>
      <c r="D11" s="21"/>
      <c r="E11" s="21"/>
      <c r="F11" s="21"/>
      <c r="G11" s="21"/>
      <c r="AD11" s="94"/>
      <c r="AE11" s="21"/>
      <c r="AF11" s="21"/>
      <c r="AG11" s="21"/>
      <c r="AH11" s="21"/>
      <c r="AI11" s="111"/>
      <c r="AJ11" s="33"/>
      <c r="AK11" s="22"/>
      <c r="AL11" s="21"/>
      <c r="AM11" s="21"/>
      <c r="AN11" s="21"/>
      <c r="AO11" s="101"/>
      <c r="AP11" s="94"/>
      <c r="AQ11" s="21"/>
      <c r="AR11" s="21"/>
      <c r="AS11" s="21"/>
      <c r="AT11" s="21"/>
      <c r="AU11" s="111"/>
      <c r="AV11" s="33"/>
      <c r="AW11" s="22"/>
      <c r="AX11" s="21"/>
      <c r="AY11" s="21"/>
      <c r="AZ11" s="21"/>
      <c r="BA11" s="101"/>
      <c r="BC11" s="178">
        <f>_xll.qlCalendarAdvance(Calendar,BC10,"1d","mf",,Trigger)</f>
        <v>42145</v>
      </c>
      <c r="BD11" s="41">
        <f>_xll.qlDayCounterYearFraction(DayCounter,SettlementDate,BC11,,,Trigger)</f>
        <v>1.9444444444444445E-2</v>
      </c>
      <c r="BE11" s="47">
        <f>_xll.qlPolynomialFunctionValue(BE$1,$BD11,AllTriggers)</f>
        <v>7.0172974062351207E-4</v>
      </c>
      <c r="BF11" s="47">
        <f>_xll.qlPolynomialFunctionValue(BF$1,$BD11,AllTriggers)</f>
        <v>7.5005283975011479E-4</v>
      </c>
      <c r="BG11" s="47">
        <f>_xll.qlPolynomialFunctionValue(BG$1,$BD11,AllTriggers)</f>
        <v>2.7568013692562729E-4</v>
      </c>
      <c r="BH11" s="47">
        <f>_xll.qlPolynomialFunctionValue(BH$1,$BD11,AllTriggers)</f>
        <v>8.0865896286534417E-5</v>
      </c>
      <c r="BI11" s="47">
        <f>_xll.qlPolynomialFunctionValue(BI$1,$BD11,AllTriggers)</f>
        <v>7.033674950396243E-4</v>
      </c>
      <c r="BJ11" s="47">
        <f>_xll.qlPolynomialFunctionValue(BJ$1,$BD11,AllTriggers)</f>
        <v>7.5006653634513874E-4</v>
      </c>
      <c r="BK11" s="47">
        <f>_xll.qlPolynomialFunctionValue(BK$1,$BD11,AllTriggers)</f>
        <v>2.8389676777170939E-4</v>
      </c>
      <c r="BL11" s="47">
        <f>_xll.qlPolynomialFunctionValue(BL$1,$BD11,AllTriggers)</f>
        <v>9.891029148813006E-5</v>
      </c>
      <c r="BM11" s="47">
        <f>_xll.qlPolynomialFunctionValue(BM$1,$BD11,AllTriggers)</f>
        <v>5.7959831400074594E-4</v>
      </c>
      <c r="BN11" s="47">
        <f>_xll.qlPolynomialFunctionValue(BN$1,$BD11,AllTriggers)</f>
        <v>6.724089885316104E-4</v>
      </c>
      <c r="BO11" s="47">
        <f>_xll.qlPolynomialFunctionValue(BO$1,$BD11,AllTriggers)</f>
        <v>3.8720888807263572E-4</v>
      </c>
      <c r="BP11" s="47">
        <f>_xll.qlPolynomialFunctionValue(BP$1,$BD11,AllTriggers)</f>
        <v>8.0865896286533929E-5</v>
      </c>
      <c r="BQ11" s="47">
        <f>_xll.qlPolynomialFunctionValue('1MSynthDepo_used'!$P$18,BD11,AllTriggers)</f>
        <v>7.9255812831539136E-4</v>
      </c>
    </row>
    <row r="12" spans="1:69" ht="12" customHeight="1" x14ac:dyDescent="0.2">
      <c r="B12" s="21"/>
      <c r="C12" s="116" t="s">
        <v>67</v>
      </c>
      <c r="D12" s="117"/>
      <c r="E12" s="117"/>
      <c r="F12" s="117"/>
      <c r="G12" s="117"/>
      <c r="H12" s="117"/>
      <c r="I12" s="116"/>
      <c r="J12" s="116"/>
      <c r="P12" s="55"/>
      <c r="Q12" s="55"/>
      <c r="R12" s="55"/>
      <c r="S12" s="116" t="str">
        <f>"with 0X"&amp;SUBSTITUTE($D$21,"M","")</f>
        <v>with 0X1</v>
      </c>
      <c r="T12" s="118"/>
      <c r="U12" s="117" t="str">
        <f>"without 0X"&amp;SUBSTITUTE($D$21,"M","")</f>
        <v>without 0X1</v>
      </c>
      <c r="V12" s="118"/>
      <c r="AD12" s="219" t="s">
        <v>42</v>
      </c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2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2"/>
      <c r="BC12" s="178">
        <f>_xll.qlCalendarAdvance(Calendar,BC11,"1d","mf",,Trigger)</f>
        <v>42146</v>
      </c>
      <c r="BD12" s="41">
        <f>_xll.qlDayCounterYearFraction(DayCounter,SettlementDate,BC12,,,Trigger)</f>
        <v>2.2222222222222223E-2</v>
      </c>
      <c r="BE12" s="47">
        <f>_xll.qlPolynomialFunctionValue(BE$1,$BD12,AllTriggers)</f>
        <v>6.9622483091341669E-4</v>
      </c>
      <c r="BF12" s="47">
        <f>_xll.qlPolynomialFunctionValue(BF$1,$BD12,AllTriggers)</f>
        <v>7.3620069670087657E-4</v>
      </c>
      <c r="BG12" s="47">
        <f>_xll.qlPolynomialFunctionValue(BG$1,$BD12,AllTriggers)</f>
        <v>2.8056668096426083E-4</v>
      </c>
      <c r="BH12" s="47">
        <f>_xll.qlPolynomialFunctionValue(BH$1,$BD12,AllTriggers)</f>
        <v>9.3447999268297057E-5</v>
      </c>
      <c r="BI12" s="47">
        <f>_xll.qlPolynomialFunctionValue(BI$1,$BD12,AllTriggers)</f>
        <v>6.9768490342022042E-4</v>
      </c>
      <c r="BJ12" s="47">
        <f>_xll.qlPolynomialFunctionValue(BJ$1,$BD12,AllTriggers)</f>
        <v>7.3619012520832565E-4</v>
      </c>
      <c r="BK12" s="47">
        <f>_xll.qlPolynomialFunctionValue(BK$1,$BD12,AllTriggers)</f>
        <v>2.8870094433400343E-4</v>
      </c>
      <c r="BL12" s="47">
        <f>_xll.qlPolynomialFunctionValue(BL$1,$BD12,AllTriggers)</f>
        <v>1.1112733848159595E-4</v>
      </c>
      <c r="BM12" s="47">
        <f>_xll.qlPolynomialFunctionValue(BM$1,$BD12,AllTriggers)</f>
        <v>5.7989992096197035E-4</v>
      </c>
      <c r="BN12" s="47">
        <f>_xll.qlPolynomialFunctionValue(BN$1,$BD12,AllTriggers)</f>
        <v>6.6700144501451999E-4</v>
      </c>
      <c r="BO12" s="47">
        <f>_xll.qlPolynomialFunctionValue(BO$1,$BD12,AllTriggers)</f>
        <v>3.8990339834142542E-4</v>
      </c>
      <c r="BP12" s="47">
        <f>_xll.qlPolynomialFunctionValue(BP$1,$BD12,AllTriggers)</f>
        <v>9.3447999268296583E-5</v>
      </c>
      <c r="BQ12" s="47">
        <f>_xll.qlPolynomialFunctionValue('1MSynthDepo_used'!$P$18,BD12,AllTriggers)</f>
        <v>7.6916418455441659E-4</v>
      </c>
    </row>
    <row r="13" spans="1:69" ht="22.5" customHeight="1" x14ac:dyDescent="0.2">
      <c r="C13" s="36" t="s">
        <v>43</v>
      </c>
      <c r="D13" s="36" t="s">
        <v>101</v>
      </c>
      <c r="E13" s="36" t="s">
        <v>102</v>
      </c>
      <c r="F13" s="36" t="s">
        <v>56</v>
      </c>
      <c r="G13" s="36" t="str">
        <f>"F "&amp;$D$21</f>
        <v>F 1M</v>
      </c>
      <c r="H13" s="36" t="str">
        <f>"B "&amp;$D$21</f>
        <v>B 1M</v>
      </c>
      <c r="I13" s="36" t="s">
        <v>89</v>
      </c>
      <c r="J13" s="36" t="s">
        <v>104</v>
      </c>
      <c r="P13" s="55"/>
      <c r="Q13" s="55"/>
      <c r="R13" s="55"/>
      <c r="S13" s="36" t="s">
        <v>41</v>
      </c>
      <c r="T13" s="36" t="s">
        <v>42</v>
      </c>
      <c r="U13" s="36" t="s">
        <v>41</v>
      </c>
      <c r="V13" s="36" t="s">
        <v>42</v>
      </c>
      <c r="AD13" s="94" t="s">
        <v>64</v>
      </c>
      <c r="AE13" s="21"/>
      <c r="AF13" s="21"/>
      <c r="AG13" s="21"/>
      <c r="AH13" s="21"/>
      <c r="AI13" s="113" t="s">
        <v>44</v>
      </c>
      <c r="AJ13" s="21"/>
      <c r="AK13" s="21"/>
      <c r="AL13" s="21"/>
      <c r="AM13" s="21"/>
      <c r="AN13" s="21"/>
      <c r="AO13" s="101"/>
      <c r="AP13" s="94"/>
      <c r="AQ13" s="21"/>
      <c r="AR13" s="21"/>
      <c r="AS13" s="21"/>
      <c r="AT13" s="21"/>
      <c r="AU13" s="113" t="s">
        <v>44</v>
      </c>
      <c r="AV13" s="21"/>
      <c r="AW13" s="21"/>
      <c r="AX13" s="21"/>
      <c r="AY13" s="21"/>
      <c r="AZ13" s="21"/>
      <c r="BA13" s="101"/>
      <c r="BC13" s="178">
        <f>_xll.qlCalendarAdvance(Calendar,BC12,"1d","mf",,Trigger)</f>
        <v>42149</v>
      </c>
      <c r="BD13" s="41">
        <f>_xll.qlDayCounterYearFraction(DayCounter,SettlementDate,BC13,,,Trigger)</f>
        <v>3.0555555555555555E-2</v>
      </c>
      <c r="BE13" s="47">
        <f>_xll.qlPolynomialFunctionValue(BE$1,$BD13,AllTriggers)</f>
        <v>6.7971010178313057E-4</v>
      </c>
      <c r="BF13" s="47">
        <f>_xll.qlPolynomialFunctionValue(BF$1,$BD13,AllTriggers)</f>
        <v>6.9668848796274779E-4</v>
      </c>
      <c r="BG13" s="47">
        <f>_xll.qlPolynomialFunctionValue(BG$1,$BD13,AllTriggers)</f>
        <v>2.952263130801614E-4</v>
      </c>
      <c r="BH13" s="47">
        <f>_xll.qlPolynomialFunctionValue(BH$1,$BD13,AllTriggers)</f>
        <v>1.3035479269251634E-4</v>
      </c>
      <c r="BI13" s="47">
        <f>_xll.qlPolynomialFunctionValue(BI$1,$BD13,AllTriggers)</f>
        <v>6.8063712856200891E-4</v>
      </c>
      <c r="BJ13" s="47">
        <f>_xll.qlPolynomialFunctionValue(BJ$1,$BD13,AllTriggers)</f>
        <v>6.9662367153653488E-4</v>
      </c>
      <c r="BK13" s="47">
        <f>_xll.qlPolynomialFunctionValue(BK$1,$BD13,AllTriggers)</f>
        <v>3.0311347402088551E-4</v>
      </c>
      <c r="BL13" s="47">
        <f>_xll.qlPolynomialFunctionValue(BL$1,$BD13,AllTriggers)</f>
        <v>1.4695992283107032E-4</v>
      </c>
      <c r="BM13" s="47">
        <f>_xll.qlPolynomialFunctionValue(BM$1,$BD13,AllTriggers)</f>
        <v>5.808047418456437E-4</v>
      </c>
      <c r="BN13" s="47">
        <f>_xll.qlPolynomialFunctionValue(BN$1,$BD13,AllTriggers)</f>
        <v>6.5140800512218904E-4</v>
      </c>
      <c r="BO13" s="47">
        <f>_xll.qlPolynomialFunctionValue(BO$1,$BD13,AllTriggers)</f>
        <v>3.9798692914779464E-4</v>
      </c>
      <c r="BP13" s="47">
        <f>_xll.qlPolynomialFunctionValue(BP$1,$BD13,AllTriggers)</f>
        <v>1.3035479269251594E-4</v>
      </c>
      <c r="BQ13" s="47">
        <f>_xll.qlPolynomialFunctionValue('1MSynthDepo_used'!$P$18,BD13,AllTriggers)</f>
        <v>7.0479909241045276E-4</v>
      </c>
    </row>
    <row r="14" spans="1:69" ht="12" customHeight="1" x14ac:dyDescent="0.2">
      <c r="A14" s="19">
        <f>A3</f>
        <v>0</v>
      </c>
      <c r="B14" s="55">
        <f>A14+SUBSTITUTE($D$21,"M","")</f>
        <v>1</v>
      </c>
      <c r="C14" s="171" t="str">
        <f>"B"&amp;$D$21&amp;"_"&amp;A14&amp;"X"&amp;B14&amp;$D$25</f>
        <v>B1M_0X1ESTIMATED</v>
      </c>
      <c r="D14" s="186">
        <f>SettlementDate</f>
        <v>42138</v>
      </c>
      <c r="E14" s="186">
        <f>_xll.qlInterestRateIndexMaturity($D$22,D14)</f>
        <v>42170</v>
      </c>
      <c r="F14" s="172">
        <f>_xll.qlIndexFixing(ON_1M_index,_xll.qlInterestRateIndexFixingDate(ON_1M_index,D14,Trigger),,AllTriggers)</f>
        <v>-9.9218555323313251E-4</v>
      </c>
      <c r="G14" s="172">
        <f>H14+F14</f>
        <v>-3.4000000000047881E-4</v>
      </c>
      <c r="H14" s="226">
        <f>_xll.qlQuoteValue(C14,_xll.ohTrigger(InterestRatesTrigger,'1MSynthDepo_used'!E3))</f>
        <v>6.521855532326537E-4</v>
      </c>
      <c r="I14" s="173">
        <f>_xll.qlDayCounterYearFraction(DayCounter,SettlementDate,D14,,,Trigger)</f>
        <v>0</v>
      </c>
      <c r="J14" s="244">
        <v>1</v>
      </c>
      <c r="P14" s="55"/>
      <c r="Q14" s="55"/>
      <c r="R14" s="55"/>
      <c r="S14" s="174" t="b">
        <v>1</v>
      </c>
      <c r="T14" s="174" t="b">
        <v>1</v>
      </c>
      <c r="U14" s="174" t="b">
        <v>0</v>
      </c>
      <c r="V14" s="174" t="b">
        <v>0</v>
      </c>
      <c r="AD14" s="94"/>
      <c r="AE14" s="27">
        <f t="array" ref="AE14:AE16">_xll.ohFilter(L3:L9,T3:T9)</f>
        <v>0</v>
      </c>
      <c r="AF14" s="31">
        <f t="array" ref="AF14:AF16">_xll.ohFilter(K3:K9,T3:T9)</f>
        <v>0</v>
      </c>
      <c r="AG14" s="28">
        <f t="array" ref="AG14:AG16">_xll.ohFilter(J3:J9,T3:T9)</f>
        <v>1</v>
      </c>
      <c r="AH14" s="280" t="s">
        <v>20</v>
      </c>
      <c r="AI14" s="29">
        <f t="array" ref="AI14:AI16">MMULT(AL14:AN16,AK14:AK16)</f>
        <v>2.2077580423528941E-2</v>
      </c>
      <c r="AJ14" s="280" t="s">
        <v>21</v>
      </c>
      <c r="AK14" s="56">
        <f t="array" ref="AK14:AK16">_xll.ohFilter(H3:H9,T3:T9)</f>
        <v>6.521855532326537E-4</v>
      </c>
      <c r="AL14" s="27">
        <f t="array" ref="AL14:AN16">MINVERSE(AE14:AG16)</f>
        <v>66.393442622950829</v>
      </c>
      <c r="AM14" s="31">
        <v>-139.65517241379308</v>
      </c>
      <c r="AN14" s="28">
        <v>73.261729790842267</v>
      </c>
      <c r="AO14" s="101"/>
      <c r="AP14" s="94"/>
      <c r="AQ14" s="27">
        <f t="array" ref="AQ14:AQ16">_xll.ohFilter(R3:R9,T3:T9)</f>
        <v>2.341106538637403E-4</v>
      </c>
      <c r="AR14" s="31">
        <f t="array" ref="AR14:AR16">_xll.ohFilter(Q3:Q9,T3:T9)</f>
        <v>3.9506172839506174E-3</v>
      </c>
      <c r="AS14" s="28">
        <f t="array" ref="AS14:AS16">_xll.ohFilter(P3:P9,T3:T9)</f>
        <v>8.8888888888888892E-2</v>
      </c>
      <c r="AT14" s="280" t="s">
        <v>20</v>
      </c>
      <c r="AU14" s="29">
        <f t="array" ref="AU14:AU16">MMULT(AX14:AZ16,AW14:AW16)</f>
        <v>2.2278021177403552E-2</v>
      </c>
      <c r="AV14" s="280" t="s">
        <v>21</v>
      </c>
      <c r="AW14" s="56">
        <f t="array" ref="AW14:AW16">_xll.ohFilter(M3:M9,T3:T9)</f>
        <v>5.7975481819110203E-5</v>
      </c>
      <c r="AX14" s="27">
        <f t="array" ref="AX14:AZ16">MINVERSE(AQ14:AS16)</f>
        <v>770.94921998697475</v>
      </c>
      <c r="AY14" s="31">
        <v>-1686.5058642878917</v>
      </c>
      <c r="AZ14" s="28">
        <v>836.28389964688847</v>
      </c>
      <c r="BA14" s="101"/>
      <c r="BC14" s="178">
        <f>_xll.qlCalendarAdvance(Calendar,BC13,"1d","mf",,Trigger)</f>
        <v>42150</v>
      </c>
      <c r="BD14" s="41">
        <f>_xll.qlDayCounterYearFraction(DayCounter,SettlementDate,BC14,,,Trigger)</f>
        <v>3.3333333333333333E-2</v>
      </c>
      <c r="BE14" s="47">
        <f>_xll.qlPolynomialFunctionValue(BE$1,$BD14,AllTriggers)</f>
        <v>6.742051920730352E-4</v>
      </c>
      <c r="BF14" s="47">
        <f>_xll.qlPolynomialFunctionValue(BF$1,$BD14,AllTriggers)</f>
        <v>6.8419915851990014E-4</v>
      </c>
      <c r="BG14" s="47">
        <f>_xll.qlPolynomialFunctionValue(BG$1,$BD14,AllTriggers)</f>
        <v>3.0011285711879489E-4</v>
      </c>
      <c r="BH14" s="47">
        <f>_xll.qlPolynomialFunctionValue(BH$1,$BD14,AllTriggers)</f>
        <v>1.4237721866023321E-4</v>
      </c>
      <c r="BI14" s="47">
        <f>_xll.qlPolynomialFunctionValue(BI$1,$BD14,AllTriggers)</f>
        <v>6.7495453694260503E-4</v>
      </c>
      <c r="BJ14" s="47">
        <f>_xll.qlPolynomialFunctionValue(BJ$1,$BD14,AllTriggers)</f>
        <v>6.8412244689215426E-4</v>
      </c>
      <c r="BK14" s="47">
        <f>_xll.qlPolynomialFunctionValue(BK$1,$BD14,AllTriggers)</f>
        <v>3.0791765058317951E-4</v>
      </c>
      <c r="BL14" s="47">
        <f>_xll.qlPolynomialFunctionValue(BL$1,$BD14,AllTriggers)</f>
        <v>1.5863126540392072E-4</v>
      </c>
      <c r="BM14" s="47">
        <f>_xll.qlPolynomialFunctionValue(BM$1,$BD14,AllTriggers)</f>
        <v>5.8110634880686812E-4</v>
      </c>
      <c r="BN14" s="47">
        <f>_xll.qlPolynomialFunctionValue(BN$1,$BD14,AllTriggers)</f>
        <v>6.4641992204439208E-4</v>
      </c>
      <c r="BO14" s="47">
        <f>_xll.qlPolynomialFunctionValue(BO$1,$BD14,AllTriggers)</f>
        <v>4.006814394165844E-4</v>
      </c>
      <c r="BP14" s="47">
        <f>_xll.qlPolynomialFunctionValue(BP$1,$BD14,AllTriggers)</f>
        <v>1.4237721866023283E-4</v>
      </c>
      <c r="BQ14" s="47">
        <f>_xll.qlPolynomialFunctionValue('1MSynthDepo_used'!$P$18,BD14,AllTriggers)</f>
        <v>6.8522852604376429E-4</v>
      </c>
    </row>
    <row r="15" spans="1:69" ht="12" customHeight="1" x14ac:dyDescent="0.2">
      <c r="A15" s="21">
        <f t="shared" ref="A15:A20" si="6">A4</f>
        <v>1</v>
      </c>
      <c r="B15" s="55">
        <f>A15+SUBSTITUTE($D$21,"M","")</f>
        <v>2</v>
      </c>
      <c r="C15" s="39" t="str">
        <f>"B"&amp;$D$21&amp;"_"&amp;A15&amp;"X"&amp;B15</f>
        <v>B1M_1X2</v>
      </c>
      <c r="D15" s="177">
        <f>_xll.qlCalendarAdvance(Calendar,SettlementDate,A15&amp;"M","mf")</f>
        <v>42170</v>
      </c>
      <c r="E15" s="177">
        <f>_xll.qlInterestRateIndexMaturity($D$22,D15)</f>
        <v>42200</v>
      </c>
      <c r="F15" s="53">
        <f>_xll.qlIndexFixing(ON_1M_index,_xll.qlInterestRateIndexFixingDate(ON_1M_index,D15,Trigger),,AllTriggers)</f>
        <v>-1.1300212828695422E-3</v>
      </c>
      <c r="G15" s="53">
        <f t="shared" ref="G15:G20" si="7">H15+F15</f>
        <v>-6.5399284035994043E-4</v>
      </c>
      <c r="H15" s="202">
        <f>_xll.qlQuoteValue(C15,_xll.ohTrigger(InterestRatesTrigger,'1MSynthDepo_used'!E4))</f>
        <v>4.7602844250960175E-4</v>
      </c>
      <c r="I15" s="41">
        <f>_xll.qlDayCounterYearFraction(DayCounter,SettlementDate,D15,,,Trigger)</f>
        <v>8.8888888888888892E-2</v>
      </c>
      <c r="J15" s="242">
        <v>1</v>
      </c>
      <c r="P15" s="55"/>
      <c r="Q15" s="55"/>
      <c r="R15" s="55"/>
      <c r="S15" s="114" t="b">
        <v>1</v>
      </c>
      <c r="T15" s="114" t="b">
        <v>1</v>
      </c>
      <c r="U15" s="114" t="b">
        <v>1</v>
      </c>
      <c r="V15" s="114" t="b">
        <v>1</v>
      </c>
      <c r="AD15" s="94"/>
      <c r="AE15" s="27">
        <v>7.9012345679012348E-3</v>
      </c>
      <c r="AF15" s="31">
        <v>8.8888888888888892E-2</v>
      </c>
      <c r="AG15" s="28">
        <v>1</v>
      </c>
      <c r="AH15" s="280"/>
      <c r="AI15" s="29">
        <v>-3.9442190888369071E-3</v>
      </c>
      <c r="AJ15" s="280"/>
      <c r="AK15" s="56">
        <v>4.7602844250960175E-4</v>
      </c>
      <c r="AL15" s="27">
        <v>-17.151639344262296</v>
      </c>
      <c r="AM15" s="31">
        <v>23.663793103448274</v>
      </c>
      <c r="AN15" s="28">
        <v>-6.5121537591859795</v>
      </c>
      <c r="AO15" s="101"/>
      <c r="AP15" s="94"/>
      <c r="AQ15" s="27">
        <v>1.4686213991769545E-3</v>
      </c>
      <c r="AR15" s="31">
        <v>1.0879629629629628E-2</v>
      </c>
      <c r="AS15" s="28">
        <v>8.3333333333333329E-2</v>
      </c>
      <c r="AT15" s="280"/>
      <c r="AU15" s="29">
        <v>-5.9237588916445224E-3</v>
      </c>
      <c r="AV15" s="280"/>
      <c r="AW15" s="56">
        <v>3.9671985855289202E-5</v>
      </c>
      <c r="AX15" s="27">
        <v>-264.84743291768484</v>
      </c>
      <c r="AY15" s="31">
        <v>432.93178545608816</v>
      </c>
      <c r="AZ15" s="28">
        <v>-145.575345494088</v>
      </c>
      <c r="BA15" s="101"/>
      <c r="BC15" s="178">
        <f>_xll.qlCalendarAdvance(Calendar,BC14,"1d","mf",,Trigger)</f>
        <v>42151</v>
      </c>
      <c r="BD15" s="41">
        <f>_xll.qlDayCounterYearFraction(DayCounter,SettlementDate,BC15,,,Trigger)</f>
        <v>3.6111111111111108E-2</v>
      </c>
      <c r="BE15" s="47">
        <f>_xll.qlPolynomialFunctionValue(BE$1,$BD15,AllTriggers)</f>
        <v>6.6870028236293982E-4</v>
      </c>
      <c r="BF15" s="47">
        <f>_xll.qlPolynomialFunctionValue(BF$1,$BD15,AllTriggers)</f>
        <v>6.7205053247865036E-4</v>
      </c>
      <c r="BG15" s="47">
        <f>_xll.qlPolynomialFunctionValue(BG$1,$BD15,AllTriggers)</f>
        <v>3.0499940115742843E-4</v>
      </c>
      <c r="BH15" s="47">
        <f>_xll.qlPolynomialFunctionValue(BH$1,$BD15,AllTriggers)</f>
        <v>1.5425972537443859E-4</v>
      </c>
      <c r="BI15" s="47">
        <f>_xll.qlPolynomialFunctionValue(BI$1,$BD15,AllTriggers)</f>
        <v>6.6927194532320116E-4</v>
      </c>
      <c r="BJ15" s="47">
        <f>_xll.qlPolynomialFunctionValue(BJ$1,$BD15,AllTriggers)</f>
        <v>6.7196501887088148E-4</v>
      </c>
      <c r="BK15" s="47">
        <f>_xll.qlPolynomialFunctionValue(BK$1,$BD15,AllTriggers)</f>
        <v>3.1272182714547355E-4</v>
      </c>
      <c r="BL15" s="47">
        <f>_xll.qlPolynomialFunctionValue(BL$1,$BD15,AllTriggers)</f>
        <v>1.7016618187161721E-4</v>
      </c>
      <c r="BM15" s="47">
        <f>_xll.qlPolynomialFunctionValue(BM$1,$BD15,AllTriggers)</f>
        <v>5.8140795576809253E-4</v>
      </c>
      <c r="BN15" s="47">
        <f>_xll.qlPolynomialFunctionValue(BN$1,$BD15,AllTriggers)</f>
        <v>6.4153670407641875E-4</v>
      </c>
      <c r="BO15" s="47">
        <f>_xll.qlPolynomialFunctionValue(BO$1,$BD15,AllTriggers)</f>
        <v>4.0337594968537416E-4</v>
      </c>
      <c r="BP15" s="47">
        <f>_xll.qlPolynomialFunctionValue(BP$1,$BD15,AllTriggers)</f>
        <v>1.5425972537443826E-4</v>
      </c>
      <c r="BQ15" s="47">
        <f>_xll.qlPolynomialFunctionValue('1MSynthDepo_used'!$P$18,BD15,AllTriggers)</f>
        <v>6.665729675018816E-4</v>
      </c>
    </row>
    <row r="16" spans="1:69" ht="12" customHeight="1" x14ac:dyDescent="0.2">
      <c r="A16" s="21">
        <f t="shared" si="6"/>
        <v>2</v>
      </c>
      <c r="B16" s="55">
        <f>A16+SUBSTITUTE($D$21,"M","")</f>
        <v>3</v>
      </c>
      <c r="C16" s="39" t="str">
        <f>"B"&amp;$D$21&amp;"_"&amp;A16&amp;"X"&amp;B16</f>
        <v>B1M_2X3</v>
      </c>
      <c r="D16" s="177">
        <f>_xll.qlCalendarAdvance(Calendar,SettlementDate,A16&amp;"M","mf")</f>
        <v>42199</v>
      </c>
      <c r="E16" s="177">
        <f>_xll.qlInterestRateIndexMaturity($D$22,D16)</f>
        <v>42230</v>
      </c>
      <c r="F16" s="53">
        <f>_xll.qlIndexFixing(ON_1M_index,_xll.qlInterestRateIndexFixingDate(ON_1M_index,D16,Trigger),,AllTriggers)</f>
        <v>-1.2265497347488832E-3</v>
      </c>
      <c r="G16" s="53">
        <f t="shared" si="7"/>
        <v>-6.0881151511890934E-4</v>
      </c>
      <c r="H16" s="202">
        <f>_xll.qlQuoteValue(C16,_xll.ohTrigger(InterestRatesTrigger,'1MSynthDepo_used'!E5))</f>
        <v>6.1773821962997388E-4</v>
      </c>
      <c r="I16" s="41">
        <f>_xll.qlDayCounterYearFraction(DayCounter,SettlementDate,D16,,,Trigger)</f>
        <v>0.16944444444444445</v>
      </c>
      <c r="J16" s="242">
        <v>1</v>
      </c>
      <c r="P16" s="55"/>
      <c r="Q16" s="55"/>
      <c r="R16" s="55"/>
      <c r="S16" s="114" t="b">
        <v>1</v>
      </c>
      <c r="T16" s="114" t="b">
        <v>1</v>
      </c>
      <c r="U16" s="114" t="b">
        <v>1</v>
      </c>
      <c r="V16" s="114" t="b">
        <v>1</v>
      </c>
      <c r="AD16" s="94"/>
      <c r="AE16" s="27">
        <v>2.8711419753086422E-2</v>
      </c>
      <c r="AF16" s="31">
        <v>0.16944444444444445</v>
      </c>
      <c r="AG16" s="28">
        <v>1</v>
      </c>
      <c r="AH16" s="280"/>
      <c r="AI16" s="29">
        <v>6.521855532326537E-4</v>
      </c>
      <c r="AJ16" s="280"/>
      <c r="AK16" s="56">
        <v>6.1773821962997388E-4</v>
      </c>
      <c r="AL16" s="27">
        <v>1</v>
      </c>
      <c r="AM16" s="31">
        <v>0</v>
      </c>
      <c r="AN16" s="28">
        <v>0</v>
      </c>
      <c r="AO16" s="101"/>
      <c r="AP16" s="94"/>
      <c r="AQ16" s="27">
        <v>3.9416652377686308E-3</v>
      </c>
      <c r="AR16" s="31">
        <v>1.8298611111111102E-2</v>
      </c>
      <c r="AS16" s="28">
        <v>8.6111111111111083E-2</v>
      </c>
      <c r="AT16" s="280"/>
      <c r="AU16" s="29">
        <v>8.568277197498565E-4</v>
      </c>
      <c r="AV16" s="280"/>
      <c r="AW16" s="56">
        <v>5.319832834551518E-5</v>
      </c>
      <c r="AX16" s="27">
        <v>20.990513476211245</v>
      </c>
      <c r="AY16" s="31">
        <v>-14.799586542310704</v>
      </c>
      <c r="AZ16" s="28">
        <v>4.2674569364697188</v>
      </c>
      <c r="BA16" s="101"/>
      <c r="BC16" s="178">
        <f>_xll.qlCalendarAdvance(Calendar,BC15,"1d","mf",,Trigger)</f>
        <v>42152</v>
      </c>
      <c r="BD16" s="41">
        <f>_xll.qlDayCounterYearFraction(DayCounter,SettlementDate,BC16,,,Trigger)</f>
        <v>3.888888888888889E-2</v>
      </c>
      <c r="BE16" s="47">
        <f>_xll.qlPolynomialFunctionValue(BE$1,$BD16,AllTriggers)</f>
        <v>6.6319537265284445E-4</v>
      </c>
      <c r="BF16" s="47">
        <f>_xll.qlPolynomialFunctionValue(BF$1,$BD16,AllTriggers)</f>
        <v>6.6024260983899811E-4</v>
      </c>
      <c r="BG16" s="47">
        <f>_xll.qlPolynomialFunctionValue(BG$1,$BD16,AllTriggers)</f>
        <v>3.0988594519606197E-4</v>
      </c>
      <c r="BH16" s="47">
        <f>_xll.qlPolynomialFunctionValue(BH$1,$BD16,AllTriggers)</f>
        <v>1.6600231283513266E-4</v>
      </c>
      <c r="BI16" s="47">
        <f>_xll.qlPolynomialFunctionValue(BI$1,$BD16,AllTriggers)</f>
        <v>6.6358935370379728E-4</v>
      </c>
      <c r="BJ16" s="47">
        <f>_xll.qlPolynomialFunctionValue(BJ$1,$BD16,AllTriggers)</f>
        <v>6.6015138747271688E-4</v>
      </c>
      <c r="BK16" s="47">
        <f>_xll.qlPolynomialFunctionValue(BK$1,$BD16,AllTriggers)</f>
        <v>3.1752600370776754E-4</v>
      </c>
      <c r="BL16" s="47">
        <f>_xll.qlPolynomialFunctionValue(BL$1,$BD16,AllTriggers)</f>
        <v>1.8156467223415983E-4</v>
      </c>
      <c r="BM16" s="47">
        <f>_xll.qlPolynomialFunctionValue(BM$1,$BD16,AllTriggers)</f>
        <v>5.8170956272931694E-4</v>
      </c>
      <c r="BN16" s="47">
        <f>_xll.qlPolynomialFunctionValue(BN$1,$BD16,AllTriggers)</f>
        <v>6.3675835121826852E-4</v>
      </c>
      <c r="BO16" s="47">
        <f>_xll.qlPolynomialFunctionValue(BO$1,$BD16,AllTriggers)</f>
        <v>4.0607045995416386E-4</v>
      </c>
      <c r="BP16" s="47">
        <f>_xll.qlPolynomialFunctionValue(BP$1,$BD16,AllTriggers)</f>
        <v>1.6600231283513231E-4</v>
      </c>
      <c r="BQ16" s="47">
        <f>_xll.qlPolynomialFunctionValue('1MSynthDepo_used'!$P$18,BD16,AllTriggers)</f>
        <v>6.4881608217529855E-4</v>
      </c>
    </row>
    <row r="17" spans="1:69" ht="12" customHeight="1" x14ac:dyDescent="0.2">
      <c r="A17" s="21">
        <f t="shared" si="6"/>
        <v>3</v>
      </c>
      <c r="B17" s="55">
        <f>A17+SUBSTITUTE($D$21,"M","")</f>
        <v>4</v>
      </c>
      <c r="C17" s="42" t="str">
        <f>"B"&amp;$D$21&amp;"_"&amp;A17&amp;"X"&amp;B17</f>
        <v>B1M_3X4</v>
      </c>
      <c r="D17" s="181">
        <f>_xll.qlCalendarAdvance(Calendar,SettlementDate,A17&amp;"M","mf")</f>
        <v>42230</v>
      </c>
      <c r="E17" s="181">
        <f>_xll.qlInterestRateIndexMaturity($D$22,D17)</f>
        <v>42261</v>
      </c>
      <c r="F17" s="54">
        <f>_xll.qlIndexFixing(ON_1M_index,_xll.qlInterestRateIndexFixingDate(ON_1M_index,D17,Trigger),,AllTriggers)</f>
        <v>-1.2486201364305958E-3</v>
      </c>
      <c r="G17" s="54">
        <f t="shared" si="7"/>
        <v>-6.0952395736862052E-4</v>
      </c>
      <c r="H17" s="203">
        <f>_xll.qlQuoteValue(C17,_xll.ohTrigger(InterestRatesTrigger,'1MSynthDepo_used'!E6))</f>
        <v>6.3909617906197523E-4</v>
      </c>
      <c r="I17" s="44">
        <f>_xll.qlDayCounterYearFraction(DayCounter,SettlementDate,D17,,,Trigger)</f>
        <v>0.25555555555555554</v>
      </c>
      <c r="J17" s="243">
        <v>1</v>
      </c>
      <c r="K17" s="96"/>
      <c r="L17" s="96"/>
      <c r="M17" s="96"/>
      <c r="N17" s="96"/>
      <c r="O17" s="96"/>
      <c r="P17" s="295"/>
      <c r="Q17" s="295"/>
      <c r="R17" s="295"/>
      <c r="S17" s="150" t="b">
        <v>1</v>
      </c>
      <c r="T17" s="150" t="b">
        <v>1</v>
      </c>
      <c r="U17" s="150" t="b">
        <v>1</v>
      </c>
      <c r="V17" s="150" t="b">
        <v>1</v>
      </c>
      <c r="AD17" s="94"/>
      <c r="AE17" s="21"/>
      <c r="AF17" s="21"/>
      <c r="AG17" s="21"/>
      <c r="AH17" s="21"/>
      <c r="AI17" s="111"/>
      <c r="AJ17" s="33"/>
      <c r="AK17" s="22"/>
      <c r="AL17" s="21"/>
      <c r="AM17" s="21"/>
      <c r="AN17" s="21"/>
      <c r="AO17" s="101"/>
      <c r="AP17" s="94"/>
      <c r="AQ17" s="21"/>
      <c r="AR17" s="21"/>
      <c r="AS17" s="21"/>
      <c r="AT17" s="21"/>
      <c r="AU17" s="111"/>
      <c r="AV17" s="33"/>
      <c r="AW17" s="22"/>
      <c r="AX17" s="21"/>
      <c r="AY17" s="21"/>
      <c r="AZ17" s="21"/>
      <c r="BA17" s="101"/>
      <c r="BC17" s="178">
        <f>_xll.qlCalendarAdvance(Calendar,BC16,"1d","mf",,Trigger)</f>
        <v>42153</v>
      </c>
      <c r="BD17" s="41">
        <f>_xll.qlDayCounterYearFraction(DayCounter,SettlementDate,BC17,,,Trigger)</f>
        <v>4.1666666666666664E-2</v>
      </c>
      <c r="BE17" s="47">
        <f>_xll.qlPolynomialFunctionValue(BE$1,$BD17,AllTriggers)</f>
        <v>6.5769046294274908E-4</v>
      </c>
      <c r="BF17" s="47">
        <f>_xll.qlPolynomialFunctionValue(BF$1,$BD17,AllTriggers)</f>
        <v>6.487753906009435E-4</v>
      </c>
      <c r="BG17" s="47">
        <f>_xll.qlPolynomialFunctionValue(BG$1,$BD17,AllTriggers)</f>
        <v>3.1477248923469545E-4</v>
      </c>
      <c r="BH17" s="47">
        <f>_xll.qlPolynomialFunctionValue(BH$1,$BD17,AllTriggers)</f>
        <v>1.7760498104231522E-4</v>
      </c>
      <c r="BI17" s="47">
        <f>_xll.qlPolynomialFunctionValue(BI$1,$BD17,AllTriggers)</f>
        <v>6.5790676208439341E-4</v>
      </c>
      <c r="BJ17" s="47">
        <f>_xll.qlPolynomialFunctionValue(BJ$1,$BD17,AllTriggers)</f>
        <v>6.4868155269766034E-4</v>
      </c>
      <c r="BK17" s="47">
        <f>_xll.qlPolynomialFunctionValue(BK$1,$BD17,AllTriggers)</f>
        <v>3.2233018027006159E-4</v>
      </c>
      <c r="BL17" s="47">
        <f>_xll.qlPolynomialFunctionValue(BL$1,$BD17,AllTriggers)</f>
        <v>1.9282673649154857E-4</v>
      </c>
      <c r="BM17" s="47">
        <f>_xll.qlPolynomialFunctionValue(BM$1,$BD17,AllTriggers)</f>
        <v>5.8201116969054147E-4</v>
      </c>
      <c r="BN17" s="47">
        <f>_xll.qlPolynomialFunctionValue(BN$1,$BD17,AllTriggers)</f>
        <v>6.3208486346994191E-4</v>
      </c>
      <c r="BO17" s="47">
        <f>_xll.qlPolynomialFunctionValue(BO$1,$BD17,AllTriggers)</f>
        <v>4.0876497022295362E-4</v>
      </c>
      <c r="BP17" s="47">
        <f>_xll.qlPolynomialFunctionValue(BP$1,$BD17,AllTriggers)</f>
        <v>1.7760498104231492E-4</v>
      </c>
      <c r="BQ17" s="47">
        <f>_xll.qlPolynomialFunctionValue('1MSynthDepo_used'!$P$18,BD17,AllTriggers)</f>
        <v>6.3194153545450887E-4</v>
      </c>
    </row>
    <row r="18" spans="1:69" ht="12" customHeight="1" x14ac:dyDescent="0.2">
      <c r="H18" s="21"/>
      <c r="I18" s="21"/>
      <c r="J18" s="21"/>
      <c r="L18" s="21"/>
      <c r="M18" s="21"/>
      <c r="N18" s="21"/>
      <c r="P18" s="21"/>
      <c r="Q18" s="21"/>
      <c r="R18" s="21"/>
      <c r="AD18" s="94" t="s">
        <v>65</v>
      </c>
      <c r="AE18" s="21"/>
      <c r="AF18" s="21"/>
      <c r="AG18" s="21"/>
      <c r="AH18" s="21"/>
      <c r="AI18" s="113" t="s">
        <v>44</v>
      </c>
      <c r="AJ18" s="21"/>
      <c r="AK18" s="21"/>
      <c r="AL18" s="21"/>
      <c r="AM18" s="21"/>
      <c r="AN18" s="21"/>
      <c r="AO18" s="101"/>
      <c r="AP18" s="94"/>
      <c r="AQ18" s="21"/>
      <c r="AR18" s="21"/>
      <c r="AS18" s="21"/>
      <c r="AT18" s="21"/>
      <c r="AU18" s="113" t="s">
        <v>44</v>
      </c>
      <c r="AV18" s="21"/>
      <c r="AW18" s="21"/>
      <c r="AX18" s="21"/>
      <c r="AY18" s="21"/>
      <c r="AZ18" s="21"/>
      <c r="BA18" s="101"/>
      <c r="BC18" s="178">
        <f>_xll.qlCalendarAdvance(Calendar,BC17,"1d","mf",,Trigger)</f>
        <v>42156</v>
      </c>
      <c r="BD18" s="41">
        <f>_xll.qlDayCounterYearFraction(DayCounter,SettlementDate,BC18,,,Trigger)</f>
        <v>0.05</v>
      </c>
      <c r="BE18" s="47">
        <f>_xll.qlPolynomialFunctionValue(BE$1,$BD18,AllTriggers)</f>
        <v>6.4117573381246296E-4</v>
      </c>
      <c r="BF18" s="47">
        <f>_xll.qlPolynomialFunctionValue(BF$1,$BD18,AllTriggers)</f>
        <v>6.1641795329636575E-4</v>
      </c>
      <c r="BG18" s="47">
        <f>_xll.qlPolynomialFunctionValue(BG$1,$BD18,AllTriggers)</f>
        <v>3.2943212135059608E-4</v>
      </c>
      <c r="BH18" s="47">
        <f>_xll.qlPolynomialFunctionValue(BH$1,$BD18,AllTriggers)</f>
        <v>2.1157347014279427E-4</v>
      </c>
      <c r="BI18" s="47">
        <f>_xll.qlPolynomialFunctionValue(BI$1,$BD18,AllTriggers)</f>
        <v>6.4085898722618189E-4</v>
      </c>
      <c r="BJ18" s="47">
        <f>_xll.qlPolynomialFunctionValue(BJ$1,$BD18,AllTriggers)</f>
        <v>6.1633482811113919E-4</v>
      </c>
      <c r="BK18" s="47">
        <f>_xll.qlPolynomialFunctionValue(BK$1,$BD18,AllTriggers)</f>
        <v>3.3674270995694367E-4</v>
      </c>
      <c r="BL18" s="47">
        <f>_xll.qlPolynomialFunctionValue(BL$1,$BD18,AllTriggers)</f>
        <v>2.2579437263279154E-4</v>
      </c>
      <c r="BM18" s="47">
        <f>_xll.qlPolynomialFunctionValue(BM$1,$BD18,AllTriggers)</f>
        <v>5.8291599057421471E-4</v>
      </c>
      <c r="BN18" s="47">
        <f>_xll.qlPolynomialFunctionValue(BN$1,$BD18,AllTriggers)</f>
        <v>6.1869359088390194E-4</v>
      </c>
      <c r="BO18" s="47">
        <f>_xll.qlPolynomialFunctionValue(BO$1,$BD18,AllTriggers)</f>
        <v>4.1684850102932284E-4</v>
      </c>
      <c r="BP18" s="47">
        <f>_xll.qlPolynomialFunctionValue(BP$1,$BD18,AllTriggers)</f>
        <v>2.1157347014279406E-4</v>
      </c>
      <c r="BQ18" s="47">
        <f>_xll.qlPolynomialFunctionValue('1MSynthDepo_used'!$P$18,BD18,AllTriggers)</f>
        <v>5.864485808318371E-4</v>
      </c>
    </row>
    <row r="19" spans="1:69" ht="12" customHeight="1" x14ac:dyDescent="0.2">
      <c r="A19" s="21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W19" s="55"/>
      <c r="AD19" s="94"/>
      <c r="AE19" s="27">
        <f t="array" ref="AE19:AE21">_xll.ohFilter(L3:L9,V3:V9)</f>
        <v>7.9012345679012348E-3</v>
      </c>
      <c r="AF19" s="31">
        <f t="array" ref="AF19:AF21">_xll.ohFilter(K3:K9,V3:V9)</f>
        <v>8.8888888888888892E-2</v>
      </c>
      <c r="AG19" s="28">
        <f t="array" ref="AG19:AG21">_xll.ohFilter(J3:J9,V3:V9)</f>
        <v>1</v>
      </c>
      <c r="AH19" s="280" t="s">
        <v>20</v>
      </c>
      <c r="AI19" s="29">
        <f t="array" ref="AI19:AI21">MMULT(AL19:AN21,AK19:AK21)</f>
        <v>-9.066767627541189E-3</v>
      </c>
      <c r="AJ19" s="280" t="s">
        <v>21</v>
      </c>
      <c r="AK19" s="56">
        <f t="array" ref="AK19:AK21">_xll.ohFilter(H3:H9,V3:V9)</f>
        <v>4.7602844250960175E-4</v>
      </c>
      <c r="AL19" s="27">
        <f t="array" ref="AL19:AN21">MINVERSE(AE19:AG21)</f>
        <v>74.482758620689708</v>
      </c>
      <c r="AM19" s="31">
        <v>-144.16017797552843</v>
      </c>
      <c r="AN19" s="28">
        <v>69.677419354838776</v>
      </c>
      <c r="AO19" s="101"/>
      <c r="AP19" s="94"/>
      <c r="AQ19" s="27">
        <f t="array" ref="AQ19:AQ21">_xll.ohFilter(R3:R9,V3:V9)</f>
        <v>1.4686213991769545E-3</v>
      </c>
      <c r="AR19" s="31">
        <f t="array" ref="AR19:AR21">_xll.ohFilter(Q3:Q9,V3:V9)</f>
        <v>1.0879629629629628E-2</v>
      </c>
      <c r="AS19" s="28">
        <f t="array" ref="AS19:AS21">_xll.ohFilter(P3:P9,V3:V9)</f>
        <v>8.3333333333333329E-2</v>
      </c>
      <c r="AT19" s="280" t="s">
        <v>20</v>
      </c>
      <c r="AU19" s="29">
        <f t="array" ref="AU19:AU21">MMULT(AX19:AZ21,AW19:AW21)</f>
        <v>-8.840411613971276E-3</v>
      </c>
      <c r="AV19" s="280" t="s">
        <v>21</v>
      </c>
      <c r="AW19" s="56">
        <f t="array" ref="AW19:AW21">_xll.ohFilter(M3:M9,V3:V9)</f>
        <v>3.9671985855289202E-5</v>
      </c>
      <c r="AX19" s="27">
        <f t="array" ref="AX19:AZ21">MINVERSE(AQ19:AS21)</f>
        <v>873.87151151901105</v>
      </c>
      <c r="AY19" s="31">
        <v>-1650.4441138470395</v>
      </c>
      <c r="AZ19" s="28">
        <v>804.76200592541545</v>
      </c>
      <c r="BA19" s="101"/>
      <c r="BC19" s="178">
        <f>_xll.qlCalendarAdvance(Calendar,BC18,"1d","mf",,Trigger)</f>
        <v>42157</v>
      </c>
      <c r="BD19" s="41">
        <f>_xll.qlDayCounterYearFraction(DayCounter,SettlementDate,BC19,,,Trigger)</f>
        <v>5.2777777777777778E-2</v>
      </c>
      <c r="BE19" s="47">
        <f>_xll.qlPolynomialFunctionValue(BE$1,$BD19,AllTriggers)</f>
        <v>6.3567082410236758E-4</v>
      </c>
      <c r="BF19" s="47">
        <f>_xll.qlPolynomialFunctionValue(BF$1,$BD19,AllTriggers)</f>
        <v>6.0631354766470182E-4</v>
      </c>
      <c r="BG19" s="47">
        <f>_xll.qlPolynomialFunctionValue(BG$1,$BD19,AllTriggers)</f>
        <v>3.3431866538922956E-4</v>
      </c>
      <c r="BH19" s="47">
        <f>_xll.qlPolynomialFunctionValue(BH$1,$BD19,AllTriggers)</f>
        <v>2.226164613359311E-4</v>
      </c>
      <c r="BI19" s="47">
        <f>_xll.qlPolynomialFunctionValue(BI$1,$BD19,AllTriggers)</f>
        <v>6.3517639560677801E-4</v>
      </c>
      <c r="BJ19" s="47">
        <f>_xll.qlPolynomialFunctionValue(BJ$1,$BD19,AllTriggers)</f>
        <v>6.0624017982851511E-4</v>
      </c>
      <c r="BK19" s="47">
        <f>_xll.qlPolynomialFunctionValue(BK$1,$BD19,AllTriggers)</f>
        <v>3.4154688651923766E-4</v>
      </c>
      <c r="BL19" s="47">
        <f>_xll.qlPolynomialFunctionValue(BL$1,$BD19,AllTriggers)</f>
        <v>2.3651073246956476E-4</v>
      </c>
      <c r="BM19" s="47">
        <f>_xll.qlPolynomialFunctionValue(BM$1,$BD19,AllTriggers)</f>
        <v>5.8321759753543912E-4</v>
      </c>
      <c r="BN19" s="47">
        <f>_xll.qlPolynomialFunctionValue(BN$1,$BD19,AllTriggers)</f>
        <v>6.1443956357486867E-4</v>
      </c>
      <c r="BO19" s="47">
        <f>_xll.qlPolynomialFunctionValue(BO$1,$BD19,AllTriggers)</f>
        <v>4.195430112981126E-4</v>
      </c>
      <c r="BP19" s="47">
        <f>_xll.qlPolynomialFunctionValue(BP$1,$BD19,AllTriggers)</f>
        <v>2.2261646133593083E-4</v>
      </c>
      <c r="BQ19" s="47">
        <f>_xll.qlPolynomialFunctionValue('1MSynthDepo_used'!$P$18,BD19,AllTriggers)</f>
        <v>5.7294004243915795E-4</v>
      </c>
    </row>
    <row r="20" spans="1:69" ht="12" customHeight="1" x14ac:dyDescent="0.2">
      <c r="W20" s="21"/>
      <c r="X20" s="21"/>
      <c r="Y20" s="21"/>
      <c r="Z20" s="21"/>
      <c r="AA20" s="21"/>
      <c r="AB20" s="21"/>
      <c r="AC20" s="21"/>
      <c r="AD20" s="94"/>
      <c r="AE20" s="27">
        <v>2.8711419753086422E-2</v>
      </c>
      <c r="AF20" s="31">
        <v>0.16944444444444445</v>
      </c>
      <c r="AG20" s="28">
        <v>1</v>
      </c>
      <c r="AH20" s="280"/>
      <c r="AI20" s="29">
        <v>4.1014041576895467E-3</v>
      </c>
      <c r="AJ20" s="280"/>
      <c r="AK20" s="56">
        <v>6.1773821962997388E-4</v>
      </c>
      <c r="AL20" s="27">
        <v>-31.655172413793114</v>
      </c>
      <c r="AM20" s="31">
        <v>49.655172413793125</v>
      </c>
      <c r="AN20" s="28">
        <v>-18.000000000000018</v>
      </c>
      <c r="AO20" s="101"/>
      <c r="AP20" s="94"/>
      <c r="AQ20" s="27">
        <v>3.9416652377686308E-3</v>
      </c>
      <c r="AR20" s="31">
        <v>1.8298611111111102E-2</v>
      </c>
      <c r="AS20" s="28">
        <v>8.6111111111111083E-2</v>
      </c>
      <c r="AT20" s="280"/>
      <c r="AU20" s="29">
        <v>4.7664874015631888E-3</v>
      </c>
      <c r="AV20" s="280"/>
      <c r="AW20" s="56">
        <v>5.319832834551518E-5</v>
      </c>
      <c r="AX20" s="27">
        <v>-446.64543922082777</v>
      </c>
      <c r="AY20" s="31">
        <v>708.70080352320758</v>
      </c>
      <c r="AZ20" s="28">
        <v>-276.46328169659984</v>
      </c>
      <c r="BA20" s="101"/>
      <c r="BC20" s="178">
        <f>_xll.qlCalendarAdvance(Calendar,BC19,"1d","mf",,Trigger)</f>
        <v>42158</v>
      </c>
      <c r="BD20" s="41">
        <f>_xll.qlDayCounterYearFraction(DayCounter,SettlementDate,BC20,,,Trigger)</f>
        <v>5.5555555555555552E-2</v>
      </c>
      <c r="BE20" s="47">
        <f>_xll.qlPolynomialFunctionValue(BE$1,$BD20,AllTriggers)</f>
        <v>6.3016591439227221E-4</v>
      </c>
      <c r="BF20" s="47">
        <f>_xll.qlPolynomialFunctionValue(BF$1,$BD20,AllTriggers)</f>
        <v>5.9654984543463553E-4</v>
      </c>
      <c r="BG20" s="47">
        <f>_xll.qlPolynomialFunctionValue(BG$1,$BD20,AllTriggers)</f>
        <v>3.392052094278631E-4</v>
      </c>
      <c r="BH20" s="47">
        <f>_xll.qlPolynomialFunctionValue(BH$1,$BD20,AllTriggers)</f>
        <v>2.3351953327555648E-4</v>
      </c>
      <c r="BI20" s="47">
        <f>_xll.qlPolynomialFunctionValue(BI$1,$BD20,AllTriggers)</f>
        <v>6.2949380398737414E-4</v>
      </c>
      <c r="BJ20" s="47">
        <f>_xll.qlPolynomialFunctionValue(BJ$1,$BD20,AllTriggers)</f>
        <v>5.9648932816899888E-4</v>
      </c>
      <c r="BK20" s="47">
        <f>_xll.qlPolynomialFunctionValue(BK$1,$BD20,AllTriggers)</f>
        <v>3.463510630815317E-4</v>
      </c>
      <c r="BL20" s="47">
        <f>_xll.qlPolynomialFunctionValue(BL$1,$BD20,AllTriggers)</f>
        <v>2.4709066620118411E-4</v>
      </c>
      <c r="BM20" s="47">
        <f>_xll.qlPolynomialFunctionValue(BM$1,$BD20,AllTriggers)</f>
        <v>5.8351920449666364E-4</v>
      </c>
      <c r="BN20" s="47">
        <f>_xll.qlPolynomialFunctionValue(BN$1,$BD20,AllTriggers)</f>
        <v>6.1029040137565882E-4</v>
      </c>
      <c r="BO20" s="47">
        <f>_xll.qlPolynomialFunctionValue(BO$1,$BD20,AllTriggers)</f>
        <v>4.222375215669023E-4</v>
      </c>
      <c r="BP20" s="47">
        <f>_xll.qlPolynomialFunctionValue(BP$1,$BD20,AllTriggers)</f>
        <v>2.3351953327555619E-4</v>
      </c>
      <c r="BQ20" s="47">
        <f>_xll.qlPolynomialFunctionValue('1MSynthDepo_used'!$P$18,BD20,AllTriggers)</f>
        <v>5.6023216960474098E-4</v>
      </c>
    </row>
    <row r="21" spans="1:69" ht="12" customHeight="1" x14ac:dyDescent="0.2">
      <c r="A21" s="21"/>
      <c r="B21" s="55"/>
      <c r="C21" s="36" t="s">
        <v>62</v>
      </c>
      <c r="D21" s="51" t="s">
        <v>22</v>
      </c>
      <c r="F21" s="187" t="s">
        <v>90</v>
      </c>
      <c r="G21" s="188" t="b">
        <v>1</v>
      </c>
      <c r="H21" s="235"/>
      <c r="S21" s="236"/>
      <c r="T21" s="237"/>
      <c r="U21" s="188" t="b">
        <v>0</v>
      </c>
      <c r="V21" s="235"/>
      <c r="W21" s="236"/>
      <c r="X21" s="237"/>
      <c r="Y21" s="188" t="b">
        <v>1</v>
      </c>
      <c r="Z21" s="235"/>
      <c r="AA21" s="236"/>
      <c r="AB21" s="236"/>
      <c r="AD21" s="94"/>
      <c r="AE21" s="27">
        <v>6.5308641975308626E-2</v>
      </c>
      <c r="AF21" s="31">
        <v>0.25555555555555554</v>
      </c>
      <c r="AG21" s="28">
        <v>1</v>
      </c>
      <c r="AH21" s="280"/>
      <c r="AI21" s="29">
        <v>1.8309784184616495E-4</v>
      </c>
      <c r="AJ21" s="280"/>
      <c r="AK21" s="56">
        <v>6.3909617906197523E-4</v>
      </c>
      <c r="AL21" s="27">
        <v>3.2252873563218398</v>
      </c>
      <c r="AM21" s="31">
        <v>-3.2747497219132384</v>
      </c>
      <c r="AN21" s="28">
        <v>1.0494623655913988</v>
      </c>
      <c r="AO21" s="101"/>
      <c r="AP21" s="94"/>
      <c r="AQ21" s="27">
        <v>7.7316172267946981E-3</v>
      </c>
      <c r="AR21" s="31">
        <v>2.5713734567901242E-2</v>
      </c>
      <c r="AS21" s="28">
        <v>8.6111111111111138E-2</v>
      </c>
      <c r="AT21" s="280"/>
      <c r="AU21" s="29">
        <v>9.5710315895602797E-6</v>
      </c>
      <c r="AV21" s="280"/>
      <c r="AW21" s="56">
        <v>5.5037685303161449E-5</v>
      </c>
      <c r="AX21" s="27">
        <v>54.911406630455119</v>
      </c>
      <c r="AY21" s="31">
        <v>-63.438296601744078</v>
      </c>
      <c r="AZ21" s="28">
        <v>21.911128894851998</v>
      </c>
      <c r="BA21" s="101"/>
      <c r="BC21" s="178">
        <f>_xll.qlCalendarAdvance(Calendar,BC20,"1d","mf",,Trigger)</f>
        <v>42159</v>
      </c>
      <c r="BD21" s="41">
        <f>_xll.qlDayCounterYearFraction(DayCounter,SettlementDate,BC21,,,Trigger)</f>
        <v>5.8333333333333334E-2</v>
      </c>
      <c r="BE21" s="47">
        <f>_xll.qlPolynomialFunctionValue(BE$1,$BD21,AllTriggers)</f>
        <v>6.2466100468217683E-4</v>
      </c>
      <c r="BF21" s="47">
        <f>_xll.qlPolynomialFunctionValue(BF$1,$BD21,AllTriggers)</f>
        <v>5.87126846606167E-4</v>
      </c>
      <c r="BG21" s="47">
        <f>_xll.qlPolynomialFunctionValue(BG$1,$BD21,AllTriggers)</f>
        <v>3.4409175346649664E-4</v>
      </c>
      <c r="BH21" s="47">
        <f>_xll.qlPolynomialFunctionValue(BH$1,$BD21,AllTriggers)</f>
        <v>2.442826859616704E-4</v>
      </c>
      <c r="BI21" s="47">
        <f>_xll.qlPolynomialFunctionValue(BI$1,$BD21,AllTriggers)</f>
        <v>6.2381121236797037E-4</v>
      </c>
      <c r="BJ21" s="47">
        <f>_xll.qlPolynomialFunctionValue(BJ$1,$BD21,AllTriggers)</f>
        <v>5.8708227313259082E-4</v>
      </c>
      <c r="BK21" s="47">
        <f>_xll.qlPolynomialFunctionValue(BK$1,$BD21,AllTriggers)</f>
        <v>3.5115523964382575E-4</v>
      </c>
      <c r="BL21" s="47">
        <f>_xll.qlPolynomialFunctionValue(BL$1,$BD21,AllTriggers)</f>
        <v>2.5753417382764956E-4</v>
      </c>
      <c r="BM21" s="47">
        <f>_xll.qlPolynomialFunctionValue(BM$1,$BD21,AllTriggers)</f>
        <v>5.8382081145788806E-4</v>
      </c>
      <c r="BN21" s="47">
        <f>_xll.qlPolynomialFunctionValue(BN$1,$BD21,AllTriggers)</f>
        <v>6.0624610428627228E-4</v>
      </c>
      <c r="BO21" s="47">
        <f>_xll.qlPolynomialFunctionValue(BO$1,$BD21,AllTriggers)</f>
        <v>4.2493203183569206E-4</v>
      </c>
      <c r="BP21" s="47">
        <f>_xll.qlPolynomialFunctionValue(BP$1,$BD21,AllTriggers)</f>
        <v>2.4428268596167013E-4</v>
      </c>
      <c r="BQ21" s="47">
        <f>_xll.qlPolynomialFunctionValue('1MSynthDepo_used'!$P$18,BD21,AllTriggers)</f>
        <v>5.4830862771907958E-4</v>
      </c>
    </row>
    <row r="22" spans="1:69" ht="12" customHeight="1" x14ac:dyDescent="0.2">
      <c r="C22" s="36" t="s">
        <v>53</v>
      </c>
      <c r="D22" s="51" t="str">
        <f>PROPER(Currency)&amp;IborType&amp;$D$21</f>
        <v>Euribor1M</v>
      </c>
      <c r="E22" s="23"/>
      <c r="F22" s="187" t="s">
        <v>91</v>
      </c>
      <c r="G22" s="89"/>
      <c r="H22" s="89"/>
      <c r="S22" s="89"/>
      <c r="T22" s="89"/>
      <c r="U22" s="89"/>
      <c r="V22" s="89"/>
      <c r="W22" s="89"/>
      <c r="X22" s="238"/>
      <c r="Y22" s="228" t="str">
        <f>_xll.qlPolynomialCalibration(,_xll.ohFilter($I$14:$I$17,$S$14:$S$17),_xll.ohFilter($H$14:$H$17,$S$14:$S$17),_xll.ohFilter($J$14:$J$17,$S$14:$S$17),G$25:G$26,,,,,Trigger)</f>
        <v>obj_00963#0007</v>
      </c>
      <c r="Z22" s="188" t="str">
        <f>_xll.qlPolynomialCalibration(,_xll.ohFilter($I$14:$I$17,$T$14:$T$17),_xll.ohFilter($H$14:$H$17,$T$14:$T$17),_xll.ohFilter($J$14:$J$17,$T$14:$T$17),H$25:H$27,,,,,Trigger)</f>
        <v>obj_00966#0008</v>
      </c>
      <c r="AA22" s="188" t="str">
        <f>_xll.qlPolynomialCalibration(,_xll.ohFilter($I$14:$I$17,$U$14:$U$17),_xll.ohFilter($H$14:$H$17,$U$14:$U$17),_xll.ohFilter($J$14:$J$17,$U$14:$U$17),S$25:S$26,,,,,Trigger)</f>
        <v>obj_00965#0008</v>
      </c>
      <c r="AB22" s="188" t="str">
        <f>_xll.qlPolynomialCalibration(,_xll.ohFilter($I$14:$I$17,$V$14:$V$17),_xll.ohFilter($H$14:$H$17,$V$14:$V$17),_xll.ohFilter($J$14:$J$17,$V$14:$V$17),T$25:T$27,,,,,Trigger)</f>
        <v>obj_00964#0009</v>
      </c>
      <c r="AC22" s="19" t="s">
        <v>70</v>
      </c>
      <c r="AD22" s="95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103"/>
      <c r="AP22" s="95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103"/>
      <c r="BC22" s="178">
        <f>_xll.qlCalendarAdvance(Calendar,BC21,"1d","mf",,Trigger)</f>
        <v>42160</v>
      </c>
      <c r="BD22" s="41">
        <f>_xll.qlDayCounterYearFraction(DayCounter,SettlementDate,BC22,,,Trigger)</f>
        <v>6.1111111111111109E-2</v>
      </c>
      <c r="BE22" s="47">
        <f>_xll.qlPolynomialFunctionValue(BE$1,$BD22,AllTriggers)</f>
        <v>6.1915609497208146E-4</v>
      </c>
      <c r="BF22" s="47">
        <f>_xll.qlPolynomialFunctionValue(BF$1,$BD22,AllTriggers)</f>
        <v>5.780445511792961E-4</v>
      </c>
      <c r="BG22" s="47">
        <f>_xll.qlPolynomialFunctionValue(BG$1,$BD22,AllTriggers)</f>
        <v>3.4897829750513013E-4</v>
      </c>
      <c r="BH22" s="47">
        <f>_xll.qlPolynomialFunctionValue(BH$1,$BD22,AllTriggers)</f>
        <v>2.5490591939427289E-4</v>
      </c>
      <c r="BI22" s="47">
        <f>_xll.qlPolynomialFunctionValue(BI$1,$BD22,AllTriggers)</f>
        <v>6.181286207485665E-4</v>
      </c>
      <c r="BJ22" s="47">
        <f>_xll.qlPolynomialFunctionValue(BJ$1,$BD22,AllTriggers)</f>
        <v>5.7801901471929093E-4</v>
      </c>
      <c r="BK22" s="47">
        <f>_xll.qlPolynomialFunctionValue(BK$1,$BD22,AllTriggers)</f>
        <v>3.5595941620611974E-4</v>
      </c>
      <c r="BL22" s="47">
        <f>_xll.qlPolynomialFunctionValue(BL$1,$BD22,AllTriggers)</f>
        <v>2.6784125534896116E-4</v>
      </c>
      <c r="BM22" s="47">
        <f>_xll.qlPolynomialFunctionValue(BM$1,$BD22,AllTriggers)</f>
        <v>5.8412241841911247E-4</v>
      </c>
      <c r="BN22" s="47">
        <f>_xll.qlPolynomialFunctionValue(BN$1,$BD22,AllTriggers)</f>
        <v>6.0230667230670915E-4</v>
      </c>
      <c r="BO22" s="47">
        <f>_xll.qlPolynomialFunctionValue(BO$1,$BD22,AllTriggers)</f>
        <v>4.2762654210448182E-4</v>
      </c>
      <c r="BP22" s="47">
        <f>_xll.qlPolynomialFunctionValue(BP$1,$BD22,AllTriggers)</f>
        <v>2.5490591939427272E-4</v>
      </c>
      <c r="BQ22" s="47">
        <f>_xll.qlPolynomialFunctionValue('1MSynthDepo_used'!$P$18,BD22,AllTriggers)</f>
        <v>5.3715308217266772E-4</v>
      </c>
    </row>
    <row r="23" spans="1:69" ht="12" customHeight="1" x14ac:dyDescent="0.2">
      <c r="C23" s="36" t="s">
        <v>116</v>
      </c>
      <c r="D23" s="51" t="str">
        <f>_xll.qlIborIndex(,,'1MSynthDepo_allScenario'!D21,2,Currency,Calendar,"mf",TRUE,DayCounter,Discounting,,Trigger)</f>
        <v>obj_0094d#0009</v>
      </c>
      <c r="E23" s="23"/>
      <c r="F23" s="187" t="s">
        <v>92</v>
      </c>
      <c r="G23" s="89"/>
      <c r="H23" s="89"/>
      <c r="S23" s="89"/>
      <c r="T23" s="89"/>
      <c r="U23" s="89"/>
      <c r="V23" s="89"/>
      <c r="W23" s="89"/>
      <c r="X23" s="238"/>
      <c r="Y23" s="239" t="b">
        <f>_xll.qlPolynomialCalibrationCompute(Y$22,AllTriggers)</f>
        <v>1</v>
      </c>
      <c r="Z23" s="188" t="b">
        <f>_xll.qlPolynomialCalibrationCompute(Z$22,AllTriggers)</f>
        <v>1</v>
      </c>
      <c r="AA23" s="188" t="b">
        <f>_xll.qlPolynomialCalibrationCompute(AA$22,AllTriggers)</f>
        <v>1</v>
      </c>
      <c r="AB23" s="188" t="b">
        <f>_xll.qlPolynomialCalibrationCompute(AB$22,AllTriggers)</f>
        <v>1</v>
      </c>
      <c r="AC23" s="19" t="s">
        <v>70</v>
      </c>
      <c r="AD23" s="93"/>
      <c r="AE23" s="93"/>
      <c r="AF23" s="93"/>
      <c r="AG23" s="93"/>
      <c r="AH23" s="93"/>
      <c r="BC23" s="178">
        <f>_xll.qlCalendarAdvance(Calendar,BC22,"1d","mf",,Trigger)</f>
        <v>42163</v>
      </c>
      <c r="BD23" s="41">
        <f>_xll.qlDayCounterYearFraction(DayCounter,SettlementDate,BC23,,,Trigger)</f>
        <v>6.9444444444444448E-2</v>
      </c>
      <c r="BE23" s="47">
        <f>_xll.qlPolynomialFunctionValue(BE$1,$BD23,AllTriggers)</f>
        <v>6.0264136584179534E-4</v>
      </c>
      <c r="BF23" s="47">
        <f>_xll.qlPolynomialFunctionValue(BF$1,$BD23,AllTriggers)</f>
        <v>5.528418853082695E-4</v>
      </c>
      <c r="BG23" s="47">
        <f>_xll.qlPolynomialFunctionValue(BG$1,$BD23,AllTriggers)</f>
        <v>3.6363792962103075E-4</v>
      </c>
      <c r="BH23" s="47">
        <f>_xll.qlPolynomialFunctionValue(BH$1,$BD23,AllTriggers)</f>
        <v>2.8593610417101175E-4</v>
      </c>
      <c r="BI23" s="47">
        <f>_xll.qlPolynomialFunctionValue(BI$1,$BD23,AllTriggers)</f>
        <v>6.0108084589035487E-4</v>
      </c>
      <c r="BJ23" s="47">
        <f>_xll.qlPolynomialFunctionValue(BJ$1,$BD23,AllTriggers)</f>
        <v>5.5289201921803952E-4</v>
      </c>
      <c r="BK23" s="47">
        <f>_xll.qlPolynomialFunctionValue(BK$1,$BD23,AllTriggers)</f>
        <v>3.7037194589300182E-4</v>
      </c>
      <c r="BL23" s="47">
        <f>_xll.qlPolynomialFunctionValue(BL$1,$BD23,AllTriggers)</f>
        <v>2.9794394328197272E-4</v>
      </c>
      <c r="BM23" s="47">
        <f>_xll.qlPolynomialFunctionValue(BM$1,$BD23,AllTriggers)</f>
        <v>5.8502723930278571E-4</v>
      </c>
      <c r="BN23" s="47">
        <f>_xll.qlPolynomialFunctionValue(BN$1,$BD23,AllTriggers)</f>
        <v>5.9111756702696016E-4</v>
      </c>
      <c r="BO23" s="47">
        <f>_xll.qlPolynomialFunctionValue(BO$1,$BD23,AllTriggers)</f>
        <v>4.3571007291085104E-4</v>
      </c>
      <c r="BP23" s="47">
        <f>_xll.qlPolynomialFunctionValue(BP$1,$BD23,AllTriggers)</f>
        <v>2.8593610417101164E-4</v>
      </c>
      <c r="BQ23" s="47">
        <f>_xll.qlPolynomialFunctionValue('1MSynthDepo_used'!$P$18,BD23,AllTriggers)</f>
        <v>5.0813107747386585E-4</v>
      </c>
    </row>
    <row r="24" spans="1:69" ht="12" customHeight="1" x14ac:dyDescent="0.2">
      <c r="A24" s="21"/>
      <c r="B24" s="55"/>
      <c r="C24" s="36" t="s">
        <v>117</v>
      </c>
      <c r="D24" s="51" t="s">
        <v>86</v>
      </c>
      <c r="E24" s="23"/>
      <c r="F24" s="187" t="s">
        <v>82</v>
      </c>
      <c r="G24" s="188" t="str">
        <f>_xll.qlPolynomialTenorBasis(,$D$22,Discounting,SettlementDate,IsSimple,G$25:G$28,,Trigger)</f>
        <v>obj_0095b#0005</v>
      </c>
      <c r="H24" s="188" t="str">
        <f>_xll.qlPolynomialTenorBasis(,$D$22,Discounting,SettlementDate,IsSimple,H$25:H$28,,Trigger)</f>
        <v>obj_0095d#0005</v>
      </c>
      <c r="S24" s="188" t="str">
        <f>_xll.qlPolynomialTenorBasis(,$D$22,Discounting,SettlementDate,IsSimple,S$25:S$28,,Trigger)</f>
        <v>obj_00955#0007</v>
      </c>
      <c r="T24" s="188" t="str">
        <f>_xll.qlPolynomialTenorBasis(,$D$22,Discounting,SettlementDate,IsSimple,T$25:T$28,,Trigger)</f>
        <v>obj_00958#0005</v>
      </c>
      <c r="U24" s="188" t="str">
        <f>_xll.qlPolynomialTenorBasis(,$D$22,Discounting,SettlementDate,$U$21,U$25:U$28,,Trigger)</f>
        <v>obj_0095a#0005</v>
      </c>
      <c r="V24" s="188" t="str">
        <f>_xll.qlPolynomialTenorBasis(,$D$22,Discounting,SettlementDate,$U$21,V$25:V$28,,Trigger)</f>
        <v>obj_0095f#0005</v>
      </c>
      <c r="W24" s="188" t="str">
        <f>_xll.qlPolynomialTenorBasis(,$D$22,Discounting,SettlementDate,$U$21,W$25:W$28,,Trigger)</f>
        <v>obj_00962#0005</v>
      </c>
      <c r="X24" s="227" t="str">
        <f>_xll.qlPolynomialTenorBasis(,$D$22,Discounting,SettlementDate,$U$21,X$25:X$28,,Trigger)</f>
        <v>obj_00960#0005</v>
      </c>
      <c r="Y24" s="228" t="str">
        <f>_xll.qlPolynomialTenorBasis(,$D$22,Discounting,SettlementDate,$Y$21,Y$25:Y$28,,Trigger)</f>
        <v>obj_00969#0008</v>
      </c>
      <c r="Z24" s="188" t="str">
        <f>_xll.qlPolynomialTenorBasis(,$D$22,Discounting,SettlementDate,$Y$21,Z$25:Z$28,,Trigger)</f>
        <v>obj_00967#0008</v>
      </c>
      <c r="AA24" s="188" t="str">
        <f>_xll.qlPolynomialTenorBasis(,$D$22,Discounting,SettlementDate,$Y$21,AA$25:AA$28,,Trigger)</f>
        <v>obj_0096a#0008</v>
      </c>
      <c r="AB24" s="188" t="str">
        <f>_xll.qlPolynomialTenorBasis(,$D$22,Discounting,SettlementDate,$Y$21,AB$25:AB$28,,Trigger)</f>
        <v>obj_0096b#0008</v>
      </c>
      <c r="AC24" s="19" t="s">
        <v>70</v>
      </c>
      <c r="BC24" s="178">
        <f>_xll.qlCalendarAdvance(Calendar,BC23,"1d","mf",,Trigger)</f>
        <v>42164</v>
      </c>
      <c r="BD24" s="41">
        <f>_xll.qlDayCounterYearFraction(DayCounter,SettlementDate,BC24,,,Trigger)</f>
        <v>7.2222222222222215E-2</v>
      </c>
      <c r="BE24" s="47">
        <f>_xll.qlPolynomialFunctionValue(BE$1,$BD24,AllTriggers)</f>
        <v>5.9713645613169997E-4</v>
      </c>
      <c r="BF24" s="47">
        <f>_xll.qlPolynomialFunctionValue(BF$1,$BD24,AllTriggers)</f>
        <v>5.4512240348778928E-4</v>
      </c>
      <c r="BG24" s="47">
        <f>_xll.qlPolynomialFunctionValue(BG$1,$BD24,AllTriggers)</f>
        <v>3.6852447365966424E-4</v>
      </c>
      <c r="BH24" s="47">
        <f>_xll.qlPolynomialFunctionValue(BH$1,$BD24,AllTriggers)</f>
        <v>2.9599966058956848E-4</v>
      </c>
      <c r="BI24" s="47">
        <f>_xll.qlPolynomialFunctionValue(BI$1,$BD24,AllTriggers)</f>
        <v>5.953982542709511E-4</v>
      </c>
      <c r="BJ24" s="47">
        <f>_xll.qlPolynomialFunctionValue(BJ$1,$BD24,AllTriggers)</f>
        <v>5.4520394729717188E-4</v>
      </c>
      <c r="BK24" s="47">
        <f>_xll.qlPolynomialFunctionValue(BK$1,$BD24,AllTriggers)</f>
        <v>3.7517612245529586E-4</v>
      </c>
      <c r="BL24" s="47">
        <f>_xll.qlPolynomialFunctionValue(BL$1,$BD24,AllTriggers)</f>
        <v>3.0770532038266877E-4</v>
      </c>
      <c r="BM24" s="47">
        <f>_xll.qlPolynomialFunctionValue(BM$1,$BD24,AllTriggers)</f>
        <v>5.8532884626401023E-4</v>
      </c>
      <c r="BN24" s="47">
        <f>_xll.qlPolynomialFunctionValue(BN$1,$BD24,AllTriggers)</f>
        <v>5.8759759548669059E-4</v>
      </c>
      <c r="BO24" s="47">
        <f>_xll.qlPolynomialFunctionValue(BO$1,$BD24,AllTriggers)</f>
        <v>4.3840458317964074E-4</v>
      </c>
      <c r="BP24" s="47">
        <f>_xll.qlPolynomialFunctionValue(BP$1,$BD24,AllTriggers)</f>
        <v>2.9599966058956831E-4</v>
      </c>
      <c r="BQ24" s="47">
        <f>_xll.qlPolynomialFunctionValue('1MSynthDepo_used'!$P$18,BD24,AllTriggers)</f>
        <v>4.9988417118938897E-4</v>
      </c>
    </row>
    <row r="25" spans="1:69" ht="12" customHeight="1" x14ac:dyDescent="0.2">
      <c r="A25" s="21"/>
      <c r="B25" s="55"/>
      <c r="C25" s="36" t="s">
        <v>118</v>
      </c>
      <c r="D25" s="51" t="s">
        <v>86</v>
      </c>
      <c r="E25" s="35"/>
      <c r="F25" s="133" t="s">
        <v>73</v>
      </c>
      <c r="G25" s="90">
        <f>AI6</f>
        <v>6.521855532326537E-4</v>
      </c>
      <c r="H25" s="90">
        <f>AI16</f>
        <v>6.521855532326537E-4</v>
      </c>
      <c r="S25" s="90">
        <f>AI10</f>
        <v>3.1965903327332899E-4</v>
      </c>
      <c r="T25" s="90">
        <f>AI21</f>
        <v>1.8309784184616495E-4</v>
      </c>
      <c r="U25" s="90">
        <f>AU6</f>
        <v>7.4314563637545121E-4</v>
      </c>
      <c r="V25" s="90">
        <f>AU16</f>
        <v>8.568277197498565E-4</v>
      </c>
      <c r="W25" s="90">
        <f>AU10</f>
        <v>2.5026753183565124E-4</v>
      </c>
      <c r="X25" s="229">
        <f>AU21</f>
        <v>9.5710315895602797E-6</v>
      </c>
      <c r="Y25" s="230">
        <f t="array" ref="Y25:Y26">_xll.qlPolynomialCalibrationCoefficients($Y$22,$Y$23)</f>
        <v>5.8231277665176588E-4</v>
      </c>
      <c r="Z25" s="90">
        <f t="array" ref="Z25:Z27">_xll.qlPolynomialCalibrationCoefficients($Z$22,$Z$23)</f>
        <v>6.3199048551723582E-4</v>
      </c>
      <c r="AA25" s="90">
        <f t="array" ref="AA25:AA26">_xll.qlPolynomialCalibrationCoefficients($AA$22,$AA$23)</f>
        <v>4.1145948049174338E-4</v>
      </c>
      <c r="AB25" s="90">
        <f t="array" ref="AB25:AB27">_xll.qlPolynomialCalibrationCoefficients($AB$22,$AB$23)</f>
        <v>1.8309784184616465E-4</v>
      </c>
      <c r="AC25" s="19" t="s">
        <v>70</v>
      </c>
      <c r="BC25" s="178">
        <f>_xll.qlCalendarAdvance(Calendar,BC24,"1d","mf",,Trigger)</f>
        <v>42165</v>
      </c>
      <c r="BD25" s="41">
        <f>_xll.qlDayCounterYearFraction(DayCounter,SettlementDate,BC25,,,Trigger)</f>
        <v>7.4999999999999997E-2</v>
      </c>
      <c r="BE25" s="47">
        <f>_xll.qlPolynomialFunctionValue(BE$1,$BD25,AllTriggers)</f>
        <v>5.9163154642160459E-4</v>
      </c>
      <c r="BF25" s="47">
        <f>_xll.qlPolynomialFunctionValue(BF$1,$BD25,AllTriggers)</f>
        <v>5.3774362506890671E-4</v>
      </c>
      <c r="BG25" s="47">
        <f>_xll.qlPolynomialFunctionValue(BG$1,$BD25,AllTriggers)</f>
        <v>3.7341101769829778E-4</v>
      </c>
      <c r="BH25" s="47">
        <f>_xll.qlPolynomialFunctionValue(BH$1,$BD25,AllTriggers)</f>
        <v>3.0592329775461382E-4</v>
      </c>
      <c r="BI25" s="47">
        <f>_xll.qlPolynomialFunctionValue(BI$1,$BD25,AllTriggers)</f>
        <v>5.8971566265154723E-4</v>
      </c>
      <c r="BJ25" s="47">
        <f>_xll.qlPolynomialFunctionValue(BJ$1,$BD25,AllTriggers)</f>
        <v>5.3785967199941229E-4</v>
      </c>
      <c r="BK25" s="47">
        <f>_xll.qlPolynomialFunctionValue(BK$1,$BD25,AllTriggers)</f>
        <v>3.7998029901758985E-4</v>
      </c>
      <c r="BL25" s="47">
        <f>_xll.qlPolynomialFunctionValue(BL$1,$BD25,AllTriggers)</f>
        <v>3.1733027137821097E-4</v>
      </c>
      <c r="BM25" s="47">
        <f>_xll.qlPolynomialFunctionValue(BM$1,$BD25,AllTriggers)</f>
        <v>5.8563045322523465E-4</v>
      </c>
      <c r="BN25" s="47">
        <f>_xll.qlPolynomialFunctionValue(BN$1,$BD25,AllTriggers)</f>
        <v>5.8418248905624433E-4</v>
      </c>
      <c r="BO25" s="47">
        <f>_xll.qlPolynomialFunctionValue(BO$1,$BD25,AllTriggers)</f>
        <v>4.410990934484305E-4</v>
      </c>
      <c r="BP25" s="47">
        <f>_xll.qlPolynomialFunctionValue(BP$1,$BD25,AllTriggers)</f>
        <v>3.0592329775461365E-4</v>
      </c>
      <c r="BQ25" s="47">
        <f>_xll.qlPolynomialFunctionValue('1MSynthDepo_used'!$P$18,BD25,AllTriggers)</f>
        <v>4.923235881966301E-4</v>
      </c>
    </row>
    <row r="26" spans="1:69" ht="12" customHeight="1" x14ac:dyDescent="0.2">
      <c r="A26" s="21"/>
      <c r="B26" s="55"/>
      <c r="E26" s="35"/>
      <c r="F26" s="133" t="s">
        <v>74</v>
      </c>
      <c r="G26" s="90">
        <f>AI5</f>
        <v>-1.9817674956343345E-3</v>
      </c>
      <c r="H26" s="90">
        <f>AI15</f>
        <v>-3.9442190888369071E-3</v>
      </c>
      <c r="S26" s="90">
        <f>AI9</f>
        <v>1.7591558539080685E-3</v>
      </c>
      <c r="T26" s="90">
        <f>AI20</f>
        <v>4.1014041576895467E-3</v>
      </c>
      <c r="U26" s="90">
        <f>AU5</f>
        <v>-2.0457329829853864E-3</v>
      </c>
      <c r="V26" s="90">
        <f>AU15</f>
        <v>-5.9237588916445224E-3</v>
      </c>
      <c r="W26" s="90">
        <f>AU9</f>
        <v>1.7295035624258484E-3</v>
      </c>
      <c r="X26" s="229">
        <f>AU20</f>
        <v>4.7664874015631888E-3</v>
      </c>
      <c r="Y26" s="230">
        <v>1.0857850604079587E-4</v>
      </c>
      <c r="Z26" s="90">
        <v>-1.6258284300930035E-3</v>
      </c>
      <c r="AA26" s="90">
        <v>9.7002369676430617E-4</v>
      </c>
      <c r="AB26" s="90">
        <v>4.1014041576895536E-3</v>
      </c>
      <c r="AC26" s="19" t="s">
        <v>70</v>
      </c>
      <c r="BC26" s="178">
        <f>_xll.qlCalendarAdvance(Calendar,BC25,"1d","mf",,Trigger)</f>
        <v>42166</v>
      </c>
      <c r="BD26" s="41">
        <f>_xll.qlDayCounterYearFraction(DayCounter,SettlementDate,BC26,,,Trigger)</f>
        <v>7.7777777777777779E-2</v>
      </c>
      <c r="BE26" s="47">
        <f>_xll.qlPolynomialFunctionValue(BE$1,$BD26,AllTriggers)</f>
        <v>5.8612663671150922E-4</v>
      </c>
      <c r="BF26" s="47">
        <f>_xll.qlPolynomialFunctionValue(BF$1,$BD26,AllTriggers)</f>
        <v>5.3070555005162179E-4</v>
      </c>
      <c r="BG26" s="47">
        <f>_xll.qlPolynomialFunctionValue(BG$1,$BD26,AllTriggers)</f>
        <v>3.7829756173693126E-4</v>
      </c>
      <c r="BH26" s="47">
        <f>_xll.qlPolynomialFunctionValue(BH$1,$BD26,AllTriggers)</f>
        <v>3.1570701566614772E-4</v>
      </c>
      <c r="BI26" s="47">
        <f>_xll.qlPolynomialFunctionValue(BI$1,$BD26,AllTriggers)</f>
        <v>5.8403307103214335E-4</v>
      </c>
      <c r="BJ26" s="47">
        <f>_xll.qlPolynomialFunctionValue(BJ$1,$BD26,AllTriggers)</f>
        <v>5.3085919332476078E-4</v>
      </c>
      <c r="BK26" s="47">
        <f>_xll.qlPolynomialFunctionValue(BK$1,$BD26,AllTriggers)</f>
        <v>3.847844755798839E-4</v>
      </c>
      <c r="BL26" s="47">
        <f>_xll.qlPolynomialFunctionValue(BL$1,$BD26,AllTriggers)</f>
        <v>3.2681879626859938E-4</v>
      </c>
      <c r="BM26" s="47">
        <f>_xll.qlPolynomialFunctionValue(BM$1,$BD26,AllTriggers)</f>
        <v>5.8593206018645906E-4</v>
      </c>
      <c r="BN26" s="47">
        <f>_xll.qlPolynomialFunctionValue(BN$1,$BD26,AllTriggers)</f>
        <v>5.8087224773562148E-4</v>
      </c>
      <c r="BO26" s="47">
        <f>_xll.qlPolynomialFunctionValue(BO$1,$BD26,AllTriggers)</f>
        <v>4.4379360371722026E-4</v>
      </c>
      <c r="BP26" s="47">
        <f>_xll.qlPolynomialFunctionValue(BP$1,$BD26,AllTriggers)</f>
        <v>3.1570701566614756E-4</v>
      </c>
      <c r="BQ26" s="47">
        <f>_xll.qlPolynomialFunctionValue('1MSynthDepo_used'!$P$18,BD26,AllTriggers)</f>
        <v>4.8543299388608313E-4</v>
      </c>
    </row>
    <row r="27" spans="1:69" ht="12" customHeight="1" x14ac:dyDescent="0.2">
      <c r="B27" s="22"/>
      <c r="F27" s="133" t="s">
        <v>75</v>
      </c>
      <c r="G27" s="89"/>
      <c r="H27" s="90">
        <f>AI14</f>
        <v>2.2077580423528941E-2</v>
      </c>
      <c r="S27" s="89"/>
      <c r="T27" s="90">
        <f>AI19</f>
        <v>-9.066767627541189E-3</v>
      </c>
      <c r="U27" s="89"/>
      <c r="V27" s="90">
        <f>AU14</f>
        <v>2.2278021177403552E-2</v>
      </c>
      <c r="W27" s="89"/>
      <c r="X27" s="229">
        <f>AU19</f>
        <v>-8.840411613971276E-3</v>
      </c>
      <c r="Y27" s="231"/>
      <c r="Z27" s="90">
        <v>6.7952591165548644E-3</v>
      </c>
      <c r="AA27" s="89"/>
      <c r="AB27" s="90">
        <v>-9.0667676275412324E-3</v>
      </c>
      <c r="AC27" s="19" t="s">
        <v>70</v>
      </c>
      <c r="BC27" s="178">
        <f>_xll.qlCalendarAdvance(Calendar,BC26,"1d","mf",,Trigger)</f>
        <v>42167</v>
      </c>
      <c r="BD27" s="41">
        <f>_xll.qlDayCounterYearFraction(DayCounter,SettlementDate,BC27,,,Trigger)</f>
        <v>8.0555555555555561E-2</v>
      </c>
      <c r="BE27" s="47">
        <f>_xll.qlPolynomialFunctionValue(BE$1,$BD27,AllTriggers)</f>
        <v>5.8062172700141385E-4</v>
      </c>
      <c r="BF27" s="47">
        <f>_xll.qlPolynomialFunctionValue(BF$1,$BD27,AllTriggers)</f>
        <v>5.2400817843593461E-4</v>
      </c>
      <c r="BG27" s="47">
        <f>_xll.qlPolynomialFunctionValue(BG$1,$BD27,AllTriggers)</f>
        <v>3.831841057755648E-4</v>
      </c>
      <c r="BH27" s="47">
        <f>_xll.qlPolynomialFunctionValue(BH$1,$BD27,AllTriggers)</f>
        <v>3.2535081432417013E-4</v>
      </c>
      <c r="BI27" s="47">
        <f>_xll.qlPolynomialFunctionValue(BI$1,$BD27,AllTriggers)</f>
        <v>5.7835047941273948E-4</v>
      </c>
      <c r="BJ27" s="47">
        <f>_xll.qlPolynomialFunctionValue(BJ$1,$BD27,AllTriggers)</f>
        <v>5.2420251127321743E-4</v>
      </c>
      <c r="BK27" s="47">
        <f>_xll.qlPolynomialFunctionValue(BK$1,$BD27,AllTriggers)</f>
        <v>3.8958865214217789E-4</v>
      </c>
      <c r="BL27" s="47">
        <f>_xll.qlPolynomialFunctionValue(BL$1,$BD27,AllTriggers)</f>
        <v>3.3617089505383379E-4</v>
      </c>
      <c r="BM27" s="47">
        <f>_xll.qlPolynomialFunctionValue(BM$1,$BD27,AllTriggers)</f>
        <v>5.8623366714768347E-4</v>
      </c>
      <c r="BN27" s="47">
        <f>_xll.qlPolynomialFunctionValue(BN$1,$BD27,AllTriggers)</f>
        <v>5.7766687152482205E-4</v>
      </c>
      <c r="BO27" s="47">
        <f>_xll.qlPolynomialFunctionValue(BO$1,$BD27,AllTriggers)</f>
        <v>4.4648811398600996E-4</v>
      </c>
      <c r="BP27" s="47">
        <f>_xll.qlPolynomialFunctionValue(BP$1,$BD27,AllTriggers)</f>
        <v>3.2535081432417002E-4</v>
      </c>
      <c r="BQ27" s="47">
        <f>_xll.qlPolynomialFunctionValue('1MSynthDepo_used'!$P$18,BD27,AllTriggers)</f>
        <v>4.791960536482417E-4</v>
      </c>
    </row>
    <row r="28" spans="1:69" ht="12" customHeight="1" thickBot="1" x14ac:dyDescent="0.25">
      <c r="F28" s="133" t="s">
        <v>76</v>
      </c>
      <c r="G28" s="89"/>
      <c r="H28" s="89"/>
      <c r="S28" s="89"/>
      <c r="T28" s="89"/>
      <c r="U28" s="89"/>
      <c r="V28" s="89"/>
      <c r="W28" s="89"/>
      <c r="X28" s="232"/>
      <c r="Y28" s="233"/>
      <c r="Z28" s="89"/>
      <c r="AA28" s="89"/>
      <c r="AB28" s="234"/>
      <c r="BC28" s="178">
        <f>_xll.qlCalendarAdvance(Calendar,BC27,"1d","mf",,Trigger)</f>
        <v>42170</v>
      </c>
      <c r="BD28" s="41">
        <f>_xll.qlDayCounterYearFraction(DayCounter,SettlementDate,BC28,,,Trigger)</f>
        <v>8.8888888888888892E-2</v>
      </c>
      <c r="BE28" s="47">
        <f>_xll.qlPolynomialFunctionValue(BE$1,$BD28,AllTriggers)</f>
        <v>5.6410699787112772E-4</v>
      </c>
      <c r="BF28" s="47">
        <f>_xll.qlPolynomialFunctionValue(BF$1,$BD28,AllTriggers)</f>
        <v>5.0596028399845893E-4</v>
      </c>
      <c r="BG28" s="47">
        <f>_xll.qlPolynomialFunctionValue(BG$1,$BD28,AllTriggers)</f>
        <v>3.9784373789146542E-4</v>
      </c>
      <c r="BH28" s="47">
        <f>_xll.qlPolynomialFunctionValue(BH$1,$BD28,AllTriggers)</f>
        <v>3.5344269477716878E-4</v>
      </c>
      <c r="BI28" s="47">
        <f>_xll.qlPolynomialFunctionValue(BI$1,$BD28,AllTriggers)</f>
        <v>5.6130270455452796E-4</v>
      </c>
      <c r="BJ28" s="47">
        <f>_xll.qlPolynomialFunctionValue(BJ$1,$BD28,AllTriggers)</f>
        <v>5.0629524485723575E-4</v>
      </c>
      <c r="BK28" s="47">
        <f>_xll.qlPolynomialFunctionValue(BK$1,$BD28,AllTriggers)</f>
        <v>4.0400118182906002E-4</v>
      </c>
      <c r="BL28" s="47">
        <f>_xll.qlPolynomialFunctionValue(BL$1,$BD28,AllTriggers)</f>
        <v>3.6340863477861391E-4</v>
      </c>
      <c r="BM28" s="47">
        <f>_xll.qlPolynomialFunctionValue(BM$1,$BD28,AllTriggers)</f>
        <v>5.8713848803135682E-4</v>
      </c>
      <c r="BN28" s="47">
        <f>_xll.qlPolynomialFunctionValue(BN$1,$BD28,AllTriggers)</f>
        <v>5.6867993355136403E-4</v>
      </c>
      <c r="BO28" s="47">
        <f>_xll.qlPolynomialFunctionValue(BO$1,$BD28,AllTriggers)</f>
        <v>4.5457164479237918E-4</v>
      </c>
      <c r="BP28" s="47">
        <f>_xll.qlPolynomialFunctionValue(BP$1,$BD28,AllTriggers)</f>
        <v>3.5344269477716867E-4</v>
      </c>
      <c r="BQ28" s="47">
        <f>_xll.qlPolynomialFunctionValue('1MSynthDepo_used'!$P$18,BD28,AllTriggers)</f>
        <v>4.6424381127588759E-4</v>
      </c>
    </row>
    <row r="29" spans="1:69" ht="12" customHeight="1" x14ac:dyDescent="0.2">
      <c r="G29" s="147" t="s">
        <v>66</v>
      </c>
      <c r="H29" s="148"/>
      <c r="S29" s="148"/>
      <c r="T29" s="148"/>
      <c r="U29" s="148"/>
      <c r="V29" s="148"/>
      <c r="W29" s="148"/>
      <c r="X29" s="149"/>
      <c r="Y29" s="147" t="s">
        <v>67</v>
      </c>
      <c r="Z29" s="148"/>
      <c r="AA29" s="148"/>
      <c r="AB29" s="149"/>
      <c r="BC29" s="178">
        <f>_xll.qlCalendarAdvance(Calendar,BC28,"1d","mf",,Trigger)</f>
        <v>42171</v>
      </c>
      <c r="BD29" s="41">
        <f>_xll.qlDayCounterYearFraction(DayCounter,SettlementDate,BC29,,,Trigger)</f>
        <v>9.166666666666666E-2</v>
      </c>
      <c r="BE29" s="47">
        <f>_xll.qlPolynomialFunctionValue(BE$1,$BD29,AllTriggers)</f>
        <v>5.5860208816103235E-4</v>
      </c>
      <c r="BF29" s="47">
        <f>_xll.qlPolynomialFunctionValue(BF$1,$BD29,AllTriggers)</f>
        <v>5.0062572598916243E-4</v>
      </c>
      <c r="BG29" s="47">
        <f>_xll.qlPolynomialFunctionValue(BG$1,$BD29,AllTriggers)</f>
        <v>4.0273028193009891E-4</v>
      </c>
      <c r="BH29" s="47">
        <f>_xll.qlPolynomialFunctionValue(BH$1,$BD29,AllTriggers)</f>
        <v>3.6252681642114543E-4</v>
      </c>
      <c r="BI29" s="47">
        <f>_xll.qlPolynomialFunctionValue(BI$1,$BD29,AllTriggers)</f>
        <v>5.5562011293512409E-4</v>
      </c>
      <c r="BJ29" s="47">
        <f>_xll.qlPolynomialFunctionValue(BJ$1,$BD29,AllTriggers)</f>
        <v>5.0101374929812455E-4</v>
      </c>
      <c r="BK29" s="47">
        <f>_xll.qlPolynomialFunctionValue(BK$1,$BD29,AllTriggers)</f>
        <v>4.0880535839135396E-4</v>
      </c>
      <c r="BL29" s="47">
        <f>_xll.qlPolynomialFunctionValue(BL$1,$BD29,AllTriggers)</f>
        <v>3.7221502914323282E-4</v>
      </c>
      <c r="BM29" s="47">
        <f>_xll.qlPolynomialFunctionValue(BM$1,$BD29,AllTriggers)</f>
        <v>5.8744009499258124E-4</v>
      </c>
      <c r="BN29" s="47">
        <f>_xll.qlPolynomialFunctionValue(BN$1,$BD29,AllTriggers)</f>
        <v>5.6589401777985804E-4</v>
      </c>
      <c r="BO29" s="47">
        <f>_xll.qlPolynomialFunctionValue(BO$1,$BD29,AllTriggers)</f>
        <v>4.5726615506116894E-4</v>
      </c>
      <c r="BP29" s="47">
        <f>_xll.qlPolynomialFunctionValue(BP$1,$BD29,AllTriggers)</f>
        <v>3.6252681642114537E-4</v>
      </c>
      <c r="BQ29" s="47">
        <f>_xll.qlPolynomialFunctionValue('1MSynthDepo_used'!$P$18,BD29,AllTriggers)</f>
        <v>4.6045814123380559E-4</v>
      </c>
    </row>
    <row r="30" spans="1:69" ht="12" customHeight="1" x14ac:dyDescent="0.2">
      <c r="G30" s="214" t="s">
        <v>106</v>
      </c>
      <c r="H30" s="215"/>
      <c r="S30" s="215"/>
      <c r="T30" s="216"/>
      <c r="U30" s="214" t="s">
        <v>107</v>
      </c>
      <c r="V30" s="215"/>
      <c r="W30" s="215"/>
      <c r="X30" s="216"/>
      <c r="Y30" s="214" t="s">
        <v>106</v>
      </c>
      <c r="Z30" s="215"/>
      <c r="AA30" s="215"/>
      <c r="AB30" s="216"/>
      <c r="BC30" s="178">
        <f>_xll.qlCalendarAdvance(Calendar,BC29,"1d","mf",,Trigger)</f>
        <v>42172</v>
      </c>
      <c r="BD30" s="41">
        <f>_xll.qlDayCounterYearFraction(DayCounter,SettlementDate,BC30,,,Trigger)</f>
        <v>9.4444444444444442E-2</v>
      </c>
      <c r="BE30" s="47">
        <f>_xll.qlPolynomialFunctionValue(BE$1,$BD30,AllTriggers)</f>
        <v>5.5309717845093698E-4</v>
      </c>
      <c r="BF30" s="47">
        <f>_xll.qlPolynomialFunctionValue(BF$1,$BD30,AllTriggers)</f>
        <v>4.9563187138146358E-4</v>
      </c>
      <c r="BG30" s="47">
        <f>_xll.qlPolynomialFunctionValue(BG$1,$BD30,AllTriggers)</f>
        <v>4.076168259687324E-4</v>
      </c>
      <c r="BH30" s="47">
        <f>_xll.qlPolynomialFunctionValue(BH$1,$BD30,AllTriggers)</f>
        <v>3.7147101881161075E-4</v>
      </c>
      <c r="BI30" s="47">
        <f>_xll.qlPolynomialFunctionValue(BI$1,$BD30,AllTriggers)</f>
        <v>5.4993752131572032E-4</v>
      </c>
      <c r="BJ30" s="47">
        <f>_xll.qlPolynomialFunctionValue(BJ$1,$BD30,AllTriggers)</f>
        <v>4.9607605036212162E-4</v>
      </c>
      <c r="BK30" s="47">
        <f>_xll.qlPolynomialFunctionValue(BK$1,$BD30,AllTriggers)</f>
        <v>4.1360953495364801E-4</v>
      </c>
      <c r="BL30" s="47">
        <f>_xll.qlPolynomialFunctionValue(BL$1,$BD30,AllTriggers)</f>
        <v>3.8088499740269793E-4</v>
      </c>
      <c r="BM30" s="47">
        <f>_xll.qlPolynomialFunctionValue(BM$1,$BD30,AllTriggers)</f>
        <v>5.8774170195380565E-4</v>
      </c>
      <c r="BN30" s="47">
        <f>_xll.qlPolynomialFunctionValue(BN$1,$BD30,AllTriggers)</f>
        <v>5.6321296711817547E-4</v>
      </c>
      <c r="BO30" s="47">
        <f>_xll.qlPolynomialFunctionValue(BO$1,$BD30,AllTriggers)</f>
        <v>4.599606653299587E-4</v>
      </c>
      <c r="BP30" s="47">
        <f>_xll.qlPolynomialFunctionValue(BP$1,$BD30,AllTriggers)</f>
        <v>3.7147101881161064E-4</v>
      </c>
      <c r="BQ30" s="47">
        <f>_xll.qlPolynomialFunctionValue('1MSynthDepo_used'!$P$18,BD30,AllTriggers)</f>
        <v>4.5724445221689781E-4</v>
      </c>
    </row>
    <row r="31" spans="1:69" ht="12" customHeight="1" thickBot="1" x14ac:dyDescent="0.25">
      <c r="G31" s="134" t="str">
        <f>"with 0X"&amp;SUBSTITUTE($D$21,"M","")</f>
        <v>with 0X1</v>
      </c>
      <c r="H31" s="110"/>
      <c r="S31" s="109" t="str">
        <f>"without 0X"&amp;SUBSTITUTE($D$21,"M","")</f>
        <v>without 0X1</v>
      </c>
      <c r="T31" s="135"/>
      <c r="U31" s="134" t="str">
        <f>"with 0X"&amp;SUBSTITUTE($D$21,"M","")</f>
        <v>with 0X1</v>
      </c>
      <c r="V31" s="110"/>
      <c r="W31" s="109" t="str">
        <f>"without 0X"&amp;SUBSTITUTE($D$21,"M","")</f>
        <v>without 0X1</v>
      </c>
      <c r="X31" s="135"/>
      <c r="Y31" s="134" t="str">
        <f>"with 0X"&amp;SUBSTITUTE($D$21,"M","")</f>
        <v>with 0X1</v>
      </c>
      <c r="Z31" s="110"/>
      <c r="AA31" s="109" t="str">
        <f>"without 0X"&amp;SUBSTITUTE($D$21,"M","")</f>
        <v>without 0X1</v>
      </c>
      <c r="AB31" s="135"/>
      <c r="BC31" s="178">
        <f>_xll.qlCalendarAdvance(Calendar,BC30,"1d","mf",,Trigger)</f>
        <v>42173</v>
      </c>
      <c r="BD31" s="41">
        <f>_xll.qlDayCounterYearFraction(DayCounter,SettlementDate,BC31,,,Trigger)</f>
        <v>9.7222222222222224E-2</v>
      </c>
      <c r="BE31" s="47">
        <f>_xll.qlPolynomialFunctionValue(BE$1,$BD31,AllTriggers)</f>
        <v>5.475922687408416E-4</v>
      </c>
      <c r="BF31" s="47">
        <f>_xll.qlPolynomialFunctionValue(BF$1,$BD31,AllTriggers)</f>
        <v>4.9097872017536226E-4</v>
      </c>
      <c r="BG31" s="47">
        <f>_xll.qlPolynomialFunctionValue(BG$1,$BD31,AllTriggers)</f>
        <v>4.1250337000736594E-4</v>
      </c>
      <c r="BH31" s="47">
        <f>_xll.qlPolynomialFunctionValue(BH$1,$BD31,AllTriggers)</f>
        <v>3.8027530194856453E-4</v>
      </c>
      <c r="BI31" s="47">
        <f>_xll.qlPolynomialFunctionValue(BI$1,$BD31,AllTriggers)</f>
        <v>5.4425492969631644E-4</v>
      </c>
      <c r="BJ31" s="47">
        <f>_xll.qlPolynomialFunctionValue(BJ$1,$BD31,AllTriggers)</f>
        <v>4.9148214804922664E-4</v>
      </c>
      <c r="BK31" s="47">
        <f>_xll.qlPolynomialFunctionValue(BK$1,$BD31,AllTriggers)</f>
        <v>4.1841371151594205E-4</v>
      </c>
      <c r="BL31" s="47">
        <f>_xll.qlPolynomialFunctionValue(BL$1,$BD31,AllTriggers)</f>
        <v>3.8941853955700909E-4</v>
      </c>
      <c r="BM31" s="47">
        <f>_xll.qlPolynomialFunctionValue(BM$1,$BD31,AllTriggers)</f>
        <v>5.8804330891503007E-4</v>
      </c>
      <c r="BN31" s="47">
        <f>_xll.qlPolynomialFunctionValue(BN$1,$BD31,AllTriggers)</f>
        <v>5.6063678156631621E-4</v>
      </c>
      <c r="BO31" s="47">
        <f>_xll.qlPolynomialFunctionValue(BO$1,$BD31,AllTriggers)</f>
        <v>4.626551755987484E-4</v>
      </c>
      <c r="BP31" s="47">
        <f>_xll.qlPolynomialFunctionValue(BP$1,$BD31,AllTriggers)</f>
        <v>3.8027530194856447E-4</v>
      </c>
      <c r="BQ31" s="47">
        <f>_xll.qlPolynomialFunctionValue('1MSynthDepo_used'!$P$18,BD31,AllTriggers)</f>
        <v>4.5458640961565779E-4</v>
      </c>
    </row>
    <row r="32" spans="1:69" ht="12" customHeight="1" x14ac:dyDescent="0.2">
      <c r="D32" s="36" t="s">
        <v>49</v>
      </c>
      <c r="E32" s="36" t="s">
        <v>38</v>
      </c>
      <c r="F32" s="36" t="s">
        <v>39</v>
      </c>
      <c r="G32" s="136" t="str">
        <f>IF(COUNT(G$25:G$28)=2,"Linear","Quadratic")</f>
        <v>Linear</v>
      </c>
      <c r="H32" s="38" t="str">
        <f>IF(COUNT(H$25:H$28)=2,"Linear","Quadratic")</f>
        <v>Quadratic</v>
      </c>
      <c r="S32" s="38" t="str">
        <f>IF(COUNT(S$25:S$28)=2,"Linear","Quadratic")</f>
        <v>Linear</v>
      </c>
      <c r="T32" s="137" t="str">
        <f>IF(COUNT(T$25:T$28)=2,"Linear","Quadratic")</f>
        <v>Quadratic</v>
      </c>
      <c r="U32" s="136" t="str">
        <f>IF(COUNT(U$25:U$28)=2,"Linear","Quadratic")</f>
        <v>Linear</v>
      </c>
      <c r="V32" s="38" t="str">
        <f>IF(COUNT(V$25:V$28)=2,"Linear","Quadratic")</f>
        <v>Quadratic</v>
      </c>
      <c r="W32" s="38" t="str">
        <f>IF(COUNT(W$25:W$28)=2,"Linear","Quadratic")</f>
        <v>Linear</v>
      </c>
      <c r="X32" s="137" t="str">
        <f>IF(COUNT(X$25:X$28)=2,"Linear","Quadratic")</f>
        <v>Quadratic</v>
      </c>
      <c r="Y32" s="136" t="str">
        <f>IF(COUNT(Y$25:Y$28)=2,"Linear","Quadratic")</f>
        <v>Linear</v>
      </c>
      <c r="Z32" s="38" t="str">
        <f>IF(COUNT(Z$25:Z$28)=2,"Linear","Quadratic")</f>
        <v>Quadratic</v>
      </c>
      <c r="AA32" s="38" t="str">
        <f>IF(COUNT(AA$25:AA$28)=2,"Linear","Quadratic")</f>
        <v>Linear</v>
      </c>
      <c r="AB32" s="137" t="str">
        <f>IF(COUNT(AB$25:AB$28)=2,"Linear","Quadratic")</f>
        <v>Quadratic</v>
      </c>
      <c r="AC32" s="255" t="s">
        <v>105</v>
      </c>
      <c r="BC32" s="178">
        <f>_xll.qlCalendarAdvance(Calendar,BC31,"1d","mf",,Trigger)</f>
        <v>42174</v>
      </c>
      <c r="BD32" s="41">
        <f>_xll.qlDayCounterYearFraction(DayCounter,SettlementDate,BC32,,,Trigger)</f>
        <v>0.1</v>
      </c>
      <c r="BE32" s="47">
        <f>_xll.qlPolynomialFunctionValue(BE$1,$BD32,AllTriggers)</f>
        <v>5.4208735903074623E-4</v>
      </c>
      <c r="BF32" s="47">
        <f>_xll.qlPolynomialFunctionValue(BF$1,$BD32,AllTriggers)</f>
        <v>4.866662723708588E-4</v>
      </c>
      <c r="BG32" s="47">
        <f>_xll.qlPolynomialFunctionValue(BG$1,$BD32,AllTriggers)</f>
        <v>4.1738991404599948E-4</v>
      </c>
      <c r="BH32" s="47">
        <f>_xll.qlPolynomialFunctionValue(BH$1,$BD32,AllTriggers)</f>
        <v>3.8893966583200686E-4</v>
      </c>
      <c r="BI32" s="47">
        <f>_xll.qlPolynomialFunctionValue(BI$1,$BD32,AllTriggers)</f>
        <v>5.3857233807691257E-4</v>
      </c>
      <c r="BJ32" s="47">
        <f>_xll.qlPolynomialFunctionValue(BJ$1,$BD32,AllTriggers)</f>
        <v>4.8723204235943984E-4</v>
      </c>
      <c r="BK32" s="47">
        <f>_xll.qlPolynomialFunctionValue(BK$1,$BD32,AllTriggers)</f>
        <v>4.232178880782361E-4</v>
      </c>
      <c r="BL32" s="47">
        <f>_xll.qlPolynomialFunctionValue(BL$1,$BD32,AllTriggers)</f>
        <v>3.978156556061664E-4</v>
      </c>
      <c r="BM32" s="47">
        <f>_xll.qlPolynomialFunctionValue(BM$1,$BD32,AllTriggers)</f>
        <v>5.8834491587625448E-4</v>
      </c>
      <c r="BN32" s="47">
        <f>_xll.qlPolynomialFunctionValue(BN$1,$BD32,AllTriggers)</f>
        <v>5.5816546112428048E-4</v>
      </c>
      <c r="BO32" s="47">
        <f>_xll.qlPolynomialFunctionValue(BO$1,$BD32,AllTriggers)</f>
        <v>4.6534968586753816E-4</v>
      </c>
      <c r="BP32" s="47">
        <f>_xll.qlPolynomialFunctionValue(BP$1,$BD32,AllTriggers)</f>
        <v>3.8893966583200681E-4</v>
      </c>
      <c r="BQ32" s="47">
        <f>_xll.qlPolynomialFunctionValue('1MSynthDepo_used'!$P$18,BD32,AllTriggers)</f>
        <v>4.5246767882057941E-4</v>
      </c>
    </row>
    <row r="33" spans="3:69" ht="12" customHeight="1" x14ac:dyDescent="0.2">
      <c r="C33" s="19">
        <v>0</v>
      </c>
      <c r="D33" s="45" t="s">
        <v>25</v>
      </c>
      <c r="E33" s="175">
        <f>_xll.qlCalendarAdvance(Calendar,SettlementDate,C33&amp;"M","mf",TRUE,Trigger)</f>
        <v>42138</v>
      </c>
      <c r="F33" s="245">
        <f>_xll.qlCalendarAdvance(Calendar,SettlementDate,D33,"Following",,Trigger)</f>
        <v>42139</v>
      </c>
      <c r="G33" s="253">
        <f>_xll.qlTenorBasisForwardRate2(G$24,$E33,$F33,InterestRatesTrigger)</f>
        <v>-2.6256349038966675E-4</v>
      </c>
      <c r="H33" s="193">
        <f>_xll.qlTenorBasisForwardRate2(H$24,$E33,$F33,InterestRatesTrigger)</f>
        <v>-1.5311163229281277E-4</v>
      </c>
      <c r="S33" s="193">
        <f>_xll.qlTenorBasisForwardRate2(S$24,$E33,$F33,InterestRatesTrigger)</f>
        <v>-7.4946549610377389E-4</v>
      </c>
      <c r="T33" s="254">
        <f>_xll.qlTenorBasisForwardRate2(T$24,$E33,$F33,InterestRatesTrigger)</f>
        <v>-9.9437438035643311E-4</v>
      </c>
      <c r="U33" s="253">
        <f>_xll.qlTenorBasisForwardRate2(U$24,$E33,$F33,InterestRatesTrigger)</f>
        <v>-2.5980786122481447E-4</v>
      </c>
      <c r="V33" s="193">
        <f>_xll.qlTenorBasisForwardRate2(V$24,$E33,$F33,InterestRatesTrigger)</f>
        <v>-1.528677433437764E-4</v>
      </c>
      <c r="W33" s="193">
        <f>_xll.qlTenorBasisForwardRate2(W$24,$E33,$F33,InterestRatesTrigger)</f>
        <v>-7.4083282872283718E-4</v>
      </c>
      <c r="X33" s="254">
        <f>_xll.qlTenorBasisForwardRate2(X$24,$E33,$F33,InterestRatesTrigger)</f>
        <v>-9.7415011477419711E-4</v>
      </c>
      <c r="Y33" s="253">
        <f>_xll.qlTenorBasisForwardRate2(Y$24,$E33,$F33,InterestRatesTrigger)</f>
        <v>-4.2028629984258714E-4</v>
      </c>
      <c r="Z33" s="193">
        <f>_xll.qlTenorBasisForwardRate2(Z$24,$E33,$F33,InterestRatesTrigger)</f>
        <v>-2.8957721029065908E-4</v>
      </c>
      <c r="AA33" s="193">
        <f>_xll.qlTenorBasisForwardRate2(AA$24,$E33,$F33,InterestRatesTrigger)</f>
        <v>-6.2539692628593713E-4</v>
      </c>
      <c r="AB33" s="254">
        <f>_xll.qlTenorBasisForwardRate2(AB$24,$E33,$F33,InterestRatesTrigger)</f>
        <v>-9.9437438035643311E-4</v>
      </c>
      <c r="AC33" s="254">
        <f>'1MSynthDepo_used'!AA15</f>
        <v>-3.3397892371667126E-5</v>
      </c>
      <c r="BC33" s="178">
        <f>_xll.qlCalendarAdvance(Calendar,BC32,"1d","mf",,Trigger)</f>
        <v>42177</v>
      </c>
      <c r="BD33" s="41">
        <f>_xll.qlDayCounterYearFraction(DayCounter,SettlementDate,BC33,,,Trigger)</f>
        <v>0.10833333333333334</v>
      </c>
      <c r="BE33" s="47">
        <f>_xll.qlPolynomialFunctionValue(BE$1,$BD33,AllTriggers)</f>
        <v>5.2557262990046011E-4</v>
      </c>
      <c r="BF33" s="47">
        <f>_xll.qlPolynomialFunctionValue(BF$1,$BD33,AllTriggers)</f>
        <v>4.7577314936693421E-4</v>
      </c>
      <c r="BG33" s="47">
        <f>_xll.qlPolynomialFunctionValue(BG$1,$BD33,AllTriggers)</f>
        <v>4.320495461619001E-4</v>
      </c>
      <c r="BH33" s="47">
        <f>_xll.qlPolynomialFunctionValue(BH$1,$BD33,AllTriggers)</f>
        <v>4.1409324196126529E-4</v>
      </c>
      <c r="BI33" s="47">
        <f>_xll.qlPolynomialFunctionValue(BI$1,$BD33,AllTriggers)</f>
        <v>5.2152456321870105E-4</v>
      </c>
      <c r="BJ33" s="47">
        <f>_xll.qlPolynomialFunctionValue(BJ$1,$BD33,AllTriggers)</f>
        <v>4.7654450502872774E-4</v>
      </c>
      <c r="BK33" s="47">
        <f>_xll.qlPolynomialFunctionValue(BK$1,$BD33,AllTriggers)</f>
        <v>4.3763041776511812E-4</v>
      </c>
      <c r="BL33" s="47">
        <f>_xll.qlPolynomialFunctionValue(BL$1,$BD33,AllTriggers)</f>
        <v>4.2218844712271515E-4</v>
      </c>
      <c r="BM33" s="47">
        <f>_xll.qlPolynomialFunctionValue(BM$1,$BD33,AllTriggers)</f>
        <v>5.8924973675992783E-4</v>
      </c>
      <c r="BN33" s="47">
        <f>_xll.qlPolynomialFunctionValue(BN$1,$BD33,AllTriggers)</f>
        <v>5.5138069045711333E-4</v>
      </c>
      <c r="BO33" s="47">
        <f>_xll.qlPolynomialFunctionValue(BO$1,$BD33,AllTriggers)</f>
        <v>4.7343321667390738E-4</v>
      </c>
      <c r="BP33" s="47">
        <f>_xll.qlPolynomialFunctionValue(BP$1,$BD33,AllTriggers)</f>
        <v>4.1409324196126535E-4</v>
      </c>
      <c r="BQ33" s="47">
        <f>_xll.qlPolynomialFunctionValue('1MSynthDepo_used'!$P$18,BD33,AllTriggers)</f>
        <v>4.4918401117725139E-4</v>
      </c>
    </row>
    <row r="34" spans="3:69" ht="12" customHeight="1" x14ac:dyDescent="0.2">
      <c r="C34" s="19">
        <v>0</v>
      </c>
      <c r="D34" s="48" t="s">
        <v>26</v>
      </c>
      <c r="E34" s="177">
        <f>_xll.qlCalendarAdvance(Calendar,SettlementDate,C34&amp;"M","mf",TRUE,Trigger)</f>
        <v>42138</v>
      </c>
      <c r="F34" s="246">
        <f>_xll.qlCalendarAdvance(Calendar,SettlementDate,D34,"Following",,Trigger)</f>
        <v>42145</v>
      </c>
      <c r="G34" s="138">
        <f>_xll.qlTenorBasisForwardRate2(G$24,$E34,$F34,InterestRatesTrigger)</f>
        <v>-2.7862820119699857E-4</v>
      </c>
      <c r="H34" s="128">
        <f>_xll.qlTenorBasisForwardRate2(H$24,$E34,$F34,InterestRatesTrigger)</f>
        <v>-1.9837907710254906E-4</v>
      </c>
      <c r="S34" s="128">
        <f>_xll.qlTenorBasisForwardRate2(S$24,$E34,$F34,InterestRatesTrigger)</f>
        <v>-7.3520027181052578E-4</v>
      </c>
      <c r="T34" s="139">
        <f>_xll.qlTenorBasisForwardRate2(T$24,$E34,$F34,InterestRatesTrigger)</f>
        <v>-9.5565908575195077E-4</v>
      </c>
      <c r="U34" s="138">
        <f>_xll.qlTenorBasisForwardRate2(U$24,$E34,$F34,InterestRatesTrigger)</f>
        <v>-2.7639112385077373E-4</v>
      </c>
      <c r="V34" s="128">
        <f>_xll.qlTenorBasisForwardRate2(V$24,$E34,$F34,InterestRatesTrigger)</f>
        <v>-1.9824997289522424E-4</v>
      </c>
      <c r="W34" s="128">
        <f>_xll.qlTenorBasisForwardRate2(W$24,$E34,$F34,InterestRatesTrigger)</f>
        <v>-7.2680808476237909E-4</v>
      </c>
      <c r="X34" s="139">
        <f>_xll.qlTenorBasisForwardRate2(X$24,$E34,$F34,InterestRatesTrigger)</f>
        <v>-9.3655013022545365E-4</v>
      </c>
      <c r="Y34" s="138">
        <f>_xll.qlTenorBasisForwardRate2(Y$24,$E34,$F34,InterestRatesTrigger)</f>
        <v>-4.1940463391946077E-4</v>
      </c>
      <c r="Z34" s="128">
        <f>_xll.qlTenorBasisForwardRate2(Z$24,$E34,$F34,InterestRatesTrigger)</f>
        <v>-3.0684798053887922E-4</v>
      </c>
      <c r="AA34" s="128">
        <f>_xll.qlTenorBasisForwardRate2(AA$24,$E34,$F34,InterestRatesTrigger)</f>
        <v>-6.175301808365928E-4</v>
      </c>
      <c r="AB34" s="139">
        <f>_xll.qlTenorBasisForwardRate2(AB$24,$E34,$F34,InterestRatesTrigger)</f>
        <v>-9.5565908575195077E-4</v>
      </c>
      <c r="AC34" s="139">
        <f>'1MSynthDepo_used'!AA16</f>
        <v>-1.1633746541545824E-4</v>
      </c>
      <c r="BC34" s="178">
        <f>_xll.qlCalendarAdvance(Calendar,BC33,"1d","mf",,Trigger)</f>
        <v>42178</v>
      </c>
      <c r="BD34" s="41">
        <f>_xll.qlDayCounterYearFraction(DayCounter,SettlementDate,BC34,,,Trigger)</f>
        <v>0.1111111111111111</v>
      </c>
      <c r="BE34" s="47">
        <f>_xll.qlPolynomialFunctionValue(BE$1,$BD34,AllTriggers)</f>
        <v>5.2006772019036474E-4</v>
      </c>
      <c r="BF34" s="47">
        <f>_xll.qlPolynomialFunctionValue(BF$1,$BD34,AllTriggers)</f>
        <v>4.7282351516882138E-4</v>
      </c>
      <c r="BG34" s="47">
        <f>_xll.qlPolynomialFunctionValue(BG$1,$BD34,AllTriggers)</f>
        <v>4.3693609020053359E-4</v>
      </c>
      <c r="BH34" s="47">
        <f>_xll.qlPolynomialFunctionValue(BH$1,$BD34,AllTriggers)</f>
        <v>4.2219792883066193E-4</v>
      </c>
      <c r="BI34" s="47">
        <f>_xll.qlPolynomialFunctionValue(BI$1,$BD34,AllTriggers)</f>
        <v>5.1584197159929718E-4</v>
      </c>
      <c r="BJ34" s="47">
        <f>_xll.qlPolynomialFunctionValue(BJ$1,$BD34,AllTriggers)</f>
        <v>4.7366958583137318E-4</v>
      </c>
      <c r="BK34" s="47">
        <f>_xll.qlPolynomialFunctionValue(BK$1,$BD34,AllTriggers)</f>
        <v>4.4243459432741217E-4</v>
      </c>
      <c r="BL34" s="47">
        <f>_xll.qlPolynomialFunctionValue(BL$1,$BD34,AllTriggers)</f>
        <v>4.3003985875125685E-4</v>
      </c>
      <c r="BM34" s="47">
        <f>_xll.qlPolynomialFunctionValue(BM$1,$BD34,AllTriggers)</f>
        <v>5.8955134372115224E-4</v>
      </c>
      <c r="BN34" s="47">
        <f>_xll.qlPolynomialFunctionValue(BN$1,$BD34,AllTriggers)</f>
        <v>5.4932883045437093E-4</v>
      </c>
      <c r="BO34" s="47">
        <f>_xll.qlPolynomialFunctionValue(BO$1,$BD34,AllTriggers)</f>
        <v>4.7612772694269708E-4</v>
      </c>
      <c r="BP34" s="47">
        <f>_xll.qlPolynomialFunctionValue(BP$1,$BD34,AllTriggers)</f>
        <v>4.2219792883066182E-4</v>
      </c>
      <c r="BQ34" s="47">
        <f>_xll.qlPolynomialFunctionValue('1MSynthDepo_used'!$P$18,BD34,AllTriggers)</f>
        <v>4.4905918151175682E-4</v>
      </c>
    </row>
    <row r="35" spans="3:69" ht="12" customHeight="1" x14ac:dyDescent="0.2">
      <c r="C35" s="19">
        <v>0</v>
      </c>
      <c r="D35" s="48" t="s">
        <v>27</v>
      </c>
      <c r="E35" s="177">
        <f>_xll.qlCalendarAdvance(Calendar,SettlementDate,C35&amp;"M","mf",TRUE,Trigger)</f>
        <v>42138</v>
      </c>
      <c r="F35" s="246">
        <f>_xll.qlCalendarAdvance(Calendar,SettlementDate,D35,"Following",,Trigger)</f>
        <v>42152</v>
      </c>
      <c r="G35" s="138">
        <f>_xll.qlTenorBasisForwardRate2(G$24,$E35,$F35,InterestRatesTrigger)</f>
        <v>-3.0737996639995657E-4</v>
      </c>
      <c r="H35" s="128">
        <f>_xll.qlTenorBasisForwardRate2(H$24,$E35,$F35,InterestRatesTrigger)</f>
        <v>-2.562426520683455E-4</v>
      </c>
      <c r="S35" s="128">
        <f>_xll.qlTenorBasisForwardRate2(S$24,$E35,$F35,InterestRatesTrigger)</f>
        <v>-7.2856758071702748E-4</v>
      </c>
      <c r="T35" s="139">
        <f>_xll.qlTenorBasisForwardRate2(T$24,$E35,$F35,InterestRatesTrigger)</f>
        <v>-9.2253833326846489E-4</v>
      </c>
      <c r="U35" s="138">
        <f>_xll.qlTenorBasisForwardRate2(U$24,$E35,$F35,InterestRatesTrigger)</f>
        <v>-3.0574786184559395E-4</v>
      </c>
      <c r="V35" s="128">
        <f>_xll.qlTenorBasisForwardRate2(V$24,$E35,$F35,InterestRatesTrigger)</f>
        <v>-2.562024506689932E-4</v>
      </c>
      <c r="W35" s="128">
        <f>_xll.qlTenorBasisForwardRate2(W$24,$E35,$F35,InterestRatesTrigger)</f>
        <v>-7.2045594495679613E-4</v>
      </c>
      <c r="X35" s="139">
        <f>_xll.qlTenorBasisForwardRate2(X$24,$E35,$F35,InterestRatesTrigger)</f>
        <v>-9.046796782165499E-4</v>
      </c>
      <c r="Y35" s="138">
        <f>_xll.qlTenorBasisForwardRate2(Y$24,$E35,$F35,InterestRatesTrigger)</f>
        <v>-4.2838579060352648E-4</v>
      </c>
      <c r="Z35" s="128">
        <f>_xll.qlTenorBasisForwardRate2(Z$24,$E35,$F35,InterestRatesTrigger)</f>
        <v>-3.354808034058568E-4</v>
      </c>
      <c r="AA35" s="128">
        <f>_xll.qlTenorBasisForwardRate2(AA$24,$E35,$F35,InterestRatesTrigger)</f>
        <v>-6.1836219143415348E-4</v>
      </c>
      <c r="AB35" s="139">
        <f>_xll.qlTenorBasisForwardRate2(AB$24,$E35,$F35,InterestRatesTrigger)</f>
        <v>-9.2253833326846489E-4</v>
      </c>
      <c r="AC35" s="139">
        <f>'1MSynthDepo_used'!AA17</f>
        <v>-2.0823162058932913E-4</v>
      </c>
      <c r="BC35" s="178">
        <f>_xll.qlCalendarAdvance(Calendar,BC34,"1d","mf",,Trigger)</f>
        <v>42179</v>
      </c>
      <c r="BD35" s="41">
        <f>_xll.qlDayCounterYearFraction(DayCounter,SettlementDate,BC35,,,Trigger)</f>
        <v>0.11388888888888889</v>
      </c>
      <c r="BE35" s="47">
        <f>_xll.qlPolynomialFunctionValue(BE$1,$BD35,AllTriggers)</f>
        <v>5.1456281048026936E-4</v>
      </c>
      <c r="BF35" s="47">
        <f>_xll.qlPolynomialFunctionValue(BF$1,$BD35,AllTriggers)</f>
        <v>4.7021458437230618E-4</v>
      </c>
      <c r="BG35" s="47">
        <f>_xll.qlPolynomialFunctionValue(BG$1,$BD35,AllTriggers)</f>
        <v>4.4182263423916707E-4</v>
      </c>
      <c r="BH35" s="47">
        <f>_xll.qlPolynomialFunctionValue(BH$1,$BD35,AllTriggers)</f>
        <v>4.3016269644654707E-4</v>
      </c>
      <c r="BI35" s="47">
        <f>_xll.qlPolynomialFunctionValue(BI$1,$BD35,AllTriggers)</f>
        <v>5.101593799798933E-4</v>
      </c>
      <c r="BJ35" s="47">
        <f>_xll.qlPolynomialFunctionValue(BJ$1,$BD35,AllTriggers)</f>
        <v>4.7113846325712679E-4</v>
      </c>
      <c r="BK35" s="47">
        <f>_xll.qlPolynomialFunctionValue(BK$1,$BD35,AllTriggers)</f>
        <v>4.4723877088970621E-4</v>
      </c>
      <c r="BL35" s="47">
        <f>_xll.qlPolynomialFunctionValue(BL$1,$BD35,AllTriggers)</f>
        <v>4.3775484427464482E-4</v>
      </c>
      <c r="BM35" s="47">
        <f>_xll.qlPolynomialFunctionValue(BM$1,$BD35,AllTriggers)</f>
        <v>5.8985295068237666E-4</v>
      </c>
      <c r="BN35" s="47">
        <f>_xll.qlPolynomialFunctionValue(BN$1,$BD35,AllTriggers)</f>
        <v>5.4738183556145206E-4</v>
      </c>
      <c r="BO35" s="47">
        <f>_xll.qlPolynomialFunctionValue(BO$1,$BD35,AllTriggers)</f>
        <v>4.7882223721148684E-4</v>
      </c>
      <c r="BP35" s="47">
        <f>_xll.qlPolynomialFunctionValue(BP$1,$BD35,AllTriggers)</f>
        <v>4.3016269644654707E-4</v>
      </c>
      <c r="BQ35" s="47">
        <f>_xll.qlPolynomialFunctionValue('1MSynthDepo_used'!$P$18,BD35,AllTriggers)</f>
        <v>4.4939199060489243E-4</v>
      </c>
    </row>
    <row r="36" spans="3:69" ht="12" customHeight="1" x14ac:dyDescent="0.2">
      <c r="C36" s="19">
        <v>0</v>
      </c>
      <c r="D36" s="48" t="s">
        <v>28</v>
      </c>
      <c r="E36" s="177">
        <f>_xll.qlCalendarAdvance(Calendar,SettlementDate,C36&amp;"M","mf",TRUE,Trigger)</f>
        <v>42138</v>
      </c>
      <c r="F36" s="246">
        <f>_xll.qlCalendarAdvance(Calendar,SettlementDate,D36,"Following",,Trigger)</f>
        <v>42159</v>
      </c>
      <c r="G36" s="138">
        <f>_xll.qlTenorBasisForwardRate2(G$24,$E36,$F36,InterestRatesTrigger)</f>
        <v>-2.461282112615442E-4</v>
      </c>
      <c r="H36" s="128">
        <f>_xll.qlTenorBasisForwardRate2(H$24,$E36,$F36,InterestRatesTrigger)</f>
        <v>-2.1876307967413515E-4</v>
      </c>
      <c r="S36" s="128">
        <f>_xll.qlTenorBasisForwardRate2(S$24,$E36,$F36,InterestRatesTrigger)</f>
        <v>-6.3193395681805848E-4</v>
      </c>
      <c r="T36" s="139">
        <f>_xll.qlTenorBasisForwardRate2(T$24,$E36,$F36,InterestRatesTrigger)</f>
        <v>-8.0161109430892149E-4</v>
      </c>
      <c r="U36" s="138">
        <f>_xll.qlTenorBasisForwardRate2(U$24,$E36,$F36,InterestRatesTrigger)</f>
        <v>-2.4510106734876302E-4</v>
      </c>
      <c r="V36" s="128">
        <f>_xll.qlTenorBasisForwardRate2(V$24,$E36,$F36,InterestRatesTrigger)</f>
        <v>-2.1876330611966414E-4</v>
      </c>
      <c r="W36" s="128">
        <f>_xll.qlTenorBasisForwardRate2(W$24,$E36,$F36,InterestRatesTrigger)</f>
        <v>-6.2410282141505443E-4</v>
      </c>
      <c r="X36" s="139">
        <f>_xll.qlTenorBasisForwardRate2(X$24,$E36,$F36,InterestRatesTrigger)</f>
        <v>-7.8494785132348407E-4</v>
      </c>
      <c r="Y36" s="138">
        <f>_xll.qlTenorBasisForwardRate2(Y$24,$E36,$F36,InterestRatesTrigger)</f>
        <v>-3.4736418151215531E-4</v>
      </c>
      <c r="Z36" s="128">
        <f>_xll.qlTenorBasisForwardRate2(Z$24,$E36,$F36,InterestRatesTrigger)</f>
        <v>-2.7246688170620307E-4</v>
      </c>
      <c r="AA36" s="128">
        <f>_xll.qlTenorBasisForwardRate2(AA$24,$E36,$F36,InterestRatesTrigger)</f>
        <v>-5.2919252359221293E-4</v>
      </c>
      <c r="AB36" s="139">
        <f>_xll.qlTenorBasisForwardRate2(AB$24,$E36,$F36,InterestRatesTrigger)</f>
        <v>-8.0161109430892149E-4</v>
      </c>
      <c r="AC36" s="139">
        <f>'1MSynthDepo_used'!AA18</f>
        <v>-1.9536142940701495E-4</v>
      </c>
      <c r="AD36" s="132" t="str">
        <f>"Fixing "&amp;DAY(_xll.qlInterestRateIndexFixingDate($D$22,'6MSynthDepo_used'!G4))&amp;"/"&amp;MONTH(_xll.qlInterestRateIndexFixingDate($D$22,'6MSynthDepo_used'!G4))</f>
        <v>Fixing 12/5</v>
      </c>
      <c r="BC36" s="178">
        <f>_xll.qlCalendarAdvance(Calendar,BC35,"1d","mf",,Trigger)</f>
        <v>42180</v>
      </c>
      <c r="BD36" s="41">
        <f>_xll.qlDayCounterYearFraction(DayCounter,SettlementDate,BC36,,,Trigger)</f>
        <v>0.11666666666666667</v>
      </c>
      <c r="BE36" s="47">
        <f>_xll.qlPolynomialFunctionValue(BE$1,$BD36,AllTriggers)</f>
        <v>5.0905790077017399E-4</v>
      </c>
      <c r="BF36" s="47">
        <f>_xll.qlPolynomialFunctionValue(BF$1,$BD36,AllTriggers)</f>
        <v>4.6794635697738863E-4</v>
      </c>
      <c r="BG36" s="47">
        <f>_xll.qlPolynomialFunctionValue(BG$1,$BD36,AllTriggers)</f>
        <v>4.4670917827780061E-4</v>
      </c>
      <c r="BH36" s="47">
        <f>_xll.qlPolynomialFunctionValue(BH$1,$BD36,AllTriggers)</f>
        <v>4.3798754480892078E-4</v>
      </c>
      <c r="BI36" s="47">
        <f>_xll.qlPolynomialFunctionValue(BI$1,$BD36,AllTriggers)</f>
        <v>5.0447678836048942E-4</v>
      </c>
      <c r="BJ36" s="47">
        <f>_xll.qlPolynomialFunctionValue(BJ$1,$BD36,AllTriggers)</f>
        <v>4.6895113730598831E-4</v>
      </c>
      <c r="BK36" s="47">
        <f>_xll.qlPolynomialFunctionValue(BK$1,$BD36,AllTriggers)</f>
        <v>4.5204294745200026E-4</v>
      </c>
      <c r="BL36" s="47">
        <f>_xll.qlPolynomialFunctionValue(BL$1,$BD36,AllTriggers)</f>
        <v>4.4533340369287878E-4</v>
      </c>
      <c r="BM36" s="47">
        <f>_xll.qlPolynomialFunctionValue(BM$1,$BD36,AllTriggers)</f>
        <v>5.9015455764360107E-4</v>
      </c>
      <c r="BN36" s="47">
        <f>_xll.qlPolynomialFunctionValue(BN$1,$BD36,AllTriggers)</f>
        <v>5.4553970577835649E-4</v>
      </c>
      <c r="BO36" s="47">
        <f>_xll.qlPolynomialFunctionValue(BO$1,$BD36,AllTriggers)</f>
        <v>4.815167474802766E-4</v>
      </c>
      <c r="BP36" s="47">
        <f>_xll.qlPolynomialFunctionValue(BP$1,$BD36,AllTriggers)</f>
        <v>4.3798754480892078E-4</v>
      </c>
      <c r="BQ36" s="47">
        <f>_xll.qlPolynomialFunctionValue('1MSynthDepo_used'!$P$18,BD36,AllTriggers)</f>
        <v>4.5016610384715201E-4</v>
      </c>
    </row>
    <row r="37" spans="3:69" ht="12" customHeight="1" thickBot="1" x14ac:dyDescent="0.25">
      <c r="C37" s="19">
        <v>0</v>
      </c>
      <c r="D37" s="129" t="s">
        <v>22</v>
      </c>
      <c r="E37" s="179">
        <f>_xll.qlCalendarAdvance(Calendar,SettlementDate,C37&amp;"M","mf",TRUE,Trigger)</f>
        <v>42138</v>
      </c>
      <c r="F37" s="247">
        <f>_xll.qlCalendarAdvance(Calendar,SettlementDate,D37,"mf",TRUE,Trigger)</f>
        <v>42170</v>
      </c>
      <c r="G37" s="285">
        <f>_xll.qlTenorBasisForwardRate2(G$24,$E37,$F37,InterestRatesTrigger)</f>
        <v>-3.4778240061192345E-4</v>
      </c>
      <c r="H37" s="286">
        <f>_xll.qlTenorBasisForwardRate2(H$24,$E37,$F37,InterestRatesTrigger)</f>
        <v>-3.4698604434724167E-4</v>
      </c>
      <c r="S37" s="286">
        <f>_xll.qlTenorBasisForwardRate2(S$24,$E37,$F37,InterestRatesTrigger)</f>
        <v>-6.7798508741667707E-4</v>
      </c>
      <c r="T37" s="288">
        <f>_xll.qlTenorBasisForwardRate2(T$24,$E37,$F37,InterestRatesTrigger)</f>
        <v>-8.1391615722681276E-4</v>
      </c>
      <c r="U37" s="285">
        <f>_xll.qlTenorBasisForwardRate2(U$24,$E37,$F37,InterestRatesTrigger)</f>
        <v>-3.4770590424768044E-4</v>
      </c>
      <c r="V37" s="286">
        <f>_xll.qlTenorBasisForwardRate2(V$24,$E37,$F37,InterestRatesTrigger)</f>
        <v>-3.469518633592017E-4</v>
      </c>
      <c r="W37" s="286">
        <f>_xll.qlTenorBasisForwardRate2(W$24,$E37,$F37,InterestRatesTrigger)</f>
        <v>-6.7059480268499838E-4</v>
      </c>
      <c r="X37" s="288">
        <f>_xll.qlTenorBasisForwardRate2(X$24,$E37,$F37,InterestRatesTrigger)</f>
        <v>-7.9902089980307678E-4</v>
      </c>
      <c r="Y37" s="285">
        <f>_xll.qlTenorBasisForwardRate2(Y$24,$E37,$F37,InterestRatesTrigger)</f>
        <v>-4.1795085524862219E-4</v>
      </c>
      <c r="Z37" s="286">
        <f>_xll.qlTenorBasisForwardRate2(Z$24,$E37,$F37,InterestRatesTrigger)</f>
        <v>-3.6803150687492181E-4</v>
      </c>
      <c r="AA37" s="286">
        <f>_xll.qlTenorBasisForwardRate2(AA$24,$E37,$F37,InterestRatesTrigger)</f>
        <v>-5.8697343325864182E-4</v>
      </c>
      <c r="AB37" s="288">
        <f>_xll.qlTenorBasisForwardRate2(AB$24,$E37,$F37,InterestRatesTrigger)</f>
        <v>-8.1391615722681276E-4</v>
      </c>
      <c r="AC37" s="288">
        <f>'1MSynthDepo_used'!AA19</f>
        <v>-3.4641042607544414E-4</v>
      </c>
      <c r="AD37" s="144">
        <f>'1MSynthDepo_used'!AA19</f>
        <v>-3.4641042607544414E-4</v>
      </c>
      <c r="BC37" s="178">
        <f>_xll.qlCalendarAdvance(Calendar,BC36,"1d","mf",,Trigger)</f>
        <v>42181</v>
      </c>
      <c r="BD37" s="41">
        <f>_xll.qlDayCounterYearFraction(DayCounter,SettlementDate,BC37,,,Trigger)</f>
        <v>0.11944444444444445</v>
      </c>
      <c r="BE37" s="47">
        <f>_xll.qlPolynomialFunctionValue(BE$1,$BD37,AllTriggers)</f>
        <v>5.0355299106007861E-4</v>
      </c>
      <c r="BF37" s="47">
        <f>_xll.qlPolynomialFunctionValue(BF$1,$BD37,AllTriggers)</f>
        <v>4.6601883298406878E-4</v>
      </c>
      <c r="BG37" s="47">
        <f>_xll.qlPolynomialFunctionValue(BG$1,$BD37,AllTriggers)</f>
        <v>4.5159572231643415E-4</v>
      </c>
      <c r="BH37" s="47">
        <f>_xll.qlPolynomialFunctionValue(BH$1,$BD37,AllTriggers)</f>
        <v>4.4567247391778309E-4</v>
      </c>
      <c r="BI37" s="47">
        <f>_xll.qlPolynomialFunctionValue(BI$1,$BD37,AllTriggers)</f>
        <v>4.9879419674108555E-4</v>
      </c>
      <c r="BJ37" s="47">
        <f>_xll.qlPolynomialFunctionValue(BJ$1,$BD37,AllTriggers)</f>
        <v>4.6710760797795804E-4</v>
      </c>
      <c r="BK37" s="47">
        <f>_xll.qlPolynomialFunctionValue(BK$1,$BD37,AllTriggers)</f>
        <v>4.5684712401429425E-4</v>
      </c>
      <c r="BL37" s="47">
        <f>_xll.qlPolynomialFunctionValue(BL$1,$BD37,AllTriggers)</f>
        <v>4.52775537005959E-4</v>
      </c>
      <c r="BM37" s="47">
        <f>_xll.qlPolynomialFunctionValue(BM$1,$BD37,AllTriggers)</f>
        <v>5.9045616460482559E-4</v>
      </c>
      <c r="BN37" s="47">
        <f>_xll.qlPolynomialFunctionValue(BN$1,$BD37,AllTriggers)</f>
        <v>5.4380244110508434E-4</v>
      </c>
      <c r="BO37" s="47">
        <f>_xll.qlPolynomialFunctionValue(BO$1,$BD37,AllTriggers)</f>
        <v>4.8421125774906636E-4</v>
      </c>
      <c r="BP37" s="47">
        <f>_xll.qlPolynomialFunctionValue(BP$1,$BD37,AllTriggers)</f>
        <v>4.4567247391778315E-4</v>
      </c>
      <c r="BQ37" s="47">
        <f>_xll.qlPolynomialFunctionValue('1MSynthDepo_used'!$P$18,BD37,AllTriggers)</f>
        <v>4.5136518662902952E-4</v>
      </c>
    </row>
    <row r="38" spans="3:69" ht="12" customHeight="1" x14ac:dyDescent="0.2">
      <c r="C38" s="19">
        <v>1</v>
      </c>
      <c r="D38" s="48" t="s">
        <v>29</v>
      </c>
      <c r="E38" s="177">
        <f>_xll.qlCalendarAdvance(Calendar,SettlementDate,C38&amp;"M","mf",TRUE,Trigger)</f>
        <v>42170</v>
      </c>
      <c r="F38" s="246">
        <f>_xll.qlCalendarAdvance(Calendar,SettlementDate,D38,"mf",TRUE,Trigger)</f>
        <v>42199</v>
      </c>
      <c r="G38" s="297">
        <f>_xll.qlTenorBasisForwardRate2(G$24,$E38,$F38,InterestRatesTrigger)</f>
        <v>-6.4894725746628709E-4</v>
      </c>
      <c r="H38" s="293">
        <f>_xll.qlTenorBasisForwardRate2(H$24,$E38,$F38,InterestRatesTrigger)</f>
        <v>-6.6255160262289759E-4</v>
      </c>
      <c r="S38" s="293">
        <f>_xll.qlTenorBasisForwardRate2(S$24,$E38,$F38,InterestRatesTrigger)</f>
        <v>-6.7084829031149103E-4</v>
      </c>
      <c r="T38" s="298">
        <f>_xll.qlTenorBasisForwardRate2(T$24,$E38,$F38,InterestRatesTrigger)</f>
        <v>-6.7425555245150882E-4</v>
      </c>
      <c r="U38" s="297">
        <f>_xll.qlTenorBasisForwardRate2(U$24,$E38,$F38,InterestRatesTrigger)</f>
        <v>-6.5414232731232018E-4</v>
      </c>
      <c r="V38" s="293">
        <f>_xll.qlTenorBasisForwardRate2(V$24,$E38,$F38,InterestRatesTrigger)</f>
        <v>-6.611197661280108E-4</v>
      </c>
      <c r="W38" s="293">
        <f>_xll.qlTenorBasisForwardRate2(W$24,$E38,$F38,InterestRatesTrigger)</f>
        <v>-6.6590168078122772E-4</v>
      </c>
      <c r="X38" s="298">
        <f>_xll.qlTenorBasisForwardRate2(X$24,$E38,$F38,InterestRatesTrigger)</f>
        <v>-6.6779924978798105E-4</v>
      </c>
      <c r="Y38" s="297">
        <f>_xll.qlTenorBasisForwardRate2(Y$24,$E38,$F38,InterestRatesTrigger)</f>
        <v>-5.4684304744699065E-4</v>
      </c>
      <c r="Z38" s="293">
        <f>_xll.qlTenorBasisForwardRate2(Z$24,$E38,$F38,InterestRatesTrigger)</f>
        <v>-5.9451519386225231E-4</v>
      </c>
      <c r="AA38" s="293">
        <f>_xll.qlTenorBasisForwardRate2(AA$24,$E38,$F38,InterestRatesTrigger)</f>
        <v>-6.4487077230306479E-4</v>
      </c>
      <c r="AB38" s="298">
        <f>_xll.qlTenorBasisForwardRate2(AB$24,$E38,$F38,InterestRatesTrigger)</f>
        <v>-6.7425555245150882E-4</v>
      </c>
      <c r="AC38" s="298">
        <f>'1MSynthDepo_used'!AA20</f>
        <v>-6.6714858506863579E-4</v>
      </c>
      <c r="AD38" s="200">
        <f>'1MSynthDepo_used'!AA20</f>
        <v>-6.6714858506863579E-4</v>
      </c>
      <c r="BC38" s="178">
        <f>_xll.qlCalendarAdvance(Calendar,BC37,"1d","mf",,Trigger)</f>
        <v>42184</v>
      </c>
      <c r="BD38" s="41">
        <f>_xll.qlDayCounterYearFraction(DayCounter,SettlementDate,BC38,,,Trigger)</f>
        <v>0.12777777777777777</v>
      </c>
      <c r="BE38" s="47">
        <f>_xll.qlPolynomialFunctionValue(BE$1,$BD38,AllTriggers)</f>
        <v>4.8703826192979249E-4</v>
      </c>
      <c r="BF38" s="47">
        <f>_xll.qlPolynomialFunctionValue(BF$1,$BD38,AllTriggers)</f>
        <v>4.6228048141369523E-4</v>
      </c>
      <c r="BG38" s="47">
        <f>_xll.qlPolynomialFunctionValue(BG$1,$BD38,AllTriggers)</f>
        <v>4.6625535443233472E-4</v>
      </c>
      <c r="BH38" s="47">
        <f>_xll.qlPolynomialFunctionValue(BH$1,$BD38,AllTriggers)</f>
        <v>4.6788774572330142E-4</v>
      </c>
      <c r="BI38" s="47">
        <f>_xll.qlPolynomialFunctionValue(BI$1,$BD38,AllTriggers)</f>
        <v>4.8174642188287409E-4</v>
      </c>
      <c r="BJ38" s="47">
        <f>_xll.qlPolynomialFunctionValue(BJ$1,$BD38,AllTriggers)</f>
        <v>4.6363979973251557E-4</v>
      </c>
      <c r="BK38" s="47">
        <f>_xll.qlPolynomialFunctionValue(BK$1,$BD38,AllTriggers)</f>
        <v>4.7125965370117633E-4</v>
      </c>
      <c r="BL38" s="47">
        <f>_xll.qlPolynomialFunctionValue(BL$1,$BD38,AllTriggers)</f>
        <v>4.742833803142762E-4</v>
      </c>
      <c r="BM38" s="47">
        <f>_xll.qlPolynomialFunctionValue(BM$1,$BD38,AllTriggers)</f>
        <v>5.9136098548849883E-4</v>
      </c>
      <c r="BN38" s="47">
        <f>_xll.qlPolynomialFunctionValue(BN$1,$BD38,AllTriggers)</f>
        <v>5.3921983774420806E-4</v>
      </c>
      <c r="BO38" s="47">
        <f>_xll.qlPolynomialFunctionValue(BO$1,$BD38,AllTriggers)</f>
        <v>4.9229478855543547E-4</v>
      </c>
      <c r="BP38" s="47">
        <f>_xll.qlPolynomialFunctionValue(BP$1,$BD38,AllTriggers)</f>
        <v>4.6788774572330142E-4</v>
      </c>
      <c r="BQ38" s="47">
        <f>_xll.qlPolynomialFunctionValue('1MSynthDepo_used'!$P$18,BD38,AllTriggers)</f>
        <v>4.5734890611730505E-4</v>
      </c>
    </row>
    <row r="39" spans="3:69" x14ac:dyDescent="0.2">
      <c r="C39" s="19">
        <v>2</v>
      </c>
      <c r="D39" s="48" t="s">
        <v>23</v>
      </c>
      <c r="E39" s="177">
        <f>_xll.qlCalendarAdvance(Calendar,SettlementDate,C39&amp;"M","mf",TRUE,Trigger)</f>
        <v>42199</v>
      </c>
      <c r="F39" s="246">
        <f>_xll.qlCalendarAdvance(Calendar,SettlementDate,D39,"mf",TRUE,Trigger)</f>
        <v>42230</v>
      </c>
      <c r="G39" s="297">
        <f>_xll.qlTenorBasisForwardRate2(G$24,$E39,$F39,InterestRatesTrigger)</f>
        <v>-9.0612258641537176E-4</v>
      </c>
      <c r="H39" s="293">
        <f>_xll.qlTenorBasisForwardRate2(H$24,$E39,$F39,InterestRatesTrigger)</f>
        <v>-6.3316970463979426E-4</v>
      </c>
      <c r="S39" s="293">
        <f>_xll.qlTenorBasisForwardRate2(S$24,$E39,$F39,InterestRatesTrigger)</f>
        <v>-6.2478213801274397E-4</v>
      </c>
      <c r="T39" s="298">
        <f>_xll.qlTenorBasisForwardRate2(T$24,$E39,$F39,InterestRatesTrigger)</f>
        <v>-6.2133755057036666E-4</v>
      </c>
      <c r="U39" s="297">
        <f>_xll.qlTenorBasisForwardRate2(U$24,$E39,$F39,InterestRatesTrigger)</f>
        <v>-9.1650253194557182E-4</v>
      </c>
      <c r="V39" s="293">
        <f>_xll.qlTenorBasisForwardRate2(V$24,$E39,$F39,InterestRatesTrigger)</f>
        <v>-6.2763286588843781E-4</v>
      </c>
      <c r="W39" s="293">
        <f>_xll.qlTenorBasisForwardRate2(W$24,$E39,$F39,InterestRatesTrigger)</f>
        <v>-6.2223918736784814E-4</v>
      </c>
      <c r="X39" s="298">
        <f>_xll.qlTenorBasisForwardRate2(X$24,$E39,$F39,InterestRatesTrigger)</f>
        <v>-6.2009885572173807E-4</v>
      </c>
      <c r="Y39" s="297">
        <f>_xll.qlTenorBasisForwardRate2(Y$24,$E39,$F39,InterestRatesTrigger)</f>
        <v>-6.3457576396811735E-4</v>
      </c>
      <c r="Z39" s="293">
        <f>_xll.qlTenorBasisForwardRate2(Z$24,$E39,$F39,InterestRatesTrigger)</f>
        <v>-6.8567750046080462E-4</v>
      </c>
      <c r="AA39" s="293">
        <f>_xll.qlTenorBasisForwardRate2(AA$24,$E39,$F39,InterestRatesTrigger)</f>
        <v>-6.6277281881011254E-4</v>
      </c>
      <c r="AB39" s="298">
        <f>_xll.qlTenorBasisForwardRate2(AB$24,$E39,$F39,InterestRatesTrigger)</f>
        <v>-6.2133755057036666E-4</v>
      </c>
      <c r="AC39" s="298">
        <f>'1MSynthDepo_used'!AA21</f>
        <v>-6.2061760241765955E-4</v>
      </c>
      <c r="AD39" s="200">
        <f>'1MSynthDepo_used'!AA21</f>
        <v>-6.2061760241765955E-4</v>
      </c>
      <c r="BC39" s="178">
        <f>_xll.qlCalendarAdvance(Calendar,BC38,"1d","mf",,Trigger)</f>
        <v>42185</v>
      </c>
      <c r="BD39" s="41">
        <f>_xll.qlDayCounterYearFraction(DayCounter,SettlementDate,BC39,,,Trigger)</f>
        <v>0.13055555555555556</v>
      </c>
      <c r="BE39" s="47">
        <f>_xll.qlPolynomialFunctionValue(BE$1,$BD39,AllTriggers)</f>
        <v>4.8153335221969712E-4</v>
      </c>
      <c r="BF39" s="47">
        <f>_xll.qlPolynomialFunctionValue(BF$1,$BD39,AllTriggers)</f>
        <v>4.6171577102676611E-4</v>
      </c>
      <c r="BG39" s="47">
        <f>_xll.qlPolynomialFunctionValue(BG$1,$BD39,AllTriggers)</f>
        <v>4.7114189847096826E-4</v>
      </c>
      <c r="BH39" s="47">
        <f>_xll.qlPolynomialFunctionValue(BH$1,$BD39,AllTriggers)</f>
        <v>4.7501299781811787E-4</v>
      </c>
      <c r="BI39" s="47">
        <f>_xll.qlPolynomialFunctionValue(BI$1,$BD39,AllTriggers)</f>
        <v>4.7606383026347021E-4</v>
      </c>
      <c r="BJ39" s="47">
        <f>_xll.qlPolynomialFunctionValue(BJ$1,$BD39,AllTriggers)</f>
        <v>4.6317145689691767E-4</v>
      </c>
      <c r="BK39" s="47">
        <f>_xll.qlPolynomialFunctionValue(BK$1,$BD39,AllTriggers)</f>
        <v>4.7606383026347037E-4</v>
      </c>
      <c r="BL39" s="47">
        <f>_xll.qlPolynomialFunctionValue(BL$1,$BD39,AllTriggers)</f>
        <v>4.8117980920674093E-4</v>
      </c>
      <c r="BM39" s="47">
        <f>_xll.qlPolynomialFunctionValue(BM$1,$BD39,AllTriggers)</f>
        <v>5.9166259244972325E-4</v>
      </c>
      <c r="BN39" s="47">
        <f>_xll.qlPolynomialFunctionValue(BN$1,$BD39,AllTriggers)</f>
        <v>5.3790203351022946E-4</v>
      </c>
      <c r="BO39" s="47">
        <f>_xll.qlPolynomialFunctionValue(BO$1,$BD39,AllTriggers)</f>
        <v>4.9498929882422528E-4</v>
      </c>
      <c r="BP39" s="47">
        <f>_xll.qlPolynomialFunctionValue(BP$1,$BD39,AllTriggers)</f>
        <v>4.7501299781811792E-4</v>
      </c>
      <c r="BQ39" s="47">
        <f>_xll.qlPolynomialFunctionValue('1MSynthDepo_used'!$P$18,BD39,AllTriggers)</f>
        <v>4.6008452096259092E-4</v>
      </c>
    </row>
    <row r="40" spans="3:69" x14ac:dyDescent="0.2">
      <c r="C40" s="19">
        <v>3</v>
      </c>
      <c r="D40" s="49" t="s">
        <v>30</v>
      </c>
      <c r="E40" s="181">
        <f>_xll.qlCalendarAdvance(Calendar,SettlementDate,C40&amp;"M","mf",TRUE,Trigger)</f>
        <v>42230</v>
      </c>
      <c r="F40" s="301">
        <f>_xll.qlCalendarAdvance(Calendar,SettlementDate,D40,"mf",TRUE,Trigger)</f>
        <v>42261</v>
      </c>
      <c r="G40" s="299">
        <f>_xll.qlTenorBasisForwardRate2(G$24,$E40,$F40,InterestRatesTrigger)</f>
        <v>-1.0941879635061001E-3</v>
      </c>
      <c r="H40" s="294">
        <f>_xll.qlTenorBasisForwardRate2(H$24,$E40,$F40,InterestRatesTrigger)</f>
        <v>-2.1774971621684038E-4</v>
      </c>
      <c r="S40" s="294">
        <f>_xll.qlTenorBasisForwardRate2(S$24,$E40,$F40,InterestRatesTrigger)</f>
        <v>-4.9949988091906527E-4</v>
      </c>
      <c r="T40" s="300">
        <f>_xll.qlTenorBasisForwardRate2(T$24,$E40,$F40,InterestRatesTrigger)</f>
        <v>-6.1520638075335797E-4</v>
      </c>
      <c r="U40" s="299">
        <f>_xll.qlTenorBasisForwardRate2(U$24,$E40,$F40,InterestRatesTrigger)</f>
        <v>-1.1099254949183347E-3</v>
      </c>
      <c r="V40" s="294">
        <f>_xll.qlTenorBasisForwardRate2(V$24,$E40,$F40,InterestRatesTrigger)</f>
        <v>-2.0517998307604507E-4</v>
      </c>
      <c r="W40" s="294">
        <f>_xll.qlTenorBasisForwardRate2(W$24,$E40,$F40,InterestRatesTrigger)</f>
        <v>-4.9944071125376886E-4</v>
      </c>
      <c r="X40" s="300">
        <f>_xll.qlTenorBasisForwardRate2(X$24,$E40,$F40,InterestRatesTrigger)</f>
        <v>-6.1620781099402586E-4</v>
      </c>
      <c r="Y40" s="299">
        <f>_xll.qlTenorBasisForwardRate2(Y$24,$E40,$F40,InterestRatesTrigger)</f>
        <v>-6.4755239057750873E-4</v>
      </c>
      <c r="Z40" s="294">
        <f>_xll.qlTenorBasisForwardRate2(Z$24,$E40,$F40,InterestRatesTrigger)</f>
        <v>-6.0759281160274107E-4</v>
      </c>
      <c r="AA40" s="294">
        <f>_xll.qlTenorBasisForwardRate2(AA$24,$E40,$F40,InterestRatesTrigger)</f>
        <v>-6.0359179500986632E-4</v>
      </c>
      <c r="AB40" s="300">
        <f>_xll.qlTenorBasisForwardRate2(AB$24,$E40,$F40,InterestRatesTrigger)</f>
        <v>-6.1520638075335797E-4</v>
      </c>
      <c r="AC40" s="300">
        <f>'1MSynthDepo_used'!AA22</f>
        <v>-6.1169738421872739E-4</v>
      </c>
      <c r="AD40" s="275">
        <f>'1MSynthDepo_used'!AA22</f>
        <v>-6.1169738421872739E-4</v>
      </c>
      <c r="BC40" s="178">
        <f>_xll.qlCalendarAdvance(Calendar,BC39,"1d","mf",,Trigger)</f>
        <v>42186</v>
      </c>
      <c r="BD40" s="41">
        <f>_xll.qlDayCounterYearFraction(DayCounter,SettlementDate,BC40,,,Trigger)</f>
        <v>0.13333333333333333</v>
      </c>
      <c r="BE40" s="47">
        <f>_xll.qlPolynomialFunctionValue(BE$1,$BD40,AllTriggers)</f>
        <v>4.7602844250960175E-4</v>
      </c>
      <c r="BF40" s="47">
        <f>_xll.qlPolynomialFunctionValue(BF$1,$BD40,AllTriggers)</f>
        <v>4.6149176404143458E-4</v>
      </c>
      <c r="BG40" s="47">
        <f>_xll.qlPolynomialFunctionValue(BG$1,$BD40,AllTriggers)</f>
        <v>4.7602844250960175E-4</v>
      </c>
      <c r="BH40" s="47">
        <f>_xll.qlPolynomialFunctionValue(BH$1,$BD40,AllTriggers)</f>
        <v>4.8199833065942299E-4</v>
      </c>
      <c r="BI40" s="47">
        <f>_xll.qlPolynomialFunctionValue(BI$1,$BD40,AllTriggers)</f>
        <v>4.7038123864406634E-4</v>
      </c>
      <c r="BJ40" s="47">
        <f>_xll.qlPolynomialFunctionValue(BJ$1,$BD40,AllTriggers)</f>
        <v>4.6304691068442782E-4</v>
      </c>
      <c r="BK40" s="47">
        <f>_xll.qlPolynomialFunctionValue(BK$1,$BD40,AllTriggers)</f>
        <v>4.8086800682576431E-4</v>
      </c>
      <c r="BL40" s="47">
        <f>_xll.qlPolynomialFunctionValue(BL$1,$BD40,AllTriggers)</f>
        <v>4.879398119940517E-4</v>
      </c>
      <c r="BM40" s="47">
        <f>_xll.qlPolynomialFunctionValue(BM$1,$BD40,AllTriggers)</f>
        <v>5.9196419941094777E-4</v>
      </c>
      <c r="BN40" s="47">
        <f>_xll.qlPolynomialFunctionValue(BN$1,$BD40,AllTriggers)</f>
        <v>5.3668909438607418E-4</v>
      </c>
      <c r="BO40" s="47">
        <f>_xll.qlPolynomialFunctionValue(BO$1,$BD40,AllTriggers)</f>
        <v>4.9768380909301498E-4</v>
      </c>
      <c r="BP40" s="47">
        <f>_xll.qlPolynomialFunctionValue(BP$1,$BD40,AllTriggers)</f>
        <v>4.8199833065942305E-4</v>
      </c>
      <c r="BQ40" s="47">
        <f>_xll.qlPolynomialFunctionValue('1MSynthDepo_used'!$P$18,BD40,AllTriggers)</f>
        <v>4.631634322999627E-4</v>
      </c>
    </row>
    <row r="41" spans="3:69" x14ac:dyDescent="0.2">
      <c r="BC41" s="178">
        <f>_xll.qlCalendarAdvance(Calendar,BC40,"1d","mf",,Trigger)</f>
        <v>42187</v>
      </c>
      <c r="BD41" s="41">
        <f>_xll.qlDayCounterYearFraction(DayCounter,SettlementDate,BC41,,,Trigger)</f>
        <v>0.1361111111111111</v>
      </c>
      <c r="BE41" s="47">
        <f>_xll.qlPolynomialFunctionValue(BE$1,$BD41,AllTriggers)</f>
        <v>4.7052353279950637E-4</v>
      </c>
      <c r="BF41" s="47">
        <f>_xll.qlPolynomialFunctionValue(BF$1,$BD41,AllTriggers)</f>
        <v>4.6160846045770079E-4</v>
      </c>
      <c r="BG41" s="47">
        <f>_xll.qlPolynomialFunctionValue(BG$1,$BD41,AllTriggers)</f>
        <v>4.8091498654823529E-4</v>
      </c>
      <c r="BH41" s="47">
        <f>_xll.qlPolynomialFunctionValue(BH$1,$BD41,AllTriggers)</f>
        <v>4.8884374424721657E-4</v>
      </c>
      <c r="BI41" s="47">
        <f>_xll.qlPolynomialFunctionValue(BI$1,$BD41,AllTriggers)</f>
        <v>4.6469864702466251E-4</v>
      </c>
      <c r="BJ41" s="47">
        <f>_xll.qlPolynomialFunctionValue(BJ$1,$BD41,AllTriggers)</f>
        <v>4.6326616109504593E-4</v>
      </c>
      <c r="BK41" s="47">
        <f>_xll.qlPolynomialFunctionValue(BK$1,$BD41,AllTriggers)</f>
        <v>4.8567218338805835E-4</v>
      </c>
      <c r="BL41" s="47">
        <f>_xll.qlPolynomialFunctionValue(BL$1,$BD41,AllTriggers)</f>
        <v>4.9456338867620857E-4</v>
      </c>
      <c r="BM41" s="47">
        <f>_xll.qlPolynomialFunctionValue(BM$1,$BD41,AllTriggers)</f>
        <v>5.9226580637217218E-4</v>
      </c>
      <c r="BN41" s="47">
        <f>_xll.qlPolynomialFunctionValue(BN$1,$BD41,AllTriggers)</f>
        <v>5.3558102037174231E-4</v>
      </c>
      <c r="BO41" s="47">
        <f>_xll.qlPolynomialFunctionValue(BO$1,$BD41,AllTriggers)</f>
        <v>5.0037831936180469E-4</v>
      </c>
      <c r="BP41" s="47">
        <f>_xll.qlPolynomialFunctionValue(BP$1,$BD41,AllTriggers)</f>
        <v>4.8884374424721668E-4</v>
      </c>
      <c r="BQ41" s="47">
        <f>_xll.qlPolynomialFunctionValue('1MSynthDepo_used'!$P$18,BD41,AllTriggers)</f>
        <v>4.6656930551991461E-4</v>
      </c>
    </row>
    <row r="42" spans="3:69" x14ac:dyDescent="0.2">
      <c r="F42" s="125" t="s">
        <v>69</v>
      </c>
      <c r="G42" s="125" t="s">
        <v>68</v>
      </c>
      <c r="H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0"/>
      <c r="AC42" s="256"/>
      <c r="BC42" s="178">
        <f>_xll.qlCalendarAdvance(Calendar,BC41,"1d","mf",,Trigger)</f>
        <v>42188</v>
      </c>
      <c r="BD42" s="41">
        <f>_xll.qlDayCounterYearFraction(DayCounter,SettlementDate,BC42,,,Trigger)</f>
        <v>0.1388888888888889</v>
      </c>
      <c r="BE42" s="47">
        <f>_xll.qlPolynomialFunctionValue(BE$1,$BD42,AllTriggers)</f>
        <v>4.65018623089411E-4</v>
      </c>
      <c r="BF42" s="47">
        <f>_xll.qlPolynomialFunctionValue(BF$1,$BD42,AllTriggers)</f>
        <v>4.620658602755646E-4</v>
      </c>
      <c r="BG42" s="47">
        <f>_xll.qlPolynomialFunctionValue(BG$1,$BD42,AllTriggers)</f>
        <v>4.8580153058686883E-4</v>
      </c>
      <c r="BH42" s="47">
        <f>_xll.qlPolynomialFunctionValue(BH$1,$BD42,AllTriggers)</f>
        <v>4.9554923858149893E-4</v>
      </c>
      <c r="BI42" s="47">
        <f>_xll.qlPolynomialFunctionValue(BI$1,$BD42,AllTriggers)</f>
        <v>4.5901605540525864E-4</v>
      </c>
      <c r="BJ42" s="47">
        <f>_xll.qlPolynomialFunctionValue(BJ$1,$BD42,AllTriggers)</f>
        <v>4.6382920812877221E-4</v>
      </c>
      <c r="BK42" s="47">
        <f>_xll.qlPolynomialFunctionValue(BK$1,$BD42,AllTriggers)</f>
        <v>4.904763599503524E-4</v>
      </c>
      <c r="BL42" s="47">
        <f>_xll.qlPolynomialFunctionValue(BL$1,$BD42,AllTriggers)</f>
        <v>5.0105053925321159E-4</v>
      </c>
      <c r="BM42" s="47">
        <f>_xll.qlPolynomialFunctionValue(BM$1,$BD42,AllTriggers)</f>
        <v>5.925674133333966E-4</v>
      </c>
      <c r="BN42" s="47">
        <f>_xll.qlPolynomialFunctionValue(BN$1,$BD42,AllTriggers)</f>
        <v>5.3457781146723374E-4</v>
      </c>
      <c r="BO42" s="47">
        <f>_xll.qlPolynomialFunctionValue(BO$1,$BD42,AllTriggers)</f>
        <v>5.030728296305945E-4</v>
      </c>
      <c r="BP42" s="47">
        <f>_xll.qlPolynomialFunctionValue(BP$1,$BD42,AllTriggers)</f>
        <v>4.9554923858149893E-4</v>
      </c>
      <c r="BQ42" s="47">
        <f>_xll.qlPolynomialFunctionValue('1MSynthDepo_used'!$P$18,BD42,AllTriggers)</f>
        <v>4.7028580601294039E-4</v>
      </c>
    </row>
    <row r="43" spans="3:69" ht="11.25" customHeight="1" x14ac:dyDescent="0.2">
      <c r="F43" s="189" t="str">
        <f>C37&amp;"x"&amp;C37+SUBSTITUTE($D$21,"M","")&amp;"F"</f>
        <v>0x1F</v>
      </c>
      <c r="G43" s="156">
        <f>$AD37-G37</f>
        <v>1.3719745364793035E-6</v>
      </c>
      <c r="H43" s="156">
        <f>$AD37-H37</f>
        <v>5.7561827179752889E-7</v>
      </c>
      <c r="I43" s="19">
        <f>$AD37-I37</f>
        <v>-3.4641042607544414E-4</v>
      </c>
      <c r="J43" s="19">
        <f>$AD37-J37</f>
        <v>-3.4641042607544414E-4</v>
      </c>
      <c r="K43" s="19">
        <f>$AD37-K37</f>
        <v>-3.4641042607544414E-4</v>
      </c>
      <c r="L43" s="19">
        <f>$AD37-L37</f>
        <v>-3.4641042607544414E-4</v>
      </c>
      <c r="M43" s="19">
        <f>$AD37-M37</f>
        <v>-3.4641042607544414E-4</v>
      </c>
      <c r="N43" s="19">
        <f>$AD37-N37</f>
        <v>-3.4641042607544414E-4</v>
      </c>
      <c r="O43" s="19">
        <f>$AD37-O37</f>
        <v>-3.4641042607544414E-4</v>
      </c>
      <c r="P43" s="19">
        <f>$AD37-P37</f>
        <v>-3.4641042607544414E-4</v>
      </c>
      <c r="Q43" s="19">
        <f>$AD37-Q37</f>
        <v>-3.4641042607544414E-4</v>
      </c>
      <c r="R43" s="19">
        <f>$AD37-R37</f>
        <v>-3.4641042607544414E-4</v>
      </c>
      <c r="S43" s="156">
        <f>$AD37-S37</f>
        <v>3.3157466134123292E-4</v>
      </c>
      <c r="T43" s="157">
        <f>$AD37-T37</f>
        <v>4.6750573115136862E-4</v>
      </c>
      <c r="U43" s="158">
        <f>$AD37-U37</f>
        <v>1.2954781722362974E-6</v>
      </c>
      <c r="V43" s="156">
        <f>$AD37-V37</f>
        <v>5.4143728375755096E-7</v>
      </c>
      <c r="W43" s="156">
        <f>$AD37-W37</f>
        <v>3.2418437660955424E-4</v>
      </c>
      <c r="X43" s="157">
        <f>$AD37-X37</f>
        <v>4.5261047372763263E-4</v>
      </c>
      <c r="Y43" s="158">
        <f>$AD37-Y37</f>
        <v>7.1540429173178044E-5</v>
      </c>
      <c r="Z43" s="240">
        <f>$AD37-Z37</f>
        <v>2.1621080799477665E-5</v>
      </c>
      <c r="AA43" s="156">
        <f>$AD37-AA37</f>
        <v>2.4056300718319767E-4</v>
      </c>
      <c r="AB43" s="156">
        <f>$AD37-AB37</f>
        <v>4.6750573115136862E-4</v>
      </c>
      <c r="AC43" s="156">
        <f>$AD37-AC37</f>
        <v>0</v>
      </c>
      <c r="BC43" s="178">
        <f>_xll.qlCalendarAdvance(Calendar,BC42,"1d","mf",,Trigger)</f>
        <v>42191</v>
      </c>
      <c r="BD43" s="41">
        <f>_xll.qlDayCounterYearFraction(DayCounter,SettlementDate,BC43,,,Trigger)</f>
        <v>0.14722222222222223</v>
      </c>
      <c r="BE43" s="47">
        <f>_xll.qlPolynomialFunctionValue(BE$1,$BD43,AllTriggers)</f>
        <v>4.4850389395912488E-4</v>
      </c>
      <c r="BF43" s="47">
        <f>_xll.qlPolynomialFunctionValue(BF$1,$BD43,AllTriggers)</f>
        <v>4.6548228013874209E-4</v>
      </c>
      <c r="BG43" s="47">
        <f>_xll.qlPolynomialFunctionValue(BG$1,$BD43,AllTriggers)</f>
        <v>5.0046116270276945E-4</v>
      </c>
      <c r="BH43" s="47">
        <f>_xll.qlPolynomialFunctionValue(BH$1,$BD43,AllTriggers)</f>
        <v>5.1482620606327692E-4</v>
      </c>
      <c r="BI43" s="47">
        <f>_xll.qlPolynomialFunctionValue(BI$1,$BD43,AllTriggers)</f>
        <v>4.4196828054704707E-4</v>
      </c>
      <c r="BJ43" s="47">
        <f>_xll.qlPolynomialFunctionValue(BJ$1,$BD43,AllTriggers)</f>
        <v>4.6758112896859953E-4</v>
      </c>
      <c r="BK43" s="47">
        <f>_xll.qlPolynomialFunctionValue(BK$1,$BD43,AllTriggers)</f>
        <v>5.0488888963723453E-4</v>
      </c>
      <c r="BL43" s="47">
        <f>_xll.qlPolynomialFunctionValue(BL$1,$BD43,AllTriggers)</f>
        <v>5.1969343435329736E-4</v>
      </c>
      <c r="BM43" s="47">
        <f>_xll.qlPolynomialFunctionValue(BM$1,$BD43,AllTriggers)</f>
        <v>5.9347223421706984E-4</v>
      </c>
      <c r="BN43" s="47">
        <f>_xll.qlPolynomialFunctionValue(BN$1,$BD43,AllTriggers)</f>
        <v>5.3219737541264844E-4</v>
      </c>
      <c r="BO43" s="47">
        <f>_xll.qlPolynomialFunctionValue(BO$1,$BD43,AllTriggers)</f>
        <v>5.1115636043696372E-4</v>
      </c>
      <c r="BP43" s="47">
        <f>_xll.qlPolynomialFunctionValue(BP$1,$BD43,AllTriggers)</f>
        <v>5.1482620606327692E-4</v>
      </c>
      <c r="BQ43" s="47">
        <f>_xll.qlPolynomialFunctionValue('1MSynthDepo_used'!$P$18,BD43,AllTriggers)</f>
        <v>4.8313572503539792E-4</v>
      </c>
    </row>
    <row r="44" spans="3:69" x14ac:dyDescent="0.2">
      <c r="F44" s="190" t="str">
        <f>C38&amp;"x"&amp;C38+SUBSTITUTE($D$21,"M","")&amp;"F"</f>
        <v>1x2F</v>
      </c>
      <c r="G44" s="47">
        <f>$AD38-G38</f>
        <v>-1.8201327602348702E-5</v>
      </c>
      <c r="H44" s="47">
        <f>$AD38-H38</f>
        <v>-4.596982445738201E-6</v>
      </c>
      <c r="I44" s="19">
        <f>$AD38-I38</f>
        <v>-6.6714858506863579E-4</v>
      </c>
      <c r="J44" s="19">
        <f>$AD38-J38</f>
        <v>-6.6714858506863579E-4</v>
      </c>
      <c r="K44" s="19">
        <f>$AD38-K38</f>
        <v>-6.6714858506863579E-4</v>
      </c>
      <c r="L44" s="19">
        <f>$AD38-L38</f>
        <v>-6.6714858506863579E-4</v>
      </c>
      <c r="M44" s="19">
        <f>$AD38-M38</f>
        <v>-6.6714858506863579E-4</v>
      </c>
      <c r="N44" s="19">
        <f>$AD38-N38</f>
        <v>-6.6714858506863579E-4</v>
      </c>
      <c r="O44" s="19">
        <f>$AD38-O38</f>
        <v>-6.6714858506863579E-4</v>
      </c>
      <c r="P44" s="19">
        <f>$AD38-P38</f>
        <v>-6.6714858506863579E-4</v>
      </c>
      <c r="Q44" s="19">
        <f>$AD38-Q38</f>
        <v>-6.6714858506863579E-4</v>
      </c>
      <c r="R44" s="19">
        <f>$AD38-R38</f>
        <v>-6.6714858506863579E-4</v>
      </c>
      <c r="S44" s="47">
        <f>$AD38-S38</f>
        <v>3.699705242855237E-6</v>
      </c>
      <c r="T44" s="154">
        <f>$AD38-T38</f>
        <v>7.106967382873022E-6</v>
      </c>
      <c r="U44" s="155">
        <f>$AD38-U38</f>
        <v>-1.3006257756315617E-5</v>
      </c>
      <c r="V44" s="47">
        <f>$AD38-V38</f>
        <v>-6.0288189406249937E-6</v>
      </c>
      <c r="W44" s="47">
        <f>$AD38-W38</f>
        <v>-1.2469042874080783E-6</v>
      </c>
      <c r="X44" s="154">
        <f>$AD38-X38</f>
        <v>6.5066471934525656E-7</v>
      </c>
      <c r="Y44" s="155">
        <f>$AD38-Y38</f>
        <v>-1.2030553762164514E-4</v>
      </c>
      <c r="Z44" s="200">
        <f>$AD38-Z38</f>
        <v>-7.2633391206383484E-5</v>
      </c>
      <c r="AA44" s="47">
        <f>$AD38-AA38</f>
        <v>-2.2277812765571009E-5</v>
      </c>
      <c r="AB44" s="47">
        <f>$AD38-AB38</f>
        <v>7.106967382873022E-6</v>
      </c>
      <c r="AC44" s="47">
        <f>$AD38-AC38</f>
        <v>0</v>
      </c>
      <c r="BC44" s="178">
        <f>_xll.qlCalendarAdvance(Calendar,BC43,"1d","mf",,Trigger)</f>
        <v>42192</v>
      </c>
      <c r="BD44" s="41">
        <f>_xll.qlDayCounterYearFraction(DayCounter,SettlementDate,BC44,,,Trigger)</f>
        <v>0.15</v>
      </c>
      <c r="BE44" s="47">
        <f>_xll.qlPolynomialFunctionValue(BE$1,$BD44,AllTriggers)</f>
        <v>4.429989842490295E-4</v>
      </c>
      <c r="BF44" s="47">
        <f>_xll.qlPolynomialFunctionValue(BF$1,$BD44,AllTriggers)</f>
        <v>4.6730249356299663E-4</v>
      </c>
      <c r="BG44" s="47">
        <f>_xll.qlPolynomialFunctionValue(BG$1,$BD44,AllTriggers)</f>
        <v>5.0534770674140299E-4</v>
      </c>
      <c r="BH44" s="47">
        <f>_xll.qlPolynomialFunctionValue(BH$1,$BD44,AllTriggers)</f>
        <v>5.2097202338351341E-4</v>
      </c>
      <c r="BI44" s="47">
        <f>_xll.qlPolynomialFunctionValue(BI$1,$BD44,AllTriggers)</f>
        <v>4.3628568892764325E-4</v>
      </c>
      <c r="BJ44" s="47">
        <f>_xll.qlPolynomialFunctionValue(BJ$1,$BD44,AllTriggers)</f>
        <v>4.6951936249475812E-4</v>
      </c>
      <c r="BK44" s="47">
        <f>_xll.qlPolynomialFunctionValue(BK$1,$BD44,AllTriggers)</f>
        <v>5.0969306619952847E-4</v>
      </c>
      <c r="BL44" s="47">
        <f>_xll.qlPolynomialFunctionValue(BL$1,$BD44,AllTriggers)</f>
        <v>5.2563488050968489E-4</v>
      </c>
      <c r="BM44" s="47">
        <f>_xll.qlPolynomialFunctionValue(BM$1,$BD44,AllTriggers)</f>
        <v>5.9377384117829436E-4</v>
      </c>
      <c r="BN44" s="47">
        <f>_xll.qlPolynomialFunctionValue(BN$1,$BD44,AllTriggers)</f>
        <v>5.3161362694743343E-4</v>
      </c>
      <c r="BO44" s="47">
        <f>_xll.qlPolynomialFunctionValue(BO$1,$BD44,AllTriggers)</f>
        <v>5.1385087070575342E-4</v>
      </c>
      <c r="BP44" s="47">
        <f>_xll.qlPolynomialFunctionValue(BP$1,$BD44,AllTriggers)</f>
        <v>5.2097202338351341E-4</v>
      </c>
      <c r="BQ44" s="47">
        <f>_xll.qlPolynomialFunctionValue('1MSynthDepo_used'!$P$18,BD44,AllTriggers)</f>
        <v>4.8793138852565624E-4</v>
      </c>
    </row>
    <row r="45" spans="3:69" x14ac:dyDescent="0.2">
      <c r="F45" s="190" t="str">
        <f>C39&amp;"x"&amp;C39+SUBSTITUTE($D$21,"M","")&amp;"F"</f>
        <v>2x3F</v>
      </c>
      <c r="G45" s="47">
        <f>$AD39-G39</f>
        <v>2.8550498399771221E-4</v>
      </c>
      <c r="H45" s="47">
        <f>$AD39-H39</f>
        <v>1.2552102222134712E-5</v>
      </c>
      <c r="I45" s="19">
        <f>$AD39-I39</f>
        <v>-6.2061760241765955E-4</v>
      </c>
      <c r="J45" s="19">
        <f>$AD39-J39</f>
        <v>-6.2061760241765955E-4</v>
      </c>
      <c r="K45" s="19">
        <f>$AD39-K39</f>
        <v>-6.2061760241765955E-4</v>
      </c>
      <c r="L45" s="19">
        <f>$AD39-L39</f>
        <v>-6.2061760241765955E-4</v>
      </c>
      <c r="M45" s="19">
        <f>$AD39-M39</f>
        <v>-6.2061760241765955E-4</v>
      </c>
      <c r="N45" s="19">
        <f>$AD39-N39</f>
        <v>-6.2061760241765955E-4</v>
      </c>
      <c r="O45" s="19">
        <f>$AD39-O39</f>
        <v>-6.2061760241765955E-4</v>
      </c>
      <c r="P45" s="19">
        <f>$AD39-P39</f>
        <v>-6.2061760241765955E-4</v>
      </c>
      <c r="Q45" s="19">
        <f>$AD39-Q39</f>
        <v>-6.2061760241765955E-4</v>
      </c>
      <c r="R45" s="19">
        <f>$AD39-R39</f>
        <v>-6.2061760241765955E-4</v>
      </c>
      <c r="S45" s="47">
        <f>$AD39-S39</f>
        <v>4.1645355950844197E-6</v>
      </c>
      <c r="T45" s="154">
        <f>$AD39-T39</f>
        <v>7.1994815270710888E-7</v>
      </c>
      <c r="U45" s="155">
        <f>$AD39-U39</f>
        <v>2.9588492952791227E-4</v>
      </c>
      <c r="V45" s="47">
        <f>$AD39-V39</f>
        <v>7.0152634707782617E-6</v>
      </c>
      <c r="W45" s="47">
        <f>$AD39-W39</f>
        <v>1.6215849501885916E-6</v>
      </c>
      <c r="X45" s="154">
        <f>$AD39-X39</f>
        <v>-5.1874669592148152E-7</v>
      </c>
      <c r="Y45" s="155">
        <f>$AD39-Y39</f>
        <v>1.3958161550457803E-5</v>
      </c>
      <c r="Z45" s="200">
        <f>$AD39-Z39</f>
        <v>6.5059898043145071E-5</v>
      </c>
      <c r="AA45" s="47">
        <f>$AD39-AA39</f>
        <v>4.2155216392452993E-5</v>
      </c>
      <c r="AB45" s="47">
        <f>$AD39-AB39</f>
        <v>7.1994815270710888E-7</v>
      </c>
      <c r="AC45" s="47">
        <f>$AD39-AC39</f>
        <v>0</v>
      </c>
      <c r="BC45" s="178">
        <f>_xll.qlCalendarAdvance(Calendar,BC44,"1d","mf",,Trigger)</f>
        <v>42193</v>
      </c>
      <c r="BD45" s="41">
        <f>_xll.qlDayCounterYearFraction(DayCounter,SettlementDate,BC45,,,Trigger)</f>
        <v>0.15277777777777779</v>
      </c>
      <c r="BE45" s="47">
        <f>_xll.qlPolynomialFunctionValue(BE$1,$BD45,AllTriggers)</f>
        <v>4.3749407453893413E-4</v>
      </c>
      <c r="BF45" s="47">
        <f>_xll.qlPolynomialFunctionValue(BF$1,$BD45,AllTriggers)</f>
        <v>4.6946341038884871E-4</v>
      </c>
      <c r="BG45" s="47">
        <f>_xll.qlPolynomialFunctionValue(BG$1,$BD45,AllTriggers)</f>
        <v>5.1023425078003653E-4</v>
      </c>
      <c r="BH45" s="47">
        <f>_xll.qlPolynomialFunctionValue(BH$1,$BD45,AllTriggers)</f>
        <v>5.2697792145023857E-4</v>
      </c>
      <c r="BI45" s="47">
        <f>_xll.qlPolynomialFunctionValue(BI$1,$BD45,AllTriggers)</f>
        <v>4.3060309730823937E-4</v>
      </c>
      <c r="BJ45" s="47">
        <f>_xll.qlPolynomialFunctionValue(BJ$1,$BD45,AllTriggers)</f>
        <v>4.7180139264402471E-4</v>
      </c>
      <c r="BK45" s="47">
        <f>_xll.qlPolynomialFunctionValue(BK$1,$BD45,AllTriggers)</f>
        <v>5.1449724276182252E-4</v>
      </c>
      <c r="BL45" s="47">
        <f>_xll.qlPolynomialFunctionValue(BL$1,$BD45,AllTriggers)</f>
        <v>5.3143990056091857E-4</v>
      </c>
      <c r="BM45" s="47">
        <f>_xll.qlPolynomialFunctionValue(BM$1,$BD45,AllTriggers)</f>
        <v>5.9407544813951877E-4</v>
      </c>
      <c r="BN45" s="47">
        <f>_xll.qlPolynomialFunctionValue(BN$1,$BD45,AllTriggers)</f>
        <v>5.3113474359204173E-4</v>
      </c>
      <c r="BO45" s="47">
        <f>_xll.qlPolynomialFunctionValue(BO$1,$BD45,AllTriggers)</f>
        <v>5.1654538097454324E-4</v>
      </c>
      <c r="BP45" s="47">
        <f>_xll.qlPolynomialFunctionValue(BP$1,$BD45,AllTriggers)</f>
        <v>5.2697792145023846E-4</v>
      </c>
      <c r="BQ45" s="47">
        <f>_xll.qlPolynomialFunctionValue('1MSynthDepo_used'!$P$18,BD45,AllTriggers)</f>
        <v>4.9295600624145691E-4</v>
      </c>
    </row>
    <row r="46" spans="3:69" x14ac:dyDescent="0.2">
      <c r="F46" s="277" t="str">
        <f>C40&amp;"x"&amp;C40+SUBSTITUTE($D$21,"M","")&amp;"F"</f>
        <v>3x4F</v>
      </c>
      <c r="G46" s="50">
        <f>$AD40-G40</f>
        <v>4.8249057928737276E-4</v>
      </c>
      <c r="H46" s="50">
        <f>$AD40-H40</f>
        <v>-3.93947668001887E-4</v>
      </c>
      <c r="I46" s="96">
        <f>$AD40-I40</f>
        <v>-6.1169738421872739E-4</v>
      </c>
      <c r="J46" s="96">
        <f>$AD40-J40</f>
        <v>-6.1169738421872739E-4</v>
      </c>
      <c r="K46" s="96">
        <f>$AD40-K40</f>
        <v>-6.1169738421872739E-4</v>
      </c>
      <c r="L46" s="96">
        <f>$AD40-L40</f>
        <v>-6.1169738421872739E-4</v>
      </c>
      <c r="M46" s="96">
        <f>$AD40-M40</f>
        <v>-6.1169738421872739E-4</v>
      </c>
      <c r="N46" s="96">
        <f>$AD40-N40</f>
        <v>-6.1169738421872739E-4</v>
      </c>
      <c r="O46" s="96">
        <f>$AD40-O40</f>
        <v>-6.1169738421872739E-4</v>
      </c>
      <c r="P46" s="96">
        <f>$AD40-P40</f>
        <v>-6.1169738421872739E-4</v>
      </c>
      <c r="Q46" s="96">
        <f>$AD40-Q40</f>
        <v>-6.1169738421872739E-4</v>
      </c>
      <c r="R46" s="96">
        <f>$AD40-R40</f>
        <v>-6.1169738421872739E-4</v>
      </c>
      <c r="S46" s="50">
        <f>$AD40-S40</f>
        <v>-1.1219750329966212E-4</v>
      </c>
      <c r="T46" s="276">
        <f>$AD40-T40</f>
        <v>3.5089965346305797E-6</v>
      </c>
      <c r="U46" s="275">
        <f>$AD40-U40</f>
        <v>4.9822811069960733E-4</v>
      </c>
      <c r="V46" s="50">
        <f>$AD40-V40</f>
        <v>-4.0651740114268234E-4</v>
      </c>
      <c r="W46" s="50">
        <f>$AD40-W40</f>
        <v>-1.1225667296495853E-4</v>
      </c>
      <c r="X46" s="276">
        <f>$AD40-X40</f>
        <v>4.5104267752984735E-6</v>
      </c>
      <c r="Y46" s="275">
        <f>$AD40-Y40</f>
        <v>3.5855006358781341E-5</v>
      </c>
      <c r="Z46" s="201">
        <f>$AD40-Z40</f>
        <v>-4.1045726159863113E-6</v>
      </c>
      <c r="AA46" s="50">
        <f>$AD40-AA40</f>
        <v>-8.105589208861068E-6</v>
      </c>
      <c r="AB46" s="50">
        <f>$AD40-AB40</f>
        <v>3.5089965346305797E-6</v>
      </c>
      <c r="AC46" s="50">
        <f>$AD40-AC40</f>
        <v>0</v>
      </c>
      <c r="BC46" s="178">
        <f>_xll.qlCalendarAdvance(Calendar,BC45,"1d","mf",,Trigger)</f>
        <v>42194</v>
      </c>
      <c r="BD46" s="41">
        <f>_xll.qlDayCounterYearFraction(DayCounter,SettlementDate,BC46,,,Trigger)</f>
        <v>0.15555555555555556</v>
      </c>
      <c r="BE46" s="47">
        <f>_xll.qlPolynomialFunctionValue(BE$1,$BD46,AllTriggers)</f>
        <v>4.3198916482883876E-4</v>
      </c>
      <c r="BF46" s="47">
        <f>_xll.qlPolynomialFunctionValue(BF$1,$BD46,AllTriggers)</f>
        <v>4.7196503061629864E-4</v>
      </c>
      <c r="BG46" s="47">
        <f>_xll.qlPolynomialFunctionValue(BG$1,$BD46,AllTriggers)</f>
        <v>5.1512079481866996E-4</v>
      </c>
      <c r="BH46" s="47">
        <f>_xll.qlPolynomialFunctionValue(BH$1,$BD46,AllTriggers)</f>
        <v>5.3284390026345208E-4</v>
      </c>
      <c r="BI46" s="47">
        <f>_xll.qlPolynomialFunctionValue(BI$1,$BD46,AllTriggers)</f>
        <v>4.2492050568883555E-4</v>
      </c>
      <c r="BJ46" s="47">
        <f>_xll.qlPolynomialFunctionValue(BJ$1,$BD46,AllTriggers)</f>
        <v>4.7442721941639947E-4</v>
      </c>
      <c r="BK46" s="47">
        <f>_xll.qlPolynomialFunctionValue(BK$1,$BD46,AllTriggers)</f>
        <v>5.1930141932411656E-4</v>
      </c>
      <c r="BL46" s="47">
        <f>_xll.qlPolynomialFunctionValue(BL$1,$BD46,AllTriggers)</f>
        <v>5.3710849450699829E-4</v>
      </c>
      <c r="BM46" s="47">
        <f>_xll.qlPolynomialFunctionValue(BM$1,$BD46,AllTriggers)</f>
        <v>5.9437705510074319E-4</v>
      </c>
      <c r="BN46" s="47">
        <f>_xll.qlPolynomialFunctionValue(BN$1,$BD46,AllTriggers)</f>
        <v>5.3076072534647344E-4</v>
      </c>
      <c r="BO46" s="47">
        <f>_xll.qlPolynomialFunctionValue(BO$1,$BD46,AllTriggers)</f>
        <v>5.1923989124333294E-4</v>
      </c>
      <c r="BP46" s="47">
        <f>_xll.qlPolynomialFunctionValue(BP$1,$BD46,AllTriggers)</f>
        <v>5.3284390026345208E-4</v>
      </c>
      <c r="BQ46" s="47">
        <f>_xll.qlPolynomialFunctionValue('1MSynthDepo_used'!$P$18,BD46,AllTriggers)</f>
        <v>4.9819324357329377E-4</v>
      </c>
    </row>
    <row r="47" spans="3:69" x14ac:dyDescent="0.2">
      <c r="BC47" s="178">
        <f>_xll.qlCalendarAdvance(Calendar,BC46,"1d","mf",,Trigger)</f>
        <v>42195</v>
      </c>
      <c r="BD47" s="41">
        <f>_xll.qlDayCounterYearFraction(DayCounter,SettlementDate,BC47,,,Trigger)</f>
        <v>0.15833333333333333</v>
      </c>
      <c r="BE47" s="47">
        <f>_xll.qlPolynomialFunctionValue(BE$1,$BD47,AllTriggers)</f>
        <v>4.2648425511874338E-4</v>
      </c>
      <c r="BF47" s="47">
        <f>_xll.qlPolynomialFunctionValue(BF$1,$BD47,AllTriggers)</f>
        <v>4.7480735424534611E-4</v>
      </c>
      <c r="BG47" s="47">
        <f>_xll.qlPolynomialFunctionValue(BG$1,$BD47,AllTriggers)</f>
        <v>5.200073388573035E-4</v>
      </c>
      <c r="BH47" s="47">
        <f>_xll.qlPolynomialFunctionValue(BH$1,$BD47,AllTriggers)</f>
        <v>5.3856995982315425E-4</v>
      </c>
      <c r="BI47" s="47">
        <f>_xll.qlPolynomialFunctionValue(BI$1,$BD47,AllTriggers)</f>
        <v>4.1923791406943173E-4</v>
      </c>
      <c r="BJ47" s="47">
        <f>_xll.qlPolynomialFunctionValue(BJ$1,$BD47,AllTriggers)</f>
        <v>4.7739684281188229E-4</v>
      </c>
      <c r="BK47" s="47">
        <f>_xll.qlPolynomialFunctionValue(BK$1,$BD47,AllTriggers)</f>
        <v>5.241055958864105E-4</v>
      </c>
      <c r="BL47" s="47">
        <f>_xll.qlPolynomialFunctionValue(BL$1,$BD47,AllTriggers)</f>
        <v>5.4264066234792417E-4</v>
      </c>
      <c r="BM47" s="47">
        <f>_xll.qlPolynomialFunctionValue(BM$1,$BD47,AllTriggers)</f>
        <v>5.946786620619676E-4</v>
      </c>
      <c r="BN47" s="47">
        <f>_xll.qlPolynomialFunctionValue(BN$1,$BD47,AllTriggers)</f>
        <v>5.3049157221072857E-4</v>
      </c>
      <c r="BO47" s="47">
        <f>_xll.qlPolynomialFunctionValue(BO$1,$BD47,AllTriggers)</f>
        <v>5.2193440151212264E-4</v>
      </c>
      <c r="BP47" s="47">
        <f>_xll.qlPolynomialFunctionValue(BP$1,$BD47,AllTriggers)</f>
        <v>5.3856995982315425E-4</v>
      </c>
      <c r="BQ47" s="47">
        <f>_xll.qlPolynomialFunctionValue('1MSynthDepo_used'!$P$18,BD47,AllTriggers)</f>
        <v>5.0362676591166077E-4</v>
      </c>
    </row>
    <row r="48" spans="3:69" x14ac:dyDescent="0.2">
      <c r="BC48" s="178">
        <f>_xll.qlCalendarAdvance(Calendar,BC47,"1d","mf",,Trigger)</f>
        <v>42198</v>
      </c>
      <c r="BD48" s="41">
        <f>_xll.qlDayCounterYearFraction(DayCounter,SettlementDate,BC48,,,Trigger)</f>
        <v>0.16666666666666666</v>
      </c>
      <c r="BE48" s="47">
        <f>_xll.qlPolynomialFunctionValue(BE$1,$BD48,AllTriggers)</f>
        <v>4.0996952598845726E-4</v>
      </c>
      <c r="BF48" s="47">
        <f>_xll.qlPolynomialFunctionValue(BF$1,$BD48,AllTriggers)</f>
        <v>4.8537854554207458E-4</v>
      </c>
      <c r="BG48" s="47">
        <f>_xll.qlPolynomialFunctionValue(BG$1,$BD48,AllTriggers)</f>
        <v>5.3466697097320401E-4</v>
      </c>
      <c r="BH48" s="47">
        <f>_xll.qlPolynomialFunctionValue(BH$1,$BD48,AllTriggers)</f>
        <v>5.5490862298119214E-4</v>
      </c>
      <c r="BI48" s="47">
        <f>_xll.qlPolynomialFunctionValue(BI$1,$BD48,AllTriggers)</f>
        <v>4.0219013921122016E-4</v>
      </c>
      <c r="BJ48" s="47">
        <f>_xll.qlPolynomialFunctionValue(BJ$1,$BD48,AllTriggers)</f>
        <v>4.8836849273697913E-4</v>
      </c>
      <c r="BK48" s="47">
        <f>_xll.qlPolynomialFunctionValue(BK$1,$BD48,AllTriggers)</f>
        <v>5.3851812557329263E-4</v>
      </c>
      <c r="BL48" s="47">
        <f>_xll.qlPolynomialFunctionValue(BL$1,$BD48,AllTriggers)</f>
        <v>5.5841860923977851E-4</v>
      </c>
      <c r="BM48" s="47">
        <f>_xll.qlPolynomialFunctionValue(BM$1,$BD48,AllTriggers)</f>
        <v>5.9558348294564095E-4</v>
      </c>
      <c r="BN48" s="47">
        <f>_xll.qlPolynomialFunctionValue(BN$1,$BD48,AllTriggers)</f>
        <v>5.3031330346243425E-4</v>
      </c>
      <c r="BO48" s="47">
        <f>_xll.qlPolynomialFunctionValue(BO$1,$BD48,AllTriggers)</f>
        <v>5.3001793231849186E-4</v>
      </c>
      <c r="BP48" s="47">
        <f>_xll.qlPolynomialFunctionValue(BP$1,$BD48,AllTriggers)</f>
        <v>5.5490862298119203E-4</v>
      </c>
      <c r="BQ48" s="47">
        <f>_xll.qlPolynomialFunctionValue('1MSynthDepo_used'!$P$18,BD48,AllTriggers)</f>
        <v>5.2094169687087787E-4</v>
      </c>
    </row>
    <row r="49" spans="3:69" x14ac:dyDescent="0.2">
      <c r="BC49" s="178">
        <f>_xll.qlCalendarAdvance(Calendar,BC48,"1d","mf",,Trigger)</f>
        <v>42199</v>
      </c>
      <c r="BD49" s="41">
        <f>_xll.qlDayCounterYearFraction(DayCounter,SettlementDate,BC49,,,Trigger)</f>
        <v>0.16944444444444445</v>
      </c>
      <c r="BE49" s="47">
        <f>_xll.qlPolynomialFunctionValue(BE$1,$BD49,AllTriggers)</f>
        <v>4.0446461627836189E-4</v>
      </c>
      <c r="BF49" s="47">
        <f>_xll.qlPolynomialFunctionValue(BF$1,$BD49,AllTriggers)</f>
        <v>4.8958368277751284E-4</v>
      </c>
      <c r="BG49" s="47">
        <f>_xll.qlPolynomialFunctionValue(BG$1,$BD49,AllTriggers)</f>
        <v>5.3955351501183755E-4</v>
      </c>
      <c r="BH49" s="47">
        <f>_xll.qlPolynomialFunctionValue(BH$1,$BD49,AllTriggers)</f>
        <v>5.6007500552684845E-4</v>
      </c>
      <c r="BI49" s="47">
        <f>_xll.qlPolynomialFunctionValue(BI$1,$BD49,AllTriggers)</f>
        <v>3.9650754759181628E-4</v>
      </c>
      <c r="BJ49" s="47">
        <f>_xll.qlPolynomialFunctionValue(BJ$1,$BD49,AllTriggers)</f>
        <v>4.9271330262489431E-4</v>
      </c>
      <c r="BK49" s="47">
        <f>_xll.qlPolynomialFunctionValue(BK$1,$BD49,AllTriggers)</f>
        <v>5.4332230213558668E-4</v>
      </c>
      <c r="BL49" s="47">
        <f>_xll.qlPolynomialFunctionValue(BL$1,$BD49,AllTriggers)</f>
        <v>5.6340507266008889E-4</v>
      </c>
      <c r="BM49" s="47">
        <f>_xll.qlPolynomialFunctionValue(BM$1,$BD49,AllTriggers)</f>
        <v>5.9588508990686536E-4</v>
      </c>
      <c r="BN49" s="47">
        <f>_xll.qlPolynomialFunctionValue(BN$1,$BD49,AllTriggers)</f>
        <v>5.3046361076598283E-4</v>
      </c>
      <c r="BO49" s="47">
        <f>_xll.qlPolynomialFunctionValue(BO$1,$BD49,AllTriggers)</f>
        <v>5.3271244258728168E-4</v>
      </c>
      <c r="BP49" s="47">
        <f>_xll.qlPolynomialFunctionValue(BP$1,$BD49,AllTriggers)</f>
        <v>5.6007500552684845E-4</v>
      </c>
      <c r="BQ49" s="47">
        <f>_xll.qlPolynomialFunctionValue('1MSynthDepo_used'!$P$18,BD49,AllTriggers)</f>
        <v>5.2699701314030142E-4</v>
      </c>
    </row>
    <row r="50" spans="3:69" x14ac:dyDescent="0.2">
      <c r="BC50" s="178">
        <f>_xll.qlCalendarAdvance(Calendar,BC49,"1d","mf",,Trigger)</f>
        <v>42200</v>
      </c>
      <c r="BD50" s="41">
        <f>_xll.qlDayCounterYearFraction(DayCounter,SettlementDate,BC50,,,Trigger)</f>
        <v>0.17222222222222222</v>
      </c>
      <c r="BE50" s="47">
        <f>_xll.qlPolynomialFunctionValue(BE$1,$BD50,AllTriggers)</f>
        <v>3.9895970656826651E-4</v>
      </c>
      <c r="BF50" s="47">
        <f>_xll.qlPolynomialFunctionValue(BF$1,$BD50,AllTriggers)</f>
        <v>4.9412952341454863E-4</v>
      </c>
      <c r="BG50" s="47">
        <f>_xll.qlPolynomialFunctionValue(BG$1,$BD50,AllTriggers)</f>
        <v>5.4444005905047109E-4</v>
      </c>
      <c r="BH50" s="47">
        <f>_xll.qlPolynomialFunctionValue(BH$1,$BD50,AllTriggers)</f>
        <v>5.6510146881899354E-4</v>
      </c>
      <c r="BI50" s="47">
        <f>_xll.qlPolynomialFunctionValue(BI$1,$BD50,AllTriggers)</f>
        <v>3.9082495597241246E-4</v>
      </c>
      <c r="BJ50" s="47">
        <f>_xll.qlPolynomialFunctionValue(BJ$1,$BD50,AllTriggers)</f>
        <v>4.9740190913591755E-4</v>
      </c>
      <c r="BK50" s="47">
        <f>_xll.qlPolynomialFunctionValue(BK$1,$BD50,AllTriggers)</f>
        <v>5.4812647869788072E-4</v>
      </c>
      <c r="BL50" s="47">
        <f>_xll.qlPolynomialFunctionValue(BL$1,$BD50,AllTriggers)</f>
        <v>5.6825510997524542E-4</v>
      </c>
      <c r="BM50" s="47">
        <f>_xll.qlPolynomialFunctionValue(BM$1,$BD50,AllTriggers)</f>
        <v>5.9618669686808978E-4</v>
      </c>
      <c r="BN50" s="47">
        <f>_xll.qlPolynomialFunctionValue(BN$1,$BD50,AllTriggers)</f>
        <v>5.3071878317935482E-4</v>
      </c>
      <c r="BO50" s="47">
        <f>_xll.qlPolynomialFunctionValue(BO$1,$BD50,AllTriggers)</f>
        <v>5.3540695285607138E-4</v>
      </c>
      <c r="BP50" s="47">
        <f>_xll.qlPolynomialFunctionValue(BP$1,$BD50,AllTriggers)</f>
        <v>5.6510146881899332E-4</v>
      </c>
      <c r="BQ50" s="47">
        <f>_xll.qlPolynomialFunctionValue('1MSynthDepo_used'!$P$18,BD50,AllTriggers)</f>
        <v>5.3316694136872381E-4</v>
      </c>
    </row>
    <row r="51" spans="3:69" x14ac:dyDescent="0.2">
      <c r="BC51" s="178">
        <f>_xll.qlCalendarAdvance(Calendar,BC50,"1d","mf",,Trigger)</f>
        <v>42201</v>
      </c>
      <c r="BD51" s="41">
        <f>_xll.qlDayCounterYearFraction(DayCounter,SettlementDate,BC51,,,Trigger)</f>
        <v>0.17499999999999999</v>
      </c>
      <c r="BE51" s="47">
        <f>_xll.qlPolynomialFunctionValue(BE$1,$BD51,AllTriggers)</f>
        <v>3.9345479685817114E-4</v>
      </c>
      <c r="BF51" s="47">
        <f>_xll.qlPolynomialFunctionValue(BF$1,$BD51,AllTriggers)</f>
        <v>4.9901606745318228E-4</v>
      </c>
      <c r="BG51" s="47">
        <f>_xll.qlPolynomialFunctionValue(BG$1,$BD51,AllTriggers)</f>
        <v>5.4932660308910464E-4</v>
      </c>
      <c r="BH51" s="47">
        <f>_xll.qlPolynomialFunctionValue(BH$1,$BD51,AllTriggers)</f>
        <v>5.6998801285762697E-4</v>
      </c>
      <c r="BI51" s="47">
        <f>_xll.qlPolynomialFunctionValue(BI$1,$BD51,AllTriggers)</f>
        <v>3.8514236435300859E-4</v>
      </c>
      <c r="BJ51" s="47">
        <f>_xll.qlPolynomialFunctionValue(BJ$1,$BD51,AllTriggers)</f>
        <v>5.0243431227004897E-4</v>
      </c>
      <c r="BK51" s="47">
        <f>_xll.qlPolynomialFunctionValue(BK$1,$BD51,AllTriggers)</f>
        <v>5.5293065526017466E-4</v>
      </c>
      <c r="BL51" s="47">
        <f>_xll.qlPolynomialFunctionValue(BL$1,$BD51,AllTriggers)</f>
        <v>5.7296872118524789E-4</v>
      </c>
      <c r="BM51" s="47">
        <f>_xll.qlPolynomialFunctionValue(BM$1,$BD51,AllTriggers)</f>
        <v>5.9648830382931419E-4</v>
      </c>
      <c r="BN51" s="47">
        <f>_xll.qlPolynomialFunctionValue(BN$1,$BD51,AllTriggers)</f>
        <v>5.3107882070255023E-4</v>
      </c>
      <c r="BO51" s="47">
        <f>_xll.qlPolynomialFunctionValue(BO$1,$BD51,AllTriggers)</f>
        <v>5.3810146312486108E-4</v>
      </c>
      <c r="BP51" s="47">
        <f>_xll.qlPolynomialFunctionValue(BP$1,$BD51,AllTriggers)</f>
        <v>5.6998801285762686E-4</v>
      </c>
      <c r="BQ51" s="47">
        <f>_xll.qlPolynomialFunctionValue('1MSynthDepo_used'!$P$18,BD51,AllTriggers)</f>
        <v>5.3943514694663845E-4</v>
      </c>
    </row>
    <row r="52" spans="3:69" x14ac:dyDescent="0.2">
      <c r="BC52" s="178">
        <f>_xll.qlCalendarAdvance(Calendar,BC51,"1d","mf",,Trigger)</f>
        <v>42202</v>
      </c>
      <c r="BD52" s="41">
        <f>_xll.qlDayCounterYearFraction(DayCounter,SettlementDate,BC52,,,Trigger)</f>
        <v>0.17777777777777778</v>
      </c>
      <c r="BE52" s="47">
        <f>_xll.qlPolynomialFunctionValue(BE$1,$BD52,AllTriggers)</f>
        <v>3.8794988714807577E-4</v>
      </c>
      <c r="BF52" s="47">
        <f>_xll.qlPolynomialFunctionValue(BF$1,$BD52,AllTriggers)</f>
        <v>5.0424331489341335E-4</v>
      </c>
      <c r="BG52" s="47">
        <f>_xll.qlPolynomialFunctionValue(BG$1,$BD52,AllTriggers)</f>
        <v>5.5421314712773818E-4</v>
      </c>
      <c r="BH52" s="47">
        <f>_xll.qlPolynomialFunctionValue(BH$1,$BD52,AllTriggers)</f>
        <v>5.7473463764274907E-4</v>
      </c>
      <c r="BI52" s="47">
        <f>_xll.qlPolynomialFunctionValue(BI$1,$BD52,AllTriggers)</f>
        <v>3.7945977273360471E-4</v>
      </c>
      <c r="BJ52" s="47">
        <f>_xll.qlPolynomialFunctionValue(BJ$1,$BD52,AllTriggers)</f>
        <v>5.0781051202728833E-4</v>
      </c>
      <c r="BK52" s="47">
        <f>_xll.qlPolynomialFunctionValue(BK$1,$BD52,AllTriggers)</f>
        <v>5.5773483182246881E-4</v>
      </c>
      <c r="BL52" s="47">
        <f>_xll.qlPolynomialFunctionValue(BL$1,$BD52,AllTriggers)</f>
        <v>5.7754590629009684E-4</v>
      </c>
      <c r="BM52" s="47">
        <f>_xll.qlPolynomialFunctionValue(BM$1,$BD52,AllTriggers)</f>
        <v>5.967899107905386E-4</v>
      </c>
      <c r="BN52" s="47">
        <f>_xll.qlPolynomialFunctionValue(BN$1,$BD52,AllTriggers)</f>
        <v>5.3154372333556895E-4</v>
      </c>
      <c r="BO52" s="47">
        <f>_xll.qlPolynomialFunctionValue(BO$1,$BD52,AllTriggers)</f>
        <v>5.4079597339365089E-4</v>
      </c>
      <c r="BP52" s="47">
        <f>_xll.qlPolynomialFunctionValue(BP$1,$BD52,AllTriggers)</f>
        <v>5.7473463764274907E-4</v>
      </c>
      <c r="BQ52" s="47">
        <f>_xll.qlPolynomialFunctionValue('1MSynthDepo_used'!$P$18,BD52,AllTriggers)</f>
        <v>5.4578529526453886E-4</v>
      </c>
    </row>
    <row r="53" spans="3:69" x14ac:dyDescent="0.2">
      <c r="BC53" s="178">
        <f>_xll.qlCalendarAdvance(Calendar,BC52,"1d","mf",,Trigger)</f>
        <v>42205</v>
      </c>
      <c r="BD53" s="41">
        <f>_xll.qlDayCounterYearFraction(DayCounter,SettlementDate,BC53,,,Trigger)</f>
        <v>0.18611111111111112</v>
      </c>
      <c r="BE53" s="47">
        <f>_xll.qlPolynomialFunctionValue(BE$1,$BD53,AllTriggers)</f>
        <v>3.7143515801778965E-4</v>
      </c>
      <c r="BF53" s="47">
        <f>_xll.qlPolynomialFunctionValue(BF$1,$BD53,AllTriggers)</f>
        <v>5.2196927762369308E-4</v>
      </c>
      <c r="BG53" s="47">
        <f>_xll.qlPolynomialFunctionValue(BG$1,$BD53,AllTriggers)</f>
        <v>5.688727792436388E-4</v>
      </c>
      <c r="BH53" s="47">
        <f>_xll.qlPolynomialFunctionValue(BH$1,$BD53,AllTriggers)</f>
        <v>5.8813499647704685E-4</v>
      </c>
      <c r="BI53" s="47">
        <f>_xll.qlPolynomialFunctionValue(BI$1,$BD53,AllTriggers)</f>
        <v>3.6241199787539319E-4</v>
      </c>
      <c r="BJ53" s="47">
        <f>_xll.qlPolynomialFunctionValue(BJ$1,$BD53,AllTriggers)</f>
        <v>5.260018910376548E-4</v>
      </c>
      <c r="BK53" s="47">
        <f>_xll.qlPolynomialFunctionValue(BK$1,$BD53,AllTriggers)</f>
        <v>5.7214736150935073E-4</v>
      </c>
      <c r="BL53" s="47">
        <f>_xll.qlPolynomialFunctionValue(BL$1,$BD53,AllTriggers)</f>
        <v>5.9045890497371964E-4</v>
      </c>
      <c r="BM53" s="47">
        <f>_xll.qlPolynomialFunctionValue(BM$1,$BD53,AllTriggers)</f>
        <v>5.9769473167421195E-4</v>
      </c>
      <c r="BN53" s="47">
        <f>_xll.qlPolynomialFunctionValue(BN$1,$BD53,AllTriggers)</f>
        <v>5.3356762189356549E-4</v>
      </c>
      <c r="BO53" s="47">
        <f>_xll.qlPolynomialFunctionValue(BO$1,$BD53,AllTriggers)</f>
        <v>5.4887950420002011E-4</v>
      </c>
      <c r="BP53" s="47">
        <f>_xll.qlPolynomialFunctionValue(BP$1,$BD53,AllTriggers)</f>
        <v>5.8813499647704663E-4</v>
      </c>
      <c r="BQ53" s="47">
        <f>_xll.qlPolynomialFunctionValue('1MSynthDepo_used'!$P$18,BD53,AllTriggers)</f>
        <v>5.6516405056309402E-4</v>
      </c>
    </row>
    <row r="54" spans="3:69" x14ac:dyDescent="0.2">
      <c r="BC54" s="178">
        <f>_xll.qlCalendarAdvance(Calendar,BC53,"1d","mf",,Trigger)</f>
        <v>42206</v>
      </c>
      <c r="BD54" s="41">
        <f>_xll.qlDayCounterYearFraction(DayCounter,SettlementDate,BC54,,,Trigger)</f>
        <v>0.18888888888888888</v>
      </c>
      <c r="BE54" s="47">
        <f>_xll.qlPolynomialFunctionValue(BE$1,$BD54,AllTriggers)</f>
        <v>3.6593024830769427E-4</v>
      </c>
      <c r="BF54" s="47">
        <f>_xll.qlPolynomialFunctionValue(BF$1,$BD54,AllTriggers)</f>
        <v>5.2855933867031483E-4</v>
      </c>
      <c r="BG54" s="47">
        <f>_xll.qlPolynomialFunctionValue(BG$1,$BD54,AllTriggers)</f>
        <v>5.7375932328227223E-4</v>
      </c>
      <c r="BH54" s="47">
        <f>_xll.qlPolynomialFunctionValue(BH$1,$BD54,AllTriggers)</f>
        <v>5.923219442481232E-4</v>
      </c>
      <c r="BI54" s="47">
        <f>_xll.qlPolynomialFunctionValue(BI$1,$BD54,AllTriggers)</f>
        <v>3.5672940625598932E-4</v>
      </c>
      <c r="BJ54" s="47">
        <f>_xll.qlPolynomialFunctionValue(BJ$1,$BD54,AllTriggers)</f>
        <v>5.3275327728732663E-4</v>
      </c>
      <c r="BK54" s="47">
        <f>_xll.qlPolynomialFunctionValue(BK$1,$BD54,AllTriggers)</f>
        <v>5.7695153807164478E-4</v>
      </c>
      <c r="BL54" s="47">
        <f>_xll.qlPolynomialFunctionValue(BL$1,$BD54,AllTriggers)</f>
        <v>5.9449038565795287E-4</v>
      </c>
      <c r="BM54" s="47">
        <f>_xll.qlPolynomialFunctionValue(BM$1,$BD54,AllTriggers)</f>
        <v>5.9799633863543637E-4</v>
      </c>
      <c r="BN54" s="47">
        <f>_xll.qlPolynomialFunctionValue(BN$1,$BD54,AllTriggers)</f>
        <v>5.3445198496587776E-4</v>
      </c>
      <c r="BO54" s="47">
        <f>_xll.qlPolynomialFunctionValue(BO$1,$BD54,AllTriggers)</f>
        <v>5.5157401446880982E-4</v>
      </c>
      <c r="BP54" s="47">
        <f>_xll.qlPolynomialFunctionValue(BP$1,$BD54,AllTriggers)</f>
        <v>5.9232194424812298E-4</v>
      </c>
      <c r="BQ54" s="47">
        <f>_xll.qlPolynomialFunctionValue('1MSynthDepo_used'!$P$18,BD54,AllTriggers)</f>
        <v>5.7167862374587596E-4</v>
      </c>
    </row>
    <row r="55" spans="3:69" x14ac:dyDescent="0.2">
      <c r="BC55" s="178">
        <f>_xll.qlCalendarAdvance(Calendar,BC54,"1d","mf",,Trigger)</f>
        <v>42207</v>
      </c>
      <c r="BD55" s="41">
        <f>_xll.qlDayCounterYearFraction(DayCounter,SettlementDate,BC55,,,Trigger)</f>
        <v>0.19166666666666668</v>
      </c>
      <c r="BE55" s="47">
        <f>_xll.qlPolynomialFunctionValue(BE$1,$BD55,AllTriggers)</f>
        <v>3.604253385975989E-4</v>
      </c>
      <c r="BF55" s="47">
        <f>_xll.qlPolynomialFunctionValue(BF$1,$BD55,AllTriggers)</f>
        <v>5.3549010311853445E-4</v>
      </c>
      <c r="BG55" s="47">
        <f>_xll.qlPolynomialFunctionValue(BG$1,$BD55,AllTriggers)</f>
        <v>5.7864586732090588E-4</v>
      </c>
      <c r="BH55" s="47">
        <f>_xll.qlPolynomialFunctionValue(BH$1,$BD55,AllTriggers)</f>
        <v>5.963689727656881E-4</v>
      </c>
      <c r="BI55" s="47">
        <f>_xll.qlPolynomialFunctionValue(BI$1,$BD55,AllTriggers)</f>
        <v>3.5104681463658544E-4</v>
      </c>
      <c r="BJ55" s="47">
        <f>_xll.qlPolynomialFunctionValue(BJ$1,$BD55,AllTriggers)</f>
        <v>5.3984846016010642E-4</v>
      </c>
      <c r="BK55" s="47">
        <f>_xll.qlPolynomialFunctionValue(BK$1,$BD55,AllTriggers)</f>
        <v>5.8175571463393882E-4</v>
      </c>
      <c r="BL55" s="47">
        <f>_xll.qlPolynomialFunctionValue(BL$1,$BD55,AllTriggers)</f>
        <v>5.9838544023703226E-4</v>
      </c>
      <c r="BM55" s="47">
        <f>_xll.qlPolynomialFunctionValue(BM$1,$BD55,AllTriggers)</f>
        <v>5.9829794559666078E-4</v>
      </c>
      <c r="BN55" s="47">
        <f>_xll.qlPolynomialFunctionValue(BN$1,$BD55,AllTriggers)</f>
        <v>5.3544121314801345E-4</v>
      </c>
      <c r="BO55" s="47">
        <f>_xll.qlPolynomialFunctionValue(BO$1,$BD55,AllTriggers)</f>
        <v>5.5426852473759963E-4</v>
      </c>
      <c r="BP55" s="47">
        <f>_xll.qlPolynomialFunctionValue(BP$1,$BD55,AllTriggers)</f>
        <v>5.9636897276568789E-4</v>
      </c>
      <c r="BQ55" s="47">
        <f>_xll.qlPolynomialFunctionValue('1MSynthDepo_used'!$P$18,BD55,AllTriggers)</f>
        <v>5.7819346662111269E-4</v>
      </c>
    </row>
    <row r="56" spans="3:69" x14ac:dyDescent="0.2">
      <c r="BC56" s="178">
        <f>_xll.qlCalendarAdvance(Calendar,BC55,"1d","mf",,Trigger)</f>
        <v>42208</v>
      </c>
      <c r="BD56" s="41">
        <f>_xll.qlDayCounterYearFraction(DayCounter,SettlementDate,BC56,,,Trigger)</f>
        <v>0.19444444444444445</v>
      </c>
      <c r="BE56" s="47">
        <f>_xll.qlPolynomialFunctionValue(BE$1,$BD56,AllTriggers)</f>
        <v>3.5492042888750353E-4</v>
      </c>
      <c r="BF56" s="47">
        <f>_xll.qlPolynomialFunctionValue(BF$1,$BD56,AllTriggers)</f>
        <v>5.4276157096835159E-4</v>
      </c>
      <c r="BG56" s="47">
        <f>_xll.qlPolynomialFunctionValue(BG$1,$BD56,AllTriggers)</f>
        <v>5.8353241135953931E-4</v>
      </c>
      <c r="BH56" s="47">
        <f>_xll.qlPolynomialFunctionValue(BH$1,$BD56,AllTriggers)</f>
        <v>6.0027608202974157E-4</v>
      </c>
      <c r="BI56" s="47">
        <f>_xll.qlPolynomialFunctionValue(BI$1,$BD56,AllTriggers)</f>
        <v>3.4536422301718162E-4</v>
      </c>
      <c r="BJ56" s="47">
        <f>_xll.qlPolynomialFunctionValue(BJ$1,$BD56,AllTriggers)</f>
        <v>5.4728743965599415E-4</v>
      </c>
      <c r="BK56" s="47">
        <f>_xll.qlPolynomialFunctionValue(BK$1,$BD56,AllTriggers)</f>
        <v>5.8655989119623286E-4</v>
      </c>
      <c r="BL56" s="47">
        <f>_xll.qlPolynomialFunctionValue(BL$1,$BD56,AllTriggers)</f>
        <v>6.021440687109577E-4</v>
      </c>
      <c r="BM56" s="47">
        <f>_xll.qlPolynomialFunctionValue(BM$1,$BD56,AllTriggers)</f>
        <v>5.985995525578852E-4</v>
      </c>
      <c r="BN56" s="47">
        <f>_xll.qlPolynomialFunctionValue(BN$1,$BD56,AllTriggers)</f>
        <v>5.3653530643997245E-4</v>
      </c>
      <c r="BO56" s="47">
        <f>_xll.qlPolynomialFunctionValue(BO$1,$BD56,AllTriggers)</f>
        <v>5.5696303500638933E-4</v>
      </c>
      <c r="BP56" s="47">
        <f>_xll.qlPolynomialFunctionValue(BP$1,$BD56,AllTriggers)</f>
        <v>6.0027608202974135E-4</v>
      </c>
      <c r="BQ56" s="47">
        <f>_xll.qlPolynomialFunctionValue('1MSynthDepo_used'!$P$18,BD56,AllTriggers)</f>
        <v>5.8469224457929729E-4</v>
      </c>
    </row>
    <row r="57" spans="3:69" x14ac:dyDescent="0.2">
      <c r="BC57" s="178">
        <f>_xll.qlCalendarAdvance(Calendar,BC56,"1d","mf",,Trigger)</f>
        <v>42209</v>
      </c>
      <c r="BD57" s="41">
        <f>_xll.qlDayCounterYearFraction(DayCounter,SettlementDate,BC57,,,Trigger)</f>
        <v>0.19722222222222222</v>
      </c>
      <c r="BE57" s="47">
        <f>_xll.qlPolynomialFunctionValue(BE$1,$BD57,AllTriggers)</f>
        <v>3.4941551917740815E-4</v>
      </c>
      <c r="BF57" s="47">
        <f>_xll.qlPolynomialFunctionValue(BF$1,$BD57,AllTriggers)</f>
        <v>5.5037374221976649E-4</v>
      </c>
      <c r="BG57" s="47">
        <f>_xll.qlPolynomialFunctionValue(BG$1,$BD57,AllTriggers)</f>
        <v>5.8841895539817274E-4</v>
      </c>
      <c r="BH57" s="47">
        <f>_xll.qlPolynomialFunctionValue(BH$1,$BD57,AllTriggers)</f>
        <v>6.040432720402836E-4</v>
      </c>
      <c r="BI57" s="47">
        <f>_xll.qlPolynomialFunctionValue(BI$1,$BD57,AllTriggers)</f>
        <v>3.396816313977778E-4</v>
      </c>
      <c r="BJ57" s="47">
        <f>_xll.qlPolynomialFunctionValue(BJ$1,$BD57,AllTriggers)</f>
        <v>5.5507021577499006E-4</v>
      </c>
      <c r="BK57" s="47">
        <f>_xll.qlPolynomialFunctionValue(BK$1,$BD57,AllTriggers)</f>
        <v>5.9136406775852691E-4</v>
      </c>
      <c r="BL57" s="47">
        <f>_xll.qlPolynomialFunctionValue(BL$1,$BD57,AllTriggers)</f>
        <v>6.0576627107972918E-4</v>
      </c>
      <c r="BM57" s="47">
        <f>_xll.qlPolynomialFunctionValue(BM$1,$BD57,AllTriggers)</f>
        <v>5.9890115951910972E-4</v>
      </c>
      <c r="BN57" s="47">
        <f>_xll.qlPolynomialFunctionValue(BN$1,$BD57,AllTriggers)</f>
        <v>5.3773426484175486E-4</v>
      </c>
      <c r="BO57" s="47">
        <f>_xll.qlPolynomialFunctionValue(BO$1,$BD57,AllTriggers)</f>
        <v>5.5965754527517904E-4</v>
      </c>
      <c r="BP57" s="47">
        <f>_xll.qlPolynomialFunctionValue(BP$1,$BD57,AllTriggers)</f>
        <v>6.0404327204028338E-4</v>
      </c>
      <c r="BQ57" s="47">
        <f>_xll.qlPolynomialFunctionValue('1MSynthDepo_used'!$P$18,BD57,AllTriggers)</f>
        <v>5.9115862301092426E-4</v>
      </c>
    </row>
    <row r="58" spans="3:69" x14ac:dyDescent="0.2">
      <c r="BC58" s="178">
        <f>_xll.qlCalendarAdvance(Calendar,BC57,"1d","mf",,Trigger)</f>
        <v>42212</v>
      </c>
      <c r="BD58" s="41">
        <f>_xll.qlDayCounterYearFraction(DayCounter,SettlementDate,BC58,,,Trigger)</f>
        <v>0.20555555555555555</v>
      </c>
      <c r="BE58" s="47">
        <f>_xll.qlPolynomialFunctionValue(BE$1,$BD58,AllTriggers)</f>
        <v>3.3290079004712203E-4</v>
      </c>
      <c r="BF58" s="47">
        <f>_xll.qlPolynomialFunctionValue(BF$1,$BD58,AllTriggers)</f>
        <v>5.7525447638359704E-4</v>
      </c>
      <c r="BG58" s="47">
        <f>_xll.qlPolynomialFunctionValue(BG$1,$BD58,AllTriggers)</f>
        <v>6.0307858751407336E-4</v>
      </c>
      <c r="BH58" s="47">
        <f>_xll.qlPolynomialFunctionValue(BH$1,$BD58,AllTriggers)</f>
        <v>6.1450532655084105E-4</v>
      </c>
      <c r="BI58" s="47">
        <f>_xll.qlPolynomialFunctionValue(BI$1,$BD58,AllTriggers)</f>
        <v>3.2263385653956623E-4</v>
      </c>
      <c r="BJ58" s="47">
        <f>_xll.qlPolynomialFunctionValue(BJ$1,$BD58,AllTriggers)</f>
        <v>5.8048132387062627E-4</v>
      </c>
      <c r="BK58" s="47">
        <f>_xll.qlPolynomialFunctionValue(BK$1,$BD58,AllTriggers)</f>
        <v>6.0577659744540894E-4</v>
      </c>
      <c r="BL58" s="47">
        <f>_xll.qlPolynomialFunctionValue(BL$1,$BD58,AllTriggers)</f>
        <v>6.1581432155512076E-4</v>
      </c>
      <c r="BM58" s="47">
        <f>_xll.qlPolynomialFunctionValue(BM$1,$BD58,AllTriggers)</f>
        <v>5.9980598040278296E-4</v>
      </c>
      <c r="BN58" s="47">
        <f>_xll.qlPolynomialFunctionValue(BN$1,$BD58,AllTriggers)</f>
        <v>5.4196033070604227E-4</v>
      </c>
      <c r="BO58" s="47">
        <f>_xll.qlPolynomialFunctionValue(BO$1,$BD58,AllTriggers)</f>
        <v>5.6774107608154826E-4</v>
      </c>
      <c r="BP58" s="47">
        <f>_xll.qlPolynomialFunctionValue(BP$1,$BD58,AllTriggers)</f>
        <v>6.1450532655084084E-4</v>
      </c>
      <c r="BQ58" s="47">
        <f>_xll.qlPolynomialFunctionValue('1MSynthDepo_used'!$P$18,BD58,AllTriggers)</f>
        <v>6.1020001505139457E-4</v>
      </c>
    </row>
    <row r="59" spans="3:69" x14ac:dyDescent="0.2">
      <c r="BC59" s="178">
        <f>_xll.qlCalendarAdvance(Calendar,BC58,"1d","mf",,Trigger)</f>
        <v>42213</v>
      </c>
      <c r="BD59" s="41">
        <f>_xll.qlDayCounterYearFraction(DayCounter,SettlementDate,BC59,,,Trigger)</f>
        <v>0.20833333333333334</v>
      </c>
      <c r="BE59" s="47">
        <f>_xll.qlPolynomialFunctionValue(BE$1,$BD59,AllTriggers)</f>
        <v>3.2739588033702666E-4</v>
      </c>
      <c r="BF59" s="47">
        <f>_xll.qlPolynomialFunctionValue(BF$1,$BD59,AllTriggers)</f>
        <v>5.8422946124140284E-4</v>
      </c>
      <c r="BG59" s="47">
        <f>_xll.qlPolynomialFunctionValue(BG$1,$BD59,AllTriggers)</f>
        <v>6.079651315527069E-4</v>
      </c>
      <c r="BH59" s="47">
        <f>_xll.qlPolynomialFunctionValue(BH$1,$BD59,AllTriggers)</f>
        <v>6.1771283954733733E-4</v>
      </c>
      <c r="BI59" s="47">
        <f>_xll.qlPolynomialFunctionValue(BI$1,$BD59,AllTriggers)</f>
        <v>3.1695126492016235E-4</v>
      </c>
      <c r="BJ59" s="47">
        <f>_xll.qlPolynomialFunctionValue(BJ$1,$BD59,AllTriggers)</f>
        <v>5.8963928648205464E-4</v>
      </c>
      <c r="BK59" s="47">
        <f>_xll.qlPolynomialFunctionValue(BK$1,$BD59,AllTriggers)</f>
        <v>6.1058077400770298E-4</v>
      </c>
      <c r="BL59" s="47">
        <f>_xll.qlPolynomialFunctionValue(BL$1,$BD59,AllTriggers)</f>
        <v>6.1889081950327685E-4</v>
      </c>
      <c r="BM59" s="47">
        <f>_xll.qlPolynomialFunctionValue(BM$1,$BD59,AllTriggers)</f>
        <v>6.0010758736400737E-4</v>
      </c>
      <c r="BN59" s="47">
        <f>_xll.qlPolynomialFunctionValue(BN$1,$BD59,AllTriggers)</f>
        <v>5.4357874954711824E-4</v>
      </c>
      <c r="BO59" s="47">
        <f>_xll.qlPolynomialFunctionValue(BO$1,$BD59,AllTriggers)</f>
        <v>5.7043558635033796E-4</v>
      </c>
      <c r="BP59" s="47">
        <f>_xll.qlPolynomialFunctionValue(BP$1,$BD59,AllTriggers)</f>
        <v>6.1771283954733711E-4</v>
      </c>
      <c r="BQ59" s="47">
        <f>_xll.qlPolynomialFunctionValue('1MSynthDepo_used'!$P$18,BD59,AllTriggers)</f>
        <v>6.1637344928172741E-4</v>
      </c>
    </row>
    <row r="60" spans="3:69" x14ac:dyDescent="0.2">
      <c r="BC60" s="178">
        <f>_xll.qlCalendarAdvance(Calendar,BC59,"1d","mf",,Trigger)</f>
        <v>42214</v>
      </c>
      <c r="BD60" s="41">
        <f>_xll.qlDayCounterYearFraction(DayCounter,SettlementDate,BC60,,,Trigger)</f>
        <v>0.21111111111111111</v>
      </c>
      <c r="BE60" s="47">
        <f>_xll.qlPolynomialFunctionValue(BE$1,$BD60,AllTriggers)</f>
        <v>3.2189097062693128E-4</v>
      </c>
      <c r="BF60" s="47">
        <f>_xll.qlPolynomialFunctionValue(BF$1,$BD60,AllTriggers)</f>
        <v>5.9354514950080595E-4</v>
      </c>
      <c r="BG60" s="47">
        <f>_xll.qlPolynomialFunctionValue(BG$1,$BD60,AllTriggers)</f>
        <v>6.1285167559134044E-4</v>
      </c>
      <c r="BH60" s="47">
        <f>_xll.qlPolynomialFunctionValue(BH$1,$BD60,AllTriggers)</f>
        <v>6.2078043329032216E-4</v>
      </c>
      <c r="BI60" s="47">
        <f>_xll.qlPolynomialFunctionValue(BI$1,$BD60,AllTriggers)</f>
        <v>3.1126867330075853E-4</v>
      </c>
      <c r="BJ60" s="47">
        <f>_xll.qlPolynomialFunctionValue(BJ$1,$BD60,AllTriggers)</f>
        <v>5.9914104571659086E-4</v>
      </c>
      <c r="BK60" s="47">
        <f>_xll.qlPolynomialFunctionValue(BK$1,$BD60,AllTriggers)</f>
        <v>6.1538495056999703E-4</v>
      </c>
      <c r="BL60" s="47">
        <f>_xll.qlPolynomialFunctionValue(BL$1,$BD60,AllTriggers)</f>
        <v>6.2183089134627909E-4</v>
      </c>
      <c r="BM60" s="47">
        <f>_xll.qlPolynomialFunctionValue(BM$1,$BD60,AllTriggers)</f>
        <v>6.0040919432523179E-4</v>
      </c>
      <c r="BN60" s="47">
        <f>_xll.qlPolynomialFunctionValue(BN$1,$BD60,AllTriggers)</f>
        <v>5.4530203349801752E-4</v>
      </c>
      <c r="BO60" s="47">
        <f>_xll.qlPolynomialFunctionValue(BO$1,$BD60,AllTriggers)</f>
        <v>5.7313009661912767E-4</v>
      </c>
      <c r="BP60" s="47">
        <f>_xll.qlPolynomialFunctionValue(BP$1,$BD60,AllTriggers)</f>
        <v>6.2078043329032184E-4</v>
      </c>
      <c r="BQ60" s="47">
        <f>_xll.qlPolynomialFunctionValue('1MSynthDepo_used'!$P$18,BD60,AllTriggers)</f>
        <v>6.2243281093797044E-4</v>
      </c>
    </row>
    <row r="61" spans="3:69" x14ac:dyDescent="0.2">
      <c r="K61" s="55"/>
      <c r="L61" s="55"/>
      <c r="M61" s="55"/>
      <c r="N61" s="55"/>
      <c r="BC61" s="178">
        <f>_xll.qlCalendarAdvance(Calendar,BC60,"1d","mf",,Trigger)</f>
        <v>42215</v>
      </c>
      <c r="BD61" s="41">
        <f>_xll.qlDayCounterYearFraction(DayCounter,SettlementDate,BC61,,,Trigger)</f>
        <v>0.21388888888888888</v>
      </c>
      <c r="BE61" s="47">
        <f>_xll.qlPolynomialFunctionValue(BE$1,$BD61,AllTriggers)</f>
        <v>3.1638606091683591E-4</v>
      </c>
      <c r="BF61" s="47">
        <f>_xll.qlPolynomialFunctionValue(BF$1,$BD61,AllTriggers)</f>
        <v>6.0320154116180692E-4</v>
      </c>
      <c r="BG61" s="47">
        <f>_xll.qlPolynomialFunctionValue(BG$1,$BD61,AllTriggers)</f>
        <v>6.1773821962997398E-4</v>
      </c>
      <c r="BH61" s="47">
        <f>_xll.qlPolynomialFunctionValue(BH$1,$BD61,AllTriggers)</f>
        <v>6.2370810777979545E-4</v>
      </c>
      <c r="BI61" s="47">
        <f>_xll.qlPolynomialFunctionValue(BI$1,$BD61,AllTriggers)</f>
        <v>3.0558608168135471E-4</v>
      </c>
      <c r="BJ61" s="47">
        <f>_xll.qlPolynomialFunctionValue(BJ$1,$BD61,AllTriggers)</f>
        <v>6.0898660157423536E-4</v>
      </c>
      <c r="BK61" s="47">
        <f>_xll.qlPolynomialFunctionValue(BK$1,$BD61,AllTriggers)</f>
        <v>6.2018912713229096E-4</v>
      </c>
      <c r="BL61" s="47">
        <f>_xll.qlPolynomialFunctionValue(BL$1,$BD61,AllTriggers)</f>
        <v>6.2463453708412728E-4</v>
      </c>
      <c r="BM61" s="47">
        <f>_xll.qlPolynomialFunctionValue(BM$1,$BD61,AllTriggers)</f>
        <v>6.0071080128645631E-4</v>
      </c>
      <c r="BN61" s="47">
        <f>_xll.qlPolynomialFunctionValue(BN$1,$BD61,AllTriggers)</f>
        <v>5.4713018255874021E-4</v>
      </c>
      <c r="BO61" s="47">
        <f>_xll.qlPolynomialFunctionValue(BO$1,$BD61,AllTriggers)</f>
        <v>5.7582460688791748E-4</v>
      </c>
      <c r="BP61" s="47">
        <f>_xll.qlPolynomialFunctionValue(BP$1,$BD61,AllTriggers)</f>
        <v>6.2370810777979523E-4</v>
      </c>
      <c r="BQ61" s="47">
        <f>_xll.qlPolynomialFunctionValue('1MSynthDepo_used'!$P$18,BD61,AllTriggers)</f>
        <v>6.2836176541061837E-4</v>
      </c>
    </row>
    <row r="62" spans="3:69" x14ac:dyDescent="0.2">
      <c r="K62" s="55"/>
      <c r="L62" s="55"/>
      <c r="M62" s="55"/>
      <c r="N62" s="55"/>
      <c r="BC62" s="178">
        <f>_xll.qlCalendarAdvance(Calendar,BC61,"1d","mf",,Trigger)</f>
        <v>42216</v>
      </c>
      <c r="BD62" s="41">
        <f>_xll.qlDayCounterYearFraction(DayCounter,SettlementDate,BC62,,,Trigger)</f>
        <v>0.21666666666666667</v>
      </c>
      <c r="BE62" s="47">
        <f>_xll.qlPolynomialFunctionValue(BE$1,$BD62,AllTriggers)</f>
        <v>3.1088115120674054E-4</v>
      </c>
      <c r="BF62" s="47">
        <f>_xll.qlPolynomialFunctionValue(BF$1,$BD62,AllTriggers)</f>
        <v>6.1319863622440543E-4</v>
      </c>
      <c r="BG62" s="47">
        <f>_xll.qlPolynomialFunctionValue(BG$1,$BD62,AllTriggers)</f>
        <v>6.2262476366860752E-4</v>
      </c>
      <c r="BH62" s="47">
        <f>_xll.qlPolynomialFunctionValue(BH$1,$BD62,AllTriggers)</f>
        <v>6.2649586301575752E-4</v>
      </c>
      <c r="BI62" s="47">
        <f>_xll.qlPolynomialFunctionValue(BI$1,$BD62,AllTriggers)</f>
        <v>2.9990349006195078E-4</v>
      </c>
      <c r="BJ62" s="47">
        <f>_xll.qlPolynomialFunctionValue(BJ$1,$BD62,AllTriggers)</f>
        <v>6.1917595405498792E-4</v>
      </c>
      <c r="BK62" s="47">
        <f>_xll.qlPolynomialFunctionValue(BK$1,$BD62,AllTriggers)</f>
        <v>6.2499330369458501E-4</v>
      </c>
      <c r="BL62" s="47">
        <f>_xll.qlPolynomialFunctionValue(BL$1,$BD62,AllTriggers)</f>
        <v>6.2730175671682194E-4</v>
      </c>
      <c r="BM62" s="47">
        <f>_xll.qlPolynomialFunctionValue(BM$1,$BD62,AllTriggers)</f>
        <v>6.0101240824768072E-4</v>
      </c>
      <c r="BN62" s="47">
        <f>_xll.qlPolynomialFunctionValue(BN$1,$BD62,AllTriggers)</f>
        <v>5.4906319672928632E-4</v>
      </c>
      <c r="BO62" s="47">
        <f>_xll.qlPolynomialFunctionValue(BO$1,$BD62,AllTriggers)</f>
        <v>5.7851911715670718E-4</v>
      </c>
      <c r="BP62" s="47">
        <f>_xll.qlPolynomialFunctionValue(BP$1,$BD62,AllTriggers)</f>
        <v>6.264958630157573E-4</v>
      </c>
      <c r="BQ62" s="47">
        <f>_xll.qlPolynomialFunctionValue('1MSynthDepo_used'!$P$18,BD62,AllTriggers)</f>
        <v>6.3414397809016441E-4</v>
      </c>
    </row>
    <row r="63" spans="3:69" x14ac:dyDescent="0.2">
      <c r="C63" s="194"/>
      <c r="D63" s="194"/>
      <c r="E63" s="195"/>
      <c r="H63" s="35"/>
      <c r="K63" s="55"/>
      <c r="L63" s="55"/>
      <c r="M63" s="55"/>
      <c r="N63" s="55"/>
      <c r="P63" s="35"/>
      <c r="Q63" s="35"/>
      <c r="R63" s="34"/>
      <c r="S63" s="34"/>
      <c r="BC63" s="178">
        <f>_xll.qlCalendarAdvance(Calendar,BC62,"1d","mf",,Trigger)</f>
        <v>42219</v>
      </c>
      <c r="BD63" s="41">
        <f>_xll.qlDayCounterYearFraction(DayCounter,SettlementDate,BC63,,,Trigger)</f>
        <v>0.22500000000000001</v>
      </c>
      <c r="BE63" s="47">
        <f>_xll.qlPolynomialFunctionValue(BE$1,$BD63,AllTriggers)</f>
        <v>2.9436642207645441E-4</v>
      </c>
      <c r="BF63" s="47">
        <f>_xll.qlPolynomialFunctionValue(BF$1,$BD63,AllTriggers)</f>
        <v>6.4523414182178723E-4</v>
      </c>
      <c r="BG63" s="47">
        <f>_xll.qlPolynomialFunctionValue(BG$1,$BD63,AllTriggers)</f>
        <v>6.3728439578450815E-4</v>
      </c>
      <c r="BH63" s="47">
        <f>_xll.qlPolynomialFunctionValue(BH$1,$BD63,AllTriggers)</f>
        <v>6.3401961320257486E-4</v>
      </c>
      <c r="BI63" s="47">
        <f>_xll.qlPolynomialFunctionValue(BI$1,$BD63,AllTriggers)</f>
        <v>2.8285571520373926E-4</v>
      </c>
      <c r="BJ63" s="47">
        <f>_xll.qlPolynomialFunctionValue(BJ$1,$BD63,AllTriggers)</f>
        <v>6.5180679123589375E-4</v>
      </c>
      <c r="BK63" s="47">
        <f>_xll.qlPolynomialFunctionValue(BK$1,$BD63,AllTriggers)</f>
        <v>6.3940583338146714E-4</v>
      </c>
      <c r="BL63" s="47">
        <f>_xll.qlPolynomialFunctionValue(BL$1,$BD63,AllTriggers)</f>
        <v>6.3448485898398186E-4</v>
      </c>
      <c r="BM63" s="47">
        <f>_xll.qlPolynomialFunctionValue(BM$1,$BD63,AllTriggers)</f>
        <v>6.0191722913135396E-4</v>
      </c>
      <c r="BN63" s="47">
        <f>_xll.qlPolynomialFunctionValue(BN$1,$BD63,AllTriggers)</f>
        <v>5.5549142989986459E-4</v>
      </c>
      <c r="BO63" s="47">
        <f>_xll.qlPolynomialFunctionValue(BO$1,$BD63,AllTriggers)</f>
        <v>5.866026479630764E-4</v>
      </c>
      <c r="BP63" s="47">
        <f>_xll.qlPolynomialFunctionValue(BP$1,$BD63,AllTriggers)</f>
        <v>6.3401961320257421E-4</v>
      </c>
      <c r="BQ63" s="47">
        <f>_xll.qlPolynomialFunctionValue('1MSynthDepo_used'!$P$18,BD63,AllTriggers)</f>
        <v>6.5044681927512891E-4</v>
      </c>
    </row>
    <row r="64" spans="3:69" x14ac:dyDescent="0.2">
      <c r="C64" s="194"/>
      <c r="D64" s="194"/>
      <c r="E64" s="195"/>
      <c r="H64" s="35"/>
      <c r="K64" s="55"/>
      <c r="L64" s="55"/>
      <c r="M64" s="55"/>
      <c r="N64" s="55"/>
      <c r="P64" s="35"/>
      <c r="Q64" s="35"/>
      <c r="R64" s="35"/>
      <c r="S64" s="35"/>
      <c r="BC64" s="178">
        <f>_xll.qlCalendarAdvance(Calendar,BC63,"1d","mf",,Trigger)</f>
        <v>42220</v>
      </c>
      <c r="BD64" s="41">
        <f>_xll.qlDayCounterYearFraction(DayCounter,SettlementDate,BC64,,,Trigger)</f>
        <v>0.22777777777777777</v>
      </c>
      <c r="BE64" s="47">
        <f>_xll.qlPolynomialFunctionValue(BE$1,$BD64,AllTriggers)</f>
        <v>2.8886151236635904E-4</v>
      </c>
      <c r="BF64" s="47">
        <f>_xll.qlPolynomialFunctionValue(BF$1,$BD64,AllTriggers)</f>
        <v>6.5659405049077631E-4</v>
      </c>
      <c r="BG64" s="47">
        <f>_xll.qlPolynomialFunctionValue(BG$1,$BD64,AllTriggers)</f>
        <v>6.4217093982314158E-4</v>
      </c>
      <c r="BH64" s="47">
        <f>_xll.qlPolynomialFunctionValue(BH$1,$BD64,AllTriggers)</f>
        <v>6.3624769142449095E-4</v>
      </c>
      <c r="BI64" s="47">
        <f>_xll.qlPolynomialFunctionValue(BI$1,$BD64,AllTriggers)</f>
        <v>2.7717312358433544E-4</v>
      </c>
      <c r="BJ64" s="47">
        <f>_xll.qlPolynomialFunctionValue(BJ$1,$BD64,AllTriggers)</f>
        <v>6.6337133020907878E-4</v>
      </c>
      <c r="BK64" s="47">
        <f>_xll.qlPolynomialFunctionValue(BK$1,$BD64,AllTriggers)</f>
        <v>6.4421000994376119E-4</v>
      </c>
      <c r="BL64" s="47">
        <f>_xll.qlPolynomialFunctionValue(BL$1,$BD64,AllTriggers)</f>
        <v>6.3660637419606092E-4</v>
      </c>
      <c r="BM64" s="47">
        <f>_xll.qlPolynomialFunctionValue(BM$1,$BD64,AllTriggers)</f>
        <v>6.0221883609257849E-4</v>
      </c>
      <c r="BN64" s="47">
        <f>_xll.qlPolynomialFunctionValue(BN$1,$BD64,AllTriggers)</f>
        <v>5.5784390450970426E-4</v>
      </c>
      <c r="BO64" s="47">
        <f>_xll.qlPolynomialFunctionValue(BO$1,$BD64,AllTriggers)</f>
        <v>5.8929715823186611E-4</v>
      </c>
      <c r="BP64" s="47">
        <f>_xll.qlPolynomialFunctionValue(BP$1,$BD64,AllTriggers)</f>
        <v>6.3624769142449052E-4</v>
      </c>
      <c r="BQ64" s="47">
        <f>_xll.qlPolynomialFunctionValue('1MSynthDepo_used'!$P$18,BD64,AllTriggers)</f>
        <v>6.5547871868720429E-4</v>
      </c>
    </row>
    <row r="65" spans="3:69" x14ac:dyDescent="0.2">
      <c r="C65" s="194"/>
      <c r="D65" s="194"/>
      <c r="E65" s="195"/>
      <c r="H65" s="35"/>
      <c r="K65" s="55"/>
      <c r="L65" s="55"/>
      <c r="M65" s="55"/>
      <c r="N65" s="55"/>
      <c r="P65" s="35"/>
      <c r="Q65" s="35"/>
      <c r="R65" s="35"/>
      <c r="S65" s="35"/>
      <c r="BC65" s="178">
        <f>_xll.qlCalendarAdvance(Calendar,BC64,"1d","mf",,Trigger)</f>
        <v>42221</v>
      </c>
      <c r="BD65" s="41">
        <f>_xll.qlDayCounterYearFraction(DayCounter,SettlementDate,BC65,,,Trigger)</f>
        <v>0.23055555555555557</v>
      </c>
      <c r="BE65" s="47">
        <f>_xll.qlPolynomialFunctionValue(BE$1,$BD65,AllTriggers)</f>
        <v>2.8335660265626367E-4</v>
      </c>
      <c r="BF65" s="47">
        <f>_xll.qlPolynomialFunctionValue(BF$1,$BD65,AllTriggers)</f>
        <v>6.6829466256136335E-4</v>
      </c>
      <c r="BG65" s="47">
        <f>_xll.qlPolynomialFunctionValue(BG$1,$BD65,AllTriggers)</f>
        <v>6.4705748386177523E-4</v>
      </c>
      <c r="BH65" s="47">
        <f>_xll.qlPolynomialFunctionValue(BH$1,$BD65,AllTriggers)</f>
        <v>6.3833585039289572E-4</v>
      </c>
      <c r="BI65" s="47">
        <f>_xll.qlPolynomialFunctionValue(BI$1,$BD65,AllTriggers)</f>
        <v>2.7149053196493151E-4</v>
      </c>
      <c r="BJ65" s="47">
        <f>_xll.qlPolynomialFunctionValue(BJ$1,$BD65,AllTriggers)</f>
        <v>6.7527966580537165E-4</v>
      </c>
      <c r="BK65" s="47">
        <f>_xll.qlPolynomialFunctionValue(BK$1,$BD65,AllTriggers)</f>
        <v>6.4901418650605523E-4</v>
      </c>
      <c r="BL65" s="47">
        <f>_xll.qlPolynomialFunctionValue(BL$1,$BD65,AllTriggers)</f>
        <v>6.3859146330298602E-4</v>
      </c>
      <c r="BM65" s="47">
        <f>_xll.qlPolynomialFunctionValue(BM$1,$BD65,AllTriggers)</f>
        <v>6.025204430538029E-4</v>
      </c>
      <c r="BN65" s="47">
        <f>_xll.qlPolynomialFunctionValue(BN$1,$BD65,AllTriggers)</f>
        <v>5.6030124422936712E-4</v>
      </c>
      <c r="BO65" s="47">
        <f>_xll.qlPolynomialFunctionValue(BO$1,$BD65,AllTriggers)</f>
        <v>5.9199166850065592E-4</v>
      </c>
      <c r="BP65" s="47">
        <f>_xll.qlPolynomialFunctionValue(BP$1,$BD65,AllTriggers)</f>
        <v>6.3833585039289528E-4</v>
      </c>
      <c r="BQ65" s="47">
        <f>_xll.qlPolynomialFunctionValue('1MSynthDepo_used'!$P$18,BD65,AllTriggers)</f>
        <v>6.6028220325864699E-4</v>
      </c>
    </row>
    <row r="66" spans="3:69" x14ac:dyDescent="0.2">
      <c r="C66" s="194"/>
      <c r="D66" s="194"/>
      <c r="E66" s="195"/>
      <c r="H66" s="35"/>
      <c r="K66" s="55"/>
      <c r="L66" s="55"/>
      <c r="M66" s="55"/>
      <c r="N66" s="55"/>
      <c r="P66" s="35"/>
      <c r="Q66" s="35"/>
      <c r="R66" s="35"/>
      <c r="S66" s="35"/>
      <c r="BC66" s="178">
        <f>_xll.qlCalendarAdvance(Calendar,BC65,"1d","mf",,Trigger)</f>
        <v>42222</v>
      </c>
      <c r="BD66" s="41">
        <f>_xll.qlDayCounterYearFraction(DayCounter,SettlementDate,BC66,,,Trigger)</f>
        <v>0.23333333333333334</v>
      </c>
      <c r="BE66" s="47">
        <f>_xll.qlPolynomialFunctionValue(BE$1,$BD66,AllTriggers)</f>
        <v>2.7785169294616829E-4</v>
      </c>
      <c r="BF66" s="47">
        <f>_xll.qlPolynomialFunctionValue(BF$1,$BD66,AllTriggers)</f>
        <v>6.8033597803354772E-4</v>
      </c>
      <c r="BG66" s="47">
        <f>_xll.qlPolynomialFunctionValue(BG$1,$BD66,AllTriggers)</f>
        <v>6.5194402790040866E-4</v>
      </c>
      <c r="BH66" s="47">
        <f>_xll.qlPolynomialFunctionValue(BH$1,$BD66,AllTriggers)</f>
        <v>6.4028409010778904E-4</v>
      </c>
      <c r="BI66" s="47">
        <f>_xll.qlPolynomialFunctionValue(BI$1,$BD66,AllTriggers)</f>
        <v>2.6580794034552769E-4</v>
      </c>
      <c r="BJ66" s="47">
        <f>_xll.qlPolynomialFunctionValue(BJ$1,$BD66,AllTriggers)</f>
        <v>6.8753179802477236E-4</v>
      </c>
      <c r="BK66" s="47">
        <f>_xll.qlPolynomialFunctionValue(BK$1,$BD66,AllTriggers)</f>
        <v>6.5381836306834928E-4</v>
      </c>
      <c r="BL66" s="47">
        <f>_xll.qlPolynomialFunctionValue(BL$1,$BD66,AllTriggers)</f>
        <v>6.4044012630475695E-4</v>
      </c>
      <c r="BM66" s="47">
        <f>_xll.qlPolynomialFunctionValue(BM$1,$BD66,AllTriggers)</f>
        <v>6.0282205001502731E-4</v>
      </c>
      <c r="BN66" s="47">
        <f>_xll.qlPolynomialFunctionValue(BN$1,$BD66,AllTriggers)</f>
        <v>5.6286344905885351E-4</v>
      </c>
      <c r="BO66" s="47">
        <f>_xll.qlPolynomialFunctionValue(BO$1,$BD66,AllTriggers)</f>
        <v>5.9468617876944562E-4</v>
      </c>
      <c r="BP66" s="47">
        <f>_xll.qlPolynomialFunctionValue(BP$1,$BD66,AllTriggers)</f>
        <v>6.402840901077885E-4</v>
      </c>
      <c r="BQ66" s="47">
        <f>_xll.qlPolynomialFunctionValue('1MSynthDepo_used'!$P$18,BD66,AllTriggers)</f>
        <v>6.6484093837995066E-4</v>
      </c>
    </row>
    <row r="67" spans="3:69" x14ac:dyDescent="0.2">
      <c r="C67" s="194"/>
      <c r="D67" s="194"/>
      <c r="E67" s="195"/>
      <c r="H67" s="35"/>
      <c r="K67" s="55"/>
      <c r="L67" s="55"/>
      <c r="M67" s="55"/>
      <c r="N67" s="55"/>
      <c r="P67" s="35"/>
      <c r="Q67" s="35"/>
      <c r="R67" s="35"/>
      <c r="S67" s="35"/>
      <c r="BC67" s="178">
        <f>_xll.qlCalendarAdvance(Calendar,BC66,"1d","mf",,Trigger)</f>
        <v>42223</v>
      </c>
      <c r="BD67" s="41">
        <f>_xll.qlDayCounterYearFraction(DayCounter,SettlementDate,BC67,,,Trigger)</f>
        <v>0.2361111111111111</v>
      </c>
      <c r="BE67" s="47">
        <f>_xll.qlPolynomialFunctionValue(BE$1,$BD67,AllTriggers)</f>
        <v>2.7234678323607292E-4</v>
      </c>
      <c r="BF67" s="47">
        <f>_xll.qlPolynomialFunctionValue(BF$1,$BD67,AllTriggers)</f>
        <v>6.9271799690733004E-4</v>
      </c>
      <c r="BG67" s="47">
        <f>_xll.qlPolynomialFunctionValue(BG$1,$BD67,AllTriggers)</f>
        <v>6.5683057193904209E-4</v>
      </c>
      <c r="BH67" s="47">
        <f>_xll.qlPolynomialFunctionValue(BH$1,$BD67,AllTriggers)</f>
        <v>6.4209241056917092E-4</v>
      </c>
      <c r="BI67" s="47">
        <f>_xll.qlPolynomialFunctionValue(BI$1,$BD67,AllTriggers)</f>
        <v>2.6012534872612387E-4</v>
      </c>
      <c r="BJ67" s="47">
        <f>_xll.qlPolynomialFunctionValue(BJ$1,$BD67,AllTriggers)</f>
        <v>7.0012772686728157E-4</v>
      </c>
      <c r="BK67" s="47">
        <f>_xll.qlPolynomialFunctionValue(BK$1,$BD67,AllTriggers)</f>
        <v>6.5862253963064321E-4</v>
      </c>
      <c r="BL67" s="47">
        <f>_xll.qlPolynomialFunctionValue(BL$1,$BD67,AllTriggers)</f>
        <v>6.4215236320137436E-4</v>
      </c>
      <c r="BM67" s="47">
        <f>_xll.qlPolynomialFunctionValue(BM$1,$BD67,AllTriggers)</f>
        <v>6.0312365697625173E-4</v>
      </c>
      <c r="BN67" s="47">
        <f>_xll.qlPolynomialFunctionValue(BN$1,$BD67,AllTriggers)</f>
        <v>5.6553051899816309E-4</v>
      </c>
      <c r="BO67" s="47">
        <f>_xll.qlPolynomialFunctionValue(BO$1,$BD67,AllTriggers)</f>
        <v>5.9738068903823533E-4</v>
      </c>
      <c r="BP67" s="47">
        <f>_xll.qlPolynomialFunctionValue(BP$1,$BD67,AllTriggers)</f>
        <v>6.4209241056917049E-4</v>
      </c>
      <c r="BQ67" s="47">
        <f>_xll.qlPolynomialFunctionValue('1MSynthDepo_used'!$P$18,BD67,AllTriggers)</f>
        <v>6.6913858944160805E-4</v>
      </c>
    </row>
    <row r="68" spans="3:69" x14ac:dyDescent="0.2">
      <c r="C68" s="194"/>
      <c r="D68" s="194"/>
      <c r="E68" s="195"/>
      <c r="H68" s="35"/>
      <c r="K68" s="55"/>
      <c r="L68" s="55"/>
      <c r="M68" s="55"/>
      <c r="N68" s="55"/>
      <c r="P68" s="35"/>
      <c r="Q68" s="35"/>
      <c r="R68" s="35"/>
      <c r="S68" s="35"/>
      <c r="BC68" s="178">
        <f>_xll.qlCalendarAdvance(Calendar,BC67,"1d","mf",,Trigger)</f>
        <v>42226</v>
      </c>
      <c r="BD68" s="41">
        <f>_xll.qlDayCounterYearFraction(DayCounter,SettlementDate,BC68,,,Trigger)</f>
        <v>0.24444444444444444</v>
      </c>
      <c r="BE68" s="47">
        <f>_xll.qlPolynomialFunctionValue(BE$1,$BD68,AllTriggers)</f>
        <v>2.558320541057868E-4</v>
      </c>
      <c r="BF68" s="47">
        <f>_xll.qlPolynomialFunctionValue(BF$1,$BD68,AllTriggers)</f>
        <v>7.3190827393826267E-4</v>
      </c>
      <c r="BG68" s="47">
        <f>_xll.qlPolynomialFunctionValue(BG$1,$BD68,AllTriggers)</f>
        <v>6.7149020405494271E-4</v>
      </c>
      <c r="BH68" s="47">
        <f>_xll.qlPolynomialFunctionValue(BH$1,$BD68,AllTriggers)</f>
        <v>6.4667785643224805E-4</v>
      </c>
      <c r="BI68" s="47">
        <f>_xll.qlPolynomialFunctionValue(BI$1,$BD68,AllTriggers)</f>
        <v>2.4307757386791235E-4</v>
      </c>
      <c r="BJ68" s="47">
        <f>_xll.qlPolynomialFunctionValue(BJ$1,$BD68,AllTriggers)</f>
        <v>7.3997829313345693E-4</v>
      </c>
      <c r="BK68" s="47">
        <f>_xll.qlPolynomialFunctionValue(BK$1,$BD68,AllTriggers)</f>
        <v>6.7303506931752524E-4</v>
      </c>
      <c r="BL68" s="47">
        <f>_xll.qlPolynomialFunctionValue(BL$1,$BD68,AllTriggers)</f>
        <v>6.4647051726030296E-4</v>
      </c>
      <c r="BM68" s="47">
        <f>_xll.qlPolynomialFunctionValue(BM$1,$BD68,AllTriggers)</f>
        <v>6.0402847785992508E-4</v>
      </c>
      <c r="BN68" s="47">
        <f>_xll.qlPolynomialFunctionValue(BN$1,$BD68,AllTriggers)</f>
        <v>5.7416091947503235E-4</v>
      </c>
      <c r="BO68" s="47">
        <f>_xll.qlPolynomialFunctionValue(BO$1,$BD68,AllTriggers)</f>
        <v>6.0546421984460455E-4</v>
      </c>
      <c r="BP68" s="47">
        <f>_xll.qlPolynomialFunctionValue(BP$1,$BD68,AllTriggers)</f>
        <v>6.4667785643224751E-4</v>
      </c>
      <c r="BQ68" s="47">
        <f>_xll.qlPolynomialFunctionValue('1MSynthDepo_used'!$P$18,BD68,AllTriggers)</f>
        <v>6.8030169217364448E-4</v>
      </c>
    </row>
    <row r="69" spans="3:69" x14ac:dyDescent="0.2">
      <c r="C69" s="194"/>
      <c r="D69" s="194"/>
      <c r="E69" s="195"/>
      <c r="G69" s="196"/>
      <c r="H69" s="35"/>
      <c r="J69" s="196"/>
      <c r="K69" s="55"/>
      <c r="L69" s="55"/>
      <c r="M69" s="55"/>
      <c r="N69" s="55"/>
      <c r="P69" s="35"/>
      <c r="Q69" s="35"/>
      <c r="R69" s="35"/>
      <c r="S69" s="35"/>
      <c r="BC69" s="178">
        <f>_xll.qlCalendarAdvance(Calendar,BC68,"1d","mf",,Trigger)</f>
        <v>42227</v>
      </c>
      <c r="BD69" s="41">
        <f>_xll.qlDayCounterYearFraction(DayCounter,SettlementDate,BC69,,,Trigger)</f>
        <v>0.24722222222222223</v>
      </c>
      <c r="BE69" s="47">
        <f>_xll.qlPolynomialFunctionValue(BE$1,$BD69,AllTriggers)</f>
        <v>2.5032714439569143E-4</v>
      </c>
      <c r="BF69" s="47">
        <f>_xll.qlPolynomialFunctionValue(BF$1,$BD69,AllTriggers)</f>
        <v>7.4565310641843579E-4</v>
      </c>
      <c r="BG69" s="47">
        <f>_xll.qlPolynomialFunctionValue(BG$1,$BD69,AllTriggers)</f>
        <v>6.7637674809357625E-4</v>
      </c>
      <c r="BH69" s="47">
        <f>_xll.qlPolynomialFunctionValue(BH$1,$BD69,AllTriggers)</f>
        <v>6.4792649987958418E-4</v>
      </c>
      <c r="BI69" s="47">
        <f>_xll.qlPolynomialFunctionValue(BI$1,$BD69,AllTriggers)</f>
        <v>2.3739498224850848E-4</v>
      </c>
      <c r="BJ69" s="47">
        <f>_xll.qlPolynomialFunctionValue(BJ$1,$BD69,AllTriggers)</f>
        <v>7.5394940846839861E-4</v>
      </c>
      <c r="BK69" s="47">
        <f>_xll.qlPolynomialFunctionValue(BK$1,$BD69,AllTriggers)</f>
        <v>6.7783924587981929E-4</v>
      </c>
      <c r="BL69" s="47">
        <f>_xll.qlPolynomialFunctionValue(BL$1,$BD69,AllTriggers)</f>
        <v>6.4763704973630465E-4</v>
      </c>
      <c r="BM69" s="47">
        <f>_xll.qlPolynomialFunctionValue(BM$1,$BD69,AllTriggers)</f>
        <v>6.0433008482114949E-4</v>
      </c>
      <c r="BN69" s="47">
        <f>_xll.qlPolynomialFunctionValue(BN$1,$BD69,AllTriggers)</f>
        <v>5.772474498536356E-4</v>
      </c>
      <c r="BO69" s="47">
        <f>_xll.qlPolynomialFunctionValue(BO$1,$BD69,AllTriggers)</f>
        <v>6.0815873011339436E-4</v>
      </c>
      <c r="BP69" s="47">
        <f>_xll.qlPolynomialFunctionValue(BP$1,$BD69,AllTriggers)</f>
        <v>6.4792649987958364E-4</v>
      </c>
      <c r="BQ69" s="47">
        <f>_xll.qlPolynomialFunctionValue('1MSynthDepo_used'!$P$18,BD69,AllTriggers)</f>
        <v>6.8339166090165587E-4</v>
      </c>
    </row>
    <row r="70" spans="3:69" x14ac:dyDescent="0.2">
      <c r="C70" s="194"/>
      <c r="D70" s="194"/>
      <c r="E70" s="195"/>
      <c r="H70" s="35"/>
      <c r="K70" s="55"/>
      <c r="L70" s="55"/>
      <c r="M70" s="55"/>
      <c r="N70" s="55"/>
      <c r="P70" s="35"/>
      <c r="Q70" s="35"/>
      <c r="R70" s="35"/>
      <c r="S70" s="35"/>
      <c r="T70" s="35"/>
      <c r="BC70" s="178">
        <f>_xll.qlCalendarAdvance(Calendar,BC69,"1d","mf",,Trigger)</f>
        <v>42228</v>
      </c>
      <c r="BD70" s="41">
        <f>_xll.qlDayCounterYearFraction(DayCounter,SettlementDate,BC70,,,Trigger)</f>
        <v>0.25</v>
      </c>
      <c r="BE70" s="47">
        <f>_xll.qlPolynomialFunctionValue(BE$1,$BD70,AllTriggers)</f>
        <v>2.4482223468559605E-4</v>
      </c>
      <c r="BF70" s="47">
        <f>_xll.qlPolynomialFunctionValue(BF$1,$BD70,AllTriggers)</f>
        <v>7.5973864230020622E-4</v>
      </c>
      <c r="BG70" s="47">
        <f>_xll.qlPolynomialFunctionValue(BG$1,$BD70,AllTriggers)</f>
        <v>6.8126329213220979E-4</v>
      </c>
      <c r="BH70" s="47">
        <f>_xll.qlPolynomialFunctionValue(BH$1,$BD70,AllTriggers)</f>
        <v>6.4903522407340887E-4</v>
      </c>
      <c r="BI70" s="47">
        <f>_xll.qlPolynomialFunctionValue(BI$1,$BD70,AllTriggers)</f>
        <v>2.317123906291046E-4</v>
      </c>
      <c r="BJ70" s="47">
        <f>_xll.qlPolynomialFunctionValue(BJ$1,$BD70,AllTriggers)</f>
        <v>7.6826432042644791E-4</v>
      </c>
      <c r="BK70" s="47">
        <f>_xll.qlPolynomialFunctionValue(BK$1,$BD70,AllTriggers)</f>
        <v>6.8264342244211333E-4</v>
      </c>
      <c r="BL70" s="47">
        <f>_xll.qlPolynomialFunctionValue(BL$1,$BD70,AllTriggers)</f>
        <v>6.4866715610715272E-4</v>
      </c>
      <c r="BM70" s="47">
        <f>_xll.qlPolynomialFunctionValue(BM$1,$BD70,AllTriggers)</f>
        <v>6.046316917823739E-4</v>
      </c>
      <c r="BN70" s="47">
        <f>_xll.qlPolynomialFunctionValue(BN$1,$BD70,AllTriggers)</f>
        <v>5.8043884534206215E-4</v>
      </c>
      <c r="BO70" s="47">
        <f>_xll.qlPolynomialFunctionValue(BO$1,$BD70,AllTriggers)</f>
        <v>6.1085324038218406E-4</v>
      </c>
      <c r="BP70" s="47">
        <f>_xll.qlPolynomialFunctionValue(BP$1,$BD70,AllTriggers)</f>
        <v>6.4903522407340822E-4</v>
      </c>
      <c r="BQ70" s="47">
        <f>_xll.qlPolynomialFunctionValue('1MSynthDepo_used'!$P$18,BD70,AllTriggers)</f>
        <v>6.8613887252249109E-4</v>
      </c>
    </row>
    <row r="71" spans="3:69" x14ac:dyDescent="0.2">
      <c r="C71" s="194"/>
      <c r="D71" s="194"/>
      <c r="K71" s="55"/>
      <c r="L71" s="55"/>
      <c r="M71" s="55"/>
      <c r="N71" s="55"/>
      <c r="S71" s="35"/>
      <c r="T71" s="35"/>
      <c r="BC71" s="178">
        <f>_xll.qlCalendarAdvance(Calendar,BC70,"1d","mf",,Trigger)</f>
        <v>42229</v>
      </c>
      <c r="BD71" s="41">
        <f>_xll.qlDayCounterYearFraction(DayCounter,SettlementDate,BC71,,,Trigger)</f>
        <v>0.25277777777777777</v>
      </c>
      <c r="BE71" s="47">
        <f>_xll.qlPolynomialFunctionValue(BE$1,$BD71,AllTriggers)</f>
        <v>2.3931732497550068E-4</v>
      </c>
      <c r="BF71" s="47">
        <f>_xll.qlPolynomialFunctionValue(BF$1,$BD71,AllTriggers)</f>
        <v>7.7416488158357419E-4</v>
      </c>
      <c r="BG71" s="47">
        <f>_xll.qlPolynomialFunctionValue(BG$1,$BD71,AllTriggers)</f>
        <v>6.8614983617084333E-4</v>
      </c>
      <c r="BH71" s="47">
        <f>_xll.qlPolynomialFunctionValue(BH$1,$BD71,AllTriggers)</f>
        <v>6.5000402901372212E-4</v>
      </c>
      <c r="BI71" s="47">
        <f>_xll.qlPolynomialFunctionValue(BI$1,$BD71,AllTriggers)</f>
        <v>2.2602979900970073E-4</v>
      </c>
      <c r="BJ71" s="47">
        <f>_xll.qlPolynomialFunctionValue(BJ$1,$BD71,AllTriggers)</f>
        <v>7.8292302900760528E-4</v>
      </c>
      <c r="BK71" s="47">
        <f>_xll.qlPolynomialFunctionValue(BK$1,$BD71,AllTriggers)</f>
        <v>6.8744759900440737E-4</v>
      </c>
      <c r="BL71" s="47">
        <f>_xll.qlPolynomialFunctionValue(BL$1,$BD71,AllTriggers)</f>
        <v>6.4956083637284694E-4</v>
      </c>
      <c r="BM71" s="47">
        <f>_xll.qlPolynomialFunctionValue(BM$1,$BD71,AllTriggers)</f>
        <v>6.0493329874359832E-4</v>
      </c>
      <c r="BN71" s="47">
        <f>_xll.qlPolynomialFunctionValue(BN$1,$BD71,AllTriggers)</f>
        <v>5.8373510594031223E-4</v>
      </c>
      <c r="BO71" s="47">
        <f>_xll.qlPolynomialFunctionValue(BO$1,$BD71,AllTriggers)</f>
        <v>6.1354775065097377E-4</v>
      </c>
      <c r="BP71" s="47">
        <f>_xll.qlPolynomialFunctionValue(BP$1,$BD71,AllTriggers)</f>
        <v>6.5000402901372136E-4</v>
      </c>
      <c r="BQ71" s="47">
        <f>_xll.qlPolynomialFunctionValue('1MSynthDepo_used'!$P$18,BD71,AllTriggers)</f>
        <v>6.8852699242664224E-4</v>
      </c>
    </row>
    <row r="72" spans="3:69" x14ac:dyDescent="0.2">
      <c r="C72" s="194"/>
      <c r="D72" s="194"/>
      <c r="K72" s="55"/>
      <c r="L72" s="55"/>
      <c r="M72" s="55"/>
      <c r="N72" s="55"/>
      <c r="S72" s="35"/>
      <c r="T72" s="35"/>
      <c r="BC72" s="178">
        <f>_xll.qlCalendarAdvance(Calendar,BC71,"1d","mf",,Trigger)</f>
        <v>42230</v>
      </c>
      <c r="BD72" s="41">
        <f>_xll.qlDayCounterYearFraction(DayCounter,SettlementDate,BC72,,,Trigger)</f>
        <v>0.25555555555555554</v>
      </c>
      <c r="BE72" s="47">
        <f>_xll.qlPolynomialFunctionValue(BE$1,$BD72,AllTriggers)</f>
        <v>2.338124152654053E-4</v>
      </c>
      <c r="BF72" s="47">
        <f>_xll.qlPolynomialFunctionValue(BF$1,$BD72,AllTriggers)</f>
        <v>7.8893182426854013E-4</v>
      </c>
      <c r="BG72" s="47">
        <f>_xll.qlPolynomialFunctionValue(BG$1,$BD72,AllTriggers)</f>
        <v>6.9103638020947687E-4</v>
      </c>
      <c r="BH72" s="47">
        <f>_xll.qlPolynomialFunctionValue(BH$1,$BD72,AllTriggers)</f>
        <v>6.5083291470052415E-4</v>
      </c>
      <c r="BI72" s="47">
        <f>_xll.qlPolynomialFunctionValue(BI$1,$BD72,AllTriggers)</f>
        <v>2.2034720739029696E-4</v>
      </c>
      <c r="BJ72" s="47">
        <f>_xll.qlPolynomialFunctionValue(BJ$1,$BD72,AllTriggers)</f>
        <v>7.979255342118707E-4</v>
      </c>
      <c r="BK72" s="47">
        <f>_xll.qlPolynomialFunctionValue(BK$1,$BD72,AllTriggers)</f>
        <v>6.9225177556670142E-4</v>
      </c>
      <c r="BL72" s="47">
        <f>_xll.qlPolynomialFunctionValue(BL$1,$BD72,AllTriggers)</f>
        <v>6.5031809053338688E-4</v>
      </c>
      <c r="BM72" s="47">
        <f>_xll.qlPolynomialFunctionValue(BM$1,$BD72,AllTriggers)</f>
        <v>6.0523490570482273E-4</v>
      </c>
      <c r="BN72" s="47">
        <f>_xll.qlPolynomialFunctionValue(BN$1,$BD72,AllTriggers)</f>
        <v>5.8713623164838541E-4</v>
      </c>
      <c r="BO72" s="47">
        <f>_xll.qlPolynomialFunctionValue(BO$1,$BD72,AllTriggers)</f>
        <v>6.1624226091976358E-4</v>
      </c>
      <c r="BP72" s="47">
        <f>_xll.qlPolynomialFunctionValue(BP$1,$BD72,AllTriggers)</f>
        <v>6.5083291470052339E-4</v>
      </c>
      <c r="BQ72" s="47">
        <f>_xll.qlPolynomialFunctionValue('1MSynthDepo_used'!$P$18,BD72,AllTriggers)</f>
        <v>6.9053968600460381E-4</v>
      </c>
    </row>
    <row r="73" spans="3:69" ht="11.25" customHeight="1" x14ac:dyDescent="0.2">
      <c r="C73" s="194"/>
      <c r="D73" s="194"/>
      <c r="K73" s="55"/>
      <c r="L73" s="55"/>
      <c r="M73" s="55"/>
      <c r="N73" s="55"/>
      <c r="S73" s="35"/>
      <c r="T73" s="35"/>
      <c r="BC73" s="182">
        <f>_xll.qlCalendarAdvance(Calendar,BC72,"1d","mf",,Trigger)</f>
        <v>42233</v>
      </c>
      <c r="BD73" s="44">
        <f>_xll.qlDayCounterYearFraction(DayCounter,SettlementDate,BC73,,,Trigger)</f>
        <v>0.2638888888888889</v>
      </c>
      <c r="BE73" s="50">
        <f>_xll.qlPolynomialFunctionValue(BE$1,$BD73,AllTriggers)</f>
        <v>2.1729768613511918E-4</v>
      </c>
      <c r="BF73" s="50">
        <f>_xll.qlPolynomialFunctionValue(BF$1,$BD73,AllTriggers)</f>
        <v>8.3527687273302401E-4</v>
      </c>
      <c r="BG73" s="50">
        <f>_xll.qlPolynomialFunctionValue(BG$1,$BD73,AllTriggers)</f>
        <v>7.056960123253775E-4</v>
      </c>
      <c r="BH73" s="50">
        <f>_xll.qlPolynomialFunctionValue(BH$1,$BD73,AllTriggers)</f>
        <v>6.5248005623986085E-4</v>
      </c>
      <c r="BI73" s="50">
        <f>_xll.qlPolynomialFunctionValue(BI$1,$BD73,AllTriggers)</f>
        <v>2.0329943253208534E-4</v>
      </c>
      <c r="BJ73" s="50">
        <f>_xll.qlPolynomialFunctionValue(BJ$1,$BD73,AllTriggers)</f>
        <v>8.4499582956331645E-4</v>
      </c>
      <c r="BK73" s="50">
        <f>_xll.qlPolynomialFunctionValue(BK$1,$BD73,AllTriggers)</f>
        <v>7.0666430525358345E-4</v>
      </c>
      <c r="BL73" s="50">
        <f>_xll.qlPolynomialFunctionValue(BL$1,$BD73,AllTriggers)</f>
        <v>6.5177129638408404E-4</v>
      </c>
      <c r="BM73" s="50">
        <f>_xll.qlPolynomialFunctionValue(BM$1,$BD73,AllTriggers)</f>
        <v>6.0613972658849608E-4</v>
      </c>
      <c r="BN73" s="50">
        <f>_xll.qlPolynomialFunctionValue(BN$1,$BD73,AllTriggers)</f>
        <v>5.9796879943154586E-4</v>
      </c>
      <c r="BO73" s="50">
        <f>_xll.qlPolynomialFunctionValue(BO$1,$BD73,AllTriggers)</f>
        <v>6.243257917261328E-4</v>
      </c>
      <c r="BP73" s="50">
        <f>_xll.qlPolynomialFunctionValue(BP$1,$BD73,AllTriggers)</f>
        <v>6.5248005623985998E-4</v>
      </c>
      <c r="BQ73" s="50">
        <f>_xll.qlPolynomialFunctionValue('1MSynthDepo_used'!$P$18,BD73,AllTriggers)</f>
        <v>6.9416186268628916E-4</v>
      </c>
    </row>
    <row r="74" spans="3:69" x14ac:dyDescent="0.2">
      <c r="C74" s="194"/>
      <c r="D74" s="194"/>
      <c r="K74" s="55"/>
      <c r="L74" s="55"/>
      <c r="M74" s="55"/>
      <c r="N74" s="55"/>
      <c r="S74" s="35"/>
      <c r="T74" s="35"/>
    </row>
    <row r="75" spans="3:69" x14ac:dyDescent="0.2">
      <c r="C75" s="194"/>
      <c r="D75" s="194"/>
      <c r="K75" s="55"/>
      <c r="L75" s="55"/>
      <c r="M75" s="55"/>
      <c r="N75" s="55"/>
      <c r="S75" s="35"/>
      <c r="T75" s="35"/>
    </row>
    <row r="76" spans="3:69" x14ac:dyDescent="0.2">
      <c r="C76" s="194"/>
      <c r="D76" s="194"/>
      <c r="K76" s="55"/>
      <c r="L76" s="55"/>
      <c r="M76" s="55"/>
      <c r="N76" s="55"/>
      <c r="S76" s="35"/>
    </row>
    <row r="77" spans="3:69" x14ac:dyDescent="0.2">
      <c r="K77" s="55"/>
      <c r="L77" s="55"/>
      <c r="M77" s="55"/>
      <c r="N77" s="55"/>
      <c r="S77" s="35"/>
    </row>
    <row r="78" spans="3:69" x14ac:dyDescent="0.2">
      <c r="K78" s="55"/>
      <c r="L78" s="55"/>
      <c r="M78" s="55"/>
      <c r="N78" s="55"/>
    </row>
    <row r="79" spans="3:69" x14ac:dyDescent="0.2">
      <c r="K79" s="55"/>
      <c r="L79" s="55"/>
      <c r="M79" s="55"/>
      <c r="N79" s="55"/>
    </row>
    <row r="80" spans="3:69" x14ac:dyDescent="0.2">
      <c r="K80" s="55"/>
      <c r="L80" s="55"/>
      <c r="M80" s="55"/>
      <c r="N80" s="55"/>
      <c r="R80" s="34"/>
    </row>
    <row r="81" spans="8:19" x14ac:dyDescent="0.2">
      <c r="K81" s="55"/>
      <c r="L81" s="55"/>
      <c r="M81" s="55"/>
      <c r="N81" s="55"/>
      <c r="R81" s="34"/>
    </row>
    <row r="82" spans="8:19" x14ac:dyDescent="0.2">
      <c r="K82" s="55"/>
      <c r="L82" s="55"/>
      <c r="M82" s="55"/>
      <c r="N82" s="55"/>
      <c r="R82" s="34"/>
    </row>
    <row r="83" spans="8:19" x14ac:dyDescent="0.2">
      <c r="K83" s="55"/>
      <c r="L83" s="55"/>
      <c r="M83" s="55"/>
      <c r="N83" s="55"/>
      <c r="R83" s="34"/>
    </row>
    <row r="84" spans="8:19" x14ac:dyDescent="0.2">
      <c r="H84" s="35"/>
      <c r="K84" s="55"/>
      <c r="L84" s="55"/>
      <c r="M84" s="55"/>
      <c r="N84" s="55"/>
      <c r="R84" s="34"/>
    </row>
    <row r="85" spans="8:19" x14ac:dyDescent="0.2">
      <c r="K85" s="55"/>
      <c r="L85" s="55"/>
      <c r="M85" s="55"/>
      <c r="N85" s="55"/>
      <c r="R85" s="34"/>
    </row>
    <row r="86" spans="8:19" x14ac:dyDescent="0.2">
      <c r="K86" s="55"/>
      <c r="L86" s="55"/>
      <c r="M86" s="55"/>
      <c r="N86" s="55"/>
      <c r="R86" s="34"/>
      <c r="S86" s="34"/>
    </row>
    <row r="87" spans="8:19" x14ac:dyDescent="0.2">
      <c r="K87" s="55"/>
      <c r="L87" s="55"/>
      <c r="M87" s="55"/>
      <c r="N87" s="55"/>
      <c r="R87" s="34"/>
      <c r="S87" s="34"/>
    </row>
    <row r="88" spans="8:19" x14ac:dyDescent="0.2">
      <c r="K88" s="55"/>
      <c r="L88" s="55"/>
      <c r="M88" s="55"/>
      <c r="N88" s="55"/>
      <c r="R88" s="34"/>
      <c r="S88" s="34"/>
    </row>
    <row r="89" spans="8:19" x14ac:dyDescent="0.2">
      <c r="K89" s="55"/>
      <c r="L89" s="55"/>
      <c r="M89" s="55"/>
      <c r="N89" s="55"/>
      <c r="R89" s="34"/>
      <c r="S89" s="34"/>
    </row>
    <row r="90" spans="8:19" x14ac:dyDescent="0.2">
      <c r="K90" s="55"/>
      <c r="L90" s="55"/>
      <c r="M90" s="55"/>
      <c r="N90" s="55"/>
      <c r="R90" s="34"/>
      <c r="S90" s="34"/>
    </row>
    <row r="91" spans="8:19" x14ac:dyDescent="0.2">
      <c r="K91" s="55"/>
      <c r="L91" s="55"/>
      <c r="M91" s="55"/>
      <c r="N91" s="55"/>
      <c r="R91" s="34"/>
      <c r="S91" s="34"/>
    </row>
    <row r="92" spans="8:19" x14ac:dyDescent="0.2">
      <c r="K92" s="55"/>
      <c r="L92" s="55"/>
      <c r="M92" s="55"/>
      <c r="N92" s="55"/>
      <c r="R92" s="34"/>
      <c r="S92" s="34"/>
    </row>
    <row r="93" spans="8:19" x14ac:dyDescent="0.2">
      <c r="K93" s="55"/>
      <c r="L93" s="55"/>
      <c r="M93" s="55"/>
      <c r="N93" s="55"/>
      <c r="R93" s="34"/>
      <c r="S93" s="34"/>
    </row>
    <row r="94" spans="8:19" x14ac:dyDescent="0.2">
      <c r="K94" s="55"/>
      <c r="L94" s="55"/>
      <c r="M94" s="55"/>
      <c r="N94" s="55"/>
      <c r="R94" s="34"/>
      <c r="S94" s="34"/>
    </row>
    <row r="95" spans="8:19" x14ac:dyDescent="0.2">
      <c r="K95" s="55"/>
      <c r="L95" s="55"/>
      <c r="M95" s="55"/>
      <c r="N95" s="55"/>
      <c r="R95" s="34"/>
      <c r="S95" s="34"/>
    </row>
    <row r="96" spans="8:19" x14ac:dyDescent="0.2">
      <c r="K96" s="55"/>
      <c r="L96" s="55"/>
      <c r="M96" s="55"/>
      <c r="N96" s="55"/>
      <c r="R96" s="34"/>
      <c r="S96" s="34"/>
    </row>
    <row r="97" spans="11:19" x14ac:dyDescent="0.2">
      <c r="K97" s="55"/>
      <c r="L97" s="55"/>
      <c r="M97" s="55"/>
      <c r="N97" s="55"/>
      <c r="R97" s="34"/>
      <c r="S97" s="34"/>
    </row>
    <row r="98" spans="11:19" x14ac:dyDescent="0.2">
      <c r="K98" s="55"/>
      <c r="L98" s="55"/>
      <c r="M98" s="55"/>
      <c r="N98" s="55"/>
      <c r="R98" s="34"/>
      <c r="S98" s="34"/>
    </row>
    <row r="99" spans="11:19" x14ac:dyDescent="0.2">
      <c r="K99" s="55"/>
      <c r="L99" s="55"/>
      <c r="M99" s="55"/>
      <c r="N99" s="55"/>
      <c r="R99" s="34"/>
      <c r="S99" s="34"/>
    </row>
    <row r="100" spans="11:19" x14ac:dyDescent="0.2">
      <c r="K100" s="55"/>
      <c r="L100" s="55"/>
      <c r="M100" s="55"/>
      <c r="N100" s="55"/>
      <c r="R100" s="34"/>
      <c r="S100" s="34"/>
    </row>
    <row r="101" spans="11:19" x14ac:dyDescent="0.2">
      <c r="K101" s="55"/>
      <c r="L101" s="55"/>
      <c r="M101" s="55"/>
      <c r="N101" s="55"/>
      <c r="R101" s="34"/>
      <c r="S101" s="34"/>
    </row>
    <row r="102" spans="11:19" x14ac:dyDescent="0.2">
      <c r="K102" s="55"/>
      <c r="L102" s="55"/>
      <c r="M102" s="55"/>
      <c r="N102" s="55"/>
      <c r="R102" s="34"/>
      <c r="S102" s="34"/>
    </row>
    <row r="103" spans="11:19" x14ac:dyDescent="0.2">
      <c r="K103" s="55"/>
      <c r="L103" s="55"/>
      <c r="M103" s="55"/>
      <c r="N103" s="55"/>
      <c r="R103" s="34"/>
      <c r="S103" s="34"/>
    </row>
    <row r="104" spans="11:19" x14ac:dyDescent="0.2">
      <c r="K104" s="55"/>
      <c r="L104" s="55"/>
      <c r="M104" s="55"/>
      <c r="N104" s="55"/>
      <c r="R104" s="34"/>
      <c r="S104" s="34"/>
    </row>
    <row r="105" spans="11:19" x14ac:dyDescent="0.2">
      <c r="R105" s="34"/>
      <c r="S105" s="34"/>
    </row>
    <row r="106" spans="11:19" x14ac:dyDescent="0.2">
      <c r="R106" s="34"/>
      <c r="S106" s="34"/>
    </row>
    <row r="107" spans="11:19" x14ac:dyDescent="0.2">
      <c r="R107" s="34"/>
      <c r="S107" s="34"/>
    </row>
    <row r="108" spans="11:19" x14ac:dyDescent="0.2">
      <c r="R108" s="34"/>
      <c r="S108" s="34"/>
    </row>
    <row r="109" spans="11:19" x14ac:dyDescent="0.2">
      <c r="R109" s="34"/>
      <c r="S109" s="34"/>
    </row>
    <row r="110" spans="11:19" x14ac:dyDescent="0.2">
      <c r="R110" s="34"/>
      <c r="S110" s="34"/>
    </row>
    <row r="111" spans="11:19" x14ac:dyDescent="0.2">
      <c r="R111" s="34"/>
      <c r="S111" s="34"/>
    </row>
    <row r="112" spans="11:19" x14ac:dyDescent="0.2">
      <c r="R112" s="34"/>
      <c r="S112" s="34"/>
    </row>
    <row r="113" spans="18:19" x14ac:dyDescent="0.2">
      <c r="R113" s="34"/>
      <c r="S113" s="34"/>
    </row>
    <row r="114" spans="18:19" x14ac:dyDescent="0.2">
      <c r="R114" s="34"/>
      <c r="S114" s="34"/>
    </row>
    <row r="115" spans="18:19" x14ac:dyDescent="0.2">
      <c r="R115" s="34"/>
      <c r="S115" s="34"/>
    </row>
    <row r="116" spans="18:19" x14ac:dyDescent="0.2">
      <c r="R116" s="34"/>
      <c r="S116" s="34"/>
    </row>
    <row r="117" spans="18:19" x14ac:dyDescent="0.2">
      <c r="R117" s="34"/>
      <c r="S117" s="34"/>
    </row>
    <row r="118" spans="18:19" x14ac:dyDescent="0.2">
      <c r="R118" s="34"/>
      <c r="S118" s="34"/>
    </row>
    <row r="119" spans="18:19" x14ac:dyDescent="0.2">
      <c r="R119" s="34"/>
      <c r="S119" s="34"/>
    </row>
    <row r="120" spans="18:19" x14ac:dyDescent="0.2">
      <c r="R120" s="34"/>
      <c r="S120" s="34"/>
    </row>
    <row r="121" spans="18:19" x14ac:dyDescent="0.2">
      <c r="R121" s="34"/>
      <c r="S121" s="34"/>
    </row>
    <row r="122" spans="18:19" x14ac:dyDescent="0.2">
      <c r="R122" s="34"/>
      <c r="S122" s="34"/>
    </row>
    <row r="123" spans="18:19" x14ac:dyDescent="0.2">
      <c r="R123" s="34"/>
      <c r="S123" s="34"/>
    </row>
    <row r="124" spans="18:19" x14ac:dyDescent="0.2">
      <c r="R124" s="34"/>
      <c r="S124" s="34"/>
    </row>
    <row r="125" spans="18:19" x14ac:dyDescent="0.2">
      <c r="R125" s="34"/>
      <c r="S125" s="34"/>
    </row>
    <row r="126" spans="18:19" x14ac:dyDescent="0.2">
      <c r="R126" s="34"/>
      <c r="S126" s="34"/>
    </row>
    <row r="127" spans="18:19" x14ac:dyDescent="0.2">
      <c r="R127" s="34"/>
      <c r="S127" s="34"/>
    </row>
    <row r="128" spans="18:19" x14ac:dyDescent="0.2">
      <c r="R128" s="34"/>
      <c r="S128" s="34"/>
    </row>
    <row r="129" spans="18:19" x14ac:dyDescent="0.2">
      <c r="R129" s="34"/>
      <c r="S129" s="34"/>
    </row>
    <row r="130" spans="18:19" x14ac:dyDescent="0.2">
      <c r="R130" s="34"/>
      <c r="S130" s="34"/>
    </row>
    <row r="131" spans="18:19" x14ac:dyDescent="0.2">
      <c r="R131" s="34"/>
      <c r="S131" s="34"/>
    </row>
    <row r="132" spans="18:19" x14ac:dyDescent="0.2">
      <c r="R132" s="34"/>
      <c r="S132" s="34"/>
    </row>
    <row r="133" spans="18:19" x14ac:dyDescent="0.2">
      <c r="R133" s="35"/>
      <c r="S133" s="34"/>
    </row>
    <row r="134" spans="18:19" x14ac:dyDescent="0.2">
      <c r="R134" s="35"/>
      <c r="S134" s="34"/>
    </row>
    <row r="135" spans="18:19" x14ac:dyDescent="0.2">
      <c r="R135" s="35"/>
      <c r="S135" s="34"/>
    </row>
    <row r="136" spans="18:19" x14ac:dyDescent="0.2">
      <c r="R136" s="35"/>
      <c r="S136" s="34"/>
    </row>
    <row r="137" spans="18:19" x14ac:dyDescent="0.2">
      <c r="R137" s="35"/>
      <c r="S137" s="34"/>
    </row>
    <row r="138" spans="18:19" x14ac:dyDescent="0.2">
      <c r="R138" s="35"/>
      <c r="S138" s="34"/>
    </row>
    <row r="139" spans="18:19" x14ac:dyDescent="0.2">
      <c r="R139" s="35"/>
      <c r="S139" s="35"/>
    </row>
    <row r="140" spans="18:19" x14ac:dyDescent="0.2">
      <c r="R140" s="35"/>
      <c r="S140" s="35"/>
    </row>
    <row r="141" spans="18:19" x14ac:dyDescent="0.2">
      <c r="R141" s="35"/>
      <c r="S141" s="35"/>
    </row>
    <row r="142" spans="18:19" x14ac:dyDescent="0.2">
      <c r="R142" s="35"/>
      <c r="S142" s="35"/>
    </row>
    <row r="143" spans="18:19" x14ac:dyDescent="0.2">
      <c r="R143" s="35"/>
      <c r="S143" s="35"/>
    </row>
    <row r="144" spans="18:19" x14ac:dyDescent="0.2">
      <c r="R144" s="35"/>
      <c r="S144" s="35"/>
    </row>
    <row r="145" spans="18:19" x14ac:dyDescent="0.2">
      <c r="R145" s="35"/>
      <c r="S145" s="35"/>
    </row>
    <row r="146" spans="18:19" x14ac:dyDescent="0.2">
      <c r="R146" s="35"/>
      <c r="S146" s="35"/>
    </row>
    <row r="147" spans="18:19" x14ac:dyDescent="0.2">
      <c r="R147" s="35"/>
      <c r="S147" s="35"/>
    </row>
    <row r="148" spans="18:19" x14ac:dyDescent="0.2">
      <c r="R148" s="35"/>
      <c r="S148" s="35"/>
    </row>
    <row r="149" spans="18:19" x14ac:dyDescent="0.2">
      <c r="S149" s="35"/>
    </row>
    <row r="150" spans="18:19" x14ac:dyDescent="0.2">
      <c r="S150" s="35"/>
    </row>
    <row r="151" spans="18:19" x14ac:dyDescent="0.2">
      <c r="S151" s="35"/>
    </row>
    <row r="152" spans="18:19" x14ac:dyDescent="0.2">
      <c r="S152" s="35"/>
    </row>
    <row r="153" spans="18:19" x14ac:dyDescent="0.2">
      <c r="S153" s="35"/>
    </row>
    <row r="154" spans="18:19" x14ac:dyDescent="0.2">
      <c r="S154" s="35"/>
    </row>
  </sheetData>
  <mergeCells count="16">
    <mergeCell ref="AH14:AH16"/>
    <mergeCell ref="AJ14:AJ16"/>
    <mergeCell ref="AT14:AT16"/>
    <mergeCell ref="AV14:AV16"/>
    <mergeCell ref="AH19:AH21"/>
    <mergeCell ref="AJ19:AJ21"/>
    <mergeCell ref="AT19:AT21"/>
    <mergeCell ref="AV19:AV21"/>
    <mergeCell ref="AH5:AH6"/>
    <mergeCell ref="AJ5:AJ6"/>
    <mergeCell ref="AT5:AT6"/>
    <mergeCell ref="AV5:AV6"/>
    <mergeCell ref="AH9:AH10"/>
    <mergeCell ref="AJ9:AJ10"/>
    <mergeCell ref="AT9:AT10"/>
    <mergeCell ref="AV9:AV10"/>
  </mergeCells>
  <dataValidations count="4">
    <dataValidation type="list" allowBlank="1" showInputMessage="1" showErrorMessage="1" sqref="D24:D25">
      <formula1>"FIXING,ESTIMATED"</formula1>
    </dataValidation>
    <dataValidation type="list" allowBlank="1" showInputMessage="1" showErrorMessage="1" sqref="T7:V9 T10:W10 S4:V6 S15:V17">
      <formula1>"TRUE,FALSE"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3:T3 S14:T14">
      <formula1>"TRUE"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</vt:i4>
      </vt:variant>
    </vt:vector>
  </HeadingPairs>
  <TitlesOfParts>
    <vt:vector size="42" baseType="lpstr">
      <vt:lpstr>General Settings</vt:lpstr>
      <vt:lpstr>6MSynthDepo_used</vt:lpstr>
      <vt:lpstr>6MSynthDepo_allScenario</vt:lpstr>
      <vt:lpstr>3MSynthDepo_used</vt:lpstr>
      <vt:lpstr>3MSynthDepo_allScenario</vt:lpstr>
      <vt:lpstr>12MSynthDepo_used</vt:lpstr>
      <vt:lpstr>12MSynthDepo_allScenario</vt:lpstr>
      <vt:lpstr>1MSynthDepo_used</vt:lpstr>
      <vt:lpstr>1MSynthDepo_allScenario</vt:lpstr>
      <vt:lpstr>AllTriggers</vt:lpstr>
      <vt:lpstr>'12MSynthDepo_used'!Basis_coef</vt:lpstr>
      <vt:lpstr>'1MSynthDepo_used'!Basis_coef</vt:lpstr>
      <vt:lpstr>'3MSynthDepo_used'!Basis_coef</vt:lpstr>
      <vt:lpstr>'6MSynthDepo_used'!Basis_coef</vt:lpstr>
      <vt:lpstr>Calendar</vt:lpstr>
      <vt:lpstr>Currency</vt:lpstr>
      <vt:lpstr>DayCounter</vt:lpstr>
      <vt:lpstr>Discounting</vt:lpstr>
      <vt:lpstr>EvaluationDate</vt:lpstr>
      <vt:lpstr>IborType</vt:lpstr>
      <vt:lpstr>InterestRatesTrigger</vt:lpstr>
      <vt:lpstr>'12MSynthDepo_allScenario'!IsSimple</vt:lpstr>
      <vt:lpstr>'1MSynthDepo_allScenario'!IsSimple</vt:lpstr>
      <vt:lpstr>'3MSynthDepo_allScenario'!IsSimple</vt:lpstr>
      <vt:lpstr>'6MSynthDepo_allScenario'!IsSimple</vt:lpstr>
      <vt:lpstr>LastFixingsTrigger</vt:lpstr>
      <vt:lpstr>ObjectOverwrite</vt:lpstr>
      <vt:lpstr>OisCurve</vt:lpstr>
      <vt:lpstr>ON_12M_index</vt:lpstr>
      <vt:lpstr>ON_1M_index</vt:lpstr>
      <vt:lpstr>ON_3M_index</vt:lpstr>
      <vt:lpstr>ON_6M_index</vt:lpstr>
      <vt:lpstr>OvernightIndex</vt:lpstr>
      <vt:lpstr>Permanent</vt:lpstr>
      <vt:lpstr>QuoteSuffix</vt:lpstr>
      <vt:lpstr>SettlementDate</vt:lpstr>
      <vt:lpstr>'12MSynthDepo_used'!TenorBasis6M</vt:lpstr>
      <vt:lpstr>'1MSynthDepo_used'!TenorBasis6M</vt:lpstr>
      <vt:lpstr>'3MSynthDepo_used'!TenorBasis6M</vt:lpstr>
      <vt:lpstr>TenorBasis6M</vt:lpstr>
      <vt:lpstr>Trigger</vt:lpstr>
      <vt:lpstr>TriggerCounter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MAZZOCCHI PAOLO</cp:lastModifiedBy>
  <cp:lastPrinted>2014-03-18T13:51:31Z</cp:lastPrinted>
  <dcterms:created xsi:type="dcterms:W3CDTF">2007-10-30T15:41:10Z</dcterms:created>
  <dcterms:modified xsi:type="dcterms:W3CDTF">2015-06-22T10:34:59Z</dcterms:modified>
</cp:coreProperties>
</file>
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 defaultThemeVersion="124226"/>
  <bookViews>
    <workbookView xWindow="9285" yWindow="-15" windowWidth="9300" windowHeight="12990" activeTab="3"/>
  </bookViews>
  <sheets>
    <sheet name="General Settings" sheetId="4" r:id="rId1"/>
    <sheet name="1M Basis" sheetId="7" r:id="rId2"/>
    <sheet name="3M Basis" sheetId="6" r:id="rId3"/>
    <sheet name="6M Basis" sheetId="9" r:id="rId4"/>
    <sheet name="12M Basis" sheetId="8" r:id="rId5"/>
  </sheets>
  <externalReferences>
    <externalReference r:id="rId6"/>
  </externalReferences>
  <definedNames>
    <definedName name="AllTriggers">'General Settings'!$I$4:$I$8</definedName>
    <definedName name="Calendar">'General Settings'!$D$5</definedName>
    <definedName name="ContBasis" localSheetId="4">'12M Basis'!$M$8:$M$11</definedName>
    <definedName name="ContBasis" localSheetId="1">'1M Basis'!$M$8:$M$11</definedName>
    <definedName name="ContBasis" localSheetId="2">'3M Basis'!$M$8:$M$11</definedName>
    <definedName name="ContBasis" localSheetId="3">'6M Basis'!$M$8:$M$11</definedName>
    <definedName name="Currency">'General Settings'!$D$4</definedName>
    <definedName name="DataTable" localSheetId="4">'12M Basis'!$A$3:$J$16</definedName>
    <definedName name="DataTable" localSheetId="1">'1M Basis'!$A$3:$J$16</definedName>
    <definedName name="DataTable" localSheetId="2">'3M Basis'!$A$3:$J$16</definedName>
    <definedName name="DataTable" localSheetId="3">'6M Basis'!$A$3:$J$16</definedName>
    <definedName name="DayCounter">'General Settings'!$D$9</definedName>
    <definedName name="Error_ContBasis" localSheetId="4">'12M Basis'!$M$14</definedName>
    <definedName name="Error_ContBasis" localSheetId="1">'1M Basis'!$M$14</definedName>
    <definedName name="Error_ContBasis" localSheetId="2">'3M Basis'!$M$14</definedName>
    <definedName name="Error_ContBasis" localSheetId="3">'6M Basis'!$M$14</definedName>
    <definedName name="Error_SimpleBasis" localSheetId="4">'12M Basis'!$M$31</definedName>
    <definedName name="Error_SimpleBasis" localSheetId="1">'1M Basis'!$M$31</definedName>
    <definedName name="Error_SimpleBasis" localSheetId="2">'3M Basis'!$M$31</definedName>
    <definedName name="Error_SimpleBasis" localSheetId="3">'6M Basis'!#REF!</definedName>
    <definedName name="EvaluationDate">'General Settings'!$I$5</definedName>
    <definedName name="IborType">'General Settings'!$D$6</definedName>
    <definedName name="Index" localSheetId="4">'12M Basis'!$M$5</definedName>
    <definedName name="Index" localSheetId="1">'1M Basis'!$M$5</definedName>
    <definedName name="Index" localSheetId="2">'3M Basis'!$M$5</definedName>
    <definedName name="Index" localSheetId="3">'6M Basis'!$M$5</definedName>
    <definedName name="InterestRatesTrigger">'General Settings'!$I$7</definedName>
    <definedName name="OisCurve">'General Settings'!$D$8</definedName>
    <definedName name="SettlementDate">'General Settings'!$I$6</definedName>
    <definedName name="SimpleBasis" localSheetId="4">'12M Basis'!$M$25:$M$28</definedName>
    <definedName name="SimpleBasis" localSheetId="1">'1M Basis'!$M$25:$M$28</definedName>
    <definedName name="SimpleBasis" localSheetId="2">'3M Basis'!$M$25:$M$28</definedName>
    <definedName name="SimpleBasis" localSheetId="3">'6M Basis'!$M$27:$M$30</definedName>
    <definedName name="solver_adj" localSheetId="4" hidden="1">'12M Basis'!$M$25:$M$28</definedName>
    <definedName name="solver_adj" localSheetId="1" hidden="1">'1M Basis'!$M$25:$M$28</definedName>
    <definedName name="solver_adj" localSheetId="2" hidden="1">'3M Basis'!$M$25:$M$28</definedName>
    <definedName name="solver_adj" localSheetId="3" hidden="1">'6M Basis'!$M$27:$M$30</definedName>
    <definedName name="solver_cvg" localSheetId="4" hidden="1">0.0000000000001</definedName>
    <definedName name="solver_cvg" localSheetId="1" hidden="1">0.0000000000001</definedName>
    <definedName name="solver_cvg" localSheetId="2" hidden="1">0.0000000000001</definedName>
    <definedName name="solver_cvg" localSheetId="3" hidden="1">0.0000000000001</definedName>
    <definedName name="solver_drv" localSheetId="4" hidden="1">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4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4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4" hidden="1">2147483647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4" hidden="1">'12M Basis'!$M$10</definedName>
    <definedName name="solver_lhs1" localSheetId="1" hidden="1">'1M Basis'!$M$10</definedName>
    <definedName name="solver_lhs1" localSheetId="2" hidden="1">'3M Basis'!$M$10</definedName>
    <definedName name="solver_lhs1" localSheetId="3" hidden="1">'6M Basis'!$M$10</definedName>
    <definedName name="solver_lhs2" localSheetId="4" hidden="1">'12M Basis'!$M$10</definedName>
    <definedName name="solver_lhs2" localSheetId="1" hidden="1">'1M Basis'!$M$10</definedName>
    <definedName name="solver_lhs2" localSheetId="2" hidden="1">'3M Basis'!$M$10</definedName>
    <definedName name="solver_lhs2" localSheetId="3" hidden="1">'6M Basis'!$M$10</definedName>
    <definedName name="solver_lhs3" localSheetId="4" hidden="1">'12M Basis'!$M$10</definedName>
    <definedName name="solver_lhs3" localSheetId="1" hidden="1">'1M Basis'!$M$10</definedName>
    <definedName name="solver_lhs3" localSheetId="2" hidden="1">'3M Basis'!$M$10</definedName>
    <definedName name="solver_lhs3" localSheetId="3" hidden="1">'6M Basis'!$M$10</definedName>
    <definedName name="solver_mip" localSheetId="4" hidden="1">2147483647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4" hidden="1">30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4" hidden="1">0.075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4" hidden="1">2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4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4" hidden="1">2147483647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4" hidden="1">0</definedName>
    <definedName name="solver_num" localSheetId="1" hidden="1">0</definedName>
    <definedName name="solver_num" localSheetId="2" hidden="1">0</definedName>
    <definedName name="solver_num" localSheetId="3" hidden="1">0</definedName>
    <definedName name="solver_nwt" localSheetId="4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4" hidden="1">'12M Basis'!$M$31</definedName>
    <definedName name="solver_opt" localSheetId="1" hidden="1">'1M Basis'!$M$31</definedName>
    <definedName name="solver_opt" localSheetId="2" hidden="1">'3M Basis'!$M$31</definedName>
    <definedName name="solver_opt" localSheetId="3" hidden="1">'6M Basis'!#REF!</definedName>
    <definedName name="solver_pre" localSheetId="4" hidden="1">0.000001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4" hidden="1">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4" hidden="1">3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2" localSheetId="4" hidden="1">3</definedName>
    <definedName name="solver_rel2" localSheetId="1" hidden="1">3</definedName>
    <definedName name="solver_rel2" localSheetId="2" hidden="1">3</definedName>
    <definedName name="solver_rel2" localSheetId="3" hidden="1">3</definedName>
    <definedName name="solver_rel3" localSheetId="4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hs1" localSheetId="4" hidden="1">0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2" localSheetId="4" hidden="1">0</definedName>
    <definedName name="solver_rhs2" localSheetId="1" hidden="1">0</definedName>
    <definedName name="solver_rhs2" localSheetId="2" hidden="1">0</definedName>
    <definedName name="solver_rhs2" localSheetId="3" hidden="1">0</definedName>
    <definedName name="solver_rhs3" localSheetId="4" hidden="1">0</definedName>
    <definedName name="solver_rhs3" localSheetId="1" hidden="1">0</definedName>
    <definedName name="solver_rhs3" localSheetId="2" hidden="1">0</definedName>
    <definedName name="solver_rhs3" localSheetId="3" hidden="1">0</definedName>
    <definedName name="solver_rlx" localSheetId="4" hidden="1">2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4" hidden="1">0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4" hidden="1">1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4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4" hidden="1">100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4" hidden="1">2147483647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4" hidden="1">0.01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4" hidden="1">2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4" hidden="1">0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4" hidden="1">3</definedName>
    <definedName name="solver_ver" localSheetId="1" hidden="1">3</definedName>
    <definedName name="solver_ver" localSheetId="2" hidden="1">3</definedName>
    <definedName name="solver_ver" localSheetId="3" hidden="1">3</definedName>
    <definedName name="TenorBasis6M" localSheetId="4">'12M Basis'!$M$22</definedName>
    <definedName name="TenorBasis6M" localSheetId="1">'1M Basis'!$M$22</definedName>
    <definedName name="TenorBasis6M" localSheetId="2">'3M Basis'!$M$22</definedName>
    <definedName name="TenorBasis6M" localSheetId="3">'6M Basis'!$M$22</definedName>
    <definedName name="TenorBasis6M">#REF!</definedName>
    <definedName name="Trigger">'General Settings'!$I$4</definedName>
  </definedNames>
  <calcPr calcId="145621"/>
</workbook>
</file>

<file path=xl/calcChain.xml><?xml version="1.0" encoding="utf-8"?>
<calcChain xmlns="http://schemas.openxmlformats.org/spreadsheetml/2006/main">
  <c r="E16" i="9" l="1"/>
  <c r="E15" i="9"/>
  <c r="E14" i="9"/>
  <c r="E13" i="9"/>
  <c r="E12" i="9"/>
  <c r="E11" i="9"/>
  <c r="E10" i="9"/>
  <c r="E9" i="9"/>
  <c r="E8" i="9"/>
  <c r="E7" i="9"/>
  <c r="L6" i="9"/>
  <c r="E6" i="9"/>
  <c r="E5" i="9"/>
  <c r="E4" i="9"/>
  <c r="P3" i="9"/>
  <c r="E3" i="9"/>
  <c r="U2" i="9"/>
  <c r="E16" i="8"/>
  <c r="E15" i="8"/>
  <c r="E14" i="8"/>
  <c r="E13" i="8"/>
  <c r="E12" i="8"/>
  <c r="E11" i="8"/>
  <c r="E10" i="8"/>
  <c r="E9" i="8"/>
  <c r="E8" i="8"/>
  <c r="E7" i="8"/>
  <c r="L6" i="8"/>
  <c r="E6" i="8"/>
  <c r="E5" i="8"/>
  <c r="E4" i="8"/>
  <c r="P3" i="8"/>
  <c r="E3" i="8"/>
  <c r="U2" i="8"/>
  <c r="E16" i="7"/>
  <c r="E15" i="7"/>
  <c r="E14" i="7"/>
  <c r="E13" i="7"/>
  <c r="E12" i="7"/>
  <c r="E11" i="7"/>
  <c r="E10" i="7"/>
  <c r="E9" i="7"/>
  <c r="E8" i="7"/>
  <c r="E7" i="7"/>
  <c r="L6" i="7"/>
  <c r="E6" i="7"/>
  <c r="E5" i="7"/>
  <c r="E4" i="7"/>
  <c r="P3" i="7"/>
  <c r="E3" i="7"/>
  <c r="U2" i="7"/>
  <c r="E16" i="6"/>
  <c r="E15" i="6"/>
  <c r="E14" i="6"/>
  <c r="E13" i="6"/>
  <c r="E12" i="6"/>
  <c r="E11" i="6"/>
  <c r="E10" i="6"/>
  <c r="E9" i="6"/>
  <c r="E8" i="6"/>
  <c r="E7" i="6"/>
  <c r="L6" i="6"/>
  <c r="E6" i="6"/>
  <c r="E5" i="6"/>
  <c r="E4" i="6"/>
  <c r="P3" i="6"/>
  <c r="E3" i="6"/>
  <c r="U2" i="6"/>
  <c r="A13" i="9"/>
  <c r="A10" i="9"/>
  <c r="A4" i="9"/>
  <c r="A15" i="9"/>
  <c r="A12" i="9"/>
  <c r="A11" i="9"/>
  <c r="A9" i="9"/>
  <c r="A7" i="9"/>
  <c r="A16" i="9"/>
  <c r="A6" i="9"/>
  <c r="A5" i="9"/>
  <c r="A3" i="9"/>
  <c r="P4" i="9"/>
  <c r="A14" i="9"/>
  <c r="A8" i="9"/>
  <c r="A12" i="8"/>
  <c r="A8" i="8"/>
  <c r="A14" i="8"/>
  <c r="A10" i="8"/>
  <c r="A7" i="8"/>
  <c r="A11" i="8"/>
  <c r="A15" i="8"/>
  <c r="A9" i="8"/>
  <c r="P4" i="8"/>
  <c r="A13" i="8"/>
  <c r="A16" i="8"/>
  <c r="A4" i="8"/>
  <c r="A6" i="8"/>
  <c r="A5" i="8"/>
  <c r="A3" i="8"/>
  <c r="P700" i="7"/>
  <c r="P679" i="7"/>
  <c r="P594" i="7"/>
  <c r="P289" i="7"/>
  <c r="P254" i="7"/>
  <c r="A10" i="7"/>
  <c r="A13" i="7"/>
  <c r="A16" i="7"/>
  <c r="A3" i="7"/>
  <c r="A7" i="7"/>
  <c r="A8" i="7"/>
  <c r="A4" i="7"/>
  <c r="A11" i="7"/>
  <c r="A12" i="7"/>
  <c r="A9" i="7"/>
  <c r="A15" i="7"/>
  <c r="A5" i="7"/>
  <c r="P4" i="7"/>
  <c r="A14" i="7"/>
  <c r="A6" i="7"/>
  <c r="P159" i="6"/>
  <c r="P136" i="6"/>
  <c r="A10" i="6"/>
  <c r="A13" i="6"/>
  <c r="A3" i="6"/>
  <c r="A16" i="6"/>
  <c r="A12" i="6"/>
  <c r="A9" i="6"/>
  <c r="A4" i="6"/>
  <c r="P4" i="6"/>
  <c r="A14" i="6"/>
  <c r="A5" i="6"/>
  <c r="A15" i="6"/>
  <c r="A11" i="6"/>
  <c r="A8" i="6"/>
  <c r="A7" i="6"/>
  <c r="A6" i="6"/>
  <c r="B11" i="9"/>
  <c r="B3" i="7"/>
  <c r="B10" i="7"/>
  <c r="B5" i="6"/>
  <c r="B12" i="9"/>
  <c r="B10" i="8"/>
  <c r="B5" i="9"/>
  <c r="M6" i="6"/>
  <c r="B10" i="9"/>
  <c r="M6" i="8"/>
  <c r="B4" i="8"/>
  <c r="B11" i="7"/>
  <c r="B4" i="7"/>
  <c r="B11" i="6"/>
  <c r="B4" i="6"/>
  <c r="B4" i="9"/>
  <c r="M6" i="9"/>
  <c r="B5" i="8"/>
  <c r="B12" i="8"/>
  <c r="B3" i="8"/>
  <c r="B12" i="7"/>
  <c r="B5" i="7"/>
  <c r="B12" i="6"/>
  <c r="B3" i="9"/>
  <c r="B11" i="8"/>
  <c r="M6" i="7"/>
  <c r="B3" i="6"/>
  <c r="B10" i="6"/>
  <c r="B13" i="9" l="1"/>
  <c r="B14" i="9" s="1"/>
  <c r="B15" i="9" s="1"/>
  <c r="B16" i="9" s="1"/>
  <c r="B6" i="9"/>
  <c r="B7" i="9" s="1"/>
  <c r="B8" i="9" s="1"/>
  <c r="B9" i="9" s="1"/>
  <c r="B13" i="8"/>
  <c r="B14" i="8" s="1"/>
  <c r="B15" i="8" s="1"/>
  <c r="B16" i="8" s="1"/>
  <c r="B6" i="8"/>
  <c r="B7" i="8" s="1"/>
  <c r="B8" i="8" s="1"/>
  <c r="B9" i="8" s="1"/>
  <c r="B6" i="7"/>
  <c r="B7" i="7" s="1"/>
  <c r="B8" i="7" s="1"/>
  <c r="B9" i="7" s="1"/>
  <c r="B13" i="7"/>
  <c r="B14" i="7" s="1"/>
  <c r="B15" i="7" s="1"/>
  <c r="B16" i="7" s="1"/>
  <c r="B13" i="6"/>
  <c r="B14" i="6" s="1"/>
  <c r="B15" i="6" s="1"/>
  <c r="B16" i="6" s="1"/>
  <c r="B6" i="6"/>
  <c r="B7" i="6" s="1"/>
  <c r="B8" i="6" s="1"/>
  <c r="B9" i="6" s="1"/>
  <c r="P5" i="9"/>
  <c r="P5" i="8"/>
  <c r="P701" i="7"/>
  <c r="P680" i="7"/>
  <c r="P595" i="7"/>
  <c r="P290" i="7"/>
  <c r="P255" i="7"/>
  <c r="P5" i="7"/>
  <c r="P160" i="6"/>
  <c r="P137" i="6"/>
  <c r="P5" i="6"/>
  <c r="P6" i="9"/>
  <c r="P6" i="8"/>
  <c r="P702" i="7"/>
  <c r="P681" i="7"/>
  <c r="P596" i="7"/>
  <c r="P291" i="7"/>
  <c r="P256" i="7"/>
  <c r="P6" i="7"/>
  <c r="P161" i="6"/>
  <c r="P138" i="6"/>
  <c r="P6" i="6"/>
  <c r="P7" i="9"/>
  <c r="P7" i="8"/>
  <c r="P703" i="7"/>
  <c r="P682" i="7"/>
  <c r="P597" i="7"/>
  <c r="P292" i="7"/>
  <c r="P257" i="7"/>
  <c r="P7" i="7"/>
  <c r="P162" i="6"/>
  <c r="P139" i="6"/>
  <c r="P7" i="6"/>
  <c r="D6" i="4" l="1"/>
  <c r="P8" i="9"/>
  <c r="P8" i="8"/>
  <c r="P704" i="7"/>
  <c r="P683" i="7"/>
  <c r="P598" i="7"/>
  <c r="P293" i="7"/>
  <c r="P258" i="7"/>
  <c r="P8" i="7"/>
  <c r="P163" i="6"/>
  <c r="P140" i="6"/>
  <c r="P8" i="6"/>
  <c r="I5" i="4"/>
  <c r="Q3" i="9" l="1"/>
  <c r="M5" i="8"/>
  <c r="M5" i="9"/>
  <c r="Q3" i="8"/>
  <c r="M5" i="7"/>
  <c r="Q3" i="7"/>
  <c r="Q3" i="6"/>
  <c r="M5" i="6"/>
  <c r="P9" i="9"/>
  <c r="P9" i="8"/>
  <c r="P705" i="7"/>
  <c r="P684" i="7"/>
  <c r="P599" i="7"/>
  <c r="P294" i="7"/>
  <c r="P259" i="7"/>
  <c r="P9" i="7"/>
  <c r="P164" i="6"/>
  <c r="P141" i="6"/>
  <c r="P9" i="6"/>
  <c r="B1" i="4"/>
  <c r="R3" i="8"/>
  <c r="S3" i="8" s="1"/>
  <c r="R3" i="9"/>
  <c r="S3" i="9" s="1"/>
  <c r="I6" i="4"/>
  <c r="Q161" i="6"/>
  <c r="Q682" i="7"/>
  <c r="Q594" i="7"/>
  <c r="R594" i="7" s="1"/>
  <c r="Q6" i="8"/>
  <c r="R6" i="8" s="1"/>
  <c r="S6" i="8" s="1"/>
  <c r="R682" i="7"/>
  <c r="X3" i="8"/>
  <c r="Q7" i="9"/>
  <c r="R7" i="9" s="1"/>
  <c r="R3" i="7"/>
  <c r="Q138" i="6"/>
  <c r="Q701" i="7"/>
  <c r="R701" i="7" s="1"/>
  <c r="Q7" i="8"/>
  <c r="R7" i="8" s="1"/>
  <c r="S7" i="8" s="1"/>
  <c r="S594" i="7"/>
  <c r="X594" i="7" s="1"/>
  <c r="X7" i="8"/>
  <c r="Q704" i="7"/>
  <c r="R704" i="7"/>
  <c r="W7" i="8"/>
  <c r="Q259" i="7"/>
  <c r="Q595" i="7"/>
  <c r="R595" i="7"/>
  <c r="Q9" i="7"/>
  <c r="R9" i="7" s="1"/>
  <c r="Q598" i="7"/>
  <c r="Q9" i="8"/>
  <c r="R9" i="8" s="1"/>
  <c r="W9" i="7"/>
  <c r="Q159" i="6"/>
  <c r="Q293" i="7"/>
  <c r="R293" i="7"/>
  <c r="S704" i="7"/>
  <c r="X704" i="7" s="1"/>
  <c r="Q8" i="6"/>
  <c r="R8" i="6" s="1"/>
  <c r="Q7" i="6"/>
  <c r="R7" i="6" s="1"/>
  <c r="Q8" i="7"/>
  <c r="R8" i="7" s="1"/>
  <c r="Q292" i="7"/>
  <c r="R292" i="7" s="1"/>
  <c r="Q700" i="7"/>
  <c r="R700" i="7"/>
  <c r="W682" i="7"/>
  <c r="Q7" i="7"/>
  <c r="R7" i="7" s="1"/>
  <c r="Q683" i="7"/>
  <c r="R683" i="7" s="1"/>
  <c r="W3" i="8"/>
  <c r="S7" i="6"/>
  <c r="X7" i="6" s="1"/>
  <c r="S293" i="7"/>
  <c r="X293" i="7" s="1"/>
  <c r="S701" i="7"/>
  <c r="X701" i="7" s="1"/>
  <c r="W9" i="8"/>
  <c r="Q4" i="6"/>
  <c r="R4" i="6" s="1"/>
  <c r="Q136" i="6"/>
  <c r="R259" i="7"/>
  <c r="Q702" i="7"/>
  <c r="R598" i="7"/>
  <c r="R702" i="7"/>
  <c r="W7" i="6"/>
  <c r="W293" i="7"/>
  <c r="W701" i="7"/>
  <c r="S259" i="7"/>
  <c r="Q6" i="6"/>
  <c r="R6" i="6" s="1"/>
  <c r="Q681" i="7"/>
  <c r="R681" i="7"/>
  <c r="S700" i="7"/>
  <c r="X700" i="7" s="1"/>
  <c r="Q6" i="9"/>
  <c r="R6" i="9" s="1"/>
  <c r="Q8" i="8"/>
  <c r="R8" i="8" s="1"/>
  <c r="Q5" i="7"/>
  <c r="R5" i="7" s="1"/>
  <c r="W8" i="8"/>
  <c r="W7" i="9"/>
  <c r="W704" i="7"/>
  <c r="X6" i="8"/>
  <c r="Q294" i="7"/>
  <c r="R294" i="7" s="1"/>
  <c r="W3" i="9"/>
  <c r="W292" i="7"/>
  <c r="R3" i="6"/>
  <c r="S3" i="6" s="1"/>
  <c r="Q258" i="7"/>
  <c r="R258" i="7" s="1"/>
  <c r="W3" i="6"/>
  <c r="Q596" i="7"/>
  <c r="R596" i="7" s="1"/>
  <c r="Q141" i="6"/>
  <c r="R141" i="6" s="1"/>
  <c r="Q254" i="7"/>
  <c r="R254" i="7" s="1"/>
  <c r="W254" i="7"/>
  <c r="Q162" i="6"/>
  <c r="Q4" i="8"/>
  <c r="R4" i="8" s="1"/>
  <c r="W700" i="7"/>
  <c r="Q255" i="7"/>
  <c r="R255" i="7" s="1"/>
  <c r="W259" i="7"/>
  <c r="Q140" i="6"/>
  <c r="W255" i="7"/>
  <c r="Q290" i="7"/>
  <c r="R290" i="7" s="1"/>
  <c r="Q684" i="7"/>
  <c r="R684" i="7" s="1"/>
  <c r="Q163" i="6"/>
  <c r="Q8" i="9"/>
  <c r="R8" i="9" s="1"/>
  <c r="Q257" i="7"/>
  <c r="R257" i="7" s="1"/>
  <c r="Q137" i="6"/>
  <c r="Q5" i="6"/>
  <c r="R5" i="6" s="1"/>
  <c r="Q5" i="9"/>
  <c r="R5" i="9" s="1"/>
  <c r="W594" i="7"/>
  <c r="W598" i="7"/>
  <c r="W8" i="6"/>
  <c r="Q680" i="7"/>
  <c r="R680" i="7" s="1"/>
  <c r="Q160" i="6"/>
  <c r="Q9" i="9"/>
  <c r="R9" i="9" s="1"/>
  <c r="Q679" i="7"/>
  <c r="R679" i="7" s="1"/>
  <c r="Q597" i="7"/>
  <c r="R597" i="7" s="1"/>
  <c r="Q599" i="7"/>
  <c r="R599" i="7" s="1"/>
  <c r="Q4" i="7"/>
  <c r="R4" i="7" s="1"/>
  <c r="Q164" i="6"/>
  <c r="R164" i="6" s="1"/>
  <c r="W257" i="7"/>
  <c r="W683" i="7"/>
  <c r="W8" i="7"/>
  <c r="W4" i="6"/>
  <c r="Q256" i="7"/>
  <c r="R256" i="7" s="1"/>
  <c r="W8" i="9"/>
  <c r="Q4" i="9"/>
  <c r="R4" i="9" s="1"/>
  <c r="W6" i="8"/>
  <c r="Q5" i="8"/>
  <c r="R5" i="8" s="1"/>
  <c r="Q289" i="7"/>
  <c r="R289" i="7" s="1"/>
  <c r="Q291" i="7"/>
  <c r="R291" i="7" s="1"/>
  <c r="Q703" i="7"/>
  <c r="R703" i="7" s="1"/>
  <c r="Q705" i="7"/>
  <c r="R705" i="7" s="1"/>
  <c r="Q6" i="7"/>
  <c r="R6" i="7" s="1"/>
  <c r="Q139" i="6"/>
  <c r="Q9" i="6"/>
  <c r="R9" i="6" s="1"/>
  <c r="S682" i="7"/>
  <c r="X682" i="7"/>
  <c r="S7" i="9"/>
  <c r="X7" i="9" s="1"/>
  <c r="W3" i="7"/>
  <c r="S3" i="7"/>
  <c r="W595" i="7"/>
  <c r="S595" i="7"/>
  <c r="X595" i="7" s="1"/>
  <c r="S9" i="7"/>
  <c r="X9" i="7" s="1"/>
  <c r="S9" i="8"/>
  <c r="X9" i="8" s="1"/>
  <c r="S8" i="6"/>
  <c r="X8" i="6" s="1"/>
  <c r="S8" i="7"/>
  <c r="X8" i="7" s="1"/>
  <c r="S292" i="7"/>
  <c r="X292" i="7"/>
  <c r="W7" i="7"/>
  <c r="S7" i="7"/>
  <c r="X7" i="7" s="1"/>
  <c r="S683" i="7"/>
  <c r="X683" i="7" s="1"/>
  <c r="S4" i="6"/>
  <c r="X4" i="6" s="1"/>
  <c r="S598" i="7"/>
  <c r="X598" i="7"/>
  <c r="S702" i="7"/>
  <c r="X702" i="7" s="1"/>
  <c r="W702" i="7"/>
  <c r="W6" i="6"/>
  <c r="S6" i="6"/>
  <c r="X6" i="6"/>
  <c r="W681" i="7"/>
  <c r="S681" i="7"/>
  <c r="X681" i="7" s="1"/>
  <c r="W6" i="9"/>
  <c r="S6" i="9"/>
  <c r="X6" i="9" s="1"/>
  <c r="S8" i="8"/>
  <c r="X8" i="8" s="1"/>
  <c r="W5" i="7"/>
  <c r="S5" i="7"/>
  <c r="X5" i="7" s="1"/>
  <c r="S294" i="7"/>
  <c r="W294" i="7"/>
  <c r="W258" i="7"/>
  <c r="S258" i="7"/>
  <c r="X258" i="7" s="1"/>
  <c r="W596" i="7"/>
  <c r="S596" i="7"/>
  <c r="X596" i="7" s="1"/>
  <c r="S141" i="6"/>
  <c r="W141" i="6"/>
  <c r="S254" i="7"/>
  <c r="X254" i="7" s="1"/>
  <c r="W4" i="8"/>
  <c r="S4" i="8"/>
  <c r="X4" i="8" s="1"/>
  <c r="S255" i="7"/>
  <c r="X255" i="7" s="1"/>
  <c r="W290" i="7"/>
  <c r="S290" i="7"/>
  <c r="X290" i="7" s="1"/>
  <c r="W684" i="7"/>
  <c r="S684" i="7"/>
  <c r="S8" i="9"/>
  <c r="X8" i="9" s="1"/>
  <c r="S257" i="7"/>
  <c r="X257" i="7" s="1"/>
  <c r="W5" i="6"/>
  <c r="S5" i="6"/>
  <c r="X5" i="6" s="1"/>
  <c r="S5" i="9"/>
  <c r="X5" i="9" s="1"/>
  <c r="W5" i="9"/>
  <c r="W680" i="7"/>
  <c r="S680" i="7"/>
  <c r="X680" i="7"/>
  <c r="W9" i="9"/>
  <c r="S9" i="9"/>
  <c r="X9" i="9" s="1"/>
  <c r="W679" i="7"/>
  <c r="S679" i="7"/>
  <c r="X679" i="7"/>
  <c r="W597" i="7"/>
  <c r="S597" i="7"/>
  <c r="X597" i="7"/>
  <c r="W599" i="7"/>
  <c r="S599" i="7"/>
  <c r="W4" i="7"/>
  <c r="S4" i="7"/>
  <c r="X4" i="7" s="1"/>
  <c r="S164" i="6"/>
  <c r="W164" i="6"/>
  <c r="W256" i="7"/>
  <c r="S256" i="7"/>
  <c r="X256" i="7"/>
  <c r="W4" i="9"/>
  <c r="S4" i="9"/>
  <c r="X4" i="9" s="1"/>
  <c r="W5" i="8"/>
  <c r="S5" i="8"/>
  <c r="X5" i="8"/>
  <c r="W289" i="7"/>
  <c r="S289" i="7"/>
  <c r="X289" i="7" s="1"/>
  <c r="W291" i="7"/>
  <c r="S291" i="7"/>
  <c r="X291" i="7" s="1"/>
  <c r="W703" i="7"/>
  <c r="S703" i="7"/>
  <c r="X703" i="7" s="1"/>
  <c r="W705" i="7"/>
  <c r="S705" i="7"/>
  <c r="W6" i="7"/>
  <c r="S6" i="7"/>
  <c r="X6" i="7"/>
  <c r="W9" i="6"/>
  <c r="S9" i="6"/>
  <c r="X9" i="6"/>
  <c r="D8" i="9" l="1"/>
  <c r="D11" i="9"/>
  <c r="D14" i="9"/>
  <c r="D5" i="9"/>
  <c r="D3" i="9"/>
  <c r="D4" i="9"/>
  <c r="D13" i="9"/>
  <c r="D9" i="9"/>
  <c r="D6" i="9"/>
  <c r="D12" i="9"/>
  <c r="D15" i="9"/>
  <c r="D7" i="9"/>
  <c r="D16" i="9"/>
  <c r="D10" i="9"/>
  <c r="D14" i="8"/>
  <c r="D11" i="8"/>
  <c r="D7" i="8"/>
  <c r="D15" i="8"/>
  <c r="D6" i="8"/>
  <c r="D5" i="8"/>
  <c r="D4" i="8"/>
  <c r="D3" i="8"/>
  <c r="D16" i="8"/>
  <c r="D10" i="8"/>
  <c r="D12" i="8"/>
  <c r="D8" i="8"/>
  <c r="D13" i="8"/>
  <c r="D9" i="8"/>
  <c r="D9" i="7"/>
  <c r="D6" i="7"/>
  <c r="D15" i="7"/>
  <c r="D16" i="7"/>
  <c r="D8" i="7"/>
  <c r="D13" i="7"/>
  <c r="D12" i="7"/>
  <c r="D3" i="7"/>
  <c r="D4" i="7"/>
  <c r="D14" i="7"/>
  <c r="D5" i="7"/>
  <c r="D7" i="7"/>
  <c r="D10" i="7"/>
  <c r="D11" i="7"/>
  <c r="D9" i="6"/>
  <c r="D6" i="6"/>
  <c r="D15" i="6"/>
  <c r="D13" i="6"/>
  <c r="D14" i="6"/>
  <c r="D5" i="6"/>
  <c r="D7" i="6"/>
  <c r="D10" i="6"/>
  <c r="D12" i="6"/>
  <c r="D16" i="6"/>
  <c r="D8" i="6"/>
  <c r="D3" i="6"/>
  <c r="D11" i="6"/>
  <c r="D4" i="6"/>
  <c r="P10" i="9"/>
  <c r="P10" i="8"/>
  <c r="P706" i="7"/>
  <c r="P685" i="7"/>
  <c r="P600" i="7"/>
  <c r="P295" i="7"/>
  <c r="P260" i="7"/>
  <c r="P10" i="7"/>
  <c r="P165" i="6"/>
  <c r="P142" i="6"/>
  <c r="P10" i="6"/>
  <c r="X705" i="7"/>
  <c r="R160" i="6"/>
  <c r="R159" i="6"/>
  <c r="Q10" i="8"/>
  <c r="X164" i="6"/>
  <c r="R137" i="6"/>
  <c r="R138" i="6"/>
  <c r="Q142" i="6"/>
  <c r="Q260" i="7"/>
  <c r="R10" i="8"/>
  <c r="W10" i="8" s="1"/>
  <c r="Q10" i="9"/>
  <c r="X599" i="7"/>
  <c r="R163" i="6"/>
  <c r="R161" i="6"/>
  <c r="R142" i="6"/>
  <c r="R260" i="7"/>
  <c r="Q685" i="7"/>
  <c r="X684" i="7"/>
  <c r="X3" i="9"/>
  <c r="W142" i="6"/>
  <c r="R685" i="7"/>
  <c r="S685" i="7" s="1"/>
  <c r="R10" i="9"/>
  <c r="R162" i="6"/>
  <c r="Q295" i="7"/>
  <c r="W10" i="9"/>
  <c r="X3" i="6"/>
  <c r="Q706" i="7"/>
  <c r="X3" i="7"/>
  <c r="S10" i="8"/>
  <c r="R139" i="6"/>
  <c r="Q10" i="7"/>
  <c r="R10" i="7" s="1"/>
  <c r="X10" i="8"/>
  <c r="R140" i="6"/>
  <c r="W260" i="7"/>
  <c r="S142" i="6"/>
  <c r="X141" i="6"/>
  <c r="Q165" i="6"/>
  <c r="W685" i="7"/>
  <c r="X294" i="7"/>
  <c r="R165" i="6"/>
  <c r="S165" i="6" s="1"/>
  <c r="R295" i="7"/>
  <c r="W295" i="7" s="1"/>
  <c r="W10" i="7"/>
  <c r="S10" i="9"/>
  <c r="X259" i="7"/>
  <c r="W165" i="6"/>
  <c r="R706" i="7"/>
  <c r="S706" i="7" s="1"/>
  <c r="S260" i="7"/>
  <c r="X10" i="9"/>
  <c r="R136" i="6"/>
  <c r="Q10" i="6"/>
  <c r="R10" i="6" s="1"/>
  <c r="W706" i="7"/>
  <c r="S295" i="7"/>
  <c r="Q600" i="7"/>
  <c r="R600" i="7" s="1"/>
  <c r="W160" i="6"/>
  <c r="S160" i="6"/>
  <c r="X160" i="6" s="1"/>
  <c r="W159" i="6"/>
  <c r="S159" i="6"/>
  <c r="X159" i="6" s="1"/>
  <c r="W137" i="6"/>
  <c r="S137" i="6"/>
  <c r="X137" i="6" s="1"/>
  <c r="W138" i="6"/>
  <c r="S138" i="6"/>
  <c r="X138" i="6" s="1"/>
  <c r="W163" i="6"/>
  <c r="S163" i="6"/>
  <c r="X163" i="6"/>
  <c r="W161" i="6"/>
  <c r="S161" i="6"/>
  <c r="X161" i="6"/>
  <c r="W162" i="6"/>
  <c r="S162" i="6"/>
  <c r="X162" i="6" s="1"/>
  <c r="W139" i="6"/>
  <c r="S139" i="6"/>
  <c r="X139" i="6"/>
  <c r="S10" i="7"/>
  <c r="X10" i="7" s="1"/>
  <c r="W140" i="6"/>
  <c r="S140" i="6"/>
  <c r="X140" i="6" s="1"/>
  <c r="W136" i="6"/>
  <c r="S136" i="6"/>
  <c r="X136" i="6"/>
  <c r="W10" i="6"/>
  <c r="S10" i="6"/>
  <c r="X10" i="6" s="1"/>
  <c r="W600" i="7"/>
  <c r="S600" i="7"/>
  <c r="P11" i="9" l="1"/>
  <c r="P11" i="8"/>
  <c r="P707" i="7"/>
  <c r="P686" i="7"/>
  <c r="P601" i="7"/>
  <c r="P296" i="7"/>
  <c r="P261" i="7"/>
  <c r="P11" i="7"/>
  <c r="P166" i="6"/>
  <c r="P143" i="6"/>
  <c r="P11" i="6"/>
  <c r="X600" i="7"/>
  <c r="Q707" i="7"/>
  <c r="X295" i="7"/>
  <c r="R707" i="7"/>
  <c r="X260" i="7"/>
  <c r="Q11" i="6"/>
  <c r="Q11" i="7"/>
  <c r="Q601" i="7"/>
  <c r="W707" i="7"/>
  <c r="X706" i="7"/>
  <c r="R11" i="6"/>
  <c r="R11" i="7"/>
  <c r="R601" i="7"/>
  <c r="Q11" i="8"/>
  <c r="S601" i="7"/>
  <c r="X165" i="6"/>
  <c r="Q143" i="6"/>
  <c r="Q261" i="7"/>
  <c r="W601" i="7"/>
  <c r="R11" i="8"/>
  <c r="Q11" i="9"/>
  <c r="X142" i="6"/>
  <c r="R143" i="6"/>
  <c r="R261" i="7"/>
  <c r="S261" i="7" s="1"/>
  <c r="Q686" i="7"/>
  <c r="S11" i="6"/>
  <c r="X11" i="6"/>
  <c r="S707" i="7"/>
  <c r="X685" i="7"/>
  <c r="W143" i="6"/>
  <c r="W261" i="7"/>
  <c r="R686" i="7"/>
  <c r="S686" i="7" s="1"/>
  <c r="W11" i="6"/>
  <c r="S143" i="6"/>
  <c r="R11" i="9"/>
  <c r="Q166" i="6"/>
  <c r="R166" i="6" s="1"/>
  <c r="W166" i="6" s="1"/>
  <c r="Q296" i="7"/>
  <c r="R296" i="7" s="1"/>
  <c r="W686" i="7"/>
  <c r="S11" i="7"/>
  <c r="S166" i="6"/>
  <c r="W11" i="9"/>
  <c r="X11" i="7"/>
  <c r="W11" i="7"/>
  <c r="W11" i="8"/>
  <c r="S11" i="8"/>
  <c r="X11" i="8" s="1"/>
  <c r="S11" i="9"/>
  <c r="X11" i="9" s="1"/>
  <c r="S296" i="7"/>
  <c r="W296" i="7"/>
  <c r="P12" i="9" l="1"/>
  <c r="P12" i="8"/>
  <c r="P708" i="7"/>
  <c r="P687" i="7"/>
  <c r="P602" i="7"/>
  <c r="P297" i="7"/>
  <c r="P262" i="7"/>
  <c r="P12" i="7"/>
  <c r="P167" i="6"/>
  <c r="P144" i="6"/>
  <c r="P12" i="6"/>
  <c r="X296" i="7"/>
  <c r="Q708" i="7"/>
  <c r="X166" i="6"/>
  <c r="R708" i="7"/>
  <c r="X143" i="6"/>
  <c r="Q12" i="6"/>
  <c r="Q12" i="7"/>
  <c r="Q602" i="7"/>
  <c r="W708" i="7"/>
  <c r="X686" i="7"/>
  <c r="R12" i="6"/>
  <c r="R12" i="7"/>
  <c r="R602" i="7"/>
  <c r="Q12" i="8"/>
  <c r="S602" i="7"/>
  <c r="X707" i="7"/>
  <c r="Q144" i="6"/>
  <c r="Q262" i="7"/>
  <c r="W602" i="7"/>
  <c r="R12" i="8"/>
  <c r="Q12" i="9"/>
  <c r="X261" i="7"/>
  <c r="R144" i="6"/>
  <c r="R262" i="7"/>
  <c r="S262" i="7" s="1"/>
  <c r="Q687" i="7"/>
  <c r="S12" i="6"/>
  <c r="X12" i="6"/>
  <c r="S708" i="7"/>
  <c r="X601" i="7"/>
  <c r="W144" i="6"/>
  <c r="W262" i="7"/>
  <c r="R687" i="7"/>
  <c r="S687" i="7" s="1"/>
  <c r="W12" i="6"/>
  <c r="S144" i="6"/>
  <c r="R12" i="9"/>
  <c r="Q167" i="6"/>
  <c r="R167" i="6" s="1"/>
  <c r="W167" i="6" s="1"/>
  <c r="Q297" i="7"/>
  <c r="R297" i="7" s="1"/>
  <c r="W687" i="7"/>
  <c r="S12" i="7"/>
  <c r="S167" i="6"/>
  <c r="W12" i="9"/>
  <c r="X12" i="7"/>
  <c r="W12" i="7"/>
  <c r="W12" i="8"/>
  <c r="S12" i="8"/>
  <c r="X12" i="8" s="1"/>
  <c r="S12" i="9"/>
  <c r="X12" i="9" s="1"/>
  <c r="S297" i="7"/>
  <c r="W297" i="7"/>
  <c r="P13" i="9" l="1"/>
  <c r="P13" i="8"/>
  <c r="P709" i="7"/>
  <c r="P688" i="7"/>
  <c r="P603" i="7"/>
  <c r="P298" i="7"/>
  <c r="P263" i="7"/>
  <c r="P13" i="7"/>
  <c r="P168" i="6"/>
  <c r="P145" i="6"/>
  <c r="P13" i="6"/>
  <c r="X297" i="7"/>
  <c r="Q709" i="7"/>
  <c r="X167" i="6"/>
  <c r="R709" i="7"/>
  <c r="X144" i="6"/>
  <c r="Q13" i="6"/>
  <c r="Q13" i="7"/>
  <c r="Q603" i="7"/>
  <c r="W709" i="7"/>
  <c r="X687" i="7"/>
  <c r="R13" i="6"/>
  <c r="R13" i="7"/>
  <c r="R603" i="7"/>
  <c r="Q13" i="8"/>
  <c r="S603" i="7"/>
  <c r="X708" i="7"/>
  <c r="Q145" i="6"/>
  <c r="Q263" i="7"/>
  <c r="W603" i="7"/>
  <c r="R13" i="8"/>
  <c r="Q13" i="9"/>
  <c r="X262" i="7"/>
  <c r="R145" i="6"/>
  <c r="R263" i="7"/>
  <c r="S263" i="7" s="1"/>
  <c r="Q688" i="7"/>
  <c r="S13" i="6"/>
  <c r="X13" i="6"/>
  <c r="S709" i="7"/>
  <c r="X602" i="7"/>
  <c r="W145" i="6"/>
  <c r="W263" i="7"/>
  <c r="R688" i="7"/>
  <c r="S688" i="7" s="1"/>
  <c r="W13" i="6"/>
  <c r="S145" i="6"/>
  <c r="R13" i="9"/>
  <c r="Q168" i="6"/>
  <c r="R168" i="6" s="1"/>
  <c r="W168" i="6" s="1"/>
  <c r="Q298" i="7"/>
  <c r="R298" i="7" s="1"/>
  <c r="W688" i="7"/>
  <c r="S13" i="7"/>
  <c r="S168" i="6"/>
  <c r="W13" i="9"/>
  <c r="X13" i="7"/>
  <c r="W13" i="7"/>
  <c r="W13" i="8"/>
  <c r="S13" i="8"/>
  <c r="X13" i="8" s="1"/>
  <c r="S13" i="9"/>
  <c r="X13" i="9" s="1"/>
  <c r="S298" i="7"/>
  <c r="W298" i="7"/>
  <c r="P14" i="9" l="1"/>
  <c r="P14" i="8"/>
  <c r="P710" i="7"/>
  <c r="P689" i="7"/>
  <c r="P604" i="7"/>
  <c r="P299" i="7"/>
  <c r="P264" i="7"/>
  <c r="P14" i="7"/>
  <c r="P169" i="6"/>
  <c r="P146" i="6"/>
  <c r="P14" i="6"/>
  <c r="X298" i="7"/>
  <c r="Q710" i="7"/>
  <c r="X168" i="6"/>
  <c r="R710" i="7"/>
  <c r="X145" i="6"/>
  <c r="Q14" i="6"/>
  <c r="Q14" i="7"/>
  <c r="Q604" i="7"/>
  <c r="W710" i="7"/>
  <c r="X688" i="7"/>
  <c r="R14" i="6"/>
  <c r="R14" i="7"/>
  <c r="R604" i="7"/>
  <c r="Q14" i="8"/>
  <c r="S604" i="7"/>
  <c r="X709" i="7"/>
  <c r="Q146" i="6"/>
  <c r="Q264" i="7"/>
  <c r="W604" i="7"/>
  <c r="R14" i="8"/>
  <c r="Q14" i="9"/>
  <c r="X263" i="7"/>
  <c r="R146" i="6"/>
  <c r="R264" i="7"/>
  <c r="S264" i="7" s="1"/>
  <c r="Q689" i="7"/>
  <c r="S14" i="6"/>
  <c r="X14" i="6"/>
  <c r="S710" i="7"/>
  <c r="X603" i="7"/>
  <c r="W146" i="6"/>
  <c r="W264" i="7"/>
  <c r="R689" i="7"/>
  <c r="S689" i="7" s="1"/>
  <c r="W14" i="6"/>
  <c r="S146" i="6"/>
  <c r="R14" i="9"/>
  <c r="Q169" i="6"/>
  <c r="R169" i="6" s="1"/>
  <c r="W169" i="6" s="1"/>
  <c r="Q299" i="7"/>
  <c r="R299" i="7" s="1"/>
  <c r="W689" i="7"/>
  <c r="S14" i="7"/>
  <c r="S169" i="6"/>
  <c r="W14" i="9"/>
  <c r="X14" i="7"/>
  <c r="W14" i="7"/>
  <c r="W14" i="8"/>
  <c r="S14" i="8"/>
  <c r="X14" i="8" s="1"/>
  <c r="S14" i="9"/>
  <c r="X14" i="9" s="1"/>
  <c r="S299" i="7"/>
  <c r="W299" i="7"/>
  <c r="P15" i="9" l="1"/>
  <c r="P15" i="8"/>
  <c r="P711" i="7"/>
  <c r="P690" i="7"/>
  <c r="P605" i="7"/>
  <c r="P300" i="7"/>
  <c r="P265" i="7"/>
  <c r="P15" i="7"/>
  <c r="P170" i="6"/>
  <c r="P147" i="6"/>
  <c r="P15" i="6"/>
  <c r="X299" i="7"/>
  <c r="Q711" i="7"/>
  <c r="X169" i="6"/>
  <c r="R711" i="7"/>
  <c r="X146" i="6"/>
  <c r="Q15" i="6"/>
  <c r="Q15" i="7"/>
  <c r="Q605" i="7"/>
  <c r="W711" i="7"/>
  <c r="X689" i="7"/>
  <c r="R15" i="6"/>
  <c r="R15" i="7"/>
  <c r="R605" i="7"/>
  <c r="Q15" i="8"/>
  <c r="S605" i="7"/>
  <c r="X710" i="7"/>
  <c r="Q147" i="6"/>
  <c r="Q265" i="7"/>
  <c r="W605" i="7"/>
  <c r="R15" i="8"/>
  <c r="Q15" i="9"/>
  <c r="X264" i="7"/>
  <c r="R147" i="6"/>
  <c r="R265" i="7"/>
  <c r="S265" i="7" s="1"/>
  <c r="Q690" i="7"/>
  <c r="S15" i="6"/>
  <c r="X15" i="6"/>
  <c r="S711" i="7"/>
  <c r="X604" i="7"/>
  <c r="W147" i="6"/>
  <c r="W265" i="7"/>
  <c r="R690" i="7"/>
  <c r="S690" i="7" s="1"/>
  <c r="W15" i="6"/>
  <c r="S147" i="6"/>
  <c r="R15" i="9"/>
  <c r="Q170" i="6"/>
  <c r="R170" i="6" s="1"/>
  <c r="W170" i="6" s="1"/>
  <c r="Q300" i="7"/>
  <c r="R300" i="7" s="1"/>
  <c r="W690" i="7"/>
  <c r="S15" i="7"/>
  <c r="S170" i="6"/>
  <c r="W15" i="9"/>
  <c r="X15" i="7"/>
  <c r="W15" i="7"/>
  <c r="W15" i="8"/>
  <c r="S15" i="8"/>
  <c r="X15" i="8" s="1"/>
  <c r="S15" i="9"/>
  <c r="X15" i="9" s="1"/>
  <c r="S300" i="7"/>
  <c r="W300" i="7"/>
  <c r="P16" i="9" l="1"/>
  <c r="P16" i="8"/>
  <c r="P712" i="7"/>
  <c r="P691" i="7"/>
  <c r="P606" i="7"/>
  <c r="P301" i="7"/>
  <c r="P266" i="7"/>
  <c r="P16" i="7"/>
  <c r="P171" i="6"/>
  <c r="P148" i="6"/>
  <c r="P16" i="6"/>
  <c r="X300" i="7"/>
  <c r="Q712" i="7"/>
  <c r="X170" i="6"/>
  <c r="R712" i="7"/>
  <c r="X147" i="6"/>
  <c r="Q16" i="6"/>
  <c r="Q16" i="7"/>
  <c r="Q606" i="7"/>
  <c r="W712" i="7"/>
  <c r="X690" i="7"/>
  <c r="R16" i="6"/>
  <c r="R16" i="7"/>
  <c r="R606" i="7"/>
  <c r="Q16" i="8"/>
  <c r="S606" i="7"/>
  <c r="X711" i="7"/>
  <c r="Q148" i="6"/>
  <c r="Q266" i="7"/>
  <c r="W606" i="7"/>
  <c r="R16" i="8"/>
  <c r="Q16" i="9"/>
  <c r="X265" i="7"/>
  <c r="R148" i="6"/>
  <c r="R266" i="7"/>
  <c r="S266" i="7" s="1"/>
  <c r="Q691" i="7"/>
  <c r="S16" i="6"/>
  <c r="X16" i="6"/>
  <c r="S712" i="7"/>
  <c r="X605" i="7"/>
  <c r="W148" i="6"/>
  <c r="W266" i="7"/>
  <c r="R691" i="7"/>
  <c r="S691" i="7" s="1"/>
  <c r="W16" i="6"/>
  <c r="S148" i="6"/>
  <c r="R16" i="9"/>
  <c r="Q171" i="6"/>
  <c r="R171" i="6" s="1"/>
  <c r="W171" i="6" s="1"/>
  <c r="Q301" i="7"/>
  <c r="R301" i="7" s="1"/>
  <c r="W691" i="7"/>
  <c r="S16" i="7"/>
  <c r="S171" i="6"/>
  <c r="W16" i="9"/>
  <c r="X16" i="7"/>
  <c r="W16" i="7"/>
  <c r="W16" i="8"/>
  <c r="S16" i="8"/>
  <c r="X16" i="8" s="1"/>
  <c r="S16" i="9"/>
  <c r="X16" i="9" s="1"/>
  <c r="S301" i="7"/>
  <c r="W301" i="7"/>
  <c r="P17" i="9" l="1"/>
  <c r="P17" i="8"/>
  <c r="P713" i="7"/>
  <c r="P692" i="7"/>
  <c r="P607" i="7"/>
  <c r="P302" i="7"/>
  <c r="P267" i="7"/>
  <c r="P17" i="7"/>
  <c r="P172" i="6"/>
  <c r="P149" i="6"/>
  <c r="P17" i="6"/>
  <c r="X301" i="7"/>
  <c r="Q713" i="7"/>
  <c r="X171" i="6"/>
  <c r="R713" i="7"/>
  <c r="X148" i="6"/>
  <c r="Q17" i="6"/>
  <c r="Q17" i="7"/>
  <c r="Q607" i="7"/>
  <c r="W713" i="7"/>
  <c r="X691" i="7"/>
  <c r="R17" i="6"/>
  <c r="R17" i="7"/>
  <c r="R607" i="7"/>
  <c r="Q17" i="8"/>
  <c r="S607" i="7"/>
  <c r="X712" i="7"/>
  <c r="Q149" i="6"/>
  <c r="Q267" i="7"/>
  <c r="W607" i="7"/>
  <c r="R17" i="8"/>
  <c r="Q17" i="9"/>
  <c r="X266" i="7"/>
  <c r="R149" i="6"/>
  <c r="R267" i="7"/>
  <c r="S267" i="7" s="1"/>
  <c r="Q692" i="7"/>
  <c r="S17" i="6"/>
  <c r="X17" i="6"/>
  <c r="S713" i="7"/>
  <c r="X606" i="7"/>
  <c r="W149" i="6"/>
  <c r="W267" i="7"/>
  <c r="R692" i="7"/>
  <c r="S692" i="7" s="1"/>
  <c r="W17" i="6"/>
  <c r="S149" i="6"/>
  <c r="R17" i="9"/>
  <c r="Q172" i="6"/>
  <c r="R172" i="6" s="1"/>
  <c r="W172" i="6" s="1"/>
  <c r="Q302" i="7"/>
  <c r="R302" i="7" s="1"/>
  <c r="W692" i="7"/>
  <c r="S17" i="7"/>
  <c r="S172" i="6"/>
  <c r="W17" i="9"/>
  <c r="X17" i="7"/>
  <c r="W17" i="7"/>
  <c r="W17" i="8"/>
  <c r="S17" i="8"/>
  <c r="X17" i="8" s="1"/>
  <c r="S17" i="9"/>
  <c r="X17" i="9" s="1"/>
  <c r="S302" i="7"/>
  <c r="W302" i="7"/>
  <c r="P18" i="9" l="1"/>
  <c r="P18" i="8"/>
  <c r="P714" i="7"/>
  <c r="P693" i="7"/>
  <c r="P608" i="7"/>
  <c r="P303" i="7"/>
  <c r="P268" i="7"/>
  <c r="P18" i="7"/>
  <c r="P173" i="6"/>
  <c r="P150" i="6"/>
  <c r="P18" i="6"/>
  <c r="X302" i="7"/>
  <c r="Q714" i="7"/>
  <c r="X172" i="6"/>
  <c r="R714" i="7"/>
  <c r="X149" i="6"/>
  <c r="Q18" i="6"/>
  <c r="Q18" i="7"/>
  <c r="Q608" i="7"/>
  <c r="W714" i="7"/>
  <c r="X692" i="7"/>
  <c r="R18" i="6"/>
  <c r="R18" i="7"/>
  <c r="R608" i="7"/>
  <c r="Q18" i="8"/>
  <c r="S608" i="7"/>
  <c r="X713" i="7"/>
  <c r="Q150" i="6"/>
  <c r="Q268" i="7"/>
  <c r="W608" i="7"/>
  <c r="R18" i="8"/>
  <c r="Q18" i="9"/>
  <c r="X267" i="7"/>
  <c r="R150" i="6"/>
  <c r="R268" i="7"/>
  <c r="S268" i="7" s="1"/>
  <c r="Q693" i="7"/>
  <c r="S18" i="6"/>
  <c r="X18" i="6"/>
  <c r="S714" i="7"/>
  <c r="X607" i="7"/>
  <c r="W150" i="6"/>
  <c r="W268" i="7"/>
  <c r="R693" i="7"/>
  <c r="S693" i="7" s="1"/>
  <c r="W18" i="6"/>
  <c r="S150" i="6"/>
  <c r="R18" i="9"/>
  <c r="Q173" i="6"/>
  <c r="R173" i="6" s="1"/>
  <c r="W173" i="6" s="1"/>
  <c r="Q303" i="7"/>
  <c r="R303" i="7" s="1"/>
  <c r="W693" i="7"/>
  <c r="S18" i="7"/>
  <c r="S173" i="6"/>
  <c r="W18" i="9"/>
  <c r="X18" i="7"/>
  <c r="W18" i="7"/>
  <c r="W18" i="8"/>
  <c r="S18" i="8"/>
  <c r="X18" i="8" s="1"/>
  <c r="S18" i="9"/>
  <c r="X18" i="9" s="1"/>
  <c r="S303" i="7"/>
  <c r="W303" i="7"/>
  <c r="P19" i="9" l="1"/>
  <c r="P19" i="8"/>
  <c r="P715" i="7"/>
  <c r="P694" i="7"/>
  <c r="P609" i="7"/>
  <c r="P304" i="7"/>
  <c r="P269" i="7"/>
  <c r="P19" i="7"/>
  <c r="P174" i="6"/>
  <c r="P151" i="6"/>
  <c r="P19" i="6"/>
  <c r="X303" i="7"/>
  <c r="Q715" i="7"/>
  <c r="X173" i="6"/>
  <c r="R715" i="7"/>
  <c r="X150" i="6"/>
  <c r="Q19" i="6"/>
  <c r="Q19" i="7"/>
  <c r="Q609" i="7"/>
  <c r="W715" i="7"/>
  <c r="X693" i="7"/>
  <c r="R19" i="6"/>
  <c r="R19" i="7"/>
  <c r="R609" i="7"/>
  <c r="Q19" i="8"/>
  <c r="S609" i="7"/>
  <c r="X714" i="7"/>
  <c r="Q151" i="6"/>
  <c r="Q269" i="7"/>
  <c r="W609" i="7"/>
  <c r="R19" i="8"/>
  <c r="Q19" i="9"/>
  <c r="X268" i="7"/>
  <c r="R151" i="6"/>
  <c r="R269" i="7"/>
  <c r="S269" i="7" s="1"/>
  <c r="Q694" i="7"/>
  <c r="S19" i="6"/>
  <c r="X19" i="6"/>
  <c r="S715" i="7"/>
  <c r="X608" i="7"/>
  <c r="W151" i="6"/>
  <c r="W269" i="7"/>
  <c r="R694" i="7"/>
  <c r="S694" i="7" s="1"/>
  <c r="W19" i="6"/>
  <c r="S151" i="6"/>
  <c r="R19" i="9"/>
  <c r="Q174" i="6"/>
  <c r="R174" i="6" s="1"/>
  <c r="W174" i="6" s="1"/>
  <c r="Q304" i="7"/>
  <c r="R304" i="7" s="1"/>
  <c r="W694" i="7"/>
  <c r="S19" i="7"/>
  <c r="S174" i="6"/>
  <c r="W19" i="9"/>
  <c r="X19" i="7"/>
  <c r="W19" i="7"/>
  <c r="W19" i="8"/>
  <c r="S19" i="8"/>
  <c r="X19" i="8" s="1"/>
  <c r="S19" i="9"/>
  <c r="X19" i="9" s="1"/>
  <c r="S304" i="7"/>
  <c r="W304" i="7"/>
  <c r="P20" i="9" l="1"/>
  <c r="P20" i="8"/>
  <c r="P716" i="7"/>
  <c r="P695" i="7"/>
  <c r="P610" i="7"/>
  <c r="P305" i="7"/>
  <c r="P270" i="7"/>
  <c r="P20" i="7"/>
  <c r="P175" i="6"/>
  <c r="P152" i="6"/>
  <c r="P20" i="6"/>
  <c r="X304" i="7"/>
  <c r="Q716" i="7"/>
  <c r="X174" i="6"/>
  <c r="R716" i="7"/>
  <c r="X151" i="6"/>
  <c r="Q20" i="6"/>
  <c r="Q20" i="7"/>
  <c r="Q610" i="7"/>
  <c r="W716" i="7"/>
  <c r="X694" i="7"/>
  <c r="R20" i="6"/>
  <c r="R20" i="7"/>
  <c r="R610" i="7"/>
  <c r="Q20" i="8"/>
  <c r="S610" i="7"/>
  <c r="X715" i="7"/>
  <c r="Q152" i="6"/>
  <c r="Q270" i="7"/>
  <c r="W610" i="7"/>
  <c r="R20" i="8"/>
  <c r="Q20" i="9"/>
  <c r="X269" i="7"/>
  <c r="R152" i="6"/>
  <c r="R270" i="7"/>
  <c r="S270" i="7" s="1"/>
  <c r="Q695" i="7"/>
  <c r="S20" i="6"/>
  <c r="X20" i="6"/>
  <c r="S716" i="7"/>
  <c r="X609" i="7"/>
  <c r="W152" i="6"/>
  <c r="W270" i="7"/>
  <c r="R695" i="7"/>
  <c r="S695" i="7" s="1"/>
  <c r="W20" i="6"/>
  <c r="S152" i="6"/>
  <c r="R20" i="9"/>
  <c r="Q175" i="6"/>
  <c r="R175" i="6" s="1"/>
  <c r="W175" i="6" s="1"/>
  <c r="Q305" i="7"/>
  <c r="R305" i="7" s="1"/>
  <c r="W695" i="7"/>
  <c r="S20" i="7"/>
  <c r="S175" i="6"/>
  <c r="W20" i="9"/>
  <c r="X20" i="7"/>
  <c r="W20" i="7"/>
  <c r="W20" i="8"/>
  <c r="S20" i="8"/>
  <c r="X20" i="8" s="1"/>
  <c r="S20" i="9"/>
  <c r="X20" i="9" s="1"/>
  <c r="S305" i="7"/>
  <c r="W305" i="7"/>
  <c r="P21" i="9" l="1"/>
  <c r="P21" i="8"/>
  <c r="P717" i="7"/>
  <c r="P696" i="7"/>
  <c r="P611" i="7"/>
  <c r="P306" i="7"/>
  <c r="P271" i="7"/>
  <c r="P21" i="7"/>
  <c r="P176" i="6"/>
  <c r="P153" i="6"/>
  <c r="P21" i="6"/>
  <c r="X305" i="7"/>
  <c r="Q717" i="7"/>
  <c r="X175" i="6"/>
  <c r="R717" i="7"/>
  <c r="X152" i="6"/>
  <c r="Q21" i="6"/>
  <c r="Q21" i="7"/>
  <c r="Q611" i="7"/>
  <c r="W717" i="7"/>
  <c r="X695" i="7"/>
  <c r="R21" i="6"/>
  <c r="R21" i="7"/>
  <c r="R611" i="7"/>
  <c r="Q21" i="8"/>
  <c r="S611" i="7"/>
  <c r="X716" i="7"/>
  <c r="Q153" i="6"/>
  <c r="Q271" i="7"/>
  <c r="W611" i="7"/>
  <c r="R21" i="8"/>
  <c r="Q21" i="9"/>
  <c r="X270" i="7"/>
  <c r="R153" i="6"/>
  <c r="R271" i="7"/>
  <c r="S271" i="7" s="1"/>
  <c r="Q696" i="7"/>
  <c r="S21" i="6"/>
  <c r="X21" i="6"/>
  <c r="S717" i="7"/>
  <c r="X610" i="7"/>
  <c r="W153" i="6"/>
  <c r="W271" i="7"/>
  <c r="R696" i="7"/>
  <c r="S696" i="7" s="1"/>
  <c r="W21" i="6"/>
  <c r="S153" i="6"/>
  <c r="R21" i="9"/>
  <c r="Q176" i="6"/>
  <c r="R176" i="6" s="1"/>
  <c r="W176" i="6" s="1"/>
  <c r="Q306" i="7"/>
  <c r="R306" i="7" s="1"/>
  <c r="W696" i="7"/>
  <c r="S21" i="7"/>
  <c r="S176" i="6"/>
  <c r="W21" i="9"/>
  <c r="X21" i="7"/>
  <c r="W21" i="7"/>
  <c r="W21" i="8"/>
  <c r="S21" i="8"/>
  <c r="X21" i="8" s="1"/>
  <c r="S21" i="9"/>
  <c r="X21" i="9" s="1"/>
  <c r="S306" i="7"/>
  <c r="W306" i="7"/>
  <c r="P22" i="9" l="1"/>
  <c r="P22" i="8"/>
  <c r="P718" i="7"/>
  <c r="P697" i="7"/>
  <c r="P612" i="7"/>
  <c r="P307" i="7"/>
  <c r="P272" i="7"/>
  <c r="P22" i="7"/>
  <c r="P177" i="6"/>
  <c r="P154" i="6"/>
  <c r="P22" i="6"/>
  <c r="X306" i="7"/>
  <c r="Q718" i="7"/>
  <c r="X176" i="6"/>
  <c r="R718" i="7"/>
  <c r="X153" i="6"/>
  <c r="Q22" i="6"/>
  <c r="Q22" i="7"/>
  <c r="Q612" i="7"/>
  <c r="W718" i="7"/>
  <c r="X696" i="7"/>
  <c r="R22" i="6"/>
  <c r="R22" i="7"/>
  <c r="R612" i="7"/>
  <c r="Q22" i="8"/>
  <c r="S612" i="7"/>
  <c r="X717" i="7"/>
  <c r="Q154" i="6"/>
  <c r="Q272" i="7"/>
  <c r="W612" i="7"/>
  <c r="R22" i="8"/>
  <c r="Q22" i="9"/>
  <c r="X271" i="7"/>
  <c r="R154" i="6"/>
  <c r="R272" i="7"/>
  <c r="S272" i="7" s="1"/>
  <c r="Q697" i="7"/>
  <c r="S22" i="6"/>
  <c r="X22" i="6"/>
  <c r="S718" i="7"/>
  <c r="X611" i="7"/>
  <c r="W154" i="6"/>
  <c r="W272" i="7"/>
  <c r="R697" i="7"/>
  <c r="S697" i="7" s="1"/>
  <c r="W22" i="6"/>
  <c r="S154" i="6"/>
  <c r="R22" i="9"/>
  <c r="Q177" i="6"/>
  <c r="R177" i="6" s="1"/>
  <c r="W177" i="6" s="1"/>
  <c r="Q307" i="7"/>
  <c r="R307" i="7" s="1"/>
  <c r="W697" i="7"/>
  <c r="S22" i="7"/>
  <c r="S177" i="6"/>
  <c r="W22" i="9"/>
  <c r="X22" i="7"/>
  <c r="W22" i="7"/>
  <c r="W22" i="8"/>
  <c r="S22" i="8"/>
  <c r="X22" i="8" s="1"/>
  <c r="S22" i="9"/>
  <c r="X22" i="9" s="1"/>
  <c r="S307" i="7"/>
  <c r="W307" i="7"/>
  <c r="P23" i="9" l="1"/>
  <c r="P23" i="8"/>
  <c r="P719" i="7"/>
  <c r="P698" i="7"/>
  <c r="P613" i="7"/>
  <c r="P308" i="7"/>
  <c r="P273" i="7"/>
  <c r="P23" i="7"/>
  <c r="P178" i="6"/>
  <c r="P155" i="6"/>
  <c r="P23" i="6"/>
  <c r="X307" i="7"/>
  <c r="Q719" i="7"/>
  <c r="X177" i="6"/>
  <c r="R719" i="7"/>
  <c r="X154" i="6"/>
  <c r="Q23" i="6"/>
  <c r="Q23" i="7"/>
  <c r="Q613" i="7"/>
  <c r="W719" i="7"/>
  <c r="X697" i="7"/>
  <c r="R23" i="6"/>
  <c r="R23" i="7"/>
  <c r="R613" i="7"/>
  <c r="Q23" i="8"/>
  <c r="S613" i="7"/>
  <c r="X718" i="7"/>
  <c r="Q155" i="6"/>
  <c r="Q273" i="7"/>
  <c r="W613" i="7"/>
  <c r="R23" i="8"/>
  <c r="Q23" i="9"/>
  <c r="X272" i="7"/>
  <c r="R155" i="6"/>
  <c r="R273" i="7"/>
  <c r="S273" i="7" s="1"/>
  <c r="Q698" i="7"/>
  <c r="S23" i="6"/>
  <c r="X23" i="6"/>
  <c r="S719" i="7"/>
  <c r="X612" i="7"/>
  <c r="W155" i="6"/>
  <c r="W273" i="7"/>
  <c r="R698" i="7"/>
  <c r="S698" i="7" s="1"/>
  <c r="W23" i="6"/>
  <c r="S155" i="6"/>
  <c r="R23" i="9"/>
  <c r="Q178" i="6"/>
  <c r="R178" i="6" s="1"/>
  <c r="W178" i="6" s="1"/>
  <c r="Q308" i="7"/>
  <c r="R308" i="7" s="1"/>
  <c r="W698" i="7"/>
  <c r="S23" i="7"/>
  <c r="S178" i="6"/>
  <c r="W23" i="9"/>
  <c r="X23" i="7"/>
  <c r="W23" i="7"/>
  <c r="W23" i="8"/>
  <c r="S23" i="8"/>
  <c r="X23" i="8" s="1"/>
  <c r="S23" i="9"/>
  <c r="X23" i="9" s="1"/>
  <c r="S308" i="7"/>
  <c r="W308" i="7"/>
  <c r="P24" i="9" l="1"/>
  <c r="P24" i="8"/>
  <c r="P720" i="7"/>
  <c r="P699" i="7"/>
  <c r="P614" i="7"/>
  <c r="P309" i="7"/>
  <c r="P274" i="7"/>
  <c r="P24" i="7"/>
  <c r="P179" i="6"/>
  <c r="P156" i="6"/>
  <c r="P24" i="6"/>
  <c r="X308" i="7"/>
  <c r="X178" i="6"/>
  <c r="Q156" i="6"/>
  <c r="X273" i="7"/>
  <c r="X613" i="7"/>
  <c r="Q309" i="7"/>
  <c r="R309" i="7" s="1"/>
  <c r="X155" i="6"/>
  <c r="Q699" i="7"/>
  <c r="Q24" i="6"/>
  <c r="Q24" i="7"/>
  <c r="Q614" i="7"/>
  <c r="Q24" i="8"/>
  <c r="X698" i="7"/>
  <c r="R24" i="6"/>
  <c r="R24" i="7"/>
  <c r="R614" i="7"/>
  <c r="S614" i="7" s="1"/>
  <c r="R24" i="8"/>
  <c r="Q24" i="9"/>
  <c r="X719" i="7"/>
  <c r="Q274" i="7"/>
  <c r="R274" i="7" s="1"/>
  <c r="W614" i="7"/>
  <c r="R156" i="6"/>
  <c r="R699" i="7"/>
  <c r="S699" i="7" s="1"/>
  <c r="S156" i="6"/>
  <c r="R24" i="9"/>
  <c r="W156" i="6"/>
  <c r="W699" i="7"/>
  <c r="Q179" i="6"/>
  <c r="R179" i="6" s="1"/>
  <c r="Q720" i="7"/>
  <c r="R720" i="7" s="1"/>
  <c r="S309" i="7"/>
  <c r="W309" i="7"/>
  <c r="W24" i="6"/>
  <c r="S24" i="6"/>
  <c r="X24" i="6" s="1"/>
  <c r="W24" i="7"/>
  <c r="S24" i="7"/>
  <c r="X24" i="7" s="1"/>
  <c r="W24" i="8"/>
  <c r="S24" i="8"/>
  <c r="X24" i="8" s="1"/>
  <c r="W274" i="7"/>
  <c r="S274" i="7"/>
  <c r="S24" i="9"/>
  <c r="W24" i="9"/>
  <c r="X24" i="9"/>
  <c r="S179" i="6"/>
  <c r="W179" i="6"/>
  <c r="S720" i="7"/>
  <c r="W720" i="7"/>
  <c r="P25" i="9" l="1"/>
  <c r="P25" i="8"/>
  <c r="P721" i="7"/>
  <c r="P615" i="7"/>
  <c r="P310" i="7"/>
  <c r="P275" i="7"/>
  <c r="P25" i="7"/>
  <c r="P180" i="6"/>
  <c r="P157" i="6"/>
  <c r="P25" i="6"/>
  <c r="P158" i="6"/>
  <c r="X720" i="7"/>
  <c r="X179" i="6"/>
  <c r="Q25" i="6"/>
  <c r="Q180" i="6"/>
  <c r="Q310" i="7"/>
  <c r="X274" i="7"/>
  <c r="R25" i="6"/>
  <c r="R180" i="6"/>
  <c r="R310" i="7"/>
  <c r="Q25" i="8"/>
  <c r="S310" i="7"/>
  <c r="X309" i="7"/>
  <c r="Q158" i="6"/>
  <c r="W180" i="6"/>
  <c r="W310" i="7"/>
  <c r="R25" i="8"/>
  <c r="Q25" i="9"/>
  <c r="X156" i="6"/>
  <c r="Q157" i="6"/>
  <c r="Q25" i="7"/>
  <c r="Q615" i="7"/>
  <c r="S25" i="6"/>
  <c r="X25" i="6"/>
  <c r="X699" i="7"/>
  <c r="R158" i="6"/>
  <c r="R25" i="7"/>
  <c r="R615" i="7"/>
  <c r="S615" i="7" s="1"/>
  <c r="W25" i="6"/>
  <c r="S158" i="6"/>
  <c r="R25" i="9"/>
  <c r="X614" i="7"/>
  <c r="R157" i="6"/>
  <c r="W157" i="6" s="1"/>
  <c r="Q275" i="7"/>
  <c r="W615" i="7"/>
  <c r="S25" i="7"/>
  <c r="X25" i="7" s="1"/>
  <c r="S157" i="6"/>
  <c r="W25" i="9"/>
  <c r="W158" i="6"/>
  <c r="R275" i="7"/>
  <c r="Q721" i="7"/>
  <c r="R721" i="7" s="1"/>
  <c r="W25" i="7"/>
  <c r="S180" i="6"/>
  <c r="S25" i="9"/>
  <c r="X25" i="9" s="1"/>
  <c r="W25" i="8"/>
  <c r="S25" i="8"/>
  <c r="X25" i="8" s="1"/>
  <c r="S275" i="7"/>
  <c r="W275" i="7"/>
  <c r="S721" i="7"/>
  <c r="W721" i="7"/>
  <c r="P26" i="9" l="1"/>
  <c r="P26" i="8"/>
  <c r="P722" i="7"/>
  <c r="P616" i="7"/>
  <c r="P311" i="7"/>
  <c r="P276" i="7"/>
  <c r="P26" i="7"/>
  <c r="P181" i="6"/>
  <c r="P26" i="6"/>
  <c r="X721" i="7"/>
  <c r="Q26" i="6"/>
  <c r="Q722" i="7"/>
  <c r="X275" i="7"/>
  <c r="R26" i="6"/>
  <c r="R722" i="7"/>
  <c r="X180" i="6"/>
  <c r="Q181" i="6"/>
  <c r="Q311" i="7"/>
  <c r="W722" i="7"/>
  <c r="X157" i="6"/>
  <c r="R181" i="6"/>
  <c r="R311" i="7"/>
  <c r="S311" i="7" s="1"/>
  <c r="Q26" i="8"/>
  <c r="S722" i="7"/>
  <c r="X158" i="6"/>
  <c r="W181" i="6"/>
  <c r="W311" i="7"/>
  <c r="R26" i="8"/>
  <c r="Q26" i="9"/>
  <c r="R26" i="9"/>
  <c r="X615" i="7"/>
  <c r="Q26" i="7"/>
  <c r="Q616" i="7"/>
  <c r="S26" i="6"/>
  <c r="X26" i="6"/>
  <c r="W26" i="9"/>
  <c r="X310" i="7"/>
  <c r="R26" i="7"/>
  <c r="W26" i="7" s="1"/>
  <c r="R616" i="7"/>
  <c r="S616" i="7" s="1"/>
  <c r="W26" i="6"/>
  <c r="S181" i="6"/>
  <c r="S26" i="9"/>
  <c r="Q276" i="7"/>
  <c r="R276" i="7" s="1"/>
  <c r="W616" i="7"/>
  <c r="S26" i="7"/>
  <c r="X26" i="7"/>
  <c r="X26" i="9"/>
  <c r="W26" i="8"/>
  <c r="S26" i="8"/>
  <c r="X26" i="8" s="1"/>
  <c r="W276" i="7"/>
  <c r="S276" i="7"/>
  <c r="P27" i="9" l="1"/>
  <c r="P27" i="8"/>
  <c r="P617" i="7"/>
  <c r="P312" i="7"/>
  <c r="P277" i="7"/>
  <c r="P27" i="7"/>
  <c r="P182" i="6"/>
  <c r="P27" i="6"/>
  <c r="X276" i="7"/>
  <c r="X181" i="6"/>
  <c r="X616" i="7"/>
  <c r="Q27" i="7"/>
  <c r="Q617" i="7"/>
  <c r="X722" i="7"/>
  <c r="R27" i="7"/>
  <c r="R617" i="7"/>
  <c r="X311" i="7"/>
  <c r="Q277" i="7"/>
  <c r="W617" i="7"/>
  <c r="S617" i="7"/>
  <c r="Q27" i="6"/>
  <c r="R277" i="7"/>
  <c r="S277" i="7" s="1"/>
  <c r="Q27" i="8"/>
  <c r="R27" i="6"/>
  <c r="W27" i="6" s="1"/>
  <c r="W277" i="7"/>
  <c r="R27" i="8"/>
  <c r="Q27" i="9"/>
  <c r="R27" i="9" s="1"/>
  <c r="W27" i="9"/>
  <c r="Q182" i="6"/>
  <c r="R182" i="6" s="1"/>
  <c r="Q312" i="7"/>
  <c r="R312" i="7" s="1"/>
  <c r="S27" i="6"/>
  <c r="X27" i="6"/>
  <c r="S27" i="9"/>
  <c r="X27" i="9" s="1"/>
  <c r="W27" i="7"/>
  <c r="S27" i="7"/>
  <c r="X27" i="7" s="1"/>
  <c r="W27" i="8"/>
  <c r="S27" i="8"/>
  <c r="X27" i="8" s="1"/>
  <c r="W182" i="6"/>
  <c r="S182" i="6"/>
  <c r="S312" i="7"/>
  <c r="W312" i="7"/>
  <c r="P28" i="9" l="1"/>
  <c r="P28" i="8"/>
  <c r="P618" i="7"/>
  <c r="P313" i="7"/>
  <c r="P278" i="7"/>
  <c r="P28" i="7"/>
  <c r="P183" i="6"/>
  <c r="P28" i="6"/>
  <c r="X312" i="7"/>
  <c r="X182" i="6"/>
  <c r="Q28" i="7"/>
  <c r="Q618" i="7"/>
  <c r="X277" i="7"/>
  <c r="R28" i="7"/>
  <c r="R618" i="7"/>
  <c r="X617" i="7"/>
  <c r="Q278" i="7"/>
  <c r="W618" i="7"/>
  <c r="S618" i="7"/>
  <c r="Q28" i="6"/>
  <c r="R278" i="7"/>
  <c r="S278" i="7" s="1"/>
  <c r="Q28" i="8"/>
  <c r="R28" i="6"/>
  <c r="W278" i="7"/>
  <c r="R28" i="8"/>
  <c r="Q28" i="9"/>
  <c r="R28" i="9" s="1"/>
  <c r="W28" i="9"/>
  <c r="Q183" i="6"/>
  <c r="Q313" i="7"/>
  <c r="S28" i="6"/>
  <c r="X28" i="6"/>
  <c r="S28" i="9"/>
  <c r="R183" i="6"/>
  <c r="W183" i="6" s="1"/>
  <c r="R313" i="7"/>
  <c r="W28" i="6"/>
  <c r="S183" i="6"/>
  <c r="X28" i="9"/>
  <c r="W28" i="7"/>
  <c r="S28" i="7"/>
  <c r="X28" i="7" s="1"/>
  <c r="W28" i="8"/>
  <c r="S28" i="8"/>
  <c r="X28" i="8" s="1"/>
  <c r="S313" i="7"/>
  <c r="W313" i="7"/>
  <c r="P29" i="9" l="1"/>
  <c r="P29" i="8"/>
  <c r="P619" i="7"/>
  <c r="P314" i="7"/>
  <c r="P279" i="7"/>
  <c r="P29" i="7"/>
  <c r="P184" i="6"/>
  <c r="P29" i="6"/>
  <c r="X313" i="7"/>
  <c r="X183" i="6"/>
  <c r="Q29" i="7"/>
  <c r="Q619" i="7"/>
  <c r="X278" i="7"/>
  <c r="R29" i="7"/>
  <c r="R619" i="7"/>
  <c r="X618" i="7"/>
  <c r="Q279" i="7"/>
  <c r="W619" i="7"/>
  <c r="S619" i="7"/>
  <c r="Q29" i="6"/>
  <c r="R279" i="7"/>
  <c r="S279" i="7" s="1"/>
  <c r="Q29" i="8"/>
  <c r="R29" i="6"/>
  <c r="W279" i="7"/>
  <c r="R29" i="8"/>
  <c r="Q29" i="9"/>
  <c r="R29" i="9" s="1"/>
  <c r="W29" i="9"/>
  <c r="Q184" i="6"/>
  <c r="Q314" i="7"/>
  <c r="S29" i="6"/>
  <c r="X29" i="6"/>
  <c r="S29" i="9"/>
  <c r="R184" i="6"/>
  <c r="W184" i="6" s="1"/>
  <c r="R314" i="7"/>
  <c r="W29" i="6"/>
  <c r="S184" i="6"/>
  <c r="X29" i="9"/>
  <c r="W29" i="7"/>
  <c r="S29" i="7"/>
  <c r="X29" i="7" s="1"/>
  <c r="W29" i="8"/>
  <c r="S29" i="8"/>
  <c r="X29" i="8" s="1"/>
  <c r="S314" i="7"/>
  <c r="W314" i="7"/>
  <c r="P30" i="9" l="1"/>
  <c r="P30" i="8"/>
  <c r="P620" i="7"/>
  <c r="P315" i="7"/>
  <c r="P280" i="7"/>
  <c r="P30" i="7"/>
  <c r="P185" i="6"/>
  <c r="P30" i="6"/>
  <c r="X314" i="7"/>
  <c r="X184" i="6"/>
  <c r="Q30" i="7"/>
  <c r="Q620" i="7"/>
  <c r="X279" i="7"/>
  <c r="R30" i="7"/>
  <c r="R620" i="7"/>
  <c r="X619" i="7"/>
  <c r="Q280" i="7"/>
  <c r="W620" i="7"/>
  <c r="S620" i="7"/>
  <c r="Q30" i="6"/>
  <c r="R280" i="7"/>
  <c r="S280" i="7" s="1"/>
  <c r="Q30" i="8"/>
  <c r="R30" i="6"/>
  <c r="W280" i="7"/>
  <c r="R30" i="8"/>
  <c r="Q30" i="9"/>
  <c r="R30" i="9" s="1"/>
  <c r="W30" i="9"/>
  <c r="Q185" i="6"/>
  <c r="Q315" i="7"/>
  <c r="S30" i="6"/>
  <c r="X30" i="6"/>
  <c r="S30" i="9"/>
  <c r="R185" i="6"/>
  <c r="W185" i="6" s="1"/>
  <c r="R315" i="7"/>
  <c r="W30" i="6"/>
  <c r="S185" i="6"/>
  <c r="X30" i="9"/>
  <c r="W30" i="7"/>
  <c r="S30" i="7"/>
  <c r="X30" i="7" s="1"/>
  <c r="W30" i="8"/>
  <c r="S30" i="8"/>
  <c r="X30" i="8" s="1"/>
  <c r="S315" i="7"/>
  <c r="W315" i="7"/>
  <c r="P31" i="9" l="1"/>
  <c r="P31" i="8"/>
  <c r="P621" i="7"/>
  <c r="P316" i="7"/>
  <c r="P281" i="7"/>
  <c r="P31" i="7"/>
  <c r="P186" i="6"/>
  <c r="P31" i="6"/>
  <c r="X315" i="7"/>
  <c r="X185" i="6"/>
  <c r="Q31" i="7"/>
  <c r="Q621" i="7"/>
  <c r="X280" i="7"/>
  <c r="R31" i="7"/>
  <c r="R621" i="7"/>
  <c r="X620" i="7"/>
  <c r="Q281" i="7"/>
  <c r="W621" i="7"/>
  <c r="S621" i="7"/>
  <c r="Q31" i="6"/>
  <c r="R281" i="7"/>
  <c r="S281" i="7" s="1"/>
  <c r="Q31" i="8"/>
  <c r="R31" i="6"/>
  <c r="W281" i="7"/>
  <c r="R31" i="8"/>
  <c r="Q31" i="9"/>
  <c r="R31" i="9" s="1"/>
  <c r="W31" i="9"/>
  <c r="Q186" i="6"/>
  <c r="Q316" i="7"/>
  <c r="S31" i="6"/>
  <c r="X31" i="6"/>
  <c r="S31" i="9"/>
  <c r="R186" i="6"/>
  <c r="W186" i="6" s="1"/>
  <c r="R316" i="7"/>
  <c r="W31" i="6"/>
  <c r="S186" i="6"/>
  <c r="X31" i="9"/>
  <c r="W31" i="7"/>
  <c r="S31" i="7"/>
  <c r="X31" i="7" s="1"/>
  <c r="W31" i="8"/>
  <c r="S31" i="8"/>
  <c r="X31" i="8" s="1"/>
  <c r="S316" i="7"/>
  <c r="W316" i="7"/>
  <c r="P32" i="9" l="1"/>
  <c r="P32" i="8"/>
  <c r="P622" i="7"/>
  <c r="P317" i="7"/>
  <c r="P282" i="7"/>
  <c r="P32" i="7"/>
  <c r="P187" i="6"/>
  <c r="P32" i="6"/>
  <c r="X316" i="7"/>
  <c r="X186" i="6"/>
  <c r="Q32" i="7"/>
  <c r="Q622" i="7"/>
  <c r="X281" i="7"/>
  <c r="R32" i="7"/>
  <c r="R622" i="7"/>
  <c r="X621" i="7"/>
  <c r="Q282" i="7"/>
  <c r="W622" i="7"/>
  <c r="S622" i="7"/>
  <c r="Q32" i="6"/>
  <c r="R282" i="7"/>
  <c r="S282" i="7" s="1"/>
  <c r="Q32" i="8"/>
  <c r="R32" i="6"/>
  <c r="W282" i="7"/>
  <c r="R32" i="8"/>
  <c r="Q32" i="9"/>
  <c r="R32" i="9" s="1"/>
  <c r="W32" i="9"/>
  <c r="Q187" i="6"/>
  <c r="Q317" i="7"/>
  <c r="S32" i="6"/>
  <c r="X32" i="6"/>
  <c r="S32" i="9"/>
  <c r="R187" i="6"/>
  <c r="W187" i="6" s="1"/>
  <c r="R317" i="7"/>
  <c r="W32" i="6"/>
  <c r="S187" i="6"/>
  <c r="X32" i="9"/>
  <c r="W32" i="7"/>
  <c r="S32" i="7"/>
  <c r="X32" i="7" s="1"/>
  <c r="W32" i="8"/>
  <c r="S32" i="8"/>
  <c r="X32" i="8" s="1"/>
  <c r="S317" i="7"/>
  <c r="W317" i="7"/>
  <c r="P33" i="9" l="1"/>
  <c r="P33" i="8"/>
  <c r="P623" i="7"/>
  <c r="P318" i="7"/>
  <c r="P283" i="7"/>
  <c r="P33" i="7"/>
  <c r="P188" i="6"/>
  <c r="P33" i="6"/>
  <c r="X317" i="7"/>
  <c r="X187" i="6"/>
  <c r="Q33" i="7"/>
  <c r="Q623" i="7"/>
  <c r="X282" i="7"/>
  <c r="R33" i="7"/>
  <c r="R623" i="7"/>
  <c r="X622" i="7"/>
  <c r="Q283" i="7"/>
  <c r="W623" i="7"/>
  <c r="S623" i="7"/>
  <c r="Q33" i="6"/>
  <c r="R283" i="7"/>
  <c r="S283" i="7" s="1"/>
  <c r="Q33" i="8"/>
  <c r="R33" i="6"/>
  <c r="W283" i="7"/>
  <c r="R33" i="8"/>
  <c r="Q33" i="9"/>
  <c r="R33" i="9" s="1"/>
  <c r="W33" i="9"/>
  <c r="Q188" i="6"/>
  <c r="Q318" i="7"/>
  <c r="S33" i="6"/>
  <c r="X33" i="6"/>
  <c r="S33" i="9"/>
  <c r="R188" i="6"/>
  <c r="W188" i="6" s="1"/>
  <c r="R318" i="7"/>
  <c r="W33" i="6"/>
  <c r="S188" i="6"/>
  <c r="X33" i="9"/>
  <c r="W33" i="7"/>
  <c r="S33" i="7"/>
  <c r="X33" i="7" s="1"/>
  <c r="W33" i="8"/>
  <c r="S33" i="8"/>
  <c r="X33" i="8" s="1"/>
  <c r="S318" i="7"/>
  <c r="W318" i="7"/>
  <c r="P34" i="9" l="1"/>
  <c r="P34" i="8"/>
  <c r="P624" i="7"/>
  <c r="P319" i="7"/>
  <c r="P284" i="7"/>
  <c r="P34" i="7"/>
  <c r="P189" i="6"/>
  <c r="P34" i="6"/>
  <c r="X318" i="7"/>
  <c r="X188" i="6"/>
  <c r="Q34" i="7"/>
  <c r="Q624" i="7"/>
  <c r="X283" i="7"/>
  <c r="R34" i="7"/>
  <c r="R624" i="7"/>
  <c r="X623" i="7"/>
  <c r="Q284" i="7"/>
  <c r="W624" i="7"/>
  <c r="S624" i="7"/>
  <c r="Q34" i="6"/>
  <c r="R284" i="7"/>
  <c r="S284" i="7" s="1"/>
  <c r="Q34" i="8"/>
  <c r="R34" i="6"/>
  <c r="W284" i="7"/>
  <c r="R34" i="8"/>
  <c r="Q34" i="9"/>
  <c r="R34" i="9" s="1"/>
  <c r="W34" i="9"/>
  <c r="Q189" i="6"/>
  <c r="Q319" i="7"/>
  <c r="S34" i="6"/>
  <c r="X34" i="6"/>
  <c r="S34" i="9"/>
  <c r="R189" i="6"/>
  <c r="W189" i="6" s="1"/>
  <c r="R319" i="7"/>
  <c r="W34" i="6"/>
  <c r="S189" i="6"/>
  <c r="X34" i="9"/>
  <c r="W34" i="7"/>
  <c r="S34" i="7"/>
  <c r="X34" i="7" s="1"/>
  <c r="W34" i="8"/>
  <c r="S34" i="8"/>
  <c r="X34" i="8" s="1"/>
  <c r="S319" i="7"/>
  <c r="W319" i="7"/>
  <c r="P35" i="9" l="1"/>
  <c r="P35" i="8"/>
  <c r="P625" i="7"/>
  <c r="P320" i="7"/>
  <c r="P285" i="7"/>
  <c r="P35" i="7"/>
  <c r="P190" i="6"/>
  <c r="P35" i="6"/>
  <c r="X319" i="7"/>
  <c r="X189" i="6"/>
  <c r="Q35" i="7"/>
  <c r="Q625" i="7"/>
  <c r="X284" i="7"/>
  <c r="R35" i="7"/>
  <c r="R625" i="7"/>
  <c r="X624" i="7"/>
  <c r="Q285" i="7"/>
  <c r="W625" i="7"/>
  <c r="S625" i="7"/>
  <c r="Q35" i="6"/>
  <c r="R285" i="7"/>
  <c r="S285" i="7" s="1"/>
  <c r="Q35" i="8"/>
  <c r="R35" i="6"/>
  <c r="W285" i="7"/>
  <c r="R35" i="8"/>
  <c r="Q35" i="9"/>
  <c r="R35" i="9" s="1"/>
  <c r="W35" i="9"/>
  <c r="Q190" i="6"/>
  <c r="Q320" i="7"/>
  <c r="S35" i="6"/>
  <c r="X35" i="6"/>
  <c r="S35" i="9"/>
  <c r="R190" i="6"/>
  <c r="W190" i="6" s="1"/>
  <c r="R320" i="7"/>
  <c r="W35" i="6"/>
  <c r="S190" i="6"/>
  <c r="X35" i="9"/>
  <c r="W35" i="7"/>
  <c r="S35" i="7"/>
  <c r="X35" i="7" s="1"/>
  <c r="W35" i="8"/>
  <c r="S35" i="8"/>
  <c r="X35" i="8" s="1"/>
  <c r="S320" i="7"/>
  <c r="W320" i="7"/>
  <c r="P36" i="9" l="1"/>
  <c r="P36" i="8"/>
  <c r="P626" i="7"/>
  <c r="P321" i="7"/>
  <c r="P286" i="7"/>
  <c r="P36" i="7"/>
  <c r="P191" i="6"/>
  <c r="P36" i="6"/>
  <c r="X320" i="7"/>
  <c r="X190" i="6"/>
  <c r="Q36" i="7"/>
  <c r="Q626" i="7"/>
  <c r="X285" i="7"/>
  <c r="R36" i="7"/>
  <c r="R626" i="7"/>
  <c r="X625" i="7"/>
  <c r="Q286" i="7"/>
  <c r="W626" i="7"/>
  <c r="S626" i="7"/>
  <c r="Q36" i="6"/>
  <c r="R286" i="7"/>
  <c r="S286" i="7" s="1"/>
  <c r="Q36" i="8"/>
  <c r="R36" i="6"/>
  <c r="W286" i="7"/>
  <c r="R36" i="8"/>
  <c r="Q36" i="9"/>
  <c r="R36" i="9" s="1"/>
  <c r="W36" i="9"/>
  <c r="Q191" i="6"/>
  <c r="Q321" i="7"/>
  <c r="S36" i="6"/>
  <c r="X36" i="6"/>
  <c r="S36" i="9"/>
  <c r="R191" i="6"/>
  <c r="W191" i="6" s="1"/>
  <c r="R321" i="7"/>
  <c r="W36" i="6"/>
  <c r="S191" i="6"/>
  <c r="X36" i="9"/>
  <c r="W36" i="7"/>
  <c r="S36" i="7"/>
  <c r="X36" i="7" s="1"/>
  <c r="W36" i="8"/>
  <c r="S36" i="8"/>
  <c r="X36" i="8" s="1"/>
  <c r="S321" i="7"/>
  <c r="W321" i="7"/>
  <c r="P37" i="9" l="1"/>
  <c r="P37" i="8"/>
  <c r="P627" i="7"/>
  <c r="P322" i="7"/>
  <c r="P287" i="7"/>
  <c r="P37" i="7"/>
  <c r="P192" i="6"/>
  <c r="P37" i="6"/>
  <c r="X321" i="7"/>
  <c r="X191" i="6"/>
  <c r="Q37" i="7"/>
  <c r="Q627" i="7"/>
  <c r="X286" i="7"/>
  <c r="R37" i="7"/>
  <c r="R627" i="7"/>
  <c r="X626" i="7"/>
  <c r="Q287" i="7"/>
  <c r="W627" i="7"/>
  <c r="S627" i="7"/>
  <c r="Q37" i="6"/>
  <c r="R287" i="7"/>
  <c r="S287" i="7" s="1"/>
  <c r="Q37" i="8"/>
  <c r="R37" i="6"/>
  <c r="W287" i="7"/>
  <c r="R37" i="8"/>
  <c r="Q37" i="9"/>
  <c r="R37" i="9" s="1"/>
  <c r="W37" i="9"/>
  <c r="Q192" i="6"/>
  <c r="Q322" i="7"/>
  <c r="S37" i="6"/>
  <c r="X37" i="6"/>
  <c r="S37" i="9"/>
  <c r="R192" i="6"/>
  <c r="W192" i="6" s="1"/>
  <c r="R322" i="7"/>
  <c r="W37" i="6"/>
  <c r="S192" i="6"/>
  <c r="X37" i="9"/>
  <c r="W37" i="7"/>
  <c r="S37" i="7"/>
  <c r="X37" i="7" s="1"/>
  <c r="W37" i="8"/>
  <c r="S37" i="8"/>
  <c r="X37" i="8" s="1"/>
  <c r="S322" i="7"/>
  <c r="W322" i="7"/>
  <c r="P38" i="9" l="1"/>
  <c r="P38" i="8"/>
  <c r="P628" i="7"/>
  <c r="P323" i="7"/>
  <c r="P288" i="7"/>
  <c r="P38" i="7"/>
  <c r="P193" i="6"/>
  <c r="P38" i="6"/>
  <c r="X322" i="7"/>
  <c r="Q288" i="7"/>
  <c r="Q628" i="7"/>
  <c r="X192" i="6"/>
  <c r="Q38" i="7"/>
  <c r="R628" i="7"/>
  <c r="X287" i="7"/>
  <c r="R38" i="7"/>
  <c r="W38" i="7" s="1"/>
  <c r="W628" i="7"/>
  <c r="S628" i="7"/>
  <c r="X627" i="7"/>
  <c r="R288" i="7"/>
  <c r="S288" i="7" s="1"/>
  <c r="Q38" i="8"/>
  <c r="Q38" i="6"/>
  <c r="W288" i="7"/>
  <c r="R38" i="8"/>
  <c r="Q38" i="9"/>
  <c r="R38" i="9" s="1"/>
  <c r="W38" i="9"/>
  <c r="R38" i="6"/>
  <c r="Q323" i="7"/>
  <c r="S38" i="6"/>
  <c r="X38" i="6"/>
  <c r="S38" i="9"/>
  <c r="Q193" i="6"/>
  <c r="R323" i="7"/>
  <c r="S323" i="7" s="1"/>
  <c r="W38" i="6"/>
  <c r="X38" i="9"/>
  <c r="R193" i="6"/>
  <c r="W323" i="7"/>
  <c r="S38" i="7"/>
  <c r="X38" i="7"/>
  <c r="W38" i="8"/>
  <c r="S38" i="8"/>
  <c r="X38" i="8" s="1"/>
  <c r="S193" i="6"/>
  <c r="W193" i="6"/>
  <c r="P39" i="9" l="1"/>
  <c r="P39" i="8"/>
  <c r="P629" i="7"/>
  <c r="P324" i="7"/>
  <c r="P39" i="7"/>
  <c r="P194" i="6"/>
  <c r="P39" i="6"/>
  <c r="X193" i="6"/>
  <c r="Q39" i="7"/>
  <c r="Q39" i="8"/>
  <c r="X323" i="7"/>
  <c r="R39" i="7"/>
  <c r="R39" i="8"/>
  <c r="W39" i="8" s="1"/>
  <c r="Q39" i="9"/>
  <c r="X288" i="7"/>
  <c r="Q324" i="7"/>
  <c r="X628" i="7"/>
  <c r="Q39" i="6"/>
  <c r="R324" i="7"/>
  <c r="R39" i="6"/>
  <c r="W324" i="7"/>
  <c r="S39" i="7"/>
  <c r="X39" i="7"/>
  <c r="Q194" i="6"/>
  <c r="Q629" i="7"/>
  <c r="W39" i="7"/>
  <c r="S324" i="7"/>
  <c r="R194" i="6"/>
  <c r="S194" i="6" s="1"/>
  <c r="R629" i="7"/>
  <c r="S39" i="8"/>
  <c r="S629" i="7"/>
  <c r="W194" i="6"/>
  <c r="W629" i="7"/>
  <c r="X39" i="8"/>
  <c r="R39" i="9"/>
  <c r="W39" i="6"/>
  <c r="S39" i="6"/>
  <c r="X39" i="6" s="1"/>
  <c r="S39" i="9"/>
  <c r="X39" i="9" s="1"/>
  <c r="W39" i="9"/>
  <c r="P40" i="9" l="1"/>
  <c r="P40" i="8"/>
  <c r="P630" i="7"/>
  <c r="P325" i="7"/>
  <c r="P40" i="7"/>
  <c r="P195" i="6"/>
  <c r="P40" i="6"/>
  <c r="X629" i="7"/>
  <c r="Q40" i="9"/>
  <c r="X194" i="6"/>
  <c r="Q325" i="7"/>
  <c r="X324" i="7"/>
  <c r="Q40" i="6"/>
  <c r="R325" i="7"/>
  <c r="R40" i="6"/>
  <c r="W325" i="7"/>
  <c r="Q195" i="6"/>
  <c r="Q630" i="7"/>
  <c r="S325" i="7"/>
  <c r="R195" i="6"/>
  <c r="S195" i="6" s="1"/>
  <c r="R630" i="7"/>
  <c r="S630" i="7"/>
  <c r="W195" i="6"/>
  <c r="W630" i="7"/>
  <c r="R40" i="9"/>
  <c r="Q40" i="7"/>
  <c r="R40" i="7" s="1"/>
  <c r="Q40" i="8"/>
  <c r="R40" i="8" s="1"/>
  <c r="W40" i="8"/>
  <c r="W40" i="9"/>
  <c r="W40" i="6"/>
  <c r="S40" i="6"/>
  <c r="X40" i="6" s="1"/>
  <c r="S40" i="9"/>
  <c r="X40" i="9" s="1"/>
  <c r="W40" i="7"/>
  <c r="S40" i="7"/>
  <c r="X40" i="7" s="1"/>
  <c r="S40" i="8"/>
  <c r="X40" i="8" s="1"/>
  <c r="P41" i="9" l="1"/>
  <c r="P41" i="8"/>
  <c r="P631" i="7"/>
  <c r="P326" i="7"/>
  <c r="P41" i="7"/>
  <c r="P196" i="6"/>
  <c r="P41" i="6"/>
  <c r="X630" i="7"/>
  <c r="Q41" i="9"/>
  <c r="X195" i="6"/>
  <c r="Q326" i="7"/>
  <c r="X325" i="7"/>
  <c r="Q41" i="6"/>
  <c r="R326" i="7"/>
  <c r="R41" i="6"/>
  <c r="W326" i="7"/>
  <c r="Q196" i="6"/>
  <c r="Q631" i="7"/>
  <c r="S326" i="7"/>
  <c r="R196" i="6"/>
  <c r="S196" i="6" s="1"/>
  <c r="R631" i="7"/>
  <c r="S631" i="7"/>
  <c r="W196" i="6"/>
  <c r="W631" i="7"/>
  <c r="R41" i="9"/>
  <c r="Q41" i="7"/>
  <c r="R41" i="7" s="1"/>
  <c r="Q41" i="8"/>
  <c r="R41" i="8" s="1"/>
  <c r="W41" i="8"/>
  <c r="W41" i="9"/>
  <c r="W41" i="6"/>
  <c r="S41" i="6"/>
  <c r="X41" i="6" s="1"/>
  <c r="S41" i="9"/>
  <c r="X41" i="9" s="1"/>
  <c r="W41" i="7"/>
  <c r="S41" i="7"/>
  <c r="X41" i="7" s="1"/>
  <c r="S41" i="8"/>
  <c r="X41" i="8" s="1"/>
  <c r="P42" i="9" l="1"/>
  <c r="P42" i="8"/>
  <c r="P632" i="7"/>
  <c r="P327" i="7"/>
  <c r="P42" i="7"/>
  <c r="P197" i="6"/>
  <c r="P42" i="6"/>
  <c r="X631" i="7"/>
  <c r="Q42" i="9"/>
  <c r="X196" i="6"/>
  <c r="Q327" i="7"/>
  <c r="X326" i="7"/>
  <c r="Q42" i="6"/>
  <c r="R327" i="7"/>
  <c r="R42" i="6"/>
  <c r="W327" i="7"/>
  <c r="Q197" i="6"/>
  <c r="Q632" i="7"/>
  <c r="S327" i="7"/>
  <c r="R197" i="6"/>
  <c r="S197" i="6" s="1"/>
  <c r="R632" i="7"/>
  <c r="S632" i="7"/>
  <c r="W197" i="6"/>
  <c r="W632" i="7"/>
  <c r="R42" i="9"/>
  <c r="Q42" i="7"/>
  <c r="R42" i="7" s="1"/>
  <c r="Q42" i="8"/>
  <c r="R42" i="8" s="1"/>
  <c r="W42" i="8"/>
  <c r="W42" i="9"/>
  <c r="W42" i="6"/>
  <c r="S42" i="6"/>
  <c r="X42" i="6" s="1"/>
  <c r="S42" i="9"/>
  <c r="X42" i="9" s="1"/>
  <c r="W42" i="7"/>
  <c r="S42" i="7"/>
  <c r="X42" i="7" s="1"/>
  <c r="S42" i="8"/>
  <c r="X42" i="8" s="1"/>
  <c r="P43" i="9" l="1"/>
  <c r="P43" i="8"/>
  <c r="P633" i="7"/>
  <c r="P328" i="7"/>
  <c r="P43" i="7"/>
  <c r="P198" i="6"/>
  <c r="P43" i="6"/>
  <c r="X632" i="7"/>
  <c r="Q43" i="9"/>
  <c r="X197" i="6"/>
  <c r="Q328" i="7"/>
  <c r="X327" i="7"/>
  <c r="Q43" i="6"/>
  <c r="R328" i="7"/>
  <c r="R43" i="6"/>
  <c r="W328" i="7"/>
  <c r="Q198" i="6"/>
  <c r="Q633" i="7"/>
  <c r="S328" i="7"/>
  <c r="R198" i="6"/>
  <c r="S198" i="6" s="1"/>
  <c r="R633" i="7"/>
  <c r="S633" i="7"/>
  <c r="W198" i="6"/>
  <c r="W633" i="7"/>
  <c r="R43" i="9"/>
  <c r="Q43" i="7"/>
  <c r="R43" i="7" s="1"/>
  <c r="Q43" i="8"/>
  <c r="R43" i="8" s="1"/>
  <c r="W43" i="8"/>
  <c r="W43" i="9"/>
  <c r="W43" i="6"/>
  <c r="S43" i="6"/>
  <c r="X43" i="6" s="1"/>
  <c r="S43" i="9"/>
  <c r="X43" i="9" s="1"/>
  <c r="W43" i="7"/>
  <c r="S43" i="7"/>
  <c r="X43" i="7" s="1"/>
  <c r="S43" i="8"/>
  <c r="X43" i="8" s="1"/>
  <c r="P44" i="9" l="1"/>
  <c r="P44" i="8"/>
  <c r="P634" i="7"/>
  <c r="P329" i="7"/>
  <c r="P44" i="7"/>
  <c r="P199" i="6"/>
  <c r="P44" i="6"/>
  <c r="X633" i="7"/>
  <c r="Q44" i="9"/>
  <c r="X198" i="6"/>
  <c r="Q329" i="7"/>
  <c r="X328" i="7"/>
  <c r="Q44" i="6"/>
  <c r="R329" i="7"/>
  <c r="R44" i="6"/>
  <c r="W329" i="7"/>
  <c r="Q199" i="6"/>
  <c r="Q634" i="7"/>
  <c r="S329" i="7"/>
  <c r="R199" i="6"/>
  <c r="S199" i="6" s="1"/>
  <c r="R634" i="7"/>
  <c r="S634" i="7"/>
  <c r="W199" i="6"/>
  <c r="W634" i="7"/>
  <c r="R44" i="9"/>
  <c r="Q44" i="7"/>
  <c r="R44" i="7" s="1"/>
  <c r="Q44" i="8"/>
  <c r="R44" i="8" s="1"/>
  <c r="W44" i="8"/>
  <c r="W44" i="9"/>
  <c r="W44" i="6"/>
  <c r="S44" i="6"/>
  <c r="X44" i="6" s="1"/>
  <c r="S44" i="9"/>
  <c r="X44" i="9" s="1"/>
  <c r="W44" i="7"/>
  <c r="S44" i="7"/>
  <c r="X44" i="7" s="1"/>
  <c r="S44" i="8"/>
  <c r="X44" i="8" s="1"/>
  <c r="P45" i="9" l="1"/>
  <c r="P45" i="8"/>
  <c r="P635" i="7"/>
  <c r="P330" i="7"/>
  <c r="P45" i="7"/>
  <c r="P200" i="6"/>
  <c r="P45" i="6"/>
  <c r="X634" i="7"/>
  <c r="Q45" i="9"/>
  <c r="X199" i="6"/>
  <c r="Q330" i="7"/>
  <c r="X329" i="7"/>
  <c r="Q45" i="6"/>
  <c r="R330" i="7"/>
  <c r="R45" i="6"/>
  <c r="W330" i="7"/>
  <c r="Q200" i="6"/>
  <c r="Q635" i="7"/>
  <c r="S330" i="7"/>
  <c r="R200" i="6"/>
  <c r="S200" i="6" s="1"/>
  <c r="R635" i="7"/>
  <c r="S635" i="7"/>
  <c r="W200" i="6"/>
  <c r="W635" i="7"/>
  <c r="R45" i="9"/>
  <c r="Q45" i="7"/>
  <c r="R45" i="7" s="1"/>
  <c r="Q45" i="8"/>
  <c r="R45" i="8" s="1"/>
  <c r="W45" i="8"/>
  <c r="W45" i="9"/>
  <c r="W45" i="6"/>
  <c r="S45" i="6"/>
  <c r="X45" i="6" s="1"/>
  <c r="S45" i="9"/>
  <c r="X45" i="9" s="1"/>
  <c r="W45" i="7"/>
  <c r="S45" i="7"/>
  <c r="X45" i="7" s="1"/>
  <c r="S45" i="8"/>
  <c r="X45" i="8" s="1"/>
  <c r="P46" i="9" l="1"/>
  <c r="P46" i="8"/>
  <c r="P636" i="7"/>
  <c r="P331" i="7"/>
  <c r="P46" i="7"/>
  <c r="P201" i="6"/>
  <c r="P46" i="6"/>
  <c r="X635" i="7"/>
  <c r="Q46" i="9"/>
  <c r="X200" i="6"/>
  <c r="Q331" i="7"/>
  <c r="X330" i="7"/>
  <c r="Q46" i="6"/>
  <c r="R331" i="7"/>
  <c r="R46" i="6"/>
  <c r="W331" i="7"/>
  <c r="Q201" i="6"/>
  <c r="Q636" i="7"/>
  <c r="S331" i="7"/>
  <c r="R201" i="6"/>
  <c r="S201" i="6" s="1"/>
  <c r="R636" i="7"/>
  <c r="S636" i="7"/>
  <c r="W201" i="6"/>
  <c r="W636" i="7"/>
  <c r="R46" i="9"/>
  <c r="Q46" i="7"/>
  <c r="R46" i="7" s="1"/>
  <c r="Q46" i="8"/>
  <c r="R46" i="8" s="1"/>
  <c r="W46" i="8"/>
  <c r="W46" i="9"/>
  <c r="W46" i="6"/>
  <c r="S46" i="6"/>
  <c r="X46" i="6" s="1"/>
  <c r="S46" i="9"/>
  <c r="X46" i="9" s="1"/>
  <c r="W46" i="7"/>
  <c r="S46" i="7"/>
  <c r="X46" i="7" s="1"/>
  <c r="S46" i="8"/>
  <c r="X46" i="8" s="1"/>
  <c r="P47" i="9" l="1"/>
  <c r="P47" i="8"/>
  <c r="P637" i="7"/>
  <c r="P332" i="7"/>
  <c r="P47" i="7"/>
  <c r="P202" i="6"/>
  <c r="P47" i="6"/>
  <c r="X636" i="7"/>
  <c r="Q47" i="9"/>
  <c r="X201" i="6"/>
  <c r="Q332" i="7"/>
  <c r="X331" i="7"/>
  <c r="Q47" i="6"/>
  <c r="R332" i="7"/>
  <c r="R47" i="6"/>
  <c r="W332" i="7"/>
  <c r="Q202" i="6"/>
  <c r="Q637" i="7"/>
  <c r="S332" i="7"/>
  <c r="R202" i="6"/>
  <c r="S202" i="6" s="1"/>
  <c r="R637" i="7"/>
  <c r="S637" i="7"/>
  <c r="W202" i="6"/>
  <c r="W637" i="7"/>
  <c r="R47" i="9"/>
  <c r="Q47" i="7"/>
  <c r="R47" i="7" s="1"/>
  <c r="Q47" i="8"/>
  <c r="R47" i="8" s="1"/>
  <c r="W47" i="8"/>
  <c r="W47" i="9"/>
  <c r="W47" i="6"/>
  <c r="S47" i="6"/>
  <c r="X47" i="6" s="1"/>
  <c r="S47" i="9"/>
  <c r="X47" i="9" s="1"/>
  <c r="W47" i="7"/>
  <c r="S47" i="7"/>
  <c r="X47" i="7" s="1"/>
  <c r="S47" i="8"/>
  <c r="X47" i="8" s="1"/>
  <c r="P48" i="9" l="1"/>
  <c r="P48" i="8"/>
  <c r="P638" i="7"/>
  <c r="P333" i="7"/>
  <c r="P48" i="7"/>
  <c r="P203" i="6"/>
  <c r="P48" i="6"/>
  <c r="X637" i="7"/>
  <c r="Q48" i="9"/>
  <c r="X202" i="6"/>
  <c r="Q333" i="7"/>
  <c r="X332" i="7"/>
  <c r="Q48" i="6"/>
  <c r="R333" i="7"/>
  <c r="R48" i="6"/>
  <c r="W333" i="7"/>
  <c r="Q203" i="6"/>
  <c r="Q638" i="7"/>
  <c r="S333" i="7"/>
  <c r="R203" i="6"/>
  <c r="S203" i="6" s="1"/>
  <c r="R638" i="7"/>
  <c r="S638" i="7"/>
  <c r="W203" i="6"/>
  <c r="W638" i="7"/>
  <c r="R48" i="9"/>
  <c r="Q48" i="7"/>
  <c r="R48" i="7" s="1"/>
  <c r="Q48" i="8"/>
  <c r="R48" i="8" s="1"/>
  <c r="W48" i="8"/>
  <c r="W48" i="9"/>
  <c r="W48" i="6"/>
  <c r="S48" i="6"/>
  <c r="X48" i="6" s="1"/>
  <c r="S48" i="9"/>
  <c r="X48" i="9" s="1"/>
  <c r="W48" i="7"/>
  <c r="S48" i="7"/>
  <c r="X48" i="7" s="1"/>
  <c r="S48" i="8"/>
  <c r="X48" i="8" s="1"/>
  <c r="P49" i="9" l="1"/>
  <c r="P49" i="8"/>
  <c r="P639" i="7"/>
  <c r="P334" i="7"/>
  <c r="P49" i="7"/>
  <c r="P204" i="6"/>
  <c r="P49" i="6"/>
  <c r="X638" i="7"/>
  <c r="Q49" i="9"/>
  <c r="X203" i="6"/>
  <c r="Q334" i="7"/>
  <c r="Q49" i="7"/>
  <c r="R49" i="7" s="1"/>
  <c r="W49" i="7" s="1"/>
  <c r="X333" i="7"/>
  <c r="Q49" i="6"/>
  <c r="R334" i="7"/>
  <c r="R49" i="6"/>
  <c r="W334" i="7"/>
  <c r="S49" i="7"/>
  <c r="X49" i="7"/>
  <c r="Q204" i="6"/>
  <c r="R204" i="6" s="1"/>
  <c r="Q639" i="7"/>
  <c r="S334" i="7"/>
  <c r="R639" i="7"/>
  <c r="S639" i="7"/>
  <c r="W639" i="7"/>
  <c r="R49" i="9"/>
  <c r="Q49" i="8"/>
  <c r="R49" i="8" s="1"/>
  <c r="W49" i="9"/>
  <c r="W49" i="6"/>
  <c r="S49" i="6"/>
  <c r="X49" i="6" s="1"/>
  <c r="S204" i="6"/>
  <c r="W204" i="6"/>
  <c r="S49" i="9"/>
  <c r="X49" i="9" s="1"/>
  <c r="W49" i="8"/>
  <c r="S49" i="8"/>
  <c r="X49" i="8" s="1"/>
  <c r="P50" i="9" l="1"/>
  <c r="P50" i="8"/>
  <c r="P640" i="7"/>
  <c r="P335" i="7"/>
  <c r="P50" i="7"/>
  <c r="P205" i="6"/>
  <c r="P50" i="6"/>
  <c r="X204" i="6"/>
  <c r="Q50" i="9"/>
  <c r="X639" i="7"/>
  <c r="Q335" i="7"/>
  <c r="X334" i="7"/>
  <c r="Q50" i="6"/>
  <c r="R335" i="7"/>
  <c r="R50" i="6"/>
  <c r="W335" i="7"/>
  <c r="Q205" i="6"/>
  <c r="Q640" i="7"/>
  <c r="S335" i="7"/>
  <c r="R205" i="6"/>
  <c r="S205" i="6" s="1"/>
  <c r="R640" i="7"/>
  <c r="S640" i="7"/>
  <c r="W205" i="6"/>
  <c r="W640" i="7"/>
  <c r="R50" i="9"/>
  <c r="Q50" i="7"/>
  <c r="R50" i="7" s="1"/>
  <c r="Q50" i="8"/>
  <c r="R50" i="8" s="1"/>
  <c r="W50" i="8"/>
  <c r="W50" i="9"/>
  <c r="W50" i="6"/>
  <c r="S50" i="6"/>
  <c r="X50" i="6" s="1"/>
  <c r="S50" i="9"/>
  <c r="X50" i="9" s="1"/>
  <c r="W50" i="7"/>
  <c r="S50" i="7"/>
  <c r="X50" i="7" s="1"/>
  <c r="S50" i="8"/>
  <c r="X50" i="8" s="1"/>
  <c r="P51" i="9" l="1"/>
  <c r="P51" i="8"/>
  <c r="P641" i="7"/>
  <c r="P336" i="7"/>
  <c r="P51" i="7"/>
  <c r="P206" i="6"/>
  <c r="P51" i="6"/>
  <c r="X640" i="7"/>
  <c r="Q51" i="9"/>
  <c r="X205" i="6"/>
  <c r="Q336" i="7"/>
  <c r="X335" i="7"/>
  <c r="Q51" i="6"/>
  <c r="R336" i="7"/>
  <c r="R51" i="6"/>
  <c r="W336" i="7"/>
  <c r="Q206" i="6"/>
  <c r="Q641" i="7"/>
  <c r="S336" i="7"/>
  <c r="R206" i="6"/>
  <c r="S206" i="6" s="1"/>
  <c r="R641" i="7"/>
  <c r="S641" i="7"/>
  <c r="W206" i="6"/>
  <c r="W641" i="7"/>
  <c r="R51" i="9"/>
  <c r="Q51" i="7"/>
  <c r="R51" i="7" s="1"/>
  <c r="Q51" i="8"/>
  <c r="R51" i="8" s="1"/>
  <c r="W51" i="8"/>
  <c r="W51" i="9"/>
  <c r="W51" i="6"/>
  <c r="S51" i="6"/>
  <c r="X51" i="6" s="1"/>
  <c r="S51" i="9"/>
  <c r="X51" i="9" s="1"/>
  <c r="W51" i="7"/>
  <c r="S51" i="7"/>
  <c r="X51" i="7" s="1"/>
  <c r="S51" i="8"/>
  <c r="X51" i="8" s="1"/>
  <c r="P52" i="9" l="1"/>
  <c r="P52" i="8"/>
  <c r="P642" i="7"/>
  <c r="P337" i="7"/>
  <c r="P52" i="7"/>
  <c r="P207" i="6"/>
  <c r="P52" i="6"/>
  <c r="X641" i="7"/>
  <c r="Q52" i="9"/>
  <c r="X206" i="6"/>
  <c r="Q337" i="7"/>
  <c r="X336" i="7"/>
  <c r="Q52" i="6"/>
  <c r="R337" i="7"/>
  <c r="R52" i="6"/>
  <c r="W337" i="7"/>
  <c r="Q207" i="6"/>
  <c r="Q642" i="7"/>
  <c r="S337" i="7"/>
  <c r="R207" i="6"/>
  <c r="S207" i="6" s="1"/>
  <c r="R642" i="7"/>
  <c r="S642" i="7"/>
  <c r="W207" i="6"/>
  <c r="W642" i="7"/>
  <c r="R52" i="9"/>
  <c r="Q52" i="7"/>
  <c r="R52" i="7" s="1"/>
  <c r="Q52" i="8"/>
  <c r="R52" i="8" s="1"/>
  <c r="W52" i="8"/>
  <c r="W52" i="9"/>
  <c r="W52" i="6"/>
  <c r="S52" i="6"/>
  <c r="X52" i="6" s="1"/>
  <c r="S52" i="9"/>
  <c r="X52" i="9" s="1"/>
  <c r="W52" i="7"/>
  <c r="S52" i="7"/>
  <c r="X52" i="7" s="1"/>
  <c r="S52" i="8"/>
  <c r="X52" i="8" s="1"/>
  <c r="P53" i="9" l="1"/>
  <c r="P53" i="8"/>
  <c r="P643" i="7"/>
  <c r="P338" i="7"/>
  <c r="P53" i="7"/>
  <c r="P208" i="6"/>
  <c r="P53" i="6"/>
  <c r="X642" i="7"/>
  <c r="Q53" i="9"/>
  <c r="X207" i="6"/>
  <c r="Q338" i="7"/>
  <c r="X337" i="7"/>
  <c r="Q53" i="6"/>
  <c r="R338" i="7"/>
  <c r="R53" i="6"/>
  <c r="W338" i="7"/>
  <c r="Q208" i="6"/>
  <c r="Q643" i="7"/>
  <c r="S338" i="7"/>
  <c r="R208" i="6"/>
  <c r="S208" i="6" s="1"/>
  <c r="R643" i="7"/>
  <c r="S643" i="7"/>
  <c r="W208" i="6"/>
  <c r="W643" i="7"/>
  <c r="R53" i="9"/>
  <c r="Q53" i="7"/>
  <c r="R53" i="7" s="1"/>
  <c r="Q53" i="8"/>
  <c r="R53" i="8" s="1"/>
  <c r="W53" i="8"/>
  <c r="W53" i="9"/>
  <c r="W53" i="6"/>
  <c r="S53" i="6"/>
  <c r="X53" i="6" s="1"/>
  <c r="S53" i="9"/>
  <c r="X53" i="9" s="1"/>
  <c r="W53" i="7"/>
  <c r="S53" i="7"/>
  <c r="X53" i="7" s="1"/>
  <c r="S53" i="8"/>
  <c r="X53" i="8" s="1"/>
  <c r="P54" i="9" l="1"/>
  <c r="P54" i="8"/>
  <c r="P644" i="7"/>
  <c r="P339" i="7"/>
  <c r="P54" i="7"/>
  <c r="P209" i="6"/>
  <c r="P54" i="6"/>
  <c r="X643" i="7"/>
  <c r="Q54" i="9"/>
  <c r="X208" i="6"/>
  <c r="Q339" i="7"/>
  <c r="X338" i="7"/>
  <c r="Q54" i="6"/>
  <c r="R339" i="7"/>
  <c r="R54" i="6"/>
  <c r="W339" i="7"/>
  <c r="Q209" i="6"/>
  <c r="Q644" i="7"/>
  <c r="S339" i="7"/>
  <c r="R209" i="6"/>
  <c r="S209" i="6" s="1"/>
  <c r="R644" i="7"/>
  <c r="S644" i="7"/>
  <c r="W209" i="6"/>
  <c r="W644" i="7"/>
  <c r="R54" i="9"/>
  <c r="Q54" i="7"/>
  <c r="R54" i="7" s="1"/>
  <c r="Q54" i="8"/>
  <c r="R54" i="8" s="1"/>
  <c r="W54" i="8"/>
  <c r="W54" i="9"/>
  <c r="W54" i="6"/>
  <c r="S54" i="6"/>
  <c r="X54" i="6" s="1"/>
  <c r="S54" i="9"/>
  <c r="X54" i="9" s="1"/>
  <c r="W54" i="7"/>
  <c r="S54" i="7"/>
  <c r="X54" i="7" s="1"/>
  <c r="S54" i="8"/>
  <c r="X54" i="8" s="1"/>
  <c r="P55" i="9" l="1"/>
  <c r="P55" i="8"/>
  <c r="P645" i="7"/>
  <c r="P340" i="7"/>
  <c r="P55" i="7"/>
  <c r="P210" i="6"/>
  <c r="P55" i="6"/>
  <c r="X644" i="7"/>
  <c r="Q55" i="9"/>
  <c r="X209" i="6"/>
  <c r="Q340" i="7"/>
  <c r="X339" i="7"/>
  <c r="Q55" i="6"/>
  <c r="R340" i="7"/>
  <c r="R55" i="6"/>
  <c r="W340" i="7"/>
  <c r="Q210" i="6"/>
  <c r="Q645" i="7"/>
  <c r="S340" i="7"/>
  <c r="R210" i="6"/>
  <c r="S210" i="6" s="1"/>
  <c r="R645" i="7"/>
  <c r="S645" i="7"/>
  <c r="W210" i="6"/>
  <c r="W645" i="7"/>
  <c r="R55" i="9"/>
  <c r="Q55" i="7"/>
  <c r="R55" i="7" s="1"/>
  <c r="Q55" i="8"/>
  <c r="R55" i="8" s="1"/>
  <c r="W55" i="8"/>
  <c r="W55" i="9"/>
  <c r="W55" i="6"/>
  <c r="S55" i="6"/>
  <c r="X55" i="6" s="1"/>
  <c r="S55" i="9"/>
  <c r="X55" i="9" s="1"/>
  <c r="W55" i="7"/>
  <c r="S55" i="7"/>
  <c r="X55" i="7" s="1"/>
  <c r="S55" i="8"/>
  <c r="X55" i="8" s="1"/>
  <c r="P56" i="9" l="1"/>
  <c r="P56" i="8"/>
  <c r="P646" i="7"/>
  <c r="P341" i="7"/>
  <c r="P56" i="7"/>
  <c r="P211" i="6"/>
  <c r="P56" i="6"/>
  <c r="X645" i="7"/>
  <c r="Q56" i="9"/>
  <c r="X210" i="6"/>
  <c r="Q341" i="7"/>
  <c r="X340" i="7"/>
  <c r="Q56" i="6"/>
  <c r="R341" i="7"/>
  <c r="R56" i="6"/>
  <c r="W341" i="7"/>
  <c r="Q211" i="6"/>
  <c r="Q646" i="7"/>
  <c r="S341" i="7"/>
  <c r="R211" i="6"/>
  <c r="S211" i="6" s="1"/>
  <c r="R646" i="7"/>
  <c r="S646" i="7"/>
  <c r="W211" i="6"/>
  <c r="W646" i="7"/>
  <c r="R56" i="9"/>
  <c r="Q56" i="7"/>
  <c r="R56" i="7" s="1"/>
  <c r="Q56" i="8"/>
  <c r="R56" i="8" s="1"/>
  <c r="W56" i="8"/>
  <c r="W56" i="9"/>
  <c r="W56" i="6"/>
  <c r="S56" i="6"/>
  <c r="X56" i="6" s="1"/>
  <c r="S56" i="9"/>
  <c r="X56" i="9" s="1"/>
  <c r="W56" i="7"/>
  <c r="S56" i="7"/>
  <c r="X56" i="7" s="1"/>
  <c r="S56" i="8"/>
  <c r="X56" i="8" s="1"/>
  <c r="P57" i="9" l="1"/>
  <c r="P57" i="8"/>
  <c r="P647" i="7"/>
  <c r="P342" i="7"/>
  <c r="P57" i="7"/>
  <c r="P212" i="6"/>
  <c r="P57" i="6"/>
  <c r="X646" i="7"/>
  <c r="Q57" i="9"/>
  <c r="X211" i="6"/>
  <c r="Q342" i="7"/>
  <c r="X341" i="7"/>
  <c r="Q57" i="6"/>
  <c r="R342" i="7"/>
  <c r="R57" i="6"/>
  <c r="W342" i="7"/>
  <c r="Q212" i="6"/>
  <c r="Q647" i="7"/>
  <c r="S342" i="7"/>
  <c r="R212" i="6"/>
  <c r="S212" i="6" s="1"/>
  <c r="R647" i="7"/>
  <c r="S647" i="7"/>
  <c r="W212" i="6"/>
  <c r="W647" i="7"/>
  <c r="R57" i="9"/>
  <c r="Q57" i="7"/>
  <c r="R57" i="7" s="1"/>
  <c r="Q57" i="8"/>
  <c r="R57" i="8" s="1"/>
  <c r="W57" i="8"/>
  <c r="W57" i="9"/>
  <c r="W57" i="6"/>
  <c r="S57" i="6"/>
  <c r="X57" i="6" s="1"/>
  <c r="S57" i="9"/>
  <c r="X57" i="9" s="1"/>
  <c r="W57" i="7"/>
  <c r="S57" i="7"/>
  <c r="X57" i="7" s="1"/>
  <c r="S57" i="8"/>
  <c r="X57" i="8" s="1"/>
  <c r="P58" i="9" l="1"/>
  <c r="P58" i="8"/>
  <c r="P648" i="7"/>
  <c r="P343" i="7"/>
  <c r="P58" i="7"/>
  <c r="P213" i="6"/>
  <c r="P58" i="6"/>
  <c r="X647" i="7"/>
  <c r="Q58" i="9"/>
  <c r="X212" i="6"/>
  <c r="Q343" i="7"/>
  <c r="X342" i="7"/>
  <c r="Q58" i="6"/>
  <c r="R343" i="7"/>
  <c r="R58" i="6"/>
  <c r="W343" i="7"/>
  <c r="Q213" i="6"/>
  <c r="Q648" i="7"/>
  <c r="S343" i="7"/>
  <c r="R213" i="6"/>
  <c r="S213" i="6" s="1"/>
  <c r="R648" i="7"/>
  <c r="S648" i="7"/>
  <c r="W213" i="6"/>
  <c r="W648" i="7"/>
  <c r="R58" i="9"/>
  <c r="Q58" i="7"/>
  <c r="R58" i="7" s="1"/>
  <c r="Q58" i="8"/>
  <c r="R58" i="8" s="1"/>
  <c r="W58" i="8"/>
  <c r="W58" i="9"/>
  <c r="W58" i="6"/>
  <c r="S58" i="6"/>
  <c r="X58" i="6" s="1"/>
  <c r="S58" i="9"/>
  <c r="X58" i="9" s="1"/>
  <c r="W58" i="7"/>
  <c r="S58" i="7"/>
  <c r="X58" i="7" s="1"/>
  <c r="S58" i="8"/>
  <c r="X58" i="8" s="1"/>
  <c r="P59" i="9" l="1"/>
  <c r="P59" i="8"/>
  <c r="P649" i="7"/>
  <c r="P344" i="7"/>
  <c r="P59" i="7"/>
  <c r="P214" i="6"/>
  <c r="P59" i="6"/>
  <c r="X648" i="7"/>
  <c r="Q59" i="9"/>
  <c r="X213" i="6"/>
  <c r="Q344" i="7"/>
  <c r="X343" i="7"/>
  <c r="Q59" i="6"/>
  <c r="R344" i="7"/>
  <c r="R59" i="6"/>
  <c r="W344" i="7"/>
  <c r="Q214" i="6"/>
  <c r="Q649" i="7"/>
  <c r="S344" i="7"/>
  <c r="R214" i="6"/>
  <c r="S214" i="6" s="1"/>
  <c r="R649" i="7"/>
  <c r="S649" i="7"/>
  <c r="W214" i="6"/>
  <c r="W649" i="7"/>
  <c r="R59" i="9"/>
  <c r="Q59" i="7"/>
  <c r="R59" i="7" s="1"/>
  <c r="Q59" i="8"/>
  <c r="R59" i="8" s="1"/>
  <c r="W59" i="8"/>
  <c r="W59" i="9"/>
  <c r="W59" i="6"/>
  <c r="S59" i="6"/>
  <c r="X59" i="6" s="1"/>
  <c r="S59" i="9"/>
  <c r="X59" i="9" s="1"/>
  <c r="W59" i="7"/>
  <c r="S59" i="7"/>
  <c r="X59" i="7" s="1"/>
  <c r="S59" i="8"/>
  <c r="X59" i="8" s="1"/>
  <c r="P60" i="9" l="1"/>
  <c r="P60" i="8"/>
  <c r="P650" i="7"/>
  <c r="P345" i="7"/>
  <c r="P60" i="7"/>
  <c r="P215" i="6"/>
  <c r="P60" i="6"/>
  <c r="X649" i="7"/>
  <c r="Q60" i="9"/>
  <c r="X214" i="6"/>
  <c r="Q345" i="7"/>
  <c r="X344" i="7"/>
  <c r="Q60" i="6"/>
  <c r="R345" i="7"/>
  <c r="R60" i="6"/>
  <c r="W345" i="7"/>
  <c r="Q215" i="6"/>
  <c r="Q650" i="7"/>
  <c r="S345" i="7"/>
  <c r="R215" i="6"/>
  <c r="S215" i="6" s="1"/>
  <c r="R650" i="7"/>
  <c r="S650" i="7"/>
  <c r="W215" i="6"/>
  <c r="W650" i="7"/>
  <c r="R60" i="9"/>
  <c r="Q60" i="7"/>
  <c r="R60" i="7" s="1"/>
  <c r="Q60" i="8"/>
  <c r="R60" i="8" s="1"/>
  <c r="W60" i="8"/>
  <c r="W60" i="9"/>
  <c r="W60" i="6"/>
  <c r="S60" i="6"/>
  <c r="X60" i="6" s="1"/>
  <c r="S60" i="9"/>
  <c r="X60" i="9" s="1"/>
  <c r="W60" i="7"/>
  <c r="S60" i="7"/>
  <c r="X60" i="7" s="1"/>
  <c r="S60" i="8"/>
  <c r="X60" i="8" s="1"/>
  <c r="P61" i="9" l="1"/>
  <c r="P61" i="8"/>
  <c r="P651" i="7"/>
  <c r="P346" i="7"/>
  <c r="P61" i="7"/>
  <c r="P216" i="6"/>
  <c r="P61" i="6"/>
  <c r="X650" i="7"/>
  <c r="Q61" i="9"/>
  <c r="X215" i="6"/>
  <c r="Q346" i="7"/>
  <c r="X345" i="7"/>
  <c r="Q61" i="6"/>
  <c r="R346" i="7"/>
  <c r="R61" i="6"/>
  <c r="W346" i="7"/>
  <c r="Q216" i="6"/>
  <c r="Q651" i="7"/>
  <c r="S346" i="7"/>
  <c r="R216" i="6"/>
  <c r="S216" i="6" s="1"/>
  <c r="R651" i="7"/>
  <c r="S651" i="7"/>
  <c r="W216" i="6"/>
  <c r="W651" i="7"/>
  <c r="R61" i="9"/>
  <c r="Q61" i="7"/>
  <c r="R61" i="7" s="1"/>
  <c r="Q61" i="8"/>
  <c r="R61" i="8" s="1"/>
  <c r="W61" i="8"/>
  <c r="W61" i="9"/>
  <c r="W61" i="6"/>
  <c r="S61" i="6"/>
  <c r="X61" i="6" s="1"/>
  <c r="S61" i="9"/>
  <c r="X61" i="9" s="1"/>
  <c r="W61" i="7"/>
  <c r="S61" i="7"/>
  <c r="X61" i="7" s="1"/>
  <c r="S61" i="8"/>
  <c r="X61" i="8" s="1"/>
  <c r="P62" i="9" l="1"/>
  <c r="P62" i="8"/>
  <c r="P652" i="7"/>
  <c r="P347" i="7"/>
  <c r="P62" i="7"/>
  <c r="P217" i="6"/>
  <c r="P62" i="6"/>
  <c r="X651" i="7"/>
  <c r="Q62" i="9"/>
  <c r="X216" i="6"/>
  <c r="Q347" i="7"/>
  <c r="X346" i="7"/>
  <c r="Q62" i="6"/>
  <c r="R347" i="7"/>
  <c r="R62" i="6"/>
  <c r="W347" i="7"/>
  <c r="Q217" i="6"/>
  <c r="Q652" i="7"/>
  <c r="S347" i="7"/>
  <c r="R217" i="6"/>
  <c r="S217" i="6" s="1"/>
  <c r="R652" i="7"/>
  <c r="S652" i="7"/>
  <c r="W217" i="6"/>
  <c r="W652" i="7"/>
  <c r="R62" i="9"/>
  <c r="Q62" i="7"/>
  <c r="R62" i="7" s="1"/>
  <c r="Q62" i="8"/>
  <c r="R62" i="8" s="1"/>
  <c r="W62" i="8"/>
  <c r="W62" i="9"/>
  <c r="W62" i="6"/>
  <c r="S62" i="6"/>
  <c r="X62" i="6" s="1"/>
  <c r="S62" i="9"/>
  <c r="X62" i="9" s="1"/>
  <c r="W62" i="7"/>
  <c r="S62" i="7"/>
  <c r="X62" i="7" s="1"/>
  <c r="S62" i="8"/>
  <c r="X62" i="8" s="1"/>
  <c r="P63" i="9" l="1"/>
  <c r="P63" i="8"/>
  <c r="P653" i="7"/>
  <c r="P348" i="7"/>
  <c r="P63" i="7"/>
  <c r="P218" i="6"/>
  <c r="P63" i="6"/>
  <c r="X652" i="7"/>
  <c r="Q63" i="9"/>
  <c r="X217" i="6"/>
  <c r="Q348" i="7"/>
  <c r="X347" i="7"/>
  <c r="Q63" i="6"/>
  <c r="R348" i="7"/>
  <c r="R63" i="6"/>
  <c r="W348" i="7"/>
  <c r="Q218" i="6"/>
  <c r="Q653" i="7"/>
  <c r="S348" i="7"/>
  <c r="R218" i="6"/>
  <c r="S218" i="6" s="1"/>
  <c r="R653" i="7"/>
  <c r="S653" i="7"/>
  <c r="W218" i="6"/>
  <c r="W653" i="7"/>
  <c r="R63" i="9"/>
  <c r="Q63" i="7"/>
  <c r="R63" i="7" s="1"/>
  <c r="Q63" i="8"/>
  <c r="R63" i="8" s="1"/>
  <c r="W63" i="8"/>
  <c r="W63" i="9"/>
  <c r="W63" i="6"/>
  <c r="S63" i="6"/>
  <c r="X63" i="6" s="1"/>
  <c r="S63" i="9"/>
  <c r="X63" i="9" s="1"/>
  <c r="W63" i="7"/>
  <c r="S63" i="7"/>
  <c r="X63" i="7" s="1"/>
  <c r="S63" i="8"/>
  <c r="X63" i="8" s="1"/>
  <c r="P64" i="9" l="1"/>
  <c r="P64" i="8"/>
  <c r="P654" i="7"/>
  <c r="P349" i="7"/>
  <c r="P64" i="7"/>
  <c r="P219" i="6"/>
  <c r="P64" i="6"/>
  <c r="X653" i="7"/>
  <c r="Q64" i="9"/>
  <c r="X218" i="6"/>
  <c r="Q349" i="7"/>
  <c r="X348" i="7"/>
  <c r="Q64" i="6"/>
  <c r="R349" i="7"/>
  <c r="R64" i="6"/>
  <c r="W349" i="7"/>
  <c r="Q219" i="6"/>
  <c r="Q654" i="7"/>
  <c r="S349" i="7"/>
  <c r="R219" i="6"/>
  <c r="S219" i="6" s="1"/>
  <c r="R654" i="7"/>
  <c r="S654" i="7"/>
  <c r="W219" i="6"/>
  <c r="W654" i="7"/>
  <c r="R64" i="9"/>
  <c r="Q64" i="7"/>
  <c r="R64" i="7" s="1"/>
  <c r="Q64" i="8"/>
  <c r="R64" i="8" s="1"/>
  <c r="W64" i="8"/>
  <c r="W64" i="9"/>
  <c r="W64" i="6"/>
  <c r="S64" i="6"/>
  <c r="X64" i="6" s="1"/>
  <c r="S64" i="9"/>
  <c r="X64" i="9" s="1"/>
  <c r="W64" i="7"/>
  <c r="S64" i="7"/>
  <c r="X64" i="7" s="1"/>
  <c r="S64" i="8"/>
  <c r="X64" i="8" s="1"/>
  <c r="P65" i="9" l="1"/>
  <c r="P65" i="8"/>
  <c r="P655" i="7"/>
  <c r="P350" i="7"/>
  <c r="P65" i="7"/>
  <c r="P220" i="6"/>
  <c r="P65" i="6"/>
  <c r="X654" i="7"/>
  <c r="Q65" i="9"/>
  <c r="X219" i="6"/>
  <c r="Q350" i="7"/>
  <c r="X349" i="7"/>
  <c r="Q65" i="6"/>
  <c r="R350" i="7"/>
  <c r="R65" i="6"/>
  <c r="W350" i="7"/>
  <c r="Q220" i="6"/>
  <c r="Q655" i="7"/>
  <c r="S350" i="7"/>
  <c r="R220" i="6"/>
  <c r="S220" i="6" s="1"/>
  <c r="R655" i="7"/>
  <c r="S655" i="7"/>
  <c r="W220" i="6"/>
  <c r="W655" i="7"/>
  <c r="R65" i="9"/>
  <c r="Q65" i="7"/>
  <c r="R65" i="7" s="1"/>
  <c r="Q65" i="8"/>
  <c r="R65" i="8" s="1"/>
  <c r="W65" i="8"/>
  <c r="W65" i="9"/>
  <c r="W65" i="6"/>
  <c r="S65" i="6"/>
  <c r="X65" i="6" s="1"/>
  <c r="S65" i="9"/>
  <c r="X65" i="9" s="1"/>
  <c r="W65" i="7"/>
  <c r="S65" i="7"/>
  <c r="X65" i="7" s="1"/>
  <c r="S65" i="8"/>
  <c r="X65" i="8" s="1"/>
  <c r="P66" i="9" l="1"/>
  <c r="P66" i="8"/>
  <c r="P656" i="7"/>
  <c r="P351" i="7"/>
  <c r="P66" i="7"/>
  <c r="P221" i="6"/>
  <c r="P66" i="6"/>
  <c r="X655" i="7"/>
  <c r="Q66" i="9"/>
  <c r="X220" i="6"/>
  <c r="Q351" i="7"/>
  <c r="X350" i="7"/>
  <c r="Q66" i="6"/>
  <c r="R351" i="7"/>
  <c r="R66" i="6"/>
  <c r="W351" i="7"/>
  <c r="Q221" i="6"/>
  <c r="Q656" i="7"/>
  <c r="S351" i="7"/>
  <c r="R221" i="6"/>
  <c r="S221" i="6" s="1"/>
  <c r="R656" i="7"/>
  <c r="S656" i="7"/>
  <c r="W221" i="6"/>
  <c r="W656" i="7"/>
  <c r="R66" i="9"/>
  <c r="Q66" i="7"/>
  <c r="R66" i="7" s="1"/>
  <c r="Q66" i="8"/>
  <c r="R66" i="8" s="1"/>
  <c r="W66" i="8"/>
  <c r="W66" i="9"/>
  <c r="W66" i="6"/>
  <c r="S66" i="6"/>
  <c r="X66" i="6" s="1"/>
  <c r="S66" i="9"/>
  <c r="X66" i="9" s="1"/>
  <c r="W66" i="7"/>
  <c r="S66" i="7"/>
  <c r="X66" i="7" s="1"/>
  <c r="S66" i="8"/>
  <c r="X66" i="8" s="1"/>
  <c r="P67" i="9" l="1"/>
  <c r="P67" i="8"/>
  <c r="P657" i="7"/>
  <c r="P352" i="7"/>
  <c r="P67" i="7"/>
  <c r="P222" i="6"/>
  <c r="P67" i="6"/>
  <c r="X656" i="7"/>
  <c r="Q67" i="9"/>
  <c r="X221" i="6"/>
  <c r="Q352" i="7"/>
  <c r="X351" i="7"/>
  <c r="Q67" i="6"/>
  <c r="R352" i="7"/>
  <c r="R67" i="6"/>
  <c r="W352" i="7"/>
  <c r="Q222" i="6"/>
  <c r="Q657" i="7"/>
  <c r="S352" i="7"/>
  <c r="R222" i="6"/>
  <c r="S222" i="6" s="1"/>
  <c r="R657" i="7"/>
  <c r="S657" i="7"/>
  <c r="W222" i="6"/>
  <c r="W657" i="7"/>
  <c r="R67" i="9"/>
  <c r="Q67" i="7"/>
  <c r="R67" i="7" s="1"/>
  <c r="Q67" i="8"/>
  <c r="R67" i="8" s="1"/>
  <c r="W67" i="8"/>
  <c r="W67" i="9"/>
  <c r="W67" i="6"/>
  <c r="S67" i="6"/>
  <c r="X67" i="6" s="1"/>
  <c r="S67" i="9"/>
  <c r="X67" i="9" s="1"/>
  <c r="W67" i="7"/>
  <c r="S67" i="7"/>
  <c r="X67" i="7" s="1"/>
  <c r="S67" i="8"/>
  <c r="X67" i="8" s="1"/>
  <c r="P68" i="9" l="1"/>
  <c r="P68" i="8"/>
  <c r="P658" i="7"/>
  <c r="P353" i="7"/>
  <c r="P68" i="7"/>
  <c r="P223" i="6"/>
  <c r="P68" i="6"/>
  <c r="X657" i="7"/>
  <c r="Q68" i="9"/>
  <c r="X222" i="6"/>
  <c r="Q353" i="7"/>
  <c r="X352" i="7"/>
  <c r="Q68" i="6"/>
  <c r="R353" i="7"/>
  <c r="R68" i="6"/>
  <c r="W353" i="7"/>
  <c r="Q223" i="6"/>
  <c r="Q658" i="7"/>
  <c r="S353" i="7"/>
  <c r="R223" i="6"/>
  <c r="S223" i="6" s="1"/>
  <c r="R658" i="7"/>
  <c r="S658" i="7"/>
  <c r="W223" i="6"/>
  <c r="W658" i="7"/>
  <c r="R68" i="9"/>
  <c r="Q68" i="7"/>
  <c r="R68" i="7" s="1"/>
  <c r="Q68" i="8"/>
  <c r="R68" i="8" s="1"/>
  <c r="W68" i="8"/>
  <c r="W68" i="9"/>
  <c r="W68" i="6"/>
  <c r="S68" i="6"/>
  <c r="X68" i="6" s="1"/>
  <c r="S68" i="9"/>
  <c r="X68" i="9" s="1"/>
  <c r="W68" i="7"/>
  <c r="S68" i="7"/>
  <c r="X68" i="7" s="1"/>
  <c r="S68" i="8"/>
  <c r="X68" i="8" s="1"/>
  <c r="P69" i="9" l="1"/>
  <c r="P69" i="8"/>
  <c r="P659" i="7"/>
  <c r="P354" i="7"/>
  <c r="P69" i="7"/>
  <c r="P224" i="6"/>
  <c r="P69" i="6"/>
  <c r="X658" i="7"/>
  <c r="Q69" i="7"/>
  <c r="X223" i="6"/>
  <c r="R69" i="7"/>
  <c r="Q69" i="8"/>
  <c r="S69" i="7"/>
  <c r="X353" i="7"/>
  <c r="Q69" i="6"/>
  <c r="W69" i="7"/>
  <c r="R69" i="8"/>
  <c r="R69" i="6"/>
  <c r="Q354" i="7"/>
  <c r="W69" i="8"/>
  <c r="W69" i="6"/>
  <c r="R354" i="7"/>
  <c r="S354" i="7" s="1"/>
  <c r="S69" i="8"/>
  <c r="Q224" i="6"/>
  <c r="W354" i="7"/>
  <c r="X69" i="8"/>
  <c r="R224" i="6"/>
  <c r="S224" i="6" s="1"/>
  <c r="Q659" i="7"/>
  <c r="Q69" i="9"/>
  <c r="R69" i="9" s="1"/>
  <c r="W69" i="9" s="1"/>
  <c r="S69" i="9"/>
  <c r="W224" i="6"/>
  <c r="R659" i="7"/>
  <c r="S69" i="6"/>
  <c r="X69" i="9"/>
  <c r="S659" i="7"/>
  <c r="W659" i="7"/>
  <c r="P70" i="9" l="1"/>
  <c r="P70" i="8"/>
  <c r="P660" i="7"/>
  <c r="P355" i="7"/>
  <c r="P70" i="7"/>
  <c r="P225" i="6"/>
  <c r="P70" i="6"/>
  <c r="X659" i="7"/>
  <c r="X69" i="6"/>
  <c r="Q70" i="7"/>
  <c r="Q70" i="8"/>
  <c r="X224" i="6"/>
  <c r="R70" i="7"/>
  <c r="R70" i="8"/>
  <c r="Q70" i="9"/>
  <c r="R70" i="9" s="1"/>
  <c r="W70" i="9" s="1"/>
  <c r="S70" i="9"/>
  <c r="X354" i="7"/>
  <c r="Q355" i="7"/>
  <c r="W70" i="8"/>
  <c r="X70" i="9"/>
  <c r="X69" i="7"/>
  <c r="Q70" i="6"/>
  <c r="R355" i="7"/>
  <c r="R70" i="6"/>
  <c r="W355" i="7"/>
  <c r="W70" i="6"/>
  <c r="Q225" i="6"/>
  <c r="Q660" i="7"/>
  <c r="S70" i="7"/>
  <c r="X70" i="7" s="1"/>
  <c r="S355" i="7"/>
  <c r="R225" i="6"/>
  <c r="R660" i="7"/>
  <c r="W660" i="7" s="1"/>
  <c r="W70" i="7"/>
  <c r="S660" i="7"/>
  <c r="S70" i="8"/>
  <c r="X70" i="8" s="1"/>
  <c r="S70" i="6"/>
  <c r="X70" i="6"/>
  <c r="S225" i="6"/>
  <c r="W225" i="6"/>
  <c r="P71" i="9" l="1"/>
  <c r="P71" i="8"/>
  <c r="P661" i="7"/>
  <c r="P356" i="7"/>
  <c r="P71" i="7"/>
  <c r="P226" i="6"/>
  <c r="P71" i="6"/>
  <c r="X225" i="6"/>
  <c r="Q71" i="9"/>
  <c r="X660" i="7"/>
  <c r="Q356" i="7"/>
  <c r="X355" i="7"/>
  <c r="Q71" i="6"/>
  <c r="R356" i="7"/>
  <c r="R71" i="6"/>
  <c r="W356" i="7"/>
  <c r="W71" i="6"/>
  <c r="Q226" i="6"/>
  <c r="Q661" i="7"/>
  <c r="S356" i="7"/>
  <c r="R226" i="6"/>
  <c r="S226" i="6" s="1"/>
  <c r="R661" i="7"/>
  <c r="S661" i="7"/>
  <c r="W226" i="6"/>
  <c r="W661" i="7"/>
  <c r="R71" i="9"/>
  <c r="Q71" i="7"/>
  <c r="R71" i="7" s="1"/>
  <c r="Q71" i="8"/>
  <c r="R71" i="8" s="1"/>
  <c r="W71" i="9"/>
  <c r="S71" i="6"/>
  <c r="X71" i="6"/>
  <c r="S71" i="9"/>
  <c r="X71" i="9" s="1"/>
  <c r="W71" i="7"/>
  <c r="S71" i="7"/>
  <c r="X71" i="7"/>
  <c r="S71" i="8"/>
  <c r="X71" i="8" s="1"/>
  <c r="W71" i="8"/>
  <c r="P72" i="9" l="1"/>
  <c r="P72" i="8"/>
  <c r="P662" i="7"/>
  <c r="P357" i="7"/>
  <c r="P72" i="7"/>
  <c r="P227" i="6"/>
  <c r="P72" i="6"/>
  <c r="X661" i="7"/>
  <c r="Q72" i="9"/>
  <c r="X226" i="6"/>
  <c r="Q357" i="7"/>
  <c r="X356" i="7"/>
  <c r="Q72" i="6"/>
  <c r="R357" i="7"/>
  <c r="R72" i="6"/>
  <c r="W357" i="7"/>
  <c r="W72" i="6"/>
  <c r="Q227" i="6"/>
  <c r="Q662" i="7"/>
  <c r="S357" i="7"/>
  <c r="R227" i="6"/>
  <c r="S227" i="6" s="1"/>
  <c r="R662" i="7"/>
  <c r="S662" i="7"/>
  <c r="W227" i="6"/>
  <c r="W662" i="7"/>
  <c r="R72" i="9"/>
  <c r="Q72" i="7"/>
  <c r="R72" i="7" s="1"/>
  <c r="Q72" i="8"/>
  <c r="R72" i="8" s="1"/>
  <c r="W72" i="9"/>
  <c r="S72" i="6"/>
  <c r="X72" i="6"/>
  <c r="S72" i="9"/>
  <c r="X72" i="9" s="1"/>
  <c r="W72" i="7"/>
  <c r="S72" i="7"/>
  <c r="X72" i="7"/>
  <c r="S72" i="8"/>
  <c r="X72" i="8" s="1"/>
  <c r="W72" i="8"/>
  <c r="P73" i="9" l="1"/>
  <c r="P73" i="8"/>
  <c r="P663" i="7"/>
  <c r="P358" i="7"/>
  <c r="P73" i="7"/>
  <c r="P228" i="6"/>
  <c r="P73" i="6"/>
  <c r="X662" i="7"/>
  <c r="Q73" i="9"/>
  <c r="X227" i="6"/>
  <c r="Q358" i="7"/>
  <c r="X357" i="7"/>
  <c r="Q73" i="6"/>
  <c r="R358" i="7"/>
  <c r="R73" i="6"/>
  <c r="W358" i="7"/>
  <c r="W73" i="6"/>
  <c r="Q228" i="6"/>
  <c r="Q663" i="7"/>
  <c r="S358" i="7"/>
  <c r="R228" i="6"/>
  <c r="S228" i="6" s="1"/>
  <c r="R663" i="7"/>
  <c r="S663" i="7"/>
  <c r="W228" i="6"/>
  <c r="W663" i="7"/>
  <c r="R73" i="9"/>
  <c r="Q73" i="7"/>
  <c r="R73" i="7" s="1"/>
  <c r="Q73" i="8"/>
  <c r="R73" i="8" s="1"/>
  <c r="W73" i="9"/>
  <c r="S73" i="6"/>
  <c r="X73" i="6"/>
  <c r="S73" i="9"/>
  <c r="X73" i="9" s="1"/>
  <c r="W73" i="7"/>
  <c r="S73" i="7"/>
  <c r="X73" i="7"/>
  <c r="S73" i="8"/>
  <c r="X73" i="8" s="1"/>
  <c r="W73" i="8"/>
  <c r="P74" i="9" l="1"/>
  <c r="P74" i="8"/>
  <c r="P664" i="7"/>
  <c r="P359" i="7"/>
  <c r="P74" i="7"/>
  <c r="P229" i="6"/>
  <c r="P74" i="6"/>
  <c r="X663" i="7"/>
  <c r="Q74" i="9"/>
  <c r="X228" i="6"/>
  <c r="Q359" i="7"/>
  <c r="X358" i="7"/>
  <c r="Q74" i="6"/>
  <c r="R359" i="7"/>
  <c r="R74" i="6"/>
  <c r="W359" i="7"/>
  <c r="W74" i="6"/>
  <c r="Q229" i="6"/>
  <c r="Q664" i="7"/>
  <c r="S359" i="7"/>
  <c r="R229" i="6"/>
  <c r="S229" i="6" s="1"/>
  <c r="R664" i="7"/>
  <c r="S664" i="7"/>
  <c r="W229" i="6"/>
  <c r="W664" i="7"/>
  <c r="R74" i="9"/>
  <c r="Q74" i="7"/>
  <c r="R74" i="7" s="1"/>
  <c r="Q74" i="8"/>
  <c r="R74" i="8" s="1"/>
  <c r="W74" i="9"/>
  <c r="S74" i="6"/>
  <c r="X74" i="6"/>
  <c r="S74" i="9"/>
  <c r="X74" i="9" s="1"/>
  <c r="W74" i="7"/>
  <c r="S74" i="7"/>
  <c r="X74" i="7"/>
  <c r="S74" i="8"/>
  <c r="X74" i="8" s="1"/>
  <c r="W74" i="8"/>
  <c r="P75" i="9" l="1"/>
  <c r="P75" i="8"/>
  <c r="P665" i="7"/>
  <c r="P360" i="7"/>
  <c r="P75" i="7"/>
  <c r="P230" i="6"/>
  <c r="P75" i="6"/>
  <c r="X664" i="7"/>
  <c r="Q75" i="9"/>
  <c r="X229" i="6"/>
  <c r="Q360" i="7"/>
  <c r="X359" i="7"/>
  <c r="Q75" i="6"/>
  <c r="R360" i="7"/>
  <c r="R75" i="6"/>
  <c r="W360" i="7"/>
  <c r="W75" i="6"/>
  <c r="Q230" i="6"/>
  <c r="Q665" i="7"/>
  <c r="S360" i="7"/>
  <c r="R230" i="6"/>
  <c r="S230" i="6" s="1"/>
  <c r="R665" i="7"/>
  <c r="S665" i="7"/>
  <c r="W230" i="6"/>
  <c r="W665" i="7"/>
  <c r="R75" i="9"/>
  <c r="Q75" i="7"/>
  <c r="R75" i="7" s="1"/>
  <c r="Q75" i="8"/>
  <c r="R75" i="8" s="1"/>
  <c r="W75" i="9"/>
  <c r="S75" i="6"/>
  <c r="X75" i="6"/>
  <c r="S75" i="9"/>
  <c r="X75" i="9" s="1"/>
  <c r="W75" i="7"/>
  <c r="S75" i="7"/>
  <c r="X75" i="7"/>
  <c r="S75" i="8"/>
  <c r="X75" i="8" s="1"/>
  <c r="W75" i="8"/>
  <c r="P76" i="9" l="1"/>
  <c r="P76" i="8"/>
  <c r="P666" i="7"/>
  <c r="P361" i="7"/>
  <c r="P76" i="7"/>
  <c r="P231" i="6"/>
  <c r="P76" i="6"/>
  <c r="X665" i="7"/>
  <c r="Q76" i="9"/>
  <c r="X230" i="6"/>
  <c r="Q361" i="7"/>
  <c r="X360" i="7"/>
  <c r="Q76" i="6"/>
  <c r="R361" i="7"/>
  <c r="R76" i="6"/>
  <c r="W361" i="7"/>
  <c r="W76" i="6"/>
  <c r="Q666" i="7"/>
  <c r="S361" i="7"/>
  <c r="R666" i="7"/>
  <c r="S666" i="7"/>
  <c r="Q76" i="7"/>
  <c r="R76" i="7" s="1"/>
  <c r="Q231" i="6"/>
  <c r="R231" i="6" s="1"/>
  <c r="R76" i="9"/>
  <c r="S76" i="7"/>
  <c r="W666" i="7"/>
  <c r="Q76" i="8"/>
  <c r="R76" i="8" s="1"/>
  <c r="S76" i="6"/>
  <c r="X76" i="6"/>
  <c r="W76" i="7"/>
  <c r="X76" i="7"/>
  <c r="W231" i="6"/>
  <c r="S231" i="6"/>
  <c r="W76" i="9"/>
  <c r="S76" i="9"/>
  <c r="X76" i="9" s="1"/>
  <c r="S76" i="8"/>
  <c r="X76" i="8" s="1"/>
  <c r="W76" i="8"/>
  <c r="P77" i="9" l="1"/>
  <c r="P77" i="8"/>
  <c r="P667" i="7"/>
  <c r="P362" i="7"/>
  <c r="P77" i="7"/>
  <c r="P232" i="6"/>
  <c r="P77" i="6"/>
  <c r="X231" i="6"/>
  <c r="Q77" i="9"/>
  <c r="X666" i="7"/>
  <c r="Q362" i="7"/>
  <c r="X361" i="7"/>
  <c r="Q77" i="6"/>
  <c r="R362" i="7"/>
  <c r="R77" i="6"/>
  <c r="W362" i="7"/>
  <c r="W77" i="6"/>
  <c r="Q232" i="6"/>
  <c r="Q667" i="7"/>
  <c r="S362" i="7"/>
  <c r="R232" i="6"/>
  <c r="S232" i="6" s="1"/>
  <c r="R667" i="7"/>
  <c r="S667" i="7"/>
  <c r="W232" i="6"/>
  <c r="W667" i="7"/>
  <c r="R77" i="9"/>
  <c r="Q77" i="7"/>
  <c r="R77" i="7" s="1"/>
  <c r="Q77" i="8"/>
  <c r="R77" i="8" s="1"/>
  <c r="W77" i="9"/>
  <c r="S77" i="6"/>
  <c r="X77" i="6"/>
  <c r="S77" i="9"/>
  <c r="X77" i="9" s="1"/>
  <c r="W77" i="7"/>
  <c r="S77" i="7"/>
  <c r="X77" i="7"/>
  <c r="S77" i="8"/>
  <c r="X77" i="8" s="1"/>
  <c r="W77" i="8"/>
  <c r="P78" i="9" l="1"/>
  <c r="P78" i="8"/>
  <c r="P668" i="7"/>
  <c r="P363" i="7"/>
  <c r="P78" i="7"/>
  <c r="P233" i="6"/>
  <c r="P78" i="6"/>
  <c r="X667" i="7"/>
  <c r="Q78" i="9"/>
  <c r="X232" i="6"/>
  <c r="Q363" i="7"/>
  <c r="X362" i="7"/>
  <c r="Q78" i="6"/>
  <c r="R363" i="7"/>
  <c r="R78" i="6"/>
  <c r="W363" i="7"/>
  <c r="W78" i="6"/>
  <c r="Q233" i="6"/>
  <c r="Q668" i="7"/>
  <c r="S363" i="7"/>
  <c r="R233" i="6"/>
  <c r="S233" i="6" s="1"/>
  <c r="R668" i="7"/>
  <c r="S668" i="7"/>
  <c r="W233" i="6"/>
  <c r="W668" i="7"/>
  <c r="R78" i="9"/>
  <c r="Q78" i="7"/>
  <c r="R78" i="7" s="1"/>
  <c r="Q78" i="8"/>
  <c r="R78" i="8" s="1"/>
  <c r="W78" i="9"/>
  <c r="S78" i="6"/>
  <c r="X78" i="6"/>
  <c r="S78" i="9"/>
  <c r="X78" i="9" s="1"/>
  <c r="W78" i="7"/>
  <c r="S78" i="7"/>
  <c r="X78" i="7"/>
  <c r="S78" i="8"/>
  <c r="X78" i="8" s="1"/>
  <c r="W78" i="8"/>
  <c r="P79" i="9" l="1"/>
  <c r="P669" i="7"/>
  <c r="P364" i="7"/>
  <c r="P79" i="7"/>
  <c r="P234" i="6"/>
  <c r="P79" i="6"/>
  <c r="X668" i="7"/>
  <c r="Q364" i="7"/>
  <c r="X233" i="6"/>
  <c r="Q79" i="6"/>
  <c r="R364" i="7"/>
  <c r="X363" i="7"/>
  <c r="R79" i="6"/>
  <c r="W364" i="7"/>
  <c r="Q79" i="9"/>
  <c r="R79" i="9" s="1"/>
  <c r="W79" i="9" s="1"/>
  <c r="S79" i="9"/>
  <c r="Q234" i="6"/>
  <c r="Q669" i="7"/>
  <c r="X79" i="9"/>
  <c r="R234" i="6"/>
  <c r="R669" i="7"/>
  <c r="S234" i="6"/>
  <c r="W234" i="6"/>
  <c r="W669" i="7"/>
  <c r="Q79" i="7"/>
  <c r="S79" i="6"/>
  <c r="X79" i="6" s="1"/>
  <c r="S364" i="7"/>
  <c r="R79" i="7"/>
  <c r="W79" i="6"/>
  <c r="S669" i="7"/>
  <c r="W79" i="7"/>
  <c r="S79" i="7"/>
  <c r="X79" i="7" s="1"/>
  <c r="P80" i="9" l="1"/>
  <c r="P670" i="7"/>
  <c r="P365" i="7"/>
  <c r="P80" i="7"/>
  <c r="P235" i="6"/>
  <c r="P80" i="6"/>
  <c r="X669" i="7"/>
  <c r="Q365" i="7"/>
  <c r="X364" i="7"/>
  <c r="Q80" i="6"/>
  <c r="R365" i="7"/>
  <c r="X234" i="6"/>
  <c r="R80" i="6"/>
  <c r="W365" i="7"/>
  <c r="Q80" i="9"/>
  <c r="R80" i="9" s="1"/>
  <c r="W80" i="9" s="1"/>
  <c r="S80" i="9"/>
  <c r="Q235" i="6"/>
  <c r="Q670" i="7"/>
  <c r="X80" i="9"/>
  <c r="R235" i="6"/>
  <c r="R670" i="7"/>
  <c r="S235" i="6"/>
  <c r="W235" i="6"/>
  <c r="W670" i="7"/>
  <c r="Q80" i="7"/>
  <c r="S80" i="6"/>
  <c r="X80" i="6" s="1"/>
  <c r="S365" i="7"/>
  <c r="R80" i="7"/>
  <c r="W80" i="6"/>
  <c r="S670" i="7"/>
  <c r="W80" i="7"/>
  <c r="S80" i="7"/>
  <c r="X80" i="7" s="1"/>
  <c r="P81" i="9" l="1"/>
  <c r="P671" i="7"/>
  <c r="P366" i="7"/>
  <c r="P81" i="7"/>
  <c r="P236" i="6"/>
  <c r="P81" i="6"/>
  <c r="X670" i="7"/>
  <c r="Q366" i="7"/>
  <c r="X365" i="7"/>
  <c r="Q81" i="6"/>
  <c r="R366" i="7"/>
  <c r="X235" i="6"/>
  <c r="R81" i="6"/>
  <c r="W366" i="7"/>
  <c r="Q81" i="9"/>
  <c r="R81" i="9" s="1"/>
  <c r="W81" i="9" s="1"/>
  <c r="S81" i="9"/>
  <c r="Q236" i="6"/>
  <c r="Q671" i="7"/>
  <c r="X81" i="9"/>
  <c r="R236" i="6"/>
  <c r="R671" i="7"/>
  <c r="S236" i="6"/>
  <c r="W236" i="6"/>
  <c r="W671" i="7"/>
  <c r="Q81" i="7"/>
  <c r="S81" i="6"/>
  <c r="X81" i="6" s="1"/>
  <c r="S366" i="7"/>
  <c r="R81" i="7"/>
  <c r="W81" i="6"/>
  <c r="S671" i="7"/>
  <c r="W81" i="7"/>
  <c r="S81" i="7"/>
  <c r="X81" i="7" s="1"/>
  <c r="P82" i="9" l="1"/>
  <c r="P672" i="7"/>
  <c r="P367" i="7"/>
  <c r="P82" i="7"/>
  <c r="P237" i="6"/>
  <c r="P82" i="6"/>
  <c r="X671" i="7"/>
  <c r="Q367" i="7"/>
  <c r="X366" i="7"/>
  <c r="Q82" i="6"/>
  <c r="R367" i="7"/>
  <c r="X236" i="6"/>
  <c r="R82" i="6"/>
  <c r="W367" i="7"/>
  <c r="Q82" i="9"/>
  <c r="R82" i="9" s="1"/>
  <c r="W82" i="9" s="1"/>
  <c r="S82" i="9"/>
  <c r="Q237" i="6"/>
  <c r="Q672" i="7"/>
  <c r="X82" i="9"/>
  <c r="R237" i="6"/>
  <c r="R672" i="7"/>
  <c r="S237" i="6"/>
  <c r="W237" i="6"/>
  <c r="W672" i="7"/>
  <c r="Q82" i="7"/>
  <c r="S82" i="6"/>
  <c r="X82" i="6" s="1"/>
  <c r="S367" i="7"/>
  <c r="R82" i="7"/>
  <c r="W82" i="6"/>
  <c r="S672" i="7"/>
  <c r="W82" i="7"/>
  <c r="S82" i="7"/>
  <c r="X82" i="7" s="1"/>
  <c r="P83" i="9" l="1"/>
  <c r="P673" i="7"/>
  <c r="P368" i="7"/>
  <c r="P83" i="7"/>
  <c r="P238" i="6"/>
  <c r="P83" i="6"/>
  <c r="X672" i="7"/>
  <c r="Q368" i="7"/>
  <c r="X367" i="7"/>
  <c r="Q83" i="6"/>
  <c r="R368" i="7"/>
  <c r="X237" i="6"/>
  <c r="R83" i="6"/>
  <c r="W368" i="7"/>
  <c r="Q83" i="9"/>
  <c r="R83" i="9" s="1"/>
  <c r="W83" i="9" s="1"/>
  <c r="S83" i="9"/>
  <c r="Q238" i="6"/>
  <c r="Q673" i="7"/>
  <c r="X83" i="9"/>
  <c r="R238" i="6"/>
  <c r="R673" i="7"/>
  <c r="S238" i="6"/>
  <c r="W238" i="6"/>
  <c r="W673" i="7"/>
  <c r="Q83" i="7"/>
  <c r="S83" i="6"/>
  <c r="X83" i="6" s="1"/>
  <c r="S368" i="7"/>
  <c r="R83" i="7"/>
  <c r="W83" i="6"/>
  <c r="S673" i="7"/>
  <c r="W83" i="7"/>
  <c r="S83" i="7"/>
  <c r="X83" i="7" s="1"/>
  <c r="P84" i="9" l="1"/>
  <c r="P674" i="7"/>
  <c r="P369" i="7"/>
  <c r="P84" i="7"/>
  <c r="P239" i="6"/>
  <c r="P84" i="6"/>
  <c r="X673" i="7"/>
  <c r="Q369" i="7"/>
  <c r="X368" i="7"/>
  <c r="Q84" i="6"/>
  <c r="R369" i="7"/>
  <c r="X238" i="6"/>
  <c r="R84" i="6"/>
  <c r="W369" i="7"/>
  <c r="Q84" i="9"/>
  <c r="R84" i="9" s="1"/>
  <c r="W84" i="9" s="1"/>
  <c r="S84" i="9"/>
  <c r="Q239" i="6"/>
  <c r="Q674" i="7"/>
  <c r="X84" i="9"/>
  <c r="R239" i="6"/>
  <c r="R674" i="7"/>
  <c r="S239" i="6"/>
  <c r="W239" i="6"/>
  <c r="W674" i="7"/>
  <c r="Q84" i="7"/>
  <c r="S84" i="6"/>
  <c r="X84" i="6" s="1"/>
  <c r="S369" i="7"/>
  <c r="R84" i="7"/>
  <c r="W84" i="6"/>
  <c r="S674" i="7"/>
  <c r="W84" i="7"/>
  <c r="S84" i="7"/>
  <c r="X84" i="7" s="1"/>
  <c r="P85" i="9" l="1"/>
  <c r="P675" i="7"/>
  <c r="P370" i="7"/>
  <c r="P85" i="7"/>
  <c r="P240" i="6"/>
  <c r="P85" i="6"/>
  <c r="X674" i="7"/>
  <c r="Q370" i="7"/>
  <c r="X369" i="7"/>
  <c r="Q85" i="6"/>
  <c r="R370" i="7"/>
  <c r="X239" i="6"/>
  <c r="R85" i="6"/>
  <c r="W370" i="7"/>
  <c r="Q85" i="9"/>
  <c r="R85" i="9" s="1"/>
  <c r="W85" i="9" s="1"/>
  <c r="S85" i="9"/>
  <c r="Q240" i="6"/>
  <c r="Q675" i="7"/>
  <c r="R240" i="6"/>
  <c r="R675" i="7"/>
  <c r="S240" i="6"/>
  <c r="W240" i="6"/>
  <c r="W675" i="7"/>
  <c r="Q85" i="7"/>
  <c r="S370" i="7"/>
  <c r="W85" i="6"/>
  <c r="X85" i="9"/>
  <c r="S85" i="6"/>
  <c r="X85" i="6" s="1"/>
  <c r="R85" i="7"/>
  <c r="S675" i="7"/>
  <c r="W85" i="7"/>
  <c r="S85" i="7"/>
  <c r="X85" i="7" s="1"/>
  <c r="P86" i="9" l="1"/>
  <c r="P676" i="7"/>
  <c r="P371" i="7"/>
  <c r="P86" i="7"/>
  <c r="P241" i="6"/>
  <c r="P86" i="6"/>
  <c r="X675" i="7"/>
  <c r="Q371" i="7"/>
  <c r="X240" i="6"/>
  <c r="Q241" i="6"/>
  <c r="Q86" i="7"/>
  <c r="R86" i="7"/>
  <c r="S86" i="7" s="1"/>
  <c r="X370" i="7"/>
  <c r="Q86" i="6"/>
  <c r="R371" i="7"/>
  <c r="W371" i="7" s="1"/>
  <c r="W86" i="7"/>
  <c r="R86" i="6"/>
  <c r="Q86" i="9"/>
  <c r="R86" i="9" s="1"/>
  <c r="Q676" i="7"/>
  <c r="R676" i="7" s="1"/>
  <c r="R241" i="6"/>
  <c r="S241" i="6" s="1"/>
  <c r="W241" i="6"/>
  <c r="X86" i="7"/>
  <c r="S86" i="6"/>
  <c r="X86" i="6" s="1"/>
  <c r="S371" i="7"/>
  <c r="W86" i="6"/>
  <c r="S86" i="9"/>
  <c r="X86" i="9" s="1"/>
  <c r="W86" i="9"/>
  <c r="S676" i="7"/>
  <c r="W676" i="7"/>
  <c r="P87" i="9" l="1"/>
  <c r="P677" i="7"/>
  <c r="P372" i="7"/>
  <c r="P87" i="7"/>
  <c r="P242" i="6"/>
  <c r="P87" i="6"/>
  <c r="X676" i="7"/>
  <c r="Q372" i="7"/>
  <c r="Q87" i="9"/>
  <c r="R87" i="9" s="1"/>
  <c r="X371" i="7"/>
  <c r="Q87" i="6"/>
  <c r="R372" i="7"/>
  <c r="W372" i="7" s="1"/>
  <c r="W87" i="9"/>
  <c r="R87" i="6"/>
  <c r="S87" i="6" s="1"/>
  <c r="S87" i="9"/>
  <c r="X87" i="9" s="1"/>
  <c r="X87" i="6"/>
  <c r="S372" i="7"/>
  <c r="X241" i="6"/>
  <c r="Q677" i="7"/>
  <c r="R677" i="7"/>
  <c r="W677" i="7"/>
  <c r="W87" i="6"/>
  <c r="S677" i="7"/>
  <c r="Q242" i="6"/>
  <c r="R242" i="6" s="1"/>
  <c r="Q87" i="7"/>
  <c r="R87" i="7" s="1"/>
  <c r="W242" i="6"/>
  <c r="S242" i="6"/>
  <c r="W87" i="7"/>
  <c r="S87" i="7"/>
  <c r="X87" i="7" s="1"/>
  <c r="P88" i="9" l="1"/>
  <c r="P678" i="7"/>
  <c r="P373" i="7"/>
  <c r="P88" i="7"/>
  <c r="P243" i="6"/>
  <c r="P88" i="6"/>
  <c r="X242" i="6"/>
  <c r="Q373" i="7"/>
  <c r="X677" i="7"/>
  <c r="Q88" i="6"/>
  <c r="R373" i="7"/>
  <c r="Q88" i="9"/>
  <c r="X372" i="7"/>
  <c r="R88" i="6"/>
  <c r="W373" i="7"/>
  <c r="Q243" i="6"/>
  <c r="Q678" i="7"/>
  <c r="R678" i="7" s="1"/>
  <c r="R243" i="6"/>
  <c r="S243" i="6" s="1"/>
  <c r="W678" i="7"/>
  <c r="W243" i="6"/>
  <c r="S88" i="6"/>
  <c r="X88" i="6" s="1"/>
  <c r="S373" i="7"/>
  <c r="Q88" i="7"/>
  <c r="W88" i="6"/>
  <c r="S678" i="7"/>
  <c r="R88" i="7"/>
  <c r="S88" i="7"/>
  <c r="R88" i="9"/>
  <c r="X88" i="7"/>
  <c r="W88" i="7"/>
  <c r="S88" i="9"/>
  <c r="X88" i="9" s="1"/>
  <c r="W88" i="9"/>
  <c r="P89" i="9" l="1"/>
  <c r="P374" i="7"/>
  <c r="P89" i="7"/>
  <c r="P244" i="6"/>
  <c r="P89" i="6"/>
  <c r="X678" i="7"/>
  <c r="Q89" i="6"/>
  <c r="X373" i="7"/>
  <c r="R89" i="6"/>
  <c r="X243" i="6"/>
  <c r="Q244" i="6"/>
  <c r="S89" i="6"/>
  <c r="R244" i="6"/>
  <c r="S244" i="6" s="1"/>
  <c r="W89" i="6"/>
  <c r="W244" i="6"/>
  <c r="Q89" i="7"/>
  <c r="R89" i="7"/>
  <c r="Q89" i="9"/>
  <c r="R89" i="9" s="1"/>
  <c r="Q374" i="7"/>
  <c r="R374" i="7" s="1"/>
  <c r="X89" i="6"/>
  <c r="W89" i="7"/>
  <c r="S89" i="7"/>
  <c r="X89" i="7"/>
  <c r="S89" i="9"/>
  <c r="X89" i="9" s="1"/>
  <c r="W89" i="9"/>
  <c r="S374" i="7"/>
  <c r="W374" i="7"/>
  <c r="P90" i="9" l="1"/>
  <c r="P375" i="7"/>
  <c r="P90" i="7"/>
  <c r="P245" i="6"/>
  <c r="P90" i="6"/>
  <c r="X374" i="7"/>
  <c r="Q90" i="6"/>
  <c r="R90" i="6" s="1"/>
  <c r="X244" i="6"/>
  <c r="Q245" i="6"/>
  <c r="S90" i="6"/>
  <c r="Q375" i="7"/>
  <c r="R245" i="6"/>
  <c r="S245" i="6" s="1"/>
  <c r="W90" i="6"/>
  <c r="W245" i="6"/>
  <c r="Q90" i="7"/>
  <c r="R90" i="7" s="1"/>
  <c r="Q90" i="9"/>
  <c r="R90" i="9" s="1"/>
  <c r="X90" i="6"/>
  <c r="R375" i="7"/>
  <c r="S90" i="7"/>
  <c r="W90" i="7"/>
  <c r="X90" i="7"/>
  <c r="W90" i="9"/>
  <c r="S90" i="9"/>
  <c r="X90" i="9" s="1"/>
  <c r="S375" i="7"/>
  <c r="W375" i="7"/>
  <c r="P91" i="9" l="1"/>
  <c r="P376" i="7"/>
  <c r="P91" i="7"/>
  <c r="P246" i="6"/>
  <c r="P91" i="6"/>
  <c r="X375" i="7"/>
  <c r="X245" i="6"/>
  <c r="Q246" i="6"/>
  <c r="R246" i="6"/>
  <c r="W246" i="6"/>
  <c r="Q91" i="7"/>
  <c r="R91" i="7"/>
  <c r="Q91" i="9"/>
  <c r="R91" i="9" s="1"/>
  <c r="Q376" i="7"/>
  <c r="Q91" i="6"/>
  <c r="R91" i="6" s="1"/>
  <c r="R376" i="7"/>
  <c r="S246" i="6"/>
  <c r="W91" i="7"/>
  <c r="S91" i="7"/>
  <c r="X91" i="7"/>
  <c r="S91" i="9"/>
  <c r="X91" i="9" s="1"/>
  <c r="W91" i="9"/>
  <c r="W91" i="6"/>
  <c r="S91" i="6"/>
  <c r="X91" i="6" s="1"/>
  <c r="S376" i="7"/>
  <c r="W376" i="7"/>
  <c r="P92" i="9" l="1"/>
  <c r="P377" i="7"/>
  <c r="P92" i="7"/>
  <c r="P247" i="6"/>
  <c r="P92" i="6"/>
  <c r="X376" i="7"/>
  <c r="X246" i="6"/>
  <c r="Q247" i="6"/>
  <c r="R247" i="6"/>
  <c r="W247" i="6"/>
  <c r="Q92" i="7"/>
  <c r="R92" i="7"/>
  <c r="Q92" i="9"/>
  <c r="R92" i="9" s="1"/>
  <c r="Q377" i="7"/>
  <c r="Q92" i="6"/>
  <c r="R92" i="6" s="1"/>
  <c r="R377" i="7"/>
  <c r="S247" i="6"/>
  <c r="W92" i="7"/>
  <c r="S92" i="7"/>
  <c r="X92" i="7"/>
  <c r="S92" i="9"/>
  <c r="X92" i="9" s="1"/>
  <c r="W92" i="9"/>
  <c r="W92" i="6"/>
  <c r="S92" i="6"/>
  <c r="X92" i="6" s="1"/>
  <c r="S377" i="7"/>
  <c r="W377" i="7"/>
  <c r="P93" i="9" l="1"/>
  <c r="P378" i="7"/>
  <c r="P93" i="7"/>
  <c r="P248" i="6"/>
  <c r="P93" i="6"/>
  <c r="X377" i="7"/>
  <c r="X247" i="6"/>
  <c r="Q248" i="6"/>
  <c r="R248" i="6"/>
  <c r="W248" i="6"/>
  <c r="Q93" i="7"/>
  <c r="R93" i="7"/>
  <c r="Q93" i="9"/>
  <c r="R93" i="9" s="1"/>
  <c r="Q378" i="7"/>
  <c r="Q93" i="6"/>
  <c r="R93" i="6" s="1"/>
  <c r="R378" i="7"/>
  <c r="S248" i="6"/>
  <c r="W93" i="7"/>
  <c r="S93" i="7"/>
  <c r="X93" i="7"/>
  <c r="S93" i="9"/>
  <c r="X93" i="9" s="1"/>
  <c r="W93" i="9"/>
  <c r="W93" i="6"/>
  <c r="S93" i="6"/>
  <c r="X93" i="6" s="1"/>
  <c r="S378" i="7"/>
  <c r="W378" i="7"/>
  <c r="P94" i="9" l="1"/>
  <c r="P379" i="7"/>
  <c r="P94" i="7"/>
  <c r="P249" i="6"/>
  <c r="P94" i="6"/>
  <c r="X378" i="7"/>
  <c r="X248" i="6"/>
  <c r="Q249" i="6"/>
  <c r="R249" i="6"/>
  <c r="W249" i="6"/>
  <c r="Q94" i="7"/>
  <c r="R94" i="7"/>
  <c r="Q94" i="9"/>
  <c r="R94" i="9" s="1"/>
  <c r="Q379" i="7"/>
  <c r="Q94" i="6"/>
  <c r="R94" i="6" s="1"/>
  <c r="R379" i="7"/>
  <c r="S249" i="6"/>
  <c r="W94" i="7"/>
  <c r="S94" i="7"/>
  <c r="X94" i="7"/>
  <c r="S94" i="9"/>
  <c r="X94" i="9" s="1"/>
  <c r="W94" i="9"/>
  <c r="W94" i="6"/>
  <c r="S94" i="6"/>
  <c r="X94" i="6" s="1"/>
  <c r="S379" i="7"/>
  <c r="W379" i="7"/>
  <c r="P95" i="9" l="1"/>
  <c r="P380" i="7"/>
  <c r="P95" i="7"/>
  <c r="P250" i="6"/>
  <c r="P95" i="6"/>
  <c r="X379" i="7"/>
  <c r="X249" i="6"/>
  <c r="Q250" i="6"/>
  <c r="R250" i="6"/>
  <c r="W250" i="6"/>
  <c r="Q95" i="7"/>
  <c r="R95" i="7"/>
  <c r="Q95" i="9"/>
  <c r="R95" i="9" s="1"/>
  <c r="Q380" i="7"/>
  <c r="Q95" i="6"/>
  <c r="R95" i="6" s="1"/>
  <c r="R380" i="7"/>
  <c r="S250" i="6"/>
  <c r="W95" i="7"/>
  <c r="S95" i="7"/>
  <c r="X95" i="7"/>
  <c r="S95" i="9"/>
  <c r="X95" i="9" s="1"/>
  <c r="W95" i="9"/>
  <c r="W95" i="6"/>
  <c r="S95" i="6"/>
  <c r="X95" i="6" s="1"/>
  <c r="S380" i="7"/>
  <c r="W380" i="7"/>
  <c r="P96" i="9" l="1"/>
  <c r="P381" i="7"/>
  <c r="P96" i="7"/>
  <c r="P251" i="6"/>
  <c r="P96" i="6"/>
  <c r="X380" i="7"/>
  <c r="X250" i="6"/>
  <c r="Q251" i="6"/>
  <c r="R251" i="6"/>
  <c r="W251" i="6"/>
  <c r="Q96" i="7"/>
  <c r="R96" i="7"/>
  <c r="Q96" i="9"/>
  <c r="R96" i="9" s="1"/>
  <c r="Q381" i="7"/>
  <c r="Q96" i="6"/>
  <c r="R96" i="6" s="1"/>
  <c r="R381" i="7"/>
  <c r="S251" i="6"/>
  <c r="W96" i="7"/>
  <c r="S96" i="7"/>
  <c r="X96" i="7"/>
  <c r="S96" i="9"/>
  <c r="X96" i="9" s="1"/>
  <c r="W96" i="9"/>
  <c r="W96" i="6"/>
  <c r="S96" i="6"/>
  <c r="X96" i="6" s="1"/>
  <c r="S381" i="7"/>
  <c r="W381" i="7"/>
  <c r="P97" i="9" l="1"/>
  <c r="P382" i="7"/>
  <c r="P97" i="7"/>
  <c r="P252" i="6"/>
  <c r="P97" i="6"/>
  <c r="X381" i="7"/>
  <c r="X251" i="6"/>
  <c r="Q252" i="6"/>
  <c r="R252" i="6"/>
  <c r="W252" i="6"/>
  <c r="Q97" i="7"/>
  <c r="R97" i="7"/>
  <c r="Q97" i="9"/>
  <c r="R97" i="9" s="1"/>
  <c r="Q382" i="7"/>
  <c r="Q97" i="6"/>
  <c r="R97" i="6" s="1"/>
  <c r="R382" i="7"/>
  <c r="S252" i="6"/>
  <c r="W97" i="7"/>
  <c r="S97" i="7"/>
  <c r="X97" i="7"/>
  <c r="S97" i="9"/>
  <c r="X97" i="9" s="1"/>
  <c r="W97" i="9"/>
  <c r="W97" i="6"/>
  <c r="S97" i="6"/>
  <c r="X97" i="6" s="1"/>
  <c r="S382" i="7"/>
  <c r="W382" i="7"/>
  <c r="P98" i="9" l="1"/>
  <c r="P383" i="7"/>
  <c r="P98" i="7"/>
  <c r="P253" i="6"/>
  <c r="P98" i="6"/>
  <c r="X382" i="7"/>
  <c r="X252" i="6"/>
  <c r="Q253" i="6"/>
  <c r="R253" i="6"/>
  <c r="W253" i="6"/>
  <c r="Q98" i="7"/>
  <c r="R98" i="7"/>
  <c r="Q98" i="9"/>
  <c r="R98" i="9" s="1"/>
  <c r="Q383" i="7"/>
  <c r="Q98" i="6"/>
  <c r="R98" i="6" s="1"/>
  <c r="R383" i="7"/>
  <c r="S253" i="6"/>
  <c r="W98" i="7"/>
  <c r="S98" i="7"/>
  <c r="X98" i="7"/>
  <c r="S98" i="9"/>
  <c r="X98" i="9" s="1"/>
  <c r="W98" i="9"/>
  <c r="W98" i="6"/>
  <c r="S98" i="6"/>
  <c r="X98" i="6" s="1"/>
  <c r="S383" i="7"/>
  <c r="W383" i="7"/>
  <c r="P99" i="9" l="1"/>
  <c r="P384" i="7"/>
  <c r="P99" i="7"/>
  <c r="P99" i="6"/>
  <c r="X383" i="7"/>
  <c r="Q99" i="7"/>
  <c r="X253" i="6"/>
  <c r="R99" i="7"/>
  <c r="W99" i="7" s="1"/>
  <c r="Q99" i="9"/>
  <c r="Q384" i="7"/>
  <c r="R384" i="7"/>
  <c r="W384" i="7"/>
  <c r="S384" i="7"/>
  <c r="R99" i="9"/>
  <c r="Q99" i="6"/>
  <c r="W99" i="9"/>
  <c r="R99" i="6"/>
  <c r="S99" i="7"/>
  <c r="X99" i="7" s="1"/>
  <c r="S99" i="9"/>
  <c r="X99" i="9" s="1"/>
  <c r="W99" i="6"/>
  <c r="S99" i="6"/>
  <c r="X99" i="6"/>
  <c r="P100" i="9" l="1"/>
  <c r="P385" i="7"/>
  <c r="P100" i="7"/>
  <c r="P100" i="6"/>
  <c r="X384" i="7"/>
  <c r="Q100" i="9"/>
  <c r="Q385" i="7"/>
  <c r="R385" i="7"/>
  <c r="W385" i="7"/>
  <c r="S385" i="7"/>
  <c r="R100" i="9"/>
  <c r="Q100" i="6"/>
  <c r="W100" i="9"/>
  <c r="R100" i="6"/>
  <c r="S100" i="9"/>
  <c r="Q100" i="7"/>
  <c r="R100" i="7" s="1"/>
  <c r="W100" i="7"/>
  <c r="X100" i="9"/>
  <c r="W100" i="6"/>
  <c r="S100" i="6"/>
  <c r="X100" i="6"/>
  <c r="S100" i="7"/>
  <c r="X100" i="7"/>
  <c r="P101" i="9" l="1"/>
  <c r="P386" i="7"/>
  <c r="P101" i="7"/>
  <c r="P101" i="6"/>
  <c r="X385" i="7"/>
  <c r="Q101" i="9"/>
  <c r="R101" i="9"/>
  <c r="Q101" i="6"/>
  <c r="W101" i="9"/>
  <c r="Q101" i="7"/>
  <c r="R101" i="7" s="1"/>
  <c r="Q386" i="7"/>
  <c r="R386" i="7"/>
  <c r="W386" i="7" s="1"/>
  <c r="S386" i="7"/>
  <c r="R101" i="6"/>
  <c r="S101" i="9"/>
  <c r="X101" i="9" s="1"/>
  <c r="W101" i="7"/>
  <c r="S101" i="7"/>
  <c r="X101" i="7"/>
  <c r="W101" i="6"/>
  <c r="S101" i="6"/>
  <c r="X101" i="6"/>
  <c r="P102" i="9" l="1"/>
  <c r="P387" i="7"/>
  <c r="P102" i="7"/>
  <c r="P102" i="6"/>
  <c r="X386" i="7"/>
  <c r="Q102" i="7"/>
  <c r="R102" i="7"/>
  <c r="S102" i="7" s="1"/>
  <c r="W102" i="7"/>
  <c r="Q387" i="7"/>
  <c r="R387" i="7"/>
  <c r="S387" i="7" s="1"/>
  <c r="Q102" i="6"/>
  <c r="W387" i="7"/>
  <c r="R102" i="6"/>
  <c r="Q102" i="9"/>
  <c r="R102" i="9" s="1"/>
  <c r="W102" i="6"/>
  <c r="S102" i="6"/>
  <c r="S102" i="9"/>
  <c r="X102" i="9" s="1"/>
  <c r="W102" i="9"/>
  <c r="P103" i="9" l="1"/>
  <c r="P388" i="7"/>
  <c r="P103" i="7"/>
  <c r="P103" i="6"/>
  <c r="X102" i="6"/>
  <c r="X387" i="7"/>
  <c r="Q103" i="7"/>
  <c r="X102" i="7"/>
  <c r="R103" i="7"/>
  <c r="Q103" i="9"/>
  <c r="Q388" i="7"/>
  <c r="R388" i="7"/>
  <c r="W388" i="7"/>
  <c r="S388" i="7"/>
  <c r="R103" i="9"/>
  <c r="Q103" i="6"/>
  <c r="R103" i="6" s="1"/>
  <c r="W103" i="6"/>
  <c r="W103" i="9"/>
  <c r="W103" i="7"/>
  <c r="S103" i="7"/>
  <c r="X103" i="7" s="1"/>
  <c r="S103" i="9"/>
  <c r="X103" i="9" s="1"/>
  <c r="S103" i="6"/>
  <c r="X103" i="6"/>
  <c r="P104" i="9" l="1"/>
  <c r="P389" i="7"/>
  <c r="P104" i="7"/>
  <c r="P104" i="6"/>
  <c r="X388" i="7"/>
  <c r="Q104" i="9"/>
  <c r="Q389" i="7"/>
  <c r="R389" i="7"/>
  <c r="W389" i="7"/>
  <c r="S389" i="7"/>
  <c r="R104" i="9"/>
  <c r="Q104" i="6"/>
  <c r="W104" i="9"/>
  <c r="R104" i="6"/>
  <c r="S104" i="9"/>
  <c r="Q104" i="7"/>
  <c r="R104" i="7" s="1"/>
  <c r="W104" i="7"/>
  <c r="X104" i="9"/>
  <c r="W104" i="6"/>
  <c r="S104" i="6"/>
  <c r="X104" i="6"/>
  <c r="S104" i="7"/>
  <c r="X104" i="7"/>
  <c r="P105" i="9" l="1"/>
  <c r="P390" i="7"/>
  <c r="P105" i="7"/>
  <c r="P105" i="6"/>
  <c r="X389" i="7"/>
  <c r="Q105" i="9"/>
  <c r="R105" i="9"/>
  <c r="Q105" i="7"/>
  <c r="R105" i="7" s="1"/>
  <c r="S105" i="7" s="1"/>
  <c r="Q390" i="7"/>
  <c r="R390" i="7" s="1"/>
  <c r="W390" i="7" s="1"/>
  <c r="X105" i="7"/>
  <c r="S390" i="7"/>
  <c r="Q105" i="6"/>
  <c r="R105" i="6" s="1"/>
  <c r="W105" i="9"/>
  <c r="S105" i="9"/>
  <c r="X105" i="9" s="1"/>
  <c r="W105" i="7"/>
  <c r="W105" i="6"/>
  <c r="S105" i="6"/>
  <c r="X105" i="6"/>
  <c r="P106" i="9" l="1"/>
  <c r="P391" i="7"/>
  <c r="P106" i="7"/>
  <c r="P106" i="6"/>
  <c r="X390" i="7"/>
  <c r="Q106" i="9"/>
  <c r="Q391" i="7"/>
  <c r="R391" i="7"/>
  <c r="W391" i="7"/>
  <c r="S391" i="7"/>
  <c r="R106" i="9"/>
  <c r="Q106" i="6"/>
  <c r="W106" i="9"/>
  <c r="R106" i="6"/>
  <c r="S106" i="9"/>
  <c r="Q106" i="7"/>
  <c r="R106" i="7" s="1"/>
  <c r="W106" i="7"/>
  <c r="X106" i="9"/>
  <c r="W106" i="6"/>
  <c r="S106" i="6"/>
  <c r="X106" i="6"/>
  <c r="S106" i="7"/>
  <c r="X106" i="7"/>
  <c r="P107" i="9" l="1"/>
  <c r="P392" i="7"/>
  <c r="P107" i="7"/>
  <c r="P107" i="6"/>
  <c r="X391" i="7"/>
  <c r="Q107" i="9"/>
  <c r="Q107" i="7"/>
  <c r="R107" i="7" s="1"/>
  <c r="Q392" i="7"/>
  <c r="Q107" i="6"/>
  <c r="R107" i="6" s="1"/>
  <c r="S107" i="7"/>
  <c r="W107" i="7"/>
  <c r="R392" i="7"/>
  <c r="W392" i="7" s="1"/>
  <c r="X107" i="7"/>
  <c r="S392" i="7"/>
  <c r="R107" i="9"/>
  <c r="W107" i="9"/>
  <c r="S107" i="9"/>
  <c r="X107" i="9"/>
  <c r="W107" i="6"/>
  <c r="S107" i="6"/>
  <c r="X107" i="6" s="1"/>
  <c r="P108" i="9" l="1"/>
  <c r="P393" i="7"/>
  <c r="P108" i="7"/>
  <c r="P108" i="6"/>
  <c r="X392" i="7"/>
  <c r="Q108" i="9"/>
  <c r="R108" i="9"/>
  <c r="Q108" i="7"/>
  <c r="R108" i="7" s="1"/>
  <c r="S108" i="7" s="1"/>
  <c r="Q393" i="7"/>
  <c r="R393" i="7"/>
  <c r="X108" i="7"/>
  <c r="W393" i="7"/>
  <c r="S393" i="7"/>
  <c r="Q108" i="6"/>
  <c r="R108" i="6" s="1"/>
  <c r="W108" i="9"/>
  <c r="S108" i="9"/>
  <c r="X108" i="9" s="1"/>
  <c r="W108" i="7"/>
  <c r="S108" i="6"/>
  <c r="X108" i="6"/>
  <c r="W108" i="6"/>
  <c r="P109" i="9" l="1"/>
  <c r="P394" i="7"/>
  <c r="P109" i="7"/>
  <c r="P109" i="6"/>
  <c r="X393" i="7"/>
  <c r="Q109" i="9"/>
  <c r="Q394" i="7"/>
  <c r="R394" i="7"/>
  <c r="W394" i="7"/>
  <c r="S394" i="7"/>
  <c r="R109" i="9"/>
  <c r="Q109" i="6"/>
  <c r="W109" i="9"/>
  <c r="R109" i="6"/>
  <c r="S109" i="9"/>
  <c r="Q109" i="7"/>
  <c r="R109" i="7" s="1"/>
  <c r="W109" i="7"/>
  <c r="X109" i="9"/>
  <c r="W109" i="6"/>
  <c r="S109" i="6"/>
  <c r="X109" i="6"/>
  <c r="S109" i="7"/>
  <c r="X109" i="7"/>
  <c r="P110" i="9" l="1"/>
  <c r="P395" i="7"/>
  <c r="P110" i="7"/>
  <c r="P110" i="6"/>
  <c r="X394" i="7"/>
  <c r="Q110" i="9"/>
  <c r="Q110" i="6"/>
  <c r="Q110" i="7"/>
  <c r="R110" i="7" s="1"/>
  <c r="Q395" i="7"/>
  <c r="R395" i="7" s="1"/>
  <c r="W395" i="7" s="1"/>
  <c r="S395" i="7"/>
  <c r="R110" i="9"/>
  <c r="R110" i="6"/>
  <c r="S110" i="9"/>
  <c r="W110" i="7"/>
  <c r="S110" i="7"/>
  <c r="X110" i="7"/>
  <c r="X110" i="9"/>
  <c r="W110" i="9"/>
  <c r="W110" i="6"/>
  <c r="S110" i="6"/>
  <c r="X110" i="6"/>
  <c r="P111" i="9" l="1"/>
  <c r="P396" i="7"/>
  <c r="P111" i="7"/>
  <c r="P111" i="6"/>
  <c r="X395" i="7"/>
  <c r="Q111" i="9"/>
  <c r="Q396" i="7"/>
  <c r="R396" i="7"/>
  <c r="W396" i="7"/>
  <c r="S396" i="7"/>
  <c r="R111" i="9"/>
  <c r="Q111" i="6"/>
  <c r="W111" i="9"/>
  <c r="R111" i="6"/>
  <c r="S111" i="9"/>
  <c r="Q111" i="7"/>
  <c r="R111" i="7" s="1"/>
  <c r="W111" i="7"/>
  <c r="X111" i="9"/>
  <c r="W111" i="6"/>
  <c r="S111" i="6"/>
  <c r="X111" i="6"/>
  <c r="S111" i="7"/>
  <c r="X111" i="7"/>
  <c r="P112" i="9" l="1"/>
  <c r="P397" i="7"/>
  <c r="P112" i="7"/>
  <c r="P112" i="6"/>
  <c r="X396" i="7"/>
  <c r="Q112" i="9"/>
  <c r="R112" i="9"/>
  <c r="Q112" i="7"/>
  <c r="R112" i="7" s="1"/>
  <c r="S112" i="7" s="1"/>
  <c r="Q397" i="7"/>
  <c r="R397" i="7"/>
  <c r="W397" i="7" s="1"/>
  <c r="X112" i="7"/>
  <c r="S397" i="7"/>
  <c r="Q112" i="6"/>
  <c r="R112" i="6" s="1"/>
  <c r="W112" i="9"/>
  <c r="S112" i="9"/>
  <c r="X112" i="9" s="1"/>
  <c r="W112" i="7"/>
  <c r="S112" i="6"/>
  <c r="X112" i="6"/>
  <c r="W112" i="6"/>
  <c r="P113" i="9" l="1"/>
  <c r="P398" i="7"/>
  <c r="P113" i="7"/>
  <c r="P113" i="6"/>
  <c r="X397" i="7"/>
  <c r="Q113" i="9"/>
  <c r="Q398" i="7"/>
  <c r="R398" i="7"/>
  <c r="W398" i="7"/>
  <c r="S398" i="7"/>
  <c r="R113" i="9"/>
  <c r="Q113" i="6"/>
  <c r="W113" i="9"/>
  <c r="R113" i="6"/>
  <c r="S113" i="9"/>
  <c r="Q113" i="7"/>
  <c r="R113" i="7" s="1"/>
  <c r="W113" i="7"/>
  <c r="X113" i="9"/>
  <c r="W113" i="6"/>
  <c r="S113" i="6"/>
  <c r="X113" i="6"/>
  <c r="S113" i="7"/>
  <c r="X113" i="7"/>
  <c r="P114" i="9" l="1"/>
  <c r="P399" i="7"/>
  <c r="P114" i="7"/>
  <c r="P114" i="6"/>
  <c r="X398" i="7"/>
  <c r="Q114" i="9"/>
  <c r="Q399" i="7"/>
  <c r="R399" i="7"/>
  <c r="W399" i="7"/>
  <c r="S399" i="7"/>
  <c r="R114" i="9"/>
  <c r="Q114" i="6"/>
  <c r="W114" i="9"/>
  <c r="R114" i="6"/>
  <c r="S114" i="9"/>
  <c r="Q114" i="7"/>
  <c r="R114" i="7" s="1"/>
  <c r="W114" i="7"/>
  <c r="X114" i="9"/>
  <c r="W114" i="6"/>
  <c r="S114" i="6"/>
  <c r="X114" i="6"/>
  <c r="S114" i="7"/>
  <c r="X114" i="7"/>
  <c r="P115" i="9" l="1"/>
  <c r="P400" i="7"/>
  <c r="P115" i="7"/>
  <c r="P115" i="6"/>
  <c r="X399" i="7"/>
  <c r="Q115" i="9"/>
  <c r="Q400" i="7"/>
  <c r="R400" i="7"/>
  <c r="W400" i="7"/>
  <c r="S400" i="7"/>
  <c r="R115" i="9"/>
  <c r="Q115" i="6"/>
  <c r="W115" i="9"/>
  <c r="R115" i="6"/>
  <c r="S115" i="9"/>
  <c r="Q115" i="7"/>
  <c r="R115" i="7" s="1"/>
  <c r="W115" i="7"/>
  <c r="X115" i="9"/>
  <c r="W115" i="6"/>
  <c r="S115" i="6"/>
  <c r="X115" i="6"/>
  <c r="S115" i="7"/>
  <c r="X115" i="7"/>
  <c r="P116" i="9" l="1"/>
  <c r="P401" i="7"/>
  <c r="P116" i="7"/>
  <c r="P116" i="6"/>
  <c r="X400" i="7"/>
  <c r="Q116" i="9"/>
  <c r="Q401" i="7"/>
  <c r="R401" i="7"/>
  <c r="W401" i="7"/>
  <c r="S401" i="7"/>
  <c r="R116" i="9"/>
  <c r="Q116" i="6"/>
  <c r="W116" i="9"/>
  <c r="R116" i="6"/>
  <c r="S116" i="9"/>
  <c r="Q116" i="7"/>
  <c r="R116" i="7" s="1"/>
  <c r="W116" i="7"/>
  <c r="X116" i="9"/>
  <c r="W116" i="6"/>
  <c r="S116" i="6"/>
  <c r="X116" i="6"/>
  <c r="S116" i="7"/>
  <c r="X116" i="7"/>
  <c r="P117" i="9" l="1"/>
  <c r="P402" i="7"/>
  <c r="P117" i="7"/>
  <c r="P117" i="6"/>
  <c r="X401" i="7"/>
  <c r="Q117" i="9"/>
  <c r="Q402" i="7"/>
  <c r="R402" i="7"/>
  <c r="W402" i="7"/>
  <c r="S402" i="7"/>
  <c r="R117" i="9"/>
  <c r="Q117" i="6"/>
  <c r="W117" i="9"/>
  <c r="R117" i="6"/>
  <c r="S117" i="9"/>
  <c r="Q117" i="7"/>
  <c r="R117" i="7" s="1"/>
  <c r="W117" i="7"/>
  <c r="X117" i="9"/>
  <c r="W117" i="6"/>
  <c r="S117" i="6"/>
  <c r="X117" i="6"/>
  <c r="S117" i="7"/>
  <c r="X117" i="7"/>
  <c r="P118" i="9" l="1"/>
  <c r="P403" i="7"/>
  <c r="P118" i="7"/>
  <c r="P118" i="6"/>
  <c r="Q403" i="7"/>
  <c r="R403" i="7"/>
  <c r="W403" i="7"/>
  <c r="S403" i="7"/>
  <c r="Q118" i="6"/>
  <c r="R118" i="6"/>
  <c r="Q118" i="7"/>
  <c r="X402" i="7"/>
  <c r="R118" i="7"/>
  <c r="Q118" i="9"/>
  <c r="R118" i="9" s="1"/>
  <c r="W118" i="6"/>
  <c r="S118" i="6"/>
  <c r="X118" i="6"/>
  <c r="W118" i="7"/>
  <c r="S118" i="7"/>
  <c r="X118" i="7"/>
  <c r="S118" i="9"/>
  <c r="X118" i="9" s="1"/>
  <c r="W118" i="9"/>
  <c r="P119" i="9" l="1"/>
  <c r="P404" i="7"/>
  <c r="P119" i="7"/>
  <c r="P119" i="6"/>
  <c r="X403" i="7"/>
  <c r="Q119" i="7"/>
  <c r="R119" i="7"/>
  <c r="S119" i="7" s="1"/>
  <c r="W119" i="7"/>
  <c r="Q404" i="7"/>
  <c r="R404" i="7"/>
  <c r="S404" i="7" s="1"/>
  <c r="Q119" i="6"/>
  <c r="W404" i="7"/>
  <c r="R119" i="6"/>
  <c r="Q119" i="9"/>
  <c r="R119" i="9" s="1"/>
  <c r="W119" i="6"/>
  <c r="S119" i="6"/>
  <c r="S119" i="9"/>
  <c r="X119" i="9" s="1"/>
  <c r="W119" i="9"/>
  <c r="P120" i="9" l="1"/>
  <c r="P405" i="7"/>
  <c r="P120" i="7"/>
  <c r="P120" i="6"/>
  <c r="X119" i="6"/>
  <c r="X404" i="7"/>
  <c r="Q120" i="7"/>
  <c r="X119" i="7"/>
  <c r="R120" i="7"/>
  <c r="Q120" i="9"/>
  <c r="Q405" i="7"/>
  <c r="R405" i="7"/>
  <c r="W405" i="7"/>
  <c r="S405" i="7"/>
  <c r="R120" i="9"/>
  <c r="Q120" i="6"/>
  <c r="R120" i="6" s="1"/>
  <c r="W120" i="6"/>
  <c r="W120" i="9"/>
  <c r="W120" i="7"/>
  <c r="S120" i="7"/>
  <c r="X120" i="7" s="1"/>
  <c r="S120" i="9"/>
  <c r="X120" i="9" s="1"/>
  <c r="S120" i="6"/>
  <c r="X120" i="6"/>
  <c r="P121" i="9" l="1"/>
  <c r="P406" i="7"/>
  <c r="P121" i="7"/>
  <c r="P121" i="6"/>
  <c r="X405" i="7"/>
  <c r="Q121" i="9"/>
  <c r="Q406" i="7"/>
  <c r="R406" i="7"/>
  <c r="W406" i="7"/>
  <c r="S406" i="7"/>
  <c r="R121" i="9"/>
  <c r="Q121" i="6"/>
  <c r="W121" i="9"/>
  <c r="R121" i="6"/>
  <c r="S121" i="9"/>
  <c r="Q121" i="7"/>
  <c r="R121" i="7" s="1"/>
  <c r="W121" i="7"/>
  <c r="X121" i="9"/>
  <c r="W121" i="6"/>
  <c r="S121" i="6"/>
  <c r="X121" i="6"/>
  <c r="S121" i="7"/>
  <c r="X121" i="7"/>
  <c r="P122" i="9" l="1"/>
  <c r="P407" i="7"/>
  <c r="P122" i="7"/>
  <c r="P122" i="6"/>
  <c r="X406" i="7"/>
  <c r="Q122" i="9"/>
  <c r="Q407" i="7"/>
  <c r="R407" i="7"/>
  <c r="W407" i="7"/>
  <c r="S407" i="7"/>
  <c r="R122" i="9"/>
  <c r="Q122" i="6"/>
  <c r="W122" i="9"/>
  <c r="R122" i="6"/>
  <c r="S122" i="9"/>
  <c r="Q122" i="7"/>
  <c r="R122" i="7" s="1"/>
  <c r="W122" i="7"/>
  <c r="X122" i="9"/>
  <c r="W122" i="6"/>
  <c r="S122" i="6"/>
  <c r="X122" i="6"/>
  <c r="S122" i="7"/>
  <c r="X122" i="7"/>
  <c r="P123" i="9" l="1"/>
  <c r="P408" i="7"/>
  <c r="P123" i="7"/>
  <c r="P123" i="6"/>
  <c r="X407" i="7"/>
  <c r="Q123" i="9"/>
  <c r="Q408" i="7"/>
  <c r="R408" i="7"/>
  <c r="W408" i="7"/>
  <c r="S408" i="7"/>
  <c r="R123" i="9"/>
  <c r="Q123" i="6"/>
  <c r="W123" i="9"/>
  <c r="R123" i="6"/>
  <c r="S123" i="9"/>
  <c r="Q123" i="7"/>
  <c r="R123" i="7" s="1"/>
  <c r="W123" i="7"/>
  <c r="X123" i="9"/>
  <c r="W123" i="6"/>
  <c r="S123" i="6"/>
  <c r="X123" i="6"/>
  <c r="S123" i="7"/>
  <c r="X123" i="7"/>
  <c r="P124" i="9" l="1"/>
  <c r="P409" i="7"/>
  <c r="P124" i="7"/>
  <c r="P124" i="6"/>
  <c r="X408" i="7"/>
  <c r="Q124" i="9"/>
  <c r="Q409" i="7"/>
  <c r="R409" i="7"/>
  <c r="W409" i="7"/>
  <c r="S409" i="7"/>
  <c r="R124" i="9"/>
  <c r="Q124" i="6"/>
  <c r="W124" i="9"/>
  <c r="R124" i="6"/>
  <c r="S124" i="9"/>
  <c r="Q124" i="7"/>
  <c r="R124" i="7" s="1"/>
  <c r="W124" i="7"/>
  <c r="X124" i="9"/>
  <c r="W124" i="6"/>
  <c r="S124" i="6"/>
  <c r="X124" i="6"/>
  <c r="S124" i="7"/>
  <c r="X124" i="7"/>
  <c r="P125" i="9" l="1"/>
  <c r="P410" i="7"/>
  <c r="P125" i="7"/>
  <c r="P125" i="6"/>
  <c r="X409" i="7"/>
  <c r="Q125" i="9"/>
  <c r="Q410" i="7"/>
  <c r="R410" i="7"/>
  <c r="W410" i="7"/>
  <c r="S410" i="7"/>
  <c r="R125" i="9"/>
  <c r="Q125" i="6"/>
  <c r="W125" i="9"/>
  <c r="R125" i="6"/>
  <c r="S125" i="9"/>
  <c r="Q125" i="7"/>
  <c r="R125" i="7" s="1"/>
  <c r="W125" i="7"/>
  <c r="X125" i="9"/>
  <c r="W125" i="6"/>
  <c r="S125" i="6"/>
  <c r="X125" i="6"/>
  <c r="S125" i="7"/>
  <c r="X125" i="7"/>
  <c r="P126" i="9" l="1"/>
  <c r="P411" i="7"/>
  <c r="P126" i="7"/>
  <c r="P126" i="6"/>
  <c r="X410" i="7"/>
  <c r="Q126" i="9"/>
  <c r="Q411" i="7"/>
  <c r="R411" i="7"/>
  <c r="W411" i="7"/>
  <c r="S411" i="7"/>
  <c r="R126" i="9"/>
  <c r="Q126" i="6"/>
  <c r="W126" i="9"/>
  <c r="R126" i="6"/>
  <c r="S126" i="9"/>
  <c r="Q126" i="7"/>
  <c r="R126" i="7" s="1"/>
  <c r="W126" i="7"/>
  <c r="X126" i="9"/>
  <c r="W126" i="6"/>
  <c r="S126" i="6"/>
  <c r="X126" i="6"/>
  <c r="S126" i="7"/>
  <c r="X126" i="7"/>
  <c r="P127" i="9" l="1"/>
  <c r="P412" i="7"/>
  <c r="P127" i="7"/>
  <c r="P127" i="6"/>
  <c r="X411" i="7"/>
  <c r="Q127" i="7"/>
  <c r="R127" i="7"/>
  <c r="S127" i="7" s="1"/>
  <c r="W127" i="7"/>
  <c r="Q412" i="7"/>
  <c r="R412" i="7"/>
  <c r="S412" i="7" s="1"/>
  <c r="Q127" i="6"/>
  <c r="W412" i="7"/>
  <c r="R127" i="6"/>
  <c r="Q127" i="9"/>
  <c r="R127" i="9" s="1"/>
  <c r="W127" i="6"/>
  <c r="S127" i="6"/>
  <c r="S127" i="9"/>
  <c r="X127" i="9" s="1"/>
  <c r="W127" i="9"/>
  <c r="P128" i="9" l="1"/>
  <c r="P413" i="7"/>
  <c r="P128" i="7"/>
  <c r="P128" i="6"/>
  <c r="X127" i="6"/>
  <c r="X412" i="7"/>
  <c r="Q128" i="7"/>
  <c r="X127" i="7"/>
  <c r="R128" i="7"/>
  <c r="Q128" i="9"/>
  <c r="Q413" i="7"/>
  <c r="R413" i="7"/>
  <c r="W413" i="7"/>
  <c r="S413" i="7"/>
  <c r="R128" i="9"/>
  <c r="Q128" i="6"/>
  <c r="R128" i="6" s="1"/>
  <c r="W128" i="6"/>
  <c r="W128" i="9"/>
  <c r="W128" i="7"/>
  <c r="S128" i="7"/>
  <c r="X128" i="7" s="1"/>
  <c r="S128" i="9"/>
  <c r="X128" i="9" s="1"/>
  <c r="S128" i="6"/>
  <c r="X128" i="6"/>
  <c r="P129" i="9" l="1"/>
  <c r="P414" i="7"/>
  <c r="P129" i="7"/>
  <c r="P129" i="6"/>
  <c r="X413" i="7"/>
  <c r="Q129" i="9"/>
  <c r="Q414" i="7"/>
  <c r="R414" i="7"/>
  <c r="W414" i="7"/>
  <c r="S414" i="7"/>
  <c r="R129" i="9"/>
  <c r="Q129" i="6"/>
  <c r="W129" i="9"/>
  <c r="R129" i="6"/>
  <c r="S129" i="9"/>
  <c r="Q129" i="7"/>
  <c r="R129" i="7" s="1"/>
  <c r="W129" i="7"/>
  <c r="X129" i="9"/>
  <c r="W129" i="6"/>
  <c r="S129" i="6"/>
  <c r="X129" i="6"/>
  <c r="S129" i="7"/>
  <c r="X129" i="7"/>
  <c r="P130" i="9" l="1"/>
  <c r="P415" i="7"/>
  <c r="P130" i="7"/>
  <c r="P130" i="6"/>
  <c r="X414" i="7"/>
  <c r="Q130" i="9"/>
  <c r="Q415" i="7"/>
  <c r="R415" i="7"/>
  <c r="W415" i="7"/>
  <c r="S415" i="7"/>
  <c r="R130" i="9"/>
  <c r="Q130" i="6"/>
  <c r="W130" i="9"/>
  <c r="R130" i="6"/>
  <c r="S130" i="9"/>
  <c r="Q130" i="7"/>
  <c r="R130" i="7" s="1"/>
  <c r="W130" i="7"/>
  <c r="X130" i="9"/>
  <c r="W130" i="6"/>
  <c r="S130" i="6"/>
  <c r="X130" i="6"/>
  <c r="S130" i="7"/>
  <c r="X130" i="7"/>
  <c r="P131" i="9" l="1"/>
  <c r="P416" i="7"/>
  <c r="P131" i="7"/>
  <c r="P131" i="6"/>
  <c r="X415" i="7"/>
  <c r="Q131" i="7"/>
  <c r="R131" i="7"/>
  <c r="S131" i="7" s="1"/>
  <c r="W131" i="7"/>
  <c r="Q416" i="7"/>
  <c r="R416" i="7"/>
  <c r="S416" i="7" s="1"/>
  <c r="Q131" i="6"/>
  <c r="W416" i="7"/>
  <c r="R131" i="6"/>
  <c r="Q131" i="9"/>
  <c r="R131" i="9" s="1"/>
  <c r="W131" i="6"/>
  <c r="S131" i="6"/>
  <c r="S131" i="9"/>
  <c r="X131" i="9" s="1"/>
  <c r="W131" i="9"/>
  <c r="P132" i="9" l="1"/>
  <c r="P417" i="7"/>
  <c r="P132" i="7"/>
  <c r="P132" i="6"/>
  <c r="X131" i="6"/>
  <c r="X416" i="7"/>
  <c r="Q132" i="7"/>
  <c r="X131" i="7"/>
  <c r="R132" i="7"/>
  <c r="Q132" i="9"/>
  <c r="Q417" i="7"/>
  <c r="R417" i="7"/>
  <c r="W417" i="7"/>
  <c r="S417" i="7"/>
  <c r="R132" i="9"/>
  <c r="Q132" i="6"/>
  <c r="R132" i="6" s="1"/>
  <c r="W132" i="6"/>
  <c r="W132" i="9"/>
  <c r="W132" i="7"/>
  <c r="S132" i="7"/>
  <c r="X132" i="7" s="1"/>
  <c r="S132" i="9"/>
  <c r="X132" i="9" s="1"/>
  <c r="S132" i="6"/>
  <c r="X132" i="6"/>
  <c r="P133" i="9" l="1"/>
  <c r="P418" i="7"/>
  <c r="P133" i="7"/>
  <c r="P133" i="6"/>
  <c r="X417" i="7"/>
  <c r="Q133" i="7"/>
  <c r="R133" i="7"/>
  <c r="S133" i="7" s="1"/>
  <c r="W133" i="7"/>
  <c r="Q418" i="7"/>
  <c r="R418" i="7"/>
  <c r="S418" i="7" s="1"/>
  <c r="Q133" i="6"/>
  <c r="W418" i="7"/>
  <c r="R133" i="6"/>
  <c r="Q133" i="9"/>
  <c r="R133" i="9" s="1"/>
  <c r="W133" i="6"/>
  <c r="S133" i="6"/>
  <c r="S133" i="9"/>
  <c r="X133" i="9" s="1"/>
  <c r="W133" i="9"/>
  <c r="P134" i="9" l="1"/>
  <c r="P419" i="7"/>
  <c r="P134" i="7"/>
  <c r="P134" i="6"/>
  <c r="X418" i="7"/>
  <c r="X133" i="7"/>
  <c r="Q134" i="7"/>
  <c r="R134" i="7"/>
  <c r="S134" i="7" s="1"/>
  <c r="W134" i="7"/>
  <c r="Q419" i="7"/>
  <c r="R419" i="7"/>
  <c r="S419" i="7" s="1"/>
  <c r="Q134" i="6"/>
  <c r="W419" i="7"/>
  <c r="X133" i="6"/>
  <c r="R134" i="6"/>
  <c r="Q134" i="9"/>
  <c r="R134" i="9" s="1"/>
  <c r="S134" i="6"/>
  <c r="W134" i="6"/>
  <c r="S134" i="9"/>
  <c r="X134" i="9" s="1"/>
  <c r="W134" i="9"/>
  <c r="P135" i="9" l="1"/>
  <c r="P420" i="7"/>
  <c r="P135" i="7"/>
  <c r="P135" i="6"/>
  <c r="X134" i="6"/>
  <c r="X419" i="7"/>
  <c r="Q135" i="7"/>
  <c r="X134" i="7"/>
  <c r="R135" i="7"/>
  <c r="S135" i="7" s="1"/>
  <c r="Q135" i="9"/>
  <c r="W135" i="7"/>
  <c r="Q420" i="7"/>
  <c r="R420" i="7"/>
  <c r="S420" i="7" s="1"/>
  <c r="Q135" i="6"/>
  <c r="W420" i="7"/>
  <c r="R135" i="6"/>
  <c r="R135" i="9"/>
  <c r="S135" i="6"/>
  <c r="W135" i="6"/>
  <c r="S135" i="9"/>
  <c r="X135" i="9" s="1"/>
  <c r="W135" i="9"/>
  <c r="P421" i="7" l="1"/>
  <c r="P136" i="7"/>
  <c r="X135" i="6"/>
  <c r="X420" i="7"/>
  <c r="X135" i="7"/>
  <c r="Q136" i="7"/>
  <c r="R136" i="7"/>
  <c r="Q421" i="7"/>
  <c r="R421" i="7" s="1"/>
  <c r="W136" i="7"/>
  <c r="S136" i="7"/>
  <c r="X136" i="7" s="1"/>
  <c r="S421" i="7"/>
  <c r="W421" i="7"/>
  <c r="P422" i="7" l="1"/>
  <c r="P137" i="7"/>
  <c r="X421" i="7"/>
  <c r="Q422" i="7"/>
  <c r="Q137" i="7"/>
  <c r="R137" i="7"/>
  <c r="R422" i="7"/>
  <c r="W137" i="7"/>
  <c r="S137" i="7"/>
  <c r="X137" i="7" s="1"/>
  <c r="W422" i="7"/>
  <c r="S422" i="7"/>
  <c r="P423" i="7" l="1"/>
  <c r="P138" i="7"/>
  <c r="X422" i="7"/>
  <c r="Q423" i="7"/>
  <c r="Q138" i="7"/>
  <c r="R138" i="7"/>
  <c r="R423" i="7"/>
  <c r="S423" i="7" s="1"/>
  <c r="W423" i="7"/>
  <c r="W138" i="7"/>
  <c r="S138" i="7"/>
  <c r="X138" i="7" s="1"/>
  <c r="P424" i="7" l="1"/>
  <c r="P139" i="7"/>
  <c r="X423" i="7"/>
  <c r="Q139" i="7"/>
  <c r="R139" i="7"/>
  <c r="W139" i="7"/>
  <c r="Q424" i="7"/>
  <c r="R424" i="7" s="1"/>
  <c r="S139" i="7"/>
  <c r="X139" i="7" s="1"/>
  <c r="W424" i="7"/>
  <c r="S424" i="7"/>
  <c r="P425" i="7" l="1"/>
  <c r="P140" i="7"/>
  <c r="X424" i="7"/>
  <c r="Q140" i="7"/>
  <c r="R140" i="7"/>
  <c r="Q425" i="7"/>
  <c r="R425" i="7"/>
  <c r="W140" i="7"/>
  <c r="S140" i="7"/>
  <c r="X140" i="7" s="1"/>
  <c r="S425" i="7"/>
  <c r="W425" i="7"/>
  <c r="P426" i="7" l="1"/>
  <c r="P141" i="7"/>
  <c r="X425" i="7"/>
  <c r="Q426" i="7"/>
  <c r="Q141" i="7"/>
  <c r="R141" i="7"/>
  <c r="R426" i="7"/>
  <c r="S426" i="7" s="1"/>
  <c r="W426" i="7"/>
  <c r="W141" i="7"/>
  <c r="S141" i="7"/>
  <c r="X141" i="7" s="1"/>
  <c r="P427" i="7" l="1"/>
  <c r="P142" i="7"/>
  <c r="X426" i="7"/>
  <c r="Q142" i="7"/>
  <c r="R142" i="7"/>
  <c r="Q427" i="7"/>
  <c r="R427" i="7"/>
  <c r="S427" i="7" s="1"/>
  <c r="W427" i="7"/>
  <c r="W142" i="7"/>
  <c r="S142" i="7"/>
  <c r="X142" i="7" s="1"/>
  <c r="P428" i="7" l="1"/>
  <c r="P143" i="7"/>
  <c r="X427" i="7"/>
  <c r="Q143" i="7"/>
  <c r="R143" i="7"/>
  <c r="Q428" i="7"/>
  <c r="R428" i="7"/>
  <c r="S428" i="7" s="1"/>
  <c r="W428" i="7"/>
  <c r="W143" i="7"/>
  <c r="S143" i="7"/>
  <c r="X143" i="7" s="1"/>
  <c r="P429" i="7" l="1"/>
  <c r="P144" i="7"/>
  <c r="X428" i="7"/>
  <c r="Q144" i="7"/>
  <c r="R144" i="7"/>
  <c r="Q429" i="7"/>
  <c r="R429" i="7"/>
  <c r="S429" i="7" s="1"/>
  <c r="W429" i="7"/>
  <c r="W144" i="7"/>
  <c r="S144" i="7"/>
  <c r="X144" i="7" s="1"/>
  <c r="P430" i="7" l="1"/>
  <c r="P145" i="7"/>
  <c r="X429" i="7"/>
  <c r="Q145" i="7"/>
  <c r="R145" i="7"/>
  <c r="Q430" i="7"/>
  <c r="R430" i="7"/>
  <c r="S430" i="7" s="1"/>
  <c r="W430" i="7"/>
  <c r="W145" i="7"/>
  <c r="S145" i="7"/>
  <c r="X145" i="7" s="1"/>
  <c r="P431" i="7" l="1"/>
  <c r="P146" i="7"/>
  <c r="X430" i="7"/>
  <c r="Q146" i="7"/>
  <c r="R146" i="7"/>
  <c r="Q431" i="7"/>
  <c r="R431" i="7"/>
  <c r="S431" i="7" s="1"/>
  <c r="W431" i="7"/>
  <c r="W146" i="7"/>
  <c r="S146" i="7"/>
  <c r="X146" i="7" s="1"/>
  <c r="P432" i="7" l="1"/>
  <c r="P147" i="7"/>
  <c r="X431" i="7"/>
  <c r="Q147" i="7"/>
  <c r="R147" i="7"/>
  <c r="Q432" i="7"/>
  <c r="R432" i="7"/>
  <c r="S432" i="7" s="1"/>
  <c r="W432" i="7"/>
  <c r="W147" i="7"/>
  <c r="S147" i="7"/>
  <c r="X147" i="7" s="1"/>
  <c r="P433" i="7" l="1"/>
  <c r="P148" i="7"/>
  <c r="X432" i="7"/>
  <c r="Q148" i="7"/>
  <c r="R148" i="7"/>
  <c r="Q433" i="7"/>
  <c r="R433" i="7"/>
  <c r="S433" i="7" s="1"/>
  <c r="W433" i="7"/>
  <c r="W148" i="7"/>
  <c r="S148" i="7"/>
  <c r="X148" i="7" s="1"/>
  <c r="P434" i="7" l="1"/>
  <c r="P149" i="7"/>
  <c r="X433" i="7"/>
  <c r="Q149" i="7"/>
  <c r="R149" i="7"/>
  <c r="Q434" i="7"/>
  <c r="R434" i="7"/>
  <c r="S434" i="7" s="1"/>
  <c r="W434" i="7"/>
  <c r="W149" i="7"/>
  <c r="S149" i="7"/>
  <c r="X149" i="7" s="1"/>
  <c r="P435" i="7" l="1"/>
  <c r="P150" i="7"/>
  <c r="X434" i="7"/>
  <c r="Q150" i="7"/>
  <c r="R150" i="7"/>
  <c r="Q435" i="7"/>
  <c r="R435" i="7"/>
  <c r="S435" i="7" s="1"/>
  <c r="W435" i="7"/>
  <c r="W150" i="7"/>
  <c r="S150" i="7"/>
  <c r="X150" i="7" s="1"/>
  <c r="P436" i="7" l="1"/>
  <c r="P151" i="7"/>
  <c r="X435" i="7"/>
  <c r="Q151" i="7"/>
  <c r="R151" i="7"/>
  <c r="Q436" i="7"/>
  <c r="R436" i="7"/>
  <c r="S436" i="7" s="1"/>
  <c r="W436" i="7"/>
  <c r="W151" i="7"/>
  <c r="S151" i="7"/>
  <c r="X151" i="7" s="1"/>
  <c r="P437" i="7" l="1"/>
  <c r="P152" i="7"/>
  <c r="X436" i="7"/>
  <c r="Q152" i="7"/>
  <c r="R152" i="7"/>
  <c r="Q437" i="7"/>
  <c r="R437" i="7"/>
  <c r="S437" i="7" s="1"/>
  <c r="W437" i="7"/>
  <c r="W152" i="7"/>
  <c r="S152" i="7"/>
  <c r="X152" i="7" s="1"/>
  <c r="P438" i="7" l="1"/>
  <c r="P153" i="7"/>
  <c r="X437" i="7"/>
  <c r="Q153" i="7"/>
  <c r="R153" i="7"/>
  <c r="Q438" i="7"/>
  <c r="R438" i="7"/>
  <c r="S438" i="7" s="1"/>
  <c r="W438" i="7"/>
  <c r="W153" i="7"/>
  <c r="S153" i="7"/>
  <c r="X153" i="7" s="1"/>
  <c r="P439" i="7" l="1"/>
  <c r="P154" i="7"/>
  <c r="X438" i="7"/>
  <c r="Q154" i="7"/>
  <c r="R154" i="7"/>
  <c r="Q439" i="7"/>
  <c r="R439" i="7"/>
  <c r="S439" i="7" s="1"/>
  <c r="W439" i="7"/>
  <c r="W154" i="7"/>
  <c r="S154" i="7"/>
  <c r="X154" i="7" s="1"/>
  <c r="P440" i="7" l="1"/>
  <c r="P155" i="7"/>
  <c r="X439" i="7"/>
  <c r="Q155" i="7"/>
  <c r="R155" i="7"/>
  <c r="Q440" i="7"/>
  <c r="R440" i="7"/>
  <c r="S440" i="7" s="1"/>
  <c r="W440" i="7"/>
  <c r="W155" i="7"/>
  <c r="S155" i="7"/>
  <c r="X155" i="7" s="1"/>
  <c r="P441" i="7" l="1"/>
  <c r="P156" i="7"/>
  <c r="X440" i="7"/>
  <c r="Q156" i="7"/>
  <c r="R156" i="7" s="1"/>
  <c r="Q441" i="7"/>
  <c r="R441" i="7" s="1"/>
  <c r="S441" i="7" s="1"/>
  <c r="W441" i="7"/>
  <c r="W156" i="7"/>
  <c r="S156" i="7"/>
  <c r="X156" i="7" s="1"/>
  <c r="P442" i="7" l="1"/>
  <c r="P157" i="7"/>
  <c r="X441" i="7"/>
  <c r="Q157" i="7"/>
  <c r="R157" i="7"/>
  <c r="Q442" i="7"/>
  <c r="R442" i="7"/>
  <c r="S442" i="7" s="1"/>
  <c r="W442" i="7"/>
  <c r="W157" i="7"/>
  <c r="S157" i="7"/>
  <c r="X157" i="7" s="1"/>
  <c r="P443" i="7" l="1"/>
  <c r="P158" i="7"/>
  <c r="X442" i="7"/>
  <c r="Q158" i="7"/>
  <c r="R158" i="7"/>
  <c r="Q443" i="7"/>
  <c r="R443" i="7"/>
  <c r="S443" i="7" s="1"/>
  <c r="W443" i="7"/>
  <c r="W158" i="7"/>
  <c r="S158" i="7"/>
  <c r="X158" i="7" s="1"/>
  <c r="P444" i="7" l="1"/>
  <c r="P159" i="7"/>
  <c r="X443" i="7"/>
  <c r="Q159" i="7"/>
  <c r="R159" i="7"/>
  <c r="Q444" i="7"/>
  <c r="R444" i="7"/>
  <c r="S444" i="7" s="1"/>
  <c r="W444" i="7"/>
  <c r="W159" i="7"/>
  <c r="S159" i="7"/>
  <c r="X159" i="7" s="1"/>
  <c r="P445" i="7" l="1"/>
  <c r="P160" i="7"/>
  <c r="X444" i="7"/>
  <c r="Q160" i="7"/>
  <c r="R160" i="7"/>
  <c r="Q445" i="7"/>
  <c r="R445" i="7"/>
  <c r="S445" i="7" s="1"/>
  <c r="W445" i="7"/>
  <c r="W160" i="7"/>
  <c r="S160" i="7"/>
  <c r="X160" i="7" s="1"/>
  <c r="P446" i="7" l="1"/>
  <c r="P161" i="7"/>
  <c r="X445" i="7"/>
  <c r="Q161" i="7"/>
  <c r="R161" i="7"/>
  <c r="W161" i="7"/>
  <c r="Q446" i="7"/>
  <c r="R446" i="7" s="1"/>
  <c r="S161" i="7"/>
  <c r="X161" i="7" s="1"/>
  <c r="S446" i="7"/>
  <c r="W446" i="7"/>
  <c r="P447" i="7" l="1"/>
  <c r="P162" i="7"/>
  <c r="X446" i="7"/>
  <c r="Q447" i="7"/>
  <c r="Q162" i="7"/>
  <c r="R162" i="7" s="1"/>
  <c r="R447" i="7"/>
  <c r="S447" i="7" s="1"/>
  <c r="W447" i="7"/>
  <c r="W162" i="7"/>
  <c r="S162" i="7"/>
  <c r="X162" i="7" s="1"/>
  <c r="P448" i="7" l="1"/>
  <c r="P163" i="7"/>
  <c r="X447" i="7"/>
  <c r="Q163" i="7"/>
  <c r="R163" i="7"/>
  <c r="Q448" i="7"/>
  <c r="R448" i="7" s="1"/>
  <c r="S448" i="7" s="1"/>
  <c r="W448" i="7"/>
  <c r="W163" i="7"/>
  <c r="S163" i="7"/>
  <c r="X163" i="7" s="1"/>
  <c r="P449" i="7" l="1"/>
  <c r="P164" i="7"/>
  <c r="X448" i="7"/>
  <c r="Q164" i="7"/>
  <c r="R164" i="7"/>
  <c r="Q449" i="7"/>
  <c r="R449" i="7"/>
  <c r="W164" i="7"/>
  <c r="S164" i="7"/>
  <c r="X164" i="7" s="1"/>
  <c r="S449" i="7"/>
  <c r="W449" i="7"/>
  <c r="P450" i="7" l="1"/>
  <c r="P165" i="7"/>
  <c r="X449" i="7"/>
  <c r="Q165" i="7"/>
  <c r="R165" i="7"/>
  <c r="Q450" i="7"/>
  <c r="R450" i="7" s="1"/>
  <c r="S450" i="7" s="1"/>
  <c r="W450" i="7"/>
  <c r="W165" i="7"/>
  <c r="S165" i="7"/>
  <c r="X165" i="7" s="1"/>
  <c r="P451" i="7" l="1"/>
  <c r="P166" i="7"/>
  <c r="X450" i="7"/>
  <c r="Q166" i="7"/>
  <c r="R166" i="7"/>
  <c r="Q451" i="7"/>
  <c r="R451" i="7"/>
  <c r="S451" i="7" s="1"/>
  <c r="W451" i="7"/>
  <c r="W166" i="7"/>
  <c r="S166" i="7"/>
  <c r="X166" i="7" s="1"/>
  <c r="P452" i="7" l="1"/>
  <c r="P167" i="7"/>
  <c r="X451" i="7"/>
  <c r="Q167" i="7"/>
  <c r="R167" i="7"/>
  <c r="Q452" i="7"/>
  <c r="R452" i="7"/>
  <c r="W167" i="7"/>
  <c r="S167" i="7"/>
  <c r="X167" i="7" s="1"/>
  <c r="S452" i="7"/>
  <c r="W452" i="7"/>
  <c r="P453" i="7" l="1"/>
  <c r="P168" i="7"/>
  <c r="X452" i="7"/>
  <c r="Q168" i="7"/>
  <c r="Q453" i="7"/>
  <c r="R168" i="7"/>
  <c r="R453" i="7"/>
  <c r="W168" i="7"/>
  <c r="S168" i="7"/>
  <c r="X168" i="7" s="1"/>
  <c r="S453" i="7"/>
  <c r="W453" i="7"/>
  <c r="P454" i="7" l="1"/>
  <c r="P169" i="7"/>
  <c r="X453" i="7"/>
  <c r="Q169" i="7"/>
  <c r="R169" i="7"/>
  <c r="Q454" i="7"/>
  <c r="R454" i="7"/>
  <c r="S454" i="7" s="1"/>
  <c r="W454" i="7"/>
  <c r="W169" i="7"/>
  <c r="S169" i="7"/>
  <c r="X169" i="7" s="1"/>
  <c r="P455" i="7" l="1"/>
  <c r="P170" i="7"/>
  <c r="X454" i="7"/>
  <c r="Q170" i="7"/>
  <c r="R170" i="7"/>
  <c r="Q455" i="7"/>
  <c r="R455" i="7"/>
  <c r="S455" i="7" s="1"/>
  <c r="W455" i="7"/>
  <c r="W170" i="7"/>
  <c r="S170" i="7"/>
  <c r="X170" i="7" s="1"/>
  <c r="P456" i="7" l="1"/>
  <c r="P171" i="7"/>
  <c r="X455" i="7"/>
  <c r="Q171" i="7"/>
  <c r="R171" i="7"/>
  <c r="Q456" i="7"/>
  <c r="R456" i="7"/>
  <c r="S456" i="7" s="1"/>
  <c r="W456" i="7"/>
  <c r="W171" i="7"/>
  <c r="S171" i="7"/>
  <c r="X171" i="7" s="1"/>
  <c r="P457" i="7" l="1"/>
  <c r="P172" i="7"/>
  <c r="X456" i="7"/>
  <c r="Q172" i="7"/>
  <c r="R172" i="7"/>
  <c r="Q457" i="7"/>
  <c r="R457" i="7"/>
  <c r="S457" i="7" s="1"/>
  <c r="W457" i="7"/>
  <c r="W172" i="7"/>
  <c r="S172" i="7"/>
  <c r="X172" i="7" s="1"/>
  <c r="P458" i="7" l="1"/>
  <c r="P173" i="7"/>
  <c r="X457" i="7"/>
  <c r="Q173" i="7"/>
  <c r="R173" i="7"/>
  <c r="Q458" i="7"/>
  <c r="R458" i="7"/>
  <c r="S458" i="7" s="1"/>
  <c r="W458" i="7"/>
  <c r="W173" i="7"/>
  <c r="S173" i="7"/>
  <c r="X173" i="7" s="1"/>
  <c r="P459" i="7" l="1"/>
  <c r="P174" i="7"/>
  <c r="X458" i="7"/>
  <c r="Q174" i="7"/>
  <c r="R174" i="7"/>
  <c r="Q459" i="7"/>
  <c r="R459" i="7"/>
  <c r="S459" i="7" s="1"/>
  <c r="W459" i="7"/>
  <c r="W174" i="7"/>
  <c r="S174" i="7"/>
  <c r="X174" i="7" s="1"/>
  <c r="P460" i="7" l="1"/>
  <c r="P175" i="7"/>
  <c r="X459" i="7"/>
  <c r="Q175" i="7"/>
  <c r="R175" i="7"/>
  <c r="Q460" i="7"/>
  <c r="R460" i="7"/>
  <c r="S460" i="7" s="1"/>
  <c r="W460" i="7"/>
  <c r="W175" i="7"/>
  <c r="S175" i="7"/>
  <c r="X175" i="7" s="1"/>
  <c r="P461" i="7" l="1"/>
  <c r="P176" i="7"/>
  <c r="X460" i="7"/>
  <c r="Q176" i="7"/>
  <c r="R176" i="7" s="1"/>
  <c r="Q461" i="7"/>
  <c r="R461" i="7" s="1"/>
  <c r="W176" i="7"/>
  <c r="S176" i="7"/>
  <c r="X176" i="7" s="1"/>
  <c r="W461" i="7"/>
  <c r="S461" i="7"/>
  <c r="P462" i="7" l="1"/>
  <c r="P177" i="7"/>
  <c r="X461" i="7"/>
  <c r="Q177" i="7"/>
  <c r="R177" i="7"/>
  <c r="Q462" i="7"/>
  <c r="R462" i="7"/>
  <c r="S462" i="7" s="1"/>
  <c r="W462" i="7"/>
  <c r="W177" i="7"/>
  <c r="S177" i="7"/>
  <c r="X177" i="7" s="1"/>
  <c r="P463" i="7" l="1"/>
  <c r="P178" i="7"/>
  <c r="X462" i="7"/>
  <c r="Q463" i="7"/>
  <c r="Q178" i="7"/>
  <c r="R178" i="7"/>
  <c r="R463" i="7"/>
  <c r="S463" i="7" s="1"/>
  <c r="W463" i="7"/>
  <c r="W178" i="7"/>
  <c r="S178" i="7"/>
  <c r="X178" i="7" s="1"/>
  <c r="P464" i="7" l="1"/>
  <c r="P179" i="7"/>
  <c r="X463" i="7"/>
  <c r="Q179" i="7"/>
  <c r="R179" i="7"/>
  <c r="Q464" i="7"/>
  <c r="R464" i="7"/>
  <c r="S464" i="7" s="1"/>
  <c r="W464" i="7"/>
  <c r="W179" i="7"/>
  <c r="S179" i="7"/>
  <c r="X179" i="7" s="1"/>
  <c r="P465" i="7" l="1"/>
  <c r="P180" i="7"/>
  <c r="X464" i="7"/>
  <c r="Q180" i="7"/>
  <c r="R180" i="7"/>
  <c r="Q465" i="7"/>
  <c r="R465" i="7"/>
  <c r="S465" i="7" s="1"/>
  <c r="W465" i="7"/>
  <c r="W180" i="7"/>
  <c r="S180" i="7"/>
  <c r="X180" i="7" s="1"/>
  <c r="P466" i="7" l="1"/>
  <c r="P181" i="7"/>
  <c r="X465" i="7"/>
  <c r="Q181" i="7"/>
  <c r="R181" i="7"/>
  <c r="Q466" i="7"/>
  <c r="R466" i="7"/>
  <c r="S466" i="7" s="1"/>
  <c r="W466" i="7"/>
  <c r="W181" i="7"/>
  <c r="S181" i="7"/>
  <c r="X181" i="7" s="1"/>
  <c r="P467" i="7" l="1"/>
  <c r="P182" i="7"/>
  <c r="X466" i="7"/>
  <c r="Q182" i="7"/>
  <c r="R182" i="7"/>
  <c r="Q467" i="7"/>
  <c r="R467" i="7"/>
  <c r="S467" i="7" s="1"/>
  <c r="W467" i="7"/>
  <c r="W182" i="7"/>
  <c r="S182" i="7"/>
  <c r="X182" i="7" s="1"/>
  <c r="P468" i="7" l="1"/>
  <c r="P183" i="7"/>
  <c r="X467" i="7"/>
  <c r="Q183" i="7"/>
  <c r="R183" i="7"/>
  <c r="Q468" i="7"/>
  <c r="R468" i="7"/>
  <c r="S468" i="7" s="1"/>
  <c r="W468" i="7"/>
  <c r="W183" i="7"/>
  <c r="S183" i="7"/>
  <c r="X183" i="7" s="1"/>
  <c r="P469" i="7" l="1"/>
  <c r="P184" i="7"/>
  <c r="X468" i="7"/>
  <c r="Q184" i="7"/>
  <c r="R184" i="7"/>
  <c r="Q469" i="7"/>
  <c r="R469" i="7"/>
  <c r="S469" i="7" s="1"/>
  <c r="W469" i="7"/>
  <c r="W184" i="7"/>
  <c r="S184" i="7"/>
  <c r="X184" i="7" s="1"/>
  <c r="P470" i="7" l="1"/>
  <c r="P185" i="7"/>
  <c r="X469" i="7"/>
  <c r="Q185" i="7"/>
  <c r="R185" i="7"/>
  <c r="Q470" i="7"/>
  <c r="R470" i="7"/>
  <c r="S470" i="7" s="1"/>
  <c r="W470" i="7"/>
  <c r="W185" i="7"/>
  <c r="S185" i="7"/>
  <c r="X185" i="7" s="1"/>
  <c r="P471" i="7" l="1"/>
  <c r="P186" i="7"/>
  <c r="X470" i="7"/>
  <c r="Q186" i="7"/>
  <c r="R186" i="7"/>
  <c r="Q471" i="7"/>
  <c r="R471" i="7"/>
  <c r="S471" i="7" s="1"/>
  <c r="W471" i="7"/>
  <c r="W186" i="7"/>
  <c r="S186" i="7"/>
  <c r="X186" i="7" s="1"/>
  <c r="P472" i="7" l="1"/>
  <c r="P187" i="7"/>
  <c r="X471" i="7"/>
  <c r="Q187" i="7"/>
  <c r="R187" i="7"/>
  <c r="Q472" i="7"/>
  <c r="R472" i="7"/>
  <c r="S472" i="7" s="1"/>
  <c r="W472" i="7"/>
  <c r="W187" i="7"/>
  <c r="S187" i="7"/>
  <c r="X187" i="7" s="1"/>
  <c r="P473" i="7" l="1"/>
  <c r="P188" i="7"/>
  <c r="X472" i="7"/>
  <c r="Q188" i="7"/>
  <c r="R188" i="7"/>
  <c r="Q473" i="7"/>
  <c r="R473" i="7"/>
  <c r="S473" i="7" s="1"/>
  <c r="W473" i="7"/>
  <c r="W188" i="7"/>
  <c r="S188" i="7"/>
  <c r="X188" i="7" s="1"/>
  <c r="P474" i="7" l="1"/>
  <c r="P189" i="7"/>
  <c r="X473" i="7"/>
  <c r="Q189" i="7"/>
  <c r="R189" i="7"/>
  <c r="Q474" i="7"/>
  <c r="R474" i="7"/>
  <c r="S474" i="7" s="1"/>
  <c r="W474" i="7"/>
  <c r="W189" i="7"/>
  <c r="S189" i="7"/>
  <c r="X189" i="7" s="1"/>
  <c r="P475" i="7" l="1"/>
  <c r="P190" i="7"/>
  <c r="X474" i="7"/>
  <c r="Q190" i="7"/>
  <c r="R190" i="7"/>
  <c r="Q475" i="7"/>
  <c r="R475" i="7"/>
  <c r="S475" i="7" s="1"/>
  <c r="W475" i="7"/>
  <c r="W190" i="7"/>
  <c r="S190" i="7"/>
  <c r="X190" i="7" s="1"/>
  <c r="P476" i="7" l="1"/>
  <c r="P191" i="7"/>
  <c r="X475" i="7"/>
  <c r="Q191" i="7"/>
  <c r="R191" i="7"/>
  <c r="Q476" i="7"/>
  <c r="R476" i="7"/>
  <c r="S476" i="7" s="1"/>
  <c r="W476" i="7"/>
  <c r="W191" i="7"/>
  <c r="S191" i="7"/>
  <c r="X191" i="7" s="1"/>
  <c r="P477" i="7" l="1"/>
  <c r="P192" i="7"/>
  <c r="X476" i="7"/>
  <c r="Q192" i="7"/>
  <c r="R192" i="7"/>
  <c r="Q477" i="7"/>
  <c r="R477" i="7"/>
  <c r="S477" i="7" s="1"/>
  <c r="W477" i="7"/>
  <c r="W192" i="7"/>
  <c r="S192" i="7"/>
  <c r="X192" i="7" s="1"/>
  <c r="P478" i="7" l="1"/>
  <c r="P193" i="7"/>
  <c r="X477" i="7"/>
  <c r="Q193" i="7"/>
  <c r="R193" i="7"/>
  <c r="Q478" i="7"/>
  <c r="R478" i="7"/>
  <c r="S478" i="7" s="1"/>
  <c r="W478" i="7"/>
  <c r="W193" i="7"/>
  <c r="S193" i="7"/>
  <c r="X193" i="7" s="1"/>
  <c r="P479" i="7" l="1"/>
  <c r="P194" i="7"/>
  <c r="X478" i="7"/>
  <c r="Q194" i="7"/>
  <c r="R194" i="7"/>
  <c r="Q479" i="7"/>
  <c r="R479" i="7"/>
  <c r="S479" i="7" s="1"/>
  <c r="W479" i="7"/>
  <c r="W194" i="7"/>
  <c r="S194" i="7"/>
  <c r="X194" i="7" s="1"/>
  <c r="P480" i="7" l="1"/>
  <c r="P195" i="7"/>
  <c r="X479" i="7"/>
  <c r="Q195" i="7"/>
  <c r="R195" i="7"/>
  <c r="Q480" i="7"/>
  <c r="R480" i="7"/>
  <c r="S480" i="7" s="1"/>
  <c r="W480" i="7"/>
  <c r="W195" i="7"/>
  <c r="S195" i="7"/>
  <c r="X195" i="7" s="1"/>
  <c r="P481" i="7" l="1"/>
  <c r="P196" i="7"/>
  <c r="X480" i="7"/>
  <c r="Q196" i="7"/>
  <c r="R196" i="7"/>
  <c r="Q481" i="7"/>
  <c r="R481" i="7"/>
  <c r="S481" i="7" s="1"/>
  <c r="W481" i="7"/>
  <c r="W196" i="7"/>
  <c r="S196" i="7"/>
  <c r="X196" i="7" s="1"/>
  <c r="P482" i="7" l="1"/>
  <c r="P197" i="7"/>
  <c r="X481" i="7"/>
  <c r="Q197" i="7"/>
  <c r="R197" i="7"/>
  <c r="Q482" i="7"/>
  <c r="R482" i="7"/>
  <c r="S482" i="7" s="1"/>
  <c r="W482" i="7"/>
  <c r="W197" i="7"/>
  <c r="S197" i="7"/>
  <c r="X197" i="7" s="1"/>
  <c r="P483" i="7" l="1"/>
  <c r="P198" i="7"/>
  <c r="X482" i="7"/>
  <c r="Q198" i="7"/>
  <c r="R198" i="7"/>
  <c r="Q483" i="7"/>
  <c r="R483" i="7"/>
  <c r="S483" i="7" s="1"/>
  <c r="W483" i="7"/>
  <c r="W198" i="7"/>
  <c r="S198" i="7"/>
  <c r="X198" i="7" s="1"/>
  <c r="P484" i="7" l="1"/>
  <c r="P199" i="7"/>
  <c r="X483" i="7"/>
  <c r="Q199" i="7"/>
  <c r="R199" i="7"/>
  <c r="Q484" i="7"/>
  <c r="R484" i="7"/>
  <c r="S484" i="7" s="1"/>
  <c r="W484" i="7"/>
  <c r="W199" i="7"/>
  <c r="S199" i="7"/>
  <c r="X199" i="7" s="1"/>
  <c r="P485" i="7" l="1"/>
  <c r="P200" i="7"/>
  <c r="X484" i="7"/>
  <c r="Q200" i="7"/>
  <c r="R200" i="7"/>
  <c r="Q485" i="7"/>
  <c r="R485" i="7"/>
  <c r="S485" i="7" s="1"/>
  <c r="W485" i="7"/>
  <c r="W200" i="7"/>
  <c r="S200" i="7"/>
  <c r="X200" i="7" s="1"/>
  <c r="P486" i="7" l="1"/>
  <c r="P201" i="7"/>
  <c r="X485" i="7"/>
  <c r="Q201" i="7"/>
  <c r="Q486" i="7"/>
  <c r="R201" i="7"/>
  <c r="R486" i="7"/>
  <c r="W201" i="7"/>
  <c r="S201" i="7"/>
  <c r="X201" i="7" s="1"/>
  <c r="W486" i="7"/>
  <c r="S486" i="7"/>
  <c r="P487" i="7" l="1"/>
  <c r="P202" i="7"/>
  <c r="X486" i="7"/>
  <c r="Q202" i="7"/>
  <c r="R202" i="7"/>
  <c r="Q487" i="7"/>
  <c r="R487" i="7"/>
  <c r="S487" i="7" s="1"/>
  <c r="W487" i="7"/>
  <c r="W202" i="7"/>
  <c r="S202" i="7"/>
  <c r="X202" i="7" s="1"/>
  <c r="P488" i="7" l="1"/>
  <c r="P203" i="7"/>
  <c r="X487" i="7"/>
  <c r="Q203" i="7"/>
  <c r="R203" i="7"/>
  <c r="Q488" i="7"/>
  <c r="R488" i="7"/>
  <c r="S488" i="7" s="1"/>
  <c r="W488" i="7"/>
  <c r="W203" i="7"/>
  <c r="S203" i="7"/>
  <c r="X203" i="7" s="1"/>
  <c r="P489" i="7" l="1"/>
  <c r="P204" i="7"/>
  <c r="X488" i="7"/>
  <c r="Q204" i="7"/>
  <c r="R204" i="7"/>
  <c r="Q489" i="7"/>
  <c r="R489" i="7"/>
  <c r="S489" i="7" s="1"/>
  <c r="W489" i="7"/>
  <c r="W204" i="7"/>
  <c r="S204" i="7"/>
  <c r="X204" i="7" s="1"/>
  <c r="P490" i="7" l="1"/>
  <c r="P205" i="7"/>
  <c r="X489" i="7"/>
  <c r="Q205" i="7"/>
  <c r="Q490" i="7"/>
  <c r="R205" i="7"/>
  <c r="R490" i="7"/>
  <c r="S490" i="7" s="1"/>
  <c r="W490" i="7"/>
  <c r="W205" i="7"/>
  <c r="S205" i="7"/>
  <c r="X205" i="7" s="1"/>
  <c r="P491" i="7" l="1"/>
  <c r="P206" i="7"/>
  <c r="X490" i="7"/>
  <c r="Q206" i="7"/>
  <c r="R206" i="7"/>
  <c r="Q491" i="7"/>
  <c r="R491" i="7"/>
  <c r="S491" i="7" s="1"/>
  <c r="W491" i="7"/>
  <c r="W206" i="7"/>
  <c r="S206" i="7"/>
  <c r="X206" i="7" s="1"/>
  <c r="P492" i="7" l="1"/>
  <c r="P207" i="7"/>
  <c r="X491" i="7"/>
  <c r="Q207" i="7"/>
  <c r="R207" i="7"/>
  <c r="Q492" i="7"/>
  <c r="R492" i="7"/>
  <c r="S492" i="7" s="1"/>
  <c r="W492" i="7"/>
  <c r="W207" i="7"/>
  <c r="S207" i="7"/>
  <c r="X207" i="7" s="1"/>
  <c r="P493" i="7" l="1"/>
  <c r="P208" i="7"/>
  <c r="X492" i="7"/>
  <c r="Q208" i="7"/>
  <c r="R208" i="7"/>
  <c r="Q493" i="7"/>
  <c r="R493" i="7"/>
  <c r="S493" i="7" s="1"/>
  <c r="W493" i="7"/>
  <c r="W208" i="7"/>
  <c r="S208" i="7"/>
  <c r="X208" i="7" s="1"/>
  <c r="P494" i="7" l="1"/>
  <c r="P209" i="7"/>
  <c r="X493" i="7"/>
  <c r="Q209" i="7"/>
  <c r="R209" i="7"/>
  <c r="Q494" i="7"/>
  <c r="R494" i="7"/>
  <c r="S494" i="7" s="1"/>
  <c r="W494" i="7"/>
  <c r="W209" i="7"/>
  <c r="S209" i="7"/>
  <c r="X209" i="7" s="1"/>
  <c r="P495" i="7" l="1"/>
  <c r="P210" i="7"/>
  <c r="X494" i="7"/>
  <c r="Q210" i="7"/>
  <c r="R210" i="7"/>
  <c r="Q495" i="7"/>
  <c r="R495" i="7"/>
  <c r="S495" i="7" s="1"/>
  <c r="W495" i="7"/>
  <c r="W210" i="7"/>
  <c r="S210" i="7"/>
  <c r="X210" i="7" s="1"/>
  <c r="P496" i="7" l="1"/>
  <c r="P211" i="7"/>
  <c r="X495" i="7"/>
  <c r="Q211" i="7"/>
  <c r="R211" i="7"/>
  <c r="Q496" i="7"/>
  <c r="R496" i="7"/>
  <c r="S496" i="7" s="1"/>
  <c r="W496" i="7"/>
  <c r="W211" i="7"/>
  <c r="S211" i="7"/>
  <c r="X211" i="7" s="1"/>
  <c r="P497" i="7" l="1"/>
  <c r="P212" i="7"/>
  <c r="X496" i="7"/>
  <c r="Q212" i="7"/>
  <c r="R212" i="7"/>
  <c r="Q497" i="7"/>
  <c r="R497" i="7"/>
  <c r="S497" i="7" s="1"/>
  <c r="W497" i="7"/>
  <c r="W212" i="7"/>
  <c r="S212" i="7"/>
  <c r="X212" i="7" s="1"/>
  <c r="P498" i="7" l="1"/>
  <c r="P213" i="7"/>
  <c r="X497" i="7"/>
  <c r="Q213" i="7"/>
  <c r="R213" i="7"/>
  <c r="Q498" i="7"/>
  <c r="R498" i="7"/>
  <c r="S498" i="7" s="1"/>
  <c r="W498" i="7"/>
  <c r="W213" i="7"/>
  <c r="S213" i="7"/>
  <c r="X213" i="7" s="1"/>
  <c r="P499" i="7" l="1"/>
  <c r="P214" i="7"/>
  <c r="X498" i="7"/>
  <c r="Q214" i="7"/>
  <c r="R214" i="7"/>
  <c r="Q499" i="7"/>
  <c r="R499" i="7"/>
  <c r="S499" i="7" s="1"/>
  <c r="W499" i="7"/>
  <c r="W214" i="7"/>
  <c r="S214" i="7"/>
  <c r="X214" i="7" s="1"/>
  <c r="P500" i="7" l="1"/>
  <c r="P215" i="7"/>
  <c r="X499" i="7"/>
  <c r="Q215" i="7"/>
  <c r="R215" i="7"/>
  <c r="Q500" i="7"/>
  <c r="R500" i="7"/>
  <c r="S500" i="7" s="1"/>
  <c r="W500" i="7"/>
  <c r="W215" i="7"/>
  <c r="S215" i="7"/>
  <c r="X215" i="7" s="1"/>
  <c r="P501" i="7" l="1"/>
  <c r="P216" i="7"/>
  <c r="X500" i="7"/>
  <c r="Q216" i="7"/>
  <c r="R216" i="7"/>
  <c r="Q501" i="7"/>
  <c r="W216" i="7"/>
  <c r="R501" i="7"/>
  <c r="S216" i="7"/>
  <c r="X216" i="7" s="1"/>
  <c r="W501" i="7"/>
  <c r="S501" i="7"/>
  <c r="P502" i="7" l="1"/>
  <c r="P217" i="7"/>
  <c r="X501" i="7"/>
  <c r="Q217" i="7"/>
  <c r="R217" i="7"/>
  <c r="Q502" i="7"/>
  <c r="R502" i="7"/>
  <c r="S502" i="7" s="1"/>
  <c r="W502" i="7"/>
  <c r="W217" i="7"/>
  <c r="S217" i="7"/>
  <c r="X217" i="7" s="1"/>
  <c r="P503" i="7" l="1"/>
  <c r="P218" i="7"/>
  <c r="X502" i="7"/>
  <c r="Q218" i="7"/>
  <c r="R218" i="7"/>
  <c r="Q503" i="7"/>
  <c r="R503" i="7"/>
  <c r="S503" i="7" s="1"/>
  <c r="W503" i="7"/>
  <c r="W218" i="7"/>
  <c r="S218" i="7"/>
  <c r="X218" i="7" s="1"/>
  <c r="P504" i="7" l="1"/>
  <c r="P219" i="7"/>
  <c r="X503" i="7"/>
  <c r="Q219" i="7"/>
  <c r="R219" i="7"/>
  <c r="Q504" i="7"/>
  <c r="R504" i="7"/>
  <c r="S504" i="7" s="1"/>
  <c r="W504" i="7"/>
  <c r="W219" i="7"/>
  <c r="S219" i="7"/>
  <c r="X219" i="7" s="1"/>
  <c r="P505" i="7" l="1"/>
  <c r="P220" i="7"/>
  <c r="X504" i="7"/>
  <c r="Q220" i="7"/>
  <c r="R220" i="7"/>
  <c r="Q505" i="7"/>
  <c r="R505" i="7"/>
  <c r="S505" i="7" s="1"/>
  <c r="W505" i="7"/>
  <c r="W220" i="7"/>
  <c r="S220" i="7"/>
  <c r="X220" i="7" s="1"/>
  <c r="P506" i="7" l="1"/>
  <c r="P221" i="7"/>
  <c r="X505" i="7"/>
  <c r="Q221" i="7"/>
  <c r="R221" i="7"/>
  <c r="Q506" i="7"/>
  <c r="R506" i="7"/>
  <c r="S506" i="7" s="1"/>
  <c r="W506" i="7"/>
  <c r="W221" i="7"/>
  <c r="S221" i="7"/>
  <c r="X221" i="7" s="1"/>
  <c r="P507" i="7" l="1"/>
  <c r="P222" i="7"/>
  <c r="X506" i="7"/>
  <c r="Q222" i="7"/>
  <c r="R222" i="7"/>
  <c r="Q507" i="7"/>
  <c r="R507" i="7"/>
  <c r="S507" i="7" s="1"/>
  <c r="W507" i="7"/>
  <c r="W222" i="7"/>
  <c r="S222" i="7"/>
  <c r="X222" i="7" s="1"/>
  <c r="P508" i="7" l="1"/>
  <c r="P223" i="7"/>
  <c r="X507" i="7"/>
  <c r="Q223" i="7"/>
  <c r="R223" i="7"/>
  <c r="Q508" i="7"/>
  <c r="R508" i="7"/>
  <c r="S508" i="7" s="1"/>
  <c r="W508" i="7"/>
  <c r="W223" i="7"/>
  <c r="S223" i="7"/>
  <c r="X223" i="7" s="1"/>
  <c r="P509" i="7" l="1"/>
  <c r="P224" i="7"/>
  <c r="X508" i="7"/>
  <c r="Q224" i="7"/>
  <c r="R224" i="7"/>
  <c r="Q509" i="7"/>
  <c r="R509" i="7"/>
  <c r="S509" i="7" s="1"/>
  <c r="W509" i="7"/>
  <c r="W224" i="7"/>
  <c r="S224" i="7"/>
  <c r="X224" i="7" s="1"/>
  <c r="P510" i="7" l="1"/>
  <c r="P225" i="7"/>
  <c r="X509" i="7"/>
  <c r="Q225" i="7"/>
  <c r="R225" i="7"/>
  <c r="Q510" i="7"/>
  <c r="R510" i="7"/>
  <c r="S510" i="7" s="1"/>
  <c r="W510" i="7"/>
  <c r="W225" i="7"/>
  <c r="S225" i="7"/>
  <c r="X225" i="7" s="1"/>
  <c r="P511" i="7" l="1"/>
  <c r="P226" i="7"/>
  <c r="X510" i="7"/>
  <c r="Q226" i="7"/>
  <c r="R226" i="7"/>
  <c r="Q511" i="7"/>
  <c r="R511" i="7"/>
  <c r="S511" i="7" s="1"/>
  <c r="W511" i="7"/>
  <c r="W226" i="7"/>
  <c r="S226" i="7"/>
  <c r="X226" i="7" s="1"/>
  <c r="P512" i="7" l="1"/>
  <c r="P227" i="7"/>
  <c r="X511" i="7"/>
  <c r="Q227" i="7"/>
  <c r="R227" i="7"/>
  <c r="Q512" i="7"/>
  <c r="R512" i="7"/>
  <c r="S512" i="7" s="1"/>
  <c r="W512" i="7"/>
  <c r="W227" i="7"/>
  <c r="S227" i="7"/>
  <c r="X227" i="7" s="1"/>
  <c r="P513" i="7" l="1"/>
  <c r="P228" i="7"/>
  <c r="X512" i="7"/>
  <c r="Q228" i="7"/>
  <c r="R228" i="7"/>
  <c r="Q513" i="7"/>
  <c r="R513" i="7"/>
  <c r="S513" i="7" s="1"/>
  <c r="W513" i="7"/>
  <c r="W228" i="7"/>
  <c r="S228" i="7"/>
  <c r="X228" i="7" s="1"/>
  <c r="P514" i="7" l="1"/>
  <c r="P229" i="7"/>
  <c r="X513" i="7"/>
  <c r="Q229" i="7"/>
  <c r="R229" i="7"/>
  <c r="Q514" i="7"/>
  <c r="R514" i="7"/>
  <c r="S514" i="7" s="1"/>
  <c r="W514" i="7"/>
  <c r="W229" i="7"/>
  <c r="S229" i="7"/>
  <c r="X229" i="7" s="1"/>
  <c r="P515" i="7" l="1"/>
  <c r="P230" i="7"/>
  <c r="X514" i="7"/>
  <c r="Q230" i="7"/>
  <c r="R230" i="7"/>
  <c r="Q515" i="7"/>
  <c r="R515" i="7"/>
  <c r="S515" i="7" s="1"/>
  <c r="W515" i="7"/>
  <c r="W230" i="7"/>
  <c r="S230" i="7"/>
  <c r="X230" i="7" s="1"/>
  <c r="P516" i="7" l="1"/>
  <c r="P231" i="7"/>
  <c r="X515" i="7"/>
  <c r="Q231" i="7"/>
  <c r="R231" i="7"/>
  <c r="Q516" i="7"/>
  <c r="R516" i="7"/>
  <c r="S516" i="7" s="1"/>
  <c r="W516" i="7"/>
  <c r="W231" i="7"/>
  <c r="S231" i="7"/>
  <c r="X231" i="7" s="1"/>
  <c r="P517" i="7" l="1"/>
  <c r="P232" i="7"/>
  <c r="X516" i="7"/>
  <c r="Q232" i="7"/>
  <c r="R232" i="7"/>
  <c r="S232" i="7" s="1"/>
  <c r="W232" i="7"/>
  <c r="X232" i="7"/>
  <c r="Q517" i="7"/>
  <c r="R517" i="7" s="1"/>
  <c r="S517" i="7"/>
  <c r="W517" i="7"/>
  <c r="P518" i="7" l="1"/>
  <c r="P233" i="7"/>
  <c r="X517" i="7"/>
  <c r="Q233" i="7"/>
  <c r="R233" i="7"/>
  <c r="Q518" i="7"/>
  <c r="R518" i="7"/>
  <c r="S518" i="7" s="1"/>
  <c r="W518" i="7"/>
  <c r="W233" i="7"/>
  <c r="S233" i="7"/>
  <c r="X233" i="7" s="1"/>
  <c r="P519" i="7" l="1"/>
  <c r="P234" i="7"/>
  <c r="X518" i="7"/>
  <c r="Q234" i="7"/>
  <c r="R234" i="7"/>
  <c r="Q519" i="7"/>
  <c r="R519" i="7"/>
  <c r="S519" i="7" s="1"/>
  <c r="W519" i="7"/>
  <c r="W234" i="7"/>
  <c r="S234" i="7"/>
  <c r="X234" i="7" s="1"/>
  <c r="P520" i="7" l="1"/>
  <c r="P235" i="7"/>
  <c r="X519" i="7"/>
  <c r="Q235" i="7"/>
  <c r="R235" i="7"/>
  <c r="Q520" i="7"/>
  <c r="R520" i="7"/>
  <c r="S520" i="7" s="1"/>
  <c r="W520" i="7"/>
  <c r="W235" i="7"/>
  <c r="S235" i="7"/>
  <c r="X235" i="7" s="1"/>
  <c r="P521" i="7" l="1"/>
  <c r="P236" i="7"/>
  <c r="X520" i="7"/>
  <c r="Q236" i="7"/>
  <c r="R236" i="7"/>
  <c r="Q521" i="7"/>
  <c r="R521" i="7"/>
  <c r="S521" i="7" s="1"/>
  <c r="W521" i="7"/>
  <c r="W236" i="7"/>
  <c r="S236" i="7"/>
  <c r="X236" i="7" s="1"/>
  <c r="P522" i="7" l="1"/>
  <c r="P237" i="7"/>
  <c r="X521" i="7"/>
  <c r="Q237" i="7"/>
  <c r="R237" i="7"/>
  <c r="Q522" i="7"/>
  <c r="R522" i="7"/>
  <c r="S522" i="7" s="1"/>
  <c r="W522" i="7"/>
  <c r="W237" i="7"/>
  <c r="S237" i="7"/>
  <c r="X237" i="7" s="1"/>
  <c r="P523" i="7" l="1"/>
  <c r="P238" i="7"/>
  <c r="X522" i="7"/>
  <c r="Q238" i="7"/>
  <c r="R238" i="7"/>
  <c r="Q523" i="7"/>
  <c r="R523" i="7"/>
  <c r="S523" i="7" s="1"/>
  <c r="W523" i="7"/>
  <c r="W238" i="7"/>
  <c r="S238" i="7"/>
  <c r="X238" i="7" s="1"/>
  <c r="P524" i="7" l="1"/>
  <c r="P239" i="7"/>
  <c r="X523" i="7"/>
  <c r="Q239" i="7"/>
  <c r="R239" i="7"/>
  <c r="Q524" i="7"/>
  <c r="R524" i="7"/>
  <c r="S524" i="7" s="1"/>
  <c r="W524" i="7"/>
  <c r="W239" i="7"/>
  <c r="S239" i="7"/>
  <c r="X239" i="7" s="1"/>
  <c r="P525" i="7" l="1"/>
  <c r="P240" i="7"/>
  <c r="X524" i="7"/>
  <c r="Q240" i="7"/>
  <c r="R240" i="7"/>
  <c r="Q525" i="7"/>
  <c r="R525" i="7"/>
  <c r="S525" i="7" s="1"/>
  <c r="W525" i="7"/>
  <c r="W240" i="7"/>
  <c r="S240" i="7"/>
  <c r="X240" i="7" s="1"/>
  <c r="P526" i="7" l="1"/>
  <c r="P241" i="7"/>
  <c r="X525" i="7"/>
  <c r="Q241" i="7"/>
  <c r="R241" i="7"/>
  <c r="Q526" i="7"/>
  <c r="W241" i="7"/>
  <c r="R526" i="7"/>
  <c r="S241" i="7"/>
  <c r="X241" i="7" s="1"/>
  <c r="W526" i="7"/>
  <c r="S526" i="7"/>
  <c r="P527" i="7" l="1"/>
  <c r="P242" i="7"/>
  <c r="X526" i="7"/>
  <c r="Q242" i="7"/>
  <c r="R242" i="7"/>
  <c r="Q527" i="7"/>
  <c r="R527" i="7"/>
  <c r="S527" i="7" s="1"/>
  <c r="W527" i="7"/>
  <c r="W242" i="7"/>
  <c r="S242" i="7"/>
  <c r="X242" i="7" s="1"/>
  <c r="P528" i="7" l="1"/>
  <c r="P243" i="7"/>
  <c r="X527" i="7"/>
  <c r="Q243" i="7"/>
  <c r="R243" i="7" s="1"/>
  <c r="Q528" i="7"/>
  <c r="R528" i="7" s="1"/>
  <c r="S528" i="7" s="1"/>
  <c r="W528" i="7"/>
  <c r="W243" i="7"/>
  <c r="S243" i="7"/>
  <c r="X243" i="7" s="1"/>
  <c r="P529" i="7" l="1"/>
  <c r="P244" i="7"/>
  <c r="X528" i="7"/>
  <c r="Q244" i="7"/>
  <c r="R244" i="7"/>
  <c r="Q529" i="7"/>
  <c r="R529" i="7"/>
  <c r="S529" i="7" s="1"/>
  <c r="W529" i="7"/>
  <c r="W244" i="7"/>
  <c r="S244" i="7"/>
  <c r="X244" i="7" s="1"/>
  <c r="P530" i="7" l="1"/>
  <c r="P245" i="7"/>
  <c r="X529" i="7"/>
  <c r="Q245" i="7"/>
  <c r="R245" i="7"/>
  <c r="Q530" i="7"/>
  <c r="R530" i="7"/>
  <c r="S530" i="7" s="1"/>
  <c r="W530" i="7"/>
  <c r="W245" i="7"/>
  <c r="S245" i="7"/>
  <c r="X245" i="7" s="1"/>
  <c r="P531" i="7" l="1"/>
  <c r="P246" i="7"/>
  <c r="X530" i="7"/>
  <c r="Q246" i="7"/>
  <c r="R246" i="7"/>
  <c r="Q531" i="7"/>
  <c r="R531" i="7"/>
  <c r="S531" i="7" s="1"/>
  <c r="W531" i="7"/>
  <c r="W246" i="7"/>
  <c r="S246" i="7"/>
  <c r="X246" i="7" s="1"/>
  <c r="P532" i="7" l="1"/>
  <c r="P247" i="7"/>
  <c r="X531" i="7"/>
  <c r="Q247" i="7"/>
  <c r="R247" i="7"/>
  <c r="Q532" i="7"/>
  <c r="R532" i="7"/>
  <c r="S532" i="7" s="1"/>
  <c r="W532" i="7"/>
  <c r="W247" i="7"/>
  <c r="S247" i="7"/>
  <c r="X247" i="7" s="1"/>
  <c r="P533" i="7" l="1"/>
  <c r="P248" i="7"/>
  <c r="X532" i="7"/>
  <c r="Q248" i="7"/>
  <c r="R248" i="7"/>
  <c r="Q533" i="7"/>
  <c r="R533" i="7"/>
  <c r="S533" i="7" s="1"/>
  <c r="W533" i="7"/>
  <c r="W248" i="7"/>
  <c r="S248" i="7"/>
  <c r="X248" i="7" s="1"/>
  <c r="P534" i="7" l="1"/>
  <c r="P249" i="7"/>
  <c r="X533" i="7"/>
  <c r="Q249" i="7"/>
  <c r="R249" i="7"/>
  <c r="Q534" i="7"/>
  <c r="R534" i="7"/>
  <c r="S534" i="7" s="1"/>
  <c r="W534" i="7"/>
  <c r="W249" i="7"/>
  <c r="S249" i="7"/>
  <c r="X249" i="7" s="1"/>
  <c r="P535" i="7" l="1"/>
  <c r="P250" i="7"/>
  <c r="X534" i="7"/>
  <c r="Q250" i="7"/>
  <c r="R250" i="7"/>
  <c r="Q535" i="7"/>
  <c r="R535" i="7"/>
  <c r="S535" i="7" s="1"/>
  <c r="W535" i="7"/>
  <c r="W250" i="7"/>
  <c r="S250" i="7"/>
  <c r="X250" i="7" s="1"/>
  <c r="P536" i="7" l="1"/>
  <c r="P251" i="7"/>
  <c r="X535" i="7"/>
  <c r="Q251" i="7"/>
  <c r="R251" i="7"/>
  <c r="Q536" i="7"/>
  <c r="R536" i="7"/>
  <c r="S536" i="7" s="1"/>
  <c r="W536" i="7"/>
  <c r="W251" i="7"/>
  <c r="S251" i="7"/>
  <c r="X251" i="7" s="1"/>
  <c r="P537" i="7" l="1"/>
  <c r="P252" i="7"/>
  <c r="X536" i="7"/>
  <c r="Q252" i="7"/>
  <c r="R252" i="7"/>
  <c r="Q537" i="7"/>
  <c r="R537" i="7"/>
  <c r="S537" i="7" s="1"/>
  <c r="W537" i="7"/>
  <c r="W252" i="7"/>
  <c r="S252" i="7"/>
  <c r="X252" i="7" s="1"/>
  <c r="P538" i="7" l="1"/>
  <c r="P253" i="7"/>
  <c r="X537" i="7"/>
  <c r="Q253" i="7"/>
  <c r="R253" i="7"/>
  <c r="Q538" i="7"/>
  <c r="R538" i="7"/>
  <c r="S538" i="7" s="1"/>
  <c r="W538" i="7"/>
  <c r="S253" i="7"/>
  <c r="X253" i="7"/>
  <c r="W253" i="7"/>
  <c r="P539" i="7" l="1"/>
  <c r="X538" i="7"/>
  <c r="Q539" i="7"/>
  <c r="R539" i="7"/>
  <c r="W539" i="7"/>
  <c r="S539" i="7"/>
  <c r="P540" i="7" l="1"/>
  <c r="X539" i="7"/>
  <c r="Q540" i="7"/>
  <c r="R540" i="7" s="1"/>
  <c r="S540" i="7" s="1"/>
  <c r="W540" i="7"/>
  <c r="P541" i="7" l="1"/>
  <c r="X540" i="7"/>
  <c r="Q541" i="7"/>
  <c r="R541" i="7"/>
  <c r="W541" i="7"/>
  <c r="S541" i="7"/>
  <c r="P542" i="7" l="1"/>
  <c r="X541" i="7"/>
  <c r="Q542" i="7"/>
  <c r="R542" i="7"/>
  <c r="W542" i="7"/>
  <c r="S542" i="7"/>
  <c r="P543" i="7" l="1"/>
  <c r="X542" i="7"/>
  <c r="Q543" i="7"/>
  <c r="R543" i="7"/>
  <c r="W543" i="7"/>
  <c r="S543" i="7"/>
  <c r="P544" i="7" l="1"/>
  <c r="X543" i="7"/>
  <c r="Q544" i="7"/>
  <c r="R544" i="7"/>
  <c r="W544" i="7"/>
  <c r="S544" i="7"/>
  <c r="P545" i="7" l="1"/>
  <c r="X544" i="7"/>
  <c r="Q545" i="7"/>
  <c r="R545" i="7"/>
  <c r="W545" i="7"/>
  <c r="S545" i="7"/>
  <c r="P546" i="7" l="1"/>
  <c r="X545" i="7"/>
  <c r="Q546" i="7"/>
  <c r="R546" i="7"/>
  <c r="W546" i="7"/>
  <c r="S546" i="7"/>
  <c r="P547" i="7" l="1"/>
  <c r="X546" i="7"/>
  <c r="Q547" i="7"/>
  <c r="R547" i="7"/>
  <c r="W547" i="7"/>
  <c r="S547" i="7"/>
  <c r="P548" i="7" l="1"/>
  <c r="X547" i="7"/>
  <c r="Q548" i="7"/>
  <c r="R548" i="7" s="1"/>
  <c r="W548" i="7" s="1"/>
  <c r="S548" i="7"/>
  <c r="P549" i="7" l="1"/>
  <c r="X548" i="7"/>
  <c r="Q549" i="7"/>
  <c r="R549" i="7"/>
  <c r="W549" i="7"/>
  <c r="S549" i="7"/>
  <c r="P550" i="7" l="1"/>
  <c r="X549" i="7"/>
  <c r="Q550" i="7"/>
  <c r="R550" i="7"/>
  <c r="W550" i="7"/>
  <c r="S550" i="7"/>
  <c r="P551" i="7" l="1"/>
  <c r="X550" i="7"/>
  <c r="Q551" i="7"/>
  <c r="R551" i="7"/>
  <c r="W551" i="7" s="1"/>
  <c r="S551" i="7"/>
  <c r="P552" i="7" l="1"/>
  <c r="X551" i="7"/>
  <c r="Q552" i="7"/>
  <c r="R552" i="7"/>
  <c r="W552" i="7" s="1"/>
  <c r="S552" i="7"/>
  <c r="P553" i="7" l="1"/>
  <c r="X552" i="7"/>
  <c r="Q553" i="7"/>
  <c r="R553" i="7"/>
  <c r="W553" i="7"/>
  <c r="S553" i="7"/>
  <c r="P554" i="7" l="1"/>
  <c r="X553" i="7"/>
  <c r="Q554" i="7"/>
  <c r="R554" i="7"/>
  <c r="W554" i="7"/>
  <c r="S554" i="7"/>
  <c r="P555" i="7" l="1"/>
  <c r="X554" i="7"/>
  <c r="Q555" i="7"/>
  <c r="R555" i="7"/>
  <c r="W555" i="7"/>
  <c r="S555" i="7"/>
  <c r="P556" i="7" l="1"/>
  <c r="X555" i="7"/>
  <c r="Q556" i="7"/>
  <c r="R556" i="7"/>
  <c r="W556" i="7"/>
  <c r="S556" i="7"/>
  <c r="P557" i="7" l="1"/>
  <c r="X556" i="7"/>
  <c r="Q557" i="7"/>
  <c r="R557" i="7"/>
  <c r="W557" i="7"/>
  <c r="S557" i="7"/>
  <c r="P558" i="7" l="1"/>
  <c r="X557" i="7"/>
  <c r="Q558" i="7"/>
  <c r="R558" i="7"/>
  <c r="W558" i="7"/>
  <c r="S558" i="7"/>
  <c r="P559" i="7" l="1"/>
  <c r="X558" i="7"/>
  <c r="Q559" i="7"/>
  <c r="R559" i="7" s="1"/>
  <c r="S559" i="7"/>
  <c r="W559" i="7"/>
  <c r="P560" i="7" l="1"/>
  <c r="X559" i="7"/>
  <c r="Q560" i="7"/>
  <c r="R560" i="7" s="1"/>
  <c r="W560" i="7" s="1"/>
  <c r="S560" i="7"/>
  <c r="P561" i="7" l="1"/>
  <c r="X560" i="7"/>
  <c r="Q561" i="7"/>
  <c r="R561" i="7" s="1"/>
  <c r="W561" i="7" s="1"/>
  <c r="S561" i="7"/>
  <c r="P562" i="7" l="1"/>
  <c r="X561" i="7"/>
  <c r="Q562" i="7"/>
  <c r="R562" i="7" s="1"/>
  <c r="W562" i="7" s="1"/>
  <c r="S562" i="7"/>
  <c r="P563" i="7" l="1"/>
  <c r="X562" i="7"/>
  <c r="Q563" i="7"/>
  <c r="R563" i="7" s="1"/>
  <c r="W563" i="7" s="1"/>
  <c r="S563" i="7"/>
  <c r="P564" i="7" l="1"/>
  <c r="X563" i="7"/>
  <c r="Q564" i="7"/>
  <c r="R564" i="7"/>
  <c r="W564" i="7"/>
  <c r="S564" i="7"/>
  <c r="P565" i="7" l="1"/>
  <c r="X564" i="7"/>
  <c r="Q565" i="7"/>
  <c r="R565" i="7"/>
  <c r="W565" i="7"/>
  <c r="S565" i="7"/>
  <c r="P566" i="7" l="1"/>
  <c r="X565" i="7"/>
  <c r="Q566" i="7"/>
  <c r="R566" i="7"/>
  <c r="W566" i="7" s="1"/>
  <c r="S566" i="7"/>
  <c r="P567" i="7" l="1"/>
  <c r="X566" i="7"/>
  <c r="Q567" i="7"/>
  <c r="R567" i="7"/>
  <c r="S567" i="7" s="1"/>
  <c r="W567" i="7"/>
  <c r="P568" i="7" l="1"/>
  <c r="X567" i="7"/>
  <c r="Q568" i="7"/>
  <c r="R568" i="7"/>
  <c r="W568" i="7" s="1"/>
  <c r="S568" i="7"/>
  <c r="P569" i="7" l="1"/>
  <c r="X568" i="7"/>
  <c r="Q569" i="7"/>
  <c r="R569" i="7"/>
  <c r="W569" i="7" s="1"/>
  <c r="S569" i="7"/>
  <c r="P570" i="7" l="1"/>
  <c r="X569" i="7"/>
  <c r="Q570" i="7"/>
  <c r="R570" i="7"/>
  <c r="W570" i="7"/>
  <c r="S570" i="7"/>
  <c r="P571" i="7" l="1"/>
  <c r="X570" i="7"/>
  <c r="Q571" i="7"/>
  <c r="R571" i="7"/>
  <c r="W571" i="7"/>
  <c r="S571" i="7"/>
  <c r="P572" i="7" l="1"/>
  <c r="X571" i="7"/>
  <c r="Q572" i="7"/>
  <c r="R572" i="7"/>
  <c r="W572" i="7"/>
  <c r="S572" i="7"/>
  <c r="P573" i="7" l="1"/>
  <c r="X572" i="7"/>
  <c r="Q573" i="7"/>
  <c r="R573" i="7"/>
  <c r="W573" i="7"/>
  <c r="S573" i="7"/>
  <c r="P574" i="7" l="1"/>
  <c r="X573" i="7"/>
  <c r="Q574" i="7"/>
  <c r="R574" i="7"/>
  <c r="W574" i="7"/>
  <c r="S574" i="7"/>
  <c r="P575" i="7" l="1"/>
  <c r="X574" i="7"/>
  <c r="Q575" i="7"/>
  <c r="R575" i="7"/>
  <c r="W575" i="7"/>
  <c r="S575" i="7"/>
  <c r="P576" i="7" l="1"/>
  <c r="X575" i="7"/>
  <c r="Q576" i="7"/>
  <c r="R576" i="7"/>
  <c r="S576" i="7"/>
  <c r="W576" i="7"/>
  <c r="P577" i="7" l="1"/>
  <c r="X576" i="7"/>
  <c r="Q577" i="7"/>
  <c r="R577" i="7"/>
  <c r="W577" i="7"/>
  <c r="S577" i="7"/>
  <c r="P578" i="7" l="1"/>
  <c r="X577" i="7"/>
  <c r="Q578" i="7"/>
  <c r="R578" i="7"/>
  <c r="W578" i="7"/>
  <c r="S578" i="7"/>
  <c r="P579" i="7" l="1"/>
  <c r="X578" i="7"/>
  <c r="Q579" i="7"/>
  <c r="R579" i="7"/>
  <c r="W579" i="7"/>
  <c r="S579" i="7"/>
  <c r="P580" i="7" l="1"/>
  <c r="X579" i="7"/>
  <c r="Q580" i="7"/>
  <c r="R580" i="7"/>
  <c r="W580" i="7"/>
  <c r="S580" i="7"/>
  <c r="P581" i="7" l="1"/>
  <c r="X580" i="7"/>
  <c r="Q581" i="7"/>
  <c r="R581" i="7"/>
  <c r="W581" i="7"/>
  <c r="S581" i="7"/>
  <c r="P582" i="7" l="1"/>
  <c r="X581" i="7"/>
  <c r="Q582" i="7"/>
  <c r="R582" i="7"/>
  <c r="W582" i="7"/>
  <c r="S582" i="7"/>
  <c r="P583" i="7" l="1"/>
  <c r="X582" i="7"/>
  <c r="Q583" i="7"/>
  <c r="R583" i="7"/>
  <c r="W583" i="7"/>
  <c r="S583" i="7"/>
  <c r="P584" i="7" l="1"/>
  <c r="X583" i="7"/>
  <c r="Q584" i="7"/>
  <c r="R584" i="7"/>
  <c r="W584" i="7"/>
  <c r="S584" i="7"/>
  <c r="P585" i="7" l="1"/>
  <c r="X584" i="7"/>
  <c r="Q585" i="7"/>
  <c r="R585" i="7"/>
  <c r="W585" i="7"/>
  <c r="S585" i="7"/>
  <c r="P586" i="7" l="1"/>
  <c r="X585" i="7"/>
  <c r="Q586" i="7"/>
  <c r="R586" i="7"/>
  <c r="W586" i="7"/>
  <c r="S586" i="7"/>
  <c r="P587" i="7" l="1"/>
  <c r="X586" i="7"/>
  <c r="Q587" i="7"/>
  <c r="R587" i="7"/>
  <c r="W587" i="7"/>
  <c r="S587" i="7"/>
  <c r="P588" i="7" l="1"/>
  <c r="X587" i="7"/>
  <c r="Q588" i="7"/>
  <c r="R588" i="7"/>
  <c r="W588" i="7"/>
  <c r="S588" i="7"/>
  <c r="P589" i="7" l="1"/>
  <c r="X588" i="7"/>
  <c r="Q589" i="7"/>
  <c r="R589" i="7"/>
  <c r="W589" i="7"/>
  <c r="S589" i="7"/>
  <c r="P590" i="7" l="1"/>
  <c r="X589" i="7"/>
  <c r="Q590" i="7"/>
  <c r="R590" i="7"/>
  <c r="W590" i="7"/>
  <c r="S590" i="7"/>
  <c r="P591" i="7" l="1"/>
  <c r="X590" i="7"/>
  <c r="Q591" i="7"/>
  <c r="R591" i="7"/>
  <c r="W591" i="7"/>
  <c r="S591" i="7"/>
  <c r="P592" i="7" l="1"/>
  <c r="X591" i="7"/>
  <c r="Q592" i="7"/>
  <c r="R592" i="7"/>
  <c r="W592" i="7"/>
  <c r="S592" i="7"/>
  <c r="P593" i="7" l="1"/>
  <c r="X592" i="7"/>
  <c r="Q593" i="7"/>
  <c r="R593" i="7"/>
  <c r="W593" i="7"/>
  <c r="S593" i="7"/>
  <c r="X593" i="7"/>
  <c r="I8" i="4" l="1"/>
  <c r="I7" i="4"/>
  <c r="T3" i="7"/>
  <c r="U136" i="6"/>
  <c r="T136" i="6"/>
  <c r="T161" i="6"/>
  <c r="T163" i="6"/>
  <c r="U5" i="6"/>
  <c r="U141" i="6"/>
  <c r="U165" i="6"/>
  <c r="U12" i="6"/>
  <c r="U145" i="6"/>
  <c r="U169" i="6"/>
  <c r="U16" i="6"/>
  <c r="T149" i="6"/>
  <c r="U173" i="6"/>
  <c r="U20" i="6"/>
  <c r="U153" i="6"/>
  <c r="U177" i="6"/>
  <c r="U24" i="6"/>
  <c r="U158" i="6"/>
  <c r="U181" i="6"/>
  <c r="U183" i="6"/>
  <c r="U185" i="6"/>
  <c r="T187" i="6"/>
  <c r="U189" i="6"/>
  <c r="U191" i="6"/>
  <c r="U193" i="6"/>
  <c r="T195" i="6"/>
  <c r="T197" i="6"/>
  <c r="T199" i="6"/>
  <c r="T201" i="6"/>
  <c r="T203" i="6"/>
  <c r="U205" i="6"/>
  <c r="T207" i="6"/>
  <c r="T209" i="6"/>
  <c r="T211" i="6"/>
  <c r="U213" i="6"/>
  <c r="T215" i="6"/>
  <c r="U217" i="6"/>
  <c r="T219" i="6"/>
  <c r="T221" i="6"/>
  <c r="U223" i="6"/>
  <c r="T225" i="6"/>
  <c r="T227" i="6"/>
  <c r="U229" i="6"/>
  <c r="U231" i="6"/>
  <c r="U233" i="6"/>
  <c r="T235" i="6"/>
  <c r="U237" i="6"/>
  <c r="T239" i="6"/>
  <c r="T242" i="6"/>
  <c r="U91" i="6"/>
  <c r="U249" i="6"/>
  <c r="T97" i="6"/>
  <c r="T102" i="6"/>
  <c r="U108" i="6"/>
  <c r="U115" i="6"/>
  <c r="U122" i="6"/>
  <c r="T127" i="6"/>
  <c r="T134" i="6"/>
  <c r="U4" i="7"/>
  <c r="U684" i="7"/>
  <c r="U703" i="7"/>
  <c r="T702" i="7"/>
  <c r="T595" i="7"/>
  <c r="U679" i="7"/>
  <c r="U7" i="8"/>
  <c r="U10" i="8"/>
  <c r="T686" i="7"/>
  <c r="T687" i="7"/>
  <c r="T603" i="7"/>
  <c r="U604" i="7"/>
  <c r="U605" i="7"/>
  <c r="U266" i="7"/>
  <c r="T267" i="7"/>
  <c r="U18" i="7"/>
  <c r="U19" i="7"/>
  <c r="U20" i="7"/>
  <c r="T716" i="7"/>
  <c r="T717" i="7"/>
  <c r="U697" i="7"/>
  <c r="U698" i="7"/>
  <c r="T699" i="7"/>
  <c r="T310" i="7"/>
  <c r="T616" i="7"/>
  <c r="T28" i="7"/>
  <c r="T619" i="7"/>
  <c r="T281" i="7"/>
  <c r="T32" i="8"/>
  <c r="T319" i="7"/>
  <c r="T286" i="7"/>
  <c r="T5" i="6"/>
  <c r="T24" i="6"/>
  <c r="T191" i="6"/>
  <c r="T193" i="6"/>
  <c r="U195" i="6"/>
  <c r="U197" i="6"/>
  <c r="U199" i="6"/>
  <c r="U201" i="6"/>
  <c r="U203" i="6"/>
  <c r="T205" i="6"/>
  <c r="U207" i="6"/>
  <c r="U209" i="6"/>
  <c r="U211" i="6"/>
  <c r="T213" i="6"/>
  <c r="U215" i="6"/>
  <c r="T217" i="6"/>
  <c r="U219" i="6"/>
  <c r="U221" i="6"/>
  <c r="T223" i="6"/>
  <c r="U225" i="6"/>
  <c r="U227" i="6"/>
  <c r="T229" i="6"/>
  <c r="T231" i="6"/>
  <c r="T233" i="6"/>
  <c r="U235" i="6"/>
  <c r="T237" i="6"/>
  <c r="U85" i="6"/>
  <c r="T243" i="6"/>
  <c r="T91" i="6"/>
  <c r="T249" i="6"/>
  <c r="U252" i="6"/>
  <c r="U103" i="6"/>
  <c r="U110" i="6"/>
  <c r="T115" i="6"/>
  <c r="T122" i="6"/>
  <c r="U128" i="6"/>
  <c r="U135" i="6"/>
  <c r="U7" i="7"/>
  <c r="T684" i="7"/>
  <c r="T703" i="7"/>
  <c r="U681" i="7"/>
  <c r="U290" i="7"/>
  <c r="U9" i="8"/>
  <c r="T7" i="8"/>
  <c r="T10" i="8"/>
  <c r="T707" i="7"/>
  <c r="U708" i="7"/>
  <c r="U709" i="7"/>
  <c r="T604" i="7"/>
  <c r="T605" i="7"/>
  <c r="T301" i="7"/>
  <c r="U302" i="7"/>
  <c r="U303" i="7"/>
  <c r="T19" i="7"/>
  <c r="T20" i="7"/>
  <c r="U20" i="8"/>
  <c r="U21" i="8"/>
  <c r="U22" i="8"/>
  <c r="T698" i="7"/>
  <c r="U699" i="7"/>
  <c r="U615" i="7"/>
  <c r="U722" i="7"/>
  <c r="U278" i="7"/>
  <c r="U29" i="8"/>
  <c r="U316" i="7"/>
  <c r="U33" i="7"/>
  <c r="U624" i="7"/>
  <c r="T37" i="7"/>
  <c r="U161" i="6"/>
  <c r="U149" i="6"/>
  <c r="T158" i="6"/>
  <c r="U168" i="6"/>
  <c r="U23" i="6"/>
  <c r="U33" i="6"/>
  <c r="U39" i="6"/>
  <c r="U43" i="6"/>
  <c r="U45" i="6"/>
  <c r="U47" i="6"/>
  <c r="U49" i="6"/>
  <c r="U51" i="6"/>
  <c r="U53" i="6"/>
  <c r="U55" i="6"/>
  <c r="U57" i="6"/>
  <c r="U59" i="6"/>
  <c r="U61" i="6"/>
  <c r="U63" i="6"/>
  <c r="U65" i="6"/>
  <c r="U67" i="6"/>
  <c r="U69" i="6"/>
  <c r="U71" i="6"/>
  <c r="U73" i="6"/>
  <c r="U75" i="6"/>
  <c r="U77" i="6"/>
  <c r="U79" i="6"/>
  <c r="U81" i="6"/>
  <c r="U83" i="6"/>
  <c r="T85" i="6"/>
  <c r="U243" i="6"/>
  <c r="U246" i="6"/>
  <c r="U95" i="6"/>
  <c r="U253" i="6"/>
  <c r="T103" i="6"/>
  <c r="T110" i="6"/>
  <c r="U116" i="6"/>
  <c r="U123" i="6"/>
  <c r="U130" i="6"/>
  <c r="T135" i="6"/>
  <c r="T7" i="7"/>
  <c r="U705" i="7"/>
  <c r="U682" i="7"/>
  <c r="U291" i="7"/>
  <c r="T290" i="7"/>
  <c r="T9" i="8"/>
  <c r="U10" i="7"/>
  <c r="U11" i="7"/>
  <c r="U12" i="7"/>
  <c r="T708" i="7"/>
  <c r="T709" i="7"/>
  <c r="U689" i="7"/>
  <c r="U690" i="7"/>
  <c r="T691" i="7"/>
  <c r="T302" i="7"/>
  <c r="T303" i="7"/>
  <c r="U269" i="7"/>
  <c r="U270" i="7"/>
  <c r="U271" i="7"/>
  <c r="T21" i="8"/>
  <c r="T22" i="8"/>
  <c r="U719" i="7"/>
  <c r="T720" i="7"/>
  <c r="U25" i="8"/>
  <c r="T722" i="7"/>
  <c r="T278" i="7"/>
  <c r="T29" i="8"/>
  <c r="T316" i="7"/>
  <c r="T33" i="7"/>
  <c r="T624" i="7"/>
  <c r="T37" i="8"/>
  <c r="T16" i="6"/>
  <c r="T181" i="6"/>
  <c r="U164" i="6"/>
  <c r="U29" i="6"/>
  <c r="U3" i="6"/>
  <c r="T19" i="6"/>
  <c r="T33" i="6"/>
  <c r="T47" i="6"/>
  <c r="T55" i="6"/>
  <c r="T59" i="6"/>
  <c r="T61" i="6"/>
  <c r="T63" i="6"/>
  <c r="T71" i="6"/>
  <c r="T73" i="6"/>
  <c r="T75" i="6"/>
  <c r="T77" i="6"/>
  <c r="T79" i="6"/>
  <c r="T81" i="6"/>
  <c r="T83" i="6"/>
  <c r="T240" i="6"/>
  <c r="U89" i="6"/>
  <c r="U247" i="6"/>
  <c r="T95" i="6"/>
  <c r="T253" i="6"/>
  <c r="U104" i="6"/>
  <c r="U111" i="6"/>
  <c r="U118" i="6"/>
  <c r="T123" i="6"/>
  <c r="T130" i="6"/>
  <c r="T3" i="8"/>
  <c r="U9" i="7"/>
  <c r="U683" i="7"/>
  <c r="T682" i="7"/>
  <c r="T291" i="7"/>
  <c r="U255" i="7"/>
  <c r="U8" i="8"/>
  <c r="U295" i="7"/>
  <c r="T11" i="7"/>
  <c r="T12" i="7"/>
  <c r="U12" i="8"/>
  <c r="U13" i="8"/>
  <c r="U14" i="8"/>
  <c r="T690" i="7"/>
  <c r="U691" i="7"/>
  <c r="U607" i="7"/>
  <c r="U608" i="7"/>
  <c r="T609" i="7"/>
  <c r="T270" i="7"/>
  <c r="T271" i="7"/>
  <c r="U22" i="7"/>
  <c r="U23" i="7"/>
  <c r="U24" i="7"/>
  <c r="U720" i="7"/>
  <c r="T25" i="8"/>
  <c r="U26" i="8"/>
  <c r="U313" i="7"/>
  <c r="U30" i="7"/>
  <c r="T621" i="7"/>
  <c r="U283" i="7"/>
  <c r="U34" i="8"/>
  <c r="T628" i="7"/>
  <c r="T173" i="6"/>
  <c r="T183" i="6"/>
  <c r="U15" i="6"/>
  <c r="U31" i="6"/>
  <c r="U188" i="6"/>
  <c r="U226" i="6"/>
  <c r="U238" i="6"/>
  <c r="T247" i="6"/>
  <c r="U99" i="6"/>
  <c r="U106" i="6"/>
  <c r="T111" i="6"/>
  <c r="T118" i="6"/>
  <c r="U124" i="6"/>
  <c r="U131" i="6"/>
  <c r="U5" i="7"/>
  <c r="T9" i="7"/>
  <c r="T683" i="7"/>
  <c r="U597" i="7"/>
  <c r="U256" i="7"/>
  <c r="U289" i="7"/>
  <c r="T8" i="8"/>
  <c r="T295" i="7"/>
  <c r="U261" i="7"/>
  <c r="U262" i="7"/>
  <c r="T263" i="7"/>
  <c r="T13" i="8"/>
  <c r="T14" i="8"/>
  <c r="U711" i="7"/>
  <c r="T712" i="7"/>
  <c r="U713" i="7"/>
  <c r="T608" i="7"/>
  <c r="U609" i="7"/>
  <c r="U305" i="7"/>
  <c r="U306" i="7"/>
  <c r="U307" i="7"/>
  <c r="T23" i="7"/>
  <c r="T24" i="7"/>
  <c r="U24" i="8"/>
  <c r="U26" i="7"/>
  <c r="T277" i="7"/>
  <c r="T28" i="8"/>
  <c r="T315" i="7"/>
  <c r="T32" i="7"/>
  <c r="T623" i="7"/>
  <c r="T285" i="7"/>
  <c r="T629" i="7"/>
  <c r="T165" i="6"/>
  <c r="T169" i="6"/>
  <c r="T177" i="6"/>
  <c r="T185" i="6"/>
  <c r="T3" i="6"/>
  <c r="T144" i="6"/>
  <c r="U172" i="6"/>
  <c r="T176" i="6"/>
  <c r="U27" i="6"/>
  <c r="U35" i="6"/>
  <c r="T137" i="6"/>
  <c r="T164" i="6"/>
  <c r="U144" i="6"/>
  <c r="T148" i="6"/>
  <c r="U176" i="6"/>
  <c r="T157" i="6"/>
  <c r="T31" i="6"/>
  <c r="T39" i="6"/>
  <c r="T45" i="6"/>
  <c r="T53" i="6"/>
  <c r="T67" i="6"/>
  <c r="T162" i="6"/>
  <c r="U10" i="6"/>
  <c r="U14" i="6"/>
  <c r="U18" i="6"/>
  <c r="U22" i="6"/>
  <c r="U180" i="6"/>
  <c r="U186" i="6"/>
  <c r="U192" i="6"/>
  <c r="T198" i="6"/>
  <c r="T202" i="6"/>
  <c r="U208" i="6"/>
  <c r="T214" i="6"/>
  <c r="U220" i="6"/>
  <c r="U232" i="6"/>
  <c r="U250" i="6"/>
  <c r="T160" i="6"/>
  <c r="U162" i="6"/>
  <c r="T8" i="6"/>
  <c r="T6" i="6"/>
  <c r="T10" i="6"/>
  <c r="T143" i="6"/>
  <c r="U167" i="6"/>
  <c r="T14" i="6"/>
  <c r="T147" i="6"/>
  <c r="U171" i="6"/>
  <c r="T18" i="6"/>
  <c r="T151" i="6"/>
  <c r="T175" i="6"/>
  <c r="T22" i="6"/>
  <c r="T155" i="6"/>
  <c r="U179" i="6"/>
  <c r="T180" i="6"/>
  <c r="T182" i="6"/>
  <c r="T184" i="6"/>
  <c r="T186" i="6"/>
  <c r="T188" i="6"/>
  <c r="T190" i="6"/>
  <c r="T192" i="6"/>
  <c r="T194" i="6"/>
  <c r="T196" i="6"/>
  <c r="U198" i="6"/>
  <c r="U200" i="6"/>
  <c r="U202" i="6"/>
  <c r="T204" i="6"/>
  <c r="U206" i="6"/>
  <c r="T208" i="6"/>
  <c r="U210" i="6"/>
  <c r="T212" i="6"/>
  <c r="U214" i="6"/>
  <c r="T216" i="6"/>
  <c r="U218" i="6"/>
  <c r="T220" i="6"/>
  <c r="T222" i="6"/>
  <c r="T224" i="6"/>
  <c r="T226" i="6"/>
  <c r="T228" i="6"/>
  <c r="T230" i="6"/>
  <c r="T232" i="6"/>
  <c r="U234" i="6"/>
  <c r="T236" i="6"/>
  <c r="T238" i="6"/>
  <c r="U241" i="6"/>
  <c r="U244" i="6"/>
  <c r="U93" i="6"/>
  <c r="T251" i="6"/>
  <c r="T99" i="6"/>
  <c r="T106" i="6"/>
  <c r="U112" i="6"/>
  <c r="U119" i="6"/>
  <c r="U126" i="6"/>
  <c r="T131" i="6"/>
  <c r="T5" i="7"/>
  <c r="U259" i="7"/>
  <c r="U598" i="7"/>
  <c r="U257" i="7"/>
  <c r="T256" i="7"/>
  <c r="T289" i="7"/>
  <c r="U4" i="8"/>
  <c r="U600" i="7"/>
  <c r="T601" i="7"/>
  <c r="T262" i="7"/>
  <c r="U263" i="7"/>
  <c r="U14" i="7"/>
  <c r="U15" i="7"/>
  <c r="U16" i="7"/>
  <c r="U712" i="7"/>
  <c r="T713" i="7"/>
  <c r="U693" i="7"/>
  <c r="U694" i="7"/>
  <c r="U695" i="7"/>
  <c r="T306" i="7"/>
  <c r="T307" i="7"/>
  <c r="U273" i="7"/>
  <c r="T274" i="7"/>
  <c r="U275" i="7"/>
  <c r="T26" i="7"/>
  <c r="U312" i="7"/>
  <c r="U29" i="7"/>
  <c r="U620" i="7"/>
  <c r="T282" i="7"/>
  <c r="U33" i="8"/>
  <c r="U320" i="7"/>
  <c r="U630" i="7"/>
  <c r="U163" i="6"/>
  <c r="T145" i="6"/>
  <c r="T20" i="6"/>
  <c r="U187" i="6"/>
  <c r="U137" i="6"/>
  <c r="U4" i="6"/>
  <c r="U148" i="6"/>
  <c r="T152" i="6"/>
  <c r="U157" i="6"/>
  <c r="U37" i="6"/>
  <c r="T139" i="6"/>
  <c r="T4" i="6"/>
  <c r="T168" i="6"/>
  <c r="T172" i="6"/>
  <c r="T23" i="6"/>
  <c r="T27" i="6"/>
  <c r="T35" i="6"/>
  <c r="T41" i="6"/>
  <c r="T51" i="6"/>
  <c r="T69" i="6"/>
  <c r="U8" i="6"/>
  <c r="U143" i="6"/>
  <c r="U147" i="6"/>
  <c r="U151" i="6"/>
  <c r="U155" i="6"/>
  <c r="U182" i="6"/>
  <c r="U190" i="6"/>
  <c r="U196" i="6"/>
  <c r="U204" i="6"/>
  <c r="U212" i="6"/>
  <c r="T218" i="6"/>
  <c r="U224" i="6"/>
  <c r="U230" i="6"/>
  <c r="U236" i="6"/>
  <c r="T241" i="6"/>
  <c r="T159" i="6"/>
  <c r="U140" i="6"/>
  <c r="U7" i="6"/>
  <c r="U9" i="6"/>
  <c r="T142" i="6"/>
  <c r="U166" i="6"/>
  <c r="U13" i="6"/>
  <c r="U146" i="6"/>
  <c r="U170" i="6"/>
  <c r="U17" i="6"/>
  <c r="T150" i="6"/>
  <c r="T174" i="6"/>
  <c r="U21" i="6"/>
  <c r="U154" i="6"/>
  <c r="U178" i="6"/>
  <c r="U25" i="6"/>
  <c r="U26" i="6"/>
  <c r="U28" i="6"/>
  <c r="U30" i="6"/>
  <c r="U32" i="6"/>
  <c r="U34" i="6"/>
  <c r="U36" i="6"/>
  <c r="U38" i="6"/>
  <c r="U40" i="6"/>
  <c r="U42" i="6"/>
  <c r="U44" i="6"/>
  <c r="U46" i="6"/>
  <c r="U48" i="6"/>
  <c r="U50" i="6"/>
  <c r="U52" i="6"/>
  <c r="U54" i="6"/>
  <c r="U56" i="6"/>
  <c r="U58" i="6"/>
  <c r="U60" i="6"/>
  <c r="U62" i="6"/>
  <c r="U64" i="6"/>
  <c r="U66" i="6"/>
  <c r="U68" i="6"/>
  <c r="U70" i="6"/>
  <c r="U72" i="6"/>
  <c r="U74" i="6"/>
  <c r="U76" i="6"/>
  <c r="U78" i="6"/>
  <c r="U80" i="6"/>
  <c r="U82" i="6"/>
  <c r="U84" i="6"/>
  <c r="U87" i="6"/>
  <c r="U245" i="6"/>
  <c r="T93" i="6"/>
  <c r="U251" i="6"/>
  <c r="U100" i="6"/>
  <c r="U107" i="6"/>
  <c r="U114" i="6"/>
  <c r="T119" i="6"/>
  <c r="T126" i="6"/>
  <c r="U132" i="6"/>
  <c r="U6" i="7"/>
  <c r="U599" i="7"/>
  <c r="T598" i="7"/>
  <c r="T257" i="7"/>
  <c r="U701" i="7"/>
  <c r="U594" i="7"/>
  <c r="U6" i="8"/>
  <c r="T600" i="7"/>
  <c r="U601" i="7"/>
  <c r="T297" i="7"/>
  <c r="U298" i="7"/>
  <c r="T299" i="7"/>
  <c r="T15" i="7"/>
  <c r="T16" i="7"/>
  <c r="U16" i="8"/>
  <c r="U17" i="8"/>
  <c r="U18" i="8"/>
  <c r="T694" i="7"/>
  <c r="T695" i="7"/>
  <c r="U611" i="7"/>
  <c r="U612" i="7"/>
  <c r="U613" i="7"/>
  <c r="U274" i="7"/>
  <c r="T275" i="7"/>
  <c r="T276" i="7"/>
  <c r="T312" i="7"/>
  <c r="T29" i="7"/>
  <c r="T620" i="7"/>
  <c r="U282" i="7"/>
  <c r="T33" i="8"/>
  <c r="T320" i="7"/>
  <c r="T631" i="7"/>
  <c r="T141" i="6"/>
  <c r="T12" i="6"/>
  <c r="T153" i="6"/>
  <c r="T189" i="6"/>
  <c r="U139" i="6"/>
  <c r="U11" i="6"/>
  <c r="U19" i="6"/>
  <c r="U156" i="6"/>
  <c r="U41" i="6"/>
  <c r="T11" i="6"/>
  <c r="T15" i="6"/>
  <c r="U152" i="6"/>
  <c r="T156" i="6"/>
  <c r="T29" i="6"/>
  <c r="T37" i="6"/>
  <c r="T43" i="6"/>
  <c r="T49" i="6"/>
  <c r="T57" i="6"/>
  <c r="T65" i="6"/>
  <c r="U160" i="6"/>
  <c r="U6" i="6"/>
  <c r="T167" i="6"/>
  <c r="T171" i="6"/>
  <c r="U175" i="6"/>
  <c r="T179" i="6"/>
  <c r="U184" i="6"/>
  <c r="U194" i="6"/>
  <c r="T200" i="6"/>
  <c r="T206" i="6"/>
  <c r="T210" i="6"/>
  <c r="U216" i="6"/>
  <c r="U222" i="6"/>
  <c r="U228" i="6"/>
  <c r="T234" i="6"/>
  <c r="T89" i="6"/>
  <c r="U138" i="6"/>
  <c r="U159" i="6"/>
  <c r="T138" i="6"/>
  <c r="T140" i="6"/>
  <c r="T7" i="6"/>
  <c r="T9" i="6"/>
  <c r="U142" i="6"/>
  <c r="T166" i="6"/>
  <c r="T13" i="6"/>
  <c r="T146" i="6"/>
  <c r="T170" i="6"/>
  <c r="T17" i="6"/>
  <c r="U150" i="6"/>
  <c r="U174" i="6"/>
  <c r="T21" i="6"/>
  <c r="T154" i="6"/>
  <c r="T178" i="6"/>
  <c r="T25" i="6"/>
  <c r="T26" i="6"/>
  <c r="T28" i="6"/>
  <c r="T30" i="6"/>
  <c r="T32" i="6"/>
  <c r="T34" i="6"/>
  <c r="T36" i="6"/>
  <c r="T38" i="6"/>
  <c r="T40" i="6"/>
  <c r="T42" i="6"/>
  <c r="T44" i="6"/>
  <c r="T46" i="6"/>
  <c r="T48" i="6"/>
  <c r="T50" i="6"/>
  <c r="T52" i="6"/>
  <c r="T54" i="6"/>
  <c r="T56" i="6"/>
  <c r="T58" i="6"/>
  <c r="T60" i="6"/>
  <c r="T62" i="6"/>
  <c r="T64" i="6"/>
  <c r="T66" i="6"/>
  <c r="T68" i="6"/>
  <c r="T70" i="6"/>
  <c r="T72" i="6"/>
  <c r="T74" i="6"/>
  <c r="T76" i="6"/>
  <c r="T78" i="6"/>
  <c r="T80" i="6"/>
  <c r="T82" i="6"/>
  <c r="U239" i="6"/>
  <c r="T87" i="6"/>
  <c r="T245" i="6"/>
  <c r="U248" i="6"/>
  <c r="U97" i="6"/>
  <c r="U102" i="6"/>
  <c r="T107" i="6"/>
  <c r="T114" i="6"/>
  <c r="U120" i="6"/>
  <c r="U127" i="6"/>
  <c r="U134" i="6"/>
  <c r="T6" i="7"/>
  <c r="T599" i="7"/>
  <c r="U293" i="7"/>
  <c r="U702" i="7"/>
  <c r="U595" i="7"/>
  <c r="T594" i="7"/>
  <c r="T6" i="8"/>
  <c r="U685" i="7"/>
  <c r="U686" i="7"/>
  <c r="U687" i="7"/>
  <c r="T298" i="7"/>
  <c r="U299" i="7"/>
  <c r="U265" i="7"/>
  <c r="T266" i="7"/>
  <c r="U267" i="7"/>
  <c r="T17" i="8"/>
  <c r="T18" i="8"/>
  <c r="U715" i="7"/>
  <c r="U716" i="7"/>
  <c r="U717" i="7"/>
  <c r="T612" i="7"/>
  <c r="T613" i="7"/>
  <c r="T309" i="7"/>
  <c r="U310" i="7"/>
  <c r="U616" i="7"/>
  <c r="U617" i="7"/>
  <c r="T279" i="7"/>
  <c r="U30" i="8"/>
  <c r="T317" i="7"/>
  <c r="U34" i="7"/>
  <c r="U625" i="7"/>
  <c r="T632" i="7"/>
  <c r="U277" i="7"/>
  <c r="U28" i="7"/>
  <c r="U28" i="8"/>
  <c r="U619" i="7"/>
  <c r="U315" i="7"/>
  <c r="U281" i="7"/>
  <c r="U32" i="7"/>
  <c r="U32" i="8"/>
  <c r="U623" i="7"/>
  <c r="U319" i="7"/>
  <c r="U285" i="7"/>
  <c r="U36" i="7"/>
  <c r="U36" i="8"/>
  <c r="T627" i="7"/>
  <c r="U323" i="7"/>
  <c r="U324" i="7"/>
  <c r="T325" i="7"/>
  <c r="U326" i="7"/>
  <c r="U327" i="7"/>
  <c r="U328" i="7"/>
  <c r="U329" i="7"/>
  <c r="U330" i="7"/>
  <c r="U331" i="7"/>
  <c r="U332" i="7"/>
  <c r="T333" i="7"/>
  <c r="U334" i="7"/>
  <c r="U335" i="7"/>
  <c r="U336" i="7"/>
  <c r="U337" i="7"/>
  <c r="U338" i="7"/>
  <c r="T339" i="7"/>
  <c r="T340" i="7"/>
  <c r="U341" i="7"/>
  <c r="U58" i="7"/>
  <c r="U344" i="7"/>
  <c r="T61" i="7"/>
  <c r="T652" i="7"/>
  <c r="T349" i="7"/>
  <c r="U66" i="7"/>
  <c r="T352" i="7"/>
  <c r="T69" i="7"/>
  <c r="U660" i="7"/>
  <c r="T357" i="7"/>
  <c r="U74" i="7"/>
  <c r="T360" i="7"/>
  <c r="T77" i="7"/>
  <c r="T668" i="7"/>
  <c r="T670" i="7"/>
  <c r="U83" i="7"/>
  <c r="T674" i="7"/>
  <c r="T87" i="7"/>
  <c r="U89" i="7"/>
  <c r="T377" i="7"/>
  <c r="U96" i="7"/>
  <c r="T383" i="7"/>
  <c r="T102" i="7"/>
  <c r="U105" i="7"/>
  <c r="U393" i="7"/>
  <c r="U112" i="7"/>
  <c r="T399" i="7"/>
  <c r="T118" i="7"/>
  <c r="U121" i="7"/>
  <c r="T409" i="7"/>
  <c r="U128" i="7"/>
  <c r="U415" i="7"/>
  <c r="T134" i="7"/>
  <c r="T138" i="7"/>
  <c r="T142" i="7"/>
  <c r="T146" i="7"/>
  <c r="T437" i="7"/>
  <c r="T36" i="7"/>
  <c r="T36" i="8"/>
  <c r="U627" i="7"/>
  <c r="T323" i="7"/>
  <c r="T324" i="7"/>
  <c r="U325" i="7"/>
  <c r="T326" i="7"/>
  <c r="T327" i="7"/>
  <c r="T328" i="7"/>
  <c r="T329" i="7"/>
  <c r="T330" i="7"/>
  <c r="T331" i="7"/>
  <c r="T332" i="7"/>
  <c r="U333" i="7"/>
  <c r="T334" i="7"/>
  <c r="T335" i="7"/>
  <c r="T336" i="7"/>
  <c r="T337" i="7"/>
  <c r="T338" i="7"/>
  <c r="U339" i="7"/>
  <c r="U340" i="7"/>
  <c r="T646" i="7"/>
  <c r="T58" i="7"/>
  <c r="T649" i="7"/>
  <c r="T346" i="7"/>
  <c r="U63" i="7"/>
  <c r="U349" i="7"/>
  <c r="T66" i="7"/>
  <c r="U657" i="7"/>
  <c r="U354" i="7"/>
  <c r="U71" i="7"/>
  <c r="U357" i="7"/>
  <c r="T74" i="7"/>
  <c r="T665" i="7"/>
  <c r="U362" i="7"/>
  <c r="U79" i="7"/>
  <c r="U670" i="7"/>
  <c r="T83" i="7"/>
  <c r="U85" i="7"/>
  <c r="U372" i="7"/>
  <c r="U90" i="7"/>
  <c r="U377" i="7"/>
  <c r="T96" i="7"/>
  <c r="U99" i="7"/>
  <c r="U387" i="7"/>
  <c r="U106" i="7"/>
  <c r="T393" i="7"/>
  <c r="T112" i="7"/>
  <c r="U115" i="7"/>
  <c r="U403" i="7"/>
  <c r="U122" i="7"/>
  <c r="U409" i="7"/>
  <c r="T128" i="7"/>
  <c r="U131" i="7"/>
  <c r="U419" i="7"/>
  <c r="U423" i="7"/>
  <c r="U427" i="7"/>
  <c r="U431" i="7"/>
  <c r="T439" i="7"/>
  <c r="U286" i="7"/>
  <c r="U37" i="7"/>
  <c r="U37" i="8"/>
  <c r="U628" i="7"/>
  <c r="U629" i="7"/>
  <c r="T630" i="7"/>
  <c r="U631" i="7"/>
  <c r="U632" i="7"/>
  <c r="T633" i="7"/>
  <c r="T634" i="7"/>
  <c r="U635" i="7"/>
  <c r="U636" i="7"/>
  <c r="U637" i="7"/>
  <c r="T638" i="7"/>
  <c r="U639" i="7"/>
  <c r="U640" i="7"/>
  <c r="T641" i="7"/>
  <c r="U642" i="7"/>
  <c r="U643" i="7"/>
  <c r="T644" i="7"/>
  <c r="T645" i="7"/>
  <c r="U56" i="8"/>
  <c r="U343" i="7"/>
  <c r="U60" i="7"/>
  <c r="U346" i="7"/>
  <c r="T63" i="7"/>
  <c r="T654" i="7"/>
  <c r="U351" i="7"/>
  <c r="U68" i="7"/>
  <c r="T354" i="7"/>
  <c r="T71" i="7"/>
  <c r="T662" i="7"/>
  <c r="U359" i="7"/>
  <c r="U76" i="7"/>
  <c r="T362" i="7"/>
  <c r="T79" i="7"/>
  <c r="U81" i="7"/>
  <c r="U368" i="7"/>
  <c r="T675" i="7"/>
  <c r="T372" i="7"/>
  <c r="T90" i="7"/>
  <c r="U93" i="7"/>
  <c r="T381" i="7"/>
  <c r="U100" i="7"/>
  <c r="T387" i="7"/>
  <c r="T106" i="7"/>
  <c r="U109" i="7"/>
  <c r="T397" i="7"/>
  <c r="U116" i="7"/>
  <c r="T403" i="7"/>
  <c r="T122" i="7"/>
  <c r="U125" i="7"/>
  <c r="U413" i="7"/>
  <c r="U132" i="7"/>
  <c r="T419" i="7"/>
  <c r="T423" i="7"/>
  <c r="T427" i="7"/>
  <c r="T431" i="7"/>
  <c r="U441" i="7"/>
  <c r="U633" i="7"/>
  <c r="U634" i="7"/>
  <c r="T635" i="7"/>
  <c r="T636" i="7"/>
  <c r="T637" i="7"/>
  <c r="U638" i="7"/>
  <c r="T639" i="7"/>
  <c r="T640" i="7"/>
  <c r="U641" i="7"/>
  <c r="T642" i="7"/>
  <c r="T643" i="7"/>
  <c r="U644" i="7"/>
  <c r="U645" i="7"/>
  <c r="U57" i="7"/>
  <c r="T343" i="7"/>
  <c r="T60" i="7"/>
  <c r="T651" i="7"/>
  <c r="U348" i="7"/>
  <c r="U65" i="7"/>
  <c r="T351" i="7"/>
  <c r="T68" i="7"/>
  <c r="U659" i="7"/>
  <c r="U356" i="7"/>
  <c r="U73" i="7"/>
  <c r="T359" i="7"/>
  <c r="T76" i="7"/>
  <c r="T667" i="7"/>
  <c r="U364" i="7"/>
  <c r="U671" i="7"/>
  <c r="T368" i="7"/>
  <c r="U675" i="7"/>
  <c r="T677" i="7"/>
  <c r="T375" i="7"/>
  <c r="U94" i="7"/>
  <c r="U381" i="7"/>
  <c r="T100" i="7"/>
  <c r="U103" i="7"/>
  <c r="U391" i="7"/>
  <c r="U110" i="7"/>
  <c r="U397" i="7"/>
  <c r="T116" i="7"/>
  <c r="U119" i="7"/>
  <c r="T407" i="7"/>
  <c r="U126" i="7"/>
  <c r="T413" i="7"/>
  <c r="T132" i="7"/>
  <c r="U135" i="7"/>
  <c r="U139" i="7"/>
  <c r="U143" i="7"/>
  <c r="U147" i="7"/>
  <c r="T443" i="7"/>
  <c r="T321" i="7"/>
  <c r="U287" i="7"/>
  <c r="U38" i="7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T57" i="7"/>
  <c r="T648" i="7"/>
  <c r="U345" i="7"/>
  <c r="U62" i="7"/>
  <c r="T348" i="7"/>
  <c r="T65" i="7"/>
  <c r="U656" i="7"/>
  <c r="U353" i="7"/>
  <c r="U70" i="7"/>
  <c r="T356" i="7"/>
  <c r="T73" i="7"/>
  <c r="T664" i="7"/>
  <c r="U361" i="7"/>
  <c r="U78" i="7"/>
  <c r="T364" i="7"/>
  <c r="T671" i="7"/>
  <c r="T673" i="7"/>
  <c r="U86" i="7"/>
  <c r="T373" i="7"/>
  <c r="U375" i="7"/>
  <c r="T94" i="7"/>
  <c r="U97" i="7"/>
  <c r="T385" i="7"/>
  <c r="U104" i="7"/>
  <c r="T391" i="7"/>
  <c r="T110" i="7"/>
  <c r="U113" i="7"/>
  <c r="U401" i="7"/>
  <c r="U120" i="7"/>
  <c r="U407" i="7"/>
  <c r="T126" i="7"/>
  <c r="U129" i="7"/>
  <c r="U417" i="7"/>
  <c r="T136" i="7"/>
  <c r="T140" i="7"/>
  <c r="T144" i="7"/>
  <c r="U433" i="7"/>
  <c r="T445" i="7"/>
  <c r="U240" i="6"/>
  <c r="U242" i="6"/>
  <c r="T244" i="6"/>
  <c r="T246" i="6"/>
  <c r="T248" i="6"/>
  <c r="T250" i="6"/>
  <c r="T252" i="6"/>
  <c r="T100" i="6"/>
  <c r="T104" i="6"/>
  <c r="T108" i="6"/>
  <c r="T112" i="6"/>
  <c r="T116" i="6"/>
  <c r="T120" i="6"/>
  <c r="T124" i="6"/>
  <c r="T128" i="6"/>
  <c r="T132" i="6"/>
  <c r="U3" i="8"/>
  <c r="T4" i="7"/>
  <c r="T259" i="7"/>
  <c r="T705" i="7"/>
  <c r="T293" i="7"/>
  <c r="T597" i="7"/>
  <c r="T681" i="7"/>
  <c r="T701" i="7"/>
  <c r="T255" i="7"/>
  <c r="T679" i="7"/>
  <c r="T4" i="8"/>
  <c r="T10" i="7"/>
  <c r="T685" i="7"/>
  <c r="T261" i="7"/>
  <c r="U707" i="7"/>
  <c r="U297" i="7"/>
  <c r="T12" i="8"/>
  <c r="U603" i="7"/>
  <c r="T14" i="7"/>
  <c r="T689" i="7"/>
  <c r="T265" i="7"/>
  <c r="T711" i="7"/>
  <c r="U301" i="7"/>
  <c r="T16" i="8"/>
  <c r="T607" i="7"/>
  <c r="T18" i="7"/>
  <c r="T693" i="7"/>
  <c r="T269" i="7"/>
  <c r="T715" i="7"/>
  <c r="T305" i="7"/>
  <c r="T20" i="8"/>
  <c r="T611" i="7"/>
  <c r="T22" i="7"/>
  <c r="T697" i="7"/>
  <c r="T273" i="7"/>
  <c r="T719" i="7"/>
  <c r="U309" i="7"/>
  <c r="T24" i="8"/>
  <c r="T615" i="7"/>
  <c r="U276" i="7"/>
  <c r="T26" i="8"/>
  <c r="T617" i="7"/>
  <c r="T313" i="7"/>
  <c r="U279" i="7"/>
  <c r="T30" i="7"/>
  <c r="T30" i="8"/>
  <c r="U621" i="7"/>
  <c r="U317" i="7"/>
  <c r="T283" i="7"/>
  <c r="T34" i="7"/>
  <c r="T34" i="8"/>
  <c r="T625" i="7"/>
  <c r="U321" i="7"/>
  <c r="T287" i="7"/>
  <c r="T38" i="7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U56" i="7"/>
  <c r="U342" i="7"/>
  <c r="U59" i="7"/>
  <c r="T345" i="7"/>
  <c r="T62" i="7"/>
  <c r="U653" i="7"/>
  <c r="U350" i="7"/>
  <c r="U67" i="7"/>
  <c r="T353" i="7"/>
  <c r="T70" i="7"/>
  <c r="U661" i="7"/>
  <c r="U358" i="7"/>
  <c r="U75" i="7"/>
  <c r="T361" i="7"/>
  <c r="T78" i="7"/>
  <c r="T669" i="7"/>
  <c r="U82" i="7"/>
  <c r="U369" i="7"/>
  <c r="T86" i="7"/>
  <c r="U373" i="7"/>
  <c r="U91" i="7"/>
  <c r="T379" i="7"/>
  <c r="U98" i="7"/>
  <c r="U385" i="7"/>
  <c r="T104" i="7"/>
  <c r="U107" i="7"/>
  <c r="U395" i="7"/>
  <c r="U114" i="7"/>
  <c r="T401" i="7"/>
  <c r="T120" i="7"/>
  <c r="U123" i="7"/>
  <c r="U411" i="7"/>
  <c r="U130" i="7"/>
  <c r="T417" i="7"/>
  <c r="U421" i="7"/>
  <c r="U425" i="7"/>
  <c r="U429" i="7"/>
  <c r="T433" i="7"/>
  <c r="U447" i="7"/>
  <c r="U86" i="6"/>
  <c r="U88" i="6"/>
  <c r="U90" i="6"/>
  <c r="U92" i="6"/>
  <c r="U94" i="6"/>
  <c r="U96" i="6"/>
  <c r="U98" i="6"/>
  <c r="U101" i="6"/>
  <c r="U105" i="6"/>
  <c r="U109" i="6"/>
  <c r="U113" i="6"/>
  <c r="U117" i="6"/>
  <c r="U121" i="6"/>
  <c r="U125" i="6"/>
  <c r="U129" i="6"/>
  <c r="U133" i="6"/>
  <c r="U3" i="7"/>
  <c r="U8" i="7"/>
  <c r="U294" i="7"/>
  <c r="U704" i="7"/>
  <c r="U258" i="7"/>
  <c r="U292" i="7"/>
  <c r="U596" i="7"/>
  <c r="U680" i="7"/>
  <c r="U254" i="7"/>
  <c r="U700" i="7"/>
  <c r="U5" i="8"/>
  <c r="U260" i="7"/>
  <c r="U706" i="7"/>
  <c r="U296" i="7"/>
  <c r="U11" i="8"/>
  <c r="T602" i="7"/>
  <c r="U13" i="7"/>
  <c r="T688" i="7"/>
  <c r="U264" i="7"/>
  <c r="U710" i="7"/>
  <c r="U300" i="7"/>
  <c r="U15" i="8"/>
  <c r="T606" i="7"/>
  <c r="U17" i="7"/>
  <c r="U692" i="7"/>
  <c r="U268" i="7"/>
  <c r="U714" i="7"/>
  <c r="U304" i="7"/>
  <c r="U19" i="8"/>
  <c r="T610" i="7"/>
  <c r="U21" i="7"/>
  <c r="U696" i="7"/>
  <c r="U272" i="7"/>
  <c r="U718" i="7"/>
  <c r="U308" i="7"/>
  <c r="U23" i="8"/>
  <c r="T614" i="7"/>
  <c r="U25" i="7"/>
  <c r="U721" i="7"/>
  <c r="U311" i="7"/>
  <c r="U27" i="7"/>
  <c r="U27" i="8"/>
  <c r="U618" i="7"/>
  <c r="U314" i="7"/>
  <c r="U280" i="7"/>
  <c r="U31" i="7"/>
  <c r="U31" i="8"/>
  <c r="T622" i="7"/>
  <c r="U318" i="7"/>
  <c r="U284" i="7"/>
  <c r="U35" i="7"/>
  <c r="U35" i="8"/>
  <c r="U626" i="7"/>
  <c r="U322" i="7"/>
  <c r="U28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T56" i="7"/>
  <c r="T342" i="7"/>
  <c r="T59" i="7"/>
  <c r="U650" i="7"/>
  <c r="U347" i="7"/>
  <c r="U64" i="7"/>
  <c r="T350" i="7"/>
  <c r="T67" i="7"/>
  <c r="U658" i="7"/>
  <c r="U355" i="7"/>
  <c r="U72" i="7"/>
  <c r="T358" i="7"/>
  <c r="T75" i="7"/>
  <c r="T666" i="7"/>
  <c r="U363" i="7"/>
  <c r="T365" i="7"/>
  <c r="T82" i="7"/>
  <c r="T369" i="7"/>
  <c r="U371" i="7"/>
  <c r="T678" i="7"/>
  <c r="U92" i="7"/>
  <c r="U379" i="7"/>
  <c r="T98" i="7"/>
  <c r="U101" i="7"/>
  <c r="T389" i="7"/>
  <c r="U108" i="7"/>
  <c r="T395" i="7"/>
  <c r="T114" i="7"/>
  <c r="U117" i="7"/>
  <c r="U405" i="7"/>
  <c r="U124" i="7"/>
  <c r="T411" i="7"/>
  <c r="T130" i="7"/>
  <c r="U133" i="7"/>
  <c r="T421" i="7"/>
  <c r="T425" i="7"/>
  <c r="T429" i="7"/>
  <c r="U149" i="7"/>
  <c r="T449" i="7"/>
  <c r="T84" i="6"/>
  <c r="T86" i="6"/>
  <c r="T88" i="6"/>
  <c r="T90" i="6"/>
  <c r="T92" i="6"/>
  <c r="T94" i="6"/>
  <c r="T96" i="6"/>
  <c r="T98" i="6"/>
  <c r="T101" i="6"/>
  <c r="T105" i="6"/>
  <c r="T109" i="6"/>
  <c r="T113" i="6"/>
  <c r="T117" i="6"/>
  <c r="T121" i="6"/>
  <c r="T125" i="6"/>
  <c r="T129" i="6"/>
  <c r="T133" i="6"/>
  <c r="T8" i="7"/>
  <c r="T294" i="7"/>
  <c r="T704" i="7"/>
  <c r="T258" i="7"/>
  <c r="T292" i="7"/>
  <c r="T596" i="7"/>
  <c r="T680" i="7"/>
  <c r="T254" i="7"/>
  <c r="T700" i="7"/>
  <c r="T5" i="8"/>
  <c r="T260" i="7"/>
  <c r="T706" i="7"/>
  <c r="T296" i="7"/>
  <c r="T11" i="8"/>
  <c r="U602" i="7"/>
  <c r="T13" i="7"/>
  <c r="U688" i="7"/>
  <c r="T264" i="7"/>
  <c r="T710" i="7"/>
  <c r="T300" i="7"/>
  <c r="T15" i="8"/>
  <c r="U606" i="7"/>
  <c r="T17" i="7"/>
  <c r="T692" i="7"/>
  <c r="T268" i="7"/>
  <c r="T714" i="7"/>
  <c r="T304" i="7"/>
  <c r="T19" i="8"/>
  <c r="U610" i="7"/>
  <c r="T21" i="7"/>
  <c r="T696" i="7"/>
  <c r="T272" i="7"/>
  <c r="T718" i="7"/>
  <c r="T308" i="7"/>
  <c r="T23" i="8"/>
  <c r="U614" i="7"/>
  <c r="T25" i="7"/>
  <c r="T721" i="7"/>
  <c r="T311" i="7"/>
  <c r="T27" i="7"/>
  <c r="T27" i="8"/>
  <c r="T618" i="7"/>
  <c r="T314" i="7"/>
  <c r="T280" i="7"/>
  <c r="T31" i="7"/>
  <c r="T31" i="8"/>
  <c r="U622" i="7"/>
  <c r="T318" i="7"/>
  <c r="T284" i="7"/>
  <c r="T35" i="7"/>
  <c r="T35" i="8"/>
  <c r="T626" i="7"/>
  <c r="T322" i="7"/>
  <c r="T28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341" i="7"/>
  <c r="U647" i="7"/>
  <c r="T344" i="7"/>
  <c r="U61" i="7"/>
  <c r="T347" i="7"/>
  <c r="T64" i="7"/>
  <c r="U655" i="7"/>
  <c r="U352" i="7"/>
  <c r="U69" i="7"/>
  <c r="T355" i="7"/>
  <c r="T72" i="7"/>
  <c r="U663" i="7"/>
  <c r="U360" i="7"/>
  <c r="U77" i="7"/>
  <c r="T363" i="7"/>
  <c r="U365" i="7"/>
  <c r="U367" i="7"/>
  <c r="U674" i="7"/>
  <c r="U87" i="7"/>
  <c r="U678" i="7"/>
  <c r="T92" i="7"/>
  <c r="U95" i="7"/>
  <c r="U383" i="7"/>
  <c r="U102" i="7"/>
  <c r="U389" i="7"/>
  <c r="T108" i="7"/>
  <c r="U111" i="7"/>
  <c r="U399" i="7"/>
  <c r="U118" i="7"/>
  <c r="T405" i="7"/>
  <c r="T124" i="7"/>
  <c r="U127" i="7"/>
  <c r="T415" i="7"/>
  <c r="U134" i="7"/>
  <c r="U137" i="7"/>
  <c r="U141" i="7"/>
  <c r="U145" i="7"/>
  <c r="T435" i="7"/>
  <c r="U136" i="7"/>
  <c r="U138" i="7"/>
  <c r="U140" i="7"/>
  <c r="U142" i="7"/>
  <c r="U144" i="7"/>
  <c r="U146" i="7"/>
  <c r="U148" i="7"/>
  <c r="U150" i="7"/>
  <c r="U152" i="7"/>
  <c r="U154" i="7"/>
  <c r="U156" i="7"/>
  <c r="U158" i="7"/>
  <c r="U160" i="7"/>
  <c r="U162" i="7"/>
  <c r="U164" i="7"/>
  <c r="U166" i="7"/>
  <c r="U168" i="7"/>
  <c r="U170" i="7"/>
  <c r="U172" i="7"/>
  <c r="U174" i="7"/>
  <c r="U176" i="7"/>
  <c r="U178" i="7"/>
  <c r="U180" i="7"/>
  <c r="U182" i="7"/>
  <c r="U184" i="7"/>
  <c r="U186" i="7"/>
  <c r="U188" i="7"/>
  <c r="U190" i="7"/>
  <c r="U192" i="7"/>
  <c r="U194" i="7"/>
  <c r="U196" i="7"/>
  <c r="U198" i="7"/>
  <c r="U200" i="7"/>
  <c r="U202" i="7"/>
  <c r="U204" i="7"/>
  <c r="U206" i="7"/>
  <c r="U208" i="7"/>
  <c r="U210" i="7"/>
  <c r="U212" i="7"/>
  <c r="U214" i="7"/>
  <c r="U216" i="7"/>
  <c r="U218" i="7"/>
  <c r="U220" i="7"/>
  <c r="U222" i="7"/>
  <c r="U224" i="7"/>
  <c r="U226" i="7"/>
  <c r="U228" i="7"/>
  <c r="U230" i="7"/>
  <c r="U232" i="7"/>
  <c r="U234" i="7"/>
  <c r="U236" i="7"/>
  <c r="U238" i="7"/>
  <c r="U240" i="7"/>
  <c r="U242" i="7"/>
  <c r="U244" i="7"/>
  <c r="U246" i="7"/>
  <c r="U248" i="7"/>
  <c r="U250" i="7"/>
  <c r="U252" i="7"/>
  <c r="T539" i="7"/>
  <c r="U543" i="7"/>
  <c r="U547" i="7"/>
  <c r="U551" i="7"/>
  <c r="U555" i="7"/>
  <c r="U559" i="7"/>
  <c r="T563" i="7"/>
  <c r="U567" i="7"/>
  <c r="U571" i="7"/>
  <c r="U575" i="7"/>
  <c r="U579" i="7"/>
  <c r="T583" i="7"/>
  <c r="U587" i="7"/>
  <c r="T591" i="7"/>
  <c r="T148" i="7"/>
  <c r="T150" i="7"/>
  <c r="T152" i="7"/>
  <c r="T154" i="7"/>
  <c r="T156" i="7"/>
  <c r="T158" i="7"/>
  <c r="T160" i="7"/>
  <c r="T162" i="7"/>
  <c r="T164" i="7"/>
  <c r="T166" i="7"/>
  <c r="T168" i="7"/>
  <c r="T170" i="7"/>
  <c r="T172" i="7"/>
  <c r="T174" i="7"/>
  <c r="T176" i="7"/>
  <c r="T178" i="7"/>
  <c r="T180" i="7"/>
  <c r="T182" i="7"/>
  <c r="T184" i="7"/>
  <c r="T186" i="7"/>
  <c r="T188" i="7"/>
  <c r="T190" i="7"/>
  <c r="T192" i="7"/>
  <c r="T194" i="7"/>
  <c r="T196" i="7"/>
  <c r="T198" i="7"/>
  <c r="T200" i="7"/>
  <c r="T202" i="7"/>
  <c r="T204" i="7"/>
  <c r="T206" i="7"/>
  <c r="T208" i="7"/>
  <c r="T210" i="7"/>
  <c r="T212" i="7"/>
  <c r="T214" i="7"/>
  <c r="T216" i="7"/>
  <c r="T218" i="7"/>
  <c r="T220" i="7"/>
  <c r="T222" i="7"/>
  <c r="T224" i="7"/>
  <c r="T226" i="7"/>
  <c r="T228" i="7"/>
  <c r="T230" i="7"/>
  <c r="T232" i="7"/>
  <c r="T234" i="7"/>
  <c r="T236" i="7"/>
  <c r="T238" i="7"/>
  <c r="T240" i="7"/>
  <c r="T242" i="7"/>
  <c r="T244" i="7"/>
  <c r="T246" i="7"/>
  <c r="T248" i="7"/>
  <c r="T250" i="7"/>
  <c r="T252" i="7"/>
  <c r="U539" i="7"/>
  <c r="T543" i="7"/>
  <c r="T547" i="7"/>
  <c r="T551" i="7"/>
  <c r="T555" i="7"/>
  <c r="T559" i="7"/>
  <c r="U563" i="7"/>
  <c r="T567" i="7"/>
  <c r="T571" i="7"/>
  <c r="T575" i="7"/>
  <c r="T579" i="7"/>
  <c r="U583" i="7"/>
  <c r="T587" i="7"/>
  <c r="U591" i="7"/>
  <c r="U435" i="7"/>
  <c r="U437" i="7"/>
  <c r="U439" i="7"/>
  <c r="T441" i="7"/>
  <c r="U443" i="7"/>
  <c r="U445" i="7"/>
  <c r="T447" i="7"/>
  <c r="U449" i="7"/>
  <c r="U451" i="7"/>
  <c r="U453" i="7"/>
  <c r="U455" i="7"/>
  <c r="U457" i="7"/>
  <c r="U459" i="7"/>
  <c r="T461" i="7"/>
  <c r="T463" i="7"/>
  <c r="T465" i="7"/>
  <c r="U467" i="7"/>
  <c r="U469" i="7"/>
  <c r="U471" i="7"/>
  <c r="T473" i="7"/>
  <c r="U475" i="7"/>
  <c r="U477" i="7"/>
  <c r="U479" i="7"/>
  <c r="T481" i="7"/>
  <c r="U483" i="7"/>
  <c r="U485" i="7"/>
  <c r="U487" i="7"/>
  <c r="U489" i="7"/>
  <c r="U491" i="7"/>
  <c r="T493" i="7"/>
  <c r="U495" i="7"/>
  <c r="U497" i="7"/>
  <c r="U499" i="7"/>
  <c r="U501" i="7"/>
  <c r="U503" i="7"/>
  <c r="T505" i="7"/>
  <c r="U507" i="7"/>
  <c r="T509" i="7"/>
  <c r="U511" i="7"/>
  <c r="U513" i="7"/>
  <c r="U515" i="7"/>
  <c r="U517" i="7"/>
  <c r="U519" i="7"/>
  <c r="U521" i="7"/>
  <c r="U523" i="7"/>
  <c r="T525" i="7"/>
  <c r="T527" i="7"/>
  <c r="T529" i="7"/>
  <c r="U531" i="7"/>
  <c r="U533" i="7"/>
  <c r="U535" i="7"/>
  <c r="T537" i="7"/>
  <c r="T540" i="7"/>
  <c r="U544" i="7"/>
  <c r="U548" i="7"/>
  <c r="T552" i="7"/>
  <c r="U556" i="7"/>
  <c r="T560" i="7"/>
  <c r="U564" i="7"/>
  <c r="U568" i="7"/>
  <c r="U572" i="7"/>
  <c r="U576" i="7"/>
  <c r="T580" i="7"/>
  <c r="U584" i="7"/>
  <c r="T588" i="7"/>
  <c r="U592" i="7"/>
  <c r="T451" i="7"/>
  <c r="T453" i="7"/>
  <c r="T455" i="7"/>
  <c r="T457" i="7"/>
  <c r="T459" i="7"/>
  <c r="U461" i="7"/>
  <c r="U463" i="7"/>
  <c r="U465" i="7"/>
  <c r="T467" i="7"/>
  <c r="T469" i="7"/>
  <c r="T471" i="7"/>
  <c r="U473" i="7"/>
  <c r="T475" i="7"/>
  <c r="T477" i="7"/>
  <c r="T479" i="7"/>
  <c r="U481" i="7"/>
  <c r="T483" i="7"/>
  <c r="T485" i="7"/>
  <c r="T487" i="7"/>
  <c r="T489" i="7"/>
  <c r="T491" i="7"/>
  <c r="U493" i="7"/>
  <c r="T495" i="7"/>
  <c r="T497" i="7"/>
  <c r="T499" i="7"/>
  <c r="T501" i="7"/>
  <c r="T503" i="7"/>
  <c r="U505" i="7"/>
  <c r="T507" i="7"/>
  <c r="U509" i="7"/>
  <c r="T511" i="7"/>
  <c r="T513" i="7"/>
  <c r="T515" i="7"/>
  <c r="T517" i="7"/>
  <c r="T519" i="7"/>
  <c r="T521" i="7"/>
  <c r="T523" i="7"/>
  <c r="U525" i="7"/>
  <c r="U527" i="7"/>
  <c r="U529" i="7"/>
  <c r="T531" i="7"/>
  <c r="T533" i="7"/>
  <c r="T535" i="7"/>
  <c r="U537" i="7"/>
  <c r="U540" i="7"/>
  <c r="T544" i="7"/>
  <c r="T548" i="7"/>
  <c r="U552" i="7"/>
  <c r="T556" i="7"/>
  <c r="U560" i="7"/>
  <c r="T564" i="7"/>
  <c r="T568" i="7"/>
  <c r="T572" i="7"/>
  <c r="T576" i="7"/>
  <c r="U580" i="7"/>
  <c r="T584" i="7"/>
  <c r="U588" i="7"/>
  <c r="T592" i="7"/>
  <c r="U151" i="7"/>
  <c r="U153" i="7"/>
  <c r="U155" i="7"/>
  <c r="U157" i="7"/>
  <c r="U159" i="7"/>
  <c r="U161" i="7"/>
  <c r="U163" i="7"/>
  <c r="U165" i="7"/>
  <c r="U167" i="7"/>
  <c r="U169" i="7"/>
  <c r="U171" i="7"/>
  <c r="U173" i="7"/>
  <c r="U175" i="7"/>
  <c r="U177" i="7"/>
  <c r="U179" i="7"/>
  <c r="U181" i="7"/>
  <c r="U183" i="7"/>
  <c r="U185" i="7"/>
  <c r="U187" i="7"/>
  <c r="U189" i="7"/>
  <c r="U191" i="7"/>
  <c r="U193" i="7"/>
  <c r="U195" i="7"/>
  <c r="U197" i="7"/>
  <c r="U199" i="7"/>
  <c r="U201" i="7"/>
  <c r="U203" i="7"/>
  <c r="U205" i="7"/>
  <c r="U207" i="7"/>
  <c r="U209" i="7"/>
  <c r="U211" i="7"/>
  <c r="U213" i="7"/>
  <c r="U215" i="7"/>
  <c r="U217" i="7"/>
  <c r="U219" i="7"/>
  <c r="U221" i="7"/>
  <c r="U223" i="7"/>
  <c r="U225" i="7"/>
  <c r="U227" i="7"/>
  <c r="U229" i="7"/>
  <c r="U231" i="7"/>
  <c r="U233" i="7"/>
  <c r="U235" i="7"/>
  <c r="U237" i="7"/>
  <c r="U239" i="7"/>
  <c r="U241" i="7"/>
  <c r="U243" i="7"/>
  <c r="U245" i="7"/>
  <c r="U247" i="7"/>
  <c r="U249" i="7"/>
  <c r="U251" i="7"/>
  <c r="U253" i="7"/>
  <c r="T541" i="7"/>
  <c r="U545" i="7"/>
  <c r="U549" i="7"/>
  <c r="U553" i="7"/>
  <c r="U557" i="7"/>
  <c r="T561" i="7"/>
  <c r="T565" i="7"/>
  <c r="U569" i="7"/>
  <c r="U573" i="7"/>
  <c r="U577" i="7"/>
  <c r="U581" i="7"/>
  <c r="U585" i="7"/>
  <c r="T589" i="7"/>
  <c r="U593" i="7"/>
  <c r="U646" i="7"/>
  <c r="T647" i="7"/>
  <c r="U648" i="7"/>
  <c r="U649" i="7"/>
  <c r="T650" i="7"/>
  <c r="U651" i="7"/>
  <c r="U652" i="7"/>
  <c r="T653" i="7"/>
  <c r="U654" i="7"/>
  <c r="T655" i="7"/>
  <c r="T656" i="7"/>
  <c r="T657" i="7"/>
  <c r="T658" i="7"/>
  <c r="T659" i="7"/>
  <c r="T660" i="7"/>
  <c r="T661" i="7"/>
  <c r="U662" i="7"/>
  <c r="T663" i="7"/>
  <c r="U664" i="7"/>
  <c r="U665" i="7"/>
  <c r="U666" i="7"/>
  <c r="U667" i="7"/>
  <c r="U668" i="7"/>
  <c r="U669" i="7"/>
  <c r="T81" i="7"/>
  <c r="T367" i="7"/>
  <c r="U673" i="7"/>
  <c r="T85" i="7"/>
  <c r="T371" i="7"/>
  <c r="U677" i="7"/>
  <c r="T89" i="7"/>
  <c r="T91" i="7"/>
  <c r="T93" i="7"/>
  <c r="T95" i="7"/>
  <c r="T97" i="7"/>
  <c r="T99" i="7"/>
  <c r="T101" i="7"/>
  <c r="T103" i="7"/>
  <c r="T105" i="7"/>
  <c r="T107" i="7"/>
  <c r="T109" i="7"/>
  <c r="T111" i="7"/>
  <c r="T113" i="7"/>
  <c r="T115" i="7"/>
  <c r="T117" i="7"/>
  <c r="T119" i="7"/>
  <c r="T121" i="7"/>
  <c r="T123" i="7"/>
  <c r="T125" i="7"/>
  <c r="T127" i="7"/>
  <c r="T129" i="7"/>
  <c r="T131" i="7"/>
  <c r="T133" i="7"/>
  <c r="T135" i="7"/>
  <c r="T137" i="7"/>
  <c r="T139" i="7"/>
  <c r="T141" i="7"/>
  <c r="T143" i="7"/>
  <c r="T145" i="7"/>
  <c r="T147" i="7"/>
  <c r="T149" i="7"/>
  <c r="T151" i="7"/>
  <c r="T153" i="7"/>
  <c r="T155" i="7"/>
  <c r="T157" i="7"/>
  <c r="T159" i="7"/>
  <c r="T161" i="7"/>
  <c r="T163" i="7"/>
  <c r="T165" i="7"/>
  <c r="T167" i="7"/>
  <c r="T169" i="7"/>
  <c r="T171" i="7"/>
  <c r="T173" i="7"/>
  <c r="T175" i="7"/>
  <c r="T177" i="7"/>
  <c r="T179" i="7"/>
  <c r="T181" i="7"/>
  <c r="T183" i="7"/>
  <c r="T185" i="7"/>
  <c r="T187" i="7"/>
  <c r="T189" i="7"/>
  <c r="T191" i="7"/>
  <c r="T193" i="7"/>
  <c r="T195" i="7"/>
  <c r="T197" i="7"/>
  <c r="T199" i="7"/>
  <c r="T201" i="7"/>
  <c r="T203" i="7"/>
  <c r="T205" i="7"/>
  <c r="T207" i="7"/>
  <c r="T209" i="7"/>
  <c r="T211" i="7"/>
  <c r="T213" i="7"/>
  <c r="T215" i="7"/>
  <c r="T217" i="7"/>
  <c r="T219" i="7"/>
  <c r="T221" i="7"/>
  <c r="T223" i="7"/>
  <c r="T225" i="7"/>
  <c r="T227" i="7"/>
  <c r="T229" i="7"/>
  <c r="T231" i="7"/>
  <c r="T233" i="7"/>
  <c r="T235" i="7"/>
  <c r="T237" i="7"/>
  <c r="T239" i="7"/>
  <c r="T241" i="7"/>
  <c r="T243" i="7"/>
  <c r="T245" i="7"/>
  <c r="T247" i="7"/>
  <c r="T249" i="7"/>
  <c r="T251" i="7"/>
  <c r="T253" i="7"/>
  <c r="U541" i="7"/>
  <c r="T545" i="7"/>
  <c r="T549" i="7"/>
  <c r="T553" i="7"/>
  <c r="T557" i="7"/>
  <c r="U561" i="7"/>
  <c r="U565" i="7"/>
  <c r="T569" i="7"/>
  <c r="T573" i="7"/>
  <c r="T577" i="7"/>
  <c r="T581" i="7"/>
  <c r="T585" i="7"/>
  <c r="U589" i="7"/>
  <c r="T593" i="7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80" i="7"/>
  <c r="U366" i="7"/>
  <c r="U672" i="7"/>
  <c r="U84" i="7"/>
  <c r="U370" i="7"/>
  <c r="T676" i="7"/>
  <c r="U88" i="7"/>
  <c r="U374" i="7"/>
  <c r="T376" i="7"/>
  <c r="T378" i="7"/>
  <c r="T380" i="7"/>
  <c r="U382" i="7"/>
  <c r="T384" i="7"/>
  <c r="T386" i="7"/>
  <c r="U388" i="7"/>
  <c r="U390" i="7"/>
  <c r="U392" i="7"/>
  <c r="T394" i="7"/>
  <c r="U396" i="7"/>
  <c r="U398" i="7"/>
  <c r="T400" i="7"/>
  <c r="T402" i="7"/>
  <c r="U404" i="7"/>
  <c r="U406" i="7"/>
  <c r="U408" i="7"/>
  <c r="T410" i="7"/>
  <c r="U412" i="7"/>
  <c r="U414" i="7"/>
  <c r="U416" i="7"/>
  <c r="T418" i="7"/>
  <c r="T420" i="7"/>
  <c r="T422" i="7"/>
  <c r="U424" i="7"/>
  <c r="T426" i="7"/>
  <c r="U428" i="7"/>
  <c r="U430" i="7"/>
  <c r="U432" i="7"/>
  <c r="T434" i="7"/>
  <c r="U436" i="7"/>
  <c r="U438" i="7"/>
  <c r="T440" i="7"/>
  <c r="T442" i="7"/>
  <c r="T444" i="7"/>
  <c r="U446" i="7"/>
  <c r="U448" i="7"/>
  <c r="T450" i="7"/>
  <c r="U452" i="7"/>
  <c r="U454" i="7"/>
  <c r="U456" i="7"/>
  <c r="T458" i="7"/>
  <c r="T460" i="7"/>
  <c r="T462" i="7"/>
  <c r="T464" i="7"/>
  <c r="T466" i="7"/>
  <c r="T468" i="7"/>
  <c r="U470" i="7"/>
  <c r="U472" i="7"/>
  <c r="T474" i="7"/>
  <c r="T476" i="7"/>
  <c r="U478" i="7"/>
  <c r="U480" i="7"/>
  <c r="T482" i="7"/>
  <c r="U484" i="7"/>
  <c r="T486" i="7"/>
  <c r="U488" i="7"/>
  <c r="T490" i="7"/>
  <c r="U492" i="7"/>
  <c r="U494" i="7"/>
  <c r="U496" i="7"/>
  <c r="T498" i="7"/>
  <c r="T500" i="7"/>
  <c r="T502" i="7"/>
  <c r="U504" i="7"/>
  <c r="T506" i="7"/>
  <c r="U508" i="7"/>
  <c r="U510" i="7"/>
  <c r="T512" i="7"/>
  <c r="T514" i="7"/>
  <c r="U516" i="7"/>
  <c r="U518" i="7"/>
  <c r="U520" i="7"/>
  <c r="T522" i="7"/>
  <c r="T524" i="7"/>
  <c r="T526" i="7"/>
  <c r="T528" i="7"/>
  <c r="T530" i="7"/>
  <c r="U532" i="7"/>
  <c r="T534" i="7"/>
  <c r="T536" i="7"/>
  <c r="T538" i="7"/>
  <c r="T542" i="7"/>
  <c r="T546" i="7"/>
  <c r="T550" i="7"/>
  <c r="U554" i="7"/>
  <c r="T558" i="7"/>
  <c r="U562" i="7"/>
  <c r="T566" i="7"/>
  <c r="U570" i="7"/>
  <c r="T574" i="7"/>
  <c r="T578" i="7"/>
  <c r="U582" i="7"/>
  <c r="T586" i="7"/>
  <c r="U590" i="7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80" i="7"/>
  <c r="T366" i="7"/>
  <c r="T672" i="7"/>
  <c r="T84" i="7"/>
  <c r="T370" i="7"/>
  <c r="U676" i="7"/>
  <c r="T88" i="7"/>
  <c r="T374" i="7"/>
  <c r="U376" i="7"/>
  <c r="U378" i="7"/>
  <c r="U380" i="7"/>
  <c r="T382" i="7"/>
  <c r="U384" i="7"/>
  <c r="U386" i="7"/>
  <c r="T388" i="7"/>
  <c r="T390" i="7"/>
  <c r="T392" i="7"/>
  <c r="U394" i="7"/>
  <c r="T396" i="7"/>
  <c r="T398" i="7"/>
  <c r="U400" i="7"/>
  <c r="U402" i="7"/>
  <c r="T404" i="7"/>
  <c r="T406" i="7"/>
  <c r="T408" i="7"/>
  <c r="U410" i="7"/>
  <c r="T412" i="7"/>
  <c r="T414" i="7"/>
  <c r="T416" i="7"/>
  <c r="U418" i="7"/>
  <c r="U420" i="7"/>
  <c r="U422" i="7"/>
  <c r="T424" i="7"/>
  <c r="U426" i="7"/>
  <c r="T428" i="7"/>
  <c r="T430" i="7"/>
  <c r="T432" i="7"/>
  <c r="U434" i="7"/>
  <c r="T436" i="7"/>
  <c r="T438" i="7"/>
  <c r="U440" i="7"/>
  <c r="U442" i="7"/>
  <c r="U444" i="7"/>
  <c r="T446" i="7"/>
  <c r="T448" i="7"/>
  <c r="U450" i="7"/>
  <c r="T452" i="7"/>
  <c r="T454" i="7"/>
  <c r="T456" i="7"/>
  <c r="U458" i="7"/>
  <c r="U460" i="7"/>
  <c r="U462" i="7"/>
  <c r="U464" i="7"/>
  <c r="U466" i="7"/>
  <c r="U468" i="7"/>
  <c r="T470" i="7"/>
  <c r="T472" i="7"/>
  <c r="U474" i="7"/>
  <c r="U476" i="7"/>
  <c r="T478" i="7"/>
  <c r="T480" i="7"/>
  <c r="U482" i="7"/>
  <c r="T484" i="7"/>
  <c r="U486" i="7"/>
  <c r="T488" i="7"/>
  <c r="U490" i="7"/>
  <c r="T492" i="7"/>
  <c r="T494" i="7"/>
  <c r="T496" i="7"/>
  <c r="U498" i="7"/>
  <c r="U500" i="7"/>
  <c r="U502" i="7"/>
  <c r="T504" i="7"/>
  <c r="U506" i="7"/>
  <c r="T508" i="7"/>
  <c r="T510" i="7"/>
  <c r="U512" i="7"/>
  <c r="U514" i="7"/>
  <c r="T516" i="7"/>
  <c r="T518" i="7"/>
  <c r="T520" i="7"/>
  <c r="U522" i="7"/>
  <c r="U524" i="7"/>
  <c r="U526" i="7"/>
  <c r="U528" i="7"/>
  <c r="U530" i="7"/>
  <c r="T532" i="7"/>
  <c r="U534" i="7"/>
  <c r="U536" i="7"/>
  <c r="U538" i="7"/>
  <c r="U542" i="7"/>
  <c r="U546" i="7"/>
  <c r="U550" i="7"/>
  <c r="T554" i="7"/>
  <c r="U558" i="7"/>
  <c r="T562" i="7"/>
  <c r="U566" i="7"/>
  <c r="T570" i="7"/>
  <c r="U574" i="7"/>
  <c r="U578" i="7"/>
  <c r="T582" i="7"/>
  <c r="U586" i="7"/>
  <c r="T590" i="7"/>
  <c r="U135" i="9"/>
  <c r="T135" i="9"/>
  <c r="T134" i="9"/>
  <c r="U134" i="9"/>
  <c r="T133" i="9"/>
  <c r="U133" i="9"/>
  <c r="U132" i="9"/>
  <c r="T132" i="9"/>
  <c r="U131" i="9"/>
  <c r="T131" i="9"/>
  <c r="U130" i="9"/>
  <c r="T130" i="9"/>
  <c r="U129" i="9"/>
  <c r="T129" i="9"/>
  <c r="T128" i="9"/>
  <c r="U128" i="9"/>
  <c r="T127" i="9"/>
  <c r="U127" i="9"/>
  <c r="T126" i="9"/>
  <c r="U126" i="9"/>
  <c r="T125" i="9"/>
  <c r="U125" i="9"/>
  <c r="U124" i="9"/>
  <c r="T124" i="9"/>
  <c r="T123" i="9"/>
  <c r="U123" i="9"/>
  <c r="T122" i="9"/>
  <c r="U122" i="9"/>
  <c r="U121" i="9"/>
  <c r="T121" i="9"/>
  <c r="T120" i="9"/>
  <c r="U120" i="9"/>
  <c r="U119" i="9"/>
  <c r="T119" i="9"/>
  <c r="T118" i="9"/>
  <c r="U118" i="9"/>
  <c r="T117" i="9"/>
  <c r="U117" i="9"/>
  <c r="T116" i="9"/>
  <c r="U116" i="9"/>
  <c r="U115" i="9"/>
  <c r="T115" i="9"/>
  <c r="T114" i="9"/>
  <c r="U114" i="9"/>
  <c r="U113" i="9"/>
  <c r="T113" i="9"/>
  <c r="T112" i="9"/>
  <c r="U112" i="9"/>
  <c r="T111" i="9"/>
  <c r="U111" i="9"/>
  <c r="T110" i="9"/>
  <c r="U110" i="9"/>
  <c r="U109" i="9"/>
  <c r="T109" i="9"/>
  <c r="T108" i="9"/>
  <c r="U108" i="9"/>
  <c r="T107" i="9"/>
  <c r="U107" i="9"/>
  <c r="T106" i="9"/>
  <c r="U106" i="9"/>
  <c r="U105" i="9"/>
  <c r="T105" i="9"/>
  <c r="T104" i="9"/>
  <c r="U104" i="9"/>
  <c r="T103" i="9"/>
  <c r="U103" i="9"/>
  <c r="T102" i="9"/>
  <c r="U102" i="9"/>
  <c r="T101" i="9"/>
  <c r="U101" i="9"/>
  <c r="T100" i="9"/>
  <c r="U100" i="9"/>
  <c r="U99" i="9"/>
  <c r="T99" i="9"/>
  <c r="T98" i="9"/>
  <c r="U98" i="9"/>
  <c r="U97" i="9"/>
  <c r="T97" i="9"/>
  <c r="T96" i="9"/>
  <c r="U96" i="9"/>
  <c r="T95" i="9"/>
  <c r="U95" i="9"/>
  <c r="T94" i="9"/>
  <c r="U94" i="9"/>
  <c r="U93" i="9"/>
  <c r="T93" i="9"/>
  <c r="U92" i="9"/>
  <c r="T92" i="9"/>
  <c r="U91" i="9"/>
  <c r="T91" i="9"/>
  <c r="T90" i="9"/>
  <c r="U90" i="9"/>
  <c r="T89" i="9"/>
  <c r="U89" i="9"/>
  <c r="U88" i="9"/>
  <c r="T88" i="9"/>
  <c r="T87" i="9"/>
  <c r="U87" i="9"/>
  <c r="T86" i="9"/>
  <c r="U86" i="9"/>
  <c r="T85" i="9"/>
  <c r="U85" i="9"/>
  <c r="T84" i="9"/>
  <c r="U84" i="9"/>
  <c r="T83" i="9"/>
  <c r="U83" i="9"/>
  <c r="U82" i="9"/>
  <c r="T82" i="9"/>
  <c r="T81" i="9"/>
  <c r="U81" i="9"/>
  <c r="T80" i="9"/>
  <c r="U80" i="9"/>
  <c r="U79" i="9"/>
  <c r="T79" i="9"/>
  <c r="U78" i="9"/>
  <c r="T78" i="9"/>
  <c r="T77" i="9"/>
  <c r="U77" i="9"/>
  <c r="U76" i="9"/>
  <c r="T76" i="9"/>
  <c r="T75" i="9"/>
  <c r="U75" i="9"/>
  <c r="U74" i="9"/>
  <c r="T74" i="9"/>
  <c r="T73" i="9"/>
  <c r="U73" i="9"/>
  <c r="U72" i="9"/>
  <c r="T72" i="9"/>
  <c r="U71" i="9"/>
  <c r="T71" i="9"/>
  <c r="T70" i="9"/>
  <c r="U70" i="9"/>
  <c r="T69" i="9"/>
  <c r="U69" i="9"/>
  <c r="U68" i="9"/>
  <c r="T68" i="9"/>
  <c r="T67" i="9"/>
  <c r="U67" i="9"/>
  <c r="U66" i="9"/>
  <c r="T66" i="9"/>
  <c r="T65" i="9"/>
  <c r="U65" i="9"/>
  <c r="T64" i="9"/>
  <c r="U64" i="9"/>
  <c r="U63" i="9"/>
  <c r="T63" i="9"/>
  <c r="T62" i="9"/>
  <c r="U62" i="9"/>
  <c r="U61" i="9"/>
  <c r="T61" i="9"/>
  <c r="T60" i="9"/>
  <c r="U60" i="9"/>
  <c r="T59" i="9"/>
  <c r="U59" i="9"/>
  <c r="T58" i="9"/>
  <c r="U58" i="9"/>
  <c r="T57" i="9"/>
  <c r="U57" i="9"/>
  <c r="U56" i="9"/>
  <c r="T56" i="9"/>
  <c r="T55" i="9"/>
  <c r="U55" i="9"/>
  <c r="U54" i="9"/>
  <c r="T54" i="9"/>
  <c r="T53" i="9"/>
  <c r="U53" i="9"/>
  <c r="U52" i="9"/>
  <c r="T52" i="9"/>
  <c r="U51" i="9"/>
  <c r="T51" i="9"/>
  <c r="T50" i="9"/>
  <c r="U50" i="9"/>
  <c r="T49" i="9"/>
  <c r="U49" i="9"/>
  <c r="T48" i="9"/>
  <c r="U48" i="9"/>
  <c r="T47" i="9"/>
  <c r="U47" i="9"/>
  <c r="T46" i="9"/>
  <c r="U46" i="9"/>
  <c r="U45" i="9"/>
  <c r="T45" i="9"/>
  <c r="T44" i="9"/>
  <c r="U44" i="9"/>
  <c r="U43" i="9"/>
  <c r="T43" i="9"/>
  <c r="T42" i="9"/>
  <c r="U42" i="9"/>
  <c r="T41" i="9"/>
  <c r="U41" i="9"/>
  <c r="T40" i="9"/>
  <c r="U40" i="9"/>
  <c r="U39" i="9"/>
  <c r="T39" i="9"/>
  <c r="U38" i="9"/>
  <c r="T38" i="9"/>
  <c r="U37" i="9"/>
  <c r="T37" i="9"/>
  <c r="U36" i="9"/>
  <c r="T36" i="9"/>
  <c r="T35" i="9"/>
  <c r="U35" i="9"/>
  <c r="T34" i="9"/>
  <c r="U34" i="9"/>
  <c r="U33" i="9"/>
  <c r="T33" i="9"/>
  <c r="T32" i="9"/>
  <c r="U32" i="9"/>
  <c r="U31" i="9"/>
  <c r="T31" i="9"/>
  <c r="T30" i="9"/>
  <c r="U30" i="9"/>
  <c r="T29" i="9"/>
  <c r="U29" i="9"/>
  <c r="U28" i="9"/>
  <c r="T28" i="9"/>
  <c r="U27" i="9"/>
  <c r="T27" i="9"/>
  <c r="U26" i="9"/>
  <c r="T26" i="9"/>
  <c r="T25" i="9"/>
  <c r="U25" i="9"/>
  <c r="T24" i="9"/>
  <c r="U24" i="9"/>
  <c r="U23" i="9"/>
  <c r="T23" i="9"/>
  <c r="U22" i="9"/>
  <c r="T22" i="9"/>
  <c r="U21" i="9"/>
  <c r="T21" i="9"/>
  <c r="U20" i="9"/>
  <c r="T20" i="9"/>
  <c r="U19" i="9"/>
  <c r="T19" i="9"/>
  <c r="T18" i="9"/>
  <c r="U18" i="9"/>
  <c r="T17" i="9"/>
  <c r="U17" i="9"/>
  <c r="U16" i="9"/>
  <c r="T16" i="9"/>
  <c r="T15" i="9"/>
  <c r="U15" i="9"/>
  <c r="T14" i="9"/>
  <c r="U14" i="9"/>
  <c r="U13" i="9"/>
  <c r="T13" i="9"/>
  <c r="T12" i="9"/>
  <c r="U12" i="9"/>
  <c r="T11" i="9"/>
  <c r="U11" i="9"/>
  <c r="T10" i="9"/>
  <c r="U10" i="9"/>
  <c r="T6" i="9"/>
  <c r="T8" i="9"/>
  <c r="U9" i="9"/>
  <c r="U6" i="9"/>
  <c r="U8" i="9"/>
  <c r="T7" i="9"/>
  <c r="U3" i="9"/>
  <c r="T5" i="9"/>
  <c r="U7" i="9"/>
  <c r="U5" i="9"/>
  <c r="T4" i="9"/>
  <c r="U4" i="9"/>
  <c r="T9" i="9"/>
  <c r="T3" i="9"/>
  <c r="V4" i="9" l="1"/>
  <c r="V5" i="9"/>
  <c r="V7" i="9"/>
  <c r="V3" i="9"/>
  <c r="V8" i="9"/>
  <c r="V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V107" i="9"/>
  <c r="V108" i="9"/>
  <c r="V109" i="9"/>
  <c r="V110" i="9"/>
  <c r="V111" i="9"/>
  <c r="V112" i="9"/>
  <c r="V113" i="9"/>
  <c r="V114" i="9"/>
  <c r="V115" i="9"/>
  <c r="V116" i="9"/>
  <c r="V117" i="9"/>
  <c r="V118" i="9"/>
  <c r="V119" i="9"/>
  <c r="V120" i="9"/>
  <c r="V121" i="9"/>
  <c r="V122" i="9"/>
  <c r="V123" i="9"/>
  <c r="V124" i="9"/>
  <c r="V125" i="9"/>
  <c r="V126" i="9"/>
  <c r="V127" i="9"/>
  <c r="V128" i="9"/>
  <c r="V129" i="9"/>
  <c r="V130" i="9"/>
  <c r="V131" i="9"/>
  <c r="V132" i="9"/>
  <c r="V133" i="9"/>
  <c r="V134" i="9"/>
  <c r="V135" i="9"/>
  <c r="V586" i="7"/>
  <c r="V578" i="7"/>
  <c r="V574" i="7"/>
  <c r="V566" i="7"/>
  <c r="V558" i="7"/>
  <c r="V550" i="7"/>
  <c r="V546" i="7"/>
  <c r="V542" i="7"/>
  <c r="V538" i="7"/>
  <c r="V536" i="7"/>
  <c r="V534" i="7"/>
  <c r="V530" i="7"/>
  <c r="V528" i="7"/>
  <c r="V526" i="7"/>
  <c r="V524" i="7"/>
  <c r="V522" i="7"/>
  <c r="V514" i="7"/>
  <c r="V512" i="7"/>
  <c r="V506" i="7"/>
  <c r="V502" i="7"/>
  <c r="V500" i="7"/>
  <c r="V498" i="7"/>
  <c r="V490" i="7"/>
  <c r="V486" i="7"/>
  <c r="V482" i="7"/>
  <c r="V476" i="7"/>
  <c r="V474" i="7"/>
  <c r="V468" i="7"/>
  <c r="V466" i="7"/>
  <c r="V464" i="7"/>
  <c r="V462" i="7"/>
  <c r="V460" i="7"/>
  <c r="V458" i="7"/>
  <c r="V450" i="7"/>
  <c r="V444" i="7"/>
  <c r="V442" i="7"/>
  <c r="V440" i="7"/>
  <c r="V434" i="7"/>
  <c r="V426" i="7"/>
  <c r="V422" i="7"/>
  <c r="V420" i="7"/>
  <c r="V418" i="7"/>
  <c r="V410" i="7"/>
  <c r="V402" i="7"/>
  <c r="V400" i="7"/>
  <c r="V394" i="7"/>
  <c r="V386" i="7"/>
  <c r="V384" i="7"/>
  <c r="V380" i="7"/>
  <c r="V378" i="7"/>
  <c r="V376" i="7"/>
  <c r="V676" i="7"/>
  <c r="V590" i="7"/>
  <c r="V582" i="7"/>
  <c r="V570" i="7"/>
  <c r="V562" i="7"/>
  <c r="V554" i="7"/>
  <c r="V532" i="7"/>
  <c r="V520" i="7"/>
  <c r="V518" i="7"/>
  <c r="V516" i="7"/>
  <c r="V510" i="7"/>
  <c r="V508" i="7"/>
  <c r="V504" i="7"/>
  <c r="V496" i="7"/>
  <c r="V494" i="7"/>
  <c r="V492" i="7"/>
  <c r="V488" i="7"/>
  <c r="V484" i="7"/>
  <c r="V480" i="7"/>
  <c r="V478" i="7"/>
  <c r="V472" i="7"/>
  <c r="V470" i="7"/>
  <c r="V456" i="7"/>
  <c r="V454" i="7"/>
  <c r="V452" i="7"/>
  <c r="V448" i="7"/>
  <c r="V446" i="7"/>
  <c r="V438" i="7"/>
  <c r="V436" i="7"/>
  <c r="V432" i="7"/>
  <c r="V430" i="7"/>
  <c r="V428" i="7"/>
  <c r="V424" i="7"/>
  <c r="V416" i="7"/>
  <c r="V414" i="7"/>
  <c r="V412" i="7"/>
  <c r="V408" i="7"/>
  <c r="V406" i="7"/>
  <c r="V404" i="7"/>
  <c r="V398" i="7"/>
  <c r="V396" i="7"/>
  <c r="V392" i="7"/>
  <c r="V390" i="7"/>
  <c r="V388" i="7"/>
  <c r="V382" i="7"/>
  <c r="V374" i="7"/>
  <c r="V88" i="7"/>
  <c r="V370" i="7"/>
  <c r="V84" i="7"/>
  <c r="V672" i="7"/>
  <c r="V366" i="7"/>
  <c r="V80" i="7"/>
  <c r="V78" i="8"/>
  <c r="V77" i="8"/>
  <c r="V76" i="8"/>
  <c r="V75" i="8"/>
  <c r="V74" i="8"/>
  <c r="V73" i="8"/>
  <c r="V72" i="8"/>
  <c r="V71" i="8"/>
  <c r="V70" i="8"/>
  <c r="V69" i="8"/>
  <c r="V68" i="8"/>
  <c r="V67" i="8"/>
  <c r="V66" i="8"/>
  <c r="V65" i="8"/>
  <c r="V64" i="8"/>
  <c r="V63" i="8"/>
  <c r="V62" i="8"/>
  <c r="V61" i="8"/>
  <c r="V60" i="8"/>
  <c r="V59" i="8"/>
  <c r="V58" i="8"/>
  <c r="V57" i="8"/>
  <c r="V589" i="7"/>
  <c r="V565" i="7"/>
  <c r="V561" i="7"/>
  <c r="V541" i="7"/>
  <c r="V677" i="7"/>
  <c r="V673" i="7"/>
  <c r="V669" i="7"/>
  <c r="V668" i="7"/>
  <c r="V667" i="7"/>
  <c r="V666" i="7"/>
  <c r="V665" i="7"/>
  <c r="V664" i="7"/>
  <c r="V662" i="7"/>
  <c r="V654" i="7"/>
  <c r="V652" i="7"/>
  <c r="V651" i="7"/>
  <c r="V649" i="7"/>
  <c r="V648" i="7"/>
  <c r="V646" i="7"/>
  <c r="V593" i="7"/>
  <c r="V585" i="7"/>
  <c r="V581" i="7"/>
  <c r="V577" i="7"/>
  <c r="V573" i="7"/>
  <c r="V569" i="7"/>
  <c r="V557" i="7"/>
  <c r="V553" i="7"/>
  <c r="V549" i="7"/>
  <c r="V545" i="7"/>
  <c r="V253" i="7"/>
  <c r="V251" i="7"/>
  <c r="V249" i="7"/>
  <c r="V247" i="7"/>
  <c r="V245" i="7"/>
  <c r="V243" i="7"/>
  <c r="V241" i="7"/>
  <c r="V239" i="7"/>
  <c r="V237" i="7"/>
  <c r="V235" i="7"/>
  <c r="V233" i="7"/>
  <c r="V231" i="7"/>
  <c r="V229" i="7"/>
  <c r="V227" i="7"/>
  <c r="V225" i="7"/>
  <c r="V223" i="7"/>
  <c r="V221" i="7"/>
  <c r="V219" i="7"/>
  <c r="V217" i="7"/>
  <c r="V215" i="7"/>
  <c r="V213" i="7"/>
  <c r="V211" i="7"/>
  <c r="V209" i="7"/>
  <c r="V207" i="7"/>
  <c r="V205" i="7"/>
  <c r="V203" i="7"/>
  <c r="V201" i="7"/>
  <c r="V199" i="7"/>
  <c r="V197" i="7"/>
  <c r="V195" i="7"/>
  <c r="V193" i="7"/>
  <c r="V191" i="7"/>
  <c r="V189" i="7"/>
  <c r="V187" i="7"/>
  <c r="V185" i="7"/>
  <c r="V183" i="7"/>
  <c r="V181" i="7"/>
  <c r="V179" i="7"/>
  <c r="V177" i="7"/>
  <c r="V175" i="7"/>
  <c r="V173" i="7"/>
  <c r="V171" i="7"/>
  <c r="V169" i="7"/>
  <c r="V167" i="7"/>
  <c r="V165" i="7"/>
  <c r="V163" i="7"/>
  <c r="V161" i="7"/>
  <c r="V159" i="7"/>
  <c r="V157" i="7"/>
  <c r="V155" i="7"/>
  <c r="V153" i="7"/>
  <c r="V151" i="7"/>
  <c r="V588" i="7"/>
  <c r="V580" i="7"/>
  <c r="V560" i="7"/>
  <c r="V552" i="7"/>
  <c r="V540" i="7"/>
  <c r="V537" i="7"/>
  <c r="V529" i="7"/>
  <c r="V527" i="7"/>
  <c r="V525" i="7"/>
  <c r="V509" i="7"/>
  <c r="V505" i="7"/>
  <c r="V493" i="7"/>
  <c r="V481" i="7"/>
  <c r="V473" i="7"/>
  <c r="V465" i="7"/>
  <c r="V463" i="7"/>
  <c r="V461" i="7"/>
  <c r="V592" i="7"/>
  <c r="V584" i="7"/>
  <c r="V576" i="7"/>
  <c r="V572" i="7"/>
  <c r="V568" i="7"/>
  <c r="V564" i="7"/>
  <c r="V556" i="7"/>
  <c r="V548" i="7"/>
  <c r="V544" i="7"/>
  <c r="V535" i="7"/>
  <c r="V533" i="7"/>
  <c r="V531" i="7"/>
  <c r="V523" i="7"/>
  <c r="V521" i="7"/>
  <c r="V519" i="7"/>
  <c r="V517" i="7"/>
  <c r="V515" i="7"/>
  <c r="V513" i="7"/>
  <c r="V511" i="7"/>
  <c r="V507" i="7"/>
  <c r="V503" i="7"/>
  <c r="V501" i="7"/>
  <c r="V499" i="7"/>
  <c r="V497" i="7"/>
  <c r="V495" i="7"/>
  <c r="V491" i="7"/>
  <c r="V489" i="7"/>
  <c r="V487" i="7"/>
  <c r="V485" i="7"/>
  <c r="V483" i="7"/>
  <c r="V479" i="7"/>
  <c r="V477" i="7"/>
  <c r="V475" i="7"/>
  <c r="V471" i="7"/>
  <c r="V469" i="7"/>
  <c r="V467" i="7"/>
  <c r="V459" i="7"/>
  <c r="V457" i="7"/>
  <c r="V455" i="7"/>
  <c r="V453" i="7"/>
  <c r="V451" i="7"/>
  <c r="V449" i="7"/>
  <c r="V445" i="7"/>
  <c r="V443" i="7"/>
  <c r="V439" i="7"/>
  <c r="V437" i="7"/>
  <c r="V435" i="7"/>
  <c r="V591" i="7"/>
  <c r="V583" i="7"/>
  <c r="V563" i="7"/>
  <c r="V539" i="7"/>
  <c r="V587" i="7"/>
  <c r="V579" i="7"/>
  <c r="V575" i="7"/>
  <c r="V571" i="7"/>
  <c r="V567" i="7"/>
  <c r="V559" i="7"/>
  <c r="V555" i="7"/>
  <c r="V551" i="7"/>
  <c r="V547" i="7"/>
  <c r="V543" i="7"/>
  <c r="V252" i="7"/>
  <c r="V250" i="7"/>
  <c r="V248" i="7"/>
  <c r="V246" i="7"/>
  <c r="V244" i="7"/>
  <c r="V242" i="7"/>
  <c r="V240" i="7"/>
  <c r="V238" i="7"/>
  <c r="V236" i="7"/>
  <c r="V234" i="7"/>
  <c r="V232" i="7"/>
  <c r="V230" i="7"/>
  <c r="V228" i="7"/>
  <c r="V226" i="7"/>
  <c r="V224" i="7"/>
  <c r="V222" i="7"/>
  <c r="V220" i="7"/>
  <c r="V218" i="7"/>
  <c r="V216" i="7"/>
  <c r="V214" i="7"/>
  <c r="V212" i="7"/>
  <c r="V210" i="7"/>
  <c r="V208" i="7"/>
  <c r="V206" i="7"/>
  <c r="V204" i="7"/>
  <c r="V202" i="7"/>
  <c r="V200" i="7"/>
  <c r="V198" i="7"/>
  <c r="V196" i="7"/>
  <c r="V194" i="7"/>
  <c r="V192" i="7"/>
  <c r="V190" i="7"/>
  <c r="V188" i="7"/>
  <c r="V186" i="7"/>
  <c r="V184" i="7"/>
  <c r="V182" i="7"/>
  <c r="V180" i="7"/>
  <c r="V178" i="7"/>
  <c r="V176" i="7"/>
  <c r="V174" i="7"/>
  <c r="V172" i="7"/>
  <c r="V170" i="7"/>
  <c r="V168" i="7"/>
  <c r="V166" i="7"/>
  <c r="V164" i="7"/>
  <c r="V162" i="7"/>
  <c r="V160" i="7"/>
  <c r="V158" i="7"/>
  <c r="V156" i="7"/>
  <c r="V154" i="7"/>
  <c r="V152" i="7"/>
  <c r="V150" i="7"/>
  <c r="V148" i="7"/>
  <c r="V146" i="7"/>
  <c r="V144" i="7"/>
  <c r="V142" i="7"/>
  <c r="V140" i="7"/>
  <c r="V138" i="7"/>
  <c r="V136" i="7"/>
  <c r="V145" i="7"/>
  <c r="V141" i="7"/>
  <c r="V137" i="7"/>
  <c r="V134" i="7"/>
  <c r="V127" i="7"/>
  <c r="V118" i="7"/>
  <c r="V399" i="7"/>
  <c r="V111" i="7"/>
  <c r="V389" i="7"/>
  <c r="V102" i="7"/>
  <c r="V383" i="7"/>
  <c r="V95" i="7"/>
  <c r="V678" i="7"/>
  <c r="V87" i="7"/>
  <c r="V674" i="7"/>
  <c r="V367" i="7"/>
  <c r="V365" i="7"/>
  <c r="V77" i="7"/>
  <c r="V360" i="7"/>
  <c r="V663" i="7"/>
  <c r="V69" i="7"/>
  <c r="V352" i="7"/>
  <c r="V655" i="7"/>
  <c r="V61" i="7"/>
  <c r="V647" i="7"/>
  <c r="V622" i="7"/>
  <c r="V614" i="7"/>
  <c r="V610" i="7"/>
  <c r="V606" i="7"/>
  <c r="V688" i="7"/>
  <c r="V602" i="7"/>
  <c r="V149" i="7"/>
  <c r="V133" i="7"/>
  <c r="V124" i="7"/>
  <c r="V405" i="7"/>
  <c r="V117" i="7"/>
  <c r="V108" i="7"/>
  <c r="V101" i="7"/>
  <c r="V379" i="7"/>
  <c r="V92" i="7"/>
  <c r="V371" i="7"/>
  <c r="V363" i="7"/>
  <c r="V72" i="7"/>
  <c r="V355" i="7"/>
  <c r="V658" i="7"/>
  <c r="V64" i="7"/>
  <c r="V347" i="7"/>
  <c r="V650" i="7"/>
  <c r="V55" i="7"/>
  <c r="V54" i="7"/>
  <c r="V53" i="7"/>
  <c r="V52" i="7"/>
  <c r="V51" i="7"/>
  <c r="V50" i="7"/>
  <c r="V49" i="7"/>
  <c r="V48" i="7"/>
  <c r="V47" i="7"/>
  <c r="V46" i="7"/>
  <c r="V45" i="7"/>
  <c r="V44" i="7"/>
  <c r="V43" i="7"/>
  <c r="V42" i="7"/>
  <c r="V41" i="7"/>
  <c r="V40" i="7"/>
  <c r="V39" i="7"/>
  <c r="V288" i="7"/>
  <c r="V322" i="7"/>
  <c r="V626" i="7"/>
  <c r="V35" i="8"/>
  <c r="V35" i="7"/>
  <c r="V284" i="7"/>
  <c r="V318" i="7"/>
  <c r="V31" i="8"/>
  <c r="V31" i="7"/>
  <c r="V280" i="7"/>
  <c r="V314" i="7"/>
  <c r="V618" i="7"/>
  <c r="V27" i="8"/>
  <c r="V27" i="7"/>
  <c r="V311" i="7"/>
  <c r="V721" i="7"/>
  <c r="V25" i="7"/>
  <c r="V23" i="8"/>
  <c r="V308" i="7"/>
  <c r="V718" i="7"/>
  <c r="V272" i="7"/>
  <c r="V696" i="7"/>
  <c r="V21" i="7"/>
  <c r="V19" i="8"/>
  <c r="V304" i="7"/>
  <c r="V714" i="7"/>
  <c r="V268" i="7"/>
  <c r="V692" i="7"/>
  <c r="V17" i="7"/>
  <c r="V15" i="8"/>
  <c r="V300" i="7"/>
  <c r="V710" i="7"/>
  <c r="V264" i="7"/>
  <c r="V13" i="7"/>
  <c r="V11" i="8"/>
  <c r="V296" i="7"/>
  <c r="V706" i="7"/>
  <c r="V260" i="7"/>
  <c r="V5" i="8"/>
  <c r="V700" i="7"/>
  <c r="V254" i="7"/>
  <c r="V680" i="7"/>
  <c r="V596" i="7"/>
  <c r="V292" i="7"/>
  <c r="V258" i="7"/>
  <c r="V704" i="7"/>
  <c r="V294" i="7"/>
  <c r="V8" i="7"/>
  <c r="V3" i="7"/>
  <c r="V133" i="6"/>
  <c r="V129" i="6"/>
  <c r="V125" i="6"/>
  <c r="V121" i="6"/>
  <c r="V117" i="6"/>
  <c r="V113" i="6"/>
  <c r="V109" i="6"/>
  <c r="V105" i="6"/>
  <c r="V101" i="6"/>
  <c r="V98" i="6"/>
  <c r="V96" i="6"/>
  <c r="V94" i="6"/>
  <c r="V92" i="6"/>
  <c r="V90" i="6"/>
  <c r="V88" i="6"/>
  <c r="V86" i="6"/>
  <c r="V447" i="7"/>
  <c r="V429" i="7"/>
  <c r="V425" i="7"/>
  <c r="V421" i="7"/>
  <c r="V130" i="7"/>
  <c r="V411" i="7"/>
  <c r="V123" i="7"/>
  <c r="V114" i="7"/>
  <c r="V395" i="7"/>
  <c r="V107" i="7"/>
  <c r="V385" i="7"/>
  <c r="V98" i="7"/>
  <c r="V91" i="7"/>
  <c r="V373" i="7"/>
  <c r="V369" i="7"/>
  <c r="V82" i="7"/>
  <c r="V75" i="7"/>
  <c r="V358" i="7"/>
  <c r="V661" i="7"/>
  <c r="V67" i="7"/>
  <c r="V350" i="7"/>
  <c r="V653" i="7"/>
  <c r="V59" i="7"/>
  <c r="V342" i="7"/>
  <c r="V56" i="7"/>
  <c r="V321" i="7"/>
  <c r="V317" i="7"/>
  <c r="V621" i="7"/>
  <c r="V279" i="7"/>
  <c r="V276" i="7"/>
  <c r="V309" i="7"/>
  <c r="V301" i="7"/>
  <c r="V603" i="7"/>
  <c r="V297" i="7"/>
  <c r="V707" i="7"/>
  <c r="V3" i="8"/>
  <c r="V242" i="6"/>
  <c r="V240" i="6"/>
  <c r="V433" i="7"/>
  <c r="V417" i="7"/>
  <c r="V129" i="7"/>
  <c r="V407" i="7"/>
  <c r="V120" i="7"/>
  <c r="V401" i="7"/>
  <c r="V113" i="7"/>
  <c r="V104" i="7"/>
  <c r="V97" i="7"/>
  <c r="V375" i="7"/>
  <c r="V86" i="7"/>
  <c r="V78" i="7"/>
  <c r="V361" i="7"/>
  <c r="V70" i="7"/>
  <c r="V353" i="7"/>
  <c r="V656" i="7"/>
  <c r="V62" i="7"/>
  <c r="V345" i="7"/>
  <c r="V55" i="8"/>
  <c r="V54" i="8"/>
  <c r="V53" i="8"/>
  <c r="V52" i="8"/>
  <c r="V51" i="8"/>
  <c r="V50" i="8"/>
  <c r="V49" i="8"/>
  <c r="V48" i="8"/>
  <c r="V47" i="8"/>
  <c r="V46" i="8"/>
  <c r="V45" i="8"/>
  <c r="V44" i="8"/>
  <c r="V43" i="8"/>
  <c r="V42" i="8"/>
  <c r="V41" i="8"/>
  <c r="V40" i="8"/>
  <c r="V39" i="8"/>
  <c r="V38" i="8"/>
  <c r="V38" i="7"/>
  <c r="V287" i="7"/>
  <c r="V147" i="7"/>
  <c r="V143" i="7"/>
  <c r="V139" i="7"/>
  <c r="V135" i="7"/>
  <c r="V126" i="7"/>
  <c r="V119" i="7"/>
  <c r="V397" i="7"/>
  <c r="V110" i="7"/>
  <c r="V391" i="7"/>
  <c r="V103" i="7"/>
  <c r="V381" i="7"/>
  <c r="V94" i="7"/>
  <c r="V675" i="7"/>
  <c r="V671" i="7"/>
  <c r="V364" i="7"/>
  <c r="V73" i="7"/>
  <c r="V356" i="7"/>
  <c r="V659" i="7"/>
  <c r="V65" i="7"/>
  <c r="V348" i="7"/>
  <c r="V57" i="7"/>
  <c r="V645" i="7"/>
  <c r="V644" i="7"/>
  <c r="V641" i="7"/>
  <c r="V638" i="7"/>
  <c r="V634" i="7"/>
  <c r="V633" i="7"/>
  <c r="V441" i="7"/>
  <c r="V132" i="7"/>
  <c r="V413" i="7"/>
  <c r="V125" i="7"/>
  <c r="V116" i="7"/>
  <c r="V109" i="7"/>
  <c r="V100" i="7"/>
  <c r="V93" i="7"/>
  <c r="V368" i="7"/>
  <c r="V81" i="7"/>
  <c r="V76" i="7"/>
  <c r="V359" i="7"/>
  <c r="V68" i="7"/>
  <c r="V351" i="7"/>
  <c r="V346" i="7"/>
  <c r="V60" i="7"/>
  <c r="V343" i="7"/>
  <c r="V56" i="8"/>
  <c r="V643" i="7"/>
  <c r="V642" i="7"/>
  <c r="V640" i="7"/>
  <c r="V639" i="7"/>
  <c r="V637" i="7"/>
  <c r="V636" i="7"/>
  <c r="V635" i="7"/>
  <c r="V632" i="7"/>
  <c r="V631" i="7"/>
  <c r="V629" i="7"/>
  <c r="V628" i="7"/>
  <c r="V37" i="8"/>
  <c r="V37" i="7"/>
  <c r="V286" i="7"/>
  <c r="V431" i="7"/>
  <c r="V427" i="7"/>
  <c r="V423" i="7"/>
  <c r="V419" i="7"/>
  <c r="V131" i="7"/>
  <c r="V409" i="7"/>
  <c r="V122" i="7"/>
  <c r="V403" i="7"/>
  <c r="V115" i="7"/>
  <c r="V106" i="7"/>
  <c r="V387" i="7"/>
  <c r="V99" i="7"/>
  <c r="V377" i="7"/>
  <c r="V90" i="7"/>
  <c r="V372" i="7"/>
  <c r="V85" i="7"/>
  <c r="V670" i="7"/>
  <c r="V79" i="7"/>
  <c r="V362" i="7"/>
  <c r="V357" i="7"/>
  <c r="V71" i="7"/>
  <c r="V354" i="7"/>
  <c r="V657" i="7"/>
  <c r="V349" i="7"/>
  <c r="V63" i="7"/>
  <c r="V340" i="7"/>
  <c r="V339" i="7"/>
  <c r="V333" i="7"/>
  <c r="V325" i="7"/>
  <c r="V627" i="7"/>
  <c r="V415" i="7"/>
  <c r="V128" i="7"/>
  <c r="V121" i="7"/>
  <c r="V112" i="7"/>
  <c r="V393" i="7"/>
  <c r="V105" i="7"/>
  <c r="V96" i="7"/>
  <c r="V89" i="7"/>
  <c r="V83" i="7"/>
  <c r="V74" i="7"/>
  <c r="V660" i="7"/>
  <c r="V66" i="7"/>
  <c r="V344" i="7"/>
  <c r="V58" i="7"/>
  <c r="V341" i="7"/>
  <c r="V338" i="7"/>
  <c r="V337" i="7"/>
  <c r="V336" i="7"/>
  <c r="V335" i="7"/>
  <c r="V334" i="7"/>
  <c r="V332" i="7"/>
  <c r="V331" i="7"/>
  <c r="V330" i="7"/>
  <c r="V329" i="7"/>
  <c r="V328" i="7"/>
  <c r="V327" i="7"/>
  <c r="V326" i="7"/>
  <c r="V324" i="7"/>
  <c r="V323" i="7"/>
  <c r="V36" i="8"/>
  <c r="V36" i="7"/>
  <c r="V285" i="7"/>
  <c r="V319" i="7"/>
  <c r="V623" i="7"/>
  <c r="V32" i="8"/>
  <c r="V32" i="7"/>
  <c r="V281" i="7"/>
  <c r="V315" i="7"/>
  <c r="V619" i="7"/>
  <c r="V28" i="8"/>
  <c r="V28" i="7"/>
  <c r="V277" i="7"/>
  <c r="V625" i="7"/>
  <c r="V34" i="7"/>
  <c r="V30" i="8"/>
  <c r="V617" i="7"/>
  <c r="V616" i="7"/>
  <c r="V310" i="7"/>
  <c r="V717" i="7"/>
  <c r="V716" i="7"/>
  <c r="V715" i="7"/>
  <c r="V267" i="7"/>
  <c r="V265" i="7"/>
  <c r="V299" i="7"/>
  <c r="V687" i="7"/>
  <c r="V686" i="7"/>
  <c r="V685" i="7"/>
  <c r="V595" i="7"/>
  <c r="V702" i="7"/>
  <c r="V293" i="7"/>
  <c r="V134" i="6"/>
  <c r="V127" i="6"/>
  <c r="V120" i="6"/>
  <c r="V102" i="6"/>
  <c r="V97" i="6"/>
  <c r="V248" i="6"/>
  <c r="V239" i="6"/>
  <c r="V174" i="6"/>
  <c r="V150" i="6"/>
  <c r="V142" i="6"/>
  <c r="V159" i="6"/>
  <c r="V138" i="6"/>
  <c r="V228" i="6"/>
  <c r="V222" i="6"/>
  <c r="V216" i="6"/>
  <c r="V194" i="6"/>
  <c r="V184" i="6"/>
  <c r="V175" i="6"/>
  <c r="V6" i="6"/>
  <c r="V160" i="6"/>
  <c r="V152" i="6"/>
  <c r="V41" i="6"/>
  <c r="V156" i="6"/>
  <c r="V19" i="6"/>
  <c r="V11" i="6"/>
  <c r="V139" i="6"/>
  <c r="V282" i="7"/>
  <c r="V274" i="7"/>
  <c r="V613" i="7"/>
  <c r="V612" i="7"/>
  <c r="V611" i="7"/>
  <c r="V18" i="8"/>
  <c r="V17" i="8"/>
  <c r="V16" i="8"/>
  <c r="V298" i="7"/>
  <c r="V601" i="7"/>
  <c r="V6" i="8"/>
  <c r="V594" i="7"/>
  <c r="V701" i="7"/>
  <c r="V599" i="7"/>
  <c r="V6" i="7"/>
  <c r="V132" i="6"/>
  <c r="V114" i="6"/>
  <c r="V107" i="6"/>
  <c r="V100" i="6"/>
  <c r="V251" i="6"/>
  <c r="V245" i="6"/>
  <c r="V87" i="6"/>
  <c r="V84" i="6"/>
  <c r="V82" i="6"/>
  <c r="V80" i="6"/>
  <c r="V78" i="6"/>
  <c r="V76" i="6"/>
  <c r="V74" i="6"/>
  <c r="V72" i="6"/>
  <c r="V70" i="6"/>
  <c r="V68" i="6"/>
  <c r="V66" i="6"/>
  <c r="V64" i="6"/>
  <c r="V62" i="6"/>
  <c r="V60" i="6"/>
  <c r="V58" i="6"/>
  <c r="V56" i="6"/>
  <c r="V54" i="6"/>
  <c r="V52" i="6"/>
  <c r="V50" i="6"/>
  <c r="V48" i="6"/>
  <c r="V46" i="6"/>
  <c r="V44" i="6"/>
  <c r="V42" i="6"/>
  <c r="V40" i="6"/>
  <c r="V38" i="6"/>
  <c r="V36" i="6"/>
  <c r="V34" i="6"/>
  <c r="V32" i="6"/>
  <c r="V30" i="6"/>
  <c r="V28" i="6"/>
  <c r="V26" i="6"/>
  <c r="V25" i="6"/>
  <c r="V178" i="6"/>
  <c r="V154" i="6"/>
  <c r="V21" i="6"/>
  <c r="V17" i="6"/>
  <c r="V170" i="6"/>
  <c r="V146" i="6"/>
  <c r="V13" i="6"/>
  <c r="V166" i="6"/>
  <c r="V9" i="6"/>
  <c r="V7" i="6"/>
  <c r="V140" i="6"/>
  <c r="V236" i="6"/>
  <c r="V230" i="6"/>
  <c r="V224" i="6"/>
  <c r="V212" i="6"/>
  <c r="V204" i="6"/>
  <c r="V196" i="6"/>
  <c r="V190" i="6"/>
  <c r="V182" i="6"/>
  <c r="V155" i="6"/>
  <c r="V151" i="6"/>
  <c r="V147" i="6"/>
  <c r="V143" i="6"/>
  <c r="V8" i="6"/>
  <c r="V37" i="6"/>
  <c r="V157" i="6"/>
  <c r="V148" i="6"/>
  <c r="V4" i="6"/>
  <c r="V137" i="6"/>
  <c r="V187" i="6"/>
  <c r="V163" i="6"/>
  <c r="V630" i="7"/>
  <c r="V320" i="7"/>
  <c r="V33" i="8"/>
  <c r="V620" i="7"/>
  <c r="V29" i="7"/>
  <c r="V312" i="7"/>
  <c r="V275" i="7"/>
  <c r="V273" i="7"/>
  <c r="V695" i="7"/>
  <c r="V694" i="7"/>
  <c r="V693" i="7"/>
  <c r="V712" i="7"/>
  <c r="V16" i="7"/>
  <c r="V15" i="7"/>
  <c r="V14" i="7"/>
  <c r="V263" i="7"/>
  <c r="V600" i="7"/>
  <c r="V4" i="8"/>
  <c r="V257" i="7"/>
  <c r="V598" i="7"/>
  <c r="V259" i="7"/>
  <c r="V126" i="6"/>
  <c r="V119" i="6"/>
  <c r="V112" i="6"/>
  <c r="V93" i="6"/>
  <c r="V244" i="6"/>
  <c r="V241" i="6"/>
  <c r="V234" i="6"/>
  <c r="V218" i="6"/>
  <c r="V214" i="6"/>
  <c r="V210" i="6"/>
  <c r="V206" i="6"/>
  <c r="V202" i="6"/>
  <c r="V200" i="6"/>
  <c r="V198" i="6"/>
  <c r="V179" i="6"/>
  <c r="V171" i="6"/>
  <c r="V167" i="6"/>
  <c r="V162" i="6"/>
  <c r="V250" i="6"/>
  <c r="V232" i="6"/>
  <c r="V220" i="6"/>
  <c r="V208" i="6"/>
  <c r="V192" i="6"/>
  <c r="V186" i="6"/>
  <c r="V180" i="6"/>
  <c r="V22" i="6"/>
  <c r="V18" i="6"/>
  <c r="V14" i="6"/>
  <c r="V10" i="6"/>
  <c r="V176" i="6"/>
  <c r="V144" i="6"/>
  <c r="V35" i="6"/>
  <c r="V27" i="6"/>
  <c r="V172" i="6"/>
  <c r="V26" i="7"/>
  <c r="V24" i="8"/>
  <c r="V307" i="7"/>
  <c r="V306" i="7"/>
  <c r="V305" i="7"/>
  <c r="V609" i="7"/>
  <c r="V713" i="7"/>
  <c r="V711" i="7"/>
  <c r="V262" i="7"/>
  <c r="V261" i="7"/>
  <c r="V289" i="7"/>
  <c r="V256" i="7"/>
  <c r="V597" i="7"/>
  <c r="V5" i="7"/>
  <c r="V131" i="6"/>
  <c r="V124" i="6"/>
  <c r="V106" i="6"/>
  <c r="V99" i="6"/>
  <c r="V238" i="6"/>
  <c r="V226" i="6"/>
  <c r="V188" i="6"/>
  <c r="V31" i="6"/>
  <c r="V15" i="6"/>
  <c r="V34" i="8"/>
  <c r="V283" i="7"/>
  <c r="V30" i="7"/>
  <c r="V313" i="7"/>
  <c r="V26" i="8"/>
  <c r="V720" i="7"/>
  <c r="V24" i="7"/>
  <c r="V23" i="7"/>
  <c r="V22" i="7"/>
  <c r="V608" i="7"/>
  <c r="V607" i="7"/>
  <c r="V691" i="7"/>
  <c r="V14" i="8"/>
  <c r="V13" i="8"/>
  <c r="V12" i="8"/>
  <c r="V295" i="7"/>
  <c r="V8" i="8"/>
  <c r="V255" i="7"/>
  <c r="V683" i="7"/>
  <c r="V9" i="7"/>
  <c r="V118" i="6"/>
  <c r="V111" i="6"/>
  <c r="V104" i="6"/>
  <c r="V247" i="6"/>
  <c r="V89" i="6"/>
  <c r="V3" i="6"/>
  <c r="V29" i="6"/>
  <c r="V164" i="6"/>
  <c r="V25" i="8"/>
  <c r="V719" i="7"/>
  <c r="V271" i="7"/>
  <c r="V270" i="7"/>
  <c r="V269" i="7"/>
  <c r="V690" i="7"/>
  <c r="V689" i="7"/>
  <c r="V12" i="7"/>
  <c r="V11" i="7"/>
  <c r="V10" i="7"/>
  <c r="V291" i="7"/>
  <c r="V682" i="7"/>
  <c r="V705" i="7"/>
  <c r="V130" i="6"/>
  <c r="V123" i="6"/>
  <c r="V116" i="6"/>
  <c r="V253" i="6"/>
  <c r="V95" i="6"/>
  <c r="V246" i="6"/>
  <c r="V243" i="6"/>
  <c r="V83" i="6"/>
  <c r="V81" i="6"/>
  <c r="V79" i="6"/>
  <c r="V77" i="6"/>
  <c r="V75" i="6"/>
  <c r="V73" i="6"/>
  <c r="V71" i="6"/>
  <c r="V69" i="6"/>
  <c r="V67" i="6"/>
  <c r="V65" i="6"/>
  <c r="V63" i="6"/>
  <c r="V61" i="6"/>
  <c r="V59" i="6"/>
  <c r="V57" i="6"/>
  <c r="V55" i="6"/>
  <c r="V53" i="6"/>
  <c r="V51" i="6"/>
  <c r="V49" i="6"/>
  <c r="V47" i="6"/>
  <c r="V45" i="6"/>
  <c r="V43" i="6"/>
  <c r="V39" i="6"/>
  <c r="V33" i="6"/>
  <c r="V23" i="6"/>
  <c r="V168" i="6"/>
  <c r="V149" i="6"/>
  <c r="V161" i="6"/>
  <c r="V624" i="7"/>
  <c r="V33" i="7"/>
  <c r="V316" i="7"/>
  <c r="V29" i="8"/>
  <c r="V278" i="7"/>
  <c r="V722" i="7"/>
  <c r="V615" i="7"/>
  <c r="V699" i="7"/>
  <c r="V22" i="8"/>
  <c r="V21" i="8"/>
  <c r="V20" i="8"/>
  <c r="V303" i="7"/>
  <c r="V302" i="7"/>
  <c r="V709" i="7"/>
  <c r="V708" i="7"/>
  <c r="V9" i="8"/>
  <c r="V290" i="7"/>
  <c r="V681" i="7"/>
  <c r="V7" i="7"/>
  <c r="V135" i="6"/>
  <c r="V128" i="6"/>
  <c r="V110" i="6"/>
  <c r="V103" i="6"/>
  <c r="V252" i="6"/>
  <c r="V85" i="6"/>
  <c r="V235" i="6"/>
  <c r="V227" i="6"/>
  <c r="V225" i="6"/>
  <c r="V221" i="6"/>
  <c r="V219" i="6"/>
  <c r="V215" i="6"/>
  <c r="V211" i="6"/>
  <c r="V209" i="6"/>
  <c r="V207" i="6"/>
  <c r="V203" i="6"/>
  <c r="V201" i="6"/>
  <c r="V199" i="6"/>
  <c r="V197" i="6"/>
  <c r="V195" i="6"/>
  <c r="V698" i="7"/>
  <c r="V697" i="7"/>
  <c r="V20" i="7"/>
  <c r="V19" i="7"/>
  <c r="V18" i="7"/>
  <c r="V266" i="7"/>
  <c r="V605" i="7"/>
  <c r="V604" i="7"/>
  <c r="V10" i="8"/>
  <c r="V7" i="8"/>
  <c r="V679" i="7"/>
  <c r="V703" i="7"/>
  <c r="V684" i="7"/>
  <c r="V4" i="7"/>
  <c r="V122" i="6"/>
  <c r="V115" i="6"/>
  <c r="V108" i="6"/>
  <c r="V249" i="6"/>
  <c r="V91" i="6"/>
  <c r="V237" i="6"/>
  <c r="V233" i="6"/>
  <c r="V231" i="6"/>
  <c r="V229" i="6"/>
  <c r="V223" i="6"/>
  <c r="V217" i="6"/>
  <c r="V213" i="6"/>
  <c r="V205" i="6"/>
  <c r="V193" i="6"/>
  <c r="V191" i="6"/>
  <c r="V189" i="6"/>
  <c r="V185" i="6"/>
  <c r="V183" i="6"/>
  <c r="V181" i="6"/>
  <c r="V158" i="6"/>
  <c r="V24" i="6"/>
  <c r="V177" i="6"/>
  <c r="V153" i="6"/>
  <c r="V20" i="6"/>
  <c r="V173" i="6"/>
  <c r="V16" i="6"/>
  <c r="V169" i="6"/>
  <c r="V145" i="6"/>
  <c r="V12" i="6"/>
  <c r="V165" i="6"/>
  <c r="V141" i="6"/>
  <c r="V5" i="6"/>
  <c r="V136" i="6"/>
  <c r="Y4" i="9"/>
  <c r="Y566" i="7"/>
  <c r="Y542" i="7"/>
  <c r="Y530" i="7"/>
  <c r="Y522" i="7"/>
  <c r="Y502" i="7"/>
  <c r="Y486" i="7"/>
  <c r="Y468" i="7"/>
  <c r="Y460" i="7"/>
  <c r="Y442" i="7"/>
  <c r="Y422" i="7"/>
  <c r="Y402" i="7"/>
  <c r="Y384" i="7"/>
  <c r="Y676" i="7"/>
  <c r="Y562" i="7"/>
  <c r="Y518" i="7"/>
  <c r="Y504" i="7"/>
  <c r="Y488" i="7"/>
  <c r="Y472" i="7"/>
  <c r="Y452" i="7"/>
  <c r="Y436" i="7"/>
  <c r="Y424" i="7"/>
  <c r="Y408" i="7"/>
  <c r="Y396" i="7"/>
  <c r="Y382" i="7"/>
  <c r="Y84" i="7"/>
  <c r="Y78" i="8"/>
  <c r="Y74" i="8"/>
  <c r="Y70" i="8"/>
  <c r="Y66" i="8"/>
  <c r="Y62" i="8"/>
  <c r="Y58" i="8"/>
  <c r="Y561" i="7"/>
  <c r="Y669" i="7"/>
  <c r="Y665" i="7"/>
  <c r="Y652" i="7"/>
  <c r="Y646" i="7"/>
  <c r="Y577" i="7"/>
  <c r="Y553" i="7"/>
  <c r="Y251" i="7"/>
  <c r="Y243" i="7"/>
  <c r="Y235" i="7"/>
  <c r="Y227" i="7"/>
  <c r="Y219" i="7"/>
  <c r="Y211" i="7"/>
  <c r="Y203" i="7"/>
  <c r="Y195" i="7"/>
  <c r="Y187" i="7"/>
  <c r="Y179" i="7"/>
  <c r="Y171" i="7"/>
  <c r="Y163" i="7"/>
  <c r="Y155" i="7"/>
  <c r="Y580" i="7"/>
  <c r="Y537" i="7"/>
  <c r="Y509" i="7"/>
  <c r="Y473" i="7"/>
  <c r="Y592" i="7"/>
  <c r="Y568" i="7"/>
  <c r="Y544" i="7"/>
  <c r="Y523" i="7"/>
  <c r="Y515" i="7"/>
  <c r="Y503" i="7"/>
  <c r="Y495" i="7"/>
  <c r="Y485" i="7"/>
  <c r="Y475" i="7"/>
  <c r="Y459" i="7"/>
  <c r="Y451" i="7"/>
  <c r="Y439" i="7"/>
  <c r="Y583" i="7"/>
  <c r="Y579" i="7"/>
  <c r="Y559" i="7"/>
  <c r="Y543" i="7"/>
  <c r="Y246" i="7"/>
  <c r="Y238" i="7"/>
  <c r="Y230" i="7"/>
  <c r="Y222" i="7"/>
  <c r="Y214" i="7"/>
  <c r="Y206" i="7"/>
  <c r="Y198" i="7"/>
  <c r="Y190" i="7"/>
  <c r="Y182" i="7"/>
  <c r="Y174" i="7"/>
  <c r="Y166" i="7"/>
  <c r="Y158" i="7"/>
  <c r="Y150" i="7"/>
  <c r="Y142" i="7"/>
  <c r="Y145" i="7"/>
  <c r="Y127" i="7"/>
  <c r="Y389" i="7"/>
  <c r="Y678" i="7"/>
  <c r="Y365" i="7"/>
  <c r="Y69" i="7"/>
  <c r="Y647" i="7"/>
  <c r="Y606" i="7"/>
  <c r="Y133" i="7"/>
  <c r="Y108" i="7"/>
  <c r="Y371" i="7"/>
  <c r="Y658" i="7"/>
  <c r="Y55" i="7"/>
  <c r="Y51" i="7"/>
  <c r="Y47" i="7"/>
  <c r="Y43" i="7"/>
  <c r="Y39" i="7"/>
  <c r="Y35" i="8"/>
  <c r="Y31" i="8"/>
  <c r="Y618" i="7"/>
  <c r="Y721" i="7"/>
  <c r="Y718" i="7"/>
  <c r="Y19" i="8"/>
  <c r="Y692" i="7"/>
  <c r="Y710" i="7"/>
  <c r="Y296" i="7"/>
  <c r="Y700" i="7"/>
  <c r="Y292" i="7"/>
  <c r="Y8" i="7"/>
  <c r="Y125" i="6"/>
  <c r="Y109" i="6"/>
  <c r="Y96" i="6"/>
  <c r="Y88" i="6"/>
  <c r="Y425" i="7"/>
  <c r="Y123" i="7"/>
  <c r="Y385" i="7"/>
  <c r="Y369" i="7"/>
  <c r="Y661" i="7"/>
  <c r="Y59" i="7"/>
  <c r="Y317" i="7"/>
  <c r="Y309" i="7"/>
  <c r="Y707" i="7"/>
  <c r="Y433" i="7"/>
  <c r="Y120" i="7"/>
  <c r="Y97" i="7"/>
  <c r="Y361" i="7"/>
  <c r="Y62" i="7"/>
  <c r="Y53" i="8"/>
  <c r="Y49" i="8"/>
  <c r="Y45" i="8"/>
  <c r="Y41" i="8"/>
  <c r="Y38" i="7"/>
  <c r="Y139" i="7"/>
  <c r="Y397" i="7"/>
  <c r="Y381" i="7"/>
  <c r="Y364" i="7"/>
  <c r="Y65" i="7"/>
  <c r="Y644" i="7"/>
  <c r="Y633" i="7"/>
  <c r="Y125" i="7"/>
  <c r="Y93" i="7"/>
  <c r="Y359" i="7"/>
  <c r="Y60" i="7"/>
  <c r="Y642" i="7"/>
  <c r="Y636" i="7"/>
  <c r="Y629" i="7"/>
  <c r="Y286" i="7"/>
  <c r="Y419" i="7"/>
  <c r="Y403" i="7"/>
  <c r="Y99" i="7"/>
  <c r="Y85" i="7"/>
  <c r="Y357" i="7"/>
  <c r="Y349" i="7"/>
  <c r="Y333" i="7"/>
  <c r="Y128" i="7"/>
  <c r="Y105" i="7"/>
  <c r="Y74" i="7"/>
  <c r="Y58" i="7"/>
  <c r="Y336" i="7"/>
  <c r="Y331" i="7"/>
  <c r="Y327" i="7"/>
  <c r="Y36" i="8"/>
  <c r="Y623" i="7"/>
  <c r="Y315" i="7"/>
  <c r="Y277" i="7"/>
  <c r="Y617" i="7"/>
  <c r="Y716" i="7"/>
  <c r="Y299" i="7"/>
  <c r="Y595" i="7"/>
  <c r="Y127" i="6"/>
  <c r="Y248" i="6"/>
  <c r="Y142" i="6"/>
  <c r="Y222" i="6"/>
  <c r="Y175" i="6"/>
  <c r="Y41" i="6"/>
  <c r="Y139" i="6"/>
  <c r="Y612" i="7"/>
  <c r="Y16" i="8"/>
  <c r="Y594" i="7"/>
  <c r="Y132" i="6"/>
  <c r="Y251" i="6"/>
  <c r="Y82" i="6"/>
  <c r="Y74" i="6"/>
  <c r="Y66" i="6"/>
  <c r="Y58" i="6"/>
  <c r="Y50" i="6"/>
  <c r="Y42" i="6"/>
  <c r="Y34" i="6"/>
  <c r="Y26" i="6"/>
  <c r="Y21" i="6"/>
  <c r="Y13" i="6"/>
  <c r="Y140" i="6"/>
  <c r="Y212" i="6"/>
  <c r="Y182" i="6"/>
  <c r="Y143" i="6"/>
  <c r="Y148" i="6"/>
  <c r="Y163" i="6"/>
  <c r="Y620" i="7"/>
  <c r="Y273" i="7"/>
  <c r="Y712" i="7"/>
  <c r="Y8" i="9"/>
  <c r="Y11" i="9"/>
  <c r="Y15" i="9"/>
  <c r="Y19" i="9"/>
  <c r="Y23" i="9"/>
  <c r="Y27" i="9"/>
  <c r="Y31" i="9"/>
  <c r="Y35" i="9"/>
  <c r="Y39" i="9"/>
  <c r="Y43" i="9"/>
  <c r="Y47" i="9"/>
  <c r="Y51" i="9"/>
  <c r="Y55" i="9"/>
  <c r="Y59" i="9"/>
  <c r="Y63" i="9"/>
  <c r="Y67" i="9"/>
  <c r="Y71" i="9"/>
  <c r="Y75" i="9"/>
  <c r="Y79" i="9"/>
  <c r="Y83" i="9"/>
  <c r="Y87" i="9"/>
  <c r="Y91" i="9"/>
  <c r="Y95" i="9"/>
  <c r="Y99" i="9"/>
  <c r="Y103" i="9"/>
  <c r="Y107" i="9"/>
  <c r="Y111" i="9"/>
  <c r="Y115" i="9"/>
  <c r="Y119" i="9"/>
  <c r="Y123" i="9"/>
  <c r="Y127" i="9"/>
  <c r="Y131" i="9"/>
  <c r="Y135" i="9"/>
  <c r="Y6" i="9"/>
  <c r="Y586" i="7"/>
  <c r="Y558" i="7"/>
  <c r="Y538" i="7"/>
  <c r="Y528" i="7"/>
  <c r="Y514" i="7"/>
  <c r="Y500" i="7"/>
  <c r="Y482" i="7"/>
  <c r="Y466" i="7"/>
  <c r="Y458" i="7"/>
  <c r="Y440" i="7"/>
  <c r="Y420" i="7"/>
  <c r="Y400" i="7"/>
  <c r="Y380" i="7"/>
  <c r="Y590" i="7"/>
  <c r="Y554" i="7"/>
  <c r="Y516" i="7"/>
  <c r="Y496" i="7"/>
  <c r="Y484" i="7"/>
  <c r="Y470" i="7"/>
  <c r="Y448" i="7"/>
  <c r="Y432" i="7"/>
  <c r="Y416" i="7"/>
  <c r="Y406" i="7"/>
  <c r="Y392" i="7"/>
  <c r="Y374" i="7"/>
  <c r="Y672" i="7"/>
  <c r="Y5" i="9"/>
  <c r="Y12" i="9"/>
  <c r="Y16" i="9"/>
  <c r="Y20" i="9"/>
  <c r="Y24" i="9"/>
  <c r="Y28" i="9"/>
  <c r="Y32" i="9"/>
  <c r="Y36" i="9"/>
  <c r="Y40" i="9"/>
  <c r="Y44" i="9"/>
  <c r="Y48" i="9"/>
  <c r="Y52" i="9"/>
  <c r="Y56" i="9"/>
  <c r="Y60" i="9"/>
  <c r="Y64" i="9"/>
  <c r="Y68" i="9"/>
  <c r="Y72" i="9"/>
  <c r="Y76" i="9"/>
  <c r="Y80" i="9"/>
  <c r="Y84" i="9"/>
  <c r="Y88" i="9"/>
  <c r="Y92" i="9"/>
  <c r="Y96" i="9"/>
  <c r="Y100" i="9"/>
  <c r="Y104" i="9"/>
  <c r="Y108" i="9"/>
  <c r="Y112" i="9"/>
  <c r="Y116" i="9"/>
  <c r="Y120" i="9"/>
  <c r="Y124" i="9"/>
  <c r="Y128" i="9"/>
  <c r="Y132" i="9"/>
  <c r="Y7" i="9"/>
  <c r="Y10" i="9"/>
  <c r="Y21" i="9"/>
  <c r="Y26" i="9"/>
  <c r="Y37" i="9"/>
  <c r="Y42" i="9"/>
  <c r="Y53" i="9"/>
  <c r="Y58" i="9"/>
  <c r="Y69" i="9"/>
  <c r="Y74" i="9"/>
  <c r="Y85" i="9"/>
  <c r="Y90" i="9"/>
  <c r="Y101" i="9"/>
  <c r="Y106" i="9"/>
  <c r="Y117" i="9"/>
  <c r="Y122" i="9"/>
  <c r="Y133" i="9"/>
  <c r="Y77" i="8"/>
  <c r="Y68" i="8"/>
  <c r="Y59" i="8"/>
  <c r="Y664" i="7"/>
  <c r="Y585" i="7"/>
  <c r="Y253" i="7"/>
  <c r="Y225" i="7"/>
  <c r="Y207" i="7"/>
  <c r="Y189" i="7"/>
  <c r="Y161" i="7"/>
  <c r="Y552" i="7"/>
  <c r="Y481" i="7"/>
  <c r="Y535" i="7"/>
  <c r="Y511" i="7"/>
  <c r="Y487" i="7"/>
  <c r="Y449" i="7"/>
  <c r="Y539" i="7"/>
  <c r="Y547" i="7"/>
  <c r="Y228" i="7"/>
  <c r="Y210" i="7"/>
  <c r="Y192" i="7"/>
  <c r="Y164" i="7"/>
  <c r="Y146" i="7"/>
  <c r="Y134" i="7"/>
  <c r="Y77" i="7"/>
  <c r="Y614" i="7"/>
  <c r="Y117" i="7"/>
  <c r="Y54" i="7"/>
  <c r="Y45" i="7"/>
  <c r="Y626" i="7"/>
  <c r="Y25" i="7"/>
  <c r="Y714" i="7"/>
  <c r="Y11" i="8"/>
  <c r="Y3" i="7"/>
  <c r="Y101" i="6"/>
  <c r="Y429" i="7"/>
  <c r="Y82" i="7"/>
  <c r="Y56" i="7"/>
  <c r="Y297" i="7"/>
  <c r="Y375" i="7"/>
  <c r="Y55" i="8"/>
  <c r="Y46" i="8"/>
  <c r="Y135" i="7"/>
  <c r="Y675" i="7"/>
  <c r="Y645" i="7"/>
  <c r="Y368" i="7"/>
  <c r="Y56" i="8"/>
  <c r="Y631" i="7"/>
  <c r="Y115" i="7"/>
  <c r="Y79" i="7"/>
  <c r="Y339" i="7"/>
  <c r="Y660" i="7"/>
  <c r="Y334" i="7"/>
  <c r="Y323" i="7"/>
  <c r="Y625" i="7"/>
  <c r="Y267" i="7"/>
  <c r="Y134" i="6"/>
  <c r="Y216" i="6"/>
  <c r="Y19" i="6"/>
  <c r="Y17" i="8"/>
  <c r="Y245" i="6"/>
  <c r="Y70" i="6"/>
  <c r="Y52" i="6"/>
  <c r="Y25" i="6"/>
  <c r="Y9" i="6"/>
  <c r="Y190" i="6"/>
  <c r="Y630" i="7"/>
  <c r="Y694" i="7"/>
  <c r="Y3" i="9"/>
  <c r="Y536" i="7"/>
  <c r="Y524" i="7"/>
  <c r="Y476" i="7"/>
  <c r="Y462" i="7"/>
  <c r="Y418" i="7"/>
  <c r="Y386" i="7"/>
  <c r="Y532" i="7"/>
  <c r="Y508" i="7"/>
  <c r="Y456" i="7"/>
  <c r="Y438" i="7"/>
  <c r="Y404" i="7"/>
  <c r="Y388" i="7"/>
  <c r="Y72" i="8"/>
  <c r="Y63" i="8"/>
  <c r="Y668" i="7"/>
  <c r="Y649" i="7"/>
  <c r="Y557" i="7"/>
  <c r="Y233" i="7"/>
  <c r="Y215" i="7"/>
  <c r="Y197" i="7"/>
  <c r="Y169" i="7"/>
  <c r="Y151" i="7"/>
  <c r="Y525" i="7"/>
  <c r="Y564" i="7"/>
  <c r="Y519" i="7"/>
  <c r="Y497" i="7"/>
  <c r="Y457" i="7"/>
  <c r="Y435" i="7"/>
  <c r="Y567" i="7"/>
  <c r="Y236" i="7"/>
  <c r="Y218" i="7"/>
  <c r="Y200" i="7"/>
  <c r="Y172" i="7"/>
  <c r="Y154" i="7"/>
  <c r="Y136" i="7"/>
  <c r="Y87" i="7"/>
  <c r="Y655" i="7"/>
  <c r="Y149" i="7"/>
  <c r="Y64" i="7"/>
  <c r="Y49" i="7"/>
  <c r="Y40" i="7"/>
  <c r="Y27" i="8"/>
  <c r="Y696" i="7"/>
  <c r="Y300" i="7"/>
  <c r="Y258" i="7"/>
  <c r="Y117" i="6"/>
  <c r="Y90" i="6"/>
  <c r="Y98" i="7"/>
  <c r="Y350" i="7"/>
  <c r="Y276" i="7"/>
  <c r="Y401" i="7"/>
  <c r="Y353" i="7"/>
  <c r="Y50" i="8"/>
  <c r="Y287" i="7"/>
  <c r="Y391" i="7"/>
  <c r="Y659" i="7"/>
  <c r="Y116" i="7"/>
  <c r="Y351" i="7"/>
  <c r="Y637" i="7"/>
  <c r="Y131" i="7"/>
  <c r="Y90" i="7"/>
  <c r="Y657" i="7"/>
  <c r="Y96" i="7"/>
  <c r="Y338" i="7"/>
  <c r="Y17" i="9"/>
  <c r="Y22" i="9"/>
  <c r="Y33" i="9"/>
  <c r="Y38" i="9"/>
  <c r="Y49" i="9"/>
  <c r="Y54" i="9"/>
  <c r="Y65" i="9"/>
  <c r="Y70" i="9"/>
  <c r="Y81" i="9"/>
  <c r="Y86" i="9"/>
  <c r="Y97" i="9"/>
  <c r="Y102" i="9"/>
  <c r="Y113" i="9"/>
  <c r="Y118" i="9"/>
  <c r="Y129" i="9"/>
  <c r="Y134" i="9"/>
  <c r="Y76" i="8"/>
  <c r="Y67" i="8"/>
  <c r="Y541" i="7"/>
  <c r="Y662" i="7"/>
  <c r="Y581" i="7"/>
  <c r="Y241" i="7"/>
  <c r="Y223" i="7"/>
  <c r="Y205" i="7"/>
  <c r="Y177" i="7"/>
  <c r="Y159" i="7"/>
  <c r="Y540" i="7"/>
  <c r="Y584" i="7"/>
  <c r="Y533" i="7"/>
  <c r="Y507" i="7"/>
  <c r="Y471" i="7"/>
  <c r="Y445" i="7"/>
  <c r="Y587" i="7"/>
  <c r="Y244" i="7"/>
  <c r="Y226" i="7"/>
  <c r="Y208" i="7"/>
  <c r="Y180" i="7"/>
  <c r="Y162" i="7"/>
  <c r="Y144" i="7"/>
  <c r="Y102" i="7"/>
  <c r="Y360" i="7"/>
  <c r="Y610" i="7"/>
  <c r="Y363" i="7"/>
  <c r="Y53" i="7"/>
  <c r="Y44" i="7"/>
  <c r="Y31" i="7"/>
  <c r="Y23" i="8"/>
  <c r="Y268" i="7"/>
  <c r="Y254" i="7"/>
  <c r="Y133" i="6"/>
  <c r="Y98" i="6"/>
  <c r="Y114" i="7"/>
  <c r="Y75" i="7"/>
  <c r="Y321" i="7"/>
  <c r="Y417" i="7"/>
  <c r="Y86" i="7"/>
  <c r="Y54" i="8"/>
  <c r="Y40" i="8"/>
  <c r="Y126" i="7"/>
  <c r="Y671" i="7"/>
  <c r="Y441" i="7"/>
  <c r="Y81" i="7"/>
  <c r="Y643" i="7"/>
  <c r="Y431" i="7"/>
  <c r="Y106" i="7"/>
  <c r="Y362" i="7"/>
  <c r="Y121" i="7"/>
  <c r="Y66" i="7"/>
  <c r="Y332" i="7"/>
  <c r="Y32" i="8"/>
  <c r="Y34" i="7"/>
  <c r="Y265" i="7"/>
  <c r="Y239" i="6"/>
  <c r="Y194" i="6"/>
  <c r="Y11" i="6"/>
  <c r="Y701" i="7"/>
  <c r="Y87" i="6"/>
  <c r="Y68" i="6"/>
  <c r="Y40" i="6"/>
  <c r="Y178" i="6"/>
  <c r="Y7" i="6"/>
  <c r="Y8" i="6"/>
  <c r="Y320" i="7"/>
  <c r="Y693" i="7"/>
  <c r="Y550" i="7"/>
  <c r="Y534" i="7"/>
  <c r="Y498" i="7"/>
  <c r="Y474" i="7"/>
  <c r="Y434" i="7"/>
  <c r="Y410" i="7"/>
  <c r="Y582" i="7"/>
  <c r="Y520" i="7"/>
  <c r="Y480" i="7"/>
  <c r="Y454" i="7"/>
  <c r="Y414" i="7"/>
  <c r="Y398" i="7"/>
  <c r="Y366" i="7"/>
  <c r="Y71" i="8"/>
  <c r="Y57" i="8"/>
  <c r="Y667" i="7"/>
  <c r="Y648" i="7"/>
  <c r="Y249" i="7"/>
  <c r="Y13" i="9"/>
  <c r="Y18" i="9"/>
  <c r="Y29" i="9"/>
  <c r="Y34" i="9"/>
  <c r="Y45" i="9"/>
  <c r="Y50" i="9"/>
  <c r="Y61" i="9"/>
  <c r="Y66" i="9"/>
  <c r="Y77" i="9"/>
  <c r="Y82" i="9"/>
  <c r="Y93" i="9"/>
  <c r="Y98" i="9"/>
  <c r="Y109" i="9"/>
  <c r="Y114" i="9"/>
  <c r="Y125" i="9"/>
  <c r="Y130" i="9"/>
  <c r="Y9" i="9"/>
  <c r="Y30" i="9"/>
  <c r="Y73" i="9"/>
  <c r="Y94" i="9"/>
  <c r="Y65" i="8"/>
  <c r="Y60" i="8"/>
  <c r="Y193" i="7"/>
  <c r="Y183" i="7"/>
  <c r="Y173" i="7"/>
  <c r="Y517" i="7"/>
  <c r="Y501" i="7"/>
  <c r="Y489" i="7"/>
  <c r="Y477" i="7"/>
  <c r="Y224" i="7"/>
  <c r="Y202" i="7"/>
  <c r="Y170" i="7"/>
  <c r="Y148" i="7"/>
  <c r="Y101" i="7"/>
  <c r="Y72" i="7"/>
  <c r="Y650" i="7"/>
  <c r="Y50" i="7"/>
  <c r="Y264" i="7"/>
  <c r="Y260" i="7"/>
  <c r="Y596" i="7"/>
  <c r="Y653" i="7"/>
  <c r="Y621" i="7"/>
  <c r="Y603" i="7"/>
  <c r="Y240" i="6"/>
  <c r="Y119" i="7"/>
  <c r="Y356" i="7"/>
  <c r="Y109" i="7"/>
  <c r="Y343" i="7"/>
  <c r="Y325" i="7"/>
  <c r="Y112" i="7"/>
  <c r="Y83" i="7"/>
  <c r="Y341" i="7"/>
  <c r="Y36" i="7"/>
  <c r="Y32" i="7"/>
  <c r="Y715" i="7"/>
  <c r="Y184" i="6"/>
  <c r="Y18" i="8"/>
  <c r="Y6" i="8"/>
  <c r="Y56" i="6"/>
  <c r="Y46" i="6"/>
  <c r="Y36" i="6"/>
  <c r="Y155" i="6"/>
  <c r="Y37" i="6"/>
  <c r="Y695" i="7"/>
  <c r="Y170" i="6"/>
  <c r="Y29" i="7"/>
  <c r="Y14" i="7"/>
  <c r="Y119" i="6"/>
  <c r="Y241" i="6"/>
  <c r="Y198" i="6"/>
  <c r="Y208" i="6"/>
  <c r="Y22" i="6"/>
  <c r="Y172" i="6"/>
  <c r="Y711" i="7"/>
  <c r="Y124" i="6"/>
  <c r="Y226" i="6"/>
  <c r="Y26" i="8"/>
  <c r="Y14" i="8"/>
  <c r="Y118" i="6"/>
  <c r="Y89" i="6"/>
  <c r="Y269" i="7"/>
  <c r="Y11" i="7"/>
  <c r="Y253" i="6"/>
  <c r="Y83" i="6"/>
  <c r="Y67" i="6"/>
  <c r="Y59" i="6"/>
  <c r="Y43" i="6"/>
  <c r="Y33" i="7"/>
  <c r="Y722" i="7"/>
  <c r="Y709" i="7"/>
  <c r="Y681" i="7"/>
  <c r="Y235" i="6"/>
  <c r="Y207" i="6"/>
  <c r="Y197" i="6"/>
  <c r="Y605" i="7"/>
  <c r="Y679" i="7"/>
  <c r="Y91" i="6"/>
  <c r="Y205" i="6"/>
  <c r="Y185" i="6"/>
  <c r="Y173" i="6"/>
  <c r="Y12" i="6"/>
  <c r="Y54" i="6"/>
  <c r="Y151" i="6"/>
  <c r="Y232" i="7"/>
  <c r="Y399" i="7"/>
  <c r="Y42" i="7"/>
  <c r="Y92" i="6"/>
  <c r="Y342" i="7"/>
  <c r="Y39" i="8"/>
  <c r="Y37" i="8"/>
  <c r="Y330" i="7"/>
  <c r="Y62" i="6"/>
  <c r="Y146" i="6"/>
  <c r="Y312" i="7"/>
  <c r="Y598" i="7"/>
  <c r="Y206" i="6"/>
  <c r="Y192" i="6"/>
  <c r="Y26" i="7"/>
  <c r="Y597" i="7"/>
  <c r="Y283" i="7"/>
  <c r="Y13" i="8"/>
  <c r="Y111" i="6"/>
  <c r="Y690" i="7"/>
  <c r="Y95" i="6"/>
  <c r="Y65" i="6"/>
  <c r="Y39" i="6"/>
  <c r="Y615" i="7"/>
  <c r="Y7" i="7"/>
  <c r="Y215" i="6"/>
  <c r="Y195" i="6"/>
  <c r="Y604" i="7"/>
  <c r="Y237" i="6"/>
  <c r="Y183" i="6"/>
  <c r="Y165" i="6"/>
  <c r="Y70" i="7"/>
  <c r="Y638" i="7"/>
  <c r="Y71" i="7"/>
  <c r="Y324" i="7"/>
  <c r="Y702" i="7"/>
  <c r="Y154" i="6"/>
  <c r="Y196" i="6"/>
  <c r="Y574" i="7"/>
  <c r="Y444" i="7"/>
  <c r="Y492" i="7"/>
  <c r="Y370" i="7"/>
  <c r="Y247" i="7"/>
  <c r="Y237" i="7"/>
  <c r="Y588" i="7"/>
  <c r="Y529" i="7"/>
  <c r="Y493" i="7"/>
  <c r="Y461" i="7"/>
  <c r="Y443" i="7"/>
  <c r="Y571" i="7"/>
  <c r="Y234" i="7"/>
  <c r="Y212" i="7"/>
  <c r="Y118" i="7"/>
  <c r="Y383" i="7"/>
  <c r="Y367" i="7"/>
  <c r="Y352" i="7"/>
  <c r="Y288" i="7"/>
  <c r="Y284" i="7"/>
  <c r="Y314" i="7"/>
  <c r="Y113" i="6"/>
  <c r="Y94" i="6"/>
  <c r="Y447" i="7"/>
  <c r="Y411" i="7"/>
  <c r="Y78" i="7"/>
  <c r="Y51" i="8"/>
  <c r="Y147" i="7"/>
  <c r="Y94" i="7"/>
  <c r="Y628" i="7"/>
  <c r="Y427" i="7"/>
  <c r="Y122" i="7"/>
  <c r="Y377" i="7"/>
  <c r="Y28" i="7"/>
  <c r="Y616" i="7"/>
  <c r="Y685" i="7"/>
  <c r="Y138" i="6"/>
  <c r="Y274" i="7"/>
  <c r="Y114" i="6"/>
  <c r="Y76" i="6"/>
  <c r="Y64" i="6"/>
  <c r="Y187" i="6"/>
  <c r="Y257" i="7"/>
  <c r="Y210" i="6"/>
  <c r="Y162" i="6"/>
  <c r="Y176" i="6"/>
  <c r="Y306" i="7"/>
  <c r="Y256" i="7"/>
  <c r="Y34" i="8"/>
  <c r="Y22" i="7"/>
  <c r="Y8" i="8"/>
  <c r="Y25" i="8"/>
  <c r="Y705" i="7"/>
  <c r="Y75" i="6"/>
  <c r="Y51" i="6"/>
  <c r="Y168" i="6"/>
  <c r="Y21" i="8"/>
  <c r="Y110" i="6"/>
  <c r="Y219" i="6"/>
  <c r="Y20" i="7"/>
  <c r="Y122" i="6"/>
  <c r="Y229" i="6"/>
  <c r="Y24" i="6"/>
  <c r="Y136" i="6"/>
  <c r="Y84" i="6"/>
  <c r="Y44" i="6"/>
  <c r="Y157" i="6"/>
  <c r="Y513" i="7"/>
  <c r="Y220" i="7"/>
  <c r="Y95" i="7"/>
  <c r="Y322" i="7"/>
  <c r="Y129" i="6"/>
  <c r="Y91" i="7"/>
  <c r="Y44" i="8"/>
  <c r="Y110" i="7"/>
  <c r="Y423" i="7"/>
  <c r="Y337" i="7"/>
  <c r="Y228" i="6"/>
  <c r="Y613" i="7"/>
  <c r="Y32" i="6"/>
  <c r="Y236" i="6"/>
  <c r="Y112" i="6"/>
  <c r="Y179" i="6"/>
  <c r="Y18" i="6"/>
  <c r="Y305" i="7"/>
  <c r="Y188" i="6"/>
  <c r="Y608" i="7"/>
  <c r="Y3" i="6"/>
  <c r="Y10" i="7"/>
  <c r="Y81" i="6"/>
  <c r="Y57" i="6"/>
  <c r="Y149" i="6"/>
  <c r="Y20" i="8"/>
  <c r="Y103" i="6"/>
  <c r="Y19" i="7"/>
  <c r="Y115" i="6"/>
  <c r="Y193" i="6"/>
  <c r="Y16" i="6"/>
  <c r="Y413" i="7"/>
  <c r="Y372" i="7"/>
  <c r="Y319" i="7"/>
  <c r="Y102" i="6"/>
  <c r="Y599" i="7"/>
  <c r="Y72" i="6"/>
  <c r="Y25" i="9"/>
  <c r="Y46" i="9"/>
  <c r="Y89" i="9"/>
  <c r="Y110" i="9"/>
  <c r="Y490" i="7"/>
  <c r="Y464" i="7"/>
  <c r="Y570" i="7"/>
  <c r="Y510" i="7"/>
  <c r="Y412" i="7"/>
  <c r="Y390" i="7"/>
  <c r="Y64" i="8"/>
  <c r="Y666" i="7"/>
  <c r="Y651" i="7"/>
  <c r="Y549" i="7"/>
  <c r="Y213" i="7"/>
  <c r="Y201" i="7"/>
  <c r="Y191" i="7"/>
  <c r="Y181" i="7"/>
  <c r="Y531" i="7"/>
  <c r="Y499" i="7"/>
  <c r="Y455" i="7"/>
  <c r="Y563" i="7"/>
  <c r="Y188" i="7"/>
  <c r="Y178" i="7"/>
  <c r="Y168" i="7"/>
  <c r="Y156" i="7"/>
  <c r="Y124" i="7"/>
  <c r="Y379" i="7"/>
  <c r="Y355" i="7"/>
  <c r="Y21" i="7"/>
  <c r="Y17" i="7"/>
  <c r="Y13" i="7"/>
  <c r="Y5" i="8"/>
  <c r="Y358" i="7"/>
  <c r="Y279" i="7"/>
  <c r="Y113" i="7"/>
  <c r="Y345" i="7"/>
  <c r="Y641" i="7"/>
  <c r="Y132" i="7"/>
  <c r="Y100" i="7"/>
  <c r="Y68" i="7"/>
  <c r="Y63" i="7"/>
  <c r="Y627" i="7"/>
  <c r="Y393" i="7"/>
  <c r="Y326" i="7"/>
  <c r="Y285" i="7"/>
  <c r="Y281" i="7"/>
  <c r="Y120" i="6"/>
  <c r="Y174" i="6"/>
  <c r="Y156" i="6"/>
  <c r="Y204" i="6"/>
  <c r="Y252" i="7"/>
  <c r="Y48" i="7"/>
  <c r="Y318" i="7"/>
  <c r="Y143" i="7"/>
  <c r="Y310" i="7"/>
  <c r="Y6" i="6"/>
  <c r="Y107" i="6"/>
  <c r="Y263" i="7"/>
  <c r="Y234" i="6"/>
  <c r="Y250" i="6"/>
  <c r="Y144" i="6"/>
  <c r="Y262" i="7"/>
  <c r="Y106" i="6"/>
  <c r="Y720" i="7"/>
  <c r="Y255" i="7"/>
  <c r="Y719" i="7"/>
  <c r="Y130" i="6"/>
  <c r="Y73" i="6"/>
  <c r="Y49" i="6"/>
  <c r="Y316" i="7"/>
  <c r="Y708" i="7"/>
  <c r="Y227" i="6"/>
  <c r="Y203" i="6"/>
  <c r="Y703" i="7"/>
  <c r="Y223" i="6"/>
  <c r="Y177" i="6"/>
  <c r="Y348" i="7"/>
  <c r="Y340" i="7"/>
  <c r="Y298" i="7"/>
  <c r="Y147" i="6"/>
  <c r="Y512" i="7"/>
  <c r="Y378" i="7"/>
  <c r="Y430" i="7"/>
  <c r="Y75" i="8"/>
  <c r="Y69" i="8"/>
  <c r="Y677" i="7"/>
  <c r="Y245" i="7"/>
  <c r="Y157" i="7"/>
  <c r="Y527" i="7"/>
  <c r="Y556" i="7"/>
  <c r="Y242" i="7"/>
  <c r="Y141" i="7"/>
  <c r="Y635" i="7"/>
  <c r="Y41" i="9"/>
  <c r="Y62" i="9"/>
  <c r="Y105" i="9"/>
  <c r="Y126" i="9"/>
  <c r="Y573" i="7"/>
  <c r="Y545" i="7"/>
  <c r="Y221" i="7"/>
  <c r="Y199" i="7"/>
  <c r="Y167" i="7"/>
  <c r="Y560" i="7"/>
  <c r="Y483" i="7"/>
  <c r="Y469" i="7"/>
  <c r="Y453" i="7"/>
  <c r="Y437" i="7"/>
  <c r="Y196" i="7"/>
  <c r="Y186" i="7"/>
  <c r="Y176" i="7"/>
  <c r="Y61" i="7"/>
  <c r="Y688" i="7"/>
  <c r="Y405" i="7"/>
  <c r="Y92" i="7"/>
  <c r="Y308" i="7"/>
  <c r="Y15" i="8"/>
  <c r="Y704" i="7"/>
  <c r="Y105" i="6"/>
  <c r="Y3" i="8"/>
  <c r="Y129" i="7"/>
  <c r="Y104" i="7"/>
  <c r="Y415" i="7"/>
  <c r="Y506" i="7"/>
  <c r="Y376" i="7"/>
  <c r="Y428" i="7"/>
  <c r="Y589" i="7"/>
  <c r="Y673" i="7"/>
  <c r="Y231" i="7"/>
  <c r="Y209" i="7"/>
  <c r="Y465" i="7"/>
  <c r="Y576" i="7"/>
  <c r="Y548" i="7"/>
  <c r="Y521" i="7"/>
  <c r="Y555" i="7"/>
  <c r="Y250" i="7"/>
  <c r="Y240" i="7"/>
  <c r="Y152" i="7"/>
  <c r="Y140" i="7"/>
  <c r="Y137" i="7"/>
  <c r="Y111" i="7"/>
  <c r="Y52" i="7"/>
  <c r="Y41" i="7"/>
  <c r="Y14" i="9"/>
  <c r="Y57" i="9"/>
  <c r="Y78" i="9"/>
  <c r="Y121" i="9"/>
  <c r="M12" i="9" s="1"/>
  <c r="Y546" i="7"/>
  <c r="Y526" i="7"/>
  <c r="Y426" i="7"/>
  <c r="Y394" i="7"/>
  <c r="Y478" i="7"/>
  <c r="Y446" i="7"/>
  <c r="Y80" i="7"/>
  <c r="Y578" i="7"/>
  <c r="Y450" i="7"/>
  <c r="Y494" i="7"/>
  <c r="Y88" i="7"/>
  <c r="Y565" i="7"/>
  <c r="Y73" i="8"/>
  <c r="Y654" i="7"/>
  <c r="Y229" i="7"/>
  <c r="Y185" i="7"/>
  <c r="Y505" i="7"/>
  <c r="Y216" i="7"/>
  <c r="Y160" i="7"/>
  <c r="Y602" i="7"/>
  <c r="Y280" i="7"/>
  <c r="Y706" i="7"/>
  <c r="Y86" i="6"/>
  <c r="Y656" i="7"/>
  <c r="Y37" i="7"/>
  <c r="Y409" i="7"/>
  <c r="Y619" i="7"/>
  <c r="Y30" i="8"/>
  <c r="Y17" i="6"/>
  <c r="Y16" i="7"/>
  <c r="Y4" i="8"/>
  <c r="Y218" i="6"/>
  <c r="Y200" i="6"/>
  <c r="Y186" i="6"/>
  <c r="Y10" i="6"/>
  <c r="Y609" i="7"/>
  <c r="Y289" i="7"/>
  <c r="Y31" i="6"/>
  <c r="Y313" i="7"/>
  <c r="Y12" i="8"/>
  <c r="Y9" i="7"/>
  <c r="Y271" i="7"/>
  <c r="Y12" i="7"/>
  <c r="Y246" i="6"/>
  <c r="Y77" i="6"/>
  <c r="Y55" i="6"/>
  <c r="Y45" i="6"/>
  <c r="Y29" i="8"/>
  <c r="Y22" i="8"/>
  <c r="Y135" i="6"/>
  <c r="Y85" i="6"/>
  <c r="Y201" i="6"/>
  <c r="Y697" i="7"/>
  <c r="Y684" i="7"/>
  <c r="Y249" i="6"/>
  <c r="Y191" i="6"/>
  <c r="Y158" i="6"/>
  <c r="Y141" i="6"/>
  <c r="Y275" i="7"/>
  <c r="Y38" i="8"/>
  <c r="Y634" i="7"/>
  <c r="Y344" i="7"/>
  <c r="Y28" i="8"/>
  <c r="Y38" i="6"/>
  <c r="Y93" i="6"/>
  <c r="Y232" i="6"/>
  <c r="Y24" i="8"/>
  <c r="Y15" i="6"/>
  <c r="Y607" i="7"/>
  <c r="Y29" i="6"/>
  <c r="Y243" i="6"/>
  <c r="Y53" i="6"/>
  <c r="Y9" i="8"/>
  <c r="Y211" i="6"/>
  <c r="Y4" i="7"/>
  <c r="Y169" i="6"/>
  <c r="Y491" i="7"/>
  <c r="Y304" i="7"/>
  <c r="Y121" i="6"/>
  <c r="Y407" i="7"/>
  <c r="Y354" i="7"/>
  <c r="Y160" i="6"/>
  <c r="Y572" i="7"/>
  <c r="Y138" i="7"/>
  <c r="Y687" i="7"/>
  <c r="Y4" i="6"/>
  <c r="Y259" i="7"/>
  <c r="Y171" i="6"/>
  <c r="Y35" i="6"/>
  <c r="Y5" i="7"/>
  <c r="Y691" i="7"/>
  <c r="Y291" i="7"/>
  <c r="Y61" i="6"/>
  <c r="Y303" i="7"/>
  <c r="Y209" i="6"/>
  <c r="Y233" i="6"/>
  <c r="Y145" i="6"/>
  <c r="Y421" i="7"/>
  <c r="Y60" i="6"/>
  <c r="Y166" i="6"/>
  <c r="Y167" i="6"/>
  <c r="Y261" i="7"/>
  <c r="Y247" i="6"/>
  <c r="Y69" i="6"/>
  <c r="Y221" i="6"/>
  <c r="Y108" i="6"/>
  <c r="Y479" i="7"/>
  <c r="Y551" i="7"/>
  <c r="Y347" i="7"/>
  <c r="Y335" i="7"/>
  <c r="Y328" i="7"/>
  <c r="Y97" i="6"/>
  <c r="Y159" i="6"/>
  <c r="Y611" i="7"/>
  <c r="Y80" i="6"/>
  <c r="Y28" i="6"/>
  <c r="Y632" i="7"/>
  <c r="Y15" i="7"/>
  <c r="Y214" i="6"/>
  <c r="Y180" i="6"/>
  <c r="Y99" i="6"/>
  <c r="Y295" i="7"/>
  <c r="Y270" i="7"/>
  <c r="Y63" i="6"/>
  <c r="Y161" i="6"/>
  <c r="Y128" i="6"/>
  <c r="Y10" i="8"/>
  <c r="Y217" i="6"/>
  <c r="Y5" i="6"/>
  <c r="Y575" i="7"/>
  <c r="Y184" i="7"/>
  <c r="Y663" i="7"/>
  <c r="Y373" i="7"/>
  <c r="Y43" i="8"/>
  <c r="Y640" i="7"/>
  <c r="Y293" i="7"/>
  <c r="Y78" i="6"/>
  <c r="Y230" i="6"/>
  <c r="Y165" i="7"/>
  <c r="Y591" i="7"/>
  <c r="Y395" i="7"/>
  <c r="Y48" i="8"/>
  <c r="Y346" i="7"/>
  <c r="Y282" i="7"/>
  <c r="Y48" i="6"/>
  <c r="Y220" i="6"/>
  <c r="Y238" i="6"/>
  <c r="Y164" i="6"/>
  <c r="Y116" i="6"/>
  <c r="Y33" i="6"/>
  <c r="Y290" i="7"/>
  <c r="Y7" i="8"/>
  <c r="Y153" i="6"/>
  <c r="Y639" i="7"/>
  <c r="Y717" i="7"/>
  <c r="Y152" i="6"/>
  <c r="Y14" i="6"/>
  <c r="Y23" i="7"/>
  <c r="Y689" i="7"/>
  <c r="Y47" i="6"/>
  <c r="Y252" i="6"/>
  <c r="Y231" i="6"/>
  <c r="Y601" i="7"/>
  <c r="Y239" i="7"/>
  <c r="Y622" i="7"/>
  <c r="Y35" i="7"/>
  <c r="Y67" i="7"/>
  <c r="Y100" i="6"/>
  <c r="Y713" i="7"/>
  <c r="Y123" i="6"/>
  <c r="Y278" i="7"/>
  <c r="Y199" i="6"/>
  <c r="Y189" i="6"/>
  <c r="Y294" i="7"/>
  <c r="Y57" i="7"/>
  <c r="Y89" i="7"/>
  <c r="Y33" i="8"/>
  <c r="Y244" i="6"/>
  <c r="Y307" i="7"/>
  <c r="Y24" i="7"/>
  <c r="Y104" i="6"/>
  <c r="Y71" i="6"/>
  <c r="Y624" i="7"/>
  <c r="Y225" i="6"/>
  <c r="Y18" i="7"/>
  <c r="Y213" i="6"/>
  <c r="Y242" i="6"/>
  <c r="Y42" i="8"/>
  <c r="Y670" i="7"/>
  <c r="Y6" i="7"/>
  <c r="Y224" i="6"/>
  <c r="Y202" i="6"/>
  <c r="Y131" i="6"/>
  <c r="Y683" i="7"/>
  <c r="Y699" i="7"/>
  <c r="Y698" i="7"/>
  <c r="Y181" i="6"/>
  <c r="Y153" i="7"/>
  <c r="Y137" i="6"/>
  <c r="Y30" i="7"/>
  <c r="Y79" i="6"/>
  <c r="Y266" i="7"/>
  <c r="Y302" i="7"/>
  <c r="Y61" i="8"/>
  <c r="Y569" i="7"/>
  <c r="Y194" i="7"/>
  <c r="Y674" i="7"/>
  <c r="Y46" i="7"/>
  <c r="Y27" i="7"/>
  <c r="Y600" i="7"/>
  <c r="Y27" i="6"/>
  <c r="Y682" i="7"/>
  <c r="Y20" i="6"/>
  <c r="Y30" i="6"/>
  <c r="Y175" i="7"/>
  <c r="Y463" i="7"/>
  <c r="Y272" i="7"/>
  <c r="Y680" i="7"/>
  <c r="Y107" i="7"/>
  <c r="Y47" i="8"/>
  <c r="Y73" i="7"/>
  <c r="Y387" i="7"/>
  <c r="Y686" i="7"/>
  <c r="Y150" i="6"/>
  <c r="Y126" i="6"/>
  <c r="Y23" i="6"/>
  <c r="Y593" i="7"/>
  <c r="Y217" i="7"/>
  <c r="Y467" i="7"/>
  <c r="Y248" i="7"/>
  <c r="Y204" i="7"/>
  <c r="Y311" i="7"/>
  <c r="Y130" i="7"/>
  <c r="Y301" i="7"/>
  <c r="Y52" i="8"/>
  <c r="M12" i="8" s="1"/>
  <c r="Y103" i="7"/>
  <c r="Y76" i="7"/>
  <c r="Y329" i="7"/>
  <c r="M21" i="8"/>
  <c r="M18" i="8"/>
  <c r="M15" i="8"/>
  <c r="M14" i="8"/>
  <c r="M19" i="8"/>
  <c r="M13" i="8"/>
  <c r="M20" i="8"/>
  <c r="M23" i="8" l="1"/>
  <c r="J4" i="9" l="1"/>
  <c r="I7" i="9"/>
  <c r="J5" i="9"/>
  <c r="I6" i="9"/>
  <c r="I10" i="9"/>
  <c r="J7" i="9"/>
  <c r="I14" i="9"/>
  <c r="I5" i="9"/>
  <c r="I4" i="9"/>
  <c r="J3" i="9"/>
  <c r="I12" i="9"/>
  <c r="I3" i="9"/>
  <c r="I11" i="9"/>
  <c r="J12" i="9"/>
  <c r="J13" i="9"/>
  <c r="J11" i="9"/>
  <c r="J6" i="9"/>
  <c r="J14" i="9"/>
  <c r="J10" i="9"/>
  <c r="I13" i="9"/>
  <c r="G11" i="9"/>
  <c r="G13" i="9"/>
  <c r="F13" i="9"/>
  <c r="F14" i="9"/>
  <c r="H14" i="9" s="1"/>
  <c r="G5" i="9"/>
  <c r="G12" i="9"/>
  <c r="F11" i="9"/>
  <c r="H11" i="9" s="1"/>
  <c r="G4" i="9"/>
  <c r="H4" i="9" s="1"/>
  <c r="F4" i="9"/>
  <c r="G10" i="9"/>
  <c r="G7" i="9"/>
  <c r="F3" i="9"/>
  <c r="F12" i="9"/>
  <c r="F5" i="9"/>
  <c r="F6" i="9"/>
  <c r="F10" i="9"/>
  <c r="H10" i="9" s="1"/>
  <c r="G3" i="9"/>
  <c r="F7" i="9"/>
  <c r="G14" i="9"/>
  <c r="G6" i="9"/>
  <c r="H7" i="9"/>
  <c r="J15" i="9"/>
  <c r="I15" i="9"/>
  <c r="I8" i="9"/>
  <c r="J8" i="9"/>
  <c r="H5" i="9" l="1"/>
  <c r="H6" i="9"/>
  <c r="H3" i="9"/>
  <c r="H13" i="9"/>
  <c r="H12" i="9"/>
  <c r="F8" i="9"/>
  <c r="G8" i="9"/>
  <c r="H8" i="9" s="1"/>
  <c r="F15" i="9"/>
  <c r="G15" i="9"/>
  <c r="I16" i="9"/>
  <c r="J16" i="9"/>
  <c r="J9" i="9"/>
  <c r="I9" i="9"/>
  <c r="H15" i="9" l="1"/>
  <c r="F9" i="9"/>
  <c r="G9" i="9"/>
  <c r="H9" i="9" s="1"/>
  <c r="G16" i="9"/>
  <c r="F16" i="9"/>
  <c r="J11" i="6"/>
  <c r="I11" i="6"/>
  <c r="H16" i="9" l="1"/>
  <c r="G11" i="6"/>
  <c r="F11" i="6"/>
  <c r="I3" i="6"/>
  <c r="H11" i="6" l="1"/>
  <c r="F3" i="6"/>
  <c r="J3" i="6"/>
  <c r="G3" i="6"/>
  <c r="H3" i="6" s="1"/>
  <c r="I13" i="6"/>
  <c r="F13" i="6"/>
  <c r="J10" i="6"/>
  <c r="I10" i="6"/>
  <c r="G10" i="6"/>
  <c r="F10" i="6"/>
  <c r="H10" i="6" s="1"/>
  <c r="J5" i="6"/>
  <c r="I5" i="6"/>
  <c r="G5" i="6"/>
  <c r="F5" i="6"/>
  <c r="H5" i="6" s="1"/>
  <c r="I6" i="6"/>
  <c r="F6" i="6"/>
  <c r="I4" i="6"/>
  <c r="F4" i="6"/>
  <c r="J4" i="6"/>
  <c r="G4" i="6"/>
  <c r="H4" i="6" s="1"/>
  <c r="I12" i="6"/>
  <c r="F12" i="6"/>
  <c r="J13" i="6"/>
  <c r="G13" i="6"/>
  <c r="H13" i="6" s="1"/>
  <c r="J12" i="6"/>
  <c r="G12" i="6"/>
  <c r="H12" i="6" s="1"/>
  <c r="J6" i="6"/>
  <c r="G6" i="6"/>
  <c r="H6" i="6" s="1"/>
  <c r="I7" i="6"/>
  <c r="F7" i="6"/>
  <c r="I14" i="6"/>
  <c r="F14" i="6"/>
  <c r="J14" i="6"/>
  <c r="G14" i="6"/>
  <c r="H14" i="6" s="1"/>
  <c r="J7" i="6"/>
  <c r="G7" i="6"/>
  <c r="H7" i="6" s="1"/>
  <c r="J8" i="6"/>
  <c r="I8" i="6"/>
  <c r="G8" i="6"/>
  <c r="F8" i="6"/>
  <c r="H8" i="6" s="1"/>
  <c r="I15" i="6"/>
  <c r="F15" i="6"/>
  <c r="J15" i="6"/>
  <c r="G15" i="6"/>
  <c r="H15" i="6" s="1"/>
  <c r="I16" i="6"/>
  <c r="F16" i="6"/>
  <c r="I9" i="6"/>
  <c r="F9" i="6"/>
  <c r="J9" i="6"/>
  <c r="G9" i="6"/>
  <c r="H9" i="6" s="1"/>
  <c r="J16" i="6"/>
  <c r="G16" i="6"/>
  <c r="H16" i="6" s="1"/>
  <c r="I4" i="7"/>
  <c r="F4" i="7"/>
  <c r="J12" i="7"/>
  <c r="I12" i="7"/>
  <c r="G12" i="7"/>
  <c r="F12" i="7"/>
  <c r="I11" i="7"/>
  <c r="H12" i="7" l="1"/>
  <c r="F11" i="7"/>
  <c r="J11" i="7"/>
  <c r="G11" i="7"/>
  <c r="H11" i="7" s="1"/>
  <c r="J3" i="7"/>
  <c r="I3" i="7"/>
  <c r="G3" i="7"/>
  <c r="F3" i="7"/>
  <c r="J10" i="7"/>
  <c r="I10" i="7"/>
  <c r="H3" i="7" l="1"/>
  <c r="G10" i="7"/>
  <c r="F10" i="7"/>
  <c r="J4" i="7"/>
  <c r="H10" i="7" l="1"/>
  <c r="G4" i="7"/>
  <c r="H4" i="7" s="1"/>
  <c r="I5" i="7"/>
  <c r="F5" i="7"/>
  <c r="J5" i="7"/>
  <c r="G5" i="7"/>
  <c r="H5" i="7" s="1"/>
  <c r="J13" i="7"/>
  <c r="I13" i="7"/>
  <c r="G13" i="7"/>
  <c r="F13" i="7"/>
  <c r="H13" i="7" s="1"/>
  <c r="I6" i="7"/>
  <c r="F6" i="7"/>
  <c r="J6" i="7"/>
  <c r="G6" i="7"/>
  <c r="H6" i="7" s="1"/>
  <c r="J6" i="8"/>
  <c r="I6" i="8"/>
  <c r="G6" i="8"/>
  <c r="F6" i="8"/>
  <c r="H6" i="8" s="1"/>
  <c r="I5" i="8"/>
  <c r="F5" i="8"/>
  <c r="J13" i="8"/>
  <c r="I13" i="8"/>
  <c r="G13" i="8"/>
  <c r="F13" i="8"/>
  <c r="H13" i="8" s="1"/>
  <c r="I12" i="8"/>
  <c r="F12" i="8"/>
  <c r="I10" i="8"/>
  <c r="F10" i="8"/>
  <c r="J8" i="8"/>
  <c r="I8" i="8"/>
  <c r="G8" i="8"/>
  <c r="J11" i="8"/>
  <c r="I11" i="8"/>
  <c r="G11" i="8"/>
  <c r="I4" i="8"/>
  <c r="F4" i="8"/>
  <c r="J14" i="8"/>
  <c r="I14" i="8"/>
  <c r="G14" i="8"/>
  <c r="F14" i="8"/>
  <c r="F11" i="8"/>
  <c r="H11" i="8" s="1"/>
  <c r="F8" i="8"/>
  <c r="H8" i="8" s="1"/>
  <c r="J12" i="8"/>
  <c r="H14" i="8" l="1"/>
  <c r="G12" i="8"/>
  <c r="H12" i="8" s="1"/>
  <c r="J3" i="8"/>
  <c r="I3" i="8"/>
  <c r="G3" i="8"/>
  <c r="F3" i="8"/>
  <c r="H3" i="8" s="1"/>
  <c r="J5" i="8"/>
  <c r="G5" i="8"/>
  <c r="H5" i="8" s="1"/>
  <c r="I15" i="8"/>
  <c r="F15" i="8"/>
  <c r="J15" i="8"/>
  <c r="G15" i="8"/>
  <c r="H15" i="8" s="1"/>
  <c r="I7" i="8"/>
  <c r="F7" i="8"/>
  <c r="J7" i="8"/>
  <c r="G7" i="8"/>
  <c r="H7" i="8" s="1"/>
  <c r="J10" i="8"/>
  <c r="G10" i="8"/>
  <c r="H10" i="8" s="1"/>
  <c r="J4" i="8"/>
  <c r="G4" i="8"/>
  <c r="H4" i="8" s="1"/>
  <c r="I14" i="7"/>
  <c r="F14" i="7"/>
  <c r="I15" i="7"/>
  <c r="F15" i="7"/>
  <c r="J15" i="7"/>
  <c r="G15" i="7"/>
  <c r="H15" i="7" s="1"/>
  <c r="J9" i="7"/>
  <c r="I9" i="7"/>
  <c r="G9" i="7"/>
  <c r="F9" i="7"/>
  <c r="H9" i="7" s="1"/>
  <c r="I7" i="7"/>
  <c r="F7" i="7"/>
  <c r="J8" i="7"/>
  <c r="I8" i="7"/>
  <c r="G8" i="7"/>
  <c r="J7" i="7"/>
  <c r="G7" i="7"/>
  <c r="H7" i="7" s="1"/>
  <c r="J16" i="7"/>
  <c r="I16" i="7"/>
  <c r="G16" i="7"/>
  <c r="F16" i="7"/>
  <c r="H16" i="7" s="1"/>
  <c r="F8" i="7"/>
  <c r="H8" i="7" s="1"/>
  <c r="J14" i="7"/>
  <c r="G14" i="7"/>
  <c r="H14" i="7" s="1"/>
  <c r="J9" i="8"/>
  <c r="I9" i="8"/>
  <c r="G9" i="8"/>
  <c r="F9" i="8"/>
  <c r="H9" i="8" s="1"/>
  <c r="I16" i="8"/>
  <c r="F16" i="8"/>
  <c r="J16" i="8"/>
  <c r="G16" i="8"/>
  <c r="H16" i="8" s="1"/>
  <c r="M15" i="9"/>
  <c r="M14" i="9"/>
  <c r="M13" i="9"/>
  <c r="M21" i="9"/>
  <c r="M22" i="8"/>
  <c r="Z29" i="8"/>
  <c r="Z67" i="8"/>
  <c r="Z58" i="8"/>
  <c r="Z39" i="8"/>
  <c r="Z49" i="8"/>
  <c r="Z61" i="8"/>
  <c r="Z3" i="8"/>
  <c r="Z74" i="8"/>
  <c r="Z27" i="8"/>
  <c r="Z51" i="8"/>
  <c r="Z17" i="8"/>
  <c r="Z30" i="8"/>
  <c r="Z47" i="8"/>
  <c r="Z48" i="8"/>
  <c r="Z73" i="8"/>
  <c r="Z68" i="8"/>
  <c r="Z34" i="8"/>
  <c r="Z38" i="8"/>
  <c r="Z15" i="8"/>
  <c r="Z63" i="8"/>
  <c r="Z41" i="8"/>
  <c r="Z11" i="8"/>
  <c r="Z78" i="8"/>
  <c r="Z43" i="8"/>
  <c r="Z24" i="8"/>
  <c r="Z53" i="8"/>
  <c r="Z36" i="8"/>
  <c r="Z20" i="8"/>
  <c r="Z16" i="8"/>
  <c r="Z55" i="8"/>
  <c r="Z25" i="8"/>
  <c r="Z42" i="8"/>
  <c r="Z5" i="8"/>
  <c r="Z56" i="8"/>
  <c r="Z35" i="8"/>
  <c r="M26" i="8" a="1"/>
  <c r="M19" i="9"/>
  <c r="M20" i="9"/>
  <c r="M18" i="9"/>
  <c r="M23" i="9" l="1"/>
  <c r="M28" i="8"/>
  <c r="M26" i="8"/>
  <c r="M27" i="8"/>
  <c r="M30" i="8"/>
  <c r="M29" i="8"/>
  <c r="Z12" i="8"/>
  <c r="Z6" i="8"/>
  <c r="Z18" i="8"/>
  <c r="Z70" i="8"/>
  <c r="Z57" i="8"/>
  <c r="Z40" i="8"/>
  <c r="Z45" i="8"/>
  <c r="Z22" i="8"/>
  <c r="Z62" i="8"/>
  <c r="Z13" i="8"/>
  <c r="Z21" i="8"/>
  <c r="Z59" i="8"/>
  <c r="Z75" i="8"/>
  <c r="Z52" i="8"/>
  <c r="Z14" i="8"/>
  <c r="Z19" i="8"/>
  <c r="Z31" i="8"/>
  <c r="Z69" i="8"/>
  <c r="Z28" i="8"/>
  <c r="Z10" i="8"/>
  <c r="Z23" i="8"/>
  <c r="Z77" i="8"/>
  <c r="Z7" i="8"/>
  <c r="Z72" i="8"/>
  <c r="Z54" i="8"/>
  <c r="Z4" i="8"/>
  <c r="Z32" i="8"/>
  <c r="M22" i="9"/>
  <c r="Z45" i="9"/>
  <c r="Z124" i="9"/>
  <c r="Z127" i="9"/>
  <c r="Z118" i="9"/>
  <c r="Z93" i="9"/>
  <c r="Z65" i="9"/>
  <c r="Z15" i="9"/>
  <c r="Z135" i="9"/>
  <c r="M26" i="9" a="1"/>
  <c r="M28" i="9"/>
  <c r="M26" i="9"/>
  <c r="M27" i="9"/>
  <c r="M30" i="9"/>
  <c r="M29" i="9"/>
  <c r="Z108" i="9"/>
  <c r="Z132" i="9"/>
  <c r="Z68" i="9"/>
  <c r="Z48" i="9"/>
  <c r="Z32" i="9"/>
  <c r="Z17" i="9"/>
  <c r="Z131" i="9"/>
  <c r="Z22" i="9"/>
  <c r="Z35" i="9"/>
  <c r="Z82" i="9"/>
  <c r="Z85" i="9"/>
  <c r="Z18" i="9"/>
  <c r="Z4" i="9"/>
  <c r="Z105" i="9"/>
  <c r="Z38" i="9"/>
  <c r="Z84" i="9"/>
  <c r="Z52" i="9"/>
  <c r="Z36" i="9"/>
  <c r="Z129" i="9"/>
  <c r="Z50" i="9"/>
  <c r="Z74" i="9"/>
  <c r="Z51" i="9"/>
  <c r="Z97" i="9"/>
  <c r="Z119" i="9"/>
  <c r="Z62" i="9"/>
  <c r="Z46" i="9"/>
  <c r="Z30" i="9"/>
  <c r="Z125" i="9"/>
  <c r="Z128" i="9"/>
  <c r="Z14" i="9"/>
  <c r="Z6" i="9"/>
  <c r="Z57" i="9"/>
  <c r="Z13" i="9"/>
  <c r="Z104" i="9"/>
  <c r="Z47" i="9"/>
  <c r="Z37" i="9"/>
  <c r="Z100" i="9"/>
  <c r="Z87" i="9"/>
  <c r="Z90" i="9"/>
  <c r="Z101" i="9"/>
  <c r="Z71" i="9"/>
  <c r="Z34" i="9"/>
  <c r="Z26" i="9"/>
  <c r="Z123" i="9"/>
  <c r="Z102" i="9"/>
  <c r="Z116" i="9"/>
  <c r="Z60" i="9"/>
  <c r="Z44" i="9"/>
  <c r="Z122" i="9"/>
  <c r="Z115" i="9"/>
  <c r="Z72" i="9"/>
  <c r="Z121" i="9"/>
  <c r="Z53" i="9"/>
  <c r="Z111" i="9"/>
  <c r="Z59" i="9"/>
  <c r="Z3" i="9"/>
  <c r="Z33" i="9"/>
  <c r="Z113" i="9"/>
  <c r="Z11" i="9"/>
  <c r="Z70" i="9"/>
  <c r="Z120" i="9"/>
  <c r="Z117" i="9"/>
  <c r="Z23" i="9"/>
  <c r="Z9" i="9"/>
  <c r="Z10" i="9"/>
  <c r="Z107" i="9"/>
  <c r="Z112" i="9"/>
  <c r="Z81" i="9"/>
  <c r="Z28" i="9"/>
  <c r="Z67" i="9"/>
  <c r="Z5" i="9"/>
  <c r="Z69" i="9"/>
  <c r="Z83" i="9"/>
  <c r="Z110" i="9"/>
  <c r="Z12" i="9"/>
  <c r="Z7" i="9"/>
  <c r="Z8" i="9"/>
  <c r="Z43" i="9"/>
  <c r="Z96" i="9"/>
  <c r="Z31" i="9"/>
  <c r="Z86" i="9"/>
  <c r="Z77" i="9"/>
  <c r="Z64" i="9"/>
  <c r="Z29" i="9"/>
  <c r="Z66" i="9"/>
  <c r="Z80" i="9"/>
  <c r="Z95" i="9"/>
  <c r="Z25" i="9"/>
  <c r="Z134" i="9"/>
  <c r="Z126" i="9"/>
  <c r="Z16" i="9"/>
  <c r="Z78" i="9"/>
  <c r="Z91" i="9"/>
  <c r="Z94" i="9"/>
  <c r="Z99" i="9"/>
  <c r="Z41" i="9"/>
  <c r="Z19" i="9"/>
  <c r="Z21" i="9"/>
  <c r="Z75" i="9"/>
  <c r="Z73" i="9"/>
  <c r="Z55" i="9"/>
  <c r="Z54" i="9"/>
  <c r="Z65" i="8"/>
  <c r="Z39" i="9"/>
  <c r="Z92" i="9"/>
  <c r="Z89" i="9"/>
  <c r="Z20" i="9"/>
  <c r="Z24" i="9"/>
  <c r="Z76" i="9"/>
  <c r="Z114" i="9"/>
  <c r="Z63" i="9"/>
  <c r="Z106" i="9"/>
  <c r="Z40" i="9"/>
  <c r="Z56" i="9"/>
  <c r="Z46" i="8"/>
  <c r="Z71" i="8"/>
  <c r="Z88" i="9"/>
  <c r="Z27" i="9"/>
  <c r="Z133" i="9"/>
  <c r="Z98" i="9"/>
  <c r="Z49" i="9"/>
  <c r="Z79" i="9"/>
  <c r="Z61" i="9"/>
  <c r="Z130" i="9"/>
  <c r="Z109" i="9"/>
  <c r="Z42" i="9"/>
  <c r="Z58" i="9"/>
  <c r="Z103" i="9"/>
  <c r="Z64" i="8"/>
  <c r="Z8" i="8"/>
  <c r="Z44" i="8"/>
  <c r="Z50" i="8"/>
  <c r="Z66" i="8"/>
  <c r="Z26" i="8"/>
  <c r="Z33" i="8"/>
  <c r="Z60" i="8"/>
  <c r="Z37" i="8"/>
  <c r="Z76" i="8"/>
  <c r="Z9" i="8"/>
  <c r="AA8" i="9"/>
  <c r="AA11" i="9"/>
  <c r="AA15" i="9"/>
  <c r="AA19" i="9"/>
  <c r="AA23" i="9"/>
  <c r="AA27" i="9"/>
  <c r="AA31" i="9"/>
  <c r="AA35" i="9"/>
  <c r="AA39" i="9"/>
  <c r="AA43" i="9"/>
  <c r="AA47" i="9"/>
  <c r="AA51" i="9"/>
  <c r="AA55" i="9"/>
  <c r="AA59" i="9"/>
  <c r="AA63" i="9"/>
  <c r="AA67" i="9"/>
  <c r="AA71" i="9"/>
  <c r="AA75" i="9"/>
  <c r="AA79" i="9"/>
  <c r="AA83" i="9"/>
  <c r="AA87" i="9"/>
  <c r="AA91" i="9"/>
  <c r="AA95" i="9"/>
  <c r="AA99" i="9"/>
  <c r="AA103" i="9"/>
  <c r="AA107" i="9"/>
  <c r="AA111" i="9"/>
  <c r="AA115" i="9"/>
  <c r="AA119" i="9"/>
  <c r="AA123" i="9"/>
  <c r="AA127" i="9"/>
  <c r="AA131" i="9"/>
  <c r="AA135" i="9"/>
  <c r="AA4" i="9"/>
  <c r="AA78" i="8"/>
  <c r="AA74" i="8"/>
  <c r="AA70" i="8"/>
  <c r="AA66" i="8"/>
  <c r="AA62" i="8"/>
  <c r="AA58" i="8"/>
  <c r="AA35" i="8"/>
  <c r="AA31" i="8"/>
  <c r="AA19" i="8"/>
  <c r="AA5" i="9"/>
  <c r="AA12" i="9"/>
  <c r="AA16" i="9"/>
  <c r="AA20" i="9"/>
  <c r="AA24" i="9"/>
  <c r="AA28" i="9"/>
  <c r="AA32" i="9"/>
  <c r="AA36" i="9"/>
  <c r="AA40" i="9"/>
  <c r="AA44" i="9"/>
  <c r="AA48" i="9"/>
  <c r="AA52" i="9"/>
  <c r="AA56" i="9"/>
  <c r="AA60" i="9"/>
  <c r="AA64" i="9"/>
  <c r="AA68" i="9"/>
  <c r="AA72" i="9"/>
  <c r="AA76" i="9"/>
  <c r="AA80" i="9"/>
  <c r="AA84" i="9"/>
  <c r="AA88" i="9"/>
  <c r="AA92" i="9"/>
  <c r="AA96" i="9"/>
  <c r="AA100" i="9"/>
  <c r="AA104" i="9"/>
  <c r="AA108" i="9"/>
  <c r="AA112" i="9"/>
  <c r="AA116" i="9"/>
  <c r="AA120" i="9"/>
  <c r="AA124" i="9"/>
  <c r="AA128" i="9"/>
  <c r="AA132" i="9"/>
  <c r="AA6" i="9"/>
  <c r="AA7" i="9"/>
  <c r="AA9" i="9"/>
  <c r="AA13" i="9"/>
  <c r="AA17" i="9"/>
  <c r="AA21" i="9"/>
  <c r="AA25" i="9"/>
  <c r="AA29" i="9"/>
  <c r="AA33" i="9"/>
  <c r="AA37" i="9"/>
  <c r="AA73" i="8"/>
  <c r="AA64" i="8"/>
  <c r="AA15" i="8"/>
  <c r="AA5" i="8"/>
  <c r="AA51" i="8"/>
  <c r="AA42" i="8"/>
  <c r="AA6" i="8"/>
  <c r="AA4" i="8"/>
  <c r="AA22" i="9"/>
  <c r="AA38" i="9"/>
  <c r="AA49" i="9"/>
  <c r="AA54" i="9"/>
  <c r="AA65" i="9"/>
  <c r="AA70" i="9"/>
  <c r="AA81" i="9"/>
  <c r="AA86" i="9"/>
  <c r="AA97" i="9"/>
  <c r="AA102" i="9"/>
  <c r="AA113" i="9"/>
  <c r="AA118" i="9"/>
  <c r="AA129" i="9"/>
  <c r="AA134" i="9"/>
  <c r="AA77" i="8"/>
  <c r="AA68" i="8"/>
  <c r="AA59" i="8"/>
  <c r="AA11" i="8"/>
  <c r="AA55" i="8"/>
  <c r="AA46" i="8"/>
  <c r="AA41" i="8"/>
  <c r="AA56" i="8"/>
  <c r="AA3" i="9"/>
  <c r="AA72" i="8"/>
  <c r="AA63" i="8"/>
  <c r="AA27" i="8"/>
  <c r="AA50" i="8"/>
  <c r="AA45" i="8"/>
  <c r="AA36" i="8"/>
  <c r="AA16" i="8"/>
  <c r="AA34" i="8"/>
  <c r="AA26" i="8"/>
  <c r="AA18" i="9"/>
  <c r="AA34" i="9"/>
  <c r="AA45" i="9"/>
  <c r="AA50" i="9"/>
  <c r="AA61" i="9"/>
  <c r="AA66" i="9"/>
  <c r="AA77" i="9"/>
  <c r="AA82" i="9"/>
  <c r="AA93" i="9"/>
  <c r="AA98" i="9"/>
  <c r="AA109" i="9"/>
  <c r="AA114" i="9"/>
  <c r="AA125" i="9"/>
  <c r="AA130" i="9"/>
  <c r="AA76" i="8"/>
  <c r="AA67" i="8"/>
  <c r="AA14" i="9"/>
  <c r="AA30" i="9"/>
  <c r="AA41" i="9"/>
  <c r="AA46" i="9"/>
  <c r="AA57" i="9"/>
  <c r="AA62" i="9"/>
  <c r="AA73" i="9"/>
  <c r="AA78" i="9"/>
  <c r="AA52" i="8"/>
  <c r="AA47" i="8"/>
  <c r="AA28" i="8"/>
  <c r="AA22" i="8"/>
  <c r="AA7" i="8"/>
  <c r="AA8" i="8"/>
  <c r="AA23" i="8"/>
  <c r="AA10" i="9"/>
  <c r="AA53" i="9"/>
  <c r="AA74" i="9"/>
  <c r="AA89" i="9"/>
  <c r="AA110" i="9"/>
  <c r="AA117" i="9"/>
  <c r="AA71" i="8"/>
  <c r="AA65" i="8"/>
  <c r="AA60" i="8"/>
  <c r="AA18" i="8"/>
  <c r="AA17" i="8"/>
  <c r="AA14" i="8"/>
  <c r="AA25" i="8"/>
  <c r="AA21" i="8"/>
  <c r="AA49" i="8"/>
  <c r="AA37" i="8"/>
  <c r="AA40" i="8"/>
  <c r="AA44" i="8"/>
  <c r="AA39" i="8"/>
  <c r="AA26" i="9"/>
  <c r="AA69" i="9"/>
  <c r="AA90" i="9"/>
  <c r="AA105" i="9"/>
  <c r="AA126" i="9"/>
  <c r="AA133" i="9"/>
  <c r="AA75" i="8"/>
  <c r="AA69" i="8"/>
  <c r="AA57" i="8"/>
  <c r="AA42" i="9"/>
  <c r="AA85" i="9"/>
  <c r="AA106" i="9"/>
  <c r="AA121" i="9"/>
  <c r="AA58" i="9"/>
  <c r="AA94" i="9"/>
  <c r="AA101" i="9"/>
  <c r="AA122" i="9"/>
  <c r="AA61" i="8"/>
  <c r="AA29" i="8"/>
  <c r="AA38" i="8"/>
  <c r="AA24" i="8"/>
  <c r="AA43" i="8"/>
  <c r="AA54" i="8"/>
  <c r="AA30" i="8"/>
  <c r="AA12" i="8"/>
  <c r="AA20" i="8"/>
  <c r="AA10" i="8"/>
  <c r="AA32" i="8"/>
  <c r="AA48" i="8"/>
  <c r="AA33" i="8"/>
  <c r="AA9" i="8"/>
  <c r="AA13" i="8"/>
  <c r="AA53" i="8"/>
  <c r="AA3" i="8"/>
  <c r="M12" i="7"/>
  <c r="M12" i="6"/>
  <c r="M13" i="6"/>
  <c r="M14" i="6"/>
  <c r="M15" i="6"/>
  <c r="M21" i="6"/>
  <c r="M20" i="6"/>
  <c r="M19" i="6"/>
  <c r="M18" i="6"/>
  <c r="M23" i="6"/>
  <c r="M22" i="6"/>
  <c r="Z125" i="6"/>
  <c r="Z102" i="6"/>
  <c r="Z124" i="6"/>
  <c r="Z30" i="6"/>
  <c r="Z84" i="6"/>
  <c r="Z22" i="6"/>
  <c r="Z47" i="6"/>
  <c r="Z28" i="6"/>
  <c r="Z24" i="6"/>
  <c r="Z89" i="6"/>
  <c r="Z111" i="6"/>
  <c r="Z103" i="6"/>
  <c r="Z43" i="6"/>
  <c r="Z32" i="6"/>
  <c r="Z31" i="6"/>
  <c r="Z94" i="6"/>
  <c r="Z87" i="6"/>
  <c r="Z78" i="6"/>
  <c r="Z27" i="6"/>
  <c r="Z71" i="6"/>
  <c r="Z40" i="6"/>
  <c r="Z104" i="6"/>
  <c r="Z249" i="6"/>
  <c r="Z241" i="6"/>
  <c r="Z233" i="6"/>
  <c r="Z225" i="6"/>
  <c r="Z217" i="6"/>
  <c r="Z209" i="6"/>
  <c r="Z201" i="6"/>
  <c r="Z193" i="6"/>
  <c r="Z185" i="6"/>
  <c r="Z179" i="6"/>
  <c r="Z175" i="6"/>
  <c r="Z171" i="6"/>
  <c r="Z167" i="6"/>
  <c r="Z163" i="6"/>
  <c r="Z136" i="6"/>
  <c r="Z137" i="6"/>
  <c r="Z141" i="6"/>
  <c r="Z145" i="6"/>
  <c r="Z149" i="6"/>
  <c r="Z153" i="6"/>
  <c r="Z158" i="6"/>
  <c r="Z186" i="6"/>
  <c r="Z194" i="6"/>
  <c r="Z202" i="6"/>
  <c r="Z210" i="6"/>
  <c r="Z218" i="6"/>
  <c r="Z226" i="6"/>
  <c r="Z234" i="6"/>
  <c r="Z242" i="6"/>
  <c r="Z250" i="6"/>
  <c r="Z96" i="6"/>
  <c r="Z135" i="6"/>
  <c r="Z70" i="6"/>
  <c r="Z20" i="6"/>
  <c r="Z77" i="6"/>
  <c r="Z86" i="6"/>
  <c r="Z110" i="6"/>
  <c r="Z25" i="6"/>
  <c r="Z7" i="6"/>
  <c r="Z33" i="6"/>
  <c r="Z101" i="6"/>
  <c r="Z109" i="6"/>
  <c r="Z21" i="6"/>
  <c r="Z113" i="6"/>
  <c r="Z115" i="6"/>
  <c r="Z55" i="6"/>
  <c r="Z100" i="6"/>
  <c r="Z80" i="6"/>
  <c r="Z68" i="6"/>
  <c r="Z106" i="6"/>
  <c r="Z116" i="6"/>
  <c r="Z18" i="6"/>
  <c r="Z36" i="6"/>
  <c r="Z93" i="6"/>
  <c r="Z91" i="6"/>
  <c r="Z14" i="6"/>
  <c r="Z160" i="6"/>
  <c r="Z164" i="6"/>
  <c r="Z168" i="6"/>
  <c r="Z172" i="6"/>
  <c r="Z176" i="6"/>
  <c r="Z157" i="6"/>
  <c r="Z187" i="6"/>
  <c r="Z195" i="6"/>
  <c r="Z203" i="6"/>
  <c r="Z211" i="6"/>
  <c r="Z219" i="6"/>
  <c r="Z227" i="6"/>
  <c r="Z235" i="6"/>
  <c r="Z243" i="6"/>
  <c r="Z251" i="6"/>
  <c r="Z88" i="6"/>
  <c r="Z134" i="6"/>
  <c r="Z69" i="6"/>
  <c r="Z13" i="6"/>
  <c r="Z76" i="6"/>
  <c r="Z85" i="6"/>
  <c r="Z108" i="6"/>
  <c r="Z118" i="6"/>
  <c r="Z41" i="6"/>
  <c r="Z19" i="6"/>
  <c r="Z99" i="6"/>
  <c r="Z107" i="6"/>
  <c r="Z9" i="6"/>
  <c r="Z127" i="6"/>
  <c r="Z44" i="6"/>
  <c r="Z60" i="6"/>
  <c r="Z244" i="6"/>
  <c r="Z75" i="6"/>
  <c r="Z126" i="6"/>
  <c r="Z97" i="6"/>
  <c r="Z5" i="6"/>
  <c r="Z42" i="6"/>
  <c r="Z17" i="6"/>
  <c r="Z23" i="6"/>
  <c r="M26" i="6" a="1"/>
  <c r="M28" i="6"/>
  <c r="M26" i="6"/>
  <c r="M27" i="6"/>
  <c r="M30" i="6"/>
  <c r="M29" i="6"/>
  <c r="Z52" i="6"/>
  <c r="Z138" i="6"/>
  <c r="Z142" i="6"/>
  <c r="Z146" i="6"/>
  <c r="Z150" i="6"/>
  <c r="Z154" i="6"/>
  <c r="Z180" i="6"/>
  <c r="Z188" i="6"/>
  <c r="Z196" i="6"/>
  <c r="Z204" i="6"/>
  <c r="Z212" i="6"/>
  <c r="Z220" i="6"/>
  <c r="Z228" i="6"/>
  <c r="Z236" i="6"/>
  <c r="Z252" i="6"/>
  <c r="Z133" i="6"/>
  <c r="Z10" i="6"/>
  <c r="Z105" i="6"/>
  <c r="Z161" i="6"/>
  <c r="Z165" i="6"/>
  <c r="Z169" i="6"/>
  <c r="Z173" i="6"/>
  <c r="Z177" i="6"/>
  <c r="Z181" i="6"/>
  <c r="Z189" i="6"/>
  <c r="Z197" i="6"/>
  <c r="Z205" i="6"/>
  <c r="Z213" i="6"/>
  <c r="Z221" i="6"/>
  <c r="Z229" i="6"/>
  <c r="Z237" i="6"/>
  <c r="Z245" i="6"/>
  <c r="Z253" i="6"/>
  <c r="Z72" i="6"/>
  <c r="Z132" i="6"/>
  <c r="Z67" i="6"/>
  <c r="Z6" i="6"/>
  <c r="Z74" i="6"/>
  <c r="Z83" i="6"/>
  <c r="Z92" i="6"/>
  <c r="Z114" i="6"/>
  <c r="Z59" i="6"/>
  <c r="Z4" i="6"/>
  <c r="Z139" i="6"/>
  <c r="Z143" i="6"/>
  <c r="Z147" i="6"/>
  <c r="Z151" i="6"/>
  <c r="Z155" i="6"/>
  <c r="Z182" i="6"/>
  <c r="Z190" i="6"/>
  <c r="Z198" i="6"/>
  <c r="Z206" i="6"/>
  <c r="Z214" i="6"/>
  <c r="Z222" i="6"/>
  <c r="Z230" i="6"/>
  <c r="Z238" i="6"/>
  <c r="Z246" i="6"/>
  <c r="Z128" i="6"/>
  <c r="Z64" i="6"/>
  <c r="Z131" i="6"/>
  <c r="Z66" i="6"/>
  <c r="Z16" i="6"/>
  <c r="Z73" i="6"/>
  <c r="Z82" i="6"/>
  <c r="Z63" i="6"/>
  <c r="Z58" i="6"/>
  <c r="Z122" i="6"/>
  <c r="Z12" i="6"/>
  <c r="Z51" i="6"/>
  <c r="Z54" i="6"/>
  <c r="Z98" i="6"/>
  <c r="Z15" i="6"/>
  <c r="Z57" i="6"/>
  <c r="Z39" i="6"/>
  <c r="Z162" i="6"/>
  <c r="Z166" i="6"/>
  <c r="Z170" i="6"/>
  <c r="Z174" i="6"/>
  <c r="Z178" i="6"/>
  <c r="Z183" i="6"/>
  <c r="Z191" i="6"/>
  <c r="Z199" i="6"/>
  <c r="Z207" i="6"/>
  <c r="Z215" i="6"/>
  <c r="Z223" i="6"/>
  <c r="Z231" i="6"/>
  <c r="Z239" i="6"/>
  <c r="Z247" i="6"/>
  <c r="Z120" i="6"/>
  <c r="Z56" i="6"/>
  <c r="Z130" i="6"/>
  <c r="Z65" i="6"/>
  <c r="Z3" i="6"/>
  <c r="Z34" i="6"/>
  <c r="Z81" i="6"/>
  <c r="Z50" i="6"/>
  <c r="Z53" i="6"/>
  <c r="Z90" i="6"/>
  <c r="Z11" i="6"/>
  <c r="Z46" i="6"/>
  <c r="Z119" i="6"/>
  <c r="Z62" i="6"/>
  <c r="Z159" i="6"/>
  <c r="Z140" i="6"/>
  <c r="Z144" i="6"/>
  <c r="Z148" i="6"/>
  <c r="Z152" i="6"/>
  <c r="Z156" i="6"/>
  <c r="Z184" i="6"/>
  <c r="Z192" i="6"/>
  <c r="Z200" i="6"/>
  <c r="Z208" i="6"/>
  <c r="Z216" i="6"/>
  <c r="Z224" i="6"/>
  <c r="Z232" i="6"/>
  <c r="Z240" i="6"/>
  <c r="Z248" i="6"/>
  <c r="Z112" i="6"/>
  <c r="Z48" i="6"/>
  <c r="Z129" i="6"/>
  <c r="Z35" i="6"/>
  <c r="Z79" i="6"/>
  <c r="Z26" i="6"/>
  <c r="Z95" i="6"/>
  <c r="Z45" i="6"/>
  <c r="Z37" i="6"/>
  <c r="Z61" i="6"/>
  <c r="Z8" i="6"/>
  <c r="Z38" i="6"/>
  <c r="Z121" i="6"/>
  <c r="Z49" i="6"/>
  <c r="Z123" i="6"/>
  <c r="Z117" i="6"/>
  <c r="Z29" i="6"/>
  <c r="AA6" i="6"/>
  <c r="AA230" i="6"/>
  <c r="AA167" i="6"/>
  <c r="AA127" i="6"/>
  <c r="AA32" i="6"/>
  <c r="AA198" i="6"/>
  <c r="AA248" i="6"/>
  <c r="AA164" i="6"/>
  <c r="AA23" i="6"/>
  <c r="AA249" i="6"/>
  <c r="AA76" i="6"/>
  <c r="AA235" i="6"/>
  <c r="AA84" i="6"/>
  <c r="AA239" i="6"/>
  <c r="AA26" i="6"/>
  <c r="AA118" i="6"/>
  <c r="AA122" i="6"/>
  <c r="AA146" i="6"/>
  <c r="AA175" i="6"/>
  <c r="AA120" i="6"/>
  <c r="AA82" i="6"/>
  <c r="AA105" i="6"/>
  <c r="AA106" i="6"/>
  <c r="AA223" i="6"/>
  <c r="AA93" i="6"/>
  <c r="AA237" i="6"/>
  <c r="AA72" i="6"/>
  <c r="AA55" i="6"/>
  <c r="AA39" i="6"/>
  <c r="AA252" i="6"/>
  <c r="AA171" i="6"/>
  <c r="AA99" i="6"/>
  <c r="AA233" i="6"/>
  <c r="AA203" i="6"/>
  <c r="AA121" i="6"/>
  <c r="AA147" i="6"/>
  <c r="AA220" i="6"/>
  <c r="AA159" i="6"/>
  <c r="AA170" i="6"/>
  <c r="AA162" i="6"/>
  <c r="AA152" i="6"/>
  <c r="AA116" i="6"/>
  <c r="AA231" i="6"/>
  <c r="AA25" i="6"/>
  <c r="AA219" i="6"/>
  <c r="AA151" i="6"/>
  <c r="AA184" i="6"/>
  <c r="AA7" i="6"/>
  <c r="AA205" i="6"/>
  <c r="AA234" i="6"/>
  <c r="AA64" i="6"/>
  <c r="AA54" i="6"/>
  <c r="AA42" i="6"/>
  <c r="AA102" i="6"/>
  <c r="AA31" i="6"/>
  <c r="AA16" i="6"/>
  <c r="AA232" i="6"/>
  <c r="AA169" i="6"/>
  <c r="AA188" i="6"/>
  <c r="AA135" i="6"/>
  <c r="AA35" i="6"/>
  <c r="AA98" i="6"/>
  <c r="AA49" i="6"/>
  <c r="AA81" i="6"/>
  <c r="AA88" i="6"/>
  <c r="AA92" i="6"/>
  <c r="AA132" i="6"/>
  <c r="AA148" i="6"/>
  <c r="AA180" i="6"/>
  <c r="AA101" i="6"/>
  <c r="AA160" i="6"/>
  <c r="AA224" i="6"/>
  <c r="AA208" i="6"/>
  <c r="AA96" i="6"/>
  <c r="AA245" i="6"/>
  <c r="AA243" i="6"/>
  <c r="AA128" i="6"/>
  <c r="AA213" i="6"/>
  <c r="AA229" i="6"/>
  <c r="AA19" i="6"/>
  <c r="AA41" i="6"/>
  <c r="AA212" i="6"/>
  <c r="AA83" i="6"/>
  <c r="AA24" i="6"/>
  <c r="AA250" i="6"/>
  <c r="AA17" i="6"/>
  <c r="AA131" i="6"/>
  <c r="AA4" i="6"/>
  <c r="AA226" i="6"/>
  <c r="AA66" i="6"/>
  <c r="AA53" i="6"/>
  <c r="AA189" i="6"/>
  <c r="AA75" i="6"/>
  <c r="AA107" i="6"/>
  <c r="AA46" i="6"/>
  <c r="AA67" i="6"/>
  <c r="AA43" i="6"/>
  <c r="AA130" i="6"/>
  <c r="AA227" i="6"/>
  <c r="AA139" i="6"/>
  <c r="AA14" i="6"/>
  <c r="AA58" i="6"/>
  <c r="AA154" i="6"/>
  <c r="AA143" i="6"/>
  <c r="AA97" i="6"/>
  <c r="AA238" i="6"/>
  <c r="AA119" i="6"/>
  <c r="AA28" i="6"/>
  <c r="AA45" i="6"/>
  <c r="AA158" i="6"/>
  <c r="AA59" i="6"/>
  <c r="AA52" i="6"/>
  <c r="AA51" i="6"/>
  <c r="AA197" i="6"/>
  <c r="AA70" i="6"/>
  <c r="AA65" i="6"/>
  <c r="AA100" i="6"/>
  <c r="AA68" i="6"/>
  <c r="AA144" i="6"/>
  <c r="AA48" i="6"/>
  <c r="AA29" i="6"/>
  <c r="AA202" i="6"/>
  <c r="AA79" i="6"/>
  <c r="AA95" i="6"/>
  <c r="AA142" i="6"/>
  <c r="AA126" i="6"/>
  <c r="AA15" i="6"/>
  <c r="AA241" i="6"/>
  <c r="AA9" i="6"/>
  <c r="AA20" i="6"/>
  <c r="AA206" i="6"/>
  <c r="AA155" i="6"/>
  <c r="AA91" i="6"/>
  <c r="AA30" i="6"/>
  <c r="AA38" i="6"/>
  <c r="AA40" i="6"/>
  <c r="AA73" i="6"/>
  <c r="AA57" i="6"/>
  <c r="AA194" i="6"/>
  <c r="AA244" i="6"/>
  <c r="AA114" i="6"/>
  <c r="AA86" i="6"/>
  <c r="AA85" i="6"/>
  <c r="AA145" i="6"/>
  <c r="AA192" i="6"/>
  <c r="AA37" i="6"/>
  <c r="AA110" i="6"/>
  <c r="AA173" i="6"/>
  <c r="AA18" i="6"/>
  <c r="AA217" i="6"/>
  <c r="AA214" i="6"/>
  <c r="AA22" i="6"/>
  <c r="AA221" i="6"/>
  <c r="AA5" i="6"/>
  <c r="AA94" i="6"/>
  <c r="AA112" i="6"/>
  <c r="AA215" i="6"/>
  <c r="AA111" i="6"/>
  <c r="AA246" i="6"/>
  <c r="AA211" i="6"/>
  <c r="AA251" i="6"/>
  <c r="AA242" i="6"/>
  <c r="AA62" i="6"/>
  <c r="AA200" i="6"/>
  <c r="AA60" i="6"/>
  <c r="AA176" i="6"/>
  <c r="AA209" i="6"/>
  <c r="AA136" i="6"/>
  <c r="AA179" i="6"/>
  <c r="AA141" i="6"/>
  <c r="AA225" i="6"/>
  <c r="AA13" i="6"/>
  <c r="AA195" i="6"/>
  <c r="AA44" i="6"/>
  <c r="AA10" i="6"/>
  <c r="AA90" i="6"/>
  <c r="AA172" i="6"/>
  <c r="AA69" i="6"/>
  <c r="AA89" i="6"/>
  <c r="AA87" i="6"/>
  <c r="AA74" i="6"/>
  <c r="AA138" i="6"/>
  <c r="AA186" i="6"/>
  <c r="AA63" i="6"/>
  <c r="AA191" i="6"/>
  <c r="AA222" i="6"/>
  <c r="AA216" i="6"/>
  <c r="AA34" i="6"/>
  <c r="AA27" i="6"/>
  <c r="AA124" i="6"/>
  <c r="AA134" i="6"/>
  <c r="AA187" i="6"/>
  <c r="AA11" i="6"/>
  <c r="AA190" i="6"/>
  <c r="AA21" i="6"/>
  <c r="AA47" i="6"/>
  <c r="AA166" i="6"/>
  <c r="AA36" i="6"/>
  <c r="AA168" i="6"/>
  <c r="AA133" i="6"/>
  <c r="AA228" i="6"/>
  <c r="AA149" i="6"/>
  <c r="AA181" i="6"/>
  <c r="AA210" i="6"/>
  <c r="AA137" i="6"/>
  <c r="AA185" i="6"/>
  <c r="AA113" i="6"/>
  <c r="AA236" i="6"/>
  <c r="AA8" i="6"/>
  <c r="AA104" i="6"/>
  <c r="AA108" i="6"/>
  <c r="AA80" i="6"/>
  <c r="AA78" i="6"/>
  <c r="AA247" i="6"/>
  <c r="AA12" i="6"/>
  <c r="AA207" i="6"/>
  <c r="AA109" i="6"/>
  <c r="AA196" i="6"/>
  <c r="AA71" i="6"/>
  <c r="AA33" i="6"/>
  <c r="AA165" i="6"/>
  <c r="AA117" i="6"/>
  <c r="AA77" i="6"/>
  <c r="AA140" i="6"/>
  <c r="AA178" i="6"/>
  <c r="AA218" i="6"/>
  <c r="AA123" i="6"/>
  <c r="AA201" i="6"/>
  <c r="AA103" i="6"/>
  <c r="AA240" i="6"/>
  <c r="AA50" i="6"/>
  <c r="AA199" i="6"/>
  <c r="AA174" i="6"/>
  <c r="AA204" i="6"/>
  <c r="AA125" i="6"/>
  <c r="AA115" i="6"/>
  <c r="AA183" i="6"/>
  <c r="AA253" i="6"/>
  <c r="AA157" i="6"/>
  <c r="AA161" i="6"/>
  <c r="AA150" i="6"/>
  <c r="AA177" i="6"/>
  <c r="AA153" i="6"/>
  <c r="AA182" i="6"/>
  <c r="AA61" i="6"/>
  <c r="AA156" i="6"/>
  <c r="AA56" i="6"/>
  <c r="AA163" i="6"/>
  <c r="AA129" i="6"/>
  <c r="AA3" i="6"/>
  <c r="AA193" i="6"/>
  <c r="M14" i="7"/>
  <c r="M15" i="7"/>
  <c r="M13" i="7"/>
  <c r="M18" i="7"/>
  <c r="M20" i="7"/>
  <c r="M19" i="7"/>
  <c r="M21" i="7"/>
  <c r="M23" i="7"/>
  <c r="M22" i="7"/>
  <c r="Z335" i="7"/>
  <c r="Z588" i="7"/>
  <c r="Z359" i="7"/>
  <c r="Z504" i="7"/>
  <c r="Z662" i="7"/>
  <c r="Z499" i="7"/>
  <c r="Z583" i="7"/>
  <c r="Z367" i="7"/>
  <c r="Z601" i="7"/>
  <c r="Z322" i="7"/>
  <c r="Z524" i="7"/>
  <c r="Z357" i="7"/>
  <c r="Z615" i="7"/>
  <c r="Z383" i="7"/>
  <c r="Z478" i="7"/>
  <c r="Z581" i="7"/>
  <c r="Z360" i="7"/>
  <c r="Z353" i="7"/>
  <c r="Z683" i="7"/>
  <c r="Z331" i="7"/>
  <c r="Z439" i="7"/>
  <c r="Z347" i="7"/>
  <c r="Z577" i="7"/>
  <c r="Z282" i="7"/>
  <c r="Z90" i="7"/>
  <c r="Z101" i="7"/>
  <c r="Z81" i="7"/>
  <c r="Z15" i="7"/>
  <c r="Z179" i="7"/>
  <c r="Z108" i="7"/>
  <c r="Z29" i="7"/>
  <c r="Z48" i="7"/>
  <c r="Z33" i="7"/>
  <c r="Z51" i="7"/>
  <c r="Z28" i="7"/>
  <c r="Z121" i="7"/>
  <c r="Z232" i="7"/>
  <c r="Z248" i="7"/>
  <c r="Z65" i="7"/>
  <c r="Z111" i="7"/>
  <c r="Z199" i="7"/>
  <c r="Z231" i="7"/>
  <c r="Z40" i="7"/>
  <c r="Z103" i="7"/>
  <c r="Z175" i="7"/>
  <c r="Z207" i="7"/>
  <c r="Z16" i="7"/>
  <c r="Z95" i="7"/>
  <c r="Z143" i="7"/>
  <c r="Z183" i="7"/>
  <c r="Z239" i="7"/>
  <c r="Z87" i="7"/>
  <c r="Z238" i="7"/>
  <c r="Z159" i="7"/>
  <c r="Z215" i="7"/>
  <c r="Z626" i="7"/>
  <c r="Z669" i="7"/>
  <c r="Z651" i="7"/>
  <c r="Z517" i="7"/>
  <c r="Z276" i="7"/>
  <c r="Z702" i="7"/>
  <c r="Z402" i="7"/>
  <c r="Z719" i="7"/>
  <c r="Z375" i="7"/>
  <c r="Z534" i="7"/>
  <c r="Z401" i="7"/>
  <c r="Z712" i="7"/>
  <c r="Z236" i="7"/>
  <c r="Z66" i="7"/>
  <c r="Z174" i="7"/>
  <c r="Z70" i="7"/>
  <c r="Z185" i="7"/>
  <c r="Z152" i="7"/>
  <c r="Z56" i="7"/>
  <c r="Z165" i="7"/>
  <c r="Z82" i="7"/>
  <c r="Z41" i="7"/>
  <c r="Z106" i="7"/>
  <c r="Z119" i="7"/>
  <c r="Z223" i="7"/>
  <c r="Z24" i="7"/>
  <c r="Z64" i="7"/>
  <c r="Z47" i="7"/>
  <c r="Z110" i="7"/>
  <c r="Z134" i="7"/>
  <c r="Z190" i="7"/>
  <c r="Z39" i="7"/>
  <c r="Z253" i="7"/>
  <c r="Z118" i="7"/>
  <c r="Z166" i="7"/>
  <c r="Z31" i="7"/>
  <c r="Z245" i="7"/>
  <c r="Z252" i="7"/>
  <c r="Z142" i="7"/>
  <c r="Z23" i="7"/>
  <c r="Z237" i="7"/>
  <c r="Z244" i="7"/>
  <c r="Z102" i="7"/>
  <c r="Z368" i="7"/>
  <c r="Z598" i="7"/>
  <c r="Z310" i="7"/>
  <c r="Z333" i="7"/>
  <c r="Z657" i="7"/>
  <c r="Z364" i="7"/>
  <c r="Z321" i="7"/>
  <c r="Z400" i="7"/>
  <c r="Z442" i="7"/>
  <c r="Z460" i="7"/>
  <c r="Z663" i="7"/>
  <c r="Z395" i="7"/>
  <c r="Z390" i="7"/>
  <c r="Z394" i="7"/>
  <c r="Z475" i="7"/>
  <c r="Z305" i="7"/>
  <c r="Z327" i="7"/>
  <c r="Z722" i="7"/>
  <c r="Z294" i="7"/>
  <c r="Z604" i="7"/>
  <c r="Z410" i="7"/>
  <c r="Z350" i="7"/>
  <c r="Z286" i="7"/>
  <c r="Z485" i="7"/>
  <c r="Z438" i="7"/>
  <c r="Z436" i="7"/>
  <c r="Z682" i="7"/>
  <c r="Z356" i="7"/>
  <c r="Z553" i="7"/>
  <c r="Z599" i="7"/>
  <c r="Z398" i="7"/>
  <c r="Z635" i="7"/>
  <c r="Z620" i="7"/>
  <c r="Z594" i="7"/>
  <c r="Z671" i="7"/>
  <c r="Z429" i="7"/>
  <c r="Z706" i="7"/>
  <c r="Z281" i="7"/>
  <c r="Z374" i="7"/>
  <c r="Z290" i="7"/>
  <c r="Z414" i="7"/>
  <c r="Z483" i="7"/>
  <c r="Z606" i="7"/>
  <c r="Z565" i="7"/>
  <c r="Z312" i="7"/>
  <c r="Z416" i="7"/>
  <c r="Z551" i="7"/>
  <c r="Z625" i="7"/>
  <c r="Z584" i="7"/>
  <c r="Z627" i="7"/>
  <c r="Z258" i="7"/>
  <c r="Z649" i="7"/>
  <c r="Z417" i="7"/>
  <c r="Z677" i="7"/>
  <c r="Z308" i="7"/>
  <c r="Z315" i="7"/>
  <c r="Z699" i="7"/>
  <c r="Z456" i="7"/>
  <c r="Z464" i="7"/>
  <c r="Z420" i="7"/>
  <c r="Z618" i="7"/>
  <c r="Z602" i="7"/>
  <c r="Z693" i="7"/>
  <c r="Z674" i="7"/>
  <c r="Z404" i="7"/>
  <c r="Z269" i="7"/>
  <c r="Z293" i="7"/>
  <c r="Z267" i="7"/>
  <c r="Z638" i="7"/>
  <c r="Z673" i="7"/>
  <c r="Z692" i="7"/>
  <c r="Z631" i="7"/>
  <c r="Z342" i="7"/>
  <c r="Z477" i="7"/>
  <c r="Z450" i="7"/>
  <c r="Z491" i="7"/>
  <c r="Z713" i="7"/>
  <c r="Z384" i="7"/>
  <c r="Z457" i="7"/>
  <c r="Z704" i="7"/>
  <c r="Z694" i="7"/>
  <c r="Z644" i="7"/>
  <c r="Z391" i="7"/>
  <c r="Z486" i="7"/>
  <c r="Z488" i="7"/>
  <c r="Z556" i="7"/>
  <c r="Z298" i="7"/>
  <c r="Z476" i="7"/>
  <c r="Z255" i="7"/>
  <c r="Z622" i="7"/>
  <c r="Z362" i="7"/>
  <c r="Z453" i="7"/>
  <c r="Z328" i="7"/>
  <c r="Z284" i="7"/>
  <c r="Z458" i="7"/>
  <c r="Z261" i="7"/>
  <c r="Z647" i="7"/>
  <c r="Z470" i="7"/>
  <c r="Z432" i="7"/>
  <c r="Z700" i="7"/>
  <c r="Z170" i="7"/>
  <c r="Z228" i="7"/>
  <c r="Z93" i="7"/>
  <c r="Z57" i="7"/>
  <c r="Z6" i="7"/>
  <c r="Z123" i="7"/>
  <c r="Z100" i="7"/>
  <c r="Z21" i="7"/>
  <c r="Z5" i="7"/>
  <c r="Z156" i="7"/>
  <c r="Z97" i="7"/>
  <c r="Z55" i="7"/>
  <c r="Z150" i="7"/>
  <c r="Z158" i="7"/>
  <c r="Z222" i="7"/>
  <c r="Z98" i="7"/>
  <c r="Z197" i="7"/>
  <c r="Z204" i="7"/>
  <c r="Z219" i="7"/>
  <c r="Z26" i="7"/>
  <c r="Z189" i="7"/>
  <c r="Z196" i="7"/>
  <c r="Z211" i="7"/>
  <c r="Z193" i="7"/>
  <c r="Z181" i="7"/>
  <c r="Z188" i="7"/>
  <c r="Z203" i="7"/>
  <c r="Z137" i="7"/>
  <c r="Z173" i="7"/>
  <c r="Z180" i="7"/>
  <c r="Z195" i="7"/>
  <c r="Z561" i="7"/>
  <c r="Z264" i="7"/>
  <c r="Z596" i="7"/>
  <c r="Z427" i="7"/>
  <c r="Z454" i="7"/>
  <c r="Z306" i="7"/>
  <c r="Z354" i="7"/>
  <c r="Z684" i="7"/>
  <c r="Z582" i="7"/>
  <c r="Z372" i="7"/>
  <c r="Z710" i="7"/>
  <c r="Z382" i="7"/>
  <c r="Z387" i="7"/>
  <c r="Z628" i="7"/>
  <c r="Z526" i="7"/>
  <c r="Z543" i="7"/>
  <c r="Z522" i="7"/>
  <c r="Z562" i="7"/>
  <c r="Z493" i="7"/>
  <c r="Z698" i="7"/>
  <c r="Z268" i="7"/>
  <c r="Z547" i="7"/>
  <c r="Z523" i="7"/>
  <c r="Z703" i="7"/>
  <c r="Z586" i="7"/>
  <c r="Z616" i="7"/>
  <c r="Z696" i="7"/>
  <c r="Z337" i="7"/>
  <c r="Z285" i="7"/>
  <c r="Z304" i="7"/>
  <c r="Z421" i="7"/>
  <c r="Z407" i="7"/>
  <c r="Z316" i="7"/>
  <c r="Z672" i="7"/>
  <c r="Z630" i="7"/>
  <c r="Z519" i="7"/>
  <c r="Z433" i="7"/>
  <c r="Z443" i="7"/>
  <c r="Z492" i="7"/>
  <c r="Z532" i="7"/>
  <c r="Z664" i="7"/>
  <c r="Z689" i="7"/>
  <c r="Z646" i="7"/>
  <c r="Z639" i="7"/>
  <c r="Z415" i="7"/>
  <c r="Z559" i="7"/>
  <c r="Z597" i="7"/>
  <c r="Z529" i="7"/>
  <c r="Z466" i="7"/>
  <c r="Z720" i="7"/>
  <c r="Z318" i="7"/>
  <c r="Z411" i="7"/>
  <c r="Z449" i="7"/>
  <c r="Z403" i="7"/>
  <c r="Z455" i="7"/>
  <c r="Z501" i="7"/>
  <c r="Z637" i="7"/>
  <c r="Z660" i="7"/>
  <c r="Z705" i="7"/>
  <c r="Z701" i="7"/>
  <c r="Z688" i="7"/>
  <c r="Z482" i="7"/>
  <c r="Z291" i="7"/>
  <c r="Z448" i="7"/>
  <c r="Z679" i="7"/>
  <c r="Z262" i="7"/>
  <c r="Z379" i="7"/>
  <c r="Z254" i="7"/>
  <c r="Z272" i="7"/>
  <c r="Z619" i="7"/>
  <c r="Z413" i="7"/>
  <c r="Z508" i="7"/>
  <c r="Z571" i="7"/>
  <c r="Z480" i="7"/>
  <c r="Z494" i="7"/>
  <c r="Z520" i="7"/>
  <c r="Z313" i="7"/>
  <c r="Z265" i="7"/>
  <c r="Z278" i="7"/>
  <c r="Z655" i="7"/>
  <c r="Z422" i="7"/>
  <c r="Z589" i="7"/>
  <c r="Z621" i="7"/>
  <c r="Z369" i="7"/>
  <c r="Z645" i="7"/>
  <c r="Z385" i="7"/>
  <c r="Z302" i="7"/>
  <c r="Z330" i="7"/>
  <c r="Z389" i="7"/>
  <c r="Z603" i="7"/>
  <c r="Z444" i="7"/>
  <c r="Z329" i="7"/>
  <c r="Z585" i="7"/>
  <c r="Z280" i="7"/>
  <c r="Z406" i="7"/>
  <c r="Z573" i="7"/>
  <c r="Z79" i="7"/>
  <c r="Z251" i="7"/>
  <c r="Z138" i="7"/>
  <c r="Z105" i="7"/>
  <c r="Z229" i="7"/>
  <c r="Z22" i="7"/>
  <c r="Z247" i="7"/>
  <c r="Z128" i="7"/>
  <c r="Z246" i="7"/>
  <c r="Z157" i="7"/>
  <c r="Z107" i="7"/>
  <c r="Z96" i="7"/>
  <c r="Z146" i="7"/>
  <c r="Z205" i="7"/>
  <c r="Z212" i="7"/>
  <c r="Z227" i="7"/>
  <c r="Z72" i="7"/>
  <c r="Z133" i="7"/>
  <c r="Z140" i="7"/>
  <c r="Z155" i="7"/>
  <c r="Z230" i="7"/>
  <c r="Z125" i="7"/>
  <c r="Z132" i="7"/>
  <c r="Z147" i="7"/>
  <c r="Z126" i="7"/>
  <c r="Z117" i="7"/>
  <c r="Z124" i="7"/>
  <c r="Z139" i="7"/>
  <c r="Z94" i="7"/>
  <c r="Z109" i="7"/>
  <c r="Z116" i="7"/>
  <c r="Z131" i="7"/>
  <c r="Z623" i="7"/>
  <c r="Z462" i="7"/>
  <c r="Z578" i="7"/>
  <c r="Z419" i="7"/>
  <c r="Z348" i="7"/>
  <c r="Z496" i="7"/>
  <c r="Z691" i="7"/>
  <c r="Z352" i="7"/>
  <c r="Z595" i="7"/>
  <c r="Z667" i="7"/>
  <c r="Z484" i="7"/>
  <c r="Z495" i="7"/>
  <c r="Z341" i="7"/>
  <c r="Z500" i="7"/>
  <c r="Z459" i="7"/>
  <c r="Z558" i="7"/>
  <c r="Z487" i="7"/>
  <c r="Z287" i="7"/>
  <c r="Z346" i="7"/>
  <c r="Z471" i="7"/>
  <c r="Z452" i="7"/>
  <c r="Z709" i="7"/>
  <c r="Z707" i="7"/>
  <c r="Z675" i="7"/>
  <c r="Z273" i="7"/>
  <c r="Z365" i="7"/>
  <c r="Z408" i="7"/>
  <c r="Z299" i="7"/>
  <c r="Z412" i="7"/>
  <c r="Z633" i="7"/>
  <c r="Z317" i="7"/>
  <c r="Z652" i="7"/>
  <c r="Z541" i="7"/>
  <c r="Z711" i="7"/>
  <c r="Z301" i="7"/>
  <c r="Z378" i="7"/>
  <c r="Z550" i="7"/>
  <c r="Z292" i="7"/>
  <c r="Z687" i="7"/>
  <c r="Z260" i="7"/>
  <c r="Z435" i="7"/>
  <c r="Z612" i="7"/>
  <c r="Z465" i="7"/>
  <c r="Z555" i="7"/>
  <c r="Z441" i="7"/>
  <c r="Z670" i="7"/>
  <c r="Z431" i="7"/>
  <c r="Z676" i="7"/>
  <c r="Z376" i="7"/>
  <c r="Z467" i="7"/>
  <c r="Z580" i="7"/>
  <c r="Z283" i="7"/>
  <c r="Z349" i="7"/>
  <c r="Z591" i="7"/>
  <c r="Z428" i="7"/>
  <c r="Z537" i="7"/>
  <c r="Z437" i="7"/>
  <c r="Z665" i="7"/>
  <c r="Z716" i="7"/>
  <c r="Z472" i="7"/>
  <c r="Z521" i="7"/>
  <c r="Z426" i="7"/>
  <c r="Z516" i="7"/>
  <c r="Z536" i="7"/>
  <c r="Z574" i="7"/>
  <c r="Z505" i="7"/>
  <c r="Z345" i="7"/>
  <c r="Z332" i="7"/>
  <c r="Z607" i="7"/>
  <c r="Z593" i="7"/>
  <c r="Z605" i="7"/>
  <c r="Z666" i="7"/>
  <c r="Z570" i="7"/>
  <c r="Z361" i="7"/>
  <c r="Z527" i="7"/>
  <c r="Z430" i="7"/>
  <c r="Z343" i="7"/>
  <c r="Z629" i="7"/>
  <c r="Z587" i="7"/>
  <c r="Z351" i="7"/>
  <c r="Z320" i="7"/>
  <c r="Z366" i="7"/>
  <c r="Z525" i="7"/>
  <c r="Z474" i="7"/>
  <c r="Z531" i="7"/>
  <c r="Z545" i="7"/>
  <c r="Z440" i="7"/>
  <c r="Z513" i="7"/>
  <c r="Z613" i="7"/>
  <c r="Z654" i="7"/>
  <c r="Z451" i="7"/>
  <c r="Z546" i="7"/>
  <c r="Z377" i="7"/>
  <c r="Z668" i="7"/>
  <c r="Z690" i="7"/>
  <c r="Z358" i="7"/>
  <c r="Z509" i="7"/>
  <c r="Z216" i="7"/>
  <c r="Z71" i="7"/>
  <c r="Z243" i="7"/>
  <c r="Z172" i="7"/>
  <c r="Z85" i="7"/>
  <c r="Z25" i="7"/>
  <c r="Z210" i="7"/>
  <c r="Z115" i="7"/>
  <c r="Z44" i="7"/>
  <c r="Z122" i="7"/>
  <c r="Z32" i="7"/>
  <c r="Z135" i="7"/>
  <c r="Z160" i="7"/>
  <c r="Z141" i="7"/>
  <c r="Z148" i="7"/>
  <c r="Z163" i="7"/>
  <c r="Z54" i="7"/>
  <c r="Z69" i="7"/>
  <c r="Z76" i="7"/>
  <c r="Z91" i="7"/>
  <c r="Z46" i="7"/>
  <c r="Z61" i="7"/>
  <c r="Z68" i="7"/>
  <c r="Z83" i="7"/>
  <c r="Z38" i="7"/>
  <c r="Z53" i="7"/>
  <c r="Z60" i="7"/>
  <c r="Z75" i="7"/>
  <c r="Z30" i="7"/>
  <c r="Z45" i="7"/>
  <c r="Z52" i="7"/>
  <c r="Z67" i="7"/>
  <c r="Z192" i="7"/>
  <c r="Z112" i="7"/>
  <c r="Z120" i="7"/>
  <c r="Z104" i="7"/>
  <c r="Z224" i="7"/>
  <c r="Z136" i="7"/>
  <c r="Z144" i="7"/>
  <c r="Z184" i="7"/>
  <c r="Z17" i="7"/>
  <c r="Z176" i="7"/>
  <c r="Z168" i="7"/>
  <c r="Z240" i="7"/>
  <c r="Z49" i="7"/>
  <c r="Z208" i="7"/>
  <c r="Z200" i="7"/>
  <c r="Z3" i="7"/>
  <c r="Z74" i="7"/>
  <c r="Z42" i="7"/>
  <c r="Z233" i="7"/>
  <c r="Z43" i="7"/>
  <c r="Z92" i="7"/>
  <c r="Z167" i="7"/>
  <c r="Z127" i="7"/>
  <c r="Z4" i="7"/>
  <c r="Z213" i="7"/>
  <c r="Z80" i="7"/>
  <c r="Z129" i="7"/>
  <c r="Z241" i="7"/>
  <c r="Z78" i="7"/>
  <c r="Z198" i="7"/>
  <c r="Z149" i="7"/>
  <c r="Z650" i="7"/>
  <c r="Z259" i="7"/>
  <c r="Z528" i="7"/>
  <c r="Z503" i="7"/>
  <c r="Z296" i="7"/>
  <c r="Z579" i="7"/>
  <c r="Z506" i="7"/>
  <c r="Z680" i="7"/>
  <c r="Z409" i="7"/>
  <c r="Z542" i="7"/>
  <c r="Z447" i="7"/>
  <c r="Z708" i="7"/>
  <c r="Z718" i="7"/>
  <c r="Z661" i="7"/>
  <c r="Z658" i="7"/>
  <c r="Z297" i="7"/>
  <c r="Z576" i="7"/>
  <c r="Z425" i="7"/>
  <c r="Z507" i="7"/>
  <c r="Z386" i="7"/>
  <c r="Z405" i="7"/>
  <c r="Z277" i="7"/>
  <c r="Z610" i="7"/>
  <c r="Z266" i="7"/>
  <c r="Z641" i="7"/>
  <c r="Z336" i="7"/>
  <c r="Z544" i="7"/>
  <c r="Z502" i="7"/>
  <c r="Z339" i="7"/>
  <c r="Z540" i="7"/>
  <c r="Z572" i="7"/>
  <c r="Z549" i="7"/>
  <c r="Z611" i="7"/>
  <c r="Z557" i="7"/>
  <c r="Z560" i="7"/>
  <c r="Z569" i="7"/>
  <c r="Z497" i="7"/>
  <c r="Z490" i="7"/>
  <c r="M26" i="7" a="1"/>
  <c r="M29" i="7"/>
  <c r="M27" i="7"/>
  <c r="M28" i="7"/>
  <c r="M26" i="7"/>
  <c r="M30" i="7"/>
  <c r="Z209" i="7"/>
  <c r="Z153" i="7"/>
  <c r="Z113" i="7"/>
  <c r="Z114" i="7"/>
  <c r="Z225" i="7"/>
  <c r="Z177" i="7"/>
  <c r="Z145" i="7"/>
  <c r="Z178" i="7"/>
  <c r="Z10" i="7"/>
  <c r="Z217" i="7"/>
  <c r="Z169" i="7"/>
  <c r="Z226" i="7"/>
  <c r="Z50" i="7"/>
  <c r="Z249" i="7"/>
  <c r="Z201" i="7"/>
  <c r="Z35" i="7"/>
  <c r="Z20" i="7"/>
  <c r="Z13" i="7"/>
  <c r="Z250" i="7"/>
  <c r="Z171" i="7"/>
  <c r="Z220" i="7"/>
  <c r="Z36" i="7"/>
  <c r="Z59" i="7"/>
  <c r="Z89" i="7"/>
  <c r="Z88" i="7"/>
  <c r="Z37" i="7"/>
  <c r="Z164" i="7"/>
  <c r="Z187" i="7"/>
  <c r="Z63" i="7"/>
  <c r="Z18" i="7"/>
  <c r="Z214" i="7"/>
  <c r="Z381" i="7"/>
  <c r="Z717" i="7"/>
  <c r="Z489" i="7"/>
  <c r="Z567" i="7"/>
  <c r="Z274" i="7"/>
  <c r="Z303" i="7"/>
  <c r="Z548" i="7"/>
  <c r="Z608" i="7"/>
  <c r="Z681" i="7"/>
  <c r="Z355" i="7"/>
  <c r="Z511" i="7"/>
  <c r="Z721" i="7"/>
  <c r="Z309" i="7"/>
  <c r="Z515" i="7"/>
  <c r="Z397" i="7"/>
  <c r="Z275" i="7"/>
  <c r="Z256" i="7"/>
  <c r="Z263" i="7"/>
  <c r="Z340" i="7"/>
  <c r="Z295" i="7"/>
  <c r="Z469" i="7"/>
  <c r="Z338" i="7"/>
  <c r="Z659" i="7"/>
  <c r="Z648" i="7"/>
  <c r="Z538" i="7"/>
  <c r="Z600" i="7"/>
  <c r="Z481" i="7"/>
  <c r="Z566" i="7"/>
  <c r="Z512" i="7"/>
  <c r="Z380" i="7"/>
  <c r="Z388" i="7"/>
  <c r="Z371" i="7"/>
  <c r="Z446" i="7"/>
  <c r="Z479" i="7"/>
  <c r="Z563" i="7"/>
  <c r="Z697" i="7"/>
  <c r="Z392" i="7"/>
  <c r="Z300" i="7"/>
  <c r="Z288" i="7"/>
  <c r="Z632" i="7"/>
  <c r="Z9" i="7"/>
  <c r="Z202" i="7"/>
  <c r="Z154" i="7"/>
  <c r="Z130" i="7"/>
  <c r="Z11" i="7"/>
  <c r="Z242" i="7"/>
  <c r="Z194" i="7"/>
  <c r="Z162" i="7"/>
  <c r="Z19" i="7"/>
  <c r="Z7" i="7"/>
  <c r="Z234" i="7"/>
  <c r="Z186" i="7"/>
  <c r="Z27" i="7"/>
  <c r="Z12" i="7"/>
  <c r="Z8" i="7"/>
  <c r="Z218" i="7"/>
  <c r="Z99" i="7"/>
  <c r="Z84" i="7"/>
  <c r="Z77" i="7"/>
  <c r="Z62" i="7"/>
  <c r="Z235" i="7"/>
  <c r="Z182" i="7"/>
  <c r="Z206" i="7"/>
  <c r="Z191" i="7"/>
  <c r="Z151" i="7"/>
  <c r="Z14" i="7"/>
  <c r="Z221" i="7"/>
  <c r="Z73" i="7"/>
  <c r="Z161" i="7"/>
  <c r="Z34" i="7"/>
  <c r="Z86" i="7"/>
  <c r="Z58" i="7"/>
  <c r="Z445" i="7"/>
  <c r="Z326" i="7"/>
  <c r="Z271" i="7"/>
  <c r="Z424" i="7"/>
  <c r="Z636" i="7"/>
  <c r="Z373" i="7"/>
  <c r="Z325" i="7"/>
  <c r="Z624" i="7"/>
  <c r="Z685" i="7"/>
  <c r="Z552" i="7"/>
  <c r="Z575" i="7"/>
  <c r="Z640" i="7"/>
  <c r="Z564" i="7"/>
  <c r="Z715" i="7"/>
  <c r="Z461" i="7"/>
  <c r="Z334" i="7"/>
  <c r="Z714" i="7"/>
  <c r="Z617" i="7"/>
  <c r="Z279" i="7"/>
  <c r="Z319" i="7"/>
  <c r="Z533" i="7"/>
  <c r="Z370" i="7"/>
  <c r="Z399" i="7"/>
  <c r="Z686" i="7"/>
  <c r="Z614" i="7"/>
  <c r="Z634" i="7"/>
  <c r="Z609" i="7"/>
  <c r="Z393" i="7"/>
  <c r="Z289" i="7"/>
  <c r="Z434" i="7"/>
  <c r="Z324" i="7"/>
  <c r="Z568" i="7"/>
  <c r="Z510" i="7"/>
  <c r="Z363" i="7"/>
  <c r="Z653" i="7"/>
  <c r="Z498" i="7"/>
  <c r="Z592" i="7"/>
  <c r="Z518" i="7"/>
  <c r="Z323" i="7"/>
  <c r="Z468" i="7"/>
  <c r="Z678" i="7"/>
  <c r="Z270" i="7"/>
  <c r="Z418" i="7"/>
  <c r="Z463" i="7"/>
  <c r="Z396" i="7"/>
  <c r="Z473" i="7"/>
  <c r="Z514" i="7"/>
  <c r="Z656" i="7"/>
  <c r="Z423" i="7"/>
  <c r="Z314" i="7"/>
  <c r="Z643" i="7"/>
  <c r="Z539" i="7"/>
  <c r="Z642" i="7"/>
  <c r="Z311" i="7"/>
  <c r="Z590" i="7"/>
  <c r="Z307" i="7"/>
  <c r="Z257" i="7"/>
  <c r="Z344" i="7"/>
  <c r="Z695" i="7"/>
  <c r="Z535" i="7"/>
  <c r="Z530" i="7"/>
  <c r="Z554" i="7"/>
  <c r="AA468" i="7"/>
  <c r="AA556" i="7"/>
  <c r="AA99" i="7"/>
  <c r="AA134" i="7"/>
  <c r="AA230" i="7"/>
  <c r="AA583" i="7"/>
  <c r="AA434" i="7"/>
  <c r="AA704" i="7"/>
  <c r="AA73" i="7"/>
  <c r="AA320" i="7"/>
  <c r="AA664" i="7"/>
  <c r="AA286" i="7"/>
  <c r="AA182" i="7"/>
  <c r="AA405" i="7"/>
  <c r="AA667" i="7"/>
  <c r="AA402" i="7"/>
  <c r="AA562" i="7"/>
  <c r="AA666" i="7"/>
  <c r="AA268" i="7"/>
  <c r="AA312" i="7"/>
  <c r="AA14" i="7"/>
  <c r="AA300" i="7"/>
  <c r="AA501" i="7"/>
  <c r="AA564" i="7"/>
  <c r="AA440" i="7"/>
  <c r="AA690" i="7"/>
  <c r="AA161" i="7"/>
  <c r="AA192" i="7"/>
  <c r="AA281" i="7"/>
  <c r="AA555" i="7"/>
  <c r="AA254" i="7"/>
  <c r="AA263" i="7"/>
  <c r="AA466" i="7"/>
  <c r="AA599" i="7"/>
  <c r="AA493" i="7"/>
  <c r="AA425" i="7"/>
  <c r="AA202" i="7"/>
  <c r="AA603" i="7"/>
  <c r="AA49" i="7"/>
  <c r="AA470" i="7"/>
  <c r="AA137" i="7"/>
  <c r="AA410" i="7"/>
  <c r="AA125" i="7"/>
  <c r="AA488" i="7"/>
  <c r="AA345" i="7"/>
  <c r="AA626" i="7"/>
  <c r="AA475" i="7"/>
  <c r="AA573" i="7"/>
  <c r="AA4" i="7"/>
  <c r="AA339" i="7"/>
  <c r="AA660" i="7"/>
  <c r="AA393" i="7"/>
  <c r="AA90" i="7"/>
  <c r="AA391" i="7"/>
  <c r="AA659" i="7"/>
  <c r="AA210" i="7"/>
  <c r="AA37" i="7"/>
  <c r="AA13" i="7"/>
  <c r="AA364" i="7"/>
  <c r="AA140" i="7"/>
  <c r="AA138" i="7"/>
  <c r="AA88" i="7"/>
  <c r="AA328" i="7"/>
  <c r="AA181" i="7"/>
  <c r="AA117" i="7"/>
  <c r="AA611" i="7"/>
  <c r="AA508" i="7"/>
  <c r="AA681" i="7"/>
  <c r="AA36" i="7"/>
  <c r="AA471" i="7"/>
  <c r="AA195" i="7"/>
  <c r="AA592" i="7"/>
  <c r="AA710" i="7"/>
  <c r="AA287" i="7"/>
  <c r="AA590" i="7"/>
  <c r="AA615" i="7"/>
  <c r="AA183" i="7"/>
  <c r="AA457" i="7"/>
  <c r="AA261" i="7"/>
  <c r="AA297" i="7"/>
  <c r="AA398" i="7"/>
  <c r="AA368" i="7"/>
  <c r="AA115" i="7"/>
  <c r="AA279" i="7"/>
  <c r="AA204" i="7"/>
  <c r="AA385" i="7"/>
  <c r="AA114" i="7"/>
  <c r="AA696" i="7"/>
  <c r="AA387" i="7"/>
  <c r="AA646" i="7"/>
  <c r="AA190" i="7"/>
  <c r="AA426" i="7"/>
  <c r="AA332" i="7"/>
  <c r="AA627" i="7"/>
  <c r="AA447" i="7"/>
  <c r="AA68" i="7"/>
  <c r="AA472" i="7"/>
  <c r="AA149" i="7"/>
  <c r="AA360" i="7"/>
  <c r="AA17" i="7"/>
  <c r="AA335" i="7"/>
  <c r="AA313" i="7"/>
  <c r="AA430" i="7"/>
  <c r="AA311" i="7"/>
  <c r="AA358" i="7"/>
  <c r="AA249" i="7"/>
  <c r="AA227" i="7"/>
  <c r="AA266" i="7"/>
  <c r="AA174" i="7"/>
  <c r="AA139" i="7"/>
  <c r="AA492" i="7"/>
  <c r="AA209" i="7"/>
  <c r="AA439" i="7"/>
  <c r="AA559" i="7"/>
  <c r="AA579" i="7"/>
  <c r="AA336" i="7"/>
  <c r="AA170" i="7"/>
  <c r="AA687" i="7"/>
  <c r="AA331" i="7"/>
  <c r="AA390" i="7"/>
  <c r="AA377" i="7"/>
  <c r="AA548" i="7"/>
  <c r="AA39" i="7"/>
  <c r="AA606" i="7"/>
  <c r="AA5" i="7"/>
  <c r="AA578" i="7"/>
  <c r="AA143" i="7"/>
  <c r="AA348" i="7"/>
  <c r="AA75" i="7"/>
  <c r="AA132" i="7"/>
  <c r="AA110" i="7"/>
  <c r="AA528" i="7"/>
  <c r="AA105" i="7"/>
  <c r="AA678" i="7"/>
  <c r="AA258" i="7"/>
  <c r="AA509" i="7"/>
  <c r="AA643" i="7"/>
  <c r="AA162" i="7"/>
  <c r="AA352" i="7"/>
  <c r="AA417" i="7"/>
  <c r="AA366" i="7"/>
  <c r="AA315" i="7"/>
  <c r="AA421" i="7"/>
  <c r="AA689" i="7"/>
  <c r="AA106" i="7"/>
  <c r="AA487" i="7"/>
  <c r="AA48" i="7"/>
  <c r="AA437" i="7"/>
  <c r="AA343" i="7"/>
  <c r="AA350" i="7"/>
  <c r="AA342" i="7"/>
  <c r="AA56" i="7"/>
  <c r="AA150" i="7"/>
  <c r="AA654" i="7"/>
  <c r="AA347" i="7"/>
  <c r="AA497" i="7"/>
  <c r="AA371" i="7"/>
  <c r="AA187" i="7"/>
  <c r="AA265" i="7"/>
  <c r="AA721" i="7"/>
  <c r="AA637" i="7"/>
  <c r="AA16" i="7"/>
  <c r="AA23" i="7"/>
  <c r="AA213" i="7"/>
  <c r="AA444" i="7"/>
  <c r="AA361" i="7"/>
  <c r="AA169" i="7"/>
  <c r="AA38" i="7"/>
  <c r="AA28" i="7"/>
  <c r="AA576" i="7"/>
  <c r="AA601" i="7"/>
  <c r="AA112" i="7"/>
  <c r="AA519" i="7"/>
  <c r="AA446" i="7"/>
  <c r="AA406" i="7"/>
  <c r="AA697" i="7"/>
  <c r="AA412" i="7"/>
  <c r="AA129" i="7"/>
  <c r="AA491" i="7"/>
  <c r="AA76" i="7"/>
  <c r="AA351" i="7"/>
  <c r="AA248" i="7"/>
  <c r="AA216" i="7"/>
  <c r="AA288" i="7"/>
  <c r="AA158" i="7"/>
  <c r="AA145" i="7"/>
  <c r="AA386" i="7"/>
  <c r="AA255" i="7"/>
  <c r="AA582" i="7"/>
  <c r="AA384" i="7"/>
  <c r="AA346" i="7"/>
  <c r="AA561" i="7"/>
  <c r="AA539" i="7"/>
  <c r="AA307" i="7"/>
  <c r="AA135" i="7"/>
  <c r="AA64" i="7"/>
  <c r="AA693" i="7"/>
  <c r="AA483" i="7"/>
  <c r="AA193" i="7"/>
  <c r="AA580" i="7"/>
  <c r="AA305" i="7"/>
  <c r="AA318" i="7"/>
  <c r="AA154" i="7"/>
  <c r="AA455" i="7"/>
  <c r="AA399" i="7"/>
  <c r="AA429" i="7"/>
  <c r="AA441" i="7"/>
  <c r="AA294" i="7"/>
  <c r="AA554" i="7"/>
  <c r="AA549" i="7"/>
  <c r="AA12" i="7"/>
  <c r="AA401" i="7"/>
  <c r="AA460" i="7"/>
  <c r="AA713" i="7"/>
  <c r="AA349" i="7"/>
  <c r="AA142" i="7"/>
  <c r="AA35" i="7"/>
  <c r="AA171" i="7"/>
  <c r="AA569" i="7"/>
  <c r="AA296" i="7"/>
  <c r="AA322" i="7"/>
  <c r="AA396" i="7"/>
  <c r="AA290" i="7"/>
  <c r="AA365" i="7"/>
  <c r="AA703" i="7"/>
  <c r="AA121" i="7"/>
  <c r="AA456" i="7"/>
  <c r="AA104" i="7"/>
  <c r="AA264" i="7"/>
  <c r="AA469" i="7"/>
  <c r="AA79" i="7"/>
  <c r="AA325" i="7"/>
  <c r="AA565" i="7"/>
  <c r="AA593" i="7"/>
  <c r="AA669" i="7"/>
  <c r="AA370" i="7"/>
  <c r="AA625" i="7"/>
  <c r="AA485" i="7"/>
  <c r="AA103" i="7"/>
  <c r="AA159" i="7"/>
  <c r="AA123" i="7"/>
  <c r="AA438" i="7"/>
  <c r="AA443" i="7"/>
  <c r="AA128" i="7"/>
  <c r="AA567" i="7"/>
  <c r="AA619" i="7"/>
  <c r="AA381" i="7"/>
  <c r="AA367" i="7"/>
  <c r="AA285" i="7"/>
  <c r="AA166" i="7"/>
  <c r="AA535" i="7"/>
  <c r="AA85" i="7"/>
  <c r="AA237" i="7"/>
  <c r="AA308" i="7"/>
  <c r="AA389" i="7"/>
  <c r="AA40" i="7"/>
  <c r="AA69" i="7"/>
  <c r="AA33" i="7"/>
  <c r="AA705" i="7"/>
  <c r="AA534" i="7"/>
  <c r="AA306" i="7"/>
  <c r="AA374" i="7"/>
  <c r="AA545" i="7"/>
  <c r="AA302" i="7"/>
  <c r="AA708" i="7"/>
  <c r="AA50" i="7"/>
  <c r="AA179" i="7"/>
  <c r="AA462" i="7"/>
  <c r="AA571" i="7"/>
  <c r="AA86" i="7"/>
  <c r="AA71" i="7"/>
  <c r="AA394" i="7"/>
  <c r="AA148" i="7"/>
  <c r="AA609" i="7"/>
  <c r="AA34" i="7"/>
  <c r="AA523" i="7"/>
  <c r="AA194" i="7"/>
  <c r="AA607" i="7"/>
  <c r="AA124" i="7"/>
  <c r="AA635" i="7"/>
  <c r="AA329" i="7"/>
  <c r="AA118" i="7"/>
  <c r="AA173" i="7"/>
  <c r="AA507" i="7"/>
  <c r="AA404" i="7"/>
  <c r="AA94" i="7"/>
  <c r="AA718" i="7"/>
  <c r="AA6" i="7"/>
  <c r="AA131" i="7"/>
  <c r="AA373" i="7"/>
  <c r="AA74" i="7"/>
  <c r="AA676" i="7"/>
  <c r="AA375" i="7"/>
  <c r="AA433" i="7"/>
  <c r="AA608" i="7"/>
  <c r="AA454" i="7"/>
  <c r="AA411" i="7"/>
  <c r="AA144" i="7"/>
  <c r="AA32" i="7"/>
  <c r="AA126" i="7"/>
  <c r="AA252" i="7"/>
  <c r="AA521" i="7"/>
  <c r="AA424" i="7"/>
  <c r="AA409" i="7"/>
  <c r="AA379" i="7"/>
  <c r="AA262" i="7"/>
  <c r="AA442" i="7"/>
  <c r="AA458" i="7"/>
  <c r="AA256" i="7"/>
  <c r="AA62" i="7"/>
  <c r="AA369" i="7"/>
  <c r="AA423" i="7"/>
  <c r="AA226" i="7"/>
  <c r="AA495" i="7"/>
  <c r="AA232" i="7"/>
  <c r="AA98" i="7"/>
  <c r="AA717" i="7"/>
  <c r="AA7" i="7"/>
  <c r="AA276" i="7"/>
  <c r="AA275" i="7"/>
  <c r="AA614" i="7"/>
  <c r="AA537" i="7"/>
  <c r="AA203" i="7"/>
  <c r="AA482" i="7"/>
  <c r="AA652" i="7"/>
  <c r="AA467" i="7"/>
  <c r="AA152" i="7"/>
  <c r="AA219" i="7"/>
  <c r="AA445" i="7"/>
  <c r="AA198" i="7"/>
  <c r="AA570" i="7"/>
  <c r="AA70" i="7"/>
  <c r="AA221" i="7"/>
  <c r="AA415" i="7"/>
  <c r="AA146" i="7"/>
  <c r="AA612" i="7"/>
  <c r="AA644" i="7"/>
  <c r="AA665" i="7"/>
  <c r="AA238" i="7"/>
  <c r="AA510" i="7"/>
  <c r="AA670" i="7"/>
  <c r="AA451" i="7"/>
  <c r="AA97" i="7"/>
  <c r="AA674" i="7"/>
  <c r="AA631" i="7"/>
  <c r="AA334" i="7"/>
  <c r="AA271" i="7"/>
  <c r="AA450" i="7"/>
  <c r="AA47" i="7"/>
  <c r="AA403" i="7"/>
  <c r="AA533" i="7"/>
  <c r="AA536" i="7"/>
  <c r="AA354" i="7"/>
  <c r="AA604" i="7"/>
  <c r="AA24" i="7"/>
  <c r="AA109" i="7"/>
  <c r="AA714" i="7"/>
  <c r="AA540" i="7"/>
  <c r="AA598" i="7"/>
  <c r="AA228" i="7"/>
  <c r="AA516" i="7"/>
  <c r="AA55" i="7"/>
  <c r="AA511" i="7"/>
  <c r="AA83" i="7"/>
  <c r="AA464" i="7"/>
  <c r="AA695" i="7"/>
  <c r="AA96" i="7"/>
  <c r="AA303" i="7"/>
  <c r="AA27" i="7"/>
  <c r="AA480" i="7"/>
  <c r="AA532" i="7"/>
  <c r="AA474" i="7"/>
  <c r="AA87" i="7"/>
  <c r="AA180" i="7"/>
  <c r="AA680" i="7"/>
  <c r="AA235" i="7"/>
  <c r="AA585" i="7"/>
  <c r="AA327" i="7"/>
  <c r="AA172" i="7"/>
  <c r="AA596" i="7"/>
  <c r="AA338" i="7"/>
  <c r="AA408" i="7"/>
  <c r="AA247" i="7"/>
  <c r="AA506" i="7"/>
  <c r="AA656" i="7"/>
  <c r="AA163" i="7"/>
  <c r="AA220" i="7"/>
  <c r="AA353" i="7"/>
  <c r="AA711" i="7"/>
  <c r="AA486" i="7"/>
  <c r="AA359" i="7"/>
  <c r="AA260" i="7"/>
  <c r="AA10" i="7"/>
  <c r="AA95" i="7"/>
  <c r="AA558" i="7"/>
  <c r="AA651" i="7"/>
  <c r="AA236" i="7"/>
  <c r="AA267" i="7"/>
  <c r="AA395" i="7"/>
  <c r="AA108" i="7"/>
  <c r="AA602" i="7"/>
  <c r="AA575" i="7"/>
  <c r="AA512" i="7"/>
  <c r="AA502" i="7"/>
  <c r="AA719" i="7"/>
  <c r="AA473" i="7"/>
  <c r="AA531" i="7"/>
  <c r="AA419" i="7"/>
  <c r="AA272" i="7"/>
  <c r="AA229" i="7"/>
  <c r="AA51" i="7"/>
  <c r="AA432" i="7"/>
  <c r="AA698" i="7"/>
  <c r="AA30" i="7"/>
  <c r="AA215" i="7"/>
  <c r="AA465" i="7"/>
  <c r="AA380" i="7"/>
  <c r="AA211" i="7"/>
  <c r="AA8" i="7"/>
  <c r="AA453" i="7"/>
  <c r="AA712" i="7"/>
  <c r="AA435" i="7"/>
  <c r="AA632" i="7"/>
  <c r="AA295" i="7"/>
  <c r="AA407" i="7"/>
  <c r="AA224" i="7"/>
  <c r="AA499" i="7"/>
  <c r="AA217" i="7"/>
  <c r="AA566" i="7"/>
  <c r="AA243" i="7"/>
  <c r="AA591" i="7"/>
  <c r="AA630" i="7"/>
  <c r="AA15" i="7"/>
  <c r="AA18" i="7"/>
  <c r="AA686" i="7"/>
  <c r="AA58" i="7"/>
  <c r="AA547" i="7"/>
  <c r="AA196" i="7"/>
  <c r="AA257" i="7"/>
  <c r="AA546" i="7"/>
  <c r="AA130" i="7"/>
  <c r="AA184" i="7"/>
  <c r="AA330" i="7"/>
  <c r="AA277" i="7"/>
  <c r="AA199" i="7"/>
  <c r="AA479" i="7"/>
  <c r="AA9" i="7"/>
  <c r="AA500" i="7"/>
  <c r="AA78" i="7"/>
  <c r="AA550" i="7"/>
  <c r="AA459" i="7"/>
  <c r="AA629" i="7"/>
  <c r="AA658" i="7"/>
  <c r="AA100" i="7"/>
  <c r="AA679" i="7"/>
  <c r="AA481" i="7"/>
  <c r="AA231" i="7"/>
  <c r="AA3" i="7"/>
  <c r="AA291" i="7"/>
  <c r="AA526" i="7"/>
  <c r="AA436" i="7"/>
  <c r="AA20" i="7"/>
  <c r="AA529" i="7"/>
  <c r="AA692" i="7"/>
  <c r="AA518" i="7"/>
  <c r="AA715" i="7"/>
  <c r="AA223" i="7"/>
  <c r="AA240" i="7"/>
  <c r="AA648" i="7"/>
  <c r="AA574" i="7"/>
  <c r="AA525" i="7"/>
  <c r="AA301" i="7"/>
  <c r="AA663" i="7"/>
  <c r="AA414" i="7"/>
  <c r="AA650" i="7"/>
  <c r="AA563" i="7"/>
  <c r="AA641" i="7"/>
  <c r="AA165" i="7"/>
  <c r="AA597" i="7"/>
  <c r="AA218" i="7"/>
  <c r="AA589" i="7"/>
  <c r="AA684" i="7"/>
  <c r="AA542" i="7"/>
  <c r="AA496" i="7"/>
  <c r="AA504" i="7"/>
  <c r="AA694" i="7"/>
  <c r="AA524" i="7"/>
  <c r="AA333" i="7"/>
  <c r="AA628" i="7"/>
  <c r="AA586" i="7"/>
  <c r="AA489" i="7"/>
  <c r="AA378" i="7"/>
  <c r="AA484" i="7"/>
  <c r="AA244" i="7"/>
  <c r="AA178" i="7"/>
  <c r="AA647" i="7"/>
  <c r="AA147" i="7"/>
  <c r="AA673" i="7"/>
  <c r="AA321" i="7"/>
  <c r="AA431" i="7"/>
  <c r="AA116" i="7"/>
  <c r="AA234" i="7"/>
  <c r="AA530" i="7"/>
  <c r="AA649" i="7"/>
  <c r="AA522" i="7"/>
  <c r="AA682" i="7"/>
  <c r="AA642" i="7"/>
  <c r="AA640" i="7"/>
  <c r="AA120" i="7"/>
  <c r="AA59" i="7"/>
  <c r="AA246" i="7"/>
  <c r="AA289" i="7"/>
  <c r="AA683" i="7"/>
  <c r="AA239" i="7"/>
  <c r="AA293" i="7"/>
  <c r="AA720" i="7"/>
  <c r="AA133" i="7"/>
  <c r="AA477" i="7"/>
  <c r="AA675" i="7"/>
  <c r="AA119" i="7"/>
  <c r="AA691" i="7"/>
  <c r="AA557" i="7"/>
  <c r="AA621" i="7"/>
  <c r="AA392" i="7"/>
  <c r="AA186" i="7"/>
  <c r="AA29" i="7"/>
  <c r="AA427" i="7"/>
  <c r="AA46" i="7"/>
  <c r="AA136" i="7"/>
  <c r="AA270" i="7"/>
  <c r="AA191" i="7"/>
  <c r="AA19" i="7"/>
  <c r="AA700" i="7"/>
  <c r="AA340" i="7"/>
  <c r="AA544" i="7"/>
  <c r="AA498" i="7"/>
  <c r="AA205" i="7"/>
  <c r="AA153" i="7"/>
  <c r="AA151" i="7"/>
  <c r="AA655" i="7"/>
  <c r="AA57" i="7"/>
  <c r="AA298" i="7"/>
  <c r="AA382" i="7"/>
  <c r="AA111" i="7"/>
  <c r="AA657" i="7"/>
  <c r="AA122" i="7"/>
  <c r="AA188" i="7"/>
  <c r="AA538" i="7"/>
  <c r="AA520" i="7"/>
  <c r="AA418" i="7"/>
  <c r="AA102" i="7"/>
  <c r="AA337" i="7"/>
  <c r="AA259" i="7"/>
  <c r="AA581" i="7"/>
  <c r="AA65" i="7"/>
  <c r="AA413" i="7"/>
  <c r="AA77" i="7"/>
  <c r="AA197" i="7"/>
  <c r="AA671" i="7"/>
  <c r="AA514" i="7"/>
  <c r="AA709" i="7"/>
  <c r="AA155" i="7"/>
  <c r="AA577" i="7"/>
  <c r="AA363" i="7"/>
  <c r="AA225" i="7"/>
  <c r="AA91" i="7"/>
  <c r="AA127" i="7"/>
  <c r="AA422" i="7"/>
  <c r="AA206" i="7"/>
  <c r="AA80" i="7"/>
  <c r="AA722" i="7"/>
  <c r="AA212" i="7"/>
  <c r="AA253" i="7"/>
  <c r="AA587" i="7"/>
  <c r="AA639" i="7"/>
  <c r="AA274" i="7"/>
  <c r="AA241" i="7"/>
  <c r="AA478" i="7"/>
  <c r="AA494" i="7"/>
  <c r="AA299" i="7"/>
  <c r="AA45" i="7"/>
  <c r="AA89" i="7"/>
  <c r="AA677" i="7"/>
  <c r="AA622" i="7"/>
  <c r="AA699" i="7"/>
  <c r="AA702" i="7"/>
  <c r="AA84" i="7"/>
  <c r="AA156" i="7"/>
  <c r="AA517" i="7"/>
  <c r="AA707" i="7"/>
  <c r="AA618" i="7"/>
  <c r="AA61" i="7"/>
  <c r="AA634" i="7"/>
  <c r="AA214" i="7"/>
  <c r="AA324" i="7"/>
  <c r="AA344" i="7"/>
  <c r="AA242" i="7"/>
  <c r="AA251" i="7"/>
  <c r="AA668" i="7"/>
  <c r="AA326" i="7"/>
  <c r="AA543" i="7"/>
  <c r="AA319" i="7"/>
  <c r="AA490" i="7"/>
  <c r="AA44" i="7"/>
  <c r="AA43" i="7"/>
  <c r="AA685" i="7"/>
  <c r="AA572" i="7"/>
  <c r="AA81" i="7"/>
  <c r="AA706" i="7"/>
  <c r="AA588" i="7"/>
  <c r="AA201" i="7"/>
  <c r="AA168" i="7"/>
  <c r="AA93" i="7"/>
  <c r="AA553" i="7"/>
  <c r="AA661" i="7"/>
  <c r="AA208" i="7"/>
  <c r="AA92" i="7"/>
  <c r="AA101" i="7"/>
  <c r="AA66" i="7"/>
  <c r="AA245" i="7"/>
  <c r="AA283" i="7"/>
  <c r="AA568" i="7"/>
  <c r="AA278" i="7"/>
  <c r="AA292" i="7"/>
  <c r="AA541" i="7"/>
  <c r="AA688" i="7"/>
  <c r="AA372" i="7"/>
  <c r="AA633" i="7"/>
  <c r="AA316" i="7"/>
  <c r="AA416" i="7"/>
  <c r="AA113" i="7"/>
  <c r="AA176" i="7"/>
  <c r="AA595" i="7"/>
  <c r="AA701" i="7"/>
  <c r="AA527" i="7"/>
  <c r="AA503" i="7"/>
  <c r="AA383" i="7"/>
  <c r="AA356" i="7"/>
  <c r="AA645" i="7"/>
  <c r="AA357" i="7"/>
  <c r="AA617" i="7"/>
  <c r="AA284" i="7"/>
  <c r="AA269" i="7"/>
  <c r="AA662" i="7"/>
  <c r="AA388" i="7"/>
  <c r="AA461" i="7"/>
  <c r="AA25" i="7"/>
  <c r="AA600" i="7"/>
  <c r="AA515" i="7"/>
  <c r="AA594" i="7"/>
  <c r="AA376" i="7"/>
  <c r="AA616" i="7"/>
  <c r="AA41" i="7"/>
  <c r="AA309" i="7"/>
  <c r="AA400" i="7"/>
  <c r="AA304" i="7"/>
  <c r="AA31" i="7"/>
  <c r="AA638" i="7"/>
  <c r="AA282" i="7"/>
  <c r="AA624" i="7"/>
  <c r="AA177" i="7"/>
  <c r="AA53" i="7"/>
  <c r="AA613" i="7"/>
  <c r="AA157" i="7"/>
  <c r="AA11" i="7"/>
  <c r="AA67" i="7"/>
  <c r="AA672" i="7"/>
  <c r="AA63" i="7"/>
  <c r="AA636" i="7"/>
  <c r="AA273" i="7"/>
  <c r="AA428" i="7"/>
  <c r="AA355" i="7"/>
  <c r="AA107" i="7"/>
  <c r="AA52" i="7"/>
  <c r="AA513" i="7"/>
  <c r="AA449" i="7"/>
  <c r="AA620" i="7"/>
  <c r="AA448" i="7"/>
  <c r="AA167" i="7"/>
  <c r="AA250" i="7"/>
  <c r="AA323" i="7"/>
  <c r="AA21" i="7"/>
  <c r="AA207" i="7"/>
  <c r="AA160" i="7"/>
  <c r="AA42" i="7"/>
  <c r="AA552" i="7"/>
  <c r="AA233" i="7"/>
  <c r="AA82" i="7"/>
  <c r="AA476" i="7"/>
  <c r="AA60" i="7"/>
  <c r="AA420" i="7"/>
  <c r="AA26" i="7"/>
  <c r="AA397" i="7"/>
  <c r="AA505" i="7"/>
  <c r="AA584" i="7"/>
  <c r="AA222" i="7"/>
  <c r="AA605" i="7"/>
  <c r="AA189" i="7"/>
  <c r="AA200" i="7"/>
  <c r="AA610" i="7"/>
  <c r="AA22" i="7"/>
  <c r="AA72" i="7"/>
  <c r="AA653" i="7"/>
  <c r="AA560" i="7"/>
  <c r="AA362" i="7"/>
  <c r="AA623" i="7"/>
  <c r="AA280" i="7"/>
  <c r="AA551" i="7"/>
  <c r="AA310" i="7"/>
  <c r="AA141" i="7"/>
  <c r="AA452" i="7"/>
  <c r="AA341" i="7"/>
  <c r="AA317" i="7"/>
  <c r="AA185" i="7"/>
  <c r="AA716" i="7"/>
  <c r="AA314" i="7"/>
  <c r="AA164" i="7"/>
  <c r="AA463" i="7"/>
  <c r="AA54" i="7"/>
  <c r="AA175" i="7"/>
</calcChain>
</file>

<file path=xl/sharedStrings.xml><?xml version="1.0" encoding="utf-8"?>
<sst xmlns="http://schemas.openxmlformats.org/spreadsheetml/2006/main" count="194" uniqueCount="58">
  <si>
    <t>3M</t>
  </si>
  <si>
    <t>EUR</t>
  </si>
  <si>
    <t>IborType</t>
  </si>
  <si>
    <t>General Settings</t>
  </si>
  <si>
    <t>Currency</t>
  </si>
  <si>
    <t>Calendar</t>
  </si>
  <si>
    <t>TARGET</t>
  </si>
  <si>
    <t>OvenightIndex</t>
  </si>
  <si>
    <t>Eonia</t>
  </si>
  <si>
    <t>Discounting</t>
  </si>
  <si>
    <t>EURON</t>
  </si>
  <si>
    <t>Daycounter</t>
  </si>
  <si>
    <t>Actual/360</t>
  </si>
  <si>
    <t>Triggers</t>
  </si>
  <si>
    <t>SettlementDate</t>
  </si>
  <si>
    <t>Trigger</t>
  </si>
  <si>
    <t>Evaluation Date</t>
  </si>
  <si>
    <t>Interest Rates Trigger</t>
  </si>
  <si>
    <t>LastFixingsTrigger</t>
  </si>
  <si>
    <t>1M</t>
  </si>
  <si>
    <t>Index</t>
  </si>
  <si>
    <t>Tenor</t>
  </si>
  <si>
    <t>fixing date</t>
  </si>
  <si>
    <t>value date</t>
  </si>
  <si>
    <t>F ON</t>
  </si>
  <si>
    <t>Time Axis</t>
  </si>
  <si>
    <t>Rate Axis</t>
  </si>
  <si>
    <t>Years</t>
  </si>
  <si>
    <t>Min</t>
  </si>
  <si>
    <t>Months</t>
  </si>
  <si>
    <t>Max</t>
  </si>
  <si>
    <t>Major unit</t>
  </si>
  <si>
    <t>Min value</t>
  </si>
  <si>
    <t>Max value</t>
  </si>
  <si>
    <t>6M</t>
  </si>
  <si>
    <t>error</t>
  </si>
  <si>
    <t>Market Basis</t>
  </si>
  <si>
    <t>Time</t>
  </si>
  <si>
    <t>compute</t>
  </si>
  <si>
    <t>a guess</t>
  </si>
  <si>
    <t>b guess</t>
  </si>
  <si>
    <t>c guess</t>
  </si>
  <si>
    <t>d guess</t>
  </si>
  <si>
    <t>Abcd Calibration</t>
  </si>
  <si>
    <t>Weights</t>
  </si>
  <si>
    <t>calibration</t>
  </si>
  <si>
    <t>a</t>
  </si>
  <si>
    <t>b</t>
  </si>
  <si>
    <t>c</t>
  </si>
  <si>
    <t>d</t>
  </si>
  <si>
    <t>Tenor Basis</t>
  </si>
  <si>
    <t>ABCD Tenor Basis</t>
  </si>
  <si>
    <t>Error</t>
  </si>
  <si>
    <t>1Y</t>
  </si>
  <si>
    <t>ABCD Cont Basis</t>
  </si>
  <si>
    <t>Maturity</t>
  </si>
  <si>
    <t>Year Fraction</t>
  </si>
  <si>
    <t>max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</si>
</sst>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\,\ dd\-mmm\-yyyy\ h:mm:ss"/>
    <numFmt numFmtId="165" formatCode="ddd\,\ d\-mmm\-yyyy"/>
    <numFmt numFmtId="166" formatCode="0.0000%"/>
    <numFmt numFmtId="167" formatCode="0.0000"/>
    <numFmt numFmtId="168" formatCode="ddd\,\ dd\-mmm\-yyyy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theme="0"/>
      <name val="Courier New"/>
      <family val="3"/>
    </font>
    <font>
      <sz val="12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2" fillId="2" borderId="0" xfId="1" applyFont="1" applyFill="1" applyBorder="1"/>
    <xf numFmtId="0" fontId="2" fillId="2" borderId="1" xfId="1" applyFont="1" applyFill="1" applyBorder="1" applyAlignment="1">
      <alignment horizontal="center"/>
    </xf>
    <xf numFmtId="164" fontId="2" fillId="2" borderId="1" xfId="1" applyNumberFormat="1" applyFont="1" applyFill="1" applyBorder="1" applyAlignment="1">
      <alignment horizontal="center"/>
    </xf>
    <xf numFmtId="165" fontId="2" fillId="2" borderId="1" xfId="4" applyNumberFormat="1" applyFont="1" applyFill="1" applyBorder="1" applyAlignment="1">
      <alignment horizontal="center"/>
    </xf>
    <xf numFmtId="165" fontId="2" fillId="2" borderId="2" xfId="4" applyNumberFormat="1" applyFont="1" applyFill="1" applyBorder="1" applyAlignment="1">
      <alignment horizontal="center"/>
    </xf>
    <xf numFmtId="168" fontId="2" fillId="2" borderId="2" xfId="4" applyNumberFormat="1" applyFont="1" applyFill="1" applyBorder="1" applyAlignment="1">
      <alignment horizontal="center"/>
    </xf>
    <xf numFmtId="168" fontId="2" fillId="2" borderId="1" xfId="1" applyNumberFormat="1" applyFont="1" applyFill="1" applyBorder="1" applyAlignment="1">
      <alignment horizontal="center"/>
    </xf>
    <xf numFmtId="1" fontId="2" fillId="2" borderId="1" xfId="4" applyNumberFormat="1" applyFont="1" applyFill="1" applyBorder="1" applyAlignment="1">
      <alignment horizontal="center"/>
    </xf>
    <xf numFmtId="1" fontId="2" fillId="2" borderId="2" xfId="4" applyNumberFormat="1" applyFont="1" applyFill="1" applyBorder="1" applyAlignment="1">
      <alignment horizontal="center"/>
    </xf>
    <xf numFmtId="168" fontId="2" fillId="5" borderId="5" xfId="3" applyNumberFormat="1" applyFont="1" applyFill="1" applyBorder="1"/>
    <xf numFmtId="0" fontId="2" fillId="3" borderId="5" xfId="3" applyFont="1" applyFill="1" applyBorder="1"/>
    <xf numFmtId="0" fontId="2" fillId="5" borderId="7" xfId="3" applyNumberFormat="1" applyFont="1" applyFill="1" applyBorder="1"/>
    <xf numFmtId="0" fontId="5" fillId="5" borderId="7" xfId="0" applyFont="1" applyFill="1" applyBorder="1"/>
    <xf numFmtId="0" fontId="6" fillId="4" borderId="1" xfId="3" applyFont="1" applyFill="1" applyBorder="1" applyAlignment="1">
      <alignment horizontal="centerContinuous"/>
    </xf>
    <xf numFmtId="0" fontId="6" fillId="4" borderId="1" xfId="3" applyFont="1" applyFill="1" applyBorder="1" applyAlignment="1">
      <alignment horizontal="center" vertical="center" wrapText="1"/>
    </xf>
    <xf numFmtId="0" fontId="2" fillId="5" borderId="6" xfId="3" applyNumberFormat="1" applyFont="1" applyFill="1" applyBorder="1"/>
    <xf numFmtId="0" fontId="2" fillId="5" borderId="5" xfId="3" applyNumberFormat="1" applyFont="1" applyFill="1" applyBorder="1"/>
    <xf numFmtId="0" fontId="2" fillId="5" borderId="5" xfId="3" applyFont="1" applyFill="1" applyBorder="1"/>
    <xf numFmtId="0" fontId="2" fillId="5" borderId="4" xfId="3" applyFont="1" applyFill="1" applyBorder="1"/>
    <xf numFmtId="168" fontId="2" fillId="5" borderId="4" xfId="3" applyNumberFormat="1" applyFont="1" applyFill="1" applyBorder="1"/>
    <xf numFmtId="0" fontId="2" fillId="3" borderId="4" xfId="3" applyFont="1" applyFill="1" applyBorder="1"/>
    <xf numFmtId="0" fontId="5" fillId="5" borderId="8" xfId="0" applyFont="1" applyFill="1" applyBorder="1"/>
    <xf numFmtId="0" fontId="2" fillId="5" borderId="9" xfId="3" applyNumberFormat="1" applyFont="1" applyFill="1" applyBorder="1"/>
    <xf numFmtId="0" fontId="2" fillId="5" borderId="4" xfId="3" applyNumberFormat="1" applyFont="1" applyFill="1" applyBorder="1"/>
    <xf numFmtId="0" fontId="2" fillId="5" borderId="8" xfId="3" applyNumberFormat="1" applyFont="1" applyFill="1" applyBorder="1"/>
    <xf numFmtId="0" fontId="5" fillId="0" borderId="3" xfId="0" applyFont="1" applyBorder="1"/>
    <xf numFmtId="0" fontId="5" fillId="0" borderId="5" xfId="0" applyFont="1" applyBorder="1"/>
    <xf numFmtId="168" fontId="5" fillId="0" borderId="5" xfId="0" applyNumberFormat="1" applyFont="1" applyBorder="1"/>
    <xf numFmtId="167" fontId="5" fillId="0" borderId="5" xfId="0" applyNumberFormat="1" applyFont="1" applyBorder="1"/>
    <xf numFmtId="166" fontId="5" fillId="0" borderId="5" xfId="0" applyNumberFormat="1" applyFont="1" applyBorder="1"/>
    <xf numFmtId="168" fontId="5" fillId="0" borderId="4" xfId="0" applyNumberFormat="1" applyFont="1" applyBorder="1"/>
    <xf numFmtId="166" fontId="5" fillId="0" borderId="4" xfId="0" applyNumberFormat="1" applyFont="1" applyBorder="1"/>
    <xf numFmtId="0" fontId="5" fillId="6" borderId="0" xfId="0" applyFont="1" applyFill="1"/>
    <xf numFmtId="166" fontId="5" fillId="6" borderId="0" xfId="0" applyNumberFormat="1" applyFont="1" applyFill="1"/>
    <xf numFmtId="0" fontId="5" fillId="0" borderId="1" xfId="0" applyFont="1" applyBorder="1"/>
    <xf numFmtId="0" fontId="5" fillId="6" borderId="0" xfId="0" applyFont="1" applyFill="1" applyBorder="1"/>
    <xf numFmtId="0" fontId="5" fillId="6" borderId="10" xfId="0" applyFont="1" applyFill="1" applyBorder="1"/>
    <xf numFmtId="168" fontId="5" fillId="6" borderId="10" xfId="0" applyNumberFormat="1" applyFont="1" applyFill="1" applyBorder="1"/>
    <xf numFmtId="166" fontId="5" fillId="6" borderId="10" xfId="0" applyNumberFormat="1" applyFont="1" applyFill="1" applyBorder="1"/>
    <xf numFmtId="168" fontId="5" fillId="6" borderId="0" xfId="0" applyNumberFormat="1" applyFont="1" applyFill="1" applyBorder="1"/>
    <xf numFmtId="166" fontId="5" fillId="6" borderId="0" xfId="0" applyNumberFormat="1" applyFont="1" applyFill="1" applyBorder="1"/>
    <xf numFmtId="167" fontId="5" fillId="6" borderId="0" xfId="0" applyNumberFormat="1" applyFont="1" applyFill="1"/>
    <xf numFmtId="166" fontId="5" fillId="0" borderId="1" xfId="0" applyNumberFormat="1" applyFont="1" applyBorder="1"/>
    <xf numFmtId="167" fontId="5" fillId="0" borderId="1" xfId="0" applyNumberFormat="1" applyFont="1" applyBorder="1"/>
    <xf numFmtId="0" fontId="2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/>
    <xf numFmtId="0" fontId="2" fillId="2" borderId="7" xfId="1" applyFont="1" applyFill="1" applyBorder="1"/>
    <xf numFmtId="0" fontId="2" fillId="2" borderId="11" xfId="1" applyFont="1" applyFill="1" applyBorder="1"/>
    <xf numFmtId="0" fontId="2" fillId="3" borderId="8" xfId="1" applyFont="1" applyFill="1" applyBorder="1"/>
    <xf numFmtId="0" fontId="2" fillId="3" borderId="12" xfId="1" applyFont="1" applyFill="1" applyBorder="1"/>
    <xf numFmtId="0" fontId="2" fillId="2" borderId="13" xfId="1" applyFont="1" applyFill="1" applyBorder="1"/>
    <xf numFmtId="0" fontId="7" fillId="7" borderId="14" xfId="2" applyFont="1" applyFill="1" applyBorder="1" applyAlignment="1">
      <alignment horizontal="centerContinuous" vertical="center"/>
    </xf>
    <xf numFmtId="0" fontId="7" fillId="7" borderId="15" xfId="2" applyFont="1" applyFill="1" applyBorder="1" applyAlignment="1">
      <alignment horizontal="centerContinuous" vertical="center"/>
    </xf>
    <xf numFmtId="0" fontId="7" fillId="7" borderId="16" xfId="2" applyFont="1" applyFill="1" applyBorder="1" applyAlignment="1">
      <alignment horizontal="centerContinuous" vertical="center"/>
    </xf>
    <xf numFmtId="0" fontId="7" fillId="7" borderId="17" xfId="2" applyFont="1" applyFill="1" applyBorder="1" applyAlignment="1">
      <alignment horizontal="centerContinuous" vertical="center"/>
    </xf>
    <xf numFmtId="0" fontId="7" fillId="7" borderId="18" xfId="2" applyFont="1" applyFill="1" applyBorder="1" applyAlignment="1">
      <alignment horizontal="centerContinuous" vertical="center"/>
    </xf>
    <xf numFmtId="0" fontId="7" fillId="7" borderId="19" xfId="2" applyFont="1" applyFill="1" applyBorder="1" applyAlignment="1">
      <alignment horizontal="centerContinuous" vertical="center"/>
    </xf>
    <xf numFmtId="0" fontId="2" fillId="2" borderId="17" xfId="0" applyFont="1" applyFill="1" applyBorder="1"/>
    <xf numFmtId="0" fontId="2" fillId="2" borderId="10" xfId="0" applyFont="1" applyFill="1" applyBorder="1"/>
    <xf numFmtId="0" fontId="2" fillId="2" borderId="20" xfId="0" applyFont="1" applyFill="1" applyBorder="1"/>
    <xf numFmtId="0" fontId="2" fillId="2" borderId="7" xfId="0" applyFont="1" applyFill="1" applyBorder="1"/>
    <xf numFmtId="0" fontId="2" fillId="2" borderId="11" xfId="0" applyFont="1" applyFill="1" applyBorder="1"/>
    <xf numFmtId="168" fontId="2" fillId="2" borderId="8" xfId="4" applyNumberFormat="1" applyFont="1" applyFill="1" applyBorder="1" applyAlignment="1">
      <alignment horizontal="center"/>
    </xf>
    <xf numFmtId="168" fontId="2" fillId="2" borderId="12" xfId="4" applyNumberFormat="1" applyFont="1" applyFill="1" applyBorder="1" applyAlignment="1">
      <alignment horizontal="center"/>
    </xf>
    <xf numFmtId="168" fontId="2" fillId="2" borderId="13" xfId="4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right"/>
    </xf>
    <xf numFmtId="0" fontId="2" fillId="6" borderId="1" xfId="1" applyFont="1" applyFill="1" applyBorder="1" applyAlignment="1">
      <alignment horizontal="right" vertical="center"/>
    </xf>
    <xf numFmtId="0" fontId="2" fillId="6" borderId="0" xfId="1" applyFont="1" applyFill="1"/>
    <xf numFmtId="0" fontId="7" fillId="6" borderId="0" xfId="1" applyFont="1" applyFill="1"/>
    <xf numFmtId="0" fontId="2" fillId="6" borderId="0" xfId="2" applyFont="1" applyFill="1"/>
    <xf numFmtId="0" fontId="2" fillId="6" borderId="0" xfId="1" applyFont="1" applyFill="1" applyBorder="1"/>
    <xf numFmtId="0" fontId="5" fillId="7" borderId="14" xfId="0" applyFont="1" applyFill="1" applyBorder="1" applyAlignment="1">
      <alignment horizontal="centerContinuous"/>
    </xf>
    <xf numFmtId="0" fontId="5" fillId="7" borderId="2" xfId="0" applyFont="1" applyFill="1" applyBorder="1" applyAlignment="1">
      <alignment horizontal="centerContinuous"/>
    </xf>
    <xf numFmtId="167" fontId="5" fillId="0" borderId="4" xfId="0" applyNumberFormat="1" applyFont="1" applyBorder="1"/>
    <xf numFmtId="168" fontId="5" fillId="0" borderId="3" xfId="0" applyNumberFormat="1" applyFont="1" applyBorder="1"/>
    <xf numFmtId="166" fontId="5" fillId="0" borderId="3" xfId="0" applyNumberFormat="1" applyFont="1" applyBorder="1"/>
    <xf numFmtId="167" fontId="5" fillId="0" borderId="3" xfId="0" applyNumberFormat="1" applyFont="1" applyBorder="1"/>
  </cellXfs>
  <cellStyles count="6">
    <cellStyle name="Normal" xfId="0" builtinId="0"/>
    <cellStyle name="Normal 2 2" xfId="3"/>
    <cellStyle name="Normal_InterestRateQuotesFeed" xfId="1"/>
    <cellStyle name="Normal_SwaptionATMVols" xfId="2"/>
    <cellStyle name="Percent 2" xfId="5"/>
    <cellStyle name="Percent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'1M Basis'!$V$2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'1M Basis'!$R$3:$R$1310</c:f>
              <c:numCache>
                <c:formatCode>ddd\,\ dd\-mmm\-yyyy</c:formatCode>
                <c:ptCount val="1308"/>
                <c:pt idx="0">
                  <c:v>42163</c:v>
                </c:pt>
                <c:pt idx="1">
                  <c:v>42195</c:v>
                </c:pt>
                <c:pt idx="2">
                  <c:v>42228</c:v>
                </c:pt>
                <c:pt idx="3">
                  <c:v>42257</c:v>
                </c:pt>
                <c:pt idx="4">
                  <c:v>42289</c:v>
                </c:pt>
                <c:pt idx="5">
                  <c:v>42319</c:v>
                </c:pt>
                <c:pt idx="6">
                  <c:v>42348</c:v>
                </c:pt>
                <c:pt idx="7">
                  <c:v>42381</c:v>
                </c:pt>
                <c:pt idx="8">
                  <c:v>42410</c:v>
                </c:pt>
                <c:pt idx="9">
                  <c:v>42439</c:v>
                </c:pt>
                <c:pt idx="10">
                  <c:v>42472</c:v>
                </c:pt>
                <c:pt idx="11">
                  <c:v>42501</c:v>
                </c:pt>
                <c:pt idx="12">
                  <c:v>42531</c:v>
                </c:pt>
                <c:pt idx="13">
                  <c:v>42563</c:v>
                </c:pt>
                <c:pt idx="14">
                  <c:v>42592</c:v>
                </c:pt>
                <c:pt idx="15">
                  <c:v>42625</c:v>
                </c:pt>
                <c:pt idx="16">
                  <c:v>42655</c:v>
                </c:pt>
                <c:pt idx="17">
                  <c:v>42684</c:v>
                </c:pt>
                <c:pt idx="18">
                  <c:v>42716</c:v>
                </c:pt>
                <c:pt idx="19">
                  <c:v>42746</c:v>
                </c:pt>
                <c:pt idx="20">
                  <c:v>42776</c:v>
                </c:pt>
                <c:pt idx="21">
                  <c:v>42804</c:v>
                </c:pt>
                <c:pt idx="22">
                  <c:v>42837</c:v>
                </c:pt>
                <c:pt idx="23">
                  <c:v>42865</c:v>
                </c:pt>
                <c:pt idx="24">
                  <c:v>42898</c:v>
                </c:pt>
                <c:pt idx="25">
                  <c:v>42928</c:v>
                </c:pt>
                <c:pt idx="26">
                  <c:v>42957</c:v>
                </c:pt>
                <c:pt idx="27">
                  <c:v>42990</c:v>
                </c:pt>
                <c:pt idx="28">
                  <c:v>43019</c:v>
                </c:pt>
                <c:pt idx="29">
                  <c:v>43049</c:v>
                </c:pt>
                <c:pt idx="30">
                  <c:v>43081</c:v>
                </c:pt>
                <c:pt idx="31">
                  <c:v>43110</c:v>
                </c:pt>
                <c:pt idx="32">
                  <c:v>43143</c:v>
                </c:pt>
                <c:pt idx="33">
                  <c:v>43171</c:v>
                </c:pt>
                <c:pt idx="34">
                  <c:v>43201</c:v>
                </c:pt>
                <c:pt idx="35">
                  <c:v>43230</c:v>
                </c:pt>
                <c:pt idx="36">
                  <c:v>43263</c:v>
                </c:pt>
                <c:pt idx="37">
                  <c:v>43292</c:v>
                </c:pt>
                <c:pt idx="38">
                  <c:v>43322</c:v>
                </c:pt>
                <c:pt idx="39">
                  <c:v>43355</c:v>
                </c:pt>
                <c:pt idx="40">
                  <c:v>43383</c:v>
                </c:pt>
                <c:pt idx="41">
                  <c:v>43416</c:v>
                </c:pt>
                <c:pt idx="42">
                  <c:v>43446</c:v>
                </c:pt>
                <c:pt idx="43">
                  <c:v>43475</c:v>
                </c:pt>
                <c:pt idx="44">
                  <c:v>43508</c:v>
                </c:pt>
                <c:pt idx="45">
                  <c:v>43536</c:v>
                </c:pt>
                <c:pt idx="46">
                  <c:v>43565</c:v>
                </c:pt>
                <c:pt idx="47">
                  <c:v>43595</c:v>
                </c:pt>
                <c:pt idx="48">
                  <c:v>43628</c:v>
                </c:pt>
                <c:pt idx="49">
                  <c:v>43656</c:v>
                </c:pt>
                <c:pt idx="50">
                  <c:v>43689</c:v>
                </c:pt>
                <c:pt idx="51">
                  <c:v>43719</c:v>
                </c:pt>
                <c:pt idx="52">
                  <c:v>43748</c:v>
                </c:pt>
                <c:pt idx="53">
                  <c:v>43781</c:v>
                </c:pt>
                <c:pt idx="54">
                  <c:v>43810</c:v>
                </c:pt>
                <c:pt idx="55">
                  <c:v>43840</c:v>
                </c:pt>
                <c:pt idx="56">
                  <c:v>43873</c:v>
                </c:pt>
                <c:pt idx="57">
                  <c:v>43901</c:v>
                </c:pt>
                <c:pt idx="58">
                  <c:v>43935</c:v>
                </c:pt>
                <c:pt idx="59">
                  <c:v>43963</c:v>
                </c:pt>
                <c:pt idx="60">
                  <c:v>43992</c:v>
                </c:pt>
                <c:pt idx="61">
                  <c:v>44022</c:v>
                </c:pt>
                <c:pt idx="62">
                  <c:v>44055</c:v>
                </c:pt>
                <c:pt idx="63">
                  <c:v>44084</c:v>
                </c:pt>
                <c:pt idx="64">
                  <c:v>44116</c:v>
                </c:pt>
                <c:pt idx="65">
                  <c:v>44146</c:v>
                </c:pt>
                <c:pt idx="66">
                  <c:v>44175</c:v>
                </c:pt>
                <c:pt idx="67">
                  <c:v>44208</c:v>
                </c:pt>
                <c:pt idx="68">
                  <c:v>44237</c:v>
                </c:pt>
                <c:pt idx="69">
                  <c:v>44265</c:v>
                </c:pt>
                <c:pt idx="70">
                  <c:v>44298</c:v>
                </c:pt>
                <c:pt idx="71">
                  <c:v>44328</c:v>
                </c:pt>
                <c:pt idx="72">
                  <c:v>44357</c:v>
                </c:pt>
                <c:pt idx="73">
                  <c:v>44389</c:v>
                </c:pt>
                <c:pt idx="74">
                  <c:v>44419</c:v>
                </c:pt>
                <c:pt idx="75">
                  <c:v>44449</c:v>
                </c:pt>
                <c:pt idx="76">
                  <c:v>44481</c:v>
                </c:pt>
                <c:pt idx="77">
                  <c:v>44510</c:v>
                </c:pt>
                <c:pt idx="78">
                  <c:v>44540</c:v>
                </c:pt>
                <c:pt idx="79">
                  <c:v>44573</c:v>
                </c:pt>
                <c:pt idx="80">
                  <c:v>44602</c:v>
                </c:pt>
                <c:pt idx="81">
                  <c:v>44630</c:v>
                </c:pt>
                <c:pt idx="82">
                  <c:v>44663</c:v>
                </c:pt>
                <c:pt idx="83">
                  <c:v>44692</c:v>
                </c:pt>
                <c:pt idx="84">
                  <c:v>44722</c:v>
                </c:pt>
                <c:pt idx="85">
                  <c:v>44754</c:v>
                </c:pt>
                <c:pt idx="86">
                  <c:v>44783</c:v>
                </c:pt>
                <c:pt idx="87">
                  <c:v>44816</c:v>
                </c:pt>
                <c:pt idx="88">
                  <c:v>44846</c:v>
                </c:pt>
                <c:pt idx="89">
                  <c:v>44875</c:v>
                </c:pt>
                <c:pt idx="90">
                  <c:v>44907</c:v>
                </c:pt>
                <c:pt idx="91">
                  <c:v>44937</c:v>
                </c:pt>
                <c:pt idx="92">
                  <c:v>44967</c:v>
                </c:pt>
                <c:pt idx="93">
                  <c:v>44995</c:v>
                </c:pt>
                <c:pt idx="94">
                  <c:v>45029</c:v>
                </c:pt>
                <c:pt idx="95">
                  <c:v>45056</c:v>
                </c:pt>
                <c:pt idx="96">
                  <c:v>45089</c:v>
                </c:pt>
                <c:pt idx="97">
                  <c:v>45119</c:v>
                </c:pt>
                <c:pt idx="98">
                  <c:v>45148</c:v>
                </c:pt>
                <c:pt idx="99">
                  <c:v>45181</c:v>
                </c:pt>
                <c:pt idx="100">
                  <c:v>45210</c:v>
                </c:pt>
                <c:pt idx="101">
                  <c:v>45240</c:v>
                </c:pt>
                <c:pt idx="102">
                  <c:v>45272</c:v>
                </c:pt>
                <c:pt idx="103">
                  <c:v>45301</c:v>
                </c:pt>
                <c:pt idx="104">
                  <c:v>45334</c:v>
                </c:pt>
                <c:pt idx="105">
                  <c:v>45363</c:v>
                </c:pt>
                <c:pt idx="106">
                  <c:v>45392</c:v>
                </c:pt>
                <c:pt idx="107">
                  <c:v>45422</c:v>
                </c:pt>
                <c:pt idx="108">
                  <c:v>45455</c:v>
                </c:pt>
                <c:pt idx="109">
                  <c:v>45483</c:v>
                </c:pt>
                <c:pt idx="110">
                  <c:v>45516</c:v>
                </c:pt>
                <c:pt idx="111">
                  <c:v>45546</c:v>
                </c:pt>
                <c:pt idx="112">
                  <c:v>45575</c:v>
                </c:pt>
                <c:pt idx="113">
                  <c:v>45608</c:v>
                </c:pt>
                <c:pt idx="114">
                  <c:v>45637</c:v>
                </c:pt>
                <c:pt idx="115">
                  <c:v>45667</c:v>
                </c:pt>
                <c:pt idx="116">
                  <c:v>45700</c:v>
                </c:pt>
                <c:pt idx="117">
                  <c:v>45728</c:v>
                </c:pt>
                <c:pt idx="118">
                  <c:v>45757</c:v>
                </c:pt>
                <c:pt idx="119">
                  <c:v>45789</c:v>
                </c:pt>
                <c:pt idx="120">
                  <c:v>45819</c:v>
                </c:pt>
                <c:pt idx="121">
                  <c:v>45848</c:v>
                </c:pt>
                <c:pt idx="122">
                  <c:v>45881</c:v>
                </c:pt>
                <c:pt idx="123">
                  <c:v>45910</c:v>
                </c:pt>
                <c:pt idx="124">
                  <c:v>45940</c:v>
                </c:pt>
                <c:pt idx="125">
                  <c:v>45973</c:v>
                </c:pt>
                <c:pt idx="126">
                  <c:v>46001</c:v>
                </c:pt>
                <c:pt idx="127">
                  <c:v>46034</c:v>
                </c:pt>
                <c:pt idx="128">
                  <c:v>46064</c:v>
                </c:pt>
                <c:pt idx="129">
                  <c:v>46092</c:v>
                </c:pt>
                <c:pt idx="130">
                  <c:v>46122</c:v>
                </c:pt>
                <c:pt idx="131">
                  <c:v>46154</c:v>
                </c:pt>
                <c:pt idx="132">
                  <c:v>46183</c:v>
                </c:pt>
                <c:pt idx="133">
                  <c:v>46213</c:v>
                </c:pt>
                <c:pt idx="134">
                  <c:v>46246</c:v>
                </c:pt>
                <c:pt idx="135">
                  <c:v>46275</c:v>
                </c:pt>
                <c:pt idx="136">
                  <c:v>46307</c:v>
                </c:pt>
                <c:pt idx="137">
                  <c:v>46337</c:v>
                </c:pt>
                <c:pt idx="138">
                  <c:v>46366</c:v>
                </c:pt>
                <c:pt idx="139">
                  <c:v>46399</c:v>
                </c:pt>
                <c:pt idx="140">
                  <c:v>46428</c:v>
                </c:pt>
                <c:pt idx="141">
                  <c:v>46456</c:v>
                </c:pt>
                <c:pt idx="142">
                  <c:v>46489</c:v>
                </c:pt>
                <c:pt idx="143">
                  <c:v>46519</c:v>
                </c:pt>
                <c:pt idx="144">
                  <c:v>46548</c:v>
                </c:pt>
                <c:pt idx="145">
                  <c:v>46580</c:v>
                </c:pt>
                <c:pt idx="146">
                  <c:v>46610</c:v>
                </c:pt>
                <c:pt idx="147">
                  <c:v>46640</c:v>
                </c:pt>
                <c:pt idx="148">
                  <c:v>46672</c:v>
                </c:pt>
                <c:pt idx="149">
                  <c:v>46701</c:v>
                </c:pt>
                <c:pt idx="150">
                  <c:v>46731</c:v>
                </c:pt>
                <c:pt idx="151">
                  <c:v>46764</c:v>
                </c:pt>
                <c:pt idx="152">
                  <c:v>46793</c:v>
                </c:pt>
                <c:pt idx="153">
                  <c:v>46822</c:v>
                </c:pt>
                <c:pt idx="154">
                  <c:v>46855</c:v>
                </c:pt>
                <c:pt idx="155">
                  <c:v>46883</c:v>
                </c:pt>
                <c:pt idx="156">
                  <c:v>46916</c:v>
                </c:pt>
                <c:pt idx="157">
                  <c:v>46946</c:v>
                </c:pt>
                <c:pt idx="158">
                  <c:v>46975</c:v>
                </c:pt>
                <c:pt idx="159">
                  <c:v>47008</c:v>
                </c:pt>
                <c:pt idx="160">
                  <c:v>47037</c:v>
                </c:pt>
                <c:pt idx="161">
                  <c:v>47067</c:v>
                </c:pt>
                <c:pt idx="162">
                  <c:v>47099</c:v>
                </c:pt>
                <c:pt idx="163">
                  <c:v>47128</c:v>
                </c:pt>
                <c:pt idx="164">
                  <c:v>47161</c:v>
                </c:pt>
                <c:pt idx="165">
                  <c:v>47189</c:v>
                </c:pt>
                <c:pt idx="166">
                  <c:v>47219</c:v>
                </c:pt>
                <c:pt idx="167">
                  <c:v>47248</c:v>
                </c:pt>
                <c:pt idx="168">
                  <c:v>47281</c:v>
                </c:pt>
                <c:pt idx="169">
                  <c:v>47310</c:v>
                </c:pt>
                <c:pt idx="170">
                  <c:v>47340</c:v>
                </c:pt>
                <c:pt idx="171">
                  <c:v>47373</c:v>
                </c:pt>
                <c:pt idx="172">
                  <c:v>47401</c:v>
                </c:pt>
                <c:pt idx="173">
                  <c:v>47434</c:v>
                </c:pt>
                <c:pt idx="174">
                  <c:v>47464</c:v>
                </c:pt>
                <c:pt idx="175">
                  <c:v>47493</c:v>
                </c:pt>
                <c:pt idx="176">
                  <c:v>47526</c:v>
                </c:pt>
                <c:pt idx="177">
                  <c:v>47554</c:v>
                </c:pt>
                <c:pt idx="178">
                  <c:v>47583</c:v>
                </c:pt>
                <c:pt idx="179">
                  <c:v>47613</c:v>
                </c:pt>
                <c:pt idx="180">
                  <c:v>47646</c:v>
                </c:pt>
                <c:pt idx="181">
                  <c:v>47674</c:v>
                </c:pt>
                <c:pt idx="182">
                  <c:v>47707</c:v>
                </c:pt>
                <c:pt idx="183">
                  <c:v>47737</c:v>
                </c:pt>
                <c:pt idx="184">
                  <c:v>47766</c:v>
                </c:pt>
                <c:pt idx="185">
                  <c:v>47799</c:v>
                </c:pt>
                <c:pt idx="186">
                  <c:v>47828</c:v>
                </c:pt>
                <c:pt idx="187">
                  <c:v>47858</c:v>
                </c:pt>
                <c:pt idx="188">
                  <c:v>47891</c:v>
                </c:pt>
                <c:pt idx="189">
                  <c:v>47919</c:v>
                </c:pt>
                <c:pt idx="190">
                  <c:v>47948</c:v>
                </c:pt>
                <c:pt idx="191">
                  <c:v>47980</c:v>
                </c:pt>
                <c:pt idx="192">
                  <c:v>48010</c:v>
                </c:pt>
                <c:pt idx="193">
                  <c:v>48039</c:v>
                </c:pt>
                <c:pt idx="194">
                  <c:v>48072</c:v>
                </c:pt>
                <c:pt idx="195">
                  <c:v>48101</c:v>
                </c:pt>
                <c:pt idx="196">
                  <c:v>48131</c:v>
                </c:pt>
                <c:pt idx="197">
                  <c:v>48164</c:v>
                </c:pt>
                <c:pt idx="198">
                  <c:v>48192</c:v>
                </c:pt>
                <c:pt idx="199">
                  <c:v>48225</c:v>
                </c:pt>
                <c:pt idx="200">
                  <c:v>48255</c:v>
                </c:pt>
                <c:pt idx="201">
                  <c:v>48283</c:v>
                </c:pt>
                <c:pt idx="202">
                  <c:v>48316</c:v>
                </c:pt>
                <c:pt idx="203">
                  <c:v>48346</c:v>
                </c:pt>
                <c:pt idx="204">
                  <c:v>48375</c:v>
                </c:pt>
                <c:pt idx="205">
                  <c:v>48407</c:v>
                </c:pt>
                <c:pt idx="206">
                  <c:v>48437</c:v>
                </c:pt>
                <c:pt idx="207">
                  <c:v>48467</c:v>
                </c:pt>
                <c:pt idx="208">
                  <c:v>48499</c:v>
                </c:pt>
                <c:pt idx="209">
                  <c:v>48528</c:v>
                </c:pt>
                <c:pt idx="210">
                  <c:v>48558</c:v>
                </c:pt>
                <c:pt idx="211">
                  <c:v>48591</c:v>
                </c:pt>
                <c:pt idx="212">
                  <c:v>48620</c:v>
                </c:pt>
                <c:pt idx="213">
                  <c:v>48648</c:v>
                </c:pt>
                <c:pt idx="214">
                  <c:v>48681</c:v>
                </c:pt>
                <c:pt idx="215">
                  <c:v>48710</c:v>
                </c:pt>
                <c:pt idx="216">
                  <c:v>48740</c:v>
                </c:pt>
                <c:pt idx="217">
                  <c:v>48772</c:v>
                </c:pt>
                <c:pt idx="218">
                  <c:v>48801</c:v>
                </c:pt>
                <c:pt idx="219">
                  <c:v>48834</c:v>
                </c:pt>
                <c:pt idx="220">
                  <c:v>48864</c:v>
                </c:pt>
                <c:pt idx="221">
                  <c:v>48893</c:v>
                </c:pt>
                <c:pt idx="222">
                  <c:v>48925</c:v>
                </c:pt>
                <c:pt idx="223">
                  <c:v>48955</c:v>
                </c:pt>
                <c:pt idx="224">
                  <c:v>48985</c:v>
                </c:pt>
                <c:pt idx="225">
                  <c:v>49013</c:v>
                </c:pt>
                <c:pt idx="226">
                  <c:v>49047</c:v>
                </c:pt>
                <c:pt idx="227">
                  <c:v>49074</c:v>
                </c:pt>
                <c:pt idx="228">
                  <c:v>49107</c:v>
                </c:pt>
                <c:pt idx="229">
                  <c:v>49137</c:v>
                </c:pt>
                <c:pt idx="230">
                  <c:v>49166</c:v>
                </c:pt>
                <c:pt idx="231">
                  <c:v>49199</c:v>
                </c:pt>
                <c:pt idx="232">
                  <c:v>49228</c:v>
                </c:pt>
                <c:pt idx="233">
                  <c:v>49258</c:v>
                </c:pt>
                <c:pt idx="234">
                  <c:v>49290</c:v>
                </c:pt>
                <c:pt idx="235">
                  <c:v>49319</c:v>
                </c:pt>
                <c:pt idx="236">
                  <c:v>49352</c:v>
                </c:pt>
                <c:pt idx="237">
                  <c:v>49380</c:v>
                </c:pt>
                <c:pt idx="238">
                  <c:v>49410</c:v>
                </c:pt>
                <c:pt idx="239">
                  <c:v>49439</c:v>
                </c:pt>
                <c:pt idx="240">
                  <c:v>49472</c:v>
                </c:pt>
                <c:pt idx="241">
                  <c:v>49501</c:v>
                </c:pt>
                <c:pt idx="242">
                  <c:v>49531</c:v>
                </c:pt>
                <c:pt idx="243">
                  <c:v>49564</c:v>
                </c:pt>
                <c:pt idx="244">
                  <c:v>49592</c:v>
                </c:pt>
                <c:pt idx="245">
                  <c:v>49625</c:v>
                </c:pt>
                <c:pt idx="246">
                  <c:v>49655</c:v>
                </c:pt>
                <c:pt idx="247">
                  <c:v>49684</c:v>
                </c:pt>
                <c:pt idx="248">
                  <c:v>49717</c:v>
                </c:pt>
                <c:pt idx="249">
                  <c:v>49746</c:v>
                </c:pt>
                <c:pt idx="250">
                  <c:v>49775</c:v>
                </c:pt>
                <c:pt idx="251">
                  <c:v>49807</c:v>
                </c:pt>
                <c:pt idx="252">
                  <c:v>49837</c:v>
                </c:pt>
                <c:pt idx="253">
                  <c:v>49866</c:v>
                </c:pt>
                <c:pt idx="254">
                  <c:v>49899</c:v>
                </c:pt>
                <c:pt idx="255">
                  <c:v>49928</c:v>
                </c:pt>
                <c:pt idx="256">
                  <c:v>49958</c:v>
                </c:pt>
                <c:pt idx="257">
                  <c:v>49991</c:v>
                </c:pt>
                <c:pt idx="258">
                  <c:v>50019</c:v>
                </c:pt>
                <c:pt idx="259">
                  <c:v>50052</c:v>
                </c:pt>
                <c:pt idx="260">
                  <c:v>50082</c:v>
                </c:pt>
                <c:pt idx="261">
                  <c:v>50110</c:v>
                </c:pt>
                <c:pt idx="262">
                  <c:v>50140</c:v>
                </c:pt>
                <c:pt idx="263">
                  <c:v>50172</c:v>
                </c:pt>
                <c:pt idx="264">
                  <c:v>50201</c:v>
                </c:pt>
                <c:pt idx="265">
                  <c:v>50231</c:v>
                </c:pt>
                <c:pt idx="266">
                  <c:v>50264</c:v>
                </c:pt>
                <c:pt idx="267">
                  <c:v>50293</c:v>
                </c:pt>
                <c:pt idx="268">
                  <c:v>50325</c:v>
                </c:pt>
                <c:pt idx="269">
                  <c:v>50355</c:v>
                </c:pt>
                <c:pt idx="270">
                  <c:v>50384</c:v>
                </c:pt>
                <c:pt idx="271">
                  <c:v>50417</c:v>
                </c:pt>
                <c:pt idx="272">
                  <c:v>50446</c:v>
                </c:pt>
                <c:pt idx="273">
                  <c:v>50474</c:v>
                </c:pt>
                <c:pt idx="274">
                  <c:v>50507</c:v>
                </c:pt>
                <c:pt idx="275">
                  <c:v>50537</c:v>
                </c:pt>
                <c:pt idx="276">
                  <c:v>50566</c:v>
                </c:pt>
                <c:pt idx="277">
                  <c:v>50598</c:v>
                </c:pt>
                <c:pt idx="278">
                  <c:v>50628</c:v>
                </c:pt>
                <c:pt idx="279">
                  <c:v>50658</c:v>
                </c:pt>
                <c:pt idx="280">
                  <c:v>50690</c:v>
                </c:pt>
                <c:pt idx="281">
                  <c:v>50719</c:v>
                </c:pt>
                <c:pt idx="282">
                  <c:v>50749</c:v>
                </c:pt>
                <c:pt idx="283">
                  <c:v>50782</c:v>
                </c:pt>
                <c:pt idx="284">
                  <c:v>50811</c:v>
                </c:pt>
                <c:pt idx="285">
                  <c:v>50839</c:v>
                </c:pt>
                <c:pt idx="286">
                  <c:v>50874</c:v>
                </c:pt>
                <c:pt idx="287">
                  <c:v>50901</c:v>
                </c:pt>
                <c:pt idx="288">
                  <c:v>50931</c:v>
                </c:pt>
                <c:pt idx="289">
                  <c:v>50963</c:v>
                </c:pt>
                <c:pt idx="290">
                  <c:v>50992</c:v>
                </c:pt>
                <c:pt idx="291">
                  <c:v>51025</c:v>
                </c:pt>
                <c:pt idx="292">
                  <c:v>51055</c:v>
                </c:pt>
                <c:pt idx="293">
                  <c:v>51084</c:v>
                </c:pt>
                <c:pt idx="294">
                  <c:v>51116</c:v>
                </c:pt>
                <c:pt idx="295">
                  <c:v>51146</c:v>
                </c:pt>
                <c:pt idx="296">
                  <c:v>51176</c:v>
                </c:pt>
                <c:pt idx="297">
                  <c:v>51207</c:v>
                </c:pt>
                <c:pt idx="298">
                  <c:v>51237</c:v>
                </c:pt>
                <c:pt idx="299">
                  <c:v>51266</c:v>
                </c:pt>
                <c:pt idx="300">
                  <c:v>51299</c:v>
                </c:pt>
                <c:pt idx="301">
                  <c:v>51328</c:v>
                </c:pt>
                <c:pt idx="302">
                  <c:v>51358</c:v>
                </c:pt>
                <c:pt idx="303">
                  <c:v>51391</c:v>
                </c:pt>
                <c:pt idx="304">
                  <c:v>51419</c:v>
                </c:pt>
                <c:pt idx="305">
                  <c:v>51452</c:v>
                </c:pt>
                <c:pt idx="306">
                  <c:v>51482</c:v>
                </c:pt>
                <c:pt idx="307">
                  <c:v>51511</c:v>
                </c:pt>
                <c:pt idx="308">
                  <c:v>51544</c:v>
                </c:pt>
                <c:pt idx="309">
                  <c:v>51572</c:v>
                </c:pt>
                <c:pt idx="310">
                  <c:v>51601</c:v>
                </c:pt>
                <c:pt idx="311">
                  <c:v>51631</c:v>
                </c:pt>
                <c:pt idx="312">
                  <c:v>51664</c:v>
                </c:pt>
                <c:pt idx="313">
                  <c:v>51692</c:v>
                </c:pt>
                <c:pt idx="314">
                  <c:v>51725</c:v>
                </c:pt>
                <c:pt idx="315">
                  <c:v>51755</c:v>
                </c:pt>
                <c:pt idx="316">
                  <c:v>51784</c:v>
                </c:pt>
                <c:pt idx="317">
                  <c:v>51817</c:v>
                </c:pt>
                <c:pt idx="318">
                  <c:v>51846</c:v>
                </c:pt>
                <c:pt idx="319">
                  <c:v>51876</c:v>
                </c:pt>
                <c:pt idx="320">
                  <c:v>51909</c:v>
                </c:pt>
                <c:pt idx="321">
                  <c:v>51937</c:v>
                </c:pt>
                <c:pt idx="322">
                  <c:v>51966</c:v>
                </c:pt>
                <c:pt idx="323">
                  <c:v>51998</c:v>
                </c:pt>
                <c:pt idx="324">
                  <c:v>52028</c:v>
                </c:pt>
                <c:pt idx="325">
                  <c:v>52057</c:v>
                </c:pt>
                <c:pt idx="326">
                  <c:v>52090</c:v>
                </c:pt>
                <c:pt idx="327">
                  <c:v>52119</c:v>
                </c:pt>
                <c:pt idx="328">
                  <c:v>52149</c:v>
                </c:pt>
                <c:pt idx="329">
                  <c:v>52182</c:v>
                </c:pt>
                <c:pt idx="330">
                  <c:v>52210</c:v>
                </c:pt>
                <c:pt idx="331">
                  <c:v>52243</c:v>
                </c:pt>
                <c:pt idx="332">
                  <c:v>52273</c:v>
                </c:pt>
                <c:pt idx="333">
                  <c:v>52301</c:v>
                </c:pt>
                <c:pt idx="334">
                  <c:v>52331</c:v>
                </c:pt>
                <c:pt idx="335">
                  <c:v>52363</c:v>
                </c:pt>
                <c:pt idx="336">
                  <c:v>52392</c:v>
                </c:pt>
                <c:pt idx="337">
                  <c:v>52422</c:v>
                </c:pt>
                <c:pt idx="338">
                  <c:v>52455</c:v>
                </c:pt>
                <c:pt idx="339">
                  <c:v>52484</c:v>
                </c:pt>
                <c:pt idx="340">
                  <c:v>52516</c:v>
                </c:pt>
                <c:pt idx="341">
                  <c:v>52546</c:v>
                </c:pt>
                <c:pt idx="342">
                  <c:v>52575</c:v>
                </c:pt>
                <c:pt idx="343">
                  <c:v>52608</c:v>
                </c:pt>
                <c:pt idx="344">
                  <c:v>52637</c:v>
                </c:pt>
                <c:pt idx="345">
                  <c:v>52666</c:v>
                </c:pt>
                <c:pt idx="346">
                  <c:v>52699</c:v>
                </c:pt>
                <c:pt idx="347">
                  <c:v>52728</c:v>
                </c:pt>
                <c:pt idx="348">
                  <c:v>52758</c:v>
                </c:pt>
                <c:pt idx="349">
                  <c:v>52790</c:v>
                </c:pt>
                <c:pt idx="350">
                  <c:v>52819</c:v>
                </c:pt>
                <c:pt idx="351">
                  <c:v>52852</c:v>
                </c:pt>
                <c:pt idx="352">
                  <c:v>52882</c:v>
                </c:pt>
                <c:pt idx="353">
                  <c:v>52911</c:v>
                </c:pt>
                <c:pt idx="354">
                  <c:v>52943</c:v>
                </c:pt>
                <c:pt idx="355">
                  <c:v>52973</c:v>
                </c:pt>
                <c:pt idx="356">
                  <c:v>53003</c:v>
                </c:pt>
                <c:pt idx="357">
                  <c:v>53031</c:v>
                </c:pt>
                <c:pt idx="358">
                  <c:v>53065</c:v>
                </c:pt>
                <c:pt idx="359">
                  <c:v>53092</c:v>
                </c:pt>
                <c:pt idx="360">
                  <c:v>53125</c:v>
                </c:pt>
                <c:pt idx="361">
                  <c:v>53155</c:v>
                </c:pt>
                <c:pt idx="362">
                  <c:v>53184</c:v>
                </c:pt>
                <c:pt idx="363">
                  <c:v>53217</c:v>
                </c:pt>
                <c:pt idx="364">
                  <c:v>53246</c:v>
                </c:pt>
                <c:pt idx="365">
                  <c:v>53276</c:v>
                </c:pt>
                <c:pt idx="366">
                  <c:v>53308</c:v>
                </c:pt>
                <c:pt idx="367">
                  <c:v>53337</c:v>
                </c:pt>
                <c:pt idx="368">
                  <c:v>53370</c:v>
                </c:pt>
                <c:pt idx="369">
                  <c:v>53398</c:v>
                </c:pt>
                <c:pt idx="370">
                  <c:v>53428</c:v>
                </c:pt>
                <c:pt idx="371">
                  <c:v>53457</c:v>
                </c:pt>
                <c:pt idx="372">
                  <c:v>53490</c:v>
                </c:pt>
                <c:pt idx="373">
                  <c:v>53519</c:v>
                </c:pt>
                <c:pt idx="374">
                  <c:v>53549</c:v>
                </c:pt>
                <c:pt idx="375">
                  <c:v>53582</c:v>
                </c:pt>
                <c:pt idx="376">
                  <c:v>53610</c:v>
                </c:pt>
                <c:pt idx="377">
                  <c:v>53643</c:v>
                </c:pt>
                <c:pt idx="378">
                  <c:v>53673</c:v>
                </c:pt>
                <c:pt idx="379">
                  <c:v>53702</c:v>
                </c:pt>
                <c:pt idx="380">
                  <c:v>53735</c:v>
                </c:pt>
                <c:pt idx="381">
                  <c:v>53763</c:v>
                </c:pt>
                <c:pt idx="382">
                  <c:v>53792</c:v>
                </c:pt>
                <c:pt idx="383">
                  <c:v>53822</c:v>
                </c:pt>
                <c:pt idx="384">
                  <c:v>53855</c:v>
                </c:pt>
                <c:pt idx="385">
                  <c:v>53883</c:v>
                </c:pt>
                <c:pt idx="386">
                  <c:v>53916</c:v>
                </c:pt>
                <c:pt idx="387">
                  <c:v>53946</c:v>
                </c:pt>
                <c:pt idx="388">
                  <c:v>53975</c:v>
                </c:pt>
                <c:pt idx="389">
                  <c:v>54008</c:v>
                </c:pt>
                <c:pt idx="390">
                  <c:v>54037</c:v>
                </c:pt>
                <c:pt idx="391">
                  <c:v>54067</c:v>
                </c:pt>
                <c:pt idx="392">
                  <c:v>54100</c:v>
                </c:pt>
                <c:pt idx="393">
                  <c:v>54128</c:v>
                </c:pt>
                <c:pt idx="394">
                  <c:v>54158</c:v>
                </c:pt>
                <c:pt idx="395">
                  <c:v>54190</c:v>
                </c:pt>
                <c:pt idx="396">
                  <c:v>54219</c:v>
                </c:pt>
                <c:pt idx="397">
                  <c:v>54249</c:v>
                </c:pt>
                <c:pt idx="398">
                  <c:v>54282</c:v>
                </c:pt>
                <c:pt idx="399">
                  <c:v>54311</c:v>
                </c:pt>
                <c:pt idx="400">
                  <c:v>54343</c:v>
                </c:pt>
                <c:pt idx="401">
                  <c:v>54373</c:v>
                </c:pt>
                <c:pt idx="402">
                  <c:v>54402</c:v>
                </c:pt>
                <c:pt idx="403">
                  <c:v>54435</c:v>
                </c:pt>
                <c:pt idx="404">
                  <c:v>54464</c:v>
                </c:pt>
                <c:pt idx="405">
                  <c:v>54492</c:v>
                </c:pt>
                <c:pt idx="406">
                  <c:v>54525</c:v>
                </c:pt>
                <c:pt idx="407">
                  <c:v>54555</c:v>
                </c:pt>
                <c:pt idx="408">
                  <c:v>54584</c:v>
                </c:pt>
                <c:pt idx="409">
                  <c:v>54616</c:v>
                </c:pt>
                <c:pt idx="410">
                  <c:v>54646</c:v>
                </c:pt>
                <c:pt idx="411">
                  <c:v>54676</c:v>
                </c:pt>
                <c:pt idx="412">
                  <c:v>54708</c:v>
                </c:pt>
                <c:pt idx="413">
                  <c:v>54737</c:v>
                </c:pt>
                <c:pt idx="414">
                  <c:v>54767</c:v>
                </c:pt>
                <c:pt idx="415">
                  <c:v>54800</c:v>
                </c:pt>
                <c:pt idx="416">
                  <c:v>54829</c:v>
                </c:pt>
                <c:pt idx="417">
                  <c:v>54857</c:v>
                </c:pt>
                <c:pt idx="418">
                  <c:v>54892</c:v>
                </c:pt>
                <c:pt idx="419">
                  <c:v>54919</c:v>
                </c:pt>
                <c:pt idx="420">
                  <c:v>54949</c:v>
                </c:pt>
                <c:pt idx="421">
                  <c:v>54981</c:v>
                </c:pt>
                <c:pt idx="422">
                  <c:v>55010</c:v>
                </c:pt>
                <c:pt idx="423">
                  <c:v>55043</c:v>
                </c:pt>
                <c:pt idx="424">
                  <c:v>55073</c:v>
                </c:pt>
                <c:pt idx="425">
                  <c:v>55102</c:v>
                </c:pt>
                <c:pt idx="426">
                  <c:v>55134</c:v>
                </c:pt>
                <c:pt idx="427">
                  <c:v>55164</c:v>
                </c:pt>
                <c:pt idx="428">
                  <c:v>55194</c:v>
                </c:pt>
                <c:pt idx="429">
                  <c:v>55222</c:v>
                </c:pt>
                <c:pt idx="430">
                  <c:v>55255</c:v>
                </c:pt>
                <c:pt idx="431">
                  <c:v>55283</c:v>
                </c:pt>
                <c:pt idx="432">
                  <c:v>55316</c:v>
                </c:pt>
                <c:pt idx="433">
                  <c:v>55346</c:v>
                </c:pt>
                <c:pt idx="434">
                  <c:v>55375</c:v>
                </c:pt>
                <c:pt idx="435">
                  <c:v>55408</c:v>
                </c:pt>
                <c:pt idx="436">
                  <c:v>55437</c:v>
                </c:pt>
                <c:pt idx="437">
                  <c:v>55467</c:v>
                </c:pt>
                <c:pt idx="438">
                  <c:v>55499</c:v>
                </c:pt>
                <c:pt idx="439">
                  <c:v>55528</c:v>
                </c:pt>
                <c:pt idx="440">
                  <c:v>55561</c:v>
                </c:pt>
                <c:pt idx="441">
                  <c:v>55590</c:v>
                </c:pt>
                <c:pt idx="442">
                  <c:v>55619</c:v>
                </c:pt>
                <c:pt idx="443">
                  <c:v>55649</c:v>
                </c:pt>
                <c:pt idx="444">
                  <c:v>55682</c:v>
                </c:pt>
                <c:pt idx="445">
                  <c:v>55710</c:v>
                </c:pt>
                <c:pt idx="446">
                  <c:v>55743</c:v>
                </c:pt>
                <c:pt idx="447">
                  <c:v>55773</c:v>
                </c:pt>
                <c:pt idx="448">
                  <c:v>55802</c:v>
                </c:pt>
                <c:pt idx="449">
                  <c:v>55835</c:v>
                </c:pt>
                <c:pt idx="450">
                  <c:v>55864</c:v>
                </c:pt>
                <c:pt idx="451">
                  <c:v>55894</c:v>
                </c:pt>
                <c:pt idx="452">
                  <c:v>55927</c:v>
                </c:pt>
                <c:pt idx="453">
                  <c:v>55955</c:v>
                </c:pt>
                <c:pt idx="454">
                  <c:v>55984</c:v>
                </c:pt>
                <c:pt idx="455">
                  <c:v>56016</c:v>
                </c:pt>
                <c:pt idx="456">
                  <c:v>56046</c:v>
                </c:pt>
                <c:pt idx="457">
                  <c:v>56075</c:v>
                </c:pt>
                <c:pt idx="458">
                  <c:v>56108</c:v>
                </c:pt>
                <c:pt idx="459">
                  <c:v>56137</c:v>
                </c:pt>
                <c:pt idx="460">
                  <c:v>56167</c:v>
                </c:pt>
                <c:pt idx="461">
                  <c:v>56200</c:v>
                </c:pt>
                <c:pt idx="462">
                  <c:v>56228</c:v>
                </c:pt>
                <c:pt idx="463">
                  <c:v>56261</c:v>
                </c:pt>
                <c:pt idx="464">
                  <c:v>56291</c:v>
                </c:pt>
                <c:pt idx="465">
                  <c:v>56319</c:v>
                </c:pt>
                <c:pt idx="466">
                  <c:v>56349</c:v>
                </c:pt>
                <c:pt idx="467">
                  <c:v>56381</c:v>
                </c:pt>
                <c:pt idx="468">
                  <c:v>56410</c:v>
                </c:pt>
                <c:pt idx="469">
                  <c:v>56440</c:v>
                </c:pt>
                <c:pt idx="470">
                  <c:v>56473</c:v>
                </c:pt>
                <c:pt idx="471">
                  <c:v>56502</c:v>
                </c:pt>
                <c:pt idx="472">
                  <c:v>56534</c:v>
                </c:pt>
                <c:pt idx="473">
                  <c:v>56564</c:v>
                </c:pt>
                <c:pt idx="474">
                  <c:v>56593</c:v>
                </c:pt>
                <c:pt idx="475">
                  <c:v>56626</c:v>
                </c:pt>
                <c:pt idx="476">
                  <c:v>56655</c:v>
                </c:pt>
                <c:pt idx="477">
                  <c:v>56683</c:v>
                </c:pt>
                <c:pt idx="478">
                  <c:v>56716</c:v>
                </c:pt>
                <c:pt idx="479">
                  <c:v>56746</c:v>
                </c:pt>
                <c:pt idx="480">
                  <c:v>56775</c:v>
                </c:pt>
                <c:pt idx="481">
                  <c:v>56807</c:v>
                </c:pt>
                <c:pt idx="482">
                  <c:v>56837</c:v>
                </c:pt>
                <c:pt idx="483">
                  <c:v>56867</c:v>
                </c:pt>
                <c:pt idx="484">
                  <c:v>56899</c:v>
                </c:pt>
                <c:pt idx="485">
                  <c:v>56928</c:v>
                </c:pt>
                <c:pt idx="486">
                  <c:v>56958</c:v>
                </c:pt>
                <c:pt idx="487">
                  <c:v>56991</c:v>
                </c:pt>
                <c:pt idx="488">
                  <c:v>57020</c:v>
                </c:pt>
                <c:pt idx="489">
                  <c:v>57049</c:v>
                </c:pt>
                <c:pt idx="490">
                  <c:v>57082</c:v>
                </c:pt>
                <c:pt idx="491">
                  <c:v>57110</c:v>
                </c:pt>
                <c:pt idx="492">
                  <c:v>57143</c:v>
                </c:pt>
                <c:pt idx="493">
                  <c:v>57173</c:v>
                </c:pt>
                <c:pt idx="494">
                  <c:v>57202</c:v>
                </c:pt>
                <c:pt idx="495">
                  <c:v>57235</c:v>
                </c:pt>
                <c:pt idx="496">
                  <c:v>57264</c:v>
                </c:pt>
                <c:pt idx="497">
                  <c:v>57294</c:v>
                </c:pt>
                <c:pt idx="498">
                  <c:v>57326</c:v>
                </c:pt>
                <c:pt idx="499">
                  <c:v>57355</c:v>
                </c:pt>
                <c:pt idx="500">
                  <c:v>57388</c:v>
                </c:pt>
                <c:pt idx="501">
                  <c:v>57416</c:v>
                </c:pt>
                <c:pt idx="502">
                  <c:v>57446</c:v>
                </c:pt>
                <c:pt idx="503">
                  <c:v>57475</c:v>
                </c:pt>
                <c:pt idx="504">
                  <c:v>57508</c:v>
                </c:pt>
                <c:pt idx="505">
                  <c:v>57537</c:v>
                </c:pt>
                <c:pt idx="506">
                  <c:v>57567</c:v>
                </c:pt>
                <c:pt idx="507">
                  <c:v>57600</c:v>
                </c:pt>
                <c:pt idx="508">
                  <c:v>57628</c:v>
                </c:pt>
                <c:pt idx="509">
                  <c:v>57661</c:v>
                </c:pt>
                <c:pt idx="510">
                  <c:v>57691</c:v>
                </c:pt>
                <c:pt idx="511">
                  <c:v>57720</c:v>
                </c:pt>
                <c:pt idx="512">
                  <c:v>57753</c:v>
                </c:pt>
                <c:pt idx="513">
                  <c:v>57781</c:v>
                </c:pt>
                <c:pt idx="514">
                  <c:v>57810</c:v>
                </c:pt>
                <c:pt idx="515">
                  <c:v>57840</c:v>
                </c:pt>
                <c:pt idx="516">
                  <c:v>57873</c:v>
                </c:pt>
                <c:pt idx="517">
                  <c:v>57901</c:v>
                </c:pt>
                <c:pt idx="518">
                  <c:v>57934</c:v>
                </c:pt>
                <c:pt idx="519">
                  <c:v>57964</c:v>
                </c:pt>
                <c:pt idx="520">
                  <c:v>57993</c:v>
                </c:pt>
                <c:pt idx="521">
                  <c:v>58026</c:v>
                </c:pt>
                <c:pt idx="522">
                  <c:v>58055</c:v>
                </c:pt>
                <c:pt idx="523">
                  <c:v>58085</c:v>
                </c:pt>
                <c:pt idx="524">
                  <c:v>58118</c:v>
                </c:pt>
                <c:pt idx="525">
                  <c:v>58146</c:v>
                </c:pt>
                <c:pt idx="526">
                  <c:v>58175</c:v>
                </c:pt>
                <c:pt idx="527">
                  <c:v>58207</c:v>
                </c:pt>
                <c:pt idx="528">
                  <c:v>58237</c:v>
                </c:pt>
                <c:pt idx="529">
                  <c:v>58266</c:v>
                </c:pt>
                <c:pt idx="530">
                  <c:v>58299</c:v>
                </c:pt>
                <c:pt idx="531">
                  <c:v>58328</c:v>
                </c:pt>
                <c:pt idx="532">
                  <c:v>58358</c:v>
                </c:pt>
                <c:pt idx="533">
                  <c:v>58391</c:v>
                </c:pt>
                <c:pt idx="534">
                  <c:v>58419</c:v>
                </c:pt>
                <c:pt idx="535">
                  <c:v>58452</c:v>
                </c:pt>
                <c:pt idx="536">
                  <c:v>58482</c:v>
                </c:pt>
                <c:pt idx="537">
                  <c:v>58510</c:v>
                </c:pt>
                <c:pt idx="538">
                  <c:v>58543</c:v>
                </c:pt>
                <c:pt idx="539">
                  <c:v>58573</c:v>
                </c:pt>
                <c:pt idx="540">
                  <c:v>58602</c:v>
                </c:pt>
                <c:pt idx="541">
                  <c:v>58634</c:v>
                </c:pt>
                <c:pt idx="542">
                  <c:v>58664</c:v>
                </c:pt>
                <c:pt idx="543">
                  <c:v>58694</c:v>
                </c:pt>
                <c:pt idx="544">
                  <c:v>58726</c:v>
                </c:pt>
                <c:pt idx="545">
                  <c:v>58755</c:v>
                </c:pt>
                <c:pt idx="546">
                  <c:v>58785</c:v>
                </c:pt>
                <c:pt idx="547">
                  <c:v>58818</c:v>
                </c:pt>
                <c:pt idx="548">
                  <c:v>58847</c:v>
                </c:pt>
                <c:pt idx="549">
                  <c:v>58875</c:v>
                </c:pt>
                <c:pt idx="550">
                  <c:v>58910</c:v>
                </c:pt>
                <c:pt idx="551">
                  <c:v>58937</c:v>
                </c:pt>
                <c:pt idx="552">
                  <c:v>58967</c:v>
                </c:pt>
                <c:pt idx="553">
                  <c:v>58999</c:v>
                </c:pt>
                <c:pt idx="554">
                  <c:v>59028</c:v>
                </c:pt>
                <c:pt idx="555">
                  <c:v>59061</c:v>
                </c:pt>
                <c:pt idx="556">
                  <c:v>59091</c:v>
                </c:pt>
                <c:pt idx="557">
                  <c:v>59120</c:v>
                </c:pt>
                <c:pt idx="558">
                  <c:v>59152</c:v>
                </c:pt>
                <c:pt idx="559">
                  <c:v>59182</c:v>
                </c:pt>
                <c:pt idx="560">
                  <c:v>59212</c:v>
                </c:pt>
                <c:pt idx="561">
                  <c:v>59240</c:v>
                </c:pt>
                <c:pt idx="562">
                  <c:v>59273</c:v>
                </c:pt>
                <c:pt idx="563">
                  <c:v>59301</c:v>
                </c:pt>
                <c:pt idx="564">
                  <c:v>59334</c:v>
                </c:pt>
                <c:pt idx="565">
                  <c:v>59364</c:v>
                </c:pt>
                <c:pt idx="566">
                  <c:v>59393</c:v>
                </c:pt>
                <c:pt idx="567">
                  <c:v>59426</c:v>
                </c:pt>
                <c:pt idx="568">
                  <c:v>59455</c:v>
                </c:pt>
                <c:pt idx="569">
                  <c:v>59485</c:v>
                </c:pt>
                <c:pt idx="570">
                  <c:v>59517</c:v>
                </c:pt>
                <c:pt idx="571">
                  <c:v>59546</c:v>
                </c:pt>
                <c:pt idx="572">
                  <c:v>59579</c:v>
                </c:pt>
                <c:pt idx="573">
                  <c:v>59607</c:v>
                </c:pt>
                <c:pt idx="574">
                  <c:v>59637</c:v>
                </c:pt>
                <c:pt idx="575">
                  <c:v>59666</c:v>
                </c:pt>
                <c:pt idx="576">
                  <c:v>59699</c:v>
                </c:pt>
                <c:pt idx="577">
                  <c:v>59728</c:v>
                </c:pt>
                <c:pt idx="578">
                  <c:v>59758</c:v>
                </c:pt>
                <c:pt idx="579">
                  <c:v>59791</c:v>
                </c:pt>
                <c:pt idx="580">
                  <c:v>59819</c:v>
                </c:pt>
                <c:pt idx="581">
                  <c:v>59852</c:v>
                </c:pt>
                <c:pt idx="582">
                  <c:v>59882</c:v>
                </c:pt>
                <c:pt idx="583">
                  <c:v>59911</c:v>
                </c:pt>
                <c:pt idx="584">
                  <c:v>59944</c:v>
                </c:pt>
                <c:pt idx="585">
                  <c:v>59973</c:v>
                </c:pt>
                <c:pt idx="586">
                  <c:v>60002</c:v>
                </c:pt>
                <c:pt idx="587">
                  <c:v>60034</c:v>
                </c:pt>
                <c:pt idx="588">
                  <c:v>60064</c:v>
                </c:pt>
                <c:pt idx="589">
                  <c:v>60093</c:v>
                </c:pt>
                <c:pt idx="590">
                  <c:v>60126</c:v>
                </c:pt>
                <c:pt idx="591">
                  <c:v>60155</c:v>
                </c:pt>
                <c:pt idx="592">
                  <c:v>60185</c:v>
                </c:pt>
                <c:pt idx="593">
                  <c:v>60218</c:v>
                </c:pt>
                <c:pt idx="594">
                  <c:v>60246</c:v>
                </c:pt>
                <c:pt idx="595">
                  <c:v>60279</c:v>
                </c:pt>
                <c:pt idx="596">
                  <c:v>60309</c:v>
                </c:pt>
                <c:pt idx="597">
                  <c:v>60337</c:v>
                </c:pt>
                <c:pt idx="598">
                  <c:v>60367</c:v>
                </c:pt>
                <c:pt idx="599">
                  <c:v>60399</c:v>
                </c:pt>
                <c:pt idx="600">
                  <c:v>60428</c:v>
                </c:pt>
                <c:pt idx="601">
                  <c:v>60458</c:v>
                </c:pt>
                <c:pt idx="602">
                  <c:v>60491</c:v>
                </c:pt>
                <c:pt idx="603">
                  <c:v>60520</c:v>
                </c:pt>
                <c:pt idx="604">
                  <c:v>60552</c:v>
                </c:pt>
                <c:pt idx="605">
                  <c:v>60582</c:v>
                </c:pt>
                <c:pt idx="606">
                  <c:v>60611</c:v>
                </c:pt>
                <c:pt idx="607">
                  <c:v>60644</c:v>
                </c:pt>
                <c:pt idx="608">
                  <c:v>60673</c:v>
                </c:pt>
                <c:pt idx="609">
                  <c:v>60701</c:v>
                </c:pt>
                <c:pt idx="610">
                  <c:v>60736</c:v>
                </c:pt>
                <c:pt idx="611">
                  <c:v>60764</c:v>
                </c:pt>
                <c:pt idx="612">
                  <c:v>60793</c:v>
                </c:pt>
                <c:pt idx="613">
                  <c:v>60825</c:v>
                </c:pt>
                <c:pt idx="614">
                  <c:v>60855</c:v>
                </c:pt>
                <c:pt idx="615">
                  <c:v>60885</c:v>
                </c:pt>
                <c:pt idx="616">
                  <c:v>60917</c:v>
                </c:pt>
                <c:pt idx="617">
                  <c:v>60946</c:v>
                </c:pt>
                <c:pt idx="618">
                  <c:v>60976</c:v>
                </c:pt>
                <c:pt idx="619">
                  <c:v>61009</c:v>
                </c:pt>
                <c:pt idx="620">
                  <c:v>61038</c:v>
                </c:pt>
                <c:pt idx="621">
                  <c:v>61066</c:v>
                </c:pt>
                <c:pt idx="622">
                  <c:v>61099</c:v>
                </c:pt>
                <c:pt idx="623">
                  <c:v>61128</c:v>
                </c:pt>
                <c:pt idx="624">
                  <c:v>61158</c:v>
                </c:pt>
                <c:pt idx="625">
                  <c:v>61190</c:v>
                </c:pt>
                <c:pt idx="626">
                  <c:v>61219</c:v>
                </c:pt>
                <c:pt idx="627">
                  <c:v>61252</c:v>
                </c:pt>
                <c:pt idx="628">
                  <c:v>61282</c:v>
                </c:pt>
                <c:pt idx="629">
                  <c:v>61311</c:v>
                </c:pt>
                <c:pt idx="630">
                  <c:v>61343</c:v>
                </c:pt>
                <c:pt idx="631">
                  <c:v>61373</c:v>
                </c:pt>
                <c:pt idx="632">
                  <c:v>61403</c:v>
                </c:pt>
                <c:pt idx="633">
                  <c:v>61434</c:v>
                </c:pt>
                <c:pt idx="634">
                  <c:v>61464</c:v>
                </c:pt>
                <c:pt idx="635">
                  <c:v>61493</c:v>
                </c:pt>
                <c:pt idx="636">
                  <c:v>61526</c:v>
                </c:pt>
                <c:pt idx="637">
                  <c:v>61555</c:v>
                </c:pt>
                <c:pt idx="638">
                  <c:v>61585</c:v>
                </c:pt>
                <c:pt idx="639">
                  <c:v>61618</c:v>
                </c:pt>
                <c:pt idx="640">
                  <c:v>61646</c:v>
                </c:pt>
                <c:pt idx="641">
                  <c:v>61679</c:v>
                </c:pt>
                <c:pt idx="642">
                  <c:v>61709</c:v>
                </c:pt>
                <c:pt idx="643">
                  <c:v>61738</c:v>
                </c:pt>
                <c:pt idx="644">
                  <c:v>61771</c:v>
                </c:pt>
                <c:pt idx="645">
                  <c:v>61799</c:v>
                </c:pt>
                <c:pt idx="646">
                  <c:v>61828</c:v>
                </c:pt>
                <c:pt idx="647">
                  <c:v>61858</c:v>
                </c:pt>
                <c:pt idx="648">
                  <c:v>61891</c:v>
                </c:pt>
                <c:pt idx="649">
                  <c:v>61919</c:v>
                </c:pt>
                <c:pt idx="650">
                  <c:v>61952</c:v>
                </c:pt>
                <c:pt idx="651">
                  <c:v>61982</c:v>
                </c:pt>
                <c:pt idx="652">
                  <c:v>62011</c:v>
                </c:pt>
                <c:pt idx="653">
                  <c:v>62044</c:v>
                </c:pt>
                <c:pt idx="654">
                  <c:v>62073</c:v>
                </c:pt>
                <c:pt idx="655">
                  <c:v>62103</c:v>
                </c:pt>
                <c:pt idx="656">
                  <c:v>62136</c:v>
                </c:pt>
                <c:pt idx="657">
                  <c:v>62164</c:v>
                </c:pt>
                <c:pt idx="658">
                  <c:v>62193</c:v>
                </c:pt>
                <c:pt idx="659">
                  <c:v>62225</c:v>
                </c:pt>
                <c:pt idx="660">
                  <c:v>62255</c:v>
                </c:pt>
                <c:pt idx="661">
                  <c:v>62284</c:v>
                </c:pt>
                <c:pt idx="662">
                  <c:v>62317</c:v>
                </c:pt>
                <c:pt idx="663">
                  <c:v>62346</c:v>
                </c:pt>
                <c:pt idx="664">
                  <c:v>62376</c:v>
                </c:pt>
                <c:pt idx="665">
                  <c:v>62409</c:v>
                </c:pt>
                <c:pt idx="666">
                  <c:v>62437</c:v>
                </c:pt>
                <c:pt idx="667">
                  <c:v>62470</c:v>
                </c:pt>
                <c:pt idx="668">
                  <c:v>62500</c:v>
                </c:pt>
                <c:pt idx="669">
                  <c:v>62528</c:v>
                </c:pt>
                <c:pt idx="670">
                  <c:v>62558</c:v>
                </c:pt>
                <c:pt idx="671">
                  <c:v>62590</c:v>
                </c:pt>
                <c:pt idx="672">
                  <c:v>62619</c:v>
                </c:pt>
                <c:pt idx="673">
                  <c:v>62649</c:v>
                </c:pt>
                <c:pt idx="674">
                  <c:v>62682</c:v>
                </c:pt>
                <c:pt idx="675">
                  <c:v>62711</c:v>
                </c:pt>
                <c:pt idx="676">
                  <c:v>62743</c:v>
                </c:pt>
                <c:pt idx="677">
                  <c:v>62773</c:v>
                </c:pt>
                <c:pt idx="678">
                  <c:v>62802</c:v>
                </c:pt>
                <c:pt idx="679">
                  <c:v>62835</c:v>
                </c:pt>
                <c:pt idx="680">
                  <c:v>62864</c:v>
                </c:pt>
                <c:pt idx="681">
                  <c:v>62893</c:v>
                </c:pt>
                <c:pt idx="682">
                  <c:v>62928</c:v>
                </c:pt>
                <c:pt idx="683">
                  <c:v>62955</c:v>
                </c:pt>
                <c:pt idx="684">
                  <c:v>62985</c:v>
                </c:pt>
                <c:pt idx="685">
                  <c:v>63017</c:v>
                </c:pt>
                <c:pt idx="686">
                  <c:v>63046</c:v>
                </c:pt>
                <c:pt idx="687">
                  <c:v>63079</c:v>
                </c:pt>
                <c:pt idx="688">
                  <c:v>63109</c:v>
                </c:pt>
                <c:pt idx="689">
                  <c:v>63138</c:v>
                </c:pt>
                <c:pt idx="690">
                  <c:v>63170</c:v>
                </c:pt>
                <c:pt idx="691">
                  <c:v>63200</c:v>
                </c:pt>
                <c:pt idx="692">
                  <c:v>63230</c:v>
                </c:pt>
                <c:pt idx="693">
                  <c:v>63258</c:v>
                </c:pt>
                <c:pt idx="694">
                  <c:v>63291</c:v>
                </c:pt>
                <c:pt idx="695">
                  <c:v>63319</c:v>
                </c:pt>
                <c:pt idx="696">
                  <c:v>63352</c:v>
                </c:pt>
                <c:pt idx="697">
                  <c:v>63382</c:v>
                </c:pt>
                <c:pt idx="698">
                  <c:v>63411</c:v>
                </c:pt>
                <c:pt idx="699">
                  <c:v>63444</c:v>
                </c:pt>
                <c:pt idx="700">
                  <c:v>63473</c:v>
                </c:pt>
                <c:pt idx="701">
                  <c:v>63503</c:v>
                </c:pt>
                <c:pt idx="702">
                  <c:v>63535</c:v>
                </c:pt>
                <c:pt idx="703">
                  <c:v>63564</c:v>
                </c:pt>
                <c:pt idx="704">
                  <c:v>63597</c:v>
                </c:pt>
                <c:pt idx="705">
                  <c:v>63625</c:v>
                </c:pt>
                <c:pt idx="706">
                  <c:v>63655</c:v>
                </c:pt>
                <c:pt idx="707">
                  <c:v>63684</c:v>
                </c:pt>
                <c:pt idx="708">
                  <c:v>63717</c:v>
                </c:pt>
                <c:pt idx="709">
                  <c:v>63746</c:v>
                </c:pt>
                <c:pt idx="710">
                  <c:v>63776</c:v>
                </c:pt>
                <c:pt idx="711">
                  <c:v>63809</c:v>
                </c:pt>
                <c:pt idx="712">
                  <c:v>63837</c:v>
                </c:pt>
                <c:pt idx="713">
                  <c:v>63870</c:v>
                </c:pt>
                <c:pt idx="714">
                  <c:v>63900</c:v>
                </c:pt>
                <c:pt idx="715">
                  <c:v>63929</c:v>
                </c:pt>
                <c:pt idx="716">
                  <c:v>63962</c:v>
                </c:pt>
                <c:pt idx="717">
                  <c:v>63990</c:v>
                </c:pt>
                <c:pt idx="718">
                  <c:v>64020</c:v>
                </c:pt>
                <c:pt idx="719">
                  <c:v>64049</c:v>
                </c:pt>
              </c:numCache>
            </c:numRef>
          </c:cat>
          <c:val>
            <c:numRef>
              <c:f>'1M Basis'!$V$3:$V$1310</c:f>
              <c:numCache>
                <c:formatCode>0.0000%</c:formatCode>
                <c:ptCount val="13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'1M Basis'!$Z$2</c:f>
              <c:strCache>
                <c:ptCount val="1"/>
                <c:pt idx="0">
                  <c:v>Abcd Calibration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val>
            <c:numRef>
              <c:f>'1M Basis'!$Z$3:$Z$722</c:f>
              <c:numCache>
                <c:formatCode>0.0000%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2536192"/>
        <c:axId val="942537728"/>
      </c:lineChart>
      <c:dateAx>
        <c:axId val="942536192"/>
        <c:scaling>
          <c:orientation val="minMax"/>
          <c:max val="53117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942537728"/>
        <c:crosses val="autoZero"/>
        <c:auto val="1"/>
        <c:lblOffset val="100"/>
        <c:baseTimeUnit val="days"/>
        <c:majorUnit val="36"/>
        <c:majorTimeUnit val="months"/>
      </c:dateAx>
      <c:valAx>
        <c:axId val="942537728"/>
        <c:scaling>
          <c:orientation val="minMax"/>
          <c:max val="1E-3"/>
          <c:min val="0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42536192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'3M Basis'!$V$2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'3M Basis'!$R$3:$R$1310</c:f>
              <c:numCache>
                <c:formatCode>ddd\,\ dd\-mmm\-yyyy</c:formatCode>
                <c:ptCount val="1308"/>
                <c:pt idx="0">
                  <c:v>42163</c:v>
                </c:pt>
                <c:pt idx="1">
                  <c:v>42195</c:v>
                </c:pt>
                <c:pt idx="2">
                  <c:v>42228</c:v>
                </c:pt>
                <c:pt idx="3">
                  <c:v>42257</c:v>
                </c:pt>
                <c:pt idx="4">
                  <c:v>42289</c:v>
                </c:pt>
                <c:pt idx="5">
                  <c:v>42319</c:v>
                </c:pt>
                <c:pt idx="6">
                  <c:v>42348</c:v>
                </c:pt>
                <c:pt idx="7">
                  <c:v>42381</c:v>
                </c:pt>
                <c:pt idx="8">
                  <c:v>42410</c:v>
                </c:pt>
                <c:pt idx="9">
                  <c:v>42439</c:v>
                </c:pt>
                <c:pt idx="10">
                  <c:v>42472</c:v>
                </c:pt>
                <c:pt idx="11">
                  <c:v>42501</c:v>
                </c:pt>
                <c:pt idx="12">
                  <c:v>42531</c:v>
                </c:pt>
                <c:pt idx="13">
                  <c:v>42563</c:v>
                </c:pt>
                <c:pt idx="14">
                  <c:v>42592</c:v>
                </c:pt>
                <c:pt idx="15">
                  <c:v>42625</c:v>
                </c:pt>
                <c:pt idx="16">
                  <c:v>42655</c:v>
                </c:pt>
                <c:pt idx="17">
                  <c:v>42684</c:v>
                </c:pt>
                <c:pt idx="18">
                  <c:v>42716</c:v>
                </c:pt>
                <c:pt idx="19">
                  <c:v>42804</c:v>
                </c:pt>
                <c:pt idx="20">
                  <c:v>42898</c:v>
                </c:pt>
                <c:pt idx="21">
                  <c:v>42990</c:v>
                </c:pt>
                <c:pt idx="22">
                  <c:v>43081</c:v>
                </c:pt>
                <c:pt idx="23">
                  <c:v>43171</c:v>
                </c:pt>
                <c:pt idx="24">
                  <c:v>43263</c:v>
                </c:pt>
                <c:pt idx="25">
                  <c:v>43355</c:v>
                </c:pt>
                <c:pt idx="26">
                  <c:v>43446</c:v>
                </c:pt>
                <c:pt idx="27">
                  <c:v>43536</c:v>
                </c:pt>
                <c:pt idx="28">
                  <c:v>43628</c:v>
                </c:pt>
                <c:pt idx="29">
                  <c:v>43719</c:v>
                </c:pt>
                <c:pt idx="30">
                  <c:v>43810</c:v>
                </c:pt>
                <c:pt idx="31">
                  <c:v>43901</c:v>
                </c:pt>
                <c:pt idx="32">
                  <c:v>43992</c:v>
                </c:pt>
                <c:pt idx="33">
                  <c:v>44084</c:v>
                </c:pt>
                <c:pt idx="34">
                  <c:v>44175</c:v>
                </c:pt>
                <c:pt idx="35">
                  <c:v>44265</c:v>
                </c:pt>
                <c:pt idx="36">
                  <c:v>44357</c:v>
                </c:pt>
                <c:pt idx="37">
                  <c:v>44449</c:v>
                </c:pt>
                <c:pt idx="38">
                  <c:v>44540</c:v>
                </c:pt>
                <c:pt idx="39">
                  <c:v>44630</c:v>
                </c:pt>
                <c:pt idx="40">
                  <c:v>44722</c:v>
                </c:pt>
                <c:pt idx="41">
                  <c:v>44816</c:v>
                </c:pt>
                <c:pt idx="42">
                  <c:v>44907</c:v>
                </c:pt>
                <c:pt idx="43">
                  <c:v>44995</c:v>
                </c:pt>
                <c:pt idx="44">
                  <c:v>45089</c:v>
                </c:pt>
                <c:pt idx="45">
                  <c:v>45181</c:v>
                </c:pt>
                <c:pt idx="46">
                  <c:v>45272</c:v>
                </c:pt>
                <c:pt idx="47">
                  <c:v>45363</c:v>
                </c:pt>
                <c:pt idx="48">
                  <c:v>45455</c:v>
                </c:pt>
                <c:pt idx="49">
                  <c:v>45546</c:v>
                </c:pt>
                <c:pt idx="50">
                  <c:v>45637</c:v>
                </c:pt>
                <c:pt idx="51">
                  <c:v>45728</c:v>
                </c:pt>
                <c:pt idx="52">
                  <c:v>45819</c:v>
                </c:pt>
                <c:pt idx="53">
                  <c:v>45910</c:v>
                </c:pt>
                <c:pt idx="54">
                  <c:v>46001</c:v>
                </c:pt>
                <c:pt idx="55">
                  <c:v>46092</c:v>
                </c:pt>
                <c:pt idx="56">
                  <c:v>46183</c:v>
                </c:pt>
                <c:pt idx="57">
                  <c:v>46275</c:v>
                </c:pt>
                <c:pt idx="58">
                  <c:v>46366</c:v>
                </c:pt>
                <c:pt idx="59">
                  <c:v>46456</c:v>
                </c:pt>
                <c:pt idx="60">
                  <c:v>46548</c:v>
                </c:pt>
                <c:pt idx="61">
                  <c:v>46640</c:v>
                </c:pt>
                <c:pt idx="62">
                  <c:v>46731</c:v>
                </c:pt>
                <c:pt idx="63">
                  <c:v>46822</c:v>
                </c:pt>
                <c:pt idx="64">
                  <c:v>46916</c:v>
                </c:pt>
                <c:pt idx="65">
                  <c:v>47008</c:v>
                </c:pt>
                <c:pt idx="66">
                  <c:v>47099</c:v>
                </c:pt>
                <c:pt idx="67">
                  <c:v>47189</c:v>
                </c:pt>
                <c:pt idx="68">
                  <c:v>47281</c:v>
                </c:pt>
                <c:pt idx="69">
                  <c:v>47373</c:v>
                </c:pt>
                <c:pt idx="70">
                  <c:v>47464</c:v>
                </c:pt>
                <c:pt idx="71">
                  <c:v>47554</c:v>
                </c:pt>
                <c:pt idx="72">
                  <c:v>47646</c:v>
                </c:pt>
                <c:pt idx="73">
                  <c:v>47737</c:v>
                </c:pt>
                <c:pt idx="74">
                  <c:v>47828</c:v>
                </c:pt>
                <c:pt idx="75">
                  <c:v>47919</c:v>
                </c:pt>
                <c:pt idx="76">
                  <c:v>48010</c:v>
                </c:pt>
                <c:pt idx="77">
                  <c:v>48101</c:v>
                </c:pt>
                <c:pt idx="78">
                  <c:v>48192</c:v>
                </c:pt>
                <c:pt idx="79">
                  <c:v>48283</c:v>
                </c:pt>
                <c:pt idx="80">
                  <c:v>48375</c:v>
                </c:pt>
                <c:pt idx="81">
                  <c:v>48467</c:v>
                </c:pt>
                <c:pt idx="82">
                  <c:v>48558</c:v>
                </c:pt>
                <c:pt idx="83">
                  <c:v>48648</c:v>
                </c:pt>
                <c:pt idx="84">
                  <c:v>48740</c:v>
                </c:pt>
                <c:pt idx="85">
                  <c:v>48834</c:v>
                </c:pt>
                <c:pt idx="86">
                  <c:v>48925</c:v>
                </c:pt>
                <c:pt idx="87">
                  <c:v>49013</c:v>
                </c:pt>
                <c:pt idx="88">
                  <c:v>49107</c:v>
                </c:pt>
                <c:pt idx="89">
                  <c:v>49199</c:v>
                </c:pt>
                <c:pt idx="90">
                  <c:v>49290</c:v>
                </c:pt>
                <c:pt idx="91">
                  <c:v>49380</c:v>
                </c:pt>
                <c:pt idx="92">
                  <c:v>49472</c:v>
                </c:pt>
                <c:pt idx="93">
                  <c:v>49564</c:v>
                </c:pt>
                <c:pt idx="94">
                  <c:v>49655</c:v>
                </c:pt>
                <c:pt idx="95">
                  <c:v>49746</c:v>
                </c:pt>
                <c:pt idx="96">
                  <c:v>49837</c:v>
                </c:pt>
                <c:pt idx="97">
                  <c:v>49928</c:v>
                </c:pt>
                <c:pt idx="98">
                  <c:v>50019</c:v>
                </c:pt>
                <c:pt idx="99">
                  <c:v>50110</c:v>
                </c:pt>
                <c:pt idx="100">
                  <c:v>50201</c:v>
                </c:pt>
                <c:pt idx="101">
                  <c:v>50293</c:v>
                </c:pt>
                <c:pt idx="102">
                  <c:v>50384</c:v>
                </c:pt>
                <c:pt idx="103">
                  <c:v>50474</c:v>
                </c:pt>
                <c:pt idx="104">
                  <c:v>50566</c:v>
                </c:pt>
                <c:pt idx="105">
                  <c:v>50658</c:v>
                </c:pt>
                <c:pt idx="106">
                  <c:v>50749</c:v>
                </c:pt>
                <c:pt idx="107">
                  <c:v>50839</c:v>
                </c:pt>
                <c:pt idx="108">
                  <c:v>50931</c:v>
                </c:pt>
                <c:pt idx="109">
                  <c:v>51025</c:v>
                </c:pt>
                <c:pt idx="110">
                  <c:v>51116</c:v>
                </c:pt>
                <c:pt idx="111">
                  <c:v>51207</c:v>
                </c:pt>
                <c:pt idx="112">
                  <c:v>51299</c:v>
                </c:pt>
                <c:pt idx="113">
                  <c:v>51391</c:v>
                </c:pt>
                <c:pt idx="114">
                  <c:v>51482</c:v>
                </c:pt>
                <c:pt idx="115">
                  <c:v>51572</c:v>
                </c:pt>
                <c:pt idx="116">
                  <c:v>51664</c:v>
                </c:pt>
                <c:pt idx="117">
                  <c:v>51755</c:v>
                </c:pt>
                <c:pt idx="118">
                  <c:v>51846</c:v>
                </c:pt>
                <c:pt idx="119">
                  <c:v>51937</c:v>
                </c:pt>
                <c:pt idx="120">
                  <c:v>52028</c:v>
                </c:pt>
                <c:pt idx="121">
                  <c:v>52119</c:v>
                </c:pt>
                <c:pt idx="122">
                  <c:v>52210</c:v>
                </c:pt>
                <c:pt idx="123">
                  <c:v>52301</c:v>
                </c:pt>
                <c:pt idx="124">
                  <c:v>52392</c:v>
                </c:pt>
                <c:pt idx="125">
                  <c:v>52484</c:v>
                </c:pt>
                <c:pt idx="126">
                  <c:v>52575</c:v>
                </c:pt>
                <c:pt idx="127">
                  <c:v>52666</c:v>
                </c:pt>
                <c:pt idx="128">
                  <c:v>52758</c:v>
                </c:pt>
                <c:pt idx="129">
                  <c:v>52852</c:v>
                </c:pt>
                <c:pt idx="130">
                  <c:v>52943</c:v>
                </c:pt>
                <c:pt idx="131">
                  <c:v>53031</c:v>
                </c:pt>
                <c:pt idx="132">
                  <c:v>53125</c:v>
                </c:pt>
                <c:pt idx="133">
                  <c:v>53217</c:v>
                </c:pt>
                <c:pt idx="134">
                  <c:v>53308</c:v>
                </c:pt>
                <c:pt idx="135">
                  <c:v>53398</c:v>
                </c:pt>
                <c:pt idx="136">
                  <c:v>53490</c:v>
                </c:pt>
                <c:pt idx="137">
                  <c:v>53582</c:v>
                </c:pt>
                <c:pt idx="138">
                  <c:v>53673</c:v>
                </c:pt>
                <c:pt idx="139">
                  <c:v>53763</c:v>
                </c:pt>
                <c:pt idx="140">
                  <c:v>53855</c:v>
                </c:pt>
                <c:pt idx="141">
                  <c:v>53946</c:v>
                </c:pt>
                <c:pt idx="142">
                  <c:v>54037</c:v>
                </c:pt>
                <c:pt idx="143">
                  <c:v>54128</c:v>
                </c:pt>
                <c:pt idx="144">
                  <c:v>54219</c:v>
                </c:pt>
                <c:pt idx="145">
                  <c:v>54311</c:v>
                </c:pt>
                <c:pt idx="146">
                  <c:v>54402</c:v>
                </c:pt>
                <c:pt idx="147">
                  <c:v>54492</c:v>
                </c:pt>
                <c:pt idx="148">
                  <c:v>54584</c:v>
                </c:pt>
                <c:pt idx="149">
                  <c:v>54676</c:v>
                </c:pt>
                <c:pt idx="150">
                  <c:v>54767</c:v>
                </c:pt>
                <c:pt idx="151">
                  <c:v>54857</c:v>
                </c:pt>
                <c:pt idx="152">
                  <c:v>54949</c:v>
                </c:pt>
                <c:pt idx="153">
                  <c:v>55043</c:v>
                </c:pt>
                <c:pt idx="154">
                  <c:v>55134</c:v>
                </c:pt>
                <c:pt idx="155">
                  <c:v>55222</c:v>
                </c:pt>
                <c:pt idx="156">
                  <c:v>55316</c:v>
                </c:pt>
                <c:pt idx="157">
                  <c:v>55408</c:v>
                </c:pt>
                <c:pt idx="158">
                  <c:v>55499</c:v>
                </c:pt>
                <c:pt idx="159">
                  <c:v>55590</c:v>
                </c:pt>
                <c:pt idx="160">
                  <c:v>55682</c:v>
                </c:pt>
                <c:pt idx="161">
                  <c:v>55773</c:v>
                </c:pt>
                <c:pt idx="162">
                  <c:v>55864</c:v>
                </c:pt>
                <c:pt idx="163">
                  <c:v>55955</c:v>
                </c:pt>
                <c:pt idx="164">
                  <c:v>56046</c:v>
                </c:pt>
                <c:pt idx="165">
                  <c:v>56137</c:v>
                </c:pt>
                <c:pt idx="166">
                  <c:v>56228</c:v>
                </c:pt>
                <c:pt idx="167">
                  <c:v>56319</c:v>
                </c:pt>
                <c:pt idx="168">
                  <c:v>56410</c:v>
                </c:pt>
                <c:pt idx="169">
                  <c:v>56502</c:v>
                </c:pt>
                <c:pt idx="170">
                  <c:v>56593</c:v>
                </c:pt>
                <c:pt idx="171">
                  <c:v>56683</c:v>
                </c:pt>
                <c:pt idx="172">
                  <c:v>56775</c:v>
                </c:pt>
                <c:pt idx="173">
                  <c:v>56867</c:v>
                </c:pt>
                <c:pt idx="174">
                  <c:v>56958</c:v>
                </c:pt>
                <c:pt idx="175">
                  <c:v>57049</c:v>
                </c:pt>
                <c:pt idx="176">
                  <c:v>57143</c:v>
                </c:pt>
                <c:pt idx="177">
                  <c:v>57235</c:v>
                </c:pt>
                <c:pt idx="178">
                  <c:v>57326</c:v>
                </c:pt>
                <c:pt idx="179">
                  <c:v>57416</c:v>
                </c:pt>
                <c:pt idx="180">
                  <c:v>57508</c:v>
                </c:pt>
                <c:pt idx="181">
                  <c:v>57600</c:v>
                </c:pt>
                <c:pt idx="182">
                  <c:v>57691</c:v>
                </c:pt>
                <c:pt idx="183">
                  <c:v>57781</c:v>
                </c:pt>
                <c:pt idx="184">
                  <c:v>57873</c:v>
                </c:pt>
                <c:pt idx="185">
                  <c:v>57964</c:v>
                </c:pt>
                <c:pt idx="186">
                  <c:v>58055</c:v>
                </c:pt>
                <c:pt idx="187">
                  <c:v>58146</c:v>
                </c:pt>
                <c:pt idx="188">
                  <c:v>58237</c:v>
                </c:pt>
                <c:pt idx="189">
                  <c:v>58328</c:v>
                </c:pt>
                <c:pt idx="190">
                  <c:v>58419</c:v>
                </c:pt>
                <c:pt idx="191">
                  <c:v>58510</c:v>
                </c:pt>
                <c:pt idx="192">
                  <c:v>58602</c:v>
                </c:pt>
                <c:pt idx="193">
                  <c:v>58694</c:v>
                </c:pt>
                <c:pt idx="194">
                  <c:v>58785</c:v>
                </c:pt>
                <c:pt idx="195">
                  <c:v>58875</c:v>
                </c:pt>
                <c:pt idx="196">
                  <c:v>58967</c:v>
                </c:pt>
                <c:pt idx="197">
                  <c:v>59061</c:v>
                </c:pt>
                <c:pt idx="198">
                  <c:v>59152</c:v>
                </c:pt>
                <c:pt idx="199">
                  <c:v>59240</c:v>
                </c:pt>
                <c:pt idx="200">
                  <c:v>59334</c:v>
                </c:pt>
                <c:pt idx="201">
                  <c:v>59426</c:v>
                </c:pt>
                <c:pt idx="202">
                  <c:v>59517</c:v>
                </c:pt>
                <c:pt idx="203">
                  <c:v>59607</c:v>
                </c:pt>
                <c:pt idx="204">
                  <c:v>59699</c:v>
                </c:pt>
                <c:pt idx="205">
                  <c:v>59791</c:v>
                </c:pt>
                <c:pt idx="206">
                  <c:v>59882</c:v>
                </c:pt>
                <c:pt idx="207">
                  <c:v>59973</c:v>
                </c:pt>
                <c:pt idx="208">
                  <c:v>60064</c:v>
                </c:pt>
                <c:pt idx="209">
                  <c:v>60155</c:v>
                </c:pt>
                <c:pt idx="210">
                  <c:v>60246</c:v>
                </c:pt>
                <c:pt idx="211">
                  <c:v>60337</c:v>
                </c:pt>
                <c:pt idx="212">
                  <c:v>60428</c:v>
                </c:pt>
                <c:pt idx="213">
                  <c:v>60520</c:v>
                </c:pt>
                <c:pt idx="214">
                  <c:v>60611</c:v>
                </c:pt>
                <c:pt idx="215">
                  <c:v>60701</c:v>
                </c:pt>
                <c:pt idx="216">
                  <c:v>60793</c:v>
                </c:pt>
                <c:pt idx="217">
                  <c:v>60885</c:v>
                </c:pt>
                <c:pt idx="218">
                  <c:v>60976</c:v>
                </c:pt>
                <c:pt idx="219">
                  <c:v>61066</c:v>
                </c:pt>
                <c:pt idx="220">
                  <c:v>61158</c:v>
                </c:pt>
                <c:pt idx="221">
                  <c:v>61252</c:v>
                </c:pt>
                <c:pt idx="222">
                  <c:v>61343</c:v>
                </c:pt>
                <c:pt idx="223">
                  <c:v>61434</c:v>
                </c:pt>
                <c:pt idx="224">
                  <c:v>61526</c:v>
                </c:pt>
                <c:pt idx="225">
                  <c:v>61618</c:v>
                </c:pt>
                <c:pt idx="226">
                  <c:v>61709</c:v>
                </c:pt>
                <c:pt idx="227">
                  <c:v>61799</c:v>
                </c:pt>
                <c:pt idx="228">
                  <c:v>61891</c:v>
                </c:pt>
                <c:pt idx="229">
                  <c:v>61982</c:v>
                </c:pt>
                <c:pt idx="230">
                  <c:v>62073</c:v>
                </c:pt>
                <c:pt idx="231">
                  <c:v>62164</c:v>
                </c:pt>
                <c:pt idx="232">
                  <c:v>62255</c:v>
                </c:pt>
                <c:pt idx="233">
                  <c:v>62346</c:v>
                </c:pt>
                <c:pt idx="234">
                  <c:v>62437</c:v>
                </c:pt>
                <c:pt idx="235">
                  <c:v>62528</c:v>
                </c:pt>
                <c:pt idx="236">
                  <c:v>62619</c:v>
                </c:pt>
                <c:pt idx="237">
                  <c:v>62711</c:v>
                </c:pt>
                <c:pt idx="238">
                  <c:v>62802</c:v>
                </c:pt>
                <c:pt idx="239">
                  <c:v>62893</c:v>
                </c:pt>
                <c:pt idx="240">
                  <c:v>62985</c:v>
                </c:pt>
                <c:pt idx="241">
                  <c:v>63079</c:v>
                </c:pt>
                <c:pt idx="242">
                  <c:v>63170</c:v>
                </c:pt>
                <c:pt idx="243">
                  <c:v>63258</c:v>
                </c:pt>
                <c:pt idx="244">
                  <c:v>63352</c:v>
                </c:pt>
                <c:pt idx="245">
                  <c:v>63444</c:v>
                </c:pt>
                <c:pt idx="246">
                  <c:v>63535</c:v>
                </c:pt>
                <c:pt idx="247">
                  <c:v>63625</c:v>
                </c:pt>
                <c:pt idx="248">
                  <c:v>63717</c:v>
                </c:pt>
                <c:pt idx="249">
                  <c:v>63809</c:v>
                </c:pt>
                <c:pt idx="250">
                  <c:v>63900</c:v>
                </c:pt>
              </c:numCache>
            </c:numRef>
          </c:cat>
          <c:val>
            <c:numRef>
              <c:f>'3M Basis'!$V$3:$V$1310</c:f>
              <c:numCache>
                <c:formatCode>0.0000%</c:formatCode>
                <c:ptCount val="1308"/>
                <c:pt idx="0">
                  <c:v>1.1201574658142358E-3</c:v>
                </c:pt>
                <c:pt idx="1">
                  <c:v>1.1904854212387518E-3</c:v>
                </c:pt>
                <c:pt idx="2">
                  <c:v>1.261463603381274E-3</c:v>
                </c:pt>
                <c:pt idx="3">
                  <c:v>1.3187416734564169E-3</c:v>
                </c:pt>
                <c:pt idx="4">
                  <c:v>1.3626242158623989E-3</c:v>
                </c:pt>
                <c:pt idx="5">
                  <c:v>1.3685637828163228E-3</c:v>
                </c:pt>
                <c:pt idx="6">
                  <c:v>1.3585758975519391E-3</c:v>
                </c:pt>
                <c:pt idx="7">
                  <c:v>1.3351701744366796E-3</c:v>
                </c:pt>
                <c:pt idx="8">
                  <c:v>1.3432926068870366E-3</c:v>
                </c:pt>
                <c:pt idx="9">
                  <c:v>1.3763306175916474E-3</c:v>
                </c:pt>
                <c:pt idx="10">
                  <c:v>1.4041898412264411E-3</c:v>
                </c:pt>
                <c:pt idx="11">
                  <c:v>1.4071263906107155E-3</c:v>
                </c:pt>
                <c:pt idx="12">
                  <c:v>1.3947233708364215E-3</c:v>
                </c:pt>
                <c:pt idx="13">
                  <c:v>1.4062166097526746E-3</c:v>
                </c:pt>
                <c:pt idx="14">
                  <c:v>1.4315354124114586E-3</c:v>
                </c:pt>
                <c:pt idx="15">
                  <c:v>1.4579206380852493E-3</c:v>
                </c:pt>
                <c:pt idx="16">
                  <c:v>1.4589592437928784E-3</c:v>
                </c:pt>
                <c:pt idx="17">
                  <c:v>1.4385693136828945E-3</c:v>
                </c:pt>
                <c:pt idx="18">
                  <c:v>1.4121666692193057E-3</c:v>
                </c:pt>
                <c:pt idx="19">
                  <c:v>1.5145999534220264E-3</c:v>
                </c:pt>
                <c:pt idx="20">
                  <c:v>1.5900421762701186E-3</c:v>
                </c:pt>
                <c:pt idx="21">
                  <c:v>1.5744762842673479E-3</c:v>
                </c:pt>
                <c:pt idx="22">
                  <c:v>1.5378276929913781E-3</c:v>
                </c:pt>
                <c:pt idx="23">
                  <c:v>1.4796430557934247E-3</c:v>
                </c:pt>
                <c:pt idx="24">
                  <c:v>1.4104871785347584E-3</c:v>
                </c:pt>
                <c:pt idx="25">
                  <c:v>1.3709552139015311E-3</c:v>
                </c:pt>
                <c:pt idx="26">
                  <c:v>1.3691885547295612E-3</c:v>
                </c:pt>
                <c:pt idx="27">
                  <c:v>1.4050648586095204E-3</c:v>
                </c:pt>
                <c:pt idx="28">
                  <c:v>1.4667811763710448E-3</c:v>
                </c:pt>
                <c:pt idx="29">
                  <c:v>1.5064380532252026E-3</c:v>
                </c:pt>
                <c:pt idx="30">
                  <c:v>1.5143246701381421E-3</c:v>
                </c:pt>
                <c:pt idx="31">
                  <c:v>1.4899024431391794E-3</c:v>
                </c:pt>
                <c:pt idx="32">
                  <c:v>1.4435150133713763E-3</c:v>
                </c:pt>
                <c:pt idx="33">
                  <c:v>1.411958768296015E-3</c:v>
                </c:pt>
                <c:pt idx="34">
                  <c:v>1.404227809605807E-3</c:v>
                </c:pt>
                <c:pt idx="35">
                  <c:v>1.4202353757007628E-3</c:v>
                </c:pt>
                <c:pt idx="36">
                  <c:v>1.4501779238156216E-3</c:v>
                </c:pt>
                <c:pt idx="37">
                  <c:v>1.4562492159333577E-3</c:v>
                </c:pt>
                <c:pt idx="38">
                  <c:v>1.4303416596375129E-3</c:v>
                </c:pt>
                <c:pt idx="39">
                  <c:v>1.372374854701354E-3</c:v>
                </c:pt>
                <c:pt idx="40">
                  <c:v>1.2944102864152519E-3</c:v>
                </c:pt>
                <c:pt idx="41">
                  <c:v>1.250088606714557E-3</c:v>
                </c:pt>
                <c:pt idx="42">
                  <c:v>1.2514115823679811E-3</c:v>
                </c:pt>
                <c:pt idx="43">
                  <c:v>1.2962185257462851E-3</c:v>
                </c:pt>
                <c:pt idx="44">
                  <c:v>1.3725519041660056E-3</c:v>
                </c:pt>
                <c:pt idx="45">
                  <c:v>1.4253790551127972E-3</c:v>
                </c:pt>
                <c:pt idx="46">
                  <c:v>1.4442463450243005E-3</c:v>
                </c:pt>
                <c:pt idx="47">
                  <c:v>1.4293609130665227E-3</c:v>
                </c:pt>
                <c:pt idx="48">
                  <c:v>1.3826376131096697E-3</c:v>
                </c:pt>
                <c:pt idx="49">
                  <c:v>1.3149492552843901E-3</c:v>
                </c:pt>
                <c:pt idx="50">
                  <c:v>1.227962810187222E-3</c:v>
                </c:pt>
                <c:pt idx="51">
                  <c:v>1.1198810328393941E-3</c:v>
                </c:pt>
                <c:pt idx="52">
                  <c:v>1.0107386591979954E-3</c:v>
                </c:pt>
                <c:pt idx="53">
                  <c:v>9.6345885826069205E-4</c:v>
                </c:pt>
                <c:pt idx="54">
                  <c:v>9.9214207066289362E-4</c:v>
                </c:pt>
                <c:pt idx="55">
                  <c:v>1.0995564418839338E-3</c:v>
                </c:pt>
                <c:pt idx="56">
                  <c:v>1.2567505787902424E-3</c:v>
                </c:pt>
                <c:pt idx="57">
                  <c:v>1.3699517102161093E-3</c:v>
                </c:pt>
                <c:pt idx="58">
                  <c:v>1.4157561689165377E-3</c:v>
                </c:pt>
                <c:pt idx="59">
                  <c:v>1.3955384640076604E-3</c:v>
                </c:pt>
                <c:pt idx="60">
                  <c:v>1.3207157270118779E-3</c:v>
                </c:pt>
                <c:pt idx="61">
                  <c:v>1.2412790940497104E-3</c:v>
                </c:pt>
                <c:pt idx="62">
                  <c:v>1.1689325049126648E-3</c:v>
                </c:pt>
                <c:pt idx="63">
                  <c:v>1.1023206371339224E-3</c:v>
                </c:pt>
                <c:pt idx="64">
                  <c:v>1.0418307934938857E-3</c:v>
                </c:pt>
                <c:pt idx="65">
                  <c:v>9.8907526306377114E-4</c:v>
                </c:pt>
                <c:pt idx="66">
                  <c:v>9.4342394197610702E-4</c:v>
                </c:pt>
                <c:pt idx="67">
                  <c:v>9.0423753355343278E-4</c:v>
                </c:pt>
                <c:pt idx="68">
                  <c:v>8.7116779537862316E-4</c:v>
                </c:pt>
                <c:pt idx="69">
                  <c:v>8.4487365617635576E-4</c:v>
                </c:pt>
                <c:pt idx="70">
                  <c:v>8.2539174158036133E-4</c:v>
                </c:pt>
                <c:pt idx="71">
                  <c:v>8.1249860887050787E-4</c:v>
                </c:pt>
                <c:pt idx="72">
                  <c:v>8.0475586380193351E-4</c:v>
                </c:pt>
                <c:pt idx="73">
                  <c:v>7.9776604367279291E-4</c:v>
                </c:pt>
                <c:pt idx="74">
                  <c:v>7.9035564764762256E-4</c:v>
                </c:pt>
                <c:pt idx="75">
                  <c:v>7.825195417799774E-4</c:v>
                </c:pt>
                <c:pt idx="76">
                  <c:v>7.7425460053640732E-4</c:v>
                </c:pt>
                <c:pt idx="77">
                  <c:v>7.6557117249851162E-4</c:v>
                </c:pt>
                <c:pt idx="78">
                  <c:v>7.5645670570665888E-4</c:v>
                </c:pt>
                <c:pt idx="79">
                  <c:v>7.4690205464293322E-4</c:v>
                </c:pt>
                <c:pt idx="80">
                  <c:v>7.3682023964878607E-4</c:v>
                </c:pt>
                <c:pt idx="81">
                  <c:v>7.2632325247157931E-4</c:v>
                </c:pt>
                <c:pt idx="82">
                  <c:v>7.1551852749607292E-4</c:v>
                </c:pt>
                <c:pt idx="83">
                  <c:v>7.0434031422218421E-4</c:v>
                </c:pt>
                <c:pt idx="84">
                  <c:v>6.9247132039888804E-4</c:v>
                </c:pt>
                <c:pt idx="85">
                  <c:v>6.8004892320734991E-4</c:v>
                </c:pt>
                <c:pt idx="86">
                  <c:v>6.6750344824956578E-4</c:v>
                </c:pt>
                <c:pt idx="87">
                  <c:v>6.5484791073626078E-4</c:v>
                </c:pt>
                <c:pt idx="88">
                  <c:v>6.4109273479188988E-4</c:v>
                </c:pt>
                <c:pt idx="89">
                  <c:v>6.2715934478586866E-4</c:v>
                </c:pt>
                <c:pt idx="90">
                  <c:v>6.1295676344741423E-4</c:v>
                </c:pt>
                <c:pt idx="91">
                  <c:v>5.9834046204123095E-4</c:v>
                </c:pt>
                <c:pt idx="92">
                  <c:v>5.8327197109751816E-4</c:v>
                </c:pt>
                <c:pt idx="93">
                  <c:v>5.6872591743369408E-4</c:v>
                </c:pt>
                <c:pt idx="94">
                  <c:v>5.5490365476387055E-4</c:v>
                </c:pt>
                <c:pt idx="95">
                  <c:v>5.4165047297730778E-4</c:v>
                </c:pt>
                <c:pt idx="96">
                  <c:v>5.2905816647283097E-4</c:v>
                </c:pt>
                <c:pt idx="97">
                  <c:v>5.1711882759523584E-4</c:v>
                </c:pt>
                <c:pt idx="98">
                  <c:v>5.05787527838919E-4</c:v>
                </c:pt>
                <c:pt idx="99">
                  <c:v>4.9496186898307509E-4</c:v>
                </c:pt>
                <c:pt idx="100">
                  <c:v>4.8482290161478911E-4</c:v>
                </c:pt>
                <c:pt idx="101">
                  <c:v>4.752241067203615E-4</c:v>
                </c:pt>
                <c:pt idx="102">
                  <c:v>4.6634056572436577E-4</c:v>
                </c:pt>
                <c:pt idx="103">
                  <c:v>4.5808389325166163E-4</c:v>
                </c:pt>
                <c:pt idx="104">
                  <c:v>4.5031547611339845E-4</c:v>
                </c:pt>
                <c:pt idx="105">
                  <c:v>4.4318996605541977E-4</c:v>
                </c:pt>
                <c:pt idx="106">
                  <c:v>4.3675205479232204E-4</c:v>
                </c:pt>
                <c:pt idx="107">
                  <c:v>4.3094954294413748E-4</c:v>
                </c:pt>
                <c:pt idx="108">
                  <c:v>4.2565034975917612E-4</c:v>
                </c:pt>
                <c:pt idx="109">
                  <c:v>4.2091690021011513E-4</c:v>
                </c:pt>
                <c:pt idx="110">
                  <c:v>4.1693532350046275E-4</c:v>
                </c:pt>
                <c:pt idx="111">
                  <c:v>4.1356823673503393E-4</c:v>
                </c:pt>
                <c:pt idx="112">
                  <c:v>4.1062891426526735E-4</c:v>
                </c:pt>
                <c:pt idx="113">
                  <c:v>4.0759803648831444E-4</c:v>
                </c:pt>
                <c:pt idx="114">
                  <c:v>4.0439308561524001E-4</c:v>
                </c:pt>
                <c:pt idx="115">
                  <c:v>4.0101604062642987E-4</c:v>
                </c:pt>
                <c:pt idx="116">
                  <c:v>3.9735396803169606E-4</c:v>
                </c:pt>
                <c:pt idx="117">
                  <c:v>3.9352635200518016E-4</c:v>
                </c:pt>
                <c:pt idx="118">
                  <c:v>3.8949288977718766E-4</c:v>
                </c:pt>
                <c:pt idx="119">
                  <c:v>3.8523309840023459E-4</c:v>
                </c:pt>
                <c:pt idx="120">
                  <c:v>3.8077589286253724E-4</c:v>
                </c:pt>
                <c:pt idx="121">
                  <c:v>3.7611968973536719E-4</c:v>
                </c:pt>
                <c:pt idx="122">
                  <c:v>3.7125764740864042E-4</c:v>
                </c:pt>
                <c:pt idx="123">
                  <c:v>3.6615334447909556E-4</c:v>
                </c:pt>
                <c:pt idx="124">
                  <c:v>3.6086213485299681E-4</c:v>
                </c:pt>
                <c:pt idx="125">
                  <c:v>3.5531566048967872E-4</c:v>
                </c:pt>
                <c:pt idx="126">
                  <c:v>3.4960642481820028E-4</c:v>
                </c:pt>
                <c:pt idx="127">
                  <c:v>3.4367101450226423E-4</c:v>
                </c:pt>
                <c:pt idx="128">
                  <c:v>3.3743670930048639E-4</c:v>
                </c:pt>
                <c:pt idx="129">
                  <c:v>3.3094398789226126E-4</c:v>
                </c:pt>
                <c:pt idx="130">
                  <c:v>3.2439119443979092E-4</c:v>
                </c:pt>
                <c:pt idx="131">
                  <c:v>3.1778635339973355E-4</c:v>
                </c:pt>
                <c:pt idx="132">
                  <c:v>3.1070829907203432E-4</c:v>
                </c:pt>
                <c:pt idx="133">
                  <c:v>3.0387461923796905E-4</c:v>
                </c:pt>
                <c:pt idx="134">
                  <c:v>2.9728530408856813E-4</c:v>
                </c:pt>
                <c:pt idx="135">
                  <c:v>2.9087124581548066E-4</c:v>
                </c:pt>
                <c:pt idx="136">
                  <c:v>2.845314785643073E-4</c:v>
                </c:pt>
                <c:pt idx="137">
                  <c:v>2.7838562902805439E-4</c:v>
                </c:pt>
                <c:pt idx="138">
                  <c:v>2.7247675129693505E-4</c:v>
                </c:pt>
                <c:pt idx="139">
                  <c:v>2.6674384017165084E-4</c:v>
                </c:pt>
                <c:pt idx="140">
                  <c:v>2.6109496766971857E-4</c:v>
                </c:pt>
                <c:pt idx="141">
                  <c:v>2.5569597530294974E-4</c:v>
                </c:pt>
                <c:pt idx="142">
                  <c:v>2.504496683826303E-4</c:v>
                </c:pt>
                <c:pt idx="143">
                  <c:v>2.4535814070469897E-4</c:v>
                </c:pt>
                <c:pt idx="144">
                  <c:v>2.4045353457564228E-4</c:v>
                </c:pt>
                <c:pt idx="145">
                  <c:v>2.356826896570928E-4</c:v>
                </c:pt>
                <c:pt idx="146">
                  <c:v>2.3113393658391601E-4</c:v>
                </c:pt>
                <c:pt idx="147">
                  <c:v>2.2676300469979399E-4</c:v>
                </c:pt>
                <c:pt idx="148">
                  <c:v>2.2249519575006857E-4</c:v>
                </c:pt>
                <c:pt idx="149">
                  <c:v>2.1841318521875069E-4</c:v>
                </c:pt>
                <c:pt idx="150">
                  <c:v>2.1454576529134073E-4</c:v>
                </c:pt>
                <c:pt idx="151">
                  <c:v>2.1085740460538571E-4</c:v>
                </c:pt>
                <c:pt idx="152">
                  <c:v>2.0726303928195189E-4</c:v>
                </c:pt>
                <c:pt idx="153">
                  <c:v>2.0381637893813684E-4</c:v>
                </c:pt>
                <c:pt idx="154">
                  <c:v>2.0062641041144677E-4</c:v>
                </c:pt>
                <c:pt idx="155">
                  <c:v>1.9768303733447984E-4</c:v>
                </c:pt>
                <c:pt idx="156">
                  <c:v>1.9475224973132879E-4</c:v>
                </c:pt>
                <c:pt idx="157">
                  <c:v>1.9205192709994059E-4</c:v>
                </c:pt>
                <c:pt idx="158">
                  <c:v>1.8954644269713466E-4</c:v>
                </c:pt>
                <c:pt idx="159">
                  <c:v>1.8720777820294826E-4</c:v>
                </c:pt>
                <c:pt idx="160">
                  <c:v>1.8502156158998681E-4</c:v>
                </c:pt>
                <c:pt idx="161">
                  <c:v>1.8303294093017369E-4</c:v>
                </c:pt>
                <c:pt idx="162">
                  <c:v>1.812133732173038E-4</c:v>
                </c:pt>
                <c:pt idx="163">
                  <c:v>1.7956090991306552E-4</c:v>
                </c:pt>
                <c:pt idx="164">
                  <c:v>1.7808196813619281E-4</c:v>
                </c:pt>
                <c:pt idx="165">
                  <c:v>1.7677265611831458E-4</c:v>
                </c:pt>
                <c:pt idx="166">
                  <c:v>1.7563231650896682E-4</c:v>
                </c:pt>
                <c:pt idx="167">
                  <c:v>1.746688307278383E-4</c:v>
                </c:pt>
                <c:pt idx="168">
                  <c:v>1.7387230468879876E-4</c:v>
                </c:pt>
                <c:pt idx="169">
                  <c:v>1.732360937294411E-4</c:v>
                </c:pt>
                <c:pt idx="170">
                  <c:v>1.7277656077752113E-4</c:v>
                </c:pt>
                <c:pt idx="171">
                  <c:v>1.7250606379186004E-4</c:v>
                </c:pt>
                <c:pt idx="172">
                  <c:v>1.7235379767822911E-4</c:v>
                </c:pt>
                <c:pt idx="173">
                  <c:v>1.7219154142632774E-4</c:v>
                </c:pt>
                <c:pt idx="174">
                  <c:v>1.7200046191631103E-4</c:v>
                </c:pt>
                <c:pt idx="175">
                  <c:v>1.7178865552293539E-4</c:v>
                </c:pt>
                <c:pt idx="176">
                  <c:v>1.7150475007991599E-4</c:v>
                </c:pt>
                <c:pt idx="177">
                  <c:v>1.7119485574816282E-4</c:v>
                </c:pt>
                <c:pt idx="178">
                  <c:v>1.7085224506896424E-4</c:v>
                </c:pt>
                <c:pt idx="179">
                  <c:v>1.7049044818613461E-4</c:v>
                </c:pt>
                <c:pt idx="180">
                  <c:v>1.7007487327686671E-4</c:v>
                </c:pt>
                <c:pt idx="181">
                  <c:v>1.6961855021195224E-4</c:v>
                </c:pt>
                <c:pt idx="182">
                  <c:v>1.6913110361294059E-4</c:v>
                </c:pt>
                <c:pt idx="183">
                  <c:v>1.6862284559095164E-4</c:v>
                </c:pt>
                <c:pt idx="184">
                  <c:v>1.6805976611312598E-4</c:v>
                </c:pt>
                <c:pt idx="185">
                  <c:v>1.6746371671789648E-4</c:v>
                </c:pt>
                <c:pt idx="186">
                  <c:v>1.6683180577015122E-4</c:v>
                </c:pt>
                <c:pt idx="187">
                  <c:v>1.6617003592166515E-4</c:v>
                </c:pt>
                <c:pt idx="188">
                  <c:v>1.6546737139162479E-4</c:v>
                </c:pt>
                <c:pt idx="189">
                  <c:v>1.6472683167665855E-4</c:v>
                </c:pt>
                <c:pt idx="190">
                  <c:v>1.6395165546245066E-4</c:v>
                </c:pt>
                <c:pt idx="191">
                  <c:v>1.6314109019351791E-4</c:v>
                </c:pt>
                <c:pt idx="192">
                  <c:v>1.6228336938001534E-4</c:v>
                </c:pt>
                <c:pt idx="193">
                  <c:v>1.6138795254392463E-4</c:v>
                </c:pt>
                <c:pt idx="194">
                  <c:v>1.6046615222187199E-4</c:v>
                </c:pt>
                <c:pt idx="195">
                  <c:v>1.5951921897492706E-4</c:v>
                </c:pt>
                <c:pt idx="196">
                  <c:v>1.5851346282548008E-4</c:v>
                </c:pt>
                <c:pt idx="197">
                  <c:v>1.5744877699114257E-4</c:v>
                </c:pt>
                <c:pt idx="198">
                  <c:v>1.563804106269745E-4</c:v>
                </c:pt>
                <c:pt idx="199">
                  <c:v>1.5530983914935348E-4</c:v>
                </c:pt>
                <c:pt idx="200">
                  <c:v>1.5413324663550096E-4</c:v>
                </c:pt>
                <c:pt idx="201">
                  <c:v>1.5294362950267308E-4</c:v>
                </c:pt>
                <c:pt idx="202">
                  <c:v>1.5173077973695825E-4</c:v>
                </c:pt>
                <c:pt idx="203">
                  <c:v>1.5049031331354316E-4</c:v>
                </c:pt>
                <c:pt idx="204">
                  <c:v>1.4918876355513727E-4</c:v>
                </c:pt>
                <c:pt idx="205">
                  <c:v>1.4785226584145342E-4</c:v>
                </c:pt>
                <c:pt idx="206">
                  <c:v>1.464915633606536E-4</c:v>
                </c:pt>
                <c:pt idx="207">
                  <c:v>1.4509162026354362E-4</c:v>
                </c:pt>
                <c:pt idx="208">
                  <c:v>1.4365773480795596E-4</c:v>
                </c:pt>
                <c:pt idx="209">
                  <c:v>1.4219056821468401E-4</c:v>
                </c:pt>
                <c:pt idx="210">
                  <c:v>1.4068734234218283E-4</c:v>
                </c:pt>
                <c:pt idx="211">
                  <c:v>1.391370861169184E-4</c:v>
                </c:pt>
                <c:pt idx="212">
                  <c:v>1.3757094068357623E-4</c:v>
                </c:pt>
                <c:pt idx="213">
                  <c:v>1.3601906001437826E-4</c:v>
                </c:pt>
                <c:pt idx="214">
                  <c:v>1.3452316660078623E-4</c:v>
                </c:pt>
                <c:pt idx="215">
                  <c:v>1.3307296268394962E-4</c:v>
                </c:pt>
                <c:pt idx="216">
                  <c:v>1.3163676439148161E-4</c:v>
                </c:pt>
                <c:pt idx="217">
                  <c:v>1.3024331441478798E-4</c:v>
                </c:pt>
                <c:pt idx="218">
                  <c:v>1.2890414232025194E-4</c:v>
                </c:pt>
                <c:pt idx="219">
                  <c:v>1.2761128919395667E-4</c:v>
                </c:pt>
                <c:pt idx="220">
                  <c:v>1.2633031435502554E-4</c:v>
                </c:pt>
                <c:pt idx="221">
                  <c:v>1.2507297903824668E-4</c:v>
                </c:pt>
                <c:pt idx="222">
                  <c:v>1.2388983103669808E-4</c:v>
                </c:pt>
                <c:pt idx="223">
                  <c:v>1.2274454579958884E-4</c:v>
                </c:pt>
                <c:pt idx="224">
                  <c:v>1.2162827513238252E-4</c:v>
                </c:pt>
                <c:pt idx="225">
                  <c:v>1.2055321750617347E-4</c:v>
                </c:pt>
                <c:pt idx="226">
                  <c:v>1.1952899079137325E-4</c:v>
                </c:pt>
                <c:pt idx="227">
                  <c:v>1.1855236129222624E-4</c:v>
                </c:pt>
                <c:pt idx="228">
                  <c:v>1.1759550101251952E-4</c:v>
                </c:pt>
                <c:pt idx="229">
                  <c:v>1.1668882747183085E-4</c:v>
                </c:pt>
                <c:pt idx="230">
                  <c:v>1.1582108205487884E-4</c:v>
                </c:pt>
                <c:pt idx="231">
                  <c:v>1.14992704716637E-4</c:v>
                </c:pt>
                <c:pt idx="232">
                  <c:v>1.1420376112357411E-4</c:v>
                </c:pt>
                <c:pt idx="233">
                  <c:v>1.1345360216220325E-4</c:v>
                </c:pt>
                <c:pt idx="234">
                  <c:v>1.1274237789749009E-4</c:v>
                </c:pt>
                <c:pt idx="235">
                  <c:v>1.1207293537729077E-4</c:v>
                </c:pt>
                <c:pt idx="236">
                  <c:v>1.1144133694547358E-4</c:v>
                </c:pt>
                <c:pt idx="237">
                  <c:v>1.108414327521956E-4</c:v>
                </c:pt>
                <c:pt idx="238">
                  <c:v>1.1028874944384731E-4</c:v>
                </c:pt>
                <c:pt idx="239">
                  <c:v>1.0977717871946992E-4</c:v>
                </c:pt>
                <c:pt idx="240">
                  <c:v>1.0930236069346157E-4</c:v>
                </c:pt>
                <c:pt idx="241">
                  <c:v>1.0884857809112351E-4</c:v>
                </c:pt>
                <c:pt idx="242">
                  <c:v>1.0845501732648609E-4</c:v>
                </c:pt>
                <c:pt idx="243">
                  <c:v>1.0811965309692056E-4</c:v>
                </c:pt>
                <c:pt idx="244">
                  <c:v>1.0778876572520996E-4</c:v>
                </c:pt>
                <c:pt idx="245">
                  <c:v>1.0750764367794402E-4</c:v>
                </c:pt>
                <c:pt idx="246">
                  <c:v>1.0726869717281318E-4</c:v>
                </c:pt>
                <c:pt idx="247">
                  <c:v>1.0708096276027673E-4</c:v>
                </c:pt>
                <c:pt idx="248">
                  <c:v>1.0692223417869268E-4</c:v>
                </c:pt>
                <c:pt idx="249">
                  <c:v>1.0679985837505103E-4</c:v>
                </c:pt>
                <c:pt idx="250">
                  <c:v>1.0671791863270386E-4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'3M Basis'!$Z$2</c:f>
              <c:strCache>
                <c:ptCount val="1"/>
                <c:pt idx="0">
                  <c:v>Abcd Calibration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val>
            <c:numRef>
              <c:f>'3M Basis'!$Z$3:$Z$253</c:f>
              <c:numCache>
                <c:formatCode>0.0000%</c:formatCode>
                <c:ptCount val="251"/>
                <c:pt idx="0">
                  <c:v>1.144633461533974E-3</c:v>
                </c:pt>
                <c:pt idx="1">
                  <c:v>1.1696634930767049E-3</c:v>
                </c:pt>
                <c:pt idx="2">
                  <c:v>1.1944828965299934E-3</c:v>
                </c:pt>
                <c:pt idx="3">
                  <c:v>1.2154810901933324E-3</c:v>
                </c:pt>
                <c:pt idx="4">
                  <c:v>1.2377897460193776E-3</c:v>
                </c:pt>
                <c:pt idx="5">
                  <c:v>1.2579016329543708E-3</c:v>
                </c:pt>
                <c:pt idx="6">
                  <c:v>1.2766217758805425E-3</c:v>
                </c:pt>
                <c:pt idx="7">
                  <c:v>1.2970813864993898E-3</c:v>
                </c:pt>
                <c:pt idx="8">
                  <c:v>1.314337573155089E-3</c:v>
                </c:pt>
                <c:pt idx="9">
                  <c:v>1.3309325736055825E-3</c:v>
                </c:pt>
                <c:pt idx="10">
                  <c:v>1.3490308754277791E-3</c:v>
                </c:pt>
                <c:pt idx="11">
                  <c:v>1.3642610483266121E-3</c:v>
                </c:pt>
                <c:pt idx="12">
                  <c:v>1.3793681553253489E-3</c:v>
                </c:pt>
                <c:pt idx="13">
                  <c:v>1.3947727856355857E-3</c:v>
                </c:pt>
                <c:pt idx="14">
                  <c:v>1.4081153790408958E-3</c:v>
                </c:pt>
                <c:pt idx="15">
                  <c:v>1.4226011331731877E-3</c:v>
                </c:pt>
                <c:pt idx="16">
                  <c:v>1.4351413791450953E-3</c:v>
                </c:pt>
                <c:pt idx="17">
                  <c:v>1.4467082134679502E-3</c:v>
                </c:pt>
                <c:pt idx="18">
                  <c:v>1.4588531102768232E-3</c:v>
                </c:pt>
                <c:pt idx="19">
                  <c:v>1.4890356628148227E-3</c:v>
                </c:pt>
                <c:pt idx="20">
                  <c:v>1.5163569348392812E-3</c:v>
                </c:pt>
                <c:pt idx="21">
                  <c:v>1.5385306280256462E-3</c:v>
                </c:pt>
                <c:pt idx="22">
                  <c:v>1.5563472430211334E-3</c:v>
                </c:pt>
                <c:pt idx="23">
                  <c:v>1.5702387982030148E-3</c:v>
                </c:pt>
                <c:pt idx="24">
                  <c:v>1.5808929288173505E-3</c:v>
                </c:pt>
                <c:pt idx="25">
                  <c:v>1.5882357400433514E-3</c:v>
                </c:pt>
                <c:pt idx="26">
                  <c:v>1.5924951610445863E-3</c:v>
                </c:pt>
                <c:pt idx="27">
                  <c:v>1.5940012539045945E-3</c:v>
                </c:pt>
                <c:pt idx="28">
                  <c:v>1.5929823082866767E-3</c:v>
                </c:pt>
                <c:pt idx="29">
                  <c:v>1.589638386580284E-3</c:v>
                </c:pt>
                <c:pt idx="30">
                  <c:v>1.5841664461894798E-3</c:v>
                </c:pt>
                <c:pt idx="31">
                  <c:v>1.576748862370452E-3</c:v>
                </c:pt>
                <c:pt idx="32">
                  <c:v>1.5675565386018724E-3</c:v>
                </c:pt>
                <c:pt idx="33">
                  <c:v>1.5566223841902349E-3</c:v>
                </c:pt>
                <c:pt idx="34">
                  <c:v>1.5443352597352398E-3</c:v>
                </c:pt>
                <c:pt idx="35">
                  <c:v>1.5308812539386466E-3</c:v>
                </c:pt>
                <c:pt idx="36">
                  <c:v>1.5159225211715307E-3</c:v>
                </c:pt>
                <c:pt idx="37">
                  <c:v>1.4998703365654109E-3</c:v>
                </c:pt>
                <c:pt idx="38">
                  <c:v>1.4830326721438707E-3</c:v>
                </c:pt>
                <c:pt idx="39">
                  <c:v>1.4655458477403275E-3</c:v>
                </c:pt>
                <c:pt idx="40">
                  <c:v>1.4469134556898539E-3</c:v>
                </c:pt>
                <c:pt idx="41">
                  <c:v>1.4271843446142817E-3</c:v>
                </c:pt>
                <c:pt idx="42">
                  <c:v>1.4075076861491957E-3</c:v>
                </c:pt>
                <c:pt idx="43">
                  <c:v>1.388015780989865E-3</c:v>
                </c:pt>
                <c:pt idx="44">
                  <c:v>1.3667678133230466E-3</c:v>
                </c:pt>
                <c:pt idx="45">
                  <c:v>1.3456163144677526E-3</c:v>
                </c:pt>
                <c:pt idx="46">
                  <c:v>1.3244139127801847E-3</c:v>
                </c:pt>
                <c:pt idx="47">
                  <c:v>1.3029916561536367E-3</c:v>
                </c:pt>
                <c:pt idx="48">
                  <c:v>1.2811663551844784E-3</c:v>
                </c:pt>
                <c:pt idx="49">
                  <c:v>1.259463508223359E-3</c:v>
                </c:pt>
                <c:pt idx="50">
                  <c:v>1.2376933291076539E-3</c:v>
                </c:pt>
                <c:pt idx="51">
                  <c:v>1.2158987801357945E-3</c:v>
                </c:pt>
                <c:pt idx="52">
                  <c:v>1.194119373864174E-3</c:v>
                </c:pt>
                <c:pt idx="53">
                  <c:v>1.1723913854370333E-3</c:v>
                </c:pt>
                <c:pt idx="54">
                  <c:v>1.1507480532345681E-3</c:v>
                </c:pt>
                <c:pt idx="55">
                  <c:v>1.1292197684431534E-3</c:v>
                </c:pt>
                <c:pt idx="56">
                  <c:v>1.1078342541215661E-3</c:v>
                </c:pt>
                <c:pt idx="57">
                  <c:v>1.0863845952224049E-3</c:v>
                </c:pt>
                <c:pt idx="58">
                  <c:v>1.0653601710154665E-3</c:v>
                </c:pt>
                <c:pt idx="59">
                  <c:v>1.0447750283170648E-3</c:v>
                </c:pt>
                <c:pt idx="60">
                  <c:v>1.0239653236933746E-3</c:v>
                </c:pt>
                <c:pt idx="61">
                  <c:v>1.0034082132684072E-3</c:v>
                </c:pt>
                <c:pt idx="62">
                  <c:v>9.8333816083063207E-4</c:v>
                </c:pt>
                <c:pt idx="63">
                  <c:v>9.6354358238253974E-4</c:v>
                </c:pt>
                <c:pt idx="64">
                  <c:v>9.4339808749397997E-4</c:v>
                </c:pt>
                <c:pt idx="65">
                  <c:v>9.2398877168788811E-4</c:v>
                </c:pt>
                <c:pt idx="66">
                  <c:v>9.0509877736686729E-4</c:v>
                </c:pt>
                <c:pt idx="67">
                  <c:v>8.8672547993146565E-4</c:v>
                </c:pt>
                <c:pt idx="68">
                  <c:v>8.6826813480918568E-4</c:v>
                </c:pt>
                <c:pt idx="69">
                  <c:v>8.5014410777755896E-4</c:v>
                </c:pt>
                <c:pt idx="70">
                  <c:v>8.3254940836818565E-4</c:v>
                </c:pt>
                <c:pt idx="71">
                  <c:v>8.1547652528959273E-4</c:v>
                </c:pt>
                <c:pt idx="72">
                  <c:v>7.9836447971346652E-4</c:v>
                </c:pt>
                <c:pt idx="73">
                  <c:v>7.817786249218197E-4</c:v>
                </c:pt>
                <c:pt idx="74">
                  <c:v>7.6553217152817684E-4</c:v>
                </c:pt>
                <c:pt idx="75">
                  <c:v>7.496255127636851E-4</c:v>
                </c:pt>
                <c:pt idx="76">
                  <c:v>7.3405842474705632E-4</c:v>
                </c:pt>
                <c:pt idx="77">
                  <c:v>7.1883011702517335E-4</c:v>
                </c:pt>
                <c:pt idx="78">
                  <c:v>7.0393927998175349E-4</c:v>
                </c:pt>
                <c:pt idx="79">
                  <c:v>6.8938412928696939E-4</c:v>
                </c:pt>
                <c:pt idx="80">
                  <c:v>6.7500800833486996E-4</c:v>
                </c:pt>
                <c:pt idx="81">
                  <c:v>6.6097002435837511E-4</c:v>
                </c:pt>
                <c:pt idx="82">
                  <c:v>6.4741425921341854E-4</c:v>
                </c:pt>
                <c:pt idx="83">
                  <c:v>6.3432666208267205E-4</c:v>
                </c:pt>
                <c:pt idx="84">
                  <c:v>6.212727007191655E-4</c:v>
                </c:pt>
                <c:pt idx="85">
                  <c:v>6.0826965774705185E-4</c:v>
                </c:pt>
                <c:pt idx="86">
                  <c:v>5.9599966681758243E-4</c:v>
                </c:pt>
                <c:pt idx="87">
                  <c:v>5.8442769736847459E-4</c:v>
                </c:pt>
                <c:pt idx="88">
                  <c:v>5.723808878164827E-4</c:v>
                </c:pt>
                <c:pt idx="89">
                  <c:v>5.6089981492745398E-4</c:v>
                </c:pt>
                <c:pt idx="90">
                  <c:v>5.4983978435808715E-4</c:v>
                </c:pt>
                <c:pt idx="91">
                  <c:v>5.3918626613215829E-4</c:v>
                </c:pt>
                <c:pt idx="92">
                  <c:v>5.285838653024483E-4</c:v>
                </c:pt>
                <c:pt idx="93">
                  <c:v>5.1826727588024464E-4</c:v>
                </c:pt>
                <c:pt idx="94">
                  <c:v>5.0833877396069696E-4</c:v>
                </c:pt>
                <c:pt idx="95">
                  <c:v>4.98679490044617E-4</c:v>
                </c:pt>
                <c:pt idx="96">
                  <c:v>4.8928417781024243E-4</c:v>
                </c:pt>
                <c:pt idx="97">
                  <c:v>4.8014756274429007E-4</c:v>
                </c:pt>
                <c:pt idx="98">
                  <c:v>4.7126435351631387E-4</c:v>
                </c:pt>
                <c:pt idx="99">
                  <c:v>4.6262925245758651E-4</c:v>
                </c:pt>
                <c:pt idx="100">
                  <c:v>4.5423696519923684E-4</c:v>
                </c:pt>
                <c:pt idx="101">
                  <c:v>4.4599389666581007E-4</c:v>
                </c:pt>
                <c:pt idx="102">
                  <c:v>4.380739338869261E-4</c:v>
                </c:pt>
                <c:pt idx="103">
                  <c:v>4.3046427273258736E-4</c:v>
                </c:pt>
                <c:pt idx="104">
                  <c:v>4.2290974286056669E-4</c:v>
                </c:pt>
                <c:pt idx="105">
                  <c:v>4.1557661988128451E-4</c:v>
                </c:pt>
                <c:pt idx="106">
                  <c:v>4.0853583669005406E-4</c:v>
                </c:pt>
                <c:pt idx="107">
                  <c:v>4.0177544390145514E-4</c:v>
                </c:pt>
                <c:pt idx="108">
                  <c:v>3.9506843748613222E-4</c:v>
                </c:pt>
                <c:pt idx="109">
                  <c:v>3.8842296566063818E-4</c:v>
                </c:pt>
                <c:pt idx="110">
                  <c:v>3.8218419262894842E-4</c:v>
                </c:pt>
                <c:pt idx="111">
                  <c:v>3.7613200744932268E-4</c:v>
                </c:pt>
                <c:pt idx="112">
                  <c:v>3.7019815120415908E-4</c:v>
                </c:pt>
                <c:pt idx="113">
                  <c:v>3.6444533382723823E-4</c:v>
                </c:pt>
                <c:pt idx="114">
                  <c:v>3.5892849122564957E-4</c:v>
                </c:pt>
                <c:pt idx="115">
                  <c:v>3.53637492847369E-4</c:v>
                </c:pt>
                <c:pt idx="116">
                  <c:v>3.4839425223260337E-4</c:v>
                </c:pt>
                <c:pt idx="117">
                  <c:v>3.4336805564806909E-4</c:v>
                </c:pt>
                <c:pt idx="118">
                  <c:v>3.3849674066919214E-4</c:v>
                </c:pt>
                <c:pt idx="119">
                  <c:v>3.3377610826794207E-4</c:v>
                </c:pt>
                <c:pt idx="120">
                  <c:v>3.2920204119997492E-4</c:v>
                </c:pt>
                <c:pt idx="121">
                  <c:v>3.2477050444798116E-4</c:v>
                </c:pt>
                <c:pt idx="122">
                  <c:v>3.2047754548739961E-4</c:v>
                </c:pt>
                <c:pt idx="123">
                  <c:v>3.1631929438847748E-4</c:v>
                </c:pt>
                <c:pt idx="124">
                  <c:v>3.1229196376779975E-4</c:v>
                </c:pt>
                <c:pt idx="125">
                  <c:v>3.0834968329451306E-4</c:v>
                </c:pt>
                <c:pt idx="126">
                  <c:v>3.0457449894359553E-4</c:v>
                </c:pt>
                <c:pt idx="127">
                  <c:v>3.0091932724485922E-4</c:v>
                </c:pt>
                <c:pt idx="128">
                  <c:v>2.9734245767551329E-4</c:v>
                </c:pt>
                <c:pt idx="129">
                  <c:v>2.9380724052550185E-4</c:v>
                </c:pt>
                <c:pt idx="130">
                  <c:v>2.9049642671169512E-4</c:v>
                </c:pt>
                <c:pt idx="131">
                  <c:v>2.8739609931988889E-4</c:v>
                </c:pt>
                <c:pt idx="132">
                  <c:v>2.8419120539173226E-4</c:v>
                </c:pt>
                <c:pt idx="133">
                  <c:v>2.8115816964689093E-4</c:v>
                </c:pt>
                <c:pt idx="134">
                  <c:v>2.7825594363004079E-4</c:v>
                </c:pt>
                <c:pt idx="135">
                  <c:v>2.7547845700542494E-4</c:v>
                </c:pt>
                <c:pt idx="136">
                  <c:v>2.7273181567507025E-4</c:v>
                </c:pt>
                <c:pt idx="137">
                  <c:v>2.7007592436274405E-4</c:v>
                </c:pt>
                <c:pt idx="138">
                  <c:v>2.675354514191499E-4</c:v>
                </c:pt>
                <c:pt idx="139">
                  <c:v>2.6510498167580992E-4</c:v>
                </c:pt>
                <c:pt idx="140">
                  <c:v>2.6270229603717933E-4</c:v>
                </c:pt>
                <c:pt idx="141">
                  <c:v>2.6040457986274397E-4</c:v>
                </c:pt>
                <c:pt idx="142">
                  <c:v>2.5818286097259273E-4</c:v>
                </c:pt>
                <c:pt idx="143">
                  <c:v>2.5603478875385654E-4</c:v>
                </c:pt>
                <c:pt idx="144">
                  <c:v>2.5395807681152907E-4</c:v>
                </c:pt>
                <c:pt idx="145">
                  <c:v>2.5192881636276212E-4</c:v>
                </c:pt>
                <c:pt idx="146">
                  <c:v>2.4998894045255484E-4</c:v>
                </c:pt>
                <c:pt idx="147">
                  <c:v>2.481341750146356E-4</c:v>
                </c:pt>
                <c:pt idx="148">
                  <c:v>2.463016992996041E-4</c:v>
                </c:pt>
                <c:pt idx="149">
                  <c:v>2.4453139296843425E-4</c:v>
                </c:pt>
                <c:pt idx="150">
                  <c:v>2.4283953643195543E-4</c:v>
                </c:pt>
                <c:pt idx="151">
                  <c:v>2.412223472791437E-4</c:v>
                </c:pt>
                <c:pt idx="152">
                  <c:v>2.3962502115577647E-4</c:v>
                </c:pt>
                <c:pt idx="153">
                  <c:v>2.3804935380007883E-4</c:v>
                </c:pt>
                <c:pt idx="154">
                  <c:v>2.3657649743098302E-4</c:v>
                </c:pt>
                <c:pt idx="155">
                  <c:v>2.3519976043594868E-4</c:v>
                </c:pt>
                <c:pt idx="156">
                  <c:v>2.3377914686255905E-4</c:v>
                </c:pt>
                <c:pt idx="157">
                  <c:v>2.3243713952314179E-4</c:v>
                </c:pt>
                <c:pt idx="158">
                  <c:v>2.3115525267484435E-4</c:v>
                </c:pt>
                <c:pt idx="159">
                  <c:v>2.2991717245056991E-4</c:v>
                </c:pt>
                <c:pt idx="160">
                  <c:v>2.2870856122058072E-4</c:v>
                </c:pt>
                <c:pt idx="161">
                  <c:v>2.2755429550637998E-4</c:v>
                </c:pt>
                <c:pt idx="162">
                  <c:v>2.2643966529406197E-4</c:v>
                </c:pt>
                <c:pt idx="163">
                  <c:v>2.2536336873695386E-4</c:v>
                </c:pt>
                <c:pt idx="164">
                  <c:v>2.2432414378083021E-4</c:v>
                </c:pt>
                <c:pt idx="165">
                  <c:v>2.2332076710318682E-4</c:v>
                </c:pt>
                <c:pt idx="166">
                  <c:v>2.2235205307202414E-4</c:v>
                </c:pt>
                <c:pt idx="167">
                  <c:v>2.2141685272434857E-4</c:v>
                </c:pt>
                <c:pt idx="168">
                  <c:v>2.2051405276454804E-4</c:v>
                </c:pt>
                <c:pt idx="169">
                  <c:v>2.1963316796703552E-4</c:v>
                </c:pt>
                <c:pt idx="170">
                  <c:v>2.1879229370932849E-4</c:v>
                </c:pt>
                <c:pt idx="171">
                  <c:v>2.1798943679291854E-4</c:v>
                </c:pt>
                <c:pt idx="172">
                  <c:v>2.1719732683461227E-4</c:v>
                </c:pt>
                <c:pt idx="173">
                  <c:v>2.1643314578428851E-4</c:v>
                </c:pt>
                <c:pt idx="174">
                  <c:v>2.1570381563009578E-4</c:v>
                </c:pt>
                <c:pt idx="175">
                  <c:v>2.1499999231155924E-4</c:v>
                </c:pt>
                <c:pt idx="176">
                  <c:v>2.1429883431476441E-4</c:v>
                </c:pt>
                <c:pt idx="177">
                  <c:v>2.1363717610998033E-4</c:v>
                </c:pt>
                <c:pt idx="178">
                  <c:v>2.1300580978076815E-4</c:v>
                </c:pt>
                <c:pt idx="179">
                  <c:v>2.1240321095843684E-4</c:v>
                </c:pt>
                <c:pt idx="180">
                  <c:v>2.1180889598026558E-4</c:v>
                </c:pt>
                <c:pt idx="181">
                  <c:v>2.1123574514578063E-4</c:v>
                </c:pt>
                <c:pt idx="182">
                  <c:v>2.1068892909361609E-4</c:v>
                </c:pt>
                <c:pt idx="183">
                  <c:v>2.1016711654311217E-4</c:v>
                </c:pt>
                <c:pt idx="184">
                  <c:v>2.0965256381560949E-4</c:v>
                </c:pt>
                <c:pt idx="185">
                  <c:v>2.0916171433621293E-4</c:v>
                </c:pt>
                <c:pt idx="186">
                  <c:v>2.0868825547651958E-4</c:v>
                </c:pt>
                <c:pt idx="187">
                  <c:v>2.0823158916830363E-4</c:v>
                </c:pt>
                <c:pt idx="188">
                  <c:v>2.0779113703251785E-4</c:v>
                </c:pt>
                <c:pt idx="189">
                  <c:v>2.0736633977509373E-4</c:v>
                </c:pt>
                <c:pt idx="190">
                  <c:v>2.0695665659898105E-4</c:v>
                </c:pt>
                <c:pt idx="191">
                  <c:v>2.0656156463212026E-4</c:v>
                </c:pt>
                <c:pt idx="192">
                  <c:v>2.0617644789868448E-4</c:v>
                </c:pt>
                <c:pt idx="193">
                  <c:v>2.0580522330827504E-4</c:v>
                </c:pt>
                <c:pt idx="194">
                  <c:v>2.054512220015892E-4</c:v>
                </c:pt>
                <c:pt idx="195">
                  <c:v>2.0511356274333014E-4</c:v>
                </c:pt>
                <c:pt idx="196">
                  <c:v>2.0478075305516394E-4</c:v>
                </c:pt>
                <c:pt idx="197">
                  <c:v>2.0445315268226302E-4</c:v>
                </c:pt>
                <c:pt idx="198">
                  <c:v>2.0414756546530079E-4</c:v>
                </c:pt>
                <c:pt idx="199">
                  <c:v>2.0386248858014487E-4</c:v>
                </c:pt>
                <c:pt idx="200">
                  <c:v>2.0356891217887611E-4</c:v>
                </c:pt>
                <c:pt idx="201">
                  <c:v>2.0329213728545291E-4</c:v>
                </c:pt>
                <c:pt idx="202">
                  <c:v>2.0302827707716398E-4</c:v>
                </c:pt>
                <c:pt idx="203">
                  <c:v>2.0277666615382527E-4</c:v>
                </c:pt>
                <c:pt idx="204">
                  <c:v>2.0252873601221048E-4</c:v>
                </c:pt>
                <c:pt idx="205">
                  <c:v>2.0228984848448333E-4</c:v>
                </c:pt>
                <c:pt idx="206">
                  <c:v>2.0206213724806638E-4</c:v>
                </c:pt>
                <c:pt idx="207">
                  <c:v>2.018426564184878E-4</c:v>
                </c:pt>
                <c:pt idx="208">
                  <c:v>2.0163111504261982E-4</c:v>
                </c:pt>
                <c:pt idx="209">
                  <c:v>2.0142723214183517E-4</c:v>
                </c:pt>
                <c:pt idx="210">
                  <c:v>2.0123073638520888E-4</c:v>
                </c:pt>
                <c:pt idx="211">
                  <c:v>2.0104136577266596E-4</c:v>
                </c:pt>
                <c:pt idx="212">
                  <c:v>2.0085886732781281E-4</c:v>
                </c:pt>
                <c:pt idx="213">
                  <c:v>2.0068110008866273E-4</c:v>
                </c:pt>
                <c:pt idx="214">
                  <c:v>2.005116906288042E-4</c:v>
                </c:pt>
                <c:pt idx="215">
                  <c:v>2.0035020440201492E-4</c:v>
                </c:pt>
                <c:pt idx="216">
                  <c:v>2.0019113799974901E-4</c:v>
                </c:pt>
                <c:pt idx="217">
                  <c:v>2.0003792848868502E-4</c:v>
                </c:pt>
                <c:pt idx="218">
                  <c:v>1.9989193873503797E-4</c:v>
                </c:pt>
                <c:pt idx="219">
                  <c:v>1.9975279233474722E-4</c:v>
                </c:pt>
                <c:pt idx="220">
                  <c:v>1.9961574614404349E-4</c:v>
                </c:pt>
                <c:pt idx="221">
                  <c:v>1.9948094620949482E-4</c:v>
                </c:pt>
                <c:pt idx="222">
                  <c:v>1.9935529692691596E-4</c:v>
                </c:pt>
                <c:pt idx="223">
                  <c:v>1.9923424448103357E-4</c:v>
                </c:pt>
                <c:pt idx="224">
                  <c:v>1.9911636620360983E-4</c:v>
                </c:pt>
                <c:pt idx="225">
                  <c:v>1.9900285293817619E-4</c:v>
                </c:pt>
                <c:pt idx="226">
                  <c:v>1.9889471195549044E-4</c:v>
                </c:pt>
                <c:pt idx="227">
                  <c:v>1.9879166173834289E-4</c:v>
                </c:pt>
                <c:pt idx="228">
                  <c:v>1.9869018807285306E-4</c:v>
                </c:pt>
                <c:pt idx="229">
                  <c:v>1.9859352417105948E-4</c:v>
                </c:pt>
                <c:pt idx="230">
                  <c:v>1.985004131867358E-4</c:v>
                </c:pt>
                <c:pt idx="231">
                  <c:v>1.9841072670524269E-4</c:v>
                </c:pt>
                <c:pt idx="232">
                  <c:v>1.9832434085142247E-4</c:v>
                </c:pt>
                <c:pt idx="233">
                  <c:v>1.9824113613398081E-4</c:v>
                </c:pt>
                <c:pt idx="234">
                  <c:v>1.9816099729496705E-4</c:v>
                </c:pt>
                <c:pt idx="235">
                  <c:v>1.9808381316419754E-4</c:v>
                </c:pt>
                <c:pt idx="236">
                  <c:v>1.9800947651847103E-4</c:v>
                </c:pt>
                <c:pt idx="237">
                  <c:v>1.9793711208218205E-4</c:v>
                </c:pt>
                <c:pt idx="238">
                  <c:v>1.9786819236668342E-4</c:v>
                </c:pt>
                <c:pt idx="239">
                  <c:v>1.9780181977182735E-4</c:v>
                </c:pt>
                <c:pt idx="240">
                  <c:v>1.977372124826421E-4</c:v>
                </c:pt>
                <c:pt idx="241">
                  <c:v>1.9767369565998075E-4</c:v>
                </c:pt>
                <c:pt idx="242">
                  <c:v>1.9761451949166245E-4</c:v>
                </c:pt>
                <c:pt idx="243">
                  <c:v>1.9755937989266383E-4</c:v>
                </c:pt>
                <c:pt idx="244">
                  <c:v>1.9750266333901887E-4</c:v>
                </c:pt>
                <c:pt idx="245">
                  <c:v>1.9744925656392848E-4</c:v>
                </c:pt>
                <c:pt idx="246">
                  <c:v>1.9739840102443382E-4</c:v>
                </c:pt>
                <c:pt idx="247">
                  <c:v>1.9734996157574235E-4</c:v>
                </c:pt>
                <c:pt idx="248">
                  <c:v>1.973022848095301E-4</c:v>
                </c:pt>
                <c:pt idx="249">
                  <c:v>1.9725639901274955E-4</c:v>
                </c:pt>
                <c:pt idx="250">
                  <c:v>1.9721270879437196E-4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2796800"/>
        <c:axId val="942798336"/>
      </c:lineChart>
      <c:dateAx>
        <c:axId val="942796800"/>
        <c:scaling>
          <c:orientation val="minMax"/>
          <c:max val="64074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942798336"/>
        <c:crosses val="autoZero"/>
        <c:auto val="1"/>
        <c:lblOffset val="100"/>
        <c:baseTimeUnit val="days"/>
        <c:majorUnit val="60"/>
        <c:majorTimeUnit val="months"/>
      </c:dateAx>
      <c:valAx>
        <c:axId val="942798336"/>
        <c:scaling>
          <c:orientation val="minMax"/>
          <c:max val="2E-3"/>
          <c:min val="0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42796800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'6M Basis'!$V$2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'6M Basis'!$R$3:$R$1310</c:f>
              <c:numCache>
                <c:formatCode>ddd\,\ dd\-mmm\-yyyy</c:formatCode>
                <c:ptCount val="1308"/>
                <c:pt idx="0">
                  <c:v>42163</c:v>
                </c:pt>
                <c:pt idx="1">
                  <c:v>42195</c:v>
                </c:pt>
                <c:pt idx="2">
                  <c:v>42228</c:v>
                </c:pt>
                <c:pt idx="3">
                  <c:v>42257</c:v>
                </c:pt>
                <c:pt idx="4">
                  <c:v>42289</c:v>
                </c:pt>
                <c:pt idx="5">
                  <c:v>42319</c:v>
                </c:pt>
                <c:pt idx="6">
                  <c:v>42348</c:v>
                </c:pt>
                <c:pt idx="7">
                  <c:v>42381</c:v>
                </c:pt>
                <c:pt idx="8">
                  <c:v>42410</c:v>
                </c:pt>
                <c:pt idx="9">
                  <c:v>42439</c:v>
                </c:pt>
                <c:pt idx="10">
                  <c:v>42472</c:v>
                </c:pt>
                <c:pt idx="11">
                  <c:v>42501</c:v>
                </c:pt>
                <c:pt idx="12">
                  <c:v>42531</c:v>
                </c:pt>
                <c:pt idx="13">
                  <c:v>42563</c:v>
                </c:pt>
                <c:pt idx="14">
                  <c:v>42592</c:v>
                </c:pt>
                <c:pt idx="15">
                  <c:v>42625</c:v>
                </c:pt>
                <c:pt idx="16">
                  <c:v>42655</c:v>
                </c:pt>
                <c:pt idx="17">
                  <c:v>42684</c:v>
                </c:pt>
                <c:pt idx="18">
                  <c:v>42716</c:v>
                </c:pt>
                <c:pt idx="19">
                  <c:v>42898</c:v>
                </c:pt>
                <c:pt idx="20">
                  <c:v>43081</c:v>
                </c:pt>
                <c:pt idx="21">
                  <c:v>43263</c:v>
                </c:pt>
                <c:pt idx="22">
                  <c:v>43446</c:v>
                </c:pt>
                <c:pt idx="23">
                  <c:v>43628</c:v>
                </c:pt>
                <c:pt idx="24">
                  <c:v>43810</c:v>
                </c:pt>
                <c:pt idx="25">
                  <c:v>43992</c:v>
                </c:pt>
                <c:pt idx="26">
                  <c:v>44175</c:v>
                </c:pt>
                <c:pt idx="27">
                  <c:v>44357</c:v>
                </c:pt>
                <c:pt idx="28">
                  <c:v>44540</c:v>
                </c:pt>
                <c:pt idx="29">
                  <c:v>44722</c:v>
                </c:pt>
                <c:pt idx="30">
                  <c:v>44907</c:v>
                </c:pt>
                <c:pt idx="31">
                  <c:v>45089</c:v>
                </c:pt>
                <c:pt idx="32">
                  <c:v>45272</c:v>
                </c:pt>
                <c:pt idx="33">
                  <c:v>45455</c:v>
                </c:pt>
                <c:pt idx="34">
                  <c:v>45637</c:v>
                </c:pt>
                <c:pt idx="35">
                  <c:v>45819</c:v>
                </c:pt>
                <c:pt idx="36">
                  <c:v>46001</c:v>
                </c:pt>
                <c:pt idx="37">
                  <c:v>46183</c:v>
                </c:pt>
                <c:pt idx="38">
                  <c:v>46366</c:v>
                </c:pt>
                <c:pt idx="39">
                  <c:v>46548</c:v>
                </c:pt>
                <c:pt idx="40">
                  <c:v>46731</c:v>
                </c:pt>
                <c:pt idx="41">
                  <c:v>46916</c:v>
                </c:pt>
                <c:pt idx="42">
                  <c:v>47099</c:v>
                </c:pt>
                <c:pt idx="43">
                  <c:v>47281</c:v>
                </c:pt>
                <c:pt idx="44">
                  <c:v>47464</c:v>
                </c:pt>
                <c:pt idx="45">
                  <c:v>47646</c:v>
                </c:pt>
                <c:pt idx="46">
                  <c:v>47828</c:v>
                </c:pt>
                <c:pt idx="47">
                  <c:v>48010</c:v>
                </c:pt>
                <c:pt idx="48">
                  <c:v>48192</c:v>
                </c:pt>
                <c:pt idx="49">
                  <c:v>48375</c:v>
                </c:pt>
                <c:pt idx="50">
                  <c:v>48558</c:v>
                </c:pt>
                <c:pt idx="51">
                  <c:v>48740</c:v>
                </c:pt>
                <c:pt idx="52">
                  <c:v>48925</c:v>
                </c:pt>
                <c:pt idx="53">
                  <c:v>49107</c:v>
                </c:pt>
                <c:pt idx="54">
                  <c:v>49290</c:v>
                </c:pt>
                <c:pt idx="55">
                  <c:v>49472</c:v>
                </c:pt>
                <c:pt idx="56">
                  <c:v>49655</c:v>
                </c:pt>
                <c:pt idx="57">
                  <c:v>49837</c:v>
                </c:pt>
                <c:pt idx="58">
                  <c:v>50019</c:v>
                </c:pt>
                <c:pt idx="59">
                  <c:v>50201</c:v>
                </c:pt>
                <c:pt idx="60">
                  <c:v>50384</c:v>
                </c:pt>
                <c:pt idx="61">
                  <c:v>50566</c:v>
                </c:pt>
                <c:pt idx="62">
                  <c:v>50749</c:v>
                </c:pt>
                <c:pt idx="63">
                  <c:v>50931</c:v>
                </c:pt>
                <c:pt idx="64">
                  <c:v>51116</c:v>
                </c:pt>
                <c:pt idx="65">
                  <c:v>51299</c:v>
                </c:pt>
                <c:pt idx="66">
                  <c:v>51482</c:v>
                </c:pt>
                <c:pt idx="67">
                  <c:v>51664</c:v>
                </c:pt>
                <c:pt idx="68">
                  <c:v>51846</c:v>
                </c:pt>
                <c:pt idx="69">
                  <c:v>52028</c:v>
                </c:pt>
                <c:pt idx="70">
                  <c:v>52210</c:v>
                </c:pt>
                <c:pt idx="71">
                  <c:v>52392</c:v>
                </c:pt>
                <c:pt idx="72">
                  <c:v>52575</c:v>
                </c:pt>
                <c:pt idx="73">
                  <c:v>52758</c:v>
                </c:pt>
                <c:pt idx="74">
                  <c:v>52943</c:v>
                </c:pt>
                <c:pt idx="75">
                  <c:v>53125</c:v>
                </c:pt>
                <c:pt idx="76">
                  <c:v>53308</c:v>
                </c:pt>
                <c:pt idx="77">
                  <c:v>53490</c:v>
                </c:pt>
                <c:pt idx="78">
                  <c:v>53673</c:v>
                </c:pt>
                <c:pt idx="79">
                  <c:v>53855</c:v>
                </c:pt>
                <c:pt idx="80">
                  <c:v>54037</c:v>
                </c:pt>
                <c:pt idx="81">
                  <c:v>54219</c:v>
                </c:pt>
                <c:pt idx="82">
                  <c:v>54402</c:v>
                </c:pt>
                <c:pt idx="83">
                  <c:v>54584</c:v>
                </c:pt>
                <c:pt idx="84">
                  <c:v>54767</c:v>
                </c:pt>
                <c:pt idx="85">
                  <c:v>54949</c:v>
                </c:pt>
                <c:pt idx="86">
                  <c:v>55134</c:v>
                </c:pt>
                <c:pt idx="87">
                  <c:v>55316</c:v>
                </c:pt>
                <c:pt idx="88">
                  <c:v>55499</c:v>
                </c:pt>
                <c:pt idx="89">
                  <c:v>55682</c:v>
                </c:pt>
                <c:pt idx="90">
                  <c:v>55864</c:v>
                </c:pt>
                <c:pt idx="91">
                  <c:v>56046</c:v>
                </c:pt>
                <c:pt idx="92">
                  <c:v>56228</c:v>
                </c:pt>
                <c:pt idx="93">
                  <c:v>56410</c:v>
                </c:pt>
                <c:pt idx="94">
                  <c:v>56593</c:v>
                </c:pt>
                <c:pt idx="95">
                  <c:v>56775</c:v>
                </c:pt>
                <c:pt idx="96">
                  <c:v>56958</c:v>
                </c:pt>
                <c:pt idx="97">
                  <c:v>57143</c:v>
                </c:pt>
                <c:pt idx="98">
                  <c:v>57326</c:v>
                </c:pt>
                <c:pt idx="99">
                  <c:v>57508</c:v>
                </c:pt>
                <c:pt idx="100">
                  <c:v>57691</c:v>
                </c:pt>
                <c:pt idx="101">
                  <c:v>57873</c:v>
                </c:pt>
                <c:pt idx="102">
                  <c:v>58055</c:v>
                </c:pt>
                <c:pt idx="103">
                  <c:v>58237</c:v>
                </c:pt>
                <c:pt idx="104">
                  <c:v>58419</c:v>
                </c:pt>
                <c:pt idx="105">
                  <c:v>58602</c:v>
                </c:pt>
                <c:pt idx="106">
                  <c:v>58785</c:v>
                </c:pt>
                <c:pt idx="107">
                  <c:v>58967</c:v>
                </c:pt>
                <c:pt idx="108">
                  <c:v>59152</c:v>
                </c:pt>
                <c:pt idx="109">
                  <c:v>59334</c:v>
                </c:pt>
                <c:pt idx="110">
                  <c:v>59517</c:v>
                </c:pt>
                <c:pt idx="111">
                  <c:v>59699</c:v>
                </c:pt>
                <c:pt idx="112">
                  <c:v>59882</c:v>
                </c:pt>
                <c:pt idx="113">
                  <c:v>60064</c:v>
                </c:pt>
                <c:pt idx="114">
                  <c:v>60246</c:v>
                </c:pt>
                <c:pt idx="115">
                  <c:v>60428</c:v>
                </c:pt>
                <c:pt idx="116">
                  <c:v>60611</c:v>
                </c:pt>
                <c:pt idx="117">
                  <c:v>60793</c:v>
                </c:pt>
                <c:pt idx="118">
                  <c:v>60976</c:v>
                </c:pt>
                <c:pt idx="119">
                  <c:v>61158</c:v>
                </c:pt>
                <c:pt idx="120">
                  <c:v>61343</c:v>
                </c:pt>
                <c:pt idx="121">
                  <c:v>61526</c:v>
                </c:pt>
                <c:pt idx="122">
                  <c:v>61709</c:v>
                </c:pt>
                <c:pt idx="123">
                  <c:v>61891</c:v>
                </c:pt>
                <c:pt idx="124">
                  <c:v>62073</c:v>
                </c:pt>
                <c:pt idx="125">
                  <c:v>62255</c:v>
                </c:pt>
                <c:pt idx="126">
                  <c:v>62437</c:v>
                </c:pt>
                <c:pt idx="127">
                  <c:v>62619</c:v>
                </c:pt>
                <c:pt idx="128">
                  <c:v>62802</c:v>
                </c:pt>
                <c:pt idx="129">
                  <c:v>62985</c:v>
                </c:pt>
                <c:pt idx="130">
                  <c:v>63170</c:v>
                </c:pt>
                <c:pt idx="131">
                  <c:v>63352</c:v>
                </c:pt>
                <c:pt idx="132">
                  <c:v>63535</c:v>
                </c:pt>
              </c:numCache>
            </c:numRef>
          </c:cat>
          <c:val>
            <c:numRef>
              <c:f>'6M Basis'!$V$3:$V$1310</c:f>
              <c:numCache>
                <c:formatCode>0.0000%</c:formatCode>
                <c:ptCount val="1308"/>
                <c:pt idx="0">
                  <c:v>1.7640849324521432E-3</c:v>
                </c:pt>
                <c:pt idx="1">
                  <c:v>1.8569202663319994E-3</c:v>
                </c:pt>
                <c:pt idx="2">
                  <c:v>1.9167036574646581E-3</c:v>
                </c:pt>
                <c:pt idx="3">
                  <c:v>1.9688001401187835E-3</c:v>
                </c:pt>
                <c:pt idx="4">
                  <c:v>2.0047414498504459E-3</c:v>
                </c:pt>
                <c:pt idx="5">
                  <c:v>2.0281448458990595E-3</c:v>
                </c:pt>
                <c:pt idx="6">
                  <c:v>2.0646114642608095E-3</c:v>
                </c:pt>
                <c:pt idx="7">
                  <c:v>2.1164260570505113E-3</c:v>
                </c:pt>
                <c:pt idx="8">
                  <c:v>2.1259126726675278E-3</c:v>
                </c:pt>
                <c:pt idx="9">
                  <c:v>2.12224533205513E-3</c:v>
                </c:pt>
                <c:pt idx="10">
                  <c:v>2.1508020333957608E-3</c:v>
                </c:pt>
                <c:pt idx="11">
                  <c:v>2.1790643884311606E-3</c:v>
                </c:pt>
                <c:pt idx="12">
                  <c:v>2.183020939425987E-3</c:v>
                </c:pt>
                <c:pt idx="13">
                  <c:v>2.1473175189535457E-3</c:v>
                </c:pt>
                <c:pt idx="14">
                  <c:v>2.1963338172637683E-3</c:v>
                </c:pt>
                <c:pt idx="15">
                  <c:v>2.2272030229299879E-3</c:v>
                </c:pt>
                <c:pt idx="16">
                  <c:v>2.2543213219036345E-3</c:v>
                </c:pt>
                <c:pt idx="17">
                  <c:v>2.2771509913982009E-3</c:v>
                </c:pt>
                <c:pt idx="18">
                  <c:v>2.2534549356514433E-3</c:v>
                </c:pt>
                <c:pt idx="19">
                  <c:v>2.3548675827233349E-3</c:v>
                </c:pt>
                <c:pt idx="20">
                  <c:v>2.6289570245578691E-3</c:v>
                </c:pt>
                <c:pt idx="21">
                  <c:v>2.4844028915825111E-3</c:v>
                </c:pt>
                <c:pt idx="22">
                  <c:v>2.4005456981015631E-3</c:v>
                </c:pt>
                <c:pt idx="23">
                  <c:v>2.4435781970985303E-3</c:v>
                </c:pt>
                <c:pt idx="24">
                  <c:v>2.43504430910969E-3</c:v>
                </c:pt>
                <c:pt idx="25">
                  <c:v>2.361303770433339E-3</c:v>
                </c:pt>
                <c:pt idx="26">
                  <c:v>2.3335934928109432E-3</c:v>
                </c:pt>
                <c:pt idx="27">
                  <c:v>2.3451002279177239E-3</c:v>
                </c:pt>
                <c:pt idx="28">
                  <c:v>2.2625929120033104E-3</c:v>
                </c:pt>
                <c:pt idx="29">
                  <c:v>2.0996166526328942E-3</c:v>
                </c:pt>
                <c:pt idx="30">
                  <c:v>2.0340429163456068E-3</c:v>
                </c:pt>
                <c:pt idx="31">
                  <c:v>2.0785833563087275E-3</c:v>
                </c:pt>
                <c:pt idx="32">
                  <c:v>2.116644705574048E-3</c:v>
                </c:pt>
                <c:pt idx="33">
                  <c:v>2.0947093801255562E-3</c:v>
                </c:pt>
                <c:pt idx="34">
                  <c:v>1.9123012322593384E-3</c:v>
                </c:pt>
                <c:pt idx="35">
                  <c:v>1.6315626634327944E-3</c:v>
                </c:pt>
                <c:pt idx="36">
                  <c:v>1.5937243957140391E-3</c:v>
                </c:pt>
                <c:pt idx="37">
                  <c:v>1.7814393361303242E-3</c:v>
                </c:pt>
                <c:pt idx="38">
                  <c:v>1.809202722498706E-3</c:v>
                </c:pt>
                <c:pt idx="39">
                  <c:v>1.6328635938191623E-3</c:v>
                </c:pt>
                <c:pt idx="40">
                  <c:v>1.4389873072806238E-3</c:v>
                </c:pt>
                <c:pt idx="41">
                  <c:v>1.2742780148942007E-3</c:v>
                </c:pt>
                <c:pt idx="42">
                  <c:v>1.1402198122166946E-3</c:v>
                </c:pt>
                <c:pt idx="43">
                  <c:v>1.0353976395395224E-3</c:v>
                </c:pt>
                <c:pt idx="44">
                  <c:v>9.5950962289910458E-4</c:v>
                </c:pt>
                <c:pt idx="45">
                  <c:v>9.0856107244942363E-4</c:v>
                </c:pt>
                <c:pt idx="46">
                  <c:v>8.6608859342637151E-4</c:v>
                </c:pt>
                <c:pt idx="47">
                  <c:v>8.2787291558171494E-4</c:v>
                </c:pt>
                <c:pt idx="48">
                  <c:v>7.9409682448699712E-4</c:v>
                </c:pt>
                <c:pt idx="49">
                  <c:v>7.6454869180931154E-4</c:v>
                </c:pt>
                <c:pt idx="50">
                  <c:v>7.3944692587540883E-4</c:v>
                </c:pt>
                <c:pt idx="51">
                  <c:v>7.1880292083681407E-4</c:v>
                </c:pt>
                <c:pt idx="52">
                  <c:v>7.0236979199096716E-4</c:v>
                </c:pt>
                <c:pt idx="53">
                  <c:v>6.9058750436288424E-4</c:v>
                </c:pt>
                <c:pt idx="54">
                  <c:v>6.8312614088582302E-4</c:v>
                </c:pt>
                <c:pt idx="55">
                  <c:v>6.7884218162182416E-4</c:v>
                </c:pt>
                <c:pt idx="56">
                  <c:v>6.7281827757083301E-4</c:v>
                </c:pt>
                <c:pt idx="57">
                  <c:v>6.6403281289464239E-4</c:v>
                </c:pt>
                <c:pt idx="58">
                  <c:v>6.524677534386035E-4</c:v>
                </c:pt>
                <c:pt idx="59">
                  <c:v>6.3810369568022274E-4</c:v>
                </c:pt>
                <c:pt idx="60">
                  <c:v>6.2088263629795845E-4</c:v>
                </c:pt>
                <c:pt idx="61">
                  <c:v>6.0091435060048021E-4</c:v>
                </c:pt>
                <c:pt idx="62">
                  <c:v>5.7809286162146395E-4</c:v>
                </c:pt>
                <c:pt idx="63">
                  <c:v>5.5241734403114681E-4</c:v>
                </c:pt>
                <c:pt idx="64">
                  <c:v>5.2370780271159337E-4</c:v>
                </c:pt>
                <c:pt idx="65">
                  <c:v>4.9346892796839348E-4</c:v>
                </c:pt>
                <c:pt idx="66">
                  <c:v>4.6565796816390101E-4</c:v>
                </c:pt>
                <c:pt idx="67">
                  <c:v>4.4121239485021835E-4</c:v>
                </c:pt>
                <c:pt idx="68">
                  <c:v>4.2015140069622675E-4</c:v>
                </c:pt>
                <c:pt idx="69">
                  <c:v>4.0232627943924404E-4</c:v>
                </c:pt>
                <c:pt idx="70">
                  <c:v>3.8785243020157331E-4</c:v>
                </c:pt>
                <c:pt idx="71">
                  <c:v>3.7664802179007001E-4</c:v>
                </c:pt>
                <c:pt idx="72">
                  <c:v>3.6872779378395448E-4</c:v>
                </c:pt>
                <c:pt idx="73">
                  <c:v>3.6416696422943151E-4</c:v>
                </c:pt>
                <c:pt idx="74">
                  <c:v>3.6288949033867757E-4</c:v>
                </c:pt>
                <c:pt idx="75">
                  <c:v>3.6322089751119474E-4</c:v>
                </c:pt>
                <c:pt idx="76">
                  <c:v>3.583339295757694E-4</c:v>
                </c:pt>
                <c:pt idx="77">
                  <c:v>3.4672035534578927E-4</c:v>
                </c:pt>
                <c:pt idx="78">
                  <c:v>3.2832651263989612E-4</c:v>
                </c:pt>
                <c:pt idx="79">
                  <c:v>3.0320349977670455E-4</c:v>
                </c:pt>
                <c:pt idx="80">
                  <c:v>2.7141161188679042E-4</c:v>
                </c:pt>
                <c:pt idx="81">
                  <c:v>2.3290496030797456E-4</c:v>
                </c:pt>
                <c:pt idx="82">
                  <c:v>1.875462811859914E-4</c:v>
                </c:pt>
                <c:pt idx="83">
                  <c:v>1.3545169613129668E-4</c:v>
                </c:pt>
                <c:pt idx="84">
                  <c:v>7.6606662981062307E-5</c:v>
                </c:pt>
                <c:pt idx="85">
                  <c:v>1.8145086466438837E-5</c:v>
                </c:pt>
                <c:pt idx="86">
                  <c:v>-1.1140142936919006E-5</c:v>
                </c:pt>
                <c:pt idx="87">
                  <c:v>-4.4162015530833931E-6</c:v>
                </c:pt>
                <c:pt idx="88">
                  <c:v>3.8134694334793218E-5</c:v>
                </c:pt>
                <c:pt idx="89">
                  <c:v>1.1654994381146005E-4</c:v>
                </c:pt>
                <c:pt idx="90">
                  <c:v>2.2971123747293765E-4</c:v>
                </c:pt>
                <c:pt idx="91">
                  <c:v>3.7910009064011721E-4</c:v>
                </c:pt>
                <c:pt idx="92">
                  <c:v>5.6294972571272091E-4</c:v>
                </c:pt>
                <c:pt idx="93">
                  <c:v>7.8342251088261289E-4</c:v>
                </c:pt>
                <c:pt idx="94">
                  <c:v>1.0394103593346117E-3</c:v>
                </c:pt>
                <c:pt idx="95">
                  <c:v>1.3114059307240584E-3</c:v>
                </c:pt>
                <c:pt idx="96">
                  <c:v>1.5248597092097707E-3</c:v>
                </c:pt>
                <c:pt idx="97">
                  <c:v>1.6586761907114497E-3</c:v>
                </c:pt>
                <c:pt idx="98">
                  <c:v>1.7128813711909645E-3</c:v>
                </c:pt>
                <c:pt idx="99">
                  <c:v>1.6889579920629262E-3</c:v>
                </c:pt>
                <c:pt idx="100">
                  <c:v>1.5868167825275371E-3</c:v>
                </c:pt>
                <c:pt idx="101">
                  <c:v>1.4065951813073078E-3</c:v>
                </c:pt>
                <c:pt idx="102">
                  <c:v>1.1498778353935049E-3</c:v>
                </c:pt>
                <c:pt idx="103">
                  <c:v>8.1391702091535879E-4</c:v>
                </c:pt>
                <c:pt idx="104">
                  <c:v>4.0117711750554431E-4</c:v>
                </c:pt>
                <c:pt idx="105">
                  <c:v>-6.6780230754199393E-5</c:v>
                </c:pt>
                <c:pt idx="106">
                  <c:v>-4.8593740483142064E-4</c:v>
                </c:pt>
                <c:pt idx="107">
                  <c:v>-8.3420530202178017E-4</c:v>
                </c:pt>
                <c:pt idx="108">
                  <c:v>-1.1092283425812692E-3</c:v>
                </c:pt>
                <c:pt idx="109">
                  <c:v>-1.3101003491432887E-3</c:v>
                </c:pt>
                <c:pt idx="110">
                  <c:v>-1.4385369748362489E-3</c:v>
                </c:pt>
                <c:pt idx="111">
                  <c:v>-1.4945925690633168E-3</c:v>
                </c:pt>
                <c:pt idx="112">
                  <c:v>-1.4780832172030765E-3</c:v>
                </c:pt>
                <c:pt idx="113">
                  <c:v>-1.3894401057050493E-3</c:v>
                </c:pt>
                <c:pt idx="114">
                  <c:v>-1.2292745829318042E-3</c:v>
                </c:pt>
                <c:pt idx="115">
                  <c:v>-1.0113678649938188E-3</c:v>
                </c:pt>
                <c:pt idx="116">
                  <c:v>-7.9563520654011947E-4</c:v>
                </c:pt>
                <c:pt idx="117">
                  <c:v>-5.9652212557308008E-4</c:v>
                </c:pt>
                <c:pt idx="118">
                  <c:v>-4.1391119389746524E-4</c:v>
                </c:pt>
                <c:pt idx="119">
                  <c:v>-2.4708737360503059E-4</c:v>
                </c:pt>
                <c:pt idx="120">
                  <c:v>-9.6551671504246581E-5</c:v>
                </c:pt>
                <c:pt idx="121">
                  <c:v>3.6403864589473756E-5</c:v>
                </c:pt>
                <c:pt idx="122">
                  <c:v>1.5237456026083278E-4</c:v>
                </c:pt>
                <c:pt idx="123">
                  <c:v>2.5173375821153227E-4</c:v>
                </c:pt>
                <c:pt idx="124">
                  <c:v>3.340657698974684E-4</c:v>
                </c:pt>
                <c:pt idx="125">
                  <c:v>4.0201846110885474E-4</c:v>
                </c:pt>
                <c:pt idx="126">
                  <c:v>4.6140557930879518E-4</c:v>
                </c:pt>
                <c:pt idx="127">
                  <c:v>5.1453966605954568E-4</c:v>
                </c:pt>
                <c:pt idx="128">
                  <c:v>5.6114446329798805E-4</c:v>
                </c:pt>
                <c:pt idx="129">
                  <c:v>6.0132258355493316E-4</c:v>
                </c:pt>
                <c:pt idx="130">
                  <c:v>6.3456405740563472E-4</c:v>
                </c:pt>
                <c:pt idx="131">
                  <c:v>6.610593387313575E-4</c:v>
                </c:pt>
                <c:pt idx="132">
                  <c:v>6.808684322543463E-4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'6M Basis'!$Z$2</c:f>
              <c:strCache>
                <c:ptCount val="1"/>
                <c:pt idx="0">
                  <c:v>Abcd Calibration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val>
            <c:numRef>
              <c:f>'6M Basis'!$Z$3:$Z$135</c:f>
              <c:numCache>
                <c:formatCode>0.0000%</c:formatCode>
                <c:ptCount val="133"/>
                <c:pt idx="0">
                  <c:v>1.8417228682253181E-3</c:v>
                </c:pt>
                <c:pt idx="1">
                  <c:v>1.8786635202421987E-3</c:v>
                </c:pt>
                <c:pt idx="2">
                  <c:v>1.9152284639595038E-3</c:v>
                </c:pt>
                <c:pt idx="3">
                  <c:v>1.9461089385831147E-3</c:v>
                </c:pt>
                <c:pt idx="4">
                  <c:v>1.978856473616938E-3</c:v>
                </c:pt>
                <c:pt idx="5">
                  <c:v>2.008321447231082E-3</c:v>
                </c:pt>
                <c:pt idx="6">
                  <c:v>2.0356936365021499E-3</c:v>
                </c:pt>
                <c:pt idx="7">
                  <c:v>2.0655442994779948E-3</c:v>
                </c:pt>
                <c:pt idx="8">
                  <c:v>2.0906633906116611E-3</c:v>
                </c:pt>
                <c:pt idx="9">
                  <c:v>2.1147652891185262E-3</c:v>
                </c:pt>
                <c:pt idx="10">
                  <c:v>2.1409832201807555E-3</c:v>
                </c:pt>
                <c:pt idx="11">
                  <c:v>2.1629862725693312E-3</c:v>
                </c:pt>
                <c:pt idx="12">
                  <c:v>2.1847515963037412E-3</c:v>
                </c:pt>
                <c:pt idx="13">
                  <c:v>2.206877459579688E-3</c:v>
                </c:pt>
                <c:pt idx="14">
                  <c:v>2.2259798345184729E-3</c:v>
                </c:pt>
                <c:pt idx="15">
                  <c:v>2.2466462668015155E-3</c:v>
                </c:pt>
                <c:pt idx="16">
                  <c:v>2.2644687945052458E-3</c:v>
                </c:pt>
                <c:pt idx="17">
                  <c:v>2.2808447809763805E-3</c:v>
                </c:pt>
                <c:pt idx="18">
                  <c:v>2.2979658253367962E-3</c:v>
                </c:pt>
                <c:pt idx="19">
                  <c:v>2.3776042404556235E-3</c:v>
                </c:pt>
                <c:pt idx="20">
                  <c:v>2.4303889097260912E-3</c:v>
                </c:pt>
                <c:pt idx="21">
                  <c:v>2.4596343795556092E-3</c:v>
                </c:pt>
                <c:pt idx="22">
                  <c:v>2.4691245459318692E-3</c:v>
                </c:pt>
                <c:pt idx="23">
                  <c:v>2.4617870333784298E-3</c:v>
                </c:pt>
                <c:pt idx="24">
                  <c:v>2.4403815347099418E-3</c:v>
                </c:pt>
                <c:pt idx="25">
                  <c:v>2.4072432344593563E-3</c:v>
                </c:pt>
                <c:pt idx="26">
                  <c:v>2.3641620438563352E-3</c:v>
                </c:pt>
                <c:pt idx="27">
                  <c:v>2.3134094124582401E-3</c:v>
                </c:pt>
                <c:pt idx="28">
                  <c:v>2.2560107172093576E-3</c:v>
                </c:pt>
                <c:pt idx="29">
                  <c:v>2.1939611569540053E-3</c:v>
                </c:pt>
                <c:pt idx="30">
                  <c:v>2.1270341448466632E-3</c:v>
                </c:pt>
                <c:pt idx="31">
                  <c:v>2.0584353268816654E-3</c:v>
                </c:pt>
                <c:pt idx="32">
                  <c:v>1.9875953035108831E-3</c:v>
                </c:pt>
                <c:pt idx="33">
                  <c:v>1.9156504185445663E-3</c:v>
                </c:pt>
                <c:pt idx="34">
                  <c:v>1.843649870169477E-3</c:v>
                </c:pt>
                <c:pt idx="35">
                  <c:v>1.7717480898115866E-3</c:v>
                </c:pt>
                <c:pt idx="36">
                  <c:v>1.7004046174812736E-3</c:v>
                </c:pt>
                <c:pt idx="37">
                  <c:v>1.63000364366666E-3</c:v>
                </c:pt>
                <c:pt idx="38">
                  <c:v>1.5604873162703217E-3</c:v>
                </c:pt>
                <c:pt idx="39">
                  <c:v>1.492876552610432E-3</c:v>
                </c:pt>
                <c:pt idx="40">
                  <c:v>1.4266401431180828E-3</c:v>
                </c:pt>
                <c:pt idx="41">
                  <c:v>1.3616299892559632E-3</c:v>
                </c:pt>
                <c:pt idx="42">
                  <c:v>1.2993814133056042E-3</c:v>
                </c:pt>
                <c:pt idx="43">
                  <c:v>1.2395978820515588E-3</c:v>
                </c:pt>
                <c:pt idx="44">
                  <c:v>1.1816876264748211E-3</c:v>
                </c:pt>
                <c:pt idx="45">
                  <c:v>1.1263236182580143E-3</c:v>
                </c:pt>
                <c:pt idx="46">
                  <c:v>1.0732022878334208E-3</c:v>
                </c:pt>
                <c:pt idx="47">
                  <c:v>1.0223247963779291E-3</c:v>
                </c:pt>
                <c:pt idx="48">
                  <c:v>9.7367730247293271E-4</c:v>
                </c:pt>
                <c:pt idx="49">
                  <c:v>9.2698423002575349E-4</c:v>
                </c:pt>
                <c:pt idx="50">
                  <c:v>8.8248152983889472E-4</c:v>
                </c:pt>
                <c:pt idx="51">
                  <c:v>8.4034870610408946E-4</c:v>
                </c:pt>
                <c:pt idx="52">
                  <c:v>7.9964085303111136E-4</c:v>
                </c:pt>
                <c:pt idx="53">
                  <c:v>7.6161948658395135E-4</c:v>
                </c:pt>
                <c:pt idx="54">
                  <c:v>7.2535242637105507E-4</c:v>
                </c:pt>
                <c:pt idx="55">
                  <c:v>6.911703528310251E-4</c:v>
                </c:pt>
                <c:pt idx="56">
                  <c:v>6.5862921103342585E-4</c:v>
                </c:pt>
                <c:pt idx="57">
                  <c:v>6.2801526569332986E-4</c:v>
                </c:pt>
                <c:pt idx="58">
                  <c:v>5.9907596053538693E-4</c:v>
                </c:pt>
                <c:pt idx="59">
                  <c:v>5.7174130509209022E-4</c:v>
                </c:pt>
                <c:pt idx="60">
                  <c:v>5.4580397984600715E-4</c:v>
                </c:pt>
                <c:pt idx="61">
                  <c:v>5.2147819024512643E-4</c:v>
                </c:pt>
                <c:pt idx="62">
                  <c:v>4.9842793488451536E-4</c:v>
                </c:pt>
                <c:pt idx="63">
                  <c:v>4.7683830576761678E-4</c:v>
                </c:pt>
                <c:pt idx="64">
                  <c:v>4.5618987606023794E-4</c:v>
                </c:pt>
                <c:pt idx="65">
                  <c:v>4.3698655202666884E-4</c:v>
                </c:pt>
                <c:pt idx="66">
                  <c:v>4.1893599406468641E-4</c:v>
                </c:pt>
                <c:pt idx="67">
                  <c:v>4.0206782506575604E-4</c:v>
                </c:pt>
                <c:pt idx="68">
                  <c:v>3.8622323008835017E-4</c:v>
                </c:pt>
                <c:pt idx="69">
                  <c:v>3.7134725114440151E-4</c:v>
                </c:pt>
                <c:pt idx="70">
                  <c:v>3.5738710238830739E-4</c:v>
                </c:pt>
                <c:pt idx="71">
                  <c:v>3.4429218006151664E-4</c:v>
                </c:pt>
                <c:pt idx="72">
                  <c:v>3.3194876410928169E-4</c:v>
                </c:pt>
                <c:pt idx="73">
                  <c:v>3.2038411732137842E-4</c:v>
                </c:pt>
                <c:pt idx="74">
                  <c:v>3.0943890590637789E-4</c:v>
                </c:pt>
                <c:pt idx="75">
                  <c:v>2.9936024196426322E-4</c:v>
                </c:pt>
                <c:pt idx="76">
                  <c:v>2.8987467242640446E-4</c:v>
                </c:pt>
                <c:pt idx="77">
                  <c:v>2.8104771413331128E-4</c:v>
                </c:pt>
                <c:pt idx="78">
                  <c:v>2.7274589033021956E-4</c:v>
                </c:pt>
                <c:pt idx="79">
                  <c:v>2.6502559591842182E-4</c:v>
                </c:pt>
                <c:pt idx="80">
                  <c:v>2.578075589970698E-4</c:v>
                </c:pt>
                <c:pt idx="81">
                  <c:v>2.5106113468283814E-4</c:v>
                </c:pt>
                <c:pt idx="82">
                  <c:v>2.4472387690961504E-4</c:v>
                </c:pt>
                <c:pt idx="83">
                  <c:v>2.3883753843919616E-4</c:v>
                </c:pt>
                <c:pt idx="84">
                  <c:v>2.3331127554682016E-4</c:v>
                </c:pt>
                <c:pt idx="85">
                  <c:v>2.2818098682631405E-4</c:v>
                </c:pt>
                <c:pt idx="86">
                  <c:v>2.2331624608851563E-4</c:v>
                </c:pt>
                <c:pt idx="87">
                  <c:v>2.1885287949968078E-4</c:v>
                </c:pt>
                <c:pt idx="88">
                  <c:v>2.1466678046604216E-4</c:v>
                </c:pt>
                <c:pt idx="89">
                  <c:v>2.1076384519850601E-4</c:v>
                </c:pt>
                <c:pt idx="90">
                  <c:v>2.0714493895127449E-4</c:v>
                </c:pt>
                <c:pt idx="91">
                  <c:v>2.0377103746949726E-4</c:v>
                </c:pt>
                <c:pt idx="92">
                  <c:v>2.0062622024957728E-4</c:v>
                </c:pt>
                <c:pt idx="93">
                  <c:v>1.9769553626567671E-4</c:v>
                </c:pt>
                <c:pt idx="94">
                  <c:v>1.9495047637680039E-4</c:v>
                </c:pt>
                <c:pt idx="95">
                  <c:v>1.9240781595334419E-4</c:v>
                </c:pt>
                <c:pt idx="96">
                  <c:v>1.9002712181933018E-4</c:v>
                </c:pt>
                <c:pt idx="97">
                  <c:v>1.877877568419149E-4</c:v>
                </c:pt>
                <c:pt idx="98">
                  <c:v>1.8572702541078484E-4</c:v>
                </c:pt>
                <c:pt idx="99">
                  <c:v>1.838196368887679E-4</c:v>
                </c:pt>
                <c:pt idx="100">
                  <c:v>1.8203502356277249E-4</c:v>
                </c:pt>
                <c:pt idx="101">
                  <c:v>1.8038376375230857E-4</c:v>
                </c:pt>
                <c:pt idx="102">
                  <c:v>1.7884743873099743E-4</c:v>
                </c:pt>
                <c:pt idx="103">
                  <c:v>1.7741827340636755E-4</c:v>
                </c:pt>
                <c:pt idx="104">
                  <c:v>1.7608899731482848E-4</c:v>
                </c:pt>
                <c:pt idx="105">
                  <c:v>1.7484626696597671E-4</c:v>
                </c:pt>
                <c:pt idx="106">
                  <c:v>1.7369119990109669E-4</c:v>
                </c:pt>
                <c:pt idx="107">
                  <c:v>1.7262342134378343E-4</c:v>
                </c:pt>
                <c:pt idx="108">
                  <c:v>1.7161508799233381E-4</c:v>
                </c:pt>
                <c:pt idx="109">
                  <c:v>1.7069366281320959E-4</c:v>
                </c:pt>
                <c:pt idx="110">
                  <c:v>1.6983283425563411E-4</c:v>
                </c:pt>
                <c:pt idx="111">
                  <c:v>1.6903749017292016E-4</c:v>
                </c:pt>
                <c:pt idx="112">
                  <c:v>1.6829464292280244E-4</c:v>
                </c:pt>
                <c:pt idx="113">
                  <c:v>1.6760847838060149E-4</c:v>
                </c:pt>
                <c:pt idx="114">
                  <c:v>1.6697113583533956E-4</c:v>
                </c:pt>
                <c:pt idx="115">
                  <c:v>1.6637921180069666E-4</c:v>
                </c:pt>
                <c:pt idx="116">
                  <c:v>1.6582662446018237E-4</c:v>
                </c:pt>
                <c:pt idx="117">
                  <c:v>1.6531644299859637E-4</c:v>
                </c:pt>
                <c:pt idx="118">
                  <c:v>1.6484027374382752E-4</c:v>
                </c:pt>
                <c:pt idx="119">
                  <c:v>1.6440074340657657E-4</c:v>
                </c:pt>
                <c:pt idx="120">
                  <c:v>1.6398628947365007E-4</c:v>
                </c:pt>
                <c:pt idx="121">
                  <c:v>1.6360609833048823E-4</c:v>
                </c:pt>
                <c:pt idx="122">
                  <c:v>1.6325341621034831E-4</c:v>
                </c:pt>
                <c:pt idx="123">
                  <c:v>1.6292800739865559E-4</c:v>
                </c:pt>
                <c:pt idx="124">
                  <c:v>1.6262608007781677E-4</c:v>
                </c:pt>
                <c:pt idx="125">
                  <c:v>1.623459668531046E-4</c:v>
                </c:pt>
                <c:pt idx="126">
                  <c:v>1.6208611625545002E-4</c:v>
                </c:pt>
                <c:pt idx="127">
                  <c:v>1.6184508491186447E-4</c:v>
                </c:pt>
                <c:pt idx="128">
                  <c:v>1.6162034782978154E-4</c:v>
                </c:pt>
                <c:pt idx="129">
                  <c:v>1.6141201094404872E-4</c:v>
                </c:pt>
                <c:pt idx="130">
                  <c:v>1.6121686395082884E-4</c:v>
                </c:pt>
                <c:pt idx="131">
                  <c:v>1.6103896108739469E-4</c:v>
                </c:pt>
                <c:pt idx="132">
                  <c:v>1.6087314302712336E-4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2824064"/>
        <c:axId val="957997440"/>
      </c:lineChart>
      <c:dateAx>
        <c:axId val="942824064"/>
        <c:scaling>
          <c:orientation val="minMax"/>
          <c:max val="64074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957997440"/>
        <c:crosses val="autoZero"/>
        <c:auto val="1"/>
        <c:lblOffset val="100"/>
        <c:baseTimeUnit val="days"/>
        <c:majorUnit val="60"/>
        <c:majorTimeUnit val="months"/>
      </c:dateAx>
      <c:valAx>
        <c:axId val="957997440"/>
        <c:scaling>
          <c:orientation val="minMax"/>
          <c:max val="3.0000000000000001E-3"/>
          <c:min val="-1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42824064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'12M Basis'!$V$2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'12M Basis'!$R$3:$R$1310</c:f>
              <c:numCache>
                <c:formatCode>ddd\,\ dd\-mmm\-yyyy</c:formatCode>
                <c:ptCount val="1308"/>
                <c:pt idx="0">
                  <c:v>42163</c:v>
                </c:pt>
                <c:pt idx="1">
                  <c:v>42195</c:v>
                </c:pt>
                <c:pt idx="2">
                  <c:v>42228</c:v>
                </c:pt>
                <c:pt idx="3">
                  <c:v>42257</c:v>
                </c:pt>
                <c:pt idx="4">
                  <c:v>42289</c:v>
                </c:pt>
                <c:pt idx="5">
                  <c:v>42319</c:v>
                </c:pt>
                <c:pt idx="6">
                  <c:v>42348</c:v>
                </c:pt>
                <c:pt idx="7">
                  <c:v>42381</c:v>
                </c:pt>
                <c:pt idx="8">
                  <c:v>42410</c:v>
                </c:pt>
                <c:pt idx="9">
                  <c:v>42439</c:v>
                </c:pt>
                <c:pt idx="10">
                  <c:v>42472</c:v>
                </c:pt>
                <c:pt idx="11">
                  <c:v>42501</c:v>
                </c:pt>
                <c:pt idx="12">
                  <c:v>42531</c:v>
                </c:pt>
                <c:pt idx="13">
                  <c:v>42563</c:v>
                </c:pt>
                <c:pt idx="14">
                  <c:v>42592</c:v>
                </c:pt>
                <c:pt idx="15">
                  <c:v>42625</c:v>
                </c:pt>
                <c:pt idx="16">
                  <c:v>42655</c:v>
                </c:pt>
                <c:pt idx="17">
                  <c:v>42684</c:v>
                </c:pt>
                <c:pt idx="18">
                  <c:v>42716</c:v>
                </c:pt>
                <c:pt idx="19">
                  <c:v>42898</c:v>
                </c:pt>
                <c:pt idx="20">
                  <c:v>43263</c:v>
                </c:pt>
                <c:pt idx="21">
                  <c:v>43628</c:v>
                </c:pt>
                <c:pt idx="22">
                  <c:v>43992</c:v>
                </c:pt>
                <c:pt idx="23">
                  <c:v>44357</c:v>
                </c:pt>
                <c:pt idx="24">
                  <c:v>44722</c:v>
                </c:pt>
                <c:pt idx="25">
                  <c:v>45089</c:v>
                </c:pt>
                <c:pt idx="26">
                  <c:v>45455</c:v>
                </c:pt>
                <c:pt idx="27">
                  <c:v>45819</c:v>
                </c:pt>
                <c:pt idx="28">
                  <c:v>46183</c:v>
                </c:pt>
                <c:pt idx="29">
                  <c:v>46548</c:v>
                </c:pt>
                <c:pt idx="30">
                  <c:v>46916</c:v>
                </c:pt>
                <c:pt idx="31">
                  <c:v>47281</c:v>
                </c:pt>
                <c:pt idx="32">
                  <c:v>47646</c:v>
                </c:pt>
                <c:pt idx="33">
                  <c:v>48010</c:v>
                </c:pt>
                <c:pt idx="34">
                  <c:v>48375</c:v>
                </c:pt>
                <c:pt idx="35">
                  <c:v>48740</c:v>
                </c:pt>
                <c:pt idx="36">
                  <c:v>49107</c:v>
                </c:pt>
                <c:pt idx="37">
                  <c:v>49472</c:v>
                </c:pt>
                <c:pt idx="38">
                  <c:v>49837</c:v>
                </c:pt>
                <c:pt idx="39">
                  <c:v>50201</c:v>
                </c:pt>
                <c:pt idx="40">
                  <c:v>50566</c:v>
                </c:pt>
                <c:pt idx="41">
                  <c:v>50931</c:v>
                </c:pt>
                <c:pt idx="42">
                  <c:v>51299</c:v>
                </c:pt>
                <c:pt idx="43">
                  <c:v>51664</c:v>
                </c:pt>
                <c:pt idx="44">
                  <c:v>52028</c:v>
                </c:pt>
                <c:pt idx="45">
                  <c:v>52392</c:v>
                </c:pt>
                <c:pt idx="46">
                  <c:v>52758</c:v>
                </c:pt>
                <c:pt idx="47">
                  <c:v>53125</c:v>
                </c:pt>
                <c:pt idx="48">
                  <c:v>53490</c:v>
                </c:pt>
                <c:pt idx="49">
                  <c:v>53855</c:v>
                </c:pt>
                <c:pt idx="50">
                  <c:v>54219</c:v>
                </c:pt>
                <c:pt idx="51">
                  <c:v>54584</c:v>
                </c:pt>
                <c:pt idx="52">
                  <c:v>54949</c:v>
                </c:pt>
                <c:pt idx="53">
                  <c:v>55316</c:v>
                </c:pt>
                <c:pt idx="54">
                  <c:v>55682</c:v>
                </c:pt>
                <c:pt idx="55">
                  <c:v>56046</c:v>
                </c:pt>
                <c:pt idx="56">
                  <c:v>56410</c:v>
                </c:pt>
                <c:pt idx="57">
                  <c:v>56775</c:v>
                </c:pt>
                <c:pt idx="58">
                  <c:v>57143</c:v>
                </c:pt>
                <c:pt idx="59">
                  <c:v>57508</c:v>
                </c:pt>
                <c:pt idx="60">
                  <c:v>57873</c:v>
                </c:pt>
                <c:pt idx="61">
                  <c:v>58237</c:v>
                </c:pt>
                <c:pt idx="62">
                  <c:v>58602</c:v>
                </c:pt>
                <c:pt idx="63">
                  <c:v>58967</c:v>
                </c:pt>
                <c:pt idx="64">
                  <c:v>59334</c:v>
                </c:pt>
                <c:pt idx="65">
                  <c:v>59699</c:v>
                </c:pt>
                <c:pt idx="66">
                  <c:v>60064</c:v>
                </c:pt>
                <c:pt idx="67">
                  <c:v>60428</c:v>
                </c:pt>
                <c:pt idx="68">
                  <c:v>60793</c:v>
                </c:pt>
                <c:pt idx="69">
                  <c:v>61158</c:v>
                </c:pt>
                <c:pt idx="70">
                  <c:v>61526</c:v>
                </c:pt>
                <c:pt idx="71">
                  <c:v>61891</c:v>
                </c:pt>
                <c:pt idx="72">
                  <c:v>62255</c:v>
                </c:pt>
                <c:pt idx="73">
                  <c:v>62619</c:v>
                </c:pt>
                <c:pt idx="74">
                  <c:v>62985</c:v>
                </c:pt>
                <c:pt idx="75">
                  <c:v>63352</c:v>
                </c:pt>
              </c:numCache>
            </c:numRef>
          </c:cat>
          <c:val>
            <c:numRef>
              <c:f>'12M Basis'!$V$3:$V$1310</c:f>
              <c:numCache>
                <c:formatCode>0.0000%</c:formatCode>
                <c:ptCount val="13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'12M Basis'!$Z$2</c:f>
              <c:strCache>
                <c:ptCount val="1"/>
                <c:pt idx="0">
                  <c:v>Abcd Calibration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val>
            <c:numRef>
              <c:f>'12M Basis'!$Z$3:$Z$135</c:f>
              <c:numCache>
                <c:formatCode>0.0000%</c:formatCode>
                <c:ptCount val="1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2901120"/>
        <c:axId val="962902656"/>
      </c:lineChart>
      <c:dateAx>
        <c:axId val="962901120"/>
        <c:scaling>
          <c:orientation val="minMax"/>
          <c:max val="64074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962902656"/>
        <c:crosses val="autoZero"/>
        <c:auto val="1"/>
        <c:lblOffset val="100"/>
        <c:baseTimeUnit val="days"/>
        <c:majorUnit val="60"/>
        <c:majorTimeUnit val="months"/>
      </c:dateAx>
      <c:valAx>
        <c:axId val="962902656"/>
        <c:scaling>
          <c:orientation val="minMax"/>
          <c:max val="4.0000000000000001E-3"/>
          <c:min val="0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62901120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9</xdr:row>
          <xdr:rowOff>123825</xdr:rowOff>
        </xdr:from>
        <xdr:to>
          <xdr:col>29</xdr:col>
          <xdr:colOff>361950</xdr:colOff>
          <xdr:row>11</xdr:row>
          <xdr:rowOff>114300</xdr:rowOff>
        </xdr:to>
        <xdr:sp macro="" textlink="">
          <xdr:nvSpPr>
            <xdr:cNvPr id="8193" name="Length4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</xdr:row>
          <xdr:rowOff>276225</xdr:rowOff>
        </xdr:from>
        <xdr:to>
          <xdr:col>29</xdr:col>
          <xdr:colOff>361950</xdr:colOff>
          <xdr:row>3</xdr:row>
          <xdr:rowOff>123825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18</xdr:row>
          <xdr:rowOff>0</xdr:rowOff>
        </xdr:from>
        <xdr:to>
          <xdr:col>29</xdr:col>
          <xdr:colOff>361950</xdr:colOff>
          <xdr:row>19</xdr:row>
          <xdr:rowOff>133350</xdr:rowOff>
        </xdr:to>
        <xdr:sp macro="" textlink="">
          <xdr:nvSpPr>
            <xdr:cNvPr id="8195" name="Length7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4</xdr:row>
          <xdr:rowOff>38100</xdr:rowOff>
        </xdr:from>
        <xdr:to>
          <xdr:col>29</xdr:col>
          <xdr:colOff>361950</xdr:colOff>
          <xdr:row>6</xdr:row>
          <xdr:rowOff>28575</xdr:rowOff>
        </xdr:to>
        <xdr:sp macro="" textlink="">
          <xdr:nvSpPr>
            <xdr:cNvPr id="8196" name="Length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7</xdr:row>
          <xdr:rowOff>0</xdr:rowOff>
        </xdr:from>
        <xdr:to>
          <xdr:col>29</xdr:col>
          <xdr:colOff>361950</xdr:colOff>
          <xdr:row>8</xdr:row>
          <xdr:rowOff>133350</xdr:rowOff>
        </xdr:to>
        <xdr:sp macro="" textlink="">
          <xdr:nvSpPr>
            <xdr:cNvPr id="8197" name="Length3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12</xdr:row>
          <xdr:rowOff>66675</xdr:rowOff>
        </xdr:from>
        <xdr:to>
          <xdr:col>29</xdr:col>
          <xdr:colOff>361950</xdr:colOff>
          <xdr:row>14</xdr:row>
          <xdr:rowOff>57150</xdr:rowOff>
        </xdr:to>
        <xdr:sp macro="" textlink="">
          <xdr:nvSpPr>
            <xdr:cNvPr id="8198" name="Length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15</xdr:row>
          <xdr:rowOff>19050</xdr:rowOff>
        </xdr:from>
        <xdr:to>
          <xdr:col>29</xdr:col>
          <xdr:colOff>361950</xdr:colOff>
          <xdr:row>17</xdr:row>
          <xdr:rowOff>9525</xdr:rowOff>
        </xdr:to>
        <xdr:sp macro="" textlink="">
          <xdr:nvSpPr>
            <xdr:cNvPr id="8199" name="Length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552449</xdr:colOff>
      <xdr:row>0</xdr:row>
      <xdr:rowOff>114300</xdr:rowOff>
    </xdr:from>
    <xdr:to>
      <xdr:col>43</xdr:col>
      <xdr:colOff>428624</xdr:colOff>
      <xdr:row>33</xdr:row>
      <xdr:rowOff>85725</xdr:rowOff>
    </xdr:to>
    <xdr:graphicFrame macro="">
      <xdr:nvGraphicFramePr>
        <xdr:cNvPr id="9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9</xdr:row>
          <xdr:rowOff>123825</xdr:rowOff>
        </xdr:from>
        <xdr:to>
          <xdr:col>29</xdr:col>
          <xdr:colOff>361950</xdr:colOff>
          <xdr:row>11</xdr:row>
          <xdr:rowOff>114300</xdr:rowOff>
        </xdr:to>
        <xdr:sp macro="" textlink="">
          <xdr:nvSpPr>
            <xdr:cNvPr id="7169" name="Length4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</xdr:row>
          <xdr:rowOff>276225</xdr:rowOff>
        </xdr:from>
        <xdr:to>
          <xdr:col>29</xdr:col>
          <xdr:colOff>361950</xdr:colOff>
          <xdr:row>3</xdr:row>
          <xdr:rowOff>123825</xdr:rowOff>
        </xdr:to>
        <xdr:sp macro="" textlink="">
          <xdr:nvSpPr>
            <xdr:cNvPr id="7170" name="Length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18</xdr:row>
          <xdr:rowOff>0</xdr:rowOff>
        </xdr:from>
        <xdr:to>
          <xdr:col>29</xdr:col>
          <xdr:colOff>361950</xdr:colOff>
          <xdr:row>19</xdr:row>
          <xdr:rowOff>133350</xdr:rowOff>
        </xdr:to>
        <xdr:sp macro="" textlink="">
          <xdr:nvSpPr>
            <xdr:cNvPr id="7171" name="Length7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4</xdr:row>
          <xdr:rowOff>38100</xdr:rowOff>
        </xdr:from>
        <xdr:to>
          <xdr:col>29</xdr:col>
          <xdr:colOff>361950</xdr:colOff>
          <xdr:row>6</xdr:row>
          <xdr:rowOff>28575</xdr:rowOff>
        </xdr:to>
        <xdr:sp macro="" textlink="">
          <xdr:nvSpPr>
            <xdr:cNvPr id="7172" name="Length2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7</xdr:row>
          <xdr:rowOff>0</xdr:rowOff>
        </xdr:from>
        <xdr:to>
          <xdr:col>29</xdr:col>
          <xdr:colOff>361950</xdr:colOff>
          <xdr:row>8</xdr:row>
          <xdr:rowOff>133350</xdr:rowOff>
        </xdr:to>
        <xdr:sp macro="" textlink="">
          <xdr:nvSpPr>
            <xdr:cNvPr id="7173" name="Length3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12</xdr:row>
          <xdr:rowOff>66675</xdr:rowOff>
        </xdr:from>
        <xdr:to>
          <xdr:col>29</xdr:col>
          <xdr:colOff>361950</xdr:colOff>
          <xdr:row>14</xdr:row>
          <xdr:rowOff>57150</xdr:rowOff>
        </xdr:to>
        <xdr:sp macro="" textlink="">
          <xdr:nvSpPr>
            <xdr:cNvPr id="7174" name="Length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15</xdr:row>
          <xdr:rowOff>19050</xdr:rowOff>
        </xdr:from>
        <xdr:to>
          <xdr:col>29</xdr:col>
          <xdr:colOff>361950</xdr:colOff>
          <xdr:row>17</xdr:row>
          <xdr:rowOff>9525</xdr:rowOff>
        </xdr:to>
        <xdr:sp macro="" textlink="">
          <xdr:nvSpPr>
            <xdr:cNvPr id="7175" name="Length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552449</xdr:colOff>
      <xdr:row>0</xdr:row>
      <xdr:rowOff>114300</xdr:rowOff>
    </xdr:from>
    <xdr:to>
      <xdr:col>43</xdr:col>
      <xdr:colOff>428624</xdr:colOff>
      <xdr:row>33</xdr:row>
      <xdr:rowOff>85725</xdr:rowOff>
    </xdr:to>
    <xdr:graphicFrame macro="">
      <xdr:nvGraphicFramePr>
        <xdr:cNvPr id="9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9</xdr:row>
          <xdr:rowOff>123825</xdr:rowOff>
        </xdr:from>
        <xdr:to>
          <xdr:col>29</xdr:col>
          <xdr:colOff>361950</xdr:colOff>
          <xdr:row>11</xdr:row>
          <xdr:rowOff>114300</xdr:rowOff>
        </xdr:to>
        <xdr:sp macro="" textlink="">
          <xdr:nvSpPr>
            <xdr:cNvPr id="10241" name="Length4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</xdr:row>
          <xdr:rowOff>276225</xdr:rowOff>
        </xdr:from>
        <xdr:to>
          <xdr:col>29</xdr:col>
          <xdr:colOff>361950</xdr:colOff>
          <xdr:row>3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18</xdr:row>
          <xdr:rowOff>0</xdr:rowOff>
        </xdr:from>
        <xdr:to>
          <xdr:col>29</xdr:col>
          <xdr:colOff>361950</xdr:colOff>
          <xdr:row>19</xdr:row>
          <xdr:rowOff>133350</xdr:rowOff>
        </xdr:to>
        <xdr:sp macro="" textlink="">
          <xdr:nvSpPr>
            <xdr:cNvPr id="10243" name="Length7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4</xdr:row>
          <xdr:rowOff>38100</xdr:rowOff>
        </xdr:from>
        <xdr:to>
          <xdr:col>29</xdr:col>
          <xdr:colOff>361950</xdr:colOff>
          <xdr:row>6</xdr:row>
          <xdr:rowOff>28575</xdr:rowOff>
        </xdr:to>
        <xdr:sp macro="" textlink="">
          <xdr:nvSpPr>
            <xdr:cNvPr id="10244" name="Length2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7</xdr:row>
          <xdr:rowOff>0</xdr:rowOff>
        </xdr:from>
        <xdr:to>
          <xdr:col>29</xdr:col>
          <xdr:colOff>361950</xdr:colOff>
          <xdr:row>8</xdr:row>
          <xdr:rowOff>133350</xdr:rowOff>
        </xdr:to>
        <xdr:sp macro="" textlink="">
          <xdr:nvSpPr>
            <xdr:cNvPr id="10245" name="Length3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12</xdr:row>
          <xdr:rowOff>66675</xdr:rowOff>
        </xdr:from>
        <xdr:to>
          <xdr:col>29</xdr:col>
          <xdr:colOff>361950</xdr:colOff>
          <xdr:row>14</xdr:row>
          <xdr:rowOff>57150</xdr:rowOff>
        </xdr:to>
        <xdr:sp macro="" textlink="">
          <xdr:nvSpPr>
            <xdr:cNvPr id="10246" name="Length5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15</xdr:row>
          <xdr:rowOff>19050</xdr:rowOff>
        </xdr:from>
        <xdr:to>
          <xdr:col>29</xdr:col>
          <xdr:colOff>361950</xdr:colOff>
          <xdr:row>17</xdr:row>
          <xdr:rowOff>9525</xdr:rowOff>
        </xdr:to>
        <xdr:sp macro="" textlink="">
          <xdr:nvSpPr>
            <xdr:cNvPr id="10247" name="Length6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552449</xdr:colOff>
      <xdr:row>0</xdr:row>
      <xdr:rowOff>114300</xdr:rowOff>
    </xdr:from>
    <xdr:to>
      <xdr:col>43</xdr:col>
      <xdr:colOff>428624</xdr:colOff>
      <xdr:row>33</xdr:row>
      <xdr:rowOff>85725</xdr:rowOff>
    </xdr:to>
    <xdr:graphicFrame macro="">
      <xdr:nvGraphicFramePr>
        <xdr:cNvPr id="9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9</xdr:row>
          <xdr:rowOff>123825</xdr:rowOff>
        </xdr:from>
        <xdr:to>
          <xdr:col>29</xdr:col>
          <xdr:colOff>361950</xdr:colOff>
          <xdr:row>11</xdr:row>
          <xdr:rowOff>114300</xdr:rowOff>
        </xdr:to>
        <xdr:sp macro="" textlink="">
          <xdr:nvSpPr>
            <xdr:cNvPr id="9217" name="Length4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</xdr:row>
          <xdr:rowOff>276225</xdr:rowOff>
        </xdr:from>
        <xdr:to>
          <xdr:col>29</xdr:col>
          <xdr:colOff>361950</xdr:colOff>
          <xdr:row>3</xdr:row>
          <xdr:rowOff>123825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18</xdr:row>
          <xdr:rowOff>0</xdr:rowOff>
        </xdr:from>
        <xdr:to>
          <xdr:col>29</xdr:col>
          <xdr:colOff>361950</xdr:colOff>
          <xdr:row>19</xdr:row>
          <xdr:rowOff>133350</xdr:rowOff>
        </xdr:to>
        <xdr:sp macro="" textlink="">
          <xdr:nvSpPr>
            <xdr:cNvPr id="9219" name="Length7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4</xdr:row>
          <xdr:rowOff>38100</xdr:rowOff>
        </xdr:from>
        <xdr:to>
          <xdr:col>29</xdr:col>
          <xdr:colOff>361950</xdr:colOff>
          <xdr:row>6</xdr:row>
          <xdr:rowOff>28575</xdr:rowOff>
        </xdr:to>
        <xdr:sp macro="" textlink="">
          <xdr:nvSpPr>
            <xdr:cNvPr id="9220" name="Length2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7</xdr:row>
          <xdr:rowOff>0</xdr:rowOff>
        </xdr:from>
        <xdr:to>
          <xdr:col>29</xdr:col>
          <xdr:colOff>361950</xdr:colOff>
          <xdr:row>8</xdr:row>
          <xdr:rowOff>133350</xdr:rowOff>
        </xdr:to>
        <xdr:sp macro="" textlink="">
          <xdr:nvSpPr>
            <xdr:cNvPr id="9221" name="Length3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12</xdr:row>
          <xdr:rowOff>66675</xdr:rowOff>
        </xdr:from>
        <xdr:to>
          <xdr:col>29</xdr:col>
          <xdr:colOff>361950</xdr:colOff>
          <xdr:row>14</xdr:row>
          <xdr:rowOff>57150</xdr:rowOff>
        </xdr:to>
        <xdr:sp macro="" textlink="">
          <xdr:nvSpPr>
            <xdr:cNvPr id="9222" name="Length5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15</xdr:row>
          <xdr:rowOff>19050</xdr:rowOff>
        </xdr:from>
        <xdr:to>
          <xdr:col>29</xdr:col>
          <xdr:colOff>361950</xdr:colOff>
          <xdr:row>17</xdr:row>
          <xdr:rowOff>9525</xdr:rowOff>
        </xdr:to>
        <xdr:sp macro="" textlink="">
          <xdr:nvSpPr>
            <xdr:cNvPr id="9223" name="Length6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552449</xdr:colOff>
      <xdr:row>0</xdr:row>
      <xdr:rowOff>114300</xdr:rowOff>
    </xdr:from>
    <xdr:to>
      <xdr:col>43</xdr:col>
      <xdr:colOff>428624</xdr:colOff>
      <xdr:row>33</xdr:row>
      <xdr:rowOff>85725</xdr:rowOff>
    </xdr:to>
    <xdr:graphicFrame macro="">
      <xdr:nvGraphicFramePr>
        <xdr:cNvPr id="9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BasisSwap1MxM"/>
      <sheetName val="BasisSwap3M6M"/>
      <sheetName val="BasisSwapEON3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ECB OIS"/>
      <sheetName val="IMM OIS"/>
      <sheetName val="Swaps1M(&lt;1Y)"/>
      <sheetName val="Swap1M"/>
      <sheetName val="SwapsIMMDated"/>
      <sheetName val="Swap3M"/>
      <sheetName val="ON"/>
      <sheetName val="Swap6M"/>
      <sheetName val="ForwardSwap6M"/>
      <sheetName val="1M (3)"/>
      <sheetName val="3M (4)"/>
      <sheetName val="ON BASIS"/>
      <sheetName val="6M (3)"/>
      <sheetName val="1Y (3)"/>
      <sheetName val="Euribor 3M Time Series"/>
      <sheetName val="Euribor 6M Time Series"/>
      <sheetName val="EuriborSwapIsdaFixA1Y"/>
    </sheetNames>
    <definedNames>
      <definedName name="LastFixingsTrigger" refersTo="='General Settings'!$D$7"/>
      <definedName name="TriggerCounter" refersTo="='General Settings'!$D$6"/>
    </definedNames>
    <sheetDataSet>
      <sheetData sheetId="0">
        <row r="6">
          <cell r="D6">
            <v>19</v>
          </cell>
        </row>
        <row r="7">
          <cell r="D7">
            <v>4</v>
          </cell>
        </row>
      </sheetData>
      <sheetData sheetId="1">
        <row r="7">
          <cell r="D7" t="str">
            <v>EURSTD</v>
          </cell>
        </row>
      </sheetData>
      <sheetData sheetId="2">
        <row r="6">
          <cell r="D6" t="str">
            <v>EUR6M#0001</v>
          </cell>
        </row>
        <row r="7">
          <cell r="D7" t="str">
            <v>EUR6M#0001</v>
          </cell>
        </row>
      </sheetData>
      <sheetData sheetId="3">
        <row r="6">
          <cell r="D6" t="str">
            <v>6E</v>
          </cell>
        </row>
        <row r="7">
          <cell r="D7" t="str">
            <v>6E</v>
          </cell>
        </row>
      </sheetData>
      <sheetData sheetId="4">
        <row r="6">
          <cell r="D6" t="str">
            <v>6E</v>
          </cell>
        </row>
        <row r="7">
          <cell r="D7" t="str">
            <v>6E</v>
          </cell>
        </row>
      </sheetData>
      <sheetData sheetId="5">
        <row r="6">
          <cell r="D6" t="str">
            <v>3E</v>
          </cell>
        </row>
        <row r="7">
          <cell r="D7" t="str">
            <v>3E</v>
          </cell>
        </row>
      </sheetData>
      <sheetData sheetId="6">
        <row r="6">
          <cell r="D6" t="str">
            <v>12E</v>
          </cell>
        </row>
        <row r="7">
          <cell r="D7" t="str">
            <v>12E</v>
          </cell>
        </row>
      </sheetData>
      <sheetData sheetId="7">
        <row r="6">
          <cell r="D6" t="str">
            <v>EURTND_Quote#0001</v>
          </cell>
        </row>
        <row r="7">
          <cell r="D7" t="str">
            <v>EURSND_Quote#0001</v>
          </cell>
        </row>
      </sheetData>
      <sheetData sheetId="8">
        <row r="6">
          <cell r="D6" t="str">
            <v>EUR2x5F_Quote</v>
          </cell>
        </row>
        <row r="7">
          <cell r="D7" t="str">
            <v>EUR3x6F_Quote</v>
          </cell>
        </row>
      </sheetData>
      <sheetData sheetId="9">
        <row r="6">
          <cell r="D6" t="str">
            <v>M5</v>
          </cell>
        </row>
        <row r="7">
          <cell r="D7" t="str">
            <v>N5</v>
          </cell>
        </row>
      </sheetData>
      <sheetData sheetId="10">
        <row r="6">
          <cell r="D6" t="str">
            <v>Future Code</v>
          </cell>
        </row>
        <row r="7">
          <cell r="D7" t="str">
            <v>M5</v>
          </cell>
        </row>
      </sheetData>
      <sheetData sheetId="11">
        <row r="6">
          <cell r="D6" t="str">
            <v>M5</v>
          </cell>
        </row>
        <row r="7">
          <cell r="D7" t="str">
            <v>N5</v>
          </cell>
        </row>
      </sheetData>
      <sheetData sheetId="12">
        <row r="6">
          <cell r="D6" t="str">
            <v/>
          </cell>
        </row>
      </sheetData>
      <sheetData sheetId="13">
        <row r="6">
          <cell r="D6" t="str">
            <v>2W</v>
          </cell>
        </row>
        <row r="7">
          <cell r="D7" t="str">
            <v>3W</v>
          </cell>
        </row>
      </sheetData>
      <sheetData sheetId="14">
        <row r="6">
          <cell r="D6" t="str">
            <v>OIS</v>
          </cell>
        </row>
        <row r="7">
          <cell r="D7" t="str">
            <v>OIS</v>
          </cell>
        </row>
      </sheetData>
      <sheetData sheetId="15">
        <row r="6">
          <cell r="D6" t="str">
            <v>Z5</v>
          </cell>
        </row>
        <row r="7">
          <cell r="D7" t="str">
            <v>H6</v>
          </cell>
        </row>
      </sheetData>
      <sheetData sheetId="16">
        <row r="6">
          <cell r="D6" t="str">
            <v>X1S</v>
          </cell>
        </row>
        <row r="7">
          <cell r="D7" t="str">
            <v>X1S</v>
          </cell>
        </row>
      </sheetData>
      <sheetData sheetId="17">
        <row r="6">
          <cell r="D6" t="str">
            <v>1E</v>
          </cell>
        </row>
        <row r="7">
          <cell r="D7" t="str">
            <v>1E</v>
          </cell>
        </row>
      </sheetData>
      <sheetData sheetId="18">
        <row r="6">
          <cell r="D6">
            <v>12</v>
          </cell>
        </row>
        <row r="7">
          <cell r="D7">
            <v>12</v>
          </cell>
        </row>
      </sheetData>
      <sheetData sheetId="19">
        <row r="6">
          <cell r="D6" t="str">
            <v>3E</v>
          </cell>
        </row>
        <row r="7">
          <cell r="D7" t="str">
            <v>3E</v>
          </cell>
        </row>
      </sheetData>
      <sheetData sheetId="20"/>
      <sheetData sheetId="21">
        <row r="6">
          <cell r="D6" t="str">
            <v>6E</v>
          </cell>
        </row>
        <row r="7">
          <cell r="D7" t="str">
            <v>6E</v>
          </cell>
        </row>
      </sheetData>
      <sheetData sheetId="22">
        <row r="6">
          <cell r="D6" t="str">
            <v>EUR1F2Y_Quote</v>
          </cell>
        </row>
        <row r="7">
          <cell r="D7" t="str">
            <v>EUR1F3Y_Quote</v>
          </cell>
        </row>
      </sheetData>
      <sheetData sheetId="23">
        <row r="6">
          <cell r="D6" t="str">
            <v>1E</v>
          </cell>
        </row>
        <row r="7">
          <cell r="D7" t="str">
            <v>1E</v>
          </cell>
        </row>
      </sheetData>
      <sheetData sheetId="24">
        <row r="6">
          <cell r="D6" t="str">
            <v>3E</v>
          </cell>
        </row>
        <row r="7">
          <cell r="D7" t="str">
            <v>3E</v>
          </cell>
        </row>
      </sheetData>
      <sheetData sheetId="25">
        <row r="6">
          <cell r="D6" t="str">
            <v>3E</v>
          </cell>
        </row>
        <row r="7">
          <cell r="D7" t="str">
            <v>3E</v>
          </cell>
        </row>
      </sheetData>
      <sheetData sheetId="26">
        <row r="6">
          <cell r="D6" t="str">
            <v>6E</v>
          </cell>
        </row>
        <row r="7">
          <cell r="D7" t="str">
            <v>6E</v>
          </cell>
        </row>
      </sheetData>
      <sheetData sheetId="27">
        <row r="6">
          <cell r="D6" t="str">
            <v>12E</v>
          </cell>
        </row>
        <row r="7">
          <cell r="D7" t="str">
            <v>12E</v>
          </cell>
        </row>
      </sheetData>
      <sheetData sheetId="28">
        <row r="6">
          <cell r="D6">
            <v>42158</v>
          </cell>
        </row>
        <row r="7">
          <cell r="D7">
            <v>42157</v>
          </cell>
        </row>
      </sheetData>
      <sheetData sheetId="29">
        <row r="6">
          <cell r="D6">
            <v>42158</v>
          </cell>
        </row>
        <row r="7">
          <cell r="D7">
            <v>42157</v>
          </cell>
        </row>
      </sheetData>
      <sheetData sheetId="30">
        <row r="6">
          <cell r="D6">
            <v>42159</v>
          </cell>
        </row>
        <row r="7">
          <cell r="D7">
            <v>42158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19"/>
  <sheetViews>
    <sheetView workbookViewId="0">
      <selection activeCell="I4" sqref="I4"/>
    </sheetView>
  </sheetViews>
  <sheetFormatPr defaultColWidth="9.140625" defaultRowHeight="11.25" x14ac:dyDescent="0.2"/>
  <cols>
    <col min="1" max="2" width="2.42578125" style="68" customWidth="1"/>
    <col min="3" max="3" width="20.85546875" style="68" customWidth="1"/>
    <col min="4" max="4" width="30.7109375" style="68" customWidth="1"/>
    <col min="5" max="7" width="2.42578125" style="68" customWidth="1"/>
    <col min="8" max="8" width="23.5703125" style="68" bestFit="1" customWidth="1"/>
    <col min="9" max="9" width="33.7109375" style="68" bestFit="1" customWidth="1"/>
    <col min="10" max="10" width="2.42578125" style="68" customWidth="1"/>
    <col min="11" max="16384" width="9.140625" style="68"/>
  </cols>
  <sheetData>
    <row r="1" spans="1:34" x14ac:dyDescent="0.2">
      <c r="B1" s="68" t="str">
        <f>_xll.qlxlVersion(TRUE,EvaluationDate)</f>
        <v>QuantLibXL 1.6.0 - MS VC++ (version unknown) - Multithreaded Dynamic Runtime library - Release Configuration - Jun  1 2015 10:45:27</v>
      </c>
    </row>
    <row r="2" spans="1:34" s="69" customFormat="1" ht="18.75" customHeight="1" x14ac:dyDescent="0.25">
      <c r="B2" s="52" t="s">
        <v>3</v>
      </c>
      <c r="C2" s="53"/>
      <c r="D2" s="53"/>
      <c r="E2" s="54"/>
      <c r="G2" s="55" t="s">
        <v>13</v>
      </c>
      <c r="H2" s="56"/>
      <c r="I2" s="56"/>
      <c r="J2" s="57"/>
    </row>
    <row r="3" spans="1:34" x14ac:dyDescent="0.2">
      <c r="B3" s="47"/>
      <c r="C3" s="1"/>
      <c r="D3" s="1"/>
      <c r="E3" s="48"/>
      <c r="G3" s="58"/>
      <c r="H3" s="59"/>
      <c r="I3" s="59"/>
      <c r="J3" s="60"/>
    </row>
    <row r="4" spans="1:34" x14ac:dyDescent="0.2">
      <c r="B4" s="47"/>
      <c r="C4" s="66" t="s">
        <v>4</v>
      </c>
      <c r="D4" s="2" t="s">
        <v>1</v>
      </c>
      <c r="E4" s="48"/>
      <c r="G4" s="61"/>
      <c r="H4" s="66" t="s">
        <v>15</v>
      </c>
      <c r="I4" s="7"/>
      <c r="J4" s="62"/>
    </row>
    <row r="5" spans="1:34" s="70" customFormat="1" x14ac:dyDescent="0.2">
      <c r="A5" s="68"/>
      <c r="B5" s="47"/>
      <c r="C5" s="66" t="s">
        <v>5</v>
      </c>
      <c r="D5" s="3" t="s">
        <v>6</v>
      </c>
      <c r="E5" s="48"/>
      <c r="F5" s="68"/>
      <c r="G5" s="61"/>
      <c r="H5" s="66" t="s">
        <v>16</v>
      </c>
      <c r="I5" s="7">
        <f>_xll.qlSettingsEvaluationDate(Trigger)</f>
        <v>42159</v>
      </c>
      <c r="J5" s="62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</row>
    <row r="6" spans="1:34" s="70" customFormat="1" x14ac:dyDescent="0.2">
      <c r="A6" s="68"/>
      <c r="B6" s="47"/>
      <c r="C6" s="66" t="s">
        <v>2</v>
      </c>
      <c r="D6" s="3" t="str">
        <f>IF(UPPER(Currency)&lt;&gt;"EUR","L","")&amp;"ibor"</f>
        <v>ibor</v>
      </c>
      <c r="E6" s="48"/>
      <c r="F6" s="68"/>
      <c r="G6" s="61"/>
      <c r="H6" s="67" t="s">
        <v>14</v>
      </c>
      <c r="I6" s="6">
        <f>_xll.qlCalendarAdvance(Calendar,EvaluationDate,"2D","f")</f>
        <v>42163</v>
      </c>
      <c r="J6" s="62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</row>
    <row r="7" spans="1:34" x14ac:dyDescent="0.2">
      <c r="B7" s="47"/>
      <c r="C7" s="66" t="s">
        <v>7</v>
      </c>
      <c r="D7" s="4" t="s">
        <v>8</v>
      </c>
      <c r="E7" s="48"/>
      <c r="G7" s="61"/>
      <c r="H7" s="66" t="s">
        <v>17</v>
      </c>
      <c r="I7" s="8">
        <f>[1]!TriggerCounter</f>
        <v>19</v>
      </c>
      <c r="J7" s="62"/>
    </row>
    <row r="8" spans="1:34" x14ac:dyDescent="0.2">
      <c r="B8" s="47"/>
      <c r="C8" s="66" t="s">
        <v>9</v>
      </c>
      <c r="D8" s="5" t="s">
        <v>10</v>
      </c>
      <c r="E8" s="48"/>
      <c r="G8" s="61"/>
      <c r="H8" s="66" t="s">
        <v>18</v>
      </c>
      <c r="I8" s="9">
        <f>[1]!LastFixingsTrigger</f>
        <v>4</v>
      </c>
      <c r="J8" s="62"/>
    </row>
    <row r="9" spans="1:34" x14ac:dyDescent="0.2">
      <c r="B9" s="47"/>
      <c r="C9" s="66" t="s">
        <v>11</v>
      </c>
      <c r="D9" s="5" t="s">
        <v>12</v>
      </c>
      <c r="E9" s="48"/>
      <c r="G9" s="63"/>
      <c r="H9" s="64"/>
      <c r="I9" s="64"/>
      <c r="J9" s="65"/>
    </row>
    <row r="10" spans="1:34" x14ac:dyDescent="0.2">
      <c r="B10" s="49"/>
      <c r="C10" s="50"/>
      <c r="D10" s="50"/>
      <c r="E10" s="51"/>
    </row>
    <row r="11" spans="1:34" x14ac:dyDescent="0.2">
      <c r="C11" s="71"/>
      <c r="D11" s="71"/>
      <c r="E11" s="71"/>
    </row>
    <row r="12" spans="1:34" x14ac:dyDescent="0.2">
      <c r="C12" s="71"/>
      <c r="D12" s="71"/>
      <c r="E12" s="71"/>
    </row>
    <row r="13" spans="1:34" x14ac:dyDescent="0.2">
      <c r="C13" s="71"/>
      <c r="D13" s="71"/>
      <c r="E13" s="71"/>
    </row>
    <row r="14" spans="1:34" x14ac:dyDescent="0.2">
      <c r="C14" s="71"/>
      <c r="D14" s="71"/>
      <c r="E14" s="71"/>
    </row>
    <row r="15" spans="1:34" x14ac:dyDescent="0.2">
      <c r="C15" s="71"/>
      <c r="D15" s="71"/>
      <c r="E15" s="71"/>
    </row>
    <row r="16" spans="1:34" x14ac:dyDescent="0.2">
      <c r="C16" s="71"/>
      <c r="D16" s="71"/>
      <c r="E16" s="71"/>
    </row>
    <row r="17" spans="3:5" x14ac:dyDescent="0.2">
      <c r="C17" s="71"/>
      <c r="D17" s="71"/>
      <c r="E17" s="71"/>
    </row>
    <row r="18" spans="3:5" x14ac:dyDescent="0.2">
      <c r="C18" s="71"/>
      <c r="D18" s="71"/>
      <c r="E18" s="71"/>
    </row>
    <row r="19" spans="3:5" x14ac:dyDescent="0.2">
      <c r="C19" s="71"/>
      <c r="D19" s="71"/>
      <c r="E19" s="71"/>
    </row>
  </sheetData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9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A1618"/>
  <sheetViews>
    <sheetView showGridLines="0" topLeftCell="K1" workbookViewId="0">
      <selection activeCell="M3" sqref="M3"/>
    </sheetView>
  </sheetViews>
  <sheetFormatPr defaultRowHeight="11.25" outlineLevelCol="1" x14ac:dyDescent="0.2"/>
  <cols>
    <col min="1" max="1" width="10" style="33" hidden="1" customWidth="1" outlineLevel="1"/>
    <col min="2" max="2" width="17.28515625" style="33" hidden="1" customWidth="1" outlineLevel="1"/>
    <col min="3" max="3" width="7" style="33" hidden="1" customWidth="1" outlineLevel="1"/>
    <col min="4" max="4" width="17.28515625" style="33" hidden="1" customWidth="1" outlineLevel="1"/>
    <col min="5" max="5" width="6" style="33" hidden="1" customWidth="1" outlineLevel="1"/>
    <col min="6" max="6" width="10" style="33" hidden="1" customWidth="1" outlineLevel="1"/>
    <col min="7" max="7" width="6" style="33" hidden="1" customWidth="1" outlineLevel="1"/>
    <col min="8" max="8" width="8" style="33" hidden="1" customWidth="1" outlineLevel="1"/>
    <col min="9" max="10" width="12" style="33" hidden="1" customWidth="1" outlineLevel="1"/>
    <col min="11" max="11" width="2.7109375" style="33" customWidth="1" collapsed="1"/>
    <col min="12" max="12" width="12" style="33" bestFit="1" customWidth="1"/>
    <col min="13" max="13" width="15.140625" style="33" bestFit="1" customWidth="1"/>
    <col min="14" max="14" width="6" style="33" bestFit="1" customWidth="1"/>
    <col min="15" max="15" width="3" style="33" bestFit="1" customWidth="1"/>
    <col min="16" max="16" width="6" style="33" bestFit="1" customWidth="1"/>
    <col min="17" max="18" width="17.28515625" style="33" bestFit="1" customWidth="1"/>
    <col min="19" max="19" width="17.28515625" style="33" customWidth="1"/>
    <col min="20" max="22" width="9.7109375" style="33" customWidth="1"/>
    <col min="23" max="25" width="9" style="33" hidden="1" customWidth="1" outlineLevel="1"/>
    <col min="26" max="26" width="12" style="33" customWidth="1" collapsed="1"/>
    <col min="27" max="27" width="12" style="33" customWidth="1"/>
    <col min="28" max="32" width="9.140625" style="33"/>
    <col min="33" max="33" width="15.140625" style="33" bestFit="1" customWidth="1"/>
    <col min="34" max="35" width="9.140625" style="33"/>
    <col min="36" max="36" width="13.140625" style="33" bestFit="1" customWidth="1"/>
    <col min="37" max="16384" width="9.140625" style="33"/>
  </cols>
  <sheetData>
    <row r="1" spans="1:27" x14ac:dyDescent="0.2">
      <c r="A1" s="14" t="s">
        <v>25</v>
      </c>
      <c r="B1" s="14"/>
      <c r="C1" s="14"/>
      <c r="D1" s="14"/>
      <c r="E1" s="14"/>
      <c r="F1" s="14" t="s">
        <v>26</v>
      </c>
      <c r="G1" s="14"/>
      <c r="H1" s="14"/>
      <c r="I1" s="14"/>
      <c r="J1" s="14"/>
      <c r="T1" s="42"/>
      <c r="U1" s="42"/>
      <c r="V1" s="34"/>
      <c r="W1" s="34"/>
      <c r="X1" s="34"/>
      <c r="Y1" s="34"/>
    </row>
    <row r="2" spans="1:27" ht="22.5" customHeight="1" x14ac:dyDescent="0.2">
      <c r="A2" s="15" t="s">
        <v>27</v>
      </c>
      <c r="B2" s="15" t="s">
        <v>28</v>
      </c>
      <c r="C2" s="15" t="s">
        <v>29</v>
      </c>
      <c r="D2" s="15" t="s">
        <v>30</v>
      </c>
      <c r="E2" s="15" t="s">
        <v>31</v>
      </c>
      <c r="F2" s="15" t="s">
        <v>28</v>
      </c>
      <c r="G2" s="15" t="s">
        <v>30</v>
      </c>
      <c r="H2" s="15" t="s">
        <v>31</v>
      </c>
      <c r="I2" s="15" t="s">
        <v>32</v>
      </c>
      <c r="J2" s="15" t="s">
        <v>33</v>
      </c>
      <c r="Q2" s="45" t="s">
        <v>22</v>
      </c>
      <c r="R2" s="45" t="s">
        <v>23</v>
      </c>
      <c r="S2" s="45" t="s">
        <v>55</v>
      </c>
      <c r="T2" s="45" t="s">
        <v>24</v>
      </c>
      <c r="U2" s="45" t="str">
        <f>"F "&amp;$M$3</f>
        <v>F 1M</v>
      </c>
      <c r="V2" s="45" t="s">
        <v>36</v>
      </c>
      <c r="W2" s="45" t="s">
        <v>37</v>
      </c>
      <c r="X2" s="45" t="s">
        <v>56</v>
      </c>
      <c r="Y2" s="45" t="s">
        <v>44</v>
      </c>
      <c r="Z2" s="45" t="s">
        <v>43</v>
      </c>
      <c r="AA2" s="45" t="s">
        <v>52</v>
      </c>
    </row>
    <row r="3" spans="1:27" x14ac:dyDescent="0.2">
      <c r="A3" s="18" t="str">
        <f>_xll.qlPeriodEquivalent(C3&amp;"M")</f>
        <v>1Y</v>
      </c>
      <c r="B3" s="10">
        <f>_xll.qlDateEndOfMonth(EDATE(_xll.qlSettingsEvaluationDate(Trigger),-1))</f>
        <v>42155</v>
      </c>
      <c r="C3" s="11">
        <v>12</v>
      </c>
      <c r="D3" s="10">
        <f>EDATE($Q$3,C3)</f>
        <v>42525</v>
      </c>
      <c r="E3" s="12">
        <f>IF(C3&lt;=12,1,IF(C3&lt;=24,3,IF(C3&lt;=120,6,IF(C3&lt;=240,12,IF(C3&lt;=360,36,60)))))</f>
        <v>1</v>
      </c>
      <c r="F3" s="16" t="e">
        <f>ROUNDDOWN(I3*10,2)/10</f>
        <v>#NUM!</v>
      </c>
      <c r="G3" s="17" t="e">
        <f>IF(J3-I3&gt;1%,(QUOTIENT(J3*10000,50)+1)*0.5%,(QUOTIENT(J3*10000,10)+1)*0.1%)</f>
        <v>#NUM!</v>
      </c>
      <c r="H3" s="12" t="e">
        <f>IF(G3-F3&lt;0.5%,0.025%,IF(G3-F3&lt;1%,0.1%,IF(G3-F3&lt;2%,0.25%,0.5%)))</f>
        <v>#NUM!</v>
      </c>
      <c r="I3" s="17" t="e">
        <f>MIN(_xll.ohPack($V$3:INDEX($V$3:$V$135,MATCH(D3+1,$R$3:$R$135,1),1)))</f>
        <v>#NUM!</v>
      </c>
      <c r="J3" s="17" t="e">
        <f>MAX(_xll.ohPack($V$3:INDEX($V$3:$V$135,MATCH(D3+1,$R$3:$R$135,1),1)))</f>
        <v>#NUM!</v>
      </c>
      <c r="L3" s="46" t="s">
        <v>21</v>
      </c>
      <c r="M3" s="35" t="s">
        <v>19</v>
      </c>
      <c r="N3" s="36"/>
      <c r="O3" s="33">
        <v>0</v>
      </c>
      <c r="P3" s="26" t="str">
        <f>O3&amp;"M"</f>
        <v>0M</v>
      </c>
      <c r="Q3" s="75">
        <f>EvaluationDate</f>
        <v>42159</v>
      </c>
      <c r="R3" s="75">
        <f>_xll.qlInterestRateIndexValueDate(Index,Q3,Trigger)</f>
        <v>42163</v>
      </c>
      <c r="S3" s="28">
        <f>_xll.qlInterestRateIndexMaturity(Index,R3,Trigger)</f>
        <v>42193</v>
      </c>
      <c r="T3" s="76">
        <f>_xll.qlIndexFixing($M$6,Q3,,InterestRatesTrigger)</f>
        <v>-1.1909626367661019E-3</v>
      </c>
      <c r="U3" s="76" t="e">
        <f>_xll.qlIndexFixing(Index,Q3,,InterestRatesTrigger)</f>
        <v>#NUM!</v>
      </c>
      <c r="V3" s="76" t="e">
        <f>U3-T3</f>
        <v>#NUM!</v>
      </c>
      <c r="W3" s="77">
        <f>_xll.qlDayCounterYearFraction(DayCounter,SettlementDate,R3,,,Trigger)</f>
        <v>0</v>
      </c>
      <c r="X3" s="77">
        <f>_xll.qlDayCounterYearFraction(DayCounter,R3,S3)</f>
        <v>8.3333333333333329E-2</v>
      </c>
      <c r="Y3" s="77" t="e">
        <f>_xll.qlYieldTSDiscount(Currency&amp;"ON",R3)/(1+U3*X3)</f>
        <v>#NUM!</v>
      </c>
      <c r="Z3" s="76" t="e">
        <f>_xll.qlTenorBasisValue(TenorBasis6M,R3,InterestRatesTrigger)</f>
        <v>#VALUE!</v>
      </c>
      <c r="AA3" s="76" t="e">
        <f>V3-Z3</f>
        <v>#NUM!</v>
      </c>
    </row>
    <row r="4" spans="1:27" x14ac:dyDescent="0.2">
      <c r="A4" s="18" t="str">
        <f>_xll.qlPeriodEquivalent(C4&amp;"M")</f>
        <v>2Y</v>
      </c>
      <c r="B4" s="10">
        <f>_xll.qlDateEndOfMonth(EDATE(_xll.qlIMMNextDate(_xll.qlSettingsEvaluationDate(Trigger)-1,TRUE),-3))</f>
        <v>42094</v>
      </c>
      <c r="C4" s="11">
        <v>24</v>
      </c>
      <c r="D4" s="10">
        <f t="shared" ref="D4:D9" si="0">EDATE($Q$3,C4)</f>
        <v>42890</v>
      </c>
      <c r="E4" s="12">
        <f t="shared" ref="E4:E9" si="1">IF(C4&lt;=12,1,IF(C4&lt;=24,3,IF(C4&lt;=120,6,IF(C4&lt;=240,12,IF(C4&lt;=360,36,60)))))</f>
        <v>3</v>
      </c>
      <c r="F4" s="16" t="e">
        <f t="shared" ref="F4:F9" si="2">ROUNDDOWN(I4*10,2)/10</f>
        <v>#NUM!</v>
      </c>
      <c r="G4" s="17" t="e">
        <f t="shared" ref="G4:G9" si="3">IF(J4-I4&gt;1%,(QUOTIENT(J4*10000,50)+1)*0.5%,(QUOTIENT(J4*10000,10)+1)*0.1%)</f>
        <v>#NUM!</v>
      </c>
      <c r="H4" s="12" t="e">
        <f t="shared" ref="H4:H9" si="4">IF(G4-F4&lt;0.5%,0.025%,IF(G4-F4&lt;1%,0.1%,IF(G4-F4&lt;2%,0.25%,0.5%)))</f>
        <v>#NUM!</v>
      </c>
      <c r="I4" s="17" t="e">
        <f>MIN(_xll.ohPack($V$3:INDEX($V$3:$V$135,MATCH(D4+1,$R$3:$R$135,1),1)))</f>
        <v>#NUM!</v>
      </c>
      <c r="J4" s="17" t="e">
        <f>MAX(_xll.ohPack($V$3:INDEX($V$3:$V$135,MATCH(D4+1,$R$3:$R$135,1),1)))</f>
        <v>#NUM!</v>
      </c>
      <c r="N4" s="36"/>
      <c r="O4" s="33">
        <v>1</v>
      </c>
      <c r="P4" s="26" t="str">
        <f>_xll.qlPeriodEquivalent(P3&amp;"+"&amp;O4&amp;"M")</f>
        <v>1M</v>
      </c>
      <c r="Q4" s="28">
        <f>_xll.qlCalendarAdvance(Calendar,SettlementDate,P4,"f",,Trigger)</f>
        <v>42193</v>
      </c>
      <c r="R4" s="28">
        <f>_xll.qlInterestRateIndexValueDate(Index,Q4,Trigger)</f>
        <v>42195</v>
      </c>
      <c r="S4" s="28">
        <f>_xll.qlInterestRateIndexMaturity(Index,R4,Trigger)</f>
        <v>42226</v>
      </c>
      <c r="T4" s="30">
        <f>_xll.qlIndexFixing($M$6,Q4,,InterestRatesTrigger)</f>
        <v>-1.264219997866766E-3</v>
      </c>
      <c r="U4" s="30" t="e">
        <f>_xll.qlIndexFixing(Index,Q4,,InterestRatesTrigger)</f>
        <v>#NUM!</v>
      </c>
      <c r="V4" s="30" t="e">
        <f t="shared" ref="V4:V67" si="5">U4-T4</f>
        <v>#NUM!</v>
      </c>
      <c r="W4" s="29">
        <f>_xll.qlDayCounterYearFraction(DayCounter,SettlementDate,R4,,,Trigger)</f>
        <v>8.8888888888888892E-2</v>
      </c>
      <c r="X4" s="29">
        <f>_xll.qlDayCounterYearFraction(DayCounter,R4,S4)</f>
        <v>8.611111111111111E-2</v>
      </c>
      <c r="Y4" s="29" t="e">
        <f>_xll.qlYieldTSDiscount(Currency&amp;"ON",R4)/(1+U4*X4)</f>
        <v>#NUM!</v>
      </c>
      <c r="Z4" s="30" t="e">
        <f>_xll.qlTenorBasisValue(TenorBasis6M,R4,InterestRatesTrigger)</f>
        <v>#VALUE!</v>
      </c>
      <c r="AA4" s="30" t="e">
        <f t="shared" ref="AA4:AA67" si="6">V4-Z4</f>
        <v>#NUM!</v>
      </c>
    </row>
    <row r="5" spans="1:27" x14ac:dyDescent="0.2">
      <c r="A5" s="18" t="str">
        <f>_xll.qlPeriodEquivalent(C5&amp;"M")</f>
        <v>5Y</v>
      </c>
      <c r="B5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5" s="11">
        <v>60</v>
      </c>
      <c r="D5" s="10">
        <f t="shared" si="0"/>
        <v>43986</v>
      </c>
      <c r="E5" s="12">
        <f t="shared" si="1"/>
        <v>6</v>
      </c>
      <c r="F5" s="16" t="e">
        <f t="shared" si="2"/>
        <v>#NUM!</v>
      </c>
      <c r="G5" s="17" t="e">
        <f t="shared" si="3"/>
        <v>#NUM!</v>
      </c>
      <c r="H5" s="12" t="e">
        <f t="shared" si="4"/>
        <v>#NUM!</v>
      </c>
      <c r="I5" s="17" t="e">
        <f>MIN(_xll.ohPack($V$3:INDEX($V$3:$V$135,MATCH(D5+1,$R$3:$R$135,1),1)))</f>
        <v>#NUM!</v>
      </c>
      <c r="J5" s="17" t="e">
        <f>MAX(_xll.ohPack($V$3:INDEX($V$3:$V$135,MATCH(D5+1,$R$3:$R$135,1),1)))</f>
        <v>#NUM!</v>
      </c>
      <c r="L5" s="46" t="s">
        <v>20</v>
      </c>
      <c r="M5" s="35" t="str">
        <f>PROPER(Currency)&amp;IborType&amp;M3</f>
        <v>Euribor1M</v>
      </c>
      <c r="O5" s="33">
        <v>1</v>
      </c>
      <c r="P5" s="27" t="str">
        <f>_xll.qlPeriodEquivalent(P4&amp;"+"&amp;O5&amp;"M")</f>
        <v>2M</v>
      </c>
      <c r="Q5" s="28">
        <f>_xll.qlCalendarAdvance(Calendar,SettlementDate,P5,"f",,Trigger)</f>
        <v>42226</v>
      </c>
      <c r="R5" s="28">
        <f>_xll.qlInterestRateIndexValueDate(Index,Q5,Trigger)</f>
        <v>42228</v>
      </c>
      <c r="S5" s="28">
        <f>_xll.qlInterestRateIndexMaturity(Index,R5,Trigger)</f>
        <v>42261</v>
      </c>
      <c r="T5" s="30">
        <f>_xll.qlIndexFixing($M$6,Q5,,InterestRatesTrigger)</f>
        <v>-1.2942848544977344E-3</v>
      </c>
      <c r="U5" s="30" t="e">
        <f>_xll.qlIndexFixing(Index,Q5,,InterestRatesTrigger)</f>
        <v>#NUM!</v>
      </c>
      <c r="V5" s="30" t="e">
        <f t="shared" si="5"/>
        <v>#NUM!</v>
      </c>
      <c r="W5" s="29">
        <f>_xll.qlDayCounterYearFraction(DayCounter,SettlementDate,R5,,,Trigger)</f>
        <v>0.18055555555555555</v>
      </c>
      <c r="X5" s="29">
        <f>_xll.qlDayCounterYearFraction(DayCounter,R5,S5)</f>
        <v>9.166666666666666E-2</v>
      </c>
      <c r="Y5" s="29" t="e">
        <f>_xll.qlYieldTSDiscount(Currency&amp;"ON",R5)/(1+U5*X5)</f>
        <v>#NUM!</v>
      </c>
      <c r="Z5" s="30" t="e">
        <f>_xll.qlTenorBasisValue(TenorBasis6M,R5,InterestRatesTrigger)</f>
        <v>#VALUE!</v>
      </c>
      <c r="AA5" s="30" t="e">
        <f t="shared" si="6"/>
        <v>#NUM!</v>
      </c>
    </row>
    <row r="6" spans="1:27" x14ac:dyDescent="0.2">
      <c r="A6" s="18" t="str">
        <f>_xll.qlPeriodEquivalent(C6&amp;"M")</f>
        <v>10Y</v>
      </c>
      <c r="B6" s="10">
        <f t="shared" ref="B6:B9" si="7">B5</f>
        <v>42004</v>
      </c>
      <c r="C6" s="11">
        <v>120</v>
      </c>
      <c r="D6" s="10">
        <f t="shared" si="0"/>
        <v>45812</v>
      </c>
      <c r="E6" s="12">
        <f t="shared" si="1"/>
        <v>6</v>
      </c>
      <c r="F6" s="16" t="e">
        <f t="shared" si="2"/>
        <v>#NUM!</v>
      </c>
      <c r="G6" s="17" t="e">
        <f t="shared" si="3"/>
        <v>#NUM!</v>
      </c>
      <c r="H6" s="12" t="e">
        <f t="shared" si="4"/>
        <v>#NUM!</v>
      </c>
      <c r="I6" s="17" t="e">
        <f>MIN(_xll.ohPack($V$3:INDEX($V$3:$V$135,MATCH(D6+1,$R$3:$R$135,1),1)))</f>
        <v>#NUM!</v>
      </c>
      <c r="J6" s="17" t="e">
        <f>MAX(_xll.ohPack($V$3:INDEX($V$3:$V$135,MATCH(D6+1,$R$3:$R$135,1),1)))</f>
        <v>#NUM!</v>
      </c>
      <c r="L6" s="46" t="str">
        <f>"ON Index "&amp;$M$3</f>
        <v>ON Index 1M</v>
      </c>
      <c r="M6" s="35" t="str">
        <f>_xll.qlIborIndex(,,M3,2,Currency,Calendar,"mf",TRUE,DayCounter,Currency&amp;"ON",,Trigger)</f>
        <v>obj_00849#0001</v>
      </c>
      <c r="N6" s="34"/>
      <c r="O6" s="33">
        <v>1</v>
      </c>
      <c r="P6" s="27" t="str">
        <f>_xll.qlPeriodEquivalent(P5&amp;"+"&amp;O6&amp;"M")</f>
        <v>3M</v>
      </c>
      <c r="Q6" s="28">
        <f>_xll.qlCalendarAdvance(Calendar,SettlementDate,P6,"f",,Trigger)</f>
        <v>42255</v>
      </c>
      <c r="R6" s="28">
        <f>_xll.qlInterestRateIndexValueDate(Index,Q6,Trigger)</f>
        <v>42257</v>
      </c>
      <c r="S6" s="28">
        <f>_xll.qlInterestRateIndexMaturity(Index,R6,Trigger)</f>
        <v>42289</v>
      </c>
      <c r="T6" s="30">
        <f>_xll.qlIndexFixing($M$6,Q6,,InterestRatesTrigger)</f>
        <v>-1.2896490329562804E-3</v>
      </c>
      <c r="U6" s="30" t="e">
        <f>_xll.qlIndexFixing(Index,Q6,,InterestRatesTrigger)</f>
        <v>#NUM!</v>
      </c>
      <c r="V6" s="30" t="e">
        <f t="shared" si="5"/>
        <v>#NUM!</v>
      </c>
      <c r="W6" s="29">
        <f>_xll.qlDayCounterYearFraction(DayCounter,SettlementDate,R6,,,Trigger)</f>
        <v>0.26111111111111113</v>
      </c>
      <c r="X6" s="29">
        <f>_xll.qlDayCounterYearFraction(DayCounter,R6,S6)</f>
        <v>8.8888888888888892E-2</v>
      </c>
      <c r="Y6" s="29" t="e">
        <f>_xll.qlYieldTSDiscount(Currency&amp;"ON",R6)/(1+U6*X6)</f>
        <v>#NUM!</v>
      </c>
      <c r="Z6" s="30" t="e">
        <f>_xll.qlTenorBasisValue(TenorBasis6M,R6,InterestRatesTrigger)</f>
        <v>#VALUE!</v>
      </c>
      <c r="AA6" s="30" t="e">
        <f t="shared" si="6"/>
        <v>#NUM!</v>
      </c>
    </row>
    <row r="7" spans="1:27" x14ac:dyDescent="0.2">
      <c r="A7" s="18" t="str">
        <f>_xll.qlPeriodEquivalent(C7&amp;"M")</f>
        <v>20Y</v>
      </c>
      <c r="B7" s="10">
        <f>IF(AND(MONTH(B6)=12),B6,_xll.qlDateEndOfMonth(EDATE(B6,-6)))</f>
        <v>42004</v>
      </c>
      <c r="C7" s="11">
        <v>240</v>
      </c>
      <c r="D7" s="10">
        <f t="shared" si="0"/>
        <v>49464</v>
      </c>
      <c r="E7" s="13">
        <f t="shared" si="1"/>
        <v>12</v>
      </c>
      <c r="F7" s="16" t="e">
        <f t="shared" si="2"/>
        <v>#NUM!</v>
      </c>
      <c r="G7" s="17" t="e">
        <f t="shared" si="3"/>
        <v>#NUM!</v>
      </c>
      <c r="H7" s="12" t="e">
        <f t="shared" si="4"/>
        <v>#NUM!</v>
      </c>
      <c r="I7" s="17" t="e">
        <f>MIN(_xll.ohPack($V$3:INDEX($V$3:$V$135,MATCH(D7+1,$R$3:$R$135,1),1)))</f>
        <v>#NUM!</v>
      </c>
      <c r="J7" s="17" t="e">
        <f>MAX(_xll.ohPack($V$3:INDEX($V$3:$V$135,MATCH(D7+1,$R$3:$R$135,1),1)))</f>
        <v>#NUM!</v>
      </c>
      <c r="O7" s="33">
        <v>1</v>
      </c>
      <c r="P7" s="27" t="str">
        <f>_xll.qlPeriodEquivalent(P6&amp;"+"&amp;O7&amp;"M")</f>
        <v>4M</v>
      </c>
      <c r="Q7" s="28">
        <f>_xll.qlCalendarAdvance(Calendar,SettlementDate,P7,"f",,Trigger)</f>
        <v>42285</v>
      </c>
      <c r="R7" s="28">
        <f>_xll.qlInterestRateIndexValueDate(Index,Q7,Trigger)</f>
        <v>42289</v>
      </c>
      <c r="S7" s="28">
        <f>_xll.qlInterestRateIndexMaturity(Index,R7,Trigger)</f>
        <v>42320</v>
      </c>
      <c r="T7" s="30">
        <f>_xll.qlIndexFixing($M$6,Q7,,InterestRatesTrigger)</f>
        <v>-1.2776968778464982E-3</v>
      </c>
      <c r="U7" s="30" t="e">
        <f>_xll.qlIndexFixing(Index,Q7,,InterestRatesTrigger)</f>
        <v>#NUM!</v>
      </c>
      <c r="V7" s="30" t="e">
        <f t="shared" si="5"/>
        <v>#NUM!</v>
      </c>
      <c r="W7" s="29">
        <f>_xll.qlDayCounterYearFraction(DayCounter,SettlementDate,R7,,,Trigger)</f>
        <v>0.35</v>
      </c>
      <c r="X7" s="29">
        <f>_xll.qlDayCounterYearFraction(DayCounter,R7,S7)</f>
        <v>8.611111111111111E-2</v>
      </c>
      <c r="Y7" s="29" t="e">
        <f>_xll.qlYieldTSDiscount(Currency&amp;"ON",R7)/(1+U7*X7)</f>
        <v>#NUM!</v>
      </c>
      <c r="Z7" s="30" t="e">
        <f>_xll.qlTenorBasisValue(TenorBasis6M,R7,InterestRatesTrigger)</f>
        <v>#VALUE!</v>
      </c>
      <c r="AA7" s="30" t="e">
        <f t="shared" si="6"/>
        <v>#NUM!</v>
      </c>
    </row>
    <row r="8" spans="1:27" x14ac:dyDescent="0.2">
      <c r="A8" s="18" t="str">
        <f>_xll.qlPeriodEquivalent(C8&amp;"M")</f>
        <v>30Y</v>
      </c>
      <c r="B8" s="10">
        <f t="shared" si="7"/>
        <v>42004</v>
      </c>
      <c r="C8" s="11">
        <v>360</v>
      </c>
      <c r="D8" s="10">
        <f t="shared" si="0"/>
        <v>53117</v>
      </c>
      <c r="E8" s="13">
        <f t="shared" si="1"/>
        <v>36</v>
      </c>
      <c r="F8" s="16" t="e">
        <f t="shared" si="2"/>
        <v>#NUM!</v>
      </c>
      <c r="G8" s="17" t="e">
        <f t="shared" si="3"/>
        <v>#NUM!</v>
      </c>
      <c r="H8" s="12" t="e">
        <f t="shared" si="4"/>
        <v>#NUM!</v>
      </c>
      <c r="I8" s="17" t="e">
        <f>MIN(_xll.ohPack($V$3:INDEX($V$3:$V$135,MATCH(D8+1,$R$3:$R$135,1),1)))</f>
        <v>#NUM!</v>
      </c>
      <c r="J8" s="17" t="e">
        <f>MAX(_xll.ohPack($V$3:INDEX($V$3:$V$135,MATCH(D8+1,$R$3:$R$135,1),1)))</f>
        <v>#NUM!</v>
      </c>
      <c r="L8" s="46" t="s">
        <v>39</v>
      </c>
      <c r="M8" s="43">
        <v>8.7947459799588956E-4</v>
      </c>
      <c r="N8" s="33" t="b">
        <v>0</v>
      </c>
      <c r="O8" s="33">
        <v>1</v>
      </c>
      <c r="P8" s="27" t="str">
        <f>_xll.qlPeriodEquivalent(P7&amp;"+"&amp;O8&amp;"M")</f>
        <v>5M</v>
      </c>
      <c r="Q8" s="28">
        <f>_xll.qlCalendarAdvance(Calendar,SettlementDate,P8,"f",,Trigger)</f>
        <v>42317</v>
      </c>
      <c r="R8" s="28">
        <f>_xll.qlInterestRateIndexValueDate(Index,Q8,Trigger)</f>
        <v>42319</v>
      </c>
      <c r="S8" s="28">
        <f>_xll.qlInterestRateIndexMaturity(Index,R8,Trigger)</f>
        <v>42349</v>
      </c>
      <c r="T8" s="30">
        <f>_xll.qlIndexFixing($M$6,Q8,,InterestRatesTrigger)</f>
        <v>-1.3368921734633332E-3</v>
      </c>
      <c r="U8" s="30" t="e">
        <f>_xll.qlIndexFixing(Index,Q8,,InterestRatesTrigger)</f>
        <v>#NUM!</v>
      </c>
      <c r="V8" s="30" t="e">
        <f t="shared" si="5"/>
        <v>#NUM!</v>
      </c>
      <c r="W8" s="29">
        <f>_xll.qlDayCounterYearFraction(DayCounter,SettlementDate,R8,,,Trigger)</f>
        <v>0.43333333333333335</v>
      </c>
      <c r="X8" s="29">
        <f>_xll.qlDayCounterYearFraction(DayCounter,R8,S8)</f>
        <v>8.3333333333333329E-2</v>
      </c>
      <c r="Y8" s="29" t="e">
        <f>_xll.qlYieldTSDiscount(Currency&amp;"ON",R8)/(1+U8*X8)</f>
        <v>#NUM!</v>
      </c>
      <c r="Z8" s="30" t="e">
        <f>_xll.qlTenorBasisValue(TenorBasis6M,R8,InterestRatesTrigger)</f>
        <v>#VALUE!</v>
      </c>
      <c r="AA8" s="30" t="e">
        <f t="shared" si="6"/>
        <v>#NUM!</v>
      </c>
    </row>
    <row r="9" spans="1:27" x14ac:dyDescent="0.2">
      <c r="A9" s="19" t="str">
        <f>_xll.qlPeriodEquivalent(C9&amp;"M")</f>
        <v>60Y</v>
      </c>
      <c r="B9" s="20">
        <f t="shared" si="7"/>
        <v>42004</v>
      </c>
      <c r="C9" s="21">
        <v>720</v>
      </c>
      <c r="D9" s="20">
        <f t="shared" si="0"/>
        <v>64074</v>
      </c>
      <c r="E9" s="22">
        <f t="shared" si="1"/>
        <v>60</v>
      </c>
      <c r="F9" s="23" t="e">
        <f t="shared" si="2"/>
        <v>#NUM!</v>
      </c>
      <c r="G9" s="24" t="e">
        <f t="shared" si="3"/>
        <v>#NUM!</v>
      </c>
      <c r="H9" s="25" t="e">
        <f t="shared" si="4"/>
        <v>#NUM!</v>
      </c>
      <c r="I9" s="24" t="e">
        <f>MIN(_xll.ohPack($V$3:INDEX($V$3:$V$135,MATCH(D9+1,$R$3:$R$135,1),1)))</f>
        <v>#NUM!</v>
      </c>
      <c r="J9" s="24" t="e">
        <f>MAX(_xll.ohPack($V$3:INDEX($V$3:$V$135,MATCH(D9+1,$R$3:$R$135,1),1)))</f>
        <v>#NUM!</v>
      </c>
      <c r="L9" s="46" t="s">
        <v>40</v>
      </c>
      <c r="M9" s="44">
        <v>-2.9672747204559182E-5</v>
      </c>
      <c r="N9" s="33" t="b">
        <v>0</v>
      </c>
      <c r="O9" s="33">
        <v>1</v>
      </c>
      <c r="P9" s="27" t="str">
        <f>_xll.qlPeriodEquivalent(P8&amp;"+"&amp;O9&amp;"M")</f>
        <v>6M</v>
      </c>
      <c r="Q9" s="28">
        <f>_xll.qlCalendarAdvance(Calendar,SettlementDate,P9,"f",,Trigger)</f>
        <v>42346</v>
      </c>
      <c r="R9" s="28">
        <f>_xll.qlInterestRateIndexValueDate(Index,Q9,Trigger)</f>
        <v>42348</v>
      </c>
      <c r="S9" s="28">
        <f>_xll.qlInterestRateIndexMaturity(Index,R9,Trigger)</f>
        <v>42380</v>
      </c>
      <c r="T9" s="30">
        <f>_xll.qlIndexFixing($M$6,Q9,,InterestRatesTrigger)</f>
        <v>-1.1235391221874058E-3</v>
      </c>
      <c r="U9" s="30" t="e">
        <f>_xll.qlIndexFixing(Index,Q9,,InterestRatesTrigger)</f>
        <v>#NUM!</v>
      </c>
      <c r="V9" s="30" t="e">
        <f t="shared" si="5"/>
        <v>#NUM!</v>
      </c>
      <c r="W9" s="29">
        <f>_xll.qlDayCounterYearFraction(DayCounter,SettlementDate,R9,,,Trigger)</f>
        <v>0.51388888888888884</v>
      </c>
      <c r="X9" s="29">
        <f>_xll.qlDayCounterYearFraction(DayCounter,R9,S9)</f>
        <v>8.8888888888888892E-2</v>
      </c>
      <c r="Y9" s="29" t="e">
        <f>_xll.qlYieldTSDiscount(Currency&amp;"ON",R9)/(1+U9*X9)</f>
        <v>#NUM!</v>
      </c>
      <c r="Z9" s="30" t="e">
        <f>_xll.qlTenorBasisValue(TenorBasis6M,R9,InterestRatesTrigger)</f>
        <v>#VALUE!</v>
      </c>
      <c r="AA9" s="30" t="e">
        <f t="shared" si="6"/>
        <v>#NUM!</v>
      </c>
    </row>
    <row r="10" spans="1:27" x14ac:dyDescent="0.2">
      <c r="A10" s="18" t="str">
        <f>_xll.qlPeriodEquivalent(C10&amp;"M")</f>
        <v>1Y</v>
      </c>
      <c r="B10" s="10">
        <f>_xll.qlDateEndOfMonth(EDATE(_xll.qlSettingsEvaluationDate(Trigger),-1))</f>
        <v>42155</v>
      </c>
      <c r="C10" s="11">
        <v>12</v>
      </c>
      <c r="D10" s="10">
        <f>EDATE($Q$3,C10)</f>
        <v>42525</v>
      </c>
      <c r="E10" s="12">
        <f>IF(C10&lt;=12,1,IF(C10&lt;=24,3,IF(C10&lt;=120,6,IF(C10&lt;=240,12,IF(C10&lt;=360,36,60)))))</f>
        <v>1</v>
      </c>
      <c r="F10" s="16" t="e">
        <f>ROUNDDOWN(I10*10,2)/10</f>
        <v>#NUM!</v>
      </c>
      <c r="G10" s="17" t="e">
        <f>IF(J10-I10&gt;1%,(QUOTIENT(J10*10000,50)+1)*0.5%,(QUOTIENT(J10*10000,10)+1)*0.1%)</f>
        <v>#NUM!</v>
      </c>
      <c r="H10" s="12" t="e">
        <f>IF(G10-F10&lt;0.5%,0.025%,IF(G10-F10&lt;1%,0.1%,IF(G10-F10&lt;2%,0.25%,0.5%)))</f>
        <v>#NUM!</v>
      </c>
      <c r="I10" s="17" t="e">
        <f>MIN(_xll.ohPack($V$3:INDEX($V$3:$V$135,MATCH(D10+1,$R$3:$R$135,1),1)))</f>
        <v>#NUM!</v>
      </c>
      <c r="J10" s="17" t="e">
        <f>MAX(_xll.ohPack($V$3:INDEX($V$3:$V$135,MATCH(D10+1,$R$3:$R$135,1),1)))</f>
        <v>#NUM!</v>
      </c>
      <c r="L10" s="46" t="s">
        <v>41</v>
      </c>
      <c r="M10" s="44">
        <v>9.400394127638606E-2</v>
      </c>
      <c r="N10" s="33" t="b">
        <v>1</v>
      </c>
      <c r="O10" s="33">
        <v>1</v>
      </c>
      <c r="P10" s="27" t="str">
        <f>_xll.qlPeriodEquivalent(P9&amp;"+"&amp;O10&amp;"M")</f>
        <v>7M</v>
      </c>
      <c r="Q10" s="28">
        <f>_xll.qlCalendarAdvance(Calendar,SettlementDate,P10,"f",,Trigger)</f>
        <v>42377</v>
      </c>
      <c r="R10" s="28">
        <f>_xll.qlInterestRateIndexValueDate(Index,Q10,Trigger)</f>
        <v>42381</v>
      </c>
      <c r="S10" s="28">
        <f>_xll.qlInterestRateIndexMaturity(Index,R10,Trigger)</f>
        <v>42412</v>
      </c>
      <c r="T10" s="30">
        <f>_xll.qlIndexFixing($M$6,Q10,,InterestRatesTrigger)</f>
        <v>-1.2069305501893532E-3</v>
      </c>
      <c r="U10" s="30" t="e">
        <f>_xll.qlIndexFixing(Index,Q10,,InterestRatesTrigger)</f>
        <v>#NUM!</v>
      </c>
      <c r="V10" s="30" t="e">
        <f t="shared" si="5"/>
        <v>#NUM!</v>
      </c>
      <c r="W10" s="29">
        <f>_xll.qlDayCounterYearFraction(DayCounter,SettlementDate,R10,,,Trigger)</f>
        <v>0.60555555555555551</v>
      </c>
      <c r="X10" s="29">
        <f>_xll.qlDayCounterYearFraction(DayCounter,R10,S10)</f>
        <v>8.611111111111111E-2</v>
      </c>
      <c r="Y10" s="29" t="e">
        <f>_xll.qlYieldTSDiscount(Currency&amp;"ON",R10)/(1+U10*X10)</f>
        <v>#NUM!</v>
      </c>
      <c r="Z10" s="30" t="e">
        <f>_xll.qlTenorBasisValue(TenorBasis6M,R10,InterestRatesTrigger)</f>
        <v>#VALUE!</v>
      </c>
      <c r="AA10" s="30" t="e">
        <f t="shared" si="6"/>
        <v>#NUM!</v>
      </c>
    </row>
    <row r="11" spans="1:27" x14ac:dyDescent="0.2">
      <c r="A11" s="18" t="str">
        <f>_xll.qlPeriodEquivalent(C11&amp;"M")</f>
        <v>2Y</v>
      </c>
      <c r="B11" s="10">
        <f>_xll.qlDateEndOfMonth(EDATE(_xll.qlIMMNextDate(_xll.qlSettingsEvaluationDate(Trigger)-1,TRUE),-3))</f>
        <v>42094</v>
      </c>
      <c r="C11" s="11">
        <v>24</v>
      </c>
      <c r="D11" s="10">
        <f t="shared" ref="D11:D16" si="8">EDATE($Q$3,C11)</f>
        <v>42890</v>
      </c>
      <c r="E11" s="12">
        <f t="shared" ref="E11:E16" si="9">IF(C11&lt;=12,1,IF(C11&lt;=24,3,IF(C11&lt;=120,6,IF(C11&lt;=240,12,IF(C11&lt;=360,36,60)))))</f>
        <v>3</v>
      </c>
      <c r="F11" s="16" t="e">
        <f t="shared" ref="F11:F16" si="10">ROUNDDOWN(I11*10,2)/10</f>
        <v>#NUM!</v>
      </c>
      <c r="G11" s="17" t="e">
        <f t="shared" ref="G11:G16" si="11">IF(J11-I11&gt;1%,(QUOTIENT(J11*10000,50)+1)*0.5%,(QUOTIENT(J11*10000,10)+1)*0.1%)</f>
        <v>#NUM!</v>
      </c>
      <c r="H11" s="12" t="e">
        <f t="shared" ref="H11:H16" si="12">IF(G11-F11&lt;0.5%,0.025%,IF(G11-F11&lt;1%,0.1%,IF(G11-F11&lt;2%,0.25%,0.5%)))</f>
        <v>#NUM!</v>
      </c>
      <c r="I11" s="17" t="e">
        <f>MIN(_xll.ohPack($V$3:INDEX($V$3:$V$135,MATCH(D11+1,$R$3:$R$135,1),1)))</f>
        <v>#NUM!</v>
      </c>
      <c r="J11" s="17" t="e">
        <f>MAX(_xll.ohPack($V$3:INDEX($V$3:$V$135,MATCH(D11+1,$R$3:$R$135,1),1)))</f>
        <v>#NUM!</v>
      </c>
      <c r="L11" s="46" t="s">
        <v>42</v>
      </c>
      <c r="M11" s="43">
        <v>4.2026634840722848E-10</v>
      </c>
      <c r="N11" s="33" t="b">
        <v>0</v>
      </c>
      <c r="O11" s="33">
        <v>1</v>
      </c>
      <c r="P11" s="27" t="str">
        <f>_xll.qlPeriodEquivalent(P10&amp;"+"&amp;O11&amp;"M")</f>
        <v>8M</v>
      </c>
      <c r="Q11" s="28">
        <f>_xll.qlCalendarAdvance(Calendar,SettlementDate,P11,"f",,Trigger)</f>
        <v>42408</v>
      </c>
      <c r="R11" s="28">
        <f>_xll.qlInterestRateIndexValueDate(Index,Q11,Trigger)</f>
        <v>42410</v>
      </c>
      <c r="S11" s="28">
        <f>_xll.qlInterestRateIndexMaturity(Index,R11,Trigger)</f>
        <v>42439</v>
      </c>
      <c r="T11" s="30">
        <f>_xll.qlIndexFixing($M$6,Q11,,InterestRatesTrigger)</f>
        <v>-1.2433162812828169E-3</v>
      </c>
      <c r="U11" s="30" t="e">
        <f>_xll.qlIndexFixing(Index,Q11,,InterestRatesTrigger)</f>
        <v>#NUM!</v>
      </c>
      <c r="V11" s="30" t="e">
        <f t="shared" si="5"/>
        <v>#NUM!</v>
      </c>
      <c r="W11" s="29">
        <f>_xll.qlDayCounterYearFraction(DayCounter,SettlementDate,R11,,,Trigger)</f>
        <v>0.68611111111111112</v>
      </c>
      <c r="X11" s="29">
        <f>_xll.qlDayCounterYearFraction(DayCounter,R11,S11)</f>
        <v>8.0555555555555561E-2</v>
      </c>
      <c r="Y11" s="29" t="e">
        <f>_xll.qlYieldTSDiscount(Currency&amp;"ON",R11)/(1+U11*X11)</f>
        <v>#NUM!</v>
      </c>
      <c r="Z11" s="30" t="e">
        <f>_xll.qlTenorBasisValue(TenorBasis6M,R11,InterestRatesTrigger)</f>
        <v>#VALUE!</v>
      </c>
      <c r="AA11" s="30" t="e">
        <f t="shared" si="6"/>
        <v>#NUM!</v>
      </c>
    </row>
    <row r="12" spans="1:27" x14ac:dyDescent="0.2">
      <c r="A12" s="18" t="str">
        <f>_xll.qlPeriodEquivalent(C12&amp;"M")</f>
        <v>5Y</v>
      </c>
      <c r="B12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12" s="11">
        <v>60</v>
      </c>
      <c r="D12" s="10">
        <f t="shared" si="8"/>
        <v>43986</v>
      </c>
      <c r="E12" s="12">
        <f t="shared" si="9"/>
        <v>6</v>
      </c>
      <c r="F12" s="16" t="e">
        <f t="shared" si="10"/>
        <v>#NUM!</v>
      </c>
      <c r="G12" s="17" t="e">
        <f t="shared" si="11"/>
        <v>#NUM!</v>
      </c>
      <c r="H12" s="12" t="e">
        <f t="shared" si="12"/>
        <v>#NUM!</v>
      </c>
      <c r="I12" s="17" t="e">
        <f>MIN(_xll.ohPack($V$3:INDEX($V$3:$V$135,MATCH(D12+1,$R$3:$R$135,1),1)))</f>
        <v>#NUM!</v>
      </c>
      <c r="J12" s="17" t="e">
        <f>MAX(_xll.ohPack($V$3:INDEX($V$3:$V$135,MATCH(D12+1,$R$3:$R$135,1),1)))</f>
        <v>#NUM!</v>
      </c>
      <c r="L12" s="46" t="s">
        <v>45</v>
      </c>
      <c r="M12" s="35" t="e">
        <f>_xll.qlAbcdCalibration2(,W3:W253,V3:V253,Y3:Y253,ContBasis,N8:N11,,,,Trigger)</f>
        <v>#NUM!</v>
      </c>
      <c r="N12" s="34"/>
      <c r="O12" s="33">
        <v>1</v>
      </c>
      <c r="P12" s="27" t="str">
        <f>_xll.qlPeriodEquivalent(P11&amp;"+"&amp;O12&amp;"M")</f>
        <v>9M</v>
      </c>
      <c r="Q12" s="28">
        <f>_xll.qlCalendarAdvance(Calendar,SettlementDate,P12,"f",,Trigger)</f>
        <v>42437</v>
      </c>
      <c r="R12" s="28">
        <f>_xll.qlInterestRateIndexValueDate(Index,Q12,Trigger)</f>
        <v>42439</v>
      </c>
      <c r="S12" s="28">
        <f>_xll.qlInterestRateIndexMaturity(Index,R12,Trigger)</f>
        <v>42471</v>
      </c>
      <c r="T12" s="30">
        <f>_xll.qlIndexFixing($M$6,Q12,,InterestRatesTrigger)</f>
        <v>-1.0819223549875245E-3</v>
      </c>
      <c r="U12" s="30" t="e">
        <f>_xll.qlIndexFixing(Index,Q12,,InterestRatesTrigger)</f>
        <v>#NUM!</v>
      </c>
      <c r="V12" s="30" t="e">
        <f t="shared" si="5"/>
        <v>#NUM!</v>
      </c>
      <c r="W12" s="29">
        <f>_xll.qlDayCounterYearFraction(DayCounter,SettlementDate,R12,,,Trigger)</f>
        <v>0.76666666666666672</v>
      </c>
      <c r="X12" s="29">
        <f>_xll.qlDayCounterYearFraction(DayCounter,R12,S12)</f>
        <v>8.8888888888888892E-2</v>
      </c>
      <c r="Y12" s="29" t="e">
        <f>_xll.qlYieldTSDiscount(Currency&amp;"ON",R12)/(1+U12*X12)</f>
        <v>#NUM!</v>
      </c>
      <c r="Z12" s="30" t="e">
        <f>_xll.qlTenorBasisValue(TenorBasis6M,R12,InterestRatesTrigger)</f>
        <v>#VALUE!</v>
      </c>
      <c r="AA12" s="30" t="e">
        <f t="shared" si="6"/>
        <v>#NUM!</v>
      </c>
    </row>
    <row r="13" spans="1:27" x14ac:dyDescent="0.2">
      <c r="A13" s="18" t="str">
        <f>_xll.qlPeriodEquivalent(C13&amp;"M")</f>
        <v>10Y</v>
      </c>
      <c r="B13" s="10">
        <f t="shared" ref="B13:B16" si="13">B12</f>
        <v>42004</v>
      </c>
      <c r="C13" s="11">
        <v>120</v>
      </c>
      <c r="D13" s="10">
        <f t="shared" si="8"/>
        <v>45812</v>
      </c>
      <c r="E13" s="12">
        <f t="shared" si="9"/>
        <v>6</v>
      </c>
      <c r="F13" s="16" t="e">
        <f t="shared" si="10"/>
        <v>#NUM!</v>
      </c>
      <c r="G13" s="17" t="e">
        <f t="shared" si="11"/>
        <v>#NUM!</v>
      </c>
      <c r="H13" s="12" t="e">
        <f t="shared" si="12"/>
        <v>#NUM!</v>
      </c>
      <c r="I13" s="17" t="e">
        <f>MIN(_xll.ohPack($V$3:INDEX($V$3:$V$135,MATCH(D13+1,$R$3:$R$135,1),1)))</f>
        <v>#NUM!</v>
      </c>
      <c r="J13" s="17" t="e">
        <f>MAX(_xll.ohPack($V$3:INDEX($V$3:$V$135,MATCH(D13+1,$R$3:$R$135,1),1)))</f>
        <v>#NUM!</v>
      </c>
      <c r="L13" s="46" t="s">
        <v>38</v>
      </c>
      <c r="M13" s="35" t="e">
        <f>_xll.qlAbcdCalibration2Compute(M12,AllTriggers)</f>
        <v>#VALUE!</v>
      </c>
      <c r="O13" s="33">
        <v>1</v>
      </c>
      <c r="P13" s="27" t="str">
        <f>_xll.qlPeriodEquivalent(P12&amp;"+"&amp;O13&amp;"M")</f>
        <v>10M</v>
      </c>
      <c r="Q13" s="28">
        <f>_xll.qlCalendarAdvance(Calendar,SettlementDate,P13,"f",,Trigger)</f>
        <v>42468</v>
      </c>
      <c r="R13" s="28">
        <f>_xll.qlInterestRateIndexValueDate(Index,Q13,Trigger)</f>
        <v>42472</v>
      </c>
      <c r="S13" s="28">
        <f>_xll.qlInterestRateIndexMaturity(Index,R13,Trigger)</f>
        <v>42502</v>
      </c>
      <c r="T13" s="30">
        <f>_xll.qlIndexFixing($M$6,Q13,,InterestRatesTrigger)</f>
        <v>-1.0089080011272955E-3</v>
      </c>
      <c r="U13" s="30" t="e">
        <f>_xll.qlIndexFixing(Index,Q13,,InterestRatesTrigger)</f>
        <v>#NUM!</v>
      </c>
      <c r="V13" s="30" t="e">
        <f t="shared" si="5"/>
        <v>#NUM!</v>
      </c>
      <c r="W13" s="29">
        <f>_xll.qlDayCounterYearFraction(DayCounter,SettlementDate,R13,,,Trigger)</f>
        <v>0.85833333333333328</v>
      </c>
      <c r="X13" s="29">
        <f>_xll.qlDayCounterYearFraction(DayCounter,R13,S13)</f>
        <v>8.3333333333333329E-2</v>
      </c>
      <c r="Y13" s="29" t="e">
        <f>_xll.qlYieldTSDiscount(Currency&amp;"ON",R13)/(1+U13*X13)</f>
        <v>#NUM!</v>
      </c>
      <c r="Z13" s="30" t="e">
        <f>_xll.qlTenorBasisValue(TenorBasis6M,R13,InterestRatesTrigger)</f>
        <v>#VALUE!</v>
      </c>
      <c r="AA13" s="30" t="e">
        <f t="shared" si="6"/>
        <v>#NUM!</v>
      </c>
    </row>
    <row r="14" spans="1:27" x14ac:dyDescent="0.2">
      <c r="A14" s="18" t="str">
        <f>_xll.qlPeriodEquivalent(C14&amp;"M")</f>
        <v>20Y</v>
      </c>
      <c r="B14" s="10">
        <f>IF(AND(MONTH(B13)=12),B13,_xll.qlDateEndOfMonth(EDATE(B13,-6)))</f>
        <v>42004</v>
      </c>
      <c r="C14" s="11">
        <v>240</v>
      </c>
      <c r="D14" s="10">
        <f t="shared" si="8"/>
        <v>49464</v>
      </c>
      <c r="E14" s="13">
        <f t="shared" si="9"/>
        <v>12</v>
      </c>
      <c r="F14" s="16" t="e">
        <f t="shared" si="10"/>
        <v>#NUM!</v>
      </c>
      <c r="G14" s="17" t="e">
        <f t="shared" si="11"/>
        <v>#NUM!</v>
      </c>
      <c r="H14" s="12" t="e">
        <f t="shared" si="12"/>
        <v>#NUM!</v>
      </c>
      <c r="I14" s="17" t="e">
        <f>MIN(_xll.ohPack($V$3:INDEX($V$3:$V$135,MATCH(D14+1,$R$3:$R$135,1),1)))</f>
        <v>#NUM!</v>
      </c>
      <c r="J14" s="17" t="e">
        <f>MAX(_xll.ohPack($V$3:INDEX($V$3:$V$135,MATCH(D14+1,$R$3:$R$135,1),1)))</f>
        <v>#NUM!</v>
      </c>
      <c r="L14" s="46" t="s">
        <v>35</v>
      </c>
      <c r="M14" s="43" t="e">
        <f>_xll.qlAbcdCalibration2Error(M12)</f>
        <v>#VALUE!</v>
      </c>
      <c r="O14" s="33">
        <v>1</v>
      </c>
      <c r="P14" s="27" t="str">
        <f>_xll.qlPeriodEquivalent(P13&amp;"+"&amp;O14&amp;"M")</f>
        <v>11M</v>
      </c>
      <c r="Q14" s="28">
        <f>_xll.qlCalendarAdvance(Calendar,SettlementDate,P14,"f",,Trigger)</f>
        <v>42499</v>
      </c>
      <c r="R14" s="28">
        <f>_xll.qlInterestRateIndexValueDate(Index,Q14,Trigger)</f>
        <v>42501</v>
      </c>
      <c r="S14" s="28">
        <f>_xll.qlInterestRateIndexMaturity(Index,R14,Trigger)</f>
        <v>42534</v>
      </c>
      <c r="T14" s="30">
        <f>_xll.qlIndexFixing($M$6,Q14,,InterestRatesTrigger)</f>
        <v>-1.1036596978598501E-3</v>
      </c>
      <c r="U14" s="30" t="e">
        <f>_xll.qlIndexFixing(Index,Q14,,InterestRatesTrigger)</f>
        <v>#NUM!</v>
      </c>
      <c r="V14" s="30" t="e">
        <f t="shared" si="5"/>
        <v>#NUM!</v>
      </c>
      <c r="W14" s="29">
        <f>_xll.qlDayCounterYearFraction(DayCounter,SettlementDate,R14,,,Trigger)</f>
        <v>0.93888888888888888</v>
      </c>
      <c r="X14" s="29">
        <f>_xll.qlDayCounterYearFraction(DayCounter,R14,S14)</f>
        <v>9.166666666666666E-2</v>
      </c>
      <c r="Y14" s="29" t="e">
        <f>_xll.qlYieldTSDiscount(Currency&amp;"ON",R14)/(1+U14*X14)</f>
        <v>#NUM!</v>
      </c>
      <c r="Z14" s="30" t="e">
        <f>_xll.qlTenorBasisValue(TenorBasis6M,R14,InterestRatesTrigger)</f>
        <v>#VALUE!</v>
      </c>
      <c r="AA14" s="30" t="e">
        <f t="shared" si="6"/>
        <v>#NUM!</v>
      </c>
    </row>
    <row r="15" spans="1:27" x14ac:dyDescent="0.2">
      <c r="A15" s="18" t="str">
        <f>_xll.qlPeriodEquivalent(C15&amp;"M")</f>
        <v>30Y</v>
      </c>
      <c r="B15" s="10">
        <f t="shared" si="13"/>
        <v>42004</v>
      </c>
      <c r="C15" s="11">
        <v>360</v>
      </c>
      <c r="D15" s="10">
        <f t="shared" si="8"/>
        <v>53117</v>
      </c>
      <c r="E15" s="13">
        <f t="shared" si="9"/>
        <v>36</v>
      </c>
      <c r="F15" s="16" t="e">
        <f t="shared" si="10"/>
        <v>#NUM!</v>
      </c>
      <c r="G15" s="17" t="e">
        <f t="shared" si="11"/>
        <v>#NUM!</v>
      </c>
      <c r="H15" s="12" t="e">
        <f t="shared" si="12"/>
        <v>#NUM!</v>
      </c>
      <c r="I15" s="17" t="e">
        <f>MIN(_xll.ohPack($V$3:INDEX($V$3:$V$135,MATCH(D15+1,$R$3:$R$135,1),1)))</f>
        <v>#NUM!</v>
      </c>
      <c r="J15" s="17" t="e">
        <f>MAX(_xll.ohPack($V$3:INDEX($V$3:$V$135,MATCH(D15+1,$R$3:$R$135,1),1)))</f>
        <v>#NUM!</v>
      </c>
      <c r="L15" s="46" t="s">
        <v>57</v>
      </c>
      <c r="M15" s="43" t="e">
        <f>_xll.qlAbcdCalibration2MaxError(M12)</f>
        <v>#VALUE!</v>
      </c>
      <c r="O15" s="33">
        <v>1</v>
      </c>
      <c r="P15" s="27" t="str">
        <f>_xll.qlPeriodEquivalent(P14&amp;"+"&amp;O15&amp;"M")</f>
        <v>1Y</v>
      </c>
      <c r="Q15" s="28">
        <f>_xll.qlCalendarAdvance(Calendar,SettlementDate,P15,"f",,Trigger)</f>
        <v>42529</v>
      </c>
      <c r="R15" s="28">
        <f>_xll.qlInterestRateIndexValueDate(Index,Q15,Trigger)</f>
        <v>42531</v>
      </c>
      <c r="S15" s="28">
        <f>_xll.qlInterestRateIndexMaturity(Index,R15,Trigger)</f>
        <v>42562</v>
      </c>
      <c r="T15" s="30">
        <f>_xll.qlIndexFixing($M$6,Q15,,InterestRatesTrigger)</f>
        <v>-9.9105214845910642E-4</v>
      </c>
      <c r="U15" s="30" t="e">
        <f>_xll.qlIndexFixing(Index,Q15,,InterestRatesTrigger)</f>
        <v>#NUM!</v>
      </c>
      <c r="V15" s="30" t="e">
        <f t="shared" si="5"/>
        <v>#NUM!</v>
      </c>
      <c r="W15" s="29">
        <f>_xll.qlDayCounterYearFraction(DayCounter,SettlementDate,R15,,,Trigger)</f>
        <v>1.0222222222222221</v>
      </c>
      <c r="X15" s="29">
        <f>_xll.qlDayCounterYearFraction(DayCounter,R15,S15)</f>
        <v>8.611111111111111E-2</v>
      </c>
      <c r="Y15" s="29" t="e">
        <f>_xll.qlYieldTSDiscount(Currency&amp;"ON",R15)/(1+U15*X15)</f>
        <v>#NUM!</v>
      </c>
      <c r="Z15" s="30" t="e">
        <f>_xll.qlTenorBasisValue(TenorBasis6M,R15,InterestRatesTrigger)</f>
        <v>#VALUE!</v>
      </c>
      <c r="AA15" s="30" t="e">
        <f t="shared" si="6"/>
        <v>#NUM!</v>
      </c>
    </row>
    <row r="16" spans="1:27" x14ac:dyDescent="0.2">
      <c r="A16" s="19" t="str">
        <f>_xll.qlPeriodEquivalent(C16&amp;"M")</f>
        <v>60Y</v>
      </c>
      <c r="B16" s="20">
        <f t="shared" si="13"/>
        <v>42004</v>
      </c>
      <c r="C16" s="21">
        <v>720</v>
      </c>
      <c r="D16" s="20">
        <f t="shared" si="8"/>
        <v>64074</v>
      </c>
      <c r="E16" s="22">
        <f t="shared" si="9"/>
        <v>60</v>
      </c>
      <c r="F16" s="23" t="e">
        <f t="shared" si="10"/>
        <v>#NUM!</v>
      </c>
      <c r="G16" s="24" t="e">
        <f t="shared" si="11"/>
        <v>#NUM!</v>
      </c>
      <c r="H16" s="25" t="e">
        <f t="shared" si="12"/>
        <v>#NUM!</v>
      </c>
      <c r="I16" s="24" t="e">
        <f>MIN(_xll.ohPack($V$3:INDEX($V$3:$V$135,MATCH(D16+1,$R$3:$R$135,1),1)))</f>
        <v>#NUM!</v>
      </c>
      <c r="J16" s="24" t="e">
        <f>MAX(_xll.ohPack($V$3:INDEX($V$3:$V$135,MATCH(D16+1,$R$3:$R$135,1),1)))</f>
        <v>#NUM!</v>
      </c>
      <c r="O16" s="33">
        <v>1</v>
      </c>
      <c r="P16" s="27" t="str">
        <f>_xll.qlPeriodEquivalent(P15&amp;"+"&amp;O16&amp;"M")</f>
        <v>1Y1M</v>
      </c>
      <c r="Q16" s="28">
        <f>_xll.qlCalendarAdvance(Calendar,SettlementDate,P16,"f",,Trigger)</f>
        <v>42559</v>
      </c>
      <c r="R16" s="28">
        <f>_xll.qlInterestRateIndexValueDate(Index,Q16,Trigger)</f>
        <v>42563</v>
      </c>
      <c r="S16" s="28">
        <f>_xll.qlInterestRateIndexMaturity(Index,R16,Trigger)</f>
        <v>42594</v>
      </c>
      <c r="T16" s="30">
        <f>_xll.qlIndexFixing($M$6,Q16,,InterestRatesTrigger)</f>
        <v>-8.7559983732844781E-4</v>
      </c>
      <c r="U16" s="30" t="e">
        <f>_xll.qlIndexFixing(Index,Q16,,InterestRatesTrigger)</f>
        <v>#NUM!</v>
      </c>
      <c r="V16" s="30" t="e">
        <f t="shared" si="5"/>
        <v>#NUM!</v>
      </c>
      <c r="W16" s="29">
        <f>_xll.qlDayCounterYearFraction(DayCounter,SettlementDate,R16,,,Trigger)</f>
        <v>1.1111111111111112</v>
      </c>
      <c r="X16" s="29">
        <f>_xll.qlDayCounterYearFraction(DayCounter,R16,S16)</f>
        <v>8.611111111111111E-2</v>
      </c>
      <c r="Y16" s="29" t="e">
        <f>_xll.qlYieldTSDiscount(Currency&amp;"ON",R16)/(1+U16*X16)</f>
        <v>#NUM!</v>
      </c>
      <c r="Z16" s="30" t="e">
        <f>_xll.qlTenorBasisValue(TenorBasis6M,R16,InterestRatesTrigger)</f>
        <v>#VALUE!</v>
      </c>
      <c r="AA16" s="30" t="e">
        <f t="shared" si="6"/>
        <v>#NUM!</v>
      </c>
    </row>
    <row r="17" spans="12:27" x14ac:dyDescent="0.2">
      <c r="L17" s="72" t="s">
        <v>51</v>
      </c>
      <c r="M17" s="73"/>
      <c r="O17" s="33">
        <v>1</v>
      </c>
      <c r="P17" s="27" t="str">
        <f>_xll.qlPeriodEquivalent(P16&amp;"+"&amp;O17&amp;"M")</f>
        <v>1Y2M</v>
      </c>
      <c r="Q17" s="28">
        <f>_xll.qlCalendarAdvance(Calendar,SettlementDate,P17,"f",,Trigger)</f>
        <v>42590</v>
      </c>
      <c r="R17" s="28">
        <f>_xll.qlInterestRateIndexValueDate(Index,Q17,Trigger)</f>
        <v>42592</v>
      </c>
      <c r="S17" s="28">
        <f>_xll.qlInterestRateIndexMaturity(Index,R17,Trigger)</f>
        <v>42625</v>
      </c>
      <c r="T17" s="30">
        <f>_xll.qlIndexFixing($M$6,Q17,,InterestRatesTrigger)</f>
        <v>-7.8334192031141606E-4</v>
      </c>
      <c r="U17" s="30" t="e">
        <f>_xll.qlIndexFixing(Index,Q17,,InterestRatesTrigger)</f>
        <v>#NUM!</v>
      </c>
      <c r="V17" s="30" t="e">
        <f t="shared" si="5"/>
        <v>#NUM!</v>
      </c>
      <c r="W17" s="29">
        <f>_xll.qlDayCounterYearFraction(DayCounter,SettlementDate,R17,,,Trigger)</f>
        <v>1.1916666666666667</v>
      </c>
      <c r="X17" s="29">
        <f>_xll.qlDayCounterYearFraction(DayCounter,R17,S17)</f>
        <v>9.166666666666666E-2</v>
      </c>
      <c r="Y17" s="29" t="e">
        <f>_xll.qlYieldTSDiscount(Currency&amp;"ON",R17)/(1+U17*X17)</f>
        <v>#NUM!</v>
      </c>
      <c r="Z17" s="30" t="e">
        <f>_xll.qlTenorBasisValue(TenorBasis6M,R17,InterestRatesTrigger)</f>
        <v>#VALUE!</v>
      </c>
      <c r="AA17" s="30" t="e">
        <f t="shared" si="6"/>
        <v>#NUM!</v>
      </c>
    </row>
    <row r="18" spans="12:27" x14ac:dyDescent="0.2">
      <c r="L18" s="46" t="s">
        <v>46</v>
      </c>
      <c r="M18" s="43" t="e">
        <f>_xll.qlAbcdCalibration2A($M$12,M13)</f>
        <v>#VALUE!</v>
      </c>
      <c r="O18" s="33">
        <v>1</v>
      </c>
      <c r="P18" s="27" t="str">
        <f>_xll.qlPeriodEquivalent(P17&amp;"+"&amp;O18&amp;"M")</f>
        <v>1Y3M</v>
      </c>
      <c r="Q18" s="28">
        <f>_xll.qlCalendarAdvance(Calendar,SettlementDate,P18,"f",,Trigger)</f>
        <v>42621</v>
      </c>
      <c r="R18" s="28">
        <f>_xll.qlInterestRateIndexValueDate(Index,Q18,Trigger)</f>
        <v>42625</v>
      </c>
      <c r="S18" s="28">
        <f>_xll.qlInterestRateIndexMaturity(Index,R18,Trigger)</f>
        <v>42655</v>
      </c>
      <c r="T18" s="30">
        <f>_xll.qlIndexFixing($M$6,Q18,,InterestRatesTrigger)</f>
        <v>-7.0343405071637832E-4</v>
      </c>
      <c r="U18" s="30" t="e">
        <f>_xll.qlIndexFixing(Index,Q18,,InterestRatesTrigger)</f>
        <v>#NUM!</v>
      </c>
      <c r="V18" s="30" t="e">
        <f t="shared" si="5"/>
        <v>#NUM!</v>
      </c>
      <c r="W18" s="29">
        <f>_xll.qlDayCounterYearFraction(DayCounter,SettlementDate,R18,,,Trigger)</f>
        <v>1.2833333333333334</v>
      </c>
      <c r="X18" s="29">
        <f>_xll.qlDayCounterYearFraction(DayCounter,R18,S18)</f>
        <v>8.3333333333333329E-2</v>
      </c>
      <c r="Y18" s="29" t="e">
        <f>_xll.qlYieldTSDiscount(Currency&amp;"ON",R18)/(1+U18*X18)</f>
        <v>#NUM!</v>
      </c>
      <c r="Z18" s="30" t="e">
        <f>_xll.qlTenorBasisValue(TenorBasis6M,R18,InterestRatesTrigger)</f>
        <v>#VALUE!</v>
      </c>
      <c r="AA18" s="30" t="e">
        <f t="shared" si="6"/>
        <v>#NUM!</v>
      </c>
    </row>
    <row r="19" spans="12:27" x14ac:dyDescent="0.2">
      <c r="L19" s="46" t="s">
        <v>47</v>
      </c>
      <c r="M19" s="44" t="e">
        <f>_xll.qlAbcdCalibration2B($M$12,M13)</f>
        <v>#VALUE!</v>
      </c>
      <c r="O19" s="33">
        <v>1</v>
      </c>
      <c r="P19" s="27" t="str">
        <f>_xll.qlPeriodEquivalent(P18&amp;"+"&amp;O19&amp;"M")</f>
        <v>1Y4M</v>
      </c>
      <c r="Q19" s="28">
        <f>_xll.qlCalendarAdvance(Calendar,SettlementDate,P19,"f",,Trigger)</f>
        <v>42653</v>
      </c>
      <c r="R19" s="28">
        <f>_xll.qlInterestRateIndexValueDate(Index,Q19,Trigger)</f>
        <v>42655</v>
      </c>
      <c r="S19" s="28">
        <f>_xll.qlInterestRateIndexMaturity(Index,R19,Trigger)</f>
        <v>42688</v>
      </c>
      <c r="T19" s="30">
        <f>_xll.qlIndexFixing($M$6,Q19,,InterestRatesTrigger)</f>
        <v>-6.4335095396141713E-4</v>
      </c>
      <c r="U19" s="30" t="e">
        <f>_xll.qlIndexFixing(Index,Q19,,InterestRatesTrigger)</f>
        <v>#NUM!</v>
      </c>
      <c r="V19" s="30" t="e">
        <f t="shared" si="5"/>
        <v>#NUM!</v>
      </c>
      <c r="W19" s="29">
        <f>_xll.qlDayCounterYearFraction(DayCounter,SettlementDate,R19,,,Trigger)</f>
        <v>1.3666666666666667</v>
      </c>
      <c r="X19" s="29">
        <f>_xll.qlDayCounterYearFraction(DayCounter,R19,S19)</f>
        <v>9.166666666666666E-2</v>
      </c>
      <c r="Y19" s="29" t="e">
        <f>_xll.qlYieldTSDiscount(Currency&amp;"ON",R19)/(1+U19*X19)</f>
        <v>#NUM!</v>
      </c>
      <c r="Z19" s="30" t="e">
        <f>_xll.qlTenorBasisValue(TenorBasis6M,R19,InterestRatesTrigger)</f>
        <v>#VALUE!</v>
      </c>
      <c r="AA19" s="30" t="e">
        <f t="shared" si="6"/>
        <v>#NUM!</v>
      </c>
    </row>
    <row r="20" spans="12:27" x14ac:dyDescent="0.2">
      <c r="L20" s="46" t="s">
        <v>48</v>
      </c>
      <c r="M20" s="44" t="e">
        <f>_xll.qlAbcdCalibration2C($M$12,M13)</f>
        <v>#VALUE!</v>
      </c>
      <c r="O20" s="33">
        <v>1</v>
      </c>
      <c r="P20" s="27" t="str">
        <f>_xll.qlPeriodEquivalent(P19&amp;"+"&amp;O20&amp;"M")</f>
        <v>1Y5M</v>
      </c>
      <c r="Q20" s="28">
        <f>_xll.qlCalendarAdvance(Calendar,SettlementDate,P20,"f",,Trigger)</f>
        <v>42682</v>
      </c>
      <c r="R20" s="28">
        <f>_xll.qlInterestRateIndexValueDate(Index,Q20,Trigger)</f>
        <v>42684</v>
      </c>
      <c r="S20" s="28">
        <f>_xll.qlInterestRateIndexMaturity(Index,R20,Trigger)</f>
        <v>42716</v>
      </c>
      <c r="T20" s="30">
        <f>_xll.qlIndexFixing($M$6,Q20,,InterestRatesTrigger)</f>
        <v>-6.0588316516771434E-4</v>
      </c>
      <c r="U20" s="30" t="e">
        <f>_xll.qlIndexFixing(Index,Q20,,InterestRatesTrigger)</f>
        <v>#NUM!</v>
      </c>
      <c r="V20" s="30" t="e">
        <f t="shared" si="5"/>
        <v>#NUM!</v>
      </c>
      <c r="W20" s="29">
        <f>_xll.qlDayCounterYearFraction(DayCounter,SettlementDate,R20,,,Trigger)</f>
        <v>1.4472222222222222</v>
      </c>
      <c r="X20" s="29">
        <f>_xll.qlDayCounterYearFraction(DayCounter,R20,S20)</f>
        <v>8.8888888888888892E-2</v>
      </c>
      <c r="Y20" s="29" t="e">
        <f>_xll.qlYieldTSDiscount(Currency&amp;"ON",R20)/(1+U20*X20)</f>
        <v>#NUM!</v>
      </c>
      <c r="Z20" s="30" t="e">
        <f>_xll.qlTenorBasisValue(TenorBasis6M,R20,InterestRatesTrigger)</f>
        <v>#VALUE!</v>
      </c>
      <c r="AA20" s="30" t="e">
        <f t="shared" si="6"/>
        <v>#NUM!</v>
      </c>
    </row>
    <row r="21" spans="12:27" x14ac:dyDescent="0.2">
      <c r="L21" s="46" t="s">
        <v>49</v>
      </c>
      <c r="M21" s="43" t="e">
        <f>_xll.qlAbcdCalibration2D($M$12,M13)</f>
        <v>#VALUE!</v>
      </c>
      <c r="O21" s="33">
        <v>1</v>
      </c>
      <c r="P21" s="27" t="str">
        <f>_xll.qlPeriodEquivalent(P20&amp;"+"&amp;O21&amp;"M")</f>
        <v>1Y6M</v>
      </c>
      <c r="Q21" s="28">
        <f>_xll.qlCalendarAdvance(Calendar,SettlementDate,P21,"f",,Trigger)</f>
        <v>42712</v>
      </c>
      <c r="R21" s="28">
        <f>_xll.qlInterestRateIndexValueDate(Index,Q21,Trigger)</f>
        <v>42716</v>
      </c>
      <c r="S21" s="28">
        <f>_xll.qlInterestRateIndexMaturity(Index,R21,Trigger)</f>
        <v>42747</v>
      </c>
      <c r="T21" s="30">
        <f>_xll.qlIndexFixing($M$6,Q21,,InterestRatesTrigger)</f>
        <v>7.4425986367414104E-5</v>
      </c>
      <c r="U21" s="30" t="e">
        <f>_xll.qlIndexFixing(Index,Q21,,InterestRatesTrigger)</f>
        <v>#NUM!</v>
      </c>
      <c r="V21" s="30" t="e">
        <f t="shared" si="5"/>
        <v>#NUM!</v>
      </c>
      <c r="W21" s="29">
        <f>_xll.qlDayCounterYearFraction(DayCounter,SettlementDate,R21,,,Trigger)</f>
        <v>1.5361111111111112</v>
      </c>
      <c r="X21" s="29">
        <f>_xll.qlDayCounterYearFraction(DayCounter,R21,S21)</f>
        <v>8.611111111111111E-2</v>
      </c>
      <c r="Y21" s="29" t="e">
        <f>_xll.qlYieldTSDiscount(Currency&amp;"ON",R21)/(1+U21*X21)</f>
        <v>#NUM!</v>
      </c>
      <c r="Z21" s="30" t="e">
        <f>_xll.qlTenorBasisValue(TenorBasis6M,R21,InterestRatesTrigger)</f>
        <v>#VALUE!</v>
      </c>
      <c r="AA21" s="30" t="e">
        <f t="shared" si="6"/>
        <v>#NUM!</v>
      </c>
    </row>
    <row r="22" spans="12:27" x14ac:dyDescent="0.2">
      <c r="L22" s="46" t="s">
        <v>50</v>
      </c>
      <c r="M22" s="35" t="e">
        <f>_xll.qlAbcdTenorBasis(,Index,Currency&amp;"ON",SettlementDate,TRUE,M18:M21,,Trigger)</f>
        <v>#NUM!</v>
      </c>
      <c r="O22" s="33">
        <v>1</v>
      </c>
      <c r="P22" s="27" t="str">
        <f>_xll.qlPeriodEquivalent(P21&amp;"+"&amp;O22&amp;"M")</f>
        <v>1Y7M</v>
      </c>
      <c r="Q22" s="28">
        <f>_xll.qlCalendarAdvance(Calendar,SettlementDate,P22,"f",,Trigger)</f>
        <v>42744</v>
      </c>
      <c r="R22" s="28">
        <f>_xll.qlInterestRateIndexValueDate(Index,Q22,Trigger)</f>
        <v>42746</v>
      </c>
      <c r="S22" s="28">
        <f>_xll.qlInterestRateIndexMaturity(Index,R22,Trigger)</f>
        <v>42779</v>
      </c>
      <c r="T22" s="30">
        <f>_xll.qlIndexFixing($M$6,Q22,,InterestRatesTrigger)</f>
        <v>-4.2416374652147357E-4</v>
      </c>
      <c r="U22" s="30" t="e">
        <f>_xll.qlIndexFixing(Index,Q22,,InterestRatesTrigger)</f>
        <v>#NUM!</v>
      </c>
      <c r="V22" s="30" t="e">
        <f t="shared" si="5"/>
        <v>#NUM!</v>
      </c>
      <c r="W22" s="29">
        <f>_xll.qlDayCounterYearFraction(DayCounter,SettlementDate,R22,,,Trigger)</f>
        <v>1.6194444444444445</v>
      </c>
      <c r="X22" s="29">
        <f>_xll.qlDayCounterYearFraction(DayCounter,R22,S22)</f>
        <v>9.166666666666666E-2</v>
      </c>
      <c r="Y22" s="29" t="e">
        <f>_xll.qlYieldTSDiscount(Currency&amp;"ON",R22)/(1+U22*X22)</f>
        <v>#NUM!</v>
      </c>
      <c r="Z22" s="30" t="e">
        <f>_xll.qlTenorBasisValue(TenorBasis6M,R22,InterestRatesTrigger)</f>
        <v>#VALUE!</v>
      </c>
      <c r="AA22" s="30" t="e">
        <f t="shared" si="6"/>
        <v>#NUM!</v>
      </c>
    </row>
    <row r="23" spans="12:27" x14ac:dyDescent="0.2">
      <c r="M23" s="42" t="e">
        <f>1/M20-M18/M19</f>
        <v>#VALUE!</v>
      </c>
      <c r="O23" s="33">
        <v>1</v>
      </c>
      <c r="P23" s="27" t="str">
        <f>_xll.qlPeriodEquivalent(P22&amp;"+"&amp;O23&amp;"M")</f>
        <v>1Y8M</v>
      </c>
      <c r="Q23" s="28">
        <f>_xll.qlCalendarAdvance(Calendar,SettlementDate,P23,"f",,Trigger)</f>
        <v>42774</v>
      </c>
      <c r="R23" s="28">
        <f>_xll.qlInterestRateIndexValueDate(Index,Q23,Trigger)</f>
        <v>42776</v>
      </c>
      <c r="S23" s="28">
        <f>_xll.qlInterestRateIndexMaturity(Index,R23,Trigger)</f>
        <v>42804</v>
      </c>
      <c r="T23" s="30">
        <f>_xll.qlIndexFixing($M$6,Q23,,InterestRatesTrigger)</f>
        <v>-2.2938728163232218E-4</v>
      </c>
      <c r="U23" s="30" t="e">
        <f>_xll.qlIndexFixing(Index,Q23,,InterestRatesTrigger)</f>
        <v>#NUM!</v>
      </c>
      <c r="V23" s="30" t="e">
        <f t="shared" si="5"/>
        <v>#NUM!</v>
      </c>
      <c r="W23" s="29">
        <f>_xll.qlDayCounterYearFraction(DayCounter,SettlementDate,R23,,,Trigger)</f>
        <v>1.7027777777777777</v>
      </c>
      <c r="X23" s="29">
        <f>_xll.qlDayCounterYearFraction(DayCounter,R23,S23)</f>
        <v>7.7777777777777779E-2</v>
      </c>
      <c r="Y23" s="29" t="e">
        <f>_xll.qlYieldTSDiscount(Currency&amp;"ON",R23)/(1+U23*X23)</f>
        <v>#NUM!</v>
      </c>
      <c r="Z23" s="30" t="e">
        <f>_xll.qlTenorBasisValue(TenorBasis6M,R23,InterestRatesTrigger)</f>
        <v>#VALUE!</v>
      </c>
      <c r="AA23" s="30" t="e">
        <f t="shared" si="6"/>
        <v>#NUM!</v>
      </c>
    </row>
    <row r="24" spans="12:27" x14ac:dyDescent="0.2">
      <c r="O24" s="33">
        <v>1</v>
      </c>
      <c r="P24" s="27" t="str">
        <f>_xll.qlPeriodEquivalent(P23&amp;"+"&amp;O24&amp;"M")</f>
        <v>1Y9M</v>
      </c>
      <c r="Q24" s="28">
        <f>_xll.qlCalendarAdvance(Calendar,SettlementDate,P24,"f",,Trigger)</f>
        <v>42802</v>
      </c>
      <c r="R24" s="28">
        <f>_xll.qlInterestRateIndexValueDate(Index,Q24,Trigger)</f>
        <v>42804</v>
      </c>
      <c r="S24" s="28">
        <f>_xll.qlInterestRateIndexMaturity(Index,R24,Trigger)</f>
        <v>42835</v>
      </c>
      <c r="T24" s="30">
        <f>_xll.qlIndexFixing($M$6,Q24,,InterestRatesTrigger)</f>
        <v>3.6030213182024522E-5</v>
      </c>
      <c r="U24" s="30" t="e">
        <f>_xll.qlIndexFixing(Index,Q24,,InterestRatesTrigger)</f>
        <v>#NUM!</v>
      </c>
      <c r="V24" s="30" t="e">
        <f t="shared" si="5"/>
        <v>#NUM!</v>
      </c>
      <c r="W24" s="29">
        <f>_xll.qlDayCounterYearFraction(DayCounter,SettlementDate,R24,,,Trigger)</f>
        <v>1.7805555555555554</v>
      </c>
      <c r="X24" s="29">
        <f>_xll.qlDayCounterYearFraction(DayCounter,R24,S24)</f>
        <v>8.611111111111111E-2</v>
      </c>
      <c r="Y24" s="29" t="e">
        <f>_xll.qlYieldTSDiscount(Currency&amp;"ON",R24)/(1+U24*X24)</f>
        <v>#NUM!</v>
      </c>
      <c r="Z24" s="30" t="e">
        <f>_xll.qlTenorBasisValue(TenorBasis6M,R24,InterestRatesTrigger)</f>
        <v>#VALUE!</v>
      </c>
      <c r="AA24" s="30" t="e">
        <f t="shared" si="6"/>
        <v>#NUM!</v>
      </c>
    </row>
    <row r="25" spans="12:27" x14ac:dyDescent="0.2">
      <c r="L25" s="72" t="s">
        <v>54</v>
      </c>
      <c r="M25" s="73"/>
      <c r="O25" s="33">
        <v>1</v>
      </c>
      <c r="P25" s="27" t="str">
        <f>_xll.qlPeriodEquivalent(P24&amp;"+"&amp;O25&amp;"M")</f>
        <v>1Y10M</v>
      </c>
      <c r="Q25" s="28">
        <f>_xll.qlCalendarAdvance(Calendar,SettlementDate,P25,"f",,Trigger)</f>
        <v>42835</v>
      </c>
      <c r="R25" s="28">
        <f>_xll.qlInterestRateIndexValueDate(Index,Q25,Trigger)</f>
        <v>42837</v>
      </c>
      <c r="S25" s="28">
        <f>_xll.qlInterestRateIndexMaturity(Index,R25,Trigger)</f>
        <v>42867</v>
      </c>
      <c r="T25" s="30">
        <f>_xll.qlIndexFixing($M$6,Q25,,InterestRatesTrigger)</f>
        <v>2.9622742266077751E-4</v>
      </c>
      <c r="U25" s="30" t="e">
        <f>_xll.qlIndexFixing(Index,Q25,,InterestRatesTrigger)</f>
        <v>#NUM!</v>
      </c>
      <c r="V25" s="30" t="e">
        <f t="shared" si="5"/>
        <v>#NUM!</v>
      </c>
      <c r="W25" s="29">
        <f>_xll.qlDayCounterYearFraction(DayCounter,SettlementDate,R25,,,Trigger)</f>
        <v>1.8722222222222222</v>
      </c>
      <c r="X25" s="29">
        <f>_xll.qlDayCounterYearFraction(DayCounter,R25,S25)</f>
        <v>8.3333333333333329E-2</v>
      </c>
      <c r="Y25" s="29" t="e">
        <f>_xll.qlYieldTSDiscount(Currency&amp;"ON",R25)/(1+U25*X25)</f>
        <v>#NUM!</v>
      </c>
      <c r="Z25" s="30" t="e">
        <f>_xll.qlTenorBasisValue(TenorBasis6M,R25,InterestRatesTrigger)</f>
        <v>#VALUE!</v>
      </c>
      <c r="AA25" s="30" t="e">
        <f t="shared" si="6"/>
        <v>#NUM!</v>
      </c>
    </row>
    <row r="26" spans="12:27" x14ac:dyDescent="0.2">
      <c r="L26" s="46" t="s">
        <v>46</v>
      </c>
      <c r="M26" s="43" t="e">
        <f t="array" ref="M26:M29">_xll.qlTenorInstCoefficients(M22)</f>
        <v>#VALUE!</v>
      </c>
      <c r="O26" s="33">
        <v>1</v>
      </c>
      <c r="P26" s="27" t="str">
        <f>_xll.qlPeriodEquivalent(P25&amp;"+"&amp;O26&amp;"M")</f>
        <v>1Y11M</v>
      </c>
      <c r="Q26" s="28">
        <f>_xll.qlCalendarAdvance(Calendar,SettlementDate,P26,"f",,Trigger)</f>
        <v>42863</v>
      </c>
      <c r="R26" s="28">
        <f>_xll.qlInterestRateIndexValueDate(Index,Q26,Trigger)</f>
        <v>42865</v>
      </c>
      <c r="S26" s="28">
        <f>_xll.qlInterestRateIndexMaturity(Index,R26,Trigger)</f>
        <v>42898</v>
      </c>
      <c r="T26" s="30">
        <f>_xll.qlIndexFixing($M$6,Q26,,InterestRatesTrigger)</f>
        <v>4.8670243026097381E-4</v>
      </c>
      <c r="U26" s="30" t="e">
        <f>_xll.qlIndexFixing(Index,Q26,,InterestRatesTrigger)</f>
        <v>#NUM!</v>
      </c>
      <c r="V26" s="30" t="e">
        <f t="shared" si="5"/>
        <v>#NUM!</v>
      </c>
      <c r="W26" s="29">
        <f>_xll.qlDayCounterYearFraction(DayCounter,SettlementDate,R26,,,Trigger)</f>
        <v>1.95</v>
      </c>
      <c r="X26" s="29">
        <f>_xll.qlDayCounterYearFraction(DayCounter,R26,S26)</f>
        <v>9.166666666666666E-2</v>
      </c>
      <c r="Y26" s="29" t="e">
        <f>_xll.qlYieldTSDiscount(Currency&amp;"ON",R26)/(1+U26*X26)</f>
        <v>#NUM!</v>
      </c>
      <c r="Z26" s="30" t="e">
        <f>_xll.qlTenorBasisValue(TenorBasis6M,R26,InterestRatesTrigger)</f>
        <v>#VALUE!</v>
      </c>
      <c r="AA26" s="30" t="e">
        <f t="shared" si="6"/>
        <v>#NUM!</v>
      </c>
    </row>
    <row r="27" spans="12:27" x14ac:dyDescent="0.2">
      <c r="L27" s="46" t="s">
        <v>47</v>
      </c>
      <c r="M27" s="44" t="e">
        <v>#VALUE!</v>
      </c>
      <c r="O27" s="33">
        <v>1</v>
      </c>
      <c r="P27" s="27" t="str">
        <f>_xll.qlPeriodEquivalent(P26&amp;"+"&amp;O27&amp;"M")</f>
        <v>2Y</v>
      </c>
      <c r="Q27" s="28">
        <f>_xll.qlCalendarAdvance(Calendar,SettlementDate,P27,"f",,Trigger)</f>
        <v>42894</v>
      </c>
      <c r="R27" s="28">
        <f>_xll.qlInterestRateIndexValueDate(Index,Q27,Trigger)</f>
        <v>42898</v>
      </c>
      <c r="S27" s="28">
        <f>_xll.qlInterestRateIndexMaturity(Index,R27,Trigger)</f>
        <v>42928</v>
      </c>
      <c r="T27" s="30">
        <f>_xll.qlIndexFixing($M$6,Q27,,InterestRatesTrigger)</f>
        <v>6.5738198294518213E-4</v>
      </c>
      <c r="U27" s="30" t="e">
        <f>_xll.qlIndexFixing(Index,Q27,,InterestRatesTrigger)</f>
        <v>#NUM!</v>
      </c>
      <c r="V27" s="30" t="e">
        <f t="shared" si="5"/>
        <v>#NUM!</v>
      </c>
      <c r="W27" s="29">
        <f>_xll.qlDayCounterYearFraction(DayCounter,SettlementDate,R27,,,Trigger)</f>
        <v>2.0416666666666665</v>
      </c>
      <c r="X27" s="29">
        <f>_xll.qlDayCounterYearFraction(DayCounter,R27,S27)</f>
        <v>8.3333333333333329E-2</v>
      </c>
      <c r="Y27" s="29" t="e">
        <f>_xll.qlYieldTSDiscount(Currency&amp;"ON",R27)/(1+U27*X27)</f>
        <v>#NUM!</v>
      </c>
      <c r="Z27" s="30" t="e">
        <f>_xll.qlTenorBasisValue(TenorBasis6M,R27,InterestRatesTrigger)</f>
        <v>#VALUE!</v>
      </c>
      <c r="AA27" s="30" t="e">
        <f t="shared" si="6"/>
        <v>#NUM!</v>
      </c>
    </row>
    <row r="28" spans="12:27" x14ac:dyDescent="0.2">
      <c r="L28" s="46" t="s">
        <v>48</v>
      </c>
      <c r="M28" s="44" t="e">
        <v>#VALUE!</v>
      </c>
      <c r="O28" s="33">
        <v>1</v>
      </c>
      <c r="P28" s="27" t="str">
        <f>_xll.qlPeriodEquivalent(P27&amp;"+"&amp;O28&amp;"M")</f>
        <v>2Y1M</v>
      </c>
      <c r="Q28" s="28">
        <f>_xll.qlCalendarAdvance(Calendar,SettlementDate,P28,"f",,Trigger)</f>
        <v>42926</v>
      </c>
      <c r="R28" s="28">
        <f>_xll.qlInterestRateIndexValueDate(Index,Q28,Trigger)</f>
        <v>42928</v>
      </c>
      <c r="S28" s="28">
        <f>_xll.qlInterestRateIndexMaturity(Index,R28,Trigger)</f>
        <v>42961</v>
      </c>
      <c r="T28" s="30">
        <f>_xll.qlIndexFixing($M$6,Q28,,InterestRatesTrigger)</f>
        <v>8.3521206927773448E-4</v>
      </c>
      <c r="U28" s="30" t="e">
        <f>_xll.qlIndexFixing(Index,Q28,,InterestRatesTrigger)</f>
        <v>#NUM!</v>
      </c>
      <c r="V28" s="30" t="e">
        <f t="shared" si="5"/>
        <v>#NUM!</v>
      </c>
      <c r="W28" s="29">
        <f>_xll.qlDayCounterYearFraction(DayCounter,SettlementDate,R28,,,Trigger)</f>
        <v>2.125</v>
      </c>
      <c r="X28" s="29">
        <f>_xll.qlDayCounterYearFraction(DayCounter,R28,S28)</f>
        <v>9.166666666666666E-2</v>
      </c>
      <c r="Y28" s="29" t="e">
        <f>_xll.qlYieldTSDiscount(Currency&amp;"ON",R28)/(1+U28*X28)</f>
        <v>#NUM!</v>
      </c>
      <c r="Z28" s="30" t="e">
        <f>_xll.qlTenorBasisValue(TenorBasis6M,R28,InterestRatesTrigger)</f>
        <v>#VALUE!</v>
      </c>
      <c r="AA28" s="30" t="e">
        <f t="shared" si="6"/>
        <v>#NUM!</v>
      </c>
    </row>
    <row r="29" spans="12:27" x14ac:dyDescent="0.2">
      <c r="L29" s="46" t="s">
        <v>49</v>
      </c>
      <c r="M29" s="43" t="e">
        <v>#VALUE!</v>
      </c>
      <c r="O29" s="33">
        <v>1</v>
      </c>
      <c r="P29" s="27" t="str">
        <f>_xll.qlPeriodEquivalent(P28&amp;"+"&amp;O29&amp;"M")</f>
        <v>2Y2M</v>
      </c>
      <c r="Q29" s="28">
        <f>_xll.qlCalendarAdvance(Calendar,SettlementDate,P29,"f",,Trigger)</f>
        <v>42955</v>
      </c>
      <c r="R29" s="28">
        <f>_xll.qlInterestRateIndexValueDate(Index,Q29,Trigger)</f>
        <v>42957</v>
      </c>
      <c r="S29" s="28">
        <f>_xll.qlInterestRateIndexMaturity(Index,R29,Trigger)</f>
        <v>42989</v>
      </c>
      <c r="T29" s="30">
        <f>_xll.qlIndexFixing($M$6,Q29,,InterestRatesTrigger)</f>
        <v>1.0087486266446843E-3</v>
      </c>
      <c r="U29" s="30" t="e">
        <f>_xll.qlIndexFixing(Index,Q29,,InterestRatesTrigger)</f>
        <v>#NUM!</v>
      </c>
      <c r="V29" s="30" t="e">
        <f t="shared" si="5"/>
        <v>#NUM!</v>
      </c>
      <c r="W29" s="29">
        <f>_xll.qlDayCounterYearFraction(DayCounter,SettlementDate,R29,,,Trigger)</f>
        <v>2.2055555555555557</v>
      </c>
      <c r="X29" s="29">
        <f>_xll.qlDayCounterYearFraction(DayCounter,R29,S29)</f>
        <v>8.8888888888888892E-2</v>
      </c>
      <c r="Y29" s="29" t="e">
        <f>_xll.qlYieldTSDiscount(Currency&amp;"ON",R29)/(1+U29*X29)</f>
        <v>#NUM!</v>
      </c>
      <c r="Z29" s="30" t="e">
        <f>_xll.qlTenorBasisValue(TenorBasis6M,R29,InterestRatesTrigger)</f>
        <v>#VALUE!</v>
      </c>
      <c r="AA29" s="30" t="e">
        <f t="shared" si="6"/>
        <v>#NUM!</v>
      </c>
    </row>
    <row r="30" spans="12:27" x14ac:dyDescent="0.2">
      <c r="M30" s="42" t="e">
        <f>1/M28-M26/M27</f>
        <v>#VALUE!</v>
      </c>
      <c r="O30" s="33">
        <v>1</v>
      </c>
      <c r="P30" s="27" t="str">
        <f>_xll.qlPeriodEquivalent(P29&amp;"+"&amp;O30&amp;"M")</f>
        <v>2Y3M</v>
      </c>
      <c r="Q30" s="28">
        <f>_xll.qlCalendarAdvance(Calendar,SettlementDate,P30,"f",,Trigger)</f>
        <v>42986</v>
      </c>
      <c r="R30" s="28">
        <f>_xll.qlInterestRateIndexValueDate(Index,Q30,Trigger)</f>
        <v>42990</v>
      </c>
      <c r="S30" s="28">
        <f>_xll.qlInterestRateIndexMaturity(Index,R30,Trigger)</f>
        <v>43020</v>
      </c>
      <c r="T30" s="30">
        <f>_xll.qlIndexFixing($M$6,Q30,,InterestRatesTrigger)</f>
        <v>1.2180460069366461E-3</v>
      </c>
      <c r="U30" s="30" t="e">
        <f>_xll.qlIndexFixing(Index,Q30,,InterestRatesTrigger)</f>
        <v>#NUM!</v>
      </c>
      <c r="V30" s="30" t="e">
        <f t="shared" si="5"/>
        <v>#NUM!</v>
      </c>
      <c r="W30" s="29">
        <f>_xll.qlDayCounterYearFraction(DayCounter,SettlementDate,R30,,,Trigger)</f>
        <v>2.2972222222222221</v>
      </c>
      <c r="X30" s="29">
        <f>_xll.qlDayCounterYearFraction(DayCounter,R30,S30)</f>
        <v>8.3333333333333329E-2</v>
      </c>
      <c r="Y30" s="29" t="e">
        <f>_xll.qlYieldTSDiscount(Currency&amp;"ON",R30)/(1+U30*X30)</f>
        <v>#NUM!</v>
      </c>
      <c r="Z30" s="30" t="e">
        <f>_xll.qlTenorBasisValue(TenorBasis6M,R30,InterestRatesTrigger)</f>
        <v>#VALUE!</v>
      </c>
      <c r="AA30" s="30" t="e">
        <f t="shared" si="6"/>
        <v>#NUM!</v>
      </c>
    </row>
    <row r="31" spans="12:27" x14ac:dyDescent="0.2">
      <c r="O31" s="33">
        <v>1</v>
      </c>
      <c r="P31" s="27" t="str">
        <f>_xll.qlPeriodEquivalent(P30&amp;"+"&amp;O31&amp;"M")</f>
        <v>2Y4M</v>
      </c>
      <c r="Q31" s="28">
        <f>_xll.qlCalendarAdvance(Calendar,SettlementDate,P31,"f",,Trigger)</f>
        <v>43017</v>
      </c>
      <c r="R31" s="28">
        <f>_xll.qlInterestRateIndexValueDate(Index,Q31,Trigger)</f>
        <v>43019</v>
      </c>
      <c r="S31" s="28">
        <f>_xll.qlInterestRateIndexMaturity(Index,R31,Trigger)</f>
        <v>43052</v>
      </c>
      <c r="T31" s="30">
        <f>_xll.qlIndexFixing($M$6,Q31,,InterestRatesTrigger)</f>
        <v>1.4319972786540221E-3</v>
      </c>
      <c r="U31" s="30" t="e">
        <f>_xll.qlIndexFixing(Index,Q31,,InterestRatesTrigger)</f>
        <v>#NUM!</v>
      </c>
      <c r="V31" s="30" t="e">
        <f t="shared" si="5"/>
        <v>#NUM!</v>
      </c>
      <c r="W31" s="29">
        <f>_xll.qlDayCounterYearFraction(DayCounter,SettlementDate,R31,,,Trigger)</f>
        <v>2.3777777777777778</v>
      </c>
      <c r="X31" s="29">
        <f>_xll.qlDayCounterYearFraction(DayCounter,R31,S31)</f>
        <v>9.166666666666666E-2</v>
      </c>
      <c r="Y31" s="29" t="e">
        <f>_xll.qlYieldTSDiscount(Currency&amp;"ON",R31)/(1+U31*X31)</f>
        <v>#NUM!</v>
      </c>
      <c r="Z31" s="30" t="e">
        <f>_xll.qlTenorBasisValue(TenorBasis6M,R31,InterestRatesTrigger)</f>
        <v>#VALUE!</v>
      </c>
      <c r="AA31" s="30" t="e">
        <f t="shared" si="6"/>
        <v>#NUM!</v>
      </c>
    </row>
    <row r="32" spans="12:27" x14ac:dyDescent="0.2">
      <c r="O32" s="33">
        <v>1</v>
      </c>
      <c r="P32" s="27" t="str">
        <f>_xll.qlPeriodEquivalent(P31&amp;"+"&amp;O32&amp;"M")</f>
        <v>2Y5M</v>
      </c>
      <c r="Q32" s="28">
        <f>_xll.qlCalendarAdvance(Calendar,SettlementDate,P32,"f",,Trigger)</f>
        <v>43047</v>
      </c>
      <c r="R32" s="28">
        <f>_xll.qlInterestRateIndexValueDate(Index,Q32,Trigger)</f>
        <v>43049</v>
      </c>
      <c r="S32" s="28">
        <f>_xll.qlInterestRateIndexMaturity(Index,R32,Trigger)</f>
        <v>43080</v>
      </c>
      <c r="T32" s="30">
        <f>_xll.qlIndexFixing($M$6,Q32,,InterestRatesTrigger)</f>
        <v>1.6481320257149205E-3</v>
      </c>
      <c r="U32" s="30" t="e">
        <f>_xll.qlIndexFixing(Index,Q32,,InterestRatesTrigger)</f>
        <v>#NUM!</v>
      </c>
      <c r="V32" s="30" t="e">
        <f t="shared" si="5"/>
        <v>#NUM!</v>
      </c>
      <c r="W32" s="29">
        <f>_xll.qlDayCounterYearFraction(DayCounter,SettlementDate,R32,,,Trigger)</f>
        <v>2.4611111111111112</v>
      </c>
      <c r="X32" s="29">
        <f>_xll.qlDayCounterYearFraction(DayCounter,R32,S32)</f>
        <v>8.611111111111111E-2</v>
      </c>
      <c r="Y32" s="29" t="e">
        <f>_xll.qlYieldTSDiscount(Currency&amp;"ON",R32)/(1+U32*X32)</f>
        <v>#NUM!</v>
      </c>
      <c r="Z32" s="30" t="e">
        <f>_xll.qlTenorBasisValue(TenorBasis6M,R32,InterestRatesTrigger)</f>
        <v>#VALUE!</v>
      </c>
      <c r="AA32" s="30" t="e">
        <f t="shared" si="6"/>
        <v>#NUM!</v>
      </c>
    </row>
    <row r="33" spans="15:27" x14ac:dyDescent="0.2">
      <c r="O33" s="33">
        <v>1</v>
      </c>
      <c r="P33" s="27" t="str">
        <f>_xll.qlPeriodEquivalent(P32&amp;"+"&amp;O33&amp;"M")</f>
        <v>2Y6M</v>
      </c>
      <c r="Q33" s="28">
        <f>_xll.qlCalendarAdvance(Calendar,SettlementDate,P33,"f",,Trigger)</f>
        <v>43077</v>
      </c>
      <c r="R33" s="28">
        <f>_xll.qlInterestRateIndexValueDate(Index,Q33,Trigger)</f>
        <v>43081</v>
      </c>
      <c r="S33" s="28">
        <f>_xll.qlInterestRateIndexMaturity(Index,R33,Trigger)</f>
        <v>43112</v>
      </c>
      <c r="T33" s="30">
        <f>_xll.qlIndexFixing($M$6,Q33,,InterestRatesTrigger)</f>
        <v>1.901325982707704E-3</v>
      </c>
      <c r="U33" s="30" t="e">
        <f>_xll.qlIndexFixing(Index,Q33,,InterestRatesTrigger)</f>
        <v>#NUM!</v>
      </c>
      <c r="V33" s="30" t="e">
        <f t="shared" si="5"/>
        <v>#NUM!</v>
      </c>
      <c r="W33" s="29">
        <f>_xll.qlDayCounterYearFraction(DayCounter,SettlementDate,R33,,,Trigger)</f>
        <v>2.5499999999999998</v>
      </c>
      <c r="X33" s="29">
        <f>_xll.qlDayCounterYearFraction(DayCounter,R33,S33)</f>
        <v>8.611111111111111E-2</v>
      </c>
      <c r="Y33" s="29" t="e">
        <f>_xll.qlYieldTSDiscount(Currency&amp;"ON",R33)/(1+U33*X33)</f>
        <v>#NUM!</v>
      </c>
      <c r="Z33" s="30" t="e">
        <f>_xll.qlTenorBasisValue(TenorBasis6M,R33,InterestRatesTrigger)</f>
        <v>#VALUE!</v>
      </c>
      <c r="AA33" s="30" t="e">
        <f t="shared" si="6"/>
        <v>#NUM!</v>
      </c>
    </row>
    <row r="34" spans="15:27" x14ac:dyDescent="0.2">
      <c r="O34" s="33">
        <v>1</v>
      </c>
      <c r="P34" s="27" t="str">
        <f>_xll.qlPeriodEquivalent(P33&amp;"+"&amp;O34&amp;"M")</f>
        <v>2Y7M</v>
      </c>
      <c r="Q34" s="28">
        <f>_xll.qlCalendarAdvance(Calendar,SettlementDate,P34,"f",,Trigger)</f>
        <v>43108</v>
      </c>
      <c r="R34" s="28">
        <f>_xll.qlInterestRateIndexValueDate(Index,Q34,Trigger)</f>
        <v>43110</v>
      </c>
      <c r="S34" s="28">
        <f>_xll.qlInterestRateIndexMaturity(Index,R34,Trigger)</f>
        <v>43143</v>
      </c>
      <c r="T34" s="30">
        <f>_xll.qlIndexFixing($M$6,Q34,,InterestRatesTrigger)</f>
        <v>2.1527065581268671E-3</v>
      </c>
      <c r="U34" s="30" t="e">
        <f>_xll.qlIndexFixing(Index,Q34,,InterestRatesTrigger)</f>
        <v>#NUM!</v>
      </c>
      <c r="V34" s="30" t="e">
        <f t="shared" si="5"/>
        <v>#NUM!</v>
      </c>
      <c r="W34" s="29">
        <f>_xll.qlDayCounterYearFraction(DayCounter,SettlementDate,R34,,,Trigger)</f>
        <v>2.6305555555555555</v>
      </c>
      <c r="X34" s="29">
        <f>_xll.qlDayCounterYearFraction(DayCounter,R34,S34)</f>
        <v>9.166666666666666E-2</v>
      </c>
      <c r="Y34" s="29" t="e">
        <f>_xll.qlYieldTSDiscount(Currency&amp;"ON",R34)/(1+U34*X34)</f>
        <v>#NUM!</v>
      </c>
      <c r="Z34" s="30" t="e">
        <f>_xll.qlTenorBasisValue(TenorBasis6M,R34,InterestRatesTrigger)</f>
        <v>#VALUE!</v>
      </c>
      <c r="AA34" s="30" t="e">
        <f t="shared" si="6"/>
        <v>#NUM!</v>
      </c>
    </row>
    <row r="35" spans="15:27" x14ac:dyDescent="0.2">
      <c r="O35" s="33">
        <v>1</v>
      </c>
      <c r="P35" s="27" t="str">
        <f>_xll.qlPeriodEquivalent(P34&amp;"+"&amp;O35&amp;"M")</f>
        <v>2Y8M</v>
      </c>
      <c r="Q35" s="28">
        <f>_xll.qlCalendarAdvance(Calendar,SettlementDate,P35,"f",,Trigger)</f>
        <v>43139</v>
      </c>
      <c r="R35" s="28">
        <f>_xll.qlInterestRateIndexValueDate(Index,Q35,Trigger)</f>
        <v>43143</v>
      </c>
      <c r="S35" s="28">
        <f>_xll.qlInterestRateIndexMaturity(Index,R35,Trigger)</f>
        <v>43171</v>
      </c>
      <c r="T35" s="30">
        <f>_xll.qlIndexFixing($M$6,Q35,,InterestRatesTrigger)</f>
        <v>2.4217642875479228E-3</v>
      </c>
      <c r="U35" s="30" t="e">
        <f>_xll.qlIndexFixing(Index,Q35,,InterestRatesTrigger)</f>
        <v>#NUM!</v>
      </c>
      <c r="V35" s="30" t="e">
        <f t="shared" si="5"/>
        <v>#NUM!</v>
      </c>
      <c r="W35" s="29">
        <f>_xll.qlDayCounterYearFraction(DayCounter,SettlementDate,R35,,,Trigger)</f>
        <v>2.7222222222222223</v>
      </c>
      <c r="X35" s="29">
        <f>_xll.qlDayCounterYearFraction(DayCounter,R35,S35)</f>
        <v>7.7777777777777779E-2</v>
      </c>
      <c r="Y35" s="29" t="e">
        <f>_xll.qlYieldTSDiscount(Currency&amp;"ON",R35)/(1+U35*X35)</f>
        <v>#NUM!</v>
      </c>
      <c r="Z35" s="30" t="e">
        <f>_xll.qlTenorBasisValue(TenorBasis6M,R35,InterestRatesTrigger)</f>
        <v>#VALUE!</v>
      </c>
      <c r="AA35" s="30" t="e">
        <f t="shared" si="6"/>
        <v>#NUM!</v>
      </c>
    </row>
    <row r="36" spans="15:27" x14ac:dyDescent="0.2">
      <c r="O36" s="33">
        <v>1</v>
      </c>
      <c r="P36" s="27" t="str">
        <f>_xll.qlPeriodEquivalent(P35&amp;"+"&amp;O36&amp;"M")</f>
        <v>2Y9M</v>
      </c>
      <c r="Q36" s="28">
        <f>_xll.qlCalendarAdvance(Calendar,SettlementDate,P36,"f",,Trigger)</f>
        <v>43167</v>
      </c>
      <c r="R36" s="28">
        <f>_xll.qlInterestRateIndexValueDate(Index,Q36,Trigger)</f>
        <v>43171</v>
      </c>
      <c r="S36" s="28">
        <f>_xll.qlInterestRateIndexMaturity(Index,R36,Trigger)</f>
        <v>43202</v>
      </c>
      <c r="T36" s="30">
        <f>_xll.qlIndexFixing($M$6,Q36,,InterestRatesTrigger)</f>
        <v>2.6956020939229047E-3</v>
      </c>
      <c r="U36" s="30" t="e">
        <f>_xll.qlIndexFixing(Index,Q36,,InterestRatesTrigger)</f>
        <v>#NUM!</v>
      </c>
      <c r="V36" s="30" t="e">
        <f t="shared" si="5"/>
        <v>#NUM!</v>
      </c>
      <c r="W36" s="29">
        <f>_xll.qlDayCounterYearFraction(DayCounter,SettlementDate,R36,,,Trigger)</f>
        <v>2.8</v>
      </c>
      <c r="X36" s="29">
        <f>_xll.qlDayCounterYearFraction(DayCounter,R36,S36)</f>
        <v>8.611111111111111E-2</v>
      </c>
      <c r="Y36" s="29" t="e">
        <f>_xll.qlYieldTSDiscount(Currency&amp;"ON",R36)/(1+U36*X36)</f>
        <v>#NUM!</v>
      </c>
      <c r="Z36" s="30" t="e">
        <f>_xll.qlTenorBasisValue(TenorBasis6M,R36,InterestRatesTrigger)</f>
        <v>#VALUE!</v>
      </c>
      <c r="AA36" s="30" t="e">
        <f t="shared" si="6"/>
        <v>#NUM!</v>
      </c>
    </row>
    <row r="37" spans="15:27" x14ac:dyDescent="0.2">
      <c r="O37" s="33">
        <v>1</v>
      </c>
      <c r="P37" s="27" t="str">
        <f>_xll.qlPeriodEquivalent(P36&amp;"+"&amp;O37&amp;"M")</f>
        <v>2Y10M</v>
      </c>
      <c r="Q37" s="28">
        <f>_xll.qlCalendarAdvance(Calendar,SettlementDate,P37,"f",,Trigger)</f>
        <v>43199</v>
      </c>
      <c r="R37" s="28">
        <f>_xll.qlInterestRateIndexValueDate(Index,Q37,Trigger)</f>
        <v>43201</v>
      </c>
      <c r="S37" s="28">
        <f>_xll.qlInterestRateIndexMaturity(Index,R37,Trigger)</f>
        <v>43231</v>
      </c>
      <c r="T37" s="30">
        <f>_xll.qlIndexFixing($M$6,Q37,,InterestRatesTrigger)</f>
        <v>2.9822817817191094E-3</v>
      </c>
      <c r="U37" s="30" t="e">
        <f>_xll.qlIndexFixing(Index,Q37,,InterestRatesTrigger)</f>
        <v>#NUM!</v>
      </c>
      <c r="V37" s="30" t="e">
        <f t="shared" si="5"/>
        <v>#NUM!</v>
      </c>
      <c r="W37" s="29">
        <f>_xll.qlDayCounterYearFraction(DayCounter,SettlementDate,R37,,,Trigger)</f>
        <v>2.8833333333333333</v>
      </c>
      <c r="X37" s="29">
        <f>_xll.qlDayCounterYearFraction(DayCounter,R37,S37)</f>
        <v>8.3333333333333329E-2</v>
      </c>
      <c r="Y37" s="29" t="e">
        <f>_xll.qlYieldTSDiscount(Currency&amp;"ON",R37)/(1+U37*X37)</f>
        <v>#NUM!</v>
      </c>
      <c r="Z37" s="30" t="e">
        <f>_xll.qlTenorBasisValue(TenorBasis6M,R37,InterestRatesTrigger)</f>
        <v>#VALUE!</v>
      </c>
      <c r="AA37" s="30" t="e">
        <f t="shared" si="6"/>
        <v>#NUM!</v>
      </c>
    </row>
    <row r="38" spans="15:27" x14ac:dyDescent="0.2">
      <c r="O38" s="33">
        <v>1</v>
      </c>
      <c r="P38" s="27" t="str">
        <f>_xll.qlPeriodEquivalent(P37&amp;"+"&amp;O38&amp;"M")</f>
        <v>2Y11M</v>
      </c>
      <c r="Q38" s="28">
        <f>_xll.qlCalendarAdvance(Calendar,SettlementDate,P38,"f",,Trigger)</f>
        <v>43228</v>
      </c>
      <c r="R38" s="28">
        <f>_xll.qlInterestRateIndexValueDate(Index,Q38,Trigger)</f>
        <v>43230</v>
      </c>
      <c r="S38" s="28">
        <f>_xll.qlInterestRateIndexMaturity(Index,R38,Trigger)</f>
        <v>43262</v>
      </c>
      <c r="T38" s="30">
        <f>_xll.qlIndexFixing($M$6,Q38,,InterestRatesTrigger)</f>
        <v>3.2873352707338266E-3</v>
      </c>
      <c r="U38" s="30" t="e">
        <f>_xll.qlIndexFixing(Index,Q38,,InterestRatesTrigger)</f>
        <v>#NUM!</v>
      </c>
      <c r="V38" s="30" t="e">
        <f t="shared" si="5"/>
        <v>#NUM!</v>
      </c>
      <c r="W38" s="29">
        <f>_xll.qlDayCounterYearFraction(DayCounter,SettlementDate,R38,,,Trigger)</f>
        <v>2.963888888888889</v>
      </c>
      <c r="X38" s="29">
        <f>_xll.qlDayCounterYearFraction(DayCounter,R38,S38)</f>
        <v>8.8888888888888892E-2</v>
      </c>
      <c r="Y38" s="29" t="e">
        <f>_xll.qlYieldTSDiscount(Currency&amp;"ON",R38)/(1+U38*X38)</f>
        <v>#NUM!</v>
      </c>
      <c r="Z38" s="30" t="e">
        <f>_xll.qlTenorBasisValue(TenorBasis6M,R38,InterestRatesTrigger)</f>
        <v>#VALUE!</v>
      </c>
      <c r="AA38" s="30" t="e">
        <f t="shared" si="6"/>
        <v>#NUM!</v>
      </c>
    </row>
    <row r="39" spans="15:27" x14ac:dyDescent="0.2">
      <c r="O39" s="33">
        <v>1</v>
      </c>
      <c r="P39" s="27" t="str">
        <f>_xll.qlPeriodEquivalent(P38&amp;"+"&amp;O39&amp;"M")</f>
        <v>3Y</v>
      </c>
      <c r="Q39" s="28">
        <f>_xll.qlCalendarAdvance(Calendar,SettlementDate,P39,"f",,Trigger)</f>
        <v>43259</v>
      </c>
      <c r="R39" s="28">
        <f>_xll.qlInterestRateIndexValueDate(Index,Q39,Trigger)</f>
        <v>43263</v>
      </c>
      <c r="S39" s="28">
        <f>_xll.qlInterestRateIndexMaturity(Index,R39,Trigger)</f>
        <v>43293</v>
      </c>
      <c r="T39" s="30">
        <f>_xll.qlIndexFixing($M$6,Q39,,InterestRatesTrigger)</f>
        <v>3.6239929630612622E-3</v>
      </c>
      <c r="U39" s="30" t="e">
        <f>_xll.qlIndexFixing(Index,Q39,,InterestRatesTrigger)</f>
        <v>#NUM!</v>
      </c>
      <c r="V39" s="30" t="e">
        <f t="shared" si="5"/>
        <v>#NUM!</v>
      </c>
      <c r="W39" s="29">
        <f>_xll.qlDayCounterYearFraction(DayCounter,SettlementDate,R39,,,Trigger)</f>
        <v>3.0555555555555554</v>
      </c>
      <c r="X39" s="29">
        <f>_xll.qlDayCounterYearFraction(DayCounter,R39,S39)</f>
        <v>8.3333333333333329E-2</v>
      </c>
      <c r="Y39" s="29" t="e">
        <f>_xll.qlYieldTSDiscount(Currency&amp;"ON",R39)/(1+U39*X39)</f>
        <v>#NUM!</v>
      </c>
      <c r="Z39" s="30" t="e">
        <f>_xll.qlTenorBasisValue(TenorBasis6M,R39,InterestRatesTrigger)</f>
        <v>#VALUE!</v>
      </c>
      <c r="AA39" s="30" t="e">
        <f t="shared" si="6"/>
        <v>#NUM!</v>
      </c>
    </row>
    <row r="40" spans="15:27" x14ac:dyDescent="0.2">
      <c r="O40" s="33">
        <v>1</v>
      </c>
      <c r="P40" s="27" t="str">
        <f>_xll.qlPeriodEquivalent(P39&amp;"+"&amp;O40&amp;"M")</f>
        <v>3Y1M</v>
      </c>
      <c r="Q40" s="28">
        <f>_xll.qlCalendarAdvance(Calendar,SettlementDate,P40,"f",,Trigger)</f>
        <v>43290</v>
      </c>
      <c r="R40" s="28">
        <f>_xll.qlInterestRateIndexValueDate(Index,Q40,Trigger)</f>
        <v>43292</v>
      </c>
      <c r="S40" s="28">
        <f>_xll.qlInterestRateIndexMaturity(Index,R40,Trigger)</f>
        <v>43325</v>
      </c>
      <c r="T40" s="30">
        <f>_xll.qlIndexFixing($M$6,Q40,,InterestRatesTrigger)</f>
        <v>3.9463769262097648E-3</v>
      </c>
      <c r="U40" s="30" t="e">
        <f>_xll.qlIndexFixing(Index,Q40,,InterestRatesTrigger)</f>
        <v>#NUM!</v>
      </c>
      <c r="V40" s="30" t="e">
        <f t="shared" si="5"/>
        <v>#NUM!</v>
      </c>
      <c r="W40" s="29">
        <f>_xll.qlDayCounterYearFraction(DayCounter,SettlementDate,R40,,,Trigger)</f>
        <v>3.1361111111111111</v>
      </c>
      <c r="X40" s="29">
        <f>_xll.qlDayCounterYearFraction(DayCounter,R40,S40)</f>
        <v>9.166666666666666E-2</v>
      </c>
      <c r="Y40" s="29" t="e">
        <f>_xll.qlYieldTSDiscount(Currency&amp;"ON",R40)/(1+U40*X40)</f>
        <v>#NUM!</v>
      </c>
      <c r="Z40" s="30" t="e">
        <f>_xll.qlTenorBasisValue(TenorBasis6M,R40,InterestRatesTrigger)</f>
        <v>#VALUE!</v>
      </c>
      <c r="AA40" s="30" t="e">
        <f t="shared" si="6"/>
        <v>#NUM!</v>
      </c>
    </row>
    <row r="41" spans="15:27" x14ac:dyDescent="0.2">
      <c r="O41" s="33">
        <v>1</v>
      </c>
      <c r="P41" s="27" t="str">
        <f>_xll.qlPeriodEquivalent(P40&amp;"+"&amp;O41&amp;"M")</f>
        <v>3Y2M</v>
      </c>
      <c r="Q41" s="28">
        <f>_xll.qlCalendarAdvance(Calendar,SettlementDate,P41,"f",,Trigger)</f>
        <v>43320</v>
      </c>
      <c r="R41" s="28">
        <f>_xll.qlInterestRateIndexValueDate(Index,Q41,Trigger)</f>
        <v>43322</v>
      </c>
      <c r="S41" s="28">
        <f>_xll.qlInterestRateIndexMaturity(Index,R41,Trigger)</f>
        <v>43353</v>
      </c>
      <c r="T41" s="30">
        <f>_xll.qlIndexFixing($M$6,Q41,,InterestRatesTrigger)</f>
        <v>4.252403276259413E-3</v>
      </c>
      <c r="U41" s="30" t="e">
        <f>_xll.qlIndexFixing(Index,Q41,,InterestRatesTrigger)</f>
        <v>#NUM!</v>
      </c>
      <c r="V41" s="30" t="e">
        <f t="shared" si="5"/>
        <v>#NUM!</v>
      </c>
      <c r="W41" s="29">
        <f>_xll.qlDayCounterYearFraction(DayCounter,SettlementDate,R41,,,Trigger)</f>
        <v>3.2194444444444446</v>
      </c>
      <c r="X41" s="29">
        <f>_xll.qlDayCounterYearFraction(DayCounter,R41,S41)</f>
        <v>8.611111111111111E-2</v>
      </c>
      <c r="Y41" s="29" t="e">
        <f>_xll.qlYieldTSDiscount(Currency&amp;"ON",R41)/(1+U41*X41)</f>
        <v>#NUM!</v>
      </c>
      <c r="Z41" s="30" t="e">
        <f>_xll.qlTenorBasisValue(TenorBasis6M,R41,InterestRatesTrigger)</f>
        <v>#VALUE!</v>
      </c>
      <c r="AA41" s="30" t="e">
        <f t="shared" si="6"/>
        <v>#NUM!</v>
      </c>
    </row>
    <row r="42" spans="15:27" x14ac:dyDescent="0.2">
      <c r="O42" s="33">
        <v>1</v>
      </c>
      <c r="P42" s="27" t="str">
        <f>_xll.qlPeriodEquivalent(P41&amp;"+"&amp;O42&amp;"M")</f>
        <v>3Y3M</v>
      </c>
      <c r="Q42" s="28">
        <f>_xll.qlCalendarAdvance(Calendar,SettlementDate,P42,"f",,Trigger)</f>
        <v>43353</v>
      </c>
      <c r="R42" s="28">
        <f>_xll.qlInterestRateIndexValueDate(Index,Q42,Trigger)</f>
        <v>43355</v>
      </c>
      <c r="S42" s="28">
        <f>_xll.qlInterestRateIndexMaturity(Index,R42,Trigger)</f>
        <v>43385</v>
      </c>
      <c r="T42" s="30">
        <f>_xll.qlIndexFixing($M$6,Q42,,InterestRatesTrigger)</f>
        <v>4.5949097204056599E-3</v>
      </c>
      <c r="U42" s="30" t="e">
        <f>_xll.qlIndexFixing(Index,Q42,,InterestRatesTrigger)</f>
        <v>#NUM!</v>
      </c>
      <c r="V42" s="30" t="e">
        <f t="shared" si="5"/>
        <v>#NUM!</v>
      </c>
      <c r="W42" s="29">
        <f>_xll.qlDayCounterYearFraction(DayCounter,SettlementDate,R42,,,Trigger)</f>
        <v>3.3111111111111109</v>
      </c>
      <c r="X42" s="29">
        <f>_xll.qlDayCounterYearFraction(DayCounter,R42,S42)</f>
        <v>8.3333333333333329E-2</v>
      </c>
      <c r="Y42" s="29" t="e">
        <f>_xll.qlYieldTSDiscount(Currency&amp;"ON",R42)/(1+U42*X42)</f>
        <v>#NUM!</v>
      </c>
      <c r="Z42" s="30" t="e">
        <f>_xll.qlTenorBasisValue(TenorBasis6M,R42,InterestRatesTrigger)</f>
        <v>#VALUE!</v>
      </c>
      <c r="AA42" s="30" t="e">
        <f t="shared" si="6"/>
        <v>#NUM!</v>
      </c>
    </row>
    <row r="43" spans="15:27" x14ac:dyDescent="0.2">
      <c r="O43" s="33">
        <v>1</v>
      </c>
      <c r="P43" s="27" t="str">
        <f>_xll.qlPeriodEquivalent(P42&amp;"+"&amp;O43&amp;"M")</f>
        <v>3Y4M</v>
      </c>
      <c r="Q43" s="28">
        <f>_xll.qlCalendarAdvance(Calendar,SettlementDate,P43,"f",,Trigger)</f>
        <v>43381</v>
      </c>
      <c r="R43" s="28">
        <f>_xll.qlInterestRateIndexValueDate(Index,Q43,Trigger)</f>
        <v>43383</v>
      </c>
      <c r="S43" s="28">
        <f>_xll.qlInterestRateIndexMaturity(Index,R43,Trigger)</f>
        <v>43416</v>
      </c>
      <c r="T43" s="30">
        <f>_xll.qlIndexFixing($M$6,Q43,,InterestRatesTrigger)</f>
        <v>4.9054864453871002E-3</v>
      </c>
      <c r="U43" s="30" t="e">
        <f>_xll.qlIndexFixing(Index,Q43,,InterestRatesTrigger)</f>
        <v>#NUM!</v>
      </c>
      <c r="V43" s="30" t="e">
        <f t="shared" si="5"/>
        <v>#NUM!</v>
      </c>
      <c r="W43" s="29">
        <f>_xll.qlDayCounterYearFraction(DayCounter,SettlementDate,R43,,,Trigger)</f>
        <v>3.3888888888888888</v>
      </c>
      <c r="X43" s="29">
        <f>_xll.qlDayCounterYearFraction(DayCounter,R43,S43)</f>
        <v>9.166666666666666E-2</v>
      </c>
      <c r="Y43" s="29" t="e">
        <f>_xll.qlYieldTSDiscount(Currency&amp;"ON",R43)/(1+U43*X43)</f>
        <v>#NUM!</v>
      </c>
      <c r="Z43" s="30" t="e">
        <f>_xll.qlTenorBasisValue(TenorBasis6M,R43,InterestRatesTrigger)</f>
        <v>#VALUE!</v>
      </c>
      <c r="AA43" s="30" t="e">
        <f t="shared" si="6"/>
        <v>#NUM!</v>
      </c>
    </row>
    <row r="44" spans="15:27" x14ac:dyDescent="0.2">
      <c r="O44" s="33">
        <v>1</v>
      </c>
      <c r="P44" s="27" t="str">
        <f>_xll.qlPeriodEquivalent(P43&amp;"+"&amp;O44&amp;"M")</f>
        <v>3Y5M</v>
      </c>
      <c r="Q44" s="28">
        <f>_xll.qlCalendarAdvance(Calendar,SettlementDate,P44,"f",,Trigger)</f>
        <v>43412</v>
      </c>
      <c r="R44" s="28">
        <f>_xll.qlInterestRateIndexValueDate(Index,Q44,Trigger)</f>
        <v>43416</v>
      </c>
      <c r="S44" s="28">
        <f>_xll.qlInterestRateIndexMaturity(Index,R44,Trigger)</f>
        <v>43446</v>
      </c>
      <c r="T44" s="30">
        <f>_xll.qlIndexFixing($M$6,Q44,,InterestRatesTrigger)</f>
        <v>5.2364660049404321E-3</v>
      </c>
      <c r="U44" s="30" t="e">
        <f>_xll.qlIndexFixing(Index,Q44,,InterestRatesTrigger)</f>
        <v>#NUM!</v>
      </c>
      <c r="V44" s="30" t="e">
        <f t="shared" si="5"/>
        <v>#NUM!</v>
      </c>
      <c r="W44" s="29">
        <f>_xll.qlDayCounterYearFraction(DayCounter,SettlementDate,R44,,,Trigger)</f>
        <v>3.4805555555555556</v>
      </c>
      <c r="X44" s="29">
        <f>_xll.qlDayCounterYearFraction(DayCounter,R44,S44)</f>
        <v>8.3333333333333329E-2</v>
      </c>
      <c r="Y44" s="29" t="e">
        <f>_xll.qlYieldTSDiscount(Currency&amp;"ON",R44)/(1+U44*X44)</f>
        <v>#NUM!</v>
      </c>
      <c r="Z44" s="30" t="e">
        <f>_xll.qlTenorBasisValue(TenorBasis6M,R44,InterestRatesTrigger)</f>
        <v>#VALUE!</v>
      </c>
      <c r="AA44" s="30" t="e">
        <f t="shared" si="6"/>
        <v>#NUM!</v>
      </c>
    </row>
    <row r="45" spans="15:27" x14ac:dyDescent="0.2">
      <c r="O45" s="33">
        <v>1</v>
      </c>
      <c r="P45" s="27" t="str">
        <f>_xll.qlPeriodEquivalent(P44&amp;"+"&amp;O45&amp;"M")</f>
        <v>3Y6M</v>
      </c>
      <c r="Q45" s="28">
        <f>_xll.qlCalendarAdvance(Calendar,SettlementDate,P45,"f",,Trigger)</f>
        <v>43444</v>
      </c>
      <c r="R45" s="28">
        <f>_xll.qlInterestRateIndexValueDate(Index,Q45,Trigger)</f>
        <v>43446</v>
      </c>
      <c r="S45" s="28">
        <f>_xll.qlInterestRateIndexMaturity(Index,R45,Trigger)</f>
        <v>43479</v>
      </c>
      <c r="T45" s="30">
        <f>_xll.qlIndexFixing($M$6,Q45,,InterestRatesTrigger)</f>
        <v>5.5671986705029368E-3</v>
      </c>
      <c r="U45" s="30" t="e">
        <f>_xll.qlIndexFixing(Index,Q45,,InterestRatesTrigger)</f>
        <v>#NUM!</v>
      </c>
      <c r="V45" s="30" t="e">
        <f t="shared" si="5"/>
        <v>#NUM!</v>
      </c>
      <c r="W45" s="29">
        <f>_xll.qlDayCounterYearFraction(DayCounter,SettlementDate,R45,,,Trigger)</f>
        <v>3.5638888888888891</v>
      </c>
      <c r="X45" s="29">
        <f>_xll.qlDayCounterYearFraction(DayCounter,R45,S45)</f>
        <v>9.166666666666666E-2</v>
      </c>
      <c r="Y45" s="29" t="e">
        <f>_xll.qlYieldTSDiscount(Currency&amp;"ON",R45)/(1+U45*X45)</f>
        <v>#NUM!</v>
      </c>
      <c r="Z45" s="30" t="e">
        <f>_xll.qlTenorBasisValue(TenorBasis6M,R45,InterestRatesTrigger)</f>
        <v>#VALUE!</v>
      </c>
      <c r="AA45" s="30" t="e">
        <f t="shared" si="6"/>
        <v>#NUM!</v>
      </c>
    </row>
    <row r="46" spans="15:27" x14ac:dyDescent="0.2">
      <c r="O46" s="33">
        <v>1</v>
      </c>
      <c r="P46" s="27" t="str">
        <f>_xll.qlPeriodEquivalent(P45&amp;"+"&amp;O46&amp;"M")</f>
        <v>3Y7M</v>
      </c>
      <c r="Q46" s="28">
        <f>_xll.qlCalendarAdvance(Calendar,SettlementDate,P46,"f",,Trigger)</f>
        <v>43473</v>
      </c>
      <c r="R46" s="28">
        <f>_xll.qlInterestRateIndexValueDate(Index,Q46,Trigger)</f>
        <v>43475</v>
      </c>
      <c r="S46" s="28">
        <f>_xll.qlInterestRateIndexMaturity(Index,R46,Trigger)</f>
        <v>43507</v>
      </c>
      <c r="T46" s="30">
        <f>_xll.qlIndexFixing($M$6,Q46,,InterestRatesTrigger)</f>
        <v>5.8658834672722926E-3</v>
      </c>
      <c r="U46" s="30" t="e">
        <f>_xll.qlIndexFixing(Index,Q46,,InterestRatesTrigger)</f>
        <v>#NUM!</v>
      </c>
      <c r="V46" s="30" t="e">
        <f t="shared" si="5"/>
        <v>#NUM!</v>
      </c>
      <c r="W46" s="29">
        <f>_xll.qlDayCounterYearFraction(DayCounter,SettlementDate,R46,,,Trigger)</f>
        <v>3.6444444444444444</v>
      </c>
      <c r="X46" s="29">
        <f>_xll.qlDayCounterYearFraction(DayCounter,R46,S46)</f>
        <v>8.8888888888888892E-2</v>
      </c>
      <c r="Y46" s="29" t="e">
        <f>_xll.qlYieldTSDiscount(Currency&amp;"ON",R46)/(1+U46*X46)</f>
        <v>#NUM!</v>
      </c>
      <c r="Z46" s="30" t="e">
        <f>_xll.qlTenorBasisValue(TenorBasis6M,R46,InterestRatesTrigger)</f>
        <v>#VALUE!</v>
      </c>
      <c r="AA46" s="30" t="e">
        <f t="shared" si="6"/>
        <v>#NUM!</v>
      </c>
    </row>
    <row r="47" spans="15:27" x14ac:dyDescent="0.2">
      <c r="O47" s="33">
        <v>1</v>
      </c>
      <c r="P47" s="27" t="str">
        <f>_xll.qlPeriodEquivalent(P46&amp;"+"&amp;O47&amp;"M")</f>
        <v>3Y8M</v>
      </c>
      <c r="Q47" s="28">
        <f>_xll.qlCalendarAdvance(Calendar,SettlementDate,P47,"f",,Trigger)</f>
        <v>43504</v>
      </c>
      <c r="R47" s="28">
        <f>_xll.qlInterestRateIndexValueDate(Index,Q47,Trigger)</f>
        <v>43508</v>
      </c>
      <c r="S47" s="28">
        <f>_xll.qlInterestRateIndexMaturity(Index,R47,Trigger)</f>
        <v>43536</v>
      </c>
      <c r="T47" s="30">
        <f>_xll.qlIndexFixing($M$6,Q47,,InterestRatesTrigger)</f>
        <v>6.1901709119000737E-3</v>
      </c>
      <c r="U47" s="30" t="e">
        <f>_xll.qlIndexFixing(Index,Q47,,InterestRatesTrigger)</f>
        <v>#NUM!</v>
      </c>
      <c r="V47" s="30" t="e">
        <f t="shared" si="5"/>
        <v>#NUM!</v>
      </c>
      <c r="W47" s="29">
        <f>_xll.qlDayCounterYearFraction(DayCounter,SettlementDate,R47,,,Trigger)</f>
        <v>3.7361111111111112</v>
      </c>
      <c r="X47" s="29">
        <f>_xll.qlDayCounterYearFraction(DayCounter,R47,S47)</f>
        <v>7.7777777777777779E-2</v>
      </c>
      <c r="Y47" s="29" t="e">
        <f>_xll.qlYieldTSDiscount(Currency&amp;"ON",R47)/(1+U47*X47)</f>
        <v>#NUM!</v>
      </c>
      <c r="Z47" s="30" t="e">
        <f>_xll.qlTenorBasisValue(TenorBasis6M,R47,InterestRatesTrigger)</f>
        <v>#VALUE!</v>
      </c>
      <c r="AA47" s="30" t="e">
        <f t="shared" si="6"/>
        <v>#NUM!</v>
      </c>
    </row>
    <row r="48" spans="15:27" x14ac:dyDescent="0.2">
      <c r="O48" s="33">
        <v>1</v>
      </c>
      <c r="P48" s="27" t="str">
        <f>_xll.qlPeriodEquivalent(P47&amp;"+"&amp;O48&amp;"M")</f>
        <v>3Y9M</v>
      </c>
      <c r="Q48" s="28">
        <f>_xll.qlCalendarAdvance(Calendar,SettlementDate,P48,"f",,Trigger)</f>
        <v>43532</v>
      </c>
      <c r="R48" s="28">
        <f>_xll.qlInterestRateIndexValueDate(Index,Q48,Trigger)</f>
        <v>43536</v>
      </c>
      <c r="S48" s="28">
        <f>_xll.qlInterestRateIndexMaturity(Index,R48,Trigger)</f>
        <v>43567</v>
      </c>
      <c r="T48" s="30">
        <f>_xll.qlIndexFixing($M$6,Q48,,InterestRatesTrigger)</f>
        <v>6.498694573214012E-3</v>
      </c>
      <c r="U48" s="30" t="e">
        <f>_xll.qlIndexFixing(Index,Q48,,InterestRatesTrigger)</f>
        <v>#NUM!</v>
      </c>
      <c r="V48" s="30" t="e">
        <f t="shared" si="5"/>
        <v>#NUM!</v>
      </c>
      <c r="W48" s="29">
        <f>_xll.qlDayCounterYearFraction(DayCounter,SettlementDate,R48,,,Trigger)</f>
        <v>3.8138888888888891</v>
      </c>
      <c r="X48" s="29">
        <f>_xll.qlDayCounterYearFraction(DayCounter,R48,S48)</f>
        <v>8.611111111111111E-2</v>
      </c>
      <c r="Y48" s="29" t="e">
        <f>_xll.qlYieldTSDiscount(Currency&amp;"ON",R48)/(1+U48*X48)</f>
        <v>#NUM!</v>
      </c>
      <c r="Z48" s="30" t="e">
        <f>_xll.qlTenorBasisValue(TenorBasis6M,R48,InterestRatesTrigger)</f>
        <v>#VALUE!</v>
      </c>
      <c r="AA48" s="30" t="e">
        <f t="shared" si="6"/>
        <v>#NUM!</v>
      </c>
    </row>
    <row r="49" spans="15:27" x14ac:dyDescent="0.2">
      <c r="O49" s="33">
        <v>1</v>
      </c>
      <c r="P49" s="27" t="str">
        <f>_xll.qlPeriodEquivalent(P48&amp;"+"&amp;O49&amp;"M")</f>
        <v>3Y10M</v>
      </c>
      <c r="Q49" s="28">
        <f>_xll.qlCalendarAdvance(Calendar,SettlementDate,P49,"f",,Trigger)</f>
        <v>43563</v>
      </c>
      <c r="R49" s="28">
        <f>_xll.qlInterestRateIndexValueDate(Index,Q49,Trigger)</f>
        <v>43565</v>
      </c>
      <c r="S49" s="28">
        <f>_xll.qlInterestRateIndexMaturity(Index,R49,Trigger)</f>
        <v>43595</v>
      </c>
      <c r="T49" s="30">
        <f>_xll.qlIndexFixing($M$6,Q49,,InterestRatesTrigger)</f>
        <v>6.7961558305738023E-3</v>
      </c>
      <c r="U49" s="30" t="e">
        <f>_xll.qlIndexFixing(Index,Q49,,InterestRatesTrigger)</f>
        <v>#NUM!</v>
      </c>
      <c r="V49" s="30" t="e">
        <f t="shared" si="5"/>
        <v>#NUM!</v>
      </c>
      <c r="W49" s="29">
        <f>_xll.qlDayCounterYearFraction(DayCounter,SettlementDate,R49,,,Trigger)</f>
        <v>3.8944444444444444</v>
      </c>
      <c r="X49" s="29">
        <f>_xll.qlDayCounterYearFraction(DayCounter,R49,S49)</f>
        <v>8.3333333333333329E-2</v>
      </c>
      <c r="Y49" s="29" t="e">
        <f>_xll.qlYieldTSDiscount(Currency&amp;"ON",R49)/(1+U49*X49)</f>
        <v>#NUM!</v>
      </c>
      <c r="Z49" s="30" t="e">
        <f>_xll.qlTenorBasisValue(TenorBasis6M,R49,InterestRatesTrigger)</f>
        <v>#VALUE!</v>
      </c>
      <c r="AA49" s="30" t="e">
        <f t="shared" si="6"/>
        <v>#NUM!</v>
      </c>
    </row>
    <row r="50" spans="15:27" x14ac:dyDescent="0.2">
      <c r="O50" s="33">
        <v>1</v>
      </c>
      <c r="P50" s="27" t="str">
        <f>_xll.qlPeriodEquivalent(P49&amp;"+"&amp;O50&amp;"M")</f>
        <v>3Y11M</v>
      </c>
      <c r="Q50" s="28">
        <f>_xll.qlCalendarAdvance(Calendar,SettlementDate,P50,"f",,Trigger)</f>
        <v>43593</v>
      </c>
      <c r="R50" s="28">
        <f>_xll.qlInterestRateIndexValueDate(Index,Q50,Trigger)</f>
        <v>43595</v>
      </c>
      <c r="S50" s="28">
        <f>_xll.qlInterestRateIndexMaturity(Index,R50,Trigger)</f>
        <v>43626</v>
      </c>
      <c r="T50" s="30">
        <f>_xll.qlIndexFixing($M$6,Q50,,InterestRatesTrigger)</f>
        <v>7.1141969154175566E-3</v>
      </c>
      <c r="U50" s="30" t="e">
        <f>_xll.qlIndexFixing(Index,Q50,,InterestRatesTrigger)</f>
        <v>#NUM!</v>
      </c>
      <c r="V50" s="30" t="e">
        <f t="shared" si="5"/>
        <v>#NUM!</v>
      </c>
      <c r="W50" s="29">
        <f>_xll.qlDayCounterYearFraction(DayCounter,SettlementDate,R50,,,Trigger)</f>
        <v>3.9777777777777779</v>
      </c>
      <c r="X50" s="29">
        <f>_xll.qlDayCounterYearFraction(DayCounter,R50,S50)</f>
        <v>8.611111111111111E-2</v>
      </c>
      <c r="Y50" s="29" t="e">
        <f>_xll.qlYieldTSDiscount(Currency&amp;"ON",R50)/(1+U50*X50)</f>
        <v>#NUM!</v>
      </c>
      <c r="Z50" s="30" t="e">
        <f>_xll.qlTenorBasisValue(TenorBasis6M,R50,InterestRatesTrigger)</f>
        <v>#VALUE!</v>
      </c>
      <c r="AA50" s="30" t="e">
        <f t="shared" si="6"/>
        <v>#NUM!</v>
      </c>
    </row>
    <row r="51" spans="15:27" x14ac:dyDescent="0.2">
      <c r="O51" s="33">
        <v>1</v>
      </c>
      <c r="P51" s="27" t="str">
        <f>_xll.qlPeriodEquivalent(P50&amp;"+"&amp;O51&amp;"M")</f>
        <v>4Y</v>
      </c>
      <c r="Q51" s="28">
        <f>_xll.qlCalendarAdvance(Calendar,SettlementDate,P51,"f",,Trigger)</f>
        <v>43626</v>
      </c>
      <c r="R51" s="28">
        <f>_xll.qlInterestRateIndexValueDate(Index,Q51,Trigger)</f>
        <v>43628</v>
      </c>
      <c r="S51" s="28">
        <f>_xll.qlInterestRateIndexMaturity(Index,R51,Trigger)</f>
        <v>43658</v>
      </c>
      <c r="T51" s="30">
        <f>_xll.qlIndexFixing($M$6,Q51,,InterestRatesTrigger)</f>
        <v>7.4513718500464066E-3</v>
      </c>
      <c r="U51" s="30" t="e">
        <f>_xll.qlIndexFixing(Index,Q51,,InterestRatesTrigger)</f>
        <v>#NUM!</v>
      </c>
      <c r="V51" s="30" t="e">
        <f t="shared" si="5"/>
        <v>#NUM!</v>
      </c>
      <c r="W51" s="29">
        <f>_xll.qlDayCounterYearFraction(DayCounter,SettlementDate,R51,,,Trigger)</f>
        <v>4.0694444444444446</v>
      </c>
      <c r="X51" s="29">
        <f>_xll.qlDayCounterYearFraction(DayCounter,R51,S51)</f>
        <v>8.3333333333333329E-2</v>
      </c>
      <c r="Y51" s="29" t="e">
        <f>_xll.qlYieldTSDiscount(Currency&amp;"ON",R51)/(1+U51*X51)</f>
        <v>#NUM!</v>
      </c>
      <c r="Z51" s="30" t="e">
        <f>_xll.qlTenorBasisValue(TenorBasis6M,R51,InterestRatesTrigger)</f>
        <v>#VALUE!</v>
      </c>
      <c r="AA51" s="30" t="e">
        <f t="shared" si="6"/>
        <v>#NUM!</v>
      </c>
    </row>
    <row r="52" spans="15:27" x14ac:dyDescent="0.2">
      <c r="O52" s="33">
        <v>1</v>
      </c>
      <c r="P52" s="27" t="str">
        <f>_xll.qlPeriodEquivalent(P51&amp;"+"&amp;O52&amp;"M")</f>
        <v>4Y1M</v>
      </c>
      <c r="Q52" s="28">
        <f>_xll.qlCalendarAdvance(Calendar,SettlementDate,P52,"f",,Trigger)</f>
        <v>43654</v>
      </c>
      <c r="R52" s="28">
        <f>_xll.qlInterestRateIndexValueDate(Index,Q52,Trigger)</f>
        <v>43656</v>
      </c>
      <c r="S52" s="28">
        <f>_xll.qlInterestRateIndexMaturity(Index,R52,Trigger)</f>
        <v>43689</v>
      </c>
      <c r="T52" s="30">
        <f>_xll.qlIndexFixing($M$6,Q52,,InterestRatesTrigger)</f>
        <v>7.7526117036296298E-3</v>
      </c>
      <c r="U52" s="30" t="e">
        <f>_xll.qlIndexFixing(Index,Q52,,InterestRatesTrigger)</f>
        <v>#NUM!</v>
      </c>
      <c r="V52" s="30" t="e">
        <f t="shared" si="5"/>
        <v>#NUM!</v>
      </c>
      <c r="W52" s="29">
        <f>_xll.qlDayCounterYearFraction(DayCounter,SettlementDate,R52,,,Trigger)</f>
        <v>4.1472222222222221</v>
      </c>
      <c r="X52" s="29">
        <f>_xll.qlDayCounterYearFraction(DayCounter,R52,S52)</f>
        <v>9.166666666666666E-2</v>
      </c>
      <c r="Y52" s="29" t="e">
        <f>_xll.qlYieldTSDiscount(Currency&amp;"ON",R52)/(1+U52*X52)</f>
        <v>#NUM!</v>
      </c>
      <c r="Z52" s="30" t="e">
        <f>_xll.qlTenorBasisValue(TenorBasis6M,R52,InterestRatesTrigger)</f>
        <v>#VALUE!</v>
      </c>
      <c r="AA52" s="30" t="e">
        <f t="shared" si="6"/>
        <v>#NUM!</v>
      </c>
    </row>
    <row r="53" spans="15:27" x14ac:dyDescent="0.2">
      <c r="O53" s="33">
        <v>1</v>
      </c>
      <c r="P53" s="27" t="str">
        <f>_xll.qlPeriodEquivalent(P52&amp;"+"&amp;O53&amp;"M")</f>
        <v>4Y2M</v>
      </c>
      <c r="Q53" s="28">
        <f>_xll.qlCalendarAdvance(Calendar,SettlementDate,P53,"f",,Trigger)</f>
        <v>43685</v>
      </c>
      <c r="R53" s="28">
        <f>_xll.qlInterestRateIndexValueDate(Index,Q53,Trigger)</f>
        <v>43689</v>
      </c>
      <c r="S53" s="28">
        <f>_xll.qlInterestRateIndexMaturity(Index,R53,Trigger)</f>
        <v>43720</v>
      </c>
      <c r="T53" s="30">
        <f>_xll.qlIndexFixing($M$6,Q53,,InterestRatesTrigger)</f>
        <v>8.072653785633703E-3</v>
      </c>
      <c r="U53" s="30" t="e">
        <f>_xll.qlIndexFixing(Index,Q53,,InterestRatesTrigger)</f>
        <v>#NUM!</v>
      </c>
      <c r="V53" s="30" t="e">
        <f t="shared" si="5"/>
        <v>#NUM!</v>
      </c>
      <c r="W53" s="29">
        <f>_xll.qlDayCounterYearFraction(DayCounter,SettlementDate,R53,,,Trigger)</f>
        <v>4.2388888888888889</v>
      </c>
      <c r="X53" s="29">
        <f>_xll.qlDayCounterYearFraction(DayCounter,R53,S53)</f>
        <v>8.611111111111111E-2</v>
      </c>
      <c r="Y53" s="29" t="e">
        <f>_xll.qlYieldTSDiscount(Currency&amp;"ON",R53)/(1+U53*X53)</f>
        <v>#NUM!</v>
      </c>
      <c r="Z53" s="30" t="e">
        <f>_xll.qlTenorBasisValue(TenorBasis6M,R53,InterestRatesTrigger)</f>
        <v>#VALUE!</v>
      </c>
      <c r="AA53" s="30" t="e">
        <f t="shared" si="6"/>
        <v>#NUM!</v>
      </c>
    </row>
    <row r="54" spans="15:27" x14ac:dyDescent="0.2">
      <c r="O54" s="33">
        <v>1</v>
      </c>
      <c r="P54" s="27" t="str">
        <f>_xll.qlPeriodEquivalent(P53&amp;"+"&amp;O54&amp;"M")</f>
        <v>4Y3M</v>
      </c>
      <c r="Q54" s="28">
        <f>_xll.qlCalendarAdvance(Calendar,SettlementDate,P54,"f",,Trigger)</f>
        <v>43717</v>
      </c>
      <c r="R54" s="28">
        <f>_xll.qlInterestRateIndexValueDate(Index,Q54,Trigger)</f>
        <v>43719</v>
      </c>
      <c r="S54" s="28">
        <f>_xll.qlInterestRateIndexMaturity(Index,R54,Trigger)</f>
        <v>43749</v>
      </c>
      <c r="T54" s="30">
        <f>_xll.qlIndexFixing($M$6,Q54,,InterestRatesTrigger)</f>
        <v>8.3618471738260425E-3</v>
      </c>
      <c r="U54" s="30" t="e">
        <f>_xll.qlIndexFixing(Index,Q54,,InterestRatesTrigger)</f>
        <v>#NUM!</v>
      </c>
      <c r="V54" s="30" t="e">
        <f t="shared" si="5"/>
        <v>#NUM!</v>
      </c>
      <c r="W54" s="29">
        <f>_xll.qlDayCounterYearFraction(DayCounter,SettlementDate,R54,,,Trigger)</f>
        <v>4.322222222222222</v>
      </c>
      <c r="X54" s="29">
        <f>_xll.qlDayCounterYearFraction(DayCounter,R54,S54)</f>
        <v>8.3333333333333329E-2</v>
      </c>
      <c r="Y54" s="29" t="e">
        <f>_xll.qlYieldTSDiscount(Currency&amp;"ON",R54)/(1+U54*X54)</f>
        <v>#NUM!</v>
      </c>
      <c r="Z54" s="30" t="e">
        <f>_xll.qlTenorBasisValue(TenorBasis6M,R54,InterestRatesTrigger)</f>
        <v>#VALUE!</v>
      </c>
      <c r="AA54" s="30" t="e">
        <f t="shared" si="6"/>
        <v>#NUM!</v>
      </c>
    </row>
    <row r="55" spans="15:27" x14ac:dyDescent="0.2">
      <c r="O55" s="33">
        <v>1</v>
      </c>
      <c r="P55" s="27" t="str">
        <f>_xll.qlPeriodEquivalent(P54&amp;"+"&amp;O55&amp;"M")</f>
        <v>4Y4M</v>
      </c>
      <c r="Q55" s="28">
        <f>_xll.qlCalendarAdvance(Calendar,SettlementDate,P55,"f",,Trigger)</f>
        <v>43746</v>
      </c>
      <c r="R55" s="28">
        <f>_xll.qlInterestRateIndexValueDate(Index,Q55,Trigger)</f>
        <v>43748</v>
      </c>
      <c r="S55" s="28">
        <f>_xll.qlInterestRateIndexMaturity(Index,R55,Trigger)</f>
        <v>43780</v>
      </c>
      <c r="T55" s="30">
        <f>_xll.qlIndexFixing($M$6,Q55,,InterestRatesTrigger)</f>
        <v>8.6503992078984515E-3</v>
      </c>
      <c r="U55" s="30" t="e">
        <f>_xll.qlIndexFixing(Index,Q55,,InterestRatesTrigger)</f>
        <v>#NUM!</v>
      </c>
      <c r="V55" s="30" t="e">
        <f t="shared" si="5"/>
        <v>#NUM!</v>
      </c>
      <c r="W55" s="29">
        <f>_xll.qlDayCounterYearFraction(DayCounter,SettlementDate,R55,,,Trigger)</f>
        <v>4.4027777777777777</v>
      </c>
      <c r="X55" s="29">
        <f>_xll.qlDayCounterYearFraction(DayCounter,R55,S55)</f>
        <v>8.8888888888888892E-2</v>
      </c>
      <c r="Y55" s="29" t="e">
        <f>_xll.qlYieldTSDiscount(Currency&amp;"ON",R55)/(1+U55*X55)</f>
        <v>#NUM!</v>
      </c>
      <c r="Z55" s="30" t="e">
        <f>_xll.qlTenorBasisValue(TenorBasis6M,R55,InterestRatesTrigger)</f>
        <v>#VALUE!</v>
      </c>
      <c r="AA55" s="30" t="e">
        <f t="shared" si="6"/>
        <v>#NUM!</v>
      </c>
    </row>
    <row r="56" spans="15:27" x14ac:dyDescent="0.2">
      <c r="O56" s="33">
        <v>1</v>
      </c>
      <c r="P56" s="27" t="str">
        <f>_xll.qlPeriodEquivalent(P55&amp;"+"&amp;O56&amp;"M")</f>
        <v>4Y5M</v>
      </c>
      <c r="Q56" s="28">
        <f>_xll.qlCalendarAdvance(Calendar,SettlementDate,P56,"f",,Trigger)</f>
        <v>43777</v>
      </c>
      <c r="R56" s="28">
        <f>_xll.qlInterestRateIndexValueDate(Index,Q56,Trigger)</f>
        <v>43781</v>
      </c>
      <c r="S56" s="28">
        <f>_xll.qlInterestRateIndexMaturity(Index,R56,Trigger)</f>
        <v>43811</v>
      </c>
      <c r="T56" s="30">
        <f>_xll.qlIndexFixing($M$6,Q56,,InterestRatesTrigger)</f>
        <v>8.9513893414299162E-3</v>
      </c>
      <c r="U56" s="30" t="e">
        <f>_xll.qlIndexFixing(Index,Q56,,InterestRatesTrigger)</f>
        <v>#NUM!</v>
      </c>
      <c r="V56" s="30" t="e">
        <f t="shared" si="5"/>
        <v>#NUM!</v>
      </c>
      <c r="W56" s="29">
        <f>_xll.qlDayCounterYearFraction(DayCounter,SettlementDate,R56,,,Trigger)</f>
        <v>4.4944444444444445</v>
      </c>
      <c r="X56" s="29">
        <f>_xll.qlDayCounterYearFraction(DayCounter,R56,S56)</f>
        <v>8.3333333333333329E-2</v>
      </c>
      <c r="Y56" s="29" t="e">
        <f>_xll.qlYieldTSDiscount(Currency&amp;"ON",R56)/(1+U56*X56)</f>
        <v>#NUM!</v>
      </c>
      <c r="Z56" s="30" t="e">
        <f>_xll.qlTenorBasisValue(TenorBasis6M,R56,InterestRatesTrigger)</f>
        <v>#VALUE!</v>
      </c>
      <c r="AA56" s="30" t="e">
        <f t="shared" si="6"/>
        <v>#NUM!</v>
      </c>
    </row>
    <row r="57" spans="15:27" x14ac:dyDescent="0.2">
      <c r="O57" s="33">
        <v>1</v>
      </c>
      <c r="P57" s="27" t="str">
        <f>_xll.qlPeriodEquivalent(P56&amp;"+"&amp;O57&amp;"M")</f>
        <v>4Y6M</v>
      </c>
      <c r="Q57" s="28">
        <f>_xll.qlCalendarAdvance(Calendar,SettlementDate,P57,"f",,Trigger)</f>
        <v>43808</v>
      </c>
      <c r="R57" s="28">
        <f>_xll.qlInterestRateIndexValueDate(Index,Q57,Trigger)</f>
        <v>43810</v>
      </c>
      <c r="S57" s="28">
        <f>_xll.qlInterestRateIndexMaturity(Index,R57,Trigger)</f>
        <v>43843</v>
      </c>
      <c r="T57" s="30">
        <f>_xll.qlIndexFixing($M$6,Q57,,InterestRatesTrigger)</f>
        <v>9.2325537504877146E-3</v>
      </c>
      <c r="U57" s="30" t="e">
        <f>_xll.qlIndexFixing(Index,Q57,,InterestRatesTrigger)</f>
        <v>#NUM!</v>
      </c>
      <c r="V57" s="30" t="e">
        <f t="shared" si="5"/>
        <v>#NUM!</v>
      </c>
      <c r="W57" s="29">
        <f>_xll.qlDayCounterYearFraction(DayCounter,SettlementDate,R57,,,Trigger)</f>
        <v>4.5750000000000002</v>
      </c>
      <c r="X57" s="29">
        <f>_xll.qlDayCounterYearFraction(DayCounter,R57,S57)</f>
        <v>9.166666666666666E-2</v>
      </c>
      <c r="Y57" s="29" t="e">
        <f>_xll.qlYieldTSDiscount(Currency&amp;"ON",R57)/(1+U57*X57)</f>
        <v>#NUM!</v>
      </c>
      <c r="Z57" s="30" t="e">
        <f>_xll.qlTenorBasisValue(TenorBasis6M,R57,InterestRatesTrigger)</f>
        <v>#VALUE!</v>
      </c>
      <c r="AA57" s="30" t="e">
        <f t="shared" si="6"/>
        <v>#NUM!</v>
      </c>
    </row>
    <row r="58" spans="15:27" x14ac:dyDescent="0.2">
      <c r="O58" s="33">
        <v>1</v>
      </c>
      <c r="P58" s="27" t="str">
        <f>_xll.qlPeriodEquivalent(P57&amp;"+"&amp;O58&amp;"M")</f>
        <v>4Y7M</v>
      </c>
      <c r="Q58" s="28">
        <f>_xll.qlCalendarAdvance(Calendar,SettlementDate,P58,"f",,Trigger)</f>
        <v>43838</v>
      </c>
      <c r="R58" s="28">
        <f>_xll.qlInterestRateIndexValueDate(Index,Q58,Trigger)</f>
        <v>43840</v>
      </c>
      <c r="S58" s="28">
        <f>_xll.qlInterestRateIndexMaturity(Index,R58,Trigger)</f>
        <v>43871</v>
      </c>
      <c r="T58" s="30">
        <f>_xll.qlIndexFixing($M$6,Q58,,InterestRatesTrigger)</f>
        <v>9.4938056885224102E-3</v>
      </c>
      <c r="U58" s="30" t="e">
        <f>_xll.qlIndexFixing(Index,Q58,,InterestRatesTrigger)</f>
        <v>#NUM!</v>
      </c>
      <c r="V58" s="30" t="e">
        <f t="shared" si="5"/>
        <v>#NUM!</v>
      </c>
      <c r="W58" s="29">
        <f>_xll.qlDayCounterYearFraction(DayCounter,SettlementDate,R58,,,Trigger)</f>
        <v>4.6583333333333332</v>
      </c>
      <c r="X58" s="29">
        <f>_xll.qlDayCounterYearFraction(DayCounter,R58,S58)</f>
        <v>8.611111111111111E-2</v>
      </c>
      <c r="Y58" s="29" t="e">
        <f>_xll.qlYieldTSDiscount(Currency&amp;"ON",R58)/(1+U58*X58)</f>
        <v>#NUM!</v>
      </c>
      <c r="Z58" s="30" t="e">
        <f>_xll.qlTenorBasisValue(TenorBasis6M,R58,InterestRatesTrigger)</f>
        <v>#VALUE!</v>
      </c>
      <c r="AA58" s="30" t="e">
        <f t="shared" si="6"/>
        <v>#NUM!</v>
      </c>
    </row>
    <row r="59" spans="15:27" x14ac:dyDescent="0.2">
      <c r="O59" s="33">
        <v>1</v>
      </c>
      <c r="P59" s="27" t="str">
        <f>_xll.qlPeriodEquivalent(P58&amp;"+"&amp;O59&amp;"M")</f>
        <v>4Y8M</v>
      </c>
      <c r="Q59" s="28">
        <f>_xll.qlCalendarAdvance(Calendar,SettlementDate,P59,"f",,Trigger)</f>
        <v>43871</v>
      </c>
      <c r="R59" s="28">
        <f>_xll.qlInterestRateIndexValueDate(Index,Q59,Trigger)</f>
        <v>43873</v>
      </c>
      <c r="S59" s="28">
        <f>_xll.qlInterestRateIndexMaturity(Index,R59,Trigger)</f>
        <v>43902</v>
      </c>
      <c r="T59" s="30">
        <f>_xll.qlIndexFixing($M$6,Q59,,InterestRatesTrigger)</f>
        <v>9.7757376678326308E-3</v>
      </c>
      <c r="U59" s="30" t="e">
        <f>_xll.qlIndexFixing(Index,Q59,,InterestRatesTrigger)</f>
        <v>#NUM!</v>
      </c>
      <c r="V59" s="30" t="e">
        <f t="shared" si="5"/>
        <v>#NUM!</v>
      </c>
      <c r="W59" s="29">
        <f>_xll.qlDayCounterYearFraction(DayCounter,SettlementDate,R59,,,Trigger)</f>
        <v>4.75</v>
      </c>
      <c r="X59" s="29">
        <f>_xll.qlDayCounterYearFraction(DayCounter,R59,S59)</f>
        <v>8.0555555555555561E-2</v>
      </c>
      <c r="Y59" s="29" t="e">
        <f>_xll.qlYieldTSDiscount(Currency&amp;"ON",R59)/(1+U59*X59)</f>
        <v>#NUM!</v>
      </c>
      <c r="Z59" s="30" t="e">
        <f>_xll.qlTenorBasisValue(TenorBasis6M,R59,InterestRatesTrigger)</f>
        <v>#VALUE!</v>
      </c>
      <c r="AA59" s="30" t="e">
        <f t="shared" si="6"/>
        <v>#NUM!</v>
      </c>
    </row>
    <row r="60" spans="15:27" x14ac:dyDescent="0.2">
      <c r="O60" s="33">
        <v>1</v>
      </c>
      <c r="P60" s="27" t="str">
        <f>_xll.qlPeriodEquivalent(P59&amp;"+"&amp;O60&amp;"M")</f>
        <v>4Y9M</v>
      </c>
      <c r="Q60" s="28">
        <f>_xll.qlCalendarAdvance(Calendar,SettlementDate,P60,"f",,Trigger)</f>
        <v>43899</v>
      </c>
      <c r="R60" s="28">
        <f>_xll.qlInterestRateIndexValueDate(Index,Q60,Trigger)</f>
        <v>43901</v>
      </c>
      <c r="S60" s="28">
        <f>_xll.qlInterestRateIndexMaturity(Index,R60,Trigger)</f>
        <v>43935</v>
      </c>
      <c r="T60" s="30">
        <f>_xll.qlIndexFixing($M$6,Q60,,InterestRatesTrigger)</f>
        <v>1.0039087948832648E-2</v>
      </c>
      <c r="U60" s="30" t="e">
        <f>_xll.qlIndexFixing(Index,Q60,,InterestRatesTrigger)</f>
        <v>#NUM!</v>
      </c>
      <c r="V60" s="30" t="e">
        <f t="shared" si="5"/>
        <v>#NUM!</v>
      </c>
      <c r="W60" s="29">
        <f>_xll.qlDayCounterYearFraction(DayCounter,SettlementDate,R60,,,Trigger)</f>
        <v>4.8277777777777775</v>
      </c>
      <c r="X60" s="29">
        <f>_xll.qlDayCounterYearFraction(DayCounter,R60,S60)</f>
        <v>9.4444444444444442E-2</v>
      </c>
      <c r="Y60" s="29" t="e">
        <f>_xll.qlYieldTSDiscount(Currency&amp;"ON",R60)/(1+U60*X60)</f>
        <v>#NUM!</v>
      </c>
      <c r="Z60" s="30" t="e">
        <f>_xll.qlTenorBasisValue(TenorBasis6M,R60,InterestRatesTrigger)</f>
        <v>#VALUE!</v>
      </c>
      <c r="AA60" s="30" t="e">
        <f t="shared" si="6"/>
        <v>#NUM!</v>
      </c>
    </row>
    <row r="61" spans="15:27" x14ac:dyDescent="0.2">
      <c r="O61" s="33">
        <v>1</v>
      </c>
      <c r="P61" s="27" t="str">
        <f>_xll.qlPeriodEquivalent(P60&amp;"+"&amp;O61&amp;"M")</f>
        <v>4Y10M</v>
      </c>
      <c r="Q61" s="28">
        <f>_xll.qlCalendarAdvance(Calendar,SettlementDate,P61,"f",,Trigger)</f>
        <v>43929</v>
      </c>
      <c r="R61" s="28">
        <f>_xll.qlInterestRateIndexValueDate(Index,Q61,Trigger)</f>
        <v>43935</v>
      </c>
      <c r="S61" s="28">
        <f>_xll.qlInterestRateIndexMaturity(Index,R61,Trigger)</f>
        <v>43965</v>
      </c>
      <c r="T61" s="30">
        <f>_xll.qlIndexFixing($M$6,Q61,,InterestRatesTrigger)</f>
        <v>1.0307769725743654E-2</v>
      </c>
      <c r="U61" s="30" t="e">
        <f>_xll.qlIndexFixing(Index,Q61,,InterestRatesTrigger)</f>
        <v>#NUM!</v>
      </c>
      <c r="V61" s="30" t="e">
        <f t="shared" si="5"/>
        <v>#NUM!</v>
      </c>
      <c r="W61" s="29">
        <f>_xll.qlDayCounterYearFraction(DayCounter,SettlementDate,R61,,,Trigger)</f>
        <v>4.9222222222222225</v>
      </c>
      <c r="X61" s="29">
        <f>_xll.qlDayCounterYearFraction(DayCounter,R61,S61)</f>
        <v>8.3333333333333329E-2</v>
      </c>
      <c r="Y61" s="29" t="e">
        <f>_xll.qlYieldTSDiscount(Currency&amp;"ON",R61)/(1+U61*X61)</f>
        <v>#NUM!</v>
      </c>
      <c r="Z61" s="30" t="e">
        <f>_xll.qlTenorBasisValue(TenorBasis6M,R61,InterestRatesTrigger)</f>
        <v>#VALUE!</v>
      </c>
      <c r="AA61" s="30" t="e">
        <f t="shared" si="6"/>
        <v>#NUM!</v>
      </c>
    </row>
    <row r="62" spans="15:27" x14ac:dyDescent="0.2">
      <c r="O62" s="33">
        <v>1</v>
      </c>
      <c r="P62" s="27" t="str">
        <f>_xll.qlPeriodEquivalent(P61&amp;"+"&amp;O62&amp;"M")</f>
        <v>4Y11M</v>
      </c>
      <c r="Q62" s="28">
        <f>_xll.qlCalendarAdvance(Calendar,SettlementDate,P62,"f",,Trigger)</f>
        <v>43959</v>
      </c>
      <c r="R62" s="28">
        <f>_xll.qlInterestRateIndexValueDate(Index,Q62,Trigger)</f>
        <v>43963</v>
      </c>
      <c r="S62" s="28">
        <f>_xll.qlInterestRateIndexMaturity(Index,R62,Trigger)</f>
        <v>43994</v>
      </c>
      <c r="T62" s="30">
        <f>_xll.qlIndexFixing($M$6,Q62,,InterestRatesTrigger)</f>
        <v>1.054204113416924E-2</v>
      </c>
      <c r="U62" s="30" t="e">
        <f>_xll.qlIndexFixing(Index,Q62,,InterestRatesTrigger)</f>
        <v>#NUM!</v>
      </c>
      <c r="V62" s="30" t="e">
        <f t="shared" si="5"/>
        <v>#NUM!</v>
      </c>
      <c r="W62" s="29">
        <f>_xll.qlDayCounterYearFraction(DayCounter,SettlementDate,R62,,,Trigger)</f>
        <v>5</v>
      </c>
      <c r="X62" s="29">
        <f>_xll.qlDayCounterYearFraction(DayCounter,R62,S62)</f>
        <v>8.611111111111111E-2</v>
      </c>
      <c r="Y62" s="29" t="e">
        <f>_xll.qlYieldTSDiscount(Currency&amp;"ON",R62)/(1+U62*X62)</f>
        <v>#NUM!</v>
      </c>
      <c r="Z62" s="30" t="e">
        <f>_xll.qlTenorBasisValue(TenorBasis6M,R62,InterestRatesTrigger)</f>
        <v>#VALUE!</v>
      </c>
      <c r="AA62" s="30" t="e">
        <f t="shared" si="6"/>
        <v>#NUM!</v>
      </c>
    </row>
    <row r="63" spans="15:27" x14ac:dyDescent="0.2">
      <c r="O63" s="33">
        <v>1</v>
      </c>
      <c r="P63" s="27" t="str">
        <f>_xll.qlPeriodEquivalent(P62&amp;"+"&amp;O63&amp;"M")</f>
        <v>5Y</v>
      </c>
      <c r="Q63" s="28">
        <f>_xll.qlCalendarAdvance(Calendar,SettlementDate,P63,"f",,Trigger)</f>
        <v>43990</v>
      </c>
      <c r="R63" s="28">
        <f>_xll.qlInterestRateIndexValueDate(Index,Q63,Trigger)</f>
        <v>43992</v>
      </c>
      <c r="S63" s="28">
        <f>_xll.qlInterestRateIndexMaturity(Index,R63,Trigger)</f>
        <v>44022</v>
      </c>
      <c r="T63" s="30">
        <f>_xll.qlIndexFixing($M$6,Q63,,InterestRatesTrigger)</f>
        <v>1.0770829066300891E-2</v>
      </c>
      <c r="U63" s="30" t="e">
        <f>_xll.qlIndexFixing(Index,Q63,,InterestRatesTrigger)</f>
        <v>#NUM!</v>
      </c>
      <c r="V63" s="30" t="e">
        <f t="shared" si="5"/>
        <v>#NUM!</v>
      </c>
      <c r="W63" s="29">
        <f>_xll.qlDayCounterYearFraction(DayCounter,SettlementDate,R63,,,Trigger)</f>
        <v>5.0805555555555557</v>
      </c>
      <c r="X63" s="29">
        <f>_xll.qlDayCounterYearFraction(DayCounter,R63,S63)</f>
        <v>8.3333333333333329E-2</v>
      </c>
      <c r="Y63" s="29" t="e">
        <f>_xll.qlYieldTSDiscount(Currency&amp;"ON",R63)/(1+U63*X63)</f>
        <v>#NUM!</v>
      </c>
      <c r="Z63" s="30" t="e">
        <f>_xll.qlTenorBasisValue(TenorBasis6M,R63,InterestRatesTrigger)</f>
        <v>#VALUE!</v>
      </c>
      <c r="AA63" s="30" t="e">
        <f t="shared" si="6"/>
        <v>#NUM!</v>
      </c>
    </row>
    <row r="64" spans="15:27" x14ac:dyDescent="0.2">
      <c r="O64" s="33">
        <v>1</v>
      </c>
      <c r="P64" s="27" t="str">
        <f>_xll.qlPeriodEquivalent(P63&amp;"+"&amp;O64&amp;"M")</f>
        <v>5Y1M</v>
      </c>
      <c r="Q64" s="28">
        <f>_xll.qlCalendarAdvance(Calendar,SettlementDate,P64,"f",,Trigger)</f>
        <v>44020</v>
      </c>
      <c r="R64" s="28">
        <f>_xll.qlInterestRateIndexValueDate(Index,Q64,Trigger)</f>
        <v>44022</v>
      </c>
      <c r="S64" s="28">
        <f>_xll.qlInterestRateIndexMaturity(Index,R64,Trigger)</f>
        <v>44053</v>
      </c>
      <c r="T64" s="30">
        <f>_xll.qlIndexFixing($M$6,Q64,,InterestRatesTrigger)</f>
        <v>1.1010419133068439E-2</v>
      </c>
      <c r="U64" s="30" t="e">
        <f>_xll.qlIndexFixing(Index,Q64,,InterestRatesTrigger)</f>
        <v>#NUM!</v>
      </c>
      <c r="V64" s="30" t="e">
        <f t="shared" si="5"/>
        <v>#NUM!</v>
      </c>
      <c r="W64" s="29">
        <f>_xll.qlDayCounterYearFraction(DayCounter,SettlementDate,R64,,,Trigger)</f>
        <v>5.1638888888888888</v>
      </c>
      <c r="X64" s="29">
        <f>_xll.qlDayCounterYearFraction(DayCounter,R64,S64)</f>
        <v>8.611111111111111E-2</v>
      </c>
      <c r="Y64" s="29" t="e">
        <f>_xll.qlYieldTSDiscount(Currency&amp;"ON",R64)/(1+U64*X64)</f>
        <v>#NUM!</v>
      </c>
      <c r="Z64" s="30" t="e">
        <f>_xll.qlTenorBasisValue(TenorBasis6M,R64,InterestRatesTrigger)</f>
        <v>#VALUE!</v>
      </c>
      <c r="AA64" s="30" t="e">
        <f t="shared" si="6"/>
        <v>#NUM!</v>
      </c>
    </row>
    <row r="65" spans="15:27" x14ac:dyDescent="0.2">
      <c r="O65" s="33">
        <v>1</v>
      </c>
      <c r="P65" s="27" t="str">
        <f>_xll.qlPeriodEquivalent(P64&amp;"+"&amp;O65&amp;"M")</f>
        <v>5Y2M</v>
      </c>
      <c r="Q65" s="28">
        <f>_xll.qlCalendarAdvance(Calendar,SettlementDate,P65,"f",,Trigger)</f>
        <v>44053</v>
      </c>
      <c r="R65" s="28">
        <f>_xll.qlInterestRateIndexValueDate(Index,Q65,Trigger)</f>
        <v>44055</v>
      </c>
      <c r="S65" s="28">
        <f>_xll.qlInterestRateIndexMaturity(Index,R65,Trigger)</f>
        <v>44088</v>
      </c>
      <c r="T65" s="30">
        <f>_xll.qlIndexFixing($M$6,Q65,,InterestRatesTrigger)</f>
        <v>1.127094227782263E-2</v>
      </c>
      <c r="U65" s="30" t="e">
        <f>_xll.qlIndexFixing(Index,Q65,,InterestRatesTrigger)</f>
        <v>#NUM!</v>
      </c>
      <c r="V65" s="30" t="e">
        <f t="shared" si="5"/>
        <v>#NUM!</v>
      </c>
      <c r="W65" s="29">
        <f>_xll.qlDayCounterYearFraction(DayCounter,SettlementDate,R65,,,Trigger)</f>
        <v>5.2555555555555555</v>
      </c>
      <c r="X65" s="29">
        <f>_xll.qlDayCounterYearFraction(DayCounter,R65,S65)</f>
        <v>9.166666666666666E-2</v>
      </c>
      <c r="Y65" s="29" t="e">
        <f>_xll.qlYieldTSDiscount(Currency&amp;"ON",R65)/(1+U65*X65)</f>
        <v>#NUM!</v>
      </c>
      <c r="Z65" s="30" t="e">
        <f>_xll.qlTenorBasisValue(TenorBasis6M,R65,InterestRatesTrigger)</f>
        <v>#VALUE!</v>
      </c>
      <c r="AA65" s="30" t="e">
        <f t="shared" si="6"/>
        <v>#NUM!</v>
      </c>
    </row>
    <row r="66" spans="15:27" x14ac:dyDescent="0.2">
      <c r="O66" s="33">
        <v>1</v>
      </c>
      <c r="P66" s="27" t="str">
        <f>_xll.qlPeriodEquivalent(P65&amp;"+"&amp;O66&amp;"M")</f>
        <v>5Y3M</v>
      </c>
      <c r="Q66" s="28">
        <f>_xll.qlCalendarAdvance(Calendar,SettlementDate,P66,"f",,Trigger)</f>
        <v>44082</v>
      </c>
      <c r="R66" s="28">
        <f>_xll.qlInterestRateIndexValueDate(Index,Q66,Trigger)</f>
        <v>44084</v>
      </c>
      <c r="S66" s="28">
        <f>_xll.qlInterestRateIndexMaturity(Index,R66,Trigger)</f>
        <v>44116</v>
      </c>
      <c r="T66" s="30">
        <f>_xll.qlIndexFixing($M$6,Q66,,InterestRatesTrigger)</f>
        <v>1.1483443096304835E-2</v>
      </c>
      <c r="U66" s="30" t="e">
        <f>_xll.qlIndexFixing(Index,Q66,,InterestRatesTrigger)</f>
        <v>#NUM!</v>
      </c>
      <c r="V66" s="30" t="e">
        <f t="shared" si="5"/>
        <v>#NUM!</v>
      </c>
      <c r="W66" s="29">
        <f>_xll.qlDayCounterYearFraction(DayCounter,SettlementDate,R66,,,Trigger)</f>
        <v>5.3361111111111112</v>
      </c>
      <c r="X66" s="29">
        <f>_xll.qlDayCounterYearFraction(DayCounter,R66,S66)</f>
        <v>8.8888888888888892E-2</v>
      </c>
      <c r="Y66" s="29" t="e">
        <f>_xll.qlYieldTSDiscount(Currency&amp;"ON",R66)/(1+U66*X66)</f>
        <v>#NUM!</v>
      </c>
      <c r="Z66" s="30" t="e">
        <f>_xll.qlTenorBasisValue(TenorBasis6M,R66,InterestRatesTrigger)</f>
        <v>#VALUE!</v>
      </c>
      <c r="AA66" s="30" t="e">
        <f t="shared" si="6"/>
        <v>#NUM!</v>
      </c>
    </row>
    <row r="67" spans="15:27" x14ac:dyDescent="0.2">
      <c r="O67" s="33">
        <v>1</v>
      </c>
      <c r="P67" s="27" t="str">
        <f>_xll.qlPeriodEquivalent(P66&amp;"+"&amp;O67&amp;"M")</f>
        <v>5Y4M</v>
      </c>
      <c r="Q67" s="28">
        <f>_xll.qlCalendarAdvance(Calendar,SettlementDate,P67,"f",,Trigger)</f>
        <v>44112</v>
      </c>
      <c r="R67" s="28">
        <f>_xll.qlInterestRateIndexValueDate(Index,Q67,Trigger)</f>
        <v>44116</v>
      </c>
      <c r="S67" s="28">
        <f>_xll.qlInterestRateIndexMaturity(Index,R67,Trigger)</f>
        <v>44147</v>
      </c>
      <c r="T67" s="30">
        <f>_xll.qlIndexFixing($M$6,Q67,,InterestRatesTrigger)</f>
        <v>1.1712523477373128E-2</v>
      </c>
      <c r="U67" s="30" t="e">
        <f>_xll.qlIndexFixing(Index,Q67,,InterestRatesTrigger)</f>
        <v>#NUM!</v>
      </c>
      <c r="V67" s="30" t="e">
        <f t="shared" si="5"/>
        <v>#NUM!</v>
      </c>
      <c r="W67" s="29">
        <f>_xll.qlDayCounterYearFraction(DayCounter,SettlementDate,R67,,,Trigger)</f>
        <v>5.4249999999999998</v>
      </c>
      <c r="X67" s="29">
        <f>_xll.qlDayCounterYearFraction(DayCounter,R67,S67)</f>
        <v>8.611111111111111E-2</v>
      </c>
      <c r="Y67" s="29" t="e">
        <f>_xll.qlYieldTSDiscount(Currency&amp;"ON",R67)/(1+U67*X67)</f>
        <v>#NUM!</v>
      </c>
      <c r="Z67" s="30" t="e">
        <f>_xll.qlTenorBasisValue(TenorBasis6M,R67,InterestRatesTrigger)</f>
        <v>#VALUE!</v>
      </c>
      <c r="AA67" s="30" t="e">
        <f t="shared" si="6"/>
        <v>#NUM!</v>
      </c>
    </row>
    <row r="68" spans="15:27" x14ac:dyDescent="0.2">
      <c r="O68" s="33">
        <v>1</v>
      </c>
      <c r="P68" s="27" t="str">
        <f>_xll.qlPeriodEquivalent(P67&amp;"+"&amp;O68&amp;"M")</f>
        <v>5Y5M</v>
      </c>
      <c r="Q68" s="28">
        <f>_xll.qlCalendarAdvance(Calendar,SettlementDate,P68,"f",,Trigger)</f>
        <v>44144</v>
      </c>
      <c r="R68" s="28">
        <f>_xll.qlInterestRateIndexValueDate(Index,Q68,Trigger)</f>
        <v>44146</v>
      </c>
      <c r="S68" s="28">
        <f>_xll.qlInterestRateIndexMaturity(Index,R68,Trigger)</f>
        <v>44176</v>
      </c>
      <c r="T68" s="30">
        <f>_xll.qlIndexFixing($M$6,Q68,,InterestRatesTrigger)</f>
        <v>1.1921519595524899E-2</v>
      </c>
      <c r="U68" s="30" t="e">
        <f>_xll.qlIndexFixing(Index,Q68,,InterestRatesTrigger)</f>
        <v>#NUM!</v>
      </c>
      <c r="V68" s="30" t="e">
        <f t="shared" ref="V68:V131" si="14">U68-T68</f>
        <v>#NUM!</v>
      </c>
      <c r="W68" s="29">
        <f>_xll.qlDayCounterYearFraction(DayCounter,SettlementDate,R68,,,Trigger)</f>
        <v>5.5083333333333337</v>
      </c>
      <c r="X68" s="29">
        <f>_xll.qlDayCounterYearFraction(DayCounter,R68,S68)</f>
        <v>8.3333333333333329E-2</v>
      </c>
      <c r="Y68" s="29" t="e">
        <f>_xll.qlYieldTSDiscount(Currency&amp;"ON",R68)/(1+U68*X68)</f>
        <v>#NUM!</v>
      </c>
      <c r="Z68" s="30" t="e">
        <f>_xll.qlTenorBasisValue(TenorBasis6M,R68,InterestRatesTrigger)</f>
        <v>#VALUE!</v>
      </c>
      <c r="AA68" s="30" t="e">
        <f t="shared" ref="AA68:AA131" si="15">V68-Z68</f>
        <v>#NUM!</v>
      </c>
    </row>
    <row r="69" spans="15:27" x14ac:dyDescent="0.2">
      <c r="O69" s="33">
        <v>1</v>
      </c>
      <c r="P69" s="27" t="str">
        <f>_xll.qlPeriodEquivalent(P68&amp;"+"&amp;O69&amp;"M")</f>
        <v>5Y6M</v>
      </c>
      <c r="Q69" s="28">
        <f>_xll.qlCalendarAdvance(Calendar,SettlementDate,P69,"f",,Trigger)</f>
        <v>44173</v>
      </c>
      <c r="R69" s="28">
        <f>_xll.qlInterestRateIndexValueDate(Index,Q69,Trigger)</f>
        <v>44175</v>
      </c>
      <c r="S69" s="28">
        <f>_xll.qlInterestRateIndexMaturity(Index,R69,Trigger)</f>
        <v>44207</v>
      </c>
      <c r="T69" s="30">
        <f>_xll.qlIndexFixing($M$6,Q69,,InterestRatesTrigger)</f>
        <v>1.212914274169169E-2</v>
      </c>
      <c r="U69" s="30" t="e">
        <f>_xll.qlIndexFixing(Index,Q69,,InterestRatesTrigger)</f>
        <v>#NUM!</v>
      </c>
      <c r="V69" s="30" t="e">
        <f t="shared" si="14"/>
        <v>#NUM!</v>
      </c>
      <c r="W69" s="29">
        <f>_xll.qlDayCounterYearFraction(DayCounter,SettlementDate,R69,,,Trigger)</f>
        <v>5.5888888888888886</v>
      </c>
      <c r="X69" s="29">
        <f>_xll.qlDayCounterYearFraction(DayCounter,R69,S69)</f>
        <v>8.8888888888888892E-2</v>
      </c>
      <c r="Y69" s="29" t="e">
        <f>_xll.qlYieldTSDiscount(Currency&amp;"ON",R69)/(1+U69*X69)</f>
        <v>#NUM!</v>
      </c>
      <c r="Z69" s="30" t="e">
        <f>_xll.qlTenorBasisValue(TenorBasis6M,R69,InterestRatesTrigger)</f>
        <v>#VALUE!</v>
      </c>
      <c r="AA69" s="30" t="e">
        <f t="shared" si="15"/>
        <v>#NUM!</v>
      </c>
    </row>
    <row r="70" spans="15:27" x14ac:dyDescent="0.2">
      <c r="O70" s="33">
        <v>1</v>
      </c>
      <c r="P70" s="27" t="str">
        <f>_xll.qlPeriodEquivalent(P69&amp;"+"&amp;O70&amp;"M")</f>
        <v>5Y7M</v>
      </c>
      <c r="Q70" s="28">
        <f>_xll.qlCalendarAdvance(Calendar,SettlementDate,P70,"f",,Trigger)</f>
        <v>44204</v>
      </c>
      <c r="R70" s="28">
        <f>_xll.qlInterestRateIndexValueDate(Index,Q70,Trigger)</f>
        <v>44208</v>
      </c>
      <c r="S70" s="28">
        <f>_xll.qlInterestRateIndexMaturity(Index,R70,Trigger)</f>
        <v>44239</v>
      </c>
      <c r="T70" s="30">
        <f>_xll.qlIndexFixing($M$6,Q70,,InterestRatesTrigger)</f>
        <v>1.234725399688253E-2</v>
      </c>
      <c r="U70" s="30" t="e">
        <f>_xll.qlIndexFixing(Index,Q70,,InterestRatesTrigger)</f>
        <v>#NUM!</v>
      </c>
      <c r="V70" s="30" t="e">
        <f t="shared" si="14"/>
        <v>#NUM!</v>
      </c>
      <c r="W70" s="29">
        <f>_xll.qlDayCounterYearFraction(DayCounter,SettlementDate,R70,,,Trigger)</f>
        <v>5.6805555555555554</v>
      </c>
      <c r="X70" s="29">
        <f>_xll.qlDayCounterYearFraction(DayCounter,R70,S70)</f>
        <v>8.611111111111111E-2</v>
      </c>
      <c r="Y70" s="29" t="e">
        <f>_xll.qlYieldTSDiscount(Currency&amp;"ON",R70)/(1+U70*X70)</f>
        <v>#NUM!</v>
      </c>
      <c r="Z70" s="30" t="e">
        <f>_xll.qlTenorBasisValue(TenorBasis6M,R70,InterestRatesTrigger)</f>
        <v>#VALUE!</v>
      </c>
      <c r="AA70" s="30" t="e">
        <f t="shared" si="15"/>
        <v>#NUM!</v>
      </c>
    </row>
    <row r="71" spans="15:27" x14ac:dyDescent="0.2">
      <c r="O71" s="33">
        <v>1</v>
      </c>
      <c r="P71" s="27" t="str">
        <f>_xll.qlPeriodEquivalent(P70&amp;"+"&amp;O71&amp;"M")</f>
        <v>5Y8M</v>
      </c>
      <c r="Q71" s="28">
        <f>_xll.qlCalendarAdvance(Calendar,SettlementDate,P71,"f",,Trigger)</f>
        <v>44235</v>
      </c>
      <c r="R71" s="28">
        <f>_xll.qlInterestRateIndexValueDate(Index,Q71,Trigger)</f>
        <v>44237</v>
      </c>
      <c r="S71" s="28">
        <f>_xll.qlInterestRateIndexMaturity(Index,R71,Trigger)</f>
        <v>44265</v>
      </c>
      <c r="T71" s="30">
        <f>_xll.qlIndexFixing($M$6,Q71,,InterestRatesTrigger)</f>
        <v>1.2526303682074413E-2</v>
      </c>
      <c r="U71" s="30" t="e">
        <f>_xll.qlIndexFixing(Index,Q71,,InterestRatesTrigger)</f>
        <v>#NUM!</v>
      </c>
      <c r="V71" s="30" t="e">
        <f t="shared" si="14"/>
        <v>#NUM!</v>
      </c>
      <c r="W71" s="29">
        <f>_xll.qlDayCounterYearFraction(DayCounter,SettlementDate,R71,,,Trigger)</f>
        <v>5.7611111111111111</v>
      </c>
      <c r="X71" s="29">
        <f>_xll.qlDayCounterYearFraction(DayCounter,R71,S71)</f>
        <v>7.7777777777777779E-2</v>
      </c>
      <c r="Y71" s="29" t="e">
        <f>_xll.qlYieldTSDiscount(Currency&amp;"ON",R71)/(1+U71*X71)</f>
        <v>#NUM!</v>
      </c>
      <c r="Z71" s="30" t="e">
        <f>_xll.qlTenorBasisValue(TenorBasis6M,R71,InterestRatesTrigger)</f>
        <v>#VALUE!</v>
      </c>
      <c r="AA71" s="30" t="e">
        <f t="shared" si="15"/>
        <v>#NUM!</v>
      </c>
    </row>
    <row r="72" spans="15:27" x14ac:dyDescent="0.2">
      <c r="O72" s="33">
        <v>1</v>
      </c>
      <c r="P72" s="27" t="str">
        <f>_xll.qlPeriodEquivalent(P71&amp;"+"&amp;O72&amp;"M")</f>
        <v>5Y9M</v>
      </c>
      <c r="Q72" s="28">
        <f>_xll.qlCalendarAdvance(Calendar,SettlementDate,P72,"f",,Trigger)</f>
        <v>44263</v>
      </c>
      <c r="R72" s="28">
        <f>_xll.qlInterestRateIndexValueDate(Index,Q72,Trigger)</f>
        <v>44265</v>
      </c>
      <c r="S72" s="28">
        <f>_xll.qlInterestRateIndexMaturity(Index,R72,Trigger)</f>
        <v>44298</v>
      </c>
      <c r="T72" s="30">
        <f>_xll.qlIndexFixing($M$6,Q72,,InterestRatesTrigger)</f>
        <v>1.2721163956540852E-2</v>
      </c>
      <c r="U72" s="30" t="e">
        <f>_xll.qlIndexFixing(Index,Q72,,InterestRatesTrigger)</f>
        <v>#NUM!</v>
      </c>
      <c r="V72" s="30" t="e">
        <f t="shared" si="14"/>
        <v>#NUM!</v>
      </c>
      <c r="W72" s="29">
        <f>_xll.qlDayCounterYearFraction(DayCounter,SettlementDate,R72,,,Trigger)</f>
        <v>5.8388888888888886</v>
      </c>
      <c r="X72" s="29">
        <f>_xll.qlDayCounterYearFraction(DayCounter,R72,S72)</f>
        <v>9.166666666666666E-2</v>
      </c>
      <c r="Y72" s="29" t="e">
        <f>_xll.qlYieldTSDiscount(Currency&amp;"ON",R72)/(1+U72*X72)</f>
        <v>#NUM!</v>
      </c>
      <c r="Z72" s="30" t="e">
        <f>_xll.qlTenorBasisValue(TenorBasis6M,R72,InterestRatesTrigger)</f>
        <v>#VALUE!</v>
      </c>
      <c r="AA72" s="30" t="e">
        <f t="shared" si="15"/>
        <v>#NUM!</v>
      </c>
    </row>
    <row r="73" spans="15:27" x14ac:dyDescent="0.2">
      <c r="O73" s="33">
        <v>1</v>
      </c>
      <c r="P73" s="27" t="str">
        <f>_xll.qlPeriodEquivalent(P72&amp;"+"&amp;O73&amp;"M")</f>
        <v>5Y10M</v>
      </c>
      <c r="Q73" s="28">
        <f>_xll.qlCalendarAdvance(Calendar,SettlementDate,P73,"f",,Trigger)</f>
        <v>44294</v>
      </c>
      <c r="R73" s="28">
        <f>_xll.qlInterestRateIndexValueDate(Index,Q73,Trigger)</f>
        <v>44298</v>
      </c>
      <c r="S73" s="28">
        <f>_xll.qlInterestRateIndexMaturity(Index,R73,Trigger)</f>
        <v>44328</v>
      </c>
      <c r="T73" s="30">
        <f>_xll.qlIndexFixing($M$6,Q73,,InterestRatesTrigger)</f>
        <v>1.2914735837624036E-2</v>
      </c>
      <c r="U73" s="30" t="e">
        <f>_xll.qlIndexFixing(Index,Q73,,InterestRatesTrigger)</f>
        <v>#NUM!</v>
      </c>
      <c r="V73" s="30" t="e">
        <f t="shared" si="14"/>
        <v>#NUM!</v>
      </c>
      <c r="W73" s="29">
        <f>_xll.qlDayCounterYearFraction(DayCounter,SettlementDate,R73,,,Trigger)</f>
        <v>5.9305555555555554</v>
      </c>
      <c r="X73" s="29">
        <f>_xll.qlDayCounterYearFraction(DayCounter,R73,S73)</f>
        <v>8.3333333333333329E-2</v>
      </c>
      <c r="Y73" s="29" t="e">
        <f>_xll.qlYieldTSDiscount(Currency&amp;"ON",R73)/(1+U73*X73)</f>
        <v>#NUM!</v>
      </c>
      <c r="Z73" s="30" t="e">
        <f>_xll.qlTenorBasisValue(TenorBasis6M,R73,InterestRatesTrigger)</f>
        <v>#VALUE!</v>
      </c>
      <c r="AA73" s="30" t="e">
        <f t="shared" si="15"/>
        <v>#NUM!</v>
      </c>
    </row>
    <row r="74" spans="15:27" x14ac:dyDescent="0.2">
      <c r="O74" s="33">
        <v>1</v>
      </c>
      <c r="P74" s="27" t="str">
        <f>_xll.qlPeriodEquivalent(P73&amp;"+"&amp;O74&amp;"M")</f>
        <v>5Y11M</v>
      </c>
      <c r="Q74" s="28">
        <f>_xll.qlCalendarAdvance(Calendar,SettlementDate,P74,"f",,Trigger)</f>
        <v>44326</v>
      </c>
      <c r="R74" s="28">
        <f>_xll.qlInterestRateIndexValueDate(Index,Q74,Trigger)</f>
        <v>44328</v>
      </c>
      <c r="S74" s="28">
        <f>_xll.qlInterestRateIndexMaturity(Index,R74,Trigger)</f>
        <v>44361</v>
      </c>
      <c r="T74" s="30">
        <f>_xll.qlIndexFixing($M$6,Q74,,InterestRatesTrigger)</f>
        <v>1.3103529334303426E-2</v>
      </c>
      <c r="U74" s="30" t="e">
        <f>_xll.qlIndexFixing(Index,Q74,,InterestRatesTrigger)</f>
        <v>#NUM!</v>
      </c>
      <c r="V74" s="30" t="e">
        <f t="shared" si="14"/>
        <v>#NUM!</v>
      </c>
      <c r="W74" s="29">
        <f>_xll.qlDayCounterYearFraction(DayCounter,SettlementDate,R74,,,Trigger)</f>
        <v>6.0138888888888893</v>
      </c>
      <c r="X74" s="29">
        <f>_xll.qlDayCounterYearFraction(DayCounter,R74,S74)</f>
        <v>9.166666666666666E-2</v>
      </c>
      <c r="Y74" s="29" t="e">
        <f>_xll.qlYieldTSDiscount(Currency&amp;"ON",R74)/(1+U74*X74)</f>
        <v>#NUM!</v>
      </c>
      <c r="Z74" s="30" t="e">
        <f>_xll.qlTenorBasisValue(TenorBasis6M,R74,InterestRatesTrigger)</f>
        <v>#VALUE!</v>
      </c>
      <c r="AA74" s="30" t="e">
        <f t="shared" si="15"/>
        <v>#NUM!</v>
      </c>
    </row>
    <row r="75" spans="15:27" x14ac:dyDescent="0.2">
      <c r="O75" s="33">
        <v>1</v>
      </c>
      <c r="P75" s="27" t="str">
        <f>_xll.qlPeriodEquivalent(P74&amp;"+"&amp;O75&amp;"M")</f>
        <v>6Y</v>
      </c>
      <c r="Q75" s="28">
        <f>_xll.qlCalendarAdvance(Calendar,SettlementDate,P75,"f",,Trigger)</f>
        <v>44355</v>
      </c>
      <c r="R75" s="28">
        <f>_xll.qlInterestRateIndexValueDate(Index,Q75,Trigger)</f>
        <v>44357</v>
      </c>
      <c r="S75" s="28">
        <f>_xll.qlInterestRateIndexMaturity(Index,R75,Trigger)</f>
        <v>44389</v>
      </c>
      <c r="T75" s="30">
        <f>_xll.qlIndexFixing($M$6,Q75,,InterestRatesTrigger)</f>
        <v>1.3270496377479624E-2</v>
      </c>
      <c r="U75" s="30" t="e">
        <f>_xll.qlIndexFixing(Index,Q75,,InterestRatesTrigger)</f>
        <v>#NUM!</v>
      </c>
      <c r="V75" s="30" t="e">
        <f t="shared" si="14"/>
        <v>#NUM!</v>
      </c>
      <c r="W75" s="29">
        <f>_xll.qlDayCounterYearFraction(DayCounter,SettlementDate,R75,,,Trigger)</f>
        <v>6.0944444444444441</v>
      </c>
      <c r="X75" s="29">
        <f>_xll.qlDayCounterYearFraction(DayCounter,R75,S75)</f>
        <v>8.8888888888888892E-2</v>
      </c>
      <c r="Y75" s="29" t="e">
        <f>_xll.qlYieldTSDiscount(Currency&amp;"ON",R75)/(1+U75*X75)</f>
        <v>#NUM!</v>
      </c>
      <c r="Z75" s="30" t="e">
        <f>_xll.qlTenorBasisValue(TenorBasis6M,R75,InterestRatesTrigger)</f>
        <v>#VALUE!</v>
      </c>
      <c r="AA75" s="30" t="e">
        <f t="shared" si="15"/>
        <v>#NUM!</v>
      </c>
    </row>
    <row r="76" spans="15:27" x14ac:dyDescent="0.2">
      <c r="O76" s="33">
        <v>1</v>
      </c>
      <c r="P76" s="27" t="str">
        <f>_xll.qlPeriodEquivalent(P75&amp;"+"&amp;O76&amp;"M")</f>
        <v>6Y1M</v>
      </c>
      <c r="Q76" s="28">
        <f>_xll.qlCalendarAdvance(Calendar,SettlementDate,P76,"f",,Trigger)</f>
        <v>44385</v>
      </c>
      <c r="R76" s="28">
        <f>_xll.qlInterestRateIndexValueDate(Index,Q76,Trigger)</f>
        <v>44389</v>
      </c>
      <c r="S76" s="28">
        <f>_xll.qlInterestRateIndexMaturity(Index,R76,Trigger)</f>
        <v>44420</v>
      </c>
      <c r="T76" s="30">
        <f>_xll.qlIndexFixing($M$6,Q76,,InterestRatesTrigger)</f>
        <v>1.3458363086956944E-2</v>
      </c>
      <c r="U76" s="30" t="e">
        <f>_xll.qlIndexFixing(Index,Q76,,InterestRatesTrigger)</f>
        <v>#NUM!</v>
      </c>
      <c r="V76" s="30" t="e">
        <f t="shared" si="14"/>
        <v>#NUM!</v>
      </c>
      <c r="W76" s="29">
        <f>_xll.qlDayCounterYearFraction(DayCounter,SettlementDate,R76,,,Trigger)</f>
        <v>6.1833333333333336</v>
      </c>
      <c r="X76" s="29">
        <f>_xll.qlDayCounterYearFraction(DayCounter,R76,S76)</f>
        <v>8.611111111111111E-2</v>
      </c>
      <c r="Y76" s="29" t="e">
        <f>_xll.qlYieldTSDiscount(Currency&amp;"ON",R76)/(1+U76*X76)</f>
        <v>#NUM!</v>
      </c>
      <c r="Z76" s="30" t="e">
        <f>_xll.qlTenorBasisValue(TenorBasis6M,R76,InterestRatesTrigger)</f>
        <v>#VALUE!</v>
      </c>
      <c r="AA76" s="30" t="e">
        <f t="shared" si="15"/>
        <v>#NUM!</v>
      </c>
    </row>
    <row r="77" spans="15:27" x14ac:dyDescent="0.2">
      <c r="O77" s="33">
        <v>1</v>
      </c>
      <c r="P77" s="27" t="str">
        <f>_xll.qlPeriodEquivalent(P76&amp;"+"&amp;O77&amp;"M")</f>
        <v>6Y2M</v>
      </c>
      <c r="Q77" s="28">
        <f>_xll.qlCalendarAdvance(Calendar,SettlementDate,P77,"f",,Trigger)</f>
        <v>44417</v>
      </c>
      <c r="R77" s="28">
        <f>_xll.qlInterestRateIndexValueDate(Index,Q77,Trigger)</f>
        <v>44419</v>
      </c>
      <c r="S77" s="28">
        <f>_xll.qlInterestRateIndexMaturity(Index,R77,Trigger)</f>
        <v>44452</v>
      </c>
      <c r="T77" s="30">
        <f>_xll.qlIndexFixing($M$6,Q77,,InterestRatesTrigger)</f>
        <v>1.3648664822115788E-2</v>
      </c>
      <c r="U77" s="30" t="e">
        <f>_xll.qlIndexFixing(Index,Q77,,InterestRatesTrigger)</f>
        <v>#NUM!</v>
      </c>
      <c r="V77" s="30" t="e">
        <f t="shared" si="14"/>
        <v>#NUM!</v>
      </c>
      <c r="W77" s="29">
        <f>_xll.qlDayCounterYearFraction(DayCounter,SettlementDate,R77,,,Trigger)</f>
        <v>6.2666666666666666</v>
      </c>
      <c r="X77" s="29">
        <f>_xll.qlDayCounterYearFraction(DayCounter,R77,S77)</f>
        <v>9.166666666666666E-2</v>
      </c>
      <c r="Y77" s="29" t="e">
        <f>_xll.qlYieldTSDiscount(Currency&amp;"ON",R77)/(1+U77*X77)</f>
        <v>#NUM!</v>
      </c>
      <c r="Z77" s="30" t="e">
        <f>_xll.qlTenorBasisValue(TenorBasis6M,R77,InterestRatesTrigger)</f>
        <v>#VALUE!</v>
      </c>
      <c r="AA77" s="30" t="e">
        <f t="shared" si="15"/>
        <v>#NUM!</v>
      </c>
    </row>
    <row r="78" spans="15:27" x14ac:dyDescent="0.2">
      <c r="O78" s="33">
        <v>1</v>
      </c>
      <c r="P78" s="27" t="str">
        <f>_xll.qlPeriodEquivalent(P77&amp;"+"&amp;O78&amp;"M")</f>
        <v>6Y3M</v>
      </c>
      <c r="Q78" s="28">
        <f>_xll.qlCalendarAdvance(Calendar,SettlementDate,P78,"f",,Trigger)</f>
        <v>44447</v>
      </c>
      <c r="R78" s="28">
        <f>_xll.qlInterestRateIndexValueDate(Index,Q78,Trigger)</f>
        <v>44449</v>
      </c>
      <c r="S78" s="28">
        <f>_xll.qlInterestRateIndexMaturity(Index,R78,Trigger)</f>
        <v>44480</v>
      </c>
      <c r="T78" s="30">
        <f>_xll.qlIndexFixing($M$6,Q78,,InterestRatesTrigger)</f>
        <v>1.3829789278814175E-2</v>
      </c>
      <c r="U78" s="30" t="e">
        <f>_xll.qlIndexFixing(Index,Q78,,InterestRatesTrigger)</f>
        <v>#NUM!</v>
      </c>
      <c r="V78" s="30" t="e">
        <f t="shared" si="14"/>
        <v>#NUM!</v>
      </c>
      <c r="W78" s="29">
        <f>_xll.qlDayCounterYearFraction(DayCounter,SettlementDate,R78,,,Trigger)</f>
        <v>6.35</v>
      </c>
      <c r="X78" s="29">
        <f>_xll.qlDayCounterYearFraction(DayCounter,R78,S78)</f>
        <v>8.611111111111111E-2</v>
      </c>
      <c r="Y78" s="29" t="e">
        <f>_xll.qlYieldTSDiscount(Currency&amp;"ON",R78)/(1+U78*X78)</f>
        <v>#NUM!</v>
      </c>
      <c r="Z78" s="30" t="e">
        <f>_xll.qlTenorBasisValue(TenorBasis6M,R78,InterestRatesTrigger)</f>
        <v>#VALUE!</v>
      </c>
      <c r="AA78" s="30" t="e">
        <f t="shared" si="15"/>
        <v>#NUM!</v>
      </c>
    </row>
    <row r="79" spans="15:27" x14ac:dyDescent="0.2">
      <c r="O79" s="33">
        <v>1</v>
      </c>
      <c r="P79" s="27" t="str">
        <f>_xll.qlPeriodEquivalent(P78&amp;"+"&amp;O79&amp;"M")</f>
        <v>6Y4M</v>
      </c>
      <c r="Q79" s="28">
        <f>_xll.qlCalendarAdvance(Calendar,SettlementDate,P79,"f",,Trigger)</f>
        <v>44477</v>
      </c>
      <c r="R79" s="28">
        <f>_xll.qlInterestRateIndexValueDate(Index,Q79,Trigger)</f>
        <v>44481</v>
      </c>
      <c r="S79" s="28">
        <f>_xll.qlInterestRateIndexMaturity(Index,R79,Trigger)</f>
        <v>44512</v>
      </c>
      <c r="T79" s="30">
        <f>_xll.qlIndexFixing($M$6,Q79,,InterestRatesTrigger)</f>
        <v>1.4034906036179103E-2</v>
      </c>
      <c r="U79" s="30" t="e">
        <f>_xll.qlIndexFixing(Index,Q79,,InterestRatesTrigger)</f>
        <v>#NUM!</v>
      </c>
      <c r="V79" s="30" t="e">
        <f t="shared" si="14"/>
        <v>#NUM!</v>
      </c>
      <c r="W79" s="29">
        <f>_xll.qlDayCounterYearFraction(DayCounter,SettlementDate,R79,,,Trigger)</f>
        <v>6.4388888888888891</v>
      </c>
      <c r="X79" s="29">
        <f>_xll.qlDayCounterYearFraction(DayCounter,R79,S79)</f>
        <v>8.611111111111111E-2</v>
      </c>
      <c r="Y79" s="29" t="e">
        <f>_xll.qlYieldTSDiscount(Currency&amp;"ON",R79)/(1+U79*X79)</f>
        <v>#NUM!</v>
      </c>
      <c r="Z79" s="30" t="e">
        <f>_xll.qlTenorBasisValue(TenorBasis6M,R79,InterestRatesTrigger)</f>
        <v>#VALUE!</v>
      </c>
      <c r="AA79" s="30" t="e">
        <f t="shared" si="15"/>
        <v>#NUM!</v>
      </c>
    </row>
    <row r="80" spans="15:27" x14ac:dyDescent="0.2">
      <c r="O80" s="33">
        <v>1</v>
      </c>
      <c r="P80" s="27" t="str">
        <f>_xll.qlPeriodEquivalent(P79&amp;"+"&amp;O80&amp;"M")</f>
        <v>6Y5M</v>
      </c>
      <c r="Q80" s="28">
        <f>_xll.qlCalendarAdvance(Calendar,SettlementDate,P80,"f",,Trigger)</f>
        <v>44508</v>
      </c>
      <c r="R80" s="28">
        <f>_xll.qlInterestRateIndexValueDate(Index,Q80,Trigger)</f>
        <v>44510</v>
      </c>
      <c r="S80" s="28">
        <f>_xll.qlInterestRateIndexMaturity(Index,R80,Trigger)</f>
        <v>44540</v>
      </c>
      <c r="T80" s="30">
        <f>_xll.qlIndexFixing($M$6,Q80,,InterestRatesTrigger)</f>
        <v>1.4221408634355726E-2</v>
      </c>
      <c r="U80" s="30" t="e">
        <f>_xll.qlIndexFixing(Index,Q80,,InterestRatesTrigger)</f>
        <v>#NUM!</v>
      </c>
      <c r="V80" s="30" t="e">
        <f t="shared" si="14"/>
        <v>#NUM!</v>
      </c>
      <c r="W80" s="29">
        <f>_xll.qlDayCounterYearFraction(DayCounter,SettlementDate,R80,,,Trigger)</f>
        <v>6.5194444444444448</v>
      </c>
      <c r="X80" s="29">
        <f>_xll.qlDayCounterYearFraction(DayCounter,R80,S80)</f>
        <v>8.3333333333333329E-2</v>
      </c>
      <c r="Y80" s="29" t="e">
        <f>_xll.qlYieldTSDiscount(Currency&amp;"ON",R80)/(1+U80*X80)</f>
        <v>#NUM!</v>
      </c>
      <c r="Z80" s="30" t="e">
        <f>_xll.qlTenorBasisValue(TenorBasis6M,R80,InterestRatesTrigger)</f>
        <v>#VALUE!</v>
      </c>
      <c r="AA80" s="30" t="e">
        <f t="shared" si="15"/>
        <v>#NUM!</v>
      </c>
    </row>
    <row r="81" spans="15:27" x14ac:dyDescent="0.2">
      <c r="O81" s="33">
        <v>1</v>
      </c>
      <c r="P81" s="27" t="str">
        <f>_xll.qlPeriodEquivalent(P80&amp;"+"&amp;O81&amp;"M")</f>
        <v>6Y6M</v>
      </c>
      <c r="Q81" s="28">
        <f>_xll.qlCalendarAdvance(Calendar,SettlementDate,P81,"f",,Trigger)</f>
        <v>44538</v>
      </c>
      <c r="R81" s="28">
        <f>_xll.qlInterestRateIndexValueDate(Index,Q81,Trigger)</f>
        <v>44540</v>
      </c>
      <c r="S81" s="28">
        <f>_xll.qlInterestRateIndexMaturity(Index,R81,Trigger)</f>
        <v>44571</v>
      </c>
      <c r="T81" s="30">
        <f>_xll.qlIndexFixing($M$6,Q81,,InterestRatesTrigger)</f>
        <v>1.4425898647114847E-2</v>
      </c>
      <c r="U81" s="30" t="e">
        <f>_xll.qlIndexFixing(Index,Q81,,InterestRatesTrigger)</f>
        <v>#NUM!</v>
      </c>
      <c r="V81" s="30" t="e">
        <f t="shared" si="14"/>
        <v>#NUM!</v>
      </c>
      <c r="W81" s="29">
        <f>_xll.qlDayCounterYearFraction(DayCounter,SettlementDate,R81,,,Trigger)</f>
        <v>6.6027777777777779</v>
      </c>
      <c r="X81" s="29">
        <f>_xll.qlDayCounterYearFraction(DayCounter,R81,S81)</f>
        <v>8.611111111111111E-2</v>
      </c>
      <c r="Y81" s="29" t="e">
        <f>_xll.qlYieldTSDiscount(Currency&amp;"ON",R81)/(1+U81*X81)</f>
        <v>#NUM!</v>
      </c>
      <c r="Z81" s="30" t="e">
        <f>_xll.qlTenorBasisValue(TenorBasis6M,R81,InterestRatesTrigger)</f>
        <v>#VALUE!</v>
      </c>
      <c r="AA81" s="30" t="e">
        <f t="shared" si="15"/>
        <v>#NUM!</v>
      </c>
    </row>
    <row r="82" spans="15:27" x14ac:dyDescent="0.2">
      <c r="O82" s="33">
        <v>1</v>
      </c>
      <c r="P82" s="27" t="str">
        <f>_xll.qlPeriodEquivalent(P81&amp;"+"&amp;O82&amp;"M")</f>
        <v>6Y7M</v>
      </c>
      <c r="Q82" s="28">
        <f>_xll.qlCalendarAdvance(Calendar,SettlementDate,P82,"f",,Trigger)</f>
        <v>44571</v>
      </c>
      <c r="R82" s="28">
        <f>_xll.qlInterestRateIndexValueDate(Index,Q82,Trigger)</f>
        <v>44573</v>
      </c>
      <c r="S82" s="28">
        <f>_xll.qlInterestRateIndexMaturity(Index,R82,Trigger)</f>
        <v>44606</v>
      </c>
      <c r="T82" s="30">
        <f>_xll.qlIndexFixing($M$6,Q82,,InterestRatesTrigger)</f>
        <v>1.4659382488774693E-2</v>
      </c>
      <c r="U82" s="30" t="e">
        <f>_xll.qlIndexFixing(Index,Q82,,InterestRatesTrigger)</f>
        <v>#NUM!</v>
      </c>
      <c r="V82" s="30" t="e">
        <f t="shared" si="14"/>
        <v>#NUM!</v>
      </c>
      <c r="W82" s="29">
        <f>_xll.qlDayCounterYearFraction(DayCounter,SettlementDate,R82,,,Trigger)</f>
        <v>6.6944444444444446</v>
      </c>
      <c r="X82" s="29">
        <f>_xll.qlDayCounterYearFraction(DayCounter,R82,S82)</f>
        <v>9.166666666666666E-2</v>
      </c>
      <c r="Y82" s="29" t="e">
        <f>_xll.qlYieldTSDiscount(Currency&amp;"ON",R82)/(1+U82*X82)</f>
        <v>#NUM!</v>
      </c>
      <c r="Z82" s="30" t="e">
        <f>_xll.qlTenorBasisValue(TenorBasis6M,R82,InterestRatesTrigger)</f>
        <v>#VALUE!</v>
      </c>
      <c r="AA82" s="30" t="e">
        <f t="shared" si="15"/>
        <v>#NUM!</v>
      </c>
    </row>
    <row r="83" spans="15:27" x14ac:dyDescent="0.2">
      <c r="O83" s="33">
        <v>1</v>
      </c>
      <c r="P83" s="27" t="str">
        <f>_xll.qlPeriodEquivalent(P82&amp;"+"&amp;O83&amp;"M")</f>
        <v>6Y8M</v>
      </c>
      <c r="Q83" s="28">
        <f>_xll.qlCalendarAdvance(Calendar,SettlementDate,P83,"f",,Trigger)</f>
        <v>44600</v>
      </c>
      <c r="R83" s="28">
        <f>_xll.qlInterestRateIndexValueDate(Index,Q83,Trigger)</f>
        <v>44602</v>
      </c>
      <c r="S83" s="28">
        <f>_xll.qlInterestRateIndexMaturity(Index,R83,Trigger)</f>
        <v>44630</v>
      </c>
      <c r="T83" s="30">
        <f>_xll.qlIndexFixing($M$6,Q83,,InterestRatesTrigger)</f>
        <v>1.4843128102229399E-2</v>
      </c>
      <c r="U83" s="30" t="e">
        <f>_xll.qlIndexFixing(Index,Q83,,InterestRatesTrigger)</f>
        <v>#NUM!</v>
      </c>
      <c r="V83" s="30" t="e">
        <f t="shared" si="14"/>
        <v>#NUM!</v>
      </c>
      <c r="W83" s="29">
        <f>_xll.qlDayCounterYearFraction(DayCounter,SettlementDate,R83,,,Trigger)</f>
        <v>6.7750000000000004</v>
      </c>
      <c r="X83" s="29">
        <f>_xll.qlDayCounterYearFraction(DayCounter,R83,S83)</f>
        <v>7.7777777777777779E-2</v>
      </c>
      <c r="Y83" s="29" t="e">
        <f>_xll.qlYieldTSDiscount(Currency&amp;"ON",R83)/(1+U83*X83)</f>
        <v>#NUM!</v>
      </c>
      <c r="Z83" s="30" t="e">
        <f>_xll.qlTenorBasisValue(TenorBasis6M,R83,InterestRatesTrigger)</f>
        <v>#VALUE!</v>
      </c>
      <c r="AA83" s="30" t="e">
        <f t="shared" si="15"/>
        <v>#NUM!</v>
      </c>
    </row>
    <row r="84" spans="15:27" x14ac:dyDescent="0.2">
      <c r="O84" s="33">
        <v>1</v>
      </c>
      <c r="P84" s="27" t="str">
        <f>_xll.qlPeriodEquivalent(P83&amp;"+"&amp;O84&amp;"M")</f>
        <v>6Y9M</v>
      </c>
      <c r="Q84" s="28">
        <f>_xll.qlCalendarAdvance(Calendar,SettlementDate,P84,"f",,Trigger)</f>
        <v>44628</v>
      </c>
      <c r="R84" s="28">
        <f>_xll.qlInterestRateIndexValueDate(Index,Q84,Trigger)</f>
        <v>44630</v>
      </c>
      <c r="S84" s="28">
        <f>_xll.qlInterestRateIndexMaturity(Index,R84,Trigger)</f>
        <v>44662</v>
      </c>
      <c r="T84" s="30">
        <f>_xll.qlIndexFixing($M$6,Q84,,InterestRatesTrigger)</f>
        <v>1.505824956146512E-2</v>
      </c>
      <c r="U84" s="30" t="e">
        <f>_xll.qlIndexFixing(Index,Q84,,InterestRatesTrigger)</f>
        <v>#NUM!</v>
      </c>
      <c r="V84" s="30" t="e">
        <f t="shared" si="14"/>
        <v>#NUM!</v>
      </c>
      <c r="W84" s="29">
        <f>_xll.qlDayCounterYearFraction(DayCounter,SettlementDate,R84,,,Trigger)</f>
        <v>6.8527777777777779</v>
      </c>
      <c r="X84" s="29">
        <f>_xll.qlDayCounterYearFraction(DayCounter,R84,S84)</f>
        <v>8.8888888888888892E-2</v>
      </c>
      <c r="Y84" s="29" t="e">
        <f>_xll.qlYieldTSDiscount(Currency&amp;"ON",R84)/(1+U84*X84)</f>
        <v>#NUM!</v>
      </c>
      <c r="Z84" s="30" t="e">
        <f>_xll.qlTenorBasisValue(TenorBasis6M,R84,InterestRatesTrigger)</f>
        <v>#VALUE!</v>
      </c>
      <c r="AA84" s="30" t="e">
        <f t="shared" si="15"/>
        <v>#NUM!</v>
      </c>
    </row>
    <row r="85" spans="15:27" x14ac:dyDescent="0.2">
      <c r="O85" s="33">
        <v>1</v>
      </c>
      <c r="P85" s="27" t="str">
        <f>_xll.qlPeriodEquivalent(P84&amp;"+"&amp;O85&amp;"M")</f>
        <v>6Y10M</v>
      </c>
      <c r="Q85" s="28">
        <f>_xll.qlCalendarAdvance(Calendar,SettlementDate,P85,"f",,Trigger)</f>
        <v>44659</v>
      </c>
      <c r="R85" s="28">
        <f>_xll.qlInterestRateIndexValueDate(Index,Q85,Trigger)</f>
        <v>44663</v>
      </c>
      <c r="S85" s="28">
        <f>_xll.qlInterestRateIndexMaturity(Index,R85,Trigger)</f>
        <v>44693</v>
      </c>
      <c r="T85" s="30">
        <f>_xll.qlIndexFixing($M$6,Q85,,InterestRatesTrigger)</f>
        <v>1.529041728151892E-2</v>
      </c>
      <c r="U85" s="30" t="e">
        <f>_xll.qlIndexFixing(Index,Q85,,InterestRatesTrigger)</f>
        <v>#NUM!</v>
      </c>
      <c r="V85" s="30" t="e">
        <f t="shared" si="14"/>
        <v>#NUM!</v>
      </c>
      <c r="W85" s="29">
        <f>_xll.qlDayCounterYearFraction(DayCounter,SettlementDate,R85,,,Trigger)</f>
        <v>6.9444444444444446</v>
      </c>
      <c r="X85" s="29">
        <f>_xll.qlDayCounterYearFraction(DayCounter,R85,S85)</f>
        <v>8.3333333333333329E-2</v>
      </c>
      <c r="Y85" s="29" t="e">
        <f>_xll.qlYieldTSDiscount(Currency&amp;"ON",R85)/(1+U85*X85)</f>
        <v>#NUM!</v>
      </c>
      <c r="Z85" s="30" t="e">
        <f>_xll.qlTenorBasisValue(TenorBasis6M,R85,InterestRatesTrigger)</f>
        <v>#VALUE!</v>
      </c>
      <c r="AA85" s="30" t="e">
        <f t="shared" si="15"/>
        <v>#NUM!</v>
      </c>
    </row>
    <row r="86" spans="15:27" x14ac:dyDescent="0.2">
      <c r="O86" s="33">
        <v>1</v>
      </c>
      <c r="P86" s="27" t="str">
        <f>_xll.qlPeriodEquivalent(P85&amp;"+"&amp;O86&amp;"M")</f>
        <v>6Y11M</v>
      </c>
      <c r="Q86" s="28">
        <f>_xll.qlCalendarAdvance(Calendar,SettlementDate,P86,"f",,Trigger)</f>
        <v>44690</v>
      </c>
      <c r="R86" s="28">
        <f>_xll.qlInterestRateIndexValueDate(Index,Q86,Trigger)</f>
        <v>44692</v>
      </c>
      <c r="S86" s="28">
        <f>_xll.qlInterestRateIndexMaturity(Index,R86,Trigger)</f>
        <v>44725</v>
      </c>
      <c r="T86" s="30">
        <f>_xll.qlIndexFixing($M$6,Q86,,InterestRatesTrigger)</f>
        <v>1.551790274323314E-2</v>
      </c>
      <c r="U86" s="30" t="e">
        <f>_xll.qlIndexFixing(Index,Q86,,InterestRatesTrigger)</f>
        <v>#NUM!</v>
      </c>
      <c r="V86" s="30" t="e">
        <f t="shared" si="14"/>
        <v>#NUM!</v>
      </c>
      <c r="W86" s="29">
        <f>_xll.qlDayCounterYearFraction(DayCounter,SettlementDate,R86,,,Trigger)</f>
        <v>7.0250000000000004</v>
      </c>
      <c r="X86" s="29">
        <f>_xll.qlDayCounterYearFraction(DayCounter,R86,S86)</f>
        <v>9.166666666666666E-2</v>
      </c>
      <c r="Y86" s="29" t="e">
        <f>_xll.qlYieldTSDiscount(Currency&amp;"ON",R86)/(1+U86*X86)</f>
        <v>#NUM!</v>
      </c>
      <c r="Z86" s="30" t="e">
        <f>_xll.qlTenorBasisValue(TenorBasis6M,R86,InterestRatesTrigger)</f>
        <v>#VALUE!</v>
      </c>
      <c r="AA86" s="30" t="e">
        <f t="shared" si="15"/>
        <v>#NUM!</v>
      </c>
    </row>
    <row r="87" spans="15:27" x14ac:dyDescent="0.2">
      <c r="O87" s="33">
        <v>1</v>
      </c>
      <c r="P87" s="27" t="str">
        <f>_xll.qlPeriodEquivalent(P86&amp;"+"&amp;O87&amp;"M")</f>
        <v>7Y</v>
      </c>
      <c r="Q87" s="28">
        <f>_xll.qlCalendarAdvance(Calendar,SettlementDate,P87,"f",,Trigger)</f>
        <v>44720</v>
      </c>
      <c r="R87" s="28">
        <f>_xll.qlInterestRateIndexValueDate(Index,Q87,Trigger)</f>
        <v>44722</v>
      </c>
      <c r="S87" s="28">
        <f>_xll.qlInterestRateIndexMaturity(Index,R87,Trigger)</f>
        <v>44753</v>
      </c>
      <c r="T87" s="30">
        <f>_xll.qlIndexFixing($M$6,Q87,,InterestRatesTrigger)</f>
        <v>1.5732984867202471E-2</v>
      </c>
      <c r="U87" s="30" t="e">
        <f>_xll.qlIndexFixing(Index,Q87,,InterestRatesTrigger)</f>
        <v>#NUM!</v>
      </c>
      <c r="V87" s="30" t="e">
        <f t="shared" si="14"/>
        <v>#NUM!</v>
      </c>
      <c r="W87" s="29">
        <f>_xll.qlDayCounterYearFraction(DayCounter,SettlementDate,R87,,,Trigger)</f>
        <v>7.1083333333333334</v>
      </c>
      <c r="X87" s="29">
        <f>_xll.qlDayCounterYearFraction(DayCounter,R87,S87)</f>
        <v>8.611111111111111E-2</v>
      </c>
      <c r="Y87" s="29" t="e">
        <f>_xll.qlYieldTSDiscount(Currency&amp;"ON",R87)/(1+U87*X87)</f>
        <v>#NUM!</v>
      </c>
      <c r="Z87" s="30" t="e">
        <f>_xll.qlTenorBasisValue(TenorBasis6M,R87,InterestRatesTrigger)</f>
        <v>#VALUE!</v>
      </c>
      <c r="AA87" s="30" t="e">
        <f t="shared" si="15"/>
        <v>#NUM!</v>
      </c>
    </row>
    <row r="88" spans="15:27" x14ac:dyDescent="0.2">
      <c r="O88" s="33">
        <v>1</v>
      </c>
      <c r="P88" s="27" t="str">
        <f>_xll.qlPeriodEquivalent(P87&amp;"+"&amp;O88&amp;"M")</f>
        <v>7Y1M</v>
      </c>
      <c r="Q88" s="28">
        <f>_xll.qlCalendarAdvance(Calendar,SettlementDate,P88,"f",,Trigger)</f>
        <v>44750</v>
      </c>
      <c r="R88" s="28">
        <f>_xll.qlInterestRateIndexValueDate(Index,Q88,Trigger)</f>
        <v>44754</v>
      </c>
      <c r="S88" s="28">
        <f>_xll.qlInterestRateIndexMaturity(Index,R88,Trigger)</f>
        <v>44785</v>
      </c>
      <c r="T88" s="30">
        <f>_xll.qlIndexFixing($M$6,Q88,,InterestRatesTrigger)</f>
        <v>1.5959352639306298E-2</v>
      </c>
      <c r="U88" s="30" t="e">
        <f>_xll.qlIndexFixing(Index,Q88,,InterestRatesTrigger)</f>
        <v>#NUM!</v>
      </c>
      <c r="V88" s="30" t="e">
        <f t="shared" si="14"/>
        <v>#NUM!</v>
      </c>
      <c r="W88" s="29">
        <f>_xll.qlDayCounterYearFraction(DayCounter,SettlementDate,R88,,,Trigger)</f>
        <v>7.197222222222222</v>
      </c>
      <c r="X88" s="29">
        <f>_xll.qlDayCounterYearFraction(DayCounter,R88,S88)</f>
        <v>8.611111111111111E-2</v>
      </c>
      <c r="Y88" s="29" t="e">
        <f>_xll.qlYieldTSDiscount(Currency&amp;"ON",R88)/(1+U88*X88)</f>
        <v>#NUM!</v>
      </c>
      <c r="Z88" s="30" t="e">
        <f>_xll.qlTenorBasisValue(TenorBasis6M,R88,InterestRatesTrigger)</f>
        <v>#VALUE!</v>
      </c>
      <c r="AA88" s="30" t="e">
        <f t="shared" si="15"/>
        <v>#NUM!</v>
      </c>
    </row>
    <row r="89" spans="15:27" x14ac:dyDescent="0.2">
      <c r="O89" s="33">
        <v>1</v>
      </c>
      <c r="P89" s="27" t="str">
        <f>_xll.qlPeriodEquivalent(P88&amp;"+"&amp;O89&amp;"M")</f>
        <v>7Y2M</v>
      </c>
      <c r="Q89" s="28">
        <f>_xll.qlCalendarAdvance(Calendar,SettlementDate,P89,"f",,Trigger)</f>
        <v>44781</v>
      </c>
      <c r="R89" s="28">
        <f>_xll.qlInterestRateIndexValueDate(Index,Q89,Trigger)</f>
        <v>44783</v>
      </c>
      <c r="S89" s="28">
        <f>_xll.qlInterestRateIndexMaturity(Index,R89,Trigger)</f>
        <v>44816</v>
      </c>
      <c r="T89" s="30">
        <f>_xll.qlIndexFixing($M$6,Q89,,InterestRatesTrigger)</f>
        <v>1.6158927563585189E-2</v>
      </c>
      <c r="U89" s="30" t="e">
        <f>_xll.qlIndexFixing(Index,Q89,,InterestRatesTrigger)</f>
        <v>#NUM!</v>
      </c>
      <c r="V89" s="30" t="e">
        <f t="shared" si="14"/>
        <v>#NUM!</v>
      </c>
      <c r="W89" s="29">
        <f>_xll.qlDayCounterYearFraction(DayCounter,SettlementDate,R89,,,Trigger)</f>
        <v>7.2777777777777777</v>
      </c>
      <c r="X89" s="29">
        <f>_xll.qlDayCounterYearFraction(DayCounter,R89,S89)</f>
        <v>9.166666666666666E-2</v>
      </c>
      <c r="Y89" s="29" t="e">
        <f>_xll.qlYieldTSDiscount(Currency&amp;"ON",R89)/(1+U89*X89)</f>
        <v>#NUM!</v>
      </c>
      <c r="Z89" s="30" t="e">
        <f>_xll.qlTenorBasisValue(TenorBasis6M,R89,InterestRatesTrigger)</f>
        <v>#VALUE!</v>
      </c>
      <c r="AA89" s="30" t="e">
        <f t="shared" si="15"/>
        <v>#NUM!</v>
      </c>
    </row>
    <row r="90" spans="15:27" x14ac:dyDescent="0.2">
      <c r="O90" s="33">
        <v>1</v>
      </c>
      <c r="P90" s="27" t="str">
        <f>_xll.qlPeriodEquivalent(P89&amp;"+"&amp;O90&amp;"M")</f>
        <v>7Y3M</v>
      </c>
      <c r="Q90" s="28">
        <f>_xll.qlCalendarAdvance(Calendar,SettlementDate,P90,"f",,Trigger)</f>
        <v>44812</v>
      </c>
      <c r="R90" s="28">
        <f>_xll.qlInterestRateIndexValueDate(Index,Q90,Trigger)</f>
        <v>44816</v>
      </c>
      <c r="S90" s="28">
        <f>_xll.qlInterestRateIndexMaturity(Index,R90,Trigger)</f>
        <v>44846</v>
      </c>
      <c r="T90" s="30">
        <f>_xll.qlIndexFixing($M$6,Q90,,InterestRatesTrigger)</f>
        <v>1.6352970167537784E-2</v>
      </c>
      <c r="U90" s="30" t="e">
        <f>_xll.qlIndexFixing(Index,Q90,,InterestRatesTrigger)</f>
        <v>#NUM!</v>
      </c>
      <c r="V90" s="30" t="e">
        <f t="shared" si="14"/>
        <v>#NUM!</v>
      </c>
      <c r="W90" s="29">
        <f>_xll.qlDayCounterYearFraction(DayCounter,SettlementDate,R90,,,Trigger)</f>
        <v>7.3694444444444445</v>
      </c>
      <c r="X90" s="29">
        <f>_xll.qlDayCounterYearFraction(DayCounter,R90,S90)</f>
        <v>8.3333333333333329E-2</v>
      </c>
      <c r="Y90" s="29" t="e">
        <f>_xll.qlYieldTSDiscount(Currency&amp;"ON",R90)/(1+U90*X90)</f>
        <v>#NUM!</v>
      </c>
      <c r="Z90" s="30" t="e">
        <f>_xll.qlTenorBasisValue(TenorBasis6M,R90,InterestRatesTrigger)</f>
        <v>#VALUE!</v>
      </c>
      <c r="AA90" s="30" t="e">
        <f t="shared" si="15"/>
        <v>#NUM!</v>
      </c>
    </row>
    <row r="91" spans="15:27" x14ac:dyDescent="0.2">
      <c r="O91" s="33">
        <v>1</v>
      </c>
      <c r="P91" s="27" t="str">
        <f>_xll.qlPeriodEquivalent(P90&amp;"+"&amp;O91&amp;"M")</f>
        <v>7Y4M</v>
      </c>
      <c r="Q91" s="28">
        <f>_xll.qlCalendarAdvance(Calendar,SettlementDate,P91,"f",,Trigger)</f>
        <v>44844</v>
      </c>
      <c r="R91" s="28">
        <f>_xll.qlInterestRateIndexValueDate(Index,Q91,Trigger)</f>
        <v>44846</v>
      </c>
      <c r="S91" s="28">
        <f>_xll.qlInterestRateIndexMaturity(Index,R91,Trigger)</f>
        <v>44879</v>
      </c>
      <c r="T91" s="30">
        <f>_xll.qlIndexFixing($M$6,Q91,,InterestRatesTrigger)</f>
        <v>1.6534829242297829E-2</v>
      </c>
      <c r="U91" s="30" t="e">
        <f>_xll.qlIndexFixing(Index,Q91,,InterestRatesTrigger)</f>
        <v>#NUM!</v>
      </c>
      <c r="V91" s="30" t="e">
        <f t="shared" si="14"/>
        <v>#NUM!</v>
      </c>
      <c r="W91" s="29">
        <f>_xll.qlDayCounterYearFraction(DayCounter,SettlementDate,R91,,,Trigger)</f>
        <v>7.4527777777777775</v>
      </c>
      <c r="X91" s="29">
        <f>_xll.qlDayCounterYearFraction(DayCounter,R91,S91)</f>
        <v>9.166666666666666E-2</v>
      </c>
      <c r="Y91" s="29" t="e">
        <f>_xll.qlYieldTSDiscount(Currency&amp;"ON",R91)/(1+U91*X91)</f>
        <v>#NUM!</v>
      </c>
      <c r="Z91" s="30" t="e">
        <f>_xll.qlTenorBasisValue(TenorBasis6M,R91,InterestRatesTrigger)</f>
        <v>#VALUE!</v>
      </c>
      <c r="AA91" s="30" t="e">
        <f t="shared" si="15"/>
        <v>#NUM!</v>
      </c>
    </row>
    <row r="92" spans="15:27" x14ac:dyDescent="0.2">
      <c r="O92" s="33">
        <v>1</v>
      </c>
      <c r="P92" s="27" t="str">
        <f>_xll.qlPeriodEquivalent(P91&amp;"+"&amp;O92&amp;"M")</f>
        <v>7Y5M</v>
      </c>
      <c r="Q92" s="28">
        <f>_xll.qlCalendarAdvance(Calendar,SettlementDate,P92,"f",,Trigger)</f>
        <v>44873</v>
      </c>
      <c r="R92" s="28">
        <f>_xll.qlInterestRateIndexValueDate(Index,Q92,Trigger)</f>
        <v>44875</v>
      </c>
      <c r="S92" s="28">
        <f>_xll.qlInterestRateIndexMaturity(Index,R92,Trigger)</f>
        <v>44907</v>
      </c>
      <c r="T92" s="30">
        <f>_xll.qlIndexFixing($M$6,Q92,,InterestRatesTrigger)</f>
        <v>1.6685890537428694E-2</v>
      </c>
      <c r="U92" s="30" t="e">
        <f>_xll.qlIndexFixing(Index,Q92,,InterestRatesTrigger)</f>
        <v>#NUM!</v>
      </c>
      <c r="V92" s="30" t="e">
        <f t="shared" si="14"/>
        <v>#NUM!</v>
      </c>
      <c r="W92" s="29">
        <f>_xll.qlDayCounterYearFraction(DayCounter,SettlementDate,R92,,,Trigger)</f>
        <v>7.5333333333333332</v>
      </c>
      <c r="X92" s="29">
        <f>_xll.qlDayCounterYearFraction(DayCounter,R92,S92)</f>
        <v>8.8888888888888892E-2</v>
      </c>
      <c r="Y92" s="29" t="e">
        <f>_xll.qlYieldTSDiscount(Currency&amp;"ON",R92)/(1+U92*X92)</f>
        <v>#NUM!</v>
      </c>
      <c r="Z92" s="30" t="e">
        <f>_xll.qlTenorBasisValue(TenorBasis6M,R92,InterestRatesTrigger)</f>
        <v>#VALUE!</v>
      </c>
      <c r="AA92" s="30" t="e">
        <f t="shared" si="15"/>
        <v>#NUM!</v>
      </c>
    </row>
    <row r="93" spans="15:27" x14ac:dyDescent="0.2">
      <c r="O93" s="33">
        <v>1</v>
      </c>
      <c r="P93" s="27" t="str">
        <f>_xll.qlPeriodEquivalent(P92&amp;"+"&amp;O93&amp;"M")</f>
        <v>7Y6M</v>
      </c>
      <c r="Q93" s="28">
        <f>_xll.qlCalendarAdvance(Calendar,SettlementDate,P93,"f",,Trigger)</f>
        <v>44903</v>
      </c>
      <c r="R93" s="28">
        <f>_xll.qlInterestRateIndexValueDate(Index,Q93,Trigger)</f>
        <v>44907</v>
      </c>
      <c r="S93" s="28">
        <f>_xll.qlInterestRateIndexMaturity(Index,R93,Trigger)</f>
        <v>44938</v>
      </c>
      <c r="T93" s="30">
        <f>_xll.qlIndexFixing($M$6,Q93,,InterestRatesTrigger)</f>
        <v>1.6839362507737626E-2</v>
      </c>
      <c r="U93" s="30" t="e">
        <f>_xll.qlIndexFixing(Index,Q93,,InterestRatesTrigger)</f>
        <v>#NUM!</v>
      </c>
      <c r="V93" s="30" t="e">
        <f t="shared" si="14"/>
        <v>#NUM!</v>
      </c>
      <c r="W93" s="29">
        <f>_xll.qlDayCounterYearFraction(DayCounter,SettlementDate,R93,,,Trigger)</f>
        <v>7.6222222222222218</v>
      </c>
      <c r="X93" s="29">
        <f>_xll.qlDayCounterYearFraction(DayCounter,R93,S93)</f>
        <v>8.611111111111111E-2</v>
      </c>
      <c r="Y93" s="29" t="e">
        <f>_xll.qlYieldTSDiscount(Currency&amp;"ON",R93)/(1+U93*X93)</f>
        <v>#NUM!</v>
      </c>
      <c r="Z93" s="30" t="e">
        <f>_xll.qlTenorBasisValue(TenorBasis6M,R93,InterestRatesTrigger)</f>
        <v>#VALUE!</v>
      </c>
      <c r="AA93" s="30" t="e">
        <f t="shared" si="15"/>
        <v>#NUM!</v>
      </c>
    </row>
    <row r="94" spans="15:27" x14ac:dyDescent="0.2">
      <c r="O94" s="33">
        <v>1</v>
      </c>
      <c r="P94" s="27" t="str">
        <f>_xll.qlPeriodEquivalent(P93&amp;"+"&amp;O94&amp;"M")</f>
        <v>7Y7M</v>
      </c>
      <c r="Q94" s="28">
        <f>_xll.qlCalendarAdvance(Calendar,SettlementDate,P94,"f",,Trigger)</f>
        <v>44935</v>
      </c>
      <c r="R94" s="28">
        <f>_xll.qlInterestRateIndexValueDate(Index,Q94,Trigger)</f>
        <v>44937</v>
      </c>
      <c r="S94" s="28">
        <f>_xll.qlInterestRateIndexMaturity(Index,R94,Trigger)</f>
        <v>44970</v>
      </c>
      <c r="T94" s="30">
        <f>_xll.qlIndexFixing($M$6,Q94,,InterestRatesTrigger)</f>
        <v>1.6977615210656601E-2</v>
      </c>
      <c r="U94" s="30" t="e">
        <f>_xll.qlIndexFixing(Index,Q94,,InterestRatesTrigger)</f>
        <v>#NUM!</v>
      </c>
      <c r="V94" s="30" t="e">
        <f t="shared" si="14"/>
        <v>#NUM!</v>
      </c>
      <c r="W94" s="29">
        <f>_xll.qlDayCounterYearFraction(DayCounter,SettlementDate,R94,,,Trigger)</f>
        <v>7.7055555555555557</v>
      </c>
      <c r="X94" s="29">
        <f>_xll.qlDayCounterYearFraction(DayCounter,R94,S94)</f>
        <v>9.166666666666666E-2</v>
      </c>
      <c r="Y94" s="29" t="e">
        <f>_xll.qlYieldTSDiscount(Currency&amp;"ON",R94)/(1+U94*X94)</f>
        <v>#NUM!</v>
      </c>
      <c r="Z94" s="30" t="e">
        <f>_xll.qlTenorBasisValue(TenorBasis6M,R94,InterestRatesTrigger)</f>
        <v>#VALUE!</v>
      </c>
      <c r="AA94" s="30" t="e">
        <f t="shared" si="15"/>
        <v>#NUM!</v>
      </c>
    </row>
    <row r="95" spans="15:27" x14ac:dyDescent="0.2">
      <c r="O95" s="33">
        <v>1</v>
      </c>
      <c r="P95" s="27" t="str">
        <f>_xll.qlPeriodEquivalent(P94&amp;"+"&amp;O95&amp;"M")</f>
        <v>7Y8M</v>
      </c>
      <c r="Q95" s="28">
        <f>_xll.qlCalendarAdvance(Calendar,SettlementDate,P95,"f",,Trigger)</f>
        <v>44965</v>
      </c>
      <c r="R95" s="28">
        <f>_xll.qlInterestRateIndexValueDate(Index,Q95,Trigger)</f>
        <v>44967</v>
      </c>
      <c r="S95" s="28">
        <f>_xll.qlInterestRateIndexMaturity(Index,R95,Trigger)</f>
        <v>44995</v>
      </c>
      <c r="T95" s="30">
        <f>_xll.qlIndexFixing($M$6,Q95,,InterestRatesTrigger)</f>
        <v>1.7086281219897335E-2</v>
      </c>
      <c r="U95" s="30" t="e">
        <f>_xll.qlIndexFixing(Index,Q95,,InterestRatesTrigger)</f>
        <v>#NUM!</v>
      </c>
      <c r="V95" s="30" t="e">
        <f t="shared" si="14"/>
        <v>#NUM!</v>
      </c>
      <c r="W95" s="29">
        <f>_xll.qlDayCounterYearFraction(DayCounter,SettlementDate,R95,,,Trigger)</f>
        <v>7.7888888888888888</v>
      </c>
      <c r="X95" s="29">
        <f>_xll.qlDayCounterYearFraction(DayCounter,R95,S95)</f>
        <v>7.7777777777777779E-2</v>
      </c>
      <c r="Y95" s="29" t="e">
        <f>_xll.qlYieldTSDiscount(Currency&amp;"ON",R95)/(1+U95*X95)</f>
        <v>#NUM!</v>
      </c>
      <c r="Z95" s="30" t="e">
        <f>_xll.qlTenorBasisValue(TenorBasis6M,R95,InterestRatesTrigger)</f>
        <v>#VALUE!</v>
      </c>
      <c r="AA95" s="30" t="e">
        <f t="shared" si="15"/>
        <v>#NUM!</v>
      </c>
    </row>
    <row r="96" spans="15:27" x14ac:dyDescent="0.2">
      <c r="O96" s="33">
        <v>1</v>
      </c>
      <c r="P96" s="27" t="str">
        <f>_xll.qlPeriodEquivalent(P95&amp;"+"&amp;O96&amp;"M")</f>
        <v>7Y9M</v>
      </c>
      <c r="Q96" s="28">
        <f>_xll.qlCalendarAdvance(Calendar,SettlementDate,P96,"f",,Trigger)</f>
        <v>44993</v>
      </c>
      <c r="R96" s="28">
        <f>_xll.qlInterestRateIndexValueDate(Index,Q96,Trigger)</f>
        <v>44995</v>
      </c>
      <c r="S96" s="28">
        <f>_xll.qlInterestRateIndexMaturity(Index,R96,Trigger)</f>
        <v>45027</v>
      </c>
      <c r="T96" s="30">
        <f>_xll.qlIndexFixing($M$6,Q96,,InterestRatesTrigger)</f>
        <v>1.7195978299020531E-2</v>
      </c>
      <c r="U96" s="30" t="e">
        <f>_xll.qlIndexFixing(Index,Q96,,InterestRatesTrigger)</f>
        <v>#NUM!</v>
      </c>
      <c r="V96" s="30" t="e">
        <f t="shared" si="14"/>
        <v>#NUM!</v>
      </c>
      <c r="W96" s="29">
        <f>_xll.qlDayCounterYearFraction(DayCounter,SettlementDate,R96,,,Trigger)</f>
        <v>7.8666666666666663</v>
      </c>
      <c r="X96" s="29">
        <f>_xll.qlDayCounterYearFraction(DayCounter,R96,S96)</f>
        <v>8.8888888888888892E-2</v>
      </c>
      <c r="Y96" s="29" t="e">
        <f>_xll.qlYieldTSDiscount(Currency&amp;"ON",R96)/(1+U96*X96)</f>
        <v>#NUM!</v>
      </c>
      <c r="Z96" s="30" t="e">
        <f>_xll.qlTenorBasisValue(TenorBasis6M,R96,InterestRatesTrigger)</f>
        <v>#VALUE!</v>
      </c>
      <c r="AA96" s="30" t="e">
        <f t="shared" si="15"/>
        <v>#NUM!</v>
      </c>
    </row>
    <row r="97" spans="15:27" x14ac:dyDescent="0.2">
      <c r="O97" s="33">
        <v>1</v>
      </c>
      <c r="P97" s="27" t="str">
        <f>_xll.qlPeriodEquivalent(P96&amp;"+"&amp;O97&amp;"M")</f>
        <v>7Y10M</v>
      </c>
      <c r="Q97" s="28">
        <f>_xll.qlCalendarAdvance(Calendar,SettlementDate,P97,"f",,Trigger)</f>
        <v>45027</v>
      </c>
      <c r="R97" s="28">
        <f>_xll.qlInterestRateIndexValueDate(Index,Q97,Trigger)</f>
        <v>45029</v>
      </c>
      <c r="S97" s="28">
        <f>_xll.qlInterestRateIndexMaturity(Index,R97,Trigger)</f>
        <v>45061</v>
      </c>
      <c r="T97" s="30">
        <f>_xll.qlIndexFixing($M$6,Q97,,InterestRatesTrigger)</f>
        <v>1.73030685661546E-2</v>
      </c>
      <c r="U97" s="30" t="e">
        <f>_xll.qlIndexFixing(Index,Q97,,InterestRatesTrigger)</f>
        <v>#NUM!</v>
      </c>
      <c r="V97" s="30" t="e">
        <f t="shared" si="14"/>
        <v>#NUM!</v>
      </c>
      <c r="W97" s="29">
        <f>_xll.qlDayCounterYearFraction(DayCounter,SettlementDate,R97,,,Trigger)</f>
        <v>7.9611111111111112</v>
      </c>
      <c r="X97" s="29">
        <f>_xll.qlDayCounterYearFraction(DayCounter,R97,S97)</f>
        <v>8.8888888888888892E-2</v>
      </c>
      <c r="Y97" s="29" t="e">
        <f>_xll.qlYieldTSDiscount(Currency&amp;"ON",R97)/(1+U97*X97)</f>
        <v>#NUM!</v>
      </c>
      <c r="Z97" s="30" t="e">
        <f>_xll.qlTenorBasisValue(TenorBasis6M,R97,InterestRatesTrigger)</f>
        <v>#VALUE!</v>
      </c>
      <c r="AA97" s="30" t="e">
        <f t="shared" si="15"/>
        <v>#NUM!</v>
      </c>
    </row>
    <row r="98" spans="15:27" x14ac:dyDescent="0.2">
      <c r="O98" s="33">
        <v>1</v>
      </c>
      <c r="P98" s="27" t="str">
        <f>_xll.qlPeriodEquivalent(P97&amp;"+"&amp;O98&amp;"M")</f>
        <v>7Y11M</v>
      </c>
      <c r="Q98" s="28">
        <f>_xll.qlCalendarAdvance(Calendar,SettlementDate,P98,"f",,Trigger)</f>
        <v>45054</v>
      </c>
      <c r="R98" s="28">
        <f>_xll.qlInterestRateIndexValueDate(Index,Q98,Trigger)</f>
        <v>45056</v>
      </c>
      <c r="S98" s="28">
        <f>_xll.qlInterestRateIndexMaturity(Index,R98,Trigger)</f>
        <v>45089</v>
      </c>
      <c r="T98" s="30">
        <f>_xll.qlIndexFixing($M$6,Q98,,InterestRatesTrigger)</f>
        <v>1.7377977958348077E-2</v>
      </c>
      <c r="U98" s="30" t="e">
        <f>_xll.qlIndexFixing(Index,Q98,,InterestRatesTrigger)</f>
        <v>#NUM!</v>
      </c>
      <c r="V98" s="30" t="e">
        <f t="shared" si="14"/>
        <v>#NUM!</v>
      </c>
      <c r="W98" s="29">
        <f>_xll.qlDayCounterYearFraction(DayCounter,SettlementDate,R98,,,Trigger)</f>
        <v>8.0361111111111114</v>
      </c>
      <c r="X98" s="29">
        <f>_xll.qlDayCounterYearFraction(DayCounter,R98,S98)</f>
        <v>9.166666666666666E-2</v>
      </c>
      <c r="Y98" s="29" t="e">
        <f>_xll.qlYieldTSDiscount(Currency&amp;"ON",R98)/(1+U98*X98)</f>
        <v>#NUM!</v>
      </c>
      <c r="Z98" s="30" t="e">
        <f>_xll.qlTenorBasisValue(TenorBasis6M,R98,InterestRatesTrigger)</f>
        <v>#VALUE!</v>
      </c>
      <c r="AA98" s="30" t="e">
        <f t="shared" si="15"/>
        <v>#NUM!</v>
      </c>
    </row>
    <row r="99" spans="15:27" x14ac:dyDescent="0.2">
      <c r="O99" s="33">
        <v>1</v>
      </c>
      <c r="P99" s="27" t="str">
        <f>_xll.qlPeriodEquivalent(P98&amp;"+"&amp;O99&amp;"M")</f>
        <v>8Y</v>
      </c>
      <c r="Q99" s="28">
        <f>_xll.qlCalendarAdvance(Calendar,SettlementDate,P99,"f",,Trigger)</f>
        <v>45085</v>
      </c>
      <c r="R99" s="28">
        <f>_xll.qlInterestRateIndexValueDate(Index,Q99,Trigger)</f>
        <v>45089</v>
      </c>
      <c r="S99" s="28">
        <f>_xll.qlInterestRateIndexMaturity(Index,R99,Trigger)</f>
        <v>45119</v>
      </c>
      <c r="T99" s="30">
        <f>_xll.qlIndexFixing($M$6,Q99,,InterestRatesTrigger)</f>
        <v>1.7451595286964938E-2</v>
      </c>
      <c r="U99" s="30" t="e">
        <f>_xll.qlIndexFixing(Index,Q99,,InterestRatesTrigger)</f>
        <v>#NUM!</v>
      </c>
      <c r="V99" s="30" t="e">
        <f t="shared" si="14"/>
        <v>#NUM!</v>
      </c>
      <c r="W99" s="29">
        <f>_xll.qlDayCounterYearFraction(DayCounter,SettlementDate,R99,,,Trigger)</f>
        <v>8.1277777777777782</v>
      </c>
      <c r="X99" s="29">
        <f>_xll.qlDayCounterYearFraction(DayCounter,R99,S99)</f>
        <v>8.3333333333333329E-2</v>
      </c>
      <c r="Y99" s="29" t="e">
        <f>_xll.qlYieldTSDiscount(Currency&amp;"ON",R99)/(1+U99*X99)</f>
        <v>#NUM!</v>
      </c>
      <c r="Z99" s="30" t="e">
        <f>_xll.qlTenorBasisValue(TenorBasis6M,R99,InterestRatesTrigger)</f>
        <v>#VALUE!</v>
      </c>
      <c r="AA99" s="30" t="e">
        <f t="shared" si="15"/>
        <v>#NUM!</v>
      </c>
    </row>
    <row r="100" spans="15:27" x14ac:dyDescent="0.2">
      <c r="O100" s="33">
        <v>1</v>
      </c>
      <c r="P100" s="27" t="str">
        <f>_xll.qlPeriodEquivalent(P99&amp;"+"&amp;O100&amp;"M")</f>
        <v>8Y1M</v>
      </c>
      <c r="Q100" s="28">
        <f>_xll.qlCalendarAdvance(Calendar,SettlementDate,P100,"f",,Trigger)</f>
        <v>45117</v>
      </c>
      <c r="R100" s="28">
        <f>_xll.qlInterestRateIndexValueDate(Index,Q100,Trigger)</f>
        <v>45119</v>
      </c>
      <c r="S100" s="28">
        <f>_xll.qlInterestRateIndexMaturity(Index,R100,Trigger)</f>
        <v>45152</v>
      </c>
      <c r="T100" s="30">
        <f>_xll.qlIndexFixing($M$6,Q100,,InterestRatesTrigger)</f>
        <v>1.75242811436335E-2</v>
      </c>
      <c r="U100" s="30" t="e">
        <f>_xll.qlIndexFixing(Index,Q100,,InterestRatesTrigger)</f>
        <v>#NUM!</v>
      </c>
      <c r="V100" s="30" t="e">
        <f t="shared" si="14"/>
        <v>#NUM!</v>
      </c>
      <c r="W100" s="29">
        <f>_xll.qlDayCounterYearFraction(DayCounter,SettlementDate,R100,,,Trigger)</f>
        <v>8.2111111111111104</v>
      </c>
      <c r="X100" s="29">
        <f>_xll.qlDayCounterYearFraction(DayCounter,R100,S100)</f>
        <v>9.166666666666666E-2</v>
      </c>
      <c r="Y100" s="29" t="e">
        <f>_xll.qlYieldTSDiscount(Currency&amp;"ON",R100)/(1+U100*X100)</f>
        <v>#NUM!</v>
      </c>
      <c r="Z100" s="30" t="e">
        <f>_xll.qlTenorBasisValue(TenorBasis6M,R100,InterestRatesTrigger)</f>
        <v>#VALUE!</v>
      </c>
      <c r="AA100" s="30" t="e">
        <f t="shared" si="15"/>
        <v>#NUM!</v>
      </c>
    </row>
    <row r="101" spans="15:27" x14ac:dyDescent="0.2">
      <c r="O101" s="33">
        <v>1</v>
      </c>
      <c r="P101" s="27" t="str">
        <f>_xll.qlPeriodEquivalent(P100&amp;"+"&amp;O101&amp;"M")</f>
        <v>8Y2M</v>
      </c>
      <c r="Q101" s="28">
        <f>_xll.qlCalendarAdvance(Calendar,SettlementDate,P101,"f",,Trigger)</f>
        <v>45146</v>
      </c>
      <c r="R101" s="28">
        <f>_xll.qlInterestRateIndexValueDate(Index,Q101,Trigger)</f>
        <v>45148</v>
      </c>
      <c r="S101" s="28">
        <f>_xll.qlInterestRateIndexMaturity(Index,R101,Trigger)</f>
        <v>45180</v>
      </c>
      <c r="T101" s="30">
        <f>_xll.qlIndexFixing($M$6,Q101,,InterestRatesTrigger)</f>
        <v>1.7586837197360039E-2</v>
      </c>
      <c r="U101" s="30" t="e">
        <f>_xll.qlIndexFixing(Index,Q101,,InterestRatesTrigger)</f>
        <v>#NUM!</v>
      </c>
      <c r="V101" s="30" t="e">
        <f t="shared" si="14"/>
        <v>#NUM!</v>
      </c>
      <c r="W101" s="29">
        <f>_xll.qlDayCounterYearFraction(DayCounter,SettlementDate,R101,,,Trigger)</f>
        <v>8.2916666666666661</v>
      </c>
      <c r="X101" s="29">
        <f>_xll.qlDayCounterYearFraction(DayCounter,R101,S101)</f>
        <v>8.8888888888888892E-2</v>
      </c>
      <c r="Y101" s="29" t="e">
        <f>_xll.qlYieldTSDiscount(Currency&amp;"ON",R101)/(1+U101*X101)</f>
        <v>#NUM!</v>
      </c>
      <c r="Z101" s="30" t="e">
        <f>_xll.qlTenorBasisValue(TenorBasis6M,R101,InterestRatesTrigger)</f>
        <v>#VALUE!</v>
      </c>
      <c r="AA101" s="30" t="e">
        <f t="shared" si="15"/>
        <v>#NUM!</v>
      </c>
    </row>
    <row r="102" spans="15:27" x14ac:dyDescent="0.2">
      <c r="O102" s="33">
        <v>1</v>
      </c>
      <c r="P102" s="27" t="str">
        <f>_xll.qlPeriodEquivalent(P101&amp;"+"&amp;O102&amp;"M")</f>
        <v>8Y3M</v>
      </c>
      <c r="Q102" s="28">
        <f>_xll.qlCalendarAdvance(Calendar,SettlementDate,P102,"f",,Trigger)</f>
        <v>45177</v>
      </c>
      <c r="R102" s="28">
        <f>_xll.qlInterestRateIndexValueDate(Index,Q102,Trigger)</f>
        <v>45181</v>
      </c>
      <c r="S102" s="28">
        <f>_xll.qlInterestRateIndexMaturity(Index,R102,Trigger)</f>
        <v>45211</v>
      </c>
      <c r="T102" s="30">
        <f>_xll.qlIndexFixing($M$6,Q102,,InterestRatesTrigger)</f>
        <v>1.7654825650468275E-2</v>
      </c>
      <c r="U102" s="30" t="e">
        <f>_xll.qlIndexFixing(Index,Q102,,InterestRatesTrigger)</f>
        <v>#NUM!</v>
      </c>
      <c r="V102" s="30" t="e">
        <f t="shared" si="14"/>
        <v>#NUM!</v>
      </c>
      <c r="W102" s="29">
        <f>_xll.qlDayCounterYearFraction(DayCounter,SettlementDate,R102,,,Trigger)</f>
        <v>8.3833333333333329</v>
      </c>
      <c r="X102" s="29">
        <f>_xll.qlDayCounterYearFraction(DayCounter,R102,S102)</f>
        <v>8.3333333333333329E-2</v>
      </c>
      <c r="Y102" s="29" t="e">
        <f>_xll.qlYieldTSDiscount(Currency&amp;"ON",R102)/(1+U102*X102)</f>
        <v>#NUM!</v>
      </c>
      <c r="Z102" s="30" t="e">
        <f>_xll.qlTenorBasisValue(TenorBasis6M,R102,InterestRatesTrigger)</f>
        <v>#VALUE!</v>
      </c>
      <c r="AA102" s="30" t="e">
        <f t="shared" si="15"/>
        <v>#NUM!</v>
      </c>
    </row>
    <row r="103" spans="15:27" x14ac:dyDescent="0.2">
      <c r="O103" s="33">
        <v>1</v>
      </c>
      <c r="P103" s="27" t="str">
        <f>_xll.qlPeriodEquivalent(P102&amp;"+"&amp;O103&amp;"M")</f>
        <v>8Y4M</v>
      </c>
      <c r="Q103" s="28">
        <f>_xll.qlCalendarAdvance(Calendar,SettlementDate,P103,"f",,Trigger)</f>
        <v>45208</v>
      </c>
      <c r="R103" s="28">
        <f>_xll.qlInterestRateIndexValueDate(Index,Q103,Trigger)</f>
        <v>45210</v>
      </c>
      <c r="S103" s="28">
        <f>_xll.qlInterestRateIndexMaturity(Index,R103,Trigger)</f>
        <v>45243</v>
      </c>
      <c r="T103" s="30">
        <f>_xll.qlIndexFixing($M$6,Q103,,InterestRatesTrigger)</f>
        <v>1.7719889987887913E-2</v>
      </c>
      <c r="U103" s="30" t="e">
        <f>_xll.qlIndexFixing(Index,Q103,,InterestRatesTrigger)</f>
        <v>#NUM!</v>
      </c>
      <c r="V103" s="30" t="e">
        <f t="shared" si="14"/>
        <v>#NUM!</v>
      </c>
      <c r="W103" s="29">
        <f>_xll.qlDayCounterYearFraction(DayCounter,SettlementDate,R103,,,Trigger)</f>
        <v>8.4638888888888886</v>
      </c>
      <c r="X103" s="29">
        <f>_xll.qlDayCounterYearFraction(DayCounter,R103,S103)</f>
        <v>9.166666666666666E-2</v>
      </c>
      <c r="Y103" s="29" t="e">
        <f>_xll.qlYieldTSDiscount(Currency&amp;"ON",R103)/(1+U103*X103)</f>
        <v>#NUM!</v>
      </c>
      <c r="Z103" s="30" t="e">
        <f>_xll.qlTenorBasisValue(TenorBasis6M,R103,InterestRatesTrigger)</f>
        <v>#VALUE!</v>
      </c>
      <c r="AA103" s="30" t="e">
        <f t="shared" si="15"/>
        <v>#NUM!</v>
      </c>
    </row>
    <row r="104" spans="15:27" x14ac:dyDescent="0.2">
      <c r="O104" s="33">
        <v>1</v>
      </c>
      <c r="P104" s="27" t="str">
        <f>_xll.qlPeriodEquivalent(P103&amp;"+"&amp;O104&amp;"M")</f>
        <v>8Y5M</v>
      </c>
      <c r="Q104" s="28">
        <f>_xll.qlCalendarAdvance(Calendar,SettlementDate,P104,"f",,Trigger)</f>
        <v>45238</v>
      </c>
      <c r="R104" s="28">
        <f>_xll.qlInterestRateIndexValueDate(Index,Q104,Trigger)</f>
        <v>45240</v>
      </c>
      <c r="S104" s="28">
        <f>_xll.qlInterestRateIndexMaturity(Index,R104,Trigger)</f>
        <v>45271</v>
      </c>
      <c r="T104" s="30">
        <f>_xll.qlIndexFixing($M$6,Q104,,InterestRatesTrigger)</f>
        <v>1.7778002999892715E-2</v>
      </c>
      <c r="U104" s="30" t="e">
        <f>_xll.qlIndexFixing(Index,Q104,,InterestRatesTrigger)</f>
        <v>#NUM!</v>
      </c>
      <c r="V104" s="30" t="e">
        <f t="shared" si="14"/>
        <v>#NUM!</v>
      </c>
      <c r="W104" s="29">
        <f>_xll.qlDayCounterYearFraction(DayCounter,SettlementDate,R104,,,Trigger)</f>
        <v>8.5472222222222225</v>
      </c>
      <c r="X104" s="29">
        <f>_xll.qlDayCounterYearFraction(DayCounter,R104,S104)</f>
        <v>8.611111111111111E-2</v>
      </c>
      <c r="Y104" s="29" t="e">
        <f>_xll.qlYieldTSDiscount(Currency&amp;"ON",R104)/(1+U104*X104)</f>
        <v>#NUM!</v>
      </c>
      <c r="Z104" s="30" t="e">
        <f>_xll.qlTenorBasisValue(TenorBasis6M,R104,InterestRatesTrigger)</f>
        <v>#VALUE!</v>
      </c>
      <c r="AA104" s="30" t="e">
        <f t="shared" si="15"/>
        <v>#NUM!</v>
      </c>
    </row>
    <row r="105" spans="15:27" x14ac:dyDescent="0.2">
      <c r="O105" s="33">
        <v>1</v>
      </c>
      <c r="P105" s="27" t="str">
        <f>_xll.qlPeriodEquivalent(P104&amp;"+"&amp;O105&amp;"M")</f>
        <v>8Y6M</v>
      </c>
      <c r="Q105" s="28">
        <f>_xll.qlCalendarAdvance(Calendar,SettlementDate,P105,"f",,Trigger)</f>
        <v>45268</v>
      </c>
      <c r="R105" s="28">
        <f>_xll.qlInterestRateIndexValueDate(Index,Q105,Trigger)</f>
        <v>45272</v>
      </c>
      <c r="S105" s="28">
        <f>_xll.qlInterestRateIndexMaturity(Index,R105,Trigger)</f>
        <v>45303</v>
      </c>
      <c r="T105" s="30">
        <f>_xll.qlIndexFixing($M$6,Q105,,InterestRatesTrigger)</f>
        <v>1.7841195534006565E-2</v>
      </c>
      <c r="U105" s="30" t="e">
        <f>_xll.qlIndexFixing(Index,Q105,,InterestRatesTrigger)</f>
        <v>#NUM!</v>
      </c>
      <c r="V105" s="30" t="e">
        <f t="shared" si="14"/>
        <v>#NUM!</v>
      </c>
      <c r="W105" s="29">
        <f>_xll.qlDayCounterYearFraction(DayCounter,SettlementDate,R105,,,Trigger)</f>
        <v>8.6361111111111111</v>
      </c>
      <c r="X105" s="29">
        <f>_xll.qlDayCounterYearFraction(DayCounter,R105,S105)</f>
        <v>8.611111111111111E-2</v>
      </c>
      <c r="Y105" s="29" t="e">
        <f>_xll.qlYieldTSDiscount(Currency&amp;"ON",R105)/(1+U105*X105)</f>
        <v>#NUM!</v>
      </c>
      <c r="Z105" s="30" t="e">
        <f>_xll.qlTenorBasisValue(TenorBasis6M,R105,InterestRatesTrigger)</f>
        <v>#VALUE!</v>
      </c>
      <c r="AA105" s="30" t="e">
        <f t="shared" si="15"/>
        <v>#NUM!</v>
      </c>
    </row>
    <row r="106" spans="15:27" x14ac:dyDescent="0.2">
      <c r="O106" s="33">
        <v>1</v>
      </c>
      <c r="P106" s="27" t="str">
        <f>_xll.qlPeriodEquivalent(P105&amp;"+"&amp;O106&amp;"M")</f>
        <v>8Y7M</v>
      </c>
      <c r="Q106" s="28">
        <f>_xll.qlCalendarAdvance(Calendar,SettlementDate,P106,"f",,Trigger)</f>
        <v>45299</v>
      </c>
      <c r="R106" s="28">
        <f>_xll.qlInterestRateIndexValueDate(Index,Q106,Trigger)</f>
        <v>45301</v>
      </c>
      <c r="S106" s="28">
        <f>_xll.qlInterestRateIndexMaturity(Index,R106,Trigger)</f>
        <v>45334</v>
      </c>
      <c r="T106" s="30">
        <f>_xll.qlIndexFixing($M$6,Q106,,InterestRatesTrigger)</f>
        <v>1.7899523717790963E-2</v>
      </c>
      <c r="U106" s="30" t="e">
        <f>_xll.qlIndexFixing(Index,Q106,,InterestRatesTrigger)</f>
        <v>#NUM!</v>
      </c>
      <c r="V106" s="30" t="e">
        <f t="shared" si="14"/>
        <v>#NUM!</v>
      </c>
      <c r="W106" s="29">
        <f>_xll.qlDayCounterYearFraction(DayCounter,SettlementDate,R106,,,Trigger)</f>
        <v>8.7166666666666668</v>
      </c>
      <c r="X106" s="29">
        <f>_xll.qlDayCounterYearFraction(DayCounter,R106,S106)</f>
        <v>9.166666666666666E-2</v>
      </c>
      <c r="Y106" s="29" t="e">
        <f>_xll.qlYieldTSDiscount(Currency&amp;"ON",R106)/(1+U106*X106)</f>
        <v>#NUM!</v>
      </c>
      <c r="Z106" s="30" t="e">
        <f>_xll.qlTenorBasisValue(TenorBasis6M,R106,InterestRatesTrigger)</f>
        <v>#VALUE!</v>
      </c>
      <c r="AA106" s="30" t="e">
        <f t="shared" si="15"/>
        <v>#NUM!</v>
      </c>
    </row>
    <row r="107" spans="15:27" x14ac:dyDescent="0.2">
      <c r="O107" s="33">
        <v>1</v>
      </c>
      <c r="P107" s="27" t="str">
        <f>_xll.qlPeriodEquivalent(P106&amp;"+"&amp;O107&amp;"M")</f>
        <v>8Y8M</v>
      </c>
      <c r="Q107" s="28">
        <f>_xll.qlCalendarAdvance(Calendar,SettlementDate,P107,"f",,Trigger)</f>
        <v>45330</v>
      </c>
      <c r="R107" s="28">
        <f>_xll.qlInterestRateIndexValueDate(Index,Q107,Trigger)</f>
        <v>45334</v>
      </c>
      <c r="S107" s="28">
        <f>_xll.qlInterestRateIndexMaturity(Index,R107,Trigger)</f>
        <v>45363</v>
      </c>
      <c r="T107" s="30">
        <f>_xll.qlIndexFixing($M$6,Q107,,InterestRatesTrigger)</f>
        <v>1.7955299112844832E-2</v>
      </c>
      <c r="U107" s="30" t="e">
        <f>_xll.qlIndexFixing(Index,Q107,,InterestRatesTrigger)</f>
        <v>#NUM!</v>
      </c>
      <c r="V107" s="30" t="e">
        <f t="shared" si="14"/>
        <v>#NUM!</v>
      </c>
      <c r="W107" s="29">
        <f>_xll.qlDayCounterYearFraction(DayCounter,SettlementDate,R107,,,Trigger)</f>
        <v>8.8083333333333336</v>
      </c>
      <c r="X107" s="29">
        <f>_xll.qlDayCounterYearFraction(DayCounter,R107,S107)</f>
        <v>8.0555555555555561E-2</v>
      </c>
      <c r="Y107" s="29" t="e">
        <f>_xll.qlYieldTSDiscount(Currency&amp;"ON",R107)/(1+U107*X107)</f>
        <v>#NUM!</v>
      </c>
      <c r="Z107" s="30" t="e">
        <f>_xll.qlTenorBasisValue(TenorBasis6M,R107,InterestRatesTrigger)</f>
        <v>#VALUE!</v>
      </c>
      <c r="AA107" s="30" t="e">
        <f t="shared" si="15"/>
        <v>#NUM!</v>
      </c>
    </row>
    <row r="108" spans="15:27" x14ac:dyDescent="0.2">
      <c r="O108" s="33">
        <v>1</v>
      </c>
      <c r="P108" s="27" t="str">
        <f>_xll.qlPeriodEquivalent(P107&amp;"+"&amp;O108&amp;"M")</f>
        <v>8Y9M</v>
      </c>
      <c r="Q108" s="28">
        <f>_xll.qlCalendarAdvance(Calendar,SettlementDate,P108,"f",,Trigger)</f>
        <v>45359</v>
      </c>
      <c r="R108" s="28">
        <f>_xll.qlInterestRateIndexValueDate(Index,Q108,Trigger)</f>
        <v>45363</v>
      </c>
      <c r="S108" s="28">
        <f>_xll.qlInterestRateIndexMaturity(Index,R108,Trigger)</f>
        <v>45394</v>
      </c>
      <c r="T108" s="30">
        <f>_xll.qlIndexFixing($M$6,Q108,,InterestRatesTrigger)</f>
        <v>1.8010103416587826E-2</v>
      </c>
      <c r="U108" s="30" t="e">
        <f>_xll.qlIndexFixing(Index,Q108,,InterestRatesTrigger)</f>
        <v>#NUM!</v>
      </c>
      <c r="V108" s="30" t="e">
        <f t="shared" si="14"/>
        <v>#NUM!</v>
      </c>
      <c r="W108" s="29">
        <f>_xll.qlDayCounterYearFraction(DayCounter,SettlementDate,R108,,,Trigger)</f>
        <v>8.8888888888888893</v>
      </c>
      <c r="X108" s="29">
        <f>_xll.qlDayCounterYearFraction(DayCounter,R108,S108)</f>
        <v>8.611111111111111E-2</v>
      </c>
      <c r="Y108" s="29" t="e">
        <f>_xll.qlYieldTSDiscount(Currency&amp;"ON",R108)/(1+U108*X108)</f>
        <v>#NUM!</v>
      </c>
      <c r="Z108" s="30" t="e">
        <f>_xll.qlTenorBasisValue(TenorBasis6M,R108,InterestRatesTrigger)</f>
        <v>#VALUE!</v>
      </c>
      <c r="AA108" s="30" t="e">
        <f t="shared" si="15"/>
        <v>#NUM!</v>
      </c>
    </row>
    <row r="109" spans="15:27" x14ac:dyDescent="0.2">
      <c r="O109" s="33">
        <v>1</v>
      </c>
      <c r="P109" s="27" t="str">
        <f>_xll.qlPeriodEquivalent(P108&amp;"+"&amp;O109&amp;"M")</f>
        <v>8Y10M</v>
      </c>
      <c r="Q109" s="28">
        <f>_xll.qlCalendarAdvance(Calendar,SettlementDate,P109,"f",,Trigger)</f>
        <v>45390</v>
      </c>
      <c r="R109" s="28">
        <f>_xll.qlInterestRateIndexValueDate(Index,Q109,Trigger)</f>
        <v>45392</v>
      </c>
      <c r="S109" s="28">
        <f>_xll.qlInterestRateIndexMaturity(Index,R109,Trigger)</f>
        <v>45422</v>
      </c>
      <c r="T109" s="30">
        <f>_xll.qlIndexFixing($M$6,Q109,,InterestRatesTrigger)</f>
        <v>1.8059270295275098E-2</v>
      </c>
      <c r="U109" s="30" t="e">
        <f>_xll.qlIndexFixing(Index,Q109,,InterestRatesTrigger)</f>
        <v>#NUM!</v>
      </c>
      <c r="V109" s="30" t="e">
        <f t="shared" si="14"/>
        <v>#NUM!</v>
      </c>
      <c r="W109" s="29">
        <f>_xll.qlDayCounterYearFraction(DayCounter,SettlementDate,R109,,,Trigger)</f>
        <v>8.969444444444445</v>
      </c>
      <c r="X109" s="29">
        <f>_xll.qlDayCounterYearFraction(DayCounter,R109,S109)</f>
        <v>8.3333333333333329E-2</v>
      </c>
      <c r="Y109" s="29" t="e">
        <f>_xll.qlYieldTSDiscount(Currency&amp;"ON",R109)/(1+U109*X109)</f>
        <v>#NUM!</v>
      </c>
      <c r="Z109" s="30" t="e">
        <f>_xll.qlTenorBasisValue(TenorBasis6M,R109,InterestRatesTrigger)</f>
        <v>#VALUE!</v>
      </c>
      <c r="AA109" s="30" t="e">
        <f t="shared" si="15"/>
        <v>#NUM!</v>
      </c>
    </row>
    <row r="110" spans="15:27" x14ac:dyDescent="0.2">
      <c r="O110" s="33">
        <v>1</v>
      </c>
      <c r="P110" s="27" t="str">
        <f>_xll.qlPeriodEquivalent(P109&amp;"+"&amp;O110&amp;"M")</f>
        <v>8Y11M</v>
      </c>
      <c r="Q110" s="28">
        <f>_xll.qlCalendarAdvance(Calendar,SettlementDate,P110,"f",,Trigger)</f>
        <v>45420</v>
      </c>
      <c r="R110" s="28">
        <f>_xll.qlInterestRateIndexValueDate(Index,Q110,Trigger)</f>
        <v>45422</v>
      </c>
      <c r="S110" s="28">
        <f>_xll.qlInterestRateIndexMaturity(Index,R110,Trigger)</f>
        <v>45453</v>
      </c>
      <c r="T110" s="30">
        <f>_xll.qlIndexFixing($M$6,Q110,,InterestRatesTrigger)</f>
        <v>1.8111078861442403E-2</v>
      </c>
      <c r="U110" s="30" t="e">
        <f>_xll.qlIndexFixing(Index,Q110,,InterestRatesTrigger)</f>
        <v>#NUM!</v>
      </c>
      <c r="V110" s="30" t="e">
        <f t="shared" si="14"/>
        <v>#NUM!</v>
      </c>
      <c r="W110" s="29">
        <f>_xll.qlDayCounterYearFraction(DayCounter,SettlementDate,R110,,,Trigger)</f>
        <v>9.0527777777777771</v>
      </c>
      <c r="X110" s="29">
        <f>_xll.qlDayCounterYearFraction(DayCounter,R110,S110)</f>
        <v>8.611111111111111E-2</v>
      </c>
      <c r="Y110" s="29" t="e">
        <f>_xll.qlYieldTSDiscount(Currency&amp;"ON",R110)/(1+U110*X110)</f>
        <v>#NUM!</v>
      </c>
      <c r="Z110" s="30" t="e">
        <f>_xll.qlTenorBasisValue(TenorBasis6M,R110,InterestRatesTrigger)</f>
        <v>#VALUE!</v>
      </c>
      <c r="AA110" s="30" t="e">
        <f t="shared" si="15"/>
        <v>#NUM!</v>
      </c>
    </row>
    <row r="111" spans="15:27" x14ac:dyDescent="0.2">
      <c r="O111" s="33">
        <v>1</v>
      </c>
      <c r="P111" s="27" t="str">
        <f>_xll.qlPeriodEquivalent(P110&amp;"+"&amp;O111&amp;"M")</f>
        <v>9Y</v>
      </c>
      <c r="Q111" s="28">
        <f>_xll.qlCalendarAdvance(Calendar,SettlementDate,P111,"f",,Trigger)</f>
        <v>45453</v>
      </c>
      <c r="R111" s="28">
        <f>_xll.qlInterestRateIndexValueDate(Index,Q111,Trigger)</f>
        <v>45455</v>
      </c>
      <c r="S111" s="28">
        <f>_xll.qlInterestRateIndexMaturity(Index,R111,Trigger)</f>
        <v>45485</v>
      </c>
      <c r="T111" s="30">
        <f>_xll.qlIndexFixing($M$6,Q111,,InterestRatesTrigger)</f>
        <v>1.8165025330132423E-2</v>
      </c>
      <c r="U111" s="30" t="e">
        <f>_xll.qlIndexFixing(Index,Q111,,InterestRatesTrigger)</f>
        <v>#NUM!</v>
      </c>
      <c r="V111" s="30" t="e">
        <f t="shared" si="14"/>
        <v>#NUM!</v>
      </c>
      <c r="W111" s="29">
        <f>_xll.qlDayCounterYearFraction(DayCounter,SettlementDate,R111,,,Trigger)</f>
        <v>9.1444444444444439</v>
      </c>
      <c r="X111" s="29">
        <f>_xll.qlDayCounterYearFraction(DayCounter,R111,S111)</f>
        <v>8.3333333333333329E-2</v>
      </c>
      <c r="Y111" s="29" t="e">
        <f>_xll.qlYieldTSDiscount(Currency&amp;"ON",R111)/(1+U111*X111)</f>
        <v>#NUM!</v>
      </c>
      <c r="Z111" s="30" t="e">
        <f>_xll.qlTenorBasisValue(TenorBasis6M,R111,InterestRatesTrigger)</f>
        <v>#VALUE!</v>
      </c>
      <c r="AA111" s="30" t="e">
        <f t="shared" si="15"/>
        <v>#NUM!</v>
      </c>
    </row>
    <row r="112" spans="15:27" x14ac:dyDescent="0.2">
      <c r="O112" s="33">
        <v>1</v>
      </c>
      <c r="P112" s="27" t="str">
        <f>_xll.qlPeriodEquivalent(P111&amp;"+"&amp;O112&amp;"M")</f>
        <v>9Y1M</v>
      </c>
      <c r="Q112" s="28">
        <f>_xll.qlCalendarAdvance(Calendar,SettlementDate,P112,"f",,Trigger)</f>
        <v>45481</v>
      </c>
      <c r="R112" s="28">
        <f>_xll.qlInterestRateIndexValueDate(Index,Q112,Trigger)</f>
        <v>45483</v>
      </c>
      <c r="S112" s="28">
        <f>_xll.qlInterestRateIndexMaturity(Index,R112,Trigger)</f>
        <v>45516</v>
      </c>
      <c r="T112" s="30">
        <f>_xll.qlIndexFixing($M$6,Q112,,InterestRatesTrigger)</f>
        <v>1.8221051654834435E-2</v>
      </c>
      <c r="U112" s="30" t="e">
        <f>_xll.qlIndexFixing(Index,Q112,,InterestRatesTrigger)</f>
        <v>#NUM!</v>
      </c>
      <c r="V112" s="30" t="e">
        <f t="shared" si="14"/>
        <v>#NUM!</v>
      </c>
      <c r="W112" s="29">
        <f>_xll.qlDayCounterYearFraction(DayCounter,SettlementDate,R112,,,Trigger)</f>
        <v>9.2222222222222214</v>
      </c>
      <c r="X112" s="29">
        <f>_xll.qlDayCounterYearFraction(DayCounter,R112,S112)</f>
        <v>9.166666666666666E-2</v>
      </c>
      <c r="Y112" s="29" t="e">
        <f>_xll.qlYieldTSDiscount(Currency&amp;"ON",R112)/(1+U112*X112)</f>
        <v>#NUM!</v>
      </c>
      <c r="Z112" s="30" t="e">
        <f>_xll.qlTenorBasisValue(TenorBasis6M,R112,InterestRatesTrigger)</f>
        <v>#VALUE!</v>
      </c>
      <c r="AA112" s="30" t="e">
        <f t="shared" si="15"/>
        <v>#NUM!</v>
      </c>
    </row>
    <row r="113" spans="15:27" x14ac:dyDescent="0.2">
      <c r="O113" s="33">
        <v>1</v>
      </c>
      <c r="P113" s="27" t="str">
        <f>_xll.qlPeriodEquivalent(P112&amp;"+"&amp;O113&amp;"M")</f>
        <v>9Y2M</v>
      </c>
      <c r="Q113" s="28">
        <f>_xll.qlCalendarAdvance(Calendar,SettlementDate,P113,"f",,Trigger)</f>
        <v>45512</v>
      </c>
      <c r="R113" s="28">
        <f>_xll.qlInterestRateIndexValueDate(Index,Q113,Trigger)</f>
        <v>45516</v>
      </c>
      <c r="S113" s="28">
        <f>_xll.qlInterestRateIndexMaturity(Index,R113,Trigger)</f>
        <v>45547</v>
      </c>
      <c r="T113" s="30">
        <f>_xll.qlIndexFixing($M$6,Q113,,InterestRatesTrigger)</f>
        <v>1.828630978404298E-2</v>
      </c>
      <c r="U113" s="30" t="e">
        <f>_xll.qlIndexFixing(Index,Q113,,InterestRatesTrigger)</f>
        <v>#NUM!</v>
      </c>
      <c r="V113" s="30" t="e">
        <f t="shared" si="14"/>
        <v>#NUM!</v>
      </c>
      <c r="W113" s="29">
        <f>_xll.qlDayCounterYearFraction(DayCounter,SettlementDate,R113,,,Trigger)</f>
        <v>9.3138888888888882</v>
      </c>
      <c r="X113" s="29">
        <f>_xll.qlDayCounterYearFraction(DayCounter,R113,S113)</f>
        <v>8.611111111111111E-2</v>
      </c>
      <c r="Y113" s="29" t="e">
        <f>_xll.qlYieldTSDiscount(Currency&amp;"ON",R113)/(1+U113*X113)</f>
        <v>#NUM!</v>
      </c>
      <c r="Z113" s="30" t="e">
        <f>_xll.qlTenorBasisValue(TenorBasis6M,R113,InterestRatesTrigger)</f>
        <v>#VALUE!</v>
      </c>
      <c r="AA113" s="30" t="e">
        <f t="shared" si="15"/>
        <v>#NUM!</v>
      </c>
    </row>
    <row r="114" spans="15:27" x14ac:dyDescent="0.2">
      <c r="O114" s="33">
        <v>1</v>
      </c>
      <c r="P114" s="27" t="str">
        <f>_xll.qlPeriodEquivalent(P113&amp;"+"&amp;O114&amp;"M")</f>
        <v>9Y3M</v>
      </c>
      <c r="Q114" s="28">
        <f>_xll.qlCalendarAdvance(Calendar,SettlementDate,P114,"f",,Trigger)</f>
        <v>45544</v>
      </c>
      <c r="R114" s="28">
        <f>_xll.qlInterestRateIndexValueDate(Index,Q114,Trigger)</f>
        <v>45546</v>
      </c>
      <c r="S114" s="28">
        <f>_xll.qlInterestRateIndexMaturity(Index,R114,Trigger)</f>
        <v>45576</v>
      </c>
      <c r="T114" s="30">
        <f>_xll.qlIndexFixing($M$6,Q114,,InterestRatesTrigger)</f>
        <v>1.8353322673119621E-2</v>
      </c>
      <c r="U114" s="30" t="e">
        <f>_xll.qlIndexFixing(Index,Q114,,InterestRatesTrigger)</f>
        <v>#NUM!</v>
      </c>
      <c r="V114" s="30" t="e">
        <f t="shared" si="14"/>
        <v>#NUM!</v>
      </c>
      <c r="W114" s="29">
        <f>_xll.qlDayCounterYearFraction(DayCounter,SettlementDate,R114,,,Trigger)</f>
        <v>9.3972222222222221</v>
      </c>
      <c r="X114" s="29">
        <f>_xll.qlDayCounterYearFraction(DayCounter,R114,S114)</f>
        <v>8.3333333333333329E-2</v>
      </c>
      <c r="Y114" s="29" t="e">
        <f>_xll.qlYieldTSDiscount(Currency&amp;"ON",R114)/(1+U114*X114)</f>
        <v>#NUM!</v>
      </c>
      <c r="Z114" s="30" t="e">
        <f>_xll.qlTenorBasisValue(TenorBasis6M,R114,InterestRatesTrigger)</f>
        <v>#VALUE!</v>
      </c>
      <c r="AA114" s="30" t="e">
        <f t="shared" si="15"/>
        <v>#NUM!</v>
      </c>
    </row>
    <row r="115" spans="15:27" x14ac:dyDescent="0.2">
      <c r="O115" s="33">
        <v>1</v>
      </c>
      <c r="P115" s="27" t="str">
        <f>_xll.qlPeriodEquivalent(P114&amp;"+"&amp;O115&amp;"M")</f>
        <v>9Y4M</v>
      </c>
      <c r="Q115" s="28">
        <f>_xll.qlCalendarAdvance(Calendar,SettlementDate,P115,"f",,Trigger)</f>
        <v>45573</v>
      </c>
      <c r="R115" s="28">
        <f>_xll.qlInterestRateIndexValueDate(Index,Q115,Trigger)</f>
        <v>45575</v>
      </c>
      <c r="S115" s="28">
        <f>_xll.qlInterestRateIndexMaturity(Index,R115,Trigger)</f>
        <v>45607</v>
      </c>
      <c r="T115" s="30">
        <f>_xll.qlIndexFixing($M$6,Q115,,InterestRatesTrigger)</f>
        <v>1.8429291254142832E-2</v>
      </c>
      <c r="U115" s="30" t="e">
        <f>_xll.qlIndexFixing(Index,Q115,,InterestRatesTrigger)</f>
        <v>#NUM!</v>
      </c>
      <c r="V115" s="30" t="e">
        <f t="shared" si="14"/>
        <v>#NUM!</v>
      </c>
      <c r="W115" s="29">
        <f>_xll.qlDayCounterYearFraction(DayCounter,SettlementDate,R115,,,Trigger)</f>
        <v>9.4777777777777779</v>
      </c>
      <c r="X115" s="29">
        <f>_xll.qlDayCounterYearFraction(DayCounter,R115,S115)</f>
        <v>8.8888888888888892E-2</v>
      </c>
      <c r="Y115" s="29" t="e">
        <f>_xll.qlYieldTSDiscount(Currency&amp;"ON",R115)/(1+U115*X115)</f>
        <v>#NUM!</v>
      </c>
      <c r="Z115" s="30" t="e">
        <f>_xll.qlTenorBasisValue(TenorBasis6M,R115,InterestRatesTrigger)</f>
        <v>#VALUE!</v>
      </c>
      <c r="AA115" s="30" t="e">
        <f t="shared" si="15"/>
        <v>#NUM!</v>
      </c>
    </row>
    <row r="116" spans="15:27" x14ac:dyDescent="0.2">
      <c r="O116" s="33">
        <v>1</v>
      </c>
      <c r="P116" s="27" t="str">
        <f>_xll.qlPeriodEquivalent(P115&amp;"+"&amp;O116&amp;"M")</f>
        <v>9Y5M</v>
      </c>
      <c r="Q116" s="28">
        <f>_xll.qlCalendarAdvance(Calendar,SettlementDate,P116,"f",,Trigger)</f>
        <v>45604</v>
      </c>
      <c r="R116" s="28">
        <f>_xll.qlInterestRateIndexValueDate(Index,Q116,Trigger)</f>
        <v>45608</v>
      </c>
      <c r="S116" s="28">
        <f>_xll.qlInterestRateIndexMaturity(Index,R116,Trigger)</f>
        <v>45638</v>
      </c>
      <c r="T116" s="30">
        <f>_xll.qlIndexFixing($M$6,Q116,,InterestRatesTrigger)</f>
        <v>1.8515357630691121E-2</v>
      </c>
      <c r="U116" s="30" t="e">
        <f>_xll.qlIndexFixing(Index,Q116,,InterestRatesTrigger)</f>
        <v>#NUM!</v>
      </c>
      <c r="V116" s="30" t="e">
        <f t="shared" si="14"/>
        <v>#NUM!</v>
      </c>
      <c r="W116" s="29">
        <f>_xll.qlDayCounterYearFraction(DayCounter,SettlementDate,R116,,,Trigger)</f>
        <v>9.5694444444444446</v>
      </c>
      <c r="X116" s="29">
        <f>_xll.qlDayCounterYearFraction(DayCounter,R116,S116)</f>
        <v>8.3333333333333329E-2</v>
      </c>
      <c r="Y116" s="29" t="e">
        <f>_xll.qlYieldTSDiscount(Currency&amp;"ON",R116)/(1+U116*X116)</f>
        <v>#NUM!</v>
      </c>
      <c r="Z116" s="30" t="e">
        <f>_xll.qlTenorBasisValue(TenorBasis6M,R116,InterestRatesTrigger)</f>
        <v>#VALUE!</v>
      </c>
      <c r="AA116" s="30" t="e">
        <f t="shared" si="15"/>
        <v>#NUM!</v>
      </c>
    </row>
    <row r="117" spans="15:27" x14ac:dyDescent="0.2">
      <c r="O117" s="33">
        <v>1</v>
      </c>
      <c r="P117" s="27" t="str">
        <f>_xll.qlPeriodEquivalent(P116&amp;"+"&amp;O117&amp;"M")</f>
        <v>9Y6M</v>
      </c>
      <c r="Q117" s="28">
        <f>_xll.qlCalendarAdvance(Calendar,SettlementDate,P117,"f",,Trigger)</f>
        <v>45635</v>
      </c>
      <c r="R117" s="28">
        <f>_xll.qlInterestRateIndexValueDate(Index,Q117,Trigger)</f>
        <v>45637</v>
      </c>
      <c r="S117" s="28">
        <f>_xll.qlInterestRateIndexMaturity(Index,R117,Trigger)</f>
        <v>45670</v>
      </c>
      <c r="T117" s="30">
        <f>_xll.qlIndexFixing($M$6,Q117,,InterestRatesTrigger)</f>
        <v>1.8606602421160839E-2</v>
      </c>
      <c r="U117" s="30" t="e">
        <f>_xll.qlIndexFixing(Index,Q117,,InterestRatesTrigger)</f>
        <v>#NUM!</v>
      </c>
      <c r="V117" s="30" t="e">
        <f t="shared" si="14"/>
        <v>#NUM!</v>
      </c>
      <c r="W117" s="29">
        <f>_xll.qlDayCounterYearFraction(DayCounter,SettlementDate,R117,,,Trigger)</f>
        <v>9.65</v>
      </c>
      <c r="X117" s="29">
        <f>_xll.qlDayCounterYearFraction(DayCounter,R117,S117)</f>
        <v>9.166666666666666E-2</v>
      </c>
      <c r="Y117" s="29" t="e">
        <f>_xll.qlYieldTSDiscount(Currency&amp;"ON",R117)/(1+U117*X117)</f>
        <v>#NUM!</v>
      </c>
      <c r="Z117" s="30" t="e">
        <f>_xll.qlTenorBasisValue(TenorBasis6M,R117,InterestRatesTrigger)</f>
        <v>#VALUE!</v>
      </c>
      <c r="AA117" s="30" t="e">
        <f t="shared" si="15"/>
        <v>#NUM!</v>
      </c>
    </row>
    <row r="118" spans="15:27" x14ac:dyDescent="0.2">
      <c r="O118" s="33">
        <v>1</v>
      </c>
      <c r="P118" s="27" t="str">
        <f>_xll.qlPeriodEquivalent(P117&amp;"+"&amp;O118&amp;"M")</f>
        <v>9Y7M</v>
      </c>
      <c r="Q118" s="28">
        <f>_xll.qlCalendarAdvance(Calendar,SettlementDate,P118,"f",,Trigger)</f>
        <v>45665</v>
      </c>
      <c r="R118" s="28">
        <f>_xll.qlInterestRateIndexValueDate(Index,Q118,Trigger)</f>
        <v>45667</v>
      </c>
      <c r="S118" s="28">
        <f>_xll.qlInterestRateIndexMaturity(Index,R118,Trigger)</f>
        <v>45698</v>
      </c>
      <c r="T118" s="30">
        <f>_xll.qlIndexFixing($M$6,Q118,,InterestRatesTrigger)</f>
        <v>1.8697079970094409E-2</v>
      </c>
      <c r="U118" s="30" t="e">
        <f>_xll.qlIndexFixing(Index,Q118,,InterestRatesTrigger)</f>
        <v>#NUM!</v>
      </c>
      <c r="V118" s="30" t="e">
        <f t="shared" si="14"/>
        <v>#NUM!</v>
      </c>
      <c r="W118" s="29">
        <f>_xll.qlDayCounterYearFraction(DayCounter,SettlementDate,R118,,,Trigger)</f>
        <v>9.7333333333333325</v>
      </c>
      <c r="X118" s="29">
        <f>_xll.qlDayCounterYearFraction(DayCounter,R118,S118)</f>
        <v>8.611111111111111E-2</v>
      </c>
      <c r="Y118" s="29" t="e">
        <f>_xll.qlYieldTSDiscount(Currency&amp;"ON",R118)/(1+U118*X118)</f>
        <v>#NUM!</v>
      </c>
      <c r="Z118" s="30" t="e">
        <f>_xll.qlTenorBasisValue(TenorBasis6M,R118,InterestRatesTrigger)</f>
        <v>#VALUE!</v>
      </c>
      <c r="AA118" s="30" t="e">
        <f t="shared" si="15"/>
        <v>#NUM!</v>
      </c>
    </row>
    <row r="119" spans="15:27" x14ac:dyDescent="0.2">
      <c r="O119" s="33">
        <v>1</v>
      </c>
      <c r="P119" s="27" t="str">
        <f>_xll.qlPeriodEquivalent(P118&amp;"+"&amp;O119&amp;"M")</f>
        <v>9Y8M</v>
      </c>
      <c r="Q119" s="28">
        <f>_xll.qlCalendarAdvance(Calendar,SettlementDate,P119,"f",,Trigger)</f>
        <v>45698</v>
      </c>
      <c r="R119" s="28">
        <f>_xll.qlInterestRateIndexValueDate(Index,Q119,Trigger)</f>
        <v>45700</v>
      </c>
      <c r="S119" s="28">
        <f>_xll.qlInterestRateIndexMaturity(Index,R119,Trigger)</f>
        <v>45728</v>
      </c>
      <c r="T119" s="30">
        <f>_xll.qlIndexFixing($M$6,Q119,,InterestRatesTrigger)</f>
        <v>1.8801698022748527E-2</v>
      </c>
      <c r="U119" s="30" t="e">
        <f>_xll.qlIndexFixing(Index,Q119,,InterestRatesTrigger)</f>
        <v>#NUM!</v>
      </c>
      <c r="V119" s="30" t="e">
        <f t="shared" si="14"/>
        <v>#NUM!</v>
      </c>
      <c r="W119" s="29">
        <f>_xll.qlDayCounterYearFraction(DayCounter,SettlementDate,R119,,,Trigger)</f>
        <v>9.8249999999999993</v>
      </c>
      <c r="X119" s="29">
        <f>_xll.qlDayCounterYearFraction(DayCounter,R119,S119)</f>
        <v>7.7777777777777779E-2</v>
      </c>
      <c r="Y119" s="29" t="e">
        <f>_xll.qlYieldTSDiscount(Currency&amp;"ON",R119)/(1+U119*X119)</f>
        <v>#NUM!</v>
      </c>
      <c r="Z119" s="30" t="e">
        <f>_xll.qlTenorBasisValue(TenorBasis6M,R119,InterestRatesTrigger)</f>
        <v>#VALUE!</v>
      </c>
      <c r="AA119" s="30" t="e">
        <f t="shared" si="15"/>
        <v>#NUM!</v>
      </c>
    </row>
    <row r="120" spans="15:27" x14ac:dyDescent="0.2">
      <c r="O120" s="33">
        <v>1</v>
      </c>
      <c r="P120" s="27" t="str">
        <f>_xll.qlPeriodEquivalent(P119&amp;"+"&amp;O120&amp;"M")</f>
        <v>9Y9M</v>
      </c>
      <c r="Q120" s="28">
        <f>_xll.qlCalendarAdvance(Calendar,SettlementDate,P120,"f",,Trigger)</f>
        <v>45726</v>
      </c>
      <c r="R120" s="28">
        <f>_xll.qlInterestRateIndexValueDate(Index,Q120,Trigger)</f>
        <v>45728</v>
      </c>
      <c r="S120" s="28">
        <f>_xll.qlInterestRateIndexMaturity(Index,R120,Trigger)</f>
        <v>45761</v>
      </c>
      <c r="T120" s="30">
        <f>_xll.qlIndexFixing($M$6,Q120,,InterestRatesTrigger)</f>
        <v>1.8913755027101849E-2</v>
      </c>
      <c r="U120" s="30" t="e">
        <f>_xll.qlIndexFixing(Index,Q120,,InterestRatesTrigger)</f>
        <v>#NUM!</v>
      </c>
      <c r="V120" s="30" t="e">
        <f t="shared" si="14"/>
        <v>#NUM!</v>
      </c>
      <c r="W120" s="29">
        <f>_xll.qlDayCounterYearFraction(DayCounter,SettlementDate,R120,,,Trigger)</f>
        <v>9.9027777777777786</v>
      </c>
      <c r="X120" s="29">
        <f>_xll.qlDayCounterYearFraction(DayCounter,R120,S120)</f>
        <v>9.166666666666666E-2</v>
      </c>
      <c r="Y120" s="29" t="e">
        <f>_xll.qlYieldTSDiscount(Currency&amp;"ON",R120)/(1+U120*X120)</f>
        <v>#NUM!</v>
      </c>
      <c r="Z120" s="30" t="e">
        <f>_xll.qlTenorBasisValue(TenorBasis6M,R120,InterestRatesTrigger)</f>
        <v>#VALUE!</v>
      </c>
      <c r="AA120" s="30" t="e">
        <f t="shared" si="15"/>
        <v>#NUM!</v>
      </c>
    </row>
    <row r="121" spans="15:27" x14ac:dyDescent="0.2">
      <c r="O121" s="33">
        <v>1</v>
      </c>
      <c r="P121" s="27" t="str">
        <f>_xll.qlPeriodEquivalent(P120&amp;"+"&amp;O121&amp;"M")</f>
        <v>9Y10M</v>
      </c>
      <c r="Q121" s="28">
        <f>_xll.qlCalendarAdvance(Calendar,SettlementDate,P121,"f",,Trigger)</f>
        <v>45755</v>
      </c>
      <c r="R121" s="28">
        <f>_xll.qlInterestRateIndexValueDate(Index,Q121,Trigger)</f>
        <v>45757</v>
      </c>
      <c r="S121" s="28">
        <f>_xll.qlInterestRateIndexMaturity(Index,R121,Trigger)</f>
        <v>45789</v>
      </c>
      <c r="T121" s="30">
        <f>_xll.qlIndexFixing($M$6,Q121,,InterestRatesTrigger)</f>
        <v>1.9021548498802388E-2</v>
      </c>
      <c r="U121" s="30" t="e">
        <f>_xll.qlIndexFixing(Index,Q121,,InterestRatesTrigger)</f>
        <v>#NUM!</v>
      </c>
      <c r="V121" s="30" t="e">
        <f t="shared" si="14"/>
        <v>#NUM!</v>
      </c>
      <c r="W121" s="29">
        <f>_xll.qlDayCounterYearFraction(DayCounter,SettlementDate,R121,,,Trigger)</f>
        <v>9.9833333333333325</v>
      </c>
      <c r="X121" s="29">
        <f>_xll.qlDayCounterYearFraction(DayCounter,R121,S121)</f>
        <v>8.8888888888888892E-2</v>
      </c>
      <c r="Y121" s="29" t="e">
        <f>_xll.qlYieldTSDiscount(Currency&amp;"ON",R121)/(1+U121*X121)</f>
        <v>#NUM!</v>
      </c>
      <c r="Z121" s="30" t="e">
        <f>_xll.qlTenorBasisValue(TenorBasis6M,R121,InterestRatesTrigger)</f>
        <v>#VALUE!</v>
      </c>
      <c r="AA121" s="30" t="e">
        <f t="shared" si="15"/>
        <v>#NUM!</v>
      </c>
    </row>
    <row r="122" spans="15:27" x14ac:dyDescent="0.2">
      <c r="O122" s="33">
        <v>1</v>
      </c>
      <c r="P122" s="27" t="str">
        <f>_xll.qlPeriodEquivalent(P121&amp;"+"&amp;O122&amp;"M")</f>
        <v>9Y11M</v>
      </c>
      <c r="Q122" s="28">
        <f>_xll.qlCalendarAdvance(Calendar,SettlementDate,P122,"f",,Trigger)</f>
        <v>45785</v>
      </c>
      <c r="R122" s="28">
        <f>_xll.qlInterestRateIndexValueDate(Index,Q122,Trigger)</f>
        <v>45789</v>
      </c>
      <c r="S122" s="28">
        <f>_xll.qlInterestRateIndexMaturity(Index,R122,Trigger)</f>
        <v>45820</v>
      </c>
      <c r="T122" s="30">
        <f>_xll.qlIndexFixing($M$6,Q122,,InterestRatesTrigger)</f>
        <v>1.9147453397108608E-2</v>
      </c>
      <c r="U122" s="30" t="e">
        <f>_xll.qlIndexFixing(Index,Q122,,InterestRatesTrigger)</f>
        <v>#NUM!</v>
      </c>
      <c r="V122" s="30" t="e">
        <f t="shared" si="14"/>
        <v>#NUM!</v>
      </c>
      <c r="W122" s="29">
        <f>_xll.qlDayCounterYearFraction(DayCounter,SettlementDate,R122,,,Trigger)</f>
        <v>10.072222222222223</v>
      </c>
      <c r="X122" s="29">
        <f>_xll.qlDayCounterYearFraction(DayCounter,R122,S122)</f>
        <v>8.611111111111111E-2</v>
      </c>
      <c r="Y122" s="29" t="e">
        <f>_xll.qlYieldTSDiscount(Currency&amp;"ON",R122)/(1+U122*X122)</f>
        <v>#NUM!</v>
      </c>
      <c r="Z122" s="30" t="e">
        <f>_xll.qlTenorBasisValue(TenorBasis6M,R122,InterestRatesTrigger)</f>
        <v>#VALUE!</v>
      </c>
      <c r="AA122" s="30" t="e">
        <f t="shared" si="15"/>
        <v>#NUM!</v>
      </c>
    </row>
    <row r="123" spans="15:27" x14ac:dyDescent="0.2">
      <c r="O123" s="33">
        <v>1</v>
      </c>
      <c r="P123" s="27" t="str">
        <f>_xll.qlPeriodEquivalent(P122&amp;"+"&amp;O123&amp;"M")</f>
        <v>10Y</v>
      </c>
      <c r="Q123" s="28">
        <f>_xll.qlCalendarAdvance(Calendar,SettlementDate,P123,"f",,Trigger)</f>
        <v>45817</v>
      </c>
      <c r="R123" s="28">
        <f>_xll.qlInterestRateIndexValueDate(Index,Q123,Trigger)</f>
        <v>45819</v>
      </c>
      <c r="S123" s="28">
        <f>_xll.qlInterestRateIndexMaturity(Index,R123,Trigger)</f>
        <v>45849</v>
      </c>
      <c r="T123" s="30">
        <f>_xll.qlIndexFixing($M$6,Q123,,InterestRatesTrigger)</f>
        <v>1.926797298754046E-2</v>
      </c>
      <c r="U123" s="30" t="e">
        <f>_xll.qlIndexFixing(Index,Q123,,InterestRatesTrigger)</f>
        <v>#NUM!</v>
      </c>
      <c r="V123" s="30" t="e">
        <f t="shared" si="14"/>
        <v>#NUM!</v>
      </c>
      <c r="W123" s="29">
        <f>_xll.qlDayCounterYearFraction(DayCounter,SettlementDate,R123,,,Trigger)</f>
        <v>10.155555555555555</v>
      </c>
      <c r="X123" s="29">
        <f>_xll.qlDayCounterYearFraction(DayCounter,R123,S123)</f>
        <v>8.3333333333333329E-2</v>
      </c>
      <c r="Y123" s="29" t="e">
        <f>_xll.qlYieldTSDiscount(Currency&amp;"ON",R123)/(1+U123*X123)</f>
        <v>#NUM!</v>
      </c>
      <c r="Z123" s="30" t="e">
        <f>_xll.qlTenorBasisValue(TenorBasis6M,R123,InterestRatesTrigger)</f>
        <v>#VALUE!</v>
      </c>
      <c r="AA123" s="30" t="e">
        <f t="shared" si="15"/>
        <v>#NUM!</v>
      </c>
    </row>
    <row r="124" spans="15:27" x14ac:dyDescent="0.2">
      <c r="O124" s="33">
        <v>1</v>
      </c>
      <c r="P124" s="27" t="str">
        <f>_xll.qlPeriodEquivalent(P123&amp;"+"&amp;O124&amp;"M")</f>
        <v>10Y1M</v>
      </c>
      <c r="Q124" s="28">
        <f>_xll.qlCalendarAdvance(Calendar,SettlementDate,P124,"f",,Trigger)</f>
        <v>45846</v>
      </c>
      <c r="R124" s="28">
        <f>_xll.qlInterestRateIndexValueDate(Index,Q124,Trigger)</f>
        <v>45848</v>
      </c>
      <c r="S124" s="28">
        <f>_xll.qlInterestRateIndexMaturity(Index,R124,Trigger)</f>
        <v>45880</v>
      </c>
      <c r="T124" s="30">
        <f>_xll.qlIndexFixing($M$6,Q124,,InterestRatesTrigger)</f>
        <v>1.9382407061835916E-2</v>
      </c>
      <c r="U124" s="30" t="e">
        <f>_xll.qlIndexFixing(Index,Q124,,InterestRatesTrigger)</f>
        <v>#NUM!</v>
      </c>
      <c r="V124" s="30" t="e">
        <f t="shared" si="14"/>
        <v>#NUM!</v>
      </c>
      <c r="W124" s="29">
        <f>_xll.qlDayCounterYearFraction(DayCounter,SettlementDate,R124,,,Trigger)</f>
        <v>10.236111111111111</v>
      </c>
      <c r="X124" s="29">
        <f>_xll.qlDayCounterYearFraction(DayCounter,R124,S124)</f>
        <v>8.8888888888888892E-2</v>
      </c>
      <c r="Y124" s="29" t="e">
        <f>_xll.qlYieldTSDiscount(Currency&amp;"ON",R124)/(1+U124*X124)</f>
        <v>#NUM!</v>
      </c>
      <c r="Z124" s="30" t="e">
        <f>_xll.qlTenorBasisValue(TenorBasis6M,R124,InterestRatesTrigger)</f>
        <v>#VALUE!</v>
      </c>
      <c r="AA124" s="30" t="e">
        <f t="shared" si="15"/>
        <v>#NUM!</v>
      </c>
    </row>
    <row r="125" spans="15:27" x14ac:dyDescent="0.2">
      <c r="O125" s="33">
        <v>1</v>
      </c>
      <c r="P125" s="27" t="str">
        <f>_xll.qlPeriodEquivalent(P124&amp;"+"&amp;O125&amp;"M")</f>
        <v>10Y2M</v>
      </c>
      <c r="Q125" s="28">
        <f>_xll.qlCalendarAdvance(Calendar,SettlementDate,P125,"f",,Trigger)</f>
        <v>45877</v>
      </c>
      <c r="R125" s="28">
        <f>_xll.qlInterestRateIndexValueDate(Index,Q125,Trigger)</f>
        <v>45881</v>
      </c>
      <c r="S125" s="28">
        <f>_xll.qlInterestRateIndexMaturity(Index,R125,Trigger)</f>
        <v>45912</v>
      </c>
      <c r="T125" s="30">
        <f>_xll.qlIndexFixing($M$6,Q125,,InterestRatesTrigger)</f>
        <v>1.9491119178082252E-2</v>
      </c>
      <c r="U125" s="30" t="e">
        <f>_xll.qlIndexFixing(Index,Q125,,InterestRatesTrigger)</f>
        <v>#NUM!</v>
      </c>
      <c r="V125" s="30" t="e">
        <f t="shared" si="14"/>
        <v>#NUM!</v>
      </c>
      <c r="W125" s="29">
        <f>_xll.qlDayCounterYearFraction(DayCounter,SettlementDate,R125,,,Trigger)</f>
        <v>10.327777777777778</v>
      </c>
      <c r="X125" s="29">
        <f>_xll.qlDayCounterYearFraction(DayCounter,R125,S125)</f>
        <v>8.611111111111111E-2</v>
      </c>
      <c r="Y125" s="29" t="e">
        <f>_xll.qlYieldTSDiscount(Currency&amp;"ON",R125)/(1+U125*X125)</f>
        <v>#NUM!</v>
      </c>
      <c r="Z125" s="30" t="e">
        <f>_xll.qlTenorBasisValue(TenorBasis6M,R125,InterestRatesTrigger)</f>
        <v>#VALUE!</v>
      </c>
      <c r="AA125" s="30" t="e">
        <f t="shared" si="15"/>
        <v>#NUM!</v>
      </c>
    </row>
    <row r="126" spans="15:27" x14ac:dyDescent="0.2">
      <c r="O126" s="33">
        <v>1</v>
      </c>
      <c r="P126" s="27" t="str">
        <f>_xll.qlPeriodEquivalent(P125&amp;"+"&amp;O126&amp;"M")</f>
        <v>10Y3M</v>
      </c>
      <c r="Q126" s="28">
        <f>_xll.qlCalendarAdvance(Calendar,SettlementDate,P126,"f",,Trigger)</f>
        <v>45908</v>
      </c>
      <c r="R126" s="28">
        <f>_xll.qlInterestRateIndexValueDate(Index,Q126,Trigger)</f>
        <v>45910</v>
      </c>
      <c r="S126" s="28">
        <f>_xll.qlInterestRateIndexMaturity(Index,R126,Trigger)</f>
        <v>45940</v>
      </c>
      <c r="T126" s="30">
        <f>_xll.qlIndexFixing($M$6,Q126,,InterestRatesTrigger)</f>
        <v>1.9574633136486774E-2</v>
      </c>
      <c r="U126" s="30" t="e">
        <f>_xll.qlIndexFixing(Index,Q126,,InterestRatesTrigger)</f>
        <v>#NUM!</v>
      </c>
      <c r="V126" s="30" t="e">
        <f t="shared" si="14"/>
        <v>#NUM!</v>
      </c>
      <c r="W126" s="29">
        <f>_xll.qlDayCounterYearFraction(DayCounter,SettlementDate,R126,,,Trigger)</f>
        <v>10.408333333333333</v>
      </c>
      <c r="X126" s="29">
        <f>_xll.qlDayCounterYearFraction(DayCounter,R126,S126)</f>
        <v>8.3333333333333329E-2</v>
      </c>
      <c r="Y126" s="29" t="e">
        <f>_xll.qlYieldTSDiscount(Currency&amp;"ON",R126)/(1+U126*X126)</f>
        <v>#NUM!</v>
      </c>
      <c r="Z126" s="30" t="e">
        <f>_xll.qlTenorBasisValue(TenorBasis6M,R126,InterestRatesTrigger)</f>
        <v>#VALUE!</v>
      </c>
      <c r="AA126" s="30" t="e">
        <f t="shared" si="15"/>
        <v>#NUM!</v>
      </c>
    </row>
    <row r="127" spans="15:27" x14ac:dyDescent="0.2">
      <c r="O127" s="33">
        <v>1</v>
      </c>
      <c r="P127" s="27" t="str">
        <f>_xll.qlPeriodEquivalent(P126&amp;"+"&amp;O127&amp;"M")</f>
        <v>10Y4M</v>
      </c>
      <c r="Q127" s="28">
        <f>_xll.qlCalendarAdvance(Calendar,SettlementDate,P127,"f",,Trigger)</f>
        <v>45938</v>
      </c>
      <c r="R127" s="28">
        <f>_xll.qlInterestRateIndexValueDate(Index,Q127,Trigger)</f>
        <v>45940</v>
      </c>
      <c r="S127" s="28">
        <f>_xll.qlInterestRateIndexMaturity(Index,R127,Trigger)</f>
        <v>45971</v>
      </c>
      <c r="T127" s="30">
        <f>_xll.qlIndexFixing($M$6,Q127,,InterestRatesTrigger)</f>
        <v>1.9652878443494327E-2</v>
      </c>
      <c r="U127" s="30" t="e">
        <f>_xll.qlIndexFixing(Index,Q127,,InterestRatesTrigger)</f>
        <v>#NUM!</v>
      </c>
      <c r="V127" s="30" t="e">
        <f t="shared" si="14"/>
        <v>#NUM!</v>
      </c>
      <c r="W127" s="29">
        <f>_xll.qlDayCounterYearFraction(DayCounter,SettlementDate,R127,,,Trigger)</f>
        <v>10.491666666666667</v>
      </c>
      <c r="X127" s="29">
        <f>_xll.qlDayCounterYearFraction(DayCounter,R127,S127)</f>
        <v>8.611111111111111E-2</v>
      </c>
      <c r="Y127" s="29" t="e">
        <f>_xll.qlYieldTSDiscount(Currency&amp;"ON",R127)/(1+U127*X127)</f>
        <v>#NUM!</v>
      </c>
      <c r="Z127" s="30" t="e">
        <f>_xll.qlTenorBasisValue(TenorBasis6M,R127,InterestRatesTrigger)</f>
        <v>#VALUE!</v>
      </c>
      <c r="AA127" s="30" t="e">
        <f t="shared" si="15"/>
        <v>#NUM!</v>
      </c>
    </row>
    <row r="128" spans="15:27" x14ac:dyDescent="0.2">
      <c r="O128" s="33">
        <v>1</v>
      </c>
      <c r="P128" s="27" t="str">
        <f>_xll.qlPeriodEquivalent(P127&amp;"+"&amp;O128&amp;"M")</f>
        <v>10Y5M</v>
      </c>
      <c r="Q128" s="28">
        <f>_xll.qlCalendarAdvance(Calendar,SettlementDate,P128,"f",,Trigger)</f>
        <v>45971</v>
      </c>
      <c r="R128" s="28">
        <f>_xll.qlInterestRateIndexValueDate(Index,Q128,Trigger)</f>
        <v>45973</v>
      </c>
      <c r="S128" s="28">
        <f>_xll.qlInterestRateIndexMaturity(Index,R128,Trigger)</f>
        <v>46003</v>
      </c>
      <c r="T128" s="30">
        <f>_xll.qlIndexFixing($M$6,Q128,,InterestRatesTrigger)</f>
        <v>1.9721383561389416E-2</v>
      </c>
      <c r="U128" s="30" t="e">
        <f>_xll.qlIndexFixing(Index,Q128,,InterestRatesTrigger)</f>
        <v>#NUM!</v>
      </c>
      <c r="V128" s="30" t="e">
        <f t="shared" si="14"/>
        <v>#NUM!</v>
      </c>
      <c r="W128" s="29">
        <f>_xll.qlDayCounterYearFraction(DayCounter,SettlementDate,R128,,,Trigger)</f>
        <v>10.583333333333334</v>
      </c>
      <c r="X128" s="29">
        <f>_xll.qlDayCounterYearFraction(DayCounter,R128,S128)</f>
        <v>8.3333333333333329E-2</v>
      </c>
      <c r="Y128" s="29" t="e">
        <f>_xll.qlYieldTSDiscount(Currency&amp;"ON",R128)/(1+U128*X128)</f>
        <v>#NUM!</v>
      </c>
      <c r="Z128" s="30" t="e">
        <f>_xll.qlTenorBasisValue(TenorBasis6M,R128,InterestRatesTrigger)</f>
        <v>#VALUE!</v>
      </c>
      <c r="AA128" s="30" t="e">
        <f t="shared" si="15"/>
        <v>#NUM!</v>
      </c>
    </row>
    <row r="129" spans="15:27" x14ac:dyDescent="0.2">
      <c r="O129" s="33">
        <v>1</v>
      </c>
      <c r="P129" s="27" t="str">
        <f>_xll.qlPeriodEquivalent(P128&amp;"+"&amp;O129&amp;"M")</f>
        <v>10Y6M</v>
      </c>
      <c r="Q129" s="28">
        <f>_xll.qlCalendarAdvance(Calendar,SettlementDate,P129,"f",,Trigger)</f>
        <v>45999</v>
      </c>
      <c r="R129" s="28">
        <f>_xll.qlInterestRateIndexValueDate(Index,Q129,Trigger)</f>
        <v>46001</v>
      </c>
      <c r="S129" s="28">
        <f>_xll.qlInterestRateIndexMaturity(Index,R129,Trigger)</f>
        <v>46034</v>
      </c>
      <c r="T129" s="30">
        <f>_xll.qlIndexFixing($M$6,Q129,,InterestRatesTrigger)</f>
        <v>1.9773183762542862E-2</v>
      </c>
      <c r="U129" s="30" t="e">
        <f>_xll.qlIndexFixing(Index,Q129,,InterestRatesTrigger)</f>
        <v>#NUM!</v>
      </c>
      <c r="V129" s="30" t="e">
        <f t="shared" si="14"/>
        <v>#NUM!</v>
      </c>
      <c r="W129" s="29">
        <f>_xll.qlDayCounterYearFraction(DayCounter,SettlementDate,R129,,,Trigger)</f>
        <v>10.661111111111111</v>
      </c>
      <c r="X129" s="29">
        <f>_xll.qlDayCounterYearFraction(DayCounter,R129,S129)</f>
        <v>9.166666666666666E-2</v>
      </c>
      <c r="Y129" s="29" t="e">
        <f>_xll.qlYieldTSDiscount(Currency&amp;"ON",R129)/(1+U129*X129)</f>
        <v>#NUM!</v>
      </c>
      <c r="Z129" s="30" t="e">
        <f>_xll.qlTenorBasisValue(TenorBasis6M,R129,InterestRatesTrigger)</f>
        <v>#VALUE!</v>
      </c>
      <c r="AA129" s="30" t="e">
        <f t="shared" si="15"/>
        <v>#NUM!</v>
      </c>
    </row>
    <row r="130" spans="15:27" x14ac:dyDescent="0.2">
      <c r="O130" s="33">
        <v>1</v>
      </c>
      <c r="P130" s="27" t="str">
        <f>_xll.qlPeriodEquivalent(P129&amp;"+"&amp;O130&amp;"M")</f>
        <v>10Y7M</v>
      </c>
      <c r="Q130" s="28">
        <f>_xll.qlCalendarAdvance(Calendar,SettlementDate,P130,"f",,Trigger)</f>
        <v>46030</v>
      </c>
      <c r="R130" s="28">
        <f>_xll.qlInterestRateIndexValueDate(Index,Q130,Trigger)</f>
        <v>46034</v>
      </c>
      <c r="S130" s="28">
        <f>_xll.qlInterestRateIndexMaturity(Index,R130,Trigger)</f>
        <v>46065</v>
      </c>
      <c r="T130" s="30">
        <f>_xll.qlIndexFixing($M$6,Q130,,InterestRatesTrigger)</f>
        <v>1.9813414472735984E-2</v>
      </c>
      <c r="U130" s="30" t="e">
        <f>_xll.qlIndexFixing(Index,Q130,,InterestRatesTrigger)</f>
        <v>#NUM!</v>
      </c>
      <c r="V130" s="30" t="e">
        <f t="shared" si="14"/>
        <v>#NUM!</v>
      </c>
      <c r="W130" s="29">
        <f>_xll.qlDayCounterYearFraction(DayCounter,SettlementDate,R130,,,Trigger)</f>
        <v>10.752777777777778</v>
      </c>
      <c r="X130" s="29">
        <f>_xll.qlDayCounterYearFraction(DayCounter,R130,S130)</f>
        <v>8.611111111111111E-2</v>
      </c>
      <c r="Y130" s="29" t="e">
        <f>_xll.qlYieldTSDiscount(Currency&amp;"ON",R130)/(1+U130*X130)</f>
        <v>#NUM!</v>
      </c>
      <c r="Z130" s="30" t="e">
        <f>_xll.qlTenorBasisValue(TenorBasis6M,R130,InterestRatesTrigger)</f>
        <v>#VALUE!</v>
      </c>
      <c r="AA130" s="30" t="e">
        <f t="shared" si="15"/>
        <v>#NUM!</v>
      </c>
    </row>
    <row r="131" spans="15:27" x14ac:dyDescent="0.2">
      <c r="O131" s="33">
        <v>1</v>
      </c>
      <c r="P131" s="27" t="str">
        <f>_xll.qlPeriodEquivalent(P130&amp;"+"&amp;O131&amp;"M")</f>
        <v>10Y8M</v>
      </c>
      <c r="Q131" s="28">
        <f>_xll.qlCalendarAdvance(Calendar,SettlementDate,P131,"f",,Trigger)</f>
        <v>46062</v>
      </c>
      <c r="R131" s="28">
        <f>_xll.qlInterestRateIndexValueDate(Index,Q131,Trigger)</f>
        <v>46064</v>
      </c>
      <c r="S131" s="28">
        <f>_xll.qlInterestRateIndexMaturity(Index,R131,Trigger)</f>
        <v>46092</v>
      </c>
      <c r="T131" s="30">
        <f>_xll.qlIndexFixing($M$6,Q131,,InterestRatesTrigger)</f>
        <v>1.9836956694109072E-2</v>
      </c>
      <c r="U131" s="30" t="e">
        <f>_xll.qlIndexFixing(Index,Q131,,InterestRatesTrigger)</f>
        <v>#NUM!</v>
      </c>
      <c r="V131" s="30" t="e">
        <f t="shared" si="14"/>
        <v>#NUM!</v>
      </c>
      <c r="W131" s="29">
        <f>_xll.qlDayCounterYearFraction(DayCounter,SettlementDate,R131,,,Trigger)</f>
        <v>10.83611111111111</v>
      </c>
      <c r="X131" s="29">
        <f>_xll.qlDayCounterYearFraction(DayCounter,R131,S131)</f>
        <v>7.7777777777777779E-2</v>
      </c>
      <c r="Y131" s="29" t="e">
        <f>_xll.qlYieldTSDiscount(Currency&amp;"ON",R131)/(1+U131*X131)</f>
        <v>#NUM!</v>
      </c>
      <c r="Z131" s="30" t="e">
        <f>_xll.qlTenorBasisValue(TenorBasis6M,R131,InterestRatesTrigger)</f>
        <v>#VALUE!</v>
      </c>
      <c r="AA131" s="30" t="e">
        <f t="shared" si="15"/>
        <v>#NUM!</v>
      </c>
    </row>
    <row r="132" spans="15:27" x14ac:dyDescent="0.2">
      <c r="O132" s="33">
        <v>1</v>
      </c>
      <c r="P132" s="27" t="str">
        <f>_xll.qlPeriodEquivalent(P131&amp;"+"&amp;O132&amp;"M")</f>
        <v>10Y9M</v>
      </c>
      <c r="Q132" s="28">
        <f>_xll.qlCalendarAdvance(Calendar,SettlementDate,P132,"f",,Trigger)</f>
        <v>46090</v>
      </c>
      <c r="R132" s="28">
        <f>_xll.qlInterestRateIndexValueDate(Index,Q132,Trigger)</f>
        <v>46092</v>
      </c>
      <c r="S132" s="28">
        <f>_xll.qlInterestRateIndexMaturity(Index,R132,Trigger)</f>
        <v>46125</v>
      </c>
      <c r="T132" s="30">
        <f>_xll.qlIndexFixing($M$6,Q132,,InterestRatesTrigger)</f>
        <v>1.9854199446345661E-2</v>
      </c>
      <c r="U132" s="30" t="e">
        <f>_xll.qlIndexFixing(Index,Q132,,InterestRatesTrigger)</f>
        <v>#NUM!</v>
      </c>
      <c r="V132" s="30" t="e">
        <f t="shared" ref="V132:V195" si="16">U132-T132</f>
        <v>#NUM!</v>
      </c>
      <c r="W132" s="29">
        <f>_xll.qlDayCounterYearFraction(DayCounter,SettlementDate,R132,,,Trigger)</f>
        <v>10.91388888888889</v>
      </c>
      <c r="X132" s="29">
        <f>_xll.qlDayCounterYearFraction(DayCounter,R132,S132)</f>
        <v>9.166666666666666E-2</v>
      </c>
      <c r="Y132" s="29" t="e">
        <f>_xll.qlYieldTSDiscount(Currency&amp;"ON",R132)/(1+U132*X132)</f>
        <v>#NUM!</v>
      </c>
      <c r="Z132" s="30" t="e">
        <f>_xll.qlTenorBasisValue(TenorBasis6M,R132,InterestRatesTrigger)</f>
        <v>#VALUE!</v>
      </c>
      <c r="AA132" s="30" t="e">
        <f t="shared" ref="AA132:AA195" si="17">V132-Z132</f>
        <v>#NUM!</v>
      </c>
    </row>
    <row r="133" spans="15:27" x14ac:dyDescent="0.2">
      <c r="O133" s="33">
        <v>1</v>
      </c>
      <c r="P133" s="27" t="str">
        <f>_xll.qlPeriodEquivalent(P132&amp;"+"&amp;O133&amp;"M")</f>
        <v>10Y10M</v>
      </c>
      <c r="Q133" s="28">
        <f>_xll.qlCalendarAdvance(Calendar,SettlementDate,P133,"f",,Trigger)</f>
        <v>46120</v>
      </c>
      <c r="R133" s="28">
        <f>_xll.qlInterestRateIndexValueDate(Index,Q133,Trigger)</f>
        <v>46122</v>
      </c>
      <c r="S133" s="28">
        <f>_xll.qlInterestRateIndexMaturity(Index,R133,Trigger)</f>
        <v>46153</v>
      </c>
      <c r="T133" s="30">
        <f>_xll.qlIndexFixing($M$6,Q133,,InterestRatesTrigger)</f>
        <v>1.9855476516387947E-2</v>
      </c>
      <c r="U133" s="30" t="e">
        <f>_xll.qlIndexFixing(Index,Q133,,InterestRatesTrigger)</f>
        <v>#NUM!</v>
      </c>
      <c r="V133" s="30" t="e">
        <f t="shared" si="16"/>
        <v>#NUM!</v>
      </c>
      <c r="W133" s="29">
        <f>_xll.qlDayCounterYearFraction(DayCounter,SettlementDate,R133,,,Trigger)</f>
        <v>10.997222222222222</v>
      </c>
      <c r="X133" s="29">
        <f>_xll.qlDayCounterYearFraction(DayCounter,R133,S133)</f>
        <v>8.611111111111111E-2</v>
      </c>
      <c r="Y133" s="29" t="e">
        <f>_xll.qlYieldTSDiscount(Currency&amp;"ON",R133)/(1+U133*X133)</f>
        <v>#NUM!</v>
      </c>
      <c r="Z133" s="30" t="e">
        <f>_xll.qlTenorBasisValue(TenorBasis6M,R133,InterestRatesTrigger)</f>
        <v>#VALUE!</v>
      </c>
      <c r="AA133" s="30" t="e">
        <f t="shared" si="17"/>
        <v>#NUM!</v>
      </c>
    </row>
    <row r="134" spans="15:27" x14ac:dyDescent="0.2">
      <c r="O134" s="33">
        <v>1</v>
      </c>
      <c r="P134" s="27" t="str">
        <f>_xll.qlPeriodEquivalent(P133&amp;"+"&amp;O134&amp;"M")</f>
        <v>10Y11M</v>
      </c>
      <c r="Q134" s="28">
        <f>_xll.qlCalendarAdvance(Calendar,SettlementDate,P134,"f",,Trigger)</f>
        <v>46150</v>
      </c>
      <c r="R134" s="28">
        <f>_xll.qlInterestRateIndexValueDate(Index,Q134,Trigger)</f>
        <v>46154</v>
      </c>
      <c r="S134" s="28">
        <f>_xll.qlInterestRateIndexMaturity(Index,R134,Trigger)</f>
        <v>46185</v>
      </c>
      <c r="T134" s="30">
        <f>_xll.qlIndexFixing($M$6,Q134,,InterestRatesTrigger)</f>
        <v>1.9844828879757491E-2</v>
      </c>
      <c r="U134" s="30" t="e">
        <f>_xll.qlIndexFixing(Index,Q134,,InterestRatesTrigger)</f>
        <v>#NUM!</v>
      </c>
      <c r="V134" s="30" t="e">
        <f t="shared" si="16"/>
        <v>#NUM!</v>
      </c>
      <c r="W134" s="29">
        <f>_xll.qlDayCounterYearFraction(DayCounter,SettlementDate,R134,,,Trigger)</f>
        <v>11.08611111111111</v>
      </c>
      <c r="X134" s="29">
        <f>_xll.qlDayCounterYearFraction(DayCounter,R134,S134)</f>
        <v>8.611111111111111E-2</v>
      </c>
      <c r="Y134" s="29" t="e">
        <f>_xll.qlYieldTSDiscount(Currency&amp;"ON",R134)/(1+U134*X134)</f>
        <v>#NUM!</v>
      </c>
      <c r="Z134" s="30" t="e">
        <f>_xll.qlTenorBasisValue(TenorBasis6M,R134,InterestRatesTrigger)</f>
        <v>#VALUE!</v>
      </c>
      <c r="AA134" s="30" t="e">
        <f t="shared" si="17"/>
        <v>#NUM!</v>
      </c>
    </row>
    <row r="135" spans="15:27" x14ac:dyDescent="0.2">
      <c r="O135" s="33">
        <v>1</v>
      </c>
      <c r="P135" s="27" t="str">
        <f>_xll.qlPeriodEquivalent(P134&amp;"+"&amp;O135&amp;"M")</f>
        <v>11Y</v>
      </c>
      <c r="Q135" s="28">
        <f>_xll.qlCalendarAdvance(Calendar,SettlementDate,P135,"f",,Trigger)</f>
        <v>46181</v>
      </c>
      <c r="R135" s="28">
        <f>_xll.qlInterestRateIndexValueDate(Index,Q135,Trigger)</f>
        <v>46183</v>
      </c>
      <c r="S135" s="28">
        <f>_xll.qlInterestRateIndexMaturity(Index,R135,Trigger)</f>
        <v>46213</v>
      </c>
      <c r="T135" s="30">
        <f>_xll.qlIndexFixing($M$6,Q135,,InterestRatesTrigger)</f>
        <v>1.982631122972478E-2</v>
      </c>
      <c r="U135" s="30" t="e">
        <f>_xll.qlIndexFixing(Index,Q135,,InterestRatesTrigger)</f>
        <v>#NUM!</v>
      </c>
      <c r="V135" s="30" t="e">
        <f t="shared" si="16"/>
        <v>#NUM!</v>
      </c>
      <c r="W135" s="29">
        <f>_xll.qlDayCounterYearFraction(DayCounter,SettlementDate,R135,,,Trigger)</f>
        <v>11.166666666666666</v>
      </c>
      <c r="X135" s="29">
        <f>_xll.qlDayCounterYearFraction(DayCounter,R135,S135)</f>
        <v>8.3333333333333329E-2</v>
      </c>
      <c r="Y135" s="29" t="e">
        <f>_xll.qlYieldTSDiscount(Currency&amp;"ON",R135)/(1+U135*X135)</f>
        <v>#NUM!</v>
      </c>
      <c r="Z135" s="30" t="e">
        <f>_xll.qlTenorBasisValue(TenorBasis6M,R135,InterestRatesTrigger)</f>
        <v>#VALUE!</v>
      </c>
      <c r="AA135" s="30" t="e">
        <f t="shared" si="17"/>
        <v>#NUM!</v>
      </c>
    </row>
    <row r="136" spans="15:27" x14ac:dyDescent="0.2">
      <c r="O136" s="33">
        <v>1</v>
      </c>
      <c r="P136" s="27" t="str">
        <f>_xll.qlPeriodEquivalent(P135&amp;"+"&amp;O136&amp;"M")</f>
        <v>11Y1M</v>
      </c>
      <c r="Q136" s="28">
        <f>_xll.qlCalendarAdvance(Calendar,SettlementDate,P136,"f",,Trigger)</f>
        <v>46211</v>
      </c>
      <c r="R136" s="28">
        <f>_xll.qlInterestRateIndexValueDate(Index,Q136,Trigger)</f>
        <v>46213</v>
      </c>
      <c r="S136" s="28">
        <f>_xll.qlInterestRateIndexMaturity(Index,R136,Trigger)</f>
        <v>46244</v>
      </c>
      <c r="T136" s="30">
        <f>_xll.qlIndexFixing($M$6,Q136,,InterestRatesTrigger)</f>
        <v>1.9809050646991355E-2</v>
      </c>
      <c r="U136" s="30" t="e">
        <f>_xll.qlIndexFixing(Index,Q136,,InterestRatesTrigger)</f>
        <v>#NUM!</v>
      </c>
      <c r="V136" s="30" t="e">
        <f t="shared" si="16"/>
        <v>#NUM!</v>
      </c>
      <c r="W136" s="29">
        <f>_xll.qlDayCounterYearFraction(DayCounter,SettlementDate,R136,,,Trigger)</f>
        <v>11.25</v>
      </c>
      <c r="X136" s="29">
        <f>_xll.qlDayCounterYearFraction(DayCounter,R136,S136)</f>
        <v>8.611111111111111E-2</v>
      </c>
      <c r="Y136" s="29" t="e">
        <f>_xll.qlYieldTSDiscount(Currency&amp;"ON",R136)/(1+U136*X136)</f>
        <v>#NUM!</v>
      </c>
      <c r="Z136" s="30" t="e">
        <f>_xll.qlTenorBasisValue(TenorBasis6M,R136,InterestRatesTrigger)</f>
        <v>#VALUE!</v>
      </c>
      <c r="AA136" s="30" t="e">
        <f t="shared" si="17"/>
        <v>#NUM!</v>
      </c>
    </row>
    <row r="137" spans="15:27" x14ac:dyDescent="0.2">
      <c r="O137" s="33">
        <v>1</v>
      </c>
      <c r="P137" s="27" t="str">
        <f>_xll.qlPeriodEquivalent(P136&amp;"+"&amp;O137&amp;"M")</f>
        <v>11Y2M</v>
      </c>
      <c r="Q137" s="28">
        <f>_xll.qlCalendarAdvance(Calendar,SettlementDate,P137,"f",,Trigger)</f>
        <v>46244</v>
      </c>
      <c r="R137" s="28">
        <f>_xll.qlInterestRateIndexValueDate(Index,Q137,Trigger)</f>
        <v>46246</v>
      </c>
      <c r="S137" s="28">
        <f>_xll.qlInterestRateIndexMaturity(Index,R137,Trigger)</f>
        <v>46279</v>
      </c>
      <c r="T137" s="30">
        <f>_xll.qlIndexFixing($M$6,Q137,,InterestRatesTrigger)</f>
        <v>1.9794393870423799E-2</v>
      </c>
      <c r="U137" s="30" t="e">
        <f>_xll.qlIndexFixing(Index,Q137,,InterestRatesTrigger)</f>
        <v>#NUM!</v>
      </c>
      <c r="V137" s="30" t="e">
        <f t="shared" si="16"/>
        <v>#NUM!</v>
      </c>
      <c r="W137" s="29">
        <f>_xll.qlDayCounterYearFraction(DayCounter,SettlementDate,R137,,,Trigger)</f>
        <v>11.341666666666667</v>
      </c>
      <c r="X137" s="29">
        <f>_xll.qlDayCounterYearFraction(DayCounter,R137,S137)</f>
        <v>9.166666666666666E-2</v>
      </c>
      <c r="Y137" s="29" t="e">
        <f>_xll.qlYieldTSDiscount(Currency&amp;"ON",R137)/(1+U137*X137)</f>
        <v>#NUM!</v>
      </c>
      <c r="Z137" s="30" t="e">
        <f>_xll.qlTenorBasisValue(TenorBasis6M,R137,InterestRatesTrigger)</f>
        <v>#VALUE!</v>
      </c>
      <c r="AA137" s="30" t="e">
        <f t="shared" si="17"/>
        <v>#NUM!</v>
      </c>
    </row>
    <row r="138" spans="15:27" x14ac:dyDescent="0.2">
      <c r="O138" s="33">
        <v>1</v>
      </c>
      <c r="P138" s="27" t="str">
        <f>_xll.qlPeriodEquivalent(P137&amp;"+"&amp;O138&amp;"M")</f>
        <v>11Y3M</v>
      </c>
      <c r="Q138" s="28">
        <f>_xll.qlCalendarAdvance(Calendar,SettlementDate,P138,"f",,Trigger)</f>
        <v>46273</v>
      </c>
      <c r="R138" s="28">
        <f>_xll.qlInterestRateIndexValueDate(Index,Q138,Trigger)</f>
        <v>46275</v>
      </c>
      <c r="S138" s="28">
        <f>_xll.qlInterestRateIndexMaturity(Index,R138,Trigger)</f>
        <v>46307</v>
      </c>
      <c r="T138" s="30">
        <f>_xll.qlIndexFixing($M$6,Q138,,InterestRatesTrigger)</f>
        <v>1.9783951851782E-2</v>
      </c>
      <c r="U138" s="30" t="e">
        <f>_xll.qlIndexFixing(Index,Q138,,InterestRatesTrigger)</f>
        <v>#NUM!</v>
      </c>
      <c r="V138" s="30" t="e">
        <f t="shared" si="16"/>
        <v>#NUM!</v>
      </c>
      <c r="W138" s="29">
        <f>_xll.qlDayCounterYearFraction(DayCounter,SettlementDate,R138,,,Trigger)</f>
        <v>11.422222222222222</v>
      </c>
      <c r="X138" s="29">
        <f>_xll.qlDayCounterYearFraction(DayCounter,R138,S138)</f>
        <v>8.8888888888888892E-2</v>
      </c>
      <c r="Y138" s="29" t="e">
        <f>_xll.qlYieldTSDiscount(Currency&amp;"ON",R138)/(1+U138*X138)</f>
        <v>#NUM!</v>
      </c>
      <c r="Z138" s="30" t="e">
        <f>_xll.qlTenorBasisValue(TenorBasis6M,R138,InterestRatesTrigger)</f>
        <v>#VALUE!</v>
      </c>
      <c r="AA138" s="30" t="e">
        <f t="shared" si="17"/>
        <v>#NUM!</v>
      </c>
    </row>
    <row r="139" spans="15:27" x14ac:dyDescent="0.2">
      <c r="O139" s="33">
        <v>1</v>
      </c>
      <c r="P139" s="27" t="str">
        <f>_xll.qlPeriodEquivalent(P138&amp;"+"&amp;O139&amp;"M")</f>
        <v>11Y4M</v>
      </c>
      <c r="Q139" s="28">
        <f>_xll.qlCalendarAdvance(Calendar,SettlementDate,P139,"f",,Trigger)</f>
        <v>46303</v>
      </c>
      <c r="R139" s="28">
        <f>_xll.qlInterestRateIndexValueDate(Index,Q139,Trigger)</f>
        <v>46307</v>
      </c>
      <c r="S139" s="28">
        <f>_xll.qlInterestRateIndexMaturity(Index,R139,Trigger)</f>
        <v>46338</v>
      </c>
      <c r="T139" s="30">
        <f>_xll.qlIndexFixing($M$6,Q139,,InterestRatesTrigger)</f>
        <v>1.977600031615279E-2</v>
      </c>
      <c r="U139" s="30" t="e">
        <f>_xll.qlIndexFixing(Index,Q139,,InterestRatesTrigger)</f>
        <v>#NUM!</v>
      </c>
      <c r="V139" s="30" t="e">
        <f t="shared" si="16"/>
        <v>#NUM!</v>
      </c>
      <c r="W139" s="29">
        <f>_xll.qlDayCounterYearFraction(DayCounter,SettlementDate,R139,,,Trigger)</f>
        <v>11.511111111111111</v>
      </c>
      <c r="X139" s="29">
        <f>_xll.qlDayCounterYearFraction(DayCounter,R139,S139)</f>
        <v>8.611111111111111E-2</v>
      </c>
      <c r="Y139" s="29" t="e">
        <f>_xll.qlYieldTSDiscount(Currency&amp;"ON",R139)/(1+U139*X139)</f>
        <v>#NUM!</v>
      </c>
      <c r="Z139" s="30" t="e">
        <f>_xll.qlTenorBasisValue(TenorBasis6M,R139,InterestRatesTrigger)</f>
        <v>#VALUE!</v>
      </c>
      <c r="AA139" s="30" t="e">
        <f t="shared" si="17"/>
        <v>#NUM!</v>
      </c>
    </row>
    <row r="140" spans="15:27" x14ac:dyDescent="0.2">
      <c r="O140" s="33">
        <v>1</v>
      </c>
      <c r="P140" s="27" t="str">
        <f>_xll.qlPeriodEquivalent(P139&amp;"+"&amp;O140&amp;"M")</f>
        <v>11Y5M</v>
      </c>
      <c r="Q140" s="28">
        <f>_xll.qlCalendarAdvance(Calendar,SettlementDate,P140,"f",,Trigger)</f>
        <v>46335</v>
      </c>
      <c r="R140" s="28">
        <f>_xll.qlInterestRateIndexValueDate(Index,Q140,Trigger)</f>
        <v>46337</v>
      </c>
      <c r="S140" s="28">
        <f>_xll.qlInterestRateIndexMaturity(Index,R140,Trigger)</f>
        <v>46367</v>
      </c>
      <c r="T140" s="30">
        <f>_xll.qlIndexFixing($M$6,Q140,,InterestRatesTrigger)</f>
        <v>1.9771880283478538E-2</v>
      </c>
      <c r="U140" s="30" t="e">
        <f>_xll.qlIndexFixing(Index,Q140,,InterestRatesTrigger)</f>
        <v>#NUM!</v>
      </c>
      <c r="V140" s="30" t="e">
        <f t="shared" si="16"/>
        <v>#NUM!</v>
      </c>
      <c r="W140" s="29">
        <f>_xll.qlDayCounterYearFraction(DayCounter,SettlementDate,R140,,,Trigger)</f>
        <v>11.594444444444445</v>
      </c>
      <c r="X140" s="29">
        <f>_xll.qlDayCounterYearFraction(DayCounter,R140,S140)</f>
        <v>8.3333333333333329E-2</v>
      </c>
      <c r="Y140" s="29" t="e">
        <f>_xll.qlYieldTSDiscount(Currency&amp;"ON",R140)/(1+U140*X140)</f>
        <v>#NUM!</v>
      </c>
      <c r="Z140" s="30" t="e">
        <f>_xll.qlTenorBasisValue(TenorBasis6M,R140,InterestRatesTrigger)</f>
        <v>#VALUE!</v>
      </c>
      <c r="AA140" s="30" t="e">
        <f t="shared" si="17"/>
        <v>#NUM!</v>
      </c>
    </row>
    <row r="141" spans="15:27" x14ac:dyDescent="0.2">
      <c r="O141" s="33">
        <v>1</v>
      </c>
      <c r="P141" s="27" t="str">
        <f>_xll.qlPeriodEquivalent(P140&amp;"+"&amp;O141&amp;"M")</f>
        <v>11Y6M</v>
      </c>
      <c r="Q141" s="28">
        <f>_xll.qlCalendarAdvance(Calendar,SettlementDate,P141,"f",,Trigger)</f>
        <v>46364</v>
      </c>
      <c r="R141" s="28">
        <f>_xll.qlInterestRateIndexValueDate(Index,Q141,Trigger)</f>
        <v>46366</v>
      </c>
      <c r="S141" s="28">
        <f>_xll.qlInterestRateIndexMaturity(Index,R141,Trigger)</f>
        <v>46398</v>
      </c>
      <c r="T141" s="30">
        <f>_xll.qlIndexFixing($M$6,Q141,,InterestRatesTrigger)</f>
        <v>1.97726903178716E-2</v>
      </c>
      <c r="U141" s="30" t="e">
        <f>_xll.qlIndexFixing(Index,Q141,,InterestRatesTrigger)</f>
        <v>#NUM!</v>
      </c>
      <c r="V141" s="30" t="e">
        <f t="shared" si="16"/>
        <v>#NUM!</v>
      </c>
      <c r="W141" s="29">
        <f>_xll.qlDayCounterYearFraction(DayCounter,SettlementDate,R141,,,Trigger)</f>
        <v>11.675000000000001</v>
      </c>
      <c r="X141" s="29">
        <f>_xll.qlDayCounterYearFraction(DayCounter,R141,S141)</f>
        <v>8.8888888888888892E-2</v>
      </c>
      <c r="Y141" s="29" t="e">
        <f>_xll.qlYieldTSDiscount(Currency&amp;"ON",R141)/(1+U141*X141)</f>
        <v>#NUM!</v>
      </c>
      <c r="Z141" s="30" t="e">
        <f>_xll.qlTenorBasisValue(TenorBasis6M,R141,InterestRatesTrigger)</f>
        <v>#VALUE!</v>
      </c>
      <c r="AA141" s="30" t="e">
        <f t="shared" si="17"/>
        <v>#NUM!</v>
      </c>
    </row>
    <row r="142" spans="15:27" x14ac:dyDescent="0.2">
      <c r="O142" s="33">
        <v>1</v>
      </c>
      <c r="P142" s="27" t="str">
        <f>_xll.qlPeriodEquivalent(P141&amp;"+"&amp;O142&amp;"M")</f>
        <v>11Y7M</v>
      </c>
      <c r="Q142" s="28">
        <f>_xll.qlCalendarAdvance(Calendar,SettlementDate,P142,"f",,Trigger)</f>
        <v>46395</v>
      </c>
      <c r="R142" s="28">
        <f>_xll.qlInterestRateIndexValueDate(Index,Q142,Trigger)</f>
        <v>46399</v>
      </c>
      <c r="S142" s="28">
        <f>_xll.qlInterestRateIndexMaturity(Index,R142,Trigger)</f>
        <v>46430</v>
      </c>
      <c r="T142" s="30">
        <f>_xll.qlIndexFixing($M$6,Q142,,InterestRatesTrigger)</f>
        <v>1.9775612338301652E-2</v>
      </c>
      <c r="U142" s="30" t="e">
        <f>_xll.qlIndexFixing(Index,Q142,,InterestRatesTrigger)</f>
        <v>#NUM!</v>
      </c>
      <c r="V142" s="30" t="e">
        <f t="shared" si="16"/>
        <v>#NUM!</v>
      </c>
      <c r="W142" s="29">
        <f>_xll.qlDayCounterYearFraction(DayCounter,SettlementDate,R142,,,Trigger)</f>
        <v>11.766666666666667</v>
      </c>
      <c r="X142" s="29">
        <f>_xll.qlDayCounterYearFraction(DayCounter,R142,S142)</f>
        <v>8.611111111111111E-2</v>
      </c>
      <c r="Y142" s="29" t="e">
        <f>_xll.qlYieldTSDiscount(Currency&amp;"ON",R142)/(1+U142*X142)</f>
        <v>#NUM!</v>
      </c>
      <c r="Z142" s="30" t="e">
        <f>_xll.qlTenorBasisValue(TenorBasis6M,R142,InterestRatesTrigger)</f>
        <v>#VALUE!</v>
      </c>
      <c r="AA142" s="30" t="e">
        <f t="shared" si="17"/>
        <v>#NUM!</v>
      </c>
    </row>
    <row r="143" spans="15:27" x14ac:dyDescent="0.2">
      <c r="O143" s="33">
        <v>1</v>
      </c>
      <c r="P143" s="27" t="str">
        <f>_xll.qlPeriodEquivalent(P142&amp;"+"&amp;O143&amp;"M")</f>
        <v>11Y8M</v>
      </c>
      <c r="Q143" s="28">
        <f>_xll.qlCalendarAdvance(Calendar,SettlementDate,P143,"f",,Trigger)</f>
        <v>46426</v>
      </c>
      <c r="R143" s="28">
        <f>_xll.qlInterestRateIndexValueDate(Index,Q143,Trigger)</f>
        <v>46428</v>
      </c>
      <c r="S143" s="28">
        <f>_xll.qlInterestRateIndexMaturity(Index,R143,Trigger)</f>
        <v>46456</v>
      </c>
      <c r="T143" s="30">
        <f>_xll.qlIndexFixing($M$6,Q143,,InterestRatesTrigger)</f>
        <v>1.9779976910377757E-2</v>
      </c>
      <c r="U143" s="30" t="e">
        <f>_xll.qlIndexFixing(Index,Q143,,InterestRatesTrigger)</f>
        <v>#NUM!</v>
      </c>
      <c r="V143" s="30" t="e">
        <f t="shared" si="16"/>
        <v>#NUM!</v>
      </c>
      <c r="W143" s="29">
        <f>_xll.qlDayCounterYearFraction(DayCounter,SettlementDate,R143,,,Trigger)</f>
        <v>11.847222222222221</v>
      </c>
      <c r="X143" s="29">
        <f>_xll.qlDayCounterYearFraction(DayCounter,R143,S143)</f>
        <v>7.7777777777777779E-2</v>
      </c>
      <c r="Y143" s="29" t="e">
        <f>_xll.qlYieldTSDiscount(Currency&amp;"ON",R143)/(1+U143*X143)</f>
        <v>#NUM!</v>
      </c>
      <c r="Z143" s="30" t="e">
        <f>_xll.qlTenorBasisValue(TenorBasis6M,R143,InterestRatesTrigger)</f>
        <v>#VALUE!</v>
      </c>
      <c r="AA143" s="30" t="e">
        <f t="shared" si="17"/>
        <v>#NUM!</v>
      </c>
    </row>
    <row r="144" spans="15:27" x14ac:dyDescent="0.2">
      <c r="O144" s="33">
        <v>1</v>
      </c>
      <c r="P144" s="27" t="str">
        <f>_xll.qlPeriodEquivalent(P143&amp;"+"&amp;O144&amp;"M")</f>
        <v>11Y9M</v>
      </c>
      <c r="Q144" s="28">
        <f>_xll.qlCalendarAdvance(Calendar,SettlementDate,P144,"f",,Trigger)</f>
        <v>46454</v>
      </c>
      <c r="R144" s="28">
        <f>_xll.qlInterestRateIndexValueDate(Index,Q144,Trigger)</f>
        <v>46456</v>
      </c>
      <c r="S144" s="28">
        <f>_xll.qlInterestRateIndexMaturity(Index,R144,Trigger)</f>
        <v>46489</v>
      </c>
      <c r="T144" s="30">
        <f>_xll.qlIndexFixing($M$6,Q144,,InterestRatesTrigger)</f>
        <v>1.9792723672850829E-2</v>
      </c>
      <c r="U144" s="30" t="e">
        <f>_xll.qlIndexFixing(Index,Q144,,InterestRatesTrigger)</f>
        <v>#NUM!</v>
      </c>
      <c r="V144" s="30" t="e">
        <f t="shared" si="16"/>
        <v>#NUM!</v>
      </c>
      <c r="W144" s="29">
        <f>_xll.qlDayCounterYearFraction(DayCounter,SettlementDate,R144,,,Trigger)</f>
        <v>11.925000000000001</v>
      </c>
      <c r="X144" s="29">
        <f>_xll.qlDayCounterYearFraction(DayCounter,R144,S144)</f>
        <v>9.166666666666666E-2</v>
      </c>
      <c r="Y144" s="29" t="e">
        <f>_xll.qlYieldTSDiscount(Currency&amp;"ON",R144)/(1+U144*X144)</f>
        <v>#NUM!</v>
      </c>
      <c r="Z144" s="30" t="e">
        <f>_xll.qlTenorBasisValue(TenorBasis6M,R144,InterestRatesTrigger)</f>
        <v>#VALUE!</v>
      </c>
      <c r="AA144" s="30" t="e">
        <f t="shared" si="17"/>
        <v>#NUM!</v>
      </c>
    </row>
    <row r="145" spans="15:27" x14ac:dyDescent="0.2">
      <c r="O145" s="33">
        <v>1</v>
      </c>
      <c r="P145" s="27" t="str">
        <f>_xll.qlPeriodEquivalent(P144&amp;"+"&amp;O145&amp;"M")</f>
        <v>11Y10M</v>
      </c>
      <c r="Q145" s="28">
        <f>_xll.qlCalendarAdvance(Calendar,SettlementDate,P145,"f",,Trigger)</f>
        <v>46485</v>
      </c>
      <c r="R145" s="28">
        <f>_xll.qlInterestRateIndexValueDate(Index,Q145,Trigger)</f>
        <v>46489</v>
      </c>
      <c r="S145" s="28">
        <f>_xll.qlInterestRateIndexMaturity(Index,R145,Trigger)</f>
        <v>46519</v>
      </c>
      <c r="T145" s="30">
        <f>_xll.qlIndexFixing($M$6,Q145,,InterestRatesTrigger)</f>
        <v>1.980501942161883E-2</v>
      </c>
      <c r="U145" s="30" t="e">
        <f>_xll.qlIndexFixing(Index,Q145,,InterestRatesTrigger)</f>
        <v>#NUM!</v>
      </c>
      <c r="V145" s="30" t="e">
        <f t="shared" si="16"/>
        <v>#NUM!</v>
      </c>
      <c r="W145" s="29">
        <f>_xll.qlDayCounterYearFraction(DayCounter,SettlementDate,R145,,,Trigger)</f>
        <v>12.016666666666667</v>
      </c>
      <c r="X145" s="29">
        <f>_xll.qlDayCounterYearFraction(DayCounter,R145,S145)</f>
        <v>8.3333333333333329E-2</v>
      </c>
      <c r="Y145" s="29" t="e">
        <f>_xll.qlYieldTSDiscount(Currency&amp;"ON",R145)/(1+U145*X145)</f>
        <v>#NUM!</v>
      </c>
      <c r="Z145" s="30" t="e">
        <f>_xll.qlTenorBasisValue(TenorBasis6M,R145,InterestRatesTrigger)</f>
        <v>#VALUE!</v>
      </c>
      <c r="AA145" s="30" t="e">
        <f t="shared" si="17"/>
        <v>#NUM!</v>
      </c>
    </row>
    <row r="146" spans="15:27" x14ac:dyDescent="0.2">
      <c r="O146" s="33">
        <v>1</v>
      </c>
      <c r="P146" s="27" t="str">
        <f>_xll.qlPeriodEquivalent(P145&amp;"+"&amp;O146&amp;"M")</f>
        <v>11Y11M</v>
      </c>
      <c r="Q146" s="28">
        <f>_xll.qlCalendarAdvance(Calendar,SettlementDate,P146,"f",,Trigger)</f>
        <v>46517</v>
      </c>
      <c r="R146" s="28">
        <f>_xll.qlInterestRateIndexValueDate(Index,Q146,Trigger)</f>
        <v>46519</v>
      </c>
      <c r="S146" s="28">
        <f>_xll.qlInterestRateIndexMaturity(Index,R146,Trigger)</f>
        <v>46552</v>
      </c>
      <c r="T146" s="30">
        <f>_xll.qlIndexFixing($M$6,Q146,,InterestRatesTrigger)</f>
        <v>1.9824342144534123E-2</v>
      </c>
      <c r="U146" s="30" t="e">
        <f>_xll.qlIndexFixing(Index,Q146,,InterestRatesTrigger)</f>
        <v>#NUM!</v>
      </c>
      <c r="V146" s="30" t="e">
        <f t="shared" si="16"/>
        <v>#NUM!</v>
      </c>
      <c r="W146" s="29">
        <f>_xll.qlDayCounterYearFraction(DayCounter,SettlementDate,R146,,,Trigger)</f>
        <v>12.1</v>
      </c>
      <c r="X146" s="29">
        <f>_xll.qlDayCounterYearFraction(DayCounter,R146,S146)</f>
        <v>9.166666666666666E-2</v>
      </c>
      <c r="Y146" s="29" t="e">
        <f>_xll.qlYieldTSDiscount(Currency&amp;"ON",R146)/(1+U146*X146)</f>
        <v>#NUM!</v>
      </c>
      <c r="Z146" s="30" t="e">
        <f>_xll.qlTenorBasisValue(TenorBasis6M,R146,InterestRatesTrigger)</f>
        <v>#VALUE!</v>
      </c>
      <c r="AA146" s="30" t="e">
        <f t="shared" si="17"/>
        <v>#NUM!</v>
      </c>
    </row>
    <row r="147" spans="15:27" x14ac:dyDescent="0.2">
      <c r="O147" s="33">
        <v>1</v>
      </c>
      <c r="P147" s="27" t="str">
        <f>_xll.qlPeriodEquivalent(P146&amp;"+"&amp;O147&amp;"M")</f>
        <v>12Y</v>
      </c>
      <c r="Q147" s="28">
        <f>_xll.qlCalendarAdvance(Calendar,SettlementDate,P147,"f",,Trigger)</f>
        <v>46546</v>
      </c>
      <c r="R147" s="28">
        <f>_xll.qlInterestRateIndexValueDate(Index,Q147,Trigger)</f>
        <v>46548</v>
      </c>
      <c r="S147" s="28">
        <f>_xll.qlInterestRateIndexMaturity(Index,R147,Trigger)</f>
        <v>46580</v>
      </c>
      <c r="T147" s="30">
        <f>_xll.qlIndexFixing($M$6,Q147,,InterestRatesTrigger)</f>
        <v>1.9841902581851645E-2</v>
      </c>
      <c r="U147" s="30" t="e">
        <f>_xll.qlIndexFixing(Index,Q147,,InterestRatesTrigger)</f>
        <v>#NUM!</v>
      </c>
      <c r="V147" s="30" t="e">
        <f t="shared" si="16"/>
        <v>#NUM!</v>
      </c>
      <c r="W147" s="29">
        <f>_xll.qlDayCounterYearFraction(DayCounter,SettlementDate,R147,,,Trigger)</f>
        <v>12.180555555555555</v>
      </c>
      <c r="X147" s="29">
        <f>_xll.qlDayCounterYearFraction(DayCounter,R147,S147)</f>
        <v>8.8888888888888892E-2</v>
      </c>
      <c r="Y147" s="29" t="e">
        <f>_xll.qlYieldTSDiscount(Currency&amp;"ON",R147)/(1+U147*X147)</f>
        <v>#NUM!</v>
      </c>
      <c r="Z147" s="30" t="e">
        <f>_xll.qlTenorBasisValue(TenorBasis6M,R147,InterestRatesTrigger)</f>
        <v>#VALUE!</v>
      </c>
      <c r="AA147" s="30" t="e">
        <f t="shared" si="17"/>
        <v>#NUM!</v>
      </c>
    </row>
    <row r="148" spans="15:27" x14ac:dyDescent="0.2">
      <c r="O148" s="33">
        <v>1</v>
      </c>
      <c r="P148" s="27" t="str">
        <f>_xll.qlPeriodEquivalent(P147&amp;"+"&amp;O148&amp;"M")</f>
        <v>12Y1M</v>
      </c>
      <c r="Q148" s="28">
        <f>_xll.qlCalendarAdvance(Calendar,SettlementDate,P148,"f",,Trigger)</f>
        <v>46576</v>
      </c>
      <c r="R148" s="28">
        <f>_xll.qlInterestRateIndexValueDate(Index,Q148,Trigger)</f>
        <v>46580</v>
      </c>
      <c r="S148" s="28">
        <f>_xll.qlInterestRateIndexMaturity(Index,R148,Trigger)</f>
        <v>46611</v>
      </c>
      <c r="T148" s="30">
        <f>_xll.qlIndexFixing($M$6,Q148,,InterestRatesTrigger)</f>
        <v>1.9860548019001938E-2</v>
      </c>
      <c r="U148" s="30" t="e">
        <f>_xll.qlIndexFixing(Index,Q148,,InterestRatesTrigger)</f>
        <v>#NUM!</v>
      </c>
      <c r="V148" s="30" t="e">
        <f t="shared" si="16"/>
        <v>#NUM!</v>
      </c>
      <c r="W148" s="29">
        <f>_xll.qlDayCounterYearFraction(DayCounter,SettlementDate,R148,,,Trigger)</f>
        <v>12.269444444444444</v>
      </c>
      <c r="X148" s="29">
        <f>_xll.qlDayCounterYearFraction(DayCounter,R148,S148)</f>
        <v>8.611111111111111E-2</v>
      </c>
      <c r="Y148" s="29" t="e">
        <f>_xll.qlYieldTSDiscount(Currency&amp;"ON",R148)/(1+U148*X148)</f>
        <v>#NUM!</v>
      </c>
      <c r="Z148" s="30" t="e">
        <f>_xll.qlTenorBasisValue(TenorBasis6M,R148,InterestRatesTrigger)</f>
        <v>#VALUE!</v>
      </c>
      <c r="AA148" s="30" t="e">
        <f t="shared" si="17"/>
        <v>#NUM!</v>
      </c>
    </row>
    <row r="149" spans="15:27" x14ac:dyDescent="0.2">
      <c r="O149" s="33">
        <v>1</v>
      </c>
      <c r="P149" s="27" t="str">
        <f>_xll.qlPeriodEquivalent(P148&amp;"+"&amp;O149&amp;"M")</f>
        <v>12Y2M</v>
      </c>
      <c r="Q149" s="28">
        <f>_xll.qlCalendarAdvance(Calendar,SettlementDate,P149,"f",,Trigger)</f>
        <v>46608</v>
      </c>
      <c r="R149" s="28">
        <f>_xll.qlInterestRateIndexValueDate(Index,Q149,Trigger)</f>
        <v>46610</v>
      </c>
      <c r="S149" s="28">
        <f>_xll.qlInterestRateIndexMaturity(Index,R149,Trigger)</f>
        <v>46643</v>
      </c>
      <c r="T149" s="30">
        <f>_xll.qlIndexFixing($M$6,Q149,,InterestRatesTrigger)</f>
        <v>1.987909538087413E-2</v>
      </c>
      <c r="U149" s="30" t="e">
        <f>_xll.qlIndexFixing(Index,Q149,,InterestRatesTrigger)</f>
        <v>#NUM!</v>
      </c>
      <c r="V149" s="30" t="e">
        <f t="shared" si="16"/>
        <v>#NUM!</v>
      </c>
      <c r="W149" s="29">
        <f>_xll.qlDayCounterYearFraction(DayCounter,SettlementDate,R149,,,Trigger)</f>
        <v>12.352777777777778</v>
      </c>
      <c r="X149" s="29">
        <f>_xll.qlDayCounterYearFraction(DayCounter,R149,S149)</f>
        <v>9.166666666666666E-2</v>
      </c>
      <c r="Y149" s="29" t="e">
        <f>_xll.qlYieldTSDiscount(Currency&amp;"ON",R149)/(1+U149*X149)</f>
        <v>#NUM!</v>
      </c>
      <c r="Z149" s="30" t="e">
        <f>_xll.qlTenorBasisValue(TenorBasis6M,R149,InterestRatesTrigger)</f>
        <v>#VALUE!</v>
      </c>
      <c r="AA149" s="30" t="e">
        <f t="shared" si="17"/>
        <v>#NUM!</v>
      </c>
    </row>
    <row r="150" spans="15:27" x14ac:dyDescent="0.2">
      <c r="O150" s="33">
        <v>1</v>
      </c>
      <c r="P150" s="27" t="str">
        <f>_xll.qlPeriodEquivalent(P149&amp;"+"&amp;O150&amp;"M")</f>
        <v>12Y3M</v>
      </c>
      <c r="Q150" s="28">
        <f>_xll.qlCalendarAdvance(Calendar,SettlementDate,P150,"f",,Trigger)</f>
        <v>46638</v>
      </c>
      <c r="R150" s="28">
        <f>_xll.qlInterestRateIndexValueDate(Index,Q150,Trigger)</f>
        <v>46640</v>
      </c>
      <c r="S150" s="28">
        <f>_xll.qlInterestRateIndexMaturity(Index,R150,Trigger)</f>
        <v>46671</v>
      </c>
      <c r="T150" s="30">
        <f>_xll.qlIndexFixing($M$6,Q150,,InterestRatesTrigger)</f>
        <v>1.9893058078294293E-2</v>
      </c>
      <c r="U150" s="30" t="e">
        <f>_xll.qlIndexFixing(Index,Q150,,InterestRatesTrigger)</f>
        <v>#NUM!</v>
      </c>
      <c r="V150" s="30" t="e">
        <f t="shared" si="16"/>
        <v>#NUM!</v>
      </c>
      <c r="W150" s="29">
        <f>_xll.qlDayCounterYearFraction(DayCounter,SettlementDate,R150,,,Trigger)</f>
        <v>12.436111111111112</v>
      </c>
      <c r="X150" s="29">
        <f>_xll.qlDayCounterYearFraction(DayCounter,R150,S150)</f>
        <v>8.611111111111111E-2</v>
      </c>
      <c r="Y150" s="29" t="e">
        <f>_xll.qlYieldTSDiscount(Currency&amp;"ON",R150)/(1+U150*X150)</f>
        <v>#NUM!</v>
      </c>
      <c r="Z150" s="30" t="e">
        <f>_xll.qlTenorBasisValue(TenorBasis6M,R150,InterestRatesTrigger)</f>
        <v>#VALUE!</v>
      </c>
      <c r="AA150" s="30" t="e">
        <f t="shared" si="17"/>
        <v>#NUM!</v>
      </c>
    </row>
    <row r="151" spans="15:27" x14ac:dyDescent="0.2">
      <c r="O151" s="33">
        <v>1</v>
      </c>
      <c r="P151" s="27" t="str">
        <f>_xll.qlPeriodEquivalent(P150&amp;"+"&amp;O151&amp;"M")</f>
        <v>12Y4M</v>
      </c>
      <c r="Q151" s="28">
        <f>_xll.qlCalendarAdvance(Calendar,SettlementDate,P151,"f",,Trigger)</f>
        <v>46668</v>
      </c>
      <c r="R151" s="28">
        <f>_xll.qlInterestRateIndexValueDate(Index,Q151,Trigger)</f>
        <v>46672</v>
      </c>
      <c r="S151" s="28">
        <f>_xll.qlInterestRateIndexMaturity(Index,R151,Trigger)</f>
        <v>46703</v>
      </c>
      <c r="T151" s="30">
        <f>_xll.qlIndexFixing($M$6,Q151,,InterestRatesTrigger)</f>
        <v>1.9908231069214754E-2</v>
      </c>
      <c r="U151" s="30" t="e">
        <f>_xll.qlIndexFixing(Index,Q151,,InterestRatesTrigger)</f>
        <v>#NUM!</v>
      </c>
      <c r="V151" s="30" t="e">
        <f t="shared" si="16"/>
        <v>#NUM!</v>
      </c>
      <c r="W151" s="29">
        <f>_xll.qlDayCounterYearFraction(DayCounter,SettlementDate,R151,,,Trigger)</f>
        <v>12.525</v>
      </c>
      <c r="X151" s="29">
        <f>_xll.qlDayCounterYearFraction(DayCounter,R151,S151)</f>
        <v>8.611111111111111E-2</v>
      </c>
      <c r="Y151" s="29" t="e">
        <f>_xll.qlYieldTSDiscount(Currency&amp;"ON",R151)/(1+U151*X151)</f>
        <v>#NUM!</v>
      </c>
      <c r="Z151" s="30" t="e">
        <f>_xll.qlTenorBasisValue(TenorBasis6M,R151,InterestRatesTrigger)</f>
        <v>#VALUE!</v>
      </c>
      <c r="AA151" s="30" t="e">
        <f t="shared" si="17"/>
        <v>#NUM!</v>
      </c>
    </row>
    <row r="152" spans="15:27" x14ac:dyDescent="0.2">
      <c r="O152" s="33">
        <v>1</v>
      </c>
      <c r="P152" s="27" t="str">
        <f>_xll.qlPeriodEquivalent(P151&amp;"+"&amp;O152&amp;"M")</f>
        <v>12Y5M</v>
      </c>
      <c r="Q152" s="28">
        <f>_xll.qlCalendarAdvance(Calendar,SettlementDate,P152,"f",,Trigger)</f>
        <v>46699</v>
      </c>
      <c r="R152" s="28">
        <f>_xll.qlInterestRateIndexValueDate(Index,Q152,Trigger)</f>
        <v>46701</v>
      </c>
      <c r="S152" s="28">
        <f>_xll.qlInterestRateIndexMaturity(Index,R152,Trigger)</f>
        <v>46731</v>
      </c>
      <c r="T152" s="30">
        <f>_xll.qlIndexFixing($M$6,Q152,,InterestRatesTrigger)</f>
        <v>1.9919929008456627E-2</v>
      </c>
      <c r="U152" s="30" t="e">
        <f>_xll.qlIndexFixing(Index,Q152,,InterestRatesTrigger)</f>
        <v>#NUM!</v>
      </c>
      <c r="V152" s="30" t="e">
        <f t="shared" si="16"/>
        <v>#NUM!</v>
      </c>
      <c r="W152" s="29">
        <f>_xll.qlDayCounterYearFraction(DayCounter,SettlementDate,R152,,,Trigger)</f>
        <v>12.605555555555556</v>
      </c>
      <c r="X152" s="29">
        <f>_xll.qlDayCounterYearFraction(DayCounter,R152,S152)</f>
        <v>8.3333333333333329E-2</v>
      </c>
      <c r="Y152" s="29" t="e">
        <f>_xll.qlYieldTSDiscount(Currency&amp;"ON",R152)/(1+U152*X152)</f>
        <v>#NUM!</v>
      </c>
      <c r="Z152" s="30" t="e">
        <f>_xll.qlTenorBasisValue(TenorBasis6M,R152,InterestRatesTrigger)</f>
        <v>#VALUE!</v>
      </c>
      <c r="AA152" s="30" t="e">
        <f t="shared" si="17"/>
        <v>#NUM!</v>
      </c>
    </row>
    <row r="153" spans="15:27" x14ac:dyDescent="0.2">
      <c r="O153" s="33">
        <v>1</v>
      </c>
      <c r="P153" s="27" t="str">
        <f>_xll.qlPeriodEquivalent(P152&amp;"+"&amp;O153&amp;"M")</f>
        <v>12Y6M</v>
      </c>
      <c r="Q153" s="28">
        <f>_xll.qlCalendarAdvance(Calendar,SettlementDate,P153,"f",,Trigger)</f>
        <v>46729</v>
      </c>
      <c r="R153" s="28">
        <f>_xll.qlInterestRateIndexValueDate(Index,Q153,Trigger)</f>
        <v>46731</v>
      </c>
      <c r="S153" s="28">
        <f>_xll.qlInterestRateIndexMaturity(Index,R153,Trigger)</f>
        <v>46762</v>
      </c>
      <c r="T153" s="30">
        <f>_xll.qlIndexFixing($M$6,Q153,,InterestRatesTrigger)</f>
        <v>1.9932256626366246E-2</v>
      </c>
      <c r="U153" s="30" t="e">
        <f>_xll.qlIndexFixing(Index,Q153,,InterestRatesTrigger)</f>
        <v>#NUM!</v>
      </c>
      <c r="V153" s="30" t="e">
        <f t="shared" si="16"/>
        <v>#NUM!</v>
      </c>
      <c r="W153" s="29">
        <f>_xll.qlDayCounterYearFraction(DayCounter,SettlementDate,R153,,,Trigger)</f>
        <v>12.688888888888888</v>
      </c>
      <c r="X153" s="29">
        <f>_xll.qlDayCounterYearFraction(DayCounter,R153,S153)</f>
        <v>8.611111111111111E-2</v>
      </c>
      <c r="Y153" s="29" t="e">
        <f>_xll.qlYieldTSDiscount(Currency&amp;"ON",R153)/(1+U153*X153)</f>
        <v>#NUM!</v>
      </c>
      <c r="Z153" s="30" t="e">
        <f>_xll.qlTenorBasisValue(TenorBasis6M,R153,InterestRatesTrigger)</f>
        <v>#VALUE!</v>
      </c>
      <c r="AA153" s="30" t="e">
        <f t="shared" si="17"/>
        <v>#NUM!</v>
      </c>
    </row>
    <row r="154" spans="15:27" x14ac:dyDescent="0.2">
      <c r="O154" s="33">
        <v>1</v>
      </c>
      <c r="P154" s="27" t="str">
        <f>_xll.qlPeriodEquivalent(P153&amp;"+"&amp;O154&amp;"M")</f>
        <v>12Y7M</v>
      </c>
      <c r="Q154" s="28">
        <f>_xll.qlCalendarAdvance(Calendar,SettlementDate,P154,"f",,Trigger)</f>
        <v>46762</v>
      </c>
      <c r="R154" s="28">
        <f>_xll.qlInterestRateIndexValueDate(Index,Q154,Trigger)</f>
        <v>46764</v>
      </c>
      <c r="S154" s="28">
        <f>_xll.qlInterestRateIndexMaturity(Index,R154,Trigger)</f>
        <v>46797</v>
      </c>
      <c r="T154" s="30">
        <f>_xll.qlIndexFixing($M$6,Q154,,InterestRatesTrigger)</f>
        <v>1.9944872196325489E-2</v>
      </c>
      <c r="U154" s="30" t="e">
        <f>_xll.qlIndexFixing(Index,Q154,,InterestRatesTrigger)</f>
        <v>#NUM!</v>
      </c>
      <c r="V154" s="30" t="e">
        <f t="shared" si="16"/>
        <v>#NUM!</v>
      </c>
      <c r="W154" s="29">
        <f>_xll.qlDayCounterYearFraction(DayCounter,SettlementDate,R154,,,Trigger)</f>
        <v>12.780555555555555</v>
      </c>
      <c r="X154" s="29">
        <f>_xll.qlDayCounterYearFraction(DayCounter,R154,S154)</f>
        <v>9.166666666666666E-2</v>
      </c>
      <c r="Y154" s="29" t="e">
        <f>_xll.qlYieldTSDiscount(Currency&amp;"ON",R154)/(1+U154*X154)</f>
        <v>#NUM!</v>
      </c>
      <c r="Z154" s="30" t="e">
        <f>_xll.qlTenorBasisValue(TenorBasis6M,R154,InterestRatesTrigger)</f>
        <v>#VALUE!</v>
      </c>
      <c r="AA154" s="30" t="e">
        <f t="shared" si="17"/>
        <v>#NUM!</v>
      </c>
    </row>
    <row r="155" spans="15:27" x14ac:dyDescent="0.2">
      <c r="O155" s="33">
        <v>1</v>
      </c>
      <c r="P155" s="27" t="str">
        <f>_xll.qlPeriodEquivalent(P154&amp;"+"&amp;O155&amp;"M")</f>
        <v>12Y8M</v>
      </c>
      <c r="Q155" s="28">
        <f>_xll.qlCalendarAdvance(Calendar,SettlementDate,P155,"f",,Trigger)</f>
        <v>46791</v>
      </c>
      <c r="R155" s="28">
        <f>_xll.qlInterestRateIndexValueDate(Index,Q155,Trigger)</f>
        <v>46793</v>
      </c>
      <c r="S155" s="28">
        <f>_xll.qlInterestRateIndexMaturity(Index,R155,Trigger)</f>
        <v>46822</v>
      </c>
      <c r="T155" s="30">
        <f>_xll.qlIndexFixing($M$6,Q155,,InterestRatesTrigger)</f>
        <v>1.9950613982039459E-2</v>
      </c>
      <c r="U155" s="30" t="e">
        <f>_xll.qlIndexFixing(Index,Q155,,InterestRatesTrigger)</f>
        <v>#NUM!</v>
      </c>
      <c r="V155" s="30" t="e">
        <f t="shared" si="16"/>
        <v>#NUM!</v>
      </c>
      <c r="W155" s="29">
        <f>_xll.qlDayCounterYearFraction(DayCounter,SettlementDate,R155,,,Trigger)</f>
        <v>12.861111111111111</v>
      </c>
      <c r="X155" s="29">
        <f>_xll.qlDayCounterYearFraction(DayCounter,R155,S155)</f>
        <v>8.0555555555555561E-2</v>
      </c>
      <c r="Y155" s="29" t="e">
        <f>_xll.qlYieldTSDiscount(Currency&amp;"ON",R155)/(1+U155*X155)</f>
        <v>#NUM!</v>
      </c>
      <c r="Z155" s="30" t="e">
        <f>_xll.qlTenorBasisValue(TenorBasis6M,R155,InterestRatesTrigger)</f>
        <v>#VALUE!</v>
      </c>
      <c r="AA155" s="30" t="e">
        <f t="shared" si="17"/>
        <v>#NUM!</v>
      </c>
    </row>
    <row r="156" spans="15:27" x14ac:dyDescent="0.2">
      <c r="O156" s="33">
        <v>1</v>
      </c>
      <c r="P156" s="27" t="str">
        <f>_xll.qlPeriodEquivalent(P155&amp;"+"&amp;O156&amp;"M")</f>
        <v>12Y9M</v>
      </c>
      <c r="Q156" s="28">
        <f>_xll.qlCalendarAdvance(Calendar,SettlementDate,P156,"f",,Trigger)</f>
        <v>46820</v>
      </c>
      <c r="R156" s="28">
        <f>_xll.qlInterestRateIndexValueDate(Index,Q156,Trigger)</f>
        <v>46822</v>
      </c>
      <c r="S156" s="28">
        <f>_xll.qlInterestRateIndexMaturity(Index,R156,Trigger)</f>
        <v>46853</v>
      </c>
      <c r="T156" s="30">
        <f>_xll.qlIndexFixing($M$6,Q156,,InterestRatesTrigger)</f>
        <v>1.9959271463623768E-2</v>
      </c>
      <c r="U156" s="30" t="e">
        <f>_xll.qlIndexFixing(Index,Q156,,InterestRatesTrigger)</f>
        <v>#NUM!</v>
      </c>
      <c r="V156" s="30" t="e">
        <f t="shared" si="16"/>
        <v>#NUM!</v>
      </c>
      <c r="W156" s="29">
        <f>_xll.qlDayCounterYearFraction(DayCounter,SettlementDate,R156,,,Trigger)</f>
        <v>12.941666666666666</v>
      </c>
      <c r="X156" s="29">
        <f>_xll.qlDayCounterYearFraction(DayCounter,R156,S156)</f>
        <v>8.611111111111111E-2</v>
      </c>
      <c r="Y156" s="29" t="e">
        <f>_xll.qlYieldTSDiscount(Currency&amp;"ON",R156)/(1+U156*X156)</f>
        <v>#NUM!</v>
      </c>
      <c r="Z156" s="30" t="e">
        <f>_xll.qlTenorBasisValue(TenorBasis6M,R156,InterestRatesTrigger)</f>
        <v>#VALUE!</v>
      </c>
      <c r="AA156" s="30" t="e">
        <f t="shared" si="17"/>
        <v>#NUM!</v>
      </c>
    </row>
    <row r="157" spans="15:27" x14ac:dyDescent="0.2">
      <c r="O157" s="33">
        <v>1</v>
      </c>
      <c r="P157" s="27" t="str">
        <f>_xll.qlPeriodEquivalent(P156&amp;"+"&amp;O157&amp;"M")</f>
        <v>12Y10M</v>
      </c>
      <c r="Q157" s="28">
        <f>_xll.qlCalendarAdvance(Calendar,SettlementDate,P157,"f",,Trigger)</f>
        <v>46853</v>
      </c>
      <c r="R157" s="28">
        <f>_xll.qlInterestRateIndexValueDate(Index,Q157,Trigger)</f>
        <v>46855</v>
      </c>
      <c r="S157" s="28">
        <f>_xll.qlInterestRateIndexMaturity(Index,R157,Trigger)</f>
        <v>46885</v>
      </c>
      <c r="T157" s="30">
        <f>_xll.qlIndexFixing($M$6,Q157,,InterestRatesTrigger)</f>
        <v>1.9965417317600043E-2</v>
      </c>
      <c r="U157" s="30" t="e">
        <f>_xll.qlIndexFixing(Index,Q157,,InterestRatesTrigger)</f>
        <v>#NUM!</v>
      </c>
      <c r="V157" s="30" t="e">
        <f t="shared" si="16"/>
        <v>#NUM!</v>
      </c>
      <c r="W157" s="29">
        <f>_xll.qlDayCounterYearFraction(DayCounter,SettlementDate,R157,,,Trigger)</f>
        <v>13.033333333333333</v>
      </c>
      <c r="X157" s="29">
        <f>_xll.qlDayCounterYearFraction(DayCounter,R157,S157)</f>
        <v>8.3333333333333329E-2</v>
      </c>
      <c r="Y157" s="29" t="e">
        <f>_xll.qlYieldTSDiscount(Currency&amp;"ON",R157)/(1+U157*X157)</f>
        <v>#NUM!</v>
      </c>
      <c r="Z157" s="30" t="e">
        <f>_xll.qlTenorBasisValue(TenorBasis6M,R157,InterestRatesTrigger)</f>
        <v>#VALUE!</v>
      </c>
      <c r="AA157" s="30" t="e">
        <f t="shared" si="17"/>
        <v>#NUM!</v>
      </c>
    </row>
    <row r="158" spans="15:27" x14ac:dyDescent="0.2">
      <c r="O158" s="33">
        <v>1</v>
      </c>
      <c r="P158" s="27" t="str">
        <f>_xll.qlPeriodEquivalent(P157&amp;"+"&amp;O158&amp;"M")</f>
        <v>12Y11M</v>
      </c>
      <c r="Q158" s="28">
        <f>_xll.qlCalendarAdvance(Calendar,SettlementDate,P158,"f",,Trigger)</f>
        <v>46881</v>
      </c>
      <c r="R158" s="28">
        <f>_xll.qlInterestRateIndexValueDate(Index,Q158,Trigger)</f>
        <v>46883</v>
      </c>
      <c r="S158" s="28">
        <f>_xll.qlInterestRateIndexMaturity(Index,R158,Trigger)</f>
        <v>46916</v>
      </c>
      <c r="T158" s="30">
        <f>_xll.qlIndexFixing($M$6,Q158,,InterestRatesTrigger)</f>
        <v>1.9971798243707539E-2</v>
      </c>
      <c r="U158" s="30" t="e">
        <f>_xll.qlIndexFixing(Index,Q158,,InterestRatesTrigger)</f>
        <v>#NUM!</v>
      </c>
      <c r="V158" s="30" t="e">
        <f t="shared" si="16"/>
        <v>#NUM!</v>
      </c>
      <c r="W158" s="29">
        <f>_xll.qlDayCounterYearFraction(DayCounter,SettlementDate,R158,,,Trigger)</f>
        <v>13.111111111111111</v>
      </c>
      <c r="X158" s="29">
        <f>_xll.qlDayCounterYearFraction(DayCounter,R158,S158)</f>
        <v>9.166666666666666E-2</v>
      </c>
      <c r="Y158" s="29" t="e">
        <f>_xll.qlYieldTSDiscount(Currency&amp;"ON",R158)/(1+U158*X158)</f>
        <v>#NUM!</v>
      </c>
      <c r="Z158" s="30" t="e">
        <f>_xll.qlTenorBasisValue(TenorBasis6M,R158,InterestRatesTrigger)</f>
        <v>#VALUE!</v>
      </c>
      <c r="AA158" s="30" t="e">
        <f t="shared" si="17"/>
        <v>#NUM!</v>
      </c>
    </row>
    <row r="159" spans="15:27" x14ac:dyDescent="0.2">
      <c r="O159" s="33">
        <v>1</v>
      </c>
      <c r="P159" s="27" t="str">
        <f>_xll.qlPeriodEquivalent(P158&amp;"+"&amp;O159&amp;"M")</f>
        <v>13Y</v>
      </c>
      <c r="Q159" s="28">
        <f>_xll.qlCalendarAdvance(Calendar,SettlementDate,P159,"f",,Trigger)</f>
        <v>46912</v>
      </c>
      <c r="R159" s="28">
        <f>_xll.qlInterestRateIndexValueDate(Index,Q159,Trigger)</f>
        <v>46916</v>
      </c>
      <c r="S159" s="28">
        <f>_xll.qlInterestRateIndexMaturity(Index,R159,Trigger)</f>
        <v>46946</v>
      </c>
      <c r="T159" s="30">
        <f>_xll.qlIndexFixing($M$6,Q159,,InterestRatesTrigger)</f>
        <v>1.9973787929435716E-2</v>
      </c>
      <c r="U159" s="30" t="e">
        <f>_xll.qlIndexFixing(Index,Q159,,InterestRatesTrigger)</f>
        <v>#NUM!</v>
      </c>
      <c r="V159" s="30" t="e">
        <f t="shared" si="16"/>
        <v>#NUM!</v>
      </c>
      <c r="W159" s="29">
        <f>_xll.qlDayCounterYearFraction(DayCounter,SettlementDate,R159,,,Trigger)</f>
        <v>13.202777777777778</v>
      </c>
      <c r="X159" s="29">
        <f>_xll.qlDayCounterYearFraction(DayCounter,R159,S159)</f>
        <v>8.3333333333333329E-2</v>
      </c>
      <c r="Y159" s="29" t="e">
        <f>_xll.qlYieldTSDiscount(Currency&amp;"ON",R159)/(1+U159*X159)</f>
        <v>#NUM!</v>
      </c>
      <c r="Z159" s="30" t="e">
        <f>_xll.qlTenorBasisValue(TenorBasis6M,R159,InterestRatesTrigger)</f>
        <v>#VALUE!</v>
      </c>
      <c r="AA159" s="30" t="e">
        <f t="shared" si="17"/>
        <v>#NUM!</v>
      </c>
    </row>
    <row r="160" spans="15:27" x14ac:dyDescent="0.2">
      <c r="O160" s="33">
        <v>1</v>
      </c>
      <c r="P160" s="27" t="str">
        <f>_xll.qlPeriodEquivalent(P159&amp;"+"&amp;O160&amp;"M")</f>
        <v>13Y1M</v>
      </c>
      <c r="Q160" s="28">
        <f>_xll.qlCalendarAdvance(Calendar,SettlementDate,P160,"f",,Trigger)</f>
        <v>46944</v>
      </c>
      <c r="R160" s="28">
        <f>_xll.qlInterestRateIndexValueDate(Index,Q160,Trigger)</f>
        <v>46946</v>
      </c>
      <c r="S160" s="28">
        <f>_xll.qlInterestRateIndexMaturity(Index,R160,Trigger)</f>
        <v>46979</v>
      </c>
      <c r="T160" s="30">
        <f>_xll.qlIndexFixing($M$6,Q160,,InterestRatesTrigger)</f>
        <v>1.9977617321959525E-2</v>
      </c>
      <c r="U160" s="30" t="e">
        <f>_xll.qlIndexFixing(Index,Q160,,InterestRatesTrigger)</f>
        <v>#NUM!</v>
      </c>
      <c r="V160" s="30" t="e">
        <f t="shared" si="16"/>
        <v>#NUM!</v>
      </c>
      <c r="W160" s="29">
        <f>_xll.qlDayCounterYearFraction(DayCounter,SettlementDate,R160,,,Trigger)</f>
        <v>13.286111111111111</v>
      </c>
      <c r="X160" s="29">
        <f>_xll.qlDayCounterYearFraction(DayCounter,R160,S160)</f>
        <v>9.166666666666666E-2</v>
      </c>
      <c r="Y160" s="29" t="e">
        <f>_xll.qlYieldTSDiscount(Currency&amp;"ON",R160)/(1+U160*X160)</f>
        <v>#NUM!</v>
      </c>
      <c r="Z160" s="30" t="e">
        <f>_xll.qlTenorBasisValue(TenorBasis6M,R160,InterestRatesTrigger)</f>
        <v>#VALUE!</v>
      </c>
      <c r="AA160" s="30" t="e">
        <f t="shared" si="17"/>
        <v>#NUM!</v>
      </c>
    </row>
    <row r="161" spans="15:27" x14ac:dyDescent="0.2">
      <c r="O161" s="33">
        <v>1</v>
      </c>
      <c r="P161" s="27" t="str">
        <f>_xll.qlPeriodEquivalent(P160&amp;"+"&amp;O161&amp;"M")</f>
        <v>13Y2M</v>
      </c>
      <c r="Q161" s="28">
        <f>_xll.qlCalendarAdvance(Calendar,SettlementDate,P161,"f",,Trigger)</f>
        <v>46973</v>
      </c>
      <c r="R161" s="28">
        <f>_xll.qlInterestRateIndexValueDate(Index,Q161,Trigger)</f>
        <v>46975</v>
      </c>
      <c r="S161" s="28">
        <f>_xll.qlInterestRateIndexMaturity(Index,R161,Trigger)</f>
        <v>47007</v>
      </c>
      <c r="T161" s="30">
        <f>_xll.qlIndexFixing($M$6,Q161,,InterestRatesTrigger)</f>
        <v>1.997778113673937E-2</v>
      </c>
      <c r="U161" s="30" t="e">
        <f>_xll.qlIndexFixing(Index,Q161,,InterestRatesTrigger)</f>
        <v>#NUM!</v>
      </c>
      <c r="V161" s="30" t="e">
        <f t="shared" si="16"/>
        <v>#NUM!</v>
      </c>
      <c r="W161" s="29">
        <f>_xll.qlDayCounterYearFraction(DayCounter,SettlementDate,R161,,,Trigger)</f>
        <v>13.366666666666667</v>
      </c>
      <c r="X161" s="29">
        <f>_xll.qlDayCounterYearFraction(DayCounter,R161,S161)</f>
        <v>8.8888888888888892E-2</v>
      </c>
      <c r="Y161" s="29" t="e">
        <f>_xll.qlYieldTSDiscount(Currency&amp;"ON",R161)/(1+U161*X161)</f>
        <v>#NUM!</v>
      </c>
      <c r="Z161" s="30" t="e">
        <f>_xll.qlTenorBasisValue(TenorBasis6M,R161,InterestRatesTrigger)</f>
        <v>#VALUE!</v>
      </c>
      <c r="AA161" s="30" t="e">
        <f t="shared" si="17"/>
        <v>#NUM!</v>
      </c>
    </row>
    <row r="162" spans="15:27" x14ac:dyDescent="0.2">
      <c r="O162" s="33">
        <v>1</v>
      </c>
      <c r="P162" s="27" t="str">
        <f>_xll.qlPeriodEquivalent(P161&amp;"+"&amp;O162&amp;"M")</f>
        <v>13Y3M</v>
      </c>
      <c r="Q162" s="28">
        <f>_xll.qlCalendarAdvance(Calendar,SettlementDate,P162,"f",,Trigger)</f>
        <v>47004</v>
      </c>
      <c r="R162" s="28">
        <f>_xll.qlInterestRateIndexValueDate(Index,Q162,Trigger)</f>
        <v>47008</v>
      </c>
      <c r="S162" s="28">
        <f>_xll.qlInterestRateIndexMaturity(Index,R162,Trigger)</f>
        <v>47038</v>
      </c>
      <c r="T162" s="30">
        <f>_xll.qlIndexFixing($M$6,Q162,,InterestRatesTrigger)</f>
        <v>1.997605801354041E-2</v>
      </c>
      <c r="U162" s="30" t="e">
        <f>_xll.qlIndexFixing(Index,Q162,,InterestRatesTrigger)</f>
        <v>#NUM!</v>
      </c>
      <c r="V162" s="30" t="e">
        <f t="shared" si="16"/>
        <v>#NUM!</v>
      </c>
      <c r="W162" s="29">
        <f>_xll.qlDayCounterYearFraction(DayCounter,SettlementDate,R162,,,Trigger)</f>
        <v>13.458333333333334</v>
      </c>
      <c r="X162" s="29">
        <f>_xll.qlDayCounterYearFraction(DayCounter,R162,S162)</f>
        <v>8.3333333333333329E-2</v>
      </c>
      <c r="Y162" s="29" t="e">
        <f>_xll.qlYieldTSDiscount(Currency&amp;"ON",R162)/(1+U162*X162)</f>
        <v>#NUM!</v>
      </c>
      <c r="Z162" s="30" t="e">
        <f>_xll.qlTenorBasisValue(TenorBasis6M,R162,InterestRatesTrigger)</f>
        <v>#VALUE!</v>
      </c>
      <c r="AA162" s="30" t="e">
        <f t="shared" si="17"/>
        <v>#NUM!</v>
      </c>
    </row>
    <row r="163" spans="15:27" x14ac:dyDescent="0.2">
      <c r="O163" s="33">
        <v>1</v>
      </c>
      <c r="P163" s="27" t="str">
        <f>_xll.qlPeriodEquivalent(P162&amp;"+"&amp;O163&amp;"M")</f>
        <v>13Y4M</v>
      </c>
      <c r="Q163" s="28">
        <f>_xll.qlCalendarAdvance(Calendar,SettlementDate,P163,"f",,Trigger)</f>
        <v>47035</v>
      </c>
      <c r="R163" s="28">
        <f>_xll.qlInterestRateIndexValueDate(Index,Q163,Trigger)</f>
        <v>47037</v>
      </c>
      <c r="S163" s="28">
        <f>_xll.qlInterestRateIndexMaturity(Index,R163,Trigger)</f>
        <v>47070</v>
      </c>
      <c r="T163" s="30">
        <f>_xll.qlIndexFixing($M$6,Q163,,InterestRatesTrigger)</f>
        <v>1.9975712100979755E-2</v>
      </c>
      <c r="U163" s="30" t="e">
        <f>_xll.qlIndexFixing(Index,Q163,,InterestRatesTrigger)</f>
        <v>#NUM!</v>
      </c>
      <c r="V163" s="30" t="e">
        <f t="shared" si="16"/>
        <v>#NUM!</v>
      </c>
      <c r="W163" s="29">
        <f>_xll.qlDayCounterYearFraction(DayCounter,SettlementDate,R163,,,Trigger)</f>
        <v>13.53888888888889</v>
      </c>
      <c r="X163" s="29">
        <f>_xll.qlDayCounterYearFraction(DayCounter,R163,S163)</f>
        <v>9.166666666666666E-2</v>
      </c>
      <c r="Y163" s="29" t="e">
        <f>_xll.qlYieldTSDiscount(Currency&amp;"ON",R163)/(1+U163*X163)</f>
        <v>#NUM!</v>
      </c>
      <c r="Z163" s="30" t="e">
        <f>_xll.qlTenorBasisValue(TenorBasis6M,R163,InterestRatesTrigger)</f>
        <v>#VALUE!</v>
      </c>
      <c r="AA163" s="30" t="e">
        <f t="shared" si="17"/>
        <v>#NUM!</v>
      </c>
    </row>
    <row r="164" spans="15:27" x14ac:dyDescent="0.2">
      <c r="O164" s="33">
        <v>1</v>
      </c>
      <c r="P164" s="27" t="str">
        <f>_xll.qlPeriodEquivalent(P163&amp;"+"&amp;O164&amp;"M")</f>
        <v>13Y5M</v>
      </c>
      <c r="Q164" s="28">
        <f>_xll.qlCalendarAdvance(Calendar,SettlementDate,P164,"f",,Trigger)</f>
        <v>47065</v>
      </c>
      <c r="R164" s="28">
        <f>_xll.qlInterestRateIndexValueDate(Index,Q164,Trigger)</f>
        <v>47067</v>
      </c>
      <c r="S164" s="28">
        <f>_xll.qlInterestRateIndexMaturity(Index,R164,Trigger)</f>
        <v>47098</v>
      </c>
      <c r="T164" s="30">
        <f>_xll.qlIndexFixing($M$6,Q164,,InterestRatesTrigger)</f>
        <v>1.997144509452968E-2</v>
      </c>
      <c r="U164" s="30" t="e">
        <f>_xll.qlIndexFixing(Index,Q164,,InterestRatesTrigger)</f>
        <v>#NUM!</v>
      </c>
      <c r="V164" s="30" t="e">
        <f t="shared" si="16"/>
        <v>#NUM!</v>
      </c>
      <c r="W164" s="29">
        <f>_xll.qlDayCounterYearFraction(DayCounter,SettlementDate,R164,,,Trigger)</f>
        <v>13.622222222222222</v>
      </c>
      <c r="X164" s="29">
        <f>_xll.qlDayCounterYearFraction(DayCounter,R164,S164)</f>
        <v>8.611111111111111E-2</v>
      </c>
      <c r="Y164" s="29" t="e">
        <f>_xll.qlYieldTSDiscount(Currency&amp;"ON",R164)/(1+U164*X164)</f>
        <v>#NUM!</v>
      </c>
      <c r="Z164" s="30" t="e">
        <f>_xll.qlTenorBasisValue(TenorBasis6M,R164,InterestRatesTrigger)</f>
        <v>#VALUE!</v>
      </c>
      <c r="AA164" s="30" t="e">
        <f t="shared" si="17"/>
        <v>#NUM!</v>
      </c>
    </row>
    <row r="165" spans="15:27" x14ac:dyDescent="0.2">
      <c r="O165" s="33">
        <v>1</v>
      </c>
      <c r="P165" s="27" t="str">
        <f>_xll.qlPeriodEquivalent(P164&amp;"+"&amp;O165&amp;"M")</f>
        <v>13Y6M</v>
      </c>
      <c r="Q165" s="28">
        <f>_xll.qlCalendarAdvance(Calendar,SettlementDate,P165,"f",,Trigger)</f>
        <v>47095</v>
      </c>
      <c r="R165" s="28">
        <f>_xll.qlInterestRateIndexValueDate(Index,Q165,Trigger)</f>
        <v>47099</v>
      </c>
      <c r="S165" s="28">
        <f>_xll.qlInterestRateIndexMaturity(Index,R165,Trigger)</f>
        <v>47130</v>
      </c>
      <c r="T165" s="30">
        <f>_xll.qlIndexFixing($M$6,Q165,,InterestRatesTrigger)</f>
        <v>1.9966514312589514E-2</v>
      </c>
      <c r="U165" s="30" t="e">
        <f>_xll.qlIndexFixing(Index,Q165,,InterestRatesTrigger)</f>
        <v>#NUM!</v>
      </c>
      <c r="V165" s="30" t="e">
        <f t="shared" si="16"/>
        <v>#NUM!</v>
      </c>
      <c r="W165" s="29">
        <f>_xll.qlDayCounterYearFraction(DayCounter,SettlementDate,R165,,,Trigger)</f>
        <v>13.71111111111111</v>
      </c>
      <c r="X165" s="29">
        <f>_xll.qlDayCounterYearFraction(DayCounter,R165,S165)</f>
        <v>8.611111111111111E-2</v>
      </c>
      <c r="Y165" s="29" t="e">
        <f>_xll.qlYieldTSDiscount(Currency&amp;"ON",R165)/(1+U165*X165)</f>
        <v>#NUM!</v>
      </c>
      <c r="Z165" s="30" t="e">
        <f>_xll.qlTenorBasisValue(TenorBasis6M,R165,InterestRatesTrigger)</f>
        <v>#VALUE!</v>
      </c>
      <c r="AA165" s="30" t="e">
        <f t="shared" si="17"/>
        <v>#NUM!</v>
      </c>
    </row>
    <row r="166" spans="15:27" x14ac:dyDescent="0.2">
      <c r="O166" s="33">
        <v>1</v>
      </c>
      <c r="P166" s="27" t="str">
        <f>_xll.qlPeriodEquivalent(P165&amp;"+"&amp;O166&amp;"M")</f>
        <v>13Y7M</v>
      </c>
      <c r="Q166" s="28">
        <f>_xll.qlCalendarAdvance(Calendar,SettlementDate,P166,"f",,Trigger)</f>
        <v>47126</v>
      </c>
      <c r="R166" s="28">
        <f>_xll.qlInterestRateIndexValueDate(Index,Q166,Trigger)</f>
        <v>47128</v>
      </c>
      <c r="S166" s="28">
        <f>_xll.qlInterestRateIndexMaturity(Index,R166,Trigger)</f>
        <v>47161</v>
      </c>
      <c r="T166" s="30">
        <f>_xll.qlIndexFixing($M$6,Q166,,InterestRatesTrigger)</f>
        <v>1.9961621685711251E-2</v>
      </c>
      <c r="U166" s="30" t="e">
        <f>_xll.qlIndexFixing(Index,Q166,,InterestRatesTrigger)</f>
        <v>#NUM!</v>
      </c>
      <c r="V166" s="30" t="e">
        <f t="shared" si="16"/>
        <v>#NUM!</v>
      </c>
      <c r="W166" s="29">
        <f>_xll.qlDayCounterYearFraction(DayCounter,SettlementDate,R166,,,Trigger)</f>
        <v>13.791666666666666</v>
      </c>
      <c r="X166" s="29">
        <f>_xll.qlDayCounterYearFraction(DayCounter,R166,S166)</f>
        <v>9.166666666666666E-2</v>
      </c>
      <c r="Y166" s="29" t="e">
        <f>_xll.qlYieldTSDiscount(Currency&amp;"ON",R166)/(1+U166*X166)</f>
        <v>#NUM!</v>
      </c>
      <c r="Z166" s="30" t="e">
        <f>_xll.qlTenorBasisValue(TenorBasis6M,R166,InterestRatesTrigger)</f>
        <v>#VALUE!</v>
      </c>
      <c r="AA166" s="30" t="e">
        <f t="shared" si="17"/>
        <v>#NUM!</v>
      </c>
    </row>
    <row r="167" spans="15:27" x14ac:dyDescent="0.2">
      <c r="O167" s="33">
        <v>1</v>
      </c>
      <c r="P167" s="27" t="str">
        <f>_xll.qlPeriodEquivalent(P166&amp;"+"&amp;O167&amp;"M")</f>
        <v>13Y8M</v>
      </c>
      <c r="Q167" s="28">
        <f>_xll.qlCalendarAdvance(Calendar,SettlementDate,P167,"f",,Trigger)</f>
        <v>47157</v>
      </c>
      <c r="R167" s="28">
        <f>_xll.qlInterestRateIndexValueDate(Index,Q167,Trigger)</f>
        <v>47161</v>
      </c>
      <c r="S167" s="28">
        <f>_xll.qlInterestRateIndexMaturity(Index,R167,Trigger)</f>
        <v>47189</v>
      </c>
      <c r="T167" s="30">
        <f>_xll.qlIndexFixing($M$6,Q167,,InterestRatesTrigger)</f>
        <v>1.9951428213501123E-2</v>
      </c>
      <c r="U167" s="30" t="e">
        <f>_xll.qlIndexFixing(Index,Q167,,InterestRatesTrigger)</f>
        <v>#NUM!</v>
      </c>
      <c r="V167" s="30" t="e">
        <f t="shared" si="16"/>
        <v>#NUM!</v>
      </c>
      <c r="W167" s="29">
        <f>_xll.qlDayCounterYearFraction(DayCounter,SettlementDate,R167,,,Trigger)</f>
        <v>13.883333333333333</v>
      </c>
      <c r="X167" s="29">
        <f>_xll.qlDayCounterYearFraction(DayCounter,R167,S167)</f>
        <v>7.7777777777777779E-2</v>
      </c>
      <c r="Y167" s="29" t="e">
        <f>_xll.qlYieldTSDiscount(Currency&amp;"ON",R167)/(1+U167*X167)</f>
        <v>#NUM!</v>
      </c>
      <c r="Z167" s="30" t="e">
        <f>_xll.qlTenorBasisValue(TenorBasis6M,R167,InterestRatesTrigger)</f>
        <v>#VALUE!</v>
      </c>
      <c r="AA167" s="30" t="e">
        <f t="shared" si="17"/>
        <v>#NUM!</v>
      </c>
    </row>
    <row r="168" spans="15:27" x14ac:dyDescent="0.2">
      <c r="O168" s="33">
        <v>1</v>
      </c>
      <c r="P168" s="27" t="str">
        <f>_xll.qlPeriodEquivalent(P167&amp;"+"&amp;O168&amp;"M")</f>
        <v>13Y9M</v>
      </c>
      <c r="Q168" s="28">
        <f>_xll.qlCalendarAdvance(Calendar,SettlementDate,P168,"f",,Trigger)</f>
        <v>47185</v>
      </c>
      <c r="R168" s="28">
        <f>_xll.qlInterestRateIndexValueDate(Index,Q168,Trigger)</f>
        <v>47189</v>
      </c>
      <c r="S168" s="28">
        <f>_xll.qlInterestRateIndexMaturity(Index,R168,Trigger)</f>
        <v>47220</v>
      </c>
      <c r="T168" s="30">
        <f>_xll.qlIndexFixing($M$6,Q168,,InterestRatesTrigger)</f>
        <v>1.9944569069183803E-2</v>
      </c>
      <c r="U168" s="30" t="e">
        <f>_xll.qlIndexFixing(Index,Q168,,InterestRatesTrigger)</f>
        <v>#NUM!</v>
      </c>
      <c r="V168" s="30" t="e">
        <f t="shared" si="16"/>
        <v>#NUM!</v>
      </c>
      <c r="W168" s="29">
        <f>_xll.qlDayCounterYearFraction(DayCounter,SettlementDate,R168,,,Trigger)</f>
        <v>13.96111111111111</v>
      </c>
      <c r="X168" s="29">
        <f>_xll.qlDayCounterYearFraction(DayCounter,R168,S168)</f>
        <v>8.611111111111111E-2</v>
      </c>
      <c r="Y168" s="29" t="e">
        <f>_xll.qlYieldTSDiscount(Currency&amp;"ON",R168)/(1+U168*X168)</f>
        <v>#NUM!</v>
      </c>
      <c r="Z168" s="30" t="e">
        <f>_xll.qlTenorBasisValue(TenorBasis6M,R168,InterestRatesTrigger)</f>
        <v>#VALUE!</v>
      </c>
      <c r="AA168" s="30" t="e">
        <f t="shared" si="17"/>
        <v>#NUM!</v>
      </c>
    </row>
    <row r="169" spans="15:27" x14ac:dyDescent="0.2">
      <c r="O169" s="33">
        <v>1</v>
      </c>
      <c r="P169" s="27" t="str">
        <f>_xll.qlPeriodEquivalent(P168&amp;"+"&amp;O169&amp;"M")</f>
        <v>13Y10M</v>
      </c>
      <c r="Q169" s="28">
        <f>_xll.qlCalendarAdvance(Calendar,SettlementDate,P169,"f",,Trigger)</f>
        <v>47217</v>
      </c>
      <c r="R169" s="28">
        <f>_xll.qlInterestRateIndexValueDate(Index,Q169,Trigger)</f>
        <v>47219</v>
      </c>
      <c r="S169" s="28">
        <f>_xll.qlInterestRateIndexMaturity(Index,R169,Trigger)</f>
        <v>47249</v>
      </c>
      <c r="T169" s="30">
        <f>_xll.qlIndexFixing($M$6,Q169,,InterestRatesTrigger)</f>
        <v>1.9934234696616038E-2</v>
      </c>
      <c r="U169" s="30" t="e">
        <f>_xll.qlIndexFixing(Index,Q169,,InterestRatesTrigger)</f>
        <v>#NUM!</v>
      </c>
      <c r="V169" s="30" t="e">
        <f t="shared" si="16"/>
        <v>#NUM!</v>
      </c>
      <c r="W169" s="29">
        <f>_xll.qlDayCounterYearFraction(DayCounter,SettlementDate,R169,,,Trigger)</f>
        <v>14.044444444444444</v>
      </c>
      <c r="X169" s="29">
        <f>_xll.qlDayCounterYearFraction(DayCounter,R169,S169)</f>
        <v>8.3333333333333329E-2</v>
      </c>
      <c r="Y169" s="29" t="e">
        <f>_xll.qlYieldTSDiscount(Currency&amp;"ON",R169)/(1+U169*X169)</f>
        <v>#NUM!</v>
      </c>
      <c r="Z169" s="30" t="e">
        <f>_xll.qlTenorBasisValue(TenorBasis6M,R169,InterestRatesTrigger)</f>
        <v>#VALUE!</v>
      </c>
      <c r="AA169" s="30" t="e">
        <f t="shared" si="17"/>
        <v>#NUM!</v>
      </c>
    </row>
    <row r="170" spans="15:27" x14ac:dyDescent="0.2">
      <c r="O170" s="33">
        <v>1</v>
      </c>
      <c r="P170" s="27" t="str">
        <f>_xll.qlPeriodEquivalent(P169&amp;"+"&amp;O170&amp;"M")</f>
        <v>13Y11M</v>
      </c>
      <c r="Q170" s="28">
        <f>_xll.qlCalendarAdvance(Calendar,SettlementDate,P170,"f",,Trigger)</f>
        <v>47246</v>
      </c>
      <c r="R170" s="28">
        <f>_xll.qlInterestRateIndexValueDate(Index,Q170,Trigger)</f>
        <v>47248</v>
      </c>
      <c r="S170" s="28">
        <f>_xll.qlInterestRateIndexMaturity(Index,R170,Trigger)</f>
        <v>47280</v>
      </c>
      <c r="T170" s="30">
        <f>_xll.qlIndexFixing($M$6,Q170,,InterestRatesTrigger)</f>
        <v>1.992406422202303E-2</v>
      </c>
      <c r="U170" s="30" t="e">
        <f>_xll.qlIndexFixing(Index,Q170,,InterestRatesTrigger)</f>
        <v>#NUM!</v>
      </c>
      <c r="V170" s="30" t="e">
        <f t="shared" si="16"/>
        <v>#NUM!</v>
      </c>
      <c r="W170" s="29">
        <f>_xll.qlDayCounterYearFraction(DayCounter,SettlementDate,R170,,,Trigger)</f>
        <v>14.125</v>
      </c>
      <c r="X170" s="29">
        <f>_xll.qlDayCounterYearFraction(DayCounter,R170,S170)</f>
        <v>8.8888888888888892E-2</v>
      </c>
      <c r="Y170" s="29" t="e">
        <f>_xll.qlYieldTSDiscount(Currency&amp;"ON",R170)/(1+U170*X170)</f>
        <v>#NUM!</v>
      </c>
      <c r="Z170" s="30" t="e">
        <f>_xll.qlTenorBasisValue(TenorBasis6M,R170,InterestRatesTrigger)</f>
        <v>#VALUE!</v>
      </c>
      <c r="AA170" s="30" t="e">
        <f t="shared" si="17"/>
        <v>#NUM!</v>
      </c>
    </row>
    <row r="171" spans="15:27" x14ac:dyDescent="0.2">
      <c r="O171" s="33">
        <v>1</v>
      </c>
      <c r="P171" s="27" t="str">
        <f>_xll.qlPeriodEquivalent(P170&amp;"+"&amp;O171&amp;"M")</f>
        <v>14Y</v>
      </c>
      <c r="Q171" s="28">
        <f>_xll.qlCalendarAdvance(Calendar,SettlementDate,P171,"f",,Trigger)</f>
        <v>47277</v>
      </c>
      <c r="R171" s="28">
        <f>_xll.qlInterestRateIndexValueDate(Index,Q171,Trigger)</f>
        <v>47281</v>
      </c>
      <c r="S171" s="28">
        <f>_xll.qlInterestRateIndexMaturity(Index,R171,Trigger)</f>
        <v>47311</v>
      </c>
      <c r="T171" s="30">
        <f>_xll.qlIndexFixing($M$6,Q171,,InterestRatesTrigger)</f>
        <v>1.9909494529533056E-2</v>
      </c>
      <c r="U171" s="30" t="e">
        <f>_xll.qlIndexFixing(Index,Q171,,InterestRatesTrigger)</f>
        <v>#NUM!</v>
      </c>
      <c r="V171" s="30" t="e">
        <f t="shared" si="16"/>
        <v>#NUM!</v>
      </c>
      <c r="W171" s="29">
        <f>_xll.qlDayCounterYearFraction(DayCounter,SettlementDate,R171,,,Trigger)</f>
        <v>14.216666666666667</v>
      </c>
      <c r="X171" s="29">
        <f>_xll.qlDayCounterYearFraction(DayCounter,R171,S171)</f>
        <v>8.3333333333333329E-2</v>
      </c>
      <c r="Y171" s="29" t="e">
        <f>_xll.qlYieldTSDiscount(Currency&amp;"ON",R171)/(1+U171*X171)</f>
        <v>#NUM!</v>
      </c>
      <c r="Z171" s="30" t="e">
        <f>_xll.qlTenorBasisValue(TenorBasis6M,R171,InterestRatesTrigger)</f>
        <v>#VALUE!</v>
      </c>
      <c r="AA171" s="30" t="e">
        <f t="shared" si="17"/>
        <v>#NUM!</v>
      </c>
    </row>
    <row r="172" spans="15:27" x14ac:dyDescent="0.2">
      <c r="O172" s="33">
        <v>1</v>
      </c>
      <c r="P172" s="27" t="str">
        <f>_xll.qlPeriodEquivalent(P171&amp;"+"&amp;O172&amp;"M")</f>
        <v>14Y1M</v>
      </c>
      <c r="Q172" s="28">
        <f>_xll.qlCalendarAdvance(Calendar,SettlementDate,P172,"f",,Trigger)</f>
        <v>47308</v>
      </c>
      <c r="R172" s="28">
        <f>_xll.qlInterestRateIndexValueDate(Index,Q172,Trigger)</f>
        <v>47310</v>
      </c>
      <c r="S172" s="28">
        <f>_xll.qlInterestRateIndexMaturity(Index,R172,Trigger)</f>
        <v>47343</v>
      </c>
      <c r="T172" s="30">
        <f>_xll.qlIndexFixing($M$6,Q172,,InterestRatesTrigger)</f>
        <v>1.9896885501591299E-2</v>
      </c>
      <c r="U172" s="30" t="e">
        <f>_xll.qlIndexFixing(Index,Q172,,InterestRatesTrigger)</f>
        <v>#NUM!</v>
      </c>
      <c r="V172" s="30" t="e">
        <f t="shared" si="16"/>
        <v>#NUM!</v>
      </c>
      <c r="W172" s="29">
        <f>_xll.qlDayCounterYearFraction(DayCounter,SettlementDate,R172,,,Trigger)</f>
        <v>14.297222222222222</v>
      </c>
      <c r="X172" s="29">
        <f>_xll.qlDayCounterYearFraction(DayCounter,R172,S172)</f>
        <v>9.166666666666666E-2</v>
      </c>
      <c r="Y172" s="29" t="e">
        <f>_xll.qlYieldTSDiscount(Currency&amp;"ON",R172)/(1+U172*X172)</f>
        <v>#NUM!</v>
      </c>
      <c r="Z172" s="30" t="e">
        <f>_xll.qlTenorBasisValue(TenorBasis6M,R172,InterestRatesTrigger)</f>
        <v>#VALUE!</v>
      </c>
      <c r="AA172" s="30" t="e">
        <f t="shared" si="17"/>
        <v>#NUM!</v>
      </c>
    </row>
    <row r="173" spans="15:27" x14ac:dyDescent="0.2">
      <c r="O173" s="33">
        <v>1</v>
      </c>
      <c r="P173" s="27" t="str">
        <f>_xll.qlPeriodEquivalent(P172&amp;"+"&amp;O173&amp;"M")</f>
        <v>14Y2M</v>
      </c>
      <c r="Q173" s="28">
        <f>_xll.qlCalendarAdvance(Calendar,SettlementDate,P173,"f",,Trigger)</f>
        <v>47338</v>
      </c>
      <c r="R173" s="28">
        <f>_xll.qlInterestRateIndexValueDate(Index,Q173,Trigger)</f>
        <v>47340</v>
      </c>
      <c r="S173" s="28">
        <f>_xll.qlInterestRateIndexMaturity(Index,R173,Trigger)</f>
        <v>47371</v>
      </c>
      <c r="T173" s="30">
        <f>_xll.qlIndexFixing($M$6,Q173,,InterestRatesTrigger)</f>
        <v>1.9880979028005265E-2</v>
      </c>
      <c r="U173" s="30" t="e">
        <f>_xll.qlIndexFixing(Index,Q173,,InterestRatesTrigger)</f>
        <v>#NUM!</v>
      </c>
      <c r="V173" s="30" t="e">
        <f t="shared" si="16"/>
        <v>#NUM!</v>
      </c>
      <c r="W173" s="29">
        <f>_xll.qlDayCounterYearFraction(DayCounter,SettlementDate,R173,,,Trigger)</f>
        <v>14.380555555555556</v>
      </c>
      <c r="X173" s="29">
        <f>_xll.qlDayCounterYearFraction(DayCounter,R173,S173)</f>
        <v>8.611111111111111E-2</v>
      </c>
      <c r="Y173" s="29" t="e">
        <f>_xll.qlYieldTSDiscount(Currency&amp;"ON",R173)/(1+U173*X173)</f>
        <v>#NUM!</v>
      </c>
      <c r="Z173" s="30" t="e">
        <f>_xll.qlTenorBasisValue(TenorBasis6M,R173,InterestRatesTrigger)</f>
        <v>#VALUE!</v>
      </c>
      <c r="AA173" s="30" t="e">
        <f t="shared" si="17"/>
        <v>#NUM!</v>
      </c>
    </row>
    <row r="174" spans="15:27" x14ac:dyDescent="0.2">
      <c r="O174" s="33">
        <v>1</v>
      </c>
      <c r="P174" s="27" t="str">
        <f>_xll.qlPeriodEquivalent(P173&amp;"+"&amp;O174&amp;"M")</f>
        <v>14Y3M</v>
      </c>
      <c r="Q174" s="28">
        <f>_xll.qlCalendarAdvance(Calendar,SettlementDate,P174,"f",,Trigger)</f>
        <v>47371</v>
      </c>
      <c r="R174" s="28">
        <f>_xll.qlInterestRateIndexValueDate(Index,Q174,Trigger)</f>
        <v>47373</v>
      </c>
      <c r="S174" s="28">
        <f>_xll.qlInterestRateIndexMaturity(Index,R174,Trigger)</f>
        <v>47403</v>
      </c>
      <c r="T174" s="30">
        <f>_xll.qlIndexFixing($M$6,Q174,,InterestRatesTrigger)</f>
        <v>1.9862361373832016E-2</v>
      </c>
      <c r="U174" s="30" t="e">
        <f>_xll.qlIndexFixing(Index,Q174,,InterestRatesTrigger)</f>
        <v>#NUM!</v>
      </c>
      <c r="V174" s="30" t="e">
        <f t="shared" si="16"/>
        <v>#NUM!</v>
      </c>
      <c r="W174" s="29">
        <f>_xll.qlDayCounterYearFraction(DayCounter,SettlementDate,R174,,,Trigger)</f>
        <v>14.472222222222221</v>
      </c>
      <c r="X174" s="29">
        <f>_xll.qlDayCounterYearFraction(DayCounter,R174,S174)</f>
        <v>8.3333333333333329E-2</v>
      </c>
      <c r="Y174" s="29" t="e">
        <f>_xll.qlYieldTSDiscount(Currency&amp;"ON",R174)/(1+U174*X174)</f>
        <v>#NUM!</v>
      </c>
      <c r="Z174" s="30" t="e">
        <f>_xll.qlTenorBasisValue(TenorBasis6M,R174,InterestRatesTrigger)</f>
        <v>#VALUE!</v>
      </c>
      <c r="AA174" s="30" t="e">
        <f t="shared" si="17"/>
        <v>#NUM!</v>
      </c>
    </row>
    <row r="175" spans="15:27" x14ac:dyDescent="0.2">
      <c r="O175" s="33">
        <v>1</v>
      </c>
      <c r="P175" s="27" t="str">
        <f>_xll.qlPeriodEquivalent(P174&amp;"+"&amp;O175&amp;"M")</f>
        <v>14Y4M</v>
      </c>
      <c r="Q175" s="28">
        <f>_xll.qlCalendarAdvance(Calendar,SettlementDate,P175,"f",,Trigger)</f>
        <v>47399</v>
      </c>
      <c r="R175" s="28">
        <f>_xll.qlInterestRateIndexValueDate(Index,Q175,Trigger)</f>
        <v>47401</v>
      </c>
      <c r="S175" s="28">
        <f>_xll.qlInterestRateIndexMaturity(Index,R175,Trigger)</f>
        <v>47434</v>
      </c>
      <c r="T175" s="30">
        <f>_xll.qlIndexFixing($M$6,Q175,,InterestRatesTrigger)</f>
        <v>1.984623994926241E-2</v>
      </c>
      <c r="U175" s="30" t="e">
        <f>_xll.qlIndexFixing(Index,Q175,,InterestRatesTrigger)</f>
        <v>#NUM!</v>
      </c>
      <c r="V175" s="30" t="e">
        <f t="shared" si="16"/>
        <v>#NUM!</v>
      </c>
      <c r="W175" s="29">
        <f>_xll.qlDayCounterYearFraction(DayCounter,SettlementDate,R175,,,Trigger)</f>
        <v>14.55</v>
      </c>
      <c r="X175" s="29">
        <f>_xll.qlDayCounterYearFraction(DayCounter,R175,S175)</f>
        <v>9.166666666666666E-2</v>
      </c>
      <c r="Y175" s="29" t="e">
        <f>_xll.qlYieldTSDiscount(Currency&amp;"ON",R175)/(1+U175*X175)</f>
        <v>#NUM!</v>
      </c>
      <c r="Z175" s="30" t="e">
        <f>_xll.qlTenorBasisValue(TenorBasis6M,R175,InterestRatesTrigger)</f>
        <v>#VALUE!</v>
      </c>
      <c r="AA175" s="30" t="e">
        <f t="shared" si="17"/>
        <v>#NUM!</v>
      </c>
    </row>
    <row r="176" spans="15:27" x14ac:dyDescent="0.2">
      <c r="O176" s="33">
        <v>1</v>
      </c>
      <c r="P176" s="27" t="str">
        <f>_xll.qlPeriodEquivalent(P175&amp;"+"&amp;O176&amp;"M")</f>
        <v>14Y5M</v>
      </c>
      <c r="Q176" s="28">
        <f>_xll.qlCalendarAdvance(Calendar,SettlementDate,P176,"f",,Trigger)</f>
        <v>47430</v>
      </c>
      <c r="R176" s="28">
        <f>_xll.qlInterestRateIndexValueDate(Index,Q176,Trigger)</f>
        <v>47434</v>
      </c>
      <c r="S176" s="28">
        <f>_xll.qlInterestRateIndexMaturity(Index,R176,Trigger)</f>
        <v>47464</v>
      </c>
      <c r="T176" s="30">
        <f>_xll.qlIndexFixing($M$6,Q176,,InterestRatesTrigger)</f>
        <v>1.982424477726763E-2</v>
      </c>
      <c r="U176" s="30" t="e">
        <f>_xll.qlIndexFixing(Index,Q176,,InterestRatesTrigger)</f>
        <v>#NUM!</v>
      </c>
      <c r="V176" s="30" t="e">
        <f t="shared" si="16"/>
        <v>#NUM!</v>
      </c>
      <c r="W176" s="29">
        <f>_xll.qlDayCounterYearFraction(DayCounter,SettlementDate,R176,,,Trigger)</f>
        <v>14.641666666666667</v>
      </c>
      <c r="X176" s="29">
        <f>_xll.qlDayCounterYearFraction(DayCounter,R176,S176)</f>
        <v>8.3333333333333329E-2</v>
      </c>
      <c r="Y176" s="29" t="e">
        <f>_xll.qlYieldTSDiscount(Currency&amp;"ON",R176)/(1+U176*X176)</f>
        <v>#NUM!</v>
      </c>
      <c r="Z176" s="30" t="e">
        <f>_xll.qlTenorBasisValue(TenorBasis6M,R176,InterestRatesTrigger)</f>
        <v>#VALUE!</v>
      </c>
      <c r="AA176" s="30" t="e">
        <f t="shared" si="17"/>
        <v>#NUM!</v>
      </c>
    </row>
    <row r="177" spans="15:27" x14ac:dyDescent="0.2">
      <c r="O177" s="33">
        <v>1</v>
      </c>
      <c r="P177" s="27" t="str">
        <f>_xll.qlPeriodEquivalent(P176&amp;"+"&amp;O177&amp;"M")</f>
        <v>14Y6M</v>
      </c>
      <c r="Q177" s="28">
        <f>_xll.qlCalendarAdvance(Calendar,SettlementDate,P177,"f",,Trigger)</f>
        <v>47462</v>
      </c>
      <c r="R177" s="28">
        <f>_xll.qlInterestRateIndexValueDate(Index,Q177,Trigger)</f>
        <v>47464</v>
      </c>
      <c r="S177" s="28">
        <f>_xll.qlInterestRateIndexMaturity(Index,R177,Trigger)</f>
        <v>47497</v>
      </c>
      <c r="T177" s="30">
        <f>_xll.qlIndexFixing($M$6,Q177,,InterestRatesTrigger)</f>
        <v>1.9804039813273118E-2</v>
      </c>
      <c r="U177" s="30" t="e">
        <f>_xll.qlIndexFixing(Index,Q177,,InterestRatesTrigger)</f>
        <v>#NUM!</v>
      </c>
      <c r="V177" s="30" t="e">
        <f t="shared" si="16"/>
        <v>#NUM!</v>
      </c>
      <c r="W177" s="29">
        <f>_xll.qlDayCounterYearFraction(DayCounter,SettlementDate,R177,,,Trigger)</f>
        <v>14.725</v>
      </c>
      <c r="X177" s="29">
        <f>_xll.qlDayCounterYearFraction(DayCounter,R177,S177)</f>
        <v>9.166666666666666E-2</v>
      </c>
      <c r="Y177" s="29" t="e">
        <f>_xll.qlYieldTSDiscount(Currency&amp;"ON",R177)/(1+U177*X177)</f>
        <v>#NUM!</v>
      </c>
      <c r="Z177" s="30" t="e">
        <f>_xll.qlTenorBasisValue(TenorBasis6M,R177,InterestRatesTrigger)</f>
        <v>#VALUE!</v>
      </c>
      <c r="AA177" s="30" t="e">
        <f t="shared" si="17"/>
        <v>#NUM!</v>
      </c>
    </row>
    <row r="178" spans="15:27" x14ac:dyDescent="0.2">
      <c r="O178" s="33">
        <v>1</v>
      </c>
      <c r="P178" s="27" t="str">
        <f>_xll.qlPeriodEquivalent(P177&amp;"+"&amp;O178&amp;"M")</f>
        <v>14Y7M</v>
      </c>
      <c r="Q178" s="28">
        <f>_xll.qlCalendarAdvance(Calendar,SettlementDate,P178,"f",,Trigger)</f>
        <v>47491</v>
      </c>
      <c r="R178" s="28">
        <f>_xll.qlInterestRateIndexValueDate(Index,Q178,Trigger)</f>
        <v>47493</v>
      </c>
      <c r="S178" s="28">
        <f>_xll.qlInterestRateIndexMaturity(Index,R178,Trigger)</f>
        <v>47525</v>
      </c>
      <c r="T178" s="30">
        <f>_xll.qlIndexFixing($M$6,Q178,,InterestRatesTrigger)</f>
        <v>1.9782491512090328E-2</v>
      </c>
      <c r="U178" s="30" t="e">
        <f>_xll.qlIndexFixing(Index,Q178,,InterestRatesTrigger)</f>
        <v>#NUM!</v>
      </c>
      <c r="V178" s="30" t="e">
        <f t="shared" si="16"/>
        <v>#NUM!</v>
      </c>
      <c r="W178" s="29">
        <f>_xll.qlDayCounterYearFraction(DayCounter,SettlementDate,R178,,,Trigger)</f>
        <v>14.805555555555555</v>
      </c>
      <c r="X178" s="29">
        <f>_xll.qlDayCounterYearFraction(DayCounter,R178,S178)</f>
        <v>8.8888888888888892E-2</v>
      </c>
      <c r="Y178" s="29" t="e">
        <f>_xll.qlYieldTSDiscount(Currency&amp;"ON",R178)/(1+U178*X178)</f>
        <v>#NUM!</v>
      </c>
      <c r="Z178" s="30" t="e">
        <f>_xll.qlTenorBasisValue(TenorBasis6M,R178,InterestRatesTrigger)</f>
        <v>#VALUE!</v>
      </c>
      <c r="AA178" s="30" t="e">
        <f t="shared" si="17"/>
        <v>#NUM!</v>
      </c>
    </row>
    <row r="179" spans="15:27" x14ac:dyDescent="0.2">
      <c r="O179" s="33">
        <v>1</v>
      </c>
      <c r="P179" s="27" t="str">
        <f>_xll.qlPeriodEquivalent(P178&amp;"+"&amp;O179&amp;"M")</f>
        <v>14Y8M</v>
      </c>
      <c r="Q179" s="28">
        <f>_xll.qlCalendarAdvance(Calendar,SettlementDate,P179,"f",,Trigger)</f>
        <v>47522</v>
      </c>
      <c r="R179" s="28">
        <f>_xll.qlInterestRateIndexValueDate(Index,Q179,Trigger)</f>
        <v>47526</v>
      </c>
      <c r="S179" s="28">
        <f>_xll.qlInterestRateIndexMaturity(Index,R179,Trigger)</f>
        <v>47554</v>
      </c>
      <c r="T179" s="30">
        <f>_xll.qlIndexFixing($M$6,Q179,,InterestRatesTrigger)</f>
        <v>1.9756131202555149E-2</v>
      </c>
      <c r="U179" s="30" t="e">
        <f>_xll.qlIndexFixing(Index,Q179,,InterestRatesTrigger)</f>
        <v>#NUM!</v>
      </c>
      <c r="V179" s="30" t="e">
        <f t="shared" si="16"/>
        <v>#NUM!</v>
      </c>
      <c r="W179" s="29">
        <f>_xll.qlDayCounterYearFraction(DayCounter,SettlementDate,R179,,,Trigger)</f>
        <v>14.897222222222222</v>
      </c>
      <c r="X179" s="29">
        <f>_xll.qlDayCounterYearFraction(DayCounter,R179,S179)</f>
        <v>7.7777777777777779E-2</v>
      </c>
      <c r="Y179" s="29" t="e">
        <f>_xll.qlYieldTSDiscount(Currency&amp;"ON",R179)/(1+U179*X179)</f>
        <v>#NUM!</v>
      </c>
      <c r="Z179" s="30" t="e">
        <f>_xll.qlTenorBasisValue(TenorBasis6M,R179,InterestRatesTrigger)</f>
        <v>#VALUE!</v>
      </c>
      <c r="AA179" s="30" t="e">
        <f t="shared" si="17"/>
        <v>#NUM!</v>
      </c>
    </row>
    <row r="180" spans="15:27" x14ac:dyDescent="0.2">
      <c r="O180" s="33">
        <v>1</v>
      </c>
      <c r="P180" s="27" t="str">
        <f>_xll.qlPeriodEquivalent(P179&amp;"+"&amp;O180&amp;"M")</f>
        <v>14Y9M</v>
      </c>
      <c r="Q180" s="28">
        <f>_xll.qlCalendarAdvance(Calendar,SettlementDate,P180,"f",,Trigger)</f>
        <v>47550</v>
      </c>
      <c r="R180" s="28">
        <f>_xll.qlInterestRateIndexValueDate(Index,Q180,Trigger)</f>
        <v>47554</v>
      </c>
      <c r="S180" s="28">
        <f>_xll.qlInterestRateIndexMaturity(Index,R180,Trigger)</f>
        <v>47585</v>
      </c>
      <c r="T180" s="30">
        <f>_xll.qlIndexFixing($M$6,Q180,,InterestRatesTrigger)</f>
        <v>1.973339798445169E-2</v>
      </c>
      <c r="U180" s="30" t="e">
        <f>_xll.qlIndexFixing(Index,Q180,,InterestRatesTrigger)</f>
        <v>#NUM!</v>
      </c>
      <c r="V180" s="30" t="e">
        <f t="shared" si="16"/>
        <v>#NUM!</v>
      </c>
      <c r="W180" s="29">
        <f>_xll.qlDayCounterYearFraction(DayCounter,SettlementDate,R180,,,Trigger)</f>
        <v>14.975</v>
      </c>
      <c r="X180" s="29">
        <f>_xll.qlDayCounterYearFraction(DayCounter,R180,S180)</f>
        <v>8.611111111111111E-2</v>
      </c>
      <c r="Y180" s="29" t="e">
        <f>_xll.qlYieldTSDiscount(Currency&amp;"ON",R180)/(1+U180*X180)</f>
        <v>#NUM!</v>
      </c>
      <c r="Z180" s="30" t="e">
        <f>_xll.qlTenorBasisValue(TenorBasis6M,R180,InterestRatesTrigger)</f>
        <v>#VALUE!</v>
      </c>
      <c r="AA180" s="30" t="e">
        <f t="shared" si="17"/>
        <v>#NUM!</v>
      </c>
    </row>
    <row r="181" spans="15:27" x14ac:dyDescent="0.2">
      <c r="O181" s="33">
        <v>1</v>
      </c>
      <c r="P181" s="27" t="str">
        <f>_xll.qlPeriodEquivalent(P180&amp;"+"&amp;O181&amp;"M")</f>
        <v>14Y10M</v>
      </c>
      <c r="Q181" s="28">
        <f>_xll.qlCalendarAdvance(Calendar,SettlementDate,P181,"f",,Trigger)</f>
        <v>47581</v>
      </c>
      <c r="R181" s="28">
        <f>_xll.qlInterestRateIndexValueDate(Index,Q181,Trigger)</f>
        <v>47583</v>
      </c>
      <c r="S181" s="28">
        <f>_xll.qlInterestRateIndexMaturity(Index,R181,Trigger)</f>
        <v>47613</v>
      </c>
      <c r="T181" s="30">
        <f>_xll.qlIndexFixing($M$6,Q181,,InterestRatesTrigger)</f>
        <v>1.9708124053985365E-2</v>
      </c>
      <c r="U181" s="30" t="e">
        <f>_xll.qlIndexFixing(Index,Q181,,InterestRatesTrigger)</f>
        <v>#NUM!</v>
      </c>
      <c r="V181" s="30" t="e">
        <f t="shared" si="16"/>
        <v>#NUM!</v>
      </c>
      <c r="W181" s="29">
        <f>_xll.qlDayCounterYearFraction(DayCounter,SettlementDate,R181,,,Trigger)</f>
        <v>15.055555555555555</v>
      </c>
      <c r="X181" s="29">
        <f>_xll.qlDayCounterYearFraction(DayCounter,R181,S181)</f>
        <v>8.3333333333333329E-2</v>
      </c>
      <c r="Y181" s="29" t="e">
        <f>_xll.qlYieldTSDiscount(Currency&amp;"ON",R181)/(1+U181*X181)</f>
        <v>#NUM!</v>
      </c>
      <c r="Z181" s="30" t="e">
        <f>_xll.qlTenorBasisValue(TenorBasis6M,R181,InterestRatesTrigger)</f>
        <v>#VALUE!</v>
      </c>
      <c r="AA181" s="30" t="e">
        <f t="shared" si="17"/>
        <v>#NUM!</v>
      </c>
    </row>
    <row r="182" spans="15:27" x14ac:dyDescent="0.2">
      <c r="O182" s="33">
        <v>1</v>
      </c>
      <c r="P182" s="27" t="str">
        <f>_xll.qlPeriodEquivalent(P181&amp;"+"&amp;O182&amp;"M")</f>
        <v>14Y11M</v>
      </c>
      <c r="Q182" s="28">
        <f>_xll.qlCalendarAdvance(Calendar,SettlementDate,P182,"f",,Trigger)</f>
        <v>47611</v>
      </c>
      <c r="R182" s="28">
        <f>_xll.qlInterestRateIndexValueDate(Index,Q182,Trigger)</f>
        <v>47613</v>
      </c>
      <c r="S182" s="28">
        <f>_xll.qlInterestRateIndexMaturity(Index,R182,Trigger)</f>
        <v>47644</v>
      </c>
      <c r="T182" s="30">
        <f>_xll.qlIndexFixing($M$6,Q182,,InterestRatesTrigger)</f>
        <v>1.9680861243886013E-2</v>
      </c>
      <c r="U182" s="30" t="e">
        <f>_xll.qlIndexFixing(Index,Q182,,InterestRatesTrigger)</f>
        <v>#NUM!</v>
      </c>
      <c r="V182" s="30" t="e">
        <f t="shared" si="16"/>
        <v>#NUM!</v>
      </c>
      <c r="W182" s="29">
        <f>_xll.qlDayCounterYearFraction(DayCounter,SettlementDate,R182,,,Trigger)</f>
        <v>15.138888888888889</v>
      </c>
      <c r="X182" s="29">
        <f>_xll.qlDayCounterYearFraction(DayCounter,R182,S182)</f>
        <v>8.611111111111111E-2</v>
      </c>
      <c r="Y182" s="29" t="e">
        <f>_xll.qlYieldTSDiscount(Currency&amp;"ON",R182)/(1+U182*X182)</f>
        <v>#NUM!</v>
      </c>
      <c r="Z182" s="30" t="e">
        <f>_xll.qlTenorBasisValue(TenorBasis6M,R182,InterestRatesTrigger)</f>
        <v>#VALUE!</v>
      </c>
      <c r="AA182" s="30" t="e">
        <f t="shared" si="17"/>
        <v>#NUM!</v>
      </c>
    </row>
    <row r="183" spans="15:27" x14ac:dyDescent="0.2">
      <c r="O183" s="33">
        <v>1</v>
      </c>
      <c r="P183" s="27" t="str">
        <f>_xll.qlPeriodEquivalent(P182&amp;"+"&amp;O183&amp;"M")</f>
        <v>15Y</v>
      </c>
      <c r="Q183" s="28">
        <f>_xll.qlCalendarAdvance(Calendar,SettlementDate,P183,"f",,Trigger)</f>
        <v>47644</v>
      </c>
      <c r="R183" s="28">
        <f>_xll.qlInterestRateIndexValueDate(Index,Q183,Trigger)</f>
        <v>47646</v>
      </c>
      <c r="S183" s="28">
        <f>_xll.qlInterestRateIndexMaturity(Index,R183,Trigger)</f>
        <v>47676</v>
      </c>
      <c r="T183" s="30">
        <f>_xll.qlIndexFixing($M$6,Q183,,InterestRatesTrigger)</f>
        <v>1.9649398731886869E-2</v>
      </c>
      <c r="U183" s="30" t="e">
        <f>_xll.qlIndexFixing(Index,Q183,,InterestRatesTrigger)</f>
        <v>#NUM!</v>
      </c>
      <c r="V183" s="30" t="e">
        <f t="shared" si="16"/>
        <v>#NUM!</v>
      </c>
      <c r="W183" s="29">
        <f>_xll.qlDayCounterYearFraction(DayCounter,SettlementDate,R183,,,Trigger)</f>
        <v>15.230555555555556</v>
      </c>
      <c r="X183" s="29">
        <f>_xll.qlDayCounterYearFraction(DayCounter,R183,S183)</f>
        <v>8.3333333333333329E-2</v>
      </c>
      <c r="Y183" s="29" t="e">
        <f>_xll.qlYieldTSDiscount(Currency&amp;"ON",R183)/(1+U183*X183)</f>
        <v>#NUM!</v>
      </c>
      <c r="Z183" s="30" t="e">
        <f>_xll.qlTenorBasisValue(TenorBasis6M,R183,InterestRatesTrigger)</f>
        <v>#VALUE!</v>
      </c>
      <c r="AA183" s="30" t="e">
        <f t="shared" si="17"/>
        <v>#NUM!</v>
      </c>
    </row>
    <row r="184" spans="15:27" x14ac:dyDescent="0.2">
      <c r="O184" s="33">
        <v>1</v>
      </c>
      <c r="P184" s="27" t="str">
        <f>_xll.qlPeriodEquivalent(P183&amp;"+"&amp;O184&amp;"M")</f>
        <v>15Y1M</v>
      </c>
      <c r="Q184" s="28">
        <f>_xll.qlCalendarAdvance(Calendar,SettlementDate,P184,"f",,Trigger)</f>
        <v>47672</v>
      </c>
      <c r="R184" s="28">
        <f>_xll.qlInterestRateIndexValueDate(Index,Q184,Trigger)</f>
        <v>47674</v>
      </c>
      <c r="S184" s="28">
        <f>_xll.qlInterestRateIndexMaturity(Index,R184,Trigger)</f>
        <v>47707</v>
      </c>
      <c r="T184" s="30">
        <f>_xll.qlIndexFixing($M$6,Q184,,InterestRatesTrigger)</f>
        <v>1.9622414610785652E-2</v>
      </c>
      <c r="U184" s="30" t="e">
        <f>_xll.qlIndexFixing(Index,Q184,,InterestRatesTrigger)</f>
        <v>#NUM!</v>
      </c>
      <c r="V184" s="30" t="e">
        <f t="shared" si="16"/>
        <v>#NUM!</v>
      </c>
      <c r="W184" s="29">
        <f>_xll.qlDayCounterYearFraction(DayCounter,SettlementDate,R184,,,Trigger)</f>
        <v>15.308333333333334</v>
      </c>
      <c r="X184" s="29">
        <f>_xll.qlDayCounterYearFraction(DayCounter,R184,S184)</f>
        <v>9.166666666666666E-2</v>
      </c>
      <c r="Y184" s="29" t="e">
        <f>_xll.qlYieldTSDiscount(Currency&amp;"ON",R184)/(1+U184*X184)</f>
        <v>#NUM!</v>
      </c>
      <c r="Z184" s="30" t="e">
        <f>_xll.qlTenorBasisValue(TenorBasis6M,R184,InterestRatesTrigger)</f>
        <v>#VALUE!</v>
      </c>
      <c r="AA184" s="30" t="e">
        <f t="shared" si="17"/>
        <v>#NUM!</v>
      </c>
    </row>
    <row r="185" spans="15:27" x14ac:dyDescent="0.2">
      <c r="O185" s="33">
        <v>1</v>
      </c>
      <c r="P185" s="27" t="str">
        <f>_xll.qlPeriodEquivalent(P184&amp;"+"&amp;O185&amp;"M")</f>
        <v>15Y2M</v>
      </c>
      <c r="Q185" s="28">
        <f>_xll.qlCalendarAdvance(Calendar,SettlementDate,P185,"f",,Trigger)</f>
        <v>47703</v>
      </c>
      <c r="R185" s="28">
        <f>_xll.qlInterestRateIndexValueDate(Index,Q185,Trigger)</f>
        <v>47707</v>
      </c>
      <c r="S185" s="28">
        <f>_xll.qlInterestRateIndexMaturity(Index,R185,Trigger)</f>
        <v>47738</v>
      </c>
      <c r="T185" s="30">
        <f>_xll.qlIndexFixing($M$6,Q185,,InterestRatesTrigger)</f>
        <v>1.9589956434670389E-2</v>
      </c>
      <c r="U185" s="30" t="e">
        <f>_xll.qlIndexFixing(Index,Q185,,InterestRatesTrigger)</f>
        <v>#NUM!</v>
      </c>
      <c r="V185" s="30" t="e">
        <f t="shared" si="16"/>
        <v>#NUM!</v>
      </c>
      <c r="W185" s="29">
        <f>_xll.qlDayCounterYearFraction(DayCounter,SettlementDate,R185,,,Trigger)</f>
        <v>15.4</v>
      </c>
      <c r="X185" s="29">
        <f>_xll.qlDayCounterYearFraction(DayCounter,R185,S185)</f>
        <v>8.611111111111111E-2</v>
      </c>
      <c r="Y185" s="29" t="e">
        <f>_xll.qlYieldTSDiscount(Currency&amp;"ON",R185)/(1+U185*X185)</f>
        <v>#NUM!</v>
      </c>
      <c r="Z185" s="30" t="e">
        <f>_xll.qlTenorBasisValue(TenorBasis6M,R185,InterestRatesTrigger)</f>
        <v>#VALUE!</v>
      </c>
      <c r="AA185" s="30" t="e">
        <f t="shared" si="17"/>
        <v>#NUM!</v>
      </c>
    </row>
    <row r="186" spans="15:27" x14ac:dyDescent="0.2">
      <c r="O186" s="33">
        <v>1</v>
      </c>
      <c r="P186" s="27" t="str">
        <f>_xll.qlPeriodEquivalent(P185&amp;"+"&amp;O186&amp;"M")</f>
        <v>15Y3M</v>
      </c>
      <c r="Q186" s="28">
        <f>_xll.qlCalendarAdvance(Calendar,SettlementDate,P186,"f",,Trigger)</f>
        <v>47735</v>
      </c>
      <c r="R186" s="28">
        <f>_xll.qlInterestRateIndexValueDate(Index,Q186,Trigger)</f>
        <v>47737</v>
      </c>
      <c r="S186" s="28">
        <f>_xll.qlInterestRateIndexMaturity(Index,R186,Trigger)</f>
        <v>47767</v>
      </c>
      <c r="T186" s="30">
        <f>_xll.qlIndexFixing($M$6,Q186,,InterestRatesTrigger)</f>
        <v>1.956013435938786E-2</v>
      </c>
      <c r="U186" s="30" t="e">
        <f>_xll.qlIndexFixing(Index,Q186,,InterestRatesTrigger)</f>
        <v>#NUM!</v>
      </c>
      <c r="V186" s="30" t="e">
        <f t="shared" si="16"/>
        <v>#NUM!</v>
      </c>
      <c r="W186" s="29">
        <f>_xll.qlDayCounterYearFraction(DayCounter,SettlementDate,R186,,,Trigger)</f>
        <v>15.483333333333333</v>
      </c>
      <c r="X186" s="29">
        <f>_xll.qlDayCounterYearFraction(DayCounter,R186,S186)</f>
        <v>8.3333333333333329E-2</v>
      </c>
      <c r="Y186" s="29" t="e">
        <f>_xll.qlYieldTSDiscount(Currency&amp;"ON",R186)/(1+U186*X186)</f>
        <v>#NUM!</v>
      </c>
      <c r="Z186" s="30" t="e">
        <f>_xll.qlTenorBasisValue(TenorBasis6M,R186,InterestRatesTrigger)</f>
        <v>#VALUE!</v>
      </c>
      <c r="AA186" s="30" t="e">
        <f t="shared" si="17"/>
        <v>#NUM!</v>
      </c>
    </row>
    <row r="187" spans="15:27" x14ac:dyDescent="0.2">
      <c r="O187" s="33">
        <v>1</v>
      </c>
      <c r="P187" s="27" t="str">
        <f>_xll.qlPeriodEquivalent(P186&amp;"+"&amp;O187&amp;"M")</f>
        <v>15Y4M</v>
      </c>
      <c r="Q187" s="28">
        <f>_xll.qlCalendarAdvance(Calendar,SettlementDate,P187,"f",,Trigger)</f>
        <v>47764</v>
      </c>
      <c r="R187" s="28">
        <f>_xll.qlInterestRateIndexValueDate(Index,Q187,Trigger)</f>
        <v>47766</v>
      </c>
      <c r="S187" s="28">
        <f>_xll.qlInterestRateIndexMaturity(Index,R187,Trigger)</f>
        <v>47798</v>
      </c>
      <c r="T187" s="30">
        <f>_xll.qlIndexFixing($M$6,Q187,,InterestRatesTrigger)</f>
        <v>1.9531057184487E-2</v>
      </c>
      <c r="U187" s="30" t="e">
        <f>_xll.qlIndexFixing(Index,Q187,,InterestRatesTrigger)</f>
        <v>#NUM!</v>
      </c>
      <c r="V187" s="30" t="e">
        <f t="shared" si="16"/>
        <v>#NUM!</v>
      </c>
      <c r="W187" s="29">
        <f>_xll.qlDayCounterYearFraction(DayCounter,SettlementDate,R187,,,Trigger)</f>
        <v>15.563888888888888</v>
      </c>
      <c r="X187" s="29">
        <f>_xll.qlDayCounterYearFraction(DayCounter,R187,S187)</f>
        <v>8.8888888888888892E-2</v>
      </c>
      <c r="Y187" s="29" t="e">
        <f>_xll.qlYieldTSDiscount(Currency&amp;"ON",R187)/(1+U187*X187)</f>
        <v>#NUM!</v>
      </c>
      <c r="Z187" s="30" t="e">
        <f>_xll.qlTenorBasisValue(TenorBasis6M,R187,InterestRatesTrigger)</f>
        <v>#VALUE!</v>
      </c>
      <c r="AA187" s="30" t="e">
        <f t="shared" si="17"/>
        <v>#NUM!</v>
      </c>
    </row>
    <row r="188" spans="15:27" x14ac:dyDescent="0.2">
      <c r="O188" s="33">
        <v>1</v>
      </c>
      <c r="P188" s="27" t="str">
        <f>_xll.qlPeriodEquivalent(P187&amp;"+"&amp;O188&amp;"M")</f>
        <v>15Y5M</v>
      </c>
      <c r="Q188" s="28">
        <f>_xll.qlCalendarAdvance(Calendar,SettlementDate,P188,"f",,Trigger)</f>
        <v>47795</v>
      </c>
      <c r="R188" s="28">
        <f>_xll.qlInterestRateIndexValueDate(Index,Q188,Trigger)</f>
        <v>47799</v>
      </c>
      <c r="S188" s="28">
        <f>_xll.qlInterestRateIndexMaturity(Index,R188,Trigger)</f>
        <v>47829</v>
      </c>
      <c r="T188" s="30">
        <f>_xll.qlIndexFixing($M$6,Q188,,InterestRatesTrigger)</f>
        <v>1.9497471120992316E-2</v>
      </c>
      <c r="U188" s="30" t="e">
        <f>_xll.qlIndexFixing(Index,Q188,,InterestRatesTrigger)</f>
        <v>#NUM!</v>
      </c>
      <c r="V188" s="30" t="e">
        <f t="shared" si="16"/>
        <v>#NUM!</v>
      </c>
      <c r="W188" s="29">
        <f>_xll.qlDayCounterYearFraction(DayCounter,SettlementDate,R188,,,Trigger)</f>
        <v>15.655555555555555</v>
      </c>
      <c r="X188" s="29">
        <f>_xll.qlDayCounterYearFraction(DayCounter,R188,S188)</f>
        <v>8.3333333333333329E-2</v>
      </c>
      <c r="Y188" s="29" t="e">
        <f>_xll.qlYieldTSDiscount(Currency&amp;"ON",R188)/(1+U188*X188)</f>
        <v>#NUM!</v>
      </c>
      <c r="Z188" s="30" t="e">
        <f>_xll.qlTenorBasisValue(TenorBasis6M,R188,InterestRatesTrigger)</f>
        <v>#VALUE!</v>
      </c>
      <c r="AA188" s="30" t="e">
        <f t="shared" si="17"/>
        <v>#NUM!</v>
      </c>
    </row>
    <row r="189" spans="15:27" x14ac:dyDescent="0.2">
      <c r="O189" s="33">
        <v>1</v>
      </c>
      <c r="P189" s="27" t="str">
        <f>_xll.qlPeriodEquivalent(P188&amp;"+"&amp;O189&amp;"M")</f>
        <v>15Y6M</v>
      </c>
      <c r="Q189" s="28">
        <f>_xll.qlCalendarAdvance(Calendar,SettlementDate,P189,"f",,Trigger)</f>
        <v>47826</v>
      </c>
      <c r="R189" s="28">
        <f>_xll.qlInterestRateIndexValueDate(Index,Q189,Trigger)</f>
        <v>47828</v>
      </c>
      <c r="S189" s="28">
        <f>_xll.qlInterestRateIndexMaturity(Index,R189,Trigger)</f>
        <v>47861</v>
      </c>
      <c r="T189" s="30">
        <f>_xll.qlIndexFixing($M$6,Q189,,InterestRatesTrigger)</f>
        <v>1.946767094652509E-2</v>
      </c>
      <c r="U189" s="30" t="e">
        <f>_xll.qlIndexFixing(Index,Q189,,InterestRatesTrigger)</f>
        <v>#NUM!</v>
      </c>
      <c r="V189" s="30" t="e">
        <f t="shared" si="16"/>
        <v>#NUM!</v>
      </c>
      <c r="W189" s="29">
        <f>_xll.qlDayCounterYearFraction(DayCounter,SettlementDate,R189,,,Trigger)</f>
        <v>15.736111111111111</v>
      </c>
      <c r="X189" s="29">
        <f>_xll.qlDayCounterYearFraction(DayCounter,R189,S189)</f>
        <v>9.166666666666666E-2</v>
      </c>
      <c r="Y189" s="29" t="e">
        <f>_xll.qlYieldTSDiscount(Currency&amp;"ON",R189)/(1+U189*X189)</f>
        <v>#NUM!</v>
      </c>
      <c r="Z189" s="30" t="e">
        <f>_xll.qlTenorBasisValue(TenorBasis6M,R189,InterestRatesTrigger)</f>
        <v>#VALUE!</v>
      </c>
      <c r="AA189" s="30" t="e">
        <f t="shared" si="17"/>
        <v>#NUM!</v>
      </c>
    </row>
    <row r="190" spans="15:27" x14ac:dyDescent="0.2">
      <c r="O190" s="33">
        <v>1</v>
      </c>
      <c r="P190" s="27" t="str">
        <f>_xll.qlPeriodEquivalent(P189&amp;"+"&amp;O190&amp;"M")</f>
        <v>15Y7M</v>
      </c>
      <c r="Q190" s="28">
        <f>_xll.qlCalendarAdvance(Calendar,SettlementDate,P190,"f",,Trigger)</f>
        <v>47856</v>
      </c>
      <c r="R190" s="28">
        <f>_xll.qlInterestRateIndexValueDate(Index,Q190,Trigger)</f>
        <v>47858</v>
      </c>
      <c r="S190" s="28">
        <f>_xll.qlInterestRateIndexMaturity(Index,R190,Trigger)</f>
        <v>47889</v>
      </c>
      <c r="T190" s="30">
        <f>_xll.qlIndexFixing($M$6,Q190,,InterestRatesTrigger)</f>
        <v>1.9436451405291055E-2</v>
      </c>
      <c r="U190" s="30" t="e">
        <f>_xll.qlIndexFixing(Index,Q190,,InterestRatesTrigger)</f>
        <v>#NUM!</v>
      </c>
      <c r="V190" s="30" t="e">
        <f t="shared" si="16"/>
        <v>#NUM!</v>
      </c>
      <c r="W190" s="29">
        <f>_xll.qlDayCounterYearFraction(DayCounter,SettlementDate,R190,,,Trigger)</f>
        <v>15.819444444444445</v>
      </c>
      <c r="X190" s="29">
        <f>_xll.qlDayCounterYearFraction(DayCounter,R190,S190)</f>
        <v>8.611111111111111E-2</v>
      </c>
      <c r="Y190" s="29" t="e">
        <f>_xll.qlYieldTSDiscount(Currency&amp;"ON",R190)/(1+U190*X190)</f>
        <v>#NUM!</v>
      </c>
      <c r="Z190" s="30" t="e">
        <f>_xll.qlTenorBasisValue(TenorBasis6M,R190,InterestRatesTrigger)</f>
        <v>#VALUE!</v>
      </c>
      <c r="AA190" s="30" t="e">
        <f t="shared" si="17"/>
        <v>#NUM!</v>
      </c>
    </row>
    <row r="191" spans="15:27" x14ac:dyDescent="0.2">
      <c r="O191" s="33">
        <v>1</v>
      </c>
      <c r="P191" s="27" t="str">
        <f>_xll.qlPeriodEquivalent(P190&amp;"+"&amp;O191&amp;"M")</f>
        <v>15Y8M</v>
      </c>
      <c r="Q191" s="28">
        <f>_xll.qlCalendarAdvance(Calendar,SettlementDate,P191,"f",,Trigger)</f>
        <v>47889</v>
      </c>
      <c r="R191" s="28">
        <f>_xll.qlInterestRateIndexValueDate(Index,Q191,Trigger)</f>
        <v>47891</v>
      </c>
      <c r="S191" s="28">
        <f>_xll.qlInterestRateIndexMaturity(Index,R191,Trigger)</f>
        <v>47919</v>
      </c>
      <c r="T191" s="30">
        <f>_xll.qlIndexFixing($M$6,Q191,,InterestRatesTrigger)</f>
        <v>1.9401745360226399E-2</v>
      </c>
      <c r="U191" s="30" t="e">
        <f>_xll.qlIndexFixing(Index,Q191,,InterestRatesTrigger)</f>
        <v>#NUM!</v>
      </c>
      <c r="V191" s="30" t="e">
        <f t="shared" si="16"/>
        <v>#NUM!</v>
      </c>
      <c r="W191" s="29">
        <f>_xll.qlDayCounterYearFraction(DayCounter,SettlementDate,R191,,,Trigger)</f>
        <v>15.911111111111111</v>
      </c>
      <c r="X191" s="29">
        <f>_xll.qlDayCounterYearFraction(DayCounter,R191,S191)</f>
        <v>7.7777777777777779E-2</v>
      </c>
      <c r="Y191" s="29" t="e">
        <f>_xll.qlYieldTSDiscount(Currency&amp;"ON",R191)/(1+U191*X191)</f>
        <v>#NUM!</v>
      </c>
      <c r="Z191" s="30" t="e">
        <f>_xll.qlTenorBasisValue(TenorBasis6M,R191,InterestRatesTrigger)</f>
        <v>#VALUE!</v>
      </c>
      <c r="AA191" s="30" t="e">
        <f t="shared" si="17"/>
        <v>#NUM!</v>
      </c>
    </row>
    <row r="192" spans="15:27" x14ac:dyDescent="0.2">
      <c r="O192" s="33">
        <v>1</v>
      </c>
      <c r="P192" s="27" t="str">
        <f>_xll.qlPeriodEquivalent(P191&amp;"+"&amp;O192&amp;"M")</f>
        <v>15Y9M</v>
      </c>
      <c r="Q192" s="28">
        <f>_xll.qlCalendarAdvance(Calendar,SettlementDate,P192,"f",,Trigger)</f>
        <v>47917</v>
      </c>
      <c r="R192" s="28">
        <f>_xll.qlInterestRateIndexValueDate(Index,Q192,Trigger)</f>
        <v>47919</v>
      </c>
      <c r="S192" s="28">
        <f>_xll.qlInterestRateIndexMaturity(Index,R192,Trigger)</f>
        <v>47953</v>
      </c>
      <c r="T192" s="30">
        <f>_xll.qlIndexFixing($M$6,Q192,,InterestRatesTrigger)</f>
        <v>1.9371877544205461E-2</v>
      </c>
      <c r="U192" s="30" t="e">
        <f>_xll.qlIndexFixing(Index,Q192,,InterestRatesTrigger)</f>
        <v>#NUM!</v>
      </c>
      <c r="V192" s="30" t="e">
        <f t="shared" si="16"/>
        <v>#NUM!</v>
      </c>
      <c r="W192" s="29">
        <f>_xll.qlDayCounterYearFraction(DayCounter,SettlementDate,R192,,,Trigger)</f>
        <v>15.988888888888889</v>
      </c>
      <c r="X192" s="29">
        <f>_xll.qlDayCounterYearFraction(DayCounter,R192,S192)</f>
        <v>9.4444444444444442E-2</v>
      </c>
      <c r="Y192" s="29" t="e">
        <f>_xll.qlYieldTSDiscount(Currency&amp;"ON",R192)/(1+U192*X192)</f>
        <v>#NUM!</v>
      </c>
      <c r="Z192" s="30" t="e">
        <f>_xll.qlTenorBasisValue(TenorBasis6M,R192,InterestRatesTrigger)</f>
        <v>#VALUE!</v>
      </c>
      <c r="AA192" s="30" t="e">
        <f t="shared" si="17"/>
        <v>#NUM!</v>
      </c>
    </row>
    <row r="193" spans="15:27" x14ac:dyDescent="0.2">
      <c r="O193" s="33">
        <v>1</v>
      </c>
      <c r="P193" s="27" t="str">
        <f>_xll.qlPeriodEquivalent(P192&amp;"+"&amp;O193&amp;"M")</f>
        <v>15Y10M</v>
      </c>
      <c r="Q193" s="28">
        <f>_xll.qlCalendarAdvance(Calendar,SettlementDate,P193,"f",,Trigger)</f>
        <v>47946</v>
      </c>
      <c r="R193" s="28">
        <f>_xll.qlInterestRateIndexValueDate(Index,Q193,Trigger)</f>
        <v>47948</v>
      </c>
      <c r="S193" s="28">
        <f>_xll.qlInterestRateIndexMaturity(Index,R193,Trigger)</f>
        <v>47980</v>
      </c>
      <c r="T193" s="30">
        <f>_xll.qlIndexFixing($M$6,Q193,,InterestRatesTrigger)</f>
        <v>1.9340715555516141E-2</v>
      </c>
      <c r="U193" s="30" t="e">
        <f>_xll.qlIndexFixing(Index,Q193,,InterestRatesTrigger)</f>
        <v>#NUM!</v>
      </c>
      <c r="V193" s="30" t="e">
        <f t="shared" si="16"/>
        <v>#NUM!</v>
      </c>
      <c r="W193" s="29">
        <f>_xll.qlDayCounterYearFraction(DayCounter,SettlementDate,R193,,,Trigger)</f>
        <v>16.069444444444443</v>
      </c>
      <c r="X193" s="29">
        <f>_xll.qlDayCounterYearFraction(DayCounter,R193,S193)</f>
        <v>8.8888888888888892E-2</v>
      </c>
      <c r="Y193" s="29" t="e">
        <f>_xll.qlYieldTSDiscount(Currency&amp;"ON",R193)/(1+U193*X193)</f>
        <v>#NUM!</v>
      </c>
      <c r="Z193" s="30" t="e">
        <f>_xll.qlTenorBasisValue(TenorBasis6M,R193,InterestRatesTrigger)</f>
        <v>#VALUE!</v>
      </c>
      <c r="AA193" s="30" t="e">
        <f t="shared" si="17"/>
        <v>#NUM!</v>
      </c>
    </row>
    <row r="194" spans="15:27" x14ac:dyDescent="0.2">
      <c r="O194" s="33">
        <v>1</v>
      </c>
      <c r="P194" s="27" t="str">
        <f>_xll.qlPeriodEquivalent(P193&amp;"+"&amp;O194&amp;"M")</f>
        <v>15Y11M</v>
      </c>
      <c r="Q194" s="28">
        <f>_xll.qlCalendarAdvance(Calendar,SettlementDate,P194,"f",,Trigger)</f>
        <v>47976</v>
      </c>
      <c r="R194" s="28">
        <f>_xll.qlInterestRateIndexValueDate(Index,Q194,Trigger)</f>
        <v>47980</v>
      </c>
      <c r="S194" s="28">
        <f>_xll.qlInterestRateIndexMaturity(Index,R194,Trigger)</f>
        <v>48011</v>
      </c>
      <c r="T194" s="30">
        <f>_xll.qlIndexFixing($M$6,Q194,,InterestRatesTrigger)</f>
        <v>1.9305946806581452E-2</v>
      </c>
      <c r="U194" s="30" t="e">
        <f>_xll.qlIndexFixing(Index,Q194,,InterestRatesTrigger)</f>
        <v>#NUM!</v>
      </c>
      <c r="V194" s="30" t="e">
        <f t="shared" si="16"/>
        <v>#NUM!</v>
      </c>
      <c r="W194" s="29">
        <f>_xll.qlDayCounterYearFraction(DayCounter,SettlementDate,R194,,,Trigger)</f>
        <v>16.158333333333335</v>
      </c>
      <c r="X194" s="29">
        <f>_xll.qlDayCounterYearFraction(DayCounter,R194,S194)</f>
        <v>8.611111111111111E-2</v>
      </c>
      <c r="Y194" s="29" t="e">
        <f>_xll.qlYieldTSDiscount(Currency&amp;"ON",R194)/(1+U194*X194)</f>
        <v>#NUM!</v>
      </c>
      <c r="Z194" s="30" t="e">
        <f>_xll.qlTenorBasisValue(TenorBasis6M,R194,InterestRatesTrigger)</f>
        <v>#VALUE!</v>
      </c>
      <c r="AA194" s="30" t="e">
        <f t="shared" si="17"/>
        <v>#NUM!</v>
      </c>
    </row>
    <row r="195" spans="15:27" x14ac:dyDescent="0.2">
      <c r="O195" s="33">
        <v>1</v>
      </c>
      <c r="P195" s="27" t="str">
        <f>_xll.qlPeriodEquivalent(P194&amp;"+"&amp;O195&amp;"M")</f>
        <v>16Y</v>
      </c>
      <c r="Q195" s="28">
        <f>_xll.qlCalendarAdvance(Calendar,SettlementDate,P195,"f",,Trigger)</f>
        <v>48008</v>
      </c>
      <c r="R195" s="28">
        <f>_xll.qlInterestRateIndexValueDate(Index,Q195,Trigger)</f>
        <v>48010</v>
      </c>
      <c r="S195" s="28">
        <f>_xll.qlInterestRateIndexMaturity(Index,R195,Trigger)</f>
        <v>48040</v>
      </c>
      <c r="T195" s="30">
        <f>_xll.qlIndexFixing($M$6,Q195,,InterestRatesTrigger)</f>
        <v>1.9273006120893221E-2</v>
      </c>
      <c r="U195" s="30" t="e">
        <f>_xll.qlIndexFixing(Index,Q195,,InterestRatesTrigger)</f>
        <v>#NUM!</v>
      </c>
      <c r="V195" s="30" t="e">
        <f t="shared" si="16"/>
        <v>#NUM!</v>
      </c>
      <c r="W195" s="29">
        <f>_xll.qlDayCounterYearFraction(DayCounter,SettlementDate,R195,,,Trigger)</f>
        <v>16.241666666666667</v>
      </c>
      <c r="X195" s="29">
        <f>_xll.qlDayCounterYearFraction(DayCounter,R195,S195)</f>
        <v>8.3333333333333329E-2</v>
      </c>
      <c r="Y195" s="29" t="e">
        <f>_xll.qlYieldTSDiscount(Currency&amp;"ON",R195)/(1+U195*X195)</f>
        <v>#NUM!</v>
      </c>
      <c r="Z195" s="30" t="e">
        <f>_xll.qlTenorBasisValue(TenorBasis6M,R195,InterestRatesTrigger)</f>
        <v>#VALUE!</v>
      </c>
      <c r="AA195" s="30" t="e">
        <f t="shared" si="17"/>
        <v>#NUM!</v>
      </c>
    </row>
    <row r="196" spans="15:27" x14ac:dyDescent="0.2">
      <c r="O196" s="33">
        <v>1</v>
      </c>
      <c r="P196" s="27" t="str">
        <f>_xll.qlPeriodEquivalent(P195&amp;"+"&amp;O196&amp;"M")</f>
        <v>16Y1M</v>
      </c>
      <c r="Q196" s="28">
        <f>_xll.qlCalendarAdvance(Calendar,SettlementDate,P196,"f",,Trigger)</f>
        <v>48037</v>
      </c>
      <c r="R196" s="28">
        <f>_xll.qlInterestRateIndexValueDate(Index,Q196,Trigger)</f>
        <v>48039</v>
      </c>
      <c r="S196" s="28">
        <f>_xll.qlInterestRateIndexMaturity(Index,R196,Trigger)</f>
        <v>48071</v>
      </c>
      <c r="T196" s="30">
        <f>_xll.qlIndexFixing($M$6,Q196,,InterestRatesTrigger)</f>
        <v>1.9240710671842021E-2</v>
      </c>
      <c r="U196" s="30" t="e">
        <f>_xll.qlIndexFixing(Index,Q196,,InterestRatesTrigger)</f>
        <v>#NUM!</v>
      </c>
      <c r="V196" s="30" t="e">
        <f t="shared" ref="V196:V253" si="18">U196-T196</f>
        <v>#NUM!</v>
      </c>
      <c r="W196" s="29">
        <f>_xll.qlDayCounterYearFraction(DayCounter,SettlementDate,R196,,,Trigger)</f>
        <v>16.322222222222223</v>
      </c>
      <c r="X196" s="29">
        <f>_xll.qlDayCounterYearFraction(DayCounter,R196,S196)</f>
        <v>8.8888888888888892E-2</v>
      </c>
      <c r="Y196" s="29" t="e">
        <f>_xll.qlYieldTSDiscount(Currency&amp;"ON",R196)/(1+U196*X196)</f>
        <v>#NUM!</v>
      </c>
      <c r="Z196" s="30" t="e">
        <f>_xll.qlTenorBasisValue(TenorBasis6M,R196,InterestRatesTrigger)</f>
        <v>#VALUE!</v>
      </c>
      <c r="AA196" s="30" t="e">
        <f t="shared" ref="AA196:AA253" si="19">V196-Z196</f>
        <v>#NUM!</v>
      </c>
    </row>
    <row r="197" spans="15:27" x14ac:dyDescent="0.2">
      <c r="O197" s="33">
        <v>1</v>
      </c>
      <c r="P197" s="27" t="str">
        <f>_xll.qlPeriodEquivalent(P196&amp;"+"&amp;O197&amp;"M")</f>
        <v>16Y2M</v>
      </c>
      <c r="Q197" s="28">
        <f>_xll.qlCalendarAdvance(Calendar,SettlementDate,P197,"f",,Trigger)</f>
        <v>48068</v>
      </c>
      <c r="R197" s="28">
        <f>_xll.qlInterestRateIndexValueDate(Index,Q197,Trigger)</f>
        <v>48072</v>
      </c>
      <c r="S197" s="28">
        <f>_xll.qlInterestRateIndexMaturity(Index,R197,Trigger)</f>
        <v>48103</v>
      </c>
      <c r="T197" s="30">
        <f>_xll.qlIndexFixing($M$6,Q197,,InterestRatesTrigger)</f>
        <v>1.92037027476692E-2</v>
      </c>
      <c r="U197" s="30" t="e">
        <f>_xll.qlIndexFixing(Index,Q197,,InterestRatesTrigger)</f>
        <v>#NUM!</v>
      </c>
      <c r="V197" s="30" t="e">
        <f t="shared" si="18"/>
        <v>#NUM!</v>
      </c>
      <c r="W197" s="29">
        <f>_xll.qlDayCounterYearFraction(DayCounter,SettlementDate,R197,,,Trigger)</f>
        <v>16.413888888888888</v>
      </c>
      <c r="X197" s="29">
        <f>_xll.qlDayCounterYearFraction(DayCounter,R197,S197)</f>
        <v>8.611111111111111E-2</v>
      </c>
      <c r="Y197" s="29" t="e">
        <f>_xll.qlYieldTSDiscount(Currency&amp;"ON",R197)/(1+U197*X197)</f>
        <v>#NUM!</v>
      </c>
      <c r="Z197" s="30" t="e">
        <f>_xll.qlTenorBasisValue(TenorBasis6M,R197,InterestRatesTrigger)</f>
        <v>#VALUE!</v>
      </c>
      <c r="AA197" s="30" t="e">
        <f t="shared" si="19"/>
        <v>#NUM!</v>
      </c>
    </row>
    <row r="198" spans="15:27" x14ac:dyDescent="0.2">
      <c r="O198" s="33">
        <v>1</v>
      </c>
      <c r="P198" s="27" t="str">
        <f>_xll.qlPeriodEquivalent(P197&amp;"+"&amp;O198&amp;"M")</f>
        <v>16Y3M</v>
      </c>
      <c r="Q198" s="28">
        <f>_xll.qlCalendarAdvance(Calendar,SettlementDate,P198,"f",,Trigger)</f>
        <v>48099</v>
      </c>
      <c r="R198" s="28">
        <f>_xll.qlInterestRateIndexValueDate(Index,Q198,Trigger)</f>
        <v>48101</v>
      </c>
      <c r="S198" s="28">
        <f>_xll.qlInterestRateIndexMaturity(Index,R198,Trigger)</f>
        <v>48131</v>
      </c>
      <c r="T198" s="30">
        <f>_xll.qlIndexFixing($M$6,Q198,,InterestRatesTrigger)</f>
        <v>1.9170851924372734E-2</v>
      </c>
      <c r="U198" s="30" t="e">
        <f>_xll.qlIndexFixing(Index,Q198,,InterestRatesTrigger)</f>
        <v>#NUM!</v>
      </c>
      <c r="V198" s="30" t="e">
        <f t="shared" si="18"/>
        <v>#NUM!</v>
      </c>
      <c r="W198" s="29">
        <f>_xll.qlDayCounterYearFraction(DayCounter,SettlementDate,R198,,,Trigger)</f>
        <v>16.494444444444444</v>
      </c>
      <c r="X198" s="29">
        <f>_xll.qlDayCounterYearFraction(DayCounter,R198,S198)</f>
        <v>8.3333333333333329E-2</v>
      </c>
      <c r="Y198" s="29" t="e">
        <f>_xll.qlYieldTSDiscount(Currency&amp;"ON",R198)/(1+U198*X198)</f>
        <v>#NUM!</v>
      </c>
      <c r="Z198" s="30" t="e">
        <f>_xll.qlTenorBasisValue(TenorBasis6M,R198,InterestRatesTrigger)</f>
        <v>#VALUE!</v>
      </c>
      <c r="AA198" s="30" t="e">
        <f t="shared" si="19"/>
        <v>#NUM!</v>
      </c>
    </row>
    <row r="199" spans="15:27" x14ac:dyDescent="0.2">
      <c r="O199" s="33">
        <v>1</v>
      </c>
      <c r="P199" s="27" t="str">
        <f>_xll.qlPeriodEquivalent(P198&amp;"+"&amp;O199&amp;"M")</f>
        <v>16Y4M</v>
      </c>
      <c r="Q199" s="28">
        <f>_xll.qlCalendarAdvance(Calendar,SettlementDate,P199,"f",,Trigger)</f>
        <v>48129</v>
      </c>
      <c r="R199" s="28">
        <f>_xll.qlInterestRateIndexValueDate(Index,Q199,Trigger)</f>
        <v>48131</v>
      </c>
      <c r="S199" s="28">
        <f>_xll.qlInterestRateIndexMaturity(Index,R199,Trigger)</f>
        <v>48162</v>
      </c>
      <c r="T199" s="30">
        <f>_xll.qlIndexFixing($M$6,Q199,,InterestRatesTrigger)</f>
        <v>1.9136399781472899E-2</v>
      </c>
      <c r="U199" s="30" t="e">
        <f>_xll.qlIndexFixing(Index,Q199,,InterestRatesTrigger)</f>
        <v>#NUM!</v>
      </c>
      <c r="V199" s="30" t="e">
        <f t="shared" si="18"/>
        <v>#NUM!</v>
      </c>
      <c r="W199" s="29">
        <f>_xll.qlDayCounterYearFraction(DayCounter,SettlementDate,R199,,,Trigger)</f>
        <v>16.577777777777779</v>
      </c>
      <c r="X199" s="29">
        <f>_xll.qlDayCounterYearFraction(DayCounter,R199,S199)</f>
        <v>8.611111111111111E-2</v>
      </c>
      <c r="Y199" s="29" t="e">
        <f>_xll.qlYieldTSDiscount(Currency&amp;"ON",R199)/(1+U199*X199)</f>
        <v>#NUM!</v>
      </c>
      <c r="Z199" s="30" t="e">
        <f>_xll.qlTenorBasisValue(TenorBasis6M,R199,InterestRatesTrigger)</f>
        <v>#VALUE!</v>
      </c>
      <c r="AA199" s="30" t="e">
        <f t="shared" si="19"/>
        <v>#NUM!</v>
      </c>
    </row>
    <row r="200" spans="15:27" x14ac:dyDescent="0.2">
      <c r="O200" s="33">
        <v>1</v>
      </c>
      <c r="P200" s="27" t="str">
        <f>_xll.qlPeriodEquivalent(P199&amp;"+"&amp;O200&amp;"M")</f>
        <v>16Y5M</v>
      </c>
      <c r="Q200" s="28">
        <f>_xll.qlCalendarAdvance(Calendar,SettlementDate,P200,"f",,Trigger)</f>
        <v>48162</v>
      </c>
      <c r="R200" s="28">
        <f>_xll.qlInterestRateIndexValueDate(Index,Q200,Trigger)</f>
        <v>48164</v>
      </c>
      <c r="S200" s="28">
        <f>_xll.qlInterestRateIndexMaturity(Index,R200,Trigger)</f>
        <v>48194</v>
      </c>
      <c r="T200" s="30">
        <f>_xll.qlIndexFixing($M$6,Q200,,InterestRatesTrigger)</f>
        <v>1.9098242188911208E-2</v>
      </c>
      <c r="U200" s="30" t="e">
        <f>_xll.qlIndexFixing(Index,Q200,,InterestRatesTrigger)</f>
        <v>#NUM!</v>
      </c>
      <c r="V200" s="30" t="e">
        <f t="shared" si="18"/>
        <v>#NUM!</v>
      </c>
      <c r="W200" s="29">
        <f>_xll.qlDayCounterYearFraction(DayCounter,SettlementDate,R200,,,Trigger)</f>
        <v>16.669444444444444</v>
      </c>
      <c r="X200" s="29">
        <f>_xll.qlDayCounterYearFraction(DayCounter,R200,S200)</f>
        <v>8.3333333333333329E-2</v>
      </c>
      <c r="Y200" s="29" t="e">
        <f>_xll.qlYieldTSDiscount(Currency&amp;"ON",R200)/(1+U200*X200)</f>
        <v>#NUM!</v>
      </c>
      <c r="Z200" s="30" t="e">
        <f>_xll.qlTenorBasisValue(TenorBasis6M,R200,InterestRatesTrigger)</f>
        <v>#VALUE!</v>
      </c>
      <c r="AA200" s="30" t="e">
        <f t="shared" si="19"/>
        <v>#NUM!</v>
      </c>
    </row>
    <row r="201" spans="15:27" x14ac:dyDescent="0.2">
      <c r="O201" s="33">
        <v>1</v>
      </c>
      <c r="P201" s="27" t="str">
        <f>_xll.qlPeriodEquivalent(P200&amp;"+"&amp;O201&amp;"M")</f>
        <v>16Y6M</v>
      </c>
      <c r="Q201" s="28">
        <f>_xll.qlCalendarAdvance(Calendar,SettlementDate,P201,"f",,Trigger)</f>
        <v>48190</v>
      </c>
      <c r="R201" s="28">
        <f>_xll.qlInterestRateIndexValueDate(Index,Q201,Trigger)</f>
        <v>48192</v>
      </c>
      <c r="S201" s="28">
        <f>_xll.qlInterestRateIndexMaturity(Index,R201,Trigger)</f>
        <v>48225</v>
      </c>
      <c r="T201" s="30">
        <f>_xll.qlIndexFixing($M$6,Q201,,InterestRatesTrigger)</f>
        <v>1.9065221986450161E-2</v>
      </c>
      <c r="U201" s="30" t="e">
        <f>_xll.qlIndexFixing(Index,Q201,,InterestRatesTrigger)</f>
        <v>#NUM!</v>
      </c>
      <c r="V201" s="30" t="e">
        <f t="shared" si="18"/>
        <v>#NUM!</v>
      </c>
      <c r="W201" s="29">
        <f>_xll.qlDayCounterYearFraction(DayCounter,SettlementDate,R201,,,Trigger)</f>
        <v>16.747222222222224</v>
      </c>
      <c r="X201" s="29">
        <f>_xll.qlDayCounterYearFraction(DayCounter,R201,S201)</f>
        <v>9.166666666666666E-2</v>
      </c>
      <c r="Y201" s="29" t="e">
        <f>_xll.qlYieldTSDiscount(Currency&amp;"ON",R201)/(1+U201*X201)</f>
        <v>#NUM!</v>
      </c>
      <c r="Z201" s="30" t="e">
        <f>_xll.qlTenorBasisValue(TenorBasis6M,R201,InterestRatesTrigger)</f>
        <v>#VALUE!</v>
      </c>
      <c r="AA201" s="30" t="e">
        <f t="shared" si="19"/>
        <v>#NUM!</v>
      </c>
    </row>
    <row r="202" spans="15:27" x14ac:dyDescent="0.2">
      <c r="O202" s="33">
        <v>1</v>
      </c>
      <c r="P202" s="27" t="str">
        <f>_xll.qlPeriodEquivalent(P201&amp;"+"&amp;O202&amp;"M")</f>
        <v>16Y7M</v>
      </c>
      <c r="Q202" s="28">
        <f>_xll.qlCalendarAdvance(Calendar,SettlementDate,P202,"f",,Trigger)</f>
        <v>48221</v>
      </c>
      <c r="R202" s="28">
        <f>_xll.qlInterestRateIndexValueDate(Index,Q202,Trigger)</f>
        <v>48225</v>
      </c>
      <c r="S202" s="28">
        <f>_xll.qlInterestRateIndexMaturity(Index,R202,Trigger)</f>
        <v>48256</v>
      </c>
      <c r="T202" s="30">
        <f>_xll.qlIndexFixing($M$6,Q202,,InterestRatesTrigger)</f>
        <v>1.9026373116548104E-2</v>
      </c>
      <c r="U202" s="30" t="e">
        <f>_xll.qlIndexFixing(Index,Q202,,InterestRatesTrigger)</f>
        <v>#NUM!</v>
      </c>
      <c r="V202" s="30" t="e">
        <f t="shared" si="18"/>
        <v>#NUM!</v>
      </c>
      <c r="W202" s="29">
        <f>_xll.qlDayCounterYearFraction(DayCounter,SettlementDate,R202,,,Trigger)</f>
        <v>16.838888888888889</v>
      </c>
      <c r="X202" s="29">
        <f>_xll.qlDayCounterYearFraction(DayCounter,R202,S202)</f>
        <v>8.611111111111111E-2</v>
      </c>
      <c r="Y202" s="29" t="e">
        <f>_xll.qlYieldTSDiscount(Currency&amp;"ON",R202)/(1+U202*X202)</f>
        <v>#NUM!</v>
      </c>
      <c r="Z202" s="30" t="e">
        <f>_xll.qlTenorBasisValue(TenorBasis6M,R202,InterestRatesTrigger)</f>
        <v>#VALUE!</v>
      </c>
      <c r="AA202" s="30" t="e">
        <f t="shared" si="19"/>
        <v>#NUM!</v>
      </c>
    </row>
    <row r="203" spans="15:27" x14ac:dyDescent="0.2">
      <c r="O203" s="33">
        <v>1</v>
      </c>
      <c r="P203" s="27" t="str">
        <f>_xll.qlPeriodEquivalent(P202&amp;"+"&amp;O203&amp;"M")</f>
        <v>16Y8M</v>
      </c>
      <c r="Q203" s="28">
        <f>_xll.qlCalendarAdvance(Calendar,SettlementDate,P203,"f",,Trigger)</f>
        <v>48253</v>
      </c>
      <c r="R203" s="28">
        <f>_xll.qlInterestRateIndexValueDate(Index,Q203,Trigger)</f>
        <v>48255</v>
      </c>
      <c r="S203" s="28">
        <f>_xll.qlInterestRateIndexMaturity(Index,R203,Trigger)</f>
        <v>48284</v>
      </c>
      <c r="T203" s="30">
        <f>_xll.qlIndexFixing($M$6,Q203,,InterestRatesTrigger)</f>
        <v>1.8990735346462298E-2</v>
      </c>
      <c r="U203" s="30" t="e">
        <f>_xll.qlIndexFixing(Index,Q203,,InterestRatesTrigger)</f>
        <v>#NUM!</v>
      </c>
      <c r="V203" s="30" t="e">
        <f t="shared" si="18"/>
        <v>#NUM!</v>
      </c>
      <c r="W203" s="29">
        <f>_xll.qlDayCounterYearFraction(DayCounter,SettlementDate,R203,,,Trigger)</f>
        <v>16.922222222222221</v>
      </c>
      <c r="X203" s="29">
        <f>_xll.qlDayCounterYearFraction(DayCounter,R203,S203)</f>
        <v>8.0555555555555561E-2</v>
      </c>
      <c r="Y203" s="29" t="e">
        <f>_xll.qlYieldTSDiscount(Currency&amp;"ON",R203)/(1+U203*X203)</f>
        <v>#NUM!</v>
      </c>
      <c r="Z203" s="30" t="e">
        <f>_xll.qlTenorBasisValue(TenorBasis6M,R203,InterestRatesTrigger)</f>
        <v>#VALUE!</v>
      </c>
      <c r="AA203" s="30" t="e">
        <f t="shared" si="19"/>
        <v>#NUM!</v>
      </c>
    </row>
    <row r="204" spans="15:27" x14ac:dyDescent="0.2">
      <c r="O204" s="33">
        <v>1</v>
      </c>
      <c r="P204" s="27" t="str">
        <f>_xll.qlPeriodEquivalent(P203&amp;"+"&amp;O204&amp;"M")</f>
        <v>16Y9M</v>
      </c>
      <c r="Q204" s="28">
        <f>_xll.qlCalendarAdvance(Calendar,SettlementDate,P204,"f",,Trigger)</f>
        <v>48281</v>
      </c>
      <c r="R204" s="28">
        <f>_xll.qlInterestRateIndexValueDate(Index,Q204,Trigger)</f>
        <v>48283</v>
      </c>
      <c r="S204" s="28">
        <f>_xll.qlInterestRateIndexMaturity(Index,R204,Trigger)</f>
        <v>48316</v>
      </c>
      <c r="T204" s="30">
        <f>_xll.qlIndexFixing($M$6,Q204,,InterestRatesTrigger)</f>
        <v>1.8956553049197827E-2</v>
      </c>
      <c r="U204" s="30" t="e">
        <f>_xll.qlIndexFixing(Index,Q204,,InterestRatesTrigger)</f>
        <v>#NUM!</v>
      </c>
      <c r="V204" s="30" t="e">
        <f t="shared" si="18"/>
        <v>#NUM!</v>
      </c>
      <c r="W204" s="29">
        <f>_xll.qlDayCounterYearFraction(DayCounter,SettlementDate,R204,,,Trigger)</f>
        <v>17</v>
      </c>
      <c r="X204" s="29">
        <f>_xll.qlDayCounterYearFraction(DayCounter,R204,S204)</f>
        <v>9.166666666666666E-2</v>
      </c>
      <c r="Y204" s="29" t="e">
        <f>_xll.qlYieldTSDiscount(Currency&amp;"ON",R204)/(1+U204*X204)</f>
        <v>#NUM!</v>
      </c>
      <c r="Z204" s="30" t="e">
        <f>_xll.qlTenorBasisValue(TenorBasis6M,R204,InterestRatesTrigger)</f>
        <v>#VALUE!</v>
      </c>
      <c r="AA204" s="30" t="e">
        <f t="shared" si="19"/>
        <v>#NUM!</v>
      </c>
    </row>
    <row r="205" spans="15:27" x14ac:dyDescent="0.2">
      <c r="O205" s="33">
        <v>1</v>
      </c>
      <c r="P205" s="27" t="str">
        <f>_xll.qlPeriodEquivalent(P204&amp;"+"&amp;O205&amp;"M")</f>
        <v>16Y10M</v>
      </c>
      <c r="Q205" s="28">
        <f>_xll.qlCalendarAdvance(Calendar,SettlementDate,P205,"f",,Trigger)</f>
        <v>48312</v>
      </c>
      <c r="R205" s="28">
        <f>_xll.qlInterestRateIndexValueDate(Index,Q205,Trigger)</f>
        <v>48316</v>
      </c>
      <c r="S205" s="28">
        <f>_xll.qlInterestRateIndexMaturity(Index,R205,Trigger)</f>
        <v>48346</v>
      </c>
      <c r="T205" s="30">
        <f>_xll.qlIndexFixing($M$6,Q205,,InterestRatesTrigger)</f>
        <v>1.89166988353211E-2</v>
      </c>
      <c r="U205" s="30" t="e">
        <f>_xll.qlIndexFixing(Index,Q205,,InterestRatesTrigger)</f>
        <v>#NUM!</v>
      </c>
      <c r="V205" s="30" t="e">
        <f t="shared" si="18"/>
        <v>#NUM!</v>
      </c>
      <c r="W205" s="29">
        <f>_xll.qlDayCounterYearFraction(DayCounter,SettlementDate,R205,,,Trigger)</f>
        <v>17.091666666666665</v>
      </c>
      <c r="X205" s="29">
        <f>_xll.qlDayCounterYearFraction(DayCounter,R205,S205)</f>
        <v>8.3333333333333329E-2</v>
      </c>
      <c r="Y205" s="29" t="e">
        <f>_xll.qlYieldTSDiscount(Currency&amp;"ON",R205)/(1+U205*X205)</f>
        <v>#NUM!</v>
      </c>
      <c r="Z205" s="30" t="e">
        <f>_xll.qlTenorBasisValue(TenorBasis6M,R205,InterestRatesTrigger)</f>
        <v>#VALUE!</v>
      </c>
      <c r="AA205" s="30" t="e">
        <f t="shared" si="19"/>
        <v>#NUM!</v>
      </c>
    </row>
    <row r="206" spans="15:27" x14ac:dyDescent="0.2">
      <c r="O206" s="33">
        <v>1</v>
      </c>
      <c r="P206" s="27" t="str">
        <f>_xll.qlPeriodEquivalent(P205&amp;"+"&amp;O206&amp;"M")</f>
        <v>16Y11M</v>
      </c>
      <c r="Q206" s="28">
        <f>_xll.qlCalendarAdvance(Calendar,SettlementDate,P206,"f",,Trigger)</f>
        <v>48344</v>
      </c>
      <c r="R206" s="28">
        <f>_xll.qlInterestRateIndexValueDate(Index,Q206,Trigger)</f>
        <v>48346</v>
      </c>
      <c r="S206" s="28">
        <f>_xll.qlInterestRateIndexMaturity(Index,R206,Trigger)</f>
        <v>48379</v>
      </c>
      <c r="T206" s="30">
        <f>_xll.qlIndexFixing($M$6,Q206,,InterestRatesTrigger)</f>
        <v>1.8879432970799345E-2</v>
      </c>
      <c r="U206" s="30" t="e">
        <f>_xll.qlIndexFixing(Index,Q206,,InterestRatesTrigger)</f>
        <v>#NUM!</v>
      </c>
      <c r="V206" s="30" t="e">
        <f t="shared" si="18"/>
        <v>#NUM!</v>
      </c>
      <c r="W206" s="29">
        <f>_xll.qlDayCounterYearFraction(DayCounter,SettlementDate,R206,,,Trigger)</f>
        <v>17.175000000000001</v>
      </c>
      <c r="X206" s="29">
        <f>_xll.qlDayCounterYearFraction(DayCounter,R206,S206)</f>
        <v>9.166666666666666E-2</v>
      </c>
      <c r="Y206" s="29" t="e">
        <f>_xll.qlYieldTSDiscount(Currency&amp;"ON",R206)/(1+U206*X206)</f>
        <v>#NUM!</v>
      </c>
      <c r="Z206" s="30" t="e">
        <f>_xll.qlTenorBasisValue(TenorBasis6M,R206,InterestRatesTrigger)</f>
        <v>#VALUE!</v>
      </c>
      <c r="AA206" s="30" t="e">
        <f t="shared" si="19"/>
        <v>#NUM!</v>
      </c>
    </row>
    <row r="207" spans="15:27" x14ac:dyDescent="0.2">
      <c r="O207" s="33">
        <v>1</v>
      </c>
      <c r="P207" s="27" t="str">
        <f>_xll.qlPeriodEquivalent(P206&amp;"+"&amp;O207&amp;"M")</f>
        <v>17Y</v>
      </c>
      <c r="Q207" s="28">
        <f>_xll.qlCalendarAdvance(Calendar,SettlementDate,P207,"f",,Trigger)</f>
        <v>48373</v>
      </c>
      <c r="R207" s="28">
        <f>_xll.qlInterestRateIndexValueDate(Index,Q207,Trigger)</f>
        <v>48375</v>
      </c>
      <c r="S207" s="28">
        <f>_xll.qlInterestRateIndexMaturity(Index,R207,Trigger)</f>
        <v>48407</v>
      </c>
      <c r="T207" s="30">
        <f>_xll.qlIndexFixing($M$6,Q207,,InterestRatesTrigger)</f>
        <v>1.8843546086772245E-2</v>
      </c>
      <c r="U207" s="30" t="e">
        <f>_xll.qlIndexFixing(Index,Q207,,InterestRatesTrigger)</f>
        <v>#NUM!</v>
      </c>
      <c r="V207" s="30" t="e">
        <f t="shared" si="18"/>
        <v>#NUM!</v>
      </c>
      <c r="W207" s="29">
        <f>_xll.qlDayCounterYearFraction(DayCounter,SettlementDate,R207,,,Trigger)</f>
        <v>17.255555555555556</v>
      </c>
      <c r="X207" s="29">
        <f>_xll.qlDayCounterYearFraction(DayCounter,R207,S207)</f>
        <v>8.8888888888888892E-2</v>
      </c>
      <c r="Y207" s="29" t="e">
        <f>_xll.qlYieldTSDiscount(Currency&amp;"ON",R207)/(1+U207*X207)</f>
        <v>#NUM!</v>
      </c>
      <c r="Z207" s="30" t="e">
        <f>_xll.qlTenorBasisValue(TenorBasis6M,R207,InterestRatesTrigger)</f>
        <v>#VALUE!</v>
      </c>
      <c r="AA207" s="30" t="e">
        <f t="shared" si="19"/>
        <v>#NUM!</v>
      </c>
    </row>
    <row r="208" spans="15:27" x14ac:dyDescent="0.2">
      <c r="O208" s="33">
        <v>1</v>
      </c>
      <c r="P208" s="27" t="str">
        <f>_xll.qlPeriodEquivalent(P207&amp;"+"&amp;O208&amp;"M")</f>
        <v>17Y1M</v>
      </c>
      <c r="Q208" s="28">
        <f>_xll.qlCalendarAdvance(Calendar,SettlementDate,P208,"f",,Trigger)</f>
        <v>48403</v>
      </c>
      <c r="R208" s="28">
        <f>_xll.qlInterestRateIndexValueDate(Index,Q208,Trigger)</f>
        <v>48407</v>
      </c>
      <c r="S208" s="28">
        <f>_xll.qlInterestRateIndexMaturity(Index,R208,Trigger)</f>
        <v>48438</v>
      </c>
      <c r="T208" s="30">
        <f>_xll.qlIndexFixing($M$6,Q208,,InterestRatesTrigger)</f>
        <v>1.8803569791280034E-2</v>
      </c>
      <c r="U208" s="30" t="e">
        <f>_xll.qlIndexFixing(Index,Q208,,InterestRatesTrigger)</f>
        <v>#NUM!</v>
      </c>
      <c r="V208" s="30" t="e">
        <f t="shared" si="18"/>
        <v>#NUM!</v>
      </c>
      <c r="W208" s="29">
        <f>_xll.qlDayCounterYearFraction(DayCounter,SettlementDate,R208,,,Trigger)</f>
        <v>17.344444444444445</v>
      </c>
      <c r="X208" s="29">
        <f>_xll.qlDayCounterYearFraction(DayCounter,R208,S208)</f>
        <v>8.611111111111111E-2</v>
      </c>
      <c r="Y208" s="29" t="e">
        <f>_xll.qlYieldTSDiscount(Currency&amp;"ON",R208)/(1+U208*X208)</f>
        <v>#NUM!</v>
      </c>
      <c r="Z208" s="30" t="e">
        <f>_xll.qlTenorBasisValue(TenorBasis6M,R208,InterestRatesTrigger)</f>
        <v>#VALUE!</v>
      </c>
      <c r="AA208" s="30" t="e">
        <f t="shared" si="19"/>
        <v>#NUM!</v>
      </c>
    </row>
    <row r="209" spans="15:27" x14ac:dyDescent="0.2">
      <c r="O209" s="33">
        <v>1</v>
      </c>
      <c r="P209" s="27" t="str">
        <f>_xll.qlPeriodEquivalent(P208&amp;"+"&amp;O209&amp;"M")</f>
        <v>17Y2M</v>
      </c>
      <c r="Q209" s="28">
        <f>_xll.qlCalendarAdvance(Calendar,SettlementDate,P209,"f",,Trigger)</f>
        <v>48435</v>
      </c>
      <c r="R209" s="28">
        <f>_xll.qlInterestRateIndexValueDate(Index,Q209,Trigger)</f>
        <v>48437</v>
      </c>
      <c r="S209" s="28">
        <f>_xll.qlInterestRateIndexMaturity(Index,R209,Trigger)</f>
        <v>48470</v>
      </c>
      <c r="T209" s="30">
        <f>_xll.qlIndexFixing($M$6,Q209,,InterestRatesTrigger)</f>
        <v>1.8765310645306631E-2</v>
      </c>
      <c r="U209" s="30" t="e">
        <f>_xll.qlIndexFixing(Index,Q209,,InterestRatesTrigger)</f>
        <v>#NUM!</v>
      </c>
      <c r="V209" s="30" t="e">
        <f t="shared" si="18"/>
        <v>#NUM!</v>
      </c>
      <c r="W209" s="29">
        <f>_xll.qlDayCounterYearFraction(DayCounter,SettlementDate,R209,,,Trigger)</f>
        <v>17.427777777777777</v>
      </c>
      <c r="X209" s="29">
        <f>_xll.qlDayCounterYearFraction(DayCounter,R209,S209)</f>
        <v>9.166666666666666E-2</v>
      </c>
      <c r="Y209" s="29" t="e">
        <f>_xll.qlYieldTSDiscount(Currency&amp;"ON",R209)/(1+U209*X209)</f>
        <v>#NUM!</v>
      </c>
      <c r="Z209" s="30" t="e">
        <f>_xll.qlTenorBasisValue(TenorBasis6M,R209,InterestRatesTrigger)</f>
        <v>#VALUE!</v>
      </c>
      <c r="AA209" s="30" t="e">
        <f t="shared" si="19"/>
        <v>#NUM!</v>
      </c>
    </row>
    <row r="210" spans="15:27" x14ac:dyDescent="0.2">
      <c r="O210" s="33">
        <v>1</v>
      </c>
      <c r="P210" s="27" t="str">
        <f>_xll.qlPeriodEquivalent(P209&amp;"+"&amp;O210&amp;"M")</f>
        <v>17Y3M</v>
      </c>
      <c r="Q210" s="28">
        <f>_xll.qlCalendarAdvance(Calendar,SettlementDate,P210,"f",,Trigger)</f>
        <v>48465</v>
      </c>
      <c r="R210" s="28">
        <f>_xll.qlInterestRateIndexValueDate(Index,Q210,Trigger)</f>
        <v>48467</v>
      </c>
      <c r="S210" s="28">
        <f>_xll.qlInterestRateIndexMaturity(Index,R210,Trigger)</f>
        <v>48498</v>
      </c>
      <c r="T210" s="30">
        <f>_xll.qlIndexFixing($M$6,Q210,,InterestRatesTrigger)</f>
        <v>1.8727293281410443E-2</v>
      </c>
      <c r="U210" s="30" t="e">
        <f>_xll.qlIndexFixing(Index,Q210,,InterestRatesTrigger)</f>
        <v>#NUM!</v>
      </c>
      <c r="V210" s="30" t="e">
        <f t="shared" si="18"/>
        <v>#NUM!</v>
      </c>
      <c r="W210" s="29">
        <f>_xll.qlDayCounterYearFraction(DayCounter,SettlementDate,R210,,,Trigger)</f>
        <v>17.511111111111113</v>
      </c>
      <c r="X210" s="29">
        <f>_xll.qlDayCounterYearFraction(DayCounter,R210,S210)</f>
        <v>8.611111111111111E-2</v>
      </c>
      <c r="Y210" s="29" t="e">
        <f>_xll.qlYieldTSDiscount(Currency&amp;"ON",R210)/(1+U210*X210)</f>
        <v>#NUM!</v>
      </c>
      <c r="Z210" s="30" t="e">
        <f>_xll.qlTenorBasisValue(TenorBasis6M,R210,InterestRatesTrigger)</f>
        <v>#VALUE!</v>
      </c>
      <c r="AA210" s="30" t="e">
        <f t="shared" si="19"/>
        <v>#NUM!</v>
      </c>
    </row>
    <row r="211" spans="15:27" x14ac:dyDescent="0.2">
      <c r="O211" s="33">
        <v>1</v>
      </c>
      <c r="P211" s="27" t="str">
        <f>_xll.qlPeriodEquivalent(P210&amp;"+"&amp;O211&amp;"M")</f>
        <v>17Y4M</v>
      </c>
      <c r="Q211" s="28">
        <f>_xll.qlCalendarAdvance(Calendar,SettlementDate,P211,"f",,Trigger)</f>
        <v>48495</v>
      </c>
      <c r="R211" s="28">
        <f>_xll.qlInterestRateIndexValueDate(Index,Q211,Trigger)</f>
        <v>48499</v>
      </c>
      <c r="S211" s="28">
        <f>_xll.qlInterestRateIndexMaturity(Index,R211,Trigger)</f>
        <v>48530</v>
      </c>
      <c r="T211" s="30">
        <f>_xll.qlIndexFixing($M$6,Q211,,InterestRatesTrigger)</f>
        <v>1.8686039738276629E-2</v>
      </c>
      <c r="U211" s="30" t="e">
        <f>_xll.qlIndexFixing(Index,Q211,,InterestRatesTrigger)</f>
        <v>#NUM!</v>
      </c>
      <c r="V211" s="30" t="e">
        <f t="shared" si="18"/>
        <v>#NUM!</v>
      </c>
      <c r="W211" s="29">
        <f>_xll.qlDayCounterYearFraction(DayCounter,SettlementDate,R211,,,Trigger)</f>
        <v>17.600000000000001</v>
      </c>
      <c r="X211" s="29">
        <f>_xll.qlDayCounterYearFraction(DayCounter,R211,S211)</f>
        <v>8.611111111111111E-2</v>
      </c>
      <c r="Y211" s="29" t="e">
        <f>_xll.qlYieldTSDiscount(Currency&amp;"ON",R211)/(1+U211*X211)</f>
        <v>#NUM!</v>
      </c>
      <c r="Z211" s="30" t="e">
        <f>_xll.qlTenorBasisValue(TenorBasis6M,R211,InterestRatesTrigger)</f>
        <v>#VALUE!</v>
      </c>
      <c r="AA211" s="30" t="e">
        <f t="shared" si="19"/>
        <v>#NUM!</v>
      </c>
    </row>
    <row r="212" spans="15:27" x14ac:dyDescent="0.2">
      <c r="O212" s="33">
        <v>1</v>
      </c>
      <c r="P212" s="27" t="str">
        <f>_xll.qlPeriodEquivalent(P211&amp;"+"&amp;O212&amp;"M")</f>
        <v>17Y5M</v>
      </c>
      <c r="Q212" s="28">
        <f>_xll.qlCalendarAdvance(Calendar,SettlementDate,P212,"f",,Trigger)</f>
        <v>48526</v>
      </c>
      <c r="R212" s="28">
        <f>_xll.qlInterestRateIndexValueDate(Index,Q212,Trigger)</f>
        <v>48528</v>
      </c>
      <c r="S212" s="28">
        <f>_xll.qlInterestRateIndexMaturity(Index,R212,Trigger)</f>
        <v>48558</v>
      </c>
      <c r="T212" s="30">
        <f>_xll.qlIndexFixing($M$6,Q212,,InterestRatesTrigger)</f>
        <v>1.8648481086043667E-2</v>
      </c>
      <c r="U212" s="30" t="e">
        <f>_xll.qlIndexFixing(Index,Q212,,InterestRatesTrigger)</f>
        <v>#NUM!</v>
      </c>
      <c r="V212" s="30" t="e">
        <f t="shared" si="18"/>
        <v>#NUM!</v>
      </c>
      <c r="W212" s="29">
        <f>_xll.qlDayCounterYearFraction(DayCounter,SettlementDate,R212,,,Trigger)</f>
        <v>17.680555555555557</v>
      </c>
      <c r="X212" s="29">
        <f>_xll.qlDayCounterYearFraction(DayCounter,R212,S212)</f>
        <v>8.3333333333333329E-2</v>
      </c>
      <c r="Y212" s="29" t="e">
        <f>_xll.qlYieldTSDiscount(Currency&amp;"ON",R212)/(1+U212*X212)</f>
        <v>#NUM!</v>
      </c>
      <c r="Z212" s="30" t="e">
        <f>_xll.qlTenorBasisValue(TenorBasis6M,R212,InterestRatesTrigger)</f>
        <v>#VALUE!</v>
      </c>
      <c r="AA212" s="30" t="e">
        <f t="shared" si="19"/>
        <v>#NUM!</v>
      </c>
    </row>
    <row r="213" spans="15:27" x14ac:dyDescent="0.2">
      <c r="O213" s="33">
        <v>1</v>
      </c>
      <c r="P213" s="27" t="str">
        <f>_xll.qlPeriodEquivalent(P212&amp;"+"&amp;O213&amp;"M")</f>
        <v>17Y6M</v>
      </c>
      <c r="Q213" s="28">
        <f>_xll.qlCalendarAdvance(Calendar,SettlementDate,P213,"f",,Trigger)</f>
        <v>48556</v>
      </c>
      <c r="R213" s="28">
        <f>_xll.qlInterestRateIndexValueDate(Index,Q213,Trigger)</f>
        <v>48558</v>
      </c>
      <c r="S213" s="28">
        <f>_xll.qlInterestRateIndexMaturity(Index,R213,Trigger)</f>
        <v>48589</v>
      </c>
      <c r="T213" s="30">
        <f>_xll.qlIndexFixing($M$6,Q213,,InterestRatesTrigger)</f>
        <v>1.8608934028255916E-2</v>
      </c>
      <c r="U213" s="30" t="e">
        <f>_xll.qlIndexFixing(Index,Q213,,InterestRatesTrigger)</f>
        <v>#NUM!</v>
      </c>
      <c r="V213" s="30" t="e">
        <f t="shared" si="18"/>
        <v>#NUM!</v>
      </c>
      <c r="W213" s="29">
        <f>_xll.qlDayCounterYearFraction(DayCounter,SettlementDate,R213,,,Trigger)</f>
        <v>17.763888888888889</v>
      </c>
      <c r="X213" s="29">
        <f>_xll.qlDayCounterYearFraction(DayCounter,R213,S213)</f>
        <v>8.611111111111111E-2</v>
      </c>
      <c r="Y213" s="29" t="e">
        <f>_xll.qlYieldTSDiscount(Currency&amp;"ON",R213)/(1+U213*X213)</f>
        <v>#NUM!</v>
      </c>
      <c r="Z213" s="30" t="e">
        <f>_xll.qlTenorBasisValue(TenorBasis6M,R213,InterestRatesTrigger)</f>
        <v>#VALUE!</v>
      </c>
      <c r="AA213" s="30" t="e">
        <f t="shared" si="19"/>
        <v>#NUM!</v>
      </c>
    </row>
    <row r="214" spans="15:27" x14ac:dyDescent="0.2">
      <c r="O214" s="33">
        <v>1</v>
      </c>
      <c r="P214" s="27" t="str">
        <f>_xll.qlPeriodEquivalent(P213&amp;"+"&amp;O214&amp;"M")</f>
        <v>17Y7M</v>
      </c>
      <c r="Q214" s="28">
        <f>_xll.qlCalendarAdvance(Calendar,SettlementDate,P214,"f",,Trigger)</f>
        <v>48589</v>
      </c>
      <c r="R214" s="28">
        <f>_xll.qlInterestRateIndexValueDate(Index,Q214,Trigger)</f>
        <v>48591</v>
      </c>
      <c r="S214" s="28">
        <f>_xll.qlInterestRateIndexMaturity(Index,R214,Trigger)</f>
        <v>48624</v>
      </c>
      <c r="T214" s="30">
        <f>_xll.qlIndexFixing($M$6,Q214,,InterestRatesTrigger)</f>
        <v>1.8564839818582257E-2</v>
      </c>
      <c r="U214" s="30" t="e">
        <f>_xll.qlIndexFixing(Index,Q214,,InterestRatesTrigger)</f>
        <v>#NUM!</v>
      </c>
      <c r="V214" s="30" t="e">
        <f t="shared" si="18"/>
        <v>#NUM!</v>
      </c>
      <c r="W214" s="29">
        <f>_xll.qlDayCounterYearFraction(DayCounter,SettlementDate,R214,,,Trigger)</f>
        <v>17.855555555555554</v>
      </c>
      <c r="X214" s="29">
        <f>_xll.qlDayCounterYearFraction(DayCounter,R214,S214)</f>
        <v>9.166666666666666E-2</v>
      </c>
      <c r="Y214" s="29" t="e">
        <f>_xll.qlYieldTSDiscount(Currency&amp;"ON",R214)/(1+U214*X214)</f>
        <v>#NUM!</v>
      </c>
      <c r="Z214" s="30" t="e">
        <f>_xll.qlTenorBasisValue(TenorBasis6M,R214,InterestRatesTrigger)</f>
        <v>#VALUE!</v>
      </c>
      <c r="AA214" s="30" t="e">
        <f t="shared" si="19"/>
        <v>#NUM!</v>
      </c>
    </row>
    <row r="215" spans="15:27" x14ac:dyDescent="0.2">
      <c r="O215" s="33">
        <v>1</v>
      </c>
      <c r="P215" s="27" t="str">
        <f>_xll.qlPeriodEquivalent(P214&amp;"+"&amp;O215&amp;"M")</f>
        <v>17Y8M</v>
      </c>
      <c r="Q215" s="28">
        <f>_xll.qlCalendarAdvance(Calendar,SettlementDate,P215,"f",,Trigger)</f>
        <v>48618</v>
      </c>
      <c r="R215" s="28">
        <f>_xll.qlInterestRateIndexValueDate(Index,Q215,Trigger)</f>
        <v>48620</v>
      </c>
      <c r="S215" s="28">
        <f>_xll.qlInterestRateIndexMaturity(Index,R215,Trigger)</f>
        <v>48648</v>
      </c>
      <c r="T215" s="30">
        <f>_xll.qlIndexFixing($M$6,Q215,,InterestRatesTrigger)</f>
        <v>1.8527034816686605E-2</v>
      </c>
      <c r="U215" s="30" t="e">
        <f>_xll.qlIndexFixing(Index,Q215,,InterestRatesTrigger)</f>
        <v>#NUM!</v>
      </c>
      <c r="V215" s="30" t="e">
        <f t="shared" si="18"/>
        <v>#NUM!</v>
      </c>
      <c r="W215" s="29">
        <f>_xll.qlDayCounterYearFraction(DayCounter,SettlementDate,R215,,,Trigger)</f>
        <v>17.93611111111111</v>
      </c>
      <c r="X215" s="29">
        <f>_xll.qlDayCounterYearFraction(DayCounter,R215,S215)</f>
        <v>7.7777777777777779E-2</v>
      </c>
      <c r="Y215" s="29" t="e">
        <f>_xll.qlYieldTSDiscount(Currency&amp;"ON",R215)/(1+U215*X215)</f>
        <v>#NUM!</v>
      </c>
      <c r="Z215" s="30" t="e">
        <f>_xll.qlTenorBasisValue(TenorBasis6M,R215,InterestRatesTrigger)</f>
        <v>#VALUE!</v>
      </c>
      <c r="AA215" s="30" t="e">
        <f t="shared" si="19"/>
        <v>#NUM!</v>
      </c>
    </row>
    <row r="216" spans="15:27" x14ac:dyDescent="0.2">
      <c r="O216" s="33">
        <v>1</v>
      </c>
      <c r="P216" s="27" t="str">
        <f>_xll.qlPeriodEquivalent(P215&amp;"+"&amp;O216&amp;"M")</f>
        <v>17Y9M</v>
      </c>
      <c r="Q216" s="28">
        <f>_xll.qlCalendarAdvance(Calendar,SettlementDate,P216,"f",,Trigger)</f>
        <v>48646</v>
      </c>
      <c r="R216" s="28">
        <f>_xll.qlInterestRateIndexValueDate(Index,Q216,Trigger)</f>
        <v>48648</v>
      </c>
      <c r="S216" s="28">
        <f>_xll.qlInterestRateIndexMaturity(Index,R216,Trigger)</f>
        <v>48680</v>
      </c>
      <c r="T216" s="30">
        <f>_xll.qlIndexFixing($M$6,Q216,,InterestRatesTrigger)</f>
        <v>1.8488503142005674E-2</v>
      </c>
      <c r="U216" s="30" t="e">
        <f>_xll.qlIndexFixing(Index,Q216,,InterestRatesTrigger)</f>
        <v>#NUM!</v>
      </c>
      <c r="V216" s="30" t="e">
        <f t="shared" si="18"/>
        <v>#NUM!</v>
      </c>
      <c r="W216" s="29">
        <f>_xll.qlDayCounterYearFraction(DayCounter,SettlementDate,R216,,,Trigger)</f>
        <v>18.013888888888889</v>
      </c>
      <c r="X216" s="29">
        <f>_xll.qlDayCounterYearFraction(DayCounter,R216,S216)</f>
        <v>8.8888888888888892E-2</v>
      </c>
      <c r="Y216" s="29" t="e">
        <f>_xll.qlYieldTSDiscount(Currency&amp;"ON",R216)/(1+U216*X216)</f>
        <v>#NUM!</v>
      </c>
      <c r="Z216" s="30" t="e">
        <f>_xll.qlTenorBasisValue(TenorBasis6M,R216,InterestRatesTrigger)</f>
        <v>#VALUE!</v>
      </c>
      <c r="AA216" s="30" t="e">
        <f t="shared" si="19"/>
        <v>#NUM!</v>
      </c>
    </row>
    <row r="217" spans="15:27" x14ac:dyDescent="0.2">
      <c r="O217" s="33">
        <v>1</v>
      </c>
      <c r="P217" s="27" t="str">
        <f>_xll.qlPeriodEquivalent(P216&amp;"+"&amp;O217&amp;"M")</f>
        <v>17Y10M</v>
      </c>
      <c r="Q217" s="28">
        <f>_xll.qlCalendarAdvance(Calendar,SettlementDate,P217,"f",,Trigger)</f>
        <v>48677</v>
      </c>
      <c r="R217" s="28">
        <f>_xll.qlInterestRateIndexValueDate(Index,Q217,Trigger)</f>
        <v>48681</v>
      </c>
      <c r="S217" s="28">
        <f>_xll.qlInterestRateIndexMaturity(Index,R217,Trigger)</f>
        <v>48711</v>
      </c>
      <c r="T217" s="30">
        <f>_xll.qlIndexFixing($M$6,Q217,,InterestRatesTrigger)</f>
        <v>1.8444045142890886E-2</v>
      </c>
      <c r="U217" s="30" t="e">
        <f>_xll.qlIndexFixing(Index,Q217,,InterestRatesTrigger)</f>
        <v>#NUM!</v>
      </c>
      <c r="V217" s="30" t="e">
        <f t="shared" si="18"/>
        <v>#NUM!</v>
      </c>
      <c r="W217" s="29">
        <f>_xll.qlDayCounterYearFraction(DayCounter,SettlementDate,R217,,,Trigger)</f>
        <v>18.105555555555554</v>
      </c>
      <c r="X217" s="29">
        <f>_xll.qlDayCounterYearFraction(DayCounter,R217,S217)</f>
        <v>8.3333333333333329E-2</v>
      </c>
      <c r="Y217" s="29" t="e">
        <f>_xll.qlYieldTSDiscount(Currency&amp;"ON",R217)/(1+U217*X217)</f>
        <v>#NUM!</v>
      </c>
      <c r="Z217" s="30" t="e">
        <f>_xll.qlTenorBasisValue(TenorBasis6M,R217,InterestRatesTrigger)</f>
        <v>#VALUE!</v>
      </c>
      <c r="AA217" s="30" t="e">
        <f t="shared" si="19"/>
        <v>#NUM!</v>
      </c>
    </row>
    <row r="218" spans="15:27" x14ac:dyDescent="0.2">
      <c r="O218" s="33">
        <v>1</v>
      </c>
      <c r="P218" s="27" t="str">
        <f>_xll.qlPeriodEquivalent(P217&amp;"+"&amp;O218&amp;"M")</f>
        <v>17Y11M</v>
      </c>
      <c r="Q218" s="28">
        <f>_xll.qlCalendarAdvance(Calendar,SettlementDate,P218,"f",,Trigger)</f>
        <v>48708</v>
      </c>
      <c r="R218" s="28">
        <f>_xll.qlInterestRateIndexValueDate(Index,Q218,Trigger)</f>
        <v>48710</v>
      </c>
      <c r="S218" s="28">
        <f>_xll.qlInterestRateIndexMaturity(Index,R218,Trigger)</f>
        <v>48743</v>
      </c>
      <c r="T218" s="30">
        <f>_xll.qlIndexFixing($M$6,Q218,,InterestRatesTrigger)</f>
        <v>1.8403610157173844E-2</v>
      </c>
      <c r="U218" s="30" t="e">
        <f>_xll.qlIndexFixing(Index,Q218,,InterestRatesTrigger)</f>
        <v>#NUM!</v>
      </c>
      <c r="V218" s="30" t="e">
        <f t="shared" si="18"/>
        <v>#NUM!</v>
      </c>
      <c r="W218" s="29">
        <f>_xll.qlDayCounterYearFraction(DayCounter,SettlementDate,R218,,,Trigger)</f>
        <v>18.18611111111111</v>
      </c>
      <c r="X218" s="29">
        <f>_xll.qlDayCounterYearFraction(DayCounter,R218,S218)</f>
        <v>9.166666666666666E-2</v>
      </c>
      <c r="Y218" s="29" t="e">
        <f>_xll.qlYieldTSDiscount(Currency&amp;"ON",R218)/(1+U218*X218)</f>
        <v>#NUM!</v>
      </c>
      <c r="Z218" s="30" t="e">
        <f>_xll.qlTenorBasisValue(TenorBasis6M,R218,InterestRatesTrigger)</f>
        <v>#VALUE!</v>
      </c>
      <c r="AA218" s="30" t="e">
        <f t="shared" si="19"/>
        <v>#NUM!</v>
      </c>
    </row>
    <row r="219" spans="15:27" x14ac:dyDescent="0.2">
      <c r="O219" s="33">
        <v>1</v>
      </c>
      <c r="P219" s="27" t="str">
        <f>_xll.qlPeriodEquivalent(P218&amp;"+"&amp;O219&amp;"M")</f>
        <v>18Y</v>
      </c>
      <c r="Q219" s="28">
        <f>_xll.qlCalendarAdvance(Calendar,SettlementDate,P219,"f",,Trigger)</f>
        <v>48738</v>
      </c>
      <c r="R219" s="28">
        <f>_xll.qlInterestRateIndexValueDate(Index,Q219,Trigger)</f>
        <v>48740</v>
      </c>
      <c r="S219" s="28">
        <f>_xll.qlInterestRateIndexMaturity(Index,R219,Trigger)</f>
        <v>48771</v>
      </c>
      <c r="T219" s="30">
        <f>_xll.qlIndexFixing($M$6,Q219,,InterestRatesTrigger)</f>
        <v>1.8362549829604866E-2</v>
      </c>
      <c r="U219" s="30" t="e">
        <f>_xll.qlIndexFixing(Index,Q219,,InterestRatesTrigger)</f>
        <v>#NUM!</v>
      </c>
      <c r="V219" s="30" t="e">
        <f t="shared" si="18"/>
        <v>#NUM!</v>
      </c>
      <c r="W219" s="29">
        <f>_xll.qlDayCounterYearFraction(DayCounter,SettlementDate,R219,,,Trigger)</f>
        <v>18.269444444444446</v>
      </c>
      <c r="X219" s="29">
        <f>_xll.qlDayCounterYearFraction(DayCounter,R219,S219)</f>
        <v>8.611111111111111E-2</v>
      </c>
      <c r="Y219" s="29" t="e">
        <f>_xll.qlYieldTSDiscount(Currency&amp;"ON",R219)/(1+U219*X219)</f>
        <v>#NUM!</v>
      </c>
      <c r="Z219" s="30" t="e">
        <f>_xll.qlTenorBasisValue(TenorBasis6M,R219,InterestRatesTrigger)</f>
        <v>#VALUE!</v>
      </c>
      <c r="AA219" s="30" t="e">
        <f t="shared" si="19"/>
        <v>#NUM!</v>
      </c>
    </row>
    <row r="220" spans="15:27" x14ac:dyDescent="0.2">
      <c r="O220" s="33">
        <v>1</v>
      </c>
      <c r="P220" s="27" t="str">
        <f>_xll.qlPeriodEquivalent(P219&amp;"+"&amp;O220&amp;"M")</f>
        <v>18Y1M</v>
      </c>
      <c r="Q220" s="28">
        <f>_xll.qlCalendarAdvance(Calendar,SettlementDate,P220,"f",,Trigger)</f>
        <v>48768</v>
      </c>
      <c r="R220" s="28">
        <f>_xll.qlInterestRateIndexValueDate(Index,Q220,Trigger)</f>
        <v>48772</v>
      </c>
      <c r="S220" s="28">
        <f>_xll.qlInterestRateIndexMaturity(Index,R220,Trigger)</f>
        <v>48803</v>
      </c>
      <c r="T220" s="30">
        <f>_xll.qlIndexFixing($M$6,Q220,,InterestRatesTrigger)</f>
        <v>1.8317897398734632E-2</v>
      </c>
      <c r="U220" s="30" t="e">
        <f>_xll.qlIndexFixing(Index,Q220,,InterestRatesTrigger)</f>
        <v>#NUM!</v>
      </c>
      <c r="V220" s="30" t="e">
        <f t="shared" si="18"/>
        <v>#NUM!</v>
      </c>
      <c r="W220" s="29">
        <f>_xll.qlDayCounterYearFraction(DayCounter,SettlementDate,R220,,,Trigger)</f>
        <v>18.358333333333334</v>
      </c>
      <c r="X220" s="29">
        <f>_xll.qlDayCounterYearFraction(DayCounter,R220,S220)</f>
        <v>8.611111111111111E-2</v>
      </c>
      <c r="Y220" s="29" t="e">
        <f>_xll.qlYieldTSDiscount(Currency&amp;"ON",R220)/(1+U220*X220)</f>
        <v>#NUM!</v>
      </c>
      <c r="Z220" s="30" t="e">
        <f>_xll.qlTenorBasisValue(TenorBasis6M,R220,InterestRatesTrigger)</f>
        <v>#VALUE!</v>
      </c>
      <c r="AA220" s="30" t="e">
        <f t="shared" si="19"/>
        <v>#NUM!</v>
      </c>
    </row>
    <row r="221" spans="15:27" x14ac:dyDescent="0.2">
      <c r="O221" s="33">
        <v>1</v>
      </c>
      <c r="P221" s="27" t="str">
        <f>_xll.qlPeriodEquivalent(P220&amp;"+"&amp;O221&amp;"M")</f>
        <v>18Y2M</v>
      </c>
      <c r="Q221" s="28">
        <f>_xll.qlCalendarAdvance(Calendar,SettlementDate,P221,"f",,Trigger)</f>
        <v>48799</v>
      </c>
      <c r="R221" s="28">
        <f>_xll.qlInterestRateIndexValueDate(Index,Q221,Trigger)</f>
        <v>48801</v>
      </c>
      <c r="S221" s="28">
        <f>_xll.qlInterestRateIndexMaturity(Index,R221,Trigger)</f>
        <v>48834</v>
      </c>
      <c r="T221" s="30">
        <f>_xll.qlIndexFixing($M$6,Q221,,InterestRatesTrigger)</f>
        <v>1.8276599179513783E-2</v>
      </c>
      <c r="U221" s="30" t="e">
        <f>_xll.qlIndexFixing(Index,Q221,,InterestRatesTrigger)</f>
        <v>#NUM!</v>
      </c>
      <c r="V221" s="30" t="e">
        <f t="shared" si="18"/>
        <v>#NUM!</v>
      </c>
      <c r="W221" s="29">
        <f>_xll.qlDayCounterYearFraction(DayCounter,SettlementDate,R221,,,Trigger)</f>
        <v>18.43888888888889</v>
      </c>
      <c r="X221" s="29">
        <f>_xll.qlDayCounterYearFraction(DayCounter,R221,S221)</f>
        <v>9.166666666666666E-2</v>
      </c>
      <c r="Y221" s="29" t="e">
        <f>_xll.qlYieldTSDiscount(Currency&amp;"ON",R221)/(1+U221*X221)</f>
        <v>#NUM!</v>
      </c>
      <c r="Z221" s="30" t="e">
        <f>_xll.qlTenorBasisValue(TenorBasis6M,R221,InterestRatesTrigger)</f>
        <v>#VALUE!</v>
      </c>
      <c r="AA221" s="30" t="e">
        <f t="shared" si="19"/>
        <v>#NUM!</v>
      </c>
    </row>
    <row r="222" spans="15:27" x14ac:dyDescent="0.2">
      <c r="O222" s="33">
        <v>1</v>
      </c>
      <c r="P222" s="27" t="str">
        <f>_xll.qlPeriodEquivalent(P221&amp;"+"&amp;O222&amp;"M")</f>
        <v>18Y3M</v>
      </c>
      <c r="Q222" s="28">
        <f>_xll.qlCalendarAdvance(Calendar,SettlementDate,P222,"f",,Trigger)</f>
        <v>48830</v>
      </c>
      <c r="R222" s="28">
        <f>_xll.qlInterestRateIndexValueDate(Index,Q222,Trigger)</f>
        <v>48834</v>
      </c>
      <c r="S222" s="28">
        <f>_xll.qlInterestRateIndexMaturity(Index,R222,Trigger)</f>
        <v>48864</v>
      </c>
      <c r="T222" s="30">
        <f>_xll.qlIndexFixing($M$6,Q222,,InterestRatesTrigger)</f>
        <v>1.8230502072595023E-2</v>
      </c>
      <c r="U222" s="30" t="e">
        <f>_xll.qlIndexFixing(Index,Q222,,InterestRatesTrigger)</f>
        <v>#NUM!</v>
      </c>
      <c r="V222" s="30" t="e">
        <f t="shared" si="18"/>
        <v>#NUM!</v>
      </c>
      <c r="W222" s="29">
        <f>_xll.qlDayCounterYearFraction(DayCounter,SettlementDate,R222,,,Trigger)</f>
        <v>18.530555555555555</v>
      </c>
      <c r="X222" s="29">
        <f>_xll.qlDayCounterYearFraction(DayCounter,R222,S222)</f>
        <v>8.3333333333333329E-2</v>
      </c>
      <c r="Y222" s="29" t="e">
        <f>_xll.qlYieldTSDiscount(Currency&amp;"ON",R222)/(1+U222*X222)</f>
        <v>#NUM!</v>
      </c>
      <c r="Z222" s="30" t="e">
        <f>_xll.qlTenorBasisValue(TenorBasis6M,R222,InterestRatesTrigger)</f>
        <v>#VALUE!</v>
      </c>
      <c r="AA222" s="30" t="e">
        <f t="shared" si="19"/>
        <v>#NUM!</v>
      </c>
    </row>
    <row r="223" spans="15:27" x14ac:dyDescent="0.2">
      <c r="O223" s="33">
        <v>1</v>
      </c>
      <c r="P223" s="27" t="str">
        <f>_xll.qlPeriodEquivalent(P222&amp;"+"&amp;O223&amp;"M")</f>
        <v>18Y4M</v>
      </c>
      <c r="Q223" s="28">
        <f>_xll.qlCalendarAdvance(Calendar,SettlementDate,P223,"f",,Trigger)</f>
        <v>48862</v>
      </c>
      <c r="R223" s="28">
        <f>_xll.qlInterestRateIndexValueDate(Index,Q223,Trigger)</f>
        <v>48864</v>
      </c>
      <c r="S223" s="28">
        <f>_xll.qlInterestRateIndexMaturity(Index,R223,Trigger)</f>
        <v>48897</v>
      </c>
      <c r="T223" s="30">
        <f>_xll.qlIndexFixing($M$6,Q223,,InterestRatesTrigger)</f>
        <v>1.8186781116921485E-2</v>
      </c>
      <c r="U223" s="30" t="e">
        <f>_xll.qlIndexFixing(Index,Q223,,InterestRatesTrigger)</f>
        <v>#NUM!</v>
      </c>
      <c r="V223" s="30" t="e">
        <f t="shared" si="18"/>
        <v>#NUM!</v>
      </c>
      <c r="W223" s="29">
        <f>_xll.qlDayCounterYearFraction(DayCounter,SettlementDate,R223,,,Trigger)</f>
        <v>18.613888888888887</v>
      </c>
      <c r="X223" s="29">
        <f>_xll.qlDayCounterYearFraction(DayCounter,R223,S223)</f>
        <v>9.166666666666666E-2</v>
      </c>
      <c r="Y223" s="29" t="e">
        <f>_xll.qlYieldTSDiscount(Currency&amp;"ON",R223)/(1+U223*X223)</f>
        <v>#NUM!</v>
      </c>
      <c r="Z223" s="30" t="e">
        <f>_xll.qlTenorBasisValue(TenorBasis6M,R223,InterestRatesTrigger)</f>
        <v>#VALUE!</v>
      </c>
      <c r="AA223" s="30" t="e">
        <f t="shared" si="19"/>
        <v>#NUM!</v>
      </c>
    </row>
    <row r="224" spans="15:27" x14ac:dyDescent="0.2">
      <c r="O224" s="33">
        <v>1</v>
      </c>
      <c r="P224" s="27" t="str">
        <f>_xll.qlPeriodEquivalent(P223&amp;"+"&amp;O224&amp;"M")</f>
        <v>18Y5M</v>
      </c>
      <c r="Q224" s="28">
        <f>_xll.qlCalendarAdvance(Calendar,SettlementDate,P224,"f",,Trigger)</f>
        <v>48891</v>
      </c>
      <c r="R224" s="28">
        <f>_xll.qlInterestRateIndexValueDate(Index,Q224,Trigger)</f>
        <v>48893</v>
      </c>
      <c r="S224" s="28">
        <f>_xll.qlInterestRateIndexMaturity(Index,R224,Trigger)</f>
        <v>48925</v>
      </c>
      <c r="T224" s="30">
        <f>_xll.qlIndexFixing($M$6,Q224,,InterestRatesTrigger)</f>
        <v>1.8145185851304313E-2</v>
      </c>
      <c r="U224" s="30" t="e">
        <f>_xll.qlIndexFixing(Index,Q224,,InterestRatesTrigger)</f>
        <v>#NUM!</v>
      </c>
      <c r="V224" s="30" t="e">
        <f t="shared" si="18"/>
        <v>#NUM!</v>
      </c>
      <c r="W224" s="29">
        <f>_xll.qlDayCounterYearFraction(DayCounter,SettlementDate,R224,,,Trigger)</f>
        <v>18.694444444444443</v>
      </c>
      <c r="X224" s="29">
        <f>_xll.qlDayCounterYearFraction(DayCounter,R224,S224)</f>
        <v>8.8888888888888892E-2</v>
      </c>
      <c r="Y224" s="29" t="e">
        <f>_xll.qlYieldTSDiscount(Currency&amp;"ON",R224)/(1+U224*X224)</f>
        <v>#NUM!</v>
      </c>
      <c r="Z224" s="30" t="e">
        <f>_xll.qlTenorBasisValue(TenorBasis6M,R224,InterestRatesTrigger)</f>
        <v>#VALUE!</v>
      </c>
      <c r="AA224" s="30" t="e">
        <f t="shared" si="19"/>
        <v>#NUM!</v>
      </c>
    </row>
    <row r="225" spans="15:27" x14ac:dyDescent="0.2">
      <c r="O225" s="33">
        <v>1</v>
      </c>
      <c r="P225" s="27" t="str">
        <f>_xll.qlPeriodEquivalent(P224&amp;"+"&amp;O225&amp;"M")</f>
        <v>18Y6M</v>
      </c>
      <c r="Q225" s="28">
        <f>_xll.qlCalendarAdvance(Calendar,SettlementDate,P225,"f",,Trigger)</f>
        <v>48921</v>
      </c>
      <c r="R225" s="28">
        <f>_xll.qlInterestRateIndexValueDate(Index,Q225,Trigger)</f>
        <v>48925</v>
      </c>
      <c r="S225" s="28">
        <f>_xll.qlInterestRateIndexMaturity(Index,R225,Trigger)</f>
        <v>48956</v>
      </c>
      <c r="T225" s="30">
        <f>_xll.qlIndexFixing($M$6,Q225,,InterestRatesTrigger)</f>
        <v>1.8098897072156714E-2</v>
      </c>
      <c r="U225" s="30" t="e">
        <f>_xll.qlIndexFixing(Index,Q225,,InterestRatesTrigger)</f>
        <v>#NUM!</v>
      </c>
      <c r="V225" s="30" t="e">
        <f t="shared" si="18"/>
        <v>#NUM!</v>
      </c>
      <c r="W225" s="29">
        <f>_xll.qlDayCounterYearFraction(DayCounter,SettlementDate,R225,,,Trigger)</f>
        <v>18.783333333333335</v>
      </c>
      <c r="X225" s="29">
        <f>_xll.qlDayCounterYearFraction(DayCounter,R225,S225)</f>
        <v>8.611111111111111E-2</v>
      </c>
      <c r="Y225" s="29" t="e">
        <f>_xll.qlYieldTSDiscount(Currency&amp;"ON",R225)/(1+U225*X225)</f>
        <v>#NUM!</v>
      </c>
      <c r="Z225" s="30" t="e">
        <f>_xll.qlTenorBasisValue(TenorBasis6M,R225,InterestRatesTrigger)</f>
        <v>#VALUE!</v>
      </c>
      <c r="AA225" s="30" t="e">
        <f t="shared" si="19"/>
        <v>#NUM!</v>
      </c>
    </row>
    <row r="226" spans="15:27" x14ac:dyDescent="0.2">
      <c r="O226" s="33">
        <v>1</v>
      </c>
      <c r="P226" s="27" t="str">
        <f>_xll.qlPeriodEquivalent(P225&amp;"+"&amp;O226&amp;"M")</f>
        <v>18Y7M</v>
      </c>
      <c r="Q226" s="28">
        <f>_xll.qlCalendarAdvance(Calendar,SettlementDate,P226,"f",,Trigger)</f>
        <v>48953</v>
      </c>
      <c r="R226" s="28">
        <f>_xll.qlInterestRateIndexValueDate(Index,Q226,Trigger)</f>
        <v>48955</v>
      </c>
      <c r="S226" s="28">
        <f>_xll.qlInterestRateIndexMaturity(Index,R226,Trigger)</f>
        <v>48988</v>
      </c>
      <c r="T226" s="30">
        <f>_xll.qlIndexFixing($M$6,Q226,,InterestRatesTrigger)</f>
        <v>1.805431777869838E-2</v>
      </c>
      <c r="U226" s="30" t="e">
        <f>_xll.qlIndexFixing(Index,Q226,,InterestRatesTrigger)</f>
        <v>#NUM!</v>
      </c>
      <c r="V226" s="30" t="e">
        <f t="shared" si="18"/>
        <v>#NUM!</v>
      </c>
      <c r="W226" s="29">
        <f>_xll.qlDayCounterYearFraction(DayCounter,SettlementDate,R226,,,Trigger)</f>
        <v>18.866666666666667</v>
      </c>
      <c r="X226" s="29">
        <f>_xll.qlDayCounterYearFraction(DayCounter,R226,S226)</f>
        <v>9.166666666666666E-2</v>
      </c>
      <c r="Y226" s="29" t="e">
        <f>_xll.qlYieldTSDiscount(Currency&amp;"ON",R226)/(1+U226*X226)</f>
        <v>#NUM!</v>
      </c>
      <c r="Z226" s="30" t="e">
        <f>_xll.qlTenorBasisValue(TenorBasis6M,R226,InterestRatesTrigger)</f>
        <v>#VALUE!</v>
      </c>
      <c r="AA226" s="30" t="e">
        <f t="shared" si="19"/>
        <v>#NUM!</v>
      </c>
    </row>
    <row r="227" spans="15:27" x14ac:dyDescent="0.2">
      <c r="O227" s="33">
        <v>1</v>
      </c>
      <c r="P227" s="27" t="str">
        <f>_xll.qlPeriodEquivalent(P226&amp;"+"&amp;O227&amp;"M")</f>
        <v>18Y8M</v>
      </c>
      <c r="Q227" s="28">
        <f>_xll.qlCalendarAdvance(Calendar,SettlementDate,P227,"f",,Trigger)</f>
        <v>48983</v>
      </c>
      <c r="R227" s="28">
        <f>_xll.qlInterestRateIndexValueDate(Index,Q227,Trigger)</f>
        <v>48985</v>
      </c>
      <c r="S227" s="28">
        <f>_xll.qlInterestRateIndexMaturity(Index,R227,Trigger)</f>
        <v>49013</v>
      </c>
      <c r="T227" s="30">
        <f>_xll.qlIndexFixing($M$6,Q227,,InterestRatesTrigger)</f>
        <v>1.8011406698883459E-2</v>
      </c>
      <c r="U227" s="30" t="e">
        <f>_xll.qlIndexFixing(Index,Q227,,InterestRatesTrigger)</f>
        <v>#NUM!</v>
      </c>
      <c r="V227" s="30" t="e">
        <f t="shared" si="18"/>
        <v>#NUM!</v>
      </c>
      <c r="W227" s="29">
        <f>_xll.qlDayCounterYearFraction(DayCounter,SettlementDate,R227,,,Trigger)</f>
        <v>18.95</v>
      </c>
      <c r="X227" s="29">
        <f>_xll.qlDayCounterYearFraction(DayCounter,R227,S227)</f>
        <v>7.7777777777777779E-2</v>
      </c>
      <c r="Y227" s="29" t="e">
        <f>_xll.qlYieldTSDiscount(Currency&amp;"ON",R227)/(1+U227*X227)</f>
        <v>#NUM!</v>
      </c>
      <c r="Z227" s="30" t="e">
        <f>_xll.qlTenorBasisValue(TenorBasis6M,R227,InterestRatesTrigger)</f>
        <v>#VALUE!</v>
      </c>
      <c r="AA227" s="30" t="e">
        <f t="shared" si="19"/>
        <v>#NUM!</v>
      </c>
    </row>
    <row r="228" spans="15:27" x14ac:dyDescent="0.2">
      <c r="O228" s="33">
        <v>1</v>
      </c>
      <c r="P228" s="27" t="str">
        <f>_xll.qlPeriodEquivalent(P227&amp;"+"&amp;O228&amp;"M")</f>
        <v>18Y9M</v>
      </c>
      <c r="Q228" s="28">
        <f>_xll.qlCalendarAdvance(Calendar,SettlementDate,P228,"f",,Trigger)</f>
        <v>49011</v>
      </c>
      <c r="R228" s="28">
        <f>_xll.qlInterestRateIndexValueDate(Index,Q228,Trigger)</f>
        <v>49013</v>
      </c>
      <c r="S228" s="28">
        <f>_xll.qlInterestRateIndexMaturity(Index,R228,Trigger)</f>
        <v>49045</v>
      </c>
      <c r="T228" s="30">
        <f>_xll.qlIndexFixing($M$6,Q228,,InterestRatesTrigger)</f>
        <v>1.7968510282894146E-2</v>
      </c>
      <c r="U228" s="30" t="e">
        <f>_xll.qlIndexFixing(Index,Q228,,InterestRatesTrigger)</f>
        <v>#NUM!</v>
      </c>
      <c r="V228" s="30" t="e">
        <f t="shared" si="18"/>
        <v>#NUM!</v>
      </c>
      <c r="W228" s="29">
        <f>_xll.qlDayCounterYearFraction(DayCounter,SettlementDate,R228,,,Trigger)</f>
        <v>19.027777777777779</v>
      </c>
      <c r="X228" s="29">
        <f>_xll.qlDayCounterYearFraction(DayCounter,R228,S228)</f>
        <v>8.8888888888888892E-2</v>
      </c>
      <c r="Y228" s="29" t="e">
        <f>_xll.qlYieldTSDiscount(Currency&amp;"ON",R228)/(1+U228*X228)</f>
        <v>#NUM!</v>
      </c>
      <c r="Z228" s="30" t="e">
        <f>_xll.qlTenorBasisValue(TenorBasis6M,R228,InterestRatesTrigger)</f>
        <v>#VALUE!</v>
      </c>
      <c r="AA228" s="30" t="e">
        <f t="shared" si="19"/>
        <v>#NUM!</v>
      </c>
    </row>
    <row r="229" spans="15:27" x14ac:dyDescent="0.2">
      <c r="O229" s="33">
        <v>1</v>
      </c>
      <c r="P229" s="27" t="str">
        <f>_xll.qlPeriodEquivalent(P228&amp;"+"&amp;O229&amp;"M")</f>
        <v>18Y10M</v>
      </c>
      <c r="Q229" s="28">
        <f>_xll.qlCalendarAdvance(Calendar,SettlementDate,P229,"f",,Trigger)</f>
        <v>49045</v>
      </c>
      <c r="R229" s="28">
        <f>_xll.qlInterestRateIndexValueDate(Index,Q229,Trigger)</f>
        <v>49047</v>
      </c>
      <c r="S229" s="28">
        <f>_xll.qlInterestRateIndexMaturity(Index,R229,Trigger)</f>
        <v>49079</v>
      </c>
      <c r="T229" s="30">
        <f>_xll.qlIndexFixing($M$6,Q229,,InterestRatesTrigger)</f>
        <v>1.7917433728752985E-2</v>
      </c>
      <c r="U229" s="30" t="e">
        <f>_xll.qlIndexFixing(Index,Q229,,InterestRatesTrigger)</f>
        <v>#NUM!</v>
      </c>
      <c r="V229" s="30" t="e">
        <f t="shared" si="18"/>
        <v>#NUM!</v>
      </c>
      <c r="W229" s="29">
        <f>_xll.qlDayCounterYearFraction(DayCounter,SettlementDate,R229,,,Trigger)</f>
        <v>19.122222222222224</v>
      </c>
      <c r="X229" s="29">
        <f>_xll.qlDayCounterYearFraction(DayCounter,R229,S229)</f>
        <v>8.8888888888888892E-2</v>
      </c>
      <c r="Y229" s="29" t="e">
        <f>_xll.qlYieldTSDiscount(Currency&amp;"ON",R229)/(1+U229*X229)</f>
        <v>#NUM!</v>
      </c>
      <c r="Z229" s="30" t="e">
        <f>_xll.qlTenorBasisValue(TenorBasis6M,R229,InterestRatesTrigger)</f>
        <v>#VALUE!</v>
      </c>
      <c r="AA229" s="30" t="e">
        <f t="shared" si="19"/>
        <v>#NUM!</v>
      </c>
    </row>
    <row r="230" spans="15:27" x14ac:dyDescent="0.2">
      <c r="O230" s="33">
        <v>1</v>
      </c>
      <c r="P230" s="27" t="str">
        <f>_xll.qlPeriodEquivalent(P229&amp;"+"&amp;O230&amp;"M")</f>
        <v>18Y11M</v>
      </c>
      <c r="Q230" s="28">
        <f>_xll.qlCalendarAdvance(Calendar,SettlementDate,P230,"f",,Trigger)</f>
        <v>49072</v>
      </c>
      <c r="R230" s="28">
        <f>_xll.qlInterestRateIndexValueDate(Index,Q230,Trigger)</f>
        <v>49074</v>
      </c>
      <c r="S230" s="28">
        <f>_xll.qlInterestRateIndexMaturity(Index,R230,Trigger)</f>
        <v>49107</v>
      </c>
      <c r="T230" s="30">
        <f>_xll.qlIndexFixing($M$6,Q230,,InterestRatesTrigger)</f>
        <v>1.7876235375045822E-2</v>
      </c>
      <c r="U230" s="30" t="e">
        <f>_xll.qlIndexFixing(Index,Q230,,InterestRatesTrigger)</f>
        <v>#NUM!</v>
      </c>
      <c r="V230" s="30" t="e">
        <f t="shared" si="18"/>
        <v>#NUM!</v>
      </c>
      <c r="W230" s="29">
        <f>_xll.qlDayCounterYearFraction(DayCounter,SettlementDate,R230,,,Trigger)</f>
        <v>19.197222222222223</v>
      </c>
      <c r="X230" s="29">
        <f>_xll.qlDayCounterYearFraction(DayCounter,R230,S230)</f>
        <v>9.166666666666666E-2</v>
      </c>
      <c r="Y230" s="29" t="e">
        <f>_xll.qlYieldTSDiscount(Currency&amp;"ON",R230)/(1+U230*X230)</f>
        <v>#NUM!</v>
      </c>
      <c r="Z230" s="30" t="e">
        <f>_xll.qlTenorBasisValue(TenorBasis6M,R230,InterestRatesTrigger)</f>
        <v>#VALUE!</v>
      </c>
      <c r="AA230" s="30" t="e">
        <f t="shared" si="19"/>
        <v>#NUM!</v>
      </c>
    </row>
    <row r="231" spans="15:27" x14ac:dyDescent="0.2">
      <c r="O231" s="33">
        <v>1</v>
      </c>
      <c r="P231" s="27" t="str">
        <f>_xll.qlPeriodEquivalent(P230&amp;"+"&amp;O231&amp;"M")</f>
        <v>19Y</v>
      </c>
      <c r="Q231" s="28">
        <f>_xll.qlCalendarAdvance(Calendar,SettlementDate,P231,"f",,Trigger)</f>
        <v>49103</v>
      </c>
      <c r="R231" s="28">
        <f>_xll.qlInterestRateIndexValueDate(Index,Q231,Trigger)</f>
        <v>49107</v>
      </c>
      <c r="S231" s="28">
        <f>_xll.qlInterestRateIndexMaturity(Index,R231,Trigger)</f>
        <v>49137</v>
      </c>
      <c r="T231" s="30">
        <f>_xll.qlIndexFixing($M$6,Q231,,InterestRatesTrigger)</f>
        <v>1.7826853265557219E-2</v>
      </c>
      <c r="U231" s="30" t="e">
        <f>_xll.qlIndexFixing(Index,Q231,,InterestRatesTrigger)</f>
        <v>#NUM!</v>
      </c>
      <c r="V231" s="30" t="e">
        <f t="shared" si="18"/>
        <v>#NUM!</v>
      </c>
      <c r="W231" s="29">
        <f>_xll.qlDayCounterYearFraction(DayCounter,SettlementDate,R231,,,Trigger)</f>
        <v>19.288888888888888</v>
      </c>
      <c r="X231" s="29">
        <f>_xll.qlDayCounterYearFraction(DayCounter,R231,S231)</f>
        <v>8.3333333333333329E-2</v>
      </c>
      <c r="Y231" s="29" t="e">
        <f>_xll.qlYieldTSDiscount(Currency&amp;"ON",R231)/(1+U231*X231)</f>
        <v>#NUM!</v>
      </c>
      <c r="Z231" s="30" t="e">
        <f>_xll.qlTenorBasisValue(TenorBasis6M,R231,InterestRatesTrigger)</f>
        <v>#VALUE!</v>
      </c>
      <c r="AA231" s="30" t="e">
        <f t="shared" si="19"/>
        <v>#NUM!</v>
      </c>
    </row>
    <row r="232" spans="15:27" x14ac:dyDescent="0.2">
      <c r="O232" s="33">
        <v>1</v>
      </c>
      <c r="P232" s="27" t="str">
        <f>_xll.qlPeriodEquivalent(P231&amp;"+"&amp;O232&amp;"M")</f>
        <v>19Y1M</v>
      </c>
      <c r="Q232" s="28">
        <f>_xll.qlCalendarAdvance(Calendar,SettlementDate,P232,"f",,Trigger)</f>
        <v>49135</v>
      </c>
      <c r="R232" s="28">
        <f>_xll.qlInterestRateIndexValueDate(Index,Q232,Trigger)</f>
        <v>49137</v>
      </c>
      <c r="S232" s="28">
        <f>_xll.qlInterestRateIndexMaturity(Index,R232,Trigger)</f>
        <v>49170</v>
      </c>
      <c r="T232" s="30">
        <f>_xll.qlIndexFixing($M$6,Q232,,InterestRatesTrigger)</f>
        <v>1.7779726144695474E-2</v>
      </c>
      <c r="U232" s="30" t="e">
        <f>_xll.qlIndexFixing(Index,Q232,,InterestRatesTrigger)</f>
        <v>#NUM!</v>
      </c>
      <c r="V232" s="30" t="e">
        <f t="shared" si="18"/>
        <v>#NUM!</v>
      </c>
      <c r="W232" s="29">
        <f>_xll.qlDayCounterYearFraction(DayCounter,SettlementDate,R232,,,Trigger)</f>
        <v>19.372222222222224</v>
      </c>
      <c r="X232" s="29">
        <f>_xll.qlDayCounterYearFraction(DayCounter,R232,S232)</f>
        <v>9.166666666666666E-2</v>
      </c>
      <c r="Y232" s="29" t="e">
        <f>_xll.qlYieldTSDiscount(Currency&amp;"ON",R232)/(1+U232*X232)</f>
        <v>#NUM!</v>
      </c>
      <c r="Z232" s="30" t="e">
        <f>_xll.qlTenorBasisValue(TenorBasis6M,R232,InterestRatesTrigger)</f>
        <v>#VALUE!</v>
      </c>
      <c r="AA232" s="30" t="e">
        <f t="shared" si="19"/>
        <v>#NUM!</v>
      </c>
    </row>
    <row r="233" spans="15:27" x14ac:dyDescent="0.2">
      <c r="O233" s="33">
        <v>1</v>
      </c>
      <c r="P233" s="27" t="str">
        <f>_xll.qlPeriodEquivalent(P232&amp;"+"&amp;O233&amp;"M")</f>
        <v>19Y2M</v>
      </c>
      <c r="Q233" s="28">
        <f>_xll.qlCalendarAdvance(Calendar,SettlementDate,P233,"f",,Trigger)</f>
        <v>49164</v>
      </c>
      <c r="R233" s="28">
        <f>_xll.qlInterestRateIndexValueDate(Index,Q233,Trigger)</f>
        <v>49166</v>
      </c>
      <c r="S233" s="28">
        <f>_xll.qlInterestRateIndexMaturity(Index,R233,Trigger)</f>
        <v>49198</v>
      </c>
      <c r="T233" s="30">
        <f>_xll.qlIndexFixing($M$6,Q233,,InterestRatesTrigger)</f>
        <v>1.7735124397876278E-2</v>
      </c>
      <c r="U233" s="30" t="e">
        <f>_xll.qlIndexFixing(Index,Q233,,InterestRatesTrigger)</f>
        <v>#NUM!</v>
      </c>
      <c r="V233" s="30" t="e">
        <f t="shared" si="18"/>
        <v>#NUM!</v>
      </c>
      <c r="W233" s="29">
        <f>_xll.qlDayCounterYearFraction(DayCounter,SettlementDate,R233,,,Trigger)</f>
        <v>19.452777777777779</v>
      </c>
      <c r="X233" s="29">
        <f>_xll.qlDayCounterYearFraction(DayCounter,R233,S233)</f>
        <v>8.8888888888888892E-2</v>
      </c>
      <c r="Y233" s="29" t="e">
        <f>_xll.qlYieldTSDiscount(Currency&amp;"ON",R233)/(1+U233*X233)</f>
        <v>#NUM!</v>
      </c>
      <c r="Z233" s="30" t="e">
        <f>_xll.qlTenorBasisValue(TenorBasis6M,R233,InterestRatesTrigger)</f>
        <v>#VALUE!</v>
      </c>
      <c r="AA233" s="30" t="e">
        <f t="shared" si="19"/>
        <v>#NUM!</v>
      </c>
    </row>
    <row r="234" spans="15:27" x14ac:dyDescent="0.2">
      <c r="O234" s="33">
        <v>1</v>
      </c>
      <c r="P234" s="27" t="str">
        <f>_xll.qlPeriodEquivalent(P233&amp;"+"&amp;O234&amp;"M")</f>
        <v>19Y3M</v>
      </c>
      <c r="Q234" s="28">
        <f>_xll.qlCalendarAdvance(Calendar,SettlementDate,P234,"f",,Trigger)</f>
        <v>49195</v>
      </c>
      <c r="R234" s="28">
        <f>_xll.qlInterestRateIndexValueDate(Index,Q234,Trigger)</f>
        <v>49199</v>
      </c>
      <c r="S234" s="28">
        <f>_xll.qlInterestRateIndexMaturity(Index,R234,Trigger)</f>
        <v>49229</v>
      </c>
      <c r="T234" s="30">
        <f>_xll.qlIndexFixing($M$6,Q234,,InterestRatesTrigger)</f>
        <v>1.7684293907854531E-2</v>
      </c>
      <c r="U234" s="30" t="e">
        <f>_xll.qlIndexFixing(Index,Q234,,InterestRatesTrigger)</f>
        <v>#NUM!</v>
      </c>
      <c r="V234" s="30" t="e">
        <f t="shared" si="18"/>
        <v>#NUM!</v>
      </c>
      <c r="W234" s="29">
        <f>_xll.qlDayCounterYearFraction(DayCounter,SettlementDate,R234,,,Trigger)</f>
        <v>19.544444444444444</v>
      </c>
      <c r="X234" s="29">
        <f>_xll.qlDayCounterYearFraction(DayCounter,R234,S234)</f>
        <v>8.3333333333333329E-2</v>
      </c>
      <c r="Y234" s="29" t="e">
        <f>_xll.qlYieldTSDiscount(Currency&amp;"ON",R234)/(1+U234*X234)</f>
        <v>#NUM!</v>
      </c>
      <c r="Z234" s="30" t="e">
        <f>_xll.qlTenorBasisValue(TenorBasis6M,R234,InterestRatesTrigger)</f>
        <v>#VALUE!</v>
      </c>
      <c r="AA234" s="30" t="e">
        <f t="shared" si="19"/>
        <v>#NUM!</v>
      </c>
    </row>
    <row r="235" spans="15:27" x14ac:dyDescent="0.2">
      <c r="O235" s="33">
        <v>1</v>
      </c>
      <c r="P235" s="27" t="str">
        <f>_xll.qlPeriodEquivalent(P234&amp;"+"&amp;O235&amp;"M")</f>
        <v>19Y4M</v>
      </c>
      <c r="Q235" s="28">
        <f>_xll.qlCalendarAdvance(Calendar,SettlementDate,P235,"f",,Trigger)</f>
        <v>49226</v>
      </c>
      <c r="R235" s="28">
        <f>_xll.qlInterestRateIndexValueDate(Index,Q235,Trigger)</f>
        <v>49228</v>
      </c>
      <c r="S235" s="28">
        <f>_xll.qlInterestRateIndexMaturity(Index,R235,Trigger)</f>
        <v>49261</v>
      </c>
      <c r="T235" s="30">
        <f>_xll.qlIndexFixing($M$6,Q235,,InterestRatesTrigger)</f>
        <v>1.7637598091880109E-2</v>
      </c>
      <c r="U235" s="30" t="e">
        <f>_xll.qlIndexFixing(Index,Q235,,InterestRatesTrigger)</f>
        <v>#NUM!</v>
      </c>
      <c r="V235" s="30" t="e">
        <f t="shared" si="18"/>
        <v>#NUM!</v>
      </c>
      <c r="W235" s="29">
        <f>_xll.qlDayCounterYearFraction(DayCounter,SettlementDate,R235,,,Trigger)</f>
        <v>19.625</v>
      </c>
      <c r="X235" s="29">
        <f>_xll.qlDayCounterYearFraction(DayCounter,R235,S235)</f>
        <v>9.166666666666666E-2</v>
      </c>
      <c r="Y235" s="29" t="e">
        <f>_xll.qlYieldTSDiscount(Currency&amp;"ON",R235)/(1+U235*X235)</f>
        <v>#NUM!</v>
      </c>
      <c r="Z235" s="30" t="e">
        <f>_xll.qlTenorBasisValue(TenorBasis6M,R235,InterestRatesTrigger)</f>
        <v>#VALUE!</v>
      </c>
      <c r="AA235" s="30" t="e">
        <f t="shared" si="19"/>
        <v>#NUM!</v>
      </c>
    </row>
    <row r="236" spans="15:27" x14ac:dyDescent="0.2">
      <c r="O236" s="33">
        <v>1</v>
      </c>
      <c r="P236" s="27" t="str">
        <f>_xll.qlPeriodEquivalent(P235&amp;"+"&amp;O236&amp;"M")</f>
        <v>19Y5M</v>
      </c>
      <c r="Q236" s="28">
        <f>_xll.qlCalendarAdvance(Calendar,SettlementDate,P236,"f",,Trigger)</f>
        <v>49256</v>
      </c>
      <c r="R236" s="28">
        <f>_xll.qlInterestRateIndexValueDate(Index,Q236,Trigger)</f>
        <v>49258</v>
      </c>
      <c r="S236" s="28">
        <f>_xll.qlInterestRateIndexMaturity(Index,R236,Trigger)</f>
        <v>49289</v>
      </c>
      <c r="T236" s="30">
        <f>_xll.qlIndexFixing($M$6,Q236,,InterestRatesTrigger)</f>
        <v>1.7590770606723826E-2</v>
      </c>
      <c r="U236" s="30" t="e">
        <f>_xll.qlIndexFixing(Index,Q236,,InterestRatesTrigger)</f>
        <v>#NUM!</v>
      </c>
      <c r="V236" s="30" t="e">
        <f t="shared" si="18"/>
        <v>#NUM!</v>
      </c>
      <c r="W236" s="29">
        <f>_xll.qlDayCounterYearFraction(DayCounter,SettlementDate,R236,,,Trigger)</f>
        <v>19.708333333333332</v>
      </c>
      <c r="X236" s="29">
        <f>_xll.qlDayCounterYearFraction(DayCounter,R236,S236)</f>
        <v>8.611111111111111E-2</v>
      </c>
      <c r="Y236" s="29" t="e">
        <f>_xll.qlYieldTSDiscount(Currency&amp;"ON",R236)/(1+U236*X236)</f>
        <v>#NUM!</v>
      </c>
      <c r="Z236" s="30" t="e">
        <f>_xll.qlTenorBasisValue(TenorBasis6M,R236,InterestRatesTrigger)</f>
        <v>#VALUE!</v>
      </c>
      <c r="AA236" s="30" t="e">
        <f t="shared" si="19"/>
        <v>#NUM!</v>
      </c>
    </row>
    <row r="237" spans="15:27" x14ac:dyDescent="0.2">
      <c r="O237" s="33">
        <v>1</v>
      </c>
      <c r="P237" s="27" t="str">
        <f>_xll.qlPeriodEquivalent(P236&amp;"+"&amp;O237&amp;"M")</f>
        <v>19Y6M</v>
      </c>
      <c r="Q237" s="28">
        <f>_xll.qlCalendarAdvance(Calendar,SettlementDate,P237,"f",,Trigger)</f>
        <v>49286</v>
      </c>
      <c r="R237" s="28">
        <f>_xll.qlInterestRateIndexValueDate(Index,Q237,Trigger)</f>
        <v>49290</v>
      </c>
      <c r="S237" s="28">
        <f>_xll.qlInterestRateIndexMaturity(Index,R237,Trigger)</f>
        <v>49321</v>
      </c>
      <c r="T237" s="30">
        <f>_xll.qlIndexFixing($M$6,Q237,,InterestRatesTrigger)</f>
        <v>1.7539669943371423E-2</v>
      </c>
      <c r="U237" s="30" t="e">
        <f>_xll.qlIndexFixing(Index,Q237,,InterestRatesTrigger)</f>
        <v>#NUM!</v>
      </c>
      <c r="V237" s="30" t="e">
        <f t="shared" si="18"/>
        <v>#NUM!</v>
      </c>
      <c r="W237" s="29">
        <f>_xll.qlDayCounterYearFraction(DayCounter,SettlementDate,R237,,,Trigger)</f>
        <v>19.797222222222221</v>
      </c>
      <c r="X237" s="29">
        <f>_xll.qlDayCounterYearFraction(DayCounter,R237,S237)</f>
        <v>8.611111111111111E-2</v>
      </c>
      <c r="Y237" s="29" t="e">
        <f>_xll.qlYieldTSDiscount(Currency&amp;"ON",R237)/(1+U237*X237)</f>
        <v>#NUM!</v>
      </c>
      <c r="Z237" s="30" t="e">
        <f>_xll.qlTenorBasisValue(TenorBasis6M,R237,InterestRatesTrigger)</f>
        <v>#VALUE!</v>
      </c>
      <c r="AA237" s="30" t="e">
        <f t="shared" si="19"/>
        <v>#NUM!</v>
      </c>
    </row>
    <row r="238" spans="15:27" x14ac:dyDescent="0.2">
      <c r="O238" s="33">
        <v>1</v>
      </c>
      <c r="P238" s="27" t="str">
        <f>_xll.qlPeriodEquivalent(P237&amp;"+"&amp;O238&amp;"M")</f>
        <v>19Y7M</v>
      </c>
      <c r="Q238" s="28">
        <f>_xll.qlCalendarAdvance(Calendar,SettlementDate,P238,"f",,Trigger)</f>
        <v>49317</v>
      </c>
      <c r="R238" s="28">
        <f>_xll.qlInterestRateIndexValueDate(Index,Q238,Trigger)</f>
        <v>49319</v>
      </c>
      <c r="S238" s="28">
        <f>_xll.qlInterestRateIndexMaturity(Index,R238,Trigger)</f>
        <v>49352</v>
      </c>
      <c r="T238" s="30">
        <f>_xll.qlIndexFixing($M$6,Q238,,InterestRatesTrigger)</f>
        <v>1.7492248715234027E-2</v>
      </c>
      <c r="U238" s="30" t="e">
        <f>_xll.qlIndexFixing(Index,Q238,,InterestRatesTrigger)</f>
        <v>#NUM!</v>
      </c>
      <c r="V238" s="30" t="e">
        <f t="shared" si="18"/>
        <v>#NUM!</v>
      </c>
      <c r="W238" s="29">
        <f>_xll.qlDayCounterYearFraction(DayCounter,SettlementDate,R238,,,Trigger)</f>
        <v>19.877777777777776</v>
      </c>
      <c r="X238" s="29">
        <f>_xll.qlDayCounterYearFraction(DayCounter,R238,S238)</f>
        <v>9.166666666666666E-2</v>
      </c>
      <c r="Y238" s="29" t="e">
        <f>_xll.qlYieldTSDiscount(Currency&amp;"ON",R238)/(1+U238*X238)</f>
        <v>#NUM!</v>
      </c>
      <c r="Z238" s="30" t="e">
        <f>_xll.qlTenorBasisValue(TenorBasis6M,R238,InterestRatesTrigger)</f>
        <v>#VALUE!</v>
      </c>
      <c r="AA238" s="30" t="e">
        <f t="shared" si="19"/>
        <v>#NUM!</v>
      </c>
    </row>
    <row r="239" spans="15:27" x14ac:dyDescent="0.2">
      <c r="O239" s="33">
        <v>1</v>
      </c>
      <c r="P239" s="27" t="str">
        <f>_xll.qlPeriodEquivalent(P238&amp;"+"&amp;O239&amp;"M")</f>
        <v>19Y8M</v>
      </c>
      <c r="Q239" s="28">
        <f>_xll.qlCalendarAdvance(Calendar,SettlementDate,P239,"f",,Trigger)</f>
        <v>49348</v>
      </c>
      <c r="R239" s="28">
        <f>_xll.qlInterestRateIndexValueDate(Index,Q239,Trigger)</f>
        <v>49352</v>
      </c>
      <c r="S239" s="28">
        <f>_xll.qlInterestRateIndexMaturity(Index,R239,Trigger)</f>
        <v>49380</v>
      </c>
      <c r="T239" s="30">
        <f>_xll.qlIndexFixing($M$6,Q239,,InterestRatesTrigger)</f>
        <v>1.7440705347826491E-2</v>
      </c>
      <c r="U239" s="30" t="e">
        <f>_xll.qlIndexFixing(Index,Q239,,InterestRatesTrigger)</f>
        <v>#NUM!</v>
      </c>
      <c r="V239" s="30" t="e">
        <f t="shared" si="18"/>
        <v>#NUM!</v>
      </c>
      <c r="W239" s="29">
        <f>_xll.qlDayCounterYearFraction(DayCounter,SettlementDate,R239,,,Trigger)</f>
        <v>19.969444444444445</v>
      </c>
      <c r="X239" s="29">
        <f>_xll.qlDayCounterYearFraction(DayCounter,R239,S239)</f>
        <v>7.7777777777777779E-2</v>
      </c>
      <c r="Y239" s="29" t="e">
        <f>_xll.qlYieldTSDiscount(Currency&amp;"ON",R239)/(1+U239*X239)</f>
        <v>#NUM!</v>
      </c>
      <c r="Z239" s="30" t="e">
        <f>_xll.qlTenorBasisValue(TenorBasis6M,R239,InterestRatesTrigger)</f>
        <v>#VALUE!</v>
      </c>
      <c r="AA239" s="30" t="e">
        <f t="shared" si="19"/>
        <v>#NUM!</v>
      </c>
    </row>
    <row r="240" spans="15:27" x14ac:dyDescent="0.2">
      <c r="O240" s="33">
        <v>1</v>
      </c>
      <c r="P240" s="27" t="str">
        <f>_xll.qlPeriodEquivalent(P239&amp;"+"&amp;O240&amp;"M")</f>
        <v>19Y9M</v>
      </c>
      <c r="Q240" s="28">
        <f>_xll.qlCalendarAdvance(Calendar,SettlementDate,P240,"f",,Trigger)</f>
        <v>49376</v>
      </c>
      <c r="R240" s="28">
        <f>_xll.qlInterestRateIndexValueDate(Index,Q240,Trigger)</f>
        <v>49380</v>
      </c>
      <c r="S240" s="28">
        <f>_xll.qlInterestRateIndexMaturity(Index,R240,Trigger)</f>
        <v>49411</v>
      </c>
      <c r="T240" s="30">
        <f>_xll.qlIndexFixing($M$6,Q240,,InterestRatesTrigger)</f>
        <v>1.7393813911494572E-2</v>
      </c>
      <c r="U240" s="30" t="e">
        <f>_xll.qlIndexFixing(Index,Q240,,InterestRatesTrigger)</f>
        <v>#NUM!</v>
      </c>
      <c r="V240" s="30" t="e">
        <f t="shared" si="18"/>
        <v>#NUM!</v>
      </c>
      <c r="W240" s="29">
        <f>_xll.qlDayCounterYearFraction(DayCounter,SettlementDate,R240,,,Trigger)</f>
        <v>20.047222222222221</v>
      </c>
      <c r="X240" s="29">
        <f>_xll.qlDayCounterYearFraction(DayCounter,R240,S240)</f>
        <v>8.611111111111111E-2</v>
      </c>
      <c r="Y240" s="29" t="e">
        <f>_xll.qlYieldTSDiscount(Currency&amp;"ON",R240)/(1+U240*X240)</f>
        <v>#NUM!</v>
      </c>
      <c r="Z240" s="30" t="e">
        <f>_xll.qlTenorBasisValue(TenorBasis6M,R240,InterestRatesTrigger)</f>
        <v>#VALUE!</v>
      </c>
      <c r="AA240" s="30" t="e">
        <f t="shared" si="19"/>
        <v>#NUM!</v>
      </c>
    </row>
    <row r="241" spans="15:27" x14ac:dyDescent="0.2">
      <c r="O241" s="33">
        <v>1</v>
      </c>
      <c r="P241" s="27" t="str">
        <f>_xll.qlPeriodEquivalent(P240&amp;"+"&amp;O241&amp;"M")</f>
        <v>19Y10M</v>
      </c>
      <c r="Q241" s="28">
        <f>_xll.qlCalendarAdvance(Calendar,SettlementDate,P241,"f",,Trigger)</f>
        <v>49408</v>
      </c>
      <c r="R241" s="28">
        <f>_xll.qlInterestRateIndexValueDate(Index,Q241,Trigger)</f>
        <v>49410</v>
      </c>
      <c r="S241" s="28">
        <f>_xll.qlInterestRateIndexMaturity(Index,R241,Trigger)</f>
        <v>49440</v>
      </c>
      <c r="T241" s="30">
        <f>_xll.qlIndexFixing($M$6,Q241,,InterestRatesTrigger)</f>
        <v>1.7344903303498249E-2</v>
      </c>
      <c r="U241" s="30" t="e">
        <f>_xll.qlIndexFixing(Index,Q241,,InterestRatesTrigger)</f>
        <v>#NUM!</v>
      </c>
      <c r="V241" s="30" t="e">
        <f t="shared" si="18"/>
        <v>#NUM!</v>
      </c>
      <c r="W241" s="29">
        <f>_xll.qlDayCounterYearFraction(DayCounter,SettlementDate,R241,,,Trigger)</f>
        <v>20.130555555555556</v>
      </c>
      <c r="X241" s="29">
        <f>_xll.qlDayCounterYearFraction(DayCounter,R241,S241)</f>
        <v>8.3333333333333329E-2</v>
      </c>
      <c r="Y241" s="29" t="e">
        <f>_xll.qlYieldTSDiscount(Currency&amp;"ON",R241)/(1+U241*X241)</f>
        <v>#NUM!</v>
      </c>
      <c r="Z241" s="30" t="e">
        <f>_xll.qlTenorBasisValue(TenorBasis6M,R241,InterestRatesTrigger)</f>
        <v>#VALUE!</v>
      </c>
      <c r="AA241" s="30" t="e">
        <f t="shared" si="19"/>
        <v>#NUM!</v>
      </c>
    </row>
    <row r="242" spans="15:27" x14ac:dyDescent="0.2">
      <c r="O242" s="33">
        <v>1</v>
      </c>
      <c r="P242" s="27" t="str">
        <f>_xll.qlPeriodEquivalent(P241&amp;"+"&amp;O242&amp;"M")</f>
        <v>19Y11M</v>
      </c>
      <c r="Q242" s="28">
        <f>_xll.qlCalendarAdvance(Calendar,SettlementDate,P242,"f",,Trigger)</f>
        <v>49437</v>
      </c>
      <c r="R242" s="28">
        <f>_xll.qlInterestRateIndexValueDate(Index,Q242,Trigger)</f>
        <v>49439</v>
      </c>
      <c r="S242" s="28">
        <f>_xll.qlInterestRateIndexMaturity(Index,R242,Trigger)</f>
        <v>49471</v>
      </c>
      <c r="T242" s="30">
        <f>_xll.qlIndexFixing($M$6,Q242,,InterestRatesTrigger)</f>
        <v>1.7296071382632006E-2</v>
      </c>
      <c r="U242" s="30" t="e">
        <f>_xll.qlIndexFixing(Index,Q242,,InterestRatesTrigger)</f>
        <v>#NUM!</v>
      </c>
      <c r="V242" s="30" t="e">
        <f t="shared" si="18"/>
        <v>#NUM!</v>
      </c>
      <c r="W242" s="29">
        <f>_xll.qlDayCounterYearFraction(DayCounter,SettlementDate,R242,,,Trigger)</f>
        <v>20.211111111111112</v>
      </c>
      <c r="X242" s="29">
        <f>_xll.qlDayCounterYearFraction(DayCounter,R242,S242)</f>
        <v>8.8888888888888892E-2</v>
      </c>
      <c r="Y242" s="29" t="e">
        <f>_xll.qlYieldTSDiscount(Currency&amp;"ON",R242)/(1+U242*X242)</f>
        <v>#NUM!</v>
      </c>
      <c r="Z242" s="30" t="e">
        <f>_xll.qlTenorBasisValue(TenorBasis6M,R242,InterestRatesTrigger)</f>
        <v>#VALUE!</v>
      </c>
      <c r="AA242" s="30" t="e">
        <f t="shared" si="19"/>
        <v>#NUM!</v>
      </c>
    </row>
    <row r="243" spans="15:27" x14ac:dyDescent="0.2">
      <c r="O243" s="33">
        <v>1</v>
      </c>
      <c r="P243" s="27" t="str">
        <f>_xll.qlPeriodEquivalent(P242&amp;"+"&amp;O243&amp;"M")</f>
        <v>20Y</v>
      </c>
      <c r="Q243" s="28">
        <f>_xll.qlCalendarAdvance(Calendar,SettlementDate,P243,"f",,Trigger)</f>
        <v>49468</v>
      </c>
      <c r="R243" s="28">
        <f>_xll.qlInterestRateIndexValueDate(Index,Q243,Trigger)</f>
        <v>49472</v>
      </c>
      <c r="S243" s="28">
        <f>_xll.qlInterestRateIndexMaturity(Index,R243,Trigger)</f>
        <v>49502</v>
      </c>
      <c r="T243" s="30">
        <f>_xll.qlIndexFixing($M$6,Q243,,InterestRatesTrigger)</f>
        <v>1.724217838876374E-2</v>
      </c>
      <c r="U243" s="30" t="e">
        <f>_xll.qlIndexFixing(Index,Q243,,InterestRatesTrigger)</f>
        <v>#NUM!</v>
      </c>
      <c r="V243" s="30" t="e">
        <f t="shared" si="18"/>
        <v>#NUM!</v>
      </c>
      <c r="W243" s="29">
        <f>_xll.qlDayCounterYearFraction(DayCounter,SettlementDate,R243,,,Trigger)</f>
        <v>20.302777777777777</v>
      </c>
      <c r="X243" s="29">
        <f>_xll.qlDayCounterYearFraction(DayCounter,R243,S243)</f>
        <v>8.3333333333333329E-2</v>
      </c>
      <c r="Y243" s="29" t="e">
        <f>_xll.qlYieldTSDiscount(Currency&amp;"ON",R243)/(1+U243*X243)</f>
        <v>#NUM!</v>
      </c>
      <c r="Z243" s="30" t="e">
        <f>_xll.qlTenorBasisValue(TenorBasis6M,R243,InterestRatesTrigger)</f>
        <v>#VALUE!</v>
      </c>
      <c r="AA243" s="30" t="e">
        <f t="shared" si="19"/>
        <v>#NUM!</v>
      </c>
    </row>
    <row r="244" spans="15:27" x14ac:dyDescent="0.2">
      <c r="O244" s="33">
        <v>1</v>
      </c>
      <c r="P244" s="27" t="str">
        <f>_xll.qlPeriodEquivalent(P243&amp;"+"&amp;O244&amp;"M")</f>
        <v>20Y1M</v>
      </c>
      <c r="Q244" s="28">
        <f>_xll.qlCalendarAdvance(Calendar,SettlementDate,P244,"f",,Trigger)</f>
        <v>49499</v>
      </c>
      <c r="R244" s="28">
        <f>_xll.qlInterestRateIndexValueDate(Index,Q244,Trigger)</f>
        <v>49501</v>
      </c>
      <c r="S244" s="28">
        <f>_xll.qlInterestRateIndexMaturity(Index,R244,Trigger)</f>
        <v>49534</v>
      </c>
      <c r="T244" s="30">
        <f>_xll.qlIndexFixing($M$6,Q244,,InterestRatesTrigger)</f>
        <v>1.7193593620128605E-2</v>
      </c>
      <c r="U244" s="30" t="e">
        <f>_xll.qlIndexFixing(Index,Q244,,InterestRatesTrigger)</f>
        <v>#NUM!</v>
      </c>
      <c r="V244" s="30" t="e">
        <f t="shared" si="18"/>
        <v>#NUM!</v>
      </c>
      <c r="W244" s="29">
        <f>_xll.qlDayCounterYearFraction(DayCounter,SettlementDate,R244,,,Trigger)</f>
        <v>20.383333333333333</v>
      </c>
      <c r="X244" s="29">
        <f>_xll.qlDayCounterYearFraction(DayCounter,R244,S244)</f>
        <v>9.166666666666666E-2</v>
      </c>
      <c r="Y244" s="29" t="e">
        <f>_xll.qlYieldTSDiscount(Currency&amp;"ON",R244)/(1+U244*X244)</f>
        <v>#NUM!</v>
      </c>
      <c r="Z244" s="30" t="e">
        <f>_xll.qlTenorBasisValue(TenorBasis6M,R244,InterestRatesTrigger)</f>
        <v>#VALUE!</v>
      </c>
      <c r="AA244" s="30" t="e">
        <f t="shared" si="19"/>
        <v>#NUM!</v>
      </c>
    </row>
    <row r="245" spans="15:27" x14ac:dyDescent="0.2">
      <c r="O245" s="33">
        <v>1</v>
      </c>
      <c r="P245" s="27" t="str">
        <f>_xll.qlPeriodEquivalent(P244&amp;"+"&amp;O245&amp;"M")</f>
        <v>20Y2M</v>
      </c>
      <c r="Q245" s="28">
        <f>_xll.qlCalendarAdvance(Calendar,SettlementDate,P245,"f",,Trigger)</f>
        <v>49529</v>
      </c>
      <c r="R245" s="28">
        <f>_xll.qlInterestRateIndexValueDate(Index,Q245,Trigger)</f>
        <v>49531</v>
      </c>
      <c r="S245" s="28">
        <f>_xll.qlInterestRateIndexMaturity(Index,R245,Trigger)</f>
        <v>49562</v>
      </c>
      <c r="T245" s="30">
        <f>_xll.qlIndexFixing($M$6,Q245,,InterestRatesTrigger)</f>
        <v>1.714621611714991E-2</v>
      </c>
      <c r="U245" s="30" t="e">
        <f>_xll.qlIndexFixing(Index,Q245,,InterestRatesTrigger)</f>
        <v>#NUM!</v>
      </c>
      <c r="V245" s="30" t="e">
        <f t="shared" si="18"/>
        <v>#NUM!</v>
      </c>
      <c r="W245" s="29">
        <f>_xll.qlDayCounterYearFraction(DayCounter,SettlementDate,R245,,,Trigger)</f>
        <v>20.466666666666665</v>
      </c>
      <c r="X245" s="29">
        <f>_xll.qlDayCounterYearFraction(DayCounter,R245,S245)</f>
        <v>8.611111111111111E-2</v>
      </c>
      <c r="Y245" s="29" t="e">
        <f>_xll.qlYieldTSDiscount(Currency&amp;"ON",R245)/(1+U245*X245)</f>
        <v>#NUM!</v>
      </c>
      <c r="Z245" s="30" t="e">
        <f>_xll.qlTenorBasisValue(TenorBasis6M,R245,InterestRatesTrigger)</f>
        <v>#VALUE!</v>
      </c>
      <c r="AA245" s="30" t="e">
        <f t="shared" si="19"/>
        <v>#NUM!</v>
      </c>
    </row>
    <row r="246" spans="15:27" x14ac:dyDescent="0.2">
      <c r="O246" s="33">
        <v>1</v>
      </c>
      <c r="P246" s="27" t="str">
        <f>_xll.qlPeriodEquivalent(P245&amp;"+"&amp;O246&amp;"M")</f>
        <v>20Y3M</v>
      </c>
      <c r="Q246" s="28">
        <f>_xll.qlCalendarAdvance(Calendar,SettlementDate,P246,"f",,Trigger)</f>
        <v>49562</v>
      </c>
      <c r="R246" s="28">
        <f>_xll.qlInterestRateIndexValueDate(Index,Q246,Trigger)</f>
        <v>49564</v>
      </c>
      <c r="S246" s="28">
        <f>_xll.qlInterestRateIndexMaturity(Index,R246,Trigger)</f>
        <v>49594</v>
      </c>
      <c r="T246" s="30">
        <f>_xll.qlIndexFixing($M$6,Q246,,InterestRatesTrigger)</f>
        <v>1.7094591961369865E-2</v>
      </c>
      <c r="U246" s="30" t="e">
        <f>_xll.qlIndexFixing(Index,Q246,,InterestRatesTrigger)</f>
        <v>#NUM!</v>
      </c>
      <c r="V246" s="30" t="e">
        <f t="shared" si="18"/>
        <v>#NUM!</v>
      </c>
      <c r="W246" s="29">
        <f>_xll.qlDayCounterYearFraction(DayCounter,SettlementDate,R246,,,Trigger)</f>
        <v>20.558333333333334</v>
      </c>
      <c r="X246" s="29">
        <f>_xll.qlDayCounterYearFraction(DayCounter,R246,S246)</f>
        <v>8.3333333333333329E-2</v>
      </c>
      <c r="Y246" s="29" t="e">
        <f>_xll.qlYieldTSDiscount(Currency&amp;"ON",R246)/(1+U246*X246)</f>
        <v>#NUM!</v>
      </c>
      <c r="Z246" s="30" t="e">
        <f>_xll.qlTenorBasisValue(TenorBasis6M,R246,InterestRatesTrigger)</f>
        <v>#VALUE!</v>
      </c>
      <c r="AA246" s="30" t="e">
        <f t="shared" si="19"/>
        <v>#NUM!</v>
      </c>
    </row>
    <row r="247" spans="15:27" x14ac:dyDescent="0.2">
      <c r="O247" s="33">
        <v>1</v>
      </c>
      <c r="P247" s="27" t="str">
        <f>_xll.qlPeriodEquivalent(P246&amp;"+"&amp;O247&amp;"M")</f>
        <v>20Y4M</v>
      </c>
      <c r="Q247" s="28">
        <f>_xll.qlCalendarAdvance(Calendar,SettlementDate,P247,"f",,Trigger)</f>
        <v>49590</v>
      </c>
      <c r="R247" s="28">
        <f>_xll.qlInterestRateIndexValueDate(Index,Q247,Trigger)</f>
        <v>49592</v>
      </c>
      <c r="S247" s="28">
        <f>_xll.qlInterestRateIndexMaturity(Index,R247,Trigger)</f>
        <v>49625</v>
      </c>
      <c r="T247" s="30">
        <f>_xll.qlIndexFixing($M$6,Q247,,InterestRatesTrigger)</f>
        <v>1.705019676189614E-2</v>
      </c>
      <c r="U247" s="30" t="e">
        <f>_xll.qlIndexFixing(Index,Q247,,InterestRatesTrigger)</f>
        <v>#NUM!</v>
      </c>
      <c r="V247" s="30" t="e">
        <f t="shared" si="18"/>
        <v>#NUM!</v>
      </c>
      <c r="W247" s="29">
        <f>_xll.qlDayCounterYearFraction(DayCounter,SettlementDate,R247,,,Trigger)</f>
        <v>20.636111111111113</v>
      </c>
      <c r="X247" s="29">
        <f>_xll.qlDayCounterYearFraction(DayCounter,R247,S247)</f>
        <v>9.166666666666666E-2</v>
      </c>
      <c r="Y247" s="29" t="e">
        <f>_xll.qlYieldTSDiscount(Currency&amp;"ON",R247)/(1+U247*X247)</f>
        <v>#NUM!</v>
      </c>
      <c r="Z247" s="30" t="e">
        <f>_xll.qlTenorBasisValue(TenorBasis6M,R247,InterestRatesTrigger)</f>
        <v>#VALUE!</v>
      </c>
      <c r="AA247" s="30" t="e">
        <f t="shared" si="19"/>
        <v>#NUM!</v>
      </c>
    </row>
    <row r="248" spans="15:27" x14ac:dyDescent="0.2">
      <c r="O248" s="33">
        <v>1</v>
      </c>
      <c r="P248" s="27" t="str">
        <f>_xll.qlPeriodEquivalent(P247&amp;"+"&amp;O248&amp;"M")</f>
        <v>20Y5M</v>
      </c>
      <c r="Q248" s="28">
        <f>_xll.qlCalendarAdvance(Calendar,SettlementDate,P248,"f",,Trigger)</f>
        <v>49621</v>
      </c>
      <c r="R248" s="28">
        <f>_xll.qlInterestRateIndexValueDate(Index,Q248,Trigger)</f>
        <v>49625</v>
      </c>
      <c r="S248" s="28">
        <f>_xll.qlInterestRateIndexMaturity(Index,R248,Trigger)</f>
        <v>49655</v>
      </c>
      <c r="T248" s="30">
        <f>_xll.qlIndexFixing($M$6,Q248,,InterestRatesTrigger)</f>
        <v>1.7001189926412863E-2</v>
      </c>
      <c r="U248" s="30" t="e">
        <f>_xll.qlIndexFixing(Index,Q248,,InterestRatesTrigger)</f>
        <v>#NUM!</v>
      </c>
      <c r="V248" s="30" t="e">
        <f t="shared" si="18"/>
        <v>#NUM!</v>
      </c>
      <c r="W248" s="29">
        <f>_xll.qlDayCounterYearFraction(DayCounter,SettlementDate,R248,,,Trigger)</f>
        <v>20.727777777777778</v>
      </c>
      <c r="X248" s="29">
        <f>_xll.qlDayCounterYearFraction(DayCounter,R248,S248)</f>
        <v>8.3333333333333329E-2</v>
      </c>
      <c r="Y248" s="29" t="e">
        <f>_xll.qlYieldTSDiscount(Currency&amp;"ON",R248)/(1+U248*X248)</f>
        <v>#NUM!</v>
      </c>
      <c r="Z248" s="30" t="e">
        <f>_xll.qlTenorBasisValue(TenorBasis6M,R248,InterestRatesTrigger)</f>
        <v>#VALUE!</v>
      </c>
      <c r="AA248" s="30" t="e">
        <f t="shared" si="19"/>
        <v>#NUM!</v>
      </c>
    </row>
    <row r="249" spans="15:27" x14ac:dyDescent="0.2">
      <c r="O249" s="33">
        <v>1</v>
      </c>
      <c r="P249" s="27" t="str">
        <f>_xll.qlPeriodEquivalent(P248&amp;"+"&amp;O249&amp;"M")</f>
        <v>20Y6M</v>
      </c>
      <c r="Q249" s="28">
        <f>_xll.qlCalendarAdvance(Calendar,SettlementDate,P249,"f",,Trigger)</f>
        <v>49653</v>
      </c>
      <c r="R249" s="28">
        <f>_xll.qlInterestRateIndexValueDate(Index,Q249,Trigger)</f>
        <v>49655</v>
      </c>
      <c r="S249" s="28">
        <f>_xll.qlInterestRateIndexMaturity(Index,R249,Trigger)</f>
        <v>49688</v>
      </c>
      <c r="T249" s="30">
        <f>_xll.qlIndexFixing($M$6,Q249,,InterestRatesTrigger)</f>
        <v>1.6955553001779838E-2</v>
      </c>
      <c r="U249" s="30" t="e">
        <f>_xll.qlIndexFixing(Index,Q249,,InterestRatesTrigger)</f>
        <v>#NUM!</v>
      </c>
      <c r="V249" s="30" t="e">
        <f t="shared" si="18"/>
        <v>#NUM!</v>
      </c>
      <c r="W249" s="29">
        <f>_xll.qlDayCounterYearFraction(DayCounter,SettlementDate,R249,,,Trigger)</f>
        <v>20.81111111111111</v>
      </c>
      <c r="X249" s="29">
        <f>_xll.qlDayCounterYearFraction(DayCounter,R249,S249)</f>
        <v>9.166666666666666E-2</v>
      </c>
      <c r="Y249" s="29" t="e">
        <f>_xll.qlYieldTSDiscount(Currency&amp;"ON",R249)/(1+U249*X249)</f>
        <v>#NUM!</v>
      </c>
      <c r="Z249" s="30" t="e">
        <f>_xll.qlTenorBasisValue(TenorBasis6M,R249,InterestRatesTrigger)</f>
        <v>#VALUE!</v>
      </c>
      <c r="AA249" s="30" t="e">
        <f t="shared" si="19"/>
        <v>#NUM!</v>
      </c>
    </row>
    <row r="250" spans="15:27" x14ac:dyDescent="0.2">
      <c r="O250" s="33">
        <v>1</v>
      </c>
      <c r="P250" s="27" t="str">
        <f>_xll.qlPeriodEquivalent(P249&amp;"+"&amp;O250&amp;"M")</f>
        <v>20Y7M</v>
      </c>
      <c r="Q250" s="28">
        <f>_xll.qlCalendarAdvance(Calendar,SettlementDate,P250,"f",,Trigger)</f>
        <v>49682</v>
      </c>
      <c r="R250" s="28">
        <f>_xll.qlInterestRateIndexValueDate(Index,Q250,Trigger)</f>
        <v>49684</v>
      </c>
      <c r="S250" s="28">
        <f>_xll.qlInterestRateIndexMaturity(Index,R250,Trigger)</f>
        <v>49716</v>
      </c>
      <c r="T250" s="30">
        <f>_xll.qlIndexFixing($M$6,Q250,,InterestRatesTrigger)</f>
        <v>1.6913582964411533E-2</v>
      </c>
      <c r="U250" s="30" t="e">
        <f>_xll.qlIndexFixing(Index,Q250,,InterestRatesTrigger)</f>
        <v>#NUM!</v>
      </c>
      <c r="V250" s="30" t="e">
        <f t="shared" si="18"/>
        <v>#NUM!</v>
      </c>
      <c r="W250" s="29">
        <f>_xll.qlDayCounterYearFraction(DayCounter,SettlementDate,R250,,,Trigger)</f>
        <v>20.891666666666666</v>
      </c>
      <c r="X250" s="29">
        <f>_xll.qlDayCounterYearFraction(DayCounter,R250,S250)</f>
        <v>8.8888888888888892E-2</v>
      </c>
      <c r="Y250" s="29" t="e">
        <f>_xll.qlYieldTSDiscount(Currency&amp;"ON",R250)/(1+U250*X250)</f>
        <v>#NUM!</v>
      </c>
      <c r="Z250" s="30" t="e">
        <f>_xll.qlTenorBasisValue(TenorBasis6M,R250,InterestRatesTrigger)</f>
        <v>#VALUE!</v>
      </c>
      <c r="AA250" s="30" t="e">
        <f t="shared" si="19"/>
        <v>#NUM!</v>
      </c>
    </row>
    <row r="251" spans="15:27" x14ac:dyDescent="0.2">
      <c r="O251" s="33">
        <v>1</v>
      </c>
      <c r="P251" s="27" t="str">
        <f>_xll.qlPeriodEquivalent(P250&amp;"+"&amp;O251&amp;"M")</f>
        <v>20Y8M</v>
      </c>
      <c r="Q251" s="28">
        <f>_xll.qlCalendarAdvance(Calendar,SettlementDate,P251,"f",,Trigger)</f>
        <v>49713</v>
      </c>
      <c r="R251" s="28">
        <f>_xll.qlInterestRateIndexValueDate(Index,Q251,Trigger)</f>
        <v>49717</v>
      </c>
      <c r="S251" s="28">
        <f>_xll.qlInterestRateIndexMaturity(Index,R251,Trigger)</f>
        <v>49746</v>
      </c>
      <c r="T251" s="30">
        <f>_xll.qlIndexFixing($M$6,Q251,,InterestRatesTrigger)</f>
        <v>1.6867348784617993E-2</v>
      </c>
      <c r="U251" s="30" t="e">
        <f>_xll.qlIndexFixing(Index,Q251,,InterestRatesTrigger)</f>
        <v>#NUM!</v>
      </c>
      <c r="V251" s="30" t="e">
        <f t="shared" si="18"/>
        <v>#NUM!</v>
      </c>
      <c r="W251" s="29">
        <f>_xll.qlDayCounterYearFraction(DayCounter,SettlementDate,R251,,,Trigger)</f>
        <v>20.983333333333334</v>
      </c>
      <c r="X251" s="29">
        <f>_xll.qlDayCounterYearFraction(DayCounter,R251,S251)</f>
        <v>8.0555555555555561E-2</v>
      </c>
      <c r="Y251" s="29" t="e">
        <f>_xll.qlYieldTSDiscount(Currency&amp;"ON",R251)/(1+U251*X251)</f>
        <v>#NUM!</v>
      </c>
      <c r="Z251" s="30" t="e">
        <f>_xll.qlTenorBasisValue(TenorBasis6M,R251,InterestRatesTrigger)</f>
        <v>#VALUE!</v>
      </c>
      <c r="AA251" s="30" t="e">
        <f t="shared" si="19"/>
        <v>#NUM!</v>
      </c>
    </row>
    <row r="252" spans="15:27" x14ac:dyDescent="0.2">
      <c r="O252" s="33">
        <v>1</v>
      </c>
      <c r="P252" s="27" t="str">
        <f>_xll.qlPeriodEquivalent(P251&amp;"+"&amp;O252&amp;"M")</f>
        <v>20Y9M</v>
      </c>
      <c r="Q252" s="28">
        <f>_xll.qlCalendarAdvance(Calendar,SettlementDate,P252,"f",,Trigger)</f>
        <v>49744</v>
      </c>
      <c r="R252" s="28">
        <f>_xll.qlInterestRateIndexValueDate(Index,Q252,Trigger)</f>
        <v>49746</v>
      </c>
      <c r="S252" s="28">
        <f>_xll.qlInterestRateIndexMaturity(Index,R252,Trigger)</f>
        <v>49780</v>
      </c>
      <c r="T252" s="30">
        <f>_xll.qlIndexFixing($M$6,Q252,,InterestRatesTrigger)</f>
        <v>1.6825237404546924E-2</v>
      </c>
      <c r="U252" s="30" t="e">
        <f>_xll.qlIndexFixing(Index,Q252,,InterestRatesTrigger)</f>
        <v>#NUM!</v>
      </c>
      <c r="V252" s="30" t="e">
        <f t="shared" si="18"/>
        <v>#NUM!</v>
      </c>
      <c r="W252" s="29">
        <f>_xll.qlDayCounterYearFraction(DayCounter,SettlementDate,R252,,,Trigger)</f>
        <v>21.06388888888889</v>
      </c>
      <c r="X252" s="29">
        <f>_xll.qlDayCounterYearFraction(DayCounter,R252,S252)</f>
        <v>9.4444444444444442E-2</v>
      </c>
      <c r="Y252" s="29" t="e">
        <f>_xll.qlYieldTSDiscount(Currency&amp;"ON",R252)/(1+U252*X252)</f>
        <v>#NUM!</v>
      </c>
      <c r="Z252" s="30" t="e">
        <f>_xll.qlTenorBasisValue(TenorBasis6M,R252,InterestRatesTrigger)</f>
        <v>#VALUE!</v>
      </c>
      <c r="AA252" s="30" t="e">
        <f t="shared" si="19"/>
        <v>#NUM!</v>
      </c>
    </row>
    <row r="253" spans="15:27" x14ac:dyDescent="0.2">
      <c r="O253" s="33">
        <v>1</v>
      </c>
      <c r="P253" s="27" t="str">
        <f>_xll.qlPeriodEquivalent(P252&amp;"+"&amp;O253&amp;"M")</f>
        <v>20Y10M</v>
      </c>
      <c r="Q253" s="28">
        <f>_xll.qlCalendarAdvance(Calendar,SettlementDate,P253,"f",,Trigger)</f>
        <v>49773</v>
      </c>
      <c r="R253" s="28">
        <f>_xll.qlInterestRateIndexValueDate(Index,Q253,Trigger)</f>
        <v>49775</v>
      </c>
      <c r="S253" s="28">
        <f>_xll.qlInterestRateIndexMaturity(Index,R253,Trigger)</f>
        <v>49807</v>
      </c>
      <c r="T253" s="30">
        <f>_xll.qlIndexFixing($M$6,Q253,,InterestRatesTrigger)</f>
        <v>1.6786045997111976E-2</v>
      </c>
      <c r="U253" s="30" t="e">
        <f>_xll.qlIndexFixing(Index,Q253,,InterestRatesTrigger)</f>
        <v>#NUM!</v>
      </c>
      <c r="V253" s="30" t="e">
        <f t="shared" si="18"/>
        <v>#NUM!</v>
      </c>
      <c r="W253" s="29">
        <f>_xll.qlDayCounterYearFraction(DayCounter,SettlementDate,R253,,,Trigger)</f>
        <v>21.144444444444446</v>
      </c>
      <c r="X253" s="29">
        <f>_xll.qlDayCounterYearFraction(DayCounter,R253,S253)</f>
        <v>8.8888888888888892E-2</v>
      </c>
      <c r="Y253" s="29" t="e">
        <f>_xll.qlYieldTSDiscount(Currency&amp;"ON",R253)/(1+U253*X253)</f>
        <v>#NUM!</v>
      </c>
      <c r="Z253" s="30" t="e">
        <f>_xll.qlTenorBasisValue(TenorBasis6M,R253,InterestRatesTrigger)</f>
        <v>#VALUE!</v>
      </c>
      <c r="AA253" s="30" t="e">
        <f t="shared" si="19"/>
        <v>#NUM!</v>
      </c>
    </row>
    <row r="254" spans="15:27" x14ac:dyDescent="0.2">
      <c r="O254" s="33">
        <v>1</v>
      </c>
      <c r="P254" s="27" t="str">
        <f>_xll.qlPeriodEquivalent(P253&amp;"+"&amp;O254&amp;"M")</f>
        <v>20Y11M</v>
      </c>
      <c r="Q254" s="28">
        <f>_xll.qlCalendarAdvance(Calendar,SettlementDate,P254,"f",,Trigger)</f>
        <v>49803</v>
      </c>
      <c r="R254" s="28">
        <f>_xll.qlInterestRateIndexValueDate(Index,Q254,Trigger)</f>
        <v>49807</v>
      </c>
      <c r="S254" s="28">
        <f>_xll.qlInterestRateIndexMaturity(Index,R254,Trigger)</f>
        <v>49838</v>
      </c>
      <c r="T254" s="30">
        <f>_xll.qlIndexFixing($M$6,Q254,,InterestRatesTrigger)</f>
        <v>1.674334854751006E-2</v>
      </c>
      <c r="U254" s="30" t="e">
        <f>_xll.qlIndexFixing(Index,Q254,,InterestRatesTrigger)</f>
        <v>#NUM!</v>
      </c>
      <c r="V254" s="30" t="e">
        <f t="shared" ref="V254:V291" si="20">U254-T254</f>
        <v>#NUM!</v>
      </c>
      <c r="W254" s="29">
        <f>_xll.qlDayCounterYearFraction(DayCounter,SettlementDate,R254,,,Trigger)</f>
        <v>21.233333333333334</v>
      </c>
      <c r="X254" s="29">
        <f>_xll.qlDayCounterYearFraction(DayCounter,R254,S254)</f>
        <v>8.611111111111111E-2</v>
      </c>
      <c r="Y254" s="29" t="e">
        <f>_xll.qlYieldTSDiscount(Currency&amp;"ON",R254)/(1+U254*X254)</f>
        <v>#NUM!</v>
      </c>
      <c r="Z254" s="30" t="e">
        <f>_xll.qlTenorBasisValue(TenorBasis6M,R254,InterestRatesTrigger)</f>
        <v>#VALUE!</v>
      </c>
      <c r="AA254" s="30" t="e">
        <f t="shared" ref="AA254:AA291" si="21">V254-Z254</f>
        <v>#NUM!</v>
      </c>
    </row>
    <row r="255" spans="15:27" x14ac:dyDescent="0.2">
      <c r="O255" s="33">
        <v>1</v>
      </c>
      <c r="P255" s="27" t="str">
        <f>_xll.qlPeriodEquivalent(P254&amp;"+"&amp;O255&amp;"M")</f>
        <v>21Y</v>
      </c>
      <c r="Q255" s="28">
        <f>_xll.qlCalendarAdvance(Calendar,SettlementDate,P255,"f",,Trigger)</f>
        <v>49835</v>
      </c>
      <c r="R255" s="28">
        <f>_xll.qlInterestRateIndexValueDate(Index,Q255,Trigger)</f>
        <v>49837</v>
      </c>
      <c r="S255" s="28">
        <f>_xll.qlInterestRateIndexMaturity(Index,R255,Trigger)</f>
        <v>49867</v>
      </c>
      <c r="T255" s="30">
        <f>_xll.qlIndexFixing($M$6,Q255,,InterestRatesTrigger)</f>
        <v>1.6704199691583987E-2</v>
      </c>
      <c r="U255" s="30" t="e">
        <f>_xll.qlIndexFixing(Index,Q255,,InterestRatesTrigger)</f>
        <v>#NUM!</v>
      </c>
      <c r="V255" s="30" t="e">
        <f t="shared" si="20"/>
        <v>#NUM!</v>
      </c>
      <c r="W255" s="29">
        <f>_xll.qlDayCounterYearFraction(DayCounter,SettlementDate,R255,,,Trigger)</f>
        <v>21.316666666666666</v>
      </c>
      <c r="X255" s="29">
        <f>_xll.qlDayCounterYearFraction(DayCounter,R255,S255)</f>
        <v>8.3333333333333329E-2</v>
      </c>
      <c r="Y255" s="29" t="e">
        <f>_xll.qlYieldTSDiscount(Currency&amp;"ON",R255)/(1+U255*X255)</f>
        <v>#NUM!</v>
      </c>
      <c r="Z255" s="30" t="e">
        <f>_xll.qlTenorBasisValue(TenorBasis6M,R255,InterestRatesTrigger)</f>
        <v>#VALUE!</v>
      </c>
      <c r="AA255" s="30" t="e">
        <f t="shared" si="21"/>
        <v>#NUM!</v>
      </c>
    </row>
    <row r="256" spans="15:27" x14ac:dyDescent="0.2">
      <c r="O256" s="33">
        <v>1</v>
      </c>
      <c r="P256" s="27" t="str">
        <f>_xll.qlPeriodEquivalent(P255&amp;"+"&amp;O256&amp;"M")</f>
        <v>21Y1M</v>
      </c>
      <c r="Q256" s="28">
        <f>_xll.qlCalendarAdvance(Calendar,SettlementDate,P256,"f",,Trigger)</f>
        <v>49864</v>
      </c>
      <c r="R256" s="28">
        <f>_xll.qlInterestRateIndexValueDate(Index,Q256,Trigger)</f>
        <v>49866</v>
      </c>
      <c r="S256" s="28">
        <f>_xll.qlInterestRateIndexMaturity(Index,R256,Trigger)</f>
        <v>49898</v>
      </c>
      <c r="T256" s="30">
        <f>_xll.qlIndexFixing($M$6,Q256,,InterestRatesTrigger)</f>
        <v>1.6666413439726524E-2</v>
      </c>
      <c r="U256" s="30" t="e">
        <f>_xll.qlIndexFixing(Index,Q256,,InterestRatesTrigger)</f>
        <v>#NUM!</v>
      </c>
      <c r="V256" s="30" t="e">
        <f t="shared" si="20"/>
        <v>#NUM!</v>
      </c>
      <c r="W256" s="29">
        <f>_xll.qlDayCounterYearFraction(DayCounter,SettlementDate,R256,,,Trigger)</f>
        <v>21.397222222222222</v>
      </c>
      <c r="X256" s="29">
        <f>_xll.qlDayCounterYearFraction(DayCounter,R256,S256)</f>
        <v>8.8888888888888892E-2</v>
      </c>
      <c r="Y256" s="29" t="e">
        <f>_xll.qlYieldTSDiscount(Currency&amp;"ON",R256)/(1+U256*X256)</f>
        <v>#NUM!</v>
      </c>
      <c r="Z256" s="30" t="e">
        <f>_xll.qlTenorBasisValue(TenorBasis6M,R256,InterestRatesTrigger)</f>
        <v>#VALUE!</v>
      </c>
      <c r="AA256" s="30" t="e">
        <f t="shared" si="21"/>
        <v>#NUM!</v>
      </c>
    </row>
    <row r="257" spans="15:27" x14ac:dyDescent="0.2">
      <c r="O257" s="33">
        <v>1</v>
      </c>
      <c r="P257" s="27" t="str">
        <f>_xll.qlPeriodEquivalent(P256&amp;"+"&amp;O257&amp;"M")</f>
        <v>21Y2M</v>
      </c>
      <c r="Q257" s="28">
        <f>_xll.qlCalendarAdvance(Calendar,SettlementDate,P257,"f",,Trigger)</f>
        <v>49895</v>
      </c>
      <c r="R257" s="28">
        <f>_xll.qlInterestRateIndexValueDate(Index,Q257,Trigger)</f>
        <v>49899</v>
      </c>
      <c r="S257" s="28">
        <f>_xll.qlInterestRateIndexMaturity(Index,R257,Trigger)</f>
        <v>49930</v>
      </c>
      <c r="T257" s="30">
        <f>_xll.qlIndexFixing($M$6,Q257,,InterestRatesTrigger)</f>
        <v>1.6625216873588412E-2</v>
      </c>
      <c r="U257" s="30" t="e">
        <f>_xll.qlIndexFixing(Index,Q257,,InterestRatesTrigger)</f>
        <v>#NUM!</v>
      </c>
      <c r="V257" s="30" t="e">
        <f t="shared" si="20"/>
        <v>#NUM!</v>
      </c>
      <c r="W257" s="29">
        <f>_xll.qlDayCounterYearFraction(DayCounter,SettlementDate,R257,,,Trigger)</f>
        <v>21.488888888888887</v>
      </c>
      <c r="X257" s="29">
        <f>_xll.qlDayCounterYearFraction(DayCounter,R257,S257)</f>
        <v>8.611111111111111E-2</v>
      </c>
      <c r="Y257" s="29" t="e">
        <f>_xll.qlYieldTSDiscount(Currency&amp;"ON",R257)/(1+U257*X257)</f>
        <v>#NUM!</v>
      </c>
      <c r="Z257" s="30" t="e">
        <f>_xll.qlTenorBasisValue(TenorBasis6M,R257,InterestRatesTrigger)</f>
        <v>#VALUE!</v>
      </c>
      <c r="AA257" s="30" t="e">
        <f t="shared" si="21"/>
        <v>#NUM!</v>
      </c>
    </row>
    <row r="258" spans="15:27" x14ac:dyDescent="0.2">
      <c r="O258" s="33">
        <v>1</v>
      </c>
      <c r="P258" s="27" t="str">
        <f>_xll.qlPeriodEquivalent(P257&amp;"+"&amp;O258&amp;"M")</f>
        <v>21Y3M</v>
      </c>
      <c r="Q258" s="28">
        <f>_xll.qlCalendarAdvance(Calendar,SettlementDate,P258,"f",,Trigger)</f>
        <v>49926</v>
      </c>
      <c r="R258" s="28">
        <f>_xll.qlInterestRateIndexValueDate(Index,Q258,Trigger)</f>
        <v>49928</v>
      </c>
      <c r="S258" s="28">
        <f>_xll.qlInterestRateIndexMaturity(Index,R258,Trigger)</f>
        <v>49958</v>
      </c>
      <c r="T258" s="30">
        <f>_xll.qlIndexFixing($M$6,Q258,,InterestRatesTrigger)</f>
        <v>1.6589876118983327E-2</v>
      </c>
      <c r="U258" s="30" t="e">
        <f>_xll.qlIndexFixing(Index,Q258,,InterestRatesTrigger)</f>
        <v>#NUM!</v>
      </c>
      <c r="V258" s="30" t="e">
        <f t="shared" si="20"/>
        <v>#NUM!</v>
      </c>
      <c r="W258" s="29">
        <f>_xll.qlDayCounterYearFraction(DayCounter,SettlementDate,R258,,,Trigger)</f>
        <v>21.569444444444443</v>
      </c>
      <c r="X258" s="29">
        <f>_xll.qlDayCounterYearFraction(DayCounter,R258,S258)</f>
        <v>8.3333333333333329E-2</v>
      </c>
      <c r="Y258" s="29" t="e">
        <f>_xll.qlYieldTSDiscount(Currency&amp;"ON",R258)/(1+U258*X258)</f>
        <v>#NUM!</v>
      </c>
      <c r="Z258" s="30" t="e">
        <f>_xll.qlTenorBasisValue(TenorBasis6M,R258,InterestRatesTrigger)</f>
        <v>#VALUE!</v>
      </c>
      <c r="AA258" s="30" t="e">
        <f t="shared" si="21"/>
        <v>#NUM!</v>
      </c>
    </row>
    <row r="259" spans="15:27" x14ac:dyDescent="0.2">
      <c r="O259" s="33">
        <v>1</v>
      </c>
      <c r="P259" s="27" t="str">
        <f>_xll.qlPeriodEquivalent(P258&amp;"+"&amp;O259&amp;"M")</f>
        <v>21Y4M</v>
      </c>
      <c r="Q259" s="28">
        <f>_xll.qlCalendarAdvance(Calendar,SettlementDate,P259,"f",,Trigger)</f>
        <v>49956</v>
      </c>
      <c r="R259" s="28">
        <f>_xll.qlInterestRateIndexValueDate(Index,Q259,Trigger)</f>
        <v>49958</v>
      </c>
      <c r="S259" s="28">
        <f>_xll.qlInterestRateIndexMaturity(Index,R259,Trigger)</f>
        <v>49989</v>
      </c>
      <c r="T259" s="30">
        <f>_xll.qlIndexFixing($M$6,Q259,,InterestRatesTrigger)</f>
        <v>1.6553710060802567E-2</v>
      </c>
      <c r="U259" s="30" t="e">
        <f>_xll.qlIndexFixing(Index,Q259,,InterestRatesTrigger)</f>
        <v>#NUM!</v>
      </c>
      <c r="V259" s="30" t="e">
        <f t="shared" si="20"/>
        <v>#NUM!</v>
      </c>
      <c r="W259" s="29">
        <f>_xll.qlDayCounterYearFraction(DayCounter,SettlementDate,R259,,,Trigger)</f>
        <v>21.652777777777779</v>
      </c>
      <c r="X259" s="29">
        <f>_xll.qlDayCounterYearFraction(DayCounter,R259,S259)</f>
        <v>8.611111111111111E-2</v>
      </c>
      <c r="Y259" s="29" t="e">
        <f>_xll.qlYieldTSDiscount(Currency&amp;"ON",R259)/(1+U259*X259)</f>
        <v>#NUM!</v>
      </c>
      <c r="Z259" s="30" t="e">
        <f>_xll.qlTenorBasisValue(TenorBasis6M,R259,InterestRatesTrigger)</f>
        <v>#VALUE!</v>
      </c>
      <c r="AA259" s="30" t="e">
        <f t="shared" si="21"/>
        <v>#NUM!</v>
      </c>
    </row>
    <row r="260" spans="15:27" x14ac:dyDescent="0.2">
      <c r="O260" s="33">
        <v>1</v>
      </c>
      <c r="P260" s="27" t="str">
        <f>_xll.qlPeriodEquivalent(P259&amp;"+"&amp;O260&amp;"M")</f>
        <v>21Y5M</v>
      </c>
      <c r="Q260" s="28">
        <f>_xll.qlCalendarAdvance(Calendar,SettlementDate,P260,"f",,Trigger)</f>
        <v>49989</v>
      </c>
      <c r="R260" s="28">
        <f>_xll.qlInterestRateIndexValueDate(Index,Q260,Trigger)</f>
        <v>49991</v>
      </c>
      <c r="S260" s="28">
        <f>_xll.qlInterestRateIndexMaturity(Index,R260,Trigger)</f>
        <v>50021</v>
      </c>
      <c r="T260" s="30">
        <f>_xll.qlIndexFixing($M$6,Q260,,InterestRatesTrigger)</f>
        <v>1.6515358730190499E-2</v>
      </c>
      <c r="U260" s="30" t="e">
        <f>_xll.qlIndexFixing(Index,Q260,,InterestRatesTrigger)</f>
        <v>#NUM!</v>
      </c>
      <c r="V260" s="30" t="e">
        <f t="shared" si="20"/>
        <v>#NUM!</v>
      </c>
      <c r="W260" s="29">
        <f>_xll.qlDayCounterYearFraction(DayCounter,SettlementDate,R260,,,Trigger)</f>
        <v>21.744444444444444</v>
      </c>
      <c r="X260" s="29">
        <f>_xll.qlDayCounterYearFraction(DayCounter,R260,S260)</f>
        <v>8.3333333333333329E-2</v>
      </c>
      <c r="Y260" s="29" t="e">
        <f>_xll.qlYieldTSDiscount(Currency&amp;"ON",R260)/(1+U260*X260)</f>
        <v>#NUM!</v>
      </c>
      <c r="Z260" s="30" t="e">
        <f>_xll.qlTenorBasisValue(TenorBasis6M,R260,InterestRatesTrigger)</f>
        <v>#VALUE!</v>
      </c>
      <c r="AA260" s="30" t="e">
        <f t="shared" si="21"/>
        <v>#NUM!</v>
      </c>
    </row>
    <row r="261" spans="15:27" x14ac:dyDescent="0.2">
      <c r="O261" s="33">
        <v>1</v>
      </c>
      <c r="P261" s="27" t="str">
        <f>_xll.qlPeriodEquivalent(P260&amp;"+"&amp;O261&amp;"M")</f>
        <v>21Y6M</v>
      </c>
      <c r="Q261" s="28">
        <f>_xll.qlCalendarAdvance(Calendar,SettlementDate,P261,"f",,Trigger)</f>
        <v>50017</v>
      </c>
      <c r="R261" s="28">
        <f>_xll.qlInterestRateIndexValueDate(Index,Q261,Trigger)</f>
        <v>50019</v>
      </c>
      <c r="S261" s="28">
        <f>_xll.qlInterestRateIndexMaturity(Index,R261,Trigger)</f>
        <v>50052</v>
      </c>
      <c r="T261" s="30">
        <f>_xll.qlIndexFixing($M$6,Q261,,InterestRatesTrigger)</f>
        <v>1.6482906695407935E-2</v>
      </c>
      <c r="U261" s="30" t="e">
        <f>_xll.qlIndexFixing(Index,Q261,,InterestRatesTrigger)</f>
        <v>#NUM!</v>
      </c>
      <c r="V261" s="30" t="e">
        <f t="shared" si="20"/>
        <v>#NUM!</v>
      </c>
      <c r="W261" s="29">
        <f>_xll.qlDayCounterYearFraction(DayCounter,SettlementDate,R261,,,Trigger)</f>
        <v>21.822222222222223</v>
      </c>
      <c r="X261" s="29">
        <f>_xll.qlDayCounterYearFraction(DayCounter,R261,S261)</f>
        <v>9.166666666666666E-2</v>
      </c>
      <c r="Y261" s="29" t="e">
        <f>_xll.qlYieldTSDiscount(Currency&amp;"ON",R261)/(1+U261*X261)</f>
        <v>#NUM!</v>
      </c>
      <c r="Z261" s="30" t="e">
        <f>_xll.qlTenorBasisValue(TenorBasis6M,R261,InterestRatesTrigger)</f>
        <v>#VALUE!</v>
      </c>
      <c r="AA261" s="30" t="e">
        <f t="shared" si="21"/>
        <v>#NUM!</v>
      </c>
    </row>
    <row r="262" spans="15:27" x14ac:dyDescent="0.2">
      <c r="O262" s="33">
        <v>1</v>
      </c>
      <c r="P262" s="27" t="str">
        <f>_xll.qlPeriodEquivalent(P261&amp;"+"&amp;O262&amp;"M")</f>
        <v>21Y7M</v>
      </c>
      <c r="Q262" s="28">
        <f>_xll.qlCalendarAdvance(Calendar,SettlementDate,P262,"f",,Trigger)</f>
        <v>50048</v>
      </c>
      <c r="R262" s="28">
        <f>_xll.qlInterestRateIndexValueDate(Index,Q262,Trigger)</f>
        <v>50052</v>
      </c>
      <c r="S262" s="28">
        <f>_xll.qlInterestRateIndexMaturity(Index,R262,Trigger)</f>
        <v>50083</v>
      </c>
      <c r="T262" s="30">
        <f>_xll.qlIndexFixing($M$6,Q262,,InterestRatesTrigger)</f>
        <v>1.6446647139572106E-2</v>
      </c>
      <c r="U262" s="30" t="e">
        <f>_xll.qlIndexFixing(Index,Q262,,InterestRatesTrigger)</f>
        <v>#NUM!</v>
      </c>
      <c r="V262" s="30" t="e">
        <f t="shared" si="20"/>
        <v>#NUM!</v>
      </c>
      <c r="W262" s="29">
        <f>_xll.qlDayCounterYearFraction(DayCounter,SettlementDate,R262,,,Trigger)</f>
        <v>21.913888888888888</v>
      </c>
      <c r="X262" s="29">
        <f>_xll.qlDayCounterYearFraction(DayCounter,R262,S262)</f>
        <v>8.611111111111111E-2</v>
      </c>
      <c r="Y262" s="29" t="e">
        <f>_xll.qlYieldTSDiscount(Currency&amp;"ON",R262)/(1+U262*X262)</f>
        <v>#NUM!</v>
      </c>
      <c r="Z262" s="30" t="e">
        <f>_xll.qlTenorBasisValue(TenorBasis6M,R262,InterestRatesTrigger)</f>
        <v>#VALUE!</v>
      </c>
      <c r="AA262" s="30" t="e">
        <f t="shared" si="21"/>
        <v>#NUM!</v>
      </c>
    </row>
    <row r="263" spans="15:27" x14ac:dyDescent="0.2">
      <c r="O263" s="33">
        <v>1</v>
      </c>
      <c r="P263" s="27" t="str">
        <f>_xll.qlPeriodEquivalent(P262&amp;"+"&amp;O263&amp;"M")</f>
        <v>21Y8M</v>
      </c>
      <c r="Q263" s="28">
        <f>_xll.qlCalendarAdvance(Calendar,SettlementDate,P263,"f",,Trigger)</f>
        <v>50080</v>
      </c>
      <c r="R263" s="28">
        <f>_xll.qlInterestRateIndexValueDate(Index,Q263,Trigger)</f>
        <v>50082</v>
      </c>
      <c r="S263" s="28">
        <f>_xll.qlInterestRateIndexMaturity(Index,R263,Trigger)</f>
        <v>50110</v>
      </c>
      <c r="T263" s="30">
        <f>_xll.qlIndexFixing($M$6,Q263,,InterestRatesTrigger)</f>
        <v>1.6414723299972449E-2</v>
      </c>
      <c r="U263" s="30" t="e">
        <f>_xll.qlIndexFixing(Index,Q263,,InterestRatesTrigger)</f>
        <v>#NUM!</v>
      </c>
      <c r="V263" s="30" t="e">
        <f t="shared" si="20"/>
        <v>#NUM!</v>
      </c>
      <c r="W263" s="29">
        <f>_xll.qlDayCounterYearFraction(DayCounter,SettlementDate,R263,,,Trigger)</f>
        <v>21.997222222222224</v>
      </c>
      <c r="X263" s="29">
        <f>_xll.qlDayCounterYearFraction(DayCounter,R263,S263)</f>
        <v>7.7777777777777779E-2</v>
      </c>
      <c r="Y263" s="29" t="e">
        <f>_xll.qlYieldTSDiscount(Currency&amp;"ON",R263)/(1+U263*X263)</f>
        <v>#NUM!</v>
      </c>
      <c r="Z263" s="30" t="e">
        <f>_xll.qlTenorBasisValue(TenorBasis6M,R263,InterestRatesTrigger)</f>
        <v>#VALUE!</v>
      </c>
      <c r="AA263" s="30" t="e">
        <f t="shared" si="21"/>
        <v>#NUM!</v>
      </c>
    </row>
    <row r="264" spans="15:27" x14ac:dyDescent="0.2">
      <c r="O264" s="33">
        <v>1</v>
      </c>
      <c r="P264" s="27" t="str">
        <f>_xll.qlPeriodEquivalent(P263&amp;"+"&amp;O264&amp;"M")</f>
        <v>21Y9M</v>
      </c>
      <c r="Q264" s="28">
        <f>_xll.qlCalendarAdvance(Calendar,SettlementDate,P264,"f",,Trigger)</f>
        <v>50108</v>
      </c>
      <c r="R264" s="28">
        <f>_xll.qlInterestRateIndexValueDate(Index,Q264,Trigger)</f>
        <v>50110</v>
      </c>
      <c r="S264" s="28">
        <f>_xll.qlInterestRateIndexMaturity(Index,R264,Trigger)</f>
        <v>50143</v>
      </c>
      <c r="T264" s="30">
        <f>_xll.qlIndexFixing($M$6,Q264,,InterestRatesTrigger)</f>
        <v>1.6384506121745319E-2</v>
      </c>
      <c r="U264" s="30" t="e">
        <f>_xll.qlIndexFixing(Index,Q264,,InterestRatesTrigger)</f>
        <v>#NUM!</v>
      </c>
      <c r="V264" s="30" t="e">
        <f t="shared" si="20"/>
        <v>#NUM!</v>
      </c>
      <c r="W264" s="29">
        <f>_xll.qlDayCounterYearFraction(DayCounter,SettlementDate,R264,,,Trigger)</f>
        <v>22.074999999999999</v>
      </c>
      <c r="X264" s="29">
        <f>_xll.qlDayCounterYearFraction(DayCounter,R264,S264)</f>
        <v>9.166666666666666E-2</v>
      </c>
      <c r="Y264" s="29" t="e">
        <f>_xll.qlYieldTSDiscount(Currency&amp;"ON",R264)/(1+U264*X264)</f>
        <v>#NUM!</v>
      </c>
      <c r="Z264" s="30" t="e">
        <f>_xll.qlTenorBasisValue(TenorBasis6M,R264,InterestRatesTrigger)</f>
        <v>#VALUE!</v>
      </c>
      <c r="AA264" s="30" t="e">
        <f t="shared" si="21"/>
        <v>#NUM!</v>
      </c>
    </row>
    <row r="265" spans="15:27" x14ac:dyDescent="0.2">
      <c r="O265" s="33">
        <v>1</v>
      </c>
      <c r="P265" s="27" t="str">
        <f>_xll.qlPeriodEquivalent(P264&amp;"+"&amp;O265&amp;"M")</f>
        <v>21Y10M</v>
      </c>
      <c r="Q265" s="28">
        <f>_xll.qlCalendarAdvance(Calendar,SettlementDate,P265,"f",,Trigger)</f>
        <v>50138</v>
      </c>
      <c r="R265" s="28">
        <f>_xll.qlInterestRateIndexValueDate(Index,Q265,Trigger)</f>
        <v>50140</v>
      </c>
      <c r="S265" s="28">
        <f>_xll.qlInterestRateIndexMaturity(Index,R265,Trigger)</f>
        <v>50171</v>
      </c>
      <c r="T265" s="30">
        <f>_xll.qlIndexFixing($M$6,Q265,,InterestRatesTrigger)</f>
        <v>1.6354060785631081E-2</v>
      </c>
      <c r="U265" s="30" t="e">
        <f>_xll.qlIndexFixing(Index,Q265,,InterestRatesTrigger)</f>
        <v>#NUM!</v>
      </c>
      <c r="V265" s="30" t="e">
        <f t="shared" si="20"/>
        <v>#NUM!</v>
      </c>
      <c r="W265" s="29">
        <f>_xll.qlDayCounterYearFraction(DayCounter,SettlementDate,R265,,,Trigger)</f>
        <v>22.158333333333335</v>
      </c>
      <c r="X265" s="29">
        <f>_xll.qlDayCounterYearFraction(DayCounter,R265,S265)</f>
        <v>8.611111111111111E-2</v>
      </c>
      <c r="Y265" s="29" t="e">
        <f>_xll.qlYieldTSDiscount(Currency&amp;"ON",R265)/(1+U265*X265)</f>
        <v>#NUM!</v>
      </c>
      <c r="Z265" s="30" t="e">
        <f>_xll.qlTenorBasisValue(TenorBasis6M,R265,InterestRatesTrigger)</f>
        <v>#VALUE!</v>
      </c>
      <c r="AA265" s="30" t="e">
        <f t="shared" si="21"/>
        <v>#NUM!</v>
      </c>
    </row>
    <row r="266" spans="15:27" x14ac:dyDescent="0.2">
      <c r="O266" s="33">
        <v>1</v>
      </c>
      <c r="P266" s="27" t="str">
        <f>_xll.qlPeriodEquivalent(P265&amp;"+"&amp;O266&amp;"M")</f>
        <v>21Y11M</v>
      </c>
      <c r="Q266" s="28">
        <f>_xll.qlCalendarAdvance(Calendar,SettlementDate,P266,"f",,Trigger)</f>
        <v>50168</v>
      </c>
      <c r="R266" s="28">
        <f>_xll.qlInterestRateIndexValueDate(Index,Q266,Trigger)</f>
        <v>50172</v>
      </c>
      <c r="S266" s="28">
        <f>_xll.qlInterestRateIndexMaturity(Index,R266,Trigger)</f>
        <v>50203</v>
      </c>
      <c r="T266" s="30">
        <f>_xll.qlIndexFixing($M$6,Q266,,InterestRatesTrigger)</f>
        <v>1.6322225415469099E-2</v>
      </c>
      <c r="U266" s="30" t="e">
        <f>_xll.qlIndexFixing(Index,Q266,,InterestRatesTrigger)</f>
        <v>#NUM!</v>
      </c>
      <c r="V266" s="30" t="e">
        <f t="shared" si="20"/>
        <v>#NUM!</v>
      </c>
      <c r="W266" s="29">
        <f>_xll.qlDayCounterYearFraction(DayCounter,SettlementDate,R266,,,Trigger)</f>
        <v>22.247222222222224</v>
      </c>
      <c r="X266" s="29">
        <f>_xll.qlDayCounterYearFraction(DayCounter,R266,S266)</f>
        <v>8.611111111111111E-2</v>
      </c>
      <c r="Y266" s="29" t="e">
        <f>_xll.qlYieldTSDiscount(Currency&amp;"ON",R266)/(1+U266*X266)</f>
        <v>#NUM!</v>
      </c>
      <c r="Z266" s="30" t="e">
        <f>_xll.qlTenorBasisValue(TenorBasis6M,R266,InterestRatesTrigger)</f>
        <v>#VALUE!</v>
      </c>
      <c r="AA266" s="30" t="e">
        <f t="shared" si="21"/>
        <v>#NUM!</v>
      </c>
    </row>
    <row r="267" spans="15:27" x14ac:dyDescent="0.2">
      <c r="O267" s="33">
        <v>1</v>
      </c>
      <c r="P267" s="27" t="str">
        <f>_xll.qlPeriodEquivalent(P266&amp;"+"&amp;O267&amp;"M")</f>
        <v>22Y</v>
      </c>
      <c r="Q267" s="28">
        <f>_xll.qlCalendarAdvance(Calendar,SettlementDate,P267,"f",,Trigger)</f>
        <v>50199</v>
      </c>
      <c r="R267" s="28">
        <f>_xll.qlInterestRateIndexValueDate(Index,Q267,Trigger)</f>
        <v>50201</v>
      </c>
      <c r="S267" s="28">
        <f>_xll.qlInterestRateIndexMaturity(Index,R267,Trigger)</f>
        <v>50231</v>
      </c>
      <c r="T267" s="30">
        <f>_xll.qlIndexFixing($M$6,Q267,,InterestRatesTrigger)</f>
        <v>1.6294323795435162E-2</v>
      </c>
      <c r="U267" s="30" t="e">
        <f>_xll.qlIndexFixing(Index,Q267,,InterestRatesTrigger)</f>
        <v>#NUM!</v>
      </c>
      <c r="V267" s="30" t="e">
        <f t="shared" si="20"/>
        <v>#NUM!</v>
      </c>
      <c r="W267" s="29">
        <f>_xll.qlDayCounterYearFraction(DayCounter,SettlementDate,R267,,,Trigger)</f>
        <v>22.327777777777779</v>
      </c>
      <c r="X267" s="29">
        <f>_xll.qlDayCounterYearFraction(DayCounter,R267,S267)</f>
        <v>8.3333333333333329E-2</v>
      </c>
      <c r="Y267" s="29" t="e">
        <f>_xll.qlYieldTSDiscount(Currency&amp;"ON",R267)/(1+U267*X267)</f>
        <v>#NUM!</v>
      </c>
      <c r="Z267" s="30" t="e">
        <f>_xll.qlTenorBasisValue(TenorBasis6M,R267,InterestRatesTrigger)</f>
        <v>#VALUE!</v>
      </c>
      <c r="AA267" s="30" t="e">
        <f t="shared" si="21"/>
        <v>#NUM!</v>
      </c>
    </row>
    <row r="268" spans="15:27" x14ac:dyDescent="0.2">
      <c r="O268" s="33">
        <v>1</v>
      </c>
      <c r="P268" s="27" t="str">
        <f>_xll.qlPeriodEquivalent(P267&amp;"+"&amp;O268&amp;"M")</f>
        <v>22Y1M</v>
      </c>
      <c r="Q268" s="28">
        <f>_xll.qlCalendarAdvance(Calendar,SettlementDate,P268,"f",,Trigger)</f>
        <v>50229</v>
      </c>
      <c r="R268" s="28">
        <f>_xll.qlInterestRateIndexValueDate(Index,Q268,Trigger)</f>
        <v>50231</v>
      </c>
      <c r="S268" s="28">
        <f>_xll.qlInterestRateIndexMaturity(Index,R268,Trigger)</f>
        <v>50262</v>
      </c>
      <c r="T268" s="30">
        <f>_xll.qlIndexFixing($M$6,Q268,,InterestRatesTrigger)</f>
        <v>1.6266090924800428E-2</v>
      </c>
      <c r="U268" s="30" t="e">
        <f>_xll.qlIndexFixing(Index,Q268,,InterestRatesTrigger)</f>
        <v>#NUM!</v>
      </c>
      <c r="V268" s="30" t="e">
        <f t="shared" si="20"/>
        <v>#NUM!</v>
      </c>
      <c r="W268" s="29">
        <f>_xll.qlDayCounterYearFraction(DayCounter,SettlementDate,R268,,,Trigger)</f>
        <v>22.411111111111111</v>
      </c>
      <c r="X268" s="29">
        <f>_xll.qlDayCounterYearFraction(DayCounter,R268,S268)</f>
        <v>8.611111111111111E-2</v>
      </c>
      <c r="Y268" s="29" t="e">
        <f>_xll.qlYieldTSDiscount(Currency&amp;"ON",R268)/(1+U268*X268)</f>
        <v>#NUM!</v>
      </c>
      <c r="Z268" s="30" t="e">
        <f>_xll.qlTenorBasisValue(TenorBasis6M,R268,InterestRatesTrigger)</f>
        <v>#VALUE!</v>
      </c>
      <c r="AA268" s="30" t="e">
        <f t="shared" si="21"/>
        <v>#NUM!</v>
      </c>
    </row>
    <row r="269" spans="15:27" x14ac:dyDescent="0.2">
      <c r="O269" s="33">
        <v>1</v>
      </c>
      <c r="P269" s="27" t="str">
        <f>_xll.qlPeriodEquivalent(P268&amp;"+"&amp;O269&amp;"M")</f>
        <v>22Y2M</v>
      </c>
      <c r="Q269" s="28">
        <f>_xll.qlCalendarAdvance(Calendar,SettlementDate,P269,"f",,Trigger)</f>
        <v>50262</v>
      </c>
      <c r="R269" s="28">
        <f>_xll.qlInterestRateIndexValueDate(Index,Q269,Trigger)</f>
        <v>50264</v>
      </c>
      <c r="S269" s="28">
        <f>_xll.qlInterestRateIndexMaturity(Index,R269,Trigger)</f>
        <v>50297</v>
      </c>
      <c r="T269" s="30">
        <f>_xll.qlIndexFixing($M$6,Q269,,InterestRatesTrigger)</f>
        <v>1.6235988006227942E-2</v>
      </c>
      <c r="U269" s="30" t="e">
        <f>_xll.qlIndexFixing(Index,Q269,,InterestRatesTrigger)</f>
        <v>#NUM!</v>
      </c>
      <c r="V269" s="30" t="e">
        <f t="shared" si="20"/>
        <v>#NUM!</v>
      </c>
      <c r="W269" s="29">
        <f>_xll.qlDayCounterYearFraction(DayCounter,SettlementDate,R269,,,Trigger)</f>
        <v>22.502777777777776</v>
      </c>
      <c r="X269" s="29">
        <f>_xll.qlDayCounterYearFraction(DayCounter,R269,S269)</f>
        <v>9.166666666666666E-2</v>
      </c>
      <c r="Y269" s="29" t="e">
        <f>_xll.qlYieldTSDiscount(Currency&amp;"ON",R269)/(1+U269*X269)</f>
        <v>#NUM!</v>
      </c>
      <c r="Z269" s="30" t="e">
        <f>_xll.qlTenorBasisValue(TenorBasis6M,R269,InterestRatesTrigger)</f>
        <v>#VALUE!</v>
      </c>
      <c r="AA269" s="30" t="e">
        <f t="shared" si="21"/>
        <v>#NUM!</v>
      </c>
    </row>
    <row r="270" spans="15:27" x14ac:dyDescent="0.2">
      <c r="O270" s="33">
        <v>1</v>
      </c>
      <c r="P270" s="27" t="str">
        <f>_xll.qlPeriodEquivalent(P269&amp;"+"&amp;O270&amp;"M")</f>
        <v>22Y3M</v>
      </c>
      <c r="Q270" s="28">
        <f>_xll.qlCalendarAdvance(Calendar,SettlementDate,P270,"f",,Trigger)</f>
        <v>50291</v>
      </c>
      <c r="R270" s="28">
        <f>_xll.qlInterestRateIndexValueDate(Index,Q270,Trigger)</f>
        <v>50293</v>
      </c>
      <c r="S270" s="28">
        <f>_xll.qlInterestRateIndexMaturity(Index,R270,Trigger)</f>
        <v>50325</v>
      </c>
      <c r="T270" s="30">
        <f>_xll.qlIndexFixing($M$6,Q270,,InterestRatesTrigger)</f>
        <v>1.6210617255688342E-2</v>
      </c>
      <c r="U270" s="30" t="e">
        <f>_xll.qlIndexFixing(Index,Q270,,InterestRatesTrigger)</f>
        <v>#NUM!</v>
      </c>
      <c r="V270" s="30" t="e">
        <f t="shared" si="20"/>
        <v>#NUM!</v>
      </c>
      <c r="W270" s="29">
        <f>_xll.qlDayCounterYearFraction(DayCounter,SettlementDate,R270,,,Trigger)</f>
        <v>22.583333333333332</v>
      </c>
      <c r="X270" s="29">
        <f>_xll.qlDayCounterYearFraction(DayCounter,R270,S270)</f>
        <v>8.8888888888888892E-2</v>
      </c>
      <c r="Y270" s="29" t="e">
        <f>_xll.qlYieldTSDiscount(Currency&amp;"ON",R270)/(1+U270*X270)</f>
        <v>#NUM!</v>
      </c>
      <c r="Z270" s="30" t="e">
        <f>_xll.qlTenorBasisValue(TenorBasis6M,R270,InterestRatesTrigger)</f>
        <v>#VALUE!</v>
      </c>
      <c r="AA270" s="30" t="e">
        <f t="shared" si="21"/>
        <v>#NUM!</v>
      </c>
    </row>
    <row r="271" spans="15:27" x14ac:dyDescent="0.2">
      <c r="O271" s="33">
        <v>1</v>
      </c>
      <c r="P271" s="27" t="str">
        <f>_xll.qlPeriodEquivalent(P270&amp;"+"&amp;O271&amp;"M")</f>
        <v>22Y4M</v>
      </c>
      <c r="Q271" s="28">
        <f>_xll.qlCalendarAdvance(Calendar,SettlementDate,P271,"f",,Trigger)</f>
        <v>50321</v>
      </c>
      <c r="R271" s="28">
        <f>_xll.qlInterestRateIndexValueDate(Index,Q271,Trigger)</f>
        <v>50325</v>
      </c>
      <c r="S271" s="28">
        <f>_xll.qlInterestRateIndexMaturity(Index,R271,Trigger)</f>
        <v>50356</v>
      </c>
      <c r="T271" s="30">
        <f>_xll.qlIndexFixing($M$6,Q271,,InterestRatesTrigger)</f>
        <v>1.6183518996032396E-2</v>
      </c>
      <c r="U271" s="30" t="e">
        <f>_xll.qlIndexFixing(Index,Q271,,InterestRatesTrigger)</f>
        <v>#NUM!</v>
      </c>
      <c r="V271" s="30" t="e">
        <f t="shared" si="20"/>
        <v>#NUM!</v>
      </c>
      <c r="W271" s="29">
        <f>_xll.qlDayCounterYearFraction(DayCounter,SettlementDate,R271,,,Trigger)</f>
        <v>22.672222222222221</v>
      </c>
      <c r="X271" s="29">
        <f>_xll.qlDayCounterYearFraction(DayCounter,R271,S271)</f>
        <v>8.611111111111111E-2</v>
      </c>
      <c r="Y271" s="29" t="e">
        <f>_xll.qlYieldTSDiscount(Currency&amp;"ON",R271)/(1+U271*X271)</f>
        <v>#NUM!</v>
      </c>
      <c r="Z271" s="30" t="e">
        <f>_xll.qlTenorBasisValue(TenorBasis6M,R271,InterestRatesTrigger)</f>
        <v>#VALUE!</v>
      </c>
      <c r="AA271" s="30" t="e">
        <f t="shared" si="21"/>
        <v>#NUM!</v>
      </c>
    </row>
    <row r="272" spans="15:27" x14ac:dyDescent="0.2">
      <c r="O272" s="33">
        <v>1</v>
      </c>
      <c r="P272" s="27" t="str">
        <f>_xll.qlPeriodEquivalent(P271&amp;"+"&amp;O272&amp;"M")</f>
        <v>22Y5M</v>
      </c>
      <c r="Q272" s="28">
        <f>_xll.qlCalendarAdvance(Calendar,SettlementDate,P272,"f",,Trigger)</f>
        <v>50353</v>
      </c>
      <c r="R272" s="28">
        <f>_xll.qlInterestRateIndexValueDate(Index,Q272,Trigger)</f>
        <v>50355</v>
      </c>
      <c r="S272" s="28">
        <f>_xll.qlInterestRateIndexMaturity(Index,R272,Trigger)</f>
        <v>50385</v>
      </c>
      <c r="T272" s="30">
        <f>_xll.qlIndexFixing($M$6,Q272,,InterestRatesTrigger)</f>
        <v>1.6158978972299565E-2</v>
      </c>
      <c r="U272" s="30" t="e">
        <f>_xll.qlIndexFixing(Index,Q272,,InterestRatesTrigger)</f>
        <v>#NUM!</v>
      </c>
      <c r="V272" s="30" t="e">
        <f t="shared" si="20"/>
        <v>#NUM!</v>
      </c>
      <c r="W272" s="29">
        <f>_xll.qlDayCounterYearFraction(DayCounter,SettlementDate,R272,,,Trigger)</f>
        <v>22.755555555555556</v>
      </c>
      <c r="X272" s="29">
        <f>_xll.qlDayCounterYearFraction(DayCounter,R272,S272)</f>
        <v>8.3333333333333329E-2</v>
      </c>
      <c r="Y272" s="29" t="e">
        <f>_xll.qlYieldTSDiscount(Currency&amp;"ON",R272)/(1+U272*X272)</f>
        <v>#NUM!</v>
      </c>
      <c r="Z272" s="30" t="e">
        <f>_xll.qlTenorBasisValue(TenorBasis6M,R272,InterestRatesTrigger)</f>
        <v>#VALUE!</v>
      </c>
      <c r="AA272" s="30" t="e">
        <f t="shared" si="21"/>
        <v>#NUM!</v>
      </c>
    </row>
    <row r="273" spans="15:27" x14ac:dyDescent="0.2">
      <c r="O273" s="33">
        <v>1</v>
      </c>
      <c r="P273" s="27" t="str">
        <f>_xll.qlPeriodEquivalent(P272&amp;"+"&amp;O273&amp;"M")</f>
        <v>22Y6M</v>
      </c>
      <c r="Q273" s="28">
        <f>_xll.qlCalendarAdvance(Calendar,SettlementDate,P273,"f",,Trigger)</f>
        <v>50382</v>
      </c>
      <c r="R273" s="28">
        <f>_xll.qlInterestRateIndexValueDate(Index,Q273,Trigger)</f>
        <v>50384</v>
      </c>
      <c r="S273" s="28">
        <f>_xll.qlInterestRateIndexMaturity(Index,R273,Trigger)</f>
        <v>50416</v>
      </c>
      <c r="T273" s="30">
        <f>_xll.qlIndexFixing($M$6,Q273,,InterestRatesTrigger)</f>
        <v>1.6135974731849023E-2</v>
      </c>
      <c r="U273" s="30" t="e">
        <f>_xll.qlIndexFixing(Index,Q273,,InterestRatesTrigger)</f>
        <v>#NUM!</v>
      </c>
      <c r="V273" s="30" t="e">
        <f t="shared" si="20"/>
        <v>#NUM!</v>
      </c>
      <c r="W273" s="29">
        <f>_xll.qlDayCounterYearFraction(DayCounter,SettlementDate,R273,,,Trigger)</f>
        <v>22.836111111111112</v>
      </c>
      <c r="X273" s="29">
        <f>_xll.qlDayCounterYearFraction(DayCounter,R273,S273)</f>
        <v>8.8888888888888892E-2</v>
      </c>
      <c r="Y273" s="29" t="e">
        <f>_xll.qlYieldTSDiscount(Currency&amp;"ON",R273)/(1+U273*X273)</f>
        <v>#NUM!</v>
      </c>
      <c r="Z273" s="30" t="e">
        <f>_xll.qlTenorBasisValue(TenorBasis6M,R273,InterestRatesTrigger)</f>
        <v>#VALUE!</v>
      </c>
      <c r="AA273" s="30" t="e">
        <f t="shared" si="21"/>
        <v>#NUM!</v>
      </c>
    </row>
    <row r="274" spans="15:27" x14ac:dyDescent="0.2">
      <c r="O274" s="33">
        <v>1</v>
      </c>
      <c r="P274" s="27" t="str">
        <f>_xll.qlPeriodEquivalent(P273&amp;"+"&amp;O274&amp;"M")</f>
        <v>22Y7M</v>
      </c>
      <c r="Q274" s="28">
        <f>_xll.qlCalendarAdvance(Calendar,SettlementDate,P274,"f",,Trigger)</f>
        <v>50413</v>
      </c>
      <c r="R274" s="28">
        <f>_xll.qlInterestRateIndexValueDate(Index,Q274,Trigger)</f>
        <v>50417</v>
      </c>
      <c r="S274" s="28">
        <f>_xll.qlInterestRateIndexMaturity(Index,R274,Trigger)</f>
        <v>50448</v>
      </c>
      <c r="T274" s="30">
        <f>_xll.qlIndexFixing($M$6,Q274,,InterestRatesTrigger)</f>
        <v>1.6110869129313758E-2</v>
      </c>
      <c r="U274" s="30" t="e">
        <f>_xll.qlIndexFixing(Index,Q274,,InterestRatesTrigger)</f>
        <v>#NUM!</v>
      </c>
      <c r="V274" s="30" t="e">
        <f t="shared" si="20"/>
        <v>#NUM!</v>
      </c>
      <c r="W274" s="29">
        <f>_xll.qlDayCounterYearFraction(DayCounter,SettlementDate,R274,,,Trigger)</f>
        <v>22.927777777777777</v>
      </c>
      <c r="X274" s="29">
        <f>_xll.qlDayCounterYearFraction(DayCounter,R274,S274)</f>
        <v>8.611111111111111E-2</v>
      </c>
      <c r="Y274" s="29" t="e">
        <f>_xll.qlYieldTSDiscount(Currency&amp;"ON",R274)/(1+U274*X274)</f>
        <v>#NUM!</v>
      </c>
      <c r="Z274" s="30" t="e">
        <f>_xll.qlTenorBasisValue(TenorBasis6M,R274,InterestRatesTrigger)</f>
        <v>#VALUE!</v>
      </c>
      <c r="AA274" s="30" t="e">
        <f t="shared" si="21"/>
        <v>#NUM!</v>
      </c>
    </row>
    <row r="275" spans="15:27" x14ac:dyDescent="0.2">
      <c r="O275" s="33">
        <v>1</v>
      </c>
      <c r="P275" s="27" t="str">
        <f>_xll.qlPeriodEquivalent(P274&amp;"+"&amp;O275&amp;"M")</f>
        <v>22Y8M</v>
      </c>
      <c r="Q275" s="28">
        <f>_xll.qlCalendarAdvance(Calendar,SettlementDate,P275,"f",,Trigger)</f>
        <v>50444</v>
      </c>
      <c r="R275" s="28">
        <f>_xll.qlInterestRateIndexValueDate(Index,Q275,Trigger)</f>
        <v>50446</v>
      </c>
      <c r="S275" s="28">
        <f>_xll.qlInterestRateIndexMaturity(Index,R275,Trigger)</f>
        <v>50474</v>
      </c>
      <c r="T275" s="30">
        <f>_xll.qlIndexFixing($M$6,Q275,,InterestRatesTrigger)</f>
        <v>1.6089635902362596E-2</v>
      </c>
      <c r="U275" s="30" t="e">
        <f>_xll.qlIndexFixing(Index,Q275,,InterestRatesTrigger)</f>
        <v>#NUM!</v>
      </c>
      <c r="V275" s="30" t="e">
        <f t="shared" si="20"/>
        <v>#NUM!</v>
      </c>
      <c r="W275" s="29">
        <f>_xll.qlDayCounterYearFraction(DayCounter,SettlementDate,R275,,,Trigger)</f>
        <v>23.008333333333333</v>
      </c>
      <c r="X275" s="29">
        <f>_xll.qlDayCounterYearFraction(DayCounter,R275,S275)</f>
        <v>7.7777777777777779E-2</v>
      </c>
      <c r="Y275" s="29" t="e">
        <f>_xll.qlYieldTSDiscount(Currency&amp;"ON",R275)/(1+U275*X275)</f>
        <v>#NUM!</v>
      </c>
      <c r="Z275" s="30" t="e">
        <f>_xll.qlTenorBasisValue(TenorBasis6M,R275,InterestRatesTrigger)</f>
        <v>#VALUE!</v>
      </c>
      <c r="AA275" s="30" t="e">
        <f t="shared" si="21"/>
        <v>#NUM!</v>
      </c>
    </row>
    <row r="276" spans="15:27" x14ac:dyDescent="0.2">
      <c r="O276" s="33">
        <v>1</v>
      </c>
      <c r="P276" s="27" t="str">
        <f>_xll.qlPeriodEquivalent(P275&amp;"+"&amp;O276&amp;"M")</f>
        <v>22Y9M</v>
      </c>
      <c r="Q276" s="28">
        <f>_xll.qlCalendarAdvance(Calendar,SettlementDate,P276,"f",,Trigger)</f>
        <v>50472</v>
      </c>
      <c r="R276" s="28">
        <f>_xll.qlInterestRateIndexValueDate(Index,Q276,Trigger)</f>
        <v>50474</v>
      </c>
      <c r="S276" s="28">
        <f>_xll.qlInterestRateIndexMaturity(Index,R276,Trigger)</f>
        <v>50507</v>
      </c>
      <c r="T276" s="30">
        <f>_xll.qlIndexFixing($M$6,Q276,,InterestRatesTrigger)</f>
        <v>1.60699414323579E-2</v>
      </c>
      <c r="U276" s="30" t="e">
        <f>_xll.qlIndexFixing(Index,Q276,,InterestRatesTrigger)</f>
        <v>#NUM!</v>
      </c>
      <c r="V276" s="30" t="e">
        <f t="shared" si="20"/>
        <v>#NUM!</v>
      </c>
      <c r="W276" s="29">
        <f>_xll.qlDayCounterYearFraction(DayCounter,SettlementDate,R276,,,Trigger)</f>
        <v>23.086111111111112</v>
      </c>
      <c r="X276" s="29">
        <f>_xll.qlDayCounterYearFraction(DayCounter,R276,S276)</f>
        <v>9.166666666666666E-2</v>
      </c>
      <c r="Y276" s="29" t="e">
        <f>_xll.qlYieldTSDiscount(Currency&amp;"ON",R276)/(1+U276*X276)</f>
        <v>#NUM!</v>
      </c>
      <c r="Z276" s="30" t="e">
        <f>_xll.qlTenorBasisValue(TenorBasis6M,R276,InterestRatesTrigger)</f>
        <v>#VALUE!</v>
      </c>
      <c r="AA276" s="30" t="e">
        <f t="shared" si="21"/>
        <v>#NUM!</v>
      </c>
    </row>
    <row r="277" spans="15:27" x14ac:dyDescent="0.2">
      <c r="O277" s="33">
        <v>1</v>
      </c>
      <c r="P277" s="27" t="str">
        <f>_xll.qlPeriodEquivalent(P276&amp;"+"&amp;O277&amp;"M")</f>
        <v>22Y10M</v>
      </c>
      <c r="Q277" s="28">
        <f>_xll.qlCalendarAdvance(Calendar,SettlementDate,P277,"f",,Trigger)</f>
        <v>50503</v>
      </c>
      <c r="R277" s="28">
        <f>_xll.qlInterestRateIndexValueDate(Index,Q277,Trigger)</f>
        <v>50507</v>
      </c>
      <c r="S277" s="28">
        <f>_xll.qlInterestRateIndexMaturity(Index,R277,Trigger)</f>
        <v>50537</v>
      </c>
      <c r="T277" s="30">
        <f>_xll.qlIndexFixing($M$6,Q277,,InterestRatesTrigger)</f>
        <v>1.6047584507953516E-2</v>
      </c>
      <c r="U277" s="30" t="e">
        <f>_xll.qlIndexFixing(Index,Q277,,InterestRatesTrigger)</f>
        <v>#NUM!</v>
      </c>
      <c r="V277" s="30" t="e">
        <f t="shared" si="20"/>
        <v>#NUM!</v>
      </c>
      <c r="W277" s="29">
        <f>_xll.qlDayCounterYearFraction(DayCounter,SettlementDate,R277,,,Trigger)</f>
        <v>23.177777777777777</v>
      </c>
      <c r="X277" s="29">
        <f>_xll.qlDayCounterYearFraction(DayCounter,R277,S277)</f>
        <v>8.3333333333333329E-2</v>
      </c>
      <c r="Y277" s="29" t="e">
        <f>_xll.qlYieldTSDiscount(Currency&amp;"ON",R277)/(1+U277*X277)</f>
        <v>#NUM!</v>
      </c>
      <c r="Z277" s="30" t="e">
        <f>_xll.qlTenorBasisValue(TenorBasis6M,R277,InterestRatesTrigger)</f>
        <v>#VALUE!</v>
      </c>
      <c r="AA277" s="30" t="e">
        <f t="shared" si="21"/>
        <v>#NUM!</v>
      </c>
    </row>
    <row r="278" spans="15:27" x14ac:dyDescent="0.2">
      <c r="O278" s="33">
        <v>1</v>
      </c>
      <c r="P278" s="27" t="str">
        <f>_xll.qlPeriodEquivalent(P277&amp;"+"&amp;O278&amp;"M")</f>
        <v>22Y11M</v>
      </c>
      <c r="Q278" s="28">
        <f>_xll.qlCalendarAdvance(Calendar,SettlementDate,P278,"f",,Trigger)</f>
        <v>50535</v>
      </c>
      <c r="R278" s="28">
        <f>_xll.qlInterestRateIndexValueDate(Index,Q278,Trigger)</f>
        <v>50537</v>
      </c>
      <c r="S278" s="28">
        <f>_xll.qlInterestRateIndexMaturity(Index,R278,Trigger)</f>
        <v>50570</v>
      </c>
      <c r="T278" s="30">
        <f>_xll.qlIndexFixing($M$6,Q278,,InterestRatesTrigger)</f>
        <v>1.6028334778645265E-2</v>
      </c>
      <c r="U278" s="30" t="e">
        <f>_xll.qlIndexFixing(Index,Q278,,InterestRatesTrigger)</f>
        <v>#NUM!</v>
      </c>
      <c r="V278" s="30" t="e">
        <f t="shared" si="20"/>
        <v>#NUM!</v>
      </c>
      <c r="W278" s="29">
        <f>_xll.qlDayCounterYearFraction(DayCounter,SettlementDate,R278,,,Trigger)</f>
        <v>23.261111111111113</v>
      </c>
      <c r="X278" s="29">
        <f>_xll.qlDayCounterYearFraction(DayCounter,R278,S278)</f>
        <v>9.166666666666666E-2</v>
      </c>
      <c r="Y278" s="29" t="e">
        <f>_xll.qlYieldTSDiscount(Currency&amp;"ON",R278)/(1+U278*X278)</f>
        <v>#NUM!</v>
      </c>
      <c r="Z278" s="30" t="e">
        <f>_xll.qlTenorBasisValue(TenorBasis6M,R278,InterestRatesTrigger)</f>
        <v>#VALUE!</v>
      </c>
      <c r="AA278" s="30" t="e">
        <f t="shared" si="21"/>
        <v>#NUM!</v>
      </c>
    </row>
    <row r="279" spans="15:27" x14ac:dyDescent="0.2">
      <c r="O279" s="33">
        <v>1</v>
      </c>
      <c r="P279" s="27" t="str">
        <f>_xll.qlPeriodEquivalent(P278&amp;"+"&amp;O279&amp;"M")</f>
        <v>23Y</v>
      </c>
      <c r="Q279" s="28">
        <f>_xll.qlCalendarAdvance(Calendar,SettlementDate,P279,"f",,Trigger)</f>
        <v>50564</v>
      </c>
      <c r="R279" s="28">
        <f>_xll.qlInterestRateIndexValueDate(Index,Q279,Trigger)</f>
        <v>50566</v>
      </c>
      <c r="S279" s="28">
        <f>_xll.qlInterestRateIndexMaturity(Index,R279,Trigger)</f>
        <v>50598</v>
      </c>
      <c r="T279" s="30">
        <f>_xll.qlIndexFixing($M$6,Q279,,InterestRatesTrigger)</f>
        <v>1.6010398669395465E-2</v>
      </c>
      <c r="U279" s="30" t="e">
        <f>_xll.qlIndexFixing(Index,Q279,,InterestRatesTrigger)</f>
        <v>#NUM!</v>
      </c>
      <c r="V279" s="30" t="e">
        <f t="shared" si="20"/>
        <v>#NUM!</v>
      </c>
      <c r="W279" s="29">
        <f>_xll.qlDayCounterYearFraction(DayCounter,SettlementDate,R279,,,Trigger)</f>
        <v>23.341666666666665</v>
      </c>
      <c r="X279" s="29">
        <f>_xll.qlDayCounterYearFraction(DayCounter,R279,S279)</f>
        <v>8.8888888888888892E-2</v>
      </c>
      <c r="Y279" s="29" t="e">
        <f>_xll.qlYieldTSDiscount(Currency&amp;"ON",R279)/(1+U279*X279)</f>
        <v>#NUM!</v>
      </c>
      <c r="Z279" s="30" t="e">
        <f>_xll.qlTenorBasisValue(TenorBasis6M,R279,InterestRatesTrigger)</f>
        <v>#VALUE!</v>
      </c>
      <c r="AA279" s="30" t="e">
        <f t="shared" si="21"/>
        <v>#NUM!</v>
      </c>
    </row>
    <row r="280" spans="15:27" x14ac:dyDescent="0.2">
      <c r="O280" s="33">
        <v>1</v>
      </c>
      <c r="P280" s="27" t="str">
        <f>_xll.qlPeriodEquivalent(P279&amp;"+"&amp;O280&amp;"M")</f>
        <v>23Y1M</v>
      </c>
      <c r="Q280" s="28">
        <f>_xll.qlCalendarAdvance(Calendar,SettlementDate,P280,"f",,Trigger)</f>
        <v>50594</v>
      </c>
      <c r="R280" s="28">
        <f>_xll.qlInterestRateIndexValueDate(Index,Q280,Trigger)</f>
        <v>50598</v>
      </c>
      <c r="S280" s="28">
        <f>_xll.qlInterestRateIndexMaturity(Index,R280,Trigger)</f>
        <v>50629</v>
      </c>
      <c r="T280" s="30">
        <f>_xll.qlIndexFixing($M$6,Q280,,InterestRatesTrigger)</f>
        <v>1.5991515894271464E-2</v>
      </c>
      <c r="U280" s="30" t="e">
        <f>_xll.qlIndexFixing(Index,Q280,,InterestRatesTrigger)</f>
        <v>#NUM!</v>
      </c>
      <c r="V280" s="30" t="e">
        <f t="shared" si="20"/>
        <v>#NUM!</v>
      </c>
      <c r="W280" s="29">
        <f>_xll.qlDayCounterYearFraction(DayCounter,SettlementDate,R280,,,Trigger)</f>
        <v>23.430555555555557</v>
      </c>
      <c r="X280" s="29">
        <f>_xll.qlDayCounterYearFraction(DayCounter,R280,S280)</f>
        <v>8.611111111111111E-2</v>
      </c>
      <c r="Y280" s="29" t="e">
        <f>_xll.qlYieldTSDiscount(Currency&amp;"ON",R280)/(1+U280*X280)</f>
        <v>#NUM!</v>
      </c>
      <c r="Z280" s="30" t="e">
        <f>_xll.qlTenorBasisValue(TenorBasis6M,R280,InterestRatesTrigger)</f>
        <v>#VALUE!</v>
      </c>
      <c r="AA280" s="30" t="e">
        <f t="shared" si="21"/>
        <v>#NUM!</v>
      </c>
    </row>
    <row r="281" spans="15:27" x14ac:dyDescent="0.2">
      <c r="O281" s="33">
        <v>1</v>
      </c>
      <c r="P281" s="27" t="str">
        <f>_xll.qlPeriodEquivalent(P280&amp;"+"&amp;O281&amp;"M")</f>
        <v>23Y2M</v>
      </c>
      <c r="Q281" s="28">
        <f>_xll.qlCalendarAdvance(Calendar,SettlementDate,P281,"f",,Trigger)</f>
        <v>50626</v>
      </c>
      <c r="R281" s="28">
        <f>_xll.qlInterestRateIndexValueDate(Index,Q281,Trigger)</f>
        <v>50628</v>
      </c>
      <c r="S281" s="28">
        <f>_xll.qlInterestRateIndexMaturity(Index,R281,Trigger)</f>
        <v>50661</v>
      </c>
      <c r="T281" s="30">
        <f>_xll.qlIndexFixing($M$6,Q281,,InterestRatesTrigger)</f>
        <v>1.5974923570045103E-2</v>
      </c>
      <c r="U281" s="30" t="e">
        <f>_xll.qlIndexFixing(Index,Q281,,InterestRatesTrigger)</f>
        <v>#NUM!</v>
      </c>
      <c r="V281" s="30" t="e">
        <f t="shared" si="20"/>
        <v>#NUM!</v>
      </c>
      <c r="W281" s="29">
        <f>_xll.qlDayCounterYearFraction(DayCounter,SettlementDate,R281,,,Trigger)</f>
        <v>23.513888888888889</v>
      </c>
      <c r="X281" s="29">
        <f>_xll.qlDayCounterYearFraction(DayCounter,R281,S281)</f>
        <v>9.166666666666666E-2</v>
      </c>
      <c r="Y281" s="29" t="e">
        <f>_xll.qlYieldTSDiscount(Currency&amp;"ON",R281)/(1+U281*X281)</f>
        <v>#NUM!</v>
      </c>
      <c r="Z281" s="30" t="e">
        <f>_xll.qlTenorBasisValue(TenorBasis6M,R281,InterestRatesTrigger)</f>
        <v>#VALUE!</v>
      </c>
      <c r="AA281" s="30" t="e">
        <f t="shared" si="21"/>
        <v>#NUM!</v>
      </c>
    </row>
    <row r="282" spans="15:27" x14ac:dyDescent="0.2">
      <c r="O282" s="33">
        <v>1</v>
      </c>
      <c r="P282" s="27" t="str">
        <f>_xll.qlPeriodEquivalent(P281&amp;"+"&amp;O282&amp;"M")</f>
        <v>23Y3M</v>
      </c>
      <c r="Q282" s="28">
        <f>_xll.qlCalendarAdvance(Calendar,SettlementDate,P282,"f",,Trigger)</f>
        <v>50656</v>
      </c>
      <c r="R282" s="28">
        <f>_xll.qlInterestRateIndexValueDate(Index,Q282,Trigger)</f>
        <v>50658</v>
      </c>
      <c r="S282" s="28">
        <f>_xll.qlInterestRateIndexMaturity(Index,R282,Trigger)</f>
        <v>50689</v>
      </c>
      <c r="T282" s="30">
        <f>_xll.qlIndexFixing($M$6,Q282,,InterestRatesTrigger)</f>
        <v>1.5958850763106346E-2</v>
      </c>
      <c r="U282" s="30" t="e">
        <f>_xll.qlIndexFixing(Index,Q282,,InterestRatesTrigger)</f>
        <v>#NUM!</v>
      </c>
      <c r="V282" s="30" t="e">
        <f t="shared" si="20"/>
        <v>#NUM!</v>
      </c>
      <c r="W282" s="29">
        <f>_xll.qlDayCounterYearFraction(DayCounter,SettlementDate,R282,,,Trigger)</f>
        <v>23.597222222222221</v>
      </c>
      <c r="X282" s="29">
        <f>_xll.qlDayCounterYearFraction(DayCounter,R282,S282)</f>
        <v>8.611111111111111E-2</v>
      </c>
      <c r="Y282" s="29" t="e">
        <f>_xll.qlYieldTSDiscount(Currency&amp;"ON",R282)/(1+U282*X282)</f>
        <v>#NUM!</v>
      </c>
      <c r="Z282" s="30" t="e">
        <f>_xll.qlTenorBasisValue(TenorBasis6M,R282,InterestRatesTrigger)</f>
        <v>#VALUE!</v>
      </c>
      <c r="AA282" s="30" t="e">
        <f t="shared" si="21"/>
        <v>#NUM!</v>
      </c>
    </row>
    <row r="283" spans="15:27" x14ac:dyDescent="0.2">
      <c r="O283" s="33">
        <v>1</v>
      </c>
      <c r="P283" s="27" t="str">
        <f>_xll.qlPeriodEquivalent(P282&amp;"+"&amp;O283&amp;"M")</f>
        <v>23Y4M</v>
      </c>
      <c r="Q283" s="28">
        <f>_xll.qlCalendarAdvance(Calendar,SettlementDate,P283,"f",,Trigger)</f>
        <v>50686</v>
      </c>
      <c r="R283" s="28">
        <f>_xll.qlInterestRateIndexValueDate(Index,Q283,Trigger)</f>
        <v>50690</v>
      </c>
      <c r="S283" s="28">
        <f>_xll.qlInterestRateIndexMaturity(Index,R283,Trigger)</f>
        <v>50721</v>
      </c>
      <c r="T283" s="30">
        <f>_xll.qlIndexFixing($M$6,Q283,,InterestRatesTrigger)</f>
        <v>1.5942834047513822E-2</v>
      </c>
      <c r="U283" s="30" t="e">
        <f>_xll.qlIndexFixing(Index,Q283,,InterestRatesTrigger)</f>
        <v>#NUM!</v>
      </c>
      <c r="V283" s="30" t="e">
        <f t="shared" si="20"/>
        <v>#NUM!</v>
      </c>
      <c r="W283" s="29">
        <f>_xll.qlDayCounterYearFraction(DayCounter,SettlementDate,R283,,,Trigger)</f>
        <v>23.68611111111111</v>
      </c>
      <c r="X283" s="29">
        <f>_xll.qlDayCounterYearFraction(DayCounter,R283,S283)</f>
        <v>8.611111111111111E-2</v>
      </c>
      <c r="Y283" s="29" t="e">
        <f>_xll.qlYieldTSDiscount(Currency&amp;"ON",R283)/(1+U283*X283)</f>
        <v>#NUM!</v>
      </c>
      <c r="Z283" s="30" t="e">
        <f>_xll.qlTenorBasisValue(TenorBasis6M,R283,InterestRatesTrigger)</f>
        <v>#VALUE!</v>
      </c>
      <c r="AA283" s="30" t="e">
        <f t="shared" si="21"/>
        <v>#NUM!</v>
      </c>
    </row>
    <row r="284" spans="15:27" x14ac:dyDescent="0.2">
      <c r="O284" s="33">
        <v>1</v>
      </c>
      <c r="P284" s="27" t="str">
        <f>_xll.qlPeriodEquivalent(P283&amp;"+"&amp;O284&amp;"M")</f>
        <v>23Y5M</v>
      </c>
      <c r="Q284" s="28">
        <f>_xll.qlCalendarAdvance(Calendar,SettlementDate,P284,"f",,Trigger)</f>
        <v>50717</v>
      </c>
      <c r="R284" s="28">
        <f>_xll.qlInterestRateIndexValueDate(Index,Q284,Trigger)</f>
        <v>50719</v>
      </c>
      <c r="S284" s="28">
        <f>_xll.qlInterestRateIndexMaturity(Index,R284,Trigger)</f>
        <v>50749</v>
      </c>
      <c r="T284" s="30">
        <f>_xll.qlIndexFixing($M$6,Q284,,InterestRatesTrigger)</f>
        <v>1.5929037173822991E-2</v>
      </c>
      <c r="U284" s="30" t="e">
        <f>_xll.qlIndexFixing(Index,Q284,,InterestRatesTrigger)</f>
        <v>#NUM!</v>
      </c>
      <c r="V284" s="30" t="e">
        <f t="shared" si="20"/>
        <v>#NUM!</v>
      </c>
      <c r="W284" s="29">
        <f>_xll.qlDayCounterYearFraction(DayCounter,SettlementDate,R284,,,Trigger)</f>
        <v>23.766666666666666</v>
      </c>
      <c r="X284" s="29">
        <f>_xll.qlDayCounterYearFraction(DayCounter,R284,S284)</f>
        <v>8.3333333333333329E-2</v>
      </c>
      <c r="Y284" s="29" t="e">
        <f>_xll.qlYieldTSDiscount(Currency&amp;"ON",R284)/(1+U284*X284)</f>
        <v>#NUM!</v>
      </c>
      <c r="Z284" s="30" t="e">
        <f>_xll.qlTenorBasisValue(TenorBasis6M,R284,InterestRatesTrigger)</f>
        <v>#VALUE!</v>
      </c>
      <c r="AA284" s="30" t="e">
        <f t="shared" si="21"/>
        <v>#NUM!</v>
      </c>
    </row>
    <row r="285" spans="15:27" x14ac:dyDescent="0.2">
      <c r="O285" s="33">
        <v>1</v>
      </c>
      <c r="P285" s="27" t="str">
        <f>_xll.qlPeriodEquivalent(P284&amp;"+"&amp;O285&amp;"M")</f>
        <v>23Y6M</v>
      </c>
      <c r="Q285" s="28">
        <f>_xll.qlCalendarAdvance(Calendar,SettlementDate,P285,"f",,Trigger)</f>
        <v>50747</v>
      </c>
      <c r="R285" s="28">
        <f>_xll.qlInterestRateIndexValueDate(Index,Q285,Trigger)</f>
        <v>50749</v>
      </c>
      <c r="S285" s="28">
        <f>_xll.qlInterestRateIndexMaturity(Index,R285,Trigger)</f>
        <v>50780</v>
      </c>
      <c r="T285" s="30">
        <f>_xll.qlIndexFixing($M$6,Q285,,InterestRatesTrigger)</f>
        <v>1.5915864953420393E-2</v>
      </c>
      <c r="U285" s="30" t="e">
        <f>_xll.qlIndexFixing(Index,Q285,,InterestRatesTrigger)</f>
        <v>#NUM!</v>
      </c>
      <c r="V285" s="30" t="e">
        <f t="shared" si="20"/>
        <v>#NUM!</v>
      </c>
      <c r="W285" s="29">
        <f>_xll.qlDayCounterYearFraction(DayCounter,SettlementDate,R285,,,Trigger)</f>
        <v>23.85</v>
      </c>
      <c r="X285" s="29">
        <f>_xll.qlDayCounterYearFraction(DayCounter,R285,S285)</f>
        <v>8.611111111111111E-2</v>
      </c>
      <c r="Y285" s="29" t="e">
        <f>_xll.qlYieldTSDiscount(Currency&amp;"ON",R285)/(1+U285*X285)</f>
        <v>#NUM!</v>
      </c>
      <c r="Z285" s="30" t="e">
        <f>_xll.qlTenorBasisValue(TenorBasis6M,R285,InterestRatesTrigger)</f>
        <v>#VALUE!</v>
      </c>
      <c r="AA285" s="30" t="e">
        <f t="shared" si="21"/>
        <v>#NUM!</v>
      </c>
    </row>
    <row r="286" spans="15:27" x14ac:dyDescent="0.2">
      <c r="O286" s="33">
        <v>1</v>
      </c>
      <c r="P286" s="27" t="str">
        <f>_xll.qlPeriodEquivalent(P285&amp;"+"&amp;O286&amp;"M")</f>
        <v>23Y7M</v>
      </c>
      <c r="Q286" s="28">
        <f>_xll.qlCalendarAdvance(Calendar,SettlementDate,P286,"f",,Trigger)</f>
        <v>50780</v>
      </c>
      <c r="R286" s="28">
        <f>_xll.qlInterestRateIndexValueDate(Index,Q286,Trigger)</f>
        <v>50782</v>
      </c>
      <c r="S286" s="28">
        <f>_xll.qlInterestRateIndexMaturity(Index,R286,Trigger)</f>
        <v>50815</v>
      </c>
      <c r="T286" s="30">
        <f>_xll.qlIndexFixing($M$6,Q286,,InterestRatesTrigger)</f>
        <v>1.5902539329516362E-2</v>
      </c>
      <c r="U286" s="30" t="e">
        <f>_xll.qlIndexFixing(Index,Q286,,InterestRatesTrigger)</f>
        <v>#NUM!</v>
      </c>
      <c r="V286" s="30" t="e">
        <f t="shared" si="20"/>
        <v>#NUM!</v>
      </c>
      <c r="W286" s="29">
        <f>_xll.qlDayCounterYearFraction(DayCounter,SettlementDate,R286,,,Trigger)</f>
        <v>23.941666666666666</v>
      </c>
      <c r="X286" s="29">
        <f>_xll.qlDayCounterYearFraction(DayCounter,R286,S286)</f>
        <v>9.166666666666666E-2</v>
      </c>
      <c r="Y286" s="29" t="e">
        <f>_xll.qlYieldTSDiscount(Currency&amp;"ON",R286)/(1+U286*X286)</f>
        <v>#NUM!</v>
      </c>
      <c r="Z286" s="30" t="e">
        <f>_xll.qlTenorBasisValue(TenorBasis6M,R286,InterestRatesTrigger)</f>
        <v>#VALUE!</v>
      </c>
      <c r="AA286" s="30" t="e">
        <f t="shared" si="21"/>
        <v>#NUM!</v>
      </c>
    </row>
    <row r="287" spans="15:27" x14ac:dyDescent="0.2">
      <c r="O287" s="33">
        <v>1</v>
      </c>
      <c r="P287" s="27" t="str">
        <f>_xll.qlPeriodEquivalent(P286&amp;"+"&amp;O287&amp;"M")</f>
        <v>23Y8M</v>
      </c>
      <c r="Q287" s="28">
        <f>_xll.qlCalendarAdvance(Calendar,SettlementDate,P287,"f",,Trigger)</f>
        <v>50809</v>
      </c>
      <c r="R287" s="28">
        <f>_xll.qlInterestRateIndexValueDate(Index,Q287,Trigger)</f>
        <v>50811</v>
      </c>
      <c r="S287" s="28">
        <f>_xll.qlInterestRateIndexMaturity(Index,R287,Trigger)</f>
        <v>50839</v>
      </c>
      <c r="T287" s="30">
        <f>_xll.qlIndexFixing($M$6,Q287,,InterestRatesTrigger)</f>
        <v>1.5890600953300447E-2</v>
      </c>
      <c r="U287" s="30" t="e">
        <f>_xll.qlIndexFixing(Index,Q287,,InterestRatesTrigger)</f>
        <v>#NUM!</v>
      </c>
      <c r="V287" s="30" t="e">
        <f t="shared" si="20"/>
        <v>#NUM!</v>
      </c>
      <c r="W287" s="29">
        <f>_xll.qlDayCounterYearFraction(DayCounter,SettlementDate,R287,,,Trigger)</f>
        <v>24.022222222222222</v>
      </c>
      <c r="X287" s="29">
        <f>_xll.qlDayCounterYearFraction(DayCounter,R287,S287)</f>
        <v>7.7777777777777779E-2</v>
      </c>
      <c r="Y287" s="29" t="e">
        <f>_xll.qlYieldTSDiscount(Currency&amp;"ON",R287)/(1+U287*X287)</f>
        <v>#NUM!</v>
      </c>
      <c r="Z287" s="30" t="e">
        <f>_xll.qlTenorBasisValue(TenorBasis6M,R287,InterestRatesTrigger)</f>
        <v>#VALUE!</v>
      </c>
      <c r="AA287" s="30" t="e">
        <f t="shared" si="21"/>
        <v>#NUM!</v>
      </c>
    </row>
    <row r="288" spans="15:27" x14ac:dyDescent="0.2">
      <c r="O288" s="33">
        <v>1</v>
      </c>
      <c r="P288" s="27" t="str">
        <f>_xll.qlPeriodEquivalent(P287&amp;"+"&amp;O288&amp;"M")</f>
        <v>23Y9M</v>
      </c>
      <c r="Q288" s="28">
        <f>_xll.qlCalendarAdvance(Calendar,SettlementDate,P288,"f",,Trigger)</f>
        <v>50837</v>
      </c>
      <c r="R288" s="28">
        <f>_xll.qlInterestRateIndexValueDate(Index,Q288,Trigger)</f>
        <v>50839</v>
      </c>
      <c r="S288" s="28">
        <f>_xll.qlInterestRateIndexMaturity(Index,R288,Trigger)</f>
        <v>50872</v>
      </c>
      <c r="T288" s="30">
        <f>_xll.qlIndexFixing($M$6,Q288,,InterestRatesTrigger)</f>
        <v>1.5881486714352473E-2</v>
      </c>
      <c r="U288" s="30" t="e">
        <f>_xll.qlIndexFixing(Index,Q288,,InterestRatesTrigger)</f>
        <v>#NUM!</v>
      </c>
      <c r="V288" s="30" t="e">
        <f t="shared" si="20"/>
        <v>#NUM!</v>
      </c>
      <c r="W288" s="29">
        <f>_xll.qlDayCounterYearFraction(DayCounter,SettlementDate,R288,,,Trigger)</f>
        <v>24.1</v>
      </c>
      <c r="X288" s="29">
        <f>_xll.qlDayCounterYearFraction(DayCounter,R288,S288)</f>
        <v>9.166666666666666E-2</v>
      </c>
      <c r="Y288" s="29" t="e">
        <f>_xll.qlYieldTSDiscount(Currency&amp;"ON",R288)/(1+U288*X288)</f>
        <v>#NUM!</v>
      </c>
      <c r="Z288" s="30" t="e">
        <f>_xll.qlTenorBasisValue(TenorBasis6M,R288,InterestRatesTrigger)</f>
        <v>#VALUE!</v>
      </c>
      <c r="AA288" s="30" t="e">
        <f t="shared" si="21"/>
        <v>#NUM!</v>
      </c>
    </row>
    <row r="289" spans="15:27" x14ac:dyDescent="0.2">
      <c r="O289" s="33">
        <v>1</v>
      </c>
      <c r="P289" s="27" t="str">
        <f>_xll.qlPeriodEquivalent(P288&amp;"+"&amp;O289&amp;"M")</f>
        <v>23Y10M</v>
      </c>
      <c r="Q289" s="28">
        <f>_xll.qlCalendarAdvance(Calendar,SettlementDate,P289,"f",,Trigger)</f>
        <v>50872</v>
      </c>
      <c r="R289" s="28">
        <f>_xll.qlInterestRateIndexValueDate(Index,Q289,Trigger)</f>
        <v>50874</v>
      </c>
      <c r="S289" s="28">
        <f>_xll.qlInterestRateIndexMaturity(Index,R289,Trigger)</f>
        <v>50906</v>
      </c>
      <c r="T289" s="30">
        <f>_xll.qlIndexFixing($M$6,Q289,,InterestRatesTrigger)</f>
        <v>1.5869898420859951E-2</v>
      </c>
      <c r="U289" s="30" t="e">
        <f>_xll.qlIndexFixing(Index,Q289,,InterestRatesTrigger)</f>
        <v>#NUM!</v>
      </c>
      <c r="V289" s="30" t="e">
        <f t="shared" si="20"/>
        <v>#NUM!</v>
      </c>
      <c r="W289" s="29">
        <f>_xll.qlDayCounterYearFraction(DayCounter,SettlementDate,R289,,,Trigger)</f>
        <v>24.197222222222223</v>
      </c>
      <c r="X289" s="29">
        <f>_xll.qlDayCounterYearFraction(DayCounter,R289,S289)</f>
        <v>8.8888888888888892E-2</v>
      </c>
      <c r="Y289" s="29" t="e">
        <f>_xll.qlYieldTSDiscount(Currency&amp;"ON",R289)/(1+U289*X289)</f>
        <v>#NUM!</v>
      </c>
      <c r="Z289" s="30" t="e">
        <f>_xll.qlTenorBasisValue(TenorBasis6M,R289,InterestRatesTrigger)</f>
        <v>#VALUE!</v>
      </c>
      <c r="AA289" s="30" t="e">
        <f t="shared" si="21"/>
        <v>#NUM!</v>
      </c>
    </row>
    <row r="290" spans="15:27" x14ac:dyDescent="0.2">
      <c r="O290" s="33">
        <v>1</v>
      </c>
      <c r="P290" s="27" t="str">
        <f>_xll.qlPeriodEquivalent(P289&amp;"+"&amp;O290&amp;"M")</f>
        <v>23Y11M</v>
      </c>
      <c r="Q290" s="28">
        <f>_xll.qlCalendarAdvance(Calendar,SettlementDate,P290,"f",,Trigger)</f>
        <v>50899</v>
      </c>
      <c r="R290" s="28">
        <f>_xll.qlInterestRateIndexValueDate(Index,Q290,Trigger)</f>
        <v>50901</v>
      </c>
      <c r="S290" s="28">
        <f>_xll.qlInterestRateIndexMaturity(Index,R290,Trigger)</f>
        <v>50934</v>
      </c>
      <c r="T290" s="30">
        <f>_xll.qlIndexFixing($M$6,Q290,,InterestRatesTrigger)</f>
        <v>1.5862107923281243E-2</v>
      </c>
      <c r="U290" s="30" t="e">
        <f>_xll.qlIndexFixing(Index,Q290,,InterestRatesTrigger)</f>
        <v>#NUM!</v>
      </c>
      <c r="V290" s="30" t="e">
        <f t="shared" si="20"/>
        <v>#NUM!</v>
      </c>
      <c r="W290" s="29">
        <f>_xll.qlDayCounterYearFraction(DayCounter,SettlementDate,R290,,,Trigger)</f>
        <v>24.272222222222222</v>
      </c>
      <c r="X290" s="29">
        <f>_xll.qlDayCounterYearFraction(DayCounter,R290,S290)</f>
        <v>9.166666666666666E-2</v>
      </c>
      <c r="Y290" s="29" t="e">
        <f>_xll.qlYieldTSDiscount(Currency&amp;"ON",R290)/(1+U290*X290)</f>
        <v>#NUM!</v>
      </c>
      <c r="Z290" s="30" t="e">
        <f>_xll.qlTenorBasisValue(TenorBasis6M,R290,InterestRatesTrigger)</f>
        <v>#VALUE!</v>
      </c>
      <c r="AA290" s="30" t="e">
        <f t="shared" si="21"/>
        <v>#NUM!</v>
      </c>
    </row>
    <row r="291" spans="15:27" x14ac:dyDescent="0.2">
      <c r="O291" s="33">
        <v>1</v>
      </c>
      <c r="P291" s="27" t="str">
        <f>_xll.qlPeriodEquivalent(P290&amp;"+"&amp;O291&amp;"M")</f>
        <v>24Y</v>
      </c>
      <c r="Q291" s="28">
        <f>_xll.qlCalendarAdvance(Calendar,SettlementDate,P291,"f",,Trigger)</f>
        <v>50929</v>
      </c>
      <c r="R291" s="28">
        <f>_xll.qlInterestRateIndexValueDate(Index,Q291,Trigger)</f>
        <v>50931</v>
      </c>
      <c r="S291" s="28">
        <f>_xll.qlInterestRateIndexMaturity(Index,R291,Trigger)</f>
        <v>50962</v>
      </c>
      <c r="T291" s="30">
        <f>_xll.qlIndexFixing($M$6,Q291,,InterestRatesTrigger)</f>
        <v>1.5853599940646276E-2</v>
      </c>
      <c r="U291" s="30" t="e">
        <f>_xll.qlIndexFixing(Index,Q291,,InterestRatesTrigger)</f>
        <v>#NUM!</v>
      </c>
      <c r="V291" s="30" t="e">
        <f t="shared" si="20"/>
        <v>#NUM!</v>
      </c>
      <c r="W291" s="29">
        <f>_xll.qlDayCounterYearFraction(DayCounter,SettlementDate,R291,,,Trigger)</f>
        <v>24.355555555555554</v>
      </c>
      <c r="X291" s="29">
        <f>_xll.qlDayCounterYearFraction(DayCounter,R291,S291)</f>
        <v>8.611111111111111E-2</v>
      </c>
      <c r="Y291" s="29" t="e">
        <f>_xll.qlYieldTSDiscount(Currency&amp;"ON",R291)/(1+U291*X291)</f>
        <v>#NUM!</v>
      </c>
      <c r="Z291" s="30" t="e">
        <f>_xll.qlTenorBasisValue(TenorBasis6M,R291,InterestRatesTrigger)</f>
        <v>#VALUE!</v>
      </c>
      <c r="AA291" s="30" t="e">
        <f t="shared" si="21"/>
        <v>#NUM!</v>
      </c>
    </row>
    <row r="292" spans="15:27" x14ac:dyDescent="0.2">
      <c r="O292" s="33">
        <v>1</v>
      </c>
      <c r="P292" s="27" t="str">
        <f>_xll.qlPeriodEquivalent(P291&amp;"+"&amp;O292&amp;"M")</f>
        <v>24Y1M</v>
      </c>
      <c r="Q292" s="28">
        <f>_xll.qlCalendarAdvance(Calendar,SettlementDate,P292,"f",,Trigger)</f>
        <v>50959</v>
      </c>
      <c r="R292" s="28">
        <f>_xll.qlInterestRateIndexValueDate(Index,Q292,Trigger)</f>
        <v>50963</v>
      </c>
      <c r="S292" s="28">
        <f>_xll.qlInterestRateIndexMaturity(Index,R292,Trigger)</f>
        <v>50994</v>
      </c>
      <c r="T292" s="30">
        <f>_xll.qlIndexFixing($M$6,Q292,,InterestRatesTrigger)</f>
        <v>1.5845919591525717E-2</v>
      </c>
      <c r="U292" s="30" t="e">
        <f>_xll.qlIndexFixing(Index,Q292,,InterestRatesTrigger)</f>
        <v>#NUM!</v>
      </c>
      <c r="V292" s="30" t="e">
        <f t="shared" ref="V292:V355" si="22">U292-T292</f>
        <v>#NUM!</v>
      </c>
      <c r="W292" s="29">
        <f>_xll.qlDayCounterYearFraction(DayCounter,SettlementDate,R292,,,Trigger)</f>
        <v>24.444444444444443</v>
      </c>
      <c r="X292" s="29">
        <f>_xll.qlDayCounterYearFraction(DayCounter,R292,S292)</f>
        <v>8.611111111111111E-2</v>
      </c>
      <c r="Y292" s="29" t="e">
        <f>_xll.qlYieldTSDiscount(Currency&amp;"ON",R292)/(1+U292*X292)</f>
        <v>#NUM!</v>
      </c>
      <c r="Z292" s="30" t="e">
        <f>_xll.qlTenorBasisValue(TenorBasis6M,R292,InterestRatesTrigger)</f>
        <v>#VALUE!</v>
      </c>
      <c r="AA292" s="30" t="e">
        <f t="shared" ref="AA292:AA355" si="23">V292-Z292</f>
        <v>#NUM!</v>
      </c>
    </row>
    <row r="293" spans="15:27" x14ac:dyDescent="0.2">
      <c r="O293" s="33">
        <v>1</v>
      </c>
      <c r="P293" s="27" t="str">
        <f>_xll.qlPeriodEquivalent(P292&amp;"+"&amp;O293&amp;"M")</f>
        <v>24Y2M</v>
      </c>
      <c r="Q293" s="28">
        <f>_xll.qlCalendarAdvance(Calendar,SettlementDate,P293,"f",,Trigger)</f>
        <v>50990</v>
      </c>
      <c r="R293" s="28">
        <f>_xll.qlInterestRateIndexValueDate(Index,Q293,Trigger)</f>
        <v>50992</v>
      </c>
      <c r="S293" s="28">
        <f>_xll.qlInterestRateIndexMaturity(Index,R293,Trigger)</f>
        <v>51025</v>
      </c>
      <c r="T293" s="30">
        <f>_xll.qlIndexFixing($M$6,Q293,,InterestRatesTrigger)</f>
        <v>1.5840308428686323E-2</v>
      </c>
      <c r="U293" s="30" t="e">
        <f>_xll.qlIndexFixing(Index,Q293,,InterestRatesTrigger)</f>
        <v>#NUM!</v>
      </c>
      <c r="V293" s="30" t="e">
        <f t="shared" si="22"/>
        <v>#NUM!</v>
      </c>
      <c r="W293" s="29">
        <f>_xll.qlDayCounterYearFraction(DayCounter,SettlementDate,R293,,,Trigger)</f>
        <v>24.524999999999999</v>
      </c>
      <c r="X293" s="29">
        <f>_xll.qlDayCounterYearFraction(DayCounter,R293,S293)</f>
        <v>9.166666666666666E-2</v>
      </c>
      <c r="Y293" s="29" t="e">
        <f>_xll.qlYieldTSDiscount(Currency&amp;"ON",R293)/(1+U293*X293)</f>
        <v>#NUM!</v>
      </c>
      <c r="Z293" s="30" t="e">
        <f>_xll.qlTenorBasisValue(TenorBasis6M,R293,InterestRatesTrigger)</f>
        <v>#VALUE!</v>
      </c>
      <c r="AA293" s="30" t="e">
        <f t="shared" si="23"/>
        <v>#NUM!</v>
      </c>
    </row>
    <row r="294" spans="15:27" x14ac:dyDescent="0.2">
      <c r="O294" s="33">
        <v>1</v>
      </c>
      <c r="P294" s="27" t="str">
        <f>_xll.qlPeriodEquivalent(P293&amp;"+"&amp;O294&amp;"M")</f>
        <v>24Y3M</v>
      </c>
      <c r="Q294" s="28">
        <f>_xll.qlCalendarAdvance(Calendar,SettlementDate,P294,"f",,Trigger)</f>
        <v>51021</v>
      </c>
      <c r="R294" s="28">
        <f>_xll.qlInterestRateIndexValueDate(Index,Q294,Trigger)</f>
        <v>51025</v>
      </c>
      <c r="S294" s="28">
        <f>_xll.qlInterestRateIndexMaturity(Index,R294,Trigger)</f>
        <v>51055</v>
      </c>
      <c r="T294" s="30">
        <f>_xll.qlIndexFixing($M$6,Q294,,InterestRatesTrigger)</f>
        <v>1.5833552011864427E-2</v>
      </c>
      <c r="U294" s="30" t="e">
        <f>_xll.qlIndexFixing(Index,Q294,,InterestRatesTrigger)</f>
        <v>#NUM!</v>
      </c>
      <c r="V294" s="30" t="e">
        <f t="shared" si="22"/>
        <v>#NUM!</v>
      </c>
      <c r="W294" s="29">
        <f>_xll.qlDayCounterYearFraction(DayCounter,SettlementDate,R294,,,Trigger)</f>
        <v>24.616666666666667</v>
      </c>
      <c r="X294" s="29">
        <f>_xll.qlDayCounterYearFraction(DayCounter,R294,S294)</f>
        <v>8.3333333333333329E-2</v>
      </c>
      <c r="Y294" s="29" t="e">
        <f>_xll.qlYieldTSDiscount(Currency&amp;"ON",R294)/(1+U294*X294)</f>
        <v>#NUM!</v>
      </c>
      <c r="Z294" s="30" t="e">
        <f>_xll.qlTenorBasisValue(TenorBasis6M,R294,InterestRatesTrigger)</f>
        <v>#VALUE!</v>
      </c>
      <c r="AA294" s="30" t="e">
        <f t="shared" si="23"/>
        <v>#NUM!</v>
      </c>
    </row>
    <row r="295" spans="15:27" x14ac:dyDescent="0.2">
      <c r="O295" s="33">
        <v>1</v>
      </c>
      <c r="P295" s="27" t="str">
        <f>_xll.qlPeriodEquivalent(P294&amp;"+"&amp;O295&amp;"M")</f>
        <v>24Y4M</v>
      </c>
      <c r="Q295" s="28">
        <f>_xll.qlCalendarAdvance(Calendar,SettlementDate,P295,"f",,Trigger)</f>
        <v>51053</v>
      </c>
      <c r="R295" s="28">
        <f>_xll.qlInterestRateIndexValueDate(Index,Q295,Trigger)</f>
        <v>51055</v>
      </c>
      <c r="S295" s="28">
        <f>_xll.qlInterestRateIndexMaturity(Index,R295,Trigger)</f>
        <v>51088</v>
      </c>
      <c r="T295" s="30">
        <f>_xll.qlIndexFixing($M$6,Q295,,InterestRatesTrigger)</f>
        <v>1.5829845904801493E-2</v>
      </c>
      <c r="U295" s="30" t="e">
        <f>_xll.qlIndexFixing(Index,Q295,,InterestRatesTrigger)</f>
        <v>#NUM!</v>
      </c>
      <c r="V295" s="30" t="e">
        <f t="shared" si="22"/>
        <v>#NUM!</v>
      </c>
      <c r="W295" s="29">
        <f>_xll.qlDayCounterYearFraction(DayCounter,SettlementDate,R295,,,Trigger)</f>
        <v>24.7</v>
      </c>
      <c r="X295" s="29">
        <f>_xll.qlDayCounterYearFraction(DayCounter,R295,S295)</f>
        <v>9.166666666666666E-2</v>
      </c>
      <c r="Y295" s="29" t="e">
        <f>_xll.qlYieldTSDiscount(Currency&amp;"ON",R295)/(1+U295*X295)</f>
        <v>#NUM!</v>
      </c>
      <c r="Z295" s="30" t="e">
        <f>_xll.qlTenorBasisValue(TenorBasis6M,R295,InterestRatesTrigger)</f>
        <v>#VALUE!</v>
      </c>
      <c r="AA295" s="30" t="e">
        <f t="shared" si="23"/>
        <v>#NUM!</v>
      </c>
    </row>
    <row r="296" spans="15:27" x14ac:dyDescent="0.2">
      <c r="O296" s="33">
        <v>1</v>
      </c>
      <c r="P296" s="27" t="str">
        <f>_xll.qlPeriodEquivalent(P295&amp;"+"&amp;O296&amp;"M")</f>
        <v>24Y5M</v>
      </c>
      <c r="Q296" s="28">
        <f>_xll.qlCalendarAdvance(Calendar,SettlementDate,P296,"f",,Trigger)</f>
        <v>51082</v>
      </c>
      <c r="R296" s="28">
        <f>_xll.qlInterestRateIndexValueDate(Index,Q296,Trigger)</f>
        <v>51084</v>
      </c>
      <c r="S296" s="28">
        <f>_xll.qlInterestRateIndexMaturity(Index,R296,Trigger)</f>
        <v>51116</v>
      </c>
      <c r="T296" s="30">
        <f>_xll.qlIndexFixing($M$6,Q296,,InterestRatesTrigger)</f>
        <v>1.5826006884646915E-2</v>
      </c>
      <c r="U296" s="30" t="e">
        <f>_xll.qlIndexFixing(Index,Q296,,InterestRatesTrigger)</f>
        <v>#NUM!</v>
      </c>
      <c r="V296" s="30" t="e">
        <f t="shared" si="22"/>
        <v>#NUM!</v>
      </c>
      <c r="W296" s="29">
        <f>_xll.qlDayCounterYearFraction(DayCounter,SettlementDate,R296,,,Trigger)</f>
        <v>24.780555555555555</v>
      </c>
      <c r="X296" s="29">
        <f>_xll.qlDayCounterYearFraction(DayCounter,R296,S296)</f>
        <v>8.8888888888888892E-2</v>
      </c>
      <c r="Y296" s="29" t="e">
        <f>_xll.qlYieldTSDiscount(Currency&amp;"ON",R296)/(1+U296*X296)</f>
        <v>#NUM!</v>
      </c>
      <c r="Z296" s="30" t="e">
        <f>_xll.qlTenorBasisValue(TenorBasis6M,R296,InterestRatesTrigger)</f>
        <v>#VALUE!</v>
      </c>
      <c r="AA296" s="30" t="e">
        <f t="shared" si="23"/>
        <v>#NUM!</v>
      </c>
    </row>
    <row r="297" spans="15:27" x14ac:dyDescent="0.2">
      <c r="O297" s="33">
        <v>1</v>
      </c>
      <c r="P297" s="27" t="str">
        <f>_xll.qlPeriodEquivalent(P296&amp;"+"&amp;O297&amp;"M")</f>
        <v>24Y6M</v>
      </c>
      <c r="Q297" s="28">
        <f>_xll.qlCalendarAdvance(Calendar,SettlementDate,P297,"f",,Trigger)</f>
        <v>51112</v>
      </c>
      <c r="R297" s="28">
        <f>_xll.qlInterestRateIndexValueDate(Index,Q297,Trigger)</f>
        <v>51116</v>
      </c>
      <c r="S297" s="28">
        <f>_xll.qlInterestRateIndexMaturity(Index,R297,Trigger)</f>
        <v>51147</v>
      </c>
      <c r="T297" s="30">
        <f>_xll.qlIndexFixing($M$6,Q297,,InterestRatesTrigger)</f>
        <v>1.5822702813059537E-2</v>
      </c>
      <c r="U297" s="30" t="e">
        <f>_xll.qlIndexFixing(Index,Q297,,InterestRatesTrigger)</f>
        <v>#NUM!</v>
      </c>
      <c r="V297" s="30" t="e">
        <f t="shared" si="22"/>
        <v>#NUM!</v>
      </c>
      <c r="W297" s="29">
        <f>_xll.qlDayCounterYearFraction(DayCounter,SettlementDate,R297,,,Trigger)</f>
        <v>24.869444444444444</v>
      </c>
      <c r="X297" s="29">
        <f>_xll.qlDayCounterYearFraction(DayCounter,R297,S297)</f>
        <v>8.611111111111111E-2</v>
      </c>
      <c r="Y297" s="29" t="e">
        <f>_xll.qlYieldTSDiscount(Currency&amp;"ON",R297)/(1+U297*X297)</f>
        <v>#NUM!</v>
      </c>
      <c r="Z297" s="30" t="e">
        <f>_xll.qlTenorBasisValue(TenorBasis6M,R297,InterestRatesTrigger)</f>
        <v>#VALUE!</v>
      </c>
      <c r="AA297" s="30" t="e">
        <f t="shared" si="23"/>
        <v>#NUM!</v>
      </c>
    </row>
    <row r="298" spans="15:27" x14ac:dyDescent="0.2">
      <c r="O298" s="33">
        <v>1</v>
      </c>
      <c r="P298" s="27" t="str">
        <f>_xll.qlPeriodEquivalent(P297&amp;"+"&amp;O298&amp;"M")</f>
        <v>24Y7M</v>
      </c>
      <c r="Q298" s="28">
        <f>_xll.qlCalendarAdvance(Calendar,SettlementDate,P298,"f",,Trigger)</f>
        <v>51144</v>
      </c>
      <c r="R298" s="28">
        <f>_xll.qlInterestRateIndexValueDate(Index,Q298,Trigger)</f>
        <v>51146</v>
      </c>
      <c r="S298" s="28">
        <f>_xll.qlInterestRateIndexMaturity(Index,R298,Trigger)</f>
        <v>51179</v>
      </c>
      <c r="T298" s="30">
        <f>_xll.qlIndexFixing($M$6,Q298,,InterestRatesTrigger)</f>
        <v>1.5821420305502026E-2</v>
      </c>
      <c r="U298" s="30" t="e">
        <f>_xll.qlIndexFixing(Index,Q298,,InterestRatesTrigger)</f>
        <v>#NUM!</v>
      </c>
      <c r="V298" s="30" t="e">
        <f t="shared" si="22"/>
        <v>#NUM!</v>
      </c>
      <c r="W298" s="29">
        <f>_xll.qlDayCounterYearFraction(DayCounter,SettlementDate,R298,,,Trigger)</f>
        <v>24.952777777777779</v>
      </c>
      <c r="X298" s="29">
        <f>_xll.qlDayCounterYearFraction(DayCounter,R298,S298)</f>
        <v>9.166666666666666E-2</v>
      </c>
      <c r="Y298" s="29" t="e">
        <f>_xll.qlYieldTSDiscount(Currency&amp;"ON",R298)/(1+U298*X298)</f>
        <v>#NUM!</v>
      </c>
      <c r="Z298" s="30" t="e">
        <f>_xll.qlTenorBasisValue(TenorBasis6M,R298,InterestRatesTrigger)</f>
        <v>#VALUE!</v>
      </c>
      <c r="AA298" s="30" t="e">
        <f t="shared" si="23"/>
        <v>#NUM!</v>
      </c>
    </row>
    <row r="299" spans="15:27" x14ac:dyDescent="0.2">
      <c r="O299" s="33">
        <v>1</v>
      </c>
      <c r="P299" s="27" t="str">
        <f>_xll.qlPeriodEquivalent(P298&amp;"+"&amp;O299&amp;"M")</f>
        <v>24Y8M</v>
      </c>
      <c r="Q299" s="28">
        <f>_xll.qlCalendarAdvance(Calendar,SettlementDate,P299,"f",,Trigger)</f>
        <v>51174</v>
      </c>
      <c r="R299" s="28">
        <f>_xll.qlInterestRateIndexValueDate(Index,Q299,Trigger)</f>
        <v>51176</v>
      </c>
      <c r="S299" s="28">
        <f>_xll.qlInterestRateIndexMaturity(Index,R299,Trigger)</f>
        <v>51207</v>
      </c>
      <c r="T299" s="30">
        <f>_xll.qlIndexFixing($M$6,Q299,,InterestRatesTrigger)</f>
        <v>1.5819695773141823E-2</v>
      </c>
      <c r="U299" s="30" t="e">
        <f>_xll.qlIndexFixing(Index,Q299,,InterestRatesTrigger)</f>
        <v>#NUM!</v>
      </c>
      <c r="V299" s="30" t="e">
        <f t="shared" si="22"/>
        <v>#NUM!</v>
      </c>
      <c r="W299" s="29">
        <f>_xll.qlDayCounterYearFraction(DayCounter,SettlementDate,R299,,,Trigger)</f>
        <v>25.036111111111111</v>
      </c>
      <c r="X299" s="29">
        <f>_xll.qlDayCounterYearFraction(DayCounter,R299,S299)</f>
        <v>8.611111111111111E-2</v>
      </c>
      <c r="Y299" s="29" t="e">
        <f>_xll.qlYieldTSDiscount(Currency&amp;"ON",R299)/(1+U299*X299)</f>
        <v>#NUM!</v>
      </c>
      <c r="Z299" s="30" t="e">
        <f>_xll.qlTenorBasisValue(TenorBasis6M,R299,InterestRatesTrigger)</f>
        <v>#VALUE!</v>
      </c>
      <c r="AA299" s="30" t="e">
        <f t="shared" si="23"/>
        <v>#NUM!</v>
      </c>
    </row>
    <row r="300" spans="15:27" x14ac:dyDescent="0.2">
      <c r="O300" s="33">
        <v>1</v>
      </c>
      <c r="P300" s="27" t="str">
        <f>_xll.qlPeriodEquivalent(P299&amp;"+"&amp;O300&amp;"M")</f>
        <v>24Y9M</v>
      </c>
      <c r="Q300" s="28">
        <f>_xll.qlCalendarAdvance(Calendar,SettlementDate,P300,"f",,Trigger)</f>
        <v>51203</v>
      </c>
      <c r="R300" s="28">
        <f>_xll.qlInterestRateIndexValueDate(Index,Q300,Trigger)</f>
        <v>51207</v>
      </c>
      <c r="S300" s="28">
        <f>_xll.qlInterestRateIndexMaturity(Index,R300,Trigger)</f>
        <v>51238</v>
      </c>
      <c r="T300" s="30">
        <f>_xll.qlIndexFixing($M$6,Q300,,InterestRatesTrigger)</f>
        <v>1.5819488085937614E-2</v>
      </c>
      <c r="U300" s="30" t="e">
        <f>_xll.qlIndexFixing(Index,Q300,,InterestRatesTrigger)</f>
        <v>#NUM!</v>
      </c>
      <c r="V300" s="30" t="e">
        <f t="shared" si="22"/>
        <v>#NUM!</v>
      </c>
      <c r="W300" s="29">
        <f>_xll.qlDayCounterYearFraction(DayCounter,SettlementDate,R300,,,Trigger)</f>
        <v>25.122222222222224</v>
      </c>
      <c r="X300" s="29">
        <f>_xll.qlDayCounterYearFraction(DayCounter,R300,S300)</f>
        <v>8.611111111111111E-2</v>
      </c>
      <c r="Y300" s="29" t="e">
        <f>_xll.qlYieldTSDiscount(Currency&amp;"ON",R300)/(1+U300*X300)</f>
        <v>#NUM!</v>
      </c>
      <c r="Z300" s="30" t="e">
        <f>_xll.qlTenorBasisValue(TenorBasis6M,R300,InterestRatesTrigger)</f>
        <v>#VALUE!</v>
      </c>
      <c r="AA300" s="30" t="e">
        <f t="shared" si="23"/>
        <v>#NUM!</v>
      </c>
    </row>
    <row r="301" spans="15:27" x14ac:dyDescent="0.2">
      <c r="O301" s="33">
        <v>1</v>
      </c>
      <c r="P301" s="27" t="str">
        <f>_xll.qlPeriodEquivalent(P300&amp;"+"&amp;O301&amp;"M")</f>
        <v>24Y10M</v>
      </c>
      <c r="Q301" s="28">
        <f>_xll.qlCalendarAdvance(Calendar,SettlementDate,P301,"f",,Trigger)</f>
        <v>51235</v>
      </c>
      <c r="R301" s="28">
        <f>_xll.qlInterestRateIndexValueDate(Index,Q301,Trigger)</f>
        <v>51237</v>
      </c>
      <c r="S301" s="28">
        <f>_xll.qlInterestRateIndexMaturity(Index,R301,Trigger)</f>
        <v>51267</v>
      </c>
      <c r="T301" s="30">
        <f>_xll.qlIndexFixing($M$6,Q301,,InterestRatesTrigger)</f>
        <v>1.5819792115252973E-2</v>
      </c>
      <c r="U301" s="30" t="e">
        <f>_xll.qlIndexFixing(Index,Q301,,InterestRatesTrigger)</f>
        <v>#NUM!</v>
      </c>
      <c r="V301" s="30" t="e">
        <f t="shared" si="22"/>
        <v>#NUM!</v>
      </c>
      <c r="W301" s="29">
        <f>_xll.qlDayCounterYearFraction(DayCounter,SettlementDate,R301,,,Trigger)</f>
        <v>25.205555555555556</v>
      </c>
      <c r="X301" s="29">
        <f>_xll.qlDayCounterYearFraction(DayCounter,R301,S301)</f>
        <v>8.3333333333333329E-2</v>
      </c>
      <c r="Y301" s="29" t="e">
        <f>_xll.qlYieldTSDiscount(Currency&amp;"ON",R301)/(1+U301*X301)</f>
        <v>#NUM!</v>
      </c>
      <c r="Z301" s="30" t="e">
        <f>_xll.qlTenorBasisValue(TenorBasis6M,R301,InterestRatesTrigger)</f>
        <v>#VALUE!</v>
      </c>
      <c r="AA301" s="30" t="e">
        <f t="shared" si="23"/>
        <v>#NUM!</v>
      </c>
    </row>
    <row r="302" spans="15:27" x14ac:dyDescent="0.2">
      <c r="O302" s="33">
        <v>1</v>
      </c>
      <c r="P302" s="27" t="str">
        <f>_xll.qlPeriodEquivalent(P301&amp;"+"&amp;O302&amp;"M")</f>
        <v>24Y11M</v>
      </c>
      <c r="Q302" s="28">
        <f>_xll.qlCalendarAdvance(Calendar,SettlementDate,P302,"f",,Trigger)</f>
        <v>51264</v>
      </c>
      <c r="R302" s="28">
        <f>_xll.qlInterestRateIndexValueDate(Index,Q302,Trigger)</f>
        <v>51266</v>
      </c>
      <c r="S302" s="28">
        <f>_xll.qlInterestRateIndexMaturity(Index,R302,Trigger)</f>
        <v>51298</v>
      </c>
      <c r="T302" s="30">
        <f>_xll.qlIndexFixing($M$6,Q302,,InterestRatesTrigger)</f>
        <v>1.582200855953092E-2</v>
      </c>
      <c r="U302" s="30" t="e">
        <f>_xll.qlIndexFixing(Index,Q302,,InterestRatesTrigger)</f>
        <v>#NUM!</v>
      </c>
      <c r="V302" s="30" t="e">
        <f t="shared" si="22"/>
        <v>#NUM!</v>
      </c>
      <c r="W302" s="29">
        <f>_xll.qlDayCounterYearFraction(DayCounter,SettlementDate,R302,,,Trigger)</f>
        <v>25.286111111111111</v>
      </c>
      <c r="X302" s="29">
        <f>_xll.qlDayCounterYearFraction(DayCounter,R302,S302)</f>
        <v>8.8888888888888892E-2</v>
      </c>
      <c r="Y302" s="29" t="e">
        <f>_xll.qlYieldTSDiscount(Currency&amp;"ON",R302)/(1+U302*X302)</f>
        <v>#NUM!</v>
      </c>
      <c r="Z302" s="30" t="e">
        <f>_xll.qlTenorBasisValue(TenorBasis6M,R302,InterestRatesTrigger)</f>
        <v>#VALUE!</v>
      </c>
      <c r="AA302" s="30" t="e">
        <f t="shared" si="23"/>
        <v>#NUM!</v>
      </c>
    </row>
    <row r="303" spans="15:27" x14ac:dyDescent="0.2">
      <c r="O303" s="33">
        <v>1</v>
      </c>
      <c r="P303" s="27" t="str">
        <f>_xll.qlPeriodEquivalent(P302&amp;"+"&amp;O303&amp;"M")</f>
        <v>25Y</v>
      </c>
      <c r="Q303" s="28">
        <f>_xll.qlCalendarAdvance(Calendar,SettlementDate,P303,"f",,Trigger)</f>
        <v>51295</v>
      </c>
      <c r="R303" s="28">
        <f>_xll.qlInterestRateIndexValueDate(Index,Q303,Trigger)</f>
        <v>51299</v>
      </c>
      <c r="S303" s="28">
        <f>_xll.qlInterestRateIndexMaturity(Index,R303,Trigger)</f>
        <v>51329</v>
      </c>
      <c r="T303" s="30">
        <f>_xll.qlIndexFixing($M$6,Q303,,InterestRatesTrigger)</f>
        <v>1.5823736517268649E-2</v>
      </c>
      <c r="U303" s="30" t="e">
        <f>_xll.qlIndexFixing(Index,Q303,,InterestRatesTrigger)</f>
        <v>#NUM!</v>
      </c>
      <c r="V303" s="30" t="e">
        <f t="shared" si="22"/>
        <v>#NUM!</v>
      </c>
      <c r="W303" s="29">
        <f>_xll.qlDayCounterYearFraction(DayCounter,SettlementDate,R303,,,Trigger)</f>
        <v>25.377777777777776</v>
      </c>
      <c r="X303" s="29">
        <f>_xll.qlDayCounterYearFraction(DayCounter,R303,S303)</f>
        <v>8.3333333333333329E-2</v>
      </c>
      <c r="Y303" s="29" t="e">
        <f>_xll.qlYieldTSDiscount(Currency&amp;"ON",R303)/(1+U303*X303)</f>
        <v>#NUM!</v>
      </c>
      <c r="Z303" s="30" t="e">
        <f>_xll.qlTenorBasisValue(TenorBasis6M,R303,InterestRatesTrigger)</f>
        <v>#VALUE!</v>
      </c>
      <c r="AA303" s="30" t="e">
        <f t="shared" si="23"/>
        <v>#NUM!</v>
      </c>
    </row>
    <row r="304" spans="15:27" x14ac:dyDescent="0.2">
      <c r="O304" s="33">
        <v>1</v>
      </c>
      <c r="P304" s="27" t="str">
        <f>_xll.qlPeriodEquivalent(P303&amp;"+"&amp;O304&amp;"M")</f>
        <v>25Y1M</v>
      </c>
      <c r="Q304" s="28">
        <f>_xll.qlCalendarAdvance(Calendar,SettlementDate,P304,"f",,Trigger)</f>
        <v>51326</v>
      </c>
      <c r="R304" s="28">
        <f>_xll.qlInterestRateIndexValueDate(Index,Q304,Trigger)</f>
        <v>51328</v>
      </c>
      <c r="S304" s="28">
        <f>_xll.qlInterestRateIndexMaturity(Index,R304,Trigger)</f>
        <v>51361</v>
      </c>
      <c r="T304" s="30">
        <f>_xll.qlIndexFixing($M$6,Q304,,InterestRatesTrigger)</f>
        <v>1.5827482212652816E-2</v>
      </c>
      <c r="U304" s="30" t="e">
        <f>_xll.qlIndexFixing(Index,Q304,,InterestRatesTrigger)</f>
        <v>#NUM!</v>
      </c>
      <c r="V304" s="30" t="e">
        <f t="shared" si="22"/>
        <v>#NUM!</v>
      </c>
      <c r="W304" s="29">
        <f>_xll.qlDayCounterYearFraction(DayCounter,SettlementDate,R304,,,Trigger)</f>
        <v>25.458333333333332</v>
      </c>
      <c r="X304" s="29">
        <f>_xll.qlDayCounterYearFraction(DayCounter,R304,S304)</f>
        <v>9.166666666666666E-2</v>
      </c>
      <c r="Y304" s="29" t="e">
        <f>_xll.qlYieldTSDiscount(Currency&amp;"ON",R304)/(1+U304*X304)</f>
        <v>#NUM!</v>
      </c>
      <c r="Z304" s="30" t="e">
        <f>_xll.qlTenorBasisValue(TenorBasis6M,R304,InterestRatesTrigger)</f>
        <v>#VALUE!</v>
      </c>
      <c r="AA304" s="30" t="e">
        <f t="shared" si="23"/>
        <v>#NUM!</v>
      </c>
    </row>
    <row r="305" spans="15:27" x14ac:dyDescent="0.2">
      <c r="O305" s="33">
        <v>1</v>
      </c>
      <c r="P305" s="27" t="str">
        <f>_xll.qlPeriodEquivalent(P304&amp;"+"&amp;O305&amp;"M")</f>
        <v>25Y2M</v>
      </c>
      <c r="Q305" s="28">
        <f>_xll.qlCalendarAdvance(Calendar,SettlementDate,P305,"f",,Trigger)</f>
        <v>51356</v>
      </c>
      <c r="R305" s="28">
        <f>_xll.qlInterestRateIndexValueDate(Index,Q305,Trigger)</f>
        <v>51358</v>
      </c>
      <c r="S305" s="28">
        <f>_xll.qlInterestRateIndexMaturity(Index,R305,Trigger)</f>
        <v>51389</v>
      </c>
      <c r="T305" s="30">
        <f>_xll.qlIndexFixing($M$6,Q305,,InterestRatesTrigger)</f>
        <v>1.5829635572569233E-2</v>
      </c>
      <c r="U305" s="30" t="e">
        <f>_xll.qlIndexFixing(Index,Q305,,InterestRatesTrigger)</f>
        <v>#NUM!</v>
      </c>
      <c r="V305" s="30" t="e">
        <f t="shared" si="22"/>
        <v>#NUM!</v>
      </c>
      <c r="W305" s="29">
        <f>_xll.qlDayCounterYearFraction(DayCounter,SettlementDate,R305,,,Trigger)</f>
        <v>25.541666666666668</v>
      </c>
      <c r="X305" s="29">
        <f>_xll.qlDayCounterYearFraction(DayCounter,R305,S305)</f>
        <v>8.611111111111111E-2</v>
      </c>
      <c r="Y305" s="29" t="e">
        <f>_xll.qlYieldTSDiscount(Currency&amp;"ON",R305)/(1+U305*X305)</f>
        <v>#NUM!</v>
      </c>
      <c r="Z305" s="30" t="e">
        <f>_xll.qlTenorBasisValue(TenorBasis6M,R305,InterestRatesTrigger)</f>
        <v>#VALUE!</v>
      </c>
      <c r="AA305" s="30" t="e">
        <f t="shared" si="23"/>
        <v>#NUM!</v>
      </c>
    </row>
    <row r="306" spans="15:27" x14ac:dyDescent="0.2">
      <c r="O306" s="33">
        <v>1</v>
      </c>
      <c r="P306" s="27" t="str">
        <f>_xll.qlPeriodEquivalent(P305&amp;"+"&amp;O306&amp;"M")</f>
        <v>25Y3M</v>
      </c>
      <c r="Q306" s="28">
        <f>_xll.qlCalendarAdvance(Calendar,SettlementDate,P306,"f",,Trigger)</f>
        <v>51389</v>
      </c>
      <c r="R306" s="28">
        <f>_xll.qlInterestRateIndexValueDate(Index,Q306,Trigger)</f>
        <v>51391</v>
      </c>
      <c r="S306" s="28">
        <f>_xll.qlInterestRateIndexMaturity(Index,R306,Trigger)</f>
        <v>51421</v>
      </c>
      <c r="T306" s="30">
        <f>_xll.qlIndexFixing($M$6,Q306,,InterestRatesTrigger)</f>
        <v>1.5832809668155257E-2</v>
      </c>
      <c r="U306" s="30" t="e">
        <f>_xll.qlIndexFixing(Index,Q306,,InterestRatesTrigger)</f>
        <v>#NUM!</v>
      </c>
      <c r="V306" s="30" t="e">
        <f t="shared" si="22"/>
        <v>#NUM!</v>
      </c>
      <c r="W306" s="29">
        <f>_xll.qlDayCounterYearFraction(DayCounter,SettlementDate,R306,,,Trigger)</f>
        <v>25.633333333333333</v>
      </c>
      <c r="X306" s="29">
        <f>_xll.qlDayCounterYearFraction(DayCounter,R306,S306)</f>
        <v>8.3333333333333329E-2</v>
      </c>
      <c r="Y306" s="29" t="e">
        <f>_xll.qlYieldTSDiscount(Currency&amp;"ON",R306)/(1+U306*X306)</f>
        <v>#NUM!</v>
      </c>
      <c r="Z306" s="30" t="e">
        <f>_xll.qlTenorBasisValue(TenorBasis6M,R306,InterestRatesTrigger)</f>
        <v>#VALUE!</v>
      </c>
      <c r="AA306" s="30" t="e">
        <f t="shared" si="23"/>
        <v>#NUM!</v>
      </c>
    </row>
    <row r="307" spans="15:27" x14ac:dyDescent="0.2">
      <c r="O307" s="33">
        <v>1</v>
      </c>
      <c r="P307" s="27" t="str">
        <f>_xll.qlPeriodEquivalent(P306&amp;"+"&amp;O307&amp;"M")</f>
        <v>25Y4M</v>
      </c>
      <c r="Q307" s="28">
        <f>_xll.qlCalendarAdvance(Calendar,SettlementDate,P307,"f",,Trigger)</f>
        <v>51417</v>
      </c>
      <c r="R307" s="28">
        <f>_xll.qlInterestRateIndexValueDate(Index,Q307,Trigger)</f>
        <v>51419</v>
      </c>
      <c r="S307" s="28">
        <f>_xll.qlInterestRateIndexMaturity(Index,R307,Trigger)</f>
        <v>51452</v>
      </c>
      <c r="T307" s="30">
        <f>_xll.qlIndexFixing($M$6,Q307,,InterestRatesTrigger)</f>
        <v>1.583735480355276E-2</v>
      </c>
      <c r="U307" s="30" t="e">
        <f>_xll.qlIndexFixing(Index,Q307,,InterestRatesTrigger)</f>
        <v>#NUM!</v>
      </c>
      <c r="V307" s="30" t="e">
        <f t="shared" si="22"/>
        <v>#NUM!</v>
      </c>
      <c r="W307" s="29">
        <f>_xll.qlDayCounterYearFraction(DayCounter,SettlementDate,R307,,,Trigger)</f>
        <v>25.711111111111112</v>
      </c>
      <c r="X307" s="29">
        <f>_xll.qlDayCounterYearFraction(DayCounter,R307,S307)</f>
        <v>9.166666666666666E-2</v>
      </c>
      <c r="Y307" s="29" t="e">
        <f>_xll.qlYieldTSDiscount(Currency&amp;"ON",R307)/(1+U307*X307)</f>
        <v>#NUM!</v>
      </c>
      <c r="Z307" s="30" t="e">
        <f>_xll.qlTenorBasisValue(TenorBasis6M,R307,InterestRatesTrigger)</f>
        <v>#VALUE!</v>
      </c>
      <c r="AA307" s="30" t="e">
        <f t="shared" si="23"/>
        <v>#NUM!</v>
      </c>
    </row>
    <row r="308" spans="15:27" x14ac:dyDescent="0.2">
      <c r="O308" s="33">
        <v>1</v>
      </c>
      <c r="P308" s="27" t="str">
        <f>_xll.qlPeriodEquivalent(P307&amp;"+"&amp;O308&amp;"M")</f>
        <v>25Y5M</v>
      </c>
      <c r="Q308" s="28">
        <f>_xll.qlCalendarAdvance(Calendar,SettlementDate,P308,"f",,Trigger)</f>
        <v>51448</v>
      </c>
      <c r="R308" s="28">
        <f>_xll.qlInterestRateIndexValueDate(Index,Q308,Trigger)</f>
        <v>51452</v>
      </c>
      <c r="S308" s="28">
        <f>_xll.qlInterestRateIndexMaturity(Index,R308,Trigger)</f>
        <v>51482</v>
      </c>
      <c r="T308" s="30">
        <f>_xll.qlIndexFixing($M$6,Q308,,InterestRatesTrigger)</f>
        <v>1.5840358430349255E-2</v>
      </c>
      <c r="U308" s="30" t="e">
        <f>_xll.qlIndexFixing(Index,Q308,,InterestRatesTrigger)</f>
        <v>#NUM!</v>
      </c>
      <c r="V308" s="30" t="e">
        <f t="shared" si="22"/>
        <v>#NUM!</v>
      </c>
      <c r="W308" s="29">
        <f>_xll.qlDayCounterYearFraction(DayCounter,SettlementDate,R308,,,Trigger)</f>
        <v>25.802777777777777</v>
      </c>
      <c r="X308" s="29">
        <f>_xll.qlDayCounterYearFraction(DayCounter,R308,S308)</f>
        <v>8.3333333333333329E-2</v>
      </c>
      <c r="Y308" s="29" t="e">
        <f>_xll.qlYieldTSDiscount(Currency&amp;"ON",R308)/(1+U308*X308)</f>
        <v>#NUM!</v>
      </c>
      <c r="Z308" s="30" t="e">
        <f>_xll.qlTenorBasisValue(TenorBasis6M,R308,InterestRatesTrigger)</f>
        <v>#VALUE!</v>
      </c>
      <c r="AA308" s="30" t="e">
        <f t="shared" si="23"/>
        <v>#NUM!</v>
      </c>
    </row>
    <row r="309" spans="15:27" x14ac:dyDescent="0.2">
      <c r="O309" s="33">
        <v>1</v>
      </c>
      <c r="P309" s="27" t="str">
        <f>_xll.qlPeriodEquivalent(P308&amp;"+"&amp;O309&amp;"M")</f>
        <v>25Y6M</v>
      </c>
      <c r="Q309" s="28">
        <f>_xll.qlCalendarAdvance(Calendar,SettlementDate,P309,"f",,Trigger)</f>
        <v>51480</v>
      </c>
      <c r="R309" s="28">
        <f>_xll.qlInterestRateIndexValueDate(Index,Q309,Trigger)</f>
        <v>51482</v>
      </c>
      <c r="S309" s="28">
        <f>_xll.qlInterestRateIndexMaturity(Index,R309,Trigger)</f>
        <v>51515</v>
      </c>
      <c r="T309" s="30">
        <f>_xll.qlIndexFixing($M$6,Q309,,InterestRatesTrigger)</f>
        <v>1.5845783360215068E-2</v>
      </c>
      <c r="U309" s="30" t="e">
        <f>_xll.qlIndexFixing(Index,Q309,,InterestRatesTrigger)</f>
        <v>#NUM!</v>
      </c>
      <c r="V309" s="30" t="e">
        <f t="shared" si="22"/>
        <v>#NUM!</v>
      </c>
      <c r="W309" s="29">
        <f>_xll.qlDayCounterYearFraction(DayCounter,SettlementDate,R309,,,Trigger)</f>
        <v>25.886111111111113</v>
      </c>
      <c r="X309" s="29">
        <f>_xll.qlDayCounterYearFraction(DayCounter,R309,S309)</f>
        <v>9.166666666666666E-2</v>
      </c>
      <c r="Y309" s="29" t="e">
        <f>_xll.qlYieldTSDiscount(Currency&amp;"ON",R309)/(1+U309*X309)</f>
        <v>#NUM!</v>
      </c>
      <c r="Z309" s="30" t="e">
        <f>_xll.qlTenorBasisValue(TenorBasis6M,R309,InterestRatesTrigger)</f>
        <v>#VALUE!</v>
      </c>
      <c r="AA309" s="30" t="e">
        <f t="shared" si="23"/>
        <v>#NUM!</v>
      </c>
    </row>
    <row r="310" spans="15:27" x14ac:dyDescent="0.2">
      <c r="O310" s="33">
        <v>1</v>
      </c>
      <c r="P310" s="27" t="str">
        <f>_xll.qlPeriodEquivalent(P309&amp;"+"&amp;O310&amp;"M")</f>
        <v>25Y7M</v>
      </c>
      <c r="Q310" s="28">
        <f>_xll.qlCalendarAdvance(Calendar,SettlementDate,P310,"f",,Trigger)</f>
        <v>51509</v>
      </c>
      <c r="R310" s="28">
        <f>_xll.qlInterestRateIndexValueDate(Index,Q310,Trigger)</f>
        <v>51511</v>
      </c>
      <c r="S310" s="28">
        <f>_xll.qlInterestRateIndexMaturity(Index,R310,Trigger)</f>
        <v>51543</v>
      </c>
      <c r="T310" s="30">
        <f>_xll.qlIndexFixing($M$6,Q310,,InterestRatesTrigger)</f>
        <v>1.5849675001216035E-2</v>
      </c>
      <c r="U310" s="30" t="e">
        <f>_xll.qlIndexFixing(Index,Q310,,InterestRatesTrigger)</f>
        <v>#NUM!</v>
      </c>
      <c r="V310" s="30" t="e">
        <f t="shared" si="22"/>
        <v>#NUM!</v>
      </c>
      <c r="W310" s="29">
        <f>_xll.qlDayCounterYearFraction(DayCounter,SettlementDate,R310,,,Trigger)</f>
        <v>25.966666666666665</v>
      </c>
      <c r="X310" s="29">
        <f>_xll.qlDayCounterYearFraction(DayCounter,R310,S310)</f>
        <v>8.8888888888888892E-2</v>
      </c>
      <c r="Y310" s="29" t="e">
        <f>_xll.qlYieldTSDiscount(Currency&amp;"ON",R310)/(1+U310*X310)</f>
        <v>#NUM!</v>
      </c>
      <c r="Z310" s="30" t="e">
        <f>_xll.qlTenorBasisValue(TenorBasis6M,R310,InterestRatesTrigger)</f>
        <v>#VALUE!</v>
      </c>
      <c r="AA310" s="30" t="e">
        <f t="shared" si="23"/>
        <v>#NUM!</v>
      </c>
    </row>
    <row r="311" spans="15:27" x14ac:dyDescent="0.2">
      <c r="O311" s="33">
        <v>1</v>
      </c>
      <c r="P311" s="27" t="str">
        <f>_xll.qlPeriodEquivalent(P310&amp;"+"&amp;O311&amp;"M")</f>
        <v>25Y8M</v>
      </c>
      <c r="Q311" s="28">
        <f>_xll.qlCalendarAdvance(Calendar,SettlementDate,P311,"f",,Trigger)</f>
        <v>51540</v>
      </c>
      <c r="R311" s="28">
        <f>_xll.qlInterestRateIndexValueDate(Index,Q311,Trigger)</f>
        <v>51544</v>
      </c>
      <c r="S311" s="28">
        <f>_xll.qlInterestRateIndexMaturity(Index,R311,Trigger)</f>
        <v>51572</v>
      </c>
      <c r="T311" s="30">
        <f>_xll.qlIndexFixing($M$6,Q311,,InterestRatesTrigger)</f>
        <v>1.5853192053970781E-2</v>
      </c>
      <c r="U311" s="30" t="e">
        <f>_xll.qlIndexFixing(Index,Q311,,InterestRatesTrigger)</f>
        <v>#NUM!</v>
      </c>
      <c r="V311" s="30" t="e">
        <f t="shared" si="22"/>
        <v>#NUM!</v>
      </c>
      <c r="W311" s="29">
        <f>_xll.qlDayCounterYearFraction(DayCounter,SettlementDate,R311,,,Trigger)</f>
        <v>26.058333333333334</v>
      </c>
      <c r="X311" s="29">
        <f>_xll.qlDayCounterYearFraction(DayCounter,R311,S311)</f>
        <v>7.7777777777777779E-2</v>
      </c>
      <c r="Y311" s="29" t="e">
        <f>_xll.qlYieldTSDiscount(Currency&amp;"ON",R311)/(1+U311*X311)</f>
        <v>#NUM!</v>
      </c>
      <c r="Z311" s="30" t="e">
        <f>_xll.qlTenorBasisValue(TenorBasis6M,R311,InterestRatesTrigger)</f>
        <v>#VALUE!</v>
      </c>
      <c r="AA311" s="30" t="e">
        <f t="shared" si="23"/>
        <v>#NUM!</v>
      </c>
    </row>
    <row r="312" spans="15:27" x14ac:dyDescent="0.2">
      <c r="O312" s="33">
        <v>1</v>
      </c>
      <c r="P312" s="27" t="str">
        <f>_xll.qlPeriodEquivalent(P311&amp;"+"&amp;O312&amp;"M")</f>
        <v>25Y9M</v>
      </c>
      <c r="Q312" s="28">
        <f>_xll.qlCalendarAdvance(Calendar,SettlementDate,P312,"f",,Trigger)</f>
        <v>51568</v>
      </c>
      <c r="R312" s="28">
        <f>_xll.qlInterestRateIndexValueDate(Index,Q312,Trigger)</f>
        <v>51572</v>
      </c>
      <c r="S312" s="28">
        <f>_xll.qlInterestRateIndexMaturity(Index,R312,Trigger)</f>
        <v>51603</v>
      </c>
      <c r="T312" s="30">
        <f>_xll.qlIndexFixing($M$6,Q312,,InterestRatesTrigger)</f>
        <v>1.5859212427694291E-2</v>
      </c>
      <c r="U312" s="30" t="e">
        <f>_xll.qlIndexFixing(Index,Q312,,InterestRatesTrigger)</f>
        <v>#NUM!</v>
      </c>
      <c r="V312" s="30" t="e">
        <f t="shared" si="22"/>
        <v>#NUM!</v>
      </c>
      <c r="W312" s="29">
        <f>_xll.qlDayCounterYearFraction(DayCounter,SettlementDate,R312,,,Trigger)</f>
        <v>26.136111111111113</v>
      </c>
      <c r="X312" s="29">
        <f>_xll.qlDayCounterYearFraction(DayCounter,R312,S312)</f>
        <v>8.611111111111111E-2</v>
      </c>
      <c r="Y312" s="29" t="e">
        <f>_xll.qlYieldTSDiscount(Currency&amp;"ON",R312)/(1+U312*X312)</f>
        <v>#NUM!</v>
      </c>
      <c r="Z312" s="30" t="e">
        <f>_xll.qlTenorBasisValue(TenorBasis6M,R312,InterestRatesTrigger)</f>
        <v>#VALUE!</v>
      </c>
      <c r="AA312" s="30" t="e">
        <f t="shared" si="23"/>
        <v>#NUM!</v>
      </c>
    </row>
    <row r="313" spans="15:27" x14ac:dyDescent="0.2">
      <c r="O313" s="33">
        <v>1</v>
      </c>
      <c r="P313" s="27" t="str">
        <f>_xll.qlPeriodEquivalent(P312&amp;"+"&amp;O313&amp;"M")</f>
        <v>25Y10M</v>
      </c>
      <c r="Q313" s="28">
        <f>_xll.qlCalendarAdvance(Calendar,SettlementDate,P313,"f",,Trigger)</f>
        <v>51599</v>
      </c>
      <c r="R313" s="28">
        <f>_xll.qlInterestRateIndexValueDate(Index,Q313,Trigger)</f>
        <v>51601</v>
      </c>
      <c r="S313" s="28">
        <f>_xll.qlInterestRateIndexMaturity(Index,R313,Trigger)</f>
        <v>51631</v>
      </c>
      <c r="T313" s="30">
        <f>_xll.qlIndexFixing($M$6,Q313,,InterestRatesTrigger)</f>
        <v>1.586393635247596E-2</v>
      </c>
      <c r="U313" s="30" t="e">
        <f>_xll.qlIndexFixing(Index,Q313,,InterestRatesTrigger)</f>
        <v>#NUM!</v>
      </c>
      <c r="V313" s="30" t="e">
        <f t="shared" si="22"/>
        <v>#NUM!</v>
      </c>
      <c r="W313" s="29">
        <f>_xll.qlDayCounterYearFraction(DayCounter,SettlementDate,R313,,,Trigger)</f>
        <v>26.216666666666665</v>
      </c>
      <c r="X313" s="29">
        <f>_xll.qlDayCounterYearFraction(DayCounter,R313,S313)</f>
        <v>8.3333333333333329E-2</v>
      </c>
      <c r="Y313" s="29" t="e">
        <f>_xll.qlYieldTSDiscount(Currency&amp;"ON",R313)/(1+U313*X313)</f>
        <v>#NUM!</v>
      </c>
      <c r="Z313" s="30" t="e">
        <f>_xll.qlTenorBasisValue(TenorBasis6M,R313,InterestRatesTrigger)</f>
        <v>#VALUE!</v>
      </c>
      <c r="AA313" s="30" t="e">
        <f t="shared" si="23"/>
        <v>#NUM!</v>
      </c>
    </row>
    <row r="314" spans="15:27" x14ac:dyDescent="0.2">
      <c r="O314" s="33">
        <v>1</v>
      </c>
      <c r="P314" s="27" t="str">
        <f>_xll.qlPeriodEquivalent(P313&amp;"+"&amp;O314&amp;"M")</f>
        <v>25Y11M</v>
      </c>
      <c r="Q314" s="28">
        <f>_xll.qlCalendarAdvance(Calendar,SettlementDate,P314,"f",,Trigger)</f>
        <v>51629</v>
      </c>
      <c r="R314" s="28">
        <f>_xll.qlInterestRateIndexValueDate(Index,Q314,Trigger)</f>
        <v>51631</v>
      </c>
      <c r="S314" s="28">
        <f>_xll.qlInterestRateIndexMaturity(Index,R314,Trigger)</f>
        <v>51662</v>
      </c>
      <c r="T314" s="30">
        <f>_xll.qlIndexFixing($M$6,Q314,,InterestRatesTrigger)</f>
        <v>1.5870012366454363E-2</v>
      </c>
      <c r="U314" s="30" t="e">
        <f>_xll.qlIndexFixing(Index,Q314,,InterestRatesTrigger)</f>
        <v>#NUM!</v>
      </c>
      <c r="V314" s="30" t="e">
        <f t="shared" si="22"/>
        <v>#NUM!</v>
      </c>
      <c r="W314" s="29">
        <f>_xll.qlDayCounterYearFraction(DayCounter,SettlementDate,R314,,,Trigger)</f>
        <v>26.3</v>
      </c>
      <c r="X314" s="29">
        <f>_xll.qlDayCounterYearFraction(DayCounter,R314,S314)</f>
        <v>8.611111111111111E-2</v>
      </c>
      <c r="Y314" s="29" t="e">
        <f>_xll.qlYieldTSDiscount(Currency&amp;"ON",R314)/(1+U314*X314)</f>
        <v>#NUM!</v>
      </c>
      <c r="Z314" s="30" t="e">
        <f>_xll.qlTenorBasisValue(TenorBasis6M,R314,InterestRatesTrigger)</f>
        <v>#VALUE!</v>
      </c>
      <c r="AA314" s="30" t="e">
        <f t="shared" si="23"/>
        <v>#NUM!</v>
      </c>
    </row>
    <row r="315" spans="15:27" x14ac:dyDescent="0.2">
      <c r="O315" s="33">
        <v>1</v>
      </c>
      <c r="P315" s="27" t="str">
        <f>_xll.qlPeriodEquivalent(P314&amp;"+"&amp;O315&amp;"M")</f>
        <v>26Y</v>
      </c>
      <c r="Q315" s="28">
        <f>_xll.qlCalendarAdvance(Calendar,SettlementDate,P315,"f",,Trigger)</f>
        <v>51662</v>
      </c>
      <c r="R315" s="28">
        <f>_xll.qlInterestRateIndexValueDate(Index,Q315,Trigger)</f>
        <v>51664</v>
      </c>
      <c r="S315" s="28">
        <f>_xll.qlInterestRateIndexMaturity(Index,R315,Trigger)</f>
        <v>51694</v>
      </c>
      <c r="T315" s="30">
        <f>_xll.qlIndexFixing($M$6,Q315,,InterestRatesTrigger)</f>
        <v>1.5876099169413571E-2</v>
      </c>
      <c r="U315" s="30" t="e">
        <f>_xll.qlIndexFixing(Index,Q315,,InterestRatesTrigger)</f>
        <v>#NUM!</v>
      </c>
      <c r="V315" s="30" t="e">
        <f t="shared" si="22"/>
        <v>#NUM!</v>
      </c>
      <c r="W315" s="29">
        <f>_xll.qlDayCounterYearFraction(DayCounter,SettlementDate,R315,,,Trigger)</f>
        <v>26.391666666666666</v>
      </c>
      <c r="X315" s="29">
        <f>_xll.qlDayCounterYearFraction(DayCounter,R315,S315)</f>
        <v>8.3333333333333329E-2</v>
      </c>
      <c r="Y315" s="29" t="e">
        <f>_xll.qlYieldTSDiscount(Currency&amp;"ON",R315)/(1+U315*X315)</f>
        <v>#NUM!</v>
      </c>
      <c r="Z315" s="30" t="e">
        <f>_xll.qlTenorBasisValue(TenorBasis6M,R315,InterestRatesTrigger)</f>
        <v>#VALUE!</v>
      </c>
      <c r="AA315" s="30" t="e">
        <f t="shared" si="23"/>
        <v>#NUM!</v>
      </c>
    </row>
    <row r="316" spans="15:27" x14ac:dyDescent="0.2">
      <c r="O316" s="33">
        <v>1</v>
      </c>
      <c r="P316" s="27" t="str">
        <f>_xll.qlPeriodEquivalent(P315&amp;"+"&amp;O316&amp;"M")</f>
        <v>26Y1M</v>
      </c>
      <c r="Q316" s="28">
        <f>_xll.qlCalendarAdvance(Calendar,SettlementDate,P316,"f",,Trigger)</f>
        <v>51690</v>
      </c>
      <c r="R316" s="28">
        <f>_xll.qlInterestRateIndexValueDate(Index,Q316,Trigger)</f>
        <v>51692</v>
      </c>
      <c r="S316" s="28">
        <f>_xll.qlInterestRateIndexMaturity(Index,R316,Trigger)</f>
        <v>51725</v>
      </c>
      <c r="T316" s="30">
        <f>_xll.qlIndexFixing($M$6,Q316,,InterestRatesTrigger)</f>
        <v>1.5883295829774789E-2</v>
      </c>
      <c r="U316" s="30" t="e">
        <f>_xll.qlIndexFixing(Index,Q316,,InterestRatesTrigger)</f>
        <v>#NUM!</v>
      </c>
      <c r="V316" s="30" t="e">
        <f t="shared" si="22"/>
        <v>#NUM!</v>
      </c>
      <c r="W316" s="29">
        <f>_xll.qlDayCounterYearFraction(DayCounter,SettlementDate,R316,,,Trigger)</f>
        <v>26.469444444444445</v>
      </c>
      <c r="X316" s="29">
        <f>_xll.qlDayCounterYearFraction(DayCounter,R316,S316)</f>
        <v>9.166666666666666E-2</v>
      </c>
      <c r="Y316" s="29" t="e">
        <f>_xll.qlYieldTSDiscount(Currency&amp;"ON",R316)/(1+U316*X316)</f>
        <v>#NUM!</v>
      </c>
      <c r="Z316" s="30" t="e">
        <f>_xll.qlTenorBasisValue(TenorBasis6M,R316,InterestRatesTrigger)</f>
        <v>#VALUE!</v>
      </c>
      <c r="AA316" s="30" t="e">
        <f t="shared" si="23"/>
        <v>#NUM!</v>
      </c>
    </row>
    <row r="317" spans="15:27" x14ac:dyDescent="0.2">
      <c r="O317" s="33">
        <v>1</v>
      </c>
      <c r="P317" s="27" t="str">
        <f>_xll.qlPeriodEquivalent(P316&amp;"+"&amp;O317&amp;"M")</f>
        <v>26Y2M</v>
      </c>
      <c r="Q317" s="28">
        <f>_xll.qlCalendarAdvance(Calendar,SettlementDate,P317,"f",,Trigger)</f>
        <v>51721</v>
      </c>
      <c r="R317" s="28">
        <f>_xll.qlInterestRateIndexValueDate(Index,Q317,Trigger)</f>
        <v>51725</v>
      </c>
      <c r="S317" s="28">
        <f>_xll.qlInterestRateIndexMaturity(Index,R317,Trigger)</f>
        <v>51756</v>
      </c>
      <c r="T317" s="30">
        <f>_xll.qlIndexFixing($M$6,Q317,,InterestRatesTrigger)</f>
        <v>1.5889581302647136E-2</v>
      </c>
      <c r="U317" s="30" t="e">
        <f>_xll.qlIndexFixing(Index,Q317,,InterestRatesTrigger)</f>
        <v>#NUM!</v>
      </c>
      <c r="V317" s="30" t="e">
        <f t="shared" si="22"/>
        <v>#NUM!</v>
      </c>
      <c r="W317" s="29">
        <f>_xll.qlDayCounterYearFraction(DayCounter,SettlementDate,R317,,,Trigger)</f>
        <v>26.56111111111111</v>
      </c>
      <c r="X317" s="29">
        <f>_xll.qlDayCounterYearFraction(DayCounter,R317,S317)</f>
        <v>8.611111111111111E-2</v>
      </c>
      <c r="Y317" s="29" t="e">
        <f>_xll.qlYieldTSDiscount(Currency&amp;"ON",R317)/(1+U317*X317)</f>
        <v>#NUM!</v>
      </c>
      <c r="Z317" s="30" t="e">
        <f>_xll.qlTenorBasisValue(TenorBasis6M,R317,InterestRatesTrigger)</f>
        <v>#VALUE!</v>
      </c>
      <c r="AA317" s="30" t="e">
        <f t="shared" si="23"/>
        <v>#NUM!</v>
      </c>
    </row>
    <row r="318" spans="15:27" x14ac:dyDescent="0.2">
      <c r="O318" s="33">
        <v>1</v>
      </c>
      <c r="P318" s="27" t="str">
        <f>_xll.qlPeriodEquivalent(P317&amp;"+"&amp;O318&amp;"M")</f>
        <v>26Y3M</v>
      </c>
      <c r="Q318" s="28">
        <f>_xll.qlCalendarAdvance(Calendar,SettlementDate,P318,"f",,Trigger)</f>
        <v>51753</v>
      </c>
      <c r="R318" s="28">
        <f>_xll.qlInterestRateIndexValueDate(Index,Q318,Trigger)</f>
        <v>51755</v>
      </c>
      <c r="S318" s="28">
        <f>_xll.qlInterestRateIndexMaturity(Index,R318,Trigger)</f>
        <v>51785</v>
      </c>
      <c r="T318" s="30">
        <f>_xll.qlIndexFixing($M$6,Q318,,InterestRatesTrigger)</f>
        <v>1.5895969393916687E-2</v>
      </c>
      <c r="U318" s="30" t="e">
        <f>_xll.qlIndexFixing(Index,Q318,,InterestRatesTrigger)</f>
        <v>#NUM!</v>
      </c>
      <c r="V318" s="30" t="e">
        <f t="shared" si="22"/>
        <v>#NUM!</v>
      </c>
      <c r="W318" s="29">
        <f>_xll.qlDayCounterYearFraction(DayCounter,SettlementDate,R318,,,Trigger)</f>
        <v>26.644444444444446</v>
      </c>
      <c r="X318" s="29">
        <f>_xll.qlDayCounterYearFraction(DayCounter,R318,S318)</f>
        <v>8.3333333333333329E-2</v>
      </c>
      <c r="Y318" s="29" t="e">
        <f>_xll.qlYieldTSDiscount(Currency&amp;"ON",R318)/(1+U318*X318)</f>
        <v>#NUM!</v>
      </c>
      <c r="Z318" s="30" t="e">
        <f>_xll.qlTenorBasisValue(TenorBasis6M,R318,InterestRatesTrigger)</f>
        <v>#VALUE!</v>
      </c>
      <c r="AA318" s="30" t="e">
        <f t="shared" si="23"/>
        <v>#NUM!</v>
      </c>
    </row>
    <row r="319" spans="15:27" x14ac:dyDescent="0.2">
      <c r="O319" s="33">
        <v>1</v>
      </c>
      <c r="P319" s="27" t="str">
        <f>_xll.qlPeriodEquivalent(P318&amp;"+"&amp;O319&amp;"M")</f>
        <v>26Y4M</v>
      </c>
      <c r="Q319" s="28">
        <f>_xll.qlCalendarAdvance(Calendar,SettlementDate,P319,"f",,Trigger)</f>
        <v>51782</v>
      </c>
      <c r="R319" s="28">
        <f>_xll.qlInterestRateIndexValueDate(Index,Q319,Trigger)</f>
        <v>51784</v>
      </c>
      <c r="S319" s="28">
        <f>_xll.qlInterestRateIndexMaturity(Index,R319,Trigger)</f>
        <v>51816</v>
      </c>
      <c r="T319" s="30">
        <f>_xll.qlIndexFixing($M$6,Q319,,InterestRatesTrigger)</f>
        <v>1.5903820157109894E-2</v>
      </c>
      <c r="U319" s="30" t="e">
        <f>_xll.qlIndexFixing(Index,Q319,,InterestRatesTrigger)</f>
        <v>#NUM!</v>
      </c>
      <c r="V319" s="30" t="e">
        <f t="shared" si="22"/>
        <v>#NUM!</v>
      </c>
      <c r="W319" s="29">
        <f>_xll.qlDayCounterYearFraction(DayCounter,SettlementDate,R319,,,Trigger)</f>
        <v>26.725000000000001</v>
      </c>
      <c r="X319" s="29">
        <f>_xll.qlDayCounterYearFraction(DayCounter,R319,S319)</f>
        <v>8.8888888888888892E-2</v>
      </c>
      <c r="Y319" s="29" t="e">
        <f>_xll.qlYieldTSDiscount(Currency&amp;"ON",R319)/(1+U319*X319)</f>
        <v>#NUM!</v>
      </c>
      <c r="Z319" s="30" t="e">
        <f>_xll.qlTenorBasisValue(TenorBasis6M,R319,InterestRatesTrigger)</f>
        <v>#VALUE!</v>
      </c>
      <c r="AA319" s="30" t="e">
        <f t="shared" si="23"/>
        <v>#NUM!</v>
      </c>
    </row>
    <row r="320" spans="15:27" x14ac:dyDescent="0.2">
      <c r="O320" s="33">
        <v>1</v>
      </c>
      <c r="P320" s="27" t="str">
        <f>_xll.qlPeriodEquivalent(P319&amp;"+"&amp;O320&amp;"M")</f>
        <v>26Y5M</v>
      </c>
      <c r="Q320" s="28">
        <f>_xll.qlCalendarAdvance(Calendar,SettlementDate,P320,"f",,Trigger)</f>
        <v>51813</v>
      </c>
      <c r="R320" s="28">
        <f>_xll.qlInterestRateIndexValueDate(Index,Q320,Trigger)</f>
        <v>51817</v>
      </c>
      <c r="S320" s="28">
        <f>_xll.qlInterestRateIndexMaturity(Index,R320,Trigger)</f>
        <v>51847</v>
      </c>
      <c r="T320" s="30">
        <f>_xll.qlIndexFixing($M$6,Q320,,InterestRatesTrigger)</f>
        <v>1.5911065370883826E-2</v>
      </c>
      <c r="U320" s="30" t="e">
        <f>_xll.qlIndexFixing(Index,Q320,,InterestRatesTrigger)</f>
        <v>#NUM!</v>
      </c>
      <c r="V320" s="30" t="e">
        <f t="shared" si="22"/>
        <v>#NUM!</v>
      </c>
      <c r="W320" s="29">
        <f>_xll.qlDayCounterYearFraction(DayCounter,SettlementDate,R320,,,Trigger)</f>
        <v>26.816666666666666</v>
      </c>
      <c r="X320" s="29">
        <f>_xll.qlDayCounterYearFraction(DayCounter,R320,S320)</f>
        <v>8.3333333333333329E-2</v>
      </c>
      <c r="Y320" s="29" t="e">
        <f>_xll.qlYieldTSDiscount(Currency&amp;"ON",R320)/(1+U320*X320)</f>
        <v>#NUM!</v>
      </c>
      <c r="Z320" s="30" t="e">
        <f>_xll.qlTenorBasisValue(TenorBasis6M,R320,InterestRatesTrigger)</f>
        <v>#VALUE!</v>
      </c>
      <c r="AA320" s="30" t="e">
        <f t="shared" si="23"/>
        <v>#NUM!</v>
      </c>
    </row>
    <row r="321" spans="15:27" x14ac:dyDescent="0.2">
      <c r="O321" s="33">
        <v>1</v>
      </c>
      <c r="P321" s="27" t="str">
        <f>_xll.qlPeriodEquivalent(P320&amp;"+"&amp;O321&amp;"M")</f>
        <v>26Y6M</v>
      </c>
      <c r="Q321" s="28">
        <f>_xll.qlCalendarAdvance(Calendar,SettlementDate,P321,"f",,Trigger)</f>
        <v>51844</v>
      </c>
      <c r="R321" s="28">
        <f>_xll.qlInterestRateIndexValueDate(Index,Q321,Trigger)</f>
        <v>51846</v>
      </c>
      <c r="S321" s="28">
        <f>_xll.qlInterestRateIndexMaturity(Index,R321,Trigger)</f>
        <v>51879</v>
      </c>
      <c r="T321" s="30">
        <f>_xll.qlIndexFixing($M$6,Q321,,InterestRatesTrigger)</f>
        <v>1.5920013048896887E-2</v>
      </c>
      <c r="U321" s="30" t="e">
        <f>_xll.qlIndexFixing(Index,Q321,,InterestRatesTrigger)</f>
        <v>#NUM!</v>
      </c>
      <c r="V321" s="30" t="e">
        <f t="shared" si="22"/>
        <v>#NUM!</v>
      </c>
      <c r="W321" s="29">
        <f>_xll.qlDayCounterYearFraction(DayCounter,SettlementDate,R321,,,Trigger)</f>
        <v>26.897222222222222</v>
      </c>
      <c r="X321" s="29">
        <f>_xll.qlDayCounterYearFraction(DayCounter,R321,S321)</f>
        <v>9.166666666666666E-2</v>
      </c>
      <c r="Y321" s="29" t="e">
        <f>_xll.qlYieldTSDiscount(Currency&amp;"ON",R321)/(1+U321*X321)</f>
        <v>#NUM!</v>
      </c>
      <c r="Z321" s="30" t="e">
        <f>_xll.qlTenorBasisValue(TenorBasis6M,R321,InterestRatesTrigger)</f>
        <v>#VALUE!</v>
      </c>
      <c r="AA321" s="30" t="e">
        <f t="shared" si="23"/>
        <v>#NUM!</v>
      </c>
    </row>
    <row r="322" spans="15:27" x14ac:dyDescent="0.2">
      <c r="O322" s="33">
        <v>1</v>
      </c>
      <c r="P322" s="27" t="str">
        <f>_xll.qlPeriodEquivalent(P321&amp;"+"&amp;O322&amp;"M")</f>
        <v>26Y7M</v>
      </c>
      <c r="Q322" s="28">
        <f>_xll.qlCalendarAdvance(Calendar,SettlementDate,P322,"f",,Trigger)</f>
        <v>51874</v>
      </c>
      <c r="R322" s="28">
        <f>_xll.qlInterestRateIndexValueDate(Index,Q322,Trigger)</f>
        <v>51876</v>
      </c>
      <c r="S322" s="28">
        <f>_xll.qlInterestRateIndexMaturity(Index,R322,Trigger)</f>
        <v>51907</v>
      </c>
      <c r="T322" s="30">
        <f>_xll.qlIndexFixing($M$6,Q322,,InterestRatesTrigger)</f>
        <v>1.5927092998935674E-2</v>
      </c>
      <c r="U322" s="30" t="e">
        <f>_xll.qlIndexFixing(Index,Q322,,InterestRatesTrigger)</f>
        <v>#NUM!</v>
      </c>
      <c r="V322" s="30" t="e">
        <f t="shared" si="22"/>
        <v>#NUM!</v>
      </c>
      <c r="W322" s="29">
        <f>_xll.qlDayCounterYearFraction(DayCounter,SettlementDate,R322,,,Trigger)</f>
        <v>26.980555555555554</v>
      </c>
      <c r="X322" s="29">
        <f>_xll.qlDayCounterYearFraction(DayCounter,R322,S322)</f>
        <v>8.611111111111111E-2</v>
      </c>
      <c r="Y322" s="29" t="e">
        <f>_xll.qlYieldTSDiscount(Currency&amp;"ON",R322)/(1+U322*X322)</f>
        <v>#NUM!</v>
      </c>
      <c r="Z322" s="30" t="e">
        <f>_xll.qlTenorBasisValue(TenorBasis6M,R322,InterestRatesTrigger)</f>
        <v>#VALUE!</v>
      </c>
      <c r="AA322" s="30" t="e">
        <f t="shared" si="23"/>
        <v>#NUM!</v>
      </c>
    </row>
    <row r="323" spans="15:27" x14ac:dyDescent="0.2">
      <c r="O323" s="33">
        <v>1</v>
      </c>
      <c r="P323" s="27" t="str">
        <f>_xll.qlPeriodEquivalent(P322&amp;"+"&amp;O323&amp;"M")</f>
        <v>26Y8M</v>
      </c>
      <c r="Q323" s="28">
        <f>_xll.qlCalendarAdvance(Calendar,SettlementDate,P323,"f",,Trigger)</f>
        <v>51907</v>
      </c>
      <c r="R323" s="28">
        <f>_xll.qlInterestRateIndexValueDate(Index,Q323,Trigger)</f>
        <v>51909</v>
      </c>
      <c r="S323" s="28">
        <f>_xll.qlInterestRateIndexMaturity(Index,R323,Trigger)</f>
        <v>51937</v>
      </c>
      <c r="T323" s="30">
        <f>_xll.qlIndexFixing($M$6,Q323,,InterestRatesTrigger)</f>
        <v>1.5934802509741188E-2</v>
      </c>
      <c r="U323" s="30" t="e">
        <f>_xll.qlIndexFixing(Index,Q323,,InterestRatesTrigger)</f>
        <v>#NUM!</v>
      </c>
      <c r="V323" s="30" t="e">
        <f t="shared" si="22"/>
        <v>#NUM!</v>
      </c>
      <c r="W323" s="29">
        <f>_xll.qlDayCounterYearFraction(DayCounter,SettlementDate,R323,,,Trigger)</f>
        <v>27.072222222222223</v>
      </c>
      <c r="X323" s="29">
        <f>_xll.qlDayCounterYearFraction(DayCounter,R323,S323)</f>
        <v>7.7777777777777779E-2</v>
      </c>
      <c r="Y323" s="29" t="e">
        <f>_xll.qlYieldTSDiscount(Currency&amp;"ON",R323)/(1+U323*X323)</f>
        <v>#NUM!</v>
      </c>
      <c r="Z323" s="30" t="e">
        <f>_xll.qlTenorBasisValue(TenorBasis6M,R323,InterestRatesTrigger)</f>
        <v>#VALUE!</v>
      </c>
      <c r="AA323" s="30" t="e">
        <f t="shared" si="23"/>
        <v>#NUM!</v>
      </c>
    </row>
    <row r="324" spans="15:27" x14ac:dyDescent="0.2">
      <c r="O324" s="33">
        <v>1</v>
      </c>
      <c r="P324" s="27" t="str">
        <f>_xll.qlPeriodEquivalent(P323&amp;"+"&amp;O324&amp;"M")</f>
        <v>26Y9M</v>
      </c>
      <c r="Q324" s="28">
        <f>_xll.qlCalendarAdvance(Calendar,SettlementDate,P324,"f",,Trigger)</f>
        <v>51935</v>
      </c>
      <c r="R324" s="28">
        <f>_xll.qlInterestRateIndexValueDate(Index,Q324,Trigger)</f>
        <v>51937</v>
      </c>
      <c r="S324" s="28">
        <f>_xll.qlInterestRateIndexMaturity(Index,R324,Trigger)</f>
        <v>51970</v>
      </c>
      <c r="T324" s="30">
        <f>_xll.qlIndexFixing($M$6,Q324,,InterestRatesTrigger)</f>
        <v>1.5945371924805135E-2</v>
      </c>
      <c r="U324" s="30" t="e">
        <f>_xll.qlIndexFixing(Index,Q324,,InterestRatesTrigger)</f>
        <v>#NUM!</v>
      </c>
      <c r="V324" s="30" t="e">
        <f t="shared" si="22"/>
        <v>#NUM!</v>
      </c>
      <c r="W324" s="29">
        <f>_xll.qlDayCounterYearFraction(DayCounter,SettlementDate,R324,,,Trigger)</f>
        <v>27.15</v>
      </c>
      <c r="X324" s="29">
        <f>_xll.qlDayCounterYearFraction(DayCounter,R324,S324)</f>
        <v>9.166666666666666E-2</v>
      </c>
      <c r="Y324" s="29" t="e">
        <f>_xll.qlYieldTSDiscount(Currency&amp;"ON",R324)/(1+U324*X324)</f>
        <v>#NUM!</v>
      </c>
      <c r="Z324" s="30" t="e">
        <f>_xll.qlTenorBasisValue(TenorBasis6M,R324,InterestRatesTrigger)</f>
        <v>#VALUE!</v>
      </c>
      <c r="AA324" s="30" t="e">
        <f t="shared" si="23"/>
        <v>#NUM!</v>
      </c>
    </row>
    <row r="325" spans="15:27" x14ac:dyDescent="0.2">
      <c r="O325" s="33">
        <v>1</v>
      </c>
      <c r="P325" s="27" t="str">
        <f>_xll.qlPeriodEquivalent(P324&amp;"+"&amp;O325&amp;"M")</f>
        <v>26Y10M</v>
      </c>
      <c r="Q325" s="28">
        <f>_xll.qlCalendarAdvance(Calendar,SettlementDate,P325,"f",,Trigger)</f>
        <v>51964</v>
      </c>
      <c r="R325" s="28">
        <f>_xll.qlInterestRateIndexValueDate(Index,Q325,Trigger)</f>
        <v>51966</v>
      </c>
      <c r="S325" s="28">
        <f>_xll.qlInterestRateIndexMaturity(Index,R325,Trigger)</f>
        <v>51998</v>
      </c>
      <c r="T325" s="30">
        <f>_xll.qlIndexFixing($M$6,Q325,,InterestRatesTrigger)</f>
        <v>1.5953519226382384E-2</v>
      </c>
      <c r="U325" s="30" t="e">
        <f>_xll.qlIndexFixing(Index,Q325,,InterestRatesTrigger)</f>
        <v>#NUM!</v>
      </c>
      <c r="V325" s="30" t="e">
        <f t="shared" si="22"/>
        <v>#NUM!</v>
      </c>
      <c r="W325" s="29">
        <f>_xll.qlDayCounterYearFraction(DayCounter,SettlementDate,R325,,,Trigger)</f>
        <v>27.230555555555554</v>
      </c>
      <c r="X325" s="29">
        <f>_xll.qlDayCounterYearFraction(DayCounter,R325,S325)</f>
        <v>8.8888888888888892E-2</v>
      </c>
      <c r="Y325" s="29" t="e">
        <f>_xll.qlYieldTSDiscount(Currency&amp;"ON",R325)/(1+U325*X325)</f>
        <v>#NUM!</v>
      </c>
      <c r="Z325" s="30" t="e">
        <f>_xll.qlTenorBasisValue(TenorBasis6M,R325,InterestRatesTrigger)</f>
        <v>#VALUE!</v>
      </c>
      <c r="AA325" s="30" t="e">
        <f t="shared" si="23"/>
        <v>#NUM!</v>
      </c>
    </row>
    <row r="326" spans="15:27" x14ac:dyDescent="0.2">
      <c r="O326" s="33">
        <v>1</v>
      </c>
      <c r="P326" s="27" t="str">
        <f>_xll.qlPeriodEquivalent(P325&amp;"+"&amp;O326&amp;"M")</f>
        <v>26Y11M</v>
      </c>
      <c r="Q326" s="28">
        <f>_xll.qlCalendarAdvance(Calendar,SettlementDate,P326,"f",,Trigger)</f>
        <v>51994</v>
      </c>
      <c r="R326" s="28">
        <f>_xll.qlInterestRateIndexValueDate(Index,Q326,Trigger)</f>
        <v>51998</v>
      </c>
      <c r="S326" s="28">
        <f>_xll.qlInterestRateIndexMaturity(Index,R326,Trigger)</f>
        <v>52029</v>
      </c>
      <c r="T326" s="30">
        <f>_xll.qlIndexFixing($M$6,Q326,,InterestRatesTrigger)</f>
        <v>1.5962871071350079E-2</v>
      </c>
      <c r="U326" s="30" t="e">
        <f>_xll.qlIndexFixing(Index,Q326,,InterestRatesTrigger)</f>
        <v>#NUM!</v>
      </c>
      <c r="V326" s="30" t="e">
        <f t="shared" si="22"/>
        <v>#NUM!</v>
      </c>
      <c r="W326" s="29">
        <f>_xll.qlDayCounterYearFraction(DayCounter,SettlementDate,R326,,,Trigger)</f>
        <v>27.319444444444443</v>
      </c>
      <c r="X326" s="29">
        <f>_xll.qlDayCounterYearFraction(DayCounter,R326,S326)</f>
        <v>8.611111111111111E-2</v>
      </c>
      <c r="Y326" s="29" t="e">
        <f>_xll.qlYieldTSDiscount(Currency&amp;"ON",R326)/(1+U326*X326)</f>
        <v>#NUM!</v>
      </c>
      <c r="Z326" s="30" t="e">
        <f>_xll.qlTenorBasisValue(TenorBasis6M,R326,InterestRatesTrigger)</f>
        <v>#VALUE!</v>
      </c>
      <c r="AA326" s="30" t="e">
        <f t="shared" si="23"/>
        <v>#NUM!</v>
      </c>
    </row>
    <row r="327" spans="15:27" x14ac:dyDescent="0.2">
      <c r="O327" s="33">
        <v>1</v>
      </c>
      <c r="P327" s="27" t="str">
        <f>_xll.qlPeriodEquivalent(P326&amp;"+"&amp;O327&amp;"M")</f>
        <v>27Y</v>
      </c>
      <c r="Q327" s="28">
        <f>_xll.qlCalendarAdvance(Calendar,SettlementDate,P327,"f",,Trigger)</f>
        <v>52026</v>
      </c>
      <c r="R327" s="28">
        <f>_xll.qlInterestRateIndexValueDate(Index,Q327,Trigger)</f>
        <v>52028</v>
      </c>
      <c r="S327" s="28">
        <f>_xll.qlInterestRateIndexMaturity(Index,R327,Trigger)</f>
        <v>52058</v>
      </c>
      <c r="T327" s="30">
        <f>_xll.qlIndexFixing($M$6,Q327,,InterestRatesTrigger)</f>
        <v>1.5971901428613933E-2</v>
      </c>
      <c r="U327" s="30" t="e">
        <f>_xll.qlIndexFixing(Index,Q327,,InterestRatesTrigger)</f>
        <v>#NUM!</v>
      </c>
      <c r="V327" s="30" t="e">
        <f t="shared" si="22"/>
        <v>#NUM!</v>
      </c>
      <c r="W327" s="29">
        <f>_xll.qlDayCounterYearFraction(DayCounter,SettlementDate,R327,,,Trigger)</f>
        <v>27.402777777777779</v>
      </c>
      <c r="X327" s="29">
        <f>_xll.qlDayCounterYearFraction(DayCounter,R327,S327)</f>
        <v>8.3333333333333329E-2</v>
      </c>
      <c r="Y327" s="29" t="e">
        <f>_xll.qlYieldTSDiscount(Currency&amp;"ON",R327)/(1+U327*X327)</f>
        <v>#NUM!</v>
      </c>
      <c r="Z327" s="30" t="e">
        <f>_xll.qlTenorBasisValue(TenorBasis6M,R327,InterestRatesTrigger)</f>
        <v>#VALUE!</v>
      </c>
      <c r="AA327" s="30" t="e">
        <f t="shared" si="23"/>
        <v>#NUM!</v>
      </c>
    </row>
    <row r="328" spans="15:27" x14ac:dyDescent="0.2">
      <c r="O328" s="33">
        <v>1</v>
      </c>
      <c r="P328" s="27" t="str">
        <f>_xll.qlPeriodEquivalent(P327&amp;"+"&amp;O328&amp;"M")</f>
        <v>27Y1M</v>
      </c>
      <c r="Q328" s="28">
        <f>_xll.qlCalendarAdvance(Calendar,SettlementDate,P328,"f",,Trigger)</f>
        <v>52055</v>
      </c>
      <c r="R328" s="28">
        <f>_xll.qlInterestRateIndexValueDate(Index,Q328,Trigger)</f>
        <v>52057</v>
      </c>
      <c r="S328" s="28">
        <f>_xll.qlInterestRateIndexMaturity(Index,R328,Trigger)</f>
        <v>52089</v>
      </c>
      <c r="T328" s="30">
        <f>_xll.qlIndexFixing($M$6,Q328,,InterestRatesTrigger)</f>
        <v>1.5982449501670271E-2</v>
      </c>
      <c r="U328" s="30" t="e">
        <f>_xll.qlIndexFixing(Index,Q328,,InterestRatesTrigger)</f>
        <v>#NUM!</v>
      </c>
      <c r="V328" s="30" t="e">
        <f t="shared" si="22"/>
        <v>#NUM!</v>
      </c>
      <c r="W328" s="29">
        <f>_xll.qlDayCounterYearFraction(DayCounter,SettlementDate,R328,,,Trigger)</f>
        <v>27.483333333333334</v>
      </c>
      <c r="X328" s="29">
        <f>_xll.qlDayCounterYearFraction(DayCounter,R328,S328)</f>
        <v>8.8888888888888892E-2</v>
      </c>
      <c r="Y328" s="29" t="e">
        <f>_xll.qlYieldTSDiscount(Currency&amp;"ON",R328)/(1+U328*X328)</f>
        <v>#NUM!</v>
      </c>
      <c r="Z328" s="30" t="e">
        <f>_xll.qlTenorBasisValue(TenorBasis6M,R328,InterestRatesTrigger)</f>
        <v>#VALUE!</v>
      </c>
      <c r="AA328" s="30" t="e">
        <f t="shared" si="23"/>
        <v>#NUM!</v>
      </c>
    </row>
    <row r="329" spans="15:27" x14ac:dyDescent="0.2">
      <c r="O329" s="33">
        <v>1</v>
      </c>
      <c r="P329" s="27" t="str">
        <f>_xll.qlPeriodEquivalent(P328&amp;"+"&amp;O329&amp;"M")</f>
        <v>27Y2M</v>
      </c>
      <c r="Q329" s="28">
        <f>_xll.qlCalendarAdvance(Calendar,SettlementDate,P329,"f",,Trigger)</f>
        <v>52086</v>
      </c>
      <c r="R329" s="28">
        <f>_xll.qlInterestRateIndexValueDate(Index,Q329,Trigger)</f>
        <v>52090</v>
      </c>
      <c r="S329" s="28">
        <f>_xll.qlInterestRateIndexMaturity(Index,R329,Trigger)</f>
        <v>52121</v>
      </c>
      <c r="T329" s="30">
        <f>_xll.qlIndexFixing($M$6,Q329,,InterestRatesTrigger)</f>
        <v>1.5993085098707532E-2</v>
      </c>
      <c r="U329" s="30" t="e">
        <f>_xll.qlIndexFixing(Index,Q329,,InterestRatesTrigger)</f>
        <v>#NUM!</v>
      </c>
      <c r="V329" s="30" t="e">
        <f t="shared" si="22"/>
        <v>#NUM!</v>
      </c>
      <c r="W329" s="29">
        <f>_xll.qlDayCounterYearFraction(DayCounter,SettlementDate,R329,,,Trigger)</f>
        <v>27.574999999999999</v>
      </c>
      <c r="X329" s="29">
        <f>_xll.qlDayCounterYearFraction(DayCounter,R329,S329)</f>
        <v>8.611111111111111E-2</v>
      </c>
      <c r="Y329" s="29" t="e">
        <f>_xll.qlYieldTSDiscount(Currency&amp;"ON",R329)/(1+U329*X329)</f>
        <v>#NUM!</v>
      </c>
      <c r="Z329" s="30" t="e">
        <f>_xll.qlTenorBasisValue(TenorBasis6M,R329,InterestRatesTrigger)</f>
        <v>#VALUE!</v>
      </c>
      <c r="AA329" s="30" t="e">
        <f t="shared" si="23"/>
        <v>#NUM!</v>
      </c>
    </row>
    <row r="330" spans="15:27" x14ac:dyDescent="0.2">
      <c r="O330" s="33">
        <v>1</v>
      </c>
      <c r="P330" s="27" t="str">
        <f>_xll.qlPeriodEquivalent(P329&amp;"+"&amp;O330&amp;"M")</f>
        <v>27Y3M</v>
      </c>
      <c r="Q330" s="28">
        <f>_xll.qlCalendarAdvance(Calendar,SettlementDate,P330,"f",,Trigger)</f>
        <v>52117</v>
      </c>
      <c r="R330" s="28">
        <f>_xll.qlInterestRateIndexValueDate(Index,Q330,Trigger)</f>
        <v>52119</v>
      </c>
      <c r="S330" s="28">
        <f>_xll.qlInterestRateIndexMaturity(Index,R330,Trigger)</f>
        <v>52149</v>
      </c>
      <c r="T330" s="30">
        <f>_xll.qlIndexFixing($M$6,Q330,,InterestRatesTrigger)</f>
        <v>1.6002652617870261E-2</v>
      </c>
      <c r="U330" s="30" t="e">
        <f>_xll.qlIndexFixing(Index,Q330,,InterestRatesTrigger)</f>
        <v>#NUM!</v>
      </c>
      <c r="V330" s="30" t="e">
        <f t="shared" si="22"/>
        <v>#NUM!</v>
      </c>
      <c r="W330" s="29">
        <f>_xll.qlDayCounterYearFraction(DayCounter,SettlementDate,R330,,,Trigger)</f>
        <v>27.655555555555555</v>
      </c>
      <c r="X330" s="29">
        <f>_xll.qlDayCounterYearFraction(DayCounter,R330,S330)</f>
        <v>8.3333333333333329E-2</v>
      </c>
      <c r="Y330" s="29" t="e">
        <f>_xll.qlYieldTSDiscount(Currency&amp;"ON",R330)/(1+U330*X330)</f>
        <v>#NUM!</v>
      </c>
      <c r="Z330" s="30" t="e">
        <f>_xll.qlTenorBasisValue(TenorBasis6M,R330,InterestRatesTrigger)</f>
        <v>#VALUE!</v>
      </c>
      <c r="AA330" s="30" t="e">
        <f t="shared" si="23"/>
        <v>#NUM!</v>
      </c>
    </row>
    <row r="331" spans="15:27" x14ac:dyDescent="0.2">
      <c r="O331" s="33">
        <v>1</v>
      </c>
      <c r="P331" s="27" t="str">
        <f>_xll.qlPeriodEquivalent(P330&amp;"+"&amp;O331&amp;"M")</f>
        <v>27Y4M</v>
      </c>
      <c r="Q331" s="28">
        <f>_xll.qlCalendarAdvance(Calendar,SettlementDate,P331,"f",,Trigger)</f>
        <v>52147</v>
      </c>
      <c r="R331" s="28">
        <f>_xll.qlInterestRateIndexValueDate(Index,Q331,Trigger)</f>
        <v>52149</v>
      </c>
      <c r="S331" s="28">
        <f>_xll.qlInterestRateIndexMaturity(Index,R331,Trigger)</f>
        <v>52180</v>
      </c>
      <c r="T331" s="30">
        <f>_xll.qlIndexFixing($M$6,Q331,,InterestRatesTrigger)</f>
        <v>1.6013924839819664E-2</v>
      </c>
      <c r="U331" s="30" t="e">
        <f>_xll.qlIndexFixing(Index,Q331,,InterestRatesTrigger)</f>
        <v>#NUM!</v>
      </c>
      <c r="V331" s="30" t="e">
        <f t="shared" si="22"/>
        <v>#NUM!</v>
      </c>
      <c r="W331" s="29">
        <f>_xll.qlDayCounterYearFraction(DayCounter,SettlementDate,R331,,,Trigger)</f>
        <v>27.738888888888887</v>
      </c>
      <c r="X331" s="29">
        <f>_xll.qlDayCounterYearFraction(DayCounter,R331,S331)</f>
        <v>8.611111111111111E-2</v>
      </c>
      <c r="Y331" s="29" t="e">
        <f>_xll.qlYieldTSDiscount(Currency&amp;"ON",R331)/(1+U331*X331)</f>
        <v>#NUM!</v>
      </c>
      <c r="Z331" s="30" t="e">
        <f>_xll.qlTenorBasisValue(TenorBasis6M,R331,InterestRatesTrigger)</f>
        <v>#VALUE!</v>
      </c>
      <c r="AA331" s="30" t="e">
        <f t="shared" si="23"/>
        <v>#NUM!</v>
      </c>
    </row>
    <row r="332" spans="15:27" x14ac:dyDescent="0.2">
      <c r="O332" s="33">
        <v>1</v>
      </c>
      <c r="P332" s="27" t="str">
        <f>_xll.qlPeriodEquivalent(P331&amp;"+"&amp;O332&amp;"M")</f>
        <v>27Y5M</v>
      </c>
      <c r="Q332" s="28">
        <f>_xll.qlCalendarAdvance(Calendar,SettlementDate,P332,"f",,Trigger)</f>
        <v>52180</v>
      </c>
      <c r="R332" s="28">
        <f>_xll.qlInterestRateIndexValueDate(Index,Q332,Trigger)</f>
        <v>52182</v>
      </c>
      <c r="S332" s="28">
        <f>_xll.qlInterestRateIndexMaturity(Index,R332,Trigger)</f>
        <v>52212</v>
      </c>
      <c r="T332" s="30">
        <f>_xll.qlIndexFixing($M$6,Q332,,InterestRatesTrigger)</f>
        <v>1.6025535443363381E-2</v>
      </c>
      <c r="U332" s="30" t="e">
        <f>_xll.qlIndexFixing(Index,Q332,,InterestRatesTrigger)</f>
        <v>#NUM!</v>
      </c>
      <c r="V332" s="30" t="e">
        <f t="shared" si="22"/>
        <v>#NUM!</v>
      </c>
      <c r="W332" s="29">
        <f>_xll.qlDayCounterYearFraction(DayCounter,SettlementDate,R332,,,Trigger)</f>
        <v>27.830555555555556</v>
      </c>
      <c r="X332" s="29">
        <f>_xll.qlDayCounterYearFraction(DayCounter,R332,S332)</f>
        <v>8.3333333333333329E-2</v>
      </c>
      <c r="Y332" s="29" t="e">
        <f>_xll.qlYieldTSDiscount(Currency&amp;"ON",R332)/(1+U332*X332)</f>
        <v>#NUM!</v>
      </c>
      <c r="Z332" s="30" t="e">
        <f>_xll.qlTenorBasisValue(TenorBasis6M,R332,InterestRatesTrigger)</f>
        <v>#VALUE!</v>
      </c>
      <c r="AA332" s="30" t="e">
        <f t="shared" si="23"/>
        <v>#NUM!</v>
      </c>
    </row>
    <row r="333" spans="15:27" x14ac:dyDescent="0.2">
      <c r="O333" s="33">
        <v>1</v>
      </c>
      <c r="P333" s="27" t="str">
        <f>_xll.qlPeriodEquivalent(P332&amp;"+"&amp;O333&amp;"M")</f>
        <v>27Y6M</v>
      </c>
      <c r="Q333" s="28">
        <f>_xll.qlCalendarAdvance(Calendar,SettlementDate,P333,"f",,Trigger)</f>
        <v>52208</v>
      </c>
      <c r="R333" s="28">
        <f>_xll.qlInterestRateIndexValueDate(Index,Q333,Trigger)</f>
        <v>52210</v>
      </c>
      <c r="S333" s="28">
        <f>_xll.qlInterestRateIndexMaturity(Index,R333,Trigger)</f>
        <v>52243</v>
      </c>
      <c r="T333" s="30">
        <f>_xll.qlIndexFixing($M$6,Q333,,InterestRatesTrigger)</f>
        <v>1.6037772336500472E-2</v>
      </c>
      <c r="U333" s="30" t="e">
        <f>_xll.qlIndexFixing(Index,Q333,,InterestRatesTrigger)</f>
        <v>#NUM!</v>
      </c>
      <c r="V333" s="30" t="e">
        <f t="shared" si="22"/>
        <v>#NUM!</v>
      </c>
      <c r="W333" s="29">
        <f>_xll.qlDayCounterYearFraction(DayCounter,SettlementDate,R333,,,Trigger)</f>
        <v>27.908333333333335</v>
      </c>
      <c r="X333" s="29">
        <f>_xll.qlDayCounterYearFraction(DayCounter,R333,S333)</f>
        <v>9.166666666666666E-2</v>
      </c>
      <c r="Y333" s="29" t="e">
        <f>_xll.qlYieldTSDiscount(Currency&amp;"ON",R333)/(1+U333*X333)</f>
        <v>#NUM!</v>
      </c>
      <c r="Z333" s="30" t="e">
        <f>_xll.qlTenorBasisValue(TenorBasis6M,R333,InterestRatesTrigger)</f>
        <v>#VALUE!</v>
      </c>
      <c r="AA333" s="30" t="e">
        <f t="shared" si="23"/>
        <v>#NUM!</v>
      </c>
    </row>
    <row r="334" spans="15:27" x14ac:dyDescent="0.2">
      <c r="O334" s="33">
        <v>1</v>
      </c>
      <c r="P334" s="27" t="str">
        <f>_xll.qlPeriodEquivalent(P333&amp;"+"&amp;O334&amp;"M")</f>
        <v>27Y7M</v>
      </c>
      <c r="Q334" s="28">
        <f>_xll.qlCalendarAdvance(Calendar,SettlementDate,P334,"f",,Trigger)</f>
        <v>52239</v>
      </c>
      <c r="R334" s="28">
        <f>_xll.qlInterestRateIndexValueDate(Index,Q334,Trigger)</f>
        <v>52243</v>
      </c>
      <c r="S334" s="28">
        <f>_xll.qlInterestRateIndexMaturity(Index,R334,Trigger)</f>
        <v>52274</v>
      </c>
      <c r="T334" s="30">
        <f>_xll.qlIndexFixing($M$6,Q334,,InterestRatesTrigger)</f>
        <v>1.604948948222492E-2</v>
      </c>
      <c r="U334" s="30" t="e">
        <f>_xll.qlIndexFixing(Index,Q334,,InterestRatesTrigger)</f>
        <v>#NUM!</v>
      </c>
      <c r="V334" s="30" t="e">
        <f t="shared" si="22"/>
        <v>#NUM!</v>
      </c>
      <c r="W334" s="29">
        <f>_xll.qlDayCounterYearFraction(DayCounter,SettlementDate,R334,,,Trigger)</f>
        <v>28</v>
      </c>
      <c r="X334" s="29">
        <f>_xll.qlDayCounterYearFraction(DayCounter,R334,S334)</f>
        <v>8.611111111111111E-2</v>
      </c>
      <c r="Y334" s="29" t="e">
        <f>_xll.qlYieldTSDiscount(Currency&amp;"ON",R334)/(1+U334*X334)</f>
        <v>#NUM!</v>
      </c>
      <c r="Z334" s="30" t="e">
        <f>_xll.qlTenorBasisValue(TenorBasis6M,R334,InterestRatesTrigger)</f>
        <v>#VALUE!</v>
      </c>
      <c r="AA334" s="30" t="e">
        <f t="shared" si="23"/>
        <v>#NUM!</v>
      </c>
    </row>
    <row r="335" spans="15:27" x14ac:dyDescent="0.2">
      <c r="O335" s="33">
        <v>1</v>
      </c>
      <c r="P335" s="27" t="str">
        <f>_xll.qlPeriodEquivalent(P334&amp;"+"&amp;O335&amp;"M")</f>
        <v>27Y8M</v>
      </c>
      <c r="Q335" s="28">
        <f>_xll.qlCalendarAdvance(Calendar,SettlementDate,P335,"f",,Trigger)</f>
        <v>52271</v>
      </c>
      <c r="R335" s="28">
        <f>_xll.qlInterestRateIndexValueDate(Index,Q335,Trigger)</f>
        <v>52273</v>
      </c>
      <c r="S335" s="28">
        <f>_xll.qlInterestRateIndexMaturity(Index,R335,Trigger)</f>
        <v>52301</v>
      </c>
      <c r="T335" s="30">
        <f>_xll.qlIndexFixing($M$6,Q335,,InterestRatesTrigger)</f>
        <v>1.6059769170240847E-2</v>
      </c>
      <c r="U335" s="30" t="e">
        <f>_xll.qlIndexFixing(Index,Q335,,InterestRatesTrigger)</f>
        <v>#NUM!</v>
      </c>
      <c r="V335" s="30" t="e">
        <f t="shared" si="22"/>
        <v>#NUM!</v>
      </c>
      <c r="W335" s="29">
        <f>_xll.qlDayCounterYearFraction(DayCounter,SettlementDate,R335,,,Trigger)</f>
        <v>28.083333333333332</v>
      </c>
      <c r="X335" s="29">
        <f>_xll.qlDayCounterYearFraction(DayCounter,R335,S335)</f>
        <v>7.7777777777777779E-2</v>
      </c>
      <c r="Y335" s="29" t="e">
        <f>_xll.qlYieldTSDiscount(Currency&amp;"ON",R335)/(1+U335*X335)</f>
        <v>#NUM!</v>
      </c>
      <c r="Z335" s="30" t="e">
        <f>_xll.qlTenorBasisValue(TenorBasis6M,R335,InterestRatesTrigger)</f>
        <v>#VALUE!</v>
      </c>
      <c r="AA335" s="30" t="e">
        <f t="shared" si="23"/>
        <v>#NUM!</v>
      </c>
    </row>
    <row r="336" spans="15:27" x14ac:dyDescent="0.2">
      <c r="O336" s="33">
        <v>1</v>
      </c>
      <c r="P336" s="27" t="str">
        <f>_xll.qlPeriodEquivalent(P335&amp;"+"&amp;O336&amp;"M")</f>
        <v>27Y9M</v>
      </c>
      <c r="Q336" s="28">
        <f>_xll.qlCalendarAdvance(Calendar,SettlementDate,P336,"f",,Trigger)</f>
        <v>52299</v>
      </c>
      <c r="R336" s="28">
        <f>_xll.qlInterestRateIndexValueDate(Index,Q336,Trigger)</f>
        <v>52301</v>
      </c>
      <c r="S336" s="28">
        <f>_xll.qlInterestRateIndexMaturity(Index,R336,Trigger)</f>
        <v>52334</v>
      </c>
      <c r="T336" s="30">
        <f>_xll.qlIndexFixing($M$6,Q336,,InterestRatesTrigger)</f>
        <v>1.6074013811754027E-2</v>
      </c>
      <c r="U336" s="30" t="e">
        <f>_xll.qlIndexFixing(Index,Q336,,InterestRatesTrigger)</f>
        <v>#NUM!</v>
      </c>
      <c r="V336" s="30" t="e">
        <f t="shared" si="22"/>
        <v>#NUM!</v>
      </c>
      <c r="W336" s="29">
        <f>_xll.qlDayCounterYearFraction(DayCounter,SettlementDate,R336,,,Trigger)</f>
        <v>28.161111111111111</v>
      </c>
      <c r="X336" s="29">
        <f>_xll.qlDayCounterYearFraction(DayCounter,R336,S336)</f>
        <v>9.166666666666666E-2</v>
      </c>
      <c r="Y336" s="29" t="e">
        <f>_xll.qlYieldTSDiscount(Currency&amp;"ON",R336)/(1+U336*X336)</f>
        <v>#NUM!</v>
      </c>
      <c r="Z336" s="30" t="e">
        <f>_xll.qlTenorBasisValue(TenorBasis6M,R336,InterestRatesTrigger)</f>
        <v>#VALUE!</v>
      </c>
      <c r="AA336" s="30" t="e">
        <f t="shared" si="23"/>
        <v>#NUM!</v>
      </c>
    </row>
    <row r="337" spans="15:27" x14ac:dyDescent="0.2">
      <c r="O337" s="33">
        <v>1</v>
      </c>
      <c r="P337" s="27" t="str">
        <f>_xll.qlPeriodEquivalent(P336&amp;"+"&amp;O337&amp;"M")</f>
        <v>27Y10M</v>
      </c>
      <c r="Q337" s="28">
        <f>_xll.qlCalendarAdvance(Calendar,SettlementDate,P337,"f",,Trigger)</f>
        <v>52329</v>
      </c>
      <c r="R337" s="28">
        <f>_xll.qlInterestRateIndexValueDate(Index,Q337,Trigger)</f>
        <v>52331</v>
      </c>
      <c r="S337" s="28">
        <f>_xll.qlInterestRateIndexMaturity(Index,R337,Trigger)</f>
        <v>52362</v>
      </c>
      <c r="T337" s="30">
        <f>_xll.qlIndexFixing($M$6,Q337,,InterestRatesTrigger)</f>
        <v>1.6085414800645681E-2</v>
      </c>
      <c r="U337" s="30" t="e">
        <f>_xll.qlIndexFixing(Index,Q337,,InterestRatesTrigger)</f>
        <v>#NUM!</v>
      </c>
      <c r="V337" s="30" t="e">
        <f t="shared" si="22"/>
        <v>#NUM!</v>
      </c>
      <c r="W337" s="29">
        <f>_xll.qlDayCounterYearFraction(DayCounter,SettlementDate,R337,,,Trigger)</f>
        <v>28.244444444444444</v>
      </c>
      <c r="X337" s="29">
        <f>_xll.qlDayCounterYearFraction(DayCounter,R337,S337)</f>
        <v>8.611111111111111E-2</v>
      </c>
      <c r="Y337" s="29" t="e">
        <f>_xll.qlYieldTSDiscount(Currency&amp;"ON",R337)/(1+U337*X337)</f>
        <v>#NUM!</v>
      </c>
      <c r="Z337" s="30" t="e">
        <f>_xll.qlTenorBasisValue(TenorBasis6M,R337,InterestRatesTrigger)</f>
        <v>#VALUE!</v>
      </c>
      <c r="AA337" s="30" t="e">
        <f t="shared" si="23"/>
        <v>#NUM!</v>
      </c>
    </row>
    <row r="338" spans="15:27" x14ac:dyDescent="0.2">
      <c r="O338" s="33">
        <v>1</v>
      </c>
      <c r="P338" s="27" t="str">
        <f>_xll.qlPeriodEquivalent(P337&amp;"+"&amp;O338&amp;"M")</f>
        <v>27Y11M</v>
      </c>
      <c r="Q338" s="28">
        <f>_xll.qlCalendarAdvance(Calendar,SettlementDate,P338,"f",,Trigger)</f>
        <v>52359</v>
      </c>
      <c r="R338" s="28">
        <f>_xll.qlInterestRateIndexValueDate(Index,Q338,Trigger)</f>
        <v>52363</v>
      </c>
      <c r="S338" s="28">
        <f>_xll.qlInterestRateIndexMaturity(Index,R338,Trigger)</f>
        <v>52394</v>
      </c>
      <c r="T338" s="30">
        <f>_xll.qlIndexFixing($M$6,Q338,,InterestRatesTrigger)</f>
        <v>1.6099109309027162E-2</v>
      </c>
      <c r="U338" s="30" t="e">
        <f>_xll.qlIndexFixing(Index,Q338,,InterestRatesTrigger)</f>
        <v>#NUM!</v>
      </c>
      <c r="V338" s="30" t="e">
        <f t="shared" si="22"/>
        <v>#NUM!</v>
      </c>
      <c r="W338" s="29">
        <f>_xll.qlDayCounterYearFraction(DayCounter,SettlementDate,R338,,,Trigger)</f>
        <v>28.333333333333332</v>
      </c>
      <c r="X338" s="29">
        <f>_xll.qlDayCounterYearFraction(DayCounter,R338,S338)</f>
        <v>8.611111111111111E-2</v>
      </c>
      <c r="Y338" s="29" t="e">
        <f>_xll.qlYieldTSDiscount(Currency&amp;"ON",R338)/(1+U338*X338)</f>
        <v>#NUM!</v>
      </c>
      <c r="Z338" s="30" t="e">
        <f>_xll.qlTenorBasisValue(TenorBasis6M,R338,InterestRatesTrigger)</f>
        <v>#VALUE!</v>
      </c>
      <c r="AA338" s="30" t="e">
        <f t="shared" si="23"/>
        <v>#NUM!</v>
      </c>
    </row>
    <row r="339" spans="15:27" x14ac:dyDescent="0.2">
      <c r="O339" s="33">
        <v>1</v>
      </c>
      <c r="P339" s="27" t="str">
        <f>_xll.qlPeriodEquivalent(P338&amp;"+"&amp;O339&amp;"M")</f>
        <v>28Y</v>
      </c>
      <c r="Q339" s="28">
        <f>_xll.qlCalendarAdvance(Calendar,SettlementDate,P339,"f",,Trigger)</f>
        <v>52390</v>
      </c>
      <c r="R339" s="28">
        <f>_xll.qlInterestRateIndexValueDate(Index,Q339,Trigger)</f>
        <v>52392</v>
      </c>
      <c r="S339" s="28">
        <f>_xll.qlInterestRateIndexMaturity(Index,R339,Trigger)</f>
        <v>52422</v>
      </c>
      <c r="T339" s="30">
        <f>_xll.qlIndexFixing($M$6,Q339,,InterestRatesTrigger)</f>
        <v>1.6111228011122414E-2</v>
      </c>
      <c r="U339" s="30" t="e">
        <f>_xll.qlIndexFixing(Index,Q339,,InterestRatesTrigger)</f>
        <v>#NUM!</v>
      </c>
      <c r="V339" s="30" t="e">
        <f t="shared" si="22"/>
        <v>#NUM!</v>
      </c>
      <c r="W339" s="29">
        <f>_xll.qlDayCounterYearFraction(DayCounter,SettlementDate,R339,,,Trigger)</f>
        <v>28.413888888888888</v>
      </c>
      <c r="X339" s="29">
        <f>_xll.qlDayCounterYearFraction(DayCounter,R339,S339)</f>
        <v>8.3333333333333329E-2</v>
      </c>
      <c r="Y339" s="29" t="e">
        <f>_xll.qlYieldTSDiscount(Currency&amp;"ON",R339)/(1+U339*X339)</f>
        <v>#NUM!</v>
      </c>
      <c r="Z339" s="30" t="e">
        <f>_xll.qlTenorBasisValue(TenorBasis6M,R339,InterestRatesTrigger)</f>
        <v>#VALUE!</v>
      </c>
      <c r="AA339" s="30" t="e">
        <f t="shared" si="23"/>
        <v>#NUM!</v>
      </c>
    </row>
    <row r="340" spans="15:27" x14ac:dyDescent="0.2">
      <c r="O340" s="33">
        <v>1</v>
      </c>
      <c r="P340" s="27" t="str">
        <f>_xll.qlPeriodEquivalent(P339&amp;"+"&amp;O340&amp;"M")</f>
        <v>28Y1M</v>
      </c>
      <c r="Q340" s="28">
        <f>_xll.qlCalendarAdvance(Calendar,SettlementDate,P340,"f",,Trigger)</f>
        <v>52420</v>
      </c>
      <c r="R340" s="28">
        <f>_xll.qlInterestRateIndexValueDate(Index,Q340,Trigger)</f>
        <v>52422</v>
      </c>
      <c r="S340" s="28">
        <f>_xll.qlInterestRateIndexMaturity(Index,R340,Trigger)</f>
        <v>52453</v>
      </c>
      <c r="T340" s="30">
        <f>_xll.qlIndexFixing($M$6,Q340,,InterestRatesTrigger)</f>
        <v>1.6125240473526491E-2</v>
      </c>
      <c r="U340" s="30" t="e">
        <f>_xll.qlIndexFixing(Index,Q340,,InterestRatesTrigger)</f>
        <v>#NUM!</v>
      </c>
      <c r="V340" s="30" t="e">
        <f t="shared" si="22"/>
        <v>#NUM!</v>
      </c>
      <c r="W340" s="29">
        <f>_xll.qlDayCounterYearFraction(DayCounter,SettlementDate,R340,,,Trigger)</f>
        <v>28.497222222222224</v>
      </c>
      <c r="X340" s="29">
        <f>_xll.qlDayCounterYearFraction(DayCounter,R340,S340)</f>
        <v>8.611111111111111E-2</v>
      </c>
      <c r="Y340" s="29" t="e">
        <f>_xll.qlYieldTSDiscount(Currency&amp;"ON",R340)/(1+U340*X340)</f>
        <v>#NUM!</v>
      </c>
      <c r="Z340" s="30" t="e">
        <f>_xll.qlTenorBasisValue(TenorBasis6M,R340,InterestRatesTrigger)</f>
        <v>#VALUE!</v>
      </c>
      <c r="AA340" s="30" t="e">
        <f t="shared" si="23"/>
        <v>#NUM!</v>
      </c>
    </row>
    <row r="341" spans="15:27" x14ac:dyDescent="0.2">
      <c r="O341" s="33">
        <v>1</v>
      </c>
      <c r="P341" s="27" t="str">
        <f>_xll.qlPeriodEquivalent(P340&amp;"+"&amp;O341&amp;"M")</f>
        <v>28Y2M</v>
      </c>
      <c r="Q341" s="28">
        <f>_xll.qlCalendarAdvance(Calendar,SettlementDate,P341,"f",,Trigger)</f>
        <v>52453</v>
      </c>
      <c r="R341" s="28">
        <f>_xll.qlInterestRateIndexValueDate(Index,Q341,Trigger)</f>
        <v>52455</v>
      </c>
      <c r="S341" s="28">
        <f>_xll.qlInterestRateIndexMaturity(Index,R341,Trigger)</f>
        <v>52488</v>
      </c>
      <c r="T341" s="30">
        <f>_xll.qlIndexFixing($M$6,Q341,,InterestRatesTrigger)</f>
        <v>1.6141543627042797E-2</v>
      </c>
      <c r="U341" s="30" t="e">
        <f>_xll.qlIndexFixing(Index,Q341,,InterestRatesTrigger)</f>
        <v>#NUM!</v>
      </c>
      <c r="V341" s="30" t="e">
        <f t="shared" si="22"/>
        <v>#NUM!</v>
      </c>
      <c r="W341" s="29">
        <f>_xll.qlDayCounterYearFraction(DayCounter,SettlementDate,R341,,,Trigger)</f>
        <v>28.588888888888889</v>
      </c>
      <c r="X341" s="29">
        <f>_xll.qlDayCounterYearFraction(DayCounter,R341,S341)</f>
        <v>9.166666666666666E-2</v>
      </c>
      <c r="Y341" s="29" t="e">
        <f>_xll.qlYieldTSDiscount(Currency&amp;"ON",R341)/(1+U341*X341)</f>
        <v>#NUM!</v>
      </c>
      <c r="Z341" s="30" t="e">
        <f>_xll.qlTenorBasisValue(TenorBasis6M,R341,InterestRatesTrigger)</f>
        <v>#VALUE!</v>
      </c>
      <c r="AA341" s="30" t="e">
        <f t="shared" si="23"/>
        <v>#NUM!</v>
      </c>
    </row>
    <row r="342" spans="15:27" x14ac:dyDescent="0.2">
      <c r="O342" s="33">
        <v>1</v>
      </c>
      <c r="P342" s="27" t="str">
        <f>_xll.qlPeriodEquivalent(P341&amp;"+"&amp;O342&amp;"M")</f>
        <v>28Y3M</v>
      </c>
      <c r="Q342" s="28">
        <f>_xll.qlCalendarAdvance(Calendar,SettlementDate,P342,"f",,Trigger)</f>
        <v>52482</v>
      </c>
      <c r="R342" s="28">
        <f>_xll.qlInterestRateIndexValueDate(Index,Q342,Trigger)</f>
        <v>52484</v>
      </c>
      <c r="S342" s="28">
        <f>_xll.qlInterestRateIndexMaturity(Index,R342,Trigger)</f>
        <v>52516</v>
      </c>
      <c r="T342" s="30">
        <f>_xll.qlIndexFixing($M$6,Q342,,InterestRatesTrigger)</f>
        <v>1.6154532292804447E-2</v>
      </c>
      <c r="U342" s="30" t="e">
        <f>_xll.qlIndexFixing(Index,Q342,,InterestRatesTrigger)</f>
        <v>#NUM!</v>
      </c>
      <c r="V342" s="30" t="e">
        <f t="shared" si="22"/>
        <v>#NUM!</v>
      </c>
      <c r="W342" s="29">
        <f>_xll.qlDayCounterYearFraction(DayCounter,SettlementDate,R342,,,Trigger)</f>
        <v>28.669444444444444</v>
      </c>
      <c r="X342" s="29">
        <f>_xll.qlDayCounterYearFraction(DayCounter,R342,S342)</f>
        <v>8.8888888888888892E-2</v>
      </c>
      <c r="Y342" s="29" t="e">
        <f>_xll.qlYieldTSDiscount(Currency&amp;"ON",R342)/(1+U342*X342)</f>
        <v>#NUM!</v>
      </c>
      <c r="Z342" s="30" t="e">
        <f>_xll.qlTenorBasisValue(TenorBasis6M,R342,InterestRatesTrigger)</f>
        <v>#VALUE!</v>
      </c>
      <c r="AA342" s="30" t="e">
        <f t="shared" si="23"/>
        <v>#NUM!</v>
      </c>
    </row>
    <row r="343" spans="15:27" x14ac:dyDescent="0.2">
      <c r="O343" s="33">
        <v>1</v>
      </c>
      <c r="P343" s="27" t="str">
        <f>_xll.qlPeriodEquivalent(P342&amp;"+"&amp;O343&amp;"M")</f>
        <v>28Y4M</v>
      </c>
      <c r="Q343" s="28">
        <f>_xll.qlCalendarAdvance(Calendar,SettlementDate,P343,"f",,Trigger)</f>
        <v>52512</v>
      </c>
      <c r="R343" s="28">
        <f>_xll.qlInterestRateIndexValueDate(Index,Q343,Trigger)</f>
        <v>52516</v>
      </c>
      <c r="S343" s="28">
        <f>_xll.qlInterestRateIndexMaturity(Index,R343,Trigger)</f>
        <v>52547</v>
      </c>
      <c r="T343" s="30">
        <f>_xll.qlIndexFixing($M$6,Q343,,InterestRatesTrigger)</f>
        <v>1.6169235587777529E-2</v>
      </c>
      <c r="U343" s="30" t="e">
        <f>_xll.qlIndexFixing(Index,Q343,,InterestRatesTrigger)</f>
        <v>#NUM!</v>
      </c>
      <c r="V343" s="30" t="e">
        <f t="shared" si="22"/>
        <v>#NUM!</v>
      </c>
      <c r="W343" s="29">
        <f>_xll.qlDayCounterYearFraction(DayCounter,SettlementDate,R343,,,Trigger)</f>
        <v>28.758333333333333</v>
      </c>
      <c r="X343" s="29">
        <f>_xll.qlDayCounterYearFraction(DayCounter,R343,S343)</f>
        <v>8.611111111111111E-2</v>
      </c>
      <c r="Y343" s="29" t="e">
        <f>_xll.qlYieldTSDiscount(Currency&amp;"ON",R343)/(1+U343*X343)</f>
        <v>#NUM!</v>
      </c>
      <c r="Z343" s="30" t="e">
        <f>_xll.qlTenorBasisValue(TenorBasis6M,R343,InterestRatesTrigger)</f>
        <v>#VALUE!</v>
      </c>
      <c r="AA343" s="30" t="e">
        <f t="shared" si="23"/>
        <v>#NUM!</v>
      </c>
    </row>
    <row r="344" spans="15:27" x14ac:dyDescent="0.2">
      <c r="O344" s="33">
        <v>1</v>
      </c>
      <c r="P344" s="27" t="str">
        <f>_xll.qlPeriodEquivalent(P343&amp;"+"&amp;O344&amp;"M")</f>
        <v>28Y5M</v>
      </c>
      <c r="Q344" s="28">
        <f>_xll.qlCalendarAdvance(Calendar,SettlementDate,P344,"f",,Trigger)</f>
        <v>52544</v>
      </c>
      <c r="R344" s="28">
        <f>_xll.qlInterestRateIndexValueDate(Index,Q344,Trigger)</f>
        <v>52546</v>
      </c>
      <c r="S344" s="28">
        <f>_xll.qlInterestRateIndexMaturity(Index,R344,Trigger)</f>
        <v>52576</v>
      </c>
      <c r="T344" s="30">
        <f>_xll.qlIndexFixing($M$6,Q344,,InterestRatesTrigger)</f>
        <v>1.6183276591035245E-2</v>
      </c>
      <c r="U344" s="30" t="e">
        <f>_xll.qlIndexFixing(Index,Q344,,InterestRatesTrigger)</f>
        <v>#NUM!</v>
      </c>
      <c r="V344" s="30" t="e">
        <f t="shared" si="22"/>
        <v>#NUM!</v>
      </c>
      <c r="W344" s="29">
        <f>_xll.qlDayCounterYearFraction(DayCounter,SettlementDate,R344,,,Trigger)</f>
        <v>28.841666666666665</v>
      </c>
      <c r="X344" s="29">
        <f>_xll.qlDayCounterYearFraction(DayCounter,R344,S344)</f>
        <v>8.3333333333333329E-2</v>
      </c>
      <c r="Y344" s="29" t="e">
        <f>_xll.qlYieldTSDiscount(Currency&amp;"ON",R344)/(1+U344*X344)</f>
        <v>#NUM!</v>
      </c>
      <c r="Z344" s="30" t="e">
        <f>_xll.qlTenorBasisValue(TenorBasis6M,R344,InterestRatesTrigger)</f>
        <v>#VALUE!</v>
      </c>
      <c r="AA344" s="30" t="e">
        <f t="shared" si="23"/>
        <v>#NUM!</v>
      </c>
    </row>
    <row r="345" spans="15:27" x14ac:dyDescent="0.2">
      <c r="O345" s="33">
        <v>1</v>
      </c>
      <c r="P345" s="27" t="str">
        <f>_xll.qlPeriodEquivalent(P344&amp;"+"&amp;O345&amp;"M")</f>
        <v>28Y6M</v>
      </c>
      <c r="Q345" s="28">
        <f>_xll.qlCalendarAdvance(Calendar,SettlementDate,P345,"f",,Trigger)</f>
        <v>52573</v>
      </c>
      <c r="R345" s="28">
        <f>_xll.qlInterestRateIndexValueDate(Index,Q345,Trigger)</f>
        <v>52575</v>
      </c>
      <c r="S345" s="28">
        <f>_xll.qlInterestRateIndexMaturity(Index,R345,Trigger)</f>
        <v>52607</v>
      </c>
      <c r="T345" s="30">
        <f>_xll.qlIndexFixing($M$6,Q345,,InterestRatesTrigger)</f>
        <v>1.6198948949631975E-2</v>
      </c>
      <c r="U345" s="30" t="e">
        <f>_xll.qlIndexFixing(Index,Q345,,InterestRatesTrigger)</f>
        <v>#NUM!</v>
      </c>
      <c r="V345" s="30" t="e">
        <f t="shared" si="22"/>
        <v>#NUM!</v>
      </c>
      <c r="W345" s="29">
        <f>_xll.qlDayCounterYearFraction(DayCounter,SettlementDate,R345,,,Trigger)</f>
        <v>28.922222222222221</v>
      </c>
      <c r="X345" s="29">
        <f>_xll.qlDayCounterYearFraction(DayCounter,R345,S345)</f>
        <v>8.8888888888888892E-2</v>
      </c>
      <c r="Y345" s="29" t="e">
        <f>_xll.qlYieldTSDiscount(Currency&amp;"ON",R345)/(1+U345*X345)</f>
        <v>#NUM!</v>
      </c>
      <c r="Z345" s="30" t="e">
        <f>_xll.qlTenorBasisValue(TenorBasis6M,R345,InterestRatesTrigger)</f>
        <v>#VALUE!</v>
      </c>
      <c r="AA345" s="30" t="e">
        <f t="shared" si="23"/>
        <v>#NUM!</v>
      </c>
    </row>
    <row r="346" spans="15:27" x14ac:dyDescent="0.2">
      <c r="O346" s="33">
        <v>1</v>
      </c>
      <c r="P346" s="27" t="str">
        <f>_xll.qlPeriodEquivalent(P345&amp;"+"&amp;O346&amp;"M")</f>
        <v>28Y7M</v>
      </c>
      <c r="Q346" s="28">
        <f>_xll.qlCalendarAdvance(Calendar,SettlementDate,P346,"f",,Trigger)</f>
        <v>52604</v>
      </c>
      <c r="R346" s="28">
        <f>_xll.qlInterestRateIndexValueDate(Index,Q346,Trigger)</f>
        <v>52608</v>
      </c>
      <c r="S346" s="28">
        <f>_xll.qlInterestRateIndexMaturity(Index,R346,Trigger)</f>
        <v>52639</v>
      </c>
      <c r="T346" s="30">
        <f>_xll.qlIndexFixing($M$6,Q346,,InterestRatesTrigger)</f>
        <v>1.6215105509517179E-2</v>
      </c>
      <c r="U346" s="30" t="e">
        <f>_xll.qlIndexFixing(Index,Q346,,InterestRatesTrigger)</f>
        <v>#NUM!</v>
      </c>
      <c r="V346" s="30" t="e">
        <f t="shared" si="22"/>
        <v>#NUM!</v>
      </c>
      <c r="W346" s="29">
        <f>_xll.qlDayCounterYearFraction(DayCounter,SettlementDate,R346,,,Trigger)</f>
        <v>29.013888888888889</v>
      </c>
      <c r="X346" s="29">
        <f>_xll.qlDayCounterYearFraction(DayCounter,R346,S346)</f>
        <v>8.611111111111111E-2</v>
      </c>
      <c r="Y346" s="29" t="e">
        <f>_xll.qlYieldTSDiscount(Currency&amp;"ON",R346)/(1+U346*X346)</f>
        <v>#NUM!</v>
      </c>
      <c r="Z346" s="30" t="e">
        <f>_xll.qlTenorBasisValue(TenorBasis6M,R346,InterestRatesTrigger)</f>
        <v>#VALUE!</v>
      </c>
      <c r="AA346" s="30" t="e">
        <f t="shared" si="23"/>
        <v>#NUM!</v>
      </c>
    </row>
    <row r="347" spans="15:27" x14ac:dyDescent="0.2">
      <c r="O347" s="33">
        <v>1</v>
      </c>
      <c r="P347" s="27" t="str">
        <f>_xll.qlPeriodEquivalent(P346&amp;"+"&amp;O347&amp;"M")</f>
        <v>28Y8M</v>
      </c>
      <c r="Q347" s="28">
        <f>_xll.qlCalendarAdvance(Calendar,SettlementDate,P347,"f",,Trigger)</f>
        <v>52635</v>
      </c>
      <c r="R347" s="28">
        <f>_xll.qlInterestRateIndexValueDate(Index,Q347,Trigger)</f>
        <v>52637</v>
      </c>
      <c r="S347" s="28">
        <f>_xll.qlInterestRateIndexMaturity(Index,R347,Trigger)</f>
        <v>52666</v>
      </c>
      <c r="T347" s="30">
        <f>_xll.qlIndexFixing($M$6,Q347,,InterestRatesTrigger)</f>
        <v>1.6228884902349985E-2</v>
      </c>
      <c r="U347" s="30" t="e">
        <f>_xll.qlIndexFixing(Index,Q347,,InterestRatesTrigger)</f>
        <v>#NUM!</v>
      </c>
      <c r="V347" s="30" t="e">
        <f t="shared" si="22"/>
        <v>#NUM!</v>
      </c>
      <c r="W347" s="29">
        <f>_xll.qlDayCounterYearFraction(DayCounter,SettlementDate,R347,,,Trigger)</f>
        <v>29.094444444444445</v>
      </c>
      <c r="X347" s="29">
        <f>_xll.qlDayCounterYearFraction(DayCounter,R347,S347)</f>
        <v>8.0555555555555561E-2</v>
      </c>
      <c r="Y347" s="29" t="e">
        <f>_xll.qlYieldTSDiscount(Currency&amp;"ON",R347)/(1+U347*X347)</f>
        <v>#NUM!</v>
      </c>
      <c r="Z347" s="30" t="e">
        <f>_xll.qlTenorBasisValue(TenorBasis6M,R347,InterestRatesTrigger)</f>
        <v>#VALUE!</v>
      </c>
      <c r="AA347" s="30" t="e">
        <f t="shared" si="23"/>
        <v>#NUM!</v>
      </c>
    </row>
    <row r="348" spans="15:27" x14ac:dyDescent="0.2">
      <c r="O348" s="33">
        <v>1</v>
      </c>
      <c r="P348" s="27" t="str">
        <f>_xll.qlPeriodEquivalent(P347&amp;"+"&amp;O348&amp;"M")</f>
        <v>28Y9M</v>
      </c>
      <c r="Q348" s="28">
        <f>_xll.qlCalendarAdvance(Calendar,SettlementDate,P348,"f",,Trigger)</f>
        <v>52664</v>
      </c>
      <c r="R348" s="28">
        <f>_xll.qlInterestRateIndexValueDate(Index,Q348,Trigger)</f>
        <v>52666</v>
      </c>
      <c r="S348" s="28">
        <f>_xll.qlInterestRateIndexMaturity(Index,R348,Trigger)</f>
        <v>52698</v>
      </c>
      <c r="T348" s="30">
        <f>_xll.qlIndexFixing($M$6,Q348,,InterestRatesTrigger)</f>
        <v>1.6246086284352479E-2</v>
      </c>
      <c r="U348" s="30" t="e">
        <f>_xll.qlIndexFixing(Index,Q348,,InterestRatesTrigger)</f>
        <v>#NUM!</v>
      </c>
      <c r="V348" s="30" t="e">
        <f t="shared" si="22"/>
        <v>#NUM!</v>
      </c>
      <c r="W348" s="29">
        <f>_xll.qlDayCounterYearFraction(DayCounter,SettlementDate,R348,,,Trigger)</f>
        <v>29.175000000000001</v>
      </c>
      <c r="X348" s="29">
        <f>_xll.qlDayCounterYearFraction(DayCounter,R348,S348)</f>
        <v>8.8888888888888892E-2</v>
      </c>
      <c r="Y348" s="29" t="e">
        <f>_xll.qlYieldTSDiscount(Currency&amp;"ON",R348)/(1+U348*X348)</f>
        <v>#NUM!</v>
      </c>
      <c r="Z348" s="30" t="e">
        <f>_xll.qlTenorBasisValue(TenorBasis6M,R348,InterestRatesTrigger)</f>
        <v>#VALUE!</v>
      </c>
      <c r="AA348" s="30" t="e">
        <f t="shared" si="23"/>
        <v>#NUM!</v>
      </c>
    </row>
    <row r="349" spans="15:27" x14ac:dyDescent="0.2">
      <c r="O349" s="33">
        <v>1</v>
      </c>
      <c r="P349" s="27" t="str">
        <f>_xll.qlPeriodEquivalent(P348&amp;"+"&amp;O349&amp;"M")</f>
        <v>28Y10M</v>
      </c>
      <c r="Q349" s="28">
        <f>_xll.qlCalendarAdvance(Calendar,SettlementDate,P349,"f",,Trigger)</f>
        <v>52695</v>
      </c>
      <c r="R349" s="28">
        <f>_xll.qlInterestRateIndexValueDate(Index,Q349,Trigger)</f>
        <v>52699</v>
      </c>
      <c r="S349" s="28">
        <f>_xll.qlInterestRateIndexMaturity(Index,R349,Trigger)</f>
        <v>52729</v>
      </c>
      <c r="T349" s="30">
        <f>_xll.qlIndexFixing($M$6,Q349,,InterestRatesTrigger)</f>
        <v>1.6262572602253833E-2</v>
      </c>
      <c r="U349" s="30" t="e">
        <f>_xll.qlIndexFixing(Index,Q349,,InterestRatesTrigger)</f>
        <v>#NUM!</v>
      </c>
      <c r="V349" s="30" t="e">
        <f t="shared" si="22"/>
        <v>#NUM!</v>
      </c>
      <c r="W349" s="29">
        <f>_xll.qlDayCounterYearFraction(DayCounter,SettlementDate,R349,,,Trigger)</f>
        <v>29.266666666666666</v>
      </c>
      <c r="X349" s="29">
        <f>_xll.qlDayCounterYearFraction(DayCounter,R349,S349)</f>
        <v>8.3333333333333329E-2</v>
      </c>
      <c r="Y349" s="29" t="e">
        <f>_xll.qlYieldTSDiscount(Currency&amp;"ON",R349)/(1+U349*X349)</f>
        <v>#NUM!</v>
      </c>
      <c r="Z349" s="30" t="e">
        <f>_xll.qlTenorBasisValue(TenorBasis6M,R349,InterestRatesTrigger)</f>
        <v>#VALUE!</v>
      </c>
      <c r="AA349" s="30" t="e">
        <f t="shared" si="23"/>
        <v>#NUM!</v>
      </c>
    </row>
    <row r="350" spans="15:27" x14ac:dyDescent="0.2">
      <c r="O350" s="33">
        <v>1</v>
      </c>
      <c r="P350" s="27" t="str">
        <f>_xll.qlPeriodEquivalent(P349&amp;"+"&amp;O350&amp;"M")</f>
        <v>28Y11M</v>
      </c>
      <c r="Q350" s="28">
        <f>_xll.qlCalendarAdvance(Calendar,SettlementDate,P350,"f",,Trigger)</f>
        <v>52726</v>
      </c>
      <c r="R350" s="28">
        <f>_xll.qlInterestRateIndexValueDate(Index,Q350,Trigger)</f>
        <v>52728</v>
      </c>
      <c r="S350" s="28">
        <f>_xll.qlInterestRateIndexMaturity(Index,R350,Trigger)</f>
        <v>52761</v>
      </c>
      <c r="T350" s="30">
        <f>_xll.qlIndexFixing($M$6,Q350,,InterestRatesTrigger)</f>
        <v>1.6280405660931346E-2</v>
      </c>
      <c r="U350" s="30" t="e">
        <f>_xll.qlIndexFixing(Index,Q350,,InterestRatesTrigger)</f>
        <v>#NUM!</v>
      </c>
      <c r="V350" s="30" t="e">
        <f t="shared" si="22"/>
        <v>#NUM!</v>
      </c>
      <c r="W350" s="29">
        <f>_xll.qlDayCounterYearFraction(DayCounter,SettlementDate,R350,,,Trigger)</f>
        <v>29.347222222222221</v>
      </c>
      <c r="X350" s="29">
        <f>_xll.qlDayCounterYearFraction(DayCounter,R350,S350)</f>
        <v>9.166666666666666E-2</v>
      </c>
      <c r="Y350" s="29" t="e">
        <f>_xll.qlYieldTSDiscount(Currency&amp;"ON",R350)/(1+U350*X350)</f>
        <v>#NUM!</v>
      </c>
      <c r="Z350" s="30" t="e">
        <f>_xll.qlTenorBasisValue(TenorBasis6M,R350,InterestRatesTrigger)</f>
        <v>#VALUE!</v>
      </c>
      <c r="AA350" s="30" t="e">
        <f t="shared" si="23"/>
        <v>#NUM!</v>
      </c>
    </row>
    <row r="351" spans="15:27" x14ac:dyDescent="0.2">
      <c r="O351" s="33">
        <v>1</v>
      </c>
      <c r="P351" s="27" t="str">
        <f>_xll.qlPeriodEquivalent(P350&amp;"+"&amp;O351&amp;"M")</f>
        <v>29Y</v>
      </c>
      <c r="Q351" s="28">
        <f>_xll.qlCalendarAdvance(Calendar,SettlementDate,P351,"f",,Trigger)</f>
        <v>52756</v>
      </c>
      <c r="R351" s="28">
        <f>_xll.qlInterestRateIndexValueDate(Index,Q351,Trigger)</f>
        <v>52758</v>
      </c>
      <c r="S351" s="28">
        <f>_xll.qlInterestRateIndexMaturity(Index,R351,Trigger)</f>
        <v>52789</v>
      </c>
      <c r="T351" s="30">
        <f>_xll.qlIndexFixing($M$6,Q351,,InterestRatesTrigger)</f>
        <v>1.6295856270214668E-2</v>
      </c>
      <c r="U351" s="30" t="e">
        <f>_xll.qlIndexFixing(Index,Q351,,InterestRatesTrigger)</f>
        <v>#NUM!</v>
      </c>
      <c r="V351" s="30" t="e">
        <f t="shared" si="22"/>
        <v>#NUM!</v>
      </c>
      <c r="W351" s="29">
        <f>_xll.qlDayCounterYearFraction(DayCounter,SettlementDate,R351,,,Trigger)</f>
        <v>29.430555555555557</v>
      </c>
      <c r="X351" s="29">
        <f>_xll.qlDayCounterYearFraction(DayCounter,R351,S351)</f>
        <v>8.611111111111111E-2</v>
      </c>
      <c r="Y351" s="29" t="e">
        <f>_xll.qlYieldTSDiscount(Currency&amp;"ON",R351)/(1+U351*X351)</f>
        <v>#NUM!</v>
      </c>
      <c r="Z351" s="30" t="e">
        <f>_xll.qlTenorBasisValue(TenorBasis6M,R351,InterestRatesTrigger)</f>
        <v>#VALUE!</v>
      </c>
      <c r="AA351" s="30" t="e">
        <f t="shared" si="23"/>
        <v>#NUM!</v>
      </c>
    </row>
    <row r="352" spans="15:27" x14ac:dyDescent="0.2">
      <c r="O352" s="33">
        <v>1</v>
      </c>
      <c r="P352" s="27" t="str">
        <f>_xll.qlPeriodEquivalent(P351&amp;"+"&amp;O352&amp;"M")</f>
        <v>29Y1M</v>
      </c>
      <c r="Q352" s="28">
        <f>_xll.qlCalendarAdvance(Calendar,SettlementDate,P352,"f",,Trigger)</f>
        <v>52786</v>
      </c>
      <c r="R352" s="28">
        <f>_xll.qlInterestRateIndexValueDate(Index,Q352,Trigger)</f>
        <v>52790</v>
      </c>
      <c r="S352" s="28">
        <f>_xll.qlInterestRateIndexMaturity(Index,R352,Trigger)</f>
        <v>52821</v>
      </c>
      <c r="T352" s="30">
        <f>_xll.qlIndexFixing($M$6,Q352,,InterestRatesTrigger)</f>
        <v>1.6314039794604097E-2</v>
      </c>
      <c r="U352" s="30" t="e">
        <f>_xll.qlIndexFixing(Index,Q352,,InterestRatesTrigger)</f>
        <v>#NUM!</v>
      </c>
      <c r="V352" s="30" t="e">
        <f t="shared" si="22"/>
        <v>#NUM!</v>
      </c>
      <c r="W352" s="29">
        <f>_xll.qlDayCounterYearFraction(DayCounter,SettlementDate,R352,,,Trigger)</f>
        <v>29.519444444444446</v>
      </c>
      <c r="X352" s="29">
        <f>_xll.qlDayCounterYearFraction(DayCounter,R352,S352)</f>
        <v>8.611111111111111E-2</v>
      </c>
      <c r="Y352" s="29" t="e">
        <f>_xll.qlYieldTSDiscount(Currency&amp;"ON",R352)/(1+U352*X352)</f>
        <v>#NUM!</v>
      </c>
      <c r="Z352" s="30" t="e">
        <f>_xll.qlTenorBasisValue(TenorBasis6M,R352,InterestRatesTrigger)</f>
        <v>#VALUE!</v>
      </c>
      <c r="AA352" s="30" t="e">
        <f t="shared" si="23"/>
        <v>#NUM!</v>
      </c>
    </row>
    <row r="353" spans="15:27" x14ac:dyDescent="0.2">
      <c r="O353" s="33">
        <v>1</v>
      </c>
      <c r="P353" s="27" t="str">
        <f>_xll.qlPeriodEquivalent(P352&amp;"+"&amp;O353&amp;"M")</f>
        <v>29Y2M</v>
      </c>
      <c r="Q353" s="28">
        <f>_xll.qlCalendarAdvance(Calendar,SettlementDate,P353,"f",,Trigger)</f>
        <v>52817</v>
      </c>
      <c r="R353" s="28">
        <f>_xll.qlInterestRateIndexValueDate(Index,Q353,Trigger)</f>
        <v>52819</v>
      </c>
      <c r="S353" s="28">
        <f>_xll.qlInterestRateIndexMaturity(Index,R353,Trigger)</f>
        <v>52852</v>
      </c>
      <c r="T353" s="30">
        <f>_xll.qlIndexFixing($M$6,Q353,,InterestRatesTrigger)</f>
        <v>1.6332134690684379E-2</v>
      </c>
      <c r="U353" s="30" t="e">
        <f>_xll.qlIndexFixing(Index,Q353,,InterestRatesTrigger)</f>
        <v>#NUM!</v>
      </c>
      <c r="V353" s="30" t="e">
        <f t="shared" si="22"/>
        <v>#NUM!</v>
      </c>
      <c r="W353" s="29">
        <f>_xll.qlDayCounterYearFraction(DayCounter,SettlementDate,R353,,,Trigger)</f>
        <v>29.6</v>
      </c>
      <c r="X353" s="29">
        <f>_xll.qlDayCounterYearFraction(DayCounter,R353,S353)</f>
        <v>9.166666666666666E-2</v>
      </c>
      <c r="Y353" s="29" t="e">
        <f>_xll.qlYieldTSDiscount(Currency&amp;"ON",R353)/(1+U353*X353)</f>
        <v>#NUM!</v>
      </c>
      <c r="Z353" s="30" t="e">
        <f>_xll.qlTenorBasisValue(TenorBasis6M,R353,InterestRatesTrigger)</f>
        <v>#VALUE!</v>
      </c>
      <c r="AA353" s="30" t="e">
        <f t="shared" si="23"/>
        <v>#NUM!</v>
      </c>
    </row>
    <row r="354" spans="15:27" x14ac:dyDescent="0.2">
      <c r="O354" s="33">
        <v>1</v>
      </c>
      <c r="P354" s="27" t="str">
        <f>_xll.qlPeriodEquivalent(P353&amp;"+"&amp;O354&amp;"M")</f>
        <v>29Y3M</v>
      </c>
      <c r="Q354" s="28">
        <f>_xll.qlCalendarAdvance(Calendar,SettlementDate,P354,"f",,Trigger)</f>
        <v>52848</v>
      </c>
      <c r="R354" s="28">
        <f>_xll.qlInterestRateIndexValueDate(Index,Q354,Trigger)</f>
        <v>52852</v>
      </c>
      <c r="S354" s="28">
        <f>_xll.qlInterestRateIndexMaturity(Index,R354,Trigger)</f>
        <v>52882</v>
      </c>
      <c r="T354" s="30">
        <f>_xll.qlIndexFixing($M$6,Q354,,InterestRatesTrigger)</f>
        <v>1.6349558914034112E-2</v>
      </c>
      <c r="U354" s="30" t="e">
        <f>_xll.qlIndexFixing(Index,Q354,,InterestRatesTrigger)</f>
        <v>#NUM!</v>
      </c>
      <c r="V354" s="30" t="e">
        <f t="shared" si="22"/>
        <v>#NUM!</v>
      </c>
      <c r="W354" s="29">
        <f>_xll.qlDayCounterYearFraction(DayCounter,SettlementDate,R354,,,Trigger)</f>
        <v>29.691666666666666</v>
      </c>
      <c r="X354" s="29">
        <f>_xll.qlDayCounterYearFraction(DayCounter,R354,S354)</f>
        <v>8.3333333333333329E-2</v>
      </c>
      <c r="Y354" s="29" t="e">
        <f>_xll.qlYieldTSDiscount(Currency&amp;"ON",R354)/(1+U354*X354)</f>
        <v>#NUM!</v>
      </c>
      <c r="Z354" s="30" t="e">
        <f>_xll.qlTenorBasisValue(TenorBasis6M,R354,InterestRatesTrigger)</f>
        <v>#VALUE!</v>
      </c>
      <c r="AA354" s="30" t="e">
        <f t="shared" si="23"/>
        <v>#NUM!</v>
      </c>
    </row>
    <row r="355" spans="15:27" x14ac:dyDescent="0.2">
      <c r="O355" s="33">
        <v>1</v>
      </c>
      <c r="P355" s="27" t="str">
        <f>_xll.qlPeriodEquivalent(P354&amp;"+"&amp;O355&amp;"M")</f>
        <v>29Y4M</v>
      </c>
      <c r="Q355" s="28">
        <f>_xll.qlCalendarAdvance(Calendar,SettlementDate,P355,"f",,Trigger)</f>
        <v>52880</v>
      </c>
      <c r="R355" s="28">
        <f>_xll.qlInterestRateIndexValueDate(Index,Q355,Trigger)</f>
        <v>52882</v>
      </c>
      <c r="S355" s="28">
        <f>_xll.qlInterestRateIndexMaturity(Index,R355,Trigger)</f>
        <v>52915</v>
      </c>
      <c r="T355" s="30">
        <f>_xll.qlIndexFixing($M$6,Q355,,InterestRatesTrigger)</f>
        <v>1.6369540996581996E-2</v>
      </c>
      <c r="U355" s="30" t="e">
        <f>_xll.qlIndexFixing(Index,Q355,,InterestRatesTrigger)</f>
        <v>#NUM!</v>
      </c>
      <c r="V355" s="30" t="e">
        <f t="shared" si="22"/>
        <v>#NUM!</v>
      </c>
      <c r="W355" s="29">
        <f>_xll.qlDayCounterYearFraction(DayCounter,SettlementDate,R355,,,Trigger)</f>
        <v>29.774999999999999</v>
      </c>
      <c r="X355" s="29">
        <f>_xll.qlDayCounterYearFraction(DayCounter,R355,S355)</f>
        <v>9.166666666666666E-2</v>
      </c>
      <c r="Y355" s="29" t="e">
        <f>_xll.qlYieldTSDiscount(Currency&amp;"ON",R355)/(1+U355*X355)</f>
        <v>#NUM!</v>
      </c>
      <c r="Z355" s="30" t="e">
        <f>_xll.qlTenorBasisValue(TenorBasis6M,R355,InterestRatesTrigger)</f>
        <v>#VALUE!</v>
      </c>
      <c r="AA355" s="30" t="e">
        <f t="shared" si="23"/>
        <v>#NUM!</v>
      </c>
    </row>
    <row r="356" spans="15:27" x14ac:dyDescent="0.2">
      <c r="O356" s="33">
        <v>1</v>
      </c>
      <c r="P356" s="27" t="str">
        <f>_xll.qlPeriodEquivalent(P355&amp;"+"&amp;O356&amp;"M")</f>
        <v>29Y5M</v>
      </c>
      <c r="Q356" s="28">
        <f>_xll.qlCalendarAdvance(Calendar,SettlementDate,P356,"f",,Trigger)</f>
        <v>52909</v>
      </c>
      <c r="R356" s="28">
        <f>_xll.qlInterestRateIndexValueDate(Index,Q356,Trigger)</f>
        <v>52911</v>
      </c>
      <c r="S356" s="28">
        <f>_xll.qlInterestRateIndexMaturity(Index,R356,Trigger)</f>
        <v>52943</v>
      </c>
      <c r="T356" s="30">
        <f>_xll.qlIndexFixing($M$6,Q356,,InterestRatesTrigger)</f>
        <v>1.638651766121213E-2</v>
      </c>
      <c r="U356" s="30" t="e">
        <f>_xll.qlIndexFixing(Index,Q356,,InterestRatesTrigger)</f>
        <v>#NUM!</v>
      </c>
      <c r="V356" s="30" t="e">
        <f t="shared" ref="V356:V419" si="24">U356-T356</f>
        <v>#NUM!</v>
      </c>
      <c r="W356" s="29">
        <f>_xll.qlDayCounterYearFraction(DayCounter,SettlementDate,R356,,,Trigger)</f>
        <v>29.855555555555554</v>
      </c>
      <c r="X356" s="29">
        <f>_xll.qlDayCounterYearFraction(DayCounter,R356,S356)</f>
        <v>8.8888888888888892E-2</v>
      </c>
      <c r="Y356" s="29" t="e">
        <f>_xll.qlYieldTSDiscount(Currency&amp;"ON",R356)/(1+U356*X356)</f>
        <v>#NUM!</v>
      </c>
      <c r="Z356" s="30" t="e">
        <f>_xll.qlTenorBasisValue(TenorBasis6M,R356,InterestRatesTrigger)</f>
        <v>#VALUE!</v>
      </c>
      <c r="AA356" s="30" t="e">
        <f t="shared" ref="AA356:AA419" si="25">V356-Z356</f>
        <v>#NUM!</v>
      </c>
    </row>
    <row r="357" spans="15:27" x14ac:dyDescent="0.2">
      <c r="O357" s="33">
        <v>1</v>
      </c>
      <c r="P357" s="27" t="str">
        <f>_xll.qlPeriodEquivalent(P356&amp;"+"&amp;O357&amp;"M")</f>
        <v>29Y6M</v>
      </c>
      <c r="Q357" s="28">
        <f>_xll.qlCalendarAdvance(Calendar,SettlementDate,P357,"f",,Trigger)</f>
        <v>52939</v>
      </c>
      <c r="R357" s="28">
        <f>_xll.qlInterestRateIndexValueDate(Index,Q357,Trigger)</f>
        <v>52943</v>
      </c>
      <c r="S357" s="28">
        <f>_xll.qlInterestRateIndexMaturity(Index,R357,Trigger)</f>
        <v>52974</v>
      </c>
      <c r="T357" s="30">
        <f>_xll.qlIndexFixing($M$6,Q357,,InterestRatesTrigger)</f>
        <v>1.6405629445744828E-2</v>
      </c>
      <c r="U357" s="30" t="e">
        <f>_xll.qlIndexFixing(Index,Q357,,InterestRatesTrigger)</f>
        <v>#NUM!</v>
      </c>
      <c r="V357" s="30" t="e">
        <f t="shared" si="24"/>
        <v>#NUM!</v>
      </c>
      <c r="W357" s="29">
        <f>_xll.qlDayCounterYearFraction(DayCounter,SettlementDate,R357,,,Trigger)</f>
        <v>29.944444444444443</v>
      </c>
      <c r="X357" s="29">
        <f>_xll.qlDayCounterYearFraction(DayCounter,R357,S357)</f>
        <v>8.611111111111111E-2</v>
      </c>
      <c r="Y357" s="29" t="e">
        <f>_xll.qlYieldTSDiscount(Currency&amp;"ON",R357)/(1+U357*X357)</f>
        <v>#NUM!</v>
      </c>
      <c r="Z357" s="30" t="e">
        <f>_xll.qlTenorBasisValue(TenorBasis6M,R357,InterestRatesTrigger)</f>
        <v>#VALUE!</v>
      </c>
      <c r="AA357" s="30" t="e">
        <f t="shared" si="25"/>
        <v>#NUM!</v>
      </c>
    </row>
    <row r="358" spans="15:27" x14ac:dyDescent="0.2">
      <c r="O358" s="33">
        <v>1</v>
      </c>
      <c r="P358" s="27" t="str">
        <f>_xll.qlPeriodEquivalent(P357&amp;"+"&amp;O358&amp;"M")</f>
        <v>29Y7M</v>
      </c>
      <c r="Q358" s="28">
        <f>_xll.qlCalendarAdvance(Calendar,SettlementDate,P358,"f",,Trigger)</f>
        <v>52971</v>
      </c>
      <c r="R358" s="28">
        <f>_xll.qlInterestRateIndexValueDate(Index,Q358,Trigger)</f>
        <v>52973</v>
      </c>
      <c r="S358" s="28">
        <f>_xll.qlInterestRateIndexMaturity(Index,R358,Trigger)</f>
        <v>53006</v>
      </c>
      <c r="T358" s="30">
        <f>_xll.qlIndexFixing($M$6,Q358,,InterestRatesTrigger)</f>
        <v>1.6425874658973848E-2</v>
      </c>
      <c r="U358" s="30" t="e">
        <f>_xll.qlIndexFixing(Index,Q358,,InterestRatesTrigger)</f>
        <v>#NUM!</v>
      </c>
      <c r="V358" s="30" t="e">
        <f t="shared" si="24"/>
        <v>#NUM!</v>
      </c>
      <c r="W358" s="29">
        <f>_xll.qlDayCounterYearFraction(DayCounter,SettlementDate,R358,,,Trigger)</f>
        <v>30.027777777777779</v>
      </c>
      <c r="X358" s="29">
        <f>_xll.qlDayCounterYearFraction(DayCounter,R358,S358)</f>
        <v>9.166666666666666E-2</v>
      </c>
      <c r="Y358" s="29" t="e">
        <f>_xll.qlYieldTSDiscount(Currency&amp;"ON",R358)/(1+U358*X358)</f>
        <v>#NUM!</v>
      </c>
      <c r="Z358" s="30" t="e">
        <f>_xll.qlTenorBasisValue(TenorBasis6M,R358,InterestRatesTrigger)</f>
        <v>#VALUE!</v>
      </c>
      <c r="AA358" s="30" t="e">
        <f t="shared" si="25"/>
        <v>#NUM!</v>
      </c>
    </row>
    <row r="359" spans="15:27" x14ac:dyDescent="0.2">
      <c r="O359" s="33">
        <v>1</v>
      </c>
      <c r="P359" s="27" t="str">
        <f>_xll.qlPeriodEquivalent(P358&amp;"+"&amp;O359&amp;"M")</f>
        <v>29Y8M</v>
      </c>
      <c r="Q359" s="28">
        <f>_xll.qlCalendarAdvance(Calendar,SettlementDate,P359,"f",,Trigger)</f>
        <v>53001</v>
      </c>
      <c r="R359" s="28">
        <f>_xll.qlInterestRateIndexValueDate(Index,Q359,Trigger)</f>
        <v>53003</v>
      </c>
      <c r="S359" s="28">
        <f>_xll.qlInterestRateIndexMaturity(Index,R359,Trigger)</f>
        <v>53031</v>
      </c>
      <c r="T359" s="30">
        <f>_xll.qlIndexFixing($M$6,Q359,,InterestRatesTrigger)</f>
        <v>1.6441553173872161E-2</v>
      </c>
      <c r="U359" s="30" t="e">
        <f>_xll.qlIndexFixing(Index,Q359,,InterestRatesTrigger)</f>
        <v>#NUM!</v>
      </c>
      <c r="V359" s="30" t="e">
        <f t="shared" si="24"/>
        <v>#NUM!</v>
      </c>
      <c r="W359" s="29">
        <f>_xll.qlDayCounterYearFraction(DayCounter,SettlementDate,R359,,,Trigger)</f>
        <v>30.111111111111111</v>
      </c>
      <c r="X359" s="29">
        <f>_xll.qlDayCounterYearFraction(DayCounter,R359,S359)</f>
        <v>7.7777777777777779E-2</v>
      </c>
      <c r="Y359" s="29" t="e">
        <f>_xll.qlYieldTSDiscount(Currency&amp;"ON",R359)/(1+U359*X359)</f>
        <v>#NUM!</v>
      </c>
      <c r="Z359" s="30" t="e">
        <f>_xll.qlTenorBasisValue(TenorBasis6M,R359,InterestRatesTrigger)</f>
        <v>#VALUE!</v>
      </c>
      <c r="AA359" s="30" t="e">
        <f t="shared" si="25"/>
        <v>#NUM!</v>
      </c>
    </row>
    <row r="360" spans="15:27" x14ac:dyDescent="0.2">
      <c r="O360" s="33">
        <v>1</v>
      </c>
      <c r="P360" s="27" t="str">
        <f>_xll.qlPeriodEquivalent(P359&amp;"+"&amp;O360&amp;"M")</f>
        <v>29Y9M</v>
      </c>
      <c r="Q360" s="28">
        <f>_xll.qlCalendarAdvance(Calendar,SettlementDate,P360,"f",,Trigger)</f>
        <v>53029</v>
      </c>
      <c r="R360" s="28">
        <f>_xll.qlInterestRateIndexValueDate(Index,Q360,Trigger)</f>
        <v>53031</v>
      </c>
      <c r="S360" s="28">
        <f>_xll.qlInterestRateIndexMaturity(Index,R360,Trigger)</f>
        <v>53063</v>
      </c>
      <c r="T360" s="30">
        <f>_xll.qlIndexFixing($M$6,Q360,,InterestRatesTrigger)</f>
        <v>1.6462495815632583E-2</v>
      </c>
      <c r="U360" s="30" t="e">
        <f>_xll.qlIndexFixing(Index,Q360,,InterestRatesTrigger)</f>
        <v>#NUM!</v>
      </c>
      <c r="V360" s="30" t="e">
        <f t="shared" si="24"/>
        <v>#NUM!</v>
      </c>
      <c r="W360" s="29">
        <f>_xll.qlDayCounterYearFraction(DayCounter,SettlementDate,R360,,,Trigger)</f>
        <v>30.18888888888889</v>
      </c>
      <c r="X360" s="29">
        <f>_xll.qlDayCounterYearFraction(DayCounter,R360,S360)</f>
        <v>8.8888888888888892E-2</v>
      </c>
      <c r="Y360" s="29" t="e">
        <f>_xll.qlYieldTSDiscount(Currency&amp;"ON",R360)/(1+U360*X360)</f>
        <v>#NUM!</v>
      </c>
      <c r="Z360" s="30" t="e">
        <f>_xll.qlTenorBasisValue(TenorBasis6M,R360,InterestRatesTrigger)</f>
        <v>#VALUE!</v>
      </c>
      <c r="AA360" s="30" t="e">
        <f t="shared" si="25"/>
        <v>#NUM!</v>
      </c>
    </row>
    <row r="361" spans="15:27" x14ac:dyDescent="0.2">
      <c r="O361" s="33">
        <v>1</v>
      </c>
      <c r="P361" s="27" t="str">
        <f>_xll.qlPeriodEquivalent(P360&amp;"+"&amp;O361&amp;"M")</f>
        <v>29Y10M</v>
      </c>
      <c r="Q361" s="28">
        <f>_xll.qlCalendarAdvance(Calendar,SettlementDate,P361,"f",,Trigger)</f>
        <v>53063</v>
      </c>
      <c r="R361" s="28">
        <f>_xll.qlInterestRateIndexValueDate(Index,Q361,Trigger)</f>
        <v>53065</v>
      </c>
      <c r="S361" s="28">
        <f>_xll.qlInterestRateIndexMaturity(Index,R361,Trigger)</f>
        <v>53097</v>
      </c>
      <c r="T361" s="30">
        <f>_xll.qlIndexFixing($M$6,Q361,,InterestRatesTrigger)</f>
        <v>1.6484883145260198E-2</v>
      </c>
      <c r="U361" s="30" t="e">
        <f>_xll.qlIndexFixing(Index,Q361,,InterestRatesTrigger)</f>
        <v>#NUM!</v>
      </c>
      <c r="V361" s="30" t="e">
        <f t="shared" si="24"/>
        <v>#NUM!</v>
      </c>
      <c r="W361" s="29">
        <f>_xll.qlDayCounterYearFraction(DayCounter,SettlementDate,R361,,,Trigger)</f>
        <v>30.283333333333335</v>
      </c>
      <c r="X361" s="29">
        <f>_xll.qlDayCounterYearFraction(DayCounter,R361,S361)</f>
        <v>8.8888888888888892E-2</v>
      </c>
      <c r="Y361" s="29" t="e">
        <f>_xll.qlYieldTSDiscount(Currency&amp;"ON",R361)/(1+U361*X361)</f>
        <v>#NUM!</v>
      </c>
      <c r="Z361" s="30" t="e">
        <f>_xll.qlTenorBasisValue(TenorBasis6M,R361,InterestRatesTrigger)</f>
        <v>#VALUE!</v>
      </c>
      <c r="AA361" s="30" t="e">
        <f t="shared" si="25"/>
        <v>#NUM!</v>
      </c>
    </row>
    <row r="362" spans="15:27" x14ac:dyDescent="0.2">
      <c r="O362" s="33">
        <v>1</v>
      </c>
      <c r="P362" s="27" t="str">
        <f>_xll.qlPeriodEquivalent(P361&amp;"+"&amp;O362&amp;"M")</f>
        <v>29Y11M</v>
      </c>
      <c r="Q362" s="28">
        <f>_xll.qlCalendarAdvance(Calendar,SettlementDate,P362,"f",,Trigger)</f>
        <v>53090</v>
      </c>
      <c r="R362" s="28">
        <f>_xll.qlInterestRateIndexValueDate(Index,Q362,Trigger)</f>
        <v>53092</v>
      </c>
      <c r="S362" s="28">
        <f>_xll.qlInterestRateIndexMaturity(Index,R362,Trigger)</f>
        <v>53125</v>
      </c>
      <c r="T362" s="30">
        <f>_xll.qlIndexFixing($M$6,Q362,,InterestRatesTrigger)</f>
        <v>1.6503647044579368E-2</v>
      </c>
      <c r="U362" s="30" t="e">
        <f>_xll.qlIndexFixing(Index,Q362,,InterestRatesTrigger)</f>
        <v>#NUM!</v>
      </c>
      <c r="V362" s="30" t="e">
        <f t="shared" si="24"/>
        <v>#NUM!</v>
      </c>
      <c r="W362" s="29">
        <f>_xll.qlDayCounterYearFraction(DayCounter,SettlementDate,R362,,,Trigger)</f>
        <v>30.358333333333334</v>
      </c>
      <c r="X362" s="29">
        <f>_xll.qlDayCounterYearFraction(DayCounter,R362,S362)</f>
        <v>9.166666666666666E-2</v>
      </c>
      <c r="Y362" s="29" t="e">
        <f>_xll.qlYieldTSDiscount(Currency&amp;"ON",R362)/(1+U362*X362)</f>
        <v>#NUM!</v>
      </c>
      <c r="Z362" s="30" t="e">
        <f>_xll.qlTenorBasisValue(TenorBasis6M,R362,InterestRatesTrigger)</f>
        <v>#VALUE!</v>
      </c>
      <c r="AA362" s="30" t="e">
        <f t="shared" si="25"/>
        <v>#NUM!</v>
      </c>
    </row>
    <row r="363" spans="15:27" x14ac:dyDescent="0.2">
      <c r="O363" s="33">
        <v>1</v>
      </c>
      <c r="P363" s="27" t="str">
        <f>_xll.qlPeriodEquivalent(P362&amp;"+"&amp;O363&amp;"M")</f>
        <v>30Y</v>
      </c>
      <c r="Q363" s="28">
        <f>_xll.qlCalendarAdvance(Calendar,SettlementDate,P363,"f",,Trigger)</f>
        <v>53121</v>
      </c>
      <c r="R363" s="28">
        <f>_xll.qlInterestRateIndexValueDate(Index,Q363,Trigger)</f>
        <v>53125</v>
      </c>
      <c r="S363" s="28">
        <f>_xll.qlInterestRateIndexMaturity(Index,R363,Trigger)</f>
        <v>53155</v>
      </c>
      <c r="T363" s="30">
        <f>_xll.qlIndexFixing($M$6,Q363,,InterestRatesTrigger)</f>
        <v>1.6523649633786164E-2</v>
      </c>
      <c r="U363" s="30" t="e">
        <f>_xll.qlIndexFixing(Index,Q363,,InterestRatesTrigger)</f>
        <v>#NUM!</v>
      </c>
      <c r="V363" s="30" t="e">
        <f t="shared" si="24"/>
        <v>#NUM!</v>
      </c>
      <c r="W363" s="29">
        <f>_xll.qlDayCounterYearFraction(DayCounter,SettlementDate,R363,,,Trigger)</f>
        <v>30.45</v>
      </c>
      <c r="X363" s="29">
        <f>_xll.qlDayCounterYearFraction(DayCounter,R363,S363)</f>
        <v>8.3333333333333329E-2</v>
      </c>
      <c r="Y363" s="29" t="e">
        <f>_xll.qlYieldTSDiscount(Currency&amp;"ON",R363)/(1+U363*X363)</f>
        <v>#NUM!</v>
      </c>
      <c r="Z363" s="30" t="e">
        <f>_xll.qlTenorBasisValue(TenorBasis6M,R363,InterestRatesTrigger)</f>
        <v>#VALUE!</v>
      </c>
      <c r="AA363" s="30" t="e">
        <f t="shared" si="25"/>
        <v>#NUM!</v>
      </c>
    </row>
    <row r="364" spans="15:27" x14ac:dyDescent="0.2">
      <c r="O364" s="33">
        <v>1</v>
      </c>
      <c r="P364" s="27" t="str">
        <f>_xll.qlPeriodEquivalent(P363&amp;"+"&amp;O364&amp;"M")</f>
        <v>30Y1M</v>
      </c>
      <c r="Q364" s="28">
        <f>_xll.qlCalendarAdvance(Calendar,SettlementDate,P364,"f",,Trigger)</f>
        <v>53153</v>
      </c>
      <c r="R364" s="28">
        <f>_xll.qlInterestRateIndexValueDate(Index,Q364,Trigger)</f>
        <v>53155</v>
      </c>
      <c r="S364" s="28">
        <f>_xll.qlInterestRateIndexMaturity(Index,R364,Trigger)</f>
        <v>53188</v>
      </c>
      <c r="T364" s="30">
        <f>_xll.qlIndexFixing($M$6,Q364,,InterestRatesTrigger)</f>
        <v>1.6545349542540905E-2</v>
      </c>
      <c r="U364" s="30" t="e">
        <f>_xll.qlIndexFixing(Index,Q364,,InterestRatesTrigger)</f>
        <v>#NUM!</v>
      </c>
      <c r="V364" s="30" t="e">
        <f t="shared" si="24"/>
        <v>#NUM!</v>
      </c>
      <c r="W364" s="29">
        <f>_xll.qlDayCounterYearFraction(DayCounter,SettlementDate,R364,,,Trigger)</f>
        <v>30.533333333333335</v>
      </c>
      <c r="X364" s="29">
        <f>_xll.qlDayCounterYearFraction(DayCounter,R364,S364)</f>
        <v>9.166666666666666E-2</v>
      </c>
      <c r="Y364" s="29" t="e">
        <f>_xll.qlYieldTSDiscount(Currency&amp;"ON",R364)/(1+U364*X364)</f>
        <v>#NUM!</v>
      </c>
      <c r="Z364" s="30" t="e">
        <f>_xll.qlTenorBasisValue(TenorBasis6M,R364,InterestRatesTrigger)</f>
        <v>#VALUE!</v>
      </c>
      <c r="AA364" s="30" t="e">
        <f t="shared" si="25"/>
        <v>#NUM!</v>
      </c>
    </row>
    <row r="365" spans="15:27" x14ac:dyDescent="0.2">
      <c r="O365" s="33">
        <v>1</v>
      </c>
      <c r="P365" s="27" t="str">
        <f>_xll.qlPeriodEquivalent(P364&amp;"+"&amp;O365&amp;"M")</f>
        <v>30Y2M</v>
      </c>
      <c r="Q365" s="28">
        <f>_xll.qlCalendarAdvance(Calendar,SettlementDate,P365,"f",,Trigger)</f>
        <v>53182</v>
      </c>
      <c r="R365" s="28">
        <f>_xll.qlInterestRateIndexValueDate(Index,Q365,Trigger)</f>
        <v>53184</v>
      </c>
      <c r="S365" s="28">
        <f>_xll.qlInterestRateIndexMaturity(Index,R365,Trigger)</f>
        <v>53216</v>
      </c>
      <c r="T365" s="30">
        <f>_xll.qlIndexFixing($M$6,Q365,,InterestRatesTrigger)</f>
        <v>1.6562983297003508E-2</v>
      </c>
      <c r="U365" s="30" t="e">
        <f>_xll.qlIndexFixing(Index,Q365,,InterestRatesTrigger)</f>
        <v>#NUM!</v>
      </c>
      <c r="V365" s="30" t="e">
        <f t="shared" si="24"/>
        <v>#NUM!</v>
      </c>
      <c r="W365" s="29">
        <f>_xll.qlDayCounterYearFraction(DayCounter,SettlementDate,R365,,,Trigger)</f>
        <v>30.613888888888887</v>
      </c>
      <c r="X365" s="29">
        <f>_xll.qlDayCounterYearFraction(DayCounter,R365,S365)</f>
        <v>8.8888888888888892E-2</v>
      </c>
      <c r="Y365" s="29" t="e">
        <f>_xll.qlYieldTSDiscount(Currency&amp;"ON",R365)/(1+U365*X365)</f>
        <v>#NUM!</v>
      </c>
      <c r="Z365" s="30" t="e">
        <f>_xll.qlTenorBasisValue(TenorBasis6M,R365,InterestRatesTrigger)</f>
        <v>#VALUE!</v>
      </c>
      <c r="AA365" s="30" t="e">
        <f t="shared" si="25"/>
        <v>#NUM!</v>
      </c>
    </row>
    <row r="366" spans="15:27" x14ac:dyDescent="0.2">
      <c r="O366" s="33">
        <v>1</v>
      </c>
      <c r="P366" s="27" t="str">
        <f>_xll.qlPeriodEquivalent(P365&amp;"+"&amp;O366&amp;"M")</f>
        <v>30Y3M</v>
      </c>
      <c r="Q366" s="28">
        <f>_xll.qlCalendarAdvance(Calendar,SettlementDate,P366,"f",,Trigger)</f>
        <v>53213</v>
      </c>
      <c r="R366" s="28">
        <f>_xll.qlInterestRateIndexValueDate(Index,Q366,Trigger)</f>
        <v>53217</v>
      </c>
      <c r="S366" s="28">
        <f>_xll.qlInterestRateIndexMaturity(Index,R366,Trigger)</f>
        <v>53247</v>
      </c>
      <c r="T366" s="30">
        <f>_xll.qlIndexFixing($M$6,Q366,,InterestRatesTrigger)</f>
        <v>1.6581771828744429E-2</v>
      </c>
      <c r="U366" s="30" t="e">
        <f>_xll.qlIndexFixing(Index,Q366,,InterestRatesTrigger)</f>
        <v>#NUM!</v>
      </c>
      <c r="V366" s="30" t="e">
        <f t="shared" si="24"/>
        <v>#NUM!</v>
      </c>
      <c r="W366" s="29">
        <f>_xll.qlDayCounterYearFraction(DayCounter,SettlementDate,R366,,,Trigger)</f>
        <v>30.705555555555556</v>
      </c>
      <c r="X366" s="29">
        <f>_xll.qlDayCounterYearFraction(DayCounter,R366,S366)</f>
        <v>8.3333333333333329E-2</v>
      </c>
      <c r="Y366" s="29" t="e">
        <f>_xll.qlYieldTSDiscount(Currency&amp;"ON",R366)/(1+U366*X366)</f>
        <v>#NUM!</v>
      </c>
      <c r="Z366" s="30" t="e">
        <f>_xll.qlTenorBasisValue(TenorBasis6M,R366,InterestRatesTrigger)</f>
        <v>#VALUE!</v>
      </c>
      <c r="AA366" s="30" t="e">
        <f t="shared" si="25"/>
        <v>#NUM!</v>
      </c>
    </row>
    <row r="367" spans="15:27" x14ac:dyDescent="0.2">
      <c r="O367" s="33">
        <v>1</v>
      </c>
      <c r="P367" s="27" t="str">
        <f>_xll.qlPeriodEquivalent(P366&amp;"+"&amp;O367&amp;"M")</f>
        <v>30Y4M</v>
      </c>
      <c r="Q367" s="28">
        <f>_xll.qlCalendarAdvance(Calendar,SettlementDate,P367,"f",,Trigger)</f>
        <v>53244</v>
      </c>
      <c r="R367" s="28">
        <f>_xll.qlInterestRateIndexValueDate(Index,Q367,Trigger)</f>
        <v>53246</v>
      </c>
      <c r="S367" s="28">
        <f>_xll.qlInterestRateIndexMaturity(Index,R367,Trigger)</f>
        <v>53279</v>
      </c>
      <c r="T367" s="30">
        <f>_xll.qlIndexFixing($M$6,Q367,,InterestRatesTrigger)</f>
        <v>1.6600879246915022E-2</v>
      </c>
      <c r="U367" s="30" t="e">
        <f>_xll.qlIndexFixing(Index,Q367,,InterestRatesTrigger)</f>
        <v>#NUM!</v>
      </c>
      <c r="V367" s="30" t="e">
        <f t="shared" si="24"/>
        <v>#NUM!</v>
      </c>
      <c r="W367" s="29">
        <f>_xll.qlDayCounterYearFraction(DayCounter,SettlementDate,R367,,,Trigger)</f>
        <v>30.786111111111111</v>
      </c>
      <c r="X367" s="29">
        <f>_xll.qlDayCounterYearFraction(DayCounter,R367,S367)</f>
        <v>9.166666666666666E-2</v>
      </c>
      <c r="Y367" s="29" t="e">
        <f>_xll.qlYieldTSDiscount(Currency&amp;"ON",R367)/(1+U367*X367)</f>
        <v>#NUM!</v>
      </c>
      <c r="Z367" s="30" t="e">
        <f>_xll.qlTenorBasisValue(TenorBasis6M,R367,InterestRatesTrigger)</f>
        <v>#VALUE!</v>
      </c>
      <c r="AA367" s="30" t="e">
        <f t="shared" si="25"/>
        <v>#NUM!</v>
      </c>
    </row>
    <row r="368" spans="15:27" x14ac:dyDescent="0.2">
      <c r="O368" s="33">
        <v>1</v>
      </c>
      <c r="P368" s="27" t="str">
        <f>_xll.qlPeriodEquivalent(P367&amp;"+"&amp;O368&amp;"M")</f>
        <v>30Y5M</v>
      </c>
      <c r="Q368" s="28">
        <f>_xll.qlCalendarAdvance(Calendar,SettlementDate,P368,"f",,Trigger)</f>
        <v>53274</v>
      </c>
      <c r="R368" s="28">
        <f>_xll.qlInterestRateIndexValueDate(Index,Q368,Trigger)</f>
        <v>53276</v>
      </c>
      <c r="S368" s="28">
        <f>_xll.qlInterestRateIndexMaturity(Index,R368,Trigger)</f>
        <v>53307</v>
      </c>
      <c r="T368" s="30">
        <f>_xll.qlIndexFixing($M$6,Q368,,InterestRatesTrigger)</f>
        <v>1.6616598336145986E-2</v>
      </c>
      <c r="U368" s="30" t="e">
        <f>_xll.qlIndexFixing(Index,Q368,,InterestRatesTrigger)</f>
        <v>#NUM!</v>
      </c>
      <c r="V368" s="30" t="e">
        <f t="shared" si="24"/>
        <v>#NUM!</v>
      </c>
      <c r="W368" s="29">
        <f>_xll.qlDayCounterYearFraction(DayCounter,SettlementDate,R368,,,Trigger)</f>
        <v>30.869444444444444</v>
      </c>
      <c r="X368" s="29">
        <f>_xll.qlDayCounterYearFraction(DayCounter,R368,S368)</f>
        <v>8.611111111111111E-2</v>
      </c>
      <c r="Y368" s="29" t="e">
        <f>_xll.qlYieldTSDiscount(Currency&amp;"ON",R368)/(1+U368*X368)</f>
        <v>#NUM!</v>
      </c>
      <c r="Z368" s="30" t="e">
        <f>_xll.qlTenorBasisValue(TenorBasis6M,R368,InterestRatesTrigger)</f>
        <v>#VALUE!</v>
      </c>
      <c r="AA368" s="30" t="e">
        <f t="shared" si="25"/>
        <v>#NUM!</v>
      </c>
    </row>
    <row r="369" spans="15:27" x14ac:dyDescent="0.2">
      <c r="O369" s="33">
        <v>1</v>
      </c>
      <c r="P369" s="27" t="str">
        <f>_xll.qlPeriodEquivalent(P368&amp;"+"&amp;O369&amp;"M")</f>
        <v>30Y6M</v>
      </c>
      <c r="Q369" s="28">
        <f>_xll.qlCalendarAdvance(Calendar,SettlementDate,P369,"f",,Trigger)</f>
        <v>53304</v>
      </c>
      <c r="R369" s="28">
        <f>_xll.qlInterestRateIndexValueDate(Index,Q369,Trigger)</f>
        <v>53308</v>
      </c>
      <c r="S369" s="28">
        <f>_xll.qlInterestRateIndexMaturity(Index,R369,Trigger)</f>
        <v>53339</v>
      </c>
      <c r="T369" s="30">
        <f>_xll.qlIndexFixing($M$6,Q369,,InterestRatesTrigger)</f>
        <v>1.6634102638256994E-2</v>
      </c>
      <c r="U369" s="30" t="e">
        <f>_xll.qlIndexFixing(Index,Q369,,InterestRatesTrigger)</f>
        <v>#NUM!</v>
      </c>
      <c r="V369" s="30" t="e">
        <f t="shared" si="24"/>
        <v>#NUM!</v>
      </c>
      <c r="W369" s="29">
        <f>_xll.qlDayCounterYearFraction(DayCounter,SettlementDate,R369,,,Trigger)</f>
        <v>30.958333333333332</v>
      </c>
      <c r="X369" s="29">
        <f>_xll.qlDayCounterYearFraction(DayCounter,R369,S369)</f>
        <v>8.611111111111111E-2</v>
      </c>
      <c r="Y369" s="29" t="e">
        <f>_xll.qlYieldTSDiscount(Currency&amp;"ON",R369)/(1+U369*X369)</f>
        <v>#NUM!</v>
      </c>
      <c r="Z369" s="30" t="e">
        <f>_xll.qlTenorBasisValue(TenorBasis6M,R369,InterestRatesTrigger)</f>
        <v>#VALUE!</v>
      </c>
      <c r="AA369" s="30" t="e">
        <f t="shared" si="25"/>
        <v>#NUM!</v>
      </c>
    </row>
    <row r="370" spans="15:27" x14ac:dyDescent="0.2">
      <c r="O370" s="33">
        <v>1</v>
      </c>
      <c r="P370" s="27" t="str">
        <f>_xll.qlPeriodEquivalent(P369&amp;"+"&amp;O370&amp;"M")</f>
        <v>30Y7M</v>
      </c>
      <c r="Q370" s="28">
        <f>_xll.qlCalendarAdvance(Calendar,SettlementDate,P370,"f",,Trigger)</f>
        <v>53335</v>
      </c>
      <c r="R370" s="28">
        <f>_xll.qlInterestRateIndexValueDate(Index,Q370,Trigger)</f>
        <v>53337</v>
      </c>
      <c r="S370" s="28">
        <f>_xll.qlInterestRateIndexMaturity(Index,R370,Trigger)</f>
        <v>53370</v>
      </c>
      <c r="T370" s="30">
        <f>_xll.qlIndexFixing($M$6,Q370,,InterestRatesTrigger)</f>
        <v>1.6650629944682555E-2</v>
      </c>
      <c r="U370" s="30" t="e">
        <f>_xll.qlIndexFixing(Index,Q370,,InterestRatesTrigger)</f>
        <v>#NUM!</v>
      </c>
      <c r="V370" s="30" t="e">
        <f t="shared" si="24"/>
        <v>#NUM!</v>
      </c>
      <c r="W370" s="29">
        <f>_xll.qlDayCounterYearFraction(DayCounter,SettlementDate,R370,,,Trigger)</f>
        <v>31.038888888888888</v>
      </c>
      <c r="X370" s="29">
        <f>_xll.qlDayCounterYearFraction(DayCounter,R370,S370)</f>
        <v>9.166666666666666E-2</v>
      </c>
      <c r="Y370" s="29" t="e">
        <f>_xll.qlYieldTSDiscount(Currency&amp;"ON",R370)/(1+U370*X370)</f>
        <v>#NUM!</v>
      </c>
      <c r="Z370" s="30" t="e">
        <f>_xll.qlTenorBasisValue(TenorBasis6M,R370,InterestRatesTrigger)</f>
        <v>#VALUE!</v>
      </c>
      <c r="AA370" s="30" t="e">
        <f t="shared" si="25"/>
        <v>#NUM!</v>
      </c>
    </row>
    <row r="371" spans="15:27" x14ac:dyDescent="0.2">
      <c r="O371" s="33">
        <v>1</v>
      </c>
      <c r="P371" s="27" t="str">
        <f>_xll.qlPeriodEquivalent(P370&amp;"+"&amp;O371&amp;"M")</f>
        <v>30Y8M</v>
      </c>
      <c r="Q371" s="28">
        <f>_xll.qlCalendarAdvance(Calendar,SettlementDate,P371,"f",,Trigger)</f>
        <v>53366</v>
      </c>
      <c r="R371" s="28">
        <f>_xll.qlInterestRateIndexValueDate(Index,Q371,Trigger)</f>
        <v>53370</v>
      </c>
      <c r="S371" s="28">
        <f>_xll.qlInterestRateIndexMaturity(Index,R371,Trigger)</f>
        <v>53398</v>
      </c>
      <c r="T371" s="30">
        <f>_xll.qlIndexFixing($M$6,Q371,,InterestRatesTrigger)</f>
        <v>1.6664092697994879E-2</v>
      </c>
      <c r="U371" s="30" t="e">
        <f>_xll.qlIndexFixing(Index,Q371,,InterestRatesTrigger)</f>
        <v>#NUM!</v>
      </c>
      <c r="V371" s="30" t="e">
        <f t="shared" si="24"/>
        <v>#NUM!</v>
      </c>
      <c r="W371" s="29">
        <f>_xll.qlDayCounterYearFraction(DayCounter,SettlementDate,R371,,,Trigger)</f>
        <v>31.130555555555556</v>
      </c>
      <c r="X371" s="29">
        <f>_xll.qlDayCounterYearFraction(DayCounter,R371,S371)</f>
        <v>7.7777777777777779E-2</v>
      </c>
      <c r="Y371" s="29" t="e">
        <f>_xll.qlYieldTSDiscount(Currency&amp;"ON",R371)/(1+U371*X371)</f>
        <v>#NUM!</v>
      </c>
      <c r="Z371" s="30" t="e">
        <f>_xll.qlTenorBasisValue(TenorBasis6M,R371,InterestRatesTrigger)</f>
        <v>#VALUE!</v>
      </c>
      <c r="AA371" s="30" t="e">
        <f t="shared" si="25"/>
        <v>#NUM!</v>
      </c>
    </row>
    <row r="372" spans="15:27" x14ac:dyDescent="0.2">
      <c r="O372" s="33">
        <v>1</v>
      </c>
      <c r="P372" s="27" t="str">
        <f>_xll.qlPeriodEquivalent(P371&amp;"+"&amp;O372&amp;"M")</f>
        <v>30Y9M</v>
      </c>
      <c r="Q372" s="28">
        <f>_xll.qlCalendarAdvance(Calendar,SettlementDate,P372,"f",,Trigger)</f>
        <v>53394</v>
      </c>
      <c r="R372" s="28">
        <f>_xll.qlInterestRateIndexValueDate(Index,Q372,Trigger)</f>
        <v>53398</v>
      </c>
      <c r="S372" s="28">
        <f>_xll.qlInterestRateIndexMaturity(Index,R372,Trigger)</f>
        <v>53429</v>
      </c>
      <c r="T372" s="30">
        <f>_xll.qlIndexFixing($M$6,Q372,,InterestRatesTrigger)</f>
        <v>1.6679502516892847E-2</v>
      </c>
      <c r="U372" s="30" t="e">
        <f>_xll.qlIndexFixing(Index,Q372,,InterestRatesTrigger)</f>
        <v>#NUM!</v>
      </c>
      <c r="V372" s="30" t="e">
        <f t="shared" si="24"/>
        <v>#NUM!</v>
      </c>
      <c r="W372" s="29">
        <f>_xll.qlDayCounterYearFraction(DayCounter,SettlementDate,R372,,,Trigger)</f>
        <v>31.208333333333332</v>
      </c>
      <c r="X372" s="29">
        <f>_xll.qlDayCounterYearFraction(DayCounter,R372,S372)</f>
        <v>8.611111111111111E-2</v>
      </c>
      <c r="Y372" s="29" t="e">
        <f>_xll.qlYieldTSDiscount(Currency&amp;"ON",R372)/(1+U372*X372)</f>
        <v>#NUM!</v>
      </c>
      <c r="Z372" s="30" t="e">
        <f>_xll.qlTenorBasisValue(TenorBasis6M,R372,InterestRatesTrigger)</f>
        <v>#VALUE!</v>
      </c>
      <c r="AA372" s="30" t="e">
        <f t="shared" si="25"/>
        <v>#NUM!</v>
      </c>
    </row>
    <row r="373" spans="15:27" x14ac:dyDescent="0.2">
      <c r="O373" s="33">
        <v>1</v>
      </c>
      <c r="P373" s="27" t="str">
        <f>_xll.qlPeriodEquivalent(P372&amp;"+"&amp;O373&amp;"M")</f>
        <v>30Y10M</v>
      </c>
      <c r="Q373" s="28">
        <f>_xll.qlCalendarAdvance(Calendar,SettlementDate,P373,"f",,Trigger)</f>
        <v>53426</v>
      </c>
      <c r="R373" s="28">
        <f>_xll.qlInterestRateIndexValueDate(Index,Q373,Trigger)</f>
        <v>53428</v>
      </c>
      <c r="S373" s="28">
        <f>_xll.qlInterestRateIndexMaturity(Index,R373,Trigger)</f>
        <v>53458</v>
      </c>
      <c r="T373" s="30">
        <f>_xll.qlIndexFixing($M$6,Q373,,InterestRatesTrigger)</f>
        <v>1.6692768539849467E-2</v>
      </c>
      <c r="U373" s="30" t="e">
        <f>_xll.qlIndexFixing(Index,Q373,,InterestRatesTrigger)</f>
        <v>#NUM!</v>
      </c>
      <c r="V373" s="30" t="e">
        <f t="shared" si="24"/>
        <v>#NUM!</v>
      </c>
      <c r="W373" s="29">
        <f>_xll.qlDayCounterYearFraction(DayCounter,SettlementDate,R373,,,Trigger)</f>
        <v>31.291666666666668</v>
      </c>
      <c r="X373" s="29">
        <f>_xll.qlDayCounterYearFraction(DayCounter,R373,S373)</f>
        <v>8.3333333333333329E-2</v>
      </c>
      <c r="Y373" s="29" t="e">
        <f>_xll.qlYieldTSDiscount(Currency&amp;"ON",R373)/(1+U373*X373)</f>
        <v>#NUM!</v>
      </c>
      <c r="Z373" s="30" t="e">
        <f>_xll.qlTenorBasisValue(TenorBasis6M,R373,InterestRatesTrigger)</f>
        <v>#VALUE!</v>
      </c>
      <c r="AA373" s="30" t="e">
        <f t="shared" si="25"/>
        <v>#NUM!</v>
      </c>
    </row>
    <row r="374" spans="15:27" x14ac:dyDescent="0.2">
      <c r="O374" s="33">
        <v>1</v>
      </c>
      <c r="P374" s="27" t="str">
        <f>_xll.qlPeriodEquivalent(P373&amp;"+"&amp;O374&amp;"M")</f>
        <v>30Y11M</v>
      </c>
      <c r="Q374" s="28">
        <f>_xll.qlCalendarAdvance(Calendar,SettlementDate,P374,"f",,Trigger)</f>
        <v>53455</v>
      </c>
      <c r="R374" s="28">
        <f>_xll.qlInterestRateIndexValueDate(Index,Q374,Trigger)</f>
        <v>53457</v>
      </c>
      <c r="S374" s="28">
        <f>_xll.qlInterestRateIndexMaturity(Index,R374,Trigger)</f>
        <v>53489</v>
      </c>
      <c r="T374" s="30">
        <f>_xll.qlIndexFixing($M$6,Q374,,InterestRatesTrigger)</f>
        <v>1.670679889756943E-2</v>
      </c>
      <c r="U374" s="30" t="e">
        <f>_xll.qlIndexFixing(Index,Q374,,InterestRatesTrigger)</f>
        <v>#NUM!</v>
      </c>
      <c r="V374" s="30" t="e">
        <f t="shared" si="24"/>
        <v>#NUM!</v>
      </c>
      <c r="W374" s="29">
        <f>_xll.qlDayCounterYearFraction(DayCounter,SettlementDate,R374,,,Trigger)</f>
        <v>31.372222222222224</v>
      </c>
      <c r="X374" s="29">
        <f>_xll.qlDayCounterYearFraction(DayCounter,R374,S374)</f>
        <v>8.8888888888888892E-2</v>
      </c>
      <c r="Y374" s="29" t="e">
        <f>_xll.qlYieldTSDiscount(Currency&amp;"ON",R374)/(1+U374*X374)</f>
        <v>#NUM!</v>
      </c>
      <c r="Z374" s="30" t="e">
        <f>_xll.qlTenorBasisValue(TenorBasis6M,R374,InterestRatesTrigger)</f>
        <v>#VALUE!</v>
      </c>
      <c r="AA374" s="30" t="e">
        <f t="shared" si="25"/>
        <v>#NUM!</v>
      </c>
    </row>
    <row r="375" spans="15:27" x14ac:dyDescent="0.2">
      <c r="O375" s="33">
        <v>1</v>
      </c>
      <c r="P375" s="27" t="str">
        <f>_xll.qlPeriodEquivalent(P374&amp;"+"&amp;O375&amp;"M")</f>
        <v>31Y</v>
      </c>
      <c r="Q375" s="28">
        <f>_xll.qlCalendarAdvance(Calendar,SettlementDate,P375,"f",,Trigger)</f>
        <v>53486</v>
      </c>
      <c r="R375" s="28">
        <f>_xll.qlInterestRateIndexValueDate(Index,Q375,Trigger)</f>
        <v>53490</v>
      </c>
      <c r="S375" s="28">
        <f>_xll.qlInterestRateIndexMaturity(Index,R375,Trigger)</f>
        <v>53520</v>
      </c>
      <c r="T375" s="30">
        <f>_xll.qlIndexFixing($M$6,Q375,,InterestRatesTrigger)</f>
        <v>1.6719478360455398E-2</v>
      </c>
      <c r="U375" s="30" t="e">
        <f>_xll.qlIndexFixing(Index,Q375,,InterestRatesTrigger)</f>
        <v>#NUM!</v>
      </c>
      <c r="V375" s="30" t="e">
        <f t="shared" si="24"/>
        <v>#NUM!</v>
      </c>
      <c r="W375" s="29">
        <f>_xll.qlDayCounterYearFraction(DayCounter,SettlementDate,R375,,,Trigger)</f>
        <v>31.463888888888889</v>
      </c>
      <c r="X375" s="29">
        <f>_xll.qlDayCounterYearFraction(DayCounter,R375,S375)</f>
        <v>8.3333333333333329E-2</v>
      </c>
      <c r="Y375" s="29" t="e">
        <f>_xll.qlYieldTSDiscount(Currency&amp;"ON",R375)/(1+U375*X375)</f>
        <v>#NUM!</v>
      </c>
      <c r="Z375" s="30" t="e">
        <f>_xll.qlTenorBasisValue(TenorBasis6M,R375,InterestRatesTrigger)</f>
        <v>#VALUE!</v>
      </c>
      <c r="AA375" s="30" t="e">
        <f t="shared" si="25"/>
        <v>#NUM!</v>
      </c>
    </row>
    <row r="376" spans="15:27" x14ac:dyDescent="0.2">
      <c r="O376" s="33">
        <v>1</v>
      </c>
      <c r="P376" s="27" t="str">
        <f>_xll.qlPeriodEquivalent(P375&amp;"+"&amp;O376&amp;"M")</f>
        <v>31Y1M</v>
      </c>
      <c r="Q376" s="28">
        <f>_xll.qlCalendarAdvance(Calendar,SettlementDate,P376,"f",,Trigger)</f>
        <v>53517</v>
      </c>
      <c r="R376" s="28">
        <f>_xll.qlInterestRateIndexValueDate(Index,Q376,Trigger)</f>
        <v>53519</v>
      </c>
      <c r="S376" s="28">
        <f>_xll.qlInterestRateIndexMaturity(Index,R376,Trigger)</f>
        <v>53552</v>
      </c>
      <c r="T376" s="30">
        <f>_xll.qlIndexFixing($M$6,Q376,,InterestRatesTrigger)</f>
        <v>1.6732794013748598E-2</v>
      </c>
      <c r="U376" s="30" t="e">
        <f>_xll.qlIndexFixing(Index,Q376,,InterestRatesTrigger)</f>
        <v>#NUM!</v>
      </c>
      <c r="V376" s="30" t="e">
        <f t="shared" si="24"/>
        <v>#NUM!</v>
      </c>
      <c r="W376" s="29">
        <f>_xll.qlDayCounterYearFraction(DayCounter,SettlementDate,R376,,,Trigger)</f>
        <v>31.544444444444444</v>
      </c>
      <c r="X376" s="29">
        <f>_xll.qlDayCounterYearFraction(DayCounter,R376,S376)</f>
        <v>9.166666666666666E-2</v>
      </c>
      <c r="Y376" s="29" t="e">
        <f>_xll.qlYieldTSDiscount(Currency&amp;"ON",R376)/(1+U376*X376)</f>
        <v>#NUM!</v>
      </c>
      <c r="Z376" s="30" t="e">
        <f>_xll.qlTenorBasisValue(TenorBasis6M,R376,InterestRatesTrigger)</f>
        <v>#VALUE!</v>
      </c>
      <c r="AA376" s="30" t="e">
        <f t="shared" si="25"/>
        <v>#NUM!</v>
      </c>
    </row>
    <row r="377" spans="15:27" x14ac:dyDescent="0.2">
      <c r="O377" s="33">
        <v>1</v>
      </c>
      <c r="P377" s="27" t="str">
        <f>_xll.qlPeriodEquivalent(P376&amp;"+"&amp;O377&amp;"M")</f>
        <v>31Y2M</v>
      </c>
      <c r="Q377" s="28">
        <f>_xll.qlCalendarAdvance(Calendar,SettlementDate,P377,"f",,Trigger)</f>
        <v>53547</v>
      </c>
      <c r="R377" s="28">
        <f>_xll.qlInterestRateIndexValueDate(Index,Q377,Trigger)</f>
        <v>53549</v>
      </c>
      <c r="S377" s="28">
        <f>_xll.qlInterestRateIndexMaturity(Index,R377,Trigger)</f>
        <v>53580</v>
      </c>
      <c r="T377" s="30">
        <f>_xll.qlIndexFixing($M$6,Q377,,InterestRatesTrigger)</f>
        <v>1.6742976297810609E-2</v>
      </c>
      <c r="U377" s="30" t="e">
        <f>_xll.qlIndexFixing(Index,Q377,,InterestRatesTrigger)</f>
        <v>#NUM!</v>
      </c>
      <c r="V377" s="30" t="e">
        <f t="shared" si="24"/>
        <v>#NUM!</v>
      </c>
      <c r="W377" s="29">
        <f>_xll.qlDayCounterYearFraction(DayCounter,SettlementDate,R377,,,Trigger)</f>
        <v>31.627777777777776</v>
      </c>
      <c r="X377" s="29">
        <f>_xll.qlDayCounterYearFraction(DayCounter,R377,S377)</f>
        <v>8.611111111111111E-2</v>
      </c>
      <c r="Y377" s="29" t="e">
        <f>_xll.qlYieldTSDiscount(Currency&amp;"ON",R377)/(1+U377*X377)</f>
        <v>#NUM!</v>
      </c>
      <c r="Z377" s="30" t="e">
        <f>_xll.qlTenorBasisValue(TenorBasis6M,R377,InterestRatesTrigger)</f>
        <v>#VALUE!</v>
      </c>
      <c r="AA377" s="30" t="e">
        <f t="shared" si="25"/>
        <v>#NUM!</v>
      </c>
    </row>
    <row r="378" spans="15:27" x14ac:dyDescent="0.2">
      <c r="O378" s="33">
        <v>1</v>
      </c>
      <c r="P378" s="27" t="str">
        <f>_xll.qlPeriodEquivalent(P377&amp;"+"&amp;O378&amp;"M")</f>
        <v>31Y3M</v>
      </c>
      <c r="Q378" s="28">
        <f>_xll.qlCalendarAdvance(Calendar,SettlementDate,P378,"f",,Trigger)</f>
        <v>53580</v>
      </c>
      <c r="R378" s="28">
        <f>_xll.qlInterestRateIndexValueDate(Index,Q378,Trigger)</f>
        <v>53582</v>
      </c>
      <c r="S378" s="28">
        <f>_xll.qlInterestRateIndexMaturity(Index,R378,Trigger)</f>
        <v>53612</v>
      </c>
      <c r="T378" s="30">
        <f>_xll.qlIndexFixing($M$6,Q378,,InterestRatesTrigger)</f>
        <v>1.6754169134279628E-2</v>
      </c>
      <c r="U378" s="30" t="e">
        <f>_xll.qlIndexFixing(Index,Q378,,InterestRatesTrigger)</f>
        <v>#NUM!</v>
      </c>
      <c r="V378" s="30" t="e">
        <f t="shared" si="24"/>
        <v>#NUM!</v>
      </c>
      <c r="W378" s="29">
        <f>_xll.qlDayCounterYearFraction(DayCounter,SettlementDate,R378,,,Trigger)</f>
        <v>31.719444444444445</v>
      </c>
      <c r="X378" s="29">
        <f>_xll.qlDayCounterYearFraction(DayCounter,R378,S378)</f>
        <v>8.3333333333333329E-2</v>
      </c>
      <c r="Y378" s="29" t="e">
        <f>_xll.qlYieldTSDiscount(Currency&amp;"ON",R378)/(1+U378*X378)</f>
        <v>#NUM!</v>
      </c>
      <c r="Z378" s="30" t="e">
        <f>_xll.qlTenorBasisValue(TenorBasis6M,R378,InterestRatesTrigger)</f>
        <v>#VALUE!</v>
      </c>
      <c r="AA378" s="30" t="e">
        <f t="shared" si="25"/>
        <v>#NUM!</v>
      </c>
    </row>
    <row r="379" spans="15:27" x14ac:dyDescent="0.2">
      <c r="O379" s="33">
        <v>1</v>
      </c>
      <c r="P379" s="27" t="str">
        <f>_xll.qlPeriodEquivalent(P378&amp;"+"&amp;O379&amp;"M")</f>
        <v>31Y4M</v>
      </c>
      <c r="Q379" s="28">
        <f>_xll.qlCalendarAdvance(Calendar,SettlementDate,P379,"f",,Trigger)</f>
        <v>53608</v>
      </c>
      <c r="R379" s="28">
        <f>_xll.qlInterestRateIndexValueDate(Index,Q379,Trigger)</f>
        <v>53610</v>
      </c>
      <c r="S379" s="28">
        <f>_xll.qlInterestRateIndexMaturity(Index,R379,Trigger)</f>
        <v>53643</v>
      </c>
      <c r="T379" s="30">
        <f>_xll.qlIndexFixing($M$6,Q379,,InterestRatesTrigger)</f>
        <v>1.6765207254664138E-2</v>
      </c>
      <c r="U379" s="30" t="e">
        <f>_xll.qlIndexFixing(Index,Q379,,InterestRatesTrigger)</f>
        <v>#NUM!</v>
      </c>
      <c r="V379" s="30" t="e">
        <f t="shared" si="24"/>
        <v>#NUM!</v>
      </c>
      <c r="W379" s="29">
        <f>_xll.qlDayCounterYearFraction(DayCounter,SettlementDate,R379,,,Trigger)</f>
        <v>31.797222222222221</v>
      </c>
      <c r="X379" s="29">
        <f>_xll.qlDayCounterYearFraction(DayCounter,R379,S379)</f>
        <v>9.166666666666666E-2</v>
      </c>
      <c r="Y379" s="29" t="e">
        <f>_xll.qlYieldTSDiscount(Currency&amp;"ON",R379)/(1+U379*X379)</f>
        <v>#NUM!</v>
      </c>
      <c r="Z379" s="30" t="e">
        <f>_xll.qlTenorBasisValue(TenorBasis6M,R379,InterestRatesTrigger)</f>
        <v>#VALUE!</v>
      </c>
      <c r="AA379" s="30" t="e">
        <f t="shared" si="25"/>
        <v>#NUM!</v>
      </c>
    </row>
    <row r="380" spans="15:27" x14ac:dyDescent="0.2">
      <c r="O380" s="33">
        <v>1</v>
      </c>
      <c r="P380" s="27" t="str">
        <f>_xll.qlPeriodEquivalent(P379&amp;"+"&amp;O380&amp;"M")</f>
        <v>31Y5M</v>
      </c>
      <c r="Q380" s="28">
        <f>_xll.qlCalendarAdvance(Calendar,SettlementDate,P380,"f",,Trigger)</f>
        <v>53639</v>
      </c>
      <c r="R380" s="28">
        <f>_xll.qlInterestRateIndexValueDate(Index,Q380,Trigger)</f>
        <v>53643</v>
      </c>
      <c r="S380" s="28">
        <f>_xll.qlInterestRateIndexMaturity(Index,R380,Trigger)</f>
        <v>53673</v>
      </c>
      <c r="T380" s="30">
        <f>_xll.qlIndexFixing($M$6,Q380,,InterestRatesTrigger)</f>
        <v>1.6773914360562969E-2</v>
      </c>
      <c r="U380" s="30" t="e">
        <f>_xll.qlIndexFixing(Index,Q380,,InterestRatesTrigger)</f>
        <v>#NUM!</v>
      </c>
      <c r="V380" s="30" t="e">
        <f t="shared" si="24"/>
        <v>#NUM!</v>
      </c>
      <c r="W380" s="29">
        <f>_xll.qlDayCounterYearFraction(DayCounter,SettlementDate,R380,,,Trigger)</f>
        <v>31.888888888888889</v>
      </c>
      <c r="X380" s="29">
        <f>_xll.qlDayCounterYearFraction(DayCounter,R380,S380)</f>
        <v>8.3333333333333329E-2</v>
      </c>
      <c r="Y380" s="29" t="e">
        <f>_xll.qlYieldTSDiscount(Currency&amp;"ON",R380)/(1+U380*X380)</f>
        <v>#NUM!</v>
      </c>
      <c r="Z380" s="30" t="e">
        <f>_xll.qlTenorBasisValue(TenorBasis6M,R380,InterestRatesTrigger)</f>
        <v>#VALUE!</v>
      </c>
      <c r="AA380" s="30" t="e">
        <f t="shared" si="25"/>
        <v>#NUM!</v>
      </c>
    </row>
    <row r="381" spans="15:27" x14ac:dyDescent="0.2">
      <c r="O381" s="33">
        <v>1</v>
      </c>
      <c r="P381" s="27" t="str">
        <f>_xll.qlPeriodEquivalent(P380&amp;"+"&amp;O381&amp;"M")</f>
        <v>31Y6M</v>
      </c>
      <c r="Q381" s="28">
        <f>_xll.qlCalendarAdvance(Calendar,SettlementDate,P381,"f",,Trigger)</f>
        <v>53671</v>
      </c>
      <c r="R381" s="28">
        <f>_xll.qlInterestRateIndexValueDate(Index,Q381,Trigger)</f>
        <v>53673</v>
      </c>
      <c r="S381" s="28">
        <f>_xll.qlInterestRateIndexMaturity(Index,R381,Trigger)</f>
        <v>53706</v>
      </c>
      <c r="T381" s="30">
        <f>_xll.qlIndexFixing($M$6,Q381,,InterestRatesTrigger)</f>
        <v>1.6784261705411072E-2</v>
      </c>
      <c r="U381" s="30" t="e">
        <f>_xll.qlIndexFixing(Index,Q381,,InterestRatesTrigger)</f>
        <v>#NUM!</v>
      </c>
      <c r="V381" s="30" t="e">
        <f t="shared" si="24"/>
        <v>#NUM!</v>
      </c>
      <c r="W381" s="29">
        <f>_xll.qlDayCounterYearFraction(DayCounter,SettlementDate,R381,,,Trigger)</f>
        <v>31.972222222222221</v>
      </c>
      <c r="X381" s="29">
        <f>_xll.qlDayCounterYearFraction(DayCounter,R381,S381)</f>
        <v>9.166666666666666E-2</v>
      </c>
      <c r="Y381" s="29" t="e">
        <f>_xll.qlYieldTSDiscount(Currency&amp;"ON",R381)/(1+U381*X381)</f>
        <v>#NUM!</v>
      </c>
      <c r="Z381" s="30" t="e">
        <f>_xll.qlTenorBasisValue(TenorBasis6M,R381,InterestRatesTrigger)</f>
        <v>#VALUE!</v>
      </c>
      <c r="AA381" s="30" t="e">
        <f t="shared" si="25"/>
        <v>#NUM!</v>
      </c>
    </row>
    <row r="382" spans="15:27" x14ac:dyDescent="0.2">
      <c r="O382" s="33">
        <v>1</v>
      </c>
      <c r="P382" s="27" t="str">
        <f>_xll.qlPeriodEquivalent(P381&amp;"+"&amp;O382&amp;"M")</f>
        <v>31Y7M</v>
      </c>
      <c r="Q382" s="28">
        <f>_xll.qlCalendarAdvance(Calendar,SettlementDate,P382,"f",,Trigger)</f>
        <v>53700</v>
      </c>
      <c r="R382" s="28">
        <f>_xll.qlInterestRateIndexValueDate(Index,Q382,Trigger)</f>
        <v>53702</v>
      </c>
      <c r="S382" s="28">
        <f>_xll.qlInterestRateIndexMaturity(Index,R382,Trigger)</f>
        <v>53734</v>
      </c>
      <c r="T382" s="30">
        <f>_xll.qlIndexFixing($M$6,Q382,,InterestRatesTrigger)</f>
        <v>1.6791582075802447E-2</v>
      </c>
      <c r="U382" s="30" t="e">
        <f>_xll.qlIndexFixing(Index,Q382,,InterestRatesTrigger)</f>
        <v>#NUM!</v>
      </c>
      <c r="V382" s="30" t="e">
        <f t="shared" si="24"/>
        <v>#NUM!</v>
      </c>
      <c r="W382" s="29">
        <f>_xll.qlDayCounterYearFraction(DayCounter,SettlementDate,R382,,,Trigger)</f>
        <v>32.052777777777777</v>
      </c>
      <c r="X382" s="29">
        <f>_xll.qlDayCounterYearFraction(DayCounter,R382,S382)</f>
        <v>8.8888888888888892E-2</v>
      </c>
      <c r="Y382" s="29" t="e">
        <f>_xll.qlYieldTSDiscount(Currency&amp;"ON",R382)/(1+U382*X382)</f>
        <v>#NUM!</v>
      </c>
      <c r="Z382" s="30" t="e">
        <f>_xll.qlTenorBasisValue(TenorBasis6M,R382,InterestRatesTrigger)</f>
        <v>#VALUE!</v>
      </c>
      <c r="AA382" s="30" t="e">
        <f t="shared" si="25"/>
        <v>#NUM!</v>
      </c>
    </row>
    <row r="383" spans="15:27" x14ac:dyDescent="0.2">
      <c r="O383" s="33">
        <v>1</v>
      </c>
      <c r="P383" s="27" t="str">
        <f>_xll.qlPeriodEquivalent(P382&amp;"+"&amp;O383&amp;"M")</f>
        <v>31Y8M</v>
      </c>
      <c r="Q383" s="28">
        <f>_xll.qlCalendarAdvance(Calendar,SettlementDate,P383,"f",,Trigger)</f>
        <v>53731</v>
      </c>
      <c r="R383" s="28">
        <f>_xll.qlInterestRateIndexValueDate(Index,Q383,Trigger)</f>
        <v>53735</v>
      </c>
      <c r="S383" s="28">
        <f>_xll.qlInterestRateIndexMaturity(Index,R383,Trigger)</f>
        <v>53763</v>
      </c>
      <c r="T383" s="30">
        <f>_xll.qlIndexFixing($M$6,Q383,,InterestRatesTrigger)</f>
        <v>1.6797764263120234E-2</v>
      </c>
      <c r="U383" s="30" t="e">
        <f>_xll.qlIndexFixing(Index,Q383,,InterestRatesTrigger)</f>
        <v>#NUM!</v>
      </c>
      <c r="V383" s="30" t="e">
        <f t="shared" si="24"/>
        <v>#NUM!</v>
      </c>
      <c r="W383" s="29">
        <f>_xll.qlDayCounterYearFraction(DayCounter,SettlementDate,R383,,,Trigger)</f>
        <v>32.144444444444446</v>
      </c>
      <c r="X383" s="29">
        <f>_xll.qlDayCounterYearFraction(DayCounter,R383,S383)</f>
        <v>7.7777777777777779E-2</v>
      </c>
      <c r="Y383" s="29" t="e">
        <f>_xll.qlYieldTSDiscount(Currency&amp;"ON",R383)/(1+U383*X383)</f>
        <v>#NUM!</v>
      </c>
      <c r="Z383" s="30" t="e">
        <f>_xll.qlTenorBasisValue(TenorBasis6M,R383,InterestRatesTrigger)</f>
        <v>#VALUE!</v>
      </c>
      <c r="AA383" s="30" t="e">
        <f t="shared" si="25"/>
        <v>#NUM!</v>
      </c>
    </row>
    <row r="384" spans="15:27" x14ac:dyDescent="0.2">
      <c r="O384" s="33">
        <v>1</v>
      </c>
      <c r="P384" s="27" t="str">
        <f>_xll.qlPeriodEquivalent(P383&amp;"+"&amp;O384&amp;"M")</f>
        <v>31Y9M</v>
      </c>
      <c r="Q384" s="28">
        <f>_xll.qlCalendarAdvance(Calendar,SettlementDate,P384,"f",,Trigger)</f>
        <v>53759</v>
      </c>
      <c r="R384" s="28">
        <f>_xll.qlInterestRateIndexValueDate(Index,Q384,Trigger)</f>
        <v>53763</v>
      </c>
      <c r="S384" s="28">
        <f>_xll.qlInterestRateIndexMaturity(Index,R384,Trigger)</f>
        <v>53798</v>
      </c>
      <c r="T384" s="30">
        <f>_xll.qlIndexFixing($M$6,Q384,,InterestRatesTrigger)</f>
        <v>1.680767493258704E-2</v>
      </c>
      <c r="U384" s="30" t="e">
        <f>_xll.qlIndexFixing(Index,Q384,,InterestRatesTrigger)</f>
        <v>#NUM!</v>
      </c>
      <c r="V384" s="30" t="e">
        <f t="shared" si="24"/>
        <v>#NUM!</v>
      </c>
      <c r="W384" s="29">
        <f>_xll.qlDayCounterYearFraction(DayCounter,SettlementDate,R384,,,Trigger)</f>
        <v>32.222222222222221</v>
      </c>
      <c r="X384" s="29">
        <f>_xll.qlDayCounterYearFraction(DayCounter,R384,S384)</f>
        <v>9.7222222222222224E-2</v>
      </c>
      <c r="Y384" s="29" t="e">
        <f>_xll.qlYieldTSDiscount(Currency&amp;"ON",R384)/(1+U384*X384)</f>
        <v>#NUM!</v>
      </c>
      <c r="Z384" s="30" t="e">
        <f>_xll.qlTenorBasisValue(TenorBasis6M,R384,InterestRatesTrigger)</f>
        <v>#VALUE!</v>
      </c>
      <c r="AA384" s="30" t="e">
        <f t="shared" si="25"/>
        <v>#NUM!</v>
      </c>
    </row>
    <row r="385" spans="15:27" x14ac:dyDescent="0.2">
      <c r="O385" s="33">
        <v>1</v>
      </c>
      <c r="P385" s="27" t="str">
        <f>_xll.qlPeriodEquivalent(P384&amp;"+"&amp;O385&amp;"M")</f>
        <v>31Y10M</v>
      </c>
      <c r="Q385" s="28">
        <f>_xll.qlCalendarAdvance(Calendar,SettlementDate,P385,"f",,Trigger)</f>
        <v>53790</v>
      </c>
      <c r="R385" s="28">
        <f>_xll.qlInterestRateIndexValueDate(Index,Q385,Trigger)</f>
        <v>53792</v>
      </c>
      <c r="S385" s="28">
        <f>_xll.qlInterestRateIndexMaturity(Index,R385,Trigger)</f>
        <v>53822</v>
      </c>
      <c r="T385" s="30">
        <f>_xll.qlIndexFixing($M$6,Q385,,InterestRatesTrigger)</f>
        <v>1.6811227398870088E-2</v>
      </c>
      <c r="U385" s="30" t="e">
        <f>_xll.qlIndexFixing(Index,Q385,,InterestRatesTrigger)</f>
        <v>#NUM!</v>
      </c>
      <c r="V385" s="30" t="e">
        <f t="shared" si="24"/>
        <v>#NUM!</v>
      </c>
      <c r="W385" s="29">
        <f>_xll.qlDayCounterYearFraction(DayCounter,SettlementDate,R385,,,Trigger)</f>
        <v>32.302777777777777</v>
      </c>
      <c r="X385" s="29">
        <f>_xll.qlDayCounterYearFraction(DayCounter,R385,S385)</f>
        <v>8.3333333333333329E-2</v>
      </c>
      <c r="Y385" s="29" t="e">
        <f>_xll.qlYieldTSDiscount(Currency&amp;"ON",R385)/(1+U385*X385)</f>
        <v>#NUM!</v>
      </c>
      <c r="Z385" s="30" t="e">
        <f>_xll.qlTenorBasisValue(TenorBasis6M,R385,InterestRatesTrigger)</f>
        <v>#VALUE!</v>
      </c>
      <c r="AA385" s="30" t="e">
        <f t="shared" si="25"/>
        <v>#NUM!</v>
      </c>
    </row>
    <row r="386" spans="15:27" x14ac:dyDescent="0.2">
      <c r="O386" s="33">
        <v>1</v>
      </c>
      <c r="P386" s="27" t="str">
        <f>_xll.qlPeriodEquivalent(P385&amp;"+"&amp;O386&amp;"M")</f>
        <v>31Y11M</v>
      </c>
      <c r="Q386" s="28">
        <f>_xll.qlCalendarAdvance(Calendar,SettlementDate,P386,"f",,Trigger)</f>
        <v>53820</v>
      </c>
      <c r="R386" s="28">
        <f>_xll.qlInterestRateIndexValueDate(Index,Q386,Trigger)</f>
        <v>53822</v>
      </c>
      <c r="S386" s="28">
        <f>_xll.qlInterestRateIndexMaturity(Index,R386,Trigger)</f>
        <v>53853</v>
      </c>
      <c r="T386" s="30">
        <f>_xll.qlIndexFixing($M$6,Q386,,InterestRatesTrigger)</f>
        <v>1.6817345989214492E-2</v>
      </c>
      <c r="U386" s="30" t="e">
        <f>_xll.qlIndexFixing(Index,Q386,,InterestRatesTrigger)</f>
        <v>#NUM!</v>
      </c>
      <c r="V386" s="30" t="e">
        <f t="shared" si="24"/>
        <v>#NUM!</v>
      </c>
      <c r="W386" s="29">
        <f>_xll.qlDayCounterYearFraction(DayCounter,SettlementDate,R386,,,Trigger)</f>
        <v>32.386111111111113</v>
      </c>
      <c r="X386" s="29">
        <f>_xll.qlDayCounterYearFraction(DayCounter,R386,S386)</f>
        <v>8.611111111111111E-2</v>
      </c>
      <c r="Y386" s="29" t="e">
        <f>_xll.qlYieldTSDiscount(Currency&amp;"ON",R386)/(1+U386*X386)</f>
        <v>#NUM!</v>
      </c>
      <c r="Z386" s="30" t="e">
        <f>_xll.qlTenorBasisValue(TenorBasis6M,R386,InterestRatesTrigger)</f>
        <v>#VALUE!</v>
      </c>
      <c r="AA386" s="30" t="e">
        <f t="shared" si="25"/>
        <v>#NUM!</v>
      </c>
    </row>
    <row r="387" spans="15:27" x14ac:dyDescent="0.2">
      <c r="O387" s="33">
        <v>1</v>
      </c>
      <c r="P387" s="27" t="str">
        <f>_xll.qlPeriodEquivalent(P386&amp;"+"&amp;O387&amp;"M")</f>
        <v>32Y</v>
      </c>
      <c r="Q387" s="28">
        <f>_xll.qlCalendarAdvance(Calendar,SettlementDate,P387,"f",,Trigger)</f>
        <v>53853</v>
      </c>
      <c r="R387" s="28">
        <f>_xll.qlInterestRateIndexValueDate(Index,Q387,Trigger)</f>
        <v>53855</v>
      </c>
      <c r="S387" s="28">
        <f>_xll.qlInterestRateIndexMaturity(Index,R387,Trigger)</f>
        <v>53885</v>
      </c>
      <c r="T387" s="30">
        <f>_xll.qlIndexFixing($M$6,Q387,,InterestRatesTrigger)</f>
        <v>1.6822344107714216E-2</v>
      </c>
      <c r="U387" s="30" t="e">
        <f>_xll.qlIndexFixing(Index,Q387,,InterestRatesTrigger)</f>
        <v>#NUM!</v>
      </c>
      <c r="V387" s="30" t="e">
        <f t="shared" si="24"/>
        <v>#NUM!</v>
      </c>
      <c r="W387" s="29">
        <f>_xll.qlDayCounterYearFraction(DayCounter,SettlementDate,R387,,,Trigger)</f>
        <v>32.477777777777774</v>
      </c>
      <c r="X387" s="29">
        <f>_xll.qlDayCounterYearFraction(DayCounter,R387,S387)</f>
        <v>8.3333333333333329E-2</v>
      </c>
      <c r="Y387" s="29" t="e">
        <f>_xll.qlYieldTSDiscount(Currency&amp;"ON",R387)/(1+U387*X387)</f>
        <v>#NUM!</v>
      </c>
      <c r="Z387" s="30" t="e">
        <f>_xll.qlTenorBasisValue(TenorBasis6M,R387,InterestRatesTrigger)</f>
        <v>#VALUE!</v>
      </c>
      <c r="AA387" s="30" t="e">
        <f t="shared" si="25"/>
        <v>#NUM!</v>
      </c>
    </row>
    <row r="388" spans="15:27" x14ac:dyDescent="0.2">
      <c r="O388" s="33">
        <v>1</v>
      </c>
      <c r="P388" s="27" t="str">
        <f>_xll.qlPeriodEquivalent(P387&amp;"+"&amp;O388&amp;"M")</f>
        <v>32Y1M</v>
      </c>
      <c r="Q388" s="28">
        <f>_xll.qlCalendarAdvance(Calendar,SettlementDate,P388,"f",,Trigger)</f>
        <v>53881</v>
      </c>
      <c r="R388" s="28">
        <f>_xll.qlInterestRateIndexValueDate(Index,Q388,Trigger)</f>
        <v>53883</v>
      </c>
      <c r="S388" s="28">
        <f>_xll.qlInterestRateIndexMaturity(Index,R388,Trigger)</f>
        <v>53916</v>
      </c>
      <c r="T388" s="30">
        <f>_xll.qlIndexFixing($M$6,Q388,,InterestRatesTrigger)</f>
        <v>1.6827771213252518E-2</v>
      </c>
      <c r="U388" s="30" t="e">
        <f>_xll.qlIndexFixing(Index,Q388,,InterestRatesTrigger)</f>
        <v>#NUM!</v>
      </c>
      <c r="V388" s="30" t="e">
        <f t="shared" si="24"/>
        <v>#NUM!</v>
      </c>
      <c r="W388" s="29">
        <f>_xll.qlDayCounterYearFraction(DayCounter,SettlementDate,R388,,,Trigger)</f>
        <v>32.555555555555557</v>
      </c>
      <c r="X388" s="29">
        <f>_xll.qlDayCounterYearFraction(DayCounter,R388,S388)</f>
        <v>9.166666666666666E-2</v>
      </c>
      <c r="Y388" s="29" t="e">
        <f>_xll.qlYieldTSDiscount(Currency&amp;"ON",R388)/(1+U388*X388)</f>
        <v>#NUM!</v>
      </c>
      <c r="Z388" s="30" t="e">
        <f>_xll.qlTenorBasisValue(TenorBasis6M,R388,InterestRatesTrigger)</f>
        <v>#VALUE!</v>
      </c>
      <c r="AA388" s="30" t="e">
        <f t="shared" si="25"/>
        <v>#NUM!</v>
      </c>
    </row>
    <row r="389" spans="15:27" x14ac:dyDescent="0.2">
      <c r="O389" s="33">
        <v>1</v>
      </c>
      <c r="P389" s="27" t="str">
        <f>_xll.qlPeriodEquivalent(P388&amp;"+"&amp;O389&amp;"M")</f>
        <v>32Y2M</v>
      </c>
      <c r="Q389" s="28">
        <f>_xll.qlCalendarAdvance(Calendar,SettlementDate,P389,"f",,Trigger)</f>
        <v>53912</v>
      </c>
      <c r="R389" s="28">
        <f>_xll.qlInterestRateIndexValueDate(Index,Q389,Trigger)</f>
        <v>53916</v>
      </c>
      <c r="S389" s="28">
        <f>_xll.qlInterestRateIndexMaturity(Index,R389,Trigger)</f>
        <v>53947</v>
      </c>
      <c r="T389" s="30">
        <f>_xll.qlIndexFixing($M$6,Q389,,InterestRatesTrigger)</f>
        <v>1.6830916134750795E-2</v>
      </c>
      <c r="U389" s="30" t="e">
        <f>_xll.qlIndexFixing(Index,Q389,,InterestRatesTrigger)</f>
        <v>#NUM!</v>
      </c>
      <c r="V389" s="30" t="e">
        <f t="shared" si="24"/>
        <v>#NUM!</v>
      </c>
      <c r="W389" s="29">
        <f>_xll.qlDayCounterYearFraction(DayCounter,SettlementDate,R389,,,Trigger)</f>
        <v>32.647222222222226</v>
      </c>
      <c r="X389" s="29">
        <f>_xll.qlDayCounterYearFraction(DayCounter,R389,S389)</f>
        <v>8.611111111111111E-2</v>
      </c>
      <c r="Y389" s="29" t="e">
        <f>_xll.qlYieldTSDiscount(Currency&amp;"ON",R389)/(1+U389*X389)</f>
        <v>#NUM!</v>
      </c>
      <c r="Z389" s="30" t="e">
        <f>_xll.qlTenorBasisValue(TenorBasis6M,R389,InterestRatesTrigger)</f>
        <v>#VALUE!</v>
      </c>
      <c r="AA389" s="30" t="e">
        <f t="shared" si="25"/>
        <v>#NUM!</v>
      </c>
    </row>
    <row r="390" spans="15:27" x14ac:dyDescent="0.2">
      <c r="O390" s="33">
        <v>1</v>
      </c>
      <c r="P390" s="27" t="str">
        <f>_xll.qlPeriodEquivalent(P389&amp;"+"&amp;O390&amp;"M")</f>
        <v>32Y3M</v>
      </c>
      <c r="Q390" s="28">
        <f>_xll.qlCalendarAdvance(Calendar,SettlementDate,P390,"f",,Trigger)</f>
        <v>53944</v>
      </c>
      <c r="R390" s="28">
        <f>_xll.qlInterestRateIndexValueDate(Index,Q390,Trigger)</f>
        <v>53946</v>
      </c>
      <c r="S390" s="28">
        <f>_xll.qlInterestRateIndexMaturity(Index,R390,Trigger)</f>
        <v>53976</v>
      </c>
      <c r="T390" s="30">
        <f>_xll.qlIndexFixing($M$6,Q390,,InterestRatesTrigger)</f>
        <v>1.6833512030103748E-2</v>
      </c>
      <c r="U390" s="30" t="e">
        <f>_xll.qlIndexFixing(Index,Q390,,InterestRatesTrigger)</f>
        <v>#NUM!</v>
      </c>
      <c r="V390" s="30" t="e">
        <f t="shared" si="24"/>
        <v>#NUM!</v>
      </c>
      <c r="W390" s="29">
        <f>_xll.qlDayCounterYearFraction(DayCounter,SettlementDate,R390,,,Trigger)</f>
        <v>32.730555555555554</v>
      </c>
      <c r="X390" s="29">
        <f>_xll.qlDayCounterYearFraction(DayCounter,R390,S390)</f>
        <v>8.3333333333333329E-2</v>
      </c>
      <c r="Y390" s="29" t="e">
        <f>_xll.qlYieldTSDiscount(Currency&amp;"ON",R390)/(1+U390*X390)</f>
        <v>#NUM!</v>
      </c>
      <c r="Z390" s="30" t="e">
        <f>_xll.qlTenorBasisValue(TenorBasis6M,R390,InterestRatesTrigger)</f>
        <v>#VALUE!</v>
      </c>
      <c r="AA390" s="30" t="e">
        <f t="shared" si="25"/>
        <v>#NUM!</v>
      </c>
    </row>
    <row r="391" spans="15:27" x14ac:dyDescent="0.2">
      <c r="O391" s="33">
        <v>1</v>
      </c>
      <c r="P391" s="27" t="str">
        <f>_xll.qlPeriodEquivalent(P390&amp;"+"&amp;O391&amp;"M")</f>
        <v>32Y4M</v>
      </c>
      <c r="Q391" s="28">
        <f>_xll.qlCalendarAdvance(Calendar,SettlementDate,P391,"f",,Trigger)</f>
        <v>53973</v>
      </c>
      <c r="R391" s="28">
        <f>_xll.qlInterestRateIndexValueDate(Index,Q391,Trigger)</f>
        <v>53975</v>
      </c>
      <c r="S391" s="28">
        <f>_xll.qlInterestRateIndexMaturity(Index,R391,Trigger)</f>
        <v>54007</v>
      </c>
      <c r="T391" s="30">
        <f>_xll.qlIndexFixing($M$6,Q391,,InterestRatesTrigger)</f>
        <v>1.6836710645036501E-2</v>
      </c>
      <c r="U391" s="30" t="e">
        <f>_xll.qlIndexFixing(Index,Q391,,InterestRatesTrigger)</f>
        <v>#NUM!</v>
      </c>
      <c r="V391" s="30" t="e">
        <f t="shared" si="24"/>
        <v>#NUM!</v>
      </c>
      <c r="W391" s="29">
        <f>_xll.qlDayCounterYearFraction(DayCounter,SettlementDate,R391,,,Trigger)</f>
        <v>32.81111111111111</v>
      </c>
      <c r="X391" s="29">
        <f>_xll.qlDayCounterYearFraction(DayCounter,R391,S391)</f>
        <v>8.8888888888888892E-2</v>
      </c>
      <c r="Y391" s="29" t="e">
        <f>_xll.qlYieldTSDiscount(Currency&amp;"ON",R391)/(1+U391*X391)</f>
        <v>#NUM!</v>
      </c>
      <c r="Z391" s="30" t="e">
        <f>_xll.qlTenorBasisValue(TenorBasis6M,R391,InterestRatesTrigger)</f>
        <v>#VALUE!</v>
      </c>
      <c r="AA391" s="30" t="e">
        <f t="shared" si="25"/>
        <v>#NUM!</v>
      </c>
    </row>
    <row r="392" spans="15:27" x14ac:dyDescent="0.2">
      <c r="O392" s="33">
        <v>1</v>
      </c>
      <c r="P392" s="27" t="str">
        <f>_xll.qlPeriodEquivalent(P391&amp;"+"&amp;O392&amp;"M")</f>
        <v>32Y5M</v>
      </c>
      <c r="Q392" s="28">
        <f>_xll.qlCalendarAdvance(Calendar,SettlementDate,P392,"f",,Trigger)</f>
        <v>54004</v>
      </c>
      <c r="R392" s="28">
        <f>_xll.qlInterestRateIndexValueDate(Index,Q392,Trigger)</f>
        <v>54008</v>
      </c>
      <c r="S392" s="28">
        <f>_xll.qlInterestRateIndexMaturity(Index,R392,Trigger)</f>
        <v>54038</v>
      </c>
      <c r="T392" s="30">
        <f>_xll.qlIndexFixing($M$6,Q392,,InterestRatesTrigger)</f>
        <v>1.6837811230025146E-2</v>
      </c>
      <c r="U392" s="30" t="e">
        <f>_xll.qlIndexFixing(Index,Q392,,InterestRatesTrigger)</f>
        <v>#NUM!</v>
      </c>
      <c r="V392" s="30" t="e">
        <f t="shared" si="24"/>
        <v>#NUM!</v>
      </c>
      <c r="W392" s="29">
        <f>_xll.qlDayCounterYearFraction(DayCounter,SettlementDate,R392,,,Trigger)</f>
        <v>32.902777777777779</v>
      </c>
      <c r="X392" s="29">
        <f>_xll.qlDayCounterYearFraction(DayCounter,R392,S392)</f>
        <v>8.3333333333333329E-2</v>
      </c>
      <c r="Y392" s="29" t="e">
        <f>_xll.qlYieldTSDiscount(Currency&amp;"ON",R392)/(1+U392*X392)</f>
        <v>#NUM!</v>
      </c>
      <c r="Z392" s="30" t="e">
        <f>_xll.qlTenorBasisValue(TenorBasis6M,R392,InterestRatesTrigger)</f>
        <v>#VALUE!</v>
      </c>
      <c r="AA392" s="30" t="e">
        <f t="shared" si="25"/>
        <v>#NUM!</v>
      </c>
    </row>
    <row r="393" spans="15:27" x14ac:dyDescent="0.2">
      <c r="O393" s="33">
        <v>1</v>
      </c>
      <c r="P393" s="27" t="str">
        <f>_xll.qlPeriodEquivalent(P392&amp;"+"&amp;O393&amp;"M")</f>
        <v>32Y6M</v>
      </c>
      <c r="Q393" s="28">
        <f>_xll.qlCalendarAdvance(Calendar,SettlementDate,P393,"f",,Trigger)</f>
        <v>54035</v>
      </c>
      <c r="R393" s="28">
        <f>_xll.qlInterestRateIndexValueDate(Index,Q393,Trigger)</f>
        <v>54037</v>
      </c>
      <c r="S393" s="28">
        <f>_xll.qlInterestRateIndexMaturity(Index,R393,Trigger)</f>
        <v>54070</v>
      </c>
      <c r="T393" s="30">
        <f>_xll.qlIndexFixing($M$6,Q393,,InterestRatesTrigger)</f>
        <v>1.68401172742721E-2</v>
      </c>
      <c r="U393" s="30" t="e">
        <f>_xll.qlIndexFixing(Index,Q393,,InterestRatesTrigger)</f>
        <v>#NUM!</v>
      </c>
      <c r="V393" s="30" t="e">
        <f t="shared" si="24"/>
        <v>#NUM!</v>
      </c>
      <c r="W393" s="29">
        <f>_xll.qlDayCounterYearFraction(DayCounter,SettlementDate,R393,,,Trigger)</f>
        <v>32.983333333333334</v>
      </c>
      <c r="X393" s="29">
        <f>_xll.qlDayCounterYearFraction(DayCounter,R393,S393)</f>
        <v>9.166666666666666E-2</v>
      </c>
      <c r="Y393" s="29" t="e">
        <f>_xll.qlYieldTSDiscount(Currency&amp;"ON",R393)/(1+U393*X393)</f>
        <v>#NUM!</v>
      </c>
      <c r="Z393" s="30" t="e">
        <f>_xll.qlTenorBasisValue(TenorBasis6M,R393,InterestRatesTrigger)</f>
        <v>#VALUE!</v>
      </c>
      <c r="AA393" s="30" t="e">
        <f t="shared" si="25"/>
        <v>#NUM!</v>
      </c>
    </row>
    <row r="394" spans="15:27" x14ac:dyDescent="0.2">
      <c r="O394" s="33">
        <v>1</v>
      </c>
      <c r="P394" s="27" t="str">
        <f>_xll.qlPeriodEquivalent(P393&amp;"+"&amp;O394&amp;"M")</f>
        <v>32Y7M</v>
      </c>
      <c r="Q394" s="28">
        <f>_xll.qlCalendarAdvance(Calendar,SettlementDate,P394,"f",,Trigger)</f>
        <v>54065</v>
      </c>
      <c r="R394" s="28">
        <f>_xll.qlInterestRateIndexValueDate(Index,Q394,Trigger)</f>
        <v>54067</v>
      </c>
      <c r="S394" s="28">
        <f>_xll.qlInterestRateIndexMaturity(Index,R394,Trigger)</f>
        <v>54098</v>
      </c>
      <c r="T394" s="30">
        <f>_xll.qlIndexFixing($M$6,Q394,,InterestRatesTrigger)</f>
        <v>1.6839806639096414E-2</v>
      </c>
      <c r="U394" s="30" t="e">
        <f>_xll.qlIndexFixing(Index,Q394,,InterestRatesTrigger)</f>
        <v>#NUM!</v>
      </c>
      <c r="V394" s="30" t="e">
        <f t="shared" si="24"/>
        <v>#NUM!</v>
      </c>
      <c r="W394" s="29">
        <f>_xll.qlDayCounterYearFraction(DayCounter,SettlementDate,R394,,,Trigger)</f>
        <v>33.06666666666667</v>
      </c>
      <c r="X394" s="29">
        <f>_xll.qlDayCounterYearFraction(DayCounter,R394,S394)</f>
        <v>8.611111111111111E-2</v>
      </c>
      <c r="Y394" s="29" t="e">
        <f>_xll.qlYieldTSDiscount(Currency&amp;"ON",R394)/(1+U394*X394)</f>
        <v>#NUM!</v>
      </c>
      <c r="Z394" s="30" t="e">
        <f>_xll.qlTenorBasisValue(TenorBasis6M,R394,InterestRatesTrigger)</f>
        <v>#VALUE!</v>
      </c>
      <c r="AA394" s="30" t="e">
        <f t="shared" si="25"/>
        <v>#NUM!</v>
      </c>
    </row>
    <row r="395" spans="15:27" x14ac:dyDescent="0.2">
      <c r="O395" s="33">
        <v>1</v>
      </c>
      <c r="P395" s="27" t="str">
        <f>_xll.qlPeriodEquivalent(P394&amp;"+"&amp;O395&amp;"M")</f>
        <v>32Y8M</v>
      </c>
      <c r="Q395" s="28">
        <f>_xll.qlCalendarAdvance(Calendar,SettlementDate,P395,"f",,Trigger)</f>
        <v>54098</v>
      </c>
      <c r="R395" s="28">
        <f>_xll.qlInterestRateIndexValueDate(Index,Q395,Trigger)</f>
        <v>54100</v>
      </c>
      <c r="S395" s="28">
        <f>_xll.qlInterestRateIndexMaturity(Index,R395,Trigger)</f>
        <v>54129</v>
      </c>
      <c r="T395" s="30">
        <f>_xll.qlIndexFixing($M$6,Q395,,InterestRatesTrigger)</f>
        <v>1.6838863621606196E-2</v>
      </c>
      <c r="U395" s="30" t="e">
        <f>_xll.qlIndexFixing(Index,Q395,,InterestRatesTrigger)</f>
        <v>#NUM!</v>
      </c>
      <c r="V395" s="30" t="e">
        <f t="shared" si="24"/>
        <v>#NUM!</v>
      </c>
      <c r="W395" s="29">
        <f>_xll.qlDayCounterYearFraction(DayCounter,SettlementDate,R395,,,Trigger)</f>
        <v>33.158333333333331</v>
      </c>
      <c r="X395" s="29">
        <f>_xll.qlDayCounterYearFraction(DayCounter,R395,S395)</f>
        <v>8.0555555555555561E-2</v>
      </c>
      <c r="Y395" s="29" t="e">
        <f>_xll.qlYieldTSDiscount(Currency&amp;"ON",R395)/(1+U395*X395)</f>
        <v>#NUM!</v>
      </c>
      <c r="Z395" s="30" t="e">
        <f>_xll.qlTenorBasisValue(TenorBasis6M,R395,InterestRatesTrigger)</f>
        <v>#VALUE!</v>
      </c>
      <c r="AA395" s="30" t="e">
        <f t="shared" si="25"/>
        <v>#NUM!</v>
      </c>
    </row>
    <row r="396" spans="15:27" x14ac:dyDescent="0.2">
      <c r="O396" s="33">
        <v>1</v>
      </c>
      <c r="P396" s="27" t="str">
        <f>_xll.qlPeriodEquivalent(P395&amp;"+"&amp;O396&amp;"M")</f>
        <v>32Y9M</v>
      </c>
      <c r="Q396" s="28">
        <f>_xll.qlCalendarAdvance(Calendar,SettlementDate,P396,"f",,Trigger)</f>
        <v>54126</v>
      </c>
      <c r="R396" s="28">
        <f>_xll.qlInterestRateIndexValueDate(Index,Q396,Trigger)</f>
        <v>54128</v>
      </c>
      <c r="S396" s="28">
        <f>_xll.qlInterestRateIndexMaturity(Index,R396,Trigger)</f>
        <v>54161</v>
      </c>
      <c r="T396" s="30">
        <f>_xll.qlIndexFixing($M$6,Q396,,InterestRatesTrigger)</f>
        <v>1.6839632733324127E-2</v>
      </c>
      <c r="U396" s="30" t="e">
        <f>_xll.qlIndexFixing(Index,Q396,,InterestRatesTrigger)</f>
        <v>#NUM!</v>
      </c>
      <c r="V396" s="30" t="e">
        <f t="shared" si="24"/>
        <v>#NUM!</v>
      </c>
      <c r="W396" s="29">
        <f>_xll.qlDayCounterYearFraction(DayCounter,SettlementDate,R396,,,Trigger)</f>
        <v>33.236111111111114</v>
      </c>
      <c r="X396" s="29">
        <f>_xll.qlDayCounterYearFraction(DayCounter,R396,S396)</f>
        <v>9.166666666666666E-2</v>
      </c>
      <c r="Y396" s="29" t="e">
        <f>_xll.qlYieldTSDiscount(Currency&amp;"ON",R396)/(1+U396*X396)</f>
        <v>#NUM!</v>
      </c>
      <c r="Z396" s="30" t="e">
        <f>_xll.qlTenorBasisValue(TenorBasis6M,R396,InterestRatesTrigger)</f>
        <v>#VALUE!</v>
      </c>
      <c r="AA396" s="30" t="e">
        <f t="shared" si="25"/>
        <v>#NUM!</v>
      </c>
    </row>
    <row r="397" spans="15:27" x14ac:dyDescent="0.2">
      <c r="O397" s="33">
        <v>1</v>
      </c>
      <c r="P397" s="27" t="str">
        <f>_xll.qlPeriodEquivalent(P396&amp;"+"&amp;O397&amp;"M")</f>
        <v>32Y10M</v>
      </c>
      <c r="Q397" s="28">
        <f>_xll.qlCalendarAdvance(Calendar,SettlementDate,P397,"f",,Trigger)</f>
        <v>54156</v>
      </c>
      <c r="R397" s="28">
        <f>_xll.qlInterestRateIndexValueDate(Index,Q397,Trigger)</f>
        <v>54158</v>
      </c>
      <c r="S397" s="28">
        <f>_xll.qlInterestRateIndexMaturity(Index,R397,Trigger)</f>
        <v>54189</v>
      </c>
      <c r="T397" s="30">
        <f>_xll.qlIndexFixing($M$6,Q397,,InterestRatesTrigger)</f>
        <v>1.6837480532898432E-2</v>
      </c>
      <c r="U397" s="30" t="e">
        <f>_xll.qlIndexFixing(Index,Q397,,InterestRatesTrigger)</f>
        <v>#NUM!</v>
      </c>
      <c r="V397" s="30" t="e">
        <f t="shared" si="24"/>
        <v>#NUM!</v>
      </c>
      <c r="W397" s="29">
        <f>_xll.qlDayCounterYearFraction(DayCounter,SettlementDate,R397,,,Trigger)</f>
        <v>33.319444444444443</v>
      </c>
      <c r="X397" s="29">
        <f>_xll.qlDayCounterYearFraction(DayCounter,R397,S397)</f>
        <v>8.611111111111111E-2</v>
      </c>
      <c r="Y397" s="29" t="e">
        <f>_xll.qlYieldTSDiscount(Currency&amp;"ON",R397)/(1+U397*X397)</f>
        <v>#NUM!</v>
      </c>
      <c r="Z397" s="30" t="e">
        <f>_xll.qlTenorBasisValue(TenorBasis6M,R397,InterestRatesTrigger)</f>
        <v>#VALUE!</v>
      </c>
      <c r="AA397" s="30" t="e">
        <f t="shared" si="25"/>
        <v>#NUM!</v>
      </c>
    </row>
    <row r="398" spans="15:27" x14ac:dyDescent="0.2">
      <c r="O398" s="33">
        <v>1</v>
      </c>
      <c r="P398" s="27" t="str">
        <f>_xll.qlPeriodEquivalent(P397&amp;"+"&amp;O398&amp;"M")</f>
        <v>32Y11M</v>
      </c>
      <c r="Q398" s="28">
        <f>_xll.qlCalendarAdvance(Calendar,SettlementDate,P398,"f",,Trigger)</f>
        <v>54186</v>
      </c>
      <c r="R398" s="28">
        <f>_xll.qlInterestRateIndexValueDate(Index,Q398,Trigger)</f>
        <v>54190</v>
      </c>
      <c r="S398" s="28">
        <f>_xll.qlInterestRateIndexMaturity(Index,R398,Trigger)</f>
        <v>54221</v>
      </c>
      <c r="T398" s="30">
        <f>_xll.qlIndexFixing($M$6,Q398,,InterestRatesTrigger)</f>
        <v>1.6835289204734344E-2</v>
      </c>
      <c r="U398" s="30" t="e">
        <f>_xll.qlIndexFixing(Index,Q398,,InterestRatesTrigger)</f>
        <v>#NUM!</v>
      </c>
      <c r="V398" s="30" t="e">
        <f t="shared" si="24"/>
        <v>#NUM!</v>
      </c>
      <c r="W398" s="29">
        <f>_xll.qlDayCounterYearFraction(DayCounter,SettlementDate,R398,,,Trigger)</f>
        <v>33.408333333333331</v>
      </c>
      <c r="X398" s="29">
        <f>_xll.qlDayCounterYearFraction(DayCounter,R398,S398)</f>
        <v>8.611111111111111E-2</v>
      </c>
      <c r="Y398" s="29" t="e">
        <f>_xll.qlYieldTSDiscount(Currency&amp;"ON",R398)/(1+U398*X398)</f>
        <v>#NUM!</v>
      </c>
      <c r="Z398" s="30" t="e">
        <f>_xll.qlTenorBasisValue(TenorBasis6M,R398,InterestRatesTrigger)</f>
        <v>#VALUE!</v>
      </c>
      <c r="AA398" s="30" t="e">
        <f t="shared" si="25"/>
        <v>#NUM!</v>
      </c>
    </row>
    <row r="399" spans="15:27" x14ac:dyDescent="0.2">
      <c r="O399" s="33">
        <v>1</v>
      </c>
      <c r="P399" s="27" t="str">
        <f>_xll.qlPeriodEquivalent(P398&amp;"+"&amp;O399&amp;"M")</f>
        <v>33Y</v>
      </c>
      <c r="Q399" s="28">
        <f>_xll.qlCalendarAdvance(Calendar,SettlementDate,P399,"f",,Trigger)</f>
        <v>54217</v>
      </c>
      <c r="R399" s="28">
        <f>_xll.qlInterestRateIndexValueDate(Index,Q399,Trigger)</f>
        <v>54219</v>
      </c>
      <c r="S399" s="28">
        <f>_xll.qlInterestRateIndexMaturity(Index,R399,Trigger)</f>
        <v>54249</v>
      </c>
      <c r="T399" s="30">
        <f>_xll.qlIndexFixing($M$6,Q399,,InterestRatesTrigger)</f>
        <v>1.6832344365448115E-2</v>
      </c>
      <c r="U399" s="30" t="e">
        <f>_xll.qlIndexFixing(Index,Q399,,InterestRatesTrigger)</f>
        <v>#NUM!</v>
      </c>
      <c r="V399" s="30" t="e">
        <f t="shared" si="24"/>
        <v>#NUM!</v>
      </c>
      <c r="W399" s="29">
        <f>_xll.qlDayCounterYearFraction(DayCounter,SettlementDate,R399,,,Trigger)</f>
        <v>33.488888888888887</v>
      </c>
      <c r="X399" s="29">
        <f>_xll.qlDayCounterYearFraction(DayCounter,R399,S399)</f>
        <v>8.3333333333333329E-2</v>
      </c>
      <c r="Y399" s="29" t="e">
        <f>_xll.qlYieldTSDiscount(Currency&amp;"ON",R399)/(1+U399*X399)</f>
        <v>#NUM!</v>
      </c>
      <c r="Z399" s="30" t="e">
        <f>_xll.qlTenorBasisValue(TenorBasis6M,R399,InterestRatesTrigger)</f>
        <v>#VALUE!</v>
      </c>
      <c r="AA399" s="30" t="e">
        <f t="shared" si="25"/>
        <v>#NUM!</v>
      </c>
    </row>
    <row r="400" spans="15:27" x14ac:dyDescent="0.2">
      <c r="O400" s="33">
        <v>1</v>
      </c>
      <c r="P400" s="27" t="str">
        <f>_xll.qlPeriodEquivalent(P399&amp;"+"&amp;O400&amp;"M")</f>
        <v>33Y1M</v>
      </c>
      <c r="Q400" s="28">
        <f>_xll.qlCalendarAdvance(Calendar,SettlementDate,P400,"f",,Trigger)</f>
        <v>54247</v>
      </c>
      <c r="R400" s="28">
        <f>_xll.qlInterestRateIndexValueDate(Index,Q400,Trigger)</f>
        <v>54249</v>
      </c>
      <c r="S400" s="28">
        <f>_xll.qlInterestRateIndexMaturity(Index,R400,Trigger)</f>
        <v>54280</v>
      </c>
      <c r="T400" s="30">
        <f>_xll.qlIndexFixing($M$6,Q400,,InterestRatesTrigger)</f>
        <v>1.6829375583376584E-2</v>
      </c>
      <c r="U400" s="30" t="e">
        <f>_xll.qlIndexFixing(Index,Q400,,InterestRatesTrigger)</f>
        <v>#NUM!</v>
      </c>
      <c r="V400" s="30" t="e">
        <f t="shared" si="24"/>
        <v>#NUM!</v>
      </c>
      <c r="W400" s="29">
        <f>_xll.qlDayCounterYearFraction(DayCounter,SettlementDate,R400,,,Trigger)</f>
        <v>33.572222222222223</v>
      </c>
      <c r="X400" s="29">
        <f>_xll.qlDayCounterYearFraction(DayCounter,R400,S400)</f>
        <v>8.611111111111111E-2</v>
      </c>
      <c r="Y400" s="29" t="e">
        <f>_xll.qlYieldTSDiscount(Currency&amp;"ON",R400)/(1+U400*X400)</f>
        <v>#NUM!</v>
      </c>
      <c r="Z400" s="30" t="e">
        <f>_xll.qlTenorBasisValue(TenorBasis6M,R400,InterestRatesTrigger)</f>
        <v>#VALUE!</v>
      </c>
      <c r="AA400" s="30" t="e">
        <f t="shared" si="25"/>
        <v>#NUM!</v>
      </c>
    </row>
    <row r="401" spans="15:27" x14ac:dyDescent="0.2">
      <c r="O401" s="33">
        <v>1</v>
      </c>
      <c r="P401" s="27" t="str">
        <f>_xll.qlPeriodEquivalent(P400&amp;"+"&amp;O401&amp;"M")</f>
        <v>33Y2M</v>
      </c>
      <c r="Q401" s="28">
        <f>_xll.qlCalendarAdvance(Calendar,SettlementDate,P401,"f",,Trigger)</f>
        <v>54280</v>
      </c>
      <c r="R401" s="28">
        <f>_xll.qlInterestRateIndexValueDate(Index,Q401,Trigger)</f>
        <v>54282</v>
      </c>
      <c r="S401" s="28">
        <f>_xll.qlInterestRateIndexMaturity(Index,R401,Trigger)</f>
        <v>54315</v>
      </c>
      <c r="T401" s="30">
        <f>_xll.qlIndexFixing($M$6,Q401,,InterestRatesTrigger)</f>
        <v>1.6825646690115711E-2</v>
      </c>
      <c r="U401" s="30" t="e">
        <f>_xll.qlIndexFixing(Index,Q401,,InterestRatesTrigger)</f>
        <v>#NUM!</v>
      </c>
      <c r="V401" s="30" t="e">
        <f t="shared" si="24"/>
        <v>#NUM!</v>
      </c>
      <c r="W401" s="29">
        <f>_xll.qlDayCounterYearFraction(DayCounter,SettlementDate,R401,,,Trigger)</f>
        <v>33.663888888888891</v>
      </c>
      <c r="X401" s="29">
        <f>_xll.qlDayCounterYearFraction(DayCounter,R401,S401)</f>
        <v>9.166666666666666E-2</v>
      </c>
      <c r="Y401" s="29" t="e">
        <f>_xll.qlYieldTSDiscount(Currency&amp;"ON",R401)/(1+U401*X401)</f>
        <v>#NUM!</v>
      </c>
      <c r="Z401" s="30" t="e">
        <f>_xll.qlTenorBasisValue(TenorBasis6M,R401,InterestRatesTrigger)</f>
        <v>#VALUE!</v>
      </c>
      <c r="AA401" s="30" t="e">
        <f t="shared" si="25"/>
        <v>#NUM!</v>
      </c>
    </row>
    <row r="402" spans="15:27" x14ac:dyDescent="0.2">
      <c r="O402" s="33">
        <v>1</v>
      </c>
      <c r="P402" s="27" t="str">
        <f>_xll.qlPeriodEquivalent(P401&amp;"+"&amp;O402&amp;"M")</f>
        <v>33Y3M</v>
      </c>
      <c r="Q402" s="28">
        <f>_xll.qlCalendarAdvance(Calendar,SettlementDate,P402,"f",,Trigger)</f>
        <v>54309</v>
      </c>
      <c r="R402" s="28">
        <f>_xll.qlInterestRateIndexValueDate(Index,Q402,Trigger)</f>
        <v>54311</v>
      </c>
      <c r="S402" s="28">
        <f>_xll.qlInterestRateIndexMaturity(Index,R402,Trigger)</f>
        <v>54343</v>
      </c>
      <c r="T402" s="30">
        <f>_xll.qlIndexFixing($M$6,Q402,,InterestRatesTrigger)</f>
        <v>1.6820852474359882E-2</v>
      </c>
      <c r="U402" s="30" t="e">
        <f>_xll.qlIndexFixing(Index,Q402,,InterestRatesTrigger)</f>
        <v>#NUM!</v>
      </c>
      <c r="V402" s="30" t="e">
        <f t="shared" si="24"/>
        <v>#NUM!</v>
      </c>
      <c r="W402" s="29">
        <f>_xll.qlDayCounterYearFraction(DayCounter,SettlementDate,R402,,,Trigger)</f>
        <v>33.744444444444447</v>
      </c>
      <c r="X402" s="29">
        <f>_xll.qlDayCounterYearFraction(DayCounter,R402,S402)</f>
        <v>8.8888888888888892E-2</v>
      </c>
      <c r="Y402" s="29" t="e">
        <f>_xll.qlYieldTSDiscount(Currency&amp;"ON",R402)/(1+U402*X402)</f>
        <v>#NUM!</v>
      </c>
      <c r="Z402" s="30" t="e">
        <f>_xll.qlTenorBasisValue(TenorBasis6M,R402,InterestRatesTrigger)</f>
        <v>#VALUE!</v>
      </c>
      <c r="AA402" s="30" t="e">
        <f t="shared" si="25"/>
        <v>#NUM!</v>
      </c>
    </row>
    <row r="403" spans="15:27" x14ac:dyDescent="0.2">
      <c r="O403" s="33">
        <v>1</v>
      </c>
      <c r="P403" s="27" t="str">
        <f>_xll.qlPeriodEquivalent(P402&amp;"+"&amp;O403&amp;"M")</f>
        <v>33Y4M</v>
      </c>
      <c r="Q403" s="28">
        <f>_xll.qlCalendarAdvance(Calendar,SettlementDate,P403,"f",,Trigger)</f>
        <v>54339</v>
      </c>
      <c r="R403" s="28">
        <f>_xll.qlInterestRateIndexValueDate(Index,Q403,Trigger)</f>
        <v>54343</v>
      </c>
      <c r="S403" s="28">
        <f>_xll.qlInterestRateIndexMaturity(Index,R403,Trigger)</f>
        <v>54374</v>
      </c>
      <c r="T403" s="30">
        <f>_xll.qlIndexFixing($M$6,Q403,,InterestRatesTrigger)</f>
        <v>1.6814935700033347E-2</v>
      </c>
      <c r="U403" s="30" t="e">
        <f>_xll.qlIndexFixing(Index,Q403,,InterestRatesTrigger)</f>
        <v>#NUM!</v>
      </c>
      <c r="V403" s="30" t="e">
        <f t="shared" si="24"/>
        <v>#NUM!</v>
      </c>
      <c r="W403" s="29">
        <f>_xll.qlDayCounterYearFraction(DayCounter,SettlementDate,R403,,,Trigger)</f>
        <v>33.833333333333336</v>
      </c>
      <c r="X403" s="29">
        <f>_xll.qlDayCounterYearFraction(DayCounter,R403,S403)</f>
        <v>8.611111111111111E-2</v>
      </c>
      <c r="Y403" s="29" t="e">
        <f>_xll.qlYieldTSDiscount(Currency&amp;"ON",R403)/(1+U403*X403)</f>
        <v>#NUM!</v>
      </c>
      <c r="Z403" s="30" t="e">
        <f>_xll.qlTenorBasisValue(TenorBasis6M,R403,InterestRatesTrigger)</f>
        <v>#VALUE!</v>
      </c>
      <c r="AA403" s="30" t="e">
        <f t="shared" si="25"/>
        <v>#NUM!</v>
      </c>
    </row>
    <row r="404" spans="15:27" x14ac:dyDescent="0.2">
      <c r="O404" s="33">
        <v>1</v>
      </c>
      <c r="P404" s="27" t="str">
        <f>_xll.qlPeriodEquivalent(P403&amp;"+"&amp;O404&amp;"M")</f>
        <v>33Y5M</v>
      </c>
      <c r="Q404" s="28">
        <f>_xll.qlCalendarAdvance(Calendar,SettlementDate,P404,"f",,Trigger)</f>
        <v>54371</v>
      </c>
      <c r="R404" s="28">
        <f>_xll.qlInterestRateIndexValueDate(Index,Q404,Trigger)</f>
        <v>54373</v>
      </c>
      <c r="S404" s="28">
        <f>_xll.qlInterestRateIndexMaturity(Index,R404,Trigger)</f>
        <v>54403</v>
      </c>
      <c r="T404" s="30">
        <f>_xll.qlIndexFixing($M$6,Q404,,InterestRatesTrigger)</f>
        <v>1.6808742373705776E-2</v>
      </c>
      <c r="U404" s="30" t="e">
        <f>_xll.qlIndexFixing(Index,Q404,,InterestRatesTrigger)</f>
        <v>#NUM!</v>
      </c>
      <c r="V404" s="30" t="e">
        <f t="shared" si="24"/>
        <v>#NUM!</v>
      </c>
      <c r="W404" s="29">
        <f>_xll.qlDayCounterYearFraction(DayCounter,SettlementDate,R404,,,Trigger)</f>
        <v>33.916666666666664</v>
      </c>
      <c r="X404" s="29">
        <f>_xll.qlDayCounterYearFraction(DayCounter,R404,S404)</f>
        <v>8.3333333333333329E-2</v>
      </c>
      <c r="Y404" s="29" t="e">
        <f>_xll.qlYieldTSDiscount(Currency&amp;"ON",R404)/(1+U404*X404)</f>
        <v>#NUM!</v>
      </c>
      <c r="Z404" s="30" t="e">
        <f>_xll.qlTenorBasisValue(TenorBasis6M,R404,InterestRatesTrigger)</f>
        <v>#VALUE!</v>
      </c>
      <c r="AA404" s="30" t="e">
        <f t="shared" si="25"/>
        <v>#NUM!</v>
      </c>
    </row>
    <row r="405" spans="15:27" x14ac:dyDescent="0.2">
      <c r="O405" s="33">
        <v>1</v>
      </c>
      <c r="P405" s="27" t="str">
        <f>_xll.qlPeriodEquivalent(P404&amp;"+"&amp;O405&amp;"M")</f>
        <v>33Y6M</v>
      </c>
      <c r="Q405" s="28">
        <f>_xll.qlCalendarAdvance(Calendar,SettlementDate,P405,"f",,Trigger)</f>
        <v>54400</v>
      </c>
      <c r="R405" s="28">
        <f>_xll.qlInterestRateIndexValueDate(Index,Q405,Trigger)</f>
        <v>54402</v>
      </c>
      <c r="S405" s="28">
        <f>_xll.qlInterestRateIndexMaturity(Index,R405,Trigger)</f>
        <v>54434</v>
      </c>
      <c r="T405" s="30">
        <f>_xll.qlIndexFixing($M$6,Q405,,InterestRatesTrigger)</f>
        <v>1.6802998894465404E-2</v>
      </c>
      <c r="U405" s="30" t="e">
        <f>_xll.qlIndexFixing(Index,Q405,,InterestRatesTrigger)</f>
        <v>#NUM!</v>
      </c>
      <c r="V405" s="30" t="e">
        <f t="shared" si="24"/>
        <v>#NUM!</v>
      </c>
      <c r="W405" s="29">
        <f>_xll.qlDayCounterYearFraction(DayCounter,SettlementDate,R405,,,Trigger)</f>
        <v>33.99722222222222</v>
      </c>
      <c r="X405" s="29">
        <f>_xll.qlDayCounterYearFraction(DayCounter,R405,S405)</f>
        <v>8.8888888888888892E-2</v>
      </c>
      <c r="Y405" s="29" t="e">
        <f>_xll.qlYieldTSDiscount(Currency&amp;"ON",R405)/(1+U405*X405)</f>
        <v>#NUM!</v>
      </c>
      <c r="Z405" s="30" t="e">
        <f>_xll.qlTenorBasisValue(TenorBasis6M,R405,InterestRatesTrigger)</f>
        <v>#VALUE!</v>
      </c>
      <c r="AA405" s="30" t="e">
        <f t="shared" si="25"/>
        <v>#NUM!</v>
      </c>
    </row>
    <row r="406" spans="15:27" x14ac:dyDescent="0.2">
      <c r="O406" s="33">
        <v>1</v>
      </c>
      <c r="P406" s="27" t="str">
        <f>_xll.qlPeriodEquivalent(P405&amp;"+"&amp;O406&amp;"M")</f>
        <v>33Y7M</v>
      </c>
      <c r="Q406" s="28">
        <f>_xll.qlCalendarAdvance(Calendar,SettlementDate,P406,"f",,Trigger)</f>
        <v>54431</v>
      </c>
      <c r="R406" s="28">
        <f>_xll.qlInterestRateIndexValueDate(Index,Q406,Trigger)</f>
        <v>54435</v>
      </c>
      <c r="S406" s="28">
        <f>_xll.qlInterestRateIndexMaturity(Index,R406,Trigger)</f>
        <v>54466</v>
      </c>
      <c r="T406" s="30">
        <f>_xll.qlIndexFixing($M$6,Q406,,InterestRatesTrigger)</f>
        <v>1.6794832332492366E-2</v>
      </c>
      <c r="U406" s="30" t="e">
        <f>_xll.qlIndexFixing(Index,Q406,,InterestRatesTrigger)</f>
        <v>#NUM!</v>
      </c>
      <c r="V406" s="30" t="e">
        <f t="shared" si="24"/>
        <v>#NUM!</v>
      </c>
      <c r="W406" s="29">
        <f>_xll.qlDayCounterYearFraction(DayCounter,SettlementDate,R406,,,Trigger)</f>
        <v>34.088888888888889</v>
      </c>
      <c r="X406" s="29">
        <f>_xll.qlDayCounterYearFraction(DayCounter,R406,S406)</f>
        <v>8.611111111111111E-2</v>
      </c>
      <c r="Y406" s="29" t="e">
        <f>_xll.qlYieldTSDiscount(Currency&amp;"ON",R406)/(1+U406*X406)</f>
        <v>#NUM!</v>
      </c>
      <c r="Z406" s="30" t="e">
        <f>_xll.qlTenorBasisValue(TenorBasis6M,R406,InterestRatesTrigger)</f>
        <v>#VALUE!</v>
      </c>
      <c r="AA406" s="30" t="e">
        <f t="shared" si="25"/>
        <v>#NUM!</v>
      </c>
    </row>
    <row r="407" spans="15:27" x14ac:dyDescent="0.2">
      <c r="O407" s="33">
        <v>1</v>
      </c>
      <c r="P407" s="27" t="str">
        <f>_xll.qlPeriodEquivalent(P406&amp;"+"&amp;O407&amp;"M")</f>
        <v>33Y8M</v>
      </c>
      <c r="Q407" s="28">
        <f>_xll.qlCalendarAdvance(Calendar,SettlementDate,P407,"f",,Trigger)</f>
        <v>54462</v>
      </c>
      <c r="R407" s="28">
        <f>_xll.qlInterestRateIndexValueDate(Index,Q407,Trigger)</f>
        <v>54464</v>
      </c>
      <c r="S407" s="28">
        <f>_xll.qlInterestRateIndexMaturity(Index,R407,Trigger)</f>
        <v>54492</v>
      </c>
      <c r="T407" s="30">
        <f>_xll.qlIndexFixing($M$6,Q407,,InterestRatesTrigger)</f>
        <v>1.6786508031002408E-2</v>
      </c>
      <c r="U407" s="30" t="e">
        <f>_xll.qlIndexFixing(Index,Q407,,InterestRatesTrigger)</f>
        <v>#NUM!</v>
      </c>
      <c r="V407" s="30" t="e">
        <f t="shared" si="24"/>
        <v>#NUM!</v>
      </c>
      <c r="W407" s="29">
        <f>_xll.qlDayCounterYearFraction(DayCounter,SettlementDate,R407,,,Trigger)</f>
        <v>34.169444444444444</v>
      </c>
      <c r="X407" s="29">
        <f>_xll.qlDayCounterYearFraction(DayCounter,R407,S407)</f>
        <v>7.7777777777777779E-2</v>
      </c>
      <c r="Y407" s="29" t="e">
        <f>_xll.qlYieldTSDiscount(Currency&amp;"ON",R407)/(1+U407*X407)</f>
        <v>#NUM!</v>
      </c>
      <c r="Z407" s="30" t="e">
        <f>_xll.qlTenorBasisValue(TenorBasis6M,R407,InterestRatesTrigger)</f>
        <v>#VALUE!</v>
      </c>
      <c r="AA407" s="30" t="e">
        <f t="shared" si="25"/>
        <v>#NUM!</v>
      </c>
    </row>
    <row r="408" spans="15:27" x14ac:dyDescent="0.2">
      <c r="O408" s="33">
        <v>1</v>
      </c>
      <c r="P408" s="27" t="str">
        <f>_xll.qlPeriodEquivalent(P407&amp;"+"&amp;O408&amp;"M")</f>
        <v>33Y9M</v>
      </c>
      <c r="Q408" s="28">
        <f>_xll.qlCalendarAdvance(Calendar,SettlementDate,P408,"f",,Trigger)</f>
        <v>54490</v>
      </c>
      <c r="R408" s="28">
        <f>_xll.qlInterestRateIndexValueDate(Index,Q408,Trigger)</f>
        <v>54492</v>
      </c>
      <c r="S408" s="28">
        <f>_xll.qlInterestRateIndexMaturity(Index,R408,Trigger)</f>
        <v>54525</v>
      </c>
      <c r="T408" s="30">
        <f>_xll.qlIndexFixing($M$6,Q408,,InterestRatesTrigger)</f>
        <v>1.6779900859944519E-2</v>
      </c>
      <c r="U408" s="30" t="e">
        <f>_xll.qlIndexFixing(Index,Q408,,InterestRatesTrigger)</f>
        <v>#NUM!</v>
      </c>
      <c r="V408" s="30" t="e">
        <f t="shared" si="24"/>
        <v>#NUM!</v>
      </c>
      <c r="W408" s="29">
        <f>_xll.qlDayCounterYearFraction(DayCounter,SettlementDate,R408,,,Trigger)</f>
        <v>34.24722222222222</v>
      </c>
      <c r="X408" s="29">
        <f>_xll.qlDayCounterYearFraction(DayCounter,R408,S408)</f>
        <v>9.166666666666666E-2</v>
      </c>
      <c r="Y408" s="29" t="e">
        <f>_xll.qlYieldTSDiscount(Currency&amp;"ON",R408)/(1+U408*X408)</f>
        <v>#NUM!</v>
      </c>
      <c r="Z408" s="30" t="e">
        <f>_xll.qlTenorBasisValue(TenorBasis6M,R408,InterestRatesTrigger)</f>
        <v>#VALUE!</v>
      </c>
      <c r="AA408" s="30" t="e">
        <f t="shared" si="25"/>
        <v>#NUM!</v>
      </c>
    </row>
    <row r="409" spans="15:27" x14ac:dyDescent="0.2">
      <c r="O409" s="33">
        <v>1</v>
      </c>
      <c r="P409" s="27" t="str">
        <f>_xll.qlPeriodEquivalent(P408&amp;"+"&amp;O409&amp;"M")</f>
        <v>33Y10M</v>
      </c>
      <c r="Q409" s="28">
        <f>_xll.qlCalendarAdvance(Calendar,SettlementDate,P409,"f",,Trigger)</f>
        <v>54521</v>
      </c>
      <c r="R409" s="28">
        <f>_xll.qlInterestRateIndexValueDate(Index,Q409,Trigger)</f>
        <v>54525</v>
      </c>
      <c r="S409" s="28">
        <f>_xll.qlInterestRateIndexMaturity(Index,R409,Trigger)</f>
        <v>54555</v>
      </c>
      <c r="T409" s="30">
        <f>_xll.qlIndexFixing($M$6,Q409,,InterestRatesTrigger)</f>
        <v>1.6769218725322332E-2</v>
      </c>
      <c r="U409" s="30" t="e">
        <f>_xll.qlIndexFixing(Index,Q409,,InterestRatesTrigger)</f>
        <v>#NUM!</v>
      </c>
      <c r="V409" s="30" t="e">
        <f t="shared" si="24"/>
        <v>#NUM!</v>
      </c>
      <c r="W409" s="29">
        <f>_xll.qlDayCounterYearFraction(DayCounter,SettlementDate,R409,,,Trigger)</f>
        <v>34.338888888888889</v>
      </c>
      <c r="X409" s="29">
        <f>_xll.qlDayCounterYearFraction(DayCounter,R409,S409)</f>
        <v>8.3333333333333329E-2</v>
      </c>
      <c r="Y409" s="29" t="e">
        <f>_xll.qlYieldTSDiscount(Currency&amp;"ON",R409)/(1+U409*X409)</f>
        <v>#NUM!</v>
      </c>
      <c r="Z409" s="30" t="e">
        <f>_xll.qlTenorBasisValue(TenorBasis6M,R409,InterestRatesTrigger)</f>
        <v>#VALUE!</v>
      </c>
      <c r="AA409" s="30" t="e">
        <f t="shared" si="25"/>
        <v>#NUM!</v>
      </c>
    </row>
    <row r="410" spans="15:27" x14ac:dyDescent="0.2">
      <c r="O410" s="33">
        <v>1</v>
      </c>
      <c r="P410" s="27" t="str">
        <f>_xll.qlPeriodEquivalent(P409&amp;"+"&amp;O410&amp;"M")</f>
        <v>33Y11M</v>
      </c>
      <c r="Q410" s="28">
        <f>_xll.qlCalendarAdvance(Calendar,SettlementDate,P410,"f",,Trigger)</f>
        <v>54553</v>
      </c>
      <c r="R410" s="28">
        <f>_xll.qlInterestRateIndexValueDate(Index,Q410,Trigger)</f>
        <v>54555</v>
      </c>
      <c r="S410" s="28">
        <f>_xll.qlInterestRateIndexMaturity(Index,R410,Trigger)</f>
        <v>54588</v>
      </c>
      <c r="T410" s="30">
        <f>_xll.qlIndexFixing($M$6,Q410,,InterestRatesTrigger)</f>
        <v>1.6760175518824028E-2</v>
      </c>
      <c r="U410" s="30" t="e">
        <f>_xll.qlIndexFixing(Index,Q410,,InterestRatesTrigger)</f>
        <v>#NUM!</v>
      </c>
      <c r="V410" s="30" t="e">
        <f t="shared" si="24"/>
        <v>#NUM!</v>
      </c>
      <c r="W410" s="29">
        <f>_xll.qlDayCounterYearFraction(DayCounter,SettlementDate,R410,,,Trigger)</f>
        <v>34.422222222222224</v>
      </c>
      <c r="X410" s="29">
        <f>_xll.qlDayCounterYearFraction(DayCounter,R410,S410)</f>
        <v>9.166666666666666E-2</v>
      </c>
      <c r="Y410" s="29" t="e">
        <f>_xll.qlYieldTSDiscount(Currency&amp;"ON",R410)/(1+U410*X410)</f>
        <v>#NUM!</v>
      </c>
      <c r="Z410" s="30" t="e">
        <f>_xll.qlTenorBasisValue(TenorBasis6M,R410,InterestRatesTrigger)</f>
        <v>#VALUE!</v>
      </c>
      <c r="AA410" s="30" t="e">
        <f t="shared" si="25"/>
        <v>#NUM!</v>
      </c>
    </row>
    <row r="411" spans="15:27" x14ac:dyDescent="0.2">
      <c r="O411" s="33">
        <v>1</v>
      </c>
      <c r="P411" s="27" t="str">
        <f>_xll.qlPeriodEquivalent(P410&amp;"+"&amp;O411&amp;"M")</f>
        <v>34Y</v>
      </c>
      <c r="Q411" s="28">
        <f>_xll.qlCalendarAdvance(Calendar,SettlementDate,P411,"f",,Trigger)</f>
        <v>54582</v>
      </c>
      <c r="R411" s="28">
        <f>_xll.qlInterestRateIndexValueDate(Index,Q411,Trigger)</f>
        <v>54584</v>
      </c>
      <c r="S411" s="28">
        <f>_xll.qlInterestRateIndexMaturity(Index,R411,Trigger)</f>
        <v>54616</v>
      </c>
      <c r="T411" s="30">
        <f>_xll.qlIndexFixing($M$6,Q411,,InterestRatesTrigger)</f>
        <v>1.6749954592109872E-2</v>
      </c>
      <c r="U411" s="30" t="e">
        <f>_xll.qlIndexFixing(Index,Q411,,InterestRatesTrigger)</f>
        <v>#NUM!</v>
      </c>
      <c r="V411" s="30" t="e">
        <f t="shared" si="24"/>
        <v>#NUM!</v>
      </c>
      <c r="W411" s="29">
        <f>_xll.qlDayCounterYearFraction(DayCounter,SettlementDate,R411,,,Trigger)</f>
        <v>34.50277777777778</v>
      </c>
      <c r="X411" s="29">
        <f>_xll.qlDayCounterYearFraction(DayCounter,R411,S411)</f>
        <v>8.8888888888888892E-2</v>
      </c>
      <c r="Y411" s="29" t="e">
        <f>_xll.qlYieldTSDiscount(Currency&amp;"ON",R411)/(1+U411*X411)</f>
        <v>#NUM!</v>
      </c>
      <c r="Z411" s="30" t="e">
        <f>_xll.qlTenorBasisValue(TenorBasis6M,R411,InterestRatesTrigger)</f>
        <v>#VALUE!</v>
      </c>
      <c r="AA411" s="30" t="e">
        <f t="shared" si="25"/>
        <v>#NUM!</v>
      </c>
    </row>
    <row r="412" spans="15:27" x14ac:dyDescent="0.2">
      <c r="O412" s="33">
        <v>1</v>
      </c>
      <c r="P412" s="27" t="str">
        <f>_xll.qlPeriodEquivalent(P411&amp;"+"&amp;O412&amp;"M")</f>
        <v>34Y1M</v>
      </c>
      <c r="Q412" s="28">
        <f>_xll.qlCalendarAdvance(Calendar,SettlementDate,P412,"f",,Trigger)</f>
        <v>54612</v>
      </c>
      <c r="R412" s="28">
        <f>_xll.qlInterestRateIndexValueDate(Index,Q412,Trigger)</f>
        <v>54616</v>
      </c>
      <c r="S412" s="28">
        <f>_xll.qlInterestRateIndexMaturity(Index,R412,Trigger)</f>
        <v>54647</v>
      </c>
      <c r="T412" s="30">
        <f>_xll.qlIndexFixing($M$6,Q412,,InterestRatesTrigger)</f>
        <v>1.6738040094681782E-2</v>
      </c>
      <c r="U412" s="30" t="e">
        <f>_xll.qlIndexFixing(Index,Q412,,InterestRatesTrigger)</f>
        <v>#NUM!</v>
      </c>
      <c r="V412" s="30" t="e">
        <f t="shared" si="24"/>
        <v>#NUM!</v>
      </c>
      <c r="W412" s="29">
        <f>_xll.qlDayCounterYearFraction(DayCounter,SettlementDate,R412,,,Trigger)</f>
        <v>34.591666666666669</v>
      </c>
      <c r="X412" s="29">
        <f>_xll.qlDayCounterYearFraction(DayCounter,R412,S412)</f>
        <v>8.611111111111111E-2</v>
      </c>
      <c r="Y412" s="29" t="e">
        <f>_xll.qlYieldTSDiscount(Currency&amp;"ON",R412)/(1+U412*X412)</f>
        <v>#NUM!</v>
      </c>
      <c r="Z412" s="30" t="e">
        <f>_xll.qlTenorBasisValue(TenorBasis6M,R412,InterestRatesTrigger)</f>
        <v>#VALUE!</v>
      </c>
      <c r="AA412" s="30" t="e">
        <f t="shared" si="25"/>
        <v>#NUM!</v>
      </c>
    </row>
    <row r="413" spans="15:27" x14ac:dyDescent="0.2">
      <c r="O413" s="33">
        <v>1</v>
      </c>
      <c r="P413" s="27" t="str">
        <f>_xll.qlPeriodEquivalent(P412&amp;"+"&amp;O413&amp;"M")</f>
        <v>34Y2M</v>
      </c>
      <c r="Q413" s="28">
        <f>_xll.qlCalendarAdvance(Calendar,SettlementDate,P413,"f",,Trigger)</f>
        <v>54644</v>
      </c>
      <c r="R413" s="28">
        <f>_xll.qlInterestRateIndexValueDate(Index,Q413,Trigger)</f>
        <v>54646</v>
      </c>
      <c r="S413" s="28">
        <f>_xll.qlInterestRateIndexMaturity(Index,R413,Trigger)</f>
        <v>54679</v>
      </c>
      <c r="T413" s="30">
        <f>_xll.qlIndexFixing($M$6,Q413,,InterestRatesTrigger)</f>
        <v>1.6726793220921108E-2</v>
      </c>
      <c r="U413" s="30" t="e">
        <f>_xll.qlIndexFixing(Index,Q413,,InterestRatesTrigger)</f>
        <v>#NUM!</v>
      </c>
      <c r="V413" s="30" t="e">
        <f t="shared" si="24"/>
        <v>#NUM!</v>
      </c>
      <c r="W413" s="29">
        <f>_xll.qlDayCounterYearFraction(DayCounter,SettlementDate,R413,,,Trigger)</f>
        <v>34.674999999999997</v>
      </c>
      <c r="X413" s="29">
        <f>_xll.qlDayCounterYearFraction(DayCounter,R413,S413)</f>
        <v>9.166666666666666E-2</v>
      </c>
      <c r="Y413" s="29" t="e">
        <f>_xll.qlYieldTSDiscount(Currency&amp;"ON",R413)/(1+U413*X413)</f>
        <v>#NUM!</v>
      </c>
      <c r="Z413" s="30" t="e">
        <f>_xll.qlTenorBasisValue(TenorBasis6M,R413,InterestRatesTrigger)</f>
        <v>#VALUE!</v>
      </c>
      <c r="AA413" s="30" t="e">
        <f t="shared" si="25"/>
        <v>#NUM!</v>
      </c>
    </row>
    <row r="414" spans="15:27" x14ac:dyDescent="0.2">
      <c r="O414" s="33">
        <v>1</v>
      </c>
      <c r="P414" s="27" t="str">
        <f>_xll.qlPeriodEquivalent(P413&amp;"+"&amp;O414&amp;"M")</f>
        <v>34Y3M</v>
      </c>
      <c r="Q414" s="28">
        <f>_xll.qlCalendarAdvance(Calendar,SettlementDate,P414,"f",,Trigger)</f>
        <v>54674</v>
      </c>
      <c r="R414" s="28">
        <f>_xll.qlInterestRateIndexValueDate(Index,Q414,Trigger)</f>
        <v>54676</v>
      </c>
      <c r="S414" s="28">
        <f>_xll.qlInterestRateIndexMaturity(Index,R414,Trigger)</f>
        <v>54707</v>
      </c>
      <c r="T414" s="30">
        <f>_xll.qlIndexFixing($M$6,Q414,,InterestRatesTrigger)</f>
        <v>1.6714168639807032E-2</v>
      </c>
      <c r="U414" s="30" t="e">
        <f>_xll.qlIndexFixing(Index,Q414,,InterestRatesTrigger)</f>
        <v>#NUM!</v>
      </c>
      <c r="V414" s="30" t="e">
        <f t="shared" si="24"/>
        <v>#NUM!</v>
      </c>
      <c r="W414" s="29">
        <f>_xll.qlDayCounterYearFraction(DayCounter,SettlementDate,R414,,,Trigger)</f>
        <v>34.758333333333333</v>
      </c>
      <c r="X414" s="29">
        <f>_xll.qlDayCounterYearFraction(DayCounter,R414,S414)</f>
        <v>8.611111111111111E-2</v>
      </c>
      <c r="Y414" s="29" t="e">
        <f>_xll.qlYieldTSDiscount(Currency&amp;"ON",R414)/(1+U414*X414)</f>
        <v>#NUM!</v>
      </c>
      <c r="Z414" s="30" t="e">
        <f>_xll.qlTenorBasisValue(TenorBasis6M,R414,InterestRatesTrigger)</f>
        <v>#VALUE!</v>
      </c>
      <c r="AA414" s="30" t="e">
        <f t="shared" si="25"/>
        <v>#NUM!</v>
      </c>
    </row>
    <row r="415" spans="15:27" x14ac:dyDescent="0.2">
      <c r="O415" s="33">
        <v>1</v>
      </c>
      <c r="P415" s="27" t="str">
        <f>_xll.qlPeriodEquivalent(P414&amp;"+"&amp;O415&amp;"M")</f>
        <v>34Y4M</v>
      </c>
      <c r="Q415" s="28">
        <f>_xll.qlCalendarAdvance(Calendar,SettlementDate,P415,"f",,Trigger)</f>
        <v>54704</v>
      </c>
      <c r="R415" s="28">
        <f>_xll.qlInterestRateIndexValueDate(Index,Q415,Trigger)</f>
        <v>54708</v>
      </c>
      <c r="S415" s="28">
        <f>_xll.qlInterestRateIndexMaturity(Index,R415,Trigger)</f>
        <v>54739</v>
      </c>
      <c r="T415" s="30">
        <f>_xll.qlIndexFixing($M$6,Q415,,InterestRatesTrigger)</f>
        <v>1.6700410002898545E-2</v>
      </c>
      <c r="U415" s="30" t="e">
        <f>_xll.qlIndexFixing(Index,Q415,,InterestRatesTrigger)</f>
        <v>#NUM!</v>
      </c>
      <c r="V415" s="30" t="e">
        <f t="shared" si="24"/>
        <v>#NUM!</v>
      </c>
      <c r="W415" s="29">
        <f>_xll.qlDayCounterYearFraction(DayCounter,SettlementDate,R415,,,Trigger)</f>
        <v>34.847222222222221</v>
      </c>
      <c r="X415" s="29">
        <f>_xll.qlDayCounterYearFraction(DayCounter,R415,S415)</f>
        <v>8.611111111111111E-2</v>
      </c>
      <c r="Y415" s="29" t="e">
        <f>_xll.qlYieldTSDiscount(Currency&amp;"ON",R415)/(1+U415*X415)</f>
        <v>#NUM!</v>
      </c>
      <c r="Z415" s="30" t="e">
        <f>_xll.qlTenorBasisValue(TenorBasis6M,R415,InterestRatesTrigger)</f>
        <v>#VALUE!</v>
      </c>
      <c r="AA415" s="30" t="e">
        <f t="shared" si="25"/>
        <v>#NUM!</v>
      </c>
    </row>
    <row r="416" spans="15:27" x14ac:dyDescent="0.2">
      <c r="O416" s="33">
        <v>1</v>
      </c>
      <c r="P416" s="27" t="str">
        <f>_xll.qlPeriodEquivalent(P415&amp;"+"&amp;O416&amp;"M")</f>
        <v>34Y5M</v>
      </c>
      <c r="Q416" s="28">
        <f>_xll.qlCalendarAdvance(Calendar,SettlementDate,P416,"f",,Trigger)</f>
        <v>54735</v>
      </c>
      <c r="R416" s="28">
        <f>_xll.qlInterestRateIndexValueDate(Index,Q416,Trigger)</f>
        <v>54737</v>
      </c>
      <c r="S416" s="28">
        <f>_xll.qlInterestRateIndexMaturity(Index,R416,Trigger)</f>
        <v>54767</v>
      </c>
      <c r="T416" s="30">
        <f>_xll.qlIndexFixing($M$6,Q416,,InterestRatesTrigger)</f>
        <v>1.6687169804131763E-2</v>
      </c>
      <c r="U416" s="30" t="e">
        <f>_xll.qlIndexFixing(Index,Q416,,InterestRatesTrigger)</f>
        <v>#NUM!</v>
      </c>
      <c r="V416" s="30" t="e">
        <f t="shared" si="24"/>
        <v>#NUM!</v>
      </c>
      <c r="W416" s="29">
        <f>_xll.qlDayCounterYearFraction(DayCounter,SettlementDate,R416,,,Trigger)</f>
        <v>34.927777777777777</v>
      </c>
      <c r="X416" s="29">
        <f>_xll.qlDayCounterYearFraction(DayCounter,R416,S416)</f>
        <v>8.3333333333333329E-2</v>
      </c>
      <c r="Y416" s="29" t="e">
        <f>_xll.qlYieldTSDiscount(Currency&amp;"ON",R416)/(1+U416*X416)</f>
        <v>#NUM!</v>
      </c>
      <c r="Z416" s="30" t="e">
        <f>_xll.qlTenorBasisValue(TenorBasis6M,R416,InterestRatesTrigger)</f>
        <v>#VALUE!</v>
      </c>
      <c r="AA416" s="30" t="e">
        <f t="shared" si="25"/>
        <v>#NUM!</v>
      </c>
    </row>
    <row r="417" spans="15:27" x14ac:dyDescent="0.2">
      <c r="O417" s="33">
        <v>1</v>
      </c>
      <c r="P417" s="27" t="str">
        <f>_xll.qlPeriodEquivalent(P416&amp;"+"&amp;O417&amp;"M")</f>
        <v>34Y6M</v>
      </c>
      <c r="Q417" s="28">
        <f>_xll.qlCalendarAdvance(Calendar,SettlementDate,P417,"f",,Trigger)</f>
        <v>54765</v>
      </c>
      <c r="R417" s="28">
        <f>_xll.qlInterestRateIndexValueDate(Index,Q417,Trigger)</f>
        <v>54767</v>
      </c>
      <c r="S417" s="28">
        <f>_xll.qlInterestRateIndexMaturity(Index,R417,Trigger)</f>
        <v>54798</v>
      </c>
      <c r="T417" s="30">
        <f>_xll.qlIndexFixing($M$6,Q417,,InterestRatesTrigger)</f>
        <v>1.6673169222804967E-2</v>
      </c>
      <c r="U417" s="30" t="e">
        <f>_xll.qlIndexFixing(Index,Q417,,InterestRatesTrigger)</f>
        <v>#NUM!</v>
      </c>
      <c r="V417" s="30" t="e">
        <f t="shared" si="24"/>
        <v>#NUM!</v>
      </c>
      <c r="W417" s="29">
        <f>_xll.qlDayCounterYearFraction(DayCounter,SettlementDate,R417,,,Trigger)</f>
        <v>35.011111111111113</v>
      </c>
      <c r="X417" s="29">
        <f>_xll.qlDayCounterYearFraction(DayCounter,R417,S417)</f>
        <v>8.611111111111111E-2</v>
      </c>
      <c r="Y417" s="29" t="e">
        <f>_xll.qlYieldTSDiscount(Currency&amp;"ON",R417)/(1+U417*X417)</f>
        <v>#NUM!</v>
      </c>
      <c r="Z417" s="30" t="e">
        <f>_xll.qlTenorBasisValue(TenorBasis6M,R417,InterestRatesTrigger)</f>
        <v>#VALUE!</v>
      </c>
      <c r="AA417" s="30" t="e">
        <f t="shared" si="25"/>
        <v>#NUM!</v>
      </c>
    </row>
    <row r="418" spans="15:27" x14ac:dyDescent="0.2">
      <c r="O418" s="33">
        <v>1</v>
      </c>
      <c r="P418" s="27" t="str">
        <f>_xll.qlPeriodEquivalent(P417&amp;"+"&amp;O418&amp;"M")</f>
        <v>34Y7M</v>
      </c>
      <c r="Q418" s="28">
        <f>_xll.qlCalendarAdvance(Calendar,SettlementDate,P418,"f",,Trigger)</f>
        <v>54798</v>
      </c>
      <c r="R418" s="28">
        <f>_xll.qlInterestRateIndexValueDate(Index,Q418,Trigger)</f>
        <v>54800</v>
      </c>
      <c r="S418" s="28">
        <f>_xll.qlInterestRateIndexMaturity(Index,R418,Trigger)</f>
        <v>54833</v>
      </c>
      <c r="T418" s="30">
        <f>_xll.qlIndexFixing($M$6,Q418,,InterestRatesTrigger)</f>
        <v>1.6657134485932413E-2</v>
      </c>
      <c r="U418" s="30" t="e">
        <f>_xll.qlIndexFixing(Index,Q418,,InterestRatesTrigger)</f>
        <v>#NUM!</v>
      </c>
      <c r="V418" s="30" t="e">
        <f t="shared" si="24"/>
        <v>#NUM!</v>
      </c>
      <c r="W418" s="29">
        <f>_xll.qlDayCounterYearFraction(DayCounter,SettlementDate,R418,,,Trigger)</f>
        <v>35.102777777777774</v>
      </c>
      <c r="X418" s="29">
        <f>_xll.qlDayCounterYearFraction(DayCounter,R418,S418)</f>
        <v>9.166666666666666E-2</v>
      </c>
      <c r="Y418" s="29" t="e">
        <f>_xll.qlYieldTSDiscount(Currency&amp;"ON",R418)/(1+U418*X418)</f>
        <v>#NUM!</v>
      </c>
      <c r="Z418" s="30" t="e">
        <f>_xll.qlTenorBasisValue(TenorBasis6M,R418,InterestRatesTrigger)</f>
        <v>#VALUE!</v>
      </c>
      <c r="AA418" s="30" t="e">
        <f t="shared" si="25"/>
        <v>#NUM!</v>
      </c>
    </row>
    <row r="419" spans="15:27" x14ac:dyDescent="0.2">
      <c r="O419" s="33">
        <v>1</v>
      </c>
      <c r="P419" s="27" t="str">
        <f>_xll.qlPeriodEquivalent(P418&amp;"+"&amp;O419&amp;"M")</f>
        <v>34Y8M</v>
      </c>
      <c r="Q419" s="28">
        <f>_xll.qlCalendarAdvance(Calendar,SettlementDate,P419,"f",,Trigger)</f>
        <v>54827</v>
      </c>
      <c r="R419" s="28">
        <f>_xll.qlInterestRateIndexValueDate(Index,Q419,Trigger)</f>
        <v>54829</v>
      </c>
      <c r="S419" s="28">
        <f>_xll.qlInterestRateIndexMaturity(Index,R419,Trigger)</f>
        <v>54857</v>
      </c>
      <c r="T419" s="30">
        <f>_xll.qlIndexFixing($M$6,Q419,,InterestRatesTrigger)</f>
        <v>1.664156503688119E-2</v>
      </c>
      <c r="U419" s="30" t="e">
        <f>_xll.qlIndexFixing(Index,Q419,,InterestRatesTrigger)</f>
        <v>#NUM!</v>
      </c>
      <c r="V419" s="30" t="e">
        <f t="shared" si="24"/>
        <v>#NUM!</v>
      </c>
      <c r="W419" s="29">
        <f>_xll.qlDayCounterYearFraction(DayCounter,SettlementDate,R419,,,Trigger)</f>
        <v>35.18333333333333</v>
      </c>
      <c r="X419" s="29">
        <f>_xll.qlDayCounterYearFraction(DayCounter,R419,S419)</f>
        <v>7.7777777777777779E-2</v>
      </c>
      <c r="Y419" s="29" t="e">
        <f>_xll.qlYieldTSDiscount(Currency&amp;"ON",R419)/(1+U419*X419)</f>
        <v>#NUM!</v>
      </c>
      <c r="Z419" s="30" t="e">
        <f>_xll.qlTenorBasisValue(TenorBasis6M,R419,InterestRatesTrigger)</f>
        <v>#VALUE!</v>
      </c>
      <c r="AA419" s="30" t="e">
        <f t="shared" si="25"/>
        <v>#NUM!</v>
      </c>
    </row>
    <row r="420" spans="15:27" x14ac:dyDescent="0.2">
      <c r="O420" s="33">
        <v>1</v>
      </c>
      <c r="P420" s="27" t="str">
        <f>_xll.qlPeriodEquivalent(P419&amp;"+"&amp;O420&amp;"M")</f>
        <v>34Y9M</v>
      </c>
      <c r="Q420" s="28">
        <f>_xll.qlCalendarAdvance(Calendar,SettlementDate,P420,"f",,Trigger)</f>
        <v>54855</v>
      </c>
      <c r="R420" s="28">
        <f>_xll.qlInterestRateIndexValueDate(Index,Q420,Trigger)</f>
        <v>54857</v>
      </c>
      <c r="S420" s="28">
        <f>_xll.qlInterestRateIndexMaturity(Index,R420,Trigger)</f>
        <v>54890</v>
      </c>
      <c r="T420" s="30">
        <f>_xll.qlIndexFixing($M$6,Q420,,InterestRatesTrigger)</f>
        <v>1.6627155022962112E-2</v>
      </c>
      <c r="U420" s="30" t="e">
        <f>_xll.qlIndexFixing(Index,Q420,,InterestRatesTrigger)</f>
        <v>#NUM!</v>
      </c>
      <c r="V420" s="30" t="e">
        <f t="shared" ref="V420:V483" si="26">U420-T420</f>
        <v>#NUM!</v>
      </c>
      <c r="W420" s="29">
        <f>_xll.qlDayCounterYearFraction(DayCounter,SettlementDate,R420,,,Trigger)</f>
        <v>35.261111111111113</v>
      </c>
      <c r="X420" s="29">
        <f>_xll.qlDayCounterYearFraction(DayCounter,R420,S420)</f>
        <v>9.166666666666666E-2</v>
      </c>
      <c r="Y420" s="29" t="e">
        <f>_xll.qlYieldTSDiscount(Currency&amp;"ON",R420)/(1+U420*X420)</f>
        <v>#NUM!</v>
      </c>
      <c r="Z420" s="30" t="e">
        <f>_xll.qlTenorBasisValue(TenorBasis6M,R420,InterestRatesTrigger)</f>
        <v>#VALUE!</v>
      </c>
      <c r="AA420" s="30" t="e">
        <f t="shared" ref="AA420:AA483" si="27">V420-Z420</f>
        <v>#NUM!</v>
      </c>
    </row>
    <row r="421" spans="15:27" x14ac:dyDescent="0.2">
      <c r="O421" s="33">
        <v>1</v>
      </c>
      <c r="P421" s="27" t="str">
        <f>_xll.qlPeriodEquivalent(P420&amp;"+"&amp;O421&amp;"M")</f>
        <v>34Y10M</v>
      </c>
      <c r="Q421" s="28">
        <f>_xll.qlCalendarAdvance(Calendar,SettlementDate,P421,"f",,Trigger)</f>
        <v>54890</v>
      </c>
      <c r="R421" s="28">
        <f>_xll.qlInterestRateIndexValueDate(Index,Q421,Trigger)</f>
        <v>54892</v>
      </c>
      <c r="S421" s="28">
        <f>_xll.qlInterestRateIndexMaturity(Index,R421,Trigger)</f>
        <v>54924</v>
      </c>
      <c r="T421" s="30">
        <f>_xll.qlIndexFixing($M$6,Q421,,InterestRatesTrigger)</f>
        <v>1.6607527062369731E-2</v>
      </c>
      <c r="U421" s="30" t="e">
        <f>_xll.qlIndexFixing(Index,Q421,,InterestRatesTrigger)</f>
        <v>#NUM!</v>
      </c>
      <c r="V421" s="30" t="e">
        <f t="shared" si="26"/>
        <v>#NUM!</v>
      </c>
      <c r="W421" s="29">
        <f>_xll.qlDayCounterYearFraction(DayCounter,SettlementDate,R421,,,Trigger)</f>
        <v>35.358333333333334</v>
      </c>
      <c r="X421" s="29">
        <f>_xll.qlDayCounterYearFraction(DayCounter,R421,S421)</f>
        <v>8.8888888888888892E-2</v>
      </c>
      <c r="Y421" s="29" t="e">
        <f>_xll.qlYieldTSDiscount(Currency&amp;"ON",R421)/(1+U421*X421)</f>
        <v>#NUM!</v>
      </c>
      <c r="Z421" s="30" t="e">
        <f>_xll.qlTenorBasisValue(TenorBasis6M,R421,InterestRatesTrigger)</f>
        <v>#VALUE!</v>
      </c>
      <c r="AA421" s="30" t="e">
        <f t="shared" si="27"/>
        <v>#NUM!</v>
      </c>
    </row>
    <row r="422" spans="15:27" x14ac:dyDescent="0.2">
      <c r="O422" s="33">
        <v>1</v>
      </c>
      <c r="P422" s="27" t="str">
        <f>_xll.qlPeriodEquivalent(P421&amp;"+"&amp;O422&amp;"M")</f>
        <v>34Y11M</v>
      </c>
      <c r="Q422" s="28">
        <f>_xll.qlCalendarAdvance(Calendar,SettlementDate,P422,"f",,Trigger)</f>
        <v>54917</v>
      </c>
      <c r="R422" s="28">
        <f>_xll.qlInterestRateIndexValueDate(Index,Q422,Trigger)</f>
        <v>54919</v>
      </c>
      <c r="S422" s="28">
        <f>_xll.qlInterestRateIndexMaturity(Index,R422,Trigger)</f>
        <v>54952</v>
      </c>
      <c r="T422" s="30">
        <f>_xll.qlIndexFixing($M$6,Q422,,InterestRatesTrigger)</f>
        <v>1.6591971346432321E-2</v>
      </c>
      <c r="U422" s="30" t="e">
        <f>_xll.qlIndexFixing(Index,Q422,,InterestRatesTrigger)</f>
        <v>#NUM!</v>
      </c>
      <c r="V422" s="30" t="e">
        <f t="shared" si="26"/>
        <v>#NUM!</v>
      </c>
      <c r="W422" s="29">
        <f>_xll.qlDayCounterYearFraction(DayCounter,SettlementDate,R422,,,Trigger)</f>
        <v>35.43333333333333</v>
      </c>
      <c r="X422" s="29">
        <f>_xll.qlDayCounterYearFraction(DayCounter,R422,S422)</f>
        <v>9.166666666666666E-2</v>
      </c>
      <c r="Y422" s="29" t="e">
        <f>_xll.qlYieldTSDiscount(Currency&amp;"ON",R422)/(1+U422*X422)</f>
        <v>#NUM!</v>
      </c>
      <c r="Z422" s="30" t="e">
        <f>_xll.qlTenorBasisValue(TenorBasis6M,R422,InterestRatesTrigger)</f>
        <v>#VALUE!</v>
      </c>
      <c r="AA422" s="30" t="e">
        <f t="shared" si="27"/>
        <v>#NUM!</v>
      </c>
    </row>
    <row r="423" spans="15:27" x14ac:dyDescent="0.2">
      <c r="O423" s="33">
        <v>1</v>
      </c>
      <c r="P423" s="27" t="str">
        <f>_xll.qlPeriodEquivalent(P422&amp;"+"&amp;O423&amp;"M")</f>
        <v>35Y</v>
      </c>
      <c r="Q423" s="28">
        <f>_xll.qlCalendarAdvance(Calendar,SettlementDate,P423,"f",,Trigger)</f>
        <v>54947</v>
      </c>
      <c r="R423" s="28">
        <f>_xll.qlInterestRateIndexValueDate(Index,Q423,Trigger)</f>
        <v>54949</v>
      </c>
      <c r="S423" s="28">
        <f>_xll.qlInterestRateIndexMaturity(Index,R423,Trigger)</f>
        <v>54980</v>
      </c>
      <c r="T423" s="30">
        <f>_xll.qlIndexFixing($M$6,Q423,,InterestRatesTrigger)</f>
        <v>1.6573834663398554E-2</v>
      </c>
      <c r="U423" s="30" t="e">
        <f>_xll.qlIndexFixing(Index,Q423,,InterestRatesTrigger)</f>
        <v>#NUM!</v>
      </c>
      <c r="V423" s="30" t="e">
        <f t="shared" si="26"/>
        <v>#NUM!</v>
      </c>
      <c r="W423" s="29">
        <f>_xll.qlDayCounterYearFraction(DayCounter,SettlementDate,R423,,,Trigger)</f>
        <v>35.516666666666666</v>
      </c>
      <c r="X423" s="29">
        <f>_xll.qlDayCounterYearFraction(DayCounter,R423,S423)</f>
        <v>8.611111111111111E-2</v>
      </c>
      <c r="Y423" s="29" t="e">
        <f>_xll.qlYieldTSDiscount(Currency&amp;"ON",R423)/(1+U423*X423)</f>
        <v>#NUM!</v>
      </c>
      <c r="Z423" s="30" t="e">
        <f>_xll.qlTenorBasisValue(TenorBasis6M,R423,InterestRatesTrigger)</f>
        <v>#VALUE!</v>
      </c>
      <c r="AA423" s="30" t="e">
        <f t="shared" si="27"/>
        <v>#NUM!</v>
      </c>
    </row>
    <row r="424" spans="15:27" x14ac:dyDescent="0.2">
      <c r="O424" s="33">
        <v>1</v>
      </c>
      <c r="P424" s="27" t="str">
        <f>_xll.qlPeriodEquivalent(P423&amp;"+"&amp;O424&amp;"M")</f>
        <v>35Y1M</v>
      </c>
      <c r="Q424" s="28">
        <f>_xll.qlCalendarAdvance(Calendar,SettlementDate,P424,"f",,Trigger)</f>
        <v>54977</v>
      </c>
      <c r="R424" s="28">
        <f>_xll.qlInterestRateIndexValueDate(Index,Q424,Trigger)</f>
        <v>54981</v>
      </c>
      <c r="S424" s="28">
        <f>_xll.qlInterestRateIndexMaturity(Index,R424,Trigger)</f>
        <v>55012</v>
      </c>
      <c r="T424" s="30">
        <f>_xll.qlIndexFixing($M$6,Q424,,InterestRatesTrigger)</f>
        <v>1.6553979974130387E-2</v>
      </c>
      <c r="U424" s="30" t="e">
        <f>_xll.qlIndexFixing(Index,Q424,,InterestRatesTrigger)</f>
        <v>#NUM!</v>
      </c>
      <c r="V424" s="30" t="e">
        <f t="shared" si="26"/>
        <v>#NUM!</v>
      </c>
      <c r="W424" s="29">
        <f>_xll.qlDayCounterYearFraction(DayCounter,SettlementDate,R424,,,Trigger)</f>
        <v>35.605555555555554</v>
      </c>
      <c r="X424" s="29">
        <f>_xll.qlDayCounterYearFraction(DayCounter,R424,S424)</f>
        <v>8.611111111111111E-2</v>
      </c>
      <c r="Y424" s="29" t="e">
        <f>_xll.qlYieldTSDiscount(Currency&amp;"ON",R424)/(1+U424*X424)</f>
        <v>#NUM!</v>
      </c>
      <c r="Z424" s="30" t="e">
        <f>_xll.qlTenorBasisValue(TenorBasis6M,R424,InterestRatesTrigger)</f>
        <v>#VALUE!</v>
      </c>
      <c r="AA424" s="30" t="e">
        <f t="shared" si="27"/>
        <v>#NUM!</v>
      </c>
    </row>
    <row r="425" spans="15:27" x14ac:dyDescent="0.2">
      <c r="O425" s="33">
        <v>1</v>
      </c>
      <c r="P425" s="27" t="str">
        <f>_xll.qlPeriodEquivalent(P424&amp;"+"&amp;O425&amp;"M")</f>
        <v>35Y2M</v>
      </c>
      <c r="Q425" s="28">
        <f>_xll.qlCalendarAdvance(Calendar,SettlementDate,P425,"f",,Trigger)</f>
        <v>55008</v>
      </c>
      <c r="R425" s="28">
        <f>_xll.qlInterestRateIndexValueDate(Index,Q425,Trigger)</f>
        <v>55010</v>
      </c>
      <c r="S425" s="28">
        <f>_xll.qlInterestRateIndexMaturity(Index,R425,Trigger)</f>
        <v>55043</v>
      </c>
      <c r="T425" s="30">
        <f>_xll.qlIndexFixing($M$6,Q425,,InterestRatesTrigger)</f>
        <v>1.6535472632390545E-2</v>
      </c>
      <c r="U425" s="30" t="e">
        <f>_xll.qlIndexFixing(Index,Q425,,InterestRatesTrigger)</f>
        <v>#NUM!</v>
      </c>
      <c r="V425" s="30" t="e">
        <f t="shared" si="26"/>
        <v>#NUM!</v>
      </c>
      <c r="W425" s="29">
        <f>_xll.qlDayCounterYearFraction(DayCounter,SettlementDate,R425,,,Trigger)</f>
        <v>35.68611111111111</v>
      </c>
      <c r="X425" s="29">
        <f>_xll.qlDayCounterYearFraction(DayCounter,R425,S425)</f>
        <v>9.166666666666666E-2</v>
      </c>
      <c r="Y425" s="29" t="e">
        <f>_xll.qlYieldTSDiscount(Currency&amp;"ON",R425)/(1+U425*X425)</f>
        <v>#NUM!</v>
      </c>
      <c r="Z425" s="30" t="e">
        <f>_xll.qlTenorBasisValue(TenorBasis6M,R425,InterestRatesTrigger)</f>
        <v>#VALUE!</v>
      </c>
      <c r="AA425" s="30" t="e">
        <f t="shared" si="27"/>
        <v>#NUM!</v>
      </c>
    </row>
    <row r="426" spans="15:27" x14ac:dyDescent="0.2">
      <c r="O426" s="33">
        <v>1</v>
      </c>
      <c r="P426" s="27" t="str">
        <f>_xll.qlPeriodEquivalent(P425&amp;"+"&amp;O426&amp;"M")</f>
        <v>35Y3M</v>
      </c>
      <c r="Q426" s="28">
        <f>_xll.qlCalendarAdvance(Calendar,SettlementDate,P426,"f",,Trigger)</f>
        <v>55039</v>
      </c>
      <c r="R426" s="28">
        <f>_xll.qlInterestRateIndexValueDate(Index,Q426,Trigger)</f>
        <v>55043</v>
      </c>
      <c r="S426" s="28">
        <f>_xll.qlInterestRateIndexMaturity(Index,R426,Trigger)</f>
        <v>55073</v>
      </c>
      <c r="T426" s="30">
        <f>_xll.qlIndexFixing($M$6,Q426,,InterestRatesTrigger)</f>
        <v>1.6513438705488603E-2</v>
      </c>
      <c r="U426" s="30" t="e">
        <f>_xll.qlIndexFixing(Index,Q426,,InterestRatesTrigger)</f>
        <v>#NUM!</v>
      </c>
      <c r="V426" s="30" t="e">
        <f t="shared" si="26"/>
        <v>#NUM!</v>
      </c>
      <c r="W426" s="29">
        <f>_xll.qlDayCounterYearFraction(DayCounter,SettlementDate,R426,,,Trigger)</f>
        <v>35.777777777777779</v>
      </c>
      <c r="X426" s="29">
        <f>_xll.qlDayCounterYearFraction(DayCounter,R426,S426)</f>
        <v>8.3333333333333329E-2</v>
      </c>
      <c r="Y426" s="29" t="e">
        <f>_xll.qlYieldTSDiscount(Currency&amp;"ON",R426)/(1+U426*X426)</f>
        <v>#NUM!</v>
      </c>
      <c r="Z426" s="30" t="e">
        <f>_xll.qlTenorBasisValue(TenorBasis6M,R426,InterestRatesTrigger)</f>
        <v>#VALUE!</v>
      </c>
      <c r="AA426" s="30" t="e">
        <f t="shared" si="27"/>
        <v>#NUM!</v>
      </c>
    </row>
    <row r="427" spans="15:27" x14ac:dyDescent="0.2">
      <c r="O427" s="33">
        <v>1</v>
      </c>
      <c r="P427" s="27" t="str">
        <f>_xll.qlPeriodEquivalent(P426&amp;"+"&amp;O427&amp;"M")</f>
        <v>35Y4M</v>
      </c>
      <c r="Q427" s="28">
        <f>_xll.qlCalendarAdvance(Calendar,SettlementDate,P427,"f",,Trigger)</f>
        <v>55071</v>
      </c>
      <c r="R427" s="28">
        <f>_xll.qlInterestRateIndexValueDate(Index,Q427,Trigger)</f>
        <v>55073</v>
      </c>
      <c r="S427" s="28">
        <f>_xll.qlInterestRateIndexMaturity(Index,R427,Trigger)</f>
        <v>55106</v>
      </c>
      <c r="T427" s="30">
        <f>_xll.qlIndexFixing($M$6,Q427,,InterestRatesTrigger)</f>
        <v>1.6492972857856975E-2</v>
      </c>
      <c r="U427" s="30" t="e">
        <f>_xll.qlIndexFixing(Index,Q427,,InterestRatesTrigger)</f>
        <v>#NUM!</v>
      </c>
      <c r="V427" s="30" t="e">
        <f t="shared" si="26"/>
        <v>#NUM!</v>
      </c>
      <c r="W427" s="29">
        <f>_xll.qlDayCounterYearFraction(DayCounter,SettlementDate,R427,,,Trigger)</f>
        <v>35.861111111111114</v>
      </c>
      <c r="X427" s="29">
        <f>_xll.qlDayCounterYearFraction(DayCounter,R427,S427)</f>
        <v>9.166666666666666E-2</v>
      </c>
      <c r="Y427" s="29" t="e">
        <f>_xll.qlYieldTSDiscount(Currency&amp;"ON",R427)/(1+U427*X427)</f>
        <v>#NUM!</v>
      </c>
      <c r="Z427" s="30" t="e">
        <f>_xll.qlTenorBasisValue(TenorBasis6M,R427,InterestRatesTrigger)</f>
        <v>#VALUE!</v>
      </c>
      <c r="AA427" s="30" t="e">
        <f t="shared" si="27"/>
        <v>#NUM!</v>
      </c>
    </row>
    <row r="428" spans="15:27" x14ac:dyDescent="0.2">
      <c r="O428" s="33">
        <v>1</v>
      </c>
      <c r="P428" s="27" t="str">
        <f>_xll.qlPeriodEquivalent(P427&amp;"+"&amp;O428&amp;"M")</f>
        <v>35Y5M</v>
      </c>
      <c r="Q428" s="28">
        <f>_xll.qlCalendarAdvance(Calendar,SettlementDate,P428,"f",,Trigger)</f>
        <v>55100</v>
      </c>
      <c r="R428" s="28">
        <f>_xll.qlInterestRateIndexValueDate(Index,Q428,Trigger)</f>
        <v>55102</v>
      </c>
      <c r="S428" s="28">
        <f>_xll.qlInterestRateIndexMaturity(Index,R428,Trigger)</f>
        <v>55134</v>
      </c>
      <c r="T428" s="30">
        <f>_xll.qlIndexFixing($M$6,Q428,,InterestRatesTrigger)</f>
        <v>1.6472462071917826E-2</v>
      </c>
      <c r="U428" s="30" t="e">
        <f>_xll.qlIndexFixing(Index,Q428,,InterestRatesTrigger)</f>
        <v>#NUM!</v>
      </c>
      <c r="V428" s="30" t="e">
        <f t="shared" si="26"/>
        <v>#NUM!</v>
      </c>
      <c r="W428" s="29">
        <f>_xll.qlDayCounterYearFraction(DayCounter,SettlementDate,R428,,,Trigger)</f>
        <v>35.94166666666667</v>
      </c>
      <c r="X428" s="29">
        <f>_xll.qlDayCounterYearFraction(DayCounter,R428,S428)</f>
        <v>8.8888888888888892E-2</v>
      </c>
      <c r="Y428" s="29" t="e">
        <f>_xll.qlYieldTSDiscount(Currency&amp;"ON",R428)/(1+U428*X428)</f>
        <v>#NUM!</v>
      </c>
      <c r="Z428" s="30" t="e">
        <f>_xll.qlTenorBasisValue(TenorBasis6M,R428,InterestRatesTrigger)</f>
        <v>#VALUE!</v>
      </c>
      <c r="AA428" s="30" t="e">
        <f t="shared" si="27"/>
        <v>#NUM!</v>
      </c>
    </row>
    <row r="429" spans="15:27" x14ac:dyDescent="0.2">
      <c r="O429" s="33">
        <v>1</v>
      </c>
      <c r="P429" s="27" t="str">
        <f>_xll.qlPeriodEquivalent(P428&amp;"+"&amp;O429&amp;"M")</f>
        <v>35Y6M</v>
      </c>
      <c r="Q429" s="28">
        <f>_xll.qlCalendarAdvance(Calendar,SettlementDate,P429,"f",,Trigger)</f>
        <v>55130</v>
      </c>
      <c r="R429" s="28">
        <f>_xll.qlInterestRateIndexValueDate(Index,Q429,Trigger)</f>
        <v>55134</v>
      </c>
      <c r="S429" s="28">
        <f>_xll.qlInterestRateIndexMaturity(Index,R429,Trigger)</f>
        <v>55165</v>
      </c>
      <c r="T429" s="30">
        <f>_xll.qlIndexFixing($M$6,Q429,,InterestRatesTrigger)</f>
        <v>1.6449174297528554E-2</v>
      </c>
      <c r="U429" s="30" t="e">
        <f>_xll.qlIndexFixing(Index,Q429,,InterestRatesTrigger)</f>
        <v>#NUM!</v>
      </c>
      <c r="V429" s="30" t="e">
        <f t="shared" si="26"/>
        <v>#NUM!</v>
      </c>
      <c r="W429" s="29">
        <f>_xll.qlDayCounterYearFraction(DayCounter,SettlementDate,R429,,,Trigger)</f>
        <v>36.030555555555559</v>
      </c>
      <c r="X429" s="29">
        <f>_xll.qlDayCounterYearFraction(DayCounter,R429,S429)</f>
        <v>8.611111111111111E-2</v>
      </c>
      <c r="Y429" s="29" t="e">
        <f>_xll.qlYieldTSDiscount(Currency&amp;"ON",R429)/(1+U429*X429)</f>
        <v>#NUM!</v>
      </c>
      <c r="Z429" s="30" t="e">
        <f>_xll.qlTenorBasisValue(TenorBasis6M,R429,InterestRatesTrigger)</f>
        <v>#VALUE!</v>
      </c>
      <c r="AA429" s="30" t="e">
        <f t="shared" si="27"/>
        <v>#NUM!</v>
      </c>
    </row>
    <row r="430" spans="15:27" x14ac:dyDescent="0.2">
      <c r="O430" s="33">
        <v>1</v>
      </c>
      <c r="P430" s="27" t="str">
        <f>_xll.qlPeriodEquivalent(P429&amp;"+"&amp;O430&amp;"M")</f>
        <v>35Y7M</v>
      </c>
      <c r="Q430" s="28">
        <f>_xll.qlCalendarAdvance(Calendar,SettlementDate,P430,"f",,Trigger)</f>
        <v>55162</v>
      </c>
      <c r="R430" s="28">
        <f>_xll.qlInterestRateIndexValueDate(Index,Q430,Trigger)</f>
        <v>55164</v>
      </c>
      <c r="S430" s="28">
        <f>_xll.qlInterestRateIndexMaturity(Index,R430,Trigger)</f>
        <v>55197</v>
      </c>
      <c r="T430" s="30">
        <f>_xll.qlIndexFixing($M$6,Q430,,InterestRatesTrigger)</f>
        <v>1.6426694519453961E-2</v>
      </c>
      <c r="U430" s="30" t="e">
        <f>_xll.qlIndexFixing(Index,Q430,,InterestRatesTrigger)</f>
        <v>#NUM!</v>
      </c>
      <c r="V430" s="30" t="e">
        <f t="shared" si="26"/>
        <v>#NUM!</v>
      </c>
      <c r="W430" s="29">
        <f>_xll.qlDayCounterYearFraction(DayCounter,SettlementDate,R430,,,Trigger)</f>
        <v>36.113888888888887</v>
      </c>
      <c r="X430" s="29">
        <f>_xll.qlDayCounterYearFraction(DayCounter,R430,S430)</f>
        <v>9.166666666666666E-2</v>
      </c>
      <c r="Y430" s="29" t="e">
        <f>_xll.qlYieldTSDiscount(Currency&amp;"ON",R430)/(1+U430*X430)</f>
        <v>#NUM!</v>
      </c>
      <c r="Z430" s="30" t="e">
        <f>_xll.qlTenorBasisValue(TenorBasis6M,R430,InterestRatesTrigger)</f>
        <v>#VALUE!</v>
      </c>
      <c r="AA430" s="30" t="e">
        <f t="shared" si="27"/>
        <v>#NUM!</v>
      </c>
    </row>
    <row r="431" spans="15:27" x14ac:dyDescent="0.2">
      <c r="O431" s="33">
        <v>1</v>
      </c>
      <c r="P431" s="27" t="str">
        <f>_xll.qlPeriodEquivalent(P430&amp;"+"&amp;O431&amp;"M")</f>
        <v>35Y8M</v>
      </c>
      <c r="Q431" s="28">
        <f>_xll.qlCalendarAdvance(Calendar,SettlementDate,P431,"f",,Trigger)</f>
        <v>55192</v>
      </c>
      <c r="R431" s="28">
        <f>_xll.qlInterestRateIndexValueDate(Index,Q431,Trigger)</f>
        <v>55194</v>
      </c>
      <c r="S431" s="28">
        <f>_xll.qlInterestRateIndexMaturity(Index,R431,Trigger)</f>
        <v>55222</v>
      </c>
      <c r="T431" s="30">
        <f>_xll.qlIndexFixing($M$6,Q431,,InterestRatesTrigger)</f>
        <v>1.6403669227121092E-2</v>
      </c>
      <c r="U431" s="30" t="e">
        <f>_xll.qlIndexFixing(Index,Q431,,InterestRatesTrigger)</f>
        <v>#NUM!</v>
      </c>
      <c r="V431" s="30" t="e">
        <f t="shared" si="26"/>
        <v>#NUM!</v>
      </c>
      <c r="W431" s="29">
        <f>_xll.qlDayCounterYearFraction(DayCounter,SettlementDate,R431,,,Trigger)</f>
        <v>36.197222222222223</v>
      </c>
      <c r="X431" s="29">
        <f>_xll.qlDayCounterYearFraction(DayCounter,R431,S431)</f>
        <v>7.7777777777777779E-2</v>
      </c>
      <c r="Y431" s="29" t="e">
        <f>_xll.qlYieldTSDiscount(Currency&amp;"ON",R431)/(1+U431*X431)</f>
        <v>#NUM!</v>
      </c>
      <c r="Z431" s="30" t="e">
        <f>_xll.qlTenorBasisValue(TenorBasis6M,R431,InterestRatesTrigger)</f>
        <v>#VALUE!</v>
      </c>
      <c r="AA431" s="30" t="e">
        <f t="shared" si="27"/>
        <v>#NUM!</v>
      </c>
    </row>
    <row r="432" spans="15:27" x14ac:dyDescent="0.2">
      <c r="O432" s="33">
        <v>1</v>
      </c>
      <c r="P432" s="27" t="str">
        <f>_xll.qlPeriodEquivalent(P431&amp;"+"&amp;O432&amp;"M")</f>
        <v>35Y9M</v>
      </c>
      <c r="Q432" s="28">
        <f>_xll.qlCalendarAdvance(Calendar,SettlementDate,P432,"f",,Trigger)</f>
        <v>55220</v>
      </c>
      <c r="R432" s="28">
        <f>_xll.qlInterestRateIndexValueDate(Index,Q432,Trigger)</f>
        <v>55222</v>
      </c>
      <c r="S432" s="28">
        <f>_xll.qlInterestRateIndexMaturity(Index,R432,Trigger)</f>
        <v>55253</v>
      </c>
      <c r="T432" s="30">
        <f>_xll.qlIndexFixing($M$6,Q432,,InterestRatesTrigger)</f>
        <v>1.6381494685969614E-2</v>
      </c>
      <c r="U432" s="30" t="e">
        <f>_xll.qlIndexFixing(Index,Q432,,InterestRatesTrigger)</f>
        <v>#NUM!</v>
      </c>
      <c r="V432" s="30" t="e">
        <f t="shared" si="26"/>
        <v>#NUM!</v>
      </c>
      <c r="W432" s="29">
        <f>_xll.qlDayCounterYearFraction(DayCounter,SettlementDate,R432,,,Trigger)</f>
        <v>36.274999999999999</v>
      </c>
      <c r="X432" s="29">
        <f>_xll.qlDayCounterYearFraction(DayCounter,R432,S432)</f>
        <v>8.611111111111111E-2</v>
      </c>
      <c r="Y432" s="29" t="e">
        <f>_xll.qlYieldTSDiscount(Currency&amp;"ON",R432)/(1+U432*X432)</f>
        <v>#NUM!</v>
      </c>
      <c r="Z432" s="30" t="e">
        <f>_xll.qlTenorBasisValue(TenorBasis6M,R432,InterestRatesTrigger)</f>
        <v>#VALUE!</v>
      </c>
      <c r="AA432" s="30" t="e">
        <f t="shared" si="27"/>
        <v>#NUM!</v>
      </c>
    </row>
    <row r="433" spans="15:27" x14ac:dyDescent="0.2">
      <c r="O433" s="33">
        <v>1</v>
      </c>
      <c r="P433" s="27" t="str">
        <f>_xll.qlPeriodEquivalent(P432&amp;"+"&amp;O433&amp;"M")</f>
        <v>35Y10M</v>
      </c>
      <c r="Q433" s="28">
        <f>_xll.qlCalendarAdvance(Calendar,SettlementDate,P433,"f",,Trigger)</f>
        <v>55253</v>
      </c>
      <c r="R433" s="28">
        <f>_xll.qlInterestRateIndexValueDate(Index,Q433,Trigger)</f>
        <v>55255</v>
      </c>
      <c r="S433" s="28">
        <f>_xll.qlInterestRateIndexMaturity(Index,R433,Trigger)</f>
        <v>55285</v>
      </c>
      <c r="T433" s="30">
        <f>_xll.qlIndexFixing($M$6,Q433,,InterestRatesTrigger)</f>
        <v>1.6354763504264902E-2</v>
      </c>
      <c r="U433" s="30" t="e">
        <f>_xll.qlIndexFixing(Index,Q433,,InterestRatesTrigger)</f>
        <v>#NUM!</v>
      </c>
      <c r="V433" s="30" t="e">
        <f t="shared" si="26"/>
        <v>#NUM!</v>
      </c>
      <c r="W433" s="29">
        <f>_xll.qlDayCounterYearFraction(DayCounter,SettlementDate,R433,,,Trigger)</f>
        <v>36.366666666666667</v>
      </c>
      <c r="X433" s="29">
        <f>_xll.qlDayCounterYearFraction(DayCounter,R433,S433)</f>
        <v>8.3333333333333329E-2</v>
      </c>
      <c r="Y433" s="29" t="e">
        <f>_xll.qlYieldTSDiscount(Currency&amp;"ON",R433)/(1+U433*X433)</f>
        <v>#NUM!</v>
      </c>
      <c r="Z433" s="30" t="e">
        <f>_xll.qlTenorBasisValue(TenorBasis6M,R433,InterestRatesTrigger)</f>
        <v>#VALUE!</v>
      </c>
      <c r="AA433" s="30" t="e">
        <f t="shared" si="27"/>
        <v>#NUM!</v>
      </c>
    </row>
    <row r="434" spans="15:27" x14ac:dyDescent="0.2">
      <c r="O434" s="33">
        <v>1</v>
      </c>
      <c r="P434" s="27" t="str">
        <f>_xll.qlPeriodEquivalent(P433&amp;"+"&amp;O434&amp;"M")</f>
        <v>35Y11M</v>
      </c>
      <c r="Q434" s="28">
        <f>_xll.qlCalendarAdvance(Calendar,SettlementDate,P434,"f",,Trigger)</f>
        <v>55281</v>
      </c>
      <c r="R434" s="28">
        <f>_xll.qlInterestRateIndexValueDate(Index,Q434,Trigger)</f>
        <v>55283</v>
      </c>
      <c r="S434" s="28">
        <f>_xll.qlInterestRateIndexMaturity(Index,R434,Trigger)</f>
        <v>55316</v>
      </c>
      <c r="T434" s="30">
        <f>_xll.qlIndexFixing($M$6,Q434,,InterestRatesTrigger)</f>
        <v>1.6331303477787079E-2</v>
      </c>
      <c r="U434" s="30" t="e">
        <f>_xll.qlIndexFixing(Index,Q434,,InterestRatesTrigger)</f>
        <v>#NUM!</v>
      </c>
      <c r="V434" s="30" t="e">
        <f t="shared" si="26"/>
        <v>#NUM!</v>
      </c>
      <c r="W434" s="29">
        <f>_xll.qlDayCounterYearFraction(DayCounter,SettlementDate,R434,,,Trigger)</f>
        <v>36.444444444444443</v>
      </c>
      <c r="X434" s="29">
        <f>_xll.qlDayCounterYearFraction(DayCounter,R434,S434)</f>
        <v>9.166666666666666E-2</v>
      </c>
      <c r="Y434" s="29" t="e">
        <f>_xll.qlYieldTSDiscount(Currency&amp;"ON",R434)/(1+U434*X434)</f>
        <v>#NUM!</v>
      </c>
      <c r="Z434" s="30" t="e">
        <f>_xll.qlTenorBasisValue(TenorBasis6M,R434,InterestRatesTrigger)</f>
        <v>#VALUE!</v>
      </c>
      <c r="AA434" s="30" t="e">
        <f t="shared" si="27"/>
        <v>#NUM!</v>
      </c>
    </row>
    <row r="435" spans="15:27" x14ac:dyDescent="0.2">
      <c r="O435" s="33">
        <v>1</v>
      </c>
      <c r="P435" s="27" t="str">
        <f>_xll.qlPeriodEquivalent(P434&amp;"+"&amp;O435&amp;"M")</f>
        <v>36Y</v>
      </c>
      <c r="Q435" s="28">
        <f>_xll.qlCalendarAdvance(Calendar,SettlementDate,P435,"f",,Trigger)</f>
        <v>55312</v>
      </c>
      <c r="R435" s="28">
        <f>_xll.qlInterestRateIndexValueDate(Index,Q435,Trigger)</f>
        <v>55316</v>
      </c>
      <c r="S435" s="28">
        <f>_xll.qlInterestRateIndexMaturity(Index,R435,Trigger)</f>
        <v>55346</v>
      </c>
      <c r="T435" s="30">
        <f>_xll.qlIndexFixing($M$6,Q435,,InterestRatesTrigger)</f>
        <v>1.6303297278679629E-2</v>
      </c>
      <c r="U435" s="30" t="e">
        <f>_xll.qlIndexFixing(Index,Q435,,InterestRatesTrigger)</f>
        <v>#NUM!</v>
      </c>
      <c r="V435" s="30" t="e">
        <f t="shared" si="26"/>
        <v>#NUM!</v>
      </c>
      <c r="W435" s="29">
        <f>_xll.qlDayCounterYearFraction(DayCounter,SettlementDate,R435,,,Trigger)</f>
        <v>36.536111111111111</v>
      </c>
      <c r="X435" s="29">
        <f>_xll.qlDayCounterYearFraction(DayCounter,R435,S435)</f>
        <v>8.3333333333333329E-2</v>
      </c>
      <c r="Y435" s="29" t="e">
        <f>_xll.qlYieldTSDiscount(Currency&amp;"ON",R435)/(1+U435*X435)</f>
        <v>#NUM!</v>
      </c>
      <c r="Z435" s="30" t="e">
        <f>_xll.qlTenorBasisValue(TenorBasis6M,R435,InterestRatesTrigger)</f>
        <v>#VALUE!</v>
      </c>
      <c r="AA435" s="30" t="e">
        <f t="shared" si="27"/>
        <v>#NUM!</v>
      </c>
    </row>
    <row r="436" spans="15:27" x14ac:dyDescent="0.2">
      <c r="O436" s="33">
        <v>1</v>
      </c>
      <c r="P436" s="27" t="str">
        <f>_xll.qlPeriodEquivalent(P435&amp;"+"&amp;O436&amp;"M")</f>
        <v>36Y1M</v>
      </c>
      <c r="Q436" s="28">
        <f>_xll.qlCalendarAdvance(Calendar,SettlementDate,P436,"f",,Trigger)</f>
        <v>55344</v>
      </c>
      <c r="R436" s="28">
        <f>_xll.qlInterestRateIndexValueDate(Index,Q436,Trigger)</f>
        <v>55346</v>
      </c>
      <c r="S436" s="28">
        <f>_xll.qlInterestRateIndexMaturity(Index,R436,Trigger)</f>
        <v>55379</v>
      </c>
      <c r="T436" s="30">
        <f>_xll.qlIndexFixing($M$6,Q436,,InterestRatesTrigger)</f>
        <v>1.6276801766366752E-2</v>
      </c>
      <c r="U436" s="30" t="e">
        <f>_xll.qlIndexFixing(Index,Q436,,InterestRatesTrigger)</f>
        <v>#NUM!</v>
      </c>
      <c r="V436" s="30" t="e">
        <f t="shared" si="26"/>
        <v>#NUM!</v>
      </c>
      <c r="W436" s="29">
        <f>_xll.qlDayCounterYearFraction(DayCounter,SettlementDate,R436,,,Trigger)</f>
        <v>36.619444444444447</v>
      </c>
      <c r="X436" s="29">
        <f>_xll.qlDayCounterYearFraction(DayCounter,R436,S436)</f>
        <v>9.166666666666666E-2</v>
      </c>
      <c r="Y436" s="29" t="e">
        <f>_xll.qlYieldTSDiscount(Currency&amp;"ON",R436)/(1+U436*X436)</f>
        <v>#NUM!</v>
      </c>
      <c r="Z436" s="30" t="e">
        <f>_xll.qlTenorBasisValue(TenorBasis6M,R436,InterestRatesTrigger)</f>
        <v>#VALUE!</v>
      </c>
      <c r="AA436" s="30" t="e">
        <f t="shared" si="27"/>
        <v>#NUM!</v>
      </c>
    </row>
    <row r="437" spans="15:27" x14ac:dyDescent="0.2">
      <c r="O437" s="33">
        <v>1</v>
      </c>
      <c r="P437" s="27" t="str">
        <f>_xll.qlPeriodEquivalent(P436&amp;"+"&amp;O437&amp;"M")</f>
        <v>36Y2M</v>
      </c>
      <c r="Q437" s="28">
        <f>_xll.qlCalendarAdvance(Calendar,SettlementDate,P437,"f",,Trigger)</f>
        <v>55373</v>
      </c>
      <c r="R437" s="28">
        <f>_xll.qlInterestRateIndexValueDate(Index,Q437,Trigger)</f>
        <v>55375</v>
      </c>
      <c r="S437" s="28">
        <f>_xll.qlInterestRateIndexMaturity(Index,R437,Trigger)</f>
        <v>55407</v>
      </c>
      <c r="T437" s="30">
        <f>_xll.qlIndexFixing($M$6,Q437,,InterestRatesTrigger)</f>
        <v>1.6250871650206056E-2</v>
      </c>
      <c r="U437" s="30" t="e">
        <f>_xll.qlIndexFixing(Index,Q437,,InterestRatesTrigger)</f>
        <v>#NUM!</v>
      </c>
      <c r="V437" s="30" t="e">
        <f t="shared" si="26"/>
        <v>#NUM!</v>
      </c>
      <c r="W437" s="29">
        <f>_xll.qlDayCounterYearFraction(DayCounter,SettlementDate,R437,,,Trigger)</f>
        <v>36.700000000000003</v>
      </c>
      <c r="X437" s="29">
        <f>_xll.qlDayCounterYearFraction(DayCounter,R437,S437)</f>
        <v>8.8888888888888892E-2</v>
      </c>
      <c r="Y437" s="29" t="e">
        <f>_xll.qlYieldTSDiscount(Currency&amp;"ON",R437)/(1+U437*X437)</f>
        <v>#NUM!</v>
      </c>
      <c r="Z437" s="30" t="e">
        <f>_xll.qlTenorBasisValue(TenorBasis6M,R437,InterestRatesTrigger)</f>
        <v>#VALUE!</v>
      </c>
      <c r="AA437" s="30" t="e">
        <f t="shared" si="27"/>
        <v>#NUM!</v>
      </c>
    </row>
    <row r="438" spans="15:27" x14ac:dyDescent="0.2">
      <c r="O438" s="33">
        <v>1</v>
      </c>
      <c r="P438" s="27" t="str">
        <f>_xll.qlPeriodEquivalent(P437&amp;"+"&amp;O438&amp;"M")</f>
        <v>36Y3M</v>
      </c>
      <c r="Q438" s="28">
        <f>_xll.qlCalendarAdvance(Calendar,SettlementDate,P438,"f",,Trigger)</f>
        <v>55404</v>
      </c>
      <c r="R438" s="28">
        <f>_xll.qlInterestRateIndexValueDate(Index,Q438,Trigger)</f>
        <v>55408</v>
      </c>
      <c r="S438" s="28">
        <f>_xll.qlInterestRateIndexMaturity(Index,R438,Trigger)</f>
        <v>55438</v>
      </c>
      <c r="T438" s="30">
        <f>_xll.qlIndexFixing($M$6,Q438,,InterestRatesTrigger)</f>
        <v>1.6220765557081407E-2</v>
      </c>
      <c r="U438" s="30" t="e">
        <f>_xll.qlIndexFixing(Index,Q438,,InterestRatesTrigger)</f>
        <v>#NUM!</v>
      </c>
      <c r="V438" s="30" t="e">
        <f t="shared" si="26"/>
        <v>#NUM!</v>
      </c>
      <c r="W438" s="29">
        <f>_xll.qlDayCounterYearFraction(DayCounter,SettlementDate,R438,,,Trigger)</f>
        <v>36.791666666666664</v>
      </c>
      <c r="X438" s="29">
        <f>_xll.qlDayCounterYearFraction(DayCounter,R438,S438)</f>
        <v>8.3333333333333329E-2</v>
      </c>
      <c r="Y438" s="29" t="e">
        <f>_xll.qlYieldTSDiscount(Currency&amp;"ON",R438)/(1+U438*X438)</f>
        <v>#NUM!</v>
      </c>
      <c r="Z438" s="30" t="e">
        <f>_xll.qlTenorBasisValue(TenorBasis6M,R438,InterestRatesTrigger)</f>
        <v>#VALUE!</v>
      </c>
      <c r="AA438" s="30" t="e">
        <f t="shared" si="27"/>
        <v>#NUM!</v>
      </c>
    </row>
    <row r="439" spans="15:27" x14ac:dyDescent="0.2">
      <c r="O439" s="33">
        <v>1</v>
      </c>
      <c r="P439" s="27" t="str">
        <f>_xll.qlPeriodEquivalent(P438&amp;"+"&amp;O439&amp;"M")</f>
        <v>36Y4M</v>
      </c>
      <c r="Q439" s="28">
        <f>_xll.qlCalendarAdvance(Calendar,SettlementDate,P439,"f",,Trigger)</f>
        <v>55435</v>
      </c>
      <c r="R439" s="28">
        <f>_xll.qlInterestRateIndexValueDate(Index,Q439,Trigger)</f>
        <v>55437</v>
      </c>
      <c r="S439" s="28">
        <f>_xll.qlInterestRateIndexMaturity(Index,R439,Trigger)</f>
        <v>55470</v>
      </c>
      <c r="T439" s="30">
        <f>_xll.qlIndexFixing($M$6,Q439,,InterestRatesTrigger)</f>
        <v>1.619318758953835E-2</v>
      </c>
      <c r="U439" s="30" t="e">
        <f>_xll.qlIndexFixing(Index,Q439,,InterestRatesTrigger)</f>
        <v>#NUM!</v>
      </c>
      <c r="V439" s="30" t="e">
        <f t="shared" si="26"/>
        <v>#NUM!</v>
      </c>
      <c r="W439" s="29">
        <f>_xll.qlDayCounterYearFraction(DayCounter,SettlementDate,R439,,,Trigger)</f>
        <v>36.87222222222222</v>
      </c>
      <c r="X439" s="29">
        <f>_xll.qlDayCounterYearFraction(DayCounter,R439,S439)</f>
        <v>9.166666666666666E-2</v>
      </c>
      <c r="Y439" s="29" t="e">
        <f>_xll.qlYieldTSDiscount(Currency&amp;"ON",R439)/(1+U439*X439)</f>
        <v>#NUM!</v>
      </c>
      <c r="Z439" s="30" t="e">
        <f>_xll.qlTenorBasisValue(TenorBasis6M,R439,InterestRatesTrigger)</f>
        <v>#VALUE!</v>
      </c>
      <c r="AA439" s="30" t="e">
        <f t="shared" si="27"/>
        <v>#NUM!</v>
      </c>
    </row>
    <row r="440" spans="15:27" x14ac:dyDescent="0.2">
      <c r="O440" s="33">
        <v>1</v>
      </c>
      <c r="P440" s="27" t="str">
        <f>_xll.qlPeriodEquivalent(P439&amp;"+"&amp;O440&amp;"M")</f>
        <v>36Y5M</v>
      </c>
      <c r="Q440" s="28">
        <f>_xll.qlCalendarAdvance(Calendar,SettlementDate,P440,"f",,Trigger)</f>
        <v>55465</v>
      </c>
      <c r="R440" s="28">
        <f>_xll.qlInterestRateIndexValueDate(Index,Q440,Trigger)</f>
        <v>55467</v>
      </c>
      <c r="S440" s="28">
        <f>_xll.qlInterestRateIndexMaturity(Index,R440,Trigger)</f>
        <v>55498</v>
      </c>
      <c r="T440" s="30">
        <f>_xll.qlIndexFixing($M$6,Q440,,InterestRatesTrigger)</f>
        <v>1.6164605379295097E-2</v>
      </c>
      <c r="U440" s="30" t="e">
        <f>_xll.qlIndexFixing(Index,Q440,,InterestRatesTrigger)</f>
        <v>#NUM!</v>
      </c>
      <c r="V440" s="30" t="e">
        <f t="shared" si="26"/>
        <v>#NUM!</v>
      </c>
      <c r="W440" s="29">
        <f>_xll.qlDayCounterYearFraction(DayCounter,SettlementDate,R440,,,Trigger)</f>
        <v>36.955555555555556</v>
      </c>
      <c r="X440" s="29">
        <f>_xll.qlDayCounterYearFraction(DayCounter,R440,S440)</f>
        <v>8.611111111111111E-2</v>
      </c>
      <c r="Y440" s="29" t="e">
        <f>_xll.qlYieldTSDiscount(Currency&amp;"ON",R440)/(1+U440*X440)</f>
        <v>#NUM!</v>
      </c>
      <c r="Z440" s="30" t="e">
        <f>_xll.qlTenorBasisValue(TenorBasis6M,R440,InterestRatesTrigger)</f>
        <v>#VALUE!</v>
      </c>
      <c r="AA440" s="30" t="e">
        <f t="shared" si="27"/>
        <v>#NUM!</v>
      </c>
    </row>
    <row r="441" spans="15:27" x14ac:dyDescent="0.2">
      <c r="O441" s="33">
        <v>1</v>
      </c>
      <c r="P441" s="27" t="str">
        <f>_xll.qlPeriodEquivalent(P440&amp;"+"&amp;O441&amp;"M")</f>
        <v>36Y6M</v>
      </c>
      <c r="Q441" s="28">
        <f>_xll.qlCalendarAdvance(Calendar,SettlementDate,P441,"f",,Trigger)</f>
        <v>55495</v>
      </c>
      <c r="R441" s="28">
        <f>_xll.qlInterestRateIndexValueDate(Index,Q441,Trigger)</f>
        <v>55499</v>
      </c>
      <c r="S441" s="28">
        <f>_xll.qlInterestRateIndexMaturity(Index,R441,Trigger)</f>
        <v>55530</v>
      </c>
      <c r="T441" s="30">
        <f>_xll.qlIndexFixing($M$6,Q441,,InterestRatesTrigger)</f>
        <v>1.6133184620899969E-2</v>
      </c>
      <c r="U441" s="30" t="e">
        <f>_xll.qlIndexFixing(Index,Q441,,InterestRatesTrigger)</f>
        <v>#NUM!</v>
      </c>
      <c r="V441" s="30" t="e">
        <f t="shared" si="26"/>
        <v>#NUM!</v>
      </c>
      <c r="W441" s="29">
        <f>_xll.qlDayCounterYearFraction(DayCounter,SettlementDate,R441,,,Trigger)</f>
        <v>37.044444444444444</v>
      </c>
      <c r="X441" s="29">
        <f>_xll.qlDayCounterYearFraction(DayCounter,R441,S441)</f>
        <v>8.611111111111111E-2</v>
      </c>
      <c r="Y441" s="29" t="e">
        <f>_xll.qlYieldTSDiscount(Currency&amp;"ON",R441)/(1+U441*X441)</f>
        <v>#NUM!</v>
      </c>
      <c r="Z441" s="30" t="e">
        <f>_xll.qlTenorBasisValue(TenorBasis6M,R441,InterestRatesTrigger)</f>
        <v>#VALUE!</v>
      </c>
      <c r="AA441" s="30" t="e">
        <f t="shared" si="27"/>
        <v>#NUM!</v>
      </c>
    </row>
    <row r="442" spans="15:27" x14ac:dyDescent="0.2">
      <c r="O442" s="33">
        <v>1</v>
      </c>
      <c r="P442" s="27" t="str">
        <f>_xll.qlPeriodEquivalent(P441&amp;"+"&amp;O442&amp;"M")</f>
        <v>36Y7M</v>
      </c>
      <c r="Q442" s="28">
        <f>_xll.qlCalendarAdvance(Calendar,SettlementDate,P442,"f",,Trigger)</f>
        <v>55526</v>
      </c>
      <c r="R442" s="28">
        <f>_xll.qlInterestRateIndexValueDate(Index,Q442,Trigger)</f>
        <v>55528</v>
      </c>
      <c r="S442" s="28">
        <f>_xll.qlInterestRateIndexMaturity(Index,R442,Trigger)</f>
        <v>55561</v>
      </c>
      <c r="T442" s="30">
        <f>_xll.qlIndexFixing($M$6,Q442,,InterestRatesTrigger)</f>
        <v>1.6103795053030723E-2</v>
      </c>
      <c r="U442" s="30" t="e">
        <f>_xll.qlIndexFixing(Index,Q442,,InterestRatesTrigger)</f>
        <v>#NUM!</v>
      </c>
      <c r="V442" s="30" t="e">
        <f t="shared" si="26"/>
        <v>#NUM!</v>
      </c>
      <c r="W442" s="29">
        <f>_xll.qlDayCounterYearFraction(DayCounter,SettlementDate,R442,,,Trigger)</f>
        <v>37.125</v>
      </c>
      <c r="X442" s="29">
        <f>_xll.qlDayCounterYearFraction(DayCounter,R442,S442)</f>
        <v>9.166666666666666E-2</v>
      </c>
      <c r="Y442" s="29" t="e">
        <f>_xll.qlYieldTSDiscount(Currency&amp;"ON",R442)/(1+U442*X442)</f>
        <v>#NUM!</v>
      </c>
      <c r="Z442" s="30" t="e">
        <f>_xll.qlTenorBasisValue(TenorBasis6M,R442,InterestRatesTrigger)</f>
        <v>#VALUE!</v>
      </c>
      <c r="AA442" s="30" t="e">
        <f t="shared" si="27"/>
        <v>#NUM!</v>
      </c>
    </row>
    <row r="443" spans="15:27" x14ac:dyDescent="0.2">
      <c r="O443" s="33">
        <v>1</v>
      </c>
      <c r="P443" s="27" t="str">
        <f>_xll.qlPeriodEquivalent(P442&amp;"+"&amp;O443&amp;"M")</f>
        <v>36Y8M</v>
      </c>
      <c r="Q443" s="28">
        <f>_xll.qlCalendarAdvance(Calendar,SettlementDate,P443,"f",,Trigger)</f>
        <v>55557</v>
      </c>
      <c r="R443" s="28">
        <f>_xll.qlInterestRateIndexValueDate(Index,Q443,Trigger)</f>
        <v>55561</v>
      </c>
      <c r="S443" s="28">
        <f>_xll.qlInterestRateIndexMaturity(Index,R443,Trigger)</f>
        <v>55590</v>
      </c>
      <c r="T443" s="30">
        <f>_xll.qlIndexFixing($M$6,Q443,,InterestRatesTrigger)</f>
        <v>1.6070596107905778E-2</v>
      </c>
      <c r="U443" s="30" t="e">
        <f>_xll.qlIndexFixing(Index,Q443,,InterestRatesTrigger)</f>
        <v>#NUM!</v>
      </c>
      <c r="V443" s="30" t="e">
        <f t="shared" si="26"/>
        <v>#NUM!</v>
      </c>
      <c r="W443" s="29">
        <f>_xll.qlDayCounterYearFraction(DayCounter,SettlementDate,R443,,,Trigger)</f>
        <v>37.216666666666669</v>
      </c>
      <c r="X443" s="29">
        <f>_xll.qlDayCounterYearFraction(DayCounter,R443,S443)</f>
        <v>8.0555555555555561E-2</v>
      </c>
      <c r="Y443" s="29" t="e">
        <f>_xll.qlYieldTSDiscount(Currency&amp;"ON",R443)/(1+U443*X443)</f>
        <v>#NUM!</v>
      </c>
      <c r="Z443" s="30" t="e">
        <f>_xll.qlTenorBasisValue(TenorBasis6M,R443,InterestRatesTrigger)</f>
        <v>#VALUE!</v>
      </c>
      <c r="AA443" s="30" t="e">
        <f t="shared" si="27"/>
        <v>#NUM!</v>
      </c>
    </row>
    <row r="444" spans="15:27" x14ac:dyDescent="0.2">
      <c r="O444" s="33">
        <v>1</v>
      </c>
      <c r="P444" s="27" t="str">
        <f>_xll.qlPeriodEquivalent(P443&amp;"+"&amp;O444&amp;"M")</f>
        <v>36Y9M</v>
      </c>
      <c r="Q444" s="28">
        <f>_xll.qlCalendarAdvance(Calendar,SettlementDate,P444,"f",,Trigger)</f>
        <v>55586</v>
      </c>
      <c r="R444" s="28">
        <f>_xll.qlInterestRateIndexValueDate(Index,Q444,Trigger)</f>
        <v>55590</v>
      </c>
      <c r="S444" s="28">
        <f>_xll.qlInterestRateIndexMaturity(Index,R444,Trigger)</f>
        <v>55621</v>
      </c>
      <c r="T444" s="30">
        <f>_xll.qlIndexFixing($M$6,Q444,,InterestRatesTrigger)</f>
        <v>1.6039927086281457E-2</v>
      </c>
      <c r="U444" s="30" t="e">
        <f>_xll.qlIndexFixing(Index,Q444,,InterestRatesTrigger)</f>
        <v>#NUM!</v>
      </c>
      <c r="V444" s="30" t="e">
        <f t="shared" si="26"/>
        <v>#NUM!</v>
      </c>
      <c r="W444" s="29">
        <f>_xll.qlDayCounterYearFraction(DayCounter,SettlementDate,R444,,,Trigger)</f>
        <v>37.297222222222224</v>
      </c>
      <c r="X444" s="29">
        <f>_xll.qlDayCounterYearFraction(DayCounter,R444,S444)</f>
        <v>8.611111111111111E-2</v>
      </c>
      <c r="Y444" s="29" t="e">
        <f>_xll.qlYieldTSDiscount(Currency&amp;"ON",R444)/(1+U444*X444)</f>
        <v>#NUM!</v>
      </c>
      <c r="Z444" s="30" t="e">
        <f>_xll.qlTenorBasisValue(TenorBasis6M,R444,InterestRatesTrigger)</f>
        <v>#VALUE!</v>
      </c>
      <c r="AA444" s="30" t="e">
        <f t="shared" si="27"/>
        <v>#NUM!</v>
      </c>
    </row>
    <row r="445" spans="15:27" x14ac:dyDescent="0.2">
      <c r="O445" s="33">
        <v>1</v>
      </c>
      <c r="P445" s="27" t="str">
        <f>_xll.qlPeriodEquivalent(P444&amp;"+"&amp;O445&amp;"M")</f>
        <v>36Y10M</v>
      </c>
      <c r="Q445" s="28">
        <f>_xll.qlCalendarAdvance(Calendar,SettlementDate,P445,"f",,Trigger)</f>
        <v>55617</v>
      </c>
      <c r="R445" s="28">
        <f>_xll.qlInterestRateIndexValueDate(Index,Q445,Trigger)</f>
        <v>55619</v>
      </c>
      <c r="S445" s="28">
        <f>_xll.qlInterestRateIndexMaturity(Index,R445,Trigger)</f>
        <v>55649</v>
      </c>
      <c r="T445" s="30">
        <f>_xll.qlIndexFixing($M$6,Q445,,InterestRatesTrigger)</f>
        <v>1.600917791629719E-2</v>
      </c>
      <c r="U445" s="30" t="e">
        <f>_xll.qlIndexFixing(Index,Q445,,InterestRatesTrigger)</f>
        <v>#NUM!</v>
      </c>
      <c r="V445" s="30" t="e">
        <f t="shared" si="26"/>
        <v>#NUM!</v>
      </c>
      <c r="W445" s="29">
        <f>_xll.qlDayCounterYearFraction(DayCounter,SettlementDate,R445,,,Trigger)</f>
        <v>37.37777777777778</v>
      </c>
      <c r="X445" s="29">
        <f>_xll.qlDayCounterYearFraction(DayCounter,R445,S445)</f>
        <v>8.3333333333333329E-2</v>
      </c>
      <c r="Y445" s="29" t="e">
        <f>_xll.qlYieldTSDiscount(Currency&amp;"ON",R445)/(1+U445*X445)</f>
        <v>#NUM!</v>
      </c>
      <c r="Z445" s="30" t="e">
        <f>_xll.qlTenorBasisValue(TenorBasis6M,R445,InterestRatesTrigger)</f>
        <v>#VALUE!</v>
      </c>
      <c r="AA445" s="30" t="e">
        <f t="shared" si="27"/>
        <v>#NUM!</v>
      </c>
    </row>
    <row r="446" spans="15:27" x14ac:dyDescent="0.2">
      <c r="O446" s="33">
        <v>1</v>
      </c>
      <c r="P446" s="27" t="str">
        <f>_xll.qlPeriodEquivalent(P445&amp;"+"&amp;O446&amp;"M")</f>
        <v>36Y11M</v>
      </c>
      <c r="Q446" s="28">
        <f>_xll.qlCalendarAdvance(Calendar,SettlementDate,P446,"f",,Trigger)</f>
        <v>55647</v>
      </c>
      <c r="R446" s="28">
        <f>_xll.qlInterestRateIndexValueDate(Index,Q446,Trigger)</f>
        <v>55649</v>
      </c>
      <c r="S446" s="28">
        <f>_xll.qlInterestRateIndexMaturity(Index,R446,Trigger)</f>
        <v>55680</v>
      </c>
      <c r="T446" s="30">
        <f>_xll.qlIndexFixing($M$6,Q446,,InterestRatesTrigger)</f>
        <v>1.5976376078047541E-2</v>
      </c>
      <c r="U446" s="30" t="e">
        <f>_xll.qlIndexFixing(Index,Q446,,InterestRatesTrigger)</f>
        <v>#NUM!</v>
      </c>
      <c r="V446" s="30" t="e">
        <f t="shared" si="26"/>
        <v>#NUM!</v>
      </c>
      <c r="W446" s="29">
        <f>_xll.qlDayCounterYearFraction(DayCounter,SettlementDate,R446,,,Trigger)</f>
        <v>37.461111111111109</v>
      </c>
      <c r="X446" s="29">
        <f>_xll.qlDayCounterYearFraction(DayCounter,R446,S446)</f>
        <v>8.611111111111111E-2</v>
      </c>
      <c r="Y446" s="29" t="e">
        <f>_xll.qlYieldTSDiscount(Currency&amp;"ON",R446)/(1+U446*X446)</f>
        <v>#NUM!</v>
      </c>
      <c r="Z446" s="30" t="e">
        <f>_xll.qlTenorBasisValue(TenorBasis6M,R446,InterestRatesTrigger)</f>
        <v>#VALUE!</v>
      </c>
      <c r="AA446" s="30" t="e">
        <f t="shared" si="27"/>
        <v>#NUM!</v>
      </c>
    </row>
    <row r="447" spans="15:27" x14ac:dyDescent="0.2">
      <c r="O447" s="33">
        <v>1</v>
      </c>
      <c r="P447" s="27" t="str">
        <f>_xll.qlPeriodEquivalent(P446&amp;"+"&amp;O447&amp;"M")</f>
        <v>37Y</v>
      </c>
      <c r="Q447" s="28">
        <f>_xll.qlCalendarAdvance(Calendar,SettlementDate,P447,"f",,Trigger)</f>
        <v>55680</v>
      </c>
      <c r="R447" s="28">
        <f>_xll.qlInterestRateIndexValueDate(Index,Q447,Trigger)</f>
        <v>55682</v>
      </c>
      <c r="S447" s="28">
        <f>_xll.qlInterestRateIndexMaturity(Index,R447,Trigger)</f>
        <v>55712</v>
      </c>
      <c r="T447" s="30">
        <f>_xll.qlIndexFixing($M$6,Q447,,InterestRatesTrigger)</f>
        <v>1.5939980819689836E-2</v>
      </c>
      <c r="U447" s="30" t="e">
        <f>_xll.qlIndexFixing(Index,Q447,,InterestRatesTrigger)</f>
        <v>#NUM!</v>
      </c>
      <c r="V447" s="30" t="e">
        <f t="shared" si="26"/>
        <v>#NUM!</v>
      </c>
      <c r="W447" s="29">
        <f>_xll.qlDayCounterYearFraction(DayCounter,SettlementDate,R447,,,Trigger)</f>
        <v>37.552777777777777</v>
      </c>
      <c r="X447" s="29">
        <f>_xll.qlDayCounterYearFraction(DayCounter,R447,S447)</f>
        <v>8.3333333333333329E-2</v>
      </c>
      <c r="Y447" s="29" t="e">
        <f>_xll.qlYieldTSDiscount(Currency&amp;"ON",R447)/(1+U447*X447)</f>
        <v>#NUM!</v>
      </c>
      <c r="Z447" s="30" t="e">
        <f>_xll.qlTenorBasisValue(TenorBasis6M,R447,InterestRatesTrigger)</f>
        <v>#VALUE!</v>
      </c>
      <c r="AA447" s="30" t="e">
        <f t="shared" si="27"/>
        <v>#NUM!</v>
      </c>
    </row>
    <row r="448" spans="15:27" x14ac:dyDescent="0.2">
      <c r="O448" s="33">
        <v>1</v>
      </c>
      <c r="P448" s="27" t="str">
        <f>_xll.qlPeriodEquivalent(P447&amp;"+"&amp;O448&amp;"M")</f>
        <v>37Y1M</v>
      </c>
      <c r="Q448" s="28">
        <f>_xll.qlCalendarAdvance(Calendar,SettlementDate,P448,"f",,Trigger)</f>
        <v>55708</v>
      </c>
      <c r="R448" s="28">
        <f>_xll.qlInterestRateIndexValueDate(Index,Q448,Trigger)</f>
        <v>55710</v>
      </c>
      <c r="S448" s="28">
        <f>_xll.qlInterestRateIndexMaturity(Index,R448,Trigger)</f>
        <v>55743</v>
      </c>
      <c r="T448" s="30">
        <f>_xll.qlIndexFixing($M$6,Q448,,InterestRatesTrigger)</f>
        <v>1.5907675477573529E-2</v>
      </c>
      <c r="U448" s="30" t="e">
        <f>_xll.qlIndexFixing(Index,Q448,,InterestRatesTrigger)</f>
        <v>#NUM!</v>
      </c>
      <c r="V448" s="30" t="e">
        <f t="shared" si="26"/>
        <v>#NUM!</v>
      </c>
      <c r="W448" s="29">
        <f>_xll.qlDayCounterYearFraction(DayCounter,SettlementDate,R448,,,Trigger)</f>
        <v>37.630555555555553</v>
      </c>
      <c r="X448" s="29">
        <f>_xll.qlDayCounterYearFraction(DayCounter,R448,S448)</f>
        <v>9.166666666666666E-2</v>
      </c>
      <c r="Y448" s="29" t="e">
        <f>_xll.qlYieldTSDiscount(Currency&amp;"ON",R448)/(1+U448*X448)</f>
        <v>#NUM!</v>
      </c>
      <c r="Z448" s="30" t="e">
        <f>_xll.qlTenorBasisValue(TenorBasis6M,R448,InterestRatesTrigger)</f>
        <v>#VALUE!</v>
      </c>
      <c r="AA448" s="30" t="e">
        <f t="shared" si="27"/>
        <v>#NUM!</v>
      </c>
    </row>
    <row r="449" spans="15:27" x14ac:dyDescent="0.2">
      <c r="O449" s="33">
        <v>1</v>
      </c>
      <c r="P449" s="27" t="str">
        <f>_xll.qlPeriodEquivalent(P448&amp;"+"&amp;O449&amp;"M")</f>
        <v>37Y2M</v>
      </c>
      <c r="Q449" s="28">
        <f>_xll.qlCalendarAdvance(Calendar,SettlementDate,P449,"f",,Trigger)</f>
        <v>55739</v>
      </c>
      <c r="R449" s="28">
        <f>_xll.qlInterestRateIndexValueDate(Index,Q449,Trigger)</f>
        <v>55743</v>
      </c>
      <c r="S449" s="28">
        <f>_xll.qlInterestRateIndexMaturity(Index,R449,Trigger)</f>
        <v>55774</v>
      </c>
      <c r="T449" s="30">
        <f>_xll.qlIndexFixing($M$6,Q449,,InterestRatesTrigger)</f>
        <v>1.5870108256552804E-2</v>
      </c>
      <c r="U449" s="30" t="e">
        <f>_xll.qlIndexFixing(Index,Q449,,InterestRatesTrigger)</f>
        <v>#NUM!</v>
      </c>
      <c r="V449" s="30" t="e">
        <f t="shared" si="26"/>
        <v>#NUM!</v>
      </c>
      <c r="W449" s="29">
        <f>_xll.qlDayCounterYearFraction(DayCounter,SettlementDate,R449,,,Trigger)</f>
        <v>37.722222222222221</v>
      </c>
      <c r="X449" s="29">
        <f>_xll.qlDayCounterYearFraction(DayCounter,R449,S449)</f>
        <v>8.611111111111111E-2</v>
      </c>
      <c r="Y449" s="29" t="e">
        <f>_xll.qlYieldTSDiscount(Currency&amp;"ON",R449)/(1+U449*X449)</f>
        <v>#NUM!</v>
      </c>
      <c r="Z449" s="30" t="e">
        <f>_xll.qlTenorBasisValue(TenorBasis6M,R449,InterestRatesTrigger)</f>
        <v>#VALUE!</v>
      </c>
      <c r="AA449" s="30" t="e">
        <f t="shared" si="27"/>
        <v>#NUM!</v>
      </c>
    </row>
    <row r="450" spans="15:27" x14ac:dyDescent="0.2">
      <c r="O450" s="33">
        <v>1</v>
      </c>
      <c r="P450" s="27" t="str">
        <f>_xll.qlPeriodEquivalent(P449&amp;"+"&amp;O450&amp;"M")</f>
        <v>37Y3M</v>
      </c>
      <c r="Q450" s="28">
        <f>_xll.qlCalendarAdvance(Calendar,SettlementDate,P450,"f",,Trigger)</f>
        <v>55771</v>
      </c>
      <c r="R450" s="28">
        <f>_xll.qlInterestRateIndexValueDate(Index,Q450,Trigger)</f>
        <v>55773</v>
      </c>
      <c r="S450" s="28">
        <f>_xll.qlInterestRateIndexMaturity(Index,R450,Trigger)</f>
        <v>55803</v>
      </c>
      <c r="T450" s="30">
        <f>_xll.qlIndexFixing($M$6,Q450,,InterestRatesTrigger)</f>
        <v>1.5835141003565312E-2</v>
      </c>
      <c r="U450" s="30" t="e">
        <f>_xll.qlIndexFixing(Index,Q450,,InterestRatesTrigger)</f>
        <v>#NUM!</v>
      </c>
      <c r="V450" s="30" t="e">
        <f t="shared" si="26"/>
        <v>#NUM!</v>
      </c>
      <c r="W450" s="29">
        <f>_xll.qlDayCounterYearFraction(DayCounter,SettlementDate,R450,,,Trigger)</f>
        <v>37.805555555555557</v>
      </c>
      <c r="X450" s="29">
        <f>_xll.qlDayCounterYearFraction(DayCounter,R450,S450)</f>
        <v>8.3333333333333329E-2</v>
      </c>
      <c r="Y450" s="29" t="e">
        <f>_xll.qlYieldTSDiscount(Currency&amp;"ON",R450)/(1+U450*X450)</f>
        <v>#NUM!</v>
      </c>
      <c r="Z450" s="30" t="e">
        <f>_xll.qlTenorBasisValue(TenorBasis6M,R450,InterestRatesTrigger)</f>
        <v>#VALUE!</v>
      </c>
      <c r="AA450" s="30" t="e">
        <f t="shared" si="27"/>
        <v>#NUM!</v>
      </c>
    </row>
    <row r="451" spans="15:27" x14ac:dyDescent="0.2">
      <c r="O451" s="33">
        <v>1</v>
      </c>
      <c r="P451" s="27" t="str">
        <f>_xll.qlPeriodEquivalent(P450&amp;"+"&amp;O451&amp;"M")</f>
        <v>37Y4M</v>
      </c>
      <c r="Q451" s="28">
        <f>_xll.qlCalendarAdvance(Calendar,SettlementDate,P451,"f",,Trigger)</f>
        <v>55800</v>
      </c>
      <c r="R451" s="28">
        <f>_xll.qlInterestRateIndexValueDate(Index,Q451,Trigger)</f>
        <v>55802</v>
      </c>
      <c r="S451" s="28">
        <f>_xll.qlInterestRateIndexMaturity(Index,R451,Trigger)</f>
        <v>55834</v>
      </c>
      <c r="T451" s="30">
        <f>_xll.qlIndexFixing($M$6,Q451,,InterestRatesTrigger)</f>
        <v>1.5800001703783206E-2</v>
      </c>
      <c r="U451" s="30" t="e">
        <f>_xll.qlIndexFixing(Index,Q451,,InterestRatesTrigger)</f>
        <v>#NUM!</v>
      </c>
      <c r="V451" s="30" t="e">
        <f t="shared" si="26"/>
        <v>#NUM!</v>
      </c>
      <c r="W451" s="29">
        <f>_xll.qlDayCounterYearFraction(DayCounter,SettlementDate,R451,,,Trigger)</f>
        <v>37.886111111111113</v>
      </c>
      <c r="X451" s="29">
        <f>_xll.qlDayCounterYearFraction(DayCounter,R451,S451)</f>
        <v>8.8888888888888892E-2</v>
      </c>
      <c r="Y451" s="29" t="e">
        <f>_xll.qlYieldTSDiscount(Currency&amp;"ON",R451)/(1+U451*X451)</f>
        <v>#NUM!</v>
      </c>
      <c r="Z451" s="30" t="e">
        <f>_xll.qlTenorBasisValue(TenorBasis6M,R451,InterestRatesTrigger)</f>
        <v>#VALUE!</v>
      </c>
      <c r="AA451" s="30" t="e">
        <f t="shared" si="27"/>
        <v>#NUM!</v>
      </c>
    </row>
    <row r="452" spans="15:27" x14ac:dyDescent="0.2">
      <c r="O452" s="33">
        <v>1</v>
      </c>
      <c r="P452" s="27" t="str">
        <f>_xll.qlPeriodEquivalent(P451&amp;"+"&amp;O452&amp;"M")</f>
        <v>37Y5M</v>
      </c>
      <c r="Q452" s="28">
        <f>_xll.qlCalendarAdvance(Calendar,SettlementDate,P452,"f",,Trigger)</f>
        <v>55831</v>
      </c>
      <c r="R452" s="28">
        <f>_xll.qlInterestRateIndexValueDate(Index,Q452,Trigger)</f>
        <v>55835</v>
      </c>
      <c r="S452" s="28">
        <f>_xll.qlInterestRateIndexMaturity(Index,R452,Trigger)</f>
        <v>55865</v>
      </c>
      <c r="T452" s="30">
        <f>_xll.qlIndexFixing($M$6,Q452,,InterestRatesTrigger)</f>
        <v>1.5760402778782989E-2</v>
      </c>
      <c r="U452" s="30" t="e">
        <f>_xll.qlIndexFixing(Index,Q452,,InterestRatesTrigger)</f>
        <v>#NUM!</v>
      </c>
      <c r="V452" s="30" t="e">
        <f t="shared" si="26"/>
        <v>#NUM!</v>
      </c>
      <c r="W452" s="29">
        <f>_xll.qlDayCounterYearFraction(DayCounter,SettlementDate,R452,,,Trigger)</f>
        <v>37.977777777777774</v>
      </c>
      <c r="X452" s="29">
        <f>_xll.qlDayCounterYearFraction(DayCounter,R452,S452)</f>
        <v>8.3333333333333329E-2</v>
      </c>
      <c r="Y452" s="29" t="e">
        <f>_xll.qlYieldTSDiscount(Currency&amp;"ON",R452)/(1+U452*X452)</f>
        <v>#NUM!</v>
      </c>
      <c r="Z452" s="30" t="e">
        <f>_xll.qlTenorBasisValue(TenorBasis6M,R452,InterestRatesTrigger)</f>
        <v>#VALUE!</v>
      </c>
      <c r="AA452" s="30" t="e">
        <f t="shared" si="27"/>
        <v>#NUM!</v>
      </c>
    </row>
    <row r="453" spans="15:27" x14ac:dyDescent="0.2">
      <c r="O453" s="33">
        <v>1</v>
      </c>
      <c r="P453" s="27" t="str">
        <f>_xll.qlPeriodEquivalent(P452&amp;"+"&amp;O453&amp;"M")</f>
        <v>37Y6M</v>
      </c>
      <c r="Q453" s="28">
        <f>_xll.qlCalendarAdvance(Calendar,SettlementDate,P453,"f",,Trigger)</f>
        <v>55862</v>
      </c>
      <c r="R453" s="28">
        <f>_xll.qlInterestRateIndexValueDate(Index,Q453,Trigger)</f>
        <v>55864</v>
      </c>
      <c r="S453" s="28">
        <f>_xll.qlInterestRateIndexMaturity(Index,R453,Trigger)</f>
        <v>55897</v>
      </c>
      <c r="T453" s="30">
        <f>_xll.qlIndexFixing($M$6,Q453,,InterestRatesTrigger)</f>
        <v>1.5723676413019146E-2</v>
      </c>
      <c r="U453" s="30" t="e">
        <f>_xll.qlIndexFixing(Index,Q453,,InterestRatesTrigger)</f>
        <v>#NUM!</v>
      </c>
      <c r="V453" s="30" t="e">
        <f t="shared" si="26"/>
        <v>#NUM!</v>
      </c>
      <c r="W453" s="29">
        <f>_xll.qlDayCounterYearFraction(DayCounter,SettlementDate,R453,,,Trigger)</f>
        <v>38.05833333333333</v>
      </c>
      <c r="X453" s="29">
        <f>_xll.qlDayCounterYearFraction(DayCounter,R453,S453)</f>
        <v>9.166666666666666E-2</v>
      </c>
      <c r="Y453" s="29" t="e">
        <f>_xll.qlYieldTSDiscount(Currency&amp;"ON",R453)/(1+U453*X453)</f>
        <v>#NUM!</v>
      </c>
      <c r="Z453" s="30" t="e">
        <f>_xll.qlTenorBasisValue(TenorBasis6M,R453,InterestRatesTrigger)</f>
        <v>#VALUE!</v>
      </c>
      <c r="AA453" s="30" t="e">
        <f t="shared" si="27"/>
        <v>#NUM!</v>
      </c>
    </row>
    <row r="454" spans="15:27" x14ac:dyDescent="0.2">
      <c r="O454" s="33">
        <v>1</v>
      </c>
      <c r="P454" s="27" t="str">
        <f>_xll.qlPeriodEquivalent(P453&amp;"+"&amp;O454&amp;"M")</f>
        <v>37Y7M</v>
      </c>
      <c r="Q454" s="28">
        <f>_xll.qlCalendarAdvance(Calendar,SettlementDate,P454,"f",,Trigger)</f>
        <v>55892</v>
      </c>
      <c r="R454" s="28">
        <f>_xll.qlInterestRateIndexValueDate(Index,Q454,Trigger)</f>
        <v>55894</v>
      </c>
      <c r="S454" s="28">
        <f>_xll.qlInterestRateIndexMaturity(Index,R454,Trigger)</f>
        <v>55925</v>
      </c>
      <c r="T454" s="30">
        <f>_xll.qlIndexFixing($M$6,Q454,,InterestRatesTrigger)</f>
        <v>1.5686496370359428E-2</v>
      </c>
      <c r="U454" s="30" t="e">
        <f>_xll.qlIndexFixing(Index,Q454,,InterestRatesTrigger)</f>
        <v>#NUM!</v>
      </c>
      <c r="V454" s="30" t="e">
        <f t="shared" si="26"/>
        <v>#NUM!</v>
      </c>
      <c r="W454" s="29">
        <f>_xll.qlDayCounterYearFraction(DayCounter,SettlementDate,R454,,,Trigger)</f>
        <v>38.141666666666666</v>
      </c>
      <c r="X454" s="29">
        <f>_xll.qlDayCounterYearFraction(DayCounter,R454,S454)</f>
        <v>8.611111111111111E-2</v>
      </c>
      <c r="Y454" s="29" t="e">
        <f>_xll.qlYieldTSDiscount(Currency&amp;"ON",R454)/(1+U454*X454)</f>
        <v>#NUM!</v>
      </c>
      <c r="Z454" s="30" t="e">
        <f>_xll.qlTenorBasisValue(TenorBasis6M,R454,InterestRatesTrigger)</f>
        <v>#VALUE!</v>
      </c>
      <c r="AA454" s="30" t="e">
        <f t="shared" si="27"/>
        <v>#NUM!</v>
      </c>
    </row>
    <row r="455" spans="15:27" x14ac:dyDescent="0.2">
      <c r="O455" s="33">
        <v>1</v>
      </c>
      <c r="P455" s="27" t="str">
        <f>_xll.qlPeriodEquivalent(P454&amp;"+"&amp;O455&amp;"M")</f>
        <v>37Y8M</v>
      </c>
      <c r="Q455" s="28">
        <f>_xll.qlCalendarAdvance(Calendar,SettlementDate,P455,"f",,Trigger)</f>
        <v>55925</v>
      </c>
      <c r="R455" s="28">
        <f>_xll.qlInterestRateIndexValueDate(Index,Q455,Trigger)</f>
        <v>55927</v>
      </c>
      <c r="S455" s="28">
        <f>_xll.qlInterestRateIndexMaturity(Index,R455,Trigger)</f>
        <v>55955</v>
      </c>
      <c r="T455" s="30">
        <f>_xll.qlIndexFixing($M$6,Q455,,InterestRatesTrigger)</f>
        <v>1.5645173568039943E-2</v>
      </c>
      <c r="U455" s="30" t="e">
        <f>_xll.qlIndexFixing(Index,Q455,,InterestRatesTrigger)</f>
        <v>#NUM!</v>
      </c>
      <c r="V455" s="30" t="e">
        <f t="shared" si="26"/>
        <v>#NUM!</v>
      </c>
      <c r="W455" s="29">
        <f>_xll.qlDayCounterYearFraction(DayCounter,SettlementDate,R455,,,Trigger)</f>
        <v>38.233333333333334</v>
      </c>
      <c r="X455" s="29">
        <f>_xll.qlDayCounterYearFraction(DayCounter,R455,S455)</f>
        <v>7.7777777777777779E-2</v>
      </c>
      <c r="Y455" s="29" t="e">
        <f>_xll.qlYieldTSDiscount(Currency&amp;"ON",R455)/(1+U455*X455)</f>
        <v>#NUM!</v>
      </c>
      <c r="Z455" s="30" t="e">
        <f>_xll.qlTenorBasisValue(TenorBasis6M,R455,InterestRatesTrigger)</f>
        <v>#VALUE!</v>
      </c>
      <c r="AA455" s="30" t="e">
        <f t="shared" si="27"/>
        <v>#NUM!</v>
      </c>
    </row>
    <row r="456" spans="15:27" x14ac:dyDescent="0.2">
      <c r="O456" s="33">
        <v>1</v>
      </c>
      <c r="P456" s="27" t="str">
        <f>_xll.qlPeriodEquivalent(P455&amp;"+"&amp;O456&amp;"M")</f>
        <v>37Y9M</v>
      </c>
      <c r="Q456" s="28">
        <f>_xll.qlCalendarAdvance(Calendar,SettlementDate,P456,"f",,Trigger)</f>
        <v>55953</v>
      </c>
      <c r="R456" s="28">
        <f>_xll.qlInterestRateIndexValueDate(Index,Q456,Trigger)</f>
        <v>55955</v>
      </c>
      <c r="S456" s="28">
        <f>_xll.qlInterestRateIndexMaturity(Index,R456,Trigger)</f>
        <v>55988</v>
      </c>
      <c r="T456" s="30">
        <f>_xll.qlIndexFixing($M$6,Q456,,InterestRatesTrigger)</f>
        <v>1.5607172080064853E-2</v>
      </c>
      <c r="U456" s="30" t="e">
        <f>_xll.qlIndexFixing(Index,Q456,,InterestRatesTrigger)</f>
        <v>#NUM!</v>
      </c>
      <c r="V456" s="30" t="e">
        <f t="shared" si="26"/>
        <v>#NUM!</v>
      </c>
      <c r="W456" s="29">
        <f>_xll.qlDayCounterYearFraction(DayCounter,SettlementDate,R456,,,Trigger)</f>
        <v>38.31111111111111</v>
      </c>
      <c r="X456" s="29">
        <f>_xll.qlDayCounterYearFraction(DayCounter,R456,S456)</f>
        <v>9.166666666666666E-2</v>
      </c>
      <c r="Y456" s="29" t="e">
        <f>_xll.qlYieldTSDiscount(Currency&amp;"ON",R456)/(1+U456*X456)</f>
        <v>#NUM!</v>
      </c>
      <c r="Z456" s="30" t="e">
        <f>_xll.qlTenorBasisValue(TenorBasis6M,R456,InterestRatesTrigger)</f>
        <v>#VALUE!</v>
      </c>
      <c r="AA456" s="30" t="e">
        <f t="shared" si="27"/>
        <v>#NUM!</v>
      </c>
    </row>
    <row r="457" spans="15:27" x14ac:dyDescent="0.2">
      <c r="O457" s="33">
        <v>1</v>
      </c>
      <c r="P457" s="27" t="str">
        <f>_xll.qlPeriodEquivalent(P456&amp;"+"&amp;O457&amp;"M")</f>
        <v>37Y10M</v>
      </c>
      <c r="Q457" s="28">
        <f>_xll.qlCalendarAdvance(Calendar,SettlementDate,P457,"f",,Trigger)</f>
        <v>55982</v>
      </c>
      <c r="R457" s="28">
        <f>_xll.qlInterestRateIndexValueDate(Index,Q457,Trigger)</f>
        <v>55984</v>
      </c>
      <c r="S457" s="28">
        <f>_xll.qlInterestRateIndexMaturity(Index,R457,Trigger)</f>
        <v>56016</v>
      </c>
      <c r="T457" s="30">
        <f>_xll.qlIndexFixing($M$6,Q457,,InterestRatesTrigger)</f>
        <v>1.5569161775815521E-2</v>
      </c>
      <c r="U457" s="30" t="e">
        <f>_xll.qlIndexFixing(Index,Q457,,InterestRatesTrigger)</f>
        <v>#NUM!</v>
      </c>
      <c r="V457" s="30" t="e">
        <f t="shared" si="26"/>
        <v>#NUM!</v>
      </c>
      <c r="W457" s="29">
        <f>_xll.qlDayCounterYearFraction(DayCounter,SettlementDate,R457,,,Trigger)</f>
        <v>38.391666666666666</v>
      </c>
      <c r="X457" s="29">
        <f>_xll.qlDayCounterYearFraction(DayCounter,R457,S457)</f>
        <v>8.8888888888888892E-2</v>
      </c>
      <c r="Y457" s="29" t="e">
        <f>_xll.qlYieldTSDiscount(Currency&amp;"ON",R457)/(1+U457*X457)</f>
        <v>#NUM!</v>
      </c>
      <c r="Z457" s="30" t="e">
        <f>_xll.qlTenorBasisValue(TenorBasis6M,R457,InterestRatesTrigger)</f>
        <v>#VALUE!</v>
      </c>
      <c r="AA457" s="30" t="e">
        <f t="shared" si="27"/>
        <v>#NUM!</v>
      </c>
    </row>
    <row r="458" spans="15:27" x14ac:dyDescent="0.2">
      <c r="O458" s="33">
        <v>1</v>
      </c>
      <c r="P458" s="27" t="str">
        <f>_xll.qlPeriodEquivalent(P457&amp;"+"&amp;O458&amp;"M")</f>
        <v>37Y11M</v>
      </c>
      <c r="Q458" s="28">
        <f>_xll.qlCalendarAdvance(Calendar,SettlementDate,P458,"f",,Trigger)</f>
        <v>56012</v>
      </c>
      <c r="R458" s="28">
        <f>_xll.qlInterestRateIndexValueDate(Index,Q458,Trigger)</f>
        <v>56016</v>
      </c>
      <c r="S458" s="28">
        <f>_xll.qlInterestRateIndexMaturity(Index,R458,Trigger)</f>
        <v>56047</v>
      </c>
      <c r="T458" s="30">
        <f>_xll.qlIndexFixing($M$6,Q458,,InterestRatesTrigger)</f>
        <v>1.5526529919143807E-2</v>
      </c>
      <c r="U458" s="30" t="e">
        <f>_xll.qlIndexFixing(Index,Q458,,InterestRatesTrigger)</f>
        <v>#NUM!</v>
      </c>
      <c r="V458" s="30" t="e">
        <f t="shared" si="26"/>
        <v>#NUM!</v>
      </c>
      <c r="W458" s="29">
        <f>_xll.qlDayCounterYearFraction(DayCounter,SettlementDate,R458,,,Trigger)</f>
        <v>38.480555555555554</v>
      </c>
      <c r="X458" s="29">
        <f>_xll.qlDayCounterYearFraction(DayCounter,R458,S458)</f>
        <v>8.611111111111111E-2</v>
      </c>
      <c r="Y458" s="29" t="e">
        <f>_xll.qlYieldTSDiscount(Currency&amp;"ON",R458)/(1+U458*X458)</f>
        <v>#NUM!</v>
      </c>
      <c r="Z458" s="30" t="e">
        <f>_xll.qlTenorBasisValue(TenorBasis6M,R458,InterestRatesTrigger)</f>
        <v>#VALUE!</v>
      </c>
      <c r="AA458" s="30" t="e">
        <f t="shared" si="27"/>
        <v>#NUM!</v>
      </c>
    </row>
    <row r="459" spans="15:27" x14ac:dyDescent="0.2">
      <c r="O459" s="33">
        <v>1</v>
      </c>
      <c r="P459" s="27" t="str">
        <f>_xll.qlPeriodEquivalent(P458&amp;"+"&amp;O459&amp;"M")</f>
        <v>38Y</v>
      </c>
      <c r="Q459" s="28">
        <f>_xll.qlCalendarAdvance(Calendar,SettlementDate,P459,"f",,Trigger)</f>
        <v>56044</v>
      </c>
      <c r="R459" s="28">
        <f>_xll.qlInterestRateIndexValueDate(Index,Q459,Trigger)</f>
        <v>56046</v>
      </c>
      <c r="S459" s="28">
        <f>_xll.qlInterestRateIndexMaturity(Index,R459,Trigger)</f>
        <v>56076</v>
      </c>
      <c r="T459" s="30">
        <f>_xll.qlIndexFixing($M$6,Q459,,InterestRatesTrigger)</f>
        <v>1.5485959434106356E-2</v>
      </c>
      <c r="U459" s="30" t="e">
        <f>_xll.qlIndexFixing(Index,Q459,,InterestRatesTrigger)</f>
        <v>#NUM!</v>
      </c>
      <c r="V459" s="30" t="e">
        <f t="shared" si="26"/>
        <v>#NUM!</v>
      </c>
      <c r="W459" s="29">
        <f>_xll.qlDayCounterYearFraction(DayCounter,SettlementDate,R459,,,Trigger)</f>
        <v>38.56388888888889</v>
      </c>
      <c r="X459" s="29">
        <f>_xll.qlDayCounterYearFraction(DayCounter,R459,S459)</f>
        <v>8.3333333333333329E-2</v>
      </c>
      <c r="Y459" s="29" t="e">
        <f>_xll.qlYieldTSDiscount(Currency&amp;"ON",R459)/(1+U459*X459)</f>
        <v>#NUM!</v>
      </c>
      <c r="Z459" s="30" t="e">
        <f>_xll.qlTenorBasisValue(TenorBasis6M,R459,InterestRatesTrigger)</f>
        <v>#VALUE!</v>
      </c>
      <c r="AA459" s="30" t="e">
        <f t="shared" si="27"/>
        <v>#NUM!</v>
      </c>
    </row>
    <row r="460" spans="15:27" x14ac:dyDescent="0.2">
      <c r="O460" s="33">
        <v>1</v>
      </c>
      <c r="P460" s="27" t="str">
        <f>_xll.qlPeriodEquivalent(P459&amp;"+"&amp;O460&amp;"M")</f>
        <v>38Y1M</v>
      </c>
      <c r="Q460" s="28">
        <f>_xll.qlCalendarAdvance(Calendar,SettlementDate,P460,"f",,Trigger)</f>
        <v>56073</v>
      </c>
      <c r="R460" s="28">
        <f>_xll.qlInterestRateIndexValueDate(Index,Q460,Trigger)</f>
        <v>56075</v>
      </c>
      <c r="S460" s="28">
        <f>_xll.qlInterestRateIndexMaturity(Index,R460,Trigger)</f>
        <v>56107</v>
      </c>
      <c r="T460" s="30">
        <f>_xll.qlIndexFixing($M$6,Q460,,InterestRatesTrigger)</f>
        <v>1.5445075979172718E-2</v>
      </c>
      <c r="U460" s="30" t="e">
        <f>_xll.qlIndexFixing(Index,Q460,,InterestRatesTrigger)</f>
        <v>#NUM!</v>
      </c>
      <c r="V460" s="30" t="e">
        <f t="shared" si="26"/>
        <v>#NUM!</v>
      </c>
      <c r="W460" s="29">
        <f>_xll.qlDayCounterYearFraction(DayCounter,SettlementDate,R460,,,Trigger)</f>
        <v>38.644444444444446</v>
      </c>
      <c r="X460" s="29">
        <f>_xll.qlDayCounterYearFraction(DayCounter,R460,S460)</f>
        <v>8.8888888888888892E-2</v>
      </c>
      <c r="Y460" s="29" t="e">
        <f>_xll.qlYieldTSDiscount(Currency&amp;"ON",R460)/(1+U460*X460)</f>
        <v>#NUM!</v>
      </c>
      <c r="Z460" s="30" t="e">
        <f>_xll.qlTenorBasisValue(TenorBasis6M,R460,InterestRatesTrigger)</f>
        <v>#VALUE!</v>
      </c>
      <c r="AA460" s="30" t="e">
        <f t="shared" si="27"/>
        <v>#NUM!</v>
      </c>
    </row>
    <row r="461" spans="15:27" x14ac:dyDescent="0.2">
      <c r="O461" s="33">
        <v>1</v>
      </c>
      <c r="P461" s="27" t="str">
        <f>_xll.qlPeriodEquivalent(P460&amp;"+"&amp;O461&amp;"M")</f>
        <v>38Y2M</v>
      </c>
      <c r="Q461" s="28">
        <f>_xll.qlCalendarAdvance(Calendar,SettlementDate,P461,"f",,Trigger)</f>
        <v>56104</v>
      </c>
      <c r="R461" s="28">
        <f>_xll.qlInterestRateIndexValueDate(Index,Q461,Trigger)</f>
        <v>56108</v>
      </c>
      <c r="S461" s="28">
        <f>_xll.qlInterestRateIndexMaturity(Index,R461,Trigger)</f>
        <v>56139</v>
      </c>
      <c r="T461" s="30">
        <f>_xll.qlIndexFixing($M$6,Q461,,InterestRatesTrigger)</f>
        <v>1.5399032206990721E-2</v>
      </c>
      <c r="U461" s="30" t="e">
        <f>_xll.qlIndexFixing(Index,Q461,,InterestRatesTrigger)</f>
        <v>#NUM!</v>
      </c>
      <c r="V461" s="30" t="e">
        <f t="shared" si="26"/>
        <v>#NUM!</v>
      </c>
      <c r="W461" s="29">
        <f>_xll.qlDayCounterYearFraction(DayCounter,SettlementDate,R461,,,Trigger)</f>
        <v>38.736111111111114</v>
      </c>
      <c r="X461" s="29">
        <f>_xll.qlDayCounterYearFraction(DayCounter,R461,S461)</f>
        <v>8.611111111111111E-2</v>
      </c>
      <c r="Y461" s="29" t="e">
        <f>_xll.qlYieldTSDiscount(Currency&amp;"ON",R461)/(1+U461*X461)</f>
        <v>#NUM!</v>
      </c>
      <c r="Z461" s="30" t="e">
        <f>_xll.qlTenorBasisValue(TenorBasis6M,R461,InterestRatesTrigger)</f>
        <v>#VALUE!</v>
      </c>
      <c r="AA461" s="30" t="e">
        <f t="shared" si="27"/>
        <v>#NUM!</v>
      </c>
    </row>
    <row r="462" spans="15:27" x14ac:dyDescent="0.2">
      <c r="O462" s="33">
        <v>1</v>
      </c>
      <c r="P462" s="27" t="str">
        <f>_xll.qlPeriodEquivalent(P461&amp;"+"&amp;O462&amp;"M")</f>
        <v>38Y3M</v>
      </c>
      <c r="Q462" s="28">
        <f>_xll.qlCalendarAdvance(Calendar,SettlementDate,P462,"f",,Trigger)</f>
        <v>56135</v>
      </c>
      <c r="R462" s="28">
        <f>_xll.qlInterestRateIndexValueDate(Index,Q462,Trigger)</f>
        <v>56137</v>
      </c>
      <c r="S462" s="28">
        <f>_xll.qlInterestRateIndexMaturity(Index,R462,Trigger)</f>
        <v>56167</v>
      </c>
      <c r="T462" s="30">
        <f>_xll.qlIndexFixing($M$6,Q462,,InterestRatesTrigger)</f>
        <v>1.5358012096925222E-2</v>
      </c>
      <c r="U462" s="30" t="e">
        <f>_xll.qlIndexFixing(Index,Q462,,InterestRatesTrigger)</f>
        <v>#NUM!</v>
      </c>
      <c r="V462" s="30" t="e">
        <f t="shared" si="26"/>
        <v>#NUM!</v>
      </c>
      <c r="W462" s="29">
        <f>_xll.qlDayCounterYearFraction(DayCounter,SettlementDate,R462,,,Trigger)</f>
        <v>38.81666666666667</v>
      </c>
      <c r="X462" s="29">
        <f>_xll.qlDayCounterYearFraction(DayCounter,R462,S462)</f>
        <v>8.3333333333333329E-2</v>
      </c>
      <c r="Y462" s="29" t="e">
        <f>_xll.qlYieldTSDiscount(Currency&amp;"ON",R462)/(1+U462*X462)</f>
        <v>#NUM!</v>
      </c>
      <c r="Z462" s="30" t="e">
        <f>_xll.qlTenorBasisValue(TenorBasis6M,R462,InterestRatesTrigger)</f>
        <v>#VALUE!</v>
      </c>
      <c r="AA462" s="30" t="e">
        <f t="shared" si="27"/>
        <v>#NUM!</v>
      </c>
    </row>
    <row r="463" spans="15:27" x14ac:dyDescent="0.2">
      <c r="O463" s="33">
        <v>1</v>
      </c>
      <c r="P463" s="27" t="str">
        <f>_xll.qlPeriodEquivalent(P462&amp;"+"&amp;O463&amp;"M")</f>
        <v>38Y4M</v>
      </c>
      <c r="Q463" s="28">
        <f>_xll.qlCalendarAdvance(Calendar,SettlementDate,P463,"f",,Trigger)</f>
        <v>56165</v>
      </c>
      <c r="R463" s="28">
        <f>_xll.qlInterestRateIndexValueDate(Index,Q463,Trigger)</f>
        <v>56167</v>
      </c>
      <c r="S463" s="28">
        <f>_xll.qlInterestRateIndexMaturity(Index,R463,Trigger)</f>
        <v>56198</v>
      </c>
      <c r="T463" s="30">
        <f>_xll.qlIndexFixing($M$6,Q463,,InterestRatesTrigger)</f>
        <v>1.5314159966111575E-2</v>
      </c>
      <c r="U463" s="30" t="e">
        <f>_xll.qlIndexFixing(Index,Q463,,InterestRatesTrigger)</f>
        <v>#NUM!</v>
      </c>
      <c r="V463" s="30" t="e">
        <f t="shared" si="26"/>
        <v>#NUM!</v>
      </c>
      <c r="W463" s="29">
        <f>_xll.qlDayCounterYearFraction(DayCounter,SettlementDate,R463,,,Trigger)</f>
        <v>38.9</v>
      </c>
      <c r="X463" s="29">
        <f>_xll.qlDayCounterYearFraction(DayCounter,R463,S463)</f>
        <v>8.611111111111111E-2</v>
      </c>
      <c r="Y463" s="29" t="e">
        <f>_xll.qlYieldTSDiscount(Currency&amp;"ON",R463)/(1+U463*X463)</f>
        <v>#NUM!</v>
      </c>
      <c r="Z463" s="30" t="e">
        <f>_xll.qlTenorBasisValue(TenorBasis6M,R463,InterestRatesTrigger)</f>
        <v>#VALUE!</v>
      </c>
      <c r="AA463" s="30" t="e">
        <f t="shared" si="27"/>
        <v>#NUM!</v>
      </c>
    </row>
    <row r="464" spans="15:27" x14ac:dyDescent="0.2">
      <c r="O464" s="33">
        <v>1</v>
      </c>
      <c r="P464" s="27" t="str">
        <f>_xll.qlPeriodEquivalent(P463&amp;"+"&amp;O464&amp;"M")</f>
        <v>38Y5M</v>
      </c>
      <c r="Q464" s="28">
        <f>_xll.qlCalendarAdvance(Calendar,SettlementDate,P464,"f",,Trigger)</f>
        <v>56198</v>
      </c>
      <c r="R464" s="28">
        <f>_xll.qlInterestRateIndexValueDate(Index,Q464,Trigger)</f>
        <v>56200</v>
      </c>
      <c r="S464" s="28">
        <f>_xll.qlInterestRateIndexMaturity(Index,R464,Trigger)</f>
        <v>56230</v>
      </c>
      <c r="T464" s="30">
        <f>_xll.qlIndexFixing($M$6,Q464,,InterestRatesTrigger)</f>
        <v>1.5266049328239717E-2</v>
      </c>
      <c r="U464" s="30" t="e">
        <f>_xll.qlIndexFixing(Index,Q464,,InterestRatesTrigger)</f>
        <v>#NUM!</v>
      </c>
      <c r="V464" s="30" t="e">
        <f t="shared" si="26"/>
        <v>#NUM!</v>
      </c>
      <c r="W464" s="29">
        <f>_xll.qlDayCounterYearFraction(DayCounter,SettlementDate,R464,,,Trigger)</f>
        <v>38.991666666666667</v>
      </c>
      <c r="X464" s="29">
        <f>_xll.qlDayCounterYearFraction(DayCounter,R464,S464)</f>
        <v>8.3333333333333329E-2</v>
      </c>
      <c r="Y464" s="29" t="e">
        <f>_xll.qlYieldTSDiscount(Currency&amp;"ON",R464)/(1+U464*X464)</f>
        <v>#NUM!</v>
      </c>
      <c r="Z464" s="30" t="e">
        <f>_xll.qlTenorBasisValue(TenorBasis6M,R464,InterestRatesTrigger)</f>
        <v>#VALUE!</v>
      </c>
      <c r="AA464" s="30" t="e">
        <f t="shared" si="27"/>
        <v>#NUM!</v>
      </c>
    </row>
    <row r="465" spans="15:27" x14ac:dyDescent="0.2">
      <c r="O465" s="33">
        <v>1</v>
      </c>
      <c r="P465" s="27" t="str">
        <f>_xll.qlPeriodEquivalent(P464&amp;"+"&amp;O465&amp;"M")</f>
        <v>38Y6M</v>
      </c>
      <c r="Q465" s="28">
        <f>_xll.qlCalendarAdvance(Calendar,SettlementDate,P465,"f",,Trigger)</f>
        <v>56226</v>
      </c>
      <c r="R465" s="28">
        <f>_xll.qlInterestRateIndexValueDate(Index,Q465,Trigger)</f>
        <v>56228</v>
      </c>
      <c r="S465" s="28">
        <f>_xll.qlInterestRateIndexMaturity(Index,R465,Trigger)</f>
        <v>56261</v>
      </c>
      <c r="T465" s="30">
        <f>_xll.qlIndexFixing($M$6,Q465,,InterestRatesTrigger)</f>
        <v>1.5222995287771178E-2</v>
      </c>
      <c r="U465" s="30" t="e">
        <f>_xll.qlIndexFixing(Index,Q465,,InterestRatesTrigger)</f>
        <v>#NUM!</v>
      </c>
      <c r="V465" s="30" t="e">
        <f t="shared" si="26"/>
        <v>#NUM!</v>
      </c>
      <c r="W465" s="29">
        <f>_xll.qlDayCounterYearFraction(DayCounter,SettlementDate,R465,,,Trigger)</f>
        <v>39.069444444444443</v>
      </c>
      <c r="X465" s="29">
        <f>_xll.qlDayCounterYearFraction(DayCounter,R465,S465)</f>
        <v>9.166666666666666E-2</v>
      </c>
      <c r="Y465" s="29" t="e">
        <f>_xll.qlYieldTSDiscount(Currency&amp;"ON",R465)/(1+U465*X465)</f>
        <v>#NUM!</v>
      </c>
      <c r="Z465" s="30" t="e">
        <f>_xll.qlTenorBasisValue(TenorBasis6M,R465,InterestRatesTrigger)</f>
        <v>#VALUE!</v>
      </c>
      <c r="AA465" s="30" t="e">
        <f t="shared" si="27"/>
        <v>#NUM!</v>
      </c>
    </row>
    <row r="466" spans="15:27" x14ac:dyDescent="0.2">
      <c r="O466" s="33">
        <v>1</v>
      </c>
      <c r="P466" s="27" t="str">
        <f>_xll.qlPeriodEquivalent(P465&amp;"+"&amp;O466&amp;"M")</f>
        <v>38Y7M</v>
      </c>
      <c r="Q466" s="28">
        <f>_xll.qlCalendarAdvance(Calendar,SettlementDate,P466,"f",,Trigger)</f>
        <v>56257</v>
      </c>
      <c r="R466" s="28">
        <f>_xll.qlInterestRateIndexValueDate(Index,Q466,Trigger)</f>
        <v>56261</v>
      </c>
      <c r="S466" s="28">
        <f>_xll.qlInterestRateIndexMaturity(Index,R466,Trigger)</f>
        <v>56292</v>
      </c>
      <c r="T466" s="30">
        <f>_xll.qlIndexFixing($M$6,Q466,,InterestRatesTrigger)</f>
        <v>1.5173923585745312E-2</v>
      </c>
      <c r="U466" s="30" t="e">
        <f>_xll.qlIndexFixing(Index,Q466,,InterestRatesTrigger)</f>
        <v>#NUM!</v>
      </c>
      <c r="V466" s="30" t="e">
        <f t="shared" si="26"/>
        <v>#NUM!</v>
      </c>
      <c r="W466" s="29">
        <f>_xll.qlDayCounterYearFraction(DayCounter,SettlementDate,R466,,,Trigger)</f>
        <v>39.161111111111111</v>
      </c>
      <c r="X466" s="29">
        <f>_xll.qlDayCounterYearFraction(DayCounter,R466,S466)</f>
        <v>8.611111111111111E-2</v>
      </c>
      <c r="Y466" s="29" t="e">
        <f>_xll.qlYieldTSDiscount(Currency&amp;"ON",R466)/(1+U466*X466)</f>
        <v>#NUM!</v>
      </c>
      <c r="Z466" s="30" t="e">
        <f>_xll.qlTenorBasisValue(TenorBasis6M,R466,InterestRatesTrigger)</f>
        <v>#VALUE!</v>
      </c>
      <c r="AA466" s="30" t="e">
        <f t="shared" si="27"/>
        <v>#NUM!</v>
      </c>
    </row>
    <row r="467" spans="15:27" x14ac:dyDescent="0.2">
      <c r="O467" s="33">
        <v>1</v>
      </c>
      <c r="P467" s="27" t="str">
        <f>_xll.qlPeriodEquivalent(P466&amp;"+"&amp;O467&amp;"M")</f>
        <v>38Y8M</v>
      </c>
      <c r="Q467" s="28">
        <f>_xll.qlCalendarAdvance(Calendar,SettlementDate,P467,"f",,Trigger)</f>
        <v>56289</v>
      </c>
      <c r="R467" s="28">
        <f>_xll.qlInterestRateIndexValueDate(Index,Q467,Trigger)</f>
        <v>56291</v>
      </c>
      <c r="S467" s="28">
        <f>_xll.qlInterestRateIndexMaturity(Index,R467,Trigger)</f>
        <v>56319</v>
      </c>
      <c r="T467" s="30">
        <f>_xll.qlIndexFixing($M$6,Q467,,InterestRatesTrigger)</f>
        <v>1.5129239202803671E-2</v>
      </c>
      <c r="U467" s="30" t="e">
        <f>_xll.qlIndexFixing(Index,Q467,,InterestRatesTrigger)</f>
        <v>#NUM!</v>
      </c>
      <c r="V467" s="30" t="e">
        <f t="shared" si="26"/>
        <v>#NUM!</v>
      </c>
      <c r="W467" s="29">
        <f>_xll.qlDayCounterYearFraction(DayCounter,SettlementDate,R467,,,Trigger)</f>
        <v>39.244444444444447</v>
      </c>
      <c r="X467" s="29">
        <f>_xll.qlDayCounterYearFraction(DayCounter,R467,S467)</f>
        <v>7.7777777777777779E-2</v>
      </c>
      <c r="Y467" s="29" t="e">
        <f>_xll.qlYieldTSDiscount(Currency&amp;"ON",R467)/(1+U467*X467)</f>
        <v>#NUM!</v>
      </c>
      <c r="Z467" s="30" t="e">
        <f>_xll.qlTenorBasisValue(TenorBasis6M,R467,InterestRatesTrigger)</f>
        <v>#VALUE!</v>
      </c>
      <c r="AA467" s="30" t="e">
        <f t="shared" si="27"/>
        <v>#NUM!</v>
      </c>
    </row>
    <row r="468" spans="15:27" x14ac:dyDescent="0.2">
      <c r="O468" s="33">
        <v>1</v>
      </c>
      <c r="P468" s="27" t="str">
        <f>_xll.qlPeriodEquivalent(P467&amp;"+"&amp;O468&amp;"M")</f>
        <v>38Y9M</v>
      </c>
      <c r="Q468" s="28">
        <f>_xll.qlCalendarAdvance(Calendar,SettlementDate,P468,"f",,Trigger)</f>
        <v>56317</v>
      </c>
      <c r="R468" s="28">
        <f>_xll.qlInterestRateIndexValueDate(Index,Q468,Trigger)</f>
        <v>56319</v>
      </c>
      <c r="S468" s="28">
        <f>_xll.qlInterestRateIndexMaturity(Index,R468,Trigger)</f>
        <v>56352</v>
      </c>
      <c r="T468" s="30">
        <f>_xll.qlIndexFixing($M$6,Q468,,InterestRatesTrigger)</f>
        <v>1.5083382436515566E-2</v>
      </c>
      <c r="U468" s="30" t="e">
        <f>_xll.qlIndexFixing(Index,Q468,,InterestRatesTrigger)</f>
        <v>#NUM!</v>
      </c>
      <c r="V468" s="30" t="e">
        <f t="shared" si="26"/>
        <v>#NUM!</v>
      </c>
      <c r="W468" s="29">
        <f>_xll.qlDayCounterYearFraction(DayCounter,SettlementDate,R468,,,Trigger)</f>
        <v>39.322222222222223</v>
      </c>
      <c r="X468" s="29">
        <f>_xll.qlDayCounterYearFraction(DayCounter,R468,S468)</f>
        <v>9.166666666666666E-2</v>
      </c>
      <c r="Y468" s="29" t="e">
        <f>_xll.qlYieldTSDiscount(Currency&amp;"ON",R468)/(1+U468*X468)</f>
        <v>#NUM!</v>
      </c>
      <c r="Z468" s="30" t="e">
        <f>_xll.qlTenorBasisValue(TenorBasis6M,R468,InterestRatesTrigger)</f>
        <v>#VALUE!</v>
      </c>
      <c r="AA468" s="30" t="e">
        <f t="shared" si="27"/>
        <v>#NUM!</v>
      </c>
    </row>
    <row r="469" spans="15:27" x14ac:dyDescent="0.2">
      <c r="O469" s="33">
        <v>1</v>
      </c>
      <c r="P469" s="27" t="str">
        <f>_xll.qlPeriodEquivalent(P468&amp;"+"&amp;O469&amp;"M")</f>
        <v>38Y10M</v>
      </c>
      <c r="Q469" s="28">
        <f>_xll.qlCalendarAdvance(Calendar,SettlementDate,P469,"f",,Trigger)</f>
        <v>56347</v>
      </c>
      <c r="R469" s="28">
        <f>_xll.qlInterestRateIndexValueDate(Index,Q469,Trigger)</f>
        <v>56349</v>
      </c>
      <c r="S469" s="28">
        <f>_xll.qlInterestRateIndexMaturity(Index,R469,Trigger)</f>
        <v>56380</v>
      </c>
      <c r="T469" s="30">
        <f>_xll.qlIndexFixing($M$6,Q469,,InterestRatesTrigger)</f>
        <v>1.5037052525319186E-2</v>
      </c>
      <c r="U469" s="30" t="e">
        <f>_xll.qlIndexFixing(Index,Q469,,InterestRatesTrigger)</f>
        <v>#NUM!</v>
      </c>
      <c r="V469" s="30" t="e">
        <f t="shared" si="26"/>
        <v>#NUM!</v>
      </c>
      <c r="W469" s="29">
        <f>_xll.qlDayCounterYearFraction(DayCounter,SettlementDate,R469,,,Trigger)</f>
        <v>39.405555555555559</v>
      </c>
      <c r="X469" s="29">
        <f>_xll.qlDayCounterYearFraction(DayCounter,R469,S469)</f>
        <v>8.611111111111111E-2</v>
      </c>
      <c r="Y469" s="29" t="e">
        <f>_xll.qlYieldTSDiscount(Currency&amp;"ON",R469)/(1+U469*X469)</f>
        <v>#NUM!</v>
      </c>
      <c r="Z469" s="30" t="e">
        <f>_xll.qlTenorBasisValue(TenorBasis6M,R469,InterestRatesTrigger)</f>
        <v>#VALUE!</v>
      </c>
      <c r="AA469" s="30" t="e">
        <f t="shared" si="27"/>
        <v>#NUM!</v>
      </c>
    </row>
    <row r="470" spans="15:27" x14ac:dyDescent="0.2">
      <c r="O470" s="33">
        <v>1</v>
      </c>
      <c r="P470" s="27" t="str">
        <f>_xll.qlPeriodEquivalent(P469&amp;"+"&amp;O470&amp;"M")</f>
        <v>38Y11M</v>
      </c>
      <c r="Q470" s="28">
        <f>_xll.qlCalendarAdvance(Calendar,SettlementDate,P470,"f",,Trigger)</f>
        <v>56377</v>
      </c>
      <c r="R470" s="28">
        <f>_xll.qlInterestRateIndexValueDate(Index,Q470,Trigger)</f>
        <v>56381</v>
      </c>
      <c r="S470" s="28">
        <f>_xll.qlInterestRateIndexMaturity(Index,R470,Trigger)</f>
        <v>56412</v>
      </c>
      <c r="T470" s="30">
        <f>_xll.qlIndexFixing($M$6,Q470,,InterestRatesTrigger)</f>
        <v>1.4985941982772548E-2</v>
      </c>
      <c r="U470" s="30" t="e">
        <f>_xll.qlIndexFixing(Index,Q470,,InterestRatesTrigger)</f>
        <v>#NUM!</v>
      </c>
      <c r="V470" s="30" t="e">
        <f t="shared" si="26"/>
        <v>#NUM!</v>
      </c>
      <c r="W470" s="29">
        <f>_xll.qlDayCounterYearFraction(DayCounter,SettlementDate,R470,,,Trigger)</f>
        <v>39.494444444444447</v>
      </c>
      <c r="X470" s="29">
        <f>_xll.qlDayCounterYearFraction(DayCounter,R470,S470)</f>
        <v>8.611111111111111E-2</v>
      </c>
      <c r="Y470" s="29" t="e">
        <f>_xll.qlYieldTSDiscount(Currency&amp;"ON",R470)/(1+U470*X470)</f>
        <v>#NUM!</v>
      </c>
      <c r="Z470" s="30" t="e">
        <f>_xll.qlTenorBasisValue(TenorBasis6M,R470,InterestRatesTrigger)</f>
        <v>#VALUE!</v>
      </c>
      <c r="AA470" s="30" t="e">
        <f t="shared" si="27"/>
        <v>#NUM!</v>
      </c>
    </row>
    <row r="471" spans="15:27" x14ac:dyDescent="0.2">
      <c r="O471" s="33">
        <v>1</v>
      </c>
      <c r="P471" s="27" t="str">
        <f>_xll.qlPeriodEquivalent(P470&amp;"+"&amp;O471&amp;"M")</f>
        <v>39Y</v>
      </c>
      <c r="Q471" s="28">
        <f>_xll.qlCalendarAdvance(Calendar,SettlementDate,P471,"f",,Trigger)</f>
        <v>56408</v>
      </c>
      <c r="R471" s="28">
        <f>_xll.qlInterestRateIndexValueDate(Index,Q471,Trigger)</f>
        <v>56410</v>
      </c>
      <c r="S471" s="28">
        <f>_xll.qlInterestRateIndexMaturity(Index,R471,Trigger)</f>
        <v>56440</v>
      </c>
      <c r="T471" s="30">
        <f>_xll.qlIndexFixing($M$6,Q471,,InterestRatesTrigger)</f>
        <v>1.4939512227241103E-2</v>
      </c>
      <c r="U471" s="30" t="e">
        <f>_xll.qlIndexFixing(Index,Q471,,InterestRatesTrigger)</f>
        <v>#NUM!</v>
      </c>
      <c r="V471" s="30" t="e">
        <f t="shared" si="26"/>
        <v>#NUM!</v>
      </c>
      <c r="W471" s="29">
        <f>_xll.qlDayCounterYearFraction(DayCounter,SettlementDate,R471,,,Trigger)</f>
        <v>39.575000000000003</v>
      </c>
      <c r="X471" s="29">
        <f>_xll.qlDayCounterYearFraction(DayCounter,R471,S471)</f>
        <v>8.3333333333333329E-2</v>
      </c>
      <c r="Y471" s="29" t="e">
        <f>_xll.qlYieldTSDiscount(Currency&amp;"ON",R471)/(1+U471*X471)</f>
        <v>#NUM!</v>
      </c>
      <c r="Z471" s="30" t="e">
        <f>_xll.qlTenorBasisValue(TenorBasis6M,R471,InterestRatesTrigger)</f>
        <v>#VALUE!</v>
      </c>
      <c r="AA471" s="30" t="e">
        <f t="shared" si="27"/>
        <v>#NUM!</v>
      </c>
    </row>
    <row r="472" spans="15:27" x14ac:dyDescent="0.2">
      <c r="O472" s="33">
        <v>1</v>
      </c>
      <c r="P472" s="27" t="str">
        <f>_xll.qlPeriodEquivalent(P471&amp;"+"&amp;O472&amp;"M")</f>
        <v>39Y1M</v>
      </c>
      <c r="Q472" s="28">
        <f>_xll.qlCalendarAdvance(Calendar,SettlementDate,P472,"f",,Trigger)</f>
        <v>56438</v>
      </c>
      <c r="R472" s="28">
        <f>_xll.qlInterestRateIndexValueDate(Index,Q472,Trigger)</f>
        <v>56440</v>
      </c>
      <c r="S472" s="28">
        <f>_xll.qlInterestRateIndexMaturity(Index,R472,Trigger)</f>
        <v>56471</v>
      </c>
      <c r="T472" s="30">
        <f>_xll.qlIndexFixing($M$6,Q472,,InterestRatesTrigger)</f>
        <v>1.4889834460200016E-2</v>
      </c>
      <c r="U472" s="30" t="e">
        <f>_xll.qlIndexFixing(Index,Q472,,InterestRatesTrigger)</f>
        <v>#NUM!</v>
      </c>
      <c r="V472" s="30" t="e">
        <f t="shared" si="26"/>
        <v>#NUM!</v>
      </c>
      <c r="W472" s="29">
        <f>_xll.qlDayCounterYearFraction(DayCounter,SettlementDate,R472,,,Trigger)</f>
        <v>39.658333333333331</v>
      </c>
      <c r="X472" s="29">
        <f>_xll.qlDayCounterYearFraction(DayCounter,R472,S472)</f>
        <v>8.611111111111111E-2</v>
      </c>
      <c r="Y472" s="29" t="e">
        <f>_xll.qlYieldTSDiscount(Currency&amp;"ON",R472)/(1+U472*X472)</f>
        <v>#NUM!</v>
      </c>
      <c r="Z472" s="30" t="e">
        <f>_xll.qlTenorBasisValue(TenorBasis6M,R472,InterestRatesTrigger)</f>
        <v>#VALUE!</v>
      </c>
      <c r="AA472" s="30" t="e">
        <f t="shared" si="27"/>
        <v>#NUM!</v>
      </c>
    </row>
    <row r="473" spans="15:27" x14ac:dyDescent="0.2">
      <c r="O473" s="33">
        <v>1</v>
      </c>
      <c r="P473" s="27" t="str">
        <f>_xll.qlPeriodEquivalent(P472&amp;"+"&amp;O473&amp;"M")</f>
        <v>39Y2M</v>
      </c>
      <c r="Q473" s="28">
        <f>_xll.qlCalendarAdvance(Calendar,SettlementDate,P473,"f",,Trigger)</f>
        <v>56471</v>
      </c>
      <c r="R473" s="28">
        <f>_xll.qlInterestRateIndexValueDate(Index,Q473,Trigger)</f>
        <v>56473</v>
      </c>
      <c r="S473" s="28">
        <f>_xll.qlInterestRateIndexMaturity(Index,R473,Trigger)</f>
        <v>56506</v>
      </c>
      <c r="T473" s="30">
        <f>_xll.qlIndexFixing($M$6,Q473,,InterestRatesTrigger)</f>
        <v>1.4833954948259212E-2</v>
      </c>
      <c r="U473" s="30" t="e">
        <f>_xll.qlIndexFixing(Index,Q473,,InterestRatesTrigger)</f>
        <v>#NUM!</v>
      </c>
      <c r="V473" s="30" t="e">
        <f t="shared" si="26"/>
        <v>#NUM!</v>
      </c>
      <c r="W473" s="29">
        <f>_xll.qlDayCounterYearFraction(DayCounter,SettlementDate,R473,,,Trigger)</f>
        <v>39.75</v>
      </c>
      <c r="X473" s="29">
        <f>_xll.qlDayCounterYearFraction(DayCounter,R473,S473)</f>
        <v>9.166666666666666E-2</v>
      </c>
      <c r="Y473" s="29" t="e">
        <f>_xll.qlYieldTSDiscount(Currency&amp;"ON",R473)/(1+U473*X473)</f>
        <v>#NUM!</v>
      </c>
      <c r="Z473" s="30" t="e">
        <f>_xll.qlTenorBasisValue(TenorBasis6M,R473,InterestRatesTrigger)</f>
        <v>#VALUE!</v>
      </c>
      <c r="AA473" s="30" t="e">
        <f t="shared" si="27"/>
        <v>#NUM!</v>
      </c>
    </row>
    <row r="474" spans="15:27" x14ac:dyDescent="0.2">
      <c r="O474" s="33">
        <v>1</v>
      </c>
      <c r="P474" s="27" t="str">
        <f>_xll.qlPeriodEquivalent(P473&amp;"+"&amp;O474&amp;"M")</f>
        <v>39Y3M</v>
      </c>
      <c r="Q474" s="28">
        <f>_xll.qlCalendarAdvance(Calendar,SettlementDate,P474,"f",,Trigger)</f>
        <v>56500</v>
      </c>
      <c r="R474" s="28">
        <f>_xll.qlInterestRateIndexValueDate(Index,Q474,Trigger)</f>
        <v>56502</v>
      </c>
      <c r="S474" s="28">
        <f>_xll.qlInterestRateIndexMaturity(Index,R474,Trigger)</f>
        <v>56534</v>
      </c>
      <c r="T474" s="30">
        <f>_xll.qlIndexFixing($M$6,Q474,,InterestRatesTrigger)</f>
        <v>1.4785679016198205E-2</v>
      </c>
      <c r="U474" s="30" t="e">
        <f>_xll.qlIndexFixing(Index,Q474,,InterestRatesTrigger)</f>
        <v>#NUM!</v>
      </c>
      <c r="V474" s="30" t="e">
        <f t="shared" si="26"/>
        <v>#NUM!</v>
      </c>
      <c r="W474" s="29">
        <f>_xll.qlDayCounterYearFraction(DayCounter,SettlementDate,R474,,,Trigger)</f>
        <v>39.830555555555556</v>
      </c>
      <c r="X474" s="29">
        <f>_xll.qlDayCounterYearFraction(DayCounter,R474,S474)</f>
        <v>8.8888888888888892E-2</v>
      </c>
      <c r="Y474" s="29" t="e">
        <f>_xll.qlYieldTSDiscount(Currency&amp;"ON",R474)/(1+U474*X474)</f>
        <v>#NUM!</v>
      </c>
      <c r="Z474" s="30" t="e">
        <f>_xll.qlTenorBasisValue(TenorBasis6M,R474,InterestRatesTrigger)</f>
        <v>#VALUE!</v>
      </c>
      <c r="AA474" s="30" t="e">
        <f t="shared" si="27"/>
        <v>#NUM!</v>
      </c>
    </row>
    <row r="475" spans="15:27" x14ac:dyDescent="0.2">
      <c r="O475" s="33">
        <v>1</v>
      </c>
      <c r="P475" s="27" t="str">
        <f>_xll.qlPeriodEquivalent(P474&amp;"+"&amp;O475&amp;"M")</f>
        <v>39Y4M</v>
      </c>
      <c r="Q475" s="28">
        <f>_xll.qlCalendarAdvance(Calendar,SettlementDate,P475,"f",,Trigger)</f>
        <v>56530</v>
      </c>
      <c r="R475" s="28">
        <f>_xll.qlInterestRateIndexValueDate(Index,Q475,Trigger)</f>
        <v>56534</v>
      </c>
      <c r="S475" s="28">
        <f>_xll.qlInterestRateIndexMaturity(Index,R475,Trigger)</f>
        <v>56565</v>
      </c>
      <c r="T475" s="30">
        <f>_xll.qlIndexFixing($M$6,Q475,,InterestRatesTrigger)</f>
        <v>1.4731698352633943E-2</v>
      </c>
      <c r="U475" s="30" t="e">
        <f>_xll.qlIndexFixing(Index,Q475,,InterestRatesTrigger)</f>
        <v>#NUM!</v>
      </c>
      <c r="V475" s="30" t="e">
        <f t="shared" si="26"/>
        <v>#NUM!</v>
      </c>
      <c r="W475" s="29">
        <f>_xll.qlDayCounterYearFraction(DayCounter,SettlementDate,R475,,,Trigger)</f>
        <v>39.919444444444444</v>
      </c>
      <c r="X475" s="29">
        <f>_xll.qlDayCounterYearFraction(DayCounter,R475,S475)</f>
        <v>8.611111111111111E-2</v>
      </c>
      <c r="Y475" s="29" t="e">
        <f>_xll.qlYieldTSDiscount(Currency&amp;"ON",R475)/(1+U475*X475)</f>
        <v>#NUM!</v>
      </c>
      <c r="Z475" s="30" t="e">
        <f>_xll.qlTenorBasisValue(TenorBasis6M,R475,InterestRatesTrigger)</f>
        <v>#VALUE!</v>
      </c>
      <c r="AA475" s="30" t="e">
        <f t="shared" si="27"/>
        <v>#NUM!</v>
      </c>
    </row>
    <row r="476" spans="15:27" x14ac:dyDescent="0.2">
      <c r="O476" s="33">
        <v>1</v>
      </c>
      <c r="P476" s="27" t="str">
        <f>_xll.qlPeriodEquivalent(P475&amp;"+"&amp;O476&amp;"M")</f>
        <v>39Y5M</v>
      </c>
      <c r="Q476" s="28">
        <f>_xll.qlCalendarAdvance(Calendar,SettlementDate,P476,"f",,Trigger)</f>
        <v>56562</v>
      </c>
      <c r="R476" s="28">
        <f>_xll.qlInterestRateIndexValueDate(Index,Q476,Trigger)</f>
        <v>56564</v>
      </c>
      <c r="S476" s="28">
        <f>_xll.qlInterestRateIndexMaturity(Index,R476,Trigger)</f>
        <v>56594</v>
      </c>
      <c r="T476" s="30">
        <f>_xll.qlIndexFixing($M$6,Q476,,InterestRatesTrigger)</f>
        <v>1.4680502562463893E-2</v>
      </c>
      <c r="U476" s="30" t="e">
        <f>_xll.qlIndexFixing(Index,Q476,,InterestRatesTrigger)</f>
        <v>#NUM!</v>
      </c>
      <c r="V476" s="30" t="e">
        <f t="shared" si="26"/>
        <v>#NUM!</v>
      </c>
      <c r="W476" s="29">
        <f>_xll.qlDayCounterYearFraction(DayCounter,SettlementDate,R476,,,Trigger)</f>
        <v>40.00277777777778</v>
      </c>
      <c r="X476" s="29">
        <f>_xll.qlDayCounterYearFraction(DayCounter,R476,S476)</f>
        <v>8.3333333333333329E-2</v>
      </c>
      <c r="Y476" s="29" t="e">
        <f>_xll.qlYieldTSDiscount(Currency&amp;"ON",R476)/(1+U476*X476)</f>
        <v>#NUM!</v>
      </c>
      <c r="Z476" s="30" t="e">
        <f>_xll.qlTenorBasisValue(TenorBasis6M,R476,InterestRatesTrigger)</f>
        <v>#VALUE!</v>
      </c>
      <c r="AA476" s="30" t="e">
        <f t="shared" si="27"/>
        <v>#NUM!</v>
      </c>
    </row>
    <row r="477" spans="15:27" x14ac:dyDescent="0.2">
      <c r="O477" s="33">
        <v>1</v>
      </c>
      <c r="P477" s="27" t="str">
        <f>_xll.qlPeriodEquivalent(P476&amp;"+"&amp;O477&amp;"M")</f>
        <v>39Y6M</v>
      </c>
      <c r="Q477" s="28">
        <f>_xll.qlCalendarAdvance(Calendar,SettlementDate,P477,"f",,Trigger)</f>
        <v>56591</v>
      </c>
      <c r="R477" s="28">
        <f>_xll.qlInterestRateIndexValueDate(Index,Q477,Trigger)</f>
        <v>56593</v>
      </c>
      <c r="S477" s="28">
        <f>_xll.qlInterestRateIndexMaturity(Index,R477,Trigger)</f>
        <v>56625</v>
      </c>
      <c r="T477" s="30">
        <f>_xll.qlIndexFixing($M$6,Q477,,InterestRatesTrigger)</f>
        <v>1.4628711742419309E-2</v>
      </c>
      <c r="U477" s="30" t="e">
        <f>_xll.qlIndexFixing(Index,Q477,,InterestRatesTrigger)</f>
        <v>#NUM!</v>
      </c>
      <c r="V477" s="30" t="e">
        <f t="shared" si="26"/>
        <v>#NUM!</v>
      </c>
      <c r="W477" s="29">
        <f>_xll.qlDayCounterYearFraction(DayCounter,SettlementDate,R477,,,Trigger)</f>
        <v>40.083333333333336</v>
      </c>
      <c r="X477" s="29">
        <f>_xll.qlDayCounterYearFraction(DayCounter,R477,S477)</f>
        <v>8.8888888888888892E-2</v>
      </c>
      <c r="Y477" s="29" t="e">
        <f>_xll.qlYieldTSDiscount(Currency&amp;"ON",R477)/(1+U477*X477)</f>
        <v>#NUM!</v>
      </c>
      <c r="Z477" s="30" t="e">
        <f>_xll.qlTenorBasisValue(TenorBasis6M,R477,InterestRatesTrigger)</f>
        <v>#VALUE!</v>
      </c>
      <c r="AA477" s="30" t="e">
        <f t="shared" si="27"/>
        <v>#NUM!</v>
      </c>
    </row>
    <row r="478" spans="15:27" x14ac:dyDescent="0.2">
      <c r="O478" s="33">
        <v>1</v>
      </c>
      <c r="P478" s="27" t="str">
        <f>_xll.qlPeriodEquivalent(P477&amp;"+"&amp;O478&amp;"M")</f>
        <v>39Y7M</v>
      </c>
      <c r="Q478" s="28">
        <f>_xll.qlCalendarAdvance(Calendar,SettlementDate,P478,"f",,Trigger)</f>
        <v>56622</v>
      </c>
      <c r="R478" s="28">
        <f>_xll.qlInterestRateIndexValueDate(Index,Q478,Trigger)</f>
        <v>56626</v>
      </c>
      <c r="S478" s="28">
        <f>_xll.qlInterestRateIndexMaturity(Index,R478,Trigger)</f>
        <v>56657</v>
      </c>
      <c r="T478" s="30">
        <f>_xll.qlIndexFixing($M$6,Q478,,InterestRatesTrigger)</f>
        <v>1.4570959334210695E-2</v>
      </c>
      <c r="U478" s="30" t="e">
        <f>_xll.qlIndexFixing(Index,Q478,,InterestRatesTrigger)</f>
        <v>#NUM!</v>
      </c>
      <c r="V478" s="30" t="e">
        <f t="shared" si="26"/>
        <v>#NUM!</v>
      </c>
      <c r="W478" s="29">
        <f>_xll.qlDayCounterYearFraction(DayCounter,SettlementDate,R478,,,Trigger)</f>
        <v>40.174999999999997</v>
      </c>
      <c r="X478" s="29">
        <f>_xll.qlDayCounterYearFraction(DayCounter,R478,S478)</f>
        <v>8.611111111111111E-2</v>
      </c>
      <c r="Y478" s="29" t="e">
        <f>_xll.qlYieldTSDiscount(Currency&amp;"ON",R478)/(1+U478*X478)</f>
        <v>#NUM!</v>
      </c>
      <c r="Z478" s="30" t="e">
        <f>_xll.qlTenorBasisValue(TenorBasis6M,R478,InterestRatesTrigger)</f>
        <v>#VALUE!</v>
      </c>
      <c r="AA478" s="30" t="e">
        <f t="shared" si="27"/>
        <v>#NUM!</v>
      </c>
    </row>
    <row r="479" spans="15:27" x14ac:dyDescent="0.2">
      <c r="O479" s="33">
        <v>1</v>
      </c>
      <c r="P479" s="27" t="str">
        <f>_xll.qlPeriodEquivalent(P478&amp;"+"&amp;O479&amp;"M")</f>
        <v>39Y8M</v>
      </c>
      <c r="Q479" s="28">
        <f>_xll.qlCalendarAdvance(Calendar,SettlementDate,P479,"f",,Trigger)</f>
        <v>56653</v>
      </c>
      <c r="R479" s="28">
        <f>_xll.qlInterestRateIndexValueDate(Index,Q479,Trigger)</f>
        <v>56655</v>
      </c>
      <c r="S479" s="28">
        <f>_xll.qlInterestRateIndexMaturity(Index,R479,Trigger)</f>
        <v>56683</v>
      </c>
      <c r="T479" s="30">
        <f>_xll.qlIndexFixing($M$6,Q479,,InterestRatesTrigger)</f>
        <v>1.4520893232322165E-2</v>
      </c>
      <c r="U479" s="30" t="e">
        <f>_xll.qlIndexFixing(Index,Q479,,InterestRatesTrigger)</f>
        <v>#NUM!</v>
      </c>
      <c r="V479" s="30" t="e">
        <f t="shared" si="26"/>
        <v>#NUM!</v>
      </c>
      <c r="W479" s="29">
        <f>_xll.qlDayCounterYearFraction(DayCounter,SettlementDate,R479,,,Trigger)</f>
        <v>40.255555555555553</v>
      </c>
      <c r="X479" s="29">
        <f>_xll.qlDayCounterYearFraction(DayCounter,R479,S479)</f>
        <v>7.7777777777777779E-2</v>
      </c>
      <c r="Y479" s="29" t="e">
        <f>_xll.qlYieldTSDiscount(Currency&amp;"ON",R479)/(1+U479*X479)</f>
        <v>#NUM!</v>
      </c>
      <c r="Z479" s="30" t="e">
        <f>_xll.qlTenorBasisValue(TenorBasis6M,R479,InterestRatesTrigger)</f>
        <v>#VALUE!</v>
      </c>
      <c r="AA479" s="30" t="e">
        <f t="shared" si="27"/>
        <v>#NUM!</v>
      </c>
    </row>
    <row r="480" spans="15:27" x14ac:dyDescent="0.2">
      <c r="O480" s="33">
        <v>1</v>
      </c>
      <c r="P480" s="27" t="str">
        <f>_xll.qlPeriodEquivalent(P479&amp;"+"&amp;O480&amp;"M")</f>
        <v>39Y9M</v>
      </c>
      <c r="Q480" s="28">
        <f>_xll.qlCalendarAdvance(Calendar,SettlementDate,P480,"f",,Trigger)</f>
        <v>56681</v>
      </c>
      <c r="R480" s="28">
        <f>_xll.qlInterestRateIndexValueDate(Index,Q480,Trigger)</f>
        <v>56683</v>
      </c>
      <c r="S480" s="28">
        <f>_xll.qlInterestRateIndexMaturity(Index,R480,Trigger)</f>
        <v>56716</v>
      </c>
      <c r="T480" s="30">
        <f>_xll.qlIndexFixing($M$6,Q480,,InterestRatesTrigger)</f>
        <v>1.4467167397474093E-2</v>
      </c>
      <c r="U480" s="30" t="e">
        <f>_xll.qlIndexFixing(Index,Q480,,InterestRatesTrigger)</f>
        <v>#NUM!</v>
      </c>
      <c r="V480" s="30" t="e">
        <f t="shared" si="26"/>
        <v>#NUM!</v>
      </c>
      <c r="W480" s="29">
        <f>_xll.qlDayCounterYearFraction(DayCounter,SettlementDate,R480,,,Trigger)</f>
        <v>40.333333333333336</v>
      </c>
      <c r="X480" s="29">
        <f>_xll.qlDayCounterYearFraction(DayCounter,R480,S480)</f>
        <v>9.166666666666666E-2</v>
      </c>
      <c r="Y480" s="29" t="e">
        <f>_xll.qlYieldTSDiscount(Currency&amp;"ON",R480)/(1+U480*X480)</f>
        <v>#NUM!</v>
      </c>
      <c r="Z480" s="30" t="e">
        <f>_xll.qlTenorBasisValue(TenorBasis6M,R480,InterestRatesTrigger)</f>
        <v>#VALUE!</v>
      </c>
      <c r="AA480" s="30" t="e">
        <f t="shared" si="27"/>
        <v>#NUM!</v>
      </c>
    </row>
    <row r="481" spans="15:27" x14ac:dyDescent="0.2">
      <c r="O481" s="33">
        <v>1</v>
      </c>
      <c r="P481" s="27" t="str">
        <f>_xll.qlPeriodEquivalent(P480&amp;"+"&amp;O481&amp;"M")</f>
        <v>39Y10M</v>
      </c>
      <c r="Q481" s="28">
        <f>_xll.qlCalendarAdvance(Calendar,SettlementDate,P481,"f",,Trigger)</f>
        <v>56712</v>
      </c>
      <c r="R481" s="28">
        <f>_xll.qlInterestRateIndexValueDate(Index,Q481,Trigger)</f>
        <v>56716</v>
      </c>
      <c r="S481" s="28">
        <f>_xll.qlInterestRateIndexMaturity(Index,R481,Trigger)</f>
        <v>56746</v>
      </c>
      <c r="T481" s="30">
        <f>_xll.qlIndexFixing($M$6,Q481,,InterestRatesTrigger)</f>
        <v>1.4408637101221977E-2</v>
      </c>
      <c r="U481" s="30" t="e">
        <f>_xll.qlIndexFixing(Index,Q481,,InterestRatesTrigger)</f>
        <v>#NUM!</v>
      </c>
      <c r="V481" s="30" t="e">
        <f t="shared" si="26"/>
        <v>#NUM!</v>
      </c>
      <c r="W481" s="29">
        <f>_xll.qlDayCounterYearFraction(DayCounter,SettlementDate,R481,,,Trigger)</f>
        <v>40.424999999999997</v>
      </c>
      <c r="X481" s="29">
        <f>_xll.qlDayCounterYearFraction(DayCounter,R481,S481)</f>
        <v>8.3333333333333329E-2</v>
      </c>
      <c r="Y481" s="29" t="e">
        <f>_xll.qlYieldTSDiscount(Currency&amp;"ON",R481)/(1+U481*X481)</f>
        <v>#NUM!</v>
      </c>
      <c r="Z481" s="30" t="e">
        <f>_xll.qlTenorBasisValue(TenorBasis6M,R481,InterestRatesTrigger)</f>
        <v>#VALUE!</v>
      </c>
      <c r="AA481" s="30" t="e">
        <f t="shared" si="27"/>
        <v>#NUM!</v>
      </c>
    </row>
    <row r="482" spans="15:27" x14ac:dyDescent="0.2">
      <c r="O482" s="33">
        <v>1</v>
      </c>
      <c r="P482" s="27" t="str">
        <f>_xll.qlPeriodEquivalent(P481&amp;"+"&amp;O482&amp;"M")</f>
        <v>39Y11M</v>
      </c>
      <c r="Q482" s="28">
        <f>_xll.qlCalendarAdvance(Calendar,SettlementDate,P482,"f",,Trigger)</f>
        <v>56744</v>
      </c>
      <c r="R482" s="28">
        <f>_xll.qlInterestRateIndexValueDate(Index,Q482,Trigger)</f>
        <v>56746</v>
      </c>
      <c r="S482" s="28">
        <f>_xll.qlInterestRateIndexMaturity(Index,R482,Trigger)</f>
        <v>56779</v>
      </c>
      <c r="T482" s="30">
        <f>_xll.qlIndexFixing($M$6,Q482,,InterestRatesTrigger)</f>
        <v>1.4351134857836942E-2</v>
      </c>
      <c r="U482" s="30" t="e">
        <f>_xll.qlIndexFixing(Index,Q482,,InterestRatesTrigger)</f>
        <v>#NUM!</v>
      </c>
      <c r="V482" s="30" t="e">
        <f t="shared" si="26"/>
        <v>#NUM!</v>
      </c>
      <c r="W482" s="29">
        <f>_xll.qlDayCounterYearFraction(DayCounter,SettlementDate,R482,,,Trigger)</f>
        <v>40.508333333333333</v>
      </c>
      <c r="X482" s="29">
        <f>_xll.qlDayCounterYearFraction(DayCounter,R482,S482)</f>
        <v>9.166666666666666E-2</v>
      </c>
      <c r="Y482" s="29" t="e">
        <f>_xll.qlYieldTSDiscount(Currency&amp;"ON",R482)/(1+U482*X482)</f>
        <v>#NUM!</v>
      </c>
      <c r="Z482" s="30" t="e">
        <f>_xll.qlTenorBasisValue(TenorBasis6M,R482,InterestRatesTrigger)</f>
        <v>#VALUE!</v>
      </c>
      <c r="AA482" s="30" t="e">
        <f t="shared" si="27"/>
        <v>#NUM!</v>
      </c>
    </row>
    <row r="483" spans="15:27" x14ac:dyDescent="0.2">
      <c r="O483" s="33">
        <v>1</v>
      </c>
      <c r="P483" s="27" t="str">
        <f>_xll.qlPeriodEquivalent(P482&amp;"+"&amp;O483&amp;"M")</f>
        <v>40Y</v>
      </c>
      <c r="Q483" s="28">
        <f>_xll.qlCalendarAdvance(Calendar,SettlementDate,P483,"f",,Trigger)</f>
        <v>56773</v>
      </c>
      <c r="R483" s="28">
        <f>_xll.qlInterestRateIndexValueDate(Index,Q483,Trigger)</f>
        <v>56775</v>
      </c>
      <c r="S483" s="28">
        <f>_xll.qlInterestRateIndexMaturity(Index,R483,Trigger)</f>
        <v>56807</v>
      </c>
      <c r="T483" s="30">
        <f>_xll.qlIndexFixing($M$6,Q483,,InterestRatesTrigger)</f>
        <v>1.4297756130076389E-2</v>
      </c>
      <c r="U483" s="30" t="e">
        <f>_xll.qlIndexFixing(Index,Q483,,InterestRatesTrigger)</f>
        <v>#NUM!</v>
      </c>
      <c r="V483" s="30" t="e">
        <f t="shared" si="26"/>
        <v>#NUM!</v>
      </c>
      <c r="W483" s="29">
        <f>_xll.qlDayCounterYearFraction(DayCounter,SettlementDate,R483,,,Trigger)</f>
        <v>40.588888888888889</v>
      </c>
      <c r="X483" s="29">
        <f>_xll.qlDayCounterYearFraction(DayCounter,R483,S483)</f>
        <v>8.8888888888888892E-2</v>
      </c>
      <c r="Y483" s="29" t="e">
        <f>_xll.qlYieldTSDiscount(Currency&amp;"ON",R483)/(1+U483*X483)</f>
        <v>#NUM!</v>
      </c>
      <c r="Z483" s="30" t="e">
        <f>_xll.qlTenorBasisValue(TenorBasis6M,R483,InterestRatesTrigger)</f>
        <v>#VALUE!</v>
      </c>
      <c r="AA483" s="30" t="e">
        <f t="shared" si="27"/>
        <v>#NUM!</v>
      </c>
    </row>
    <row r="484" spans="15:27" x14ac:dyDescent="0.2">
      <c r="O484" s="33">
        <v>1</v>
      </c>
      <c r="P484" s="27" t="str">
        <f>_xll.qlPeriodEquivalent(P483&amp;"+"&amp;O484&amp;"M")</f>
        <v>40Y1M</v>
      </c>
      <c r="Q484" s="28">
        <f>_xll.qlCalendarAdvance(Calendar,SettlementDate,P484,"f",,Trigger)</f>
        <v>56803</v>
      </c>
      <c r="R484" s="28">
        <f>_xll.qlInterestRateIndexValueDate(Index,Q484,Trigger)</f>
        <v>56807</v>
      </c>
      <c r="S484" s="28">
        <f>_xll.qlInterestRateIndexMaturity(Index,R484,Trigger)</f>
        <v>56838</v>
      </c>
      <c r="T484" s="30">
        <f>_xll.qlIndexFixing($M$6,Q484,,InterestRatesTrigger)</f>
        <v>1.423938224643964E-2</v>
      </c>
      <c r="U484" s="30" t="e">
        <f>_xll.qlIndexFixing(Index,Q484,,InterestRatesTrigger)</f>
        <v>#NUM!</v>
      </c>
      <c r="V484" s="30" t="e">
        <f t="shared" ref="V484:V547" si="28">U484-T484</f>
        <v>#NUM!</v>
      </c>
      <c r="W484" s="29">
        <f>_xll.qlDayCounterYearFraction(DayCounter,SettlementDate,R484,,,Trigger)</f>
        <v>40.677777777777777</v>
      </c>
      <c r="X484" s="29">
        <f>_xll.qlDayCounterYearFraction(DayCounter,R484,S484)</f>
        <v>8.611111111111111E-2</v>
      </c>
      <c r="Y484" s="29" t="e">
        <f>_xll.qlYieldTSDiscount(Currency&amp;"ON",R484)/(1+U484*X484)</f>
        <v>#NUM!</v>
      </c>
      <c r="Z484" s="30" t="e">
        <f>_xll.qlTenorBasisValue(TenorBasis6M,R484,InterestRatesTrigger)</f>
        <v>#VALUE!</v>
      </c>
      <c r="AA484" s="30" t="e">
        <f t="shared" ref="AA484:AA547" si="29">V484-Z484</f>
        <v>#NUM!</v>
      </c>
    </row>
    <row r="485" spans="15:27" x14ac:dyDescent="0.2">
      <c r="O485" s="33">
        <v>1</v>
      </c>
      <c r="P485" s="27" t="str">
        <f>_xll.qlPeriodEquivalent(P484&amp;"+"&amp;O485&amp;"M")</f>
        <v>40Y2M</v>
      </c>
      <c r="Q485" s="28">
        <f>_xll.qlCalendarAdvance(Calendar,SettlementDate,P485,"f",,Trigger)</f>
        <v>56835</v>
      </c>
      <c r="R485" s="28">
        <f>_xll.qlInterestRateIndexValueDate(Index,Q485,Trigger)</f>
        <v>56837</v>
      </c>
      <c r="S485" s="28">
        <f>_xll.qlInterestRateIndexMaturity(Index,R485,Trigger)</f>
        <v>56870</v>
      </c>
      <c r="T485" s="30">
        <f>_xll.qlIndexFixing($M$6,Q485,,InterestRatesTrigger)</f>
        <v>1.4183550994415485E-2</v>
      </c>
      <c r="U485" s="30" t="e">
        <f>_xll.qlIndexFixing(Index,Q485,,InterestRatesTrigger)</f>
        <v>#NUM!</v>
      </c>
      <c r="V485" s="30" t="e">
        <f t="shared" si="28"/>
        <v>#NUM!</v>
      </c>
      <c r="W485" s="29">
        <f>_xll.qlDayCounterYearFraction(DayCounter,SettlementDate,R485,,,Trigger)</f>
        <v>40.761111111111113</v>
      </c>
      <c r="X485" s="29">
        <f>_xll.qlDayCounterYearFraction(DayCounter,R485,S485)</f>
        <v>9.166666666666666E-2</v>
      </c>
      <c r="Y485" s="29" t="e">
        <f>_xll.qlYieldTSDiscount(Currency&amp;"ON",R485)/(1+U485*X485)</f>
        <v>#NUM!</v>
      </c>
      <c r="Z485" s="30" t="e">
        <f>_xll.qlTenorBasisValue(TenorBasis6M,R485,InterestRatesTrigger)</f>
        <v>#VALUE!</v>
      </c>
      <c r="AA485" s="30" t="e">
        <f t="shared" si="29"/>
        <v>#NUM!</v>
      </c>
    </row>
    <row r="486" spans="15:27" x14ac:dyDescent="0.2">
      <c r="O486" s="33">
        <v>1</v>
      </c>
      <c r="P486" s="27" t="str">
        <f>_xll.qlPeriodEquivalent(P485&amp;"+"&amp;O486&amp;"M")</f>
        <v>40Y3M</v>
      </c>
      <c r="Q486" s="28">
        <f>_xll.qlCalendarAdvance(Calendar,SettlementDate,P486,"f",,Trigger)</f>
        <v>56865</v>
      </c>
      <c r="R486" s="28">
        <f>_xll.qlInterestRateIndexValueDate(Index,Q486,Trigger)</f>
        <v>56867</v>
      </c>
      <c r="S486" s="28">
        <f>_xll.qlInterestRateIndexMaturity(Index,R486,Trigger)</f>
        <v>56898</v>
      </c>
      <c r="T486" s="30">
        <f>_xll.qlIndexFixing($M$6,Q486,,InterestRatesTrigger)</f>
        <v>1.4130925666054645E-2</v>
      </c>
      <c r="U486" s="30" t="e">
        <f>_xll.qlIndexFixing(Index,Q486,,InterestRatesTrigger)</f>
        <v>#NUM!</v>
      </c>
      <c r="V486" s="30" t="e">
        <f t="shared" si="28"/>
        <v>#NUM!</v>
      </c>
      <c r="W486" s="29">
        <f>_xll.qlDayCounterYearFraction(DayCounter,SettlementDate,R486,,,Trigger)</f>
        <v>40.844444444444441</v>
      </c>
      <c r="X486" s="29">
        <f>_xll.qlDayCounterYearFraction(DayCounter,R486,S486)</f>
        <v>8.611111111111111E-2</v>
      </c>
      <c r="Y486" s="29" t="e">
        <f>_xll.qlYieldTSDiscount(Currency&amp;"ON",R486)/(1+U486*X486)</f>
        <v>#NUM!</v>
      </c>
      <c r="Z486" s="30" t="e">
        <f>_xll.qlTenorBasisValue(TenorBasis6M,R486,InterestRatesTrigger)</f>
        <v>#VALUE!</v>
      </c>
      <c r="AA486" s="30" t="e">
        <f t="shared" si="29"/>
        <v>#NUM!</v>
      </c>
    </row>
    <row r="487" spans="15:27" x14ac:dyDescent="0.2">
      <c r="O487" s="33">
        <v>1</v>
      </c>
      <c r="P487" s="27" t="str">
        <f>_xll.qlPeriodEquivalent(P486&amp;"+"&amp;O487&amp;"M")</f>
        <v>40Y4M</v>
      </c>
      <c r="Q487" s="28">
        <f>_xll.qlCalendarAdvance(Calendar,SettlementDate,P487,"f",,Trigger)</f>
        <v>56895</v>
      </c>
      <c r="R487" s="28">
        <f>_xll.qlInterestRateIndexValueDate(Index,Q487,Trigger)</f>
        <v>56899</v>
      </c>
      <c r="S487" s="28">
        <f>_xll.qlInterestRateIndexMaturity(Index,R487,Trigger)</f>
        <v>56930</v>
      </c>
      <c r="T487" s="30">
        <f>_xll.qlIndexFixing($M$6,Q487,,InterestRatesTrigger)</f>
        <v>1.407425502244973E-2</v>
      </c>
      <c r="U487" s="30" t="e">
        <f>_xll.qlIndexFixing(Index,Q487,,InterestRatesTrigger)</f>
        <v>#NUM!</v>
      </c>
      <c r="V487" s="30" t="e">
        <f t="shared" si="28"/>
        <v>#NUM!</v>
      </c>
      <c r="W487" s="29">
        <f>_xll.qlDayCounterYearFraction(DayCounter,SettlementDate,R487,,,Trigger)</f>
        <v>40.93333333333333</v>
      </c>
      <c r="X487" s="29">
        <f>_xll.qlDayCounterYearFraction(DayCounter,R487,S487)</f>
        <v>8.611111111111111E-2</v>
      </c>
      <c r="Y487" s="29" t="e">
        <f>_xll.qlYieldTSDiscount(Currency&amp;"ON",R487)/(1+U487*X487)</f>
        <v>#NUM!</v>
      </c>
      <c r="Z487" s="30" t="e">
        <f>_xll.qlTenorBasisValue(TenorBasis6M,R487,InterestRatesTrigger)</f>
        <v>#VALUE!</v>
      </c>
      <c r="AA487" s="30" t="e">
        <f t="shared" si="29"/>
        <v>#NUM!</v>
      </c>
    </row>
    <row r="488" spans="15:27" x14ac:dyDescent="0.2">
      <c r="O488" s="33">
        <v>1</v>
      </c>
      <c r="P488" s="27" t="str">
        <f>_xll.qlPeriodEquivalent(P487&amp;"+"&amp;O488&amp;"M")</f>
        <v>40Y5M</v>
      </c>
      <c r="Q488" s="28">
        <f>_xll.qlCalendarAdvance(Calendar,SettlementDate,P488,"f",,Trigger)</f>
        <v>56926</v>
      </c>
      <c r="R488" s="28">
        <f>_xll.qlInterestRateIndexValueDate(Index,Q488,Trigger)</f>
        <v>56928</v>
      </c>
      <c r="S488" s="28">
        <f>_xll.qlInterestRateIndexMaturity(Index,R488,Trigger)</f>
        <v>56958</v>
      </c>
      <c r="T488" s="30">
        <f>_xll.qlIndexFixing($M$6,Q488,,InterestRatesTrigger)</f>
        <v>1.4024194559615566E-2</v>
      </c>
      <c r="U488" s="30" t="e">
        <f>_xll.qlIndexFixing(Index,Q488,,InterestRatesTrigger)</f>
        <v>#NUM!</v>
      </c>
      <c r="V488" s="30" t="e">
        <f t="shared" si="28"/>
        <v>#NUM!</v>
      </c>
      <c r="W488" s="29">
        <f>_xll.qlDayCounterYearFraction(DayCounter,SettlementDate,R488,,,Trigger)</f>
        <v>41.013888888888886</v>
      </c>
      <c r="X488" s="29">
        <f>_xll.qlDayCounterYearFraction(DayCounter,R488,S488)</f>
        <v>8.3333333333333329E-2</v>
      </c>
      <c r="Y488" s="29" t="e">
        <f>_xll.qlYieldTSDiscount(Currency&amp;"ON",R488)/(1+U488*X488)</f>
        <v>#NUM!</v>
      </c>
      <c r="Z488" s="30" t="e">
        <f>_xll.qlTenorBasisValue(TenorBasis6M,R488,InterestRatesTrigger)</f>
        <v>#VALUE!</v>
      </c>
      <c r="AA488" s="30" t="e">
        <f t="shared" si="29"/>
        <v>#NUM!</v>
      </c>
    </row>
    <row r="489" spans="15:27" x14ac:dyDescent="0.2">
      <c r="O489" s="33">
        <v>1</v>
      </c>
      <c r="P489" s="27" t="str">
        <f>_xll.qlPeriodEquivalent(P488&amp;"+"&amp;O489&amp;"M")</f>
        <v>40Y6M</v>
      </c>
      <c r="Q489" s="28">
        <f>_xll.qlCalendarAdvance(Calendar,SettlementDate,P489,"f",,Trigger)</f>
        <v>56956</v>
      </c>
      <c r="R489" s="28">
        <f>_xll.qlInterestRateIndexValueDate(Index,Q489,Trigger)</f>
        <v>56958</v>
      </c>
      <c r="S489" s="28">
        <f>_xll.qlInterestRateIndexMaturity(Index,R489,Trigger)</f>
        <v>56989</v>
      </c>
      <c r="T489" s="30">
        <f>_xll.qlIndexFixing($M$6,Q489,,InterestRatesTrigger)</f>
        <v>1.3971907440546008E-2</v>
      </c>
      <c r="U489" s="30" t="e">
        <f>_xll.qlIndexFixing(Index,Q489,,InterestRatesTrigger)</f>
        <v>#NUM!</v>
      </c>
      <c r="V489" s="30" t="e">
        <f t="shared" si="28"/>
        <v>#NUM!</v>
      </c>
      <c r="W489" s="29">
        <f>_xll.qlDayCounterYearFraction(DayCounter,SettlementDate,R489,,,Trigger)</f>
        <v>41.097222222222221</v>
      </c>
      <c r="X489" s="29">
        <f>_xll.qlDayCounterYearFraction(DayCounter,R489,S489)</f>
        <v>8.611111111111111E-2</v>
      </c>
      <c r="Y489" s="29" t="e">
        <f>_xll.qlYieldTSDiscount(Currency&amp;"ON",R489)/(1+U489*X489)</f>
        <v>#NUM!</v>
      </c>
      <c r="Z489" s="30" t="e">
        <f>_xll.qlTenorBasisValue(TenorBasis6M,R489,InterestRatesTrigger)</f>
        <v>#VALUE!</v>
      </c>
      <c r="AA489" s="30" t="e">
        <f t="shared" si="29"/>
        <v>#NUM!</v>
      </c>
    </row>
    <row r="490" spans="15:27" x14ac:dyDescent="0.2">
      <c r="O490" s="33">
        <v>1</v>
      </c>
      <c r="P490" s="27" t="str">
        <f>_xll.qlPeriodEquivalent(P489&amp;"+"&amp;O490&amp;"M")</f>
        <v>40Y7M</v>
      </c>
      <c r="Q490" s="28">
        <f>_xll.qlCalendarAdvance(Calendar,SettlementDate,P490,"f",,Trigger)</f>
        <v>56989</v>
      </c>
      <c r="R490" s="28">
        <f>_xll.qlInterestRateIndexValueDate(Index,Q490,Trigger)</f>
        <v>56991</v>
      </c>
      <c r="S490" s="28">
        <f>_xll.qlInterestRateIndexMaturity(Index,R490,Trigger)</f>
        <v>57024</v>
      </c>
      <c r="T490" s="30">
        <f>_xll.qlIndexFixing($M$6,Q490,,InterestRatesTrigger)</f>
        <v>1.3914728979054821E-2</v>
      </c>
      <c r="U490" s="30" t="e">
        <f>_xll.qlIndexFixing(Index,Q490,,InterestRatesTrigger)</f>
        <v>#NUM!</v>
      </c>
      <c r="V490" s="30" t="e">
        <f t="shared" si="28"/>
        <v>#NUM!</v>
      </c>
      <c r="W490" s="29">
        <f>_xll.qlDayCounterYearFraction(DayCounter,SettlementDate,R490,,,Trigger)</f>
        <v>41.18888888888889</v>
      </c>
      <c r="X490" s="29">
        <f>_xll.qlDayCounterYearFraction(DayCounter,R490,S490)</f>
        <v>9.166666666666666E-2</v>
      </c>
      <c r="Y490" s="29" t="e">
        <f>_xll.qlYieldTSDiscount(Currency&amp;"ON",R490)/(1+U490*X490)</f>
        <v>#NUM!</v>
      </c>
      <c r="Z490" s="30" t="e">
        <f>_xll.qlTenorBasisValue(TenorBasis6M,R490,InterestRatesTrigger)</f>
        <v>#VALUE!</v>
      </c>
      <c r="AA490" s="30" t="e">
        <f t="shared" si="29"/>
        <v>#NUM!</v>
      </c>
    </row>
    <row r="491" spans="15:27" x14ac:dyDescent="0.2">
      <c r="O491" s="33">
        <v>1</v>
      </c>
      <c r="P491" s="27" t="str">
        <f>_xll.qlPeriodEquivalent(P490&amp;"+"&amp;O491&amp;"M")</f>
        <v>40Y8M</v>
      </c>
      <c r="Q491" s="28">
        <f>_xll.qlCalendarAdvance(Calendar,SettlementDate,P491,"f",,Trigger)</f>
        <v>57018</v>
      </c>
      <c r="R491" s="28">
        <f>_xll.qlInterestRateIndexValueDate(Index,Q491,Trigger)</f>
        <v>57020</v>
      </c>
      <c r="S491" s="28">
        <f>_xll.qlInterestRateIndexMaturity(Index,R491,Trigger)</f>
        <v>57049</v>
      </c>
      <c r="T491" s="30">
        <f>_xll.qlIndexFixing($M$6,Q491,,InterestRatesTrigger)</f>
        <v>1.3868468485688809E-2</v>
      </c>
      <c r="U491" s="30" t="e">
        <f>_xll.qlIndexFixing(Index,Q491,,InterestRatesTrigger)</f>
        <v>#NUM!</v>
      </c>
      <c r="V491" s="30" t="e">
        <f t="shared" si="28"/>
        <v>#NUM!</v>
      </c>
      <c r="W491" s="29">
        <f>_xll.qlDayCounterYearFraction(DayCounter,SettlementDate,R491,,,Trigger)</f>
        <v>41.269444444444446</v>
      </c>
      <c r="X491" s="29">
        <f>_xll.qlDayCounterYearFraction(DayCounter,R491,S491)</f>
        <v>8.0555555555555561E-2</v>
      </c>
      <c r="Y491" s="29" t="e">
        <f>_xll.qlYieldTSDiscount(Currency&amp;"ON",R491)/(1+U491*X491)</f>
        <v>#NUM!</v>
      </c>
      <c r="Z491" s="30" t="e">
        <f>_xll.qlTenorBasisValue(TenorBasis6M,R491,InterestRatesTrigger)</f>
        <v>#VALUE!</v>
      </c>
      <c r="AA491" s="30" t="e">
        <f t="shared" si="29"/>
        <v>#NUM!</v>
      </c>
    </row>
    <row r="492" spans="15:27" x14ac:dyDescent="0.2">
      <c r="O492" s="33">
        <v>1</v>
      </c>
      <c r="P492" s="27" t="str">
        <f>_xll.qlPeriodEquivalent(P491&amp;"+"&amp;O492&amp;"M")</f>
        <v>40Y9M</v>
      </c>
      <c r="Q492" s="28">
        <f>_xll.qlCalendarAdvance(Calendar,SettlementDate,P492,"f",,Trigger)</f>
        <v>57047</v>
      </c>
      <c r="R492" s="28">
        <f>_xll.qlInterestRateIndexValueDate(Index,Q492,Trigger)</f>
        <v>57049</v>
      </c>
      <c r="S492" s="28">
        <f>_xll.qlInterestRateIndexMaturity(Index,R492,Trigger)</f>
        <v>57080</v>
      </c>
      <c r="T492" s="30">
        <f>_xll.qlIndexFixing($M$6,Q492,,InterestRatesTrigger)</f>
        <v>1.3819487084315395E-2</v>
      </c>
      <c r="U492" s="30" t="e">
        <f>_xll.qlIndexFixing(Index,Q492,,InterestRatesTrigger)</f>
        <v>#NUM!</v>
      </c>
      <c r="V492" s="30" t="e">
        <f t="shared" si="28"/>
        <v>#NUM!</v>
      </c>
      <c r="W492" s="29">
        <f>_xll.qlDayCounterYearFraction(DayCounter,SettlementDate,R492,,,Trigger)</f>
        <v>41.35</v>
      </c>
      <c r="X492" s="29">
        <f>_xll.qlDayCounterYearFraction(DayCounter,R492,S492)</f>
        <v>8.611111111111111E-2</v>
      </c>
      <c r="Y492" s="29" t="e">
        <f>_xll.qlYieldTSDiscount(Currency&amp;"ON",R492)/(1+U492*X492)</f>
        <v>#NUM!</v>
      </c>
      <c r="Z492" s="30" t="e">
        <f>_xll.qlTenorBasisValue(TenorBasis6M,R492,InterestRatesTrigger)</f>
        <v>#VALUE!</v>
      </c>
      <c r="AA492" s="30" t="e">
        <f t="shared" si="29"/>
        <v>#NUM!</v>
      </c>
    </row>
    <row r="493" spans="15:27" x14ac:dyDescent="0.2">
      <c r="O493" s="33">
        <v>1</v>
      </c>
      <c r="P493" s="27" t="str">
        <f>_xll.qlPeriodEquivalent(P492&amp;"+"&amp;O493&amp;"M")</f>
        <v>40Y10M</v>
      </c>
      <c r="Q493" s="28">
        <f>_xll.qlCalendarAdvance(Calendar,SettlementDate,P493,"f",,Trigger)</f>
        <v>57080</v>
      </c>
      <c r="R493" s="28">
        <f>_xll.qlInterestRateIndexValueDate(Index,Q493,Trigger)</f>
        <v>57082</v>
      </c>
      <c r="S493" s="28">
        <f>_xll.qlInterestRateIndexMaturity(Index,R493,Trigger)</f>
        <v>57112</v>
      </c>
      <c r="T493" s="30">
        <f>_xll.qlIndexFixing($M$6,Q493,,InterestRatesTrigger)</f>
        <v>1.3766385026341865E-2</v>
      </c>
      <c r="U493" s="30" t="e">
        <f>_xll.qlIndexFixing(Index,Q493,,InterestRatesTrigger)</f>
        <v>#NUM!</v>
      </c>
      <c r="V493" s="30" t="e">
        <f t="shared" si="28"/>
        <v>#NUM!</v>
      </c>
      <c r="W493" s="29">
        <f>_xll.qlDayCounterYearFraction(DayCounter,SettlementDate,R493,,,Trigger)</f>
        <v>41.44166666666667</v>
      </c>
      <c r="X493" s="29">
        <f>_xll.qlDayCounterYearFraction(DayCounter,R493,S493)</f>
        <v>8.3333333333333329E-2</v>
      </c>
      <c r="Y493" s="29" t="e">
        <f>_xll.qlYieldTSDiscount(Currency&amp;"ON",R493)/(1+U493*X493)</f>
        <v>#NUM!</v>
      </c>
      <c r="Z493" s="30" t="e">
        <f>_xll.qlTenorBasisValue(TenorBasis6M,R493,InterestRatesTrigger)</f>
        <v>#VALUE!</v>
      </c>
      <c r="AA493" s="30" t="e">
        <f t="shared" si="29"/>
        <v>#NUM!</v>
      </c>
    </row>
    <row r="494" spans="15:27" x14ac:dyDescent="0.2">
      <c r="O494" s="33">
        <v>1</v>
      </c>
      <c r="P494" s="27" t="str">
        <f>_xll.qlPeriodEquivalent(P493&amp;"+"&amp;O494&amp;"M")</f>
        <v>40Y11M</v>
      </c>
      <c r="Q494" s="28">
        <f>_xll.qlCalendarAdvance(Calendar,SettlementDate,P494,"f",,Trigger)</f>
        <v>57108</v>
      </c>
      <c r="R494" s="28">
        <f>_xll.qlInterestRateIndexValueDate(Index,Q494,Trigger)</f>
        <v>57110</v>
      </c>
      <c r="S494" s="28">
        <f>_xll.qlInterestRateIndexMaturity(Index,R494,Trigger)</f>
        <v>57143</v>
      </c>
      <c r="T494" s="30">
        <f>_xll.qlIndexFixing($M$6,Q494,,InterestRatesTrigger)</f>
        <v>1.3719945986068991E-2</v>
      </c>
      <c r="U494" s="30" t="e">
        <f>_xll.qlIndexFixing(Index,Q494,,InterestRatesTrigger)</f>
        <v>#NUM!</v>
      </c>
      <c r="V494" s="30" t="e">
        <f t="shared" si="28"/>
        <v>#NUM!</v>
      </c>
      <c r="W494" s="29">
        <f>_xll.qlDayCounterYearFraction(DayCounter,SettlementDate,R494,,,Trigger)</f>
        <v>41.519444444444446</v>
      </c>
      <c r="X494" s="29">
        <f>_xll.qlDayCounterYearFraction(DayCounter,R494,S494)</f>
        <v>9.166666666666666E-2</v>
      </c>
      <c r="Y494" s="29" t="e">
        <f>_xll.qlYieldTSDiscount(Currency&amp;"ON",R494)/(1+U494*X494)</f>
        <v>#NUM!</v>
      </c>
      <c r="Z494" s="30" t="e">
        <f>_xll.qlTenorBasisValue(TenorBasis6M,R494,InterestRatesTrigger)</f>
        <v>#VALUE!</v>
      </c>
      <c r="AA494" s="30" t="e">
        <f t="shared" si="29"/>
        <v>#NUM!</v>
      </c>
    </row>
    <row r="495" spans="15:27" x14ac:dyDescent="0.2">
      <c r="O495" s="33">
        <v>1</v>
      </c>
      <c r="P495" s="27" t="str">
        <f>_xll.qlPeriodEquivalent(P494&amp;"+"&amp;O495&amp;"M")</f>
        <v>41Y</v>
      </c>
      <c r="Q495" s="28">
        <f>_xll.qlCalendarAdvance(Calendar,SettlementDate,P495,"f",,Trigger)</f>
        <v>57139</v>
      </c>
      <c r="R495" s="28">
        <f>_xll.qlInterestRateIndexValueDate(Index,Q495,Trigger)</f>
        <v>57143</v>
      </c>
      <c r="S495" s="28">
        <f>_xll.qlInterestRateIndexMaturity(Index,R495,Trigger)</f>
        <v>57173</v>
      </c>
      <c r="T495" s="30">
        <f>_xll.qlIndexFixing($M$6,Q495,,InterestRatesTrigger)</f>
        <v>1.366948988245742E-2</v>
      </c>
      <c r="U495" s="30" t="e">
        <f>_xll.qlIndexFixing(Index,Q495,,InterestRatesTrigger)</f>
        <v>#NUM!</v>
      </c>
      <c r="V495" s="30" t="e">
        <f t="shared" si="28"/>
        <v>#NUM!</v>
      </c>
      <c r="W495" s="29">
        <f>_xll.qlDayCounterYearFraction(DayCounter,SettlementDate,R495,,,Trigger)</f>
        <v>41.611111111111114</v>
      </c>
      <c r="X495" s="29">
        <f>_xll.qlDayCounterYearFraction(DayCounter,R495,S495)</f>
        <v>8.3333333333333329E-2</v>
      </c>
      <c r="Y495" s="29" t="e">
        <f>_xll.qlYieldTSDiscount(Currency&amp;"ON",R495)/(1+U495*X495)</f>
        <v>#NUM!</v>
      </c>
      <c r="Z495" s="30" t="e">
        <f>_xll.qlTenorBasisValue(TenorBasis6M,R495,InterestRatesTrigger)</f>
        <v>#VALUE!</v>
      </c>
      <c r="AA495" s="30" t="e">
        <f t="shared" si="29"/>
        <v>#NUM!</v>
      </c>
    </row>
    <row r="496" spans="15:27" x14ac:dyDescent="0.2">
      <c r="O496" s="33">
        <v>1</v>
      </c>
      <c r="P496" s="27" t="str">
        <f>_xll.qlPeriodEquivalent(P495&amp;"+"&amp;O496&amp;"M")</f>
        <v>41Y1M</v>
      </c>
      <c r="Q496" s="28">
        <f>_xll.qlCalendarAdvance(Calendar,SettlementDate,P496,"f",,Trigger)</f>
        <v>57171</v>
      </c>
      <c r="R496" s="28">
        <f>_xll.qlInterestRateIndexValueDate(Index,Q496,Trigger)</f>
        <v>57173</v>
      </c>
      <c r="S496" s="28">
        <f>_xll.qlInterestRateIndexMaturity(Index,R496,Trigger)</f>
        <v>57206</v>
      </c>
      <c r="T496" s="30">
        <f>_xll.qlIndexFixing($M$6,Q496,,InterestRatesTrigger)</f>
        <v>1.362139350190765E-2</v>
      </c>
      <c r="U496" s="30" t="e">
        <f>_xll.qlIndexFixing(Index,Q496,,InterestRatesTrigger)</f>
        <v>#NUM!</v>
      </c>
      <c r="V496" s="30" t="e">
        <f t="shared" si="28"/>
        <v>#NUM!</v>
      </c>
      <c r="W496" s="29">
        <f>_xll.qlDayCounterYearFraction(DayCounter,SettlementDate,R496,,,Trigger)</f>
        <v>41.694444444444443</v>
      </c>
      <c r="X496" s="29">
        <f>_xll.qlDayCounterYearFraction(DayCounter,R496,S496)</f>
        <v>9.166666666666666E-2</v>
      </c>
      <c r="Y496" s="29" t="e">
        <f>_xll.qlYieldTSDiscount(Currency&amp;"ON",R496)/(1+U496*X496)</f>
        <v>#NUM!</v>
      </c>
      <c r="Z496" s="30" t="e">
        <f>_xll.qlTenorBasisValue(TenorBasis6M,R496,InterestRatesTrigger)</f>
        <v>#VALUE!</v>
      </c>
      <c r="AA496" s="30" t="e">
        <f t="shared" si="29"/>
        <v>#NUM!</v>
      </c>
    </row>
    <row r="497" spans="15:27" x14ac:dyDescent="0.2">
      <c r="O497" s="33">
        <v>1</v>
      </c>
      <c r="P497" s="27" t="str">
        <f>_xll.qlPeriodEquivalent(P496&amp;"+"&amp;O497&amp;"M")</f>
        <v>41Y2M</v>
      </c>
      <c r="Q497" s="28">
        <f>_xll.qlCalendarAdvance(Calendar,SettlementDate,P497,"f",,Trigger)</f>
        <v>57200</v>
      </c>
      <c r="R497" s="28">
        <f>_xll.qlInterestRateIndexValueDate(Index,Q497,Trigger)</f>
        <v>57202</v>
      </c>
      <c r="S497" s="28">
        <f>_xll.qlInterestRateIndexMaturity(Index,R497,Trigger)</f>
        <v>57234</v>
      </c>
      <c r="T497" s="30">
        <f>_xll.qlIndexFixing($M$6,Q497,,InterestRatesTrigger)</f>
        <v>1.3577591000945299E-2</v>
      </c>
      <c r="U497" s="30" t="e">
        <f>_xll.qlIndexFixing(Index,Q497,,InterestRatesTrigger)</f>
        <v>#NUM!</v>
      </c>
      <c r="V497" s="30" t="e">
        <f t="shared" si="28"/>
        <v>#NUM!</v>
      </c>
      <c r="W497" s="29">
        <f>_xll.qlDayCounterYearFraction(DayCounter,SettlementDate,R497,,,Trigger)</f>
        <v>41.774999999999999</v>
      </c>
      <c r="X497" s="29">
        <f>_xll.qlDayCounterYearFraction(DayCounter,R497,S497)</f>
        <v>8.8888888888888892E-2</v>
      </c>
      <c r="Y497" s="29" t="e">
        <f>_xll.qlYieldTSDiscount(Currency&amp;"ON",R497)/(1+U497*X497)</f>
        <v>#NUM!</v>
      </c>
      <c r="Z497" s="30" t="e">
        <f>_xll.qlTenorBasisValue(TenorBasis6M,R497,InterestRatesTrigger)</f>
        <v>#VALUE!</v>
      </c>
      <c r="AA497" s="30" t="e">
        <f t="shared" si="29"/>
        <v>#NUM!</v>
      </c>
    </row>
    <row r="498" spans="15:27" x14ac:dyDescent="0.2">
      <c r="O498" s="33">
        <v>1</v>
      </c>
      <c r="P498" s="27" t="str">
        <f>_xll.qlPeriodEquivalent(P497&amp;"+"&amp;O498&amp;"M")</f>
        <v>41Y3M</v>
      </c>
      <c r="Q498" s="28">
        <f>_xll.qlCalendarAdvance(Calendar,SettlementDate,P498,"f",,Trigger)</f>
        <v>57231</v>
      </c>
      <c r="R498" s="28">
        <f>_xll.qlInterestRateIndexValueDate(Index,Q498,Trigger)</f>
        <v>57235</v>
      </c>
      <c r="S498" s="28">
        <f>_xll.qlInterestRateIndexMaturity(Index,R498,Trigger)</f>
        <v>57265</v>
      </c>
      <c r="T498" s="30">
        <f>_xll.qlIndexFixing($M$6,Q498,,InterestRatesTrigger)</f>
        <v>1.3528959735340962E-2</v>
      </c>
      <c r="U498" s="30" t="e">
        <f>_xll.qlIndexFixing(Index,Q498,,InterestRatesTrigger)</f>
        <v>#NUM!</v>
      </c>
      <c r="V498" s="30" t="e">
        <f t="shared" si="28"/>
        <v>#NUM!</v>
      </c>
      <c r="W498" s="29">
        <f>_xll.qlDayCounterYearFraction(DayCounter,SettlementDate,R498,,,Trigger)</f>
        <v>41.866666666666667</v>
      </c>
      <c r="X498" s="29">
        <f>_xll.qlDayCounterYearFraction(DayCounter,R498,S498)</f>
        <v>8.3333333333333329E-2</v>
      </c>
      <c r="Y498" s="29" t="e">
        <f>_xll.qlYieldTSDiscount(Currency&amp;"ON",R498)/(1+U498*X498)</f>
        <v>#NUM!</v>
      </c>
      <c r="Z498" s="30" t="e">
        <f>_xll.qlTenorBasisValue(TenorBasis6M,R498,InterestRatesTrigger)</f>
        <v>#VALUE!</v>
      </c>
      <c r="AA498" s="30" t="e">
        <f t="shared" si="29"/>
        <v>#NUM!</v>
      </c>
    </row>
    <row r="499" spans="15:27" x14ac:dyDescent="0.2">
      <c r="O499" s="33">
        <v>1</v>
      </c>
      <c r="P499" s="27" t="str">
        <f>_xll.qlPeriodEquivalent(P498&amp;"+"&amp;O499&amp;"M")</f>
        <v>41Y4M</v>
      </c>
      <c r="Q499" s="28">
        <f>_xll.qlCalendarAdvance(Calendar,SettlementDate,P499,"f",,Trigger)</f>
        <v>57262</v>
      </c>
      <c r="R499" s="28">
        <f>_xll.qlInterestRateIndexValueDate(Index,Q499,Trigger)</f>
        <v>57264</v>
      </c>
      <c r="S499" s="28">
        <f>_xll.qlInterestRateIndexMaturity(Index,R499,Trigger)</f>
        <v>57297</v>
      </c>
      <c r="T499" s="30">
        <f>_xll.qlIndexFixing($M$6,Q499,,InterestRatesTrigger)</f>
        <v>1.3484622712750426E-2</v>
      </c>
      <c r="U499" s="30" t="e">
        <f>_xll.qlIndexFixing(Index,Q499,,InterestRatesTrigger)</f>
        <v>#NUM!</v>
      </c>
      <c r="V499" s="30" t="e">
        <f t="shared" si="28"/>
        <v>#NUM!</v>
      </c>
      <c r="W499" s="29">
        <f>_xll.qlDayCounterYearFraction(DayCounter,SettlementDate,R499,,,Trigger)</f>
        <v>41.947222222222223</v>
      </c>
      <c r="X499" s="29">
        <f>_xll.qlDayCounterYearFraction(DayCounter,R499,S499)</f>
        <v>9.166666666666666E-2</v>
      </c>
      <c r="Y499" s="29" t="e">
        <f>_xll.qlYieldTSDiscount(Currency&amp;"ON",R499)/(1+U499*X499)</f>
        <v>#NUM!</v>
      </c>
      <c r="Z499" s="30" t="e">
        <f>_xll.qlTenorBasisValue(TenorBasis6M,R499,InterestRatesTrigger)</f>
        <v>#VALUE!</v>
      </c>
      <c r="AA499" s="30" t="e">
        <f t="shared" si="29"/>
        <v>#NUM!</v>
      </c>
    </row>
    <row r="500" spans="15:27" x14ac:dyDescent="0.2">
      <c r="O500" s="33">
        <v>1</v>
      </c>
      <c r="P500" s="27" t="str">
        <f>_xll.qlPeriodEquivalent(P499&amp;"+"&amp;O500&amp;"M")</f>
        <v>41Y5M</v>
      </c>
      <c r="Q500" s="28">
        <f>_xll.qlCalendarAdvance(Calendar,SettlementDate,P500,"f",,Trigger)</f>
        <v>57292</v>
      </c>
      <c r="R500" s="28">
        <f>_xll.qlInterestRateIndexValueDate(Index,Q500,Trigger)</f>
        <v>57294</v>
      </c>
      <c r="S500" s="28">
        <f>_xll.qlInterestRateIndexMaturity(Index,R500,Trigger)</f>
        <v>57325</v>
      </c>
      <c r="T500" s="30">
        <f>_xll.qlIndexFixing($M$6,Q500,,InterestRatesTrigger)</f>
        <v>1.3441916750073618E-2</v>
      </c>
      <c r="U500" s="30" t="e">
        <f>_xll.qlIndexFixing(Index,Q500,,InterestRatesTrigger)</f>
        <v>#NUM!</v>
      </c>
      <c r="V500" s="30" t="e">
        <f t="shared" si="28"/>
        <v>#NUM!</v>
      </c>
      <c r="W500" s="29">
        <f>_xll.qlDayCounterYearFraction(DayCounter,SettlementDate,R500,,,Trigger)</f>
        <v>42.030555555555559</v>
      </c>
      <c r="X500" s="29">
        <f>_xll.qlDayCounterYearFraction(DayCounter,R500,S500)</f>
        <v>8.611111111111111E-2</v>
      </c>
      <c r="Y500" s="29" t="e">
        <f>_xll.qlYieldTSDiscount(Currency&amp;"ON",R500)/(1+U500*X500)</f>
        <v>#NUM!</v>
      </c>
      <c r="Z500" s="30" t="e">
        <f>_xll.qlTenorBasisValue(TenorBasis6M,R500,InterestRatesTrigger)</f>
        <v>#VALUE!</v>
      </c>
      <c r="AA500" s="30" t="e">
        <f t="shared" si="29"/>
        <v>#NUM!</v>
      </c>
    </row>
    <row r="501" spans="15:27" x14ac:dyDescent="0.2">
      <c r="O501" s="33">
        <v>1</v>
      </c>
      <c r="P501" s="27" t="str">
        <f>_xll.qlPeriodEquivalent(P500&amp;"+"&amp;O501&amp;"M")</f>
        <v>41Y6M</v>
      </c>
      <c r="Q501" s="28">
        <f>_xll.qlCalendarAdvance(Calendar,SettlementDate,P501,"f",,Trigger)</f>
        <v>57322</v>
      </c>
      <c r="R501" s="28">
        <f>_xll.qlInterestRateIndexValueDate(Index,Q501,Trigger)</f>
        <v>57326</v>
      </c>
      <c r="S501" s="28">
        <f>_xll.qlInterestRateIndexMaturity(Index,R501,Trigger)</f>
        <v>57357</v>
      </c>
      <c r="T501" s="30">
        <f>_xll.qlIndexFixing($M$6,Q501,,InterestRatesTrigger)</f>
        <v>1.3396132241061183E-2</v>
      </c>
      <c r="U501" s="30" t="e">
        <f>_xll.qlIndexFixing(Index,Q501,,InterestRatesTrigger)</f>
        <v>#NUM!</v>
      </c>
      <c r="V501" s="30" t="e">
        <f t="shared" si="28"/>
        <v>#NUM!</v>
      </c>
      <c r="W501" s="29">
        <f>_xll.qlDayCounterYearFraction(DayCounter,SettlementDate,R501,,,Trigger)</f>
        <v>42.119444444444447</v>
      </c>
      <c r="X501" s="29">
        <f>_xll.qlDayCounterYearFraction(DayCounter,R501,S501)</f>
        <v>8.611111111111111E-2</v>
      </c>
      <c r="Y501" s="29" t="e">
        <f>_xll.qlYieldTSDiscount(Currency&amp;"ON",R501)/(1+U501*X501)</f>
        <v>#NUM!</v>
      </c>
      <c r="Z501" s="30" t="e">
        <f>_xll.qlTenorBasisValue(TenorBasis6M,R501,InterestRatesTrigger)</f>
        <v>#VALUE!</v>
      </c>
      <c r="AA501" s="30" t="e">
        <f t="shared" si="29"/>
        <v>#NUM!</v>
      </c>
    </row>
    <row r="502" spans="15:27" x14ac:dyDescent="0.2">
      <c r="O502" s="33">
        <v>1</v>
      </c>
      <c r="P502" s="27" t="str">
        <f>_xll.qlPeriodEquivalent(P501&amp;"+"&amp;O502&amp;"M")</f>
        <v>41Y7M</v>
      </c>
      <c r="Q502" s="28">
        <f>_xll.qlCalendarAdvance(Calendar,SettlementDate,P502,"f",,Trigger)</f>
        <v>57353</v>
      </c>
      <c r="R502" s="28">
        <f>_xll.qlInterestRateIndexValueDate(Index,Q502,Trigger)</f>
        <v>57355</v>
      </c>
      <c r="S502" s="28">
        <f>_xll.qlInterestRateIndexMaturity(Index,R502,Trigger)</f>
        <v>57388</v>
      </c>
      <c r="T502" s="30">
        <f>_xll.qlIndexFixing($M$6,Q502,,InterestRatesTrigger)</f>
        <v>1.3354449555481294E-2</v>
      </c>
      <c r="U502" s="30" t="e">
        <f>_xll.qlIndexFixing(Index,Q502,,InterestRatesTrigger)</f>
        <v>#NUM!</v>
      </c>
      <c r="V502" s="30" t="e">
        <f t="shared" si="28"/>
        <v>#NUM!</v>
      </c>
      <c r="W502" s="29">
        <f>_xll.qlDayCounterYearFraction(DayCounter,SettlementDate,R502,,,Trigger)</f>
        <v>42.2</v>
      </c>
      <c r="X502" s="29">
        <f>_xll.qlDayCounterYearFraction(DayCounter,R502,S502)</f>
        <v>9.166666666666666E-2</v>
      </c>
      <c r="Y502" s="29" t="e">
        <f>_xll.qlYieldTSDiscount(Currency&amp;"ON",R502)/(1+U502*X502)</f>
        <v>#NUM!</v>
      </c>
      <c r="Z502" s="30" t="e">
        <f>_xll.qlTenorBasisValue(TenorBasis6M,R502,InterestRatesTrigger)</f>
        <v>#VALUE!</v>
      </c>
      <c r="AA502" s="30" t="e">
        <f t="shared" si="29"/>
        <v>#NUM!</v>
      </c>
    </row>
    <row r="503" spans="15:27" x14ac:dyDescent="0.2">
      <c r="O503" s="33">
        <v>1</v>
      </c>
      <c r="P503" s="27" t="str">
        <f>_xll.qlPeriodEquivalent(P502&amp;"+"&amp;O503&amp;"M")</f>
        <v>41Y8M</v>
      </c>
      <c r="Q503" s="28">
        <f>_xll.qlCalendarAdvance(Calendar,SettlementDate,P503,"f",,Trigger)</f>
        <v>57384</v>
      </c>
      <c r="R503" s="28">
        <f>_xll.qlInterestRateIndexValueDate(Index,Q503,Trigger)</f>
        <v>57388</v>
      </c>
      <c r="S503" s="28">
        <f>_xll.qlInterestRateIndexMaturity(Index,R503,Trigger)</f>
        <v>57416</v>
      </c>
      <c r="T503" s="30">
        <f>_xll.qlIndexFixing($M$6,Q503,,InterestRatesTrigger)</f>
        <v>1.3311056050796362E-2</v>
      </c>
      <c r="U503" s="30" t="e">
        <f>_xll.qlIndexFixing(Index,Q503,,InterestRatesTrigger)</f>
        <v>#NUM!</v>
      </c>
      <c r="V503" s="30" t="e">
        <f t="shared" si="28"/>
        <v>#NUM!</v>
      </c>
      <c r="W503" s="29">
        <f>_xll.qlDayCounterYearFraction(DayCounter,SettlementDate,R503,,,Trigger)</f>
        <v>42.291666666666664</v>
      </c>
      <c r="X503" s="29">
        <f>_xll.qlDayCounterYearFraction(DayCounter,R503,S503)</f>
        <v>7.7777777777777779E-2</v>
      </c>
      <c r="Y503" s="29" t="e">
        <f>_xll.qlYieldTSDiscount(Currency&amp;"ON",R503)/(1+U503*X503)</f>
        <v>#NUM!</v>
      </c>
      <c r="Z503" s="30" t="e">
        <f>_xll.qlTenorBasisValue(TenorBasis6M,R503,InterestRatesTrigger)</f>
        <v>#VALUE!</v>
      </c>
      <c r="AA503" s="30" t="e">
        <f t="shared" si="29"/>
        <v>#NUM!</v>
      </c>
    </row>
    <row r="504" spans="15:27" x14ac:dyDescent="0.2">
      <c r="O504" s="33">
        <v>1</v>
      </c>
      <c r="P504" s="27" t="str">
        <f>_xll.qlPeriodEquivalent(P503&amp;"+"&amp;O504&amp;"M")</f>
        <v>41Y9M</v>
      </c>
      <c r="Q504" s="28">
        <f>_xll.qlCalendarAdvance(Calendar,SettlementDate,P504,"f",,Trigger)</f>
        <v>57412</v>
      </c>
      <c r="R504" s="28">
        <f>_xll.qlInterestRateIndexValueDate(Index,Q504,Trigger)</f>
        <v>57416</v>
      </c>
      <c r="S504" s="28">
        <f>_xll.qlInterestRateIndexMaturity(Index,R504,Trigger)</f>
        <v>57447</v>
      </c>
      <c r="T504" s="30">
        <f>_xll.qlIndexFixing($M$6,Q504,,InterestRatesTrigger)</f>
        <v>1.32717367745994E-2</v>
      </c>
      <c r="U504" s="30" t="e">
        <f>_xll.qlIndexFixing(Index,Q504,,InterestRatesTrigger)</f>
        <v>#NUM!</v>
      </c>
      <c r="V504" s="30" t="e">
        <f t="shared" si="28"/>
        <v>#NUM!</v>
      </c>
      <c r="W504" s="29">
        <f>_xll.qlDayCounterYearFraction(DayCounter,SettlementDate,R504,,,Trigger)</f>
        <v>42.369444444444447</v>
      </c>
      <c r="X504" s="29">
        <f>_xll.qlDayCounterYearFraction(DayCounter,R504,S504)</f>
        <v>8.611111111111111E-2</v>
      </c>
      <c r="Y504" s="29" t="e">
        <f>_xll.qlYieldTSDiscount(Currency&amp;"ON",R504)/(1+U504*X504)</f>
        <v>#NUM!</v>
      </c>
      <c r="Z504" s="30" t="e">
        <f>_xll.qlTenorBasisValue(TenorBasis6M,R504,InterestRatesTrigger)</f>
        <v>#VALUE!</v>
      </c>
      <c r="AA504" s="30" t="e">
        <f t="shared" si="29"/>
        <v>#NUM!</v>
      </c>
    </row>
    <row r="505" spans="15:27" x14ac:dyDescent="0.2">
      <c r="O505" s="33">
        <v>1</v>
      </c>
      <c r="P505" s="27" t="str">
        <f>_xll.qlPeriodEquivalent(P504&amp;"+"&amp;O505&amp;"M")</f>
        <v>41Y10M</v>
      </c>
      <c r="Q505" s="28">
        <f>_xll.qlCalendarAdvance(Calendar,SettlementDate,P505,"f",,Trigger)</f>
        <v>57444</v>
      </c>
      <c r="R505" s="28">
        <f>_xll.qlInterestRateIndexValueDate(Index,Q505,Trigger)</f>
        <v>57446</v>
      </c>
      <c r="S505" s="28">
        <f>_xll.qlInterestRateIndexMaturity(Index,R505,Trigger)</f>
        <v>57476</v>
      </c>
      <c r="T505" s="30">
        <f>_xll.qlIndexFixing($M$6,Q505,,InterestRatesTrigger)</f>
        <v>1.3232121711753031E-2</v>
      </c>
      <c r="U505" s="30" t="e">
        <f>_xll.qlIndexFixing(Index,Q505,,InterestRatesTrigger)</f>
        <v>#NUM!</v>
      </c>
      <c r="V505" s="30" t="e">
        <f t="shared" si="28"/>
        <v>#NUM!</v>
      </c>
      <c r="W505" s="29">
        <f>_xll.qlDayCounterYearFraction(DayCounter,SettlementDate,R505,,,Trigger)</f>
        <v>42.452777777777776</v>
      </c>
      <c r="X505" s="29">
        <f>_xll.qlDayCounterYearFraction(DayCounter,R505,S505)</f>
        <v>8.3333333333333329E-2</v>
      </c>
      <c r="Y505" s="29" t="e">
        <f>_xll.qlYieldTSDiscount(Currency&amp;"ON",R505)/(1+U505*X505)</f>
        <v>#NUM!</v>
      </c>
      <c r="Z505" s="30" t="e">
        <f>_xll.qlTenorBasisValue(TenorBasis6M,R505,InterestRatesTrigger)</f>
        <v>#VALUE!</v>
      </c>
      <c r="AA505" s="30" t="e">
        <f t="shared" si="29"/>
        <v>#NUM!</v>
      </c>
    </row>
    <row r="506" spans="15:27" x14ac:dyDescent="0.2">
      <c r="O506" s="33">
        <v>1</v>
      </c>
      <c r="P506" s="27" t="str">
        <f>_xll.qlPeriodEquivalent(P505&amp;"+"&amp;O506&amp;"M")</f>
        <v>41Y11M</v>
      </c>
      <c r="Q506" s="28">
        <f>_xll.qlCalendarAdvance(Calendar,SettlementDate,P506,"f",,Trigger)</f>
        <v>57473</v>
      </c>
      <c r="R506" s="28">
        <f>_xll.qlInterestRateIndexValueDate(Index,Q506,Trigger)</f>
        <v>57475</v>
      </c>
      <c r="S506" s="28">
        <f>_xll.qlInterestRateIndexMaturity(Index,R506,Trigger)</f>
        <v>57507</v>
      </c>
      <c r="T506" s="30">
        <f>_xll.qlIndexFixing($M$6,Q506,,InterestRatesTrigger)</f>
        <v>1.3193284304819086E-2</v>
      </c>
      <c r="U506" s="30" t="e">
        <f>_xll.qlIndexFixing(Index,Q506,,InterestRatesTrigger)</f>
        <v>#NUM!</v>
      </c>
      <c r="V506" s="30" t="e">
        <f t="shared" si="28"/>
        <v>#NUM!</v>
      </c>
      <c r="W506" s="29">
        <f>_xll.qlDayCounterYearFraction(DayCounter,SettlementDate,R506,,,Trigger)</f>
        <v>42.533333333333331</v>
      </c>
      <c r="X506" s="29">
        <f>_xll.qlDayCounterYearFraction(DayCounter,R506,S506)</f>
        <v>8.8888888888888892E-2</v>
      </c>
      <c r="Y506" s="29" t="e">
        <f>_xll.qlYieldTSDiscount(Currency&amp;"ON",R506)/(1+U506*X506)</f>
        <v>#NUM!</v>
      </c>
      <c r="Z506" s="30" t="e">
        <f>_xll.qlTenorBasisValue(TenorBasis6M,R506,InterestRatesTrigger)</f>
        <v>#VALUE!</v>
      </c>
      <c r="AA506" s="30" t="e">
        <f t="shared" si="29"/>
        <v>#NUM!</v>
      </c>
    </row>
    <row r="507" spans="15:27" x14ac:dyDescent="0.2">
      <c r="O507" s="33">
        <v>1</v>
      </c>
      <c r="P507" s="27" t="str">
        <f>_xll.qlPeriodEquivalent(P506&amp;"+"&amp;O507&amp;"M")</f>
        <v>42Y</v>
      </c>
      <c r="Q507" s="28">
        <f>_xll.qlCalendarAdvance(Calendar,SettlementDate,P507,"f",,Trigger)</f>
        <v>57504</v>
      </c>
      <c r="R507" s="28">
        <f>_xll.qlInterestRateIndexValueDate(Index,Q507,Trigger)</f>
        <v>57508</v>
      </c>
      <c r="S507" s="28">
        <f>_xll.qlInterestRateIndexMaturity(Index,R507,Trigger)</f>
        <v>57538</v>
      </c>
      <c r="T507" s="30">
        <f>_xll.qlIndexFixing($M$6,Q507,,InterestRatesTrigger)</f>
        <v>1.3151640580399082E-2</v>
      </c>
      <c r="U507" s="30" t="e">
        <f>_xll.qlIndexFixing(Index,Q507,,InterestRatesTrigger)</f>
        <v>#NUM!</v>
      </c>
      <c r="V507" s="30" t="e">
        <f t="shared" si="28"/>
        <v>#NUM!</v>
      </c>
      <c r="W507" s="29">
        <f>_xll.qlDayCounterYearFraction(DayCounter,SettlementDate,R507,,,Trigger)</f>
        <v>42.625</v>
      </c>
      <c r="X507" s="29">
        <f>_xll.qlDayCounterYearFraction(DayCounter,R507,S507)</f>
        <v>8.3333333333333329E-2</v>
      </c>
      <c r="Y507" s="29" t="e">
        <f>_xll.qlYieldTSDiscount(Currency&amp;"ON",R507)/(1+U507*X507)</f>
        <v>#NUM!</v>
      </c>
      <c r="Z507" s="30" t="e">
        <f>_xll.qlTenorBasisValue(TenorBasis6M,R507,InterestRatesTrigger)</f>
        <v>#VALUE!</v>
      </c>
      <c r="AA507" s="30" t="e">
        <f t="shared" si="29"/>
        <v>#NUM!</v>
      </c>
    </row>
    <row r="508" spans="15:27" x14ac:dyDescent="0.2">
      <c r="O508" s="33">
        <v>1</v>
      </c>
      <c r="P508" s="27" t="str">
        <f>_xll.qlPeriodEquivalent(P507&amp;"+"&amp;O508&amp;"M")</f>
        <v>42Y1M</v>
      </c>
      <c r="Q508" s="28">
        <f>_xll.qlCalendarAdvance(Calendar,SettlementDate,P508,"f",,Trigger)</f>
        <v>57535</v>
      </c>
      <c r="R508" s="28">
        <f>_xll.qlInterestRateIndexValueDate(Index,Q508,Trigger)</f>
        <v>57537</v>
      </c>
      <c r="S508" s="28">
        <f>_xll.qlInterestRateIndexMaturity(Index,R508,Trigger)</f>
        <v>57570</v>
      </c>
      <c r="T508" s="30">
        <f>_xll.qlIndexFixing($M$6,Q508,,InterestRatesTrigger)</f>
        <v>1.3113895205172973E-2</v>
      </c>
      <c r="U508" s="30" t="e">
        <f>_xll.qlIndexFixing(Index,Q508,,InterestRatesTrigger)</f>
        <v>#NUM!</v>
      </c>
      <c r="V508" s="30" t="e">
        <f t="shared" si="28"/>
        <v>#NUM!</v>
      </c>
      <c r="W508" s="29">
        <f>_xll.qlDayCounterYearFraction(DayCounter,SettlementDate,R508,,,Trigger)</f>
        <v>42.705555555555556</v>
      </c>
      <c r="X508" s="29">
        <f>_xll.qlDayCounterYearFraction(DayCounter,R508,S508)</f>
        <v>9.166666666666666E-2</v>
      </c>
      <c r="Y508" s="29" t="e">
        <f>_xll.qlYieldTSDiscount(Currency&amp;"ON",R508)/(1+U508*X508)</f>
        <v>#NUM!</v>
      </c>
      <c r="Z508" s="30" t="e">
        <f>_xll.qlTenorBasisValue(TenorBasis6M,R508,InterestRatesTrigger)</f>
        <v>#VALUE!</v>
      </c>
      <c r="AA508" s="30" t="e">
        <f t="shared" si="29"/>
        <v>#NUM!</v>
      </c>
    </row>
    <row r="509" spans="15:27" x14ac:dyDescent="0.2">
      <c r="O509" s="33">
        <v>1</v>
      </c>
      <c r="P509" s="27" t="str">
        <f>_xll.qlPeriodEquivalent(P508&amp;"+"&amp;O509&amp;"M")</f>
        <v>42Y2M</v>
      </c>
      <c r="Q509" s="28">
        <f>_xll.qlCalendarAdvance(Calendar,SettlementDate,P509,"f",,Trigger)</f>
        <v>57565</v>
      </c>
      <c r="R509" s="28">
        <f>_xll.qlInterestRateIndexValueDate(Index,Q509,Trigger)</f>
        <v>57567</v>
      </c>
      <c r="S509" s="28">
        <f>_xll.qlInterestRateIndexMaturity(Index,R509,Trigger)</f>
        <v>57598</v>
      </c>
      <c r="T509" s="30">
        <f>_xll.qlIndexFixing($M$6,Q509,,InterestRatesTrigger)</f>
        <v>1.3077523332966043E-2</v>
      </c>
      <c r="U509" s="30" t="e">
        <f>_xll.qlIndexFixing(Index,Q509,,InterestRatesTrigger)</f>
        <v>#NUM!</v>
      </c>
      <c r="V509" s="30" t="e">
        <f t="shared" si="28"/>
        <v>#NUM!</v>
      </c>
      <c r="W509" s="29">
        <f>_xll.qlDayCounterYearFraction(DayCounter,SettlementDate,R509,,,Trigger)</f>
        <v>42.788888888888891</v>
      </c>
      <c r="X509" s="29">
        <f>_xll.qlDayCounterYearFraction(DayCounter,R509,S509)</f>
        <v>8.611111111111111E-2</v>
      </c>
      <c r="Y509" s="29" t="e">
        <f>_xll.qlYieldTSDiscount(Currency&amp;"ON",R509)/(1+U509*X509)</f>
        <v>#NUM!</v>
      </c>
      <c r="Z509" s="30" t="e">
        <f>_xll.qlTenorBasisValue(TenorBasis6M,R509,InterestRatesTrigger)</f>
        <v>#VALUE!</v>
      </c>
      <c r="AA509" s="30" t="e">
        <f t="shared" si="29"/>
        <v>#NUM!</v>
      </c>
    </row>
    <row r="510" spans="15:27" x14ac:dyDescent="0.2">
      <c r="O510" s="33">
        <v>1</v>
      </c>
      <c r="P510" s="27" t="str">
        <f>_xll.qlPeriodEquivalent(P509&amp;"+"&amp;O510&amp;"M")</f>
        <v>42Y3M</v>
      </c>
      <c r="Q510" s="28">
        <f>_xll.qlCalendarAdvance(Calendar,SettlementDate,P510,"f",,Trigger)</f>
        <v>57598</v>
      </c>
      <c r="R510" s="28">
        <f>_xll.qlInterestRateIndexValueDate(Index,Q510,Trigger)</f>
        <v>57600</v>
      </c>
      <c r="S510" s="28">
        <f>_xll.qlInterestRateIndexMaturity(Index,R510,Trigger)</f>
        <v>57630</v>
      </c>
      <c r="T510" s="30">
        <f>_xll.qlIndexFixing($M$6,Q510,,InterestRatesTrigger)</f>
        <v>1.3037859678224351E-2</v>
      </c>
      <c r="U510" s="30" t="e">
        <f>_xll.qlIndexFixing(Index,Q510,,InterestRatesTrigger)</f>
        <v>#NUM!</v>
      </c>
      <c r="V510" s="30" t="e">
        <f t="shared" si="28"/>
        <v>#NUM!</v>
      </c>
      <c r="W510" s="29">
        <f>_xll.qlDayCounterYearFraction(DayCounter,SettlementDate,R510,,,Trigger)</f>
        <v>42.880555555555553</v>
      </c>
      <c r="X510" s="29">
        <f>_xll.qlDayCounterYearFraction(DayCounter,R510,S510)</f>
        <v>8.3333333333333329E-2</v>
      </c>
      <c r="Y510" s="29" t="e">
        <f>_xll.qlYieldTSDiscount(Currency&amp;"ON",R510)/(1+U510*X510)</f>
        <v>#NUM!</v>
      </c>
      <c r="Z510" s="30" t="e">
        <f>_xll.qlTenorBasisValue(TenorBasis6M,R510,InterestRatesTrigger)</f>
        <v>#VALUE!</v>
      </c>
      <c r="AA510" s="30" t="e">
        <f t="shared" si="29"/>
        <v>#NUM!</v>
      </c>
    </row>
    <row r="511" spans="15:27" x14ac:dyDescent="0.2">
      <c r="O511" s="33">
        <v>1</v>
      </c>
      <c r="P511" s="27" t="str">
        <f>_xll.qlPeriodEquivalent(P510&amp;"+"&amp;O511&amp;"M")</f>
        <v>42Y4M</v>
      </c>
      <c r="Q511" s="28">
        <f>_xll.qlCalendarAdvance(Calendar,SettlementDate,P511,"f",,Trigger)</f>
        <v>57626</v>
      </c>
      <c r="R511" s="28">
        <f>_xll.qlInterestRateIndexValueDate(Index,Q511,Trigger)</f>
        <v>57628</v>
      </c>
      <c r="S511" s="28">
        <f>_xll.qlInterestRateIndexMaturity(Index,R511,Trigger)</f>
        <v>57661</v>
      </c>
      <c r="T511" s="30">
        <f>_xll.qlIndexFixing($M$6,Q511,,InterestRatesTrigger)</f>
        <v>1.3003513576300595E-2</v>
      </c>
      <c r="U511" s="30" t="e">
        <f>_xll.qlIndexFixing(Index,Q511,,InterestRatesTrigger)</f>
        <v>#NUM!</v>
      </c>
      <c r="V511" s="30" t="e">
        <f t="shared" si="28"/>
        <v>#NUM!</v>
      </c>
      <c r="W511" s="29">
        <f>_xll.qlDayCounterYearFraction(DayCounter,SettlementDate,R511,,,Trigger)</f>
        <v>42.958333333333336</v>
      </c>
      <c r="X511" s="29">
        <f>_xll.qlDayCounterYearFraction(DayCounter,R511,S511)</f>
        <v>9.166666666666666E-2</v>
      </c>
      <c r="Y511" s="29" t="e">
        <f>_xll.qlYieldTSDiscount(Currency&amp;"ON",R511)/(1+U511*X511)</f>
        <v>#NUM!</v>
      </c>
      <c r="Z511" s="30" t="e">
        <f>_xll.qlTenorBasisValue(TenorBasis6M,R511,InterestRatesTrigger)</f>
        <v>#VALUE!</v>
      </c>
      <c r="AA511" s="30" t="e">
        <f t="shared" si="29"/>
        <v>#NUM!</v>
      </c>
    </row>
    <row r="512" spans="15:27" x14ac:dyDescent="0.2">
      <c r="O512" s="33">
        <v>1</v>
      </c>
      <c r="P512" s="27" t="str">
        <f>_xll.qlPeriodEquivalent(P511&amp;"+"&amp;O512&amp;"M")</f>
        <v>42Y5M</v>
      </c>
      <c r="Q512" s="28">
        <f>_xll.qlCalendarAdvance(Calendar,SettlementDate,P512,"f",,Trigger)</f>
        <v>57657</v>
      </c>
      <c r="R512" s="28">
        <f>_xll.qlInterestRateIndexValueDate(Index,Q512,Trigger)</f>
        <v>57661</v>
      </c>
      <c r="S512" s="28">
        <f>_xll.qlInterestRateIndexMaturity(Index,R512,Trigger)</f>
        <v>57691</v>
      </c>
      <c r="T512" s="30">
        <f>_xll.qlIndexFixing($M$6,Q512,,InterestRatesTrigger)</f>
        <v>1.2966134979678579E-2</v>
      </c>
      <c r="U512" s="30" t="e">
        <f>_xll.qlIndexFixing(Index,Q512,,InterestRatesTrigger)</f>
        <v>#NUM!</v>
      </c>
      <c r="V512" s="30" t="e">
        <f t="shared" si="28"/>
        <v>#NUM!</v>
      </c>
      <c r="W512" s="29">
        <f>_xll.qlDayCounterYearFraction(DayCounter,SettlementDate,R512,,,Trigger)</f>
        <v>43.05</v>
      </c>
      <c r="X512" s="29">
        <f>_xll.qlDayCounterYearFraction(DayCounter,R512,S512)</f>
        <v>8.3333333333333329E-2</v>
      </c>
      <c r="Y512" s="29" t="e">
        <f>_xll.qlYieldTSDiscount(Currency&amp;"ON",R512)/(1+U512*X512)</f>
        <v>#NUM!</v>
      </c>
      <c r="Z512" s="30" t="e">
        <f>_xll.qlTenorBasisValue(TenorBasis6M,R512,InterestRatesTrigger)</f>
        <v>#VALUE!</v>
      </c>
      <c r="AA512" s="30" t="e">
        <f t="shared" si="29"/>
        <v>#NUM!</v>
      </c>
    </row>
    <row r="513" spans="15:27" x14ac:dyDescent="0.2">
      <c r="O513" s="33">
        <v>1</v>
      </c>
      <c r="P513" s="27" t="str">
        <f>_xll.qlPeriodEquivalent(P512&amp;"+"&amp;O513&amp;"M")</f>
        <v>42Y6M</v>
      </c>
      <c r="Q513" s="28">
        <f>_xll.qlCalendarAdvance(Calendar,SettlementDate,P513,"f",,Trigger)</f>
        <v>57689</v>
      </c>
      <c r="R513" s="28">
        <f>_xll.qlInterestRateIndexValueDate(Index,Q513,Trigger)</f>
        <v>57691</v>
      </c>
      <c r="S513" s="28">
        <f>_xll.qlInterestRateIndexMaturity(Index,R513,Trigger)</f>
        <v>57724</v>
      </c>
      <c r="T513" s="30">
        <f>_xll.qlIndexFixing($M$6,Q513,,InterestRatesTrigger)</f>
        <v>1.2930959911401566E-2</v>
      </c>
      <c r="U513" s="30" t="e">
        <f>_xll.qlIndexFixing(Index,Q513,,InterestRatesTrigger)</f>
        <v>#NUM!</v>
      </c>
      <c r="V513" s="30" t="e">
        <f t="shared" si="28"/>
        <v>#NUM!</v>
      </c>
      <c r="W513" s="29">
        <f>_xll.qlDayCounterYearFraction(DayCounter,SettlementDate,R513,,,Trigger)</f>
        <v>43.133333333333333</v>
      </c>
      <c r="X513" s="29">
        <f>_xll.qlDayCounterYearFraction(DayCounter,R513,S513)</f>
        <v>9.166666666666666E-2</v>
      </c>
      <c r="Y513" s="29" t="e">
        <f>_xll.qlYieldTSDiscount(Currency&amp;"ON",R513)/(1+U513*X513)</f>
        <v>#NUM!</v>
      </c>
      <c r="Z513" s="30" t="e">
        <f>_xll.qlTenorBasisValue(TenorBasis6M,R513,InterestRatesTrigger)</f>
        <v>#VALUE!</v>
      </c>
      <c r="AA513" s="30" t="e">
        <f t="shared" si="29"/>
        <v>#NUM!</v>
      </c>
    </row>
    <row r="514" spans="15:27" x14ac:dyDescent="0.2">
      <c r="O514" s="33">
        <v>1</v>
      </c>
      <c r="P514" s="27" t="str">
        <f>_xll.qlPeriodEquivalent(P513&amp;"+"&amp;O514&amp;"M")</f>
        <v>42Y7M</v>
      </c>
      <c r="Q514" s="28">
        <f>_xll.qlCalendarAdvance(Calendar,SettlementDate,P514,"f",,Trigger)</f>
        <v>57718</v>
      </c>
      <c r="R514" s="28">
        <f>_xll.qlInterestRateIndexValueDate(Index,Q514,Trigger)</f>
        <v>57720</v>
      </c>
      <c r="S514" s="28">
        <f>_xll.qlInterestRateIndexMaturity(Index,R514,Trigger)</f>
        <v>57752</v>
      </c>
      <c r="T514" s="30">
        <f>_xll.qlIndexFixing($M$6,Q514,,InterestRatesTrigger)</f>
        <v>1.2898943524539963E-2</v>
      </c>
      <c r="U514" s="30" t="e">
        <f>_xll.qlIndexFixing(Index,Q514,,InterestRatesTrigger)</f>
        <v>#NUM!</v>
      </c>
      <c r="V514" s="30" t="e">
        <f t="shared" si="28"/>
        <v>#NUM!</v>
      </c>
      <c r="W514" s="29">
        <f>_xll.qlDayCounterYearFraction(DayCounter,SettlementDate,R514,,,Trigger)</f>
        <v>43.213888888888889</v>
      </c>
      <c r="X514" s="29">
        <f>_xll.qlDayCounterYearFraction(DayCounter,R514,S514)</f>
        <v>8.8888888888888892E-2</v>
      </c>
      <c r="Y514" s="29" t="e">
        <f>_xll.qlYieldTSDiscount(Currency&amp;"ON",R514)/(1+U514*X514)</f>
        <v>#NUM!</v>
      </c>
      <c r="Z514" s="30" t="e">
        <f>_xll.qlTenorBasisValue(TenorBasis6M,R514,InterestRatesTrigger)</f>
        <v>#VALUE!</v>
      </c>
      <c r="AA514" s="30" t="e">
        <f t="shared" si="29"/>
        <v>#NUM!</v>
      </c>
    </row>
    <row r="515" spans="15:27" x14ac:dyDescent="0.2">
      <c r="O515" s="33">
        <v>1</v>
      </c>
      <c r="P515" s="27" t="str">
        <f>_xll.qlPeriodEquivalent(P514&amp;"+"&amp;O515&amp;"M")</f>
        <v>42Y8M</v>
      </c>
      <c r="Q515" s="28">
        <f>_xll.qlCalendarAdvance(Calendar,SettlementDate,P515,"f",,Trigger)</f>
        <v>57749</v>
      </c>
      <c r="R515" s="28">
        <f>_xll.qlInterestRateIndexValueDate(Index,Q515,Trigger)</f>
        <v>57753</v>
      </c>
      <c r="S515" s="28">
        <f>_xll.qlInterestRateIndexMaturity(Index,R515,Trigger)</f>
        <v>57781</v>
      </c>
      <c r="T515" s="30">
        <f>_xll.qlIndexFixing($M$6,Q515,,InterestRatesTrigger)</f>
        <v>1.28641810850819E-2</v>
      </c>
      <c r="U515" s="30" t="e">
        <f>_xll.qlIndexFixing(Index,Q515,,InterestRatesTrigger)</f>
        <v>#NUM!</v>
      </c>
      <c r="V515" s="30" t="e">
        <f t="shared" si="28"/>
        <v>#NUM!</v>
      </c>
      <c r="W515" s="29">
        <f>_xll.qlDayCounterYearFraction(DayCounter,SettlementDate,R515,,,Trigger)</f>
        <v>43.305555555555557</v>
      </c>
      <c r="X515" s="29">
        <f>_xll.qlDayCounterYearFraction(DayCounter,R515,S515)</f>
        <v>7.7777777777777779E-2</v>
      </c>
      <c r="Y515" s="29" t="e">
        <f>_xll.qlYieldTSDiscount(Currency&amp;"ON",R515)/(1+U515*X515)</f>
        <v>#NUM!</v>
      </c>
      <c r="Z515" s="30" t="e">
        <f>_xll.qlTenorBasisValue(TenorBasis6M,R515,InterestRatesTrigger)</f>
        <v>#VALUE!</v>
      </c>
      <c r="AA515" s="30" t="e">
        <f t="shared" si="29"/>
        <v>#NUM!</v>
      </c>
    </row>
    <row r="516" spans="15:27" x14ac:dyDescent="0.2">
      <c r="O516" s="33">
        <v>1</v>
      </c>
      <c r="P516" s="27" t="str">
        <f>_xll.qlPeriodEquivalent(P515&amp;"+"&amp;O516&amp;"M")</f>
        <v>42Y9M</v>
      </c>
      <c r="Q516" s="28">
        <f>_xll.qlCalendarAdvance(Calendar,SettlementDate,P516,"f",,Trigger)</f>
        <v>57777</v>
      </c>
      <c r="R516" s="28">
        <f>_xll.qlInterestRateIndexValueDate(Index,Q516,Trigger)</f>
        <v>57781</v>
      </c>
      <c r="S516" s="28">
        <f>_xll.qlInterestRateIndexMaturity(Index,R516,Trigger)</f>
        <v>57816</v>
      </c>
      <c r="T516" s="30">
        <f>_xll.qlIndexFixing($M$6,Q516,,InterestRatesTrigger)</f>
        <v>1.2832203636157098E-2</v>
      </c>
      <c r="U516" s="30" t="e">
        <f>_xll.qlIndexFixing(Index,Q516,,InterestRatesTrigger)</f>
        <v>#NUM!</v>
      </c>
      <c r="V516" s="30" t="e">
        <f t="shared" si="28"/>
        <v>#NUM!</v>
      </c>
      <c r="W516" s="29">
        <f>_xll.qlDayCounterYearFraction(DayCounter,SettlementDate,R516,,,Trigger)</f>
        <v>43.383333333333333</v>
      </c>
      <c r="X516" s="29">
        <f>_xll.qlDayCounterYearFraction(DayCounter,R516,S516)</f>
        <v>9.7222222222222224E-2</v>
      </c>
      <c r="Y516" s="29" t="e">
        <f>_xll.qlYieldTSDiscount(Currency&amp;"ON",R516)/(1+U516*X516)</f>
        <v>#NUM!</v>
      </c>
      <c r="Z516" s="30" t="e">
        <f>_xll.qlTenorBasisValue(TenorBasis6M,R516,InterestRatesTrigger)</f>
        <v>#VALUE!</v>
      </c>
      <c r="AA516" s="30" t="e">
        <f t="shared" si="29"/>
        <v>#NUM!</v>
      </c>
    </row>
    <row r="517" spans="15:27" x14ac:dyDescent="0.2">
      <c r="O517" s="33">
        <v>1</v>
      </c>
      <c r="P517" s="27" t="str">
        <f>_xll.qlPeriodEquivalent(P516&amp;"+"&amp;O517&amp;"M")</f>
        <v>42Y10M</v>
      </c>
      <c r="Q517" s="28">
        <f>_xll.qlCalendarAdvance(Calendar,SettlementDate,P517,"f",,Trigger)</f>
        <v>57808</v>
      </c>
      <c r="R517" s="28">
        <f>_xll.qlInterestRateIndexValueDate(Index,Q517,Trigger)</f>
        <v>57810</v>
      </c>
      <c r="S517" s="28">
        <f>_xll.qlInterestRateIndexMaturity(Index,R517,Trigger)</f>
        <v>57840</v>
      </c>
      <c r="T517" s="30">
        <f>_xll.qlIndexFixing($M$6,Q517,,InterestRatesTrigger)</f>
        <v>1.2803399862771236E-2</v>
      </c>
      <c r="U517" s="30" t="e">
        <f>_xll.qlIndexFixing(Index,Q517,,InterestRatesTrigger)</f>
        <v>#NUM!</v>
      </c>
      <c r="V517" s="30" t="e">
        <f t="shared" si="28"/>
        <v>#NUM!</v>
      </c>
      <c r="W517" s="29">
        <f>_xll.qlDayCounterYearFraction(DayCounter,SettlementDate,R517,,,Trigger)</f>
        <v>43.463888888888889</v>
      </c>
      <c r="X517" s="29">
        <f>_xll.qlDayCounterYearFraction(DayCounter,R517,S517)</f>
        <v>8.3333333333333329E-2</v>
      </c>
      <c r="Y517" s="29" t="e">
        <f>_xll.qlYieldTSDiscount(Currency&amp;"ON",R517)/(1+U517*X517)</f>
        <v>#NUM!</v>
      </c>
      <c r="Z517" s="30" t="e">
        <f>_xll.qlTenorBasisValue(TenorBasis6M,R517,InterestRatesTrigger)</f>
        <v>#VALUE!</v>
      </c>
      <c r="AA517" s="30" t="e">
        <f t="shared" si="29"/>
        <v>#NUM!</v>
      </c>
    </row>
    <row r="518" spans="15:27" x14ac:dyDescent="0.2">
      <c r="O518" s="33">
        <v>1</v>
      </c>
      <c r="P518" s="27" t="str">
        <f>_xll.qlPeriodEquivalent(P517&amp;"+"&amp;O518&amp;"M")</f>
        <v>42Y11M</v>
      </c>
      <c r="Q518" s="28">
        <f>_xll.qlCalendarAdvance(Calendar,SettlementDate,P518,"f",,Trigger)</f>
        <v>57838</v>
      </c>
      <c r="R518" s="28">
        <f>_xll.qlInterestRateIndexValueDate(Index,Q518,Trigger)</f>
        <v>57840</v>
      </c>
      <c r="S518" s="28">
        <f>_xll.qlInterestRateIndexMaturity(Index,R518,Trigger)</f>
        <v>57871</v>
      </c>
      <c r="T518" s="30">
        <f>_xll.qlIndexFixing($M$6,Q518,,InterestRatesTrigger)</f>
        <v>1.2772497106608957E-2</v>
      </c>
      <c r="U518" s="30" t="e">
        <f>_xll.qlIndexFixing(Index,Q518,,InterestRatesTrigger)</f>
        <v>#NUM!</v>
      </c>
      <c r="V518" s="30" t="e">
        <f t="shared" si="28"/>
        <v>#NUM!</v>
      </c>
      <c r="W518" s="29">
        <f>_xll.qlDayCounterYearFraction(DayCounter,SettlementDate,R518,,,Trigger)</f>
        <v>43.547222222222224</v>
      </c>
      <c r="X518" s="29">
        <f>_xll.qlDayCounterYearFraction(DayCounter,R518,S518)</f>
        <v>8.611111111111111E-2</v>
      </c>
      <c r="Y518" s="29" t="e">
        <f>_xll.qlYieldTSDiscount(Currency&amp;"ON",R518)/(1+U518*X518)</f>
        <v>#NUM!</v>
      </c>
      <c r="Z518" s="30" t="e">
        <f>_xll.qlTenorBasisValue(TenorBasis6M,R518,InterestRatesTrigger)</f>
        <v>#VALUE!</v>
      </c>
      <c r="AA518" s="30" t="e">
        <f t="shared" si="29"/>
        <v>#NUM!</v>
      </c>
    </row>
    <row r="519" spans="15:27" x14ac:dyDescent="0.2">
      <c r="O519" s="33">
        <v>1</v>
      </c>
      <c r="P519" s="27" t="str">
        <f>_xll.qlPeriodEquivalent(P518&amp;"+"&amp;O519&amp;"M")</f>
        <v>43Y</v>
      </c>
      <c r="Q519" s="28">
        <f>_xll.qlCalendarAdvance(Calendar,SettlementDate,P519,"f",,Trigger)</f>
        <v>57871</v>
      </c>
      <c r="R519" s="28">
        <f>_xll.qlInterestRateIndexValueDate(Index,Q519,Trigger)</f>
        <v>57873</v>
      </c>
      <c r="S519" s="28">
        <f>_xll.qlInterestRateIndexMaturity(Index,R519,Trigger)</f>
        <v>57903</v>
      </c>
      <c r="T519" s="30">
        <f>_xll.qlIndexFixing($M$6,Q519,,InterestRatesTrigger)</f>
        <v>1.2739911307368956E-2</v>
      </c>
      <c r="U519" s="30" t="e">
        <f>_xll.qlIndexFixing(Index,Q519,,InterestRatesTrigger)</f>
        <v>#NUM!</v>
      </c>
      <c r="V519" s="30" t="e">
        <f t="shared" si="28"/>
        <v>#NUM!</v>
      </c>
      <c r="W519" s="29">
        <f>_xll.qlDayCounterYearFraction(DayCounter,SettlementDate,R519,,,Trigger)</f>
        <v>43.638888888888886</v>
      </c>
      <c r="X519" s="29">
        <f>_xll.qlDayCounterYearFraction(DayCounter,R519,S519)</f>
        <v>8.3333333333333329E-2</v>
      </c>
      <c r="Y519" s="29" t="e">
        <f>_xll.qlYieldTSDiscount(Currency&amp;"ON",R519)/(1+U519*X519)</f>
        <v>#NUM!</v>
      </c>
      <c r="Z519" s="30" t="e">
        <f>_xll.qlTenorBasisValue(TenorBasis6M,R519,InterestRatesTrigger)</f>
        <v>#VALUE!</v>
      </c>
      <c r="AA519" s="30" t="e">
        <f t="shared" si="29"/>
        <v>#NUM!</v>
      </c>
    </row>
    <row r="520" spans="15:27" x14ac:dyDescent="0.2">
      <c r="O520" s="33">
        <v>1</v>
      </c>
      <c r="P520" s="27" t="str">
        <f>_xll.qlPeriodEquivalent(P519&amp;"+"&amp;O520&amp;"M")</f>
        <v>43Y1M</v>
      </c>
      <c r="Q520" s="28">
        <f>_xll.qlCalendarAdvance(Calendar,SettlementDate,P520,"f",,Trigger)</f>
        <v>57899</v>
      </c>
      <c r="R520" s="28">
        <f>_xll.qlInterestRateIndexValueDate(Index,Q520,Trigger)</f>
        <v>57901</v>
      </c>
      <c r="S520" s="28">
        <f>_xll.qlInterestRateIndexMaturity(Index,R520,Trigger)</f>
        <v>57934</v>
      </c>
      <c r="T520" s="30">
        <f>_xll.qlIndexFixing($M$6,Q520,,InterestRatesTrigger)</f>
        <v>1.2711948510827657E-2</v>
      </c>
      <c r="U520" s="30" t="e">
        <f>_xll.qlIndexFixing(Index,Q520,,InterestRatesTrigger)</f>
        <v>#NUM!</v>
      </c>
      <c r="V520" s="30" t="e">
        <f t="shared" si="28"/>
        <v>#NUM!</v>
      </c>
      <c r="W520" s="29">
        <f>_xll.qlDayCounterYearFraction(DayCounter,SettlementDate,R520,,,Trigger)</f>
        <v>43.716666666666669</v>
      </c>
      <c r="X520" s="29">
        <f>_xll.qlDayCounterYearFraction(DayCounter,R520,S520)</f>
        <v>9.166666666666666E-2</v>
      </c>
      <c r="Y520" s="29" t="e">
        <f>_xll.qlYieldTSDiscount(Currency&amp;"ON",R520)/(1+U520*X520)</f>
        <v>#NUM!</v>
      </c>
      <c r="Z520" s="30" t="e">
        <f>_xll.qlTenorBasisValue(TenorBasis6M,R520,InterestRatesTrigger)</f>
        <v>#VALUE!</v>
      </c>
      <c r="AA520" s="30" t="e">
        <f t="shared" si="29"/>
        <v>#NUM!</v>
      </c>
    </row>
    <row r="521" spans="15:27" x14ac:dyDescent="0.2">
      <c r="O521" s="33">
        <v>1</v>
      </c>
      <c r="P521" s="27" t="str">
        <f>_xll.qlPeriodEquivalent(P520&amp;"+"&amp;O521&amp;"M")</f>
        <v>43Y2M</v>
      </c>
      <c r="Q521" s="28">
        <f>_xll.qlCalendarAdvance(Calendar,SettlementDate,P521,"f",,Trigger)</f>
        <v>57930</v>
      </c>
      <c r="R521" s="28">
        <f>_xll.qlInterestRateIndexValueDate(Index,Q521,Trigger)</f>
        <v>57934</v>
      </c>
      <c r="S521" s="28">
        <f>_xll.qlInterestRateIndexMaturity(Index,R521,Trigger)</f>
        <v>57965</v>
      </c>
      <c r="T521" s="30">
        <f>_xll.qlIndexFixing($M$6,Q521,,InterestRatesTrigger)</f>
        <v>1.2681208838500307E-2</v>
      </c>
      <c r="U521" s="30" t="e">
        <f>_xll.qlIndexFixing(Index,Q521,,InterestRatesTrigger)</f>
        <v>#NUM!</v>
      </c>
      <c r="V521" s="30" t="e">
        <f t="shared" si="28"/>
        <v>#NUM!</v>
      </c>
      <c r="W521" s="29">
        <f>_xll.qlDayCounterYearFraction(DayCounter,SettlementDate,R521,,,Trigger)</f>
        <v>43.80833333333333</v>
      </c>
      <c r="X521" s="29">
        <f>_xll.qlDayCounterYearFraction(DayCounter,R521,S521)</f>
        <v>8.611111111111111E-2</v>
      </c>
      <c r="Y521" s="29" t="e">
        <f>_xll.qlYieldTSDiscount(Currency&amp;"ON",R521)/(1+U521*X521)</f>
        <v>#NUM!</v>
      </c>
      <c r="Z521" s="30" t="e">
        <f>_xll.qlTenorBasisValue(TenorBasis6M,R521,InterestRatesTrigger)</f>
        <v>#VALUE!</v>
      </c>
      <c r="AA521" s="30" t="e">
        <f t="shared" si="29"/>
        <v>#NUM!</v>
      </c>
    </row>
    <row r="522" spans="15:27" x14ac:dyDescent="0.2">
      <c r="O522" s="33">
        <v>1</v>
      </c>
      <c r="P522" s="27" t="str">
        <f>_xll.qlPeriodEquivalent(P521&amp;"+"&amp;O522&amp;"M")</f>
        <v>43Y3M</v>
      </c>
      <c r="Q522" s="28">
        <f>_xll.qlCalendarAdvance(Calendar,SettlementDate,P522,"f",,Trigger)</f>
        <v>57962</v>
      </c>
      <c r="R522" s="28">
        <f>_xll.qlInterestRateIndexValueDate(Index,Q522,Trigger)</f>
        <v>57964</v>
      </c>
      <c r="S522" s="28">
        <f>_xll.qlInterestRateIndexMaturity(Index,R522,Trigger)</f>
        <v>57994</v>
      </c>
      <c r="T522" s="30">
        <f>_xll.qlIndexFixing($M$6,Q522,,InterestRatesTrigger)</f>
        <v>1.2653786425646629E-2</v>
      </c>
      <c r="U522" s="30" t="e">
        <f>_xll.qlIndexFixing(Index,Q522,,InterestRatesTrigger)</f>
        <v>#NUM!</v>
      </c>
      <c r="V522" s="30" t="e">
        <f t="shared" si="28"/>
        <v>#NUM!</v>
      </c>
      <c r="W522" s="29">
        <f>_xll.qlDayCounterYearFraction(DayCounter,SettlementDate,R522,,,Trigger)</f>
        <v>43.891666666666666</v>
      </c>
      <c r="X522" s="29">
        <f>_xll.qlDayCounterYearFraction(DayCounter,R522,S522)</f>
        <v>8.3333333333333329E-2</v>
      </c>
      <c r="Y522" s="29" t="e">
        <f>_xll.qlYieldTSDiscount(Currency&amp;"ON",R522)/(1+U522*X522)</f>
        <v>#NUM!</v>
      </c>
      <c r="Z522" s="30" t="e">
        <f>_xll.qlTenorBasisValue(TenorBasis6M,R522,InterestRatesTrigger)</f>
        <v>#VALUE!</v>
      </c>
      <c r="AA522" s="30" t="e">
        <f t="shared" si="29"/>
        <v>#NUM!</v>
      </c>
    </row>
    <row r="523" spans="15:27" x14ac:dyDescent="0.2">
      <c r="O523" s="33">
        <v>1</v>
      </c>
      <c r="P523" s="27" t="str">
        <f>_xll.qlPeriodEquivalent(P522&amp;"+"&amp;O523&amp;"M")</f>
        <v>43Y4M</v>
      </c>
      <c r="Q523" s="28">
        <f>_xll.qlCalendarAdvance(Calendar,SettlementDate,P523,"f",,Trigger)</f>
        <v>57991</v>
      </c>
      <c r="R523" s="28">
        <f>_xll.qlInterestRateIndexValueDate(Index,Q523,Trigger)</f>
        <v>57993</v>
      </c>
      <c r="S523" s="28">
        <f>_xll.qlInterestRateIndexMaturity(Index,R523,Trigger)</f>
        <v>58025</v>
      </c>
      <c r="T523" s="30">
        <f>_xll.qlIndexFixing($M$6,Q523,,InterestRatesTrigger)</f>
        <v>1.2627286015702011E-2</v>
      </c>
      <c r="U523" s="30" t="e">
        <f>_xll.qlIndexFixing(Index,Q523,,InterestRatesTrigger)</f>
        <v>#NUM!</v>
      </c>
      <c r="V523" s="30" t="e">
        <f t="shared" si="28"/>
        <v>#NUM!</v>
      </c>
      <c r="W523" s="29">
        <f>_xll.qlDayCounterYearFraction(DayCounter,SettlementDate,R523,,,Trigger)</f>
        <v>43.972222222222221</v>
      </c>
      <c r="X523" s="29">
        <f>_xll.qlDayCounterYearFraction(DayCounter,R523,S523)</f>
        <v>8.8888888888888892E-2</v>
      </c>
      <c r="Y523" s="29" t="e">
        <f>_xll.qlYieldTSDiscount(Currency&amp;"ON",R523)/(1+U523*X523)</f>
        <v>#NUM!</v>
      </c>
      <c r="Z523" s="30" t="e">
        <f>_xll.qlTenorBasisValue(TenorBasis6M,R523,InterestRatesTrigger)</f>
        <v>#VALUE!</v>
      </c>
      <c r="AA523" s="30" t="e">
        <f t="shared" si="29"/>
        <v>#NUM!</v>
      </c>
    </row>
    <row r="524" spans="15:27" x14ac:dyDescent="0.2">
      <c r="O524" s="33">
        <v>1</v>
      </c>
      <c r="P524" s="27" t="str">
        <f>_xll.qlPeriodEquivalent(P523&amp;"+"&amp;O524&amp;"M")</f>
        <v>43Y5M</v>
      </c>
      <c r="Q524" s="28">
        <f>_xll.qlCalendarAdvance(Calendar,SettlementDate,P524,"f",,Trigger)</f>
        <v>58022</v>
      </c>
      <c r="R524" s="28">
        <f>_xll.qlInterestRateIndexValueDate(Index,Q524,Trigger)</f>
        <v>58026</v>
      </c>
      <c r="S524" s="28">
        <f>_xll.qlInterestRateIndexMaturity(Index,R524,Trigger)</f>
        <v>58056</v>
      </c>
      <c r="T524" s="30">
        <f>_xll.qlIndexFixing($M$6,Q524,,InterestRatesTrigger)</f>
        <v>1.2598885489889078E-2</v>
      </c>
      <c r="U524" s="30" t="e">
        <f>_xll.qlIndexFixing(Index,Q524,,InterestRatesTrigger)</f>
        <v>#NUM!</v>
      </c>
      <c r="V524" s="30" t="e">
        <f t="shared" si="28"/>
        <v>#NUM!</v>
      </c>
      <c r="W524" s="29">
        <f>_xll.qlDayCounterYearFraction(DayCounter,SettlementDate,R524,,,Trigger)</f>
        <v>44.06388888888889</v>
      </c>
      <c r="X524" s="29">
        <f>_xll.qlDayCounterYearFraction(DayCounter,R524,S524)</f>
        <v>8.3333333333333329E-2</v>
      </c>
      <c r="Y524" s="29" t="e">
        <f>_xll.qlYieldTSDiscount(Currency&amp;"ON",R524)/(1+U524*X524)</f>
        <v>#NUM!</v>
      </c>
      <c r="Z524" s="30" t="e">
        <f>_xll.qlTenorBasisValue(TenorBasis6M,R524,InterestRatesTrigger)</f>
        <v>#VALUE!</v>
      </c>
      <c r="AA524" s="30" t="e">
        <f t="shared" si="29"/>
        <v>#NUM!</v>
      </c>
    </row>
    <row r="525" spans="15:27" x14ac:dyDescent="0.2">
      <c r="O525" s="33">
        <v>1</v>
      </c>
      <c r="P525" s="27" t="str">
        <f>_xll.qlPeriodEquivalent(P524&amp;"+"&amp;O525&amp;"M")</f>
        <v>43Y6M</v>
      </c>
      <c r="Q525" s="28">
        <f>_xll.qlCalendarAdvance(Calendar,SettlementDate,P525,"f",,Trigger)</f>
        <v>58053</v>
      </c>
      <c r="R525" s="28">
        <f>_xll.qlInterestRateIndexValueDate(Index,Q525,Trigger)</f>
        <v>58055</v>
      </c>
      <c r="S525" s="28">
        <f>_xll.qlInterestRateIndexMaturity(Index,R525,Trigger)</f>
        <v>58088</v>
      </c>
      <c r="T525" s="30">
        <f>_xll.qlIndexFixing($M$6,Q525,,InterestRatesTrigger)</f>
        <v>1.2573665979535324E-2</v>
      </c>
      <c r="U525" s="30" t="e">
        <f>_xll.qlIndexFixing(Index,Q525,,InterestRatesTrigger)</f>
        <v>#NUM!</v>
      </c>
      <c r="V525" s="30" t="e">
        <f t="shared" si="28"/>
        <v>#NUM!</v>
      </c>
      <c r="W525" s="29">
        <f>_xll.qlDayCounterYearFraction(DayCounter,SettlementDate,R525,,,Trigger)</f>
        <v>44.144444444444446</v>
      </c>
      <c r="X525" s="29">
        <f>_xll.qlDayCounterYearFraction(DayCounter,R525,S525)</f>
        <v>9.166666666666666E-2</v>
      </c>
      <c r="Y525" s="29" t="e">
        <f>_xll.qlYieldTSDiscount(Currency&amp;"ON",R525)/(1+U525*X525)</f>
        <v>#NUM!</v>
      </c>
      <c r="Z525" s="30" t="e">
        <f>_xll.qlTenorBasisValue(TenorBasis6M,R525,InterestRatesTrigger)</f>
        <v>#VALUE!</v>
      </c>
      <c r="AA525" s="30" t="e">
        <f t="shared" si="29"/>
        <v>#NUM!</v>
      </c>
    </row>
    <row r="526" spans="15:27" x14ac:dyDescent="0.2">
      <c r="O526" s="33">
        <v>1</v>
      </c>
      <c r="P526" s="27" t="str">
        <f>_xll.qlPeriodEquivalent(P525&amp;"+"&amp;O526&amp;"M")</f>
        <v>43Y7M</v>
      </c>
      <c r="Q526" s="28">
        <f>_xll.qlCalendarAdvance(Calendar,SettlementDate,P526,"f",,Trigger)</f>
        <v>58083</v>
      </c>
      <c r="R526" s="28">
        <f>_xll.qlInterestRateIndexValueDate(Index,Q526,Trigger)</f>
        <v>58085</v>
      </c>
      <c r="S526" s="28">
        <f>_xll.qlInterestRateIndexMaturity(Index,R526,Trigger)</f>
        <v>58116</v>
      </c>
      <c r="T526" s="30">
        <f>_xll.qlIndexFixing($M$6,Q526,,InterestRatesTrigger)</f>
        <v>1.2549297790490454E-2</v>
      </c>
      <c r="U526" s="30" t="e">
        <f>_xll.qlIndexFixing(Index,Q526,,InterestRatesTrigger)</f>
        <v>#NUM!</v>
      </c>
      <c r="V526" s="30" t="e">
        <f t="shared" si="28"/>
        <v>#NUM!</v>
      </c>
      <c r="W526" s="29">
        <f>_xll.qlDayCounterYearFraction(DayCounter,SettlementDate,R526,,,Trigger)</f>
        <v>44.227777777777774</v>
      </c>
      <c r="X526" s="29">
        <f>_xll.qlDayCounterYearFraction(DayCounter,R526,S526)</f>
        <v>8.611111111111111E-2</v>
      </c>
      <c r="Y526" s="29" t="e">
        <f>_xll.qlYieldTSDiscount(Currency&amp;"ON",R526)/(1+U526*X526)</f>
        <v>#NUM!</v>
      </c>
      <c r="Z526" s="30" t="e">
        <f>_xll.qlTenorBasisValue(TenorBasis6M,R526,InterestRatesTrigger)</f>
        <v>#VALUE!</v>
      </c>
      <c r="AA526" s="30" t="e">
        <f t="shared" si="29"/>
        <v>#NUM!</v>
      </c>
    </row>
    <row r="527" spans="15:27" x14ac:dyDescent="0.2">
      <c r="O527" s="33">
        <v>1</v>
      </c>
      <c r="P527" s="27" t="str">
        <f>_xll.qlPeriodEquivalent(P526&amp;"+"&amp;O527&amp;"M")</f>
        <v>43Y8M</v>
      </c>
      <c r="Q527" s="28">
        <f>_xll.qlCalendarAdvance(Calendar,SettlementDate,P527,"f",,Trigger)</f>
        <v>58116</v>
      </c>
      <c r="R527" s="28">
        <f>_xll.qlInterestRateIndexValueDate(Index,Q527,Trigger)</f>
        <v>58118</v>
      </c>
      <c r="S527" s="28">
        <f>_xll.qlInterestRateIndexMaturity(Index,R527,Trigger)</f>
        <v>58146</v>
      </c>
      <c r="T527" s="30">
        <f>_xll.qlIndexFixing($M$6,Q527,,InterestRatesTrigger)</f>
        <v>1.2523410087644633E-2</v>
      </c>
      <c r="U527" s="30" t="e">
        <f>_xll.qlIndexFixing(Index,Q527,,InterestRatesTrigger)</f>
        <v>#NUM!</v>
      </c>
      <c r="V527" s="30" t="e">
        <f t="shared" si="28"/>
        <v>#NUM!</v>
      </c>
      <c r="W527" s="29">
        <f>_xll.qlDayCounterYearFraction(DayCounter,SettlementDate,R527,,,Trigger)</f>
        <v>44.319444444444443</v>
      </c>
      <c r="X527" s="29">
        <f>_xll.qlDayCounterYearFraction(DayCounter,R527,S527)</f>
        <v>7.7777777777777779E-2</v>
      </c>
      <c r="Y527" s="29" t="e">
        <f>_xll.qlYieldTSDiscount(Currency&amp;"ON",R527)/(1+U527*X527)</f>
        <v>#NUM!</v>
      </c>
      <c r="Z527" s="30" t="e">
        <f>_xll.qlTenorBasisValue(TenorBasis6M,R527,InterestRatesTrigger)</f>
        <v>#VALUE!</v>
      </c>
      <c r="AA527" s="30" t="e">
        <f t="shared" si="29"/>
        <v>#NUM!</v>
      </c>
    </row>
    <row r="528" spans="15:27" x14ac:dyDescent="0.2">
      <c r="O528" s="33">
        <v>1</v>
      </c>
      <c r="P528" s="27" t="str">
        <f>_xll.qlPeriodEquivalent(P527&amp;"+"&amp;O528&amp;"M")</f>
        <v>43Y9M</v>
      </c>
      <c r="Q528" s="28">
        <f>_xll.qlCalendarAdvance(Calendar,SettlementDate,P528,"f",,Trigger)</f>
        <v>58144</v>
      </c>
      <c r="R528" s="28">
        <f>_xll.qlInterestRateIndexValueDate(Index,Q528,Trigger)</f>
        <v>58146</v>
      </c>
      <c r="S528" s="28">
        <f>_xll.qlInterestRateIndexMaturity(Index,R528,Trigger)</f>
        <v>58179</v>
      </c>
      <c r="T528" s="30">
        <f>_xll.qlIndexFixing($M$6,Q528,,InterestRatesTrigger)</f>
        <v>1.2500832824898275E-2</v>
      </c>
      <c r="U528" s="30" t="e">
        <f>_xll.qlIndexFixing(Index,Q528,,InterestRatesTrigger)</f>
        <v>#NUM!</v>
      </c>
      <c r="V528" s="30" t="e">
        <f t="shared" si="28"/>
        <v>#NUM!</v>
      </c>
      <c r="W528" s="29">
        <f>_xll.qlDayCounterYearFraction(DayCounter,SettlementDate,R528,,,Trigger)</f>
        <v>44.397222222222226</v>
      </c>
      <c r="X528" s="29">
        <f>_xll.qlDayCounterYearFraction(DayCounter,R528,S528)</f>
        <v>9.166666666666666E-2</v>
      </c>
      <c r="Y528" s="29" t="e">
        <f>_xll.qlYieldTSDiscount(Currency&amp;"ON",R528)/(1+U528*X528)</f>
        <v>#NUM!</v>
      </c>
      <c r="Z528" s="30" t="e">
        <f>_xll.qlTenorBasisValue(TenorBasis6M,R528,InterestRatesTrigger)</f>
        <v>#VALUE!</v>
      </c>
      <c r="AA528" s="30" t="e">
        <f t="shared" si="29"/>
        <v>#NUM!</v>
      </c>
    </row>
    <row r="529" spans="15:27" x14ac:dyDescent="0.2">
      <c r="O529" s="33">
        <v>1</v>
      </c>
      <c r="P529" s="27" t="str">
        <f>_xll.qlPeriodEquivalent(P528&amp;"+"&amp;O529&amp;"M")</f>
        <v>43Y10M</v>
      </c>
      <c r="Q529" s="28">
        <f>_xll.qlCalendarAdvance(Calendar,SettlementDate,P529,"f",,Trigger)</f>
        <v>58173</v>
      </c>
      <c r="R529" s="28">
        <f>_xll.qlInterestRateIndexValueDate(Index,Q529,Trigger)</f>
        <v>58175</v>
      </c>
      <c r="S529" s="28">
        <f>_xll.qlInterestRateIndexMaturity(Index,R529,Trigger)</f>
        <v>58207</v>
      </c>
      <c r="T529" s="30">
        <f>_xll.qlIndexFixing($M$6,Q529,,InterestRatesTrigger)</f>
        <v>1.247916042340258E-2</v>
      </c>
      <c r="U529" s="30" t="e">
        <f>_xll.qlIndexFixing(Index,Q529,,InterestRatesTrigger)</f>
        <v>#NUM!</v>
      </c>
      <c r="V529" s="30" t="e">
        <f t="shared" si="28"/>
        <v>#NUM!</v>
      </c>
      <c r="W529" s="29">
        <f>_xll.qlDayCounterYearFraction(DayCounter,SettlementDate,R529,,,Trigger)</f>
        <v>44.477777777777774</v>
      </c>
      <c r="X529" s="29">
        <f>_xll.qlDayCounterYearFraction(DayCounter,R529,S529)</f>
        <v>8.8888888888888892E-2</v>
      </c>
      <c r="Y529" s="29" t="e">
        <f>_xll.qlYieldTSDiscount(Currency&amp;"ON",R529)/(1+U529*X529)</f>
        <v>#NUM!</v>
      </c>
      <c r="Z529" s="30" t="e">
        <f>_xll.qlTenorBasisValue(TenorBasis6M,R529,InterestRatesTrigger)</f>
        <v>#VALUE!</v>
      </c>
      <c r="AA529" s="30" t="e">
        <f t="shared" si="29"/>
        <v>#NUM!</v>
      </c>
    </row>
    <row r="530" spans="15:27" x14ac:dyDescent="0.2">
      <c r="O530" s="33">
        <v>1</v>
      </c>
      <c r="P530" s="27" t="str">
        <f>_xll.qlPeriodEquivalent(P529&amp;"+"&amp;O530&amp;"M")</f>
        <v>43Y11M</v>
      </c>
      <c r="Q530" s="28">
        <f>_xll.qlCalendarAdvance(Calendar,SettlementDate,P530,"f",,Trigger)</f>
        <v>58203</v>
      </c>
      <c r="R530" s="28">
        <f>_xll.qlInterestRateIndexValueDate(Index,Q530,Trigger)</f>
        <v>58207</v>
      </c>
      <c r="S530" s="28">
        <f>_xll.qlInterestRateIndexMaturity(Index,R530,Trigger)</f>
        <v>58238</v>
      </c>
      <c r="T530" s="30">
        <f>_xll.qlIndexFixing($M$6,Q530,,InterestRatesTrigger)</f>
        <v>1.2455984055310319E-2</v>
      </c>
      <c r="U530" s="30" t="e">
        <f>_xll.qlIndexFixing(Index,Q530,,InterestRatesTrigger)</f>
        <v>#NUM!</v>
      </c>
      <c r="V530" s="30" t="e">
        <f t="shared" si="28"/>
        <v>#NUM!</v>
      </c>
      <c r="W530" s="29">
        <f>_xll.qlDayCounterYearFraction(DayCounter,SettlementDate,R530,,,Trigger)</f>
        <v>44.56666666666667</v>
      </c>
      <c r="X530" s="29">
        <f>_xll.qlDayCounterYearFraction(DayCounter,R530,S530)</f>
        <v>8.611111111111111E-2</v>
      </c>
      <c r="Y530" s="29" t="e">
        <f>_xll.qlYieldTSDiscount(Currency&amp;"ON",R530)/(1+U530*X530)</f>
        <v>#NUM!</v>
      </c>
      <c r="Z530" s="30" t="e">
        <f>_xll.qlTenorBasisValue(TenorBasis6M,R530,InterestRatesTrigger)</f>
        <v>#VALUE!</v>
      </c>
      <c r="AA530" s="30" t="e">
        <f t="shared" si="29"/>
        <v>#NUM!</v>
      </c>
    </row>
    <row r="531" spans="15:27" x14ac:dyDescent="0.2">
      <c r="O531" s="33">
        <v>1</v>
      </c>
      <c r="P531" s="27" t="str">
        <f>_xll.qlPeriodEquivalent(P530&amp;"+"&amp;O531&amp;"M")</f>
        <v>44Y</v>
      </c>
      <c r="Q531" s="28">
        <f>_xll.qlCalendarAdvance(Calendar,SettlementDate,P531,"f",,Trigger)</f>
        <v>58235</v>
      </c>
      <c r="R531" s="28">
        <f>_xll.qlInterestRateIndexValueDate(Index,Q531,Trigger)</f>
        <v>58237</v>
      </c>
      <c r="S531" s="28">
        <f>_xll.qlInterestRateIndexMaturity(Index,R531,Trigger)</f>
        <v>58267</v>
      </c>
      <c r="T531" s="30">
        <f>_xll.qlIndexFixing($M$6,Q531,,InterestRatesTrigger)</f>
        <v>1.2434983520255294E-2</v>
      </c>
      <c r="U531" s="30" t="e">
        <f>_xll.qlIndexFixing(Index,Q531,,InterestRatesTrigger)</f>
        <v>#NUM!</v>
      </c>
      <c r="V531" s="30" t="e">
        <f t="shared" si="28"/>
        <v>#NUM!</v>
      </c>
      <c r="W531" s="29">
        <f>_xll.qlDayCounterYearFraction(DayCounter,SettlementDate,R531,,,Trigger)</f>
        <v>44.65</v>
      </c>
      <c r="X531" s="29">
        <f>_xll.qlDayCounterYearFraction(DayCounter,R531,S531)</f>
        <v>8.3333333333333329E-2</v>
      </c>
      <c r="Y531" s="29" t="e">
        <f>_xll.qlYieldTSDiscount(Currency&amp;"ON",R531)/(1+U531*X531)</f>
        <v>#NUM!</v>
      </c>
      <c r="Z531" s="30" t="e">
        <f>_xll.qlTenorBasisValue(TenorBasis6M,R531,InterestRatesTrigger)</f>
        <v>#VALUE!</v>
      </c>
      <c r="AA531" s="30" t="e">
        <f t="shared" si="29"/>
        <v>#NUM!</v>
      </c>
    </row>
    <row r="532" spans="15:27" x14ac:dyDescent="0.2">
      <c r="O532" s="33">
        <v>1</v>
      </c>
      <c r="P532" s="27" t="str">
        <f>_xll.qlPeriodEquivalent(P531&amp;"+"&amp;O532&amp;"M")</f>
        <v>44Y1M</v>
      </c>
      <c r="Q532" s="28">
        <f>_xll.qlCalendarAdvance(Calendar,SettlementDate,P532,"f",,Trigger)</f>
        <v>58264</v>
      </c>
      <c r="R532" s="28">
        <f>_xll.qlInterestRateIndexValueDate(Index,Q532,Trigger)</f>
        <v>58266</v>
      </c>
      <c r="S532" s="28">
        <f>_xll.qlInterestRateIndexMaturity(Index,R532,Trigger)</f>
        <v>58298</v>
      </c>
      <c r="T532" s="30">
        <f>_xll.qlIndexFixing($M$6,Q532,,InterestRatesTrigger)</f>
        <v>1.2414991043602774E-2</v>
      </c>
      <c r="U532" s="30" t="e">
        <f>_xll.qlIndexFixing(Index,Q532,,InterestRatesTrigger)</f>
        <v>#NUM!</v>
      </c>
      <c r="V532" s="30" t="e">
        <f t="shared" si="28"/>
        <v>#NUM!</v>
      </c>
      <c r="W532" s="29">
        <f>_xll.qlDayCounterYearFraction(DayCounter,SettlementDate,R532,,,Trigger)</f>
        <v>44.730555555555554</v>
      </c>
      <c r="X532" s="29">
        <f>_xll.qlDayCounterYearFraction(DayCounter,R532,S532)</f>
        <v>8.8888888888888892E-2</v>
      </c>
      <c r="Y532" s="29" t="e">
        <f>_xll.qlYieldTSDiscount(Currency&amp;"ON",R532)/(1+U532*X532)</f>
        <v>#NUM!</v>
      </c>
      <c r="Z532" s="30" t="e">
        <f>_xll.qlTenorBasisValue(TenorBasis6M,R532,InterestRatesTrigger)</f>
        <v>#VALUE!</v>
      </c>
      <c r="AA532" s="30" t="e">
        <f t="shared" si="29"/>
        <v>#NUM!</v>
      </c>
    </row>
    <row r="533" spans="15:27" x14ac:dyDescent="0.2">
      <c r="O533" s="33">
        <v>1</v>
      </c>
      <c r="P533" s="27" t="str">
        <f>_xll.qlPeriodEquivalent(P532&amp;"+"&amp;O533&amp;"M")</f>
        <v>44Y2M</v>
      </c>
      <c r="Q533" s="28">
        <f>_xll.qlCalendarAdvance(Calendar,SettlementDate,P533,"f",,Trigger)</f>
        <v>58295</v>
      </c>
      <c r="R533" s="28">
        <f>_xll.qlInterestRateIndexValueDate(Index,Q533,Trigger)</f>
        <v>58299</v>
      </c>
      <c r="S533" s="28">
        <f>_xll.qlInterestRateIndexMaturity(Index,R533,Trigger)</f>
        <v>58330</v>
      </c>
      <c r="T533" s="30">
        <f>_xll.qlIndexFixing($M$6,Q533,,InterestRatesTrigger)</f>
        <v>1.2393456454793681E-2</v>
      </c>
      <c r="U533" s="30" t="e">
        <f>_xll.qlIndexFixing(Index,Q533,,InterestRatesTrigger)</f>
        <v>#NUM!</v>
      </c>
      <c r="V533" s="30" t="e">
        <f t="shared" si="28"/>
        <v>#NUM!</v>
      </c>
      <c r="W533" s="29">
        <f>_xll.qlDayCounterYearFraction(DayCounter,SettlementDate,R533,,,Trigger)</f>
        <v>44.822222222222223</v>
      </c>
      <c r="X533" s="29">
        <f>_xll.qlDayCounterYearFraction(DayCounter,R533,S533)</f>
        <v>8.611111111111111E-2</v>
      </c>
      <c r="Y533" s="29" t="e">
        <f>_xll.qlYieldTSDiscount(Currency&amp;"ON",R533)/(1+U533*X533)</f>
        <v>#NUM!</v>
      </c>
      <c r="Z533" s="30" t="e">
        <f>_xll.qlTenorBasisValue(TenorBasis6M,R533,InterestRatesTrigger)</f>
        <v>#VALUE!</v>
      </c>
      <c r="AA533" s="30" t="e">
        <f t="shared" si="29"/>
        <v>#NUM!</v>
      </c>
    </row>
    <row r="534" spans="15:27" x14ac:dyDescent="0.2">
      <c r="O534" s="33">
        <v>1</v>
      </c>
      <c r="P534" s="27" t="str">
        <f>_xll.qlPeriodEquivalent(P533&amp;"+"&amp;O534&amp;"M")</f>
        <v>44Y3M</v>
      </c>
      <c r="Q534" s="28">
        <f>_xll.qlCalendarAdvance(Calendar,SettlementDate,P534,"f",,Trigger)</f>
        <v>58326</v>
      </c>
      <c r="R534" s="28">
        <f>_xll.qlInterestRateIndexValueDate(Index,Q534,Trigger)</f>
        <v>58328</v>
      </c>
      <c r="S534" s="28">
        <f>_xll.qlInterestRateIndexMaturity(Index,R534,Trigger)</f>
        <v>58358</v>
      </c>
      <c r="T534" s="30">
        <f>_xll.qlIndexFixing($M$6,Q534,,InterestRatesTrigger)</f>
        <v>1.2375239397979243E-2</v>
      </c>
      <c r="U534" s="30" t="e">
        <f>_xll.qlIndexFixing(Index,Q534,,InterestRatesTrigger)</f>
        <v>#NUM!</v>
      </c>
      <c r="V534" s="30" t="e">
        <f t="shared" si="28"/>
        <v>#NUM!</v>
      </c>
      <c r="W534" s="29">
        <f>_xll.qlDayCounterYearFraction(DayCounter,SettlementDate,R534,,,Trigger)</f>
        <v>44.902777777777779</v>
      </c>
      <c r="X534" s="29">
        <f>_xll.qlDayCounterYearFraction(DayCounter,R534,S534)</f>
        <v>8.3333333333333329E-2</v>
      </c>
      <c r="Y534" s="29" t="e">
        <f>_xll.qlYieldTSDiscount(Currency&amp;"ON",R534)/(1+U534*X534)</f>
        <v>#NUM!</v>
      </c>
      <c r="Z534" s="30" t="e">
        <f>_xll.qlTenorBasisValue(TenorBasis6M,R534,InterestRatesTrigger)</f>
        <v>#VALUE!</v>
      </c>
      <c r="AA534" s="30" t="e">
        <f t="shared" si="29"/>
        <v>#NUM!</v>
      </c>
    </row>
    <row r="535" spans="15:27" x14ac:dyDescent="0.2">
      <c r="O535" s="33">
        <v>1</v>
      </c>
      <c r="P535" s="27" t="str">
        <f>_xll.qlPeriodEquivalent(P534&amp;"+"&amp;O535&amp;"M")</f>
        <v>44Y4M</v>
      </c>
      <c r="Q535" s="28">
        <f>_xll.qlCalendarAdvance(Calendar,SettlementDate,P535,"f",,Trigger)</f>
        <v>58356</v>
      </c>
      <c r="R535" s="28">
        <f>_xll.qlInterestRateIndexValueDate(Index,Q535,Trigger)</f>
        <v>58358</v>
      </c>
      <c r="S535" s="28">
        <f>_xll.qlInterestRateIndexMaturity(Index,R535,Trigger)</f>
        <v>58389</v>
      </c>
      <c r="T535" s="30">
        <f>_xll.qlIndexFixing($M$6,Q535,,InterestRatesTrigger)</f>
        <v>1.2356904907474505E-2</v>
      </c>
      <c r="U535" s="30" t="e">
        <f>_xll.qlIndexFixing(Index,Q535,,InterestRatesTrigger)</f>
        <v>#NUM!</v>
      </c>
      <c r="V535" s="30" t="e">
        <f t="shared" si="28"/>
        <v>#NUM!</v>
      </c>
      <c r="W535" s="29">
        <f>_xll.qlDayCounterYearFraction(DayCounter,SettlementDate,R535,,,Trigger)</f>
        <v>44.986111111111114</v>
      </c>
      <c r="X535" s="29">
        <f>_xll.qlDayCounterYearFraction(DayCounter,R535,S535)</f>
        <v>8.611111111111111E-2</v>
      </c>
      <c r="Y535" s="29" t="e">
        <f>_xll.qlYieldTSDiscount(Currency&amp;"ON",R535)/(1+U535*X535)</f>
        <v>#NUM!</v>
      </c>
      <c r="Z535" s="30" t="e">
        <f>_xll.qlTenorBasisValue(TenorBasis6M,R535,InterestRatesTrigger)</f>
        <v>#VALUE!</v>
      </c>
      <c r="AA535" s="30" t="e">
        <f t="shared" si="29"/>
        <v>#NUM!</v>
      </c>
    </row>
    <row r="536" spans="15:27" x14ac:dyDescent="0.2">
      <c r="O536" s="33">
        <v>1</v>
      </c>
      <c r="P536" s="27" t="str">
        <f>_xll.qlPeriodEquivalent(P535&amp;"+"&amp;O536&amp;"M")</f>
        <v>44Y5M</v>
      </c>
      <c r="Q536" s="28">
        <f>_xll.qlCalendarAdvance(Calendar,SettlementDate,P536,"f",,Trigger)</f>
        <v>58389</v>
      </c>
      <c r="R536" s="28">
        <f>_xll.qlInterestRateIndexValueDate(Index,Q536,Trigger)</f>
        <v>58391</v>
      </c>
      <c r="S536" s="28">
        <f>_xll.qlInterestRateIndexMaturity(Index,R536,Trigger)</f>
        <v>58421</v>
      </c>
      <c r="T536" s="30">
        <f>_xll.qlIndexFixing($M$6,Q536,,InterestRatesTrigger)</f>
        <v>1.23377413824306E-2</v>
      </c>
      <c r="U536" s="30" t="e">
        <f>_xll.qlIndexFixing(Index,Q536,,InterestRatesTrigger)</f>
        <v>#NUM!</v>
      </c>
      <c r="V536" s="30" t="e">
        <f t="shared" si="28"/>
        <v>#NUM!</v>
      </c>
      <c r="W536" s="29">
        <f>_xll.qlDayCounterYearFraction(DayCounter,SettlementDate,R536,,,Trigger)</f>
        <v>45.077777777777776</v>
      </c>
      <c r="X536" s="29">
        <f>_xll.qlDayCounterYearFraction(DayCounter,R536,S536)</f>
        <v>8.3333333333333329E-2</v>
      </c>
      <c r="Y536" s="29" t="e">
        <f>_xll.qlYieldTSDiscount(Currency&amp;"ON",R536)/(1+U536*X536)</f>
        <v>#NUM!</v>
      </c>
      <c r="Z536" s="30" t="e">
        <f>_xll.qlTenorBasisValue(TenorBasis6M,R536,InterestRatesTrigger)</f>
        <v>#VALUE!</v>
      </c>
      <c r="AA536" s="30" t="e">
        <f t="shared" si="29"/>
        <v>#NUM!</v>
      </c>
    </row>
    <row r="537" spans="15:27" x14ac:dyDescent="0.2">
      <c r="O537" s="33">
        <v>1</v>
      </c>
      <c r="P537" s="27" t="str">
        <f>_xll.qlPeriodEquivalent(P536&amp;"+"&amp;O537&amp;"M")</f>
        <v>44Y6M</v>
      </c>
      <c r="Q537" s="28">
        <f>_xll.qlCalendarAdvance(Calendar,SettlementDate,P537,"f",,Trigger)</f>
        <v>58417</v>
      </c>
      <c r="R537" s="28">
        <f>_xll.qlInterestRateIndexValueDate(Index,Q537,Trigger)</f>
        <v>58419</v>
      </c>
      <c r="S537" s="28">
        <f>_xll.qlInterestRateIndexMaturity(Index,R537,Trigger)</f>
        <v>58452</v>
      </c>
      <c r="T537" s="30">
        <f>_xll.qlIndexFixing($M$6,Q537,,InterestRatesTrigger)</f>
        <v>1.232190798992586E-2</v>
      </c>
      <c r="U537" s="30" t="e">
        <f>_xll.qlIndexFixing(Index,Q537,,InterestRatesTrigger)</f>
        <v>#NUM!</v>
      </c>
      <c r="V537" s="30" t="e">
        <f t="shared" si="28"/>
        <v>#NUM!</v>
      </c>
      <c r="W537" s="29">
        <f>_xll.qlDayCounterYearFraction(DayCounter,SettlementDate,R537,,,Trigger)</f>
        <v>45.155555555555559</v>
      </c>
      <c r="X537" s="29">
        <f>_xll.qlDayCounterYearFraction(DayCounter,R537,S537)</f>
        <v>9.166666666666666E-2</v>
      </c>
      <c r="Y537" s="29" t="e">
        <f>_xll.qlYieldTSDiscount(Currency&amp;"ON",R537)/(1+U537*X537)</f>
        <v>#NUM!</v>
      </c>
      <c r="Z537" s="30" t="e">
        <f>_xll.qlTenorBasisValue(TenorBasis6M,R537,InterestRatesTrigger)</f>
        <v>#VALUE!</v>
      </c>
      <c r="AA537" s="30" t="e">
        <f t="shared" si="29"/>
        <v>#NUM!</v>
      </c>
    </row>
    <row r="538" spans="15:27" x14ac:dyDescent="0.2">
      <c r="O538" s="33">
        <v>1</v>
      </c>
      <c r="P538" s="27" t="str">
        <f>_xll.qlPeriodEquivalent(P537&amp;"+"&amp;O538&amp;"M")</f>
        <v>44Y7M</v>
      </c>
      <c r="Q538" s="28">
        <f>_xll.qlCalendarAdvance(Calendar,SettlementDate,P538,"f",,Trigger)</f>
        <v>58448</v>
      </c>
      <c r="R538" s="28">
        <f>_xll.qlInterestRateIndexValueDate(Index,Q538,Trigger)</f>
        <v>58452</v>
      </c>
      <c r="S538" s="28">
        <f>_xll.qlInterestRateIndexMaturity(Index,R538,Trigger)</f>
        <v>58483</v>
      </c>
      <c r="T538" s="30">
        <f>_xll.qlIndexFixing($M$6,Q538,,InterestRatesTrigger)</f>
        <v>1.2304397255647989E-2</v>
      </c>
      <c r="U538" s="30" t="e">
        <f>_xll.qlIndexFixing(Index,Q538,,InterestRatesTrigger)</f>
        <v>#NUM!</v>
      </c>
      <c r="V538" s="30" t="e">
        <f t="shared" si="28"/>
        <v>#NUM!</v>
      </c>
      <c r="W538" s="29">
        <f>_xll.qlDayCounterYearFraction(DayCounter,SettlementDate,R538,,,Trigger)</f>
        <v>45.24722222222222</v>
      </c>
      <c r="X538" s="29">
        <f>_xll.qlDayCounterYearFraction(DayCounter,R538,S538)</f>
        <v>8.611111111111111E-2</v>
      </c>
      <c r="Y538" s="29" t="e">
        <f>_xll.qlYieldTSDiscount(Currency&amp;"ON",R538)/(1+U538*X538)</f>
        <v>#NUM!</v>
      </c>
      <c r="Z538" s="30" t="e">
        <f>_xll.qlTenorBasisValue(TenorBasis6M,R538,InterestRatesTrigger)</f>
        <v>#VALUE!</v>
      </c>
      <c r="AA538" s="30" t="e">
        <f t="shared" si="29"/>
        <v>#NUM!</v>
      </c>
    </row>
    <row r="539" spans="15:27" x14ac:dyDescent="0.2">
      <c r="O539" s="33">
        <v>1</v>
      </c>
      <c r="P539" s="27" t="str">
        <f>_xll.qlPeriodEquivalent(P538&amp;"+"&amp;O539&amp;"M")</f>
        <v>44Y8M</v>
      </c>
      <c r="Q539" s="28">
        <f>_xll.qlCalendarAdvance(Calendar,SettlementDate,P539,"f",,Trigger)</f>
        <v>58480</v>
      </c>
      <c r="R539" s="28">
        <f>_xll.qlInterestRateIndexValueDate(Index,Q539,Trigger)</f>
        <v>58482</v>
      </c>
      <c r="S539" s="28">
        <f>_xll.qlInterestRateIndexMaturity(Index,R539,Trigger)</f>
        <v>58511</v>
      </c>
      <c r="T539" s="30">
        <f>_xll.qlIndexFixing($M$6,Q539,,InterestRatesTrigger)</f>
        <v>1.2289195114127729E-2</v>
      </c>
      <c r="U539" s="30" t="e">
        <f>_xll.qlIndexFixing(Index,Q539,,InterestRatesTrigger)</f>
        <v>#NUM!</v>
      </c>
      <c r="V539" s="30" t="e">
        <f t="shared" si="28"/>
        <v>#NUM!</v>
      </c>
      <c r="W539" s="29">
        <f>_xll.qlDayCounterYearFraction(DayCounter,SettlementDate,R539,,,Trigger)</f>
        <v>45.330555555555556</v>
      </c>
      <c r="X539" s="29">
        <f>_xll.qlDayCounterYearFraction(DayCounter,R539,S539)</f>
        <v>8.0555555555555561E-2</v>
      </c>
      <c r="Y539" s="29" t="e">
        <f>_xll.qlYieldTSDiscount(Currency&amp;"ON",R539)/(1+U539*X539)</f>
        <v>#NUM!</v>
      </c>
      <c r="Z539" s="30" t="e">
        <f>_xll.qlTenorBasisValue(TenorBasis6M,R539,InterestRatesTrigger)</f>
        <v>#VALUE!</v>
      </c>
      <c r="AA539" s="30" t="e">
        <f t="shared" si="29"/>
        <v>#NUM!</v>
      </c>
    </row>
    <row r="540" spans="15:27" x14ac:dyDescent="0.2">
      <c r="O540" s="33">
        <v>1</v>
      </c>
      <c r="P540" s="27" t="str">
        <f>_xll.qlPeriodEquivalent(P539&amp;"+"&amp;O540&amp;"M")</f>
        <v>44Y9M</v>
      </c>
      <c r="Q540" s="28">
        <f>_xll.qlCalendarAdvance(Calendar,SettlementDate,P540,"f",,Trigger)</f>
        <v>58508</v>
      </c>
      <c r="R540" s="28">
        <f>_xll.qlInterestRateIndexValueDate(Index,Q540,Trigger)</f>
        <v>58510</v>
      </c>
      <c r="S540" s="28">
        <f>_xll.qlInterestRateIndexMaturity(Index,R540,Trigger)</f>
        <v>58543</v>
      </c>
      <c r="T540" s="30">
        <f>_xll.qlIndexFixing($M$6,Q540,,InterestRatesTrigger)</f>
        <v>1.2275457561081929E-2</v>
      </c>
      <c r="U540" s="30" t="e">
        <f>_xll.qlIndexFixing(Index,Q540,,InterestRatesTrigger)</f>
        <v>#NUM!</v>
      </c>
      <c r="V540" s="30" t="e">
        <f t="shared" si="28"/>
        <v>#NUM!</v>
      </c>
      <c r="W540" s="29">
        <f>_xll.qlDayCounterYearFraction(DayCounter,SettlementDate,R540,,,Trigger)</f>
        <v>45.408333333333331</v>
      </c>
      <c r="X540" s="29">
        <f>_xll.qlDayCounterYearFraction(DayCounter,R540,S540)</f>
        <v>9.166666666666666E-2</v>
      </c>
      <c r="Y540" s="29" t="e">
        <f>_xll.qlYieldTSDiscount(Currency&amp;"ON",R540)/(1+U540*X540)</f>
        <v>#NUM!</v>
      </c>
      <c r="Z540" s="30" t="e">
        <f>_xll.qlTenorBasisValue(TenorBasis6M,R540,InterestRatesTrigger)</f>
        <v>#VALUE!</v>
      </c>
      <c r="AA540" s="30" t="e">
        <f t="shared" si="29"/>
        <v>#NUM!</v>
      </c>
    </row>
    <row r="541" spans="15:27" x14ac:dyDescent="0.2">
      <c r="O541" s="33">
        <v>1</v>
      </c>
      <c r="P541" s="27" t="str">
        <f>_xll.qlPeriodEquivalent(P540&amp;"+"&amp;O541&amp;"M")</f>
        <v>44Y10M</v>
      </c>
      <c r="Q541" s="28">
        <f>_xll.qlCalendarAdvance(Calendar,SettlementDate,P541,"f",,Trigger)</f>
        <v>58539</v>
      </c>
      <c r="R541" s="28">
        <f>_xll.qlInterestRateIndexValueDate(Index,Q541,Trigger)</f>
        <v>58543</v>
      </c>
      <c r="S541" s="28">
        <f>_xll.qlInterestRateIndexMaturity(Index,R541,Trigger)</f>
        <v>58573</v>
      </c>
      <c r="T541" s="30">
        <f>_xll.qlIndexFixing($M$6,Q541,,InterestRatesTrigger)</f>
        <v>1.2260282839549497E-2</v>
      </c>
      <c r="U541" s="30" t="e">
        <f>_xll.qlIndexFixing(Index,Q541,,InterestRatesTrigger)</f>
        <v>#NUM!</v>
      </c>
      <c r="V541" s="30" t="e">
        <f t="shared" si="28"/>
        <v>#NUM!</v>
      </c>
      <c r="W541" s="29">
        <f>_xll.qlDayCounterYearFraction(DayCounter,SettlementDate,R541,,,Trigger)</f>
        <v>45.5</v>
      </c>
      <c r="X541" s="29">
        <f>_xll.qlDayCounterYearFraction(DayCounter,R541,S541)</f>
        <v>8.3333333333333329E-2</v>
      </c>
      <c r="Y541" s="29" t="e">
        <f>_xll.qlYieldTSDiscount(Currency&amp;"ON",R541)/(1+U541*X541)</f>
        <v>#NUM!</v>
      </c>
      <c r="Z541" s="30" t="e">
        <f>_xll.qlTenorBasisValue(TenorBasis6M,R541,InterestRatesTrigger)</f>
        <v>#VALUE!</v>
      </c>
      <c r="AA541" s="30" t="e">
        <f t="shared" si="29"/>
        <v>#NUM!</v>
      </c>
    </row>
    <row r="542" spans="15:27" x14ac:dyDescent="0.2">
      <c r="O542" s="33">
        <v>1</v>
      </c>
      <c r="P542" s="27" t="str">
        <f>_xll.qlPeriodEquivalent(P541&amp;"+"&amp;O542&amp;"M")</f>
        <v>44Y11M</v>
      </c>
      <c r="Q542" s="28">
        <f>_xll.qlCalendarAdvance(Calendar,SettlementDate,P542,"f",,Trigger)</f>
        <v>58571</v>
      </c>
      <c r="R542" s="28">
        <f>_xll.qlInterestRateIndexValueDate(Index,Q542,Trigger)</f>
        <v>58573</v>
      </c>
      <c r="S542" s="28">
        <f>_xll.qlInterestRateIndexMaturity(Index,R542,Trigger)</f>
        <v>58606</v>
      </c>
      <c r="T542" s="30">
        <f>_xll.qlIndexFixing($M$6,Q542,,InterestRatesTrigger)</f>
        <v>1.2247163178104745E-2</v>
      </c>
      <c r="U542" s="30" t="e">
        <f>_xll.qlIndexFixing(Index,Q542,,InterestRatesTrigger)</f>
        <v>#NUM!</v>
      </c>
      <c r="V542" s="30" t="e">
        <f t="shared" si="28"/>
        <v>#NUM!</v>
      </c>
      <c r="W542" s="29">
        <f>_xll.qlDayCounterYearFraction(DayCounter,SettlementDate,R542,,,Trigger)</f>
        <v>45.583333333333336</v>
      </c>
      <c r="X542" s="29">
        <f>_xll.qlDayCounterYearFraction(DayCounter,R542,S542)</f>
        <v>9.166666666666666E-2</v>
      </c>
      <c r="Y542" s="29" t="e">
        <f>_xll.qlYieldTSDiscount(Currency&amp;"ON",R542)/(1+U542*X542)</f>
        <v>#NUM!</v>
      </c>
      <c r="Z542" s="30" t="e">
        <f>_xll.qlTenorBasisValue(TenorBasis6M,R542,InterestRatesTrigger)</f>
        <v>#VALUE!</v>
      </c>
      <c r="AA542" s="30" t="e">
        <f t="shared" si="29"/>
        <v>#NUM!</v>
      </c>
    </row>
    <row r="543" spans="15:27" x14ac:dyDescent="0.2">
      <c r="O543" s="33">
        <v>1</v>
      </c>
      <c r="P543" s="27" t="str">
        <f>_xll.qlPeriodEquivalent(P542&amp;"+"&amp;O543&amp;"M")</f>
        <v>45Y</v>
      </c>
      <c r="Q543" s="28">
        <f>_xll.qlCalendarAdvance(Calendar,SettlementDate,P543,"f",,Trigger)</f>
        <v>58600</v>
      </c>
      <c r="R543" s="28">
        <f>_xll.qlInterestRateIndexValueDate(Index,Q543,Trigger)</f>
        <v>58602</v>
      </c>
      <c r="S543" s="28">
        <f>_xll.qlInterestRateIndexMaturity(Index,R543,Trigger)</f>
        <v>58634</v>
      </c>
      <c r="T543" s="30">
        <f>_xll.qlIndexFixing($M$6,Q543,,InterestRatesTrigger)</f>
        <v>1.2235191808170065E-2</v>
      </c>
      <c r="U543" s="30" t="e">
        <f>_xll.qlIndexFixing(Index,Q543,,InterestRatesTrigger)</f>
        <v>#NUM!</v>
      </c>
      <c r="V543" s="30" t="e">
        <f t="shared" si="28"/>
        <v>#NUM!</v>
      </c>
      <c r="W543" s="29">
        <f>_xll.qlDayCounterYearFraction(DayCounter,SettlementDate,R543,,,Trigger)</f>
        <v>45.663888888888891</v>
      </c>
      <c r="X543" s="29">
        <f>_xll.qlDayCounterYearFraction(DayCounter,R543,S543)</f>
        <v>8.8888888888888892E-2</v>
      </c>
      <c r="Y543" s="29" t="e">
        <f>_xll.qlYieldTSDiscount(Currency&amp;"ON",R543)/(1+U543*X543)</f>
        <v>#NUM!</v>
      </c>
      <c r="Z543" s="30" t="e">
        <f>_xll.qlTenorBasisValue(TenorBasis6M,R543,InterestRatesTrigger)</f>
        <v>#VALUE!</v>
      </c>
      <c r="AA543" s="30" t="e">
        <f t="shared" si="29"/>
        <v>#NUM!</v>
      </c>
    </row>
    <row r="544" spans="15:27" x14ac:dyDescent="0.2">
      <c r="O544" s="33">
        <v>1</v>
      </c>
      <c r="P544" s="27" t="str">
        <f>_xll.qlPeriodEquivalent(P543&amp;"+"&amp;O544&amp;"M")</f>
        <v>45Y1M</v>
      </c>
      <c r="Q544" s="28">
        <f>_xll.qlCalendarAdvance(Calendar,SettlementDate,P544,"f",,Trigger)</f>
        <v>58630</v>
      </c>
      <c r="R544" s="28">
        <f>_xll.qlInterestRateIndexValueDate(Index,Q544,Trigger)</f>
        <v>58634</v>
      </c>
      <c r="S544" s="28">
        <f>_xll.qlInterestRateIndexMaturity(Index,R544,Trigger)</f>
        <v>58665</v>
      </c>
      <c r="T544" s="30">
        <f>_xll.qlIndexFixing($M$6,Q544,,InterestRatesTrigger)</f>
        <v>1.2222735943342194E-2</v>
      </c>
      <c r="U544" s="30" t="e">
        <f>_xll.qlIndexFixing(Index,Q544,,InterestRatesTrigger)</f>
        <v>#NUM!</v>
      </c>
      <c r="V544" s="30" t="e">
        <f t="shared" si="28"/>
        <v>#NUM!</v>
      </c>
      <c r="W544" s="29">
        <f>_xll.qlDayCounterYearFraction(DayCounter,SettlementDate,R544,,,Trigger)</f>
        <v>45.75277777777778</v>
      </c>
      <c r="X544" s="29">
        <f>_xll.qlDayCounterYearFraction(DayCounter,R544,S544)</f>
        <v>8.611111111111111E-2</v>
      </c>
      <c r="Y544" s="29" t="e">
        <f>_xll.qlYieldTSDiscount(Currency&amp;"ON",R544)/(1+U544*X544)</f>
        <v>#NUM!</v>
      </c>
      <c r="Z544" s="30" t="e">
        <f>_xll.qlTenorBasisValue(TenorBasis6M,R544,InterestRatesTrigger)</f>
        <v>#VALUE!</v>
      </c>
      <c r="AA544" s="30" t="e">
        <f t="shared" si="29"/>
        <v>#NUM!</v>
      </c>
    </row>
    <row r="545" spans="15:27" x14ac:dyDescent="0.2">
      <c r="O545" s="33">
        <v>1</v>
      </c>
      <c r="P545" s="27" t="str">
        <f>_xll.qlPeriodEquivalent(P544&amp;"+"&amp;O545&amp;"M")</f>
        <v>45Y2M</v>
      </c>
      <c r="Q545" s="28">
        <f>_xll.qlCalendarAdvance(Calendar,SettlementDate,P545,"f",,Trigger)</f>
        <v>58662</v>
      </c>
      <c r="R545" s="28">
        <f>_xll.qlInterestRateIndexValueDate(Index,Q545,Trigger)</f>
        <v>58664</v>
      </c>
      <c r="S545" s="28">
        <f>_xll.qlInterestRateIndexMaturity(Index,R545,Trigger)</f>
        <v>58697</v>
      </c>
      <c r="T545" s="30">
        <f>_xll.qlIndexFixing($M$6,Q545,,InterestRatesTrigger)</f>
        <v>1.2211874222102541E-2</v>
      </c>
      <c r="U545" s="30" t="e">
        <f>_xll.qlIndexFixing(Index,Q545,,InterestRatesTrigger)</f>
        <v>#NUM!</v>
      </c>
      <c r="V545" s="30" t="e">
        <f t="shared" si="28"/>
        <v>#NUM!</v>
      </c>
      <c r="W545" s="29">
        <f>_xll.qlDayCounterYearFraction(DayCounter,SettlementDate,R545,,,Trigger)</f>
        <v>45.836111111111109</v>
      </c>
      <c r="X545" s="29">
        <f>_xll.qlDayCounterYearFraction(DayCounter,R545,S545)</f>
        <v>9.166666666666666E-2</v>
      </c>
      <c r="Y545" s="29" t="e">
        <f>_xll.qlYieldTSDiscount(Currency&amp;"ON",R545)/(1+U545*X545)</f>
        <v>#NUM!</v>
      </c>
      <c r="Z545" s="30" t="e">
        <f>_xll.qlTenorBasisValue(TenorBasis6M,R545,InterestRatesTrigger)</f>
        <v>#VALUE!</v>
      </c>
      <c r="AA545" s="30" t="e">
        <f t="shared" si="29"/>
        <v>#NUM!</v>
      </c>
    </row>
    <row r="546" spans="15:27" x14ac:dyDescent="0.2">
      <c r="O546" s="33">
        <v>1</v>
      </c>
      <c r="P546" s="27" t="str">
        <f>_xll.qlPeriodEquivalent(P545&amp;"+"&amp;O546&amp;"M")</f>
        <v>45Y3M</v>
      </c>
      <c r="Q546" s="28">
        <f>_xll.qlCalendarAdvance(Calendar,SettlementDate,P546,"f",,Trigger)</f>
        <v>58692</v>
      </c>
      <c r="R546" s="28">
        <f>_xll.qlInterestRateIndexValueDate(Index,Q546,Trigger)</f>
        <v>58694</v>
      </c>
      <c r="S546" s="28">
        <f>_xll.qlInterestRateIndexMaturity(Index,R546,Trigger)</f>
        <v>58725</v>
      </c>
      <c r="T546" s="30">
        <f>_xll.qlIndexFixing($M$6,Q546,,InterestRatesTrigger)</f>
        <v>1.2201596435876386E-2</v>
      </c>
      <c r="U546" s="30" t="e">
        <f>_xll.qlIndexFixing(Index,Q546,,InterestRatesTrigger)</f>
        <v>#NUM!</v>
      </c>
      <c r="V546" s="30" t="e">
        <f t="shared" si="28"/>
        <v>#NUM!</v>
      </c>
      <c r="W546" s="29">
        <f>_xll.qlDayCounterYearFraction(DayCounter,SettlementDate,R546,,,Trigger)</f>
        <v>45.919444444444444</v>
      </c>
      <c r="X546" s="29">
        <f>_xll.qlDayCounterYearFraction(DayCounter,R546,S546)</f>
        <v>8.611111111111111E-2</v>
      </c>
      <c r="Y546" s="29" t="e">
        <f>_xll.qlYieldTSDiscount(Currency&amp;"ON",R546)/(1+U546*X546)</f>
        <v>#NUM!</v>
      </c>
      <c r="Z546" s="30" t="e">
        <f>_xll.qlTenorBasisValue(TenorBasis6M,R546,InterestRatesTrigger)</f>
        <v>#VALUE!</v>
      </c>
      <c r="AA546" s="30" t="e">
        <f t="shared" si="29"/>
        <v>#NUM!</v>
      </c>
    </row>
    <row r="547" spans="15:27" x14ac:dyDescent="0.2">
      <c r="O547" s="33">
        <v>1</v>
      </c>
      <c r="P547" s="27" t="str">
        <f>_xll.qlPeriodEquivalent(P546&amp;"+"&amp;O547&amp;"M")</f>
        <v>45Y4M</v>
      </c>
      <c r="Q547" s="28">
        <f>_xll.qlCalendarAdvance(Calendar,SettlementDate,P547,"f",,Trigger)</f>
        <v>58722</v>
      </c>
      <c r="R547" s="28">
        <f>_xll.qlInterestRateIndexValueDate(Index,Q547,Trigger)</f>
        <v>58726</v>
      </c>
      <c r="S547" s="28">
        <f>_xll.qlInterestRateIndexMaturity(Index,R547,Trigger)</f>
        <v>58757</v>
      </c>
      <c r="T547" s="30">
        <f>_xll.qlIndexFixing($M$6,Q547,,InterestRatesTrigger)</f>
        <v>1.2191494310030863E-2</v>
      </c>
      <c r="U547" s="30" t="e">
        <f>_xll.qlIndexFixing(Index,Q547,,InterestRatesTrigger)</f>
        <v>#NUM!</v>
      </c>
      <c r="V547" s="30" t="e">
        <f t="shared" si="28"/>
        <v>#NUM!</v>
      </c>
      <c r="W547" s="29">
        <f>_xll.qlDayCounterYearFraction(DayCounter,SettlementDate,R547,,,Trigger)</f>
        <v>46.008333333333333</v>
      </c>
      <c r="X547" s="29">
        <f>_xll.qlDayCounterYearFraction(DayCounter,R547,S547)</f>
        <v>8.611111111111111E-2</v>
      </c>
      <c r="Y547" s="29" t="e">
        <f>_xll.qlYieldTSDiscount(Currency&amp;"ON",R547)/(1+U547*X547)</f>
        <v>#NUM!</v>
      </c>
      <c r="Z547" s="30" t="e">
        <f>_xll.qlTenorBasisValue(TenorBasis6M,R547,InterestRatesTrigger)</f>
        <v>#VALUE!</v>
      </c>
      <c r="AA547" s="30" t="e">
        <f t="shared" si="29"/>
        <v>#NUM!</v>
      </c>
    </row>
    <row r="548" spans="15:27" x14ac:dyDescent="0.2">
      <c r="O548" s="33">
        <v>1</v>
      </c>
      <c r="P548" s="27" t="str">
        <f>_xll.qlPeriodEquivalent(P547&amp;"+"&amp;O548&amp;"M")</f>
        <v>45Y5M</v>
      </c>
      <c r="Q548" s="28">
        <f>_xll.qlCalendarAdvance(Calendar,SettlementDate,P548,"f",,Trigger)</f>
        <v>58753</v>
      </c>
      <c r="R548" s="28">
        <f>_xll.qlInterestRateIndexValueDate(Index,Q548,Trigger)</f>
        <v>58755</v>
      </c>
      <c r="S548" s="28">
        <f>_xll.qlInterestRateIndexMaturity(Index,R548,Trigger)</f>
        <v>58785</v>
      </c>
      <c r="T548" s="30">
        <f>_xll.qlIndexFixing($M$6,Q548,,InterestRatesTrigger)</f>
        <v>1.2182975582577527E-2</v>
      </c>
      <c r="U548" s="30" t="e">
        <f>_xll.qlIndexFixing(Index,Q548,,InterestRatesTrigger)</f>
        <v>#NUM!</v>
      </c>
      <c r="V548" s="30" t="e">
        <f t="shared" ref="V548:V611" si="30">U548-T548</f>
        <v>#NUM!</v>
      </c>
      <c r="W548" s="29">
        <f>_xll.qlDayCounterYearFraction(DayCounter,SettlementDate,R548,,,Trigger)</f>
        <v>46.088888888888889</v>
      </c>
      <c r="X548" s="29">
        <f>_xll.qlDayCounterYearFraction(DayCounter,R548,S548)</f>
        <v>8.3333333333333329E-2</v>
      </c>
      <c r="Y548" s="29" t="e">
        <f>_xll.qlYieldTSDiscount(Currency&amp;"ON",R548)/(1+U548*X548)</f>
        <v>#NUM!</v>
      </c>
      <c r="Z548" s="30" t="e">
        <f>_xll.qlTenorBasisValue(TenorBasis6M,R548,InterestRatesTrigger)</f>
        <v>#VALUE!</v>
      </c>
      <c r="AA548" s="30" t="e">
        <f t="shared" ref="AA548:AA611" si="31">V548-Z548</f>
        <v>#NUM!</v>
      </c>
    </row>
    <row r="549" spans="15:27" x14ac:dyDescent="0.2">
      <c r="O549" s="33">
        <v>1</v>
      </c>
      <c r="P549" s="27" t="str">
        <f>_xll.qlPeriodEquivalent(P548&amp;"+"&amp;O549&amp;"M")</f>
        <v>45Y6M</v>
      </c>
      <c r="Q549" s="28">
        <f>_xll.qlCalendarAdvance(Calendar,SettlementDate,P549,"f",,Trigger)</f>
        <v>58783</v>
      </c>
      <c r="R549" s="28">
        <f>_xll.qlInterestRateIndexValueDate(Index,Q549,Trigger)</f>
        <v>58785</v>
      </c>
      <c r="S549" s="28">
        <f>_xll.qlInterestRateIndexMaturity(Index,R549,Trigger)</f>
        <v>58816</v>
      </c>
      <c r="T549" s="30">
        <f>_xll.qlIndexFixing($M$6,Q549,,InterestRatesTrigger)</f>
        <v>1.2175006401178445E-2</v>
      </c>
      <c r="U549" s="30" t="e">
        <f>_xll.qlIndexFixing(Index,Q549,,InterestRatesTrigger)</f>
        <v>#NUM!</v>
      </c>
      <c r="V549" s="30" t="e">
        <f t="shared" si="30"/>
        <v>#NUM!</v>
      </c>
      <c r="W549" s="29">
        <f>_xll.qlDayCounterYearFraction(DayCounter,SettlementDate,R549,,,Trigger)</f>
        <v>46.172222222222224</v>
      </c>
      <c r="X549" s="29">
        <f>_xll.qlDayCounterYearFraction(DayCounter,R549,S549)</f>
        <v>8.611111111111111E-2</v>
      </c>
      <c r="Y549" s="29" t="e">
        <f>_xll.qlYieldTSDiscount(Currency&amp;"ON",R549)/(1+U549*X549)</f>
        <v>#NUM!</v>
      </c>
      <c r="Z549" s="30" t="e">
        <f>_xll.qlTenorBasisValue(TenorBasis6M,R549,InterestRatesTrigger)</f>
        <v>#VALUE!</v>
      </c>
      <c r="AA549" s="30" t="e">
        <f t="shared" si="31"/>
        <v>#NUM!</v>
      </c>
    </row>
    <row r="550" spans="15:27" x14ac:dyDescent="0.2">
      <c r="O550" s="33">
        <v>1</v>
      </c>
      <c r="P550" s="27" t="str">
        <f>_xll.qlPeriodEquivalent(P549&amp;"+"&amp;O550&amp;"M")</f>
        <v>45Y7M</v>
      </c>
      <c r="Q550" s="28">
        <f>_xll.qlCalendarAdvance(Calendar,SettlementDate,P550,"f",,Trigger)</f>
        <v>58816</v>
      </c>
      <c r="R550" s="28">
        <f>_xll.qlInterestRateIndexValueDate(Index,Q550,Trigger)</f>
        <v>58818</v>
      </c>
      <c r="S550" s="28">
        <f>_xll.qlInterestRateIndexMaturity(Index,R550,Trigger)</f>
        <v>58851</v>
      </c>
      <c r="T550" s="30">
        <f>_xll.qlIndexFixing($M$6,Q550,,InterestRatesTrigger)</f>
        <v>1.2167179277680681E-2</v>
      </c>
      <c r="U550" s="30" t="e">
        <f>_xll.qlIndexFixing(Index,Q550,,InterestRatesTrigger)</f>
        <v>#NUM!</v>
      </c>
      <c r="V550" s="30" t="e">
        <f t="shared" si="30"/>
        <v>#NUM!</v>
      </c>
      <c r="W550" s="29">
        <f>_xll.qlDayCounterYearFraction(DayCounter,SettlementDate,R550,,,Trigger)</f>
        <v>46.263888888888886</v>
      </c>
      <c r="X550" s="29">
        <f>_xll.qlDayCounterYearFraction(DayCounter,R550,S550)</f>
        <v>9.166666666666666E-2</v>
      </c>
      <c r="Y550" s="29" t="e">
        <f>_xll.qlYieldTSDiscount(Currency&amp;"ON",R550)/(1+U550*X550)</f>
        <v>#NUM!</v>
      </c>
      <c r="Z550" s="30" t="e">
        <f>_xll.qlTenorBasisValue(TenorBasis6M,R550,InterestRatesTrigger)</f>
        <v>#VALUE!</v>
      </c>
      <c r="AA550" s="30" t="e">
        <f t="shared" si="31"/>
        <v>#NUM!</v>
      </c>
    </row>
    <row r="551" spans="15:27" x14ac:dyDescent="0.2">
      <c r="O551" s="33">
        <v>1</v>
      </c>
      <c r="P551" s="27" t="str">
        <f>_xll.qlPeriodEquivalent(P550&amp;"+"&amp;O551&amp;"M")</f>
        <v>45Y8M</v>
      </c>
      <c r="Q551" s="28">
        <f>_xll.qlCalendarAdvance(Calendar,SettlementDate,P551,"f",,Trigger)</f>
        <v>58845</v>
      </c>
      <c r="R551" s="28">
        <f>_xll.qlInterestRateIndexValueDate(Index,Q551,Trigger)</f>
        <v>58847</v>
      </c>
      <c r="S551" s="28">
        <f>_xll.qlInterestRateIndexMaturity(Index,R551,Trigger)</f>
        <v>58875</v>
      </c>
      <c r="T551" s="30">
        <f>_xll.qlIndexFixing($M$6,Q551,,InterestRatesTrigger)</f>
        <v>1.2160356274260677E-2</v>
      </c>
      <c r="U551" s="30" t="e">
        <f>_xll.qlIndexFixing(Index,Q551,,InterestRatesTrigger)</f>
        <v>#NUM!</v>
      </c>
      <c r="V551" s="30" t="e">
        <f t="shared" si="30"/>
        <v>#NUM!</v>
      </c>
      <c r="W551" s="29">
        <f>_xll.qlDayCounterYearFraction(DayCounter,SettlementDate,R551,,,Trigger)</f>
        <v>46.344444444444441</v>
      </c>
      <c r="X551" s="29">
        <f>_xll.qlDayCounterYearFraction(DayCounter,R551,S551)</f>
        <v>7.7777777777777779E-2</v>
      </c>
      <c r="Y551" s="29" t="e">
        <f>_xll.qlYieldTSDiscount(Currency&amp;"ON",R551)/(1+U551*X551)</f>
        <v>#NUM!</v>
      </c>
      <c r="Z551" s="30" t="e">
        <f>_xll.qlTenorBasisValue(TenorBasis6M,R551,InterestRatesTrigger)</f>
        <v>#VALUE!</v>
      </c>
      <c r="AA551" s="30" t="e">
        <f t="shared" si="31"/>
        <v>#NUM!</v>
      </c>
    </row>
    <row r="552" spans="15:27" x14ac:dyDescent="0.2">
      <c r="O552" s="33">
        <v>1</v>
      </c>
      <c r="P552" s="27" t="str">
        <f>_xll.qlPeriodEquivalent(P551&amp;"+"&amp;O552&amp;"M")</f>
        <v>45Y9M</v>
      </c>
      <c r="Q552" s="28">
        <f>_xll.qlCalendarAdvance(Calendar,SettlementDate,P552,"f",,Trigger)</f>
        <v>58873</v>
      </c>
      <c r="R552" s="28">
        <f>_xll.qlInterestRateIndexValueDate(Index,Q552,Trigger)</f>
        <v>58875</v>
      </c>
      <c r="S552" s="28">
        <f>_xll.qlInterestRateIndexMaturity(Index,R552,Trigger)</f>
        <v>58908</v>
      </c>
      <c r="T552" s="30">
        <f>_xll.qlIndexFixing($M$6,Q552,,InterestRatesTrigger)</f>
        <v>1.2155425692068017E-2</v>
      </c>
      <c r="U552" s="30" t="e">
        <f>_xll.qlIndexFixing(Index,Q552,,InterestRatesTrigger)</f>
        <v>#NUM!</v>
      </c>
      <c r="V552" s="30" t="e">
        <f t="shared" si="30"/>
        <v>#NUM!</v>
      </c>
      <c r="W552" s="29">
        <f>_xll.qlDayCounterYearFraction(DayCounter,SettlementDate,R552,,,Trigger)</f>
        <v>46.422222222222224</v>
      </c>
      <c r="X552" s="29">
        <f>_xll.qlDayCounterYearFraction(DayCounter,R552,S552)</f>
        <v>9.166666666666666E-2</v>
      </c>
      <c r="Y552" s="29" t="e">
        <f>_xll.qlYieldTSDiscount(Currency&amp;"ON",R552)/(1+U552*X552)</f>
        <v>#NUM!</v>
      </c>
      <c r="Z552" s="30" t="e">
        <f>_xll.qlTenorBasisValue(TenorBasis6M,R552,InterestRatesTrigger)</f>
        <v>#VALUE!</v>
      </c>
      <c r="AA552" s="30" t="e">
        <f t="shared" si="31"/>
        <v>#NUM!</v>
      </c>
    </row>
    <row r="553" spans="15:27" x14ac:dyDescent="0.2">
      <c r="O553" s="33">
        <v>1</v>
      </c>
      <c r="P553" s="27" t="str">
        <f>_xll.qlPeriodEquivalent(P552&amp;"+"&amp;O553&amp;"M")</f>
        <v>45Y10M</v>
      </c>
      <c r="Q553" s="28">
        <f>_xll.qlCalendarAdvance(Calendar,SettlementDate,P553,"f",,Trigger)</f>
        <v>58908</v>
      </c>
      <c r="R553" s="28">
        <f>_xll.qlInterestRateIndexValueDate(Index,Q553,Trigger)</f>
        <v>58910</v>
      </c>
      <c r="S553" s="28">
        <f>_xll.qlInterestRateIndexMaturity(Index,R553,Trigger)</f>
        <v>58942</v>
      </c>
      <c r="T553" s="30">
        <f>_xll.qlIndexFixing($M$6,Q553,,InterestRatesTrigger)</f>
        <v>1.2149361647536272E-2</v>
      </c>
      <c r="U553" s="30" t="e">
        <f>_xll.qlIndexFixing(Index,Q553,,InterestRatesTrigger)</f>
        <v>#NUM!</v>
      </c>
      <c r="V553" s="30" t="e">
        <f t="shared" si="30"/>
        <v>#NUM!</v>
      </c>
      <c r="W553" s="29">
        <f>_xll.qlDayCounterYearFraction(DayCounter,SettlementDate,R553,,,Trigger)</f>
        <v>46.519444444444446</v>
      </c>
      <c r="X553" s="29">
        <f>_xll.qlDayCounterYearFraction(DayCounter,R553,S553)</f>
        <v>8.8888888888888892E-2</v>
      </c>
      <c r="Y553" s="29" t="e">
        <f>_xll.qlYieldTSDiscount(Currency&amp;"ON",R553)/(1+U553*X553)</f>
        <v>#NUM!</v>
      </c>
      <c r="Z553" s="30" t="e">
        <f>_xll.qlTenorBasisValue(TenorBasis6M,R553,InterestRatesTrigger)</f>
        <v>#VALUE!</v>
      </c>
      <c r="AA553" s="30" t="e">
        <f t="shared" si="31"/>
        <v>#NUM!</v>
      </c>
    </row>
    <row r="554" spans="15:27" x14ac:dyDescent="0.2">
      <c r="O554" s="33">
        <v>1</v>
      </c>
      <c r="P554" s="27" t="str">
        <f>_xll.qlPeriodEquivalent(P553&amp;"+"&amp;O554&amp;"M")</f>
        <v>45Y11M</v>
      </c>
      <c r="Q554" s="28">
        <f>_xll.qlCalendarAdvance(Calendar,SettlementDate,P554,"f",,Trigger)</f>
        <v>58935</v>
      </c>
      <c r="R554" s="28">
        <f>_xll.qlInterestRateIndexValueDate(Index,Q554,Trigger)</f>
        <v>58937</v>
      </c>
      <c r="S554" s="28">
        <f>_xll.qlInterestRateIndexMaturity(Index,R554,Trigger)</f>
        <v>58970</v>
      </c>
      <c r="T554" s="30">
        <f>_xll.qlIndexFixing($M$6,Q554,,InterestRatesTrigger)</f>
        <v>1.2145579114107751E-2</v>
      </c>
      <c r="U554" s="30" t="e">
        <f>_xll.qlIndexFixing(Index,Q554,,InterestRatesTrigger)</f>
        <v>#NUM!</v>
      </c>
      <c r="V554" s="30" t="e">
        <f t="shared" si="30"/>
        <v>#NUM!</v>
      </c>
      <c r="W554" s="29">
        <f>_xll.qlDayCounterYearFraction(DayCounter,SettlementDate,R554,,,Trigger)</f>
        <v>46.594444444444441</v>
      </c>
      <c r="X554" s="29">
        <f>_xll.qlDayCounterYearFraction(DayCounter,R554,S554)</f>
        <v>9.166666666666666E-2</v>
      </c>
      <c r="Y554" s="29" t="e">
        <f>_xll.qlYieldTSDiscount(Currency&amp;"ON",R554)/(1+U554*X554)</f>
        <v>#NUM!</v>
      </c>
      <c r="Z554" s="30" t="e">
        <f>_xll.qlTenorBasisValue(TenorBasis6M,R554,InterestRatesTrigger)</f>
        <v>#VALUE!</v>
      </c>
      <c r="AA554" s="30" t="e">
        <f t="shared" si="31"/>
        <v>#NUM!</v>
      </c>
    </row>
    <row r="555" spans="15:27" x14ac:dyDescent="0.2">
      <c r="O555" s="33">
        <v>1</v>
      </c>
      <c r="P555" s="27" t="str">
        <f>_xll.qlPeriodEquivalent(P554&amp;"+"&amp;O555&amp;"M")</f>
        <v>46Y</v>
      </c>
      <c r="Q555" s="28">
        <f>_xll.qlCalendarAdvance(Calendar,SettlementDate,P555,"f",,Trigger)</f>
        <v>58965</v>
      </c>
      <c r="R555" s="28">
        <f>_xll.qlInterestRateIndexValueDate(Index,Q555,Trigger)</f>
        <v>58967</v>
      </c>
      <c r="S555" s="28">
        <f>_xll.qlInterestRateIndexMaturity(Index,R555,Trigger)</f>
        <v>58998</v>
      </c>
      <c r="T555" s="30">
        <f>_xll.qlIndexFixing($M$6,Q555,,InterestRatesTrigger)</f>
        <v>1.2141610730877047E-2</v>
      </c>
      <c r="U555" s="30" t="e">
        <f>_xll.qlIndexFixing(Index,Q555,,InterestRatesTrigger)</f>
        <v>#NUM!</v>
      </c>
      <c r="V555" s="30" t="e">
        <f t="shared" si="30"/>
        <v>#NUM!</v>
      </c>
      <c r="W555" s="29">
        <f>_xll.qlDayCounterYearFraction(DayCounter,SettlementDate,R555,,,Trigger)</f>
        <v>46.677777777777777</v>
      </c>
      <c r="X555" s="29">
        <f>_xll.qlDayCounterYearFraction(DayCounter,R555,S555)</f>
        <v>8.611111111111111E-2</v>
      </c>
      <c r="Y555" s="29" t="e">
        <f>_xll.qlYieldTSDiscount(Currency&amp;"ON",R555)/(1+U555*X555)</f>
        <v>#NUM!</v>
      </c>
      <c r="Z555" s="30" t="e">
        <f>_xll.qlTenorBasisValue(TenorBasis6M,R555,InterestRatesTrigger)</f>
        <v>#VALUE!</v>
      </c>
      <c r="AA555" s="30" t="e">
        <f t="shared" si="31"/>
        <v>#NUM!</v>
      </c>
    </row>
    <row r="556" spans="15:27" x14ac:dyDescent="0.2">
      <c r="O556" s="33">
        <v>1</v>
      </c>
      <c r="P556" s="27" t="str">
        <f>_xll.qlPeriodEquivalent(P555&amp;"+"&amp;O556&amp;"M")</f>
        <v>46Y1M</v>
      </c>
      <c r="Q556" s="28">
        <f>_xll.qlCalendarAdvance(Calendar,SettlementDate,P556,"f",,Trigger)</f>
        <v>58995</v>
      </c>
      <c r="R556" s="28">
        <f>_xll.qlInterestRateIndexValueDate(Index,Q556,Trigger)</f>
        <v>58999</v>
      </c>
      <c r="S556" s="28">
        <f>_xll.qlInterestRateIndexMaturity(Index,R556,Trigger)</f>
        <v>59030</v>
      </c>
      <c r="T556" s="30">
        <f>_xll.qlIndexFixing($M$6,Q556,,InterestRatesTrigger)</f>
        <v>1.2138465746276561E-2</v>
      </c>
      <c r="U556" s="30" t="e">
        <f>_xll.qlIndexFixing(Index,Q556,,InterestRatesTrigger)</f>
        <v>#NUM!</v>
      </c>
      <c r="V556" s="30" t="e">
        <f t="shared" si="30"/>
        <v>#NUM!</v>
      </c>
      <c r="W556" s="29">
        <f>_xll.qlDayCounterYearFraction(DayCounter,SettlementDate,R556,,,Trigger)</f>
        <v>46.766666666666666</v>
      </c>
      <c r="X556" s="29">
        <f>_xll.qlDayCounterYearFraction(DayCounter,R556,S556)</f>
        <v>8.611111111111111E-2</v>
      </c>
      <c r="Y556" s="29" t="e">
        <f>_xll.qlYieldTSDiscount(Currency&amp;"ON",R556)/(1+U556*X556)</f>
        <v>#NUM!</v>
      </c>
      <c r="Z556" s="30" t="e">
        <f>_xll.qlTenorBasisValue(TenorBasis6M,R556,InterestRatesTrigger)</f>
        <v>#VALUE!</v>
      </c>
      <c r="AA556" s="30" t="e">
        <f t="shared" si="31"/>
        <v>#NUM!</v>
      </c>
    </row>
    <row r="557" spans="15:27" x14ac:dyDescent="0.2">
      <c r="O557" s="33">
        <v>1</v>
      </c>
      <c r="P557" s="27" t="str">
        <f>_xll.qlPeriodEquivalent(P556&amp;"+"&amp;O557&amp;"M")</f>
        <v>46Y2M</v>
      </c>
      <c r="Q557" s="28">
        <f>_xll.qlCalendarAdvance(Calendar,SettlementDate,P557,"f",,Trigger)</f>
        <v>59026</v>
      </c>
      <c r="R557" s="28">
        <f>_xll.qlInterestRateIndexValueDate(Index,Q557,Trigger)</f>
        <v>59028</v>
      </c>
      <c r="S557" s="28">
        <f>_xll.qlInterestRateIndexMaturity(Index,R557,Trigger)</f>
        <v>59061</v>
      </c>
      <c r="T557" s="30">
        <f>_xll.qlIndexFixing($M$6,Q557,,InterestRatesTrigger)</f>
        <v>1.213667119799634E-2</v>
      </c>
      <c r="U557" s="30" t="e">
        <f>_xll.qlIndexFixing(Index,Q557,,InterestRatesTrigger)</f>
        <v>#NUM!</v>
      </c>
      <c r="V557" s="30" t="e">
        <f t="shared" si="30"/>
        <v>#NUM!</v>
      </c>
      <c r="W557" s="29">
        <f>_xll.qlDayCounterYearFraction(DayCounter,SettlementDate,R557,,,Trigger)</f>
        <v>46.847222222222221</v>
      </c>
      <c r="X557" s="29">
        <f>_xll.qlDayCounterYearFraction(DayCounter,R557,S557)</f>
        <v>9.166666666666666E-2</v>
      </c>
      <c r="Y557" s="29" t="e">
        <f>_xll.qlYieldTSDiscount(Currency&amp;"ON",R557)/(1+U557*X557)</f>
        <v>#NUM!</v>
      </c>
      <c r="Z557" s="30" t="e">
        <f>_xll.qlTenorBasisValue(TenorBasis6M,R557,InterestRatesTrigger)</f>
        <v>#VALUE!</v>
      </c>
      <c r="AA557" s="30" t="e">
        <f t="shared" si="31"/>
        <v>#NUM!</v>
      </c>
    </row>
    <row r="558" spans="15:27" x14ac:dyDescent="0.2">
      <c r="O558" s="33">
        <v>1</v>
      </c>
      <c r="P558" s="27" t="str">
        <f>_xll.qlPeriodEquivalent(P557&amp;"+"&amp;O558&amp;"M")</f>
        <v>46Y3M</v>
      </c>
      <c r="Q558" s="28">
        <f>_xll.qlCalendarAdvance(Calendar,SettlementDate,P558,"f",,Trigger)</f>
        <v>59057</v>
      </c>
      <c r="R558" s="28">
        <f>_xll.qlInterestRateIndexValueDate(Index,Q558,Trigger)</f>
        <v>59061</v>
      </c>
      <c r="S558" s="28">
        <f>_xll.qlInterestRateIndexMaturity(Index,R558,Trigger)</f>
        <v>59091</v>
      </c>
      <c r="T558" s="30">
        <f>_xll.qlIndexFixing($M$6,Q558,,InterestRatesTrigger)</f>
        <v>1.213450467854571E-2</v>
      </c>
      <c r="U558" s="30" t="e">
        <f>_xll.qlIndexFixing(Index,Q558,,InterestRatesTrigger)</f>
        <v>#NUM!</v>
      </c>
      <c r="V558" s="30" t="e">
        <f t="shared" si="30"/>
        <v>#NUM!</v>
      </c>
      <c r="W558" s="29">
        <f>_xll.qlDayCounterYearFraction(DayCounter,SettlementDate,R558,,,Trigger)</f>
        <v>46.93888888888889</v>
      </c>
      <c r="X558" s="29">
        <f>_xll.qlDayCounterYearFraction(DayCounter,R558,S558)</f>
        <v>8.3333333333333329E-2</v>
      </c>
      <c r="Y558" s="29" t="e">
        <f>_xll.qlYieldTSDiscount(Currency&amp;"ON",R558)/(1+U558*X558)</f>
        <v>#NUM!</v>
      </c>
      <c r="Z558" s="30" t="e">
        <f>_xll.qlTenorBasisValue(TenorBasis6M,R558,InterestRatesTrigger)</f>
        <v>#VALUE!</v>
      </c>
      <c r="AA558" s="30" t="e">
        <f t="shared" si="31"/>
        <v>#NUM!</v>
      </c>
    </row>
    <row r="559" spans="15:27" x14ac:dyDescent="0.2">
      <c r="O559" s="33">
        <v>1</v>
      </c>
      <c r="P559" s="27" t="str">
        <f>_xll.qlPeriodEquivalent(P558&amp;"+"&amp;O559&amp;"M")</f>
        <v>46Y4M</v>
      </c>
      <c r="Q559" s="28">
        <f>_xll.qlCalendarAdvance(Calendar,SettlementDate,P559,"f",,Trigger)</f>
        <v>59089</v>
      </c>
      <c r="R559" s="28">
        <f>_xll.qlInterestRateIndexValueDate(Index,Q559,Trigger)</f>
        <v>59091</v>
      </c>
      <c r="S559" s="28">
        <f>_xll.qlInterestRateIndexMaturity(Index,R559,Trigger)</f>
        <v>59124</v>
      </c>
      <c r="T559" s="30">
        <f>_xll.qlIndexFixing($M$6,Q559,,InterestRatesTrigger)</f>
        <v>1.2134367633992551E-2</v>
      </c>
      <c r="U559" s="30" t="e">
        <f>_xll.qlIndexFixing(Index,Q559,,InterestRatesTrigger)</f>
        <v>#NUM!</v>
      </c>
      <c r="V559" s="30" t="e">
        <f t="shared" si="30"/>
        <v>#NUM!</v>
      </c>
      <c r="W559" s="29">
        <f>_xll.qlDayCounterYearFraction(DayCounter,SettlementDate,R559,,,Trigger)</f>
        <v>47.022222222222226</v>
      </c>
      <c r="X559" s="29">
        <f>_xll.qlDayCounterYearFraction(DayCounter,R559,S559)</f>
        <v>9.166666666666666E-2</v>
      </c>
      <c r="Y559" s="29" t="e">
        <f>_xll.qlYieldTSDiscount(Currency&amp;"ON",R559)/(1+U559*X559)</f>
        <v>#NUM!</v>
      </c>
      <c r="Z559" s="30" t="e">
        <f>_xll.qlTenorBasisValue(TenorBasis6M,R559,InterestRatesTrigger)</f>
        <v>#VALUE!</v>
      </c>
      <c r="AA559" s="30" t="e">
        <f t="shared" si="31"/>
        <v>#NUM!</v>
      </c>
    </row>
    <row r="560" spans="15:27" x14ac:dyDescent="0.2">
      <c r="O560" s="33">
        <v>1</v>
      </c>
      <c r="P560" s="27" t="str">
        <f>_xll.qlPeriodEquivalent(P559&amp;"+"&amp;O560&amp;"M")</f>
        <v>46Y5M</v>
      </c>
      <c r="Q560" s="28">
        <f>_xll.qlCalendarAdvance(Calendar,SettlementDate,P560,"f",,Trigger)</f>
        <v>59118</v>
      </c>
      <c r="R560" s="28">
        <f>_xll.qlInterestRateIndexValueDate(Index,Q560,Trigger)</f>
        <v>59120</v>
      </c>
      <c r="S560" s="28">
        <f>_xll.qlInterestRateIndexMaturity(Index,R560,Trigger)</f>
        <v>59152</v>
      </c>
      <c r="T560" s="30">
        <f>_xll.qlIndexFixing($M$6,Q560,,InterestRatesTrigger)</f>
        <v>1.2134157399845413E-2</v>
      </c>
      <c r="U560" s="30" t="e">
        <f>_xll.qlIndexFixing(Index,Q560,,InterestRatesTrigger)</f>
        <v>#NUM!</v>
      </c>
      <c r="V560" s="30" t="e">
        <f t="shared" si="30"/>
        <v>#NUM!</v>
      </c>
      <c r="W560" s="29">
        <f>_xll.qlDayCounterYearFraction(DayCounter,SettlementDate,R560,,,Trigger)</f>
        <v>47.102777777777774</v>
      </c>
      <c r="X560" s="29">
        <f>_xll.qlDayCounterYearFraction(DayCounter,R560,S560)</f>
        <v>8.8888888888888892E-2</v>
      </c>
      <c r="Y560" s="29" t="e">
        <f>_xll.qlYieldTSDiscount(Currency&amp;"ON",R560)/(1+U560*X560)</f>
        <v>#NUM!</v>
      </c>
      <c r="Z560" s="30" t="e">
        <f>_xll.qlTenorBasisValue(TenorBasis6M,R560,InterestRatesTrigger)</f>
        <v>#VALUE!</v>
      </c>
      <c r="AA560" s="30" t="e">
        <f t="shared" si="31"/>
        <v>#NUM!</v>
      </c>
    </row>
    <row r="561" spans="15:27" x14ac:dyDescent="0.2">
      <c r="O561" s="33">
        <v>1</v>
      </c>
      <c r="P561" s="27" t="str">
        <f>_xll.qlPeriodEquivalent(P560&amp;"+"&amp;O561&amp;"M")</f>
        <v>46Y6M</v>
      </c>
      <c r="Q561" s="28">
        <f>_xll.qlCalendarAdvance(Calendar,SettlementDate,P561,"f",,Trigger)</f>
        <v>59148</v>
      </c>
      <c r="R561" s="28">
        <f>_xll.qlInterestRateIndexValueDate(Index,Q561,Trigger)</f>
        <v>59152</v>
      </c>
      <c r="S561" s="28">
        <f>_xll.qlInterestRateIndexMaturity(Index,R561,Trigger)</f>
        <v>59183</v>
      </c>
      <c r="T561" s="30">
        <f>_xll.qlIndexFixing($M$6,Q561,,InterestRatesTrigger)</f>
        <v>1.2134699422399269E-2</v>
      </c>
      <c r="U561" s="30" t="e">
        <f>_xll.qlIndexFixing(Index,Q561,,InterestRatesTrigger)</f>
        <v>#NUM!</v>
      </c>
      <c r="V561" s="30" t="e">
        <f t="shared" si="30"/>
        <v>#NUM!</v>
      </c>
      <c r="W561" s="29">
        <f>_xll.qlDayCounterYearFraction(DayCounter,SettlementDate,R561,,,Trigger)</f>
        <v>47.19166666666667</v>
      </c>
      <c r="X561" s="29">
        <f>_xll.qlDayCounterYearFraction(DayCounter,R561,S561)</f>
        <v>8.611111111111111E-2</v>
      </c>
      <c r="Y561" s="29" t="e">
        <f>_xll.qlYieldTSDiscount(Currency&amp;"ON",R561)/(1+U561*X561)</f>
        <v>#NUM!</v>
      </c>
      <c r="Z561" s="30" t="e">
        <f>_xll.qlTenorBasisValue(TenorBasis6M,R561,InterestRatesTrigger)</f>
        <v>#VALUE!</v>
      </c>
      <c r="AA561" s="30" t="e">
        <f t="shared" si="31"/>
        <v>#NUM!</v>
      </c>
    </row>
    <row r="562" spans="15:27" x14ac:dyDescent="0.2">
      <c r="O562" s="33">
        <v>1</v>
      </c>
      <c r="P562" s="27" t="str">
        <f>_xll.qlPeriodEquivalent(P561&amp;"+"&amp;O562&amp;"M")</f>
        <v>46Y7M</v>
      </c>
      <c r="Q562" s="28">
        <f>_xll.qlCalendarAdvance(Calendar,SettlementDate,P562,"f",,Trigger)</f>
        <v>59180</v>
      </c>
      <c r="R562" s="28">
        <f>_xll.qlInterestRateIndexValueDate(Index,Q562,Trigger)</f>
        <v>59182</v>
      </c>
      <c r="S562" s="28">
        <f>_xll.qlInterestRateIndexMaturity(Index,R562,Trigger)</f>
        <v>59215</v>
      </c>
      <c r="T562" s="30">
        <f>_xll.qlIndexFixing($M$6,Q562,,InterestRatesTrigger)</f>
        <v>1.21366208050653E-2</v>
      </c>
      <c r="U562" s="30" t="e">
        <f>_xll.qlIndexFixing(Index,Q562,,InterestRatesTrigger)</f>
        <v>#NUM!</v>
      </c>
      <c r="V562" s="30" t="e">
        <f t="shared" si="30"/>
        <v>#NUM!</v>
      </c>
      <c r="W562" s="29">
        <f>_xll.qlDayCounterYearFraction(DayCounter,SettlementDate,R562,,,Trigger)</f>
        <v>47.274999999999999</v>
      </c>
      <c r="X562" s="29">
        <f>_xll.qlDayCounterYearFraction(DayCounter,R562,S562)</f>
        <v>9.166666666666666E-2</v>
      </c>
      <c r="Y562" s="29" t="e">
        <f>_xll.qlYieldTSDiscount(Currency&amp;"ON",R562)/(1+U562*X562)</f>
        <v>#NUM!</v>
      </c>
      <c r="Z562" s="30" t="e">
        <f>_xll.qlTenorBasisValue(TenorBasis6M,R562,InterestRatesTrigger)</f>
        <v>#VALUE!</v>
      </c>
      <c r="AA562" s="30" t="e">
        <f t="shared" si="31"/>
        <v>#NUM!</v>
      </c>
    </row>
    <row r="563" spans="15:27" x14ac:dyDescent="0.2">
      <c r="O563" s="33">
        <v>1</v>
      </c>
      <c r="P563" s="27" t="str">
        <f>_xll.qlPeriodEquivalent(P562&amp;"+"&amp;O563&amp;"M")</f>
        <v>46Y8M</v>
      </c>
      <c r="Q563" s="28">
        <f>_xll.qlCalendarAdvance(Calendar,SettlementDate,P563,"f",,Trigger)</f>
        <v>59210</v>
      </c>
      <c r="R563" s="28">
        <f>_xll.qlInterestRateIndexValueDate(Index,Q563,Trigger)</f>
        <v>59212</v>
      </c>
      <c r="S563" s="28">
        <f>_xll.qlInterestRateIndexMaturity(Index,R563,Trigger)</f>
        <v>59240</v>
      </c>
      <c r="T563" s="30">
        <f>_xll.qlIndexFixing($M$6,Q563,,InterestRatesTrigger)</f>
        <v>1.2137566465706089E-2</v>
      </c>
      <c r="U563" s="30" t="e">
        <f>_xll.qlIndexFixing(Index,Q563,,InterestRatesTrigger)</f>
        <v>#NUM!</v>
      </c>
      <c r="V563" s="30" t="e">
        <f t="shared" si="30"/>
        <v>#NUM!</v>
      </c>
      <c r="W563" s="29">
        <f>_xll.qlDayCounterYearFraction(DayCounter,SettlementDate,R563,,,Trigger)</f>
        <v>47.358333333333334</v>
      </c>
      <c r="X563" s="29">
        <f>_xll.qlDayCounterYearFraction(DayCounter,R563,S563)</f>
        <v>7.7777777777777779E-2</v>
      </c>
      <c r="Y563" s="29" t="e">
        <f>_xll.qlYieldTSDiscount(Currency&amp;"ON",R563)/(1+U563*X563)</f>
        <v>#NUM!</v>
      </c>
      <c r="Z563" s="30" t="e">
        <f>_xll.qlTenorBasisValue(TenorBasis6M,R563,InterestRatesTrigger)</f>
        <v>#VALUE!</v>
      </c>
      <c r="AA563" s="30" t="e">
        <f t="shared" si="31"/>
        <v>#NUM!</v>
      </c>
    </row>
    <row r="564" spans="15:27" x14ac:dyDescent="0.2">
      <c r="O564" s="33">
        <v>1</v>
      </c>
      <c r="P564" s="27" t="str">
        <f>_xll.qlPeriodEquivalent(P563&amp;"+"&amp;O564&amp;"M")</f>
        <v>46Y9M</v>
      </c>
      <c r="Q564" s="28">
        <f>_xll.qlCalendarAdvance(Calendar,SettlementDate,P564,"f",,Trigger)</f>
        <v>59238</v>
      </c>
      <c r="R564" s="28">
        <f>_xll.qlInterestRateIndexValueDate(Index,Q564,Trigger)</f>
        <v>59240</v>
      </c>
      <c r="S564" s="28">
        <f>_xll.qlInterestRateIndexMaturity(Index,R564,Trigger)</f>
        <v>59271</v>
      </c>
      <c r="T564" s="30">
        <f>_xll.qlIndexFixing($M$6,Q564,,InterestRatesTrigger)</f>
        <v>1.2140977881050312E-2</v>
      </c>
      <c r="U564" s="30" t="e">
        <f>_xll.qlIndexFixing(Index,Q564,,InterestRatesTrigger)</f>
        <v>#NUM!</v>
      </c>
      <c r="V564" s="30" t="e">
        <f t="shared" si="30"/>
        <v>#NUM!</v>
      </c>
      <c r="W564" s="29">
        <f>_xll.qlDayCounterYearFraction(DayCounter,SettlementDate,R564,,,Trigger)</f>
        <v>47.43611111111111</v>
      </c>
      <c r="X564" s="29">
        <f>_xll.qlDayCounterYearFraction(DayCounter,R564,S564)</f>
        <v>8.611111111111111E-2</v>
      </c>
      <c r="Y564" s="29" t="e">
        <f>_xll.qlYieldTSDiscount(Currency&amp;"ON",R564)/(1+U564*X564)</f>
        <v>#NUM!</v>
      </c>
      <c r="Z564" s="30" t="e">
        <f>_xll.qlTenorBasisValue(TenorBasis6M,R564,InterestRatesTrigger)</f>
        <v>#VALUE!</v>
      </c>
      <c r="AA564" s="30" t="e">
        <f t="shared" si="31"/>
        <v>#NUM!</v>
      </c>
    </row>
    <row r="565" spans="15:27" x14ac:dyDescent="0.2">
      <c r="O565" s="33">
        <v>1</v>
      </c>
      <c r="P565" s="27" t="str">
        <f>_xll.qlPeriodEquivalent(P564&amp;"+"&amp;O565&amp;"M")</f>
        <v>46Y10M</v>
      </c>
      <c r="Q565" s="28">
        <f>_xll.qlCalendarAdvance(Calendar,SettlementDate,P565,"f",,Trigger)</f>
        <v>59271</v>
      </c>
      <c r="R565" s="28">
        <f>_xll.qlInterestRateIndexValueDate(Index,Q565,Trigger)</f>
        <v>59273</v>
      </c>
      <c r="S565" s="28">
        <f>_xll.qlInterestRateIndexMaturity(Index,R565,Trigger)</f>
        <v>59303</v>
      </c>
      <c r="T565" s="30">
        <f>_xll.qlIndexFixing($M$6,Q565,,InterestRatesTrigger)</f>
        <v>1.2144649216203618E-2</v>
      </c>
      <c r="U565" s="30" t="e">
        <f>_xll.qlIndexFixing(Index,Q565,,InterestRatesTrigger)</f>
        <v>#NUM!</v>
      </c>
      <c r="V565" s="30" t="e">
        <f t="shared" si="30"/>
        <v>#NUM!</v>
      </c>
      <c r="W565" s="29">
        <f>_xll.qlDayCounterYearFraction(DayCounter,SettlementDate,R565,,,Trigger)</f>
        <v>47.527777777777779</v>
      </c>
      <c r="X565" s="29">
        <f>_xll.qlDayCounterYearFraction(DayCounter,R565,S565)</f>
        <v>8.3333333333333329E-2</v>
      </c>
      <c r="Y565" s="29" t="e">
        <f>_xll.qlYieldTSDiscount(Currency&amp;"ON",R565)/(1+U565*X565)</f>
        <v>#NUM!</v>
      </c>
      <c r="Z565" s="30" t="e">
        <f>_xll.qlTenorBasisValue(TenorBasis6M,R565,InterestRatesTrigger)</f>
        <v>#VALUE!</v>
      </c>
      <c r="AA565" s="30" t="e">
        <f t="shared" si="31"/>
        <v>#NUM!</v>
      </c>
    </row>
    <row r="566" spans="15:27" x14ac:dyDescent="0.2">
      <c r="O566" s="33">
        <v>1</v>
      </c>
      <c r="P566" s="27" t="str">
        <f>_xll.qlPeriodEquivalent(P565&amp;"+"&amp;O566&amp;"M")</f>
        <v>46Y11M</v>
      </c>
      <c r="Q566" s="28">
        <f>_xll.qlCalendarAdvance(Calendar,SettlementDate,P566,"f",,Trigger)</f>
        <v>59299</v>
      </c>
      <c r="R566" s="28">
        <f>_xll.qlInterestRateIndexValueDate(Index,Q566,Trigger)</f>
        <v>59301</v>
      </c>
      <c r="S566" s="28">
        <f>_xll.qlInterestRateIndexMaturity(Index,R566,Trigger)</f>
        <v>59334</v>
      </c>
      <c r="T566" s="30">
        <f>_xll.qlIndexFixing($M$6,Q566,,InterestRatesTrigger)</f>
        <v>1.2149518583391871E-2</v>
      </c>
      <c r="U566" s="30" t="e">
        <f>_xll.qlIndexFixing(Index,Q566,,InterestRatesTrigger)</f>
        <v>#NUM!</v>
      </c>
      <c r="V566" s="30" t="e">
        <f t="shared" si="30"/>
        <v>#NUM!</v>
      </c>
      <c r="W566" s="29">
        <f>_xll.qlDayCounterYearFraction(DayCounter,SettlementDate,R566,,,Trigger)</f>
        <v>47.605555555555554</v>
      </c>
      <c r="X566" s="29">
        <f>_xll.qlDayCounterYearFraction(DayCounter,R566,S566)</f>
        <v>9.166666666666666E-2</v>
      </c>
      <c r="Y566" s="29" t="e">
        <f>_xll.qlYieldTSDiscount(Currency&amp;"ON",R566)/(1+U566*X566)</f>
        <v>#NUM!</v>
      </c>
      <c r="Z566" s="30" t="e">
        <f>_xll.qlTenorBasisValue(TenorBasis6M,R566,InterestRatesTrigger)</f>
        <v>#VALUE!</v>
      </c>
      <c r="AA566" s="30" t="e">
        <f t="shared" si="31"/>
        <v>#NUM!</v>
      </c>
    </row>
    <row r="567" spans="15:27" x14ac:dyDescent="0.2">
      <c r="O567" s="33">
        <v>1</v>
      </c>
      <c r="P567" s="27" t="str">
        <f>_xll.qlPeriodEquivalent(P566&amp;"+"&amp;O567&amp;"M")</f>
        <v>47Y</v>
      </c>
      <c r="Q567" s="28">
        <f>_xll.qlCalendarAdvance(Calendar,SettlementDate,P567,"f",,Trigger)</f>
        <v>59330</v>
      </c>
      <c r="R567" s="28">
        <f>_xll.qlInterestRateIndexValueDate(Index,Q567,Trigger)</f>
        <v>59334</v>
      </c>
      <c r="S567" s="28">
        <f>_xll.qlInterestRateIndexMaturity(Index,R567,Trigger)</f>
        <v>59364</v>
      </c>
      <c r="T567" s="30">
        <f>_xll.qlIndexFixing($M$6,Q567,,InterestRatesTrigger)</f>
        <v>1.2154198926007886E-2</v>
      </c>
      <c r="U567" s="30" t="e">
        <f>_xll.qlIndexFixing(Index,Q567,,InterestRatesTrigger)</f>
        <v>#NUM!</v>
      </c>
      <c r="V567" s="30" t="e">
        <f t="shared" si="30"/>
        <v>#NUM!</v>
      </c>
      <c r="W567" s="29">
        <f>_xll.qlDayCounterYearFraction(DayCounter,SettlementDate,R567,,,Trigger)</f>
        <v>47.697222222222223</v>
      </c>
      <c r="X567" s="29">
        <f>_xll.qlDayCounterYearFraction(DayCounter,R567,S567)</f>
        <v>8.3333333333333329E-2</v>
      </c>
      <c r="Y567" s="29" t="e">
        <f>_xll.qlYieldTSDiscount(Currency&amp;"ON",R567)/(1+U567*X567)</f>
        <v>#NUM!</v>
      </c>
      <c r="Z567" s="30" t="e">
        <f>_xll.qlTenorBasisValue(TenorBasis6M,R567,InterestRatesTrigger)</f>
        <v>#VALUE!</v>
      </c>
      <c r="AA567" s="30" t="e">
        <f t="shared" si="31"/>
        <v>#NUM!</v>
      </c>
    </row>
    <row r="568" spans="15:27" x14ac:dyDescent="0.2">
      <c r="O568" s="33">
        <v>1</v>
      </c>
      <c r="P568" s="27" t="str">
        <f>_xll.qlPeriodEquivalent(P567&amp;"+"&amp;O568&amp;"M")</f>
        <v>47Y1M</v>
      </c>
      <c r="Q568" s="28">
        <f>_xll.qlCalendarAdvance(Calendar,SettlementDate,P568,"f",,Trigger)</f>
        <v>59362</v>
      </c>
      <c r="R568" s="28">
        <f>_xll.qlInterestRateIndexValueDate(Index,Q568,Trigger)</f>
        <v>59364</v>
      </c>
      <c r="S568" s="28">
        <f>_xll.qlInterestRateIndexMaturity(Index,R568,Trigger)</f>
        <v>59397</v>
      </c>
      <c r="T568" s="30">
        <f>_xll.qlIndexFixing($M$6,Q568,,InterestRatesTrigger)</f>
        <v>1.21609127322357E-2</v>
      </c>
      <c r="U568" s="30" t="e">
        <f>_xll.qlIndexFixing(Index,Q568,,InterestRatesTrigger)</f>
        <v>#NUM!</v>
      </c>
      <c r="V568" s="30" t="e">
        <f t="shared" si="30"/>
        <v>#NUM!</v>
      </c>
      <c r="W568" s="29">
        <f>_xll.qlDayCounterYearFraction(DayCounter,SettlementDate,R568,,,Trigger)</f>
        <v>47.780555555555559</v>
      </c>
      <c r="X568" s="29">
        <f>_xll.qlDayCounterYearFraction(DayCounter,R568,S568)</f>
        <v>9.166666666666666E-2</v>
      </c>
      <c r="Y568" s="29" t="e">
        <f>_xll.qlYieldTSDiscount(Currency&amp;"ON",R568)/(1+U568*X568)</f>
        <v>#NUM!</v>
      </c>
      <c r="Z568" s="30" t="e">
        <f>_xll.qlTenorBasisValue(TenorBasis6M,R568,InterestRatesTrigger)</f>
        <v>#VALUE!</v>
      </c>
      <c r="AA568" s="30" t="e">
        <f t="shared" si="31"/>
        <v>#NUM!</v>
      </c>
    </row>
    <row r="569" spans="15:27" x14ac:dyDescent="0.2">
      <c r="O569" s="33">
        <v>1</v>
      </c>
      <c r="P569" s="27" t="str">
        <f>_xll.qlPeriodEquivalent(P568&amp;"+"&amp;O569&amp;"M")</f>
        <v>47Y2M</v>
      </c>
      <c r="Q569" s="28">
        <f>_xll.qlCalendarAdvance(Calendar,SettlementDate,P569,"f",,Trigger)</f>
        <v>59391</v>
      </c>
      <c r="R569" s="28">
        <f>_xll.qlInterestRateIndexValueDate(Index,Q569,Trigger)</f>
        <v>59393</v>
      </c>
      <c r="S569" s="28">
        <f>_xll.qlInterestRateIndexMaturity(Index,R569,Trigger)</f>
        <v>59425</v>
      </c>
      <c r="T569" s="30">
        <f>_xll.qlIndexFixing($M$6,Q569,,InterestRatesTrigger)</f>
        <v>1.2166897984861036E-2</v>
      </c>
      <c r="U569" s="30" t="e">
        <f>_xll.qlIndexFixing(Index,Q569,,InterestRatesTrigger)</f>
        <v>#NUM!</v>
      </c>
      <c r="V569" s="30" t="e">
        <f t="shared" si="30"/>
        <v>#NUM!</v>
      </c>
      <c r="W569" s="29">
        <f>_xll.qlDayCounterYearFraction(DayCounter,SettlementDate,R569,,,Trigger)</f>
        <v>47.861111111111114</v>
      </c>
      <c r="X569" s="29">
        <f>_xll.qlDayCounterYearFraction(DayCounter,R569,S569)</f>
        <v>8.8888888888888892E-2</v>
      </c>
      <c r="Y569" s="29" t="e">
        <f>_xll.qlYieldTSDiscount(Currency&amp;"ON",R569)/(1+U569*X569)</f>
        <v>#NUM!</v>
      </c>
      <c r="Z569" s="30" t="e">
        <f>_xll.qlTenorBasisValue(TenorBasis6M,R569,InterestRatesTrigger)</f>
        <v>#VALUE!</v>
      </c>
      <c r="AA569" s="30" t="e">
        <f t="shared" si="31"/>
        <v>#NUM!</v>
      </c>
    </row>
    <row r="570" spans="15:27" x14ac:dyDescent="0.2">
      <c r="O570" s="33">
        <v>1</v>
      </c>
      <c r="P570" s="27" t="str">
        <f>_xll.qlPeriodEquivalent(P569&amp;"+"&amp;O570&amp;"M")</f>
        <v>47Y3M</v>
      </c>
      <c r="Q570" s="28">
        <f>_xll.qlCalendarAdvance(Calendar,SettlementDate,P570,"f",,Trigger)</f>
        <v>59422</v>
      </c>
      <c r="R570" s="28">
        <f>_xll.qlInterestRateIndexValueDate(Index,Q570,Trigger)</f>
        <v>59426</v>
      </c>
      <c r="S570" s="28">
        <f>_xll.qlInterestRateIndexMaturity(Index,R570,Trigger)</f>
        <v>59456</v>
      </c>
      <c r="T570" s="30">
        <f>_xll.qlIndexFixing($M$6,Q570,,InterestRatesTrigger)</f>
        <v>1.217420646234757E-2</v>
      </c>
      <c r="U570" s="30" t="e">
        <f>_xll.qlIndexFixing(Index,Q570,,InterestRatesTrigger)</f>
        <v>#NUM!</v>
      </c>
      <c r="V570" s="30" t="e">
        <f t="shared" si="30"/>
        <v>#NUM!</v>
      </c>
      <c r="W570" s="29">
        <f>_xll.qlDayCounterYearFraction(DayCounter,SettlementDate,R570,,,Trigger)</f>
        <v>47.952777777777776</v>
      </c>
      <c r="X570" s="29">
        <f>_xll.qlDayCounterYearFraction(DayCounter,R570,S570)</f>
        <v>8.3333333333333329E-2</v>
      </c>
      <c r="Y570" s="29" t="e">
        <f>_xll.qlYieldTSDiscount(Currency&amp;"ON",R570)/(1+U570*X570)</f>
        <v>#NUM!</v>
      </c>
      <c r="Z570" s="30" t="e">
        <f>_xll.qlTenorBasisValue(TenorBasis6M,R570,InterestRatesTrigger)</f>
        <v>#VALUE!</v>
      </c>
      <c r="AA570" s="30" t="e">
        <f t="shared" si="31"/>
        <v>#NUM!</v>
      </c>
    </row>
    <row r="571" spans="15:27" x14ac:dyDescent="0.2">
      <c r="O571" s="33">
        <v>1</v>
      </c>
      <c r="P571" s="27" t="str">
        <f>_xll.qlPeriodEquivalent(P570&amp;"+"&amp;O571&amp;"M")</f>
        <v>47Y4M</v>
      </c>
      <c r="Q571" s="28">
        <f>_xll.qlCalendarAdvance(Calendar,SettlementDate,P571,"f",,Trigger)</f>
        <v>59453</v>
      </c>
      <c r="R571" s="28">
        <f>_xll.qlInterestRateIndexValueDate(Index,Q571,Trigger)</f>
        <v>59455</v>
      </c>
      <c r="S571" s="28">
        <f>_xll.qlInterestRateIndexMaturity(Index,R571,Trigger)</f>
        <v>59488</v>
      </c>
      <c r="T571" s="30">
        <f>_xll.qlIndexFixing($M$6,Q571,,InterestRatesTrigger)</f>
        <v>1.2182951532344208E-2</v>
      </c>
      <c r="U571" s="30" t="e">
        <f>_xll.qlIndexFixing(Index,Q571,,InterestRatesTrigger)</f>
        <v>#NUM!</v>
      </c>
      <c r="V571" s="30" t="e">
        <f t="shared" si="30"/>
        <v>#NUM!</v>
      </c>
      <c r="W571" s="29">
        <f>_xll.qlDayCounterYearFraction(DayCounter,SettlementDate,R571,,,Trigger)</f>
        <v>48.033333333333331</v>
      </c>
      <c r="X571" s="29">
        <f>_xll.qlDayCounterYearFraction(DayCounter,R571,S571)</f>
        <v>9.166666666666666E-2</v>
      </c>
      <c r="Y571" s="29" t="e">
        <f>_xll.qlYieldTSDiscount(Currency&amp;"ON",R571)/(1+U571*X571)</f>
        <v>#NUM!</v>
      </c>
      <c r="Z571" s="30" t="e">
        <f>_xll.qlTenorBasisValue(TenorBasis6M,R571,InterestRatesTrigger)</f>
        <v>#VALUE!</v>
      </c>
      <c r="AA571" s="30" t="e">
        <f t="shared" si="31"/>
        <v>#NUM!</v>
      </c>
    </row>
    <row r="572" spans="15:27" x14ac:dyDescent="0.2">
      <c r="O572" s="33">
        <v>1</v>
      </c>
      <c r="P572" s="27" t="str">
        <f>_xll.qlPeriodEquivalent(P571&amp;"+"&amp;O572&amp;"M")</f>
        <v>47Y5M</v>
      </c>
      <c r="Q572" s="28">
        <f>_xll.qlCalendarAdvance(Calendar,SettlementDate,P572,"f",,Trigger)</f>
        <v>59483</v>
      </c>
      <c r="R572" s="28">
        <f>_xll.qlInterestRateIndexValueDate(Index,Q572,Trigger)</f>
        <v>59485</v>
      </c>
      <c r="S572" s="28">
        <f>_xll.qlInterestRateIndexMaturity(Index,R572,Trigger)</f>
        <v>59516</v>
      </c>
      <c r="T572" s="30">
        <f>_xll.qlIndexFixing($M$6,Q572,,InterestRatesTrigger)</f>
        <v>1.2190943736511185E-2</v>
      </c>
      <c r="U572" s="30" t="e">
        <f>_xll.qlIndexFixing(Index,Q572,,InterestRatesTrigger)</f>
        <v>#NUM!</v>
      </c>
      <c r="V572" s="30" t="e">
        <f t="shared" si="30"/>
        <v>#NUM!</v>
      </c>
      <c r="W572" s="29">
        <f>_xll.qlDayCounterYearFraction(DayCounter,SettlementDate,R572,,,Trigger)</f>
        <v>48.116666666666667</v>
      </c>
      <c r="X572" s="29">
        <f>_xll.qlDayCounterYearFraction(DayCounter,R572,S572)</f>
        <v>8.611111111111111E-2</v>
      </c>
      <c r="Y572" s="29" t="e">
        <f>_xll.qlYieldTSDiscount(Currency&amp;"ON",R572)/(1+U572*X572)</f>
        <v>#NUM!</v>
      </c>
      <c r="Z572" s="30" t="e">
        <f>_xll.qlTenorBasisValue(TenorBasis6M,R572,InterestRatesTrigger)</f>
        <v>#VALUE!</v>
      </c>
      <c r="AA572" s="30" t="e">
        <f t="shared" si="31"/>
        <v>#NUM!</v>
      </c>
    </row>
    <row r="573" spans="15:27" x14ac:dyDescent="0.2">
      <c r="O573" s="33">
        <v>1</v>
      </c>
      <c r="P573" s="27" t="str">
        <f>_xll.qlPeriodEquivalent(P572&amp;"+"&amp;O573&amp;"M")</f>
        <v>47Y6M</v>
      </c>
      <c r="Q573" s="28">
        <f>_xll.qlCalendarAdvance(Calendar,SettlementDate,P573,"f",,Trigger)</f>
        <v>59513</v>
      </c>
      <c r="R573" s="28">
        <f>_xll.qlInterestRateIndexValueDate(Index,Q573,Trigger)</f>
        <v>59517</v>
      </c>
      <c r="S573" s="28">
        <f>_xll.qlInterestRateIndexMaturity(Index,R573,Trigger)</f>
        <v>59548</v>
      </c>
      <c r="T573" s="30">
        <f>_xll.qlIndexFixing($M$6,Q573,,InterestRatesTrigger)</f>
        <v>1.2200999436667609E-2</v>
      </c>
      <c r="U573" s="30" t="e">
        <f>_xll.qlIndexFixing(Index,Q573,,InterestRatesTrigger)</f>
        <v>#NUM!</v>
      </c>
      <c r="V573" s="30" t="e">
        <f t="shared" si="30"/>
        <v>#NUM!</v>
      </c>
      <c r="W573" s="29">
        <f>_xll.qlDayCounterYearFraction(DayCounter,SettlementDate,R573,,,Trigger)</f>
        <v>48.205555555555556</v>
      </c>
      <c r="X573" s="29">
        <f>_xll.qlDayCounterYearFraction(DayCounter,R573,S573)</f>
        <v>8.611111111111111E-2</v>
      </c>
      <c r="Y573" s="29" t="e">
        <f>_xll.qlYieldTSDiscount(Currency&amp;"ON",R573)/(1+U573*X573)</f>
        <v>#NUM!</v>
      </c>
      <c r="Z573" s="30" t="e">
        <f>_xll.qlTenorBasisValue(TenorBasis6M,R573,InterestRatesTrigger)</f>
        <v>#VALUE!</v>
      </c>
      <c r="AA573" s="30" t="e">
        <f t="shared" si="31"/>
        <v>#NUM!</v>
      </c>
    </row>
    <row r="574" spans="15:27" x14ac:dyDescent="0.2">
      <c r="O574" s="33">
        <v>1</v>
      </c>
      <c r="P574" s="27" t="str">
        <f>_xll.qlPeriodEquivalent(P573&amp;"+"&amp;O574&amp;"M")</f>
        <v>47Y7M</v>
      </c>
      <c r="Q574" s="28">
        <f>_xll.qlCalendarAdvance(Calendar,SettlementDate,P574,"f",,Trigger)</f>
        <v>59544</v>
      </c>
      <c r="R574" s="28">
        <f>_xll.qlInterestRateIndexValueDate(Index,Q574,Trigger)</f>
        <v>59546</v>
      </c>
      <c r="S574" s="28">
        <f>_xll.qlInterestRateIndexMaturity(Index,R574,Trigger)</f>
        <v>59579</v>
      </c>
      <c r="T574" s="30">
        <f>_xll.qlIndexFixing($M$6,Q574,,InterestRatesTrigger)</f>
        <v>1.2211585606052693E-2</v>
      </c>
      <c r="U574" s="30" t="e">
        <f>_xll.qlIndexFixing(Index,Q574,,InterestRatesTrigger)</f>
        <v>#NUM!</v>
      </c>
      <c r="V574" s="30" t="e">
        <f t="shared" si="30"/>
        <v>#NUM!</v>
      </c>
      <c r="W574" s="29">
        <f>_xll.qlDayCounterYearFraction(DayCounter,SettlementDate,R574,,,Trigger)</f>
        <v>48.286111111111111</v>
      </c>
      <c r="X574" s="29">
        <f>_xll.qlDayCounterYearFraction(DayCounter,R574,S574)</f>
        <v>9.166666666666666E-2</v>
      </c>
      <c r="Y574" s="29" t="e">
        <f>_xll.qlYieldTSDiscount(Currency&amp;"ON",R574)/(1+U574*X574)</f>
        <v>#NUM!</v>
      </c>
      <c r="Z574" s="30" t="e">
        <f>_xll.qlTenorBasisValue(TenorBasis6M,R574,InterestRatesTrigger)</f>
        <v>#VALUE!</v>
      </c>
      <c r="AA574" s="30" t="e">
        <f t="shared" si="31"/>
        <v>#NUM!</v>
      </c>
    </row>
    <row r="575" spans="15:27" x14ac:dyDescent="0.2">
      <c r="O575" s="33">
        <v>1</v>
      </c>
      <c r="P575" s="27" t="str">
        <f>_xll.qlPeriodEquivalent(P574&amp;"+"&amp;O575&amp;"M")</f>
        <v>47Y8M</v>
      </c>
      <c r="Q575" s="28">
        <f>_xll.qlCalendarAdvance(Calendar,SettlementDate,P575,"f",,Trigger)</f>
        <v>59575</v>
      </c>
      <c r="R575" s="28">
        <f>_xll.qlInterestRateIndexValueDate(Index,Q575,Trigger)</f>
        <v>59579</v>
      </c>
      <c r="S575" s="28">
        <f>_xll.qlInterestRateIndexMaturity(Index,R575,Trigger)</f>
        <v>59607</v>
      </c>
      <c r="T575" s="30">
        <f>_xll.qlIndexFixing($M$6,Q575,,InterestRatesTrigger)</f>
        <v>1.2221611315083194E-2</v>
      </c>
      <c r="U575" s="30" t="e">
        <f>_xll.qlIndexFixing(Index,Q575,,InterestRatesTrigger)</f>
        <v>#NUM!</v>
      </c>
      <c r="V575" s="30" t="e">
        <f t="shared" si="30"/>
        <v>#NUM!</v>
      </c>
      <c r="W575" s="29">
        <f>_xll.qlDayCounterYearFraction(DayCounter,SettlementDate,R575,,,Trigger)</f>
        <v>48.37777777777778</v>
      </c>
      <c r="X575" s="29">
        <f>_xll.qlDayCounterYearFraction(DayCounter,R575,S575)</f>
        <v>7.7777777777777779E-2</v>
      </c>
      <c r="Y575" s="29" t="e">
        <f>_xll.qlYieldTSDiscount(Currency&amp;"ON",R575)/(1+U575*X575)</f>
        <v>#NUM!</v>
      </c>
      <c r="Z575" s="30" t="e">
        <f>_xll.qlTenorBasisValue(TenorBasis6M,R575,InterestRatesTrigger)</f>
        <v>#VALUE!</v>
      </c>
      <c r="AA575" s="30" t="e">
        <f t="shared" si="31"/>
        <v>#NUM!</v>
      </c>
    </row>
    <row r="576" spans="15:27" x14ac:dyDescent="0.2">
      <c r="O576" s="33">
        <v>1</v>
      </c>
      <c r="P576" s="27" t="str">
        <f>_xll.qlPeriodEquivalent(P575&amp;"+"&amp;O576&amp;"M")</f>
        <v>47Y9M</v>
      </c>
      <c r="Q576" s="28">
        <f>_xll.qlCalendarAdvance(Calendar,SettlementDate,P576,"f",,Trigger)</f>
        <v>59603</v>
      </c>
      <c r="R576" s="28">
        <f>_xll.qlInterestRateIndexValueDate(Index,Q576,Trigger)</f>
        <v>59607</v>
      </c>
      <c r="S576" s="28">
        <f>_xll.qlInterestRateIndexMaturity(Index,R576,Trigger)</f>
        <v>59638</v>
      </c>
      <c r="T576" s="30">
        <f>_xll.qlIndexFixing($M$6,Q576,,InterestRatesTrigger)</f>
        <v>1.2233653248100477E-2</v>
      </c>
      <c r="U576" s="30" t="e">
        <f>_xll.qlIndexFixing(Index,Q576,,InterestRatesTrigger)</f>
        <v>#NUM!</v>
      </c>
      <c r="V576" s="30" t="e">
        <f t="shared" si="30"/>
        <v>#NUM!</v>
      </c>
      <c r="W576" s="29">
        <f>_xll.qlDayCounterYearFraction(DayCounter,SettlementDate,R576,,,Trigger)</f>
        <v>48.455555555555556</v>
      </c>
      <c r="X576" s="29">
        <f>_xll.qlDayCounterYearFraction(DayCounter,R576,S576)</f>
        <v>8.611111111111111E-2</v>
      </c>
      <c r="Y576" s="29" t="e">
        <f>_xll.qlYieldTSDiscount(Currency&amp;"ON",R576)/(1+U576*X576)</f>
        <v>#NUM!</v>
      </c>
      <c r="Z576" s="30" t="e">
        <f>_xll.qlTenorBasisValue(TenorBasis6M,R576,InterestRatesTrigger)</f>
        <v>#VALUE!</v>
      </c>
      <c r="AA576" s="30" t="e">
        <f t="shared" si="31"/>
        <v>#NUM!</v>
      </c>
    </row>
    <row r="577" spans="15:27" x14ac:dyDescent="0.2">
      <c r="O577" s="33">
        <v>1</v>
      </c>
      <c r="P577" s="27" t="str">
        <f>_xll.qlPeriodEquivalent(P576&amp;"+"&amp;O577&amp;"M")</f>
        <v>47Y10M</v>
      </c>
      <c r="Q577" s="28">
        <f>_xll.qlCalendarAdvance(Calendar,SettlementDate,P577,"f",,Trigger)</f>
        <v>59635</v>
      </c>
      <c r="R577" s="28">
        <f>_xll.qlInterestRateIndexValueDate(Index,Q577,Trigger)</f>
        <v>59637</v>
      </c>
      <c r="S577" s="28">
        <f>_xll.qlInterestRateIndexMaturity(Index,R577,Trigger)</f>
        <v>59667</v>
      </c>
      <c r="T577" s="30">
        <f>_xll.qlIndexFixing($M$6,Q577,,InterestRatesTrigger)</f>
        <v>1.2245549952503154E-2</v>
      </c>
      <c r="U577" s="30" t="e">
        <f>_xll.qlIndexFixing(Index,Q577,,InterestRatesTrigger)</f>
        <v>#NUM!</v>
      </c>
      <c r="V577" s="30" t="e">
        <f t="shared" si="30"/>
        <v>#NUM!</v>
      </c>
      <c r="W577" s="29">
        <f>_xll.qlDayCounterYearFraction(DayCounter,SettlementDate,R577,,,Trigger)</f>
        <v>48.538888888888891</v>
      </c>
      <c r="X577" s="29">
        <f>_xll.qlDayCounterYearFraction(DayCounter,R577,S577)</f>
        <v>8.3333333333333329E-2</v>
      </c>
      <c r="Y577" s="29" t="e">
        <f>_xll.qlYieldTSDiscount(Currency&amp;"ON",R577)/(1+U577*X577)</f>
        <v>#NUM!</v>
      </c>
      <c r="Z577" s="30" t="e">
        <f>_xll.qlTenorBasisValue(TenorBasis6M,R577,InterestRatesTrigger)</f>
        <v>#VALUE!</v>
      </c>
      <c r="AA577" s="30" t="e">
        <f t="shared" si="31"/>
        <v>#NUM!</v>
      </c>
    </row>
    <row r="578" spans="15:27" x14ac:dyDescent="0.2">
      <c r="O578" s="33">
        <v>1</v>
      </c>
      <c r="P578" s="27" t="str">
        <f>_xll.qlPeriodEquivalent(P577&amp;"+"&amp;O578&amp;"M")</f>
        <v>47Y11M</v>
      </c>
      <c r="Q578" s="28">
        <f>_xll.qlCalendarAdvance(Calendar,SettlementDate,P578,"f",,Trigger)</f>
        <v>59664</v>
      </c>
      <c r="R578" s="28">
        <f>_xll.qlInterestRateIndexValueDate(Index,Q578,Trigger)</f>
        <v>59666</v>
      </c>
      <c r="S578" s="28">
        <f>_xll.qlInterestRateIndexMaturity(Index,R578,Trigger)</f>
        <v>59698</v>
      </c>
      <c r="T578" s="30">
        <f>_xll.qlIndexFixing($M$6,Q578,,InterestRatesTrigger)</f>
        <v>1.2258993827363174E-2</v>
      </c>
      <c r="U578" s="30" t="e">
        <f>_xll.qlIndexFixing(Index,Q578,,InterestRatesTrigger)</f>
        <v>#NUM!</v>
      </c>
      <c r="V578" s="30" t="e">
        <f t="shared" si="30"/>
        <v>#NUM!</v>
      </c>
      <c r="W578" s="29">
        <f>_xll.qlDayCounterYearFraction(DayCounter,SettlementDate,R578,,,Trigger)</f>
        <v>48.619444444444447</v>
      </c>
      <c r="X578" s="29">
        <f>_xll.qlDayCounterYearFraction(DayCounter,R578,S578)</f>
        <v>8.8888888888888892E-2</v>
      </c>
      <c r="Y578" s="29" t="e">
        <f>_xll.qlYieldTSDiscount(Currency&amp;"ON",R578)/(1+U578*X578)</f>
        <v>#NUM!</v>
      </c>
      <c r="Z578" s="30" t="e">
        <f>_xll.qlTenorBasisValue(TenorBasis6M,R578,InterestRatesTrigger)</f>
        <v>#VALUE!</v>
      </c>
      <c r="AA578" s="30" t="e">
        <f t="shared" si="31"/>
        <v>#NUM!</v>
      </c>
    </row>
    <row r="579" spans="15:27" x14ac:dyDescent="0.2">
      <c r="O579" s="33">
        <v>1</v>
      </c>
      <c r="P579" s="27" t="str">
        <f>_xll.qlPeriodEquivalent(P578&amp;"+"&amp;O579&amp;"M")</f>
        <v>48Y</v>
      </c>
      <c r="Q579" s="28">
        <f>_xll.qlCalendarAdvance(Calendar,SettlementDate,P579,"f",,Trigger)</f>
        <v>59695</v>
      </c>
      <c r="R579" s="28">
        <f>_xll.qlInterestRateIndexValueDate(Index,Q579,Trigger)</f>
        <v>59699</v>
      </c>
      <c r="S579" s="28">
        <f>_xll.qlInterestRateIndexMaturity(Index,R579,Trigger)</f>
        <v>59729</v>
      </c>
      <c r="T579" s="30">
        <f>_xll.qlIndexFixing($M$6,Q579,,InterestRatesTrigger)</f>
        <v>1.2273253051874988E-2</v>
      </c>
      <c r="U579" s="30" t="e">
        <f>_xll.qlIndexFixing(Index,Q579,,InterestRatesTrigger)</f>
        <v>#NUM!</v>
      </c>
      <c r="V579" s="30" t="e">
        <f t="shared" si="30"/>
        <v>#NUM!</v>
      </c>
      <c r="W579" s="29">
        <f>_xll.qlDayCounterYearFraction(DayCounter,SettlementDate,R579,,,Trigger)</f>
        <v>48.711111111111109</v>
      </c>
      <c r="X579" s="29">
        <f>_xll.qlDayCounterYearFraction(DayCounter,R579,S579)</f>
        <v>8.3333333333333329E-2</v>
      </c>
      <c r="Y579" s="29" t="e">
        <f>_xll.qlYieldTSDiscount(Currency&amp;"ON",R579)/(1+U579*X579)</f>
        <v>#NUM!</v>
      </c>
      <c r="Z579" s="30" t="e">
        <f>_xll.qlTenorBasisValue(TenorBasis6M,R579,InterestRatesTrigger)</f>
        <v>#VALUE!</v>
      </c>
      <c r="AA579" s="30" t="e">
        <f t="shared" si="31"/>
        <v>#NUM!</v>
      </c>
    </row>
    <row r="580" spans="15:27" x14ac:dyDescent="0.2">
      <c r="O580" s="33">
        <v>1</v>
      </c>
      <c r="P580" s="27" t="str">
        <f>_xll.qlPeriodEquivalent(P579&amp;"+"&amp;O580&amp;"M")</f>
        <v>48Y1M</v>
      </c>
      <c r="Q580" s="28">
        <f>_xll.qlCalendarAdvance(Calendar,SettlementDate,P580,"f",,Trigger)</f>
        <v>59726</v>
      </c>
      <c r="R580" s="28">
        <f>_xll.qlInterestRateIndexValueDate(Index,Q580,Trigger)</f>
        <v>59728</v>
      </c>
      <c r="S580" s="28">
        <f>_xll.qlInterestRateIndexMaturity(Index,R580,Trigger)</f>
        <v>59761</v>
      </c>
      <c r="T580" s="30">
        <f>_xll.qlIndexFixing($M$6,Q580,,InterestRatesTrigger)</f>
        <v>1.228863979371346E-2</v>
      </c>
      <c r="U580" s="30" t="e">
        <f>_xll.qlIndexFixing(Index,Q580,,InterestRatesTrigger)</f>
        <v>#NUM!</v>
      </c>
      <c r="V580" s="30" t="e">
        <f t="shared" si="30"/>
        <v>#NUM!</v>
      </c>
      <c r="W580" s="29">
        <f>_xll.qlDayCounterYearFraction(DayCounter,SettlementDate,R580,,,Trigger)</f>
        <v>48.791666666666664</v>
      </c>
      <c r="X580" s="29">
        <f>_xll.qlDayCounterYearFraction(DayCounter,R580,S580)</f>
        <v>9.166666666666666E-2</v>
      </c>
      <c r="Y580" s="29" t="e">
        <f>_xll.qlYieldTSDiscount(Currency&amp;"ON",R580)/(1+U580*X580)</f>
        <v>#NUM!</v>
      </c>
      <c r="Z580" s="30" t="e">
        <f>_xll.qlTenorBasisValue(TenorBasis6M,R580,InterestRatesTrigger)</f>
        <v>#VALUE!</v>
      </c>
      <c r="AA580" s="30" t="e">
        <f t="shared" si="31"/>
        <v>#NUM!</v>
      </c>
    </row>
    <row r="581" spans="15:27" x14ac:dyDescent="0.2">
      <c r="O581" s="33">
        <v>1</v>
      </c>
      <c r="P581" s="27" t="str">
        <f>_xll.qlPeriodEquivalent(P580&amp;"+"&amp;O581&amp;"M")</f>
        <v>48Y2M</v>
      </c>
      <c r="Q581" s="28">
        <f>_xll.qlCalendarAdvance(Calendar,SettlementDate,P581,"f",,Trigger)</f>
        <v>59756</v>
      </c>
      <c r="R581" s="28">
        <f>_xll.qlInterestRateIndexValueDate(Index,Q581,Trigger)</f>
        <v>59758</v>
      </c>
      <c r="S581" s="28">
        <f>_xll.qlInterestRateIndexMaturity(Index,R581,Trigger)</f>
        <v>59789</v>
      </c>
      <c r="T581" s="30">
        <f>_xll.qlIndexFixing($M$6,Q581,,InterestRatesTrigger)</f>
        <v>1.2302929845617084E-2</v>
      </c>
      <c r="U581" s="30" t="e">
        <f>_xll.qlIndexFixing(Index,Q581,,InterestRatesTrigger)</f>
        <v>#NUM!</v>
      </c>
      <c r="V581" s="30" t="e">
        <f t="shared" si="30"/>
        <v>#NUM!</v>
      </c>
      <c r="W581" s="29">
        <f>_xll.qlDayCounterYearFraction(DayCounter,SettlementDate,R581,,,Trigger)</f>
        <v>48.875</v>
      </c>
      <c r="X581" s="29">
        <f>_xll.qlDayCounterYearFraction(DayCounter,R581,S581)</f>
        <v>8.611111111111111E-2</v>
      </c>
      <c r="Y581" s="29" t="e">
        <f>_xll.qlYieldTSDiscount(Currency&amp;"ON",R581)/(1+U581*X581)</f>
        <v>#NUM!</v>
      </c>
      <c r="Z581" s="30" t="e">
        <f>_xll.qlTenorBasisValue(TenorBasis6M,R581,InterestRatesTrigger)</f>
        <v>#VALUE!</v>
      </c>
      <c r="AA581" s="30" t="e">
        <f t="shared" si="31"/>
        <v>#NUM!</v>
      </c>
    </row>
    <row r="582" spans="15:27" x14ac:dyDescent="0.2">
      <c r="O582" s="33">
        <v>1</v>
      </c>
      <c r="P582" s="27" t="str">
        <f>_xll.qlPeriodEquivalent(P581&amp;"+"&amp;O582&amp;"M")</f>
        <v>48Y3M</v>
      </c>
      <c r="Q582" s="28">
        <f>_xll.qlCalendarAdvance(Calendar,SettlementDate,P582,"f",,Trigger)</f>
        <v>59789</v>
      </c>
      <c r="R582" s="28">
        <f>_xll.qlInterestRateIndexValueDate(Index,Q582,Trigger)</f>
        <v>59791</v>
      </c>
      <c r="S582" s="28">
        <f>_xll.qlInterestRateIndexMaturity(Index,R582,Trigger)</f>
        <v>59821</v>
      </c>
      <c r="T582" s="30">
        <f>_xll.qlIndexFixing($M$6,Q582,,InterestRatesTrigger)</f>
        <v>1.2320002375817651E-2</v>
      </c>
      <c r="U582" s="30" t="e">
        <f>_xll.qlIndexFixing(Index,Q582,,InterestRatesTrigger)</f>
        <v>#NUM!</v>
      </c>
      <c r="V582" s="30" t="e">
        <f t="shared" si="30"/>
        <v>#NUM!</v>
      </c>
      <c r="W582" s="29">
        <f>_xll.qlDayCounterYearFraction(DayCounter,SettlementDate,R582,,,Trigger)</f>
        <v>48.966666666666669</v>
      </c>
      <c r="X582" s="29">
        <f>_xll.qlDayCounterYearFraction(DayCounter,R582,S582)</f>
        <v>8.3333333333333329E-2</v>
      </c>
      <c r="Y582" s="29" t="e">
        <f>_xll.qlYieldTSDiscount(Currency&amp;"ON",R582)/(1+U582*X582)</f>
        <v>#NUM!</v>
      </c>
      <c r="Z582" s="30" t="e">
        <f>_xll.qlTenorBasisValue(TenorBasis6M,R582,InterestRatesTrigger)</f>
        <v>#VALUE!</v>
      </c>
      <c r="AA582" s="30" t="e">
        <f t="shared" si="31"/>
        <v>#NUM!</v>
      </c>
    </row>
    <row r="583" spans="15:27" x14ac:dyDescent="0.2">
      <c r="O583" s="33">
        <v>1</v>
      </c>
      <c r="P583" s="27" t="str">
        <f>_xll.qlPeriodEquivalent(P582&amp;"+"&amp;O583&amp;"M")</f>
        <v>48Y4M</v>
      </c>
      <c r="Q583" s="28">
        <f>_xll.qlCalendarAdvance(Calendar,SettlementDate,P583,"f",,Trigger)</f>
        <v>59817</v>
      </c>
      <c r="R583" s="28">
        <f>_xll.qlInterestRateIndexValueDate(Index,Q583,Trigger)</f>
        <v>59819</v>
      </c>
      <c r="S583" s="28">
        <f>_xll.qlInterestRateIndexMaturity(Index,R583,Trigger)</f>
        <v>59852</v>
      </c>
      <c r="T583" s="30">
        <f>_xll.qlIndexFixing($M$6,Q583,,InterestRatesTrigger)</f>
        <v>1.2337060047272854E-2</v>
      </c>
      <c r="U583" s="30" t="e">
        <f>_xll.qlIndexFixing(Index,Q583,,InterestRatesTrigger)</f>
        <v>#NUM!</v>
      </c>
      <c r="V583" s="30" t="e">
        <f t="shared" si="30"/>
        <v>#NUM!</v>
      </c>
      <c r="W583" s="29">
        <f>_xll.qlDayCounterYearFraction(DayCounter,SettlementDate,R583,,,Trigger)</f>
        <v>49.044444444444444</v>
      </c>
      <c r="X583" s="29">
        <f>_xll.qlDayCounterYearFraction(DayCounter,R583,S583)</f>
        <v>9.166666666666666E-2</v>
      </c>
      <c r="Y583" s="29" t="e">
        <f>_xll.qlYieldTSDiscount(Currency&amp;"ON",R583)/(1+U583*X583)</f>
        <v>#NUM!</v>
      </c>
      <c r="Z583" s="30" t="e">
        <f>_xll.qlTenorBasisValue(TenorBasis6M,R583,InterestRatesTrigger)</f>
        <v>#VALUE!</v>
      </c>
      <c r="AA583" s="30" t="e">
        <f t="shared" si="31"/>
        <v>#NUM!</v>
      </c>
    </row>
    <row r="584" spans="15:27" x14ac:dyDescent="0.2">
      <c r="O584" s="33">
        <v>1</v>
      </c>
      <c r="P584" s="27" t="str">
        <f>_xll.qlPeriodEquivalent(P583&amp;"+"&amp;O584&amp;"M")</f>
        <v>48Y5M</v>
      </c>
      <c r="Q584" s="28">
        <f>_xll.qlCalendarAdvance(Calendar,SettlementDate,P584,"f",,Trigger)</f>
        <v>59848</v>
      </c>
      <c r="R584" s="28">
        <f>_xll.qlInterestRateIndexValueDate(Index,Q584,Trigger)</f>
        <v>59852</v>
      </c>
      <c r="S584" s="28">
        <f>_xll.qlInterestRateIndexMaturity(Index,R584,Trigger)</f>
        <v>59882</v>
      </c>
      <c r="T584" s="30">
        <f>_xll.qlIndexFixing($M$6,Q584,,InterestRatesTrigger)</f>
        <v>1.2354715513776426E-2</v>
      </c>
      <c r="U584" s="30" t="e">
        <f>_xll.qlIndexFixing(Index,Q584,,InterestRatesTrigger)</f>
        <v>#NUM!</v>
      </c>
      <c r="V584" s="30" t="e">
        <f t="shared" si="30"/>
        <v>#NUM!</v>
      </c>
      <c r="W584" s="29">
        <f>_xll.qlDayCounterYearFraction(DayCounter,SettlementDate,R584,,,Trigger)</f>
        <v>49.136111111111113</v>
      </c>
      <c r="X584" s="29">
        <f>_xll.qlDayCounterYearFraction(DayCounter,R584,S584)</f>
        <v>8.3333333333333329E-2</v>
      </c>
      <c r="Y584" s="29" t="e">
        <f>_xll.qlYieldTSDiscount(Currency&amp;"ON",R584)/(1+U584*X584)</f>
        <v>#NUM!</v>
      </c>
      <c r="Z584" s="30" t="e">
        <f>_xll.qlTenorBasisValue(TenorBasis6M,R584,InterestRatesTrigger)</f>
        <v>#VALUE!</v>
      </c>
      <c r="AA584" s="30" t="e">
        <f t="shared" si="31"/>
        <v>#NUM!</v>
      </c>
    </row>
    <row r="585" spans="15:27" x14ac:dyDescent="0.2">
      <c r="O585" s="33">
        <v>1</v>
      </c>
      <c r="P585" s="27" t="str">
        <f>_xll.qlPeriodEquivalent(P584&amp;"+"&amp;O585&amp;"M")</f>
        <v>48Y6M</v>
      </c>
      <c r="Q585" s="28">
        <f>_xll.qlCalendarAdvance(Calendar,SettlementDate,P585,"f",,Trigger)</f>
        <v>59880</v>
      </c>
      <c r="R585" s="28">
        <f>_xll.qlInterestRateIndexValueDate(Index,Q585,Trigger)</f>
        <v>59882</v>
      </c>
      <c r="S585" s="28">
        <f>_xll.qlInterestRateIndexMaturity(Index,R585,Trigger)</f>
        <v>59915</v>
      </c>
      <c r="T585" s="30">
        <f>_xll.qlIndexFixing($M$6,Q585,,InterestRatesTrigger)</f>
        <v>1.2374445422541121E-2</v>
      </c>
      <c r="U585" s="30" t="e">
        <f>_xll.qlIndexFixing(Index,Q585,,InterestRatesTrigger)</f>
        <v>#NUM!</v>
      </c>
      <c r="V585" s="30" t="e">
        <f t="shared" si="30"/>
        <v>#NUM!</v>
      </c>
      <c r="W585" s="29">
        <f>_xll.qlDayCounterYearFraction(DayCounter,SettlementDate,R585,,,Trigger)</f>
        <v>49.219444444444441</v>
      </c>
      <c r="X585" s="29">
        <f>_xll.qlDayCounterYearFraction(DayCounter,R585,S585)</f>
        <v>9.166666666666666E-2</v>
      </c>
      <c r="Y585" s="29" t="e">
        <f>_xll.qlYieldTSDiscount(Currency&amp;"ON",R585)/(1+U585*X585)</f>
        <v>#NUM!</v>
      </c>
      <c r="Z585" s="30" t="e">
        <f>_xll.qlTenorBasisValue(TenorBasis6M,R585,InterestRatesTrigger)</f>
        <v>#VALUE!</v>
      </c>
      <c r="AA585" s="30" t="e">
        <f t="shared" si="31"/>
        <v>#NUM!</v>
      </c>
    </row>
    <row r="586" spans="15:27" x14ac:dyDescent="0.2">
      <c r="O586" s="33">
        <v>1</v>
      </c>
      <c r="P586" s="27" t="str">
        <f>_xll.qlPeriodEquivalent(P585&amp;"+"&amp;O586&amp;"M")</f>
        <v>48Y7M</v>
      </c>
      <c r="Q586" s="28">
        <f>_xll.qlCalendarAdvance(Calendar,SettlementDate,P586,"f",,Trigger)</f>
        <v>59909</v>
      </c>
      <c r="R586" s="28">
        <f>_xll.qlInterestRateIndexValueDate(Index,Q586,Trigger)</f>
        <v>59911</v>
      </c>
      <c r="S586" s="28">
        <f>_xll.qlInterestRateIndexMaturity(Index,R586,Trigger)</f>
        <v>59943</v>
      </c>
      <c r="T586" s="30">
        <f>_xll.qlIndexFixing($M$6,Q586,,InterestRatesTrigger)</f>
        <v>1.2392180990136725E-2</v>
      </c>
      <c r="U586" s="30" t="e">
        <f>_xll.qlIndexFixing(Index,Q586,,InterestRatesTrigger)</f>
        <v>#NUM!</v>
      </c>
      <c r="V586" s="30" t="e">
        <f t="shared" si="30"/>
        <v>#NUM!</v>
      </c>
      <c r="W586" s="29">
        <f>_xll.qlDayCounterYearFraction(DayCounter,SettlementDate,R586,,,Trigger)</f>
        <v>49.3</v>
      </c>
      <c r="X586" s="29">
        <f>_xll.qlDayCounterYearFraction(DayCounter,R586,S586)</f>
        <v>8.8888888888888892E-2</v>
      </c>
      <c r="Y586" s="29" t="e">
        <f>_xll.qlYieldTSDiscount(Currency&amp;"ON",R586)/(1+U586*X586)</f>
        <v>#NUM!</v>
      </c>
      <c r="Z586" s="30" t="e">
        <f>_xll.qlTenorBasisValue(TenorBasis6M,R586,InterestRatesTrigger)</f>
        <v>#VALUE!</v>
      </c>
      <c r="AA586" s="30" t="e">
        <f t="shared" si="31"/>
        <v>#NUM!</v>
      </c>
    </row>
    <row r="587" spans="15:27" x14ac:dyDescent="0.2">
      <c r="O587" s="33">
        <v>1</v>
      </c>
      <c r="P587" s="27" t="str">
        <f>_xll.qlPeriodEquivalent(P586&amp;"+"&amp;O587&amp;"M")</f>
        <v>48Y8M</v>
      </c>
      <c r="Q587" s="28">
        <f>_xll.qlCalendarAdvance(Calendar,SettlementDate,P587,"f",,Trigger)</f>
        <v>59940</v>
      </c>
      <c r="R587" s="28">
        <f>_xll.qlInterestRateIndexValueDate(Index,Q587,Trigger)</f>
        <v>59944</v>
      </c>
      <c r="S587" s="28">
        <f>_xll.qlInterestRateIndexMaturity(Index,R587,Trigger)</f>
        <v>59973</v>
      </c>
      <c r="T587" s="30">
        <f>_xll.qlIndexFixing($M$6,Q587,,InterestRatesTrigger)</f>
        <v>1.2412125660975912E-2</v>
      </c>
      <c r="U587" s="30" t="e">
        <f>_xll.qlIndexFixing(Index,Q587,,InterestRatesTrigger)</f>
        <v>#NUM!</v>
      </c>
      <c r="V587" s="30" t="e">
        <f t="shared" si="30"/>
        <v>#NUM!</v>
      </c>
      <c r="W587" s="29">
        <f>_xll.qlDayCounterYearFraction(DayCounter,SettlementDate,R587,,,Trigger)</f>
        <v>49.391666666666666</v>
      </c>
      <c r="X587" s="29">
        <f>_xll.qlDayCounterYearFraction(DayCounter,R587,S587)</f>
        <v>8.0555555555555561E-2</v>
      </c>
      <c r="Y587" s="29" t="e">
        <f>_xll.qlYieldTSDiscount(Currency&amp;"ON",R587)/(1+U587*X587)</f>
        <v>#NUM!</v>
      </c>
      <c r="Z587" s="30" t="e">
        <f>_xll.qlTenorBasisValue(TenorBasis6M,R587,InterestRatesTrigger)</f>
        <v>#VALUE!</v>
      </c>
      <c r="AA587" s="30" t="e">
        <f t="shared" si="31"/>
        <v>#NUM!</v>
      </c>
    </row>
    <row r="588" spans="15:27" x14ac:dyDescent="0.2">
      <c r="O588" s="33">
        <v>1</v>
      </c>
      <c r="P588" s="27" t="str">
        <f>_xll.qlPeriodEquivalent(P587&amp;"+"&amp;O588&amp;"M")</f>
        <v>48Y9M</v>
      </c>
      <c r="Q588" s="28">
        <f>_xll.qlCalendarAdvance(Calendar,SettlementDate,P588,"f",,Trigger)</f>
        <v>59971</v>
      </c>
      <c r="R588" s="28">
        <f>_xll.qlInterestRateIndexValueDate(Index,Q588,Trigger)</f>
        <v>59973</v>
      </c>
      <c r="S588" s="28">
        <f>_xll.qlInterestRateIndexMaturity(Index,R588,Trigger)</f>
        <v>60006</v>
      </c>
      <c r="T588" s="30">
        <f>_xll.qlIndexFixing($M$6,Q588,,InterestRatesTrigger)</f>
        <v>1.2434027438494867E-2</v>
      </c>
      <c r="U588" s="30" t="e">
        <f>_xll.qlIndexFixing(Index,Q588,,InterestRatesTrigger)</f>
        <v>#NUM!</v>
      </c>
      <c r="V588" s="30" t="e">
        <f t="shared" si="30"/>
        <v>#NUM!</v>
      </c>
      <c r="W588" s="29">
        <f>_xll.qlDayCounterYearFraction(DayCounter,SettlementDate,R588,,,Trigger)</f>
        <v>49.472222222222221</v>
      </c>
      <c r="X588" s="29">
        <f>_xll.qlDayCounterYearFraction(DayCounter,R588,S588)</f>
        <v>9.166666666666666E-2</v>
      </c>
      <c r="Y588" s="29" t="e">
        <f>_xll.qlYieldTSDiscount(Currency&amp;"ON",R588)/(1+U588*X588)</f>
        <v>#NUM!</v>
      </c>
      <c r="Z588" s="30" t="e">
        <f>_xll.qlTenorBasisValue(TenorBasis6M,R588,InterestRatesTrigger)</f>
        <v>#VALUE!</v>
      </c>
      <c r="AA588" s="30" t="e">
        <f t="shared" si="31"/>
        <v>#NUM!</v>
      </c>
    </row>
    <row r="589" spans="15:27" x14ac:dyDescent="0.2">
      <c r="O589" s="33">
        <v>1</v>
      </c>
      <c r="P589" s="27" t="str">
        <f>_xll.qlPeriodEquivalent(P588&amp;"+"&amp;O589&amp;"M")</f>
        <v>48Y10M</v>
      </c>
      <c r="Q589" s="28">
        <f>_xll.qlCalendarAdvance(Calendar,SettlementDate,P589,"f",,Trigger)</f>
        <v>60000</v>
      </c>
      <c r="R589" s="28">
        <f>_xll.qlInterestRateIndexValueDate(Index,Q589,Trigger)</f>
        <v>60002</v>
      </c>
      <c r="S589" s="28">
        <f>_xll.qlInterestRateIndexMaturity(Index,R589,Trigger)</f>
        <v>60034</v>
      </c>
      <c r="T589" s="30">
        <f>_xll.qlIndexFixing($M$6,Q589,,InterestRatesTrigger)</f>
        <v>1.2453826562938142E-2</v>
      </c>
      <c r="U589" s="30" t="e">
        <f>_xll.qlIndexFixing(Index,Q589,,InterestRatesTrigger)</f>
        <v>#NUM!</v>
      </c>
      <c r="V589" s="30" t="e">
        <f t="shared" si="30"/>
        <v>#NUM!</v>
      </c>
      <c r="W589" s="29">
        <f>_xll.qlDayCounterYearFraction(DayCounter,SettlementDate,R589,,,Trigger)</f>
        <v>49.552777777777777</v>
      </c>
      <c r="X589" s="29">
        <f>_xll.qlDayCounterYearFraction(DayCounter,R589,S589)</f>
        <v>8.8888888888888892E-2</v>
      </c>
      <c r="Y589" s="29" t="e">
        <f>_xll.qlYieldTSDiscount(Currency&amp;"ON",R589)/(1+U589*X589)</f>
        <v>#NUM!</v>
      </c>
      <c r="Z589" s="30" t="e">
        <f>_xll.qlTenorBasisValue(TenorBasis6M,R589,InterestRatesTrigger)</f>
        <v>#VALUE!</v>
      </c>
      <c r="AA589" s="30" t="e">
        <f t="shared" si="31"/>
        <v>#NUM!</v>
      </c>
    </row>
    <row r="590" spans="15:27" x14ac:dyDescent="0.2">
      <c r="O590" s="33">
        <v>1</v>
      </c>
      <c r="P590" s="27" t="str">
        <f>_xll.qlPeriodEquivalent(P589&amp;"+"&amp;O590&amp;"M")</f>
        <v>48Y11M</v>
      </c>
      <c r="Q590" s="28">
        <f>_xll.qlCalendarAdvance(Calendar,SettlementDate,P590,"f",,Trigger)</f>
        <v>60030</v>
      </c>
      <c r="R590" s="28">
        <f>_xll.qlInterestRateIndexValueDate(Index,Q590,Trigger)</f>
        <v>60034</v>
      </c>
      <c r="S590" s="28">
        <f>_xll.qlInterestRateIndexMaturity(Index,R590,Trigger)</f>
        <v>60065</v>
      </c>
      <c r="T590" s="30">
        <f>_xll.qlIndexFixing($M$6,Q590,,InterestRatesTrigger)</f>
        <v>1.2476483874638827E-2</v>
      </c>
      <c r="U590" s="30" t="e">
        <f>_xll.qlIndexFixing(Index,Q590,,InterestRatesTrigger)</f>
        <v>#NUM!</v>
      </c>
      <c r="V590" s="30" t="e">
        <f t="shared" si="30"/>
        <v>#NUM!</v>
      </c>
      <c r="W590" s="29">
        <f>_xll.qlDayCounterYearFraction(DayCounter,SettlementDate,R590,,,Trigger)</f>
        <v>49.641666666666666</v>
      </c>
      <c r="X590" s="29">
        <f>_xll.qlDayCounterYearFraction(DayCounter,R590,S590)</f>
        <v>8.611111111111111E-2</v>
      </c>
      <c r="Y590" s="29" t="e">
        <f>_xll.qlYieldTSDiscount(Currency&amp;"ON",R590)/(1+U590*X590)</f>
        <v>#NUM!</v>
      </c>
      <c r="Z590" s="30" t="e">
        <f>_xll.qlTenorBasisValue(TenorBasis6M,R590,InterestRatesTrigger)</f>
        <v>#VALUE!</v>
      </c>
      <c r="AA590" s="30" t="e">
        <f t="shared" si="31"/>
        <v>#NUM!</v>
      </c>
    </row>
    <row r="591" spans="15:27" x14ac:dyDescent="0.2">
      <c r="O591" s="33">
        <v>1</v>
      </c>
      <c r="P591" s="27" t="str">
        <f>_xll.qlPeriodEquivalent(P590&amp;"+"&amp;O591&amp;"M")</f>
        <v>49Y</v>
      </c>
      <c r="Q591" s="28">
        <f>_xll.qlCalendarAdvance(Calendar,SettlementDate,P591,"f",,Trigger)</f>
        <v>60062</v>
      </c>
      <c r="R591" s="28">
        <f>_xll.qlInterestRateIndexValueDate(Index,Q591,Trigger)</f>
        <v>60064</v>
      </c>
      <c r="S591" s="28">
        <f>_xll.qlInterestRateIndexMaturity(Index,R591,Trigger)</f>
        <v>60094</v>
      </c>
      <c r="T591" s="30">
        <f>_xll.qlIndexFixing($M$6,Q591,,InterestRatesTrigger)</f>
        <v>1.2498403931812341E-2</v>
      </c>
      <c r="U591" s="30" t="e">
        <f>_xll.qlIndexFixing(Index,Q591,,InterestRatesTrigger)</f>
        <v>#NUM!</v>
      </c>
      <c r="V591" s="30" t="e">
        <f t="shared" si="30"/>
        <v>#NUM!</v>
      </c>
      <c r="W591" s="29">
        <f>_xll.qlDayCounterYearFraction(DayCounter,SettlementDate,R591,,,Trigger)</f>
        <v>49.725000000000001</v>
      </c>
      <c r="X591" s="29">
        <f>_xll.qlDayCounterYearFraction(DayCounter,R591,S591)</f>
        <v>8.3333333333333329E-2</v>
      </c>
      <c r="Y591" s="29" t="e">
        <f>_xll.qlYieldTSDiscount(Currency&amp;"ON",R591)/(1+U591*X591)</f>
        <v>#NUM!</v>
      </c>
      <c r="Z591" s="30" t="e">
        <f>_xll.qlTenorBasisValue(TenorBasis6M,R591,InterestRatesTrigger)</f>
        <v>#VALUE!</v>
      </c>
      <c r="AA591" s="30" t="e">
        <f t="shared" si="31"/>
        <v>#NUM!</v>
      </c>
    </row>
    <row r="592" spans="15:27" x14ac:dyDescent="0.2">
      <c r="O592" s="33">
        <v>1</v>
      </c>
      <c r="P592" s="27" t="str">
        <f>_xll.qlPeriodEquivalent(P591&amp;"+"&amp;O592&amp;"M")</f>
        <v>49Y1M</v>
      </c>
      <c r="Q592" s="28">
        <f>_xll.qlCalendarAdvance(Calendar,SettlementDate,P592,"f",,Trigger)</f>
        <v>60091</v>
      </c>
      <c r="R592" s="28">
        <f>_xll.qlInterestRateIndexValueDate(Index,Q592,Trigger)</f>
        <v>60093</v>
      </c>
      <c r="S592" s="28">
        <f>_xll.qlInterestRateIndexMaturity(Index,R592,Trigger)</f>
        <v>60125</v>
      </c>
      <c r="T592" s="30">
        <f>_xll.qlIndexFixing($M$6,Q592,,InterestRatesTrigger)</f>
        <v>1.2522067660698244E-2</v>
      </c>
      <c r="U592" s="30" t="e">
        <f>_xll.qlIndexFixing(Index,Q592,,InterestRatesTrigger)</f>
        <v>#NUM!</v>
      </c>
      <c r="V592" s="30" t="e">
        <f t="shared" si="30"/>
        <v>#NUM!</v>
      </c>
      <c r="W592" s="29">
        <f>_xll.qlDayCounterYearFraction(DayCounter,SettlementDate,R592,,,Trigger)</f>
        <v>49.805555555555557</v>
      </c>
      <c r="X592" s="29">
        <f>_xll.qlDayCounterYearFraction(DayCounter,R592,S592)</f>
        <v>8.8888888888888892E-2</v>
      </c>
      <c r="Y592" s="29" t="e">
        <f>_xll.qlYieldTSDiscount(Currency&amp;"ON",R592)/(1+U592*X592)</f>
        <v>#NUM!</v>
      </c>
      <c r="Z592" s="30" t="e">
        <f>_xll.qlTenorBasisValue(TenorBasis6M,R592,InterestRatesTrigger)</f>
        <v>#VALUE!</v>
      </c>
      <c r="AA592" s="30" t="e">
        <f t="shared" si="31"/>
        <v>#NUM!</v>
      </c>
    </row>
    <row r="593" spans="15:27" x14ac:dyDescent="0.2">
      <c r="O593" s="33">
        <v>1</v>
      </c>
      <c r="P593" s="27" t="str">
        <f>_xll.qlPeriodEquivalent(P592&amp;"+"&amp;O593&amp;"M")</f>
        <v>49Y2M</v>
      </c>
      <c r="Q593" s="28">
        <f>_xll.qlCalendarAdvance(Calendar,SettlementDate,P593,"f",,Trigger)</f>
        <v>60122</v>
      </c>
      <c r="R593" s="28">
        <f>_xll.qlInterestRateIndexValueDate(Index,Q593,Trigger)</f>
        <v>60126</v>
      </c>
      <c r="S593" s="28">
        <f>_xll.qlInterestRateIndexMaturity(Index,R593,Trigger)</f>
        <v>60157</v>
      </c>
      <c r="T593" s="30">
        <f>_xll.qlIndexFixing($M$6,Q593,,InterestRatesTrigger)</f>
        <v>1.2547817217259985E-2</v>
      </c>
      <c r="U593" s="30" t="e">
        <f>_xll.qlIndexFixing(Index,Q593,,InterestRatesTrigger)</f>
        <v>#NUM!</v>
      </c>
      <c r="V593" s="30" t="e">
        <f t="shared" si="30"/>
        <v>#NUM!</v>
      </c>
      <c r="W593" s="29">
        <f>_xll.qlDayCounterYearFraction(DayCounter,SettlementDate,R593,,,Trigger)</f>
        <v>49.897222222222226</v>
      </c>
      <c r="X593" s="29">
        <f>_xll.qlDayCounterYearFraction(DayCounter,R593,S593)</f>
        <v>8.611111111111111E-2</v>
      </c>
      <c r="Y593" s="29" t="e">
        <f>_xll.qlYieldTSDiscount(Currency&amp;"ON",R593)/(1+U593*X593)</f>
        <v>#NUM!</v>
      </c>
      <c r="Z593" s="30" t="e">
        <f>_xll.qlTenorBasisValue(TenorBasis6M,R593,InterestRatesTrigger)</f>
        <v>#VALUE!</v>
      </c>
      <c r="AA593" s="30" t="e">
        <f t="shared" si="31"/>
        <v>#NUM!</v>
      </c>
    </row>
    <row r="594" spans="15:27" x14ac:dyDescent="0.2">
      <c r="O594" s="33">
        <v>1</v>
      </c>
      <c r="P594" s="27" t="str">
        <f>_xll.qlPeriodEquivalent(P593&amp;"+"&amp;O594&amp;"M")</f>
        <v>49Y3M</v>
      </c>
      <c r="Q594" s="28">
        <f>_xll.qlCalendarAdvance(Calendar,SettlementDate,P594,"f",,Trigger)</f>
        <v>60153</v>
      </c>
      <c r="R594" s="28">
        <f>_xll.qlInterestRateIndexValueDate(Index,Q594,Trigger)</f>
        <v>60155</v>
      </c>
      <c r="S594" s="28">
        <f>_xll.qlInterestRateIndexMaturity(Index,R594,Trigger)</f>
        <v>60185</v>
      </c>
      <c r="T594" s="30">
        <f>_xll.qlIndexFixing($M$6,Q594,,InterestRatesTrigger)</f>
        <v>1.2571061214818435E-2</v>
      </c>
      <c r="U594" s="30" t="e">
        <f>_xll.qlIndexFixing(Index,Q594,,InterestRatesTrigger)</f>
        <v>#NUM!</v>
      </c>
      <c r="V594" s="30" t="e">
        <f t="shared" si="30"/>
        <v>#NUM!</v>
      </c>
      <c r="W594" s="29">
        <f>_xll.qlDayCounterYearFraction(DayCounter,SettlementDate,R594,,,Trigger)</f>
        <v>49.977777777777774</v>
      </c>
      <c r="X594" s="29">
        <f>_xll.qlDayCounterYearFraction(DayCounter,R594,S594)</f>
        <v>8.3333333333333329E-2</v>
      </c>
      <c r="Y594" s="29" t="e">
        <f>_xll.qlYieldTSDiscount(Currency&amp;"ON",R594)/(1+U594*X594)</f>
        <v>#NUM!</v>
      </c>
      <c r="Z594" s="30" t="e">
        <f>_xll.qlTenorBasisValue(TenorBasis6M,R594,InterestRatesTrigger)</f>
        <v>#VALUE!</v>
      </c>
      <c r="AA594" s="30" t="e">
        <f t="shared" si="31"/>
        <v>#NUM!</v>
      </c>
    </row>
    <row r="595" spans="15:27" x14ac:dyDescent="0.2">
      <c r="O595" s="33">
        <v>1</v>
      </c>
      <c r="P595" s="27" t="str">
        <f>_xll.qlPeriodEquivalent(P594&amp;"+"&amp;O595&amp;"M")</f>
        <v>49Y4M</v>
      </c>
      <c r="Q595" s="28">
        <f>_xll.qlCalendarAdvance(Calendar,SettlementDate,P595,"f",,Trigger)</f>
        <v>60183</v>
      </c>
      <c r="R595" s="28">
        <f>_xll.qlInterestRateIndexValueDate(Index,Q595,Trigger)</f>
        <v>60185</v>
      </c>
      <c r="S595" s="28">
        <f>_xll.qlInterestRateIndexMaturity(Index,R595,Trigger)</f>
        <v>60216</v>
      </c>
      <c r="T595" s="30">
        <f>_xll.qlIndexFixing($M$6,Q595,,InterestRatesTrigger)</f>
        <v>1.2597111401434527E-2</v>
      </c>
      <c r="U595" s="30" t="e">
        <f>_xll.qlIndexFixing(Index,Q595,,InterestRatesTrigger)</f>
        <v>#NUM!</v>
      </c>
      <c r="V595" s="30" t="e">
        <f t="shared" si="30"/>
        <v>#NUM!</v>
      </c>
      <c r="W595" s="29">
        <f>_xll.qlDayCounterYearFraction(DayCounter,SettlementDate,R595,,,Trigger)</f>
        <v>50.06111111111111</v>
      </c>
      <c r="X595" s="29">
        <f>_xll.qlDayCounterYearFraction(DayCounter,R595,S595)</f>
        <v>8.611111111111111E-2</v>
      </c>
      <c r="Y595" s="29" t="e">
        <f>_xll.qlYieldTSDiscount(Currency&amp;"ON",R595)/(1+U595*X595)</f>
        <v>#NUM!</v>
      </c>
      <c r="Z595" s="30" t="e">
        <f>_xll.qlTenorBasisValue(TenorBasis6M,R595,InterestRatesTrigger)</f>
        <v>#VALUE!</v>
      </c>
      <c r="AA595" s="30" t="e">
        <f t="shared" si="31"/>
        <v>#NUM!</v>
      </c>
    </row>
    <row r="596" spans="15:27" x14ac:dyDescent="0.2">
      <c r="O596" s="33">
        <v>1</v>
      </c>
      <c r="P596" s="27" t="str">
        <f>_xll.qlPeriodEquivalent(P595&amp;"+"&amp;O596&amp;"M")</f>
        <v>49Y5M</v>
      </c>
      <c r="Q596" s="28">
        <f>_xll.qlCalendarAdvance(Calendar,SettlementDate,P596,"f",,Trigger)</f>
        <v>60216</v>
      </c>
      <c r="R596" s="28">
        <f>_xll.qlInterestRateIndexValueDate(Index,Q596,Trigger)</f>
        <v>60218</v>
      </c>
      <c r="S596" s="28">
        <f>_xll.qlInterestRateIndexMaturity(Index,R596,Trigger)</f>
        <v>60248</v>
      </c>
      <c r="T596" s="30">
        <f>_xll.qlIndexFixing($M$6,Q596,,InterestRatesTrigger)</f>
        <v>1.2625225886448987E-2</v>
      </c>
      <c r="U596" s="30" t="e">
        <f>_xll.qlIndexFixing(Index,Q596,,InterestRatesTrigger)</f>
        <v>#NUM!</v>
      </c>
      <c r="V596" s="30" t="e">
        <f t="shared" si="30"/>
        <v>#NUM!</v>
      </c>
      <c r="W596" s="29">
        <f>_xll.qlDayCounterYearFraction(DayCounter,SettlementDate,R596,,,Trigger)</f>
        <v>50.152777777777779</v>
      </c>
      <c r="X596" s="29">
        <f>_xll.qlDayCounterYearFraction(DayCounter,R596,S596)</f>
        <v>8.3333333333333329E-2</v>
      </c>
      <c r="Y596" s="29" t="e">
        <f>_xll.qlYieldTSDiscount(Currency&amp;"ON",R596)/(1+U596*X596)</f>
        <v>#NUM!</v>
      </c>
      <c r="Z596" s="30" t="e">
        <f>_xll.qlTenorBasisValue(TenorBasis6M,R596,InterestRatesTrigger)</f>
        <v>#VALUE!</v>
      </c>
      <c r="AA596" s="30" t="e">
        <f t="shared" si="31"/>
        <v>#NUM!</v>
      </c>
    </row>
    <row r="597" spans="15:27" x14ac:dyDescent="0.2">
      <c r="O597" s="33">
        <v>1</v>
      </c>
      <c r="P597" s="27" t="str">
        <f>_xll.qlPeriodEquivalent(P596&amp;"+"&amp;O597&amp;"M")</f>
        <v>49Y6M</v>
      </c>
      <c r="Q597" s="28">
        <f>_xll.qlCalendarAdvance(Calendar,SettlementDate,P597,"f",,Trigger)</f>
        <v>60244</v>
      </c>
      <c r="R597" s="28">
        <f>_xll.qlInterestRateIndexValueDate(Index,Q597,Trigger)</f>
        <v>60246</v>
      </c>
      <c r="S597" s="28">
        <f>_xll.qlInterestRateIndexMaturity(Index,R597,Trigger)</f>
        <v>60279</v>
      </c>
      <c r="T597" s="30">
        <f>_xll.qlIndexFixing($M$6,Q597,,InterestRatesTrigger)</f>
        <v>1.2652348348710551E-2</v>
      </c>
      <c r="U597" s="30" t="e">
        <f>_xll.qlIndexFixing(Index,Q597,,InterestRatesTrigger)</f>
        <v>#NUM!</v>
      </c>
      <c r="V597" s="30" t="e">
        <f t="shared" si="30"/>
        <v>#NUM!</v>
      </c>
      <c r="W597" s="29">
        <f>_xll.qlDayCounterYearFraction(DayCounter,SettlementDate,R597,,,Trigger)</f>
        <v>50.230555555555554</v>
      </c>
      <c r="X597" s="29">
        <f>_xll.qlDayCounterYearFraction(DayCounter,R597,S597)</f>
        <v>9.166666666666666E-2</v>
      </c>
      <c r="Y597" s="29" t="e">
        <f>_xll.qlYieldTSDiscount(Currency&amp;"ON",R597)/(1+U597*X597)</f>
        <v>#NUM!</v>
      </c>
      <c r="Z597" s="30" t="e">
        <f>_xll.qlTenorBasisValue(TenorBasis6M,R597,InterestRatesTrigger)</f>
        <v>#VALUE!</v>
      </c>
      <c r="AA597" s="30" t="e">
        <f t="shared" si="31"/>
        <v>#NUM!</v>
      </c>
    </row>
    <row r="598" spans="15:27" x14ac:dyDescent="0.2">
      <c r="O598" s="33">
        <v>1</v>
      </c>
      <c r="P598" s="27" t="str">
        <f>_xll.qlPeriodEquivalent(P597&amp;"+"&amp;O598&amp;"M")</f>
        <v>49Y7M</v>
      </c>
      <c r="Q598" s="28">
        <f>_xll.qlCalendarAdvance(Calendar,SettlementDate,P598,"f",,Trigger)</f>
        <v>60275</v>
      </c>
      <c r="R598" s="28">
        <f>_xll.qlInterestRateIndexValueDate(Index,Q598,Trigger)</f>
        <v>60279</v>
      </c>
      <c r="S598" s="28">
        <f>_xll.qlInterestRateIndexMaturity(Index,R598,Trigger)</f>
        <v>60310</v>
      </c>
      <c r="T598" s="30">
        <f>_xll.qlIndexFixing($M$6,Q598,,InterestRatesTrigger)</f>
        <v>1.2681375295121696E-2</v>
      </c>
      <c r="U598" s="30" t="e">
        <f>_xll.qlIndexFixing(Index,Q598,,InterestRatesTrigger)</f>
        <v>#NUM!</v>
      </c>
      <c r="V598" s="30" t="e">
        <f t="shared" si="30"/>
        <v>#NUM!</v>
      </c>
      <c r="W598" s="29">
        <f>_xll.qlDayCounterYearFraction(DayCounter,SettlementDate,R598,,,Trigger)</f>
        <v>50.322222222222223</v>
      </c>
      <c r="X598" s="29">
        <f>_xll.qlDayCounterYearFraction(DayCounter,R598,S598)</f>
        <v>8.611111111111111E-2</v>
      </c>
      <c r="Y598" s="29" t="e">
        <f>_xll.qlYieldTSDiscount(Currency&amp;"ON",R598)/(1+U598*X598)</f>
        <v>#NUM!</v>
      </c>
      <c r="Z598" s="30" t="e">
        <f>_xll.qlTenorBasisValue(TenorBasis6M,R598,InterestRatesTrigger)</f>
        <v>#VALUE!</v>
      </c>
      <c r="AA598" s="30" t="e">
        <f t="shared" si="31"/>
        <v>#NUM!</v>
      </c>
    </row>
    <row r="599" spans="15:27" x14ac:dyDescent="0.2">
      <c r="O599" s="33">
        <v>1</v>
      </c>
      <c r="P599" s="27" t="str">
        <f>_xll.qlPeriodEquivalent(P598&amp;"+"&amp;O599&amp;"M")</f>
        <v>49Y8M</v>
      </c>
      <c r="Q599" s="28">
        <f>_xll.qlCalendarAdvance(Calendar,SettlementDate,P599,"f",,Trigger)</f>
        <v>60307</v>
      </c>
      <c r="R599" s="28">
        <f>_xll.qlInterestRateIndexValueDate(Index,Q599,Trigger)</f>
        <v>60309</v>
      </c>
      <c r="S599" s="28">
        <f>_xll.qlInterestRateIndexMaturity(Index,R599,Trigger)</f>
        <v>60337</v>
      </c>
      <c r="T599" s="30">
        <f>_xll.qlIndexFixing($M$6,Q599,,InterestRatesTrigger)</f>
        <v>1.2707635217570028E-2</v>
      </c>
      <c r="U599" s="30" t="e">
        <f>_xll.qlIndexFixing(Index,Q599,,InterestRatesTrigger)</f>
        <v>#NUM!</v>
      </c>
      <c r="V599" s="30" t="e">
        <f t="shared" si="30"/>
        <v>#NUM!</v>
      </c>
      <c r="W599" s="29">
        <f>_xll.qlDayCounterYearFraction(DayCounter,SettlementDate,R599,,,Trigger)</f>
        <v>50.405555555555559</v>
      </c>
      <c r="X599" s="29">
        <f>_xll.qlDayCounterYearFraction(DayCounter,R599,S599)</f>
        <v>7.7777777777777779E-2</v>
      </c>
      <c r="Y599" s="29" t="e">
        <f>_xll.qlYieldTSDiscount(Currency&amp;"ON",R599)/(1+U599*X599)</f>
        <v>#NUM!</v>
      </c>
      <c r="Z599" s="30" t="e">
        <f>_xll.qlTenorBasisValue(TenorBasis6M,R599,InterestRatesTrigger)</f>
        <v>#VALUE!</v>
      </c>
      <c r="AA599" s="30" t="e">
        <f t="shared" si="31"/>
        <v>#NUM!</v>
      </c>
    </row>
    <row r="600" spans="15:27" x14ac:dyDescent="0.2">
      <c r="O600" s="33">
        <v>1</v>
      </c>
      <c r="P600" s="27" t="str">
        <f>_xll.qlPeriodEquivalent(P599&amp;"+"&amp;O600&amp;"M")</f>
        <v>49Y9M</v>
      </c>
      <c r="Q600" s="28">
        <f>_xll.qlCalendarAdvance(Calendar,SettlementDate,P600,"f",,Trigger)</f>
        <v>60335</v>
      </c>
      <c r="R600" s="28">
        <f>_xll.qlInterestRateIndexValueDate(Index,Q600,Trigger)</f>
        <v>60337</v>
      </c>
      <c r="S600" s="28">
        <f>_xll.qlInterestRateIndexMaturity(Index,R600,Trigger)</f>
        <v>60370</v>
      </c>
      <c r="T600" s="30">
        <f>_xll.qlIndexFixing($M$6,Q600,,InterestRatesTrigger)</f>
        <v>1.2738314045707841E-2</v>
      </c>
      <c r="U600" s="30" t="e">
        <f>_xll.qlIndexFixing(Index,Q600,,InterestRatesTrigger)</f>
        <v>#NUM!</v>
      </c>
      <c r="V600" s="30" t="e">
        <f t="shared" si="30"/>
        <v>#NUM!</v>
      </c>
      <c r="W600" s="29">
        <f>_xll.qlDayCounterYearFraction(DayCounter,SettlementDate,R600,,,Trigger)</f>
        <v>50.483333333333334</v>
      </c>
      <c r="X600" s="29">
        <f>_xll.qlDayCounterYearFraction(DayCounter,R600,S600)</f>
        <v>9.166666666666666E-2</v>
      </c>
      <c r="Y600" s="29" t="e">
        <f>_xll.qlYieldTSDiscount(Currency&amp;"ON",R600)/(1+U600*X600)</f>
        <v>#NUM!</v>
      </c>
      <c r="Z600" s="30" t="e">
        <f>_xll.qlTenorBasisValue(TenorBasis6M,R600,InterestRatesTrigger)</f>
        <v>#VALUE!</v>
      </c>
      <c r="AA600" s="30" t="e">
        <f t="shared" si="31"/>
        <v>#NUM!</v>
      </c>
    </row>
    <row r="601" spans="15:27" x14ac:dyDescent="0.2">
      <c r="O601" s="33">
        <v>1</v>
      </c>
      <c r="P601" s="27" t="str">
        <f>_xll.qlPeriodEquivalent(P600&amp;"+"&amp;O601&amp;"M")</f>
        <v>49Y10M</v>
      </c>
      <c r="Q601" s="28">
        <f>_xll.qlCalendarAdvance(Calendar,SettlementDate,P601,"f",,Trigger)</f>
        <v>60365</v>
      </c>
      <c r="R601" s="28">
        <f>_xll.qlInterestRateIndexValueDate(Index,Q601,Trigger)</f>
        <v>60367</v>
      </c>
      <c r="S601" s="28">
        <f>_xll.qlInterestRateIndexMaturity(Index,R601,Trigger)</f>
        <v>60398</v>
      </c>
      <c r="T601" s="30">
        <f>_xll.qlIndexFixing($M$6,Q601,,InterestRatesTrigger)</f>
        <v>1.276663887239381E-2</v>
      </c>
      <c r="U601" s="30" t="e">
        <f>_xll.qlIndexFixing(Index,Q601,,InterestRatesTrigger)</f>
        <v>#NUM!</v>
      </c>
      <c r="V601" s="30" t="e">
        <f t="shared" si="30"/>
        <v>#NUM!</v>
      </c>
      <c r="W601" s="29">
        <f>_xll.qlDayCounterYearFraction(DayCounter,SettlementDate,R601,,,Trigger)</f>
        <v>50.56666666666667</v>
      </c>
      <c r="X601" s="29">
        <f>_xll.qlDayCounterYearFraction(DayCounter,R601,S601)</f>
        <v>8.611111111111111E-2</v>
      </c>
      <c r="Y601" s="29" t="e">
        <f>_xll.qlYieldTSDiscount(Currency&amp;"ON",R601)/(1+U601*X601)</f>
        <v>#NUM!</v>
      </c>
      <c r="Z601" s="30" t="e">
        <f>_xll.qlTenorBasisValue(TenorBasis6M,R601,InterestRatesTrigger)</f>
        <v>#VALUE!</v>
      </c>
      <c r="AA601" s="30" t="e">
        <f t="shared" si="31"/>
        <v>#NUM!</v>
      </c>
    </row>
    <row r="602" spans="15:27" x14ac:dyDescent="0.2">
      <c r="O602" s="33">
        <v>1</v>
      </c>
      <c r="P602" s="27" t="str">
        <f>_xll.qlPeriodEquivalent(P601&amp;"+"&amp;O602&amp;"M")</f>
        <v>49Y11M</v>
      </c>
      <c r="Q602" s="28">
        <f>_xll.qlCalendarAdvance(Calendar,SettlementDate,P602,"f",,Trigger)</f>
        <v>60395</v>
      </c>
      <c r="R602" s="28">
        <f>_xll.qlInterestRateIndexValueDate(Index,Q602,Trigger)</f>
        <v>60399</v>
      </c>
      <c r="S602" s="28">
        <f>_xll.qlInterestRateIndexMaturity(Index,R602,Trigger)</f>
        <v>60430</v>
      </c>
      <c r="T602" s="30">
        <f>_xll.qlIndexFixing($M$6,Q602,,InterestRatesTrigger)</f>
        <v>1.2799172710626271E-2</v>
      </c>
      <c r="U602" s="30" t="e">
        <f>_xll.qlIndexFixing(Index,Q602,,InterestRatesTrigger)</f>
        <v>#NUM!</v>
      </c>
      <c r="V602" s="30" t="e">
        <f t="shared" si="30"/>
        <v>#NUM!</v>
      </c>
      <c r="W602" s="29">
        <f>_xll.qlDayCounterYearFraction(DayCounter,SettlementDate,R602,,,Trigger)</f>
        <v>50.655555555555559</v>
      </c>
      <c r="X602" s="29">
        <f>_xll.qlDayCounterYearFraction(DayCounter,R602,S602)</f>
        <v>8.611111111111111E-2</v>
      </c>
      <c r="Y602" s="29" t="e">
        <f>_xll.qlYieldTSDiscount(Currency&amp;"ON",R602)/(1+U602*X602)</f>
        <v>#NUM!</v>
      </c>
      <c r="Z602" s="30" t="e">
        <f>_xll.qlTenorBasisValue(TenorBasis6M,R602,InterestRatesTrigger)</f>
        <v>#VALUE!</v>
      </c>
      <c r="AA602" s="30" t="e">
        <f t="shared" si="31"/>
        <v>#NUM!</v>
      </c>
    </row>
    <row r="603" spans="15:27" x14ac:dyDescent="0.2">
      <c r="O603" s="33">
        <v>1</v>
      </c>
      <c r="P603" s="27" t="str">
        <f>_xll.qlPeriodEquivalent(P602&amp;"+"&amp;O603&amp;"M")</f>
        <v>50Y</v>
      </c>
      <c r="Q603" s="28">
        <f>_xll.qlCalendarAdvance(Calendar,SettlementDate,P603,"f",,Trigger)</f>
        <v>60426</v>
      </c>
      <c r="R603" s="28">
        <f>_xll.qlInterestRateIndexValueDate(Index,Q603,Trigger)</f>
        <v>60428</v>
      </c>
      <c r="S603" s="28">
        <f>_xll.qlInterestRateIndexMaturity(Index,R603,Trigger)</f>
        <v>60458</v>
      </c>
      <c r="T603" s="30">
        <f>_xll.qlIndexFixing($M$6,Q603,,InterestRatesTrigger)</f>
        <v>1.2828408360172183E-2</v>
      </c>
      <c r="U603" s="30" t="e">
        <f>_xll.qlIndexFixing(Index,Q603,,InterestRatesTrigger)</f>
        <v>#NUM!</v>
      </c>
      <c r="V603" s="30" t="e">
        <f t="shared" si="30"/>
        <v>#NUM!</v>
      </c>
      <c r="W603" s="29">
        <f>_xll.qlDayCounterYearFraction(DayCounter,SettlementDate,R603,,,Trigger)</f>
        <v>50.736111111111114</v>
      </c>
      <c r="X603" s="29">
        <f>_xll.qlDayCounterYearFraction(DayCounter,R603,S603)</f>
        <v>8.3333333333333329E-2</v>
      </c>
      <c r="Y603" s="29" t="e">
        <f>_xll.qlYieldTSDiscount(Currency&amp;"ON",R603)/(1+U603*X603)</f>
        <v>#NUM!</v>
      </c>
      <c r="Z603" s="30" t="e">
        <f>_xll.qlTenorBasisValue(TenorBasis6M,R603,InterestRatesTrigger)</f>
        <v>#VALUE!</v>
      </c>
      <c r="AA603" s="30" t="e">
        <f t="shared" si="31"/>
        <v>#NUM!</v>
      </c>
    </row>
    <row r="604" spans="15:27" x14ac:dyDescent="0.2">
      <c r="O604" s="33">
        <v>1</v>
      </c>
      <c r="P604" s="27" t="str">
        <f>_xll.qlPeriodEquivalent(P603&amp;"+"&amp;O604&amp;"M")</f>
        <v>50Y1M</v>
      </c>
      <c r="Q604" s="28">
        <f>_xll.qlCalendarAdvance(Calendar,SettlementDate,P604,"f",,Trigger)</f>
        <v>60456</v>
      </c>
      <c r="R604" s="28">
        <f>_xll.qlInterestRateIndexValueDate(Index,Q604,Trigger)</f>
        <v>60458</v>
      </c>
      <c r="S604" s="28">
        <f>_xll.qlInterestRateIndexMaturity(Index,R604,Trigger)</f>
        <v>60489</v>
      </c>
      <c r="T604" s="30">
        <f>_xll.qlIndexFixing($M$6,Q604,,InterestRatesTrigger)</f>
        <v>1.2860033872450063E-2</v>
      </c>
      <c r="U604" s="30" t="e">
        <f>_xll.qlIndexFixing(Index,Q604,,InterestRatesTrigger)</f>
        <v>#NUM!</v>
      </c>
      <c r="V604" s="30" t="e">
        <f t="shared" si="30"/>
        <v>#NUM!</v>
      </c>
      <c r="W604" s="29">
        <f>_xll.qlDayCounterYearFraction(DayCounter,SettlementDate,R604,,,Trigger)</f>
        <v>50.819444444444443</v>
      </c>
      <c r="X604" s="29">
        <f>_xll.qlDayCounterYearFraction(DayCounter,R604,S604)</f>
        <v>8.611111111111111E-2</v>
      </c>
      <c r="Y604" s="29" t="e">
        <f>_xll.qlYieldTSDiscount(Currency&amp;"ON",R604)/(1+U604*X604)</f>
        <v>#NUM!</v>
      </c>
      <c r="Z604" s="30" t="e">
        <f>_xll.qlTenorBasisValue(TenorBasis6M,R604,InterestRatesTrigger)</f>
        <v>#VALUE!</v>
      </c>
      <c r="AA604" s="30" t="e">
        <f t="shared" si="31"/>
        <v>#NUM!</v>
      </c>
    </row>
    <row r="605" spans="15:27" x14ac:dyDescent="0.2">
      <c r="O605" s="33">
        <v>1</v>
      </c>
      <c r="P605" s="27" t="str">
        <f>_xll.qlPeriodEquivalent(P604&amp;"+"&amp;O605&amp;"M")</f>
        <v>50Y2M</v>
      </c>
      <c r="Q605" s="28">
        <f>_xll.qlCalendarAdvance(Calendar,SettlementDate,P605,"f",,Trigger)</f>
        <v>60489</v>
      </c>
      <c r="R605" s="28">
        <f>_xll.qlInterestRateIndexValueDate(Index,Q605,Trigger)</f>
        <v>60491</v>
      </c>
      <c r="S605" s="28">
        <f>_xll.qlInterestRateIndexMaturity(Index,R605,Trigger)</f>
        <v>60524</v>
      </c>
      <c r="T605" s="30">
        <f>_xll.qlIndexFixing($M$6,Q605,,InterestRatesTrigger)</f>
        <v>1.2895183268269893E-2</v>
      </c>
      <c r="U605" s="30" t="e">
        <f>_xll.qlIndexFixing(Index,Q605,,InterestRatesTrigger)</f>
        <v>#NUM!</v>
      </c>
      <c r="V605" s="30" t="e">
        <f t="shared" si="30"/>
        <v>#NUM!</v>
      </c>
      <c r="W605" s="29">
        <f>_xll.qlDayCounterYearFraction(DayCounter,SettlementDate,R605,,,Trigger)</f>
        <v>50.911111111111111</v>
      </c>
      <c r="X605" s="29">
        <f>_xll.qlDayCounterYearFraction(DayCounter,R605,S605)</f>
        <v>9.166666666666666E-2</v>
      </c>
      <c r="Y605" s="29" t="e">
        <f>_xll.qlYieldTSDiscount(Currency&amp;"ON",R605)/(1+U605*X605)</f>
        <v>#NUM!</v>
      </c>
      <c r="Z605" s="30" t="e">
        <f>_xll.qlTenorBasisValue(TenorBasis6M,R605,InterestRatesTrigger)</f>
        <v>#VALUE!</v>
      </c>
      <c r="AA605" s="30" t="e">
        <f t="shared" si="31"/>
        <v>#NUM!</v>
      </c>
    </row>
    <row r="606" spans="15:27" x14ac:dyDescent="0.2">
      <c r="O606" s="33">
        <v>1</v>
      </c>
      <c r="P606" s="27" t="str">
        <f>_xll.qlPeriodEquivalent(P605&amp;"+"&amp;O606&amp;"M")</f>
        <v>50Y3M</v>
      </c>
      <c r="Q606" s="28">
        <f>_xll.qlCalendarAdvance(Calendar,SettlementDate,P606,"f",,Trigger)</f>
        <v>60518</v>
      </c>
      <c r="R606" s="28">
        <f>_xll.qlInterestRateIndexValueDate(Index,Q606,Trigger)</f>
        <v>60520</v>
      </c>
      <c r="S606" s="28">
        <f>_xll.qlInterestRateIndexMaturity(Index,R606,Trigger)</f>
        <v>60552</v>
      </c>
      <c r="T606" s="30">
        <f>_xll.qlIndexFixing($M$6,Q606,,InterestRatesTrigger)</f>
        <v>1.2923778853728141E-2</v>
      </c>
      <c r="U606" s="30" t="e">
        <f>_xll.qlIndexFixing(Index,Q606,,InterestRatesTrigger)</f>
        <v>#NUM!</v>
      </c>
      <c r="V606" s="30" t="e">
        <f t="shared" si="30"/>
        <v>#NUM!</v>
      </c>
      <c r="W606" s="29">
        <f>_xll.qlDayCounterYearFraction(DayCounter,SettlementDate,R606,,,Trigger)</f>
        <v>50.991666666666667</v>
      </c>
      <c r="X606" s="29">
        <f>_xll.qlDayCounterYearFraction(DayCounter,R606,S606)</f>
        <v>8.8888888888888892E-2</v>
      </c>
      <c r="Y606" s="29" t="e">
        <f>_xll.qlYieldTSDiscount(Currency&amp;"ON",R606)/(1+U606*X606)</f>
        <v>#NUM!</v>
      </c>
      <c r="Z606" s="30" t="e">
        <f>_xll.qlTenorBasisValue(TenorBasis6M,R606,InterestRatesTrigger)</f>
        <v>#VALUE!</v>
      </c>
      <c r="AA606" s="30" t="e">
        <f t="shared" si="31"/>
        <v>#NUM!</v>
      </c>
    </row>
    <row r="607" spans="15:27" x14ac:dyDescent="0.2">
      <c r="O607" s="33">
        <v>1</v>
      </c>
      <c r="P607" s="27" t="str">
        <f>_xll.qlPeriodEquivalent(P606&amp;"+"&amp;O607&amp;"M")</f>
        <v>50Y4M</v>
      </c>
      <c r="Q607" s="28">
        <f>_xll.qlCalendarAdvance(Calendar,SettlementDate,P607,"f",,Trigger)</f>
        <v>60548</v>
      </c>
      <c r="R607" s="28">
        <f>_xll.qlInterestRateIndexValueDate(Index,Q607,Trigger)</f>
        <v>60552</v>
      </c>
      <c r="S607" s="28">
        <f>_xll.qlInterestRateIndexMaturity(Index,R607,Trigger)</f>
        <v>60583</v>
      </c>
      <c r="T607" s="30">
        <f>_xll.qlIndexFixing($M$6,Q607,,InterestRatesTrigger)</f>
        <v>1.2955138004495803E-2</v>
      </c>
      <c r="U607" s="30" t="e">
        <f>_xll.qlIndexFixing(Index,Q607,,InterestRatesTrigger)</f>
        <v>#NUM!</v>
      </c>
      <c r="V607" s="30" t="e">
        <f t="shared" si="30"/>
        <v>#NUM!</v>
      </c>
      <c r="W607" s="29">
        <f>_xll.qlDayCounterYearFraction(DayCounter,SettlementDate,R607,,,Trigger)</f>
        <v>51.080555555555556</v>
      </c>
      <c r="X607" s="29">
        <f>_xll.qlDayCounterYearFraction(DayCounter,R607,S607)</f>
        <v>8.611111111111111E-2</v>
      </c>
      <c r="Y607" s="29" t="e">
        <f>_xll.qlYieldTSDiscount(Currency&amp;"ON",R607)/(1+U607*X607)</f>
        <v>#NUM!</v>
      </c>
      <c r="Z607" s="30" t="e">
        <f>_xll.qlTenorBasisValue(TenorBasis6M,R607,InterestRatesTrigger)</f>
        <v>#VALUE!</v>
      </c>
      <c r="AA607" s="30" t="e">
        <f t="shared" si="31"/>
        <v>#NUM!</v>
      </c>
    </row>
    <row r="608" spans="15:27" x14ac:dyDescent="0.2">
      <c r="O608" s="33">
        <v>1</v>
      </c>
      <c r="P608" s="27" t="str">
        <f>_xll.qlPeriodEquivalent(P607&amp;"+"&amp;O608&amp;"M")</f>
        <v>50Y5M</v>
      </c>
      <c r="Q608" s="28">
        <f>_xll.qlCalendarAdvance(Calendar,SettlementDate,P608,"f",,Trigger)</f>
        <v>60580</v>
      </c>
      <c r="R608" s="28">
        <f>_xll.qlInterestRateIndexValueDate(Index,Q608,Trigger)</f>
        <v>60582</v>
      </c>
      <c r="S608" s="28">
        <f>_xll.qlInterestRateIndexMaturity(Index,R608,Trigger)</f>
        <v>60612</v>
      </c>
      <c r="T608" s="30">
        <f>_xll.qlIndexFixing($M$6,Q608,,InterestRatesTrigger)</f>
        <v>1.2984233546270652E-2</v>
      </c>
      <c r="U608" s="30" t="e">
        <f>_xll.qlIndexFixing(Index,Q608,,InterestRatesTrigger)</f>
        <v>#NUM!</v>
      </c>
      <c r="V608" s="30" t="e">
        <f t="shared" si="30"/>
        <v>#NUM!</v>
      </c>
      <c r="W608" s="29">
        <f>_xll.qlDayCounterYearFraction(DayCounter,SettlementDate,R608,,,Trigger)</f>
        <v>51.163888888888891</v>
      </c>
      <c r="X608" s="29">
        <f>_xll.qlDayCounterYearFraction(DayCounter,R608,S608)</f>
        <v>8.3333333333333329E-2</v>
      </c>
      <c r="Y608" s="29" t="e">
        <f>_xll.qlYieldTSDiscount(Currency&amp;"ON",R608)/(1+U608*X608)</f>
        <v>#NUM!</v>
      </c>
      <c r="Z608" s="30" t="e">
        <f>_xll.qlTenorBasisValue(TenorBasis6M,R608,InterestRatesTrigger)</f>
        <v>#VALUE!</v>
      </c>
      <c r="AA608" s="30" t="e">
        <f t="shared" si="31"/>
        <v>#NUM!</v>
      </c>
    </row>
    <row r="609" spans="15:27" x14ac:dyDescent="0.2">
      <c r="O609" s="33">
        <v>1</v>
      </c>
      <c r="P609" s="27" t="str">
        <f>_xll.qlPeriodEquivalent(P608&amp;"+"&amp;O609&amp;"M")</f>
        <v>50Y6M</v>
      </c>
      <c r="Q609" s="28">
        <f>_xll.qlCalendarAdvance(Calendar,SettlementDate,P609,"f",,Trigger)</f>
        <v>60609</v>
      </c>
      <c r="R609" s="28">
        <f>_xll.qlInterestRateIndexValueDate(Index,Q609,Trigger)</f>
        <v>60611</v>
      </c>
      <c r="S609" s="28">
        <f>_xll.qlInterestRateIndexMaturity(Index,R609,Trigger)</f>
        <v>60643</v>
      </c>
      <c r="T609" s="30">
        <f>_xll.qlIndexFixing($M$6,Q609,,InterestRatesTrigger)</f>
        <v>1.301427367549679E-2</v>
      </c>
      <c r="U609" s="30" t="e">
        <f>_xll.qlIndexFixing(Index,Q609,,InterestRatesTrigger)</f>
        <v>#NUM!</v>
      </c>
      <c r="V609" s="30" t="e">
        <f t="shared" si="30"/>
        <v>#NUM!</v>
      </c>
      <c r="W609" s="29">
        <f>_xll.qlDayCounterYearFraction(DayCounter,SettlementDate,R609,,,Trigger)</f>
        <v>51.244444444444447</v>
      </c>
      <c r="X609" s="29">
        <f>_xll.qlDayCounterYearFraction(DayCounter,R609,S609)</f>
        <v>8.8888888888888892E-2</v>
      </c>
      <c r="Y609" s="29" t="e">
        <f>_xll.qlYieldTSDiscount(Currency&amp;"ON",R609)/(1+U609*X609)</f>
        <v>#NUM!</v>
      </c>
      <c r="Z609" s="30" t="e">
        <f>_xll.qlTenorBasisValue(TenorBasis6M,R609,InterestRatesTrigger)</f>
        <v>#VALUE!</v>
      </c>
      <c r="AA609" s="30" t="e">
        <f t="shared" si="31"/>
        <v>#NUM!</v>
      </c>
    </row>
    <row r="610" spans="15:27" x14ac:dyDescent="0.2">
      <c r="O610" s="33">
        <v>1</v>
      </c>
      <c r="P610" s="27" t="str">
        <f>_xll.qlPeriodEquivalent(P609&amp;"+"&amp;O610&amp;"M")</f>
        <v>50Y7M</v>
      </c>
      <c r="Q610" s="28">
        <f>_xll.qlCalendarAdvance(Calendar,SettlementDate,P610,"f",,Trigger)</f>
        <v>60640</v>
      </c>
      <c r="R610" s="28">
        <f>_xll.qlInterestRateIndexValueDate(Index,Q610,Trigger)</f>
        <v>60644</v>
      </c>
      <c r="S610" s="28">
        <f>_xll.qlInterestRateIndexMaturity(Index,R610,Trigger)</f>
        <v>60675</v>
      </c>
      <c r="T610" s="30">
        <f>_xll.qlIndexFixing($M$6,Q610,,InterestRatesTrigger)</f>
        <v>1.3045787426000448E-2</v>
      </c>
      <c r="U610" s="30" t="e">
        <f>_xll.qlIndexFixing(Index,Q610,,InterestRatesTrigger)</f>
        <v>#NUM!</v>
      </c>
      <c r="V610" s="30" t="e">
        <f t="shared" si="30"/>
        <v>#NUM!</v>
      </c>
      <c r="W610" s="29">
        <f>_xll.qlDayCounterYearFraction(DayCounter,SettlementDate,R610,,,Trigger)</f>
        <v>51.336111111111109</v>
      </c>
      <c r="X610" s="29">
        <f>_xll.qlDayCounterYearFraction(DayCounter,R610,S610)</f>
        <v>8.611111111111111E-2</v>
      </c>
      <c r="Y610" s="29" t="e">
        <f>_xll.qlYieldTSDiscount(Currency&amp;"ON",R610)/(1+U610*X610)</f>
        <v>#NUM!</v>
      </c>
      <c r="Z610" s="30" t="e">
        <f>_xll.qlTenorBasisValue(TenorBasis6M,R610,InterestRatesTrigger)</f>
        <v>#VALUE!</v>
      </c>
      <c r="AA610" s="30" t="e">
        <f t="shared" si="31"/>
        <v>#NUM!</v>
      </c>
    </row>
    <row r="611" spans="15:27" x14ac:dyDescent="0.2">
      <c r="O611" s="33">
        <v>1</v>
      </c>
      <c r="P611" s="27" t="str">
        <f>_xll.qlPeriodEquivalent(P610&amp;"+"&amp;O611&amp;"M")</f>
        <v>50Y8M</v>
      </c>
      <c r="Q611" s="28">
        <f>_xll.qlCalendarAdvance(Calendar,SettlementDate,P611,"f",,Trigger)</f>
        <v>60671</v>
      </c>
      <c r="R611" s="28">
        <f>_xll.qlInterestRateIndexValueDate(Index,Q611,Trigger)</f>
        <v>60673</v>
      </c>
      <c r="S611" s="28">
        <f>_xll.qlInterestRateIndexMaturity(Index,R611,Trigger)</f>
        <v>60701</v>
      </c>
      <c r="T611" s="30">
        <f>_xll.qlIndexFixing($M$6,Q611,,InterestRatesTrigger)</f>
        <v>1.3071707167306355E-2</v>
      </c>
      <c r="U611" s="30" t="e">
        <f>_xll.qlIndexFixing(Index,Q611,,InterestRatesTrigger)</f>
        <v>#NUM!</v>
      </c>
      <c r="V611" s="30" t="e">
        <f t="shared" si="30"/>
        <v>#NUM!</v>
      </c>
      <c r="W611" s="29">
        <f>_xll.qlDayCounterYearFraction(DayCounter,SettlementDate,R611,,,Trigger)</f>
        <v>51.416666666666664</v>
      </c>
      <c r="X611" s="29">
        <f>_xll.qlDayCounterYearFraction(DayCounter,R611,S611)</f>
        <v>7.7777777777777779E-2</v>
      </c>
      <c r="Y611" s="29" t="e">
        <f>_xll.qlYieldTSDiscount(Currency&amp;"ON",R611)/(1+U611*X611)</f>
        <v>#NUM!</v>
      </c>
      <c r="Z611" s="30" t="e">
        <f>_xll.qlTenorBasisValue(TenorBasis6M,R611,InterestRatesTrigger)</f>
        <v>#VALUE!</v>
      </c>
      <c r="AA611" s="30" t="e">
        <f t="shared" si="31"/>
        <v>#NUM!</v>
      </c>
    </row>
    <row r="612" spans="15:27" x14ac:dyDescent="0.2">
      <c r="O612" s="33">
        <v>1</v>
      </c>
      <c r="P612" s="27" t="str">
        <f>_xll.qlPeriodEquivalent(P611&amp;"+"&amp;O612&amp;"M")</f>
        <v>50Y9M</v>
      </c>
      <c r="Q612" s="28">
        <f>_xll.qlCalendarAdvance(Calendar,SettlementDate,P612,"f",,Trigger)</f>
        <v>60699</v>
      </c>
      <c r="R612" s="28">
        <f>_xll.qlInterestRateIndexValueDate(Index,Q612,Trigger)</f>
        <v>60701</v>
      </c>
      <c r="S612" s="28">
        <f>_xll.qlInterestRateIndexMaturity(Index,R612,Trigger)</f>
        <v>60735</v>
      </c>
      <c r="T612" s="30">
        <f>_xll.qlIndexFixing($M$6,Q612,,InterestRatesTrigger)</f>
        <v>1.3102890455346843E-2</v>
      </c>
      <c r="U612" s="30" t="e">
        <f>_xll.qlIndexFixing(Index,Q612,,InterestRatesTrigger)</f>
        <v>#NUM!</v>
      </c>
      <c r="V612" s="30" t="e">
        <f t="shared" ref="V612:V675" si="32">U612-T612</f>
        <v>#NUM!</v>
      </c>
      <c r="W612" s="29">
        <f>_xll.qlDayCounterYearFraction(DayCounter,SettlementDate,R612,,,Trigger)</f>
        <v>51.494444444444447</v>
      </c>
      <c r="X612" s="29">
        <f>_xll.qlDayCounterYearFraction(DayCounter,R612,S612)</f>
        <v>9.4444444444444442E-2</v>
      </c>
      <c r="Y612" s="29" t="e">
        <f>_xll.qlYieldTSDiscount(Currency&amp;"ON",R612)/(1+U612*X612)</f>
        <v>#NUM!</v>
      </c>
      <c r="Z612" s="30" t="e">
        <f>_xll.qlTenorBasisValue(TenorBasis6M,R612,InterestRatesTrigger)</f>
        <v>#VALUE!</v>
      </c>
      <c r="AA612" s="30" t="e">
        <f t="shared" ref="AA612:AA675" si="33">V612-Z612</f>
        <v>#NUM!</v>
      </c>
    </row>
    <row r="613" spans="15:27" x14ac:dyDescent="0.2">
      <c r="O613" s="33">
        <v>1</v>
      </c>
      <c r="P613" s="27" t="str">
        <f>_xll.qlPeriodEquivalent(P612&amp;"+"&amp;O613&amp;"M")</f>
        <v>50Y10M</v>
      </c>
      <c r="Q613" s="28">
        <f>_xll.qlCalendarAdvance(Calendar,SettlementDate,P613,"f",,Trigger)</f>
        <v>60730</v>
      </c>
      <c r="R613" s="28">
        <f>_xll.qlInterestRateIndexValueDate(Index,Q613,Trigger)</f>
        <v>60736</v>
      </c>
      <c r="S613" s="28">
        <f>_xll.qlInterestRateIndexMaturity(Index,R613,Trigger)</f>
        <v>60766</v>
      </c>
      <c r="T613" s="30">
        <f>_xll.qlIndexFixing($M$6,Q613,,InterestRatesTrigger)</f>
        <v>1.3133319871971416E-2</v>
      </c>
      <c r="U613" s="30" t="e">
        <f>_xll.qlIndexFixing(Index,Q613,,InterestRatesTrigger)</f>
        <v>#NUM!</v>
      </c>
      <c r="V613" s="30" t="e">
        <f t="shared" si="32"/>
        <v>#NUM!</v>
      </c>
      <c r="W613" s="29">
        <f>_xll.qlDayCounterYearFraction(DayCounter,SettlementDate,R613,,,Trigger)</f>
        <v>51.591666666666669</v>
      </c>
      <c r="X613" s="29">
        <f>_xll.qlDayCounterYearFraction(DayCounter,R613,S613)</f>
        <v>8.3333333333333329E-2</v>
      </c>
      <c r="Y613" s="29" t="e">
        <f>_xll.qlYieldTSDiscount(Currency&amp;"ON",R613)/(1+U613*X613)</f>
        <v>#NUM!</v>
      </c>
      <c r="Z613" s="30" t="e">
        <f>_xll.qlTenorBasisValue(TenorBasis6M,R613,InterestRatesTrigger)</f>
        <v>#VALUE!</v>
      </c>
      <c r="AA613" s="30" t="e">
        <f t="shared" si="33"/>
        <v>#NUM!</v>
      </c>
    </row>
    <row r="614" spans="15:27" x14ac:dyDescent="0.2">
      <c r="O614" s="33">
        <v>1</v>
      </c>
      <c r="P614" s="27" t="str">
        <f>_xll.qlPeriodEquivalent(P613&amp;"+"&amp;O614&amp;"M")</f>
        <v>50Y11M</v>
      </c>
      <c r="Q614" s="28">
        <f>_xll.qlCalendarAdvance(Calendar,SettlementDate,P614,"f",,Trigger)</f>
        <v>60762</v>
      </c>
      <c r="R614" s="28">
        <f>_xll.qlInterestRateIndexValueDate(Index,Q614,Trigger)</f>
        <v>60764</v>
      </c>
      <c r="S614" s="28">
        <f>_xll.qlInterestRateIndexMaturity(Index,R614,Trigger)</f>
        <v>60797</v>
      </c>
      <c r="T614" s="30">
        <f>_xll.qlIndexFixing($M$6,Q614,,InterestRatesTrigger)</f>
        <v>1.3161828764667923E-2</v>
      </c>
      <c r="U614" s="30" t="e">
        <f>_xll.qlIndexFixing(Index,Q614,,InterestRatesTrigger)</f>
        <v>#NUM!</v>
      </c>
      <c r="V614" s="30" t="e">
        <f t="shared" si="32"/>
        <v>#NUM!</v>
      </c>
      <c r="W614" s="29">
        <f>_xll.qlDayCounterYearFraction(DayCounter,SettlementDate,R614,,,Trigger)</f>
        <v>51.669444444444444</v>
      </c>
      <c r="X614" s="29">
        <f>_xll.qlDayCounterYearFraction(DayCounter,R614,S614)</f>
        <v>9.166666666666666E-2</v>
      </c>
      <c r="Y614" s="29" t="e">
        <f>_xll.qlYieldTSDiscount(Currency&amp;"ON",R614)/(1+U614*X614)</f>
        <v>#NUM!</v>
      </c>
      <c r="Z614" s="30" t="e">
        <f>_xll.qlTenorBasisValue(TenorBasis6M,R614,InterestRatesTrigger)</f>
        <v>#VALUE!</v>
      </c>
      <c r="AA614" s="30" t="e">
        <f t="shared" si="33"/>
        <v>#NUM!</v>
      </c>
    </row>
    <row r="615" spans="15:27" x14ac:dyDescent="0.2">
      <c r="O615" s="33">
        <v>1</v>
      </c>
      <c r="P615" s="27" t="str">
        <f>_xll.qlPeriodEquivalent(P614&amp;"+"&amp;O615&amp;"M")</f>
        <v>51Y</v>
      </c>
      <c r="Q615" s="28">
        <f>_xll.qlCalendarAdvance(Calendar,SettlementDate,P615,"f",,Trigger)</f>
        <v>60791</v>
      </c>
      <c r="R615" s="28">
        <f>_xll.qlInterestRateIndexValueDate(Index,Q615,Trigger)</f>
        <v>60793</v>
      </c>
      <c r="S615" s="28">
        <f>_xll.qlInterestRateIndexMaturity(Index,R615,Trigger)</f>
        <v>60825</v>
      </c>
      <c r="T615" s="30">
        <f>_xll.qlIndexFixing($M$6,Q615,,InterestRatesTrigger)</f>
        <v>1.3188203738204174E-2</v>
      </c>
      <c r="U615" s="30" t="e">
        <f>_xll.qlIndexFixing(Index,Q615,,InterestRatesTrigger)</f>
        <v>#NUM!</v>
      </c>
      <c r="V615" s="30" t="e">
        <f t="shared" si="32"/>
        <v>#NUM!</v>
      </c>
      <c r="W615" s="29">
        <f>_xll.qlDayCounterYearFraction(DayCounter,SettlementDate,R615,,,Trigger)</f>
        <v>51.75</v>
      </c>
      <c r="X615" s="29">
        <f>_xll.qlDayCounterYearFraction(DayCounter,R615,S615)</f>
        <v>8.8888888888888892E-2</v>
      </c>
      <c r="Y615" s="29" t="e">
        <f>_xll.qlYieldTSDiscount(Currency&amp;"ON",R615)/(1+U615*X615)</f>
        <v>#NUM!</v>
      </c>
      <c r="Z615" s="30" t="e">
        <f>_xll.qlTenorBasisValue(TenorBasis6M,R615,InterestRatesTrigger)</f>
        <v>#VALUE!</v>
      </c>
      <c r="AA615" s="30" t="e">
        <f t="shared" si="33"/>
        <v>#NUM!</v>
      </c>
    </row>
    <row r="616" spans="15:27" x14ac:dyDescent="0.2">
      <c r="O616" s="33">
        <v>1</v>
      </c>
      <c r="P616" s="27" t="str">
        <f>_xll.qlPeriodEquivalent(P615&amp;"+"&amp;O616&amp;"M")</f>
        <v>51Y1M</v>
      </c>
      <c r="Q616" s="28">
        <f>_xll.qlCalendarAdvance(Calendar,SettlementDate,P616,"f",,Trigger)</f>
        <v>60821</v>
      </c>
      <c r="R616" s="28">
        <f>_xll.qlInterestRateIndexValueDate(Index,Q616,Trigger)</f>
        <v>60825</v>
      </c>
      <c r="S616" s="28">
        <f>_xll.qlInterestRateIndexMaturity(Index,R616,Trigger)</f>
        <v>60856</v>
      </c>
      <c r="T616" s="30">
        <f>_xll.qlIndexFixing($M$6,Q616,,InterestRatesTrigger)</f>
        <v>1.3217109651157894E-2</v>
      </c>
      <c r="U616" s="30" t="e">
        <f>_xll.qlIndexFixing(Index,Q616,,InterestRatesTrigger)</f>
        <v>#NUM!</v>
      </c>
      <c r="V616" s="30" t="e">
        <f t="shared" si="32"/>
        <v>#NUM!</v>
      </c>
      <c r="W616" s="29">
        <f>_xll.qlDayCounterYearFraction(DayCounter,SettlementDate,R616,,,Trigger)</f>
        <v>51.838888888888889</v>
      </c>
      <c r="X616" s="29">
        <f>_xll.qlDayCounterYearFraction(DayCounter,R616,S616)</f>
        <v>8.611111111111111E-2</v>
      </c>
      <c r="Y616" s="29" t="e">
        <f>_xll.qlYieldTSDiscount(Currency&amp;"ON",R616)/(1+U616*X616)</f>
        <v>#NUM!</v>
      </c>
      <c r="Z616" s="30" t="e">
        <f>_xll.qlTenorBasisValue(TenorBasis6M,R616,InterestRatesTrigger)</f>
        <v>#VALUE!</v>
      </c>
      <c r="AA616" s="30" t="e">
        <f t="shared" si="33"/>
        <v>#NUM!</v>
      </c>
    </row>
    <row r="617" spans="15:27" x14ac:dyDescent="0.2">
      <c r="O617" s="33">
        <v>1</v>
      </c>
      <c r="P617" s="27" t="str">
        <f>_xll.qlPeriodEquivalent(P616&amp;"+"&amp;O617&amp;"M")</f>
        <v>51Y2M</v>
      </c>
      <c r="Q617" s="28">
        <f>_xll.qlCalendarAdvance(Calendar,SettlementDate,P617,"f",,Trigger)</f>
        <v>60853</v>
      </c>
      <c r="R617" s="28">
        <f>_xll.qlInterestRateIndexValueDate(Index,Q617,Trigger)</f>
        <v>60855</v>
      </c>
      <c r="S617" s="28">
        <f>_xll.qlInterestRateIndexMaturity(Index,R617,Trigger)</f>
        <v>60888</v>
      </c>
      <c r="T617" s="30">
        <f>_xll.qlIndexFixing($M$6,Q617,,InterestRatesTrigger)</f>
        <v>1.3246004005266312E-2</v>
      </c>
      <c r="U617" s="30" t="e">
        <f>_xll.qlIndexFixing(Index,Q617,,InterestRatesTrigger)</f>
        <v>#NUM!</v>
      </c>
      <c r="V617" s="30" t="e">
        <f t="shared" si="32"/>
        <v>#NUM!</v>
      </c>
      <c r="W617" s="29">
        <f>_xll.qlDayCounterYearFraction(DayCounter,SettlementDate,R617,,,Trigger)</f>
        <v>51.922222222222224</v>
      </c>
      <c r="X617" s="29">
        <f>_xll.qlDayCounterYearFraction(DayCounter,R617,S617)</f>
        <v>9.166666666666666E-2</v>
      </c>
      <c r="Y617" s="29" t="e">
        <f>_xll.qlYieldTSDiscount(Currency&amp;"ON",R617)/(1+U617*X617)</f>
        <v>#NUM!</v>
      </c>
      <c r="Z617" s="30" t="e">
        <f>_xll.qlTenorBasisValue(TenorBasis6M,R617,InterestRatesTrigger)</f>
        <v>#VALUE!</v>
      </c>
      <c r="AA617" s="30" t="e">
        <f t="shared" si="33"/>
        <v>#NUM!</v>
      </c>
    </row>
    <row r="618" spans="15:27" x14ac:dyDescent="0.2">
      <c r="O618" s="33">
        <v>1</v>
      </c>
      <c r="P618" s="27" t="str">
        <f>_xll.qlPeriodEquivalent(P617&amp;"+"&amp;O618&amp;"M")</f>
        <v>51Y3M</v>
      </c>
      <c r="Q618" s="28">
        <f>_xll.qlCalendarAdvance(Calendar,SettlementDate,P618,"f",,Trigger)</f>
        <v>60883</v>
      </c>
      <c r="R618" s="28">
        <f>_xll.qlInterestRateIndexValueDate(Index,Q618,Trigger)</f>
        <v>60885</v>
      </c>
      <c r="S618" s="28">
        <f>_xll.qlInterestRateIndexMaturity(Index,R618,Trigger)</f>
        <v>60916</v>
      </c>
      <c r="T618" s="30">
        <f>_xll.qlIndexFixing($M$6,Q618,,InterestRatesTrigger)</f>
        <v>1.3271846998968386E-2</v>
      </c>
      <c r="U618" s="30" t="e">
        <f>_xll.qlIndexFixing(Index,Q618,,InterestRatesTrigger)</f>
        <v>#NUM!</v>
      </c>
      <c r="V618" s="30" t="e">
        <f t="shared" si="32"/>
        <v>#NUM!</v>
      </c>
      <c r="W618" s="29">
        <f>_xll.qlDayCounterYearFraction(DayCounter,SettlementDate,R618,,,Trigger)</f>
        <v>52.005555555555553</v>
      </c>
      <c r="X618" s="29">
        <f>_xll.qlDayCounterYearFraction(DayCounter,R618,S618)</f>
        <v>8.611111111111111E-2</v>
      </c>
      <c r="Y618" s="29" t="e">
        <f>_xll.qlYieldTSDiscount(Currency&amp;"ON",R618)/(1+U618*X618)</f>
        <v>#NUM!</v>
      </c>
      <c r="Z618" s="30" t="e">
        <f>_xll.qlTenorBasisValue(TenorBasis6M,R618,InterestRatesTrigger)</f>
        <v>#VALUE!</v>
      </c>
      <c r="AA618" s="30" t="e">
        <f t="shared" si="33"/>
        <v>#NUM!</v>
      </c>
    </row>
    <row r="619" spans="15:27" x14ac:dyDescent="0.2">
      <c r="O619" s="33">
        <v>1</v>
      </c>
      <c r="P619" s="27" t="str">
        <f>_xll.qlPeriodEquivalent(P618&amp;"+"&amp;O619&amp;"M")</f>
        <v>51Y4M</v>
      </c>
      <c r="Q619" s="28">
        <f>_xll.qlCalendarAdvance(Calendar,SettlementDate,P619,"f",,Trigger)</f>
        <v>60913</v>
      </c>
      <c r="R619" s="28">
        <f>_xll.qlInterestRateIndexValueDate(Index,Q619,Trigger)</f>
        <v>60917</v>
      </c>
      <c r="S619" s="28">
        <f>_xll.qlInterestRateIndexMaturity(Index,R619,Trigger)</f>
        <v>60948</v>
      </c>
      <c r="T619" s="30">
        <f>_xll.qlIndexFixing($M$6,Q619,,InterestRatesTrigger)</f>
        <v>1.3300621943640564E-2</v>
      </c>
      <c r="U619" s="30" t="e">
        <f>_xll.qlIndexFixing(Index,Q619,,InterestRatesTrigger)</f>
        <v>#NUM!</v>
      </c>
      <c r="V619" s="30" t="e">
        <f t="shared" si="32"/>
        <v>#NUM!</v>
      </c>
      <c r="W619" s="29">
        <f>_xll.qlDayCounterYearFraction(DayCounter,SettlementDate,R619,,,Trigger)</f>
        <v>52.094444444444441</v>
      </c>
      <c r="X619" s="29">
        <f>_xll.qlDayCounterYearFraction(DayCounter,R619,S619)</f>
        <v>8.611111111111111E-2</v>
      </c>
      <c r="Y619" s="29" t="e">
        <f>_xll.qlYieldTSDiscount(Currency&amp;"ON",R619)/(1+U619*X619)</f>
        <v>#NUM!</v>
      </c>
      <c r="Z619" s="30" t="e">
        <f>_xll.qlTenorBasisValue(TenorBasis6M,R619,InterestRatesTrigger)</f>
        <v>#VALUE!</v>
      </c>
      <c r="AA619" s="30" t="e">
        <f t="shared" si="33"/>
        <v>#NUM!</v>
      </c>
    </row>
    <row r="620" spans="15:27" x14ac:dyDescent="0.2">
      <c r="O620" s="33">
        <v>1</v>
      </c>
      <c r="P620" s="27" t="str">
        <f>_xll.qlPeriodEquivalent(P619&amp;"+"&amp;O620&amp;"M")</f>
        <v>51Y5M</v>
      </c>
      <c r="Q620" s="28">
        <f>_xll.qlCalendarAdvance(Calendar,SettlementDate,P620,"f",,Trigger)</f>
        <v>60944</v>
      </c>
      <c r="R620" s="28">
        <f>_xll.qlInterestRateIndexValueDate(Index,Q620,Trigger)</f>
        <v>60946</v>
      </c>
      <c r="S620" s="28">
        <f>_xll.qlInterestRateIndexMaturity(Index,R620,Trigger)</f>
        <v>60976</v>
      </c>
      <c r="T620" s="30">
        <f>_xll.qlIndexFixing($M$6,Q620,,InterestRatesTrigger)</f>
        <v>1.3325758808512056E-2</v>
      </c>
      <c r="U620" s="30" t="e">
        <f>_xll.qlIndexFixing(Index,Q620,,InterestRatesTrigger)</f>
        <v>#NUM!</v>
      </c>
      <c r="V620" s="30" t="e">
        <f t="shared" si="32"/>
        <v>#NUM!</v>
      </c>
      <c r="W620" s="29">
        <f>_xll.qlDayCounterYearFraction(DayCounter,SettlementDate,R620,,,Trigger)</f>
        <v>52.174999999999997</v>
      </c>
      <c r="X620" s="29">
        <f>_xll.qlDayCounterYearFraction(DayCounter,R620,S620)</f>
        <v>8.3333333333333329E-2</v>
      </c>
      <c r="Y620" s="29" t="e">
        <f>_xll.qlYieldTSDiscount(Currency&amp;"ON",R620)/(1+U620*X620)</f>
        <v>#NUM!</v>
      </c>
      <c r="Z620" s="30" t="e">
        <f>_xll.qlTenorBasisValue(TenorBasis6M,R620,InterestRatesTrigger)</f>
        <v>#VALUE!</v>
      </c>
      <c r="AA620" s="30" t="e">
        <f t="shared" si="33"/>
        <v>#NUM!</v>
      </c>
    </row>
    <row r="621" spans="15:27" x14ac:dyDescent="0.2">
      <c r="O621" s="33">
        <v>1</v>
      </c>
      <c r="P621" s="27" t="str">
        <f>_xll.qlPeriodEquivalent(P620&amp;"+"&amp;O621&amp;"M")</f>
        <v>51Y6M</v>
      </c>
      <c r="Q621" s="28">
        <f>_xll.qlCalendarAdvance(Calendar,SettlementDate,P621,"f",,Trigger)</f>
        <v>60974</v>
      </c>
      <c r="R621" s="28">
        <f>_xll.qlInterestRateIndexValueDate(Index,Q621,Trigger)</f>
        <v>60976</v>
      </c>
      <c r="S621" s="28">
        <f>_xll.qlInterestRateIndexMaturity(Index,R621,Trigger)</f>
        <v>61007</v>
      </c>
      <c r="T621" s="30">
        <f>_xll.qlIndexFixing($M$6,Q621,,InterestRatesTrigger)</f>
        <v>1.3352912867719073E-2</v>
      </c>
      <c r="U621" s="30" t="e">
        <f>_xll.qlIndexFixing(Index,Q621,,InterestRatesTrigger)</f>
        <v>#NUM!</v>
      </c>
      <c r="V621" s="30" t="e">
        <f t="shared" si="32"/>
        <v>#NUM!</v>
      </c>
      <c r="W621" s="29">
        <f>_xll.qlDayCounterYearFraction(DayCounter,SettlementDate,R621,,,Trigger)</f>
        <v>52.258333333333333</v>
      </c>
      <c r="X621" s="29">
        <f>_xll.qlDayCounterYearFraction(DayCounter,R621,S621)</f>
        <v>8.611111111111111E-2</v>
      </c>
      <c r="Y621" s="29" t="e">
        <f>_xll.qlYieldTSDiscount(Currency&amp;"ON",R621)/(1+U621*X621)</f>
        <v>#NUM!</v>
      </c>
      <c r="Z621" s="30" t="e">
        <f>_xll.qlTenorBasisValue(TenorBasis6M,R621,InterestRatesTrigger)</f>
        <v>#VALUE!</v>
      </c>
      <c r="AA621" s="30" t="e">
        <f t="shared" si="33"/>
        <v>#NUM!</v>
      </c>
    </row>
    <row r="622" spans="15:27" x14ac:dyDescent="0.2">
      <c r="O622" s="33">
        <v>1</v>
      </c>
      <c r="P622" s="27" t="str">
        <f>_xll.qlPeriodEquivalent(P621&amp;"+"&amp;O622&amp;"M")</f>
        <v>51Y7M</v>
      </c>
      <c r="Q622" s="28">
        <f>_xll.qlCalendarAdvance(Calendar,SettlementDate,P622,"f",,Trigger)</f>
        <v>61007</v>
      </c>
      <c r="R622" s="28">
        <f>_xll.qlInterestRateIndexValueDate(Index,Q622,Trigger)</f>
        <v>61009</v>
      </c>
      <c r="S622" s="28">
        <f>_xll.qlInterestRateIndexMaturity(Index,R622,Trigger)</f>
        <v>61042</v>
      </c>
      <c r="T622" s="30">
        <f>_xll.qlIndexFixing($M$6,Q622,,InterestRatesTrigger)</f>
        <v>1.3383093116645449E-2</v>
      </c>
      <c r="U622" s="30" t="e">
        <f>_xll.qlIndexFixing(Index,Q622,,InterestRatesTrigger)</f>
        <v>#NUM!</v>
      </c>
      <c r="V622" s="30" t="e">
        <f t="shared" si="32"/>
        <v>#NUM!</v>
      </c>
      <c r="W622" s="29">
        <f>_xll.qlDayCounterYearFraction(DayCounter,SettlementDate,R622,,,Trigger)</f>
        <v>52.35</v>
      </c>
      <c r="X622" s="29">
        <f>_xll.qlDayCounterYearFraction(DayCounter,R622,S622)</f>
        <v>9.166666666666666E-2</v>
      </c>
      <c r="Y622" s="29" t="e">
        <f>_xll.qlYieldTSDiscount(Currency&amp;"ON",R622)/(1+U622*X622)</f>
        <v>#NUM!</v>
      </c>
      <c r="Z622" s="30" t="e">
        <f>_xll.qlTenorBasisValue(TenorBasis6M,R622,InterestRatesTrigger)</f>
        <v>#VALUE!</v>
      </c>
      <c r="AA622" s="30" t="e">
        <f t="shared" si="33"/>
        <v>#NUM!</v>
      </c>
    </row>
    <row r="623" spans="15:27" x14ac:dyDescent="0.2">
      <c r="O623" s="33">
        <v>1</v>
      </c>
      <c r="P623" s="27" t="str">
        <f>_xll.qlPeriodEquivalent(P622&amp;"+"&amp;O623&amp;"M")</f>
        <v>51Y8M</v>
      </c>
      <c r="Q623" s="28">
        <f>_xll.qlCalendarAdvance(Calendar,SettlementDate,P623,"f",,Trigger)</f>
        <v>61036</v>
      </c>
      <c r="R623" s="28">
        <f>_xll.qlInterestRateIndexValueDate(Index,Q623,Trigger)</f>
        <v>61038</v>
      </c>
      <c r="S623" s="28">
        <f>_xll.qlInterestRateIndexMaturity(Index,R623,Trigger)</f>
        <v>61066</v>
      </c>
      <c r="T623" s="30">
        <f>_xll.qlIndexFixing($M$6,Q623,,InterestRatesTrigger)</f>
        <v>1.3404759566779985E-2</v>
      </c>
      <c r="U623" s="30" t="e">
        <f>_xll.qlIndexFixing(Index,Q623,,InterestRatesTrigger)</f>
        <v>#NUM!</v>
      </c>
      <c r="V623" s="30" t="e">
        <f t="shared" si="32"/>
        <v>#NUM!</v>
      </c>
      <c r="W623" s="29">
        <f>_xll.qlDayCounterYearFraction(DayCounter,SettlementDate,R623,,,Trigger)</f>
        <v>52.430555555555557</v>
      </c>
      <c r="X623" s="29">
        <f>_xll.qlDayCounterYearFraction(DayCounter,R623,S623)</f>
        <v>7.7777777777777779E-2</v>
      </c>
      <c r="Y623" s="29" t="e">
        <f>_xll.qlYieldTSDiscount(Currency&amp;"ON",R623)/(1+U623*X623)</f>
        <v>#NUM!</v>
      </c>
      <c r="Z623" s="30" t="e">
        <f>_xll.qlTenorBasisValue(TenorBasis6M,R623,InterestRatesTrigger)</f>
        <v>#VALUE!</v>
      </c>
      <c r="AA623" s="30" t="e">
        <f t="shared" si="33"/>
        <v>#NUM!</v>
      </c>
    </row>
    <row r="624" spans="15:27" x14ac:dyDescent="0.2">
      <c r="O624" s="33">
        <v>1</v>
      </c>
      <c r="P624" s="27" t="str">
        <f>_xll.qlPeriodEquivalent(P623&amp;"+"&amp;O624&amp;"M")</f>
        <v>51Y9M</v>
      </c>
      <c r="Q624" s="28">
        <f>_xll.qlCalendarAdvance(Calendar,SettlementDate,P624,"f",,Trigger)</f>
        <v>61064</v>
      </c>
      <c r="R624" s="28">
        <f>_xll.qlInterestRateIndexValueDate(Index,Q624,Trigger)</f>
        <v>61066</v>
      </c>
      <c r="S624" s="28">
        <f>_xll.qlInterestRateIndexMaturity(Index,R624,Trigger)</f>
        <v>61098</v>
      </c>
      <c r="T624" s="30">
        <f>_xll.qlIndexFixing($M$6,Q624,,InterestRatesTrigger)</f>
        <v>1.3431449073475765E-2</v>
      </c>
      <c r="U624" s="30" t="e">
        <f>_xll.qlIndexFixing(Index,Q624,,InterestRatesTrigger)</f>
        <v>#NUM!</v>
      </c>
      <c r="V624" s="30" t="e">
        <f t="shared" si="32"/>
        <v>#NUM!</v>
      </c>
      <c r="W624" s="29">
        <f>_xll.qlDayCounterYearFraction(DayCounter,SettlementDate,R624,,,Trigger)</f>
        <v>52.508333333333333</v>
      </c>
      <c r="X624" s="29">
        <f>_xll.qlDayCounterYearFraction(DayCounter,R624,S624)</f>
        <v>8.8888888888888892E-2</v>
      </c>
      <c r="Y624" s="29" t="e">
        <f>_xll.qlYieldTSDiscount(Currency&amp;"ON",R624)/(1+U624*X624)</f>
        <v>#NUM!</v>
      </c>
      <c r="Z624" s="30" t="e">
        <f>_xll.qlTenorBasisValue(TenorBasis6M,R624,InterestRatesTrigger)</f>
        <v>#VALUE!</v>
      </c>
      <c r="AA624" s="30" t="e">
        <f t="shared" si="33"/>
        <v>#NUM!</v>
      </c>
    </row>
    <row r="625" spans="15:27" x14ac:dyDescent="0.2">
      <c r="O625" s="33">
        <v>1</v>
      </c>
      <c r="P625" s="27" t="str">
        <f>_xll.qlPeriodEquivalent(P624&amp;"+"&amp;O625&amp;"M")</f>
        <v>51Y10M</v>
      </c>
      <c r="Q625" s="28">
        <f>_xll.qlCalendarAdvance(Calendar,SettlementDate,P625,"f",,Trigger)</f>
        <v>61095</v>
      </c>
      <c r="R625" s="28">
        <f>_xll.qlInterestRateIndexValueDate(Index,Q625,Trigger)</f>
        <v>61099</v>
      </c>
      <c r="S625" s="28">
        <f>_xll.qlInterestRateIndexMaturity(Index,R625,Trigger)</f>
        <v>61129</v>
      </c>
      <c r="T625" s="30">
        <f>_xll.qlIndexFixing($M$6,Q625,,InterestRatesTrigger)</f>
        <v>1.3458073024620987E-2</v>
      </c>
      <c r="U625" s="30" t="e">
        <f>_xll.qlIndexFixing(Index,Q625,,InterestRatesTrigger)</f>
        <v>#NUM!</v>
      </c>
      <c r="V625" s="30" t="e">
        <f t="shared" si="32"/>
        <v>#NUM!</v>
      </c>
      <c r="W625" s="29">
        <f>_xll.qlDayCounterYearFraction(DayCounter,SettlementDate,R625,,,Trigger)</f>
        <v>52.6</v>
      </c>
      <c r="X625" s="29">
        <f>_xll.qlDayCounterYearFraction(DayCounter,R625,S625)</f>
        <v>8.3333333333333329E-2</v>
      </c>
      <c r="Y625" s="29" t="e">
        <f>_xll.qlYieldTSDiscount(Currency&amp;"ON",R625)/(1+U625*X625)</f>
        <v>#NUM!</v>
      </c>
      <c r="Z625" s="30" t="e">
        <f>_xll.qlTenorBasisValue(TenorBasis6M,R625,InterestRatesTrigger)</f>
        <v>#VALUE!</v>
      </c>
      <c r="AA625" s="30" t="e">
        <f t="shared" si="33"/>
        <v>#NUM!</v>
      </c>
    </row>
    <row r="626" spans="15:27" x14ac:dyDescent="0.2">
      <c r="O626" s="33">
        <v>1</v>
      </c>
      <c r="P626" s="27" t="str">
        <f>_xll.qlPeriodEquivalent(P625&amp;"+"&amp;O626&amp;"M")</f>
        <v>51Y11M</v>
      </c>
      <c r="Q626" s="28">
        <f>_xll.qlCalendarAdvance(Calendar,SettlementDate,P626,"f",,Trigger)</f>
        <v>61126</v>
      </c>
      <c r="R626" s="28">
        <f>_xll.qlInterestRateIndexValueDate(Index,Q626,Trigger)</f>
        <v>61128</v>
      </c>
      <c r="S626" s="28">
        <f>_xll.qlInterestRateIndexMaturity(Index,R626,Trigger)</f>
        <v>61161</v>
      </c>
      <c r="T626" s="30">
        <f>_xll.qlIndexFixing($M$6,Q626,,InterestRatesTrigger)</f>
        <v>1.3484409190580785E-2</v>
      </c>
      <c r="U626" s="30" t="e">
        <f>_xll.qlIndexFixing(Index,Q626,,InterestRatesTrigger)</f>
        <v>#NUM!</v>
      </c>
      <c r="V626" s="30" t="e">
        <f t="shared" si="32"/>
        <v>#NUM!</v>
      </c>
      <c r="W626" s="29">
        <f>_xll.qlDayCounterYearFraction(DayCounter,SettlementDate,R626,,,Trigger)</f>
        <v>52.680555555555557</v>
      </c>
      <c r="X626" s="29">
        <f>_xll.qlDayCounterYearFraction(DayCounter,R626,S626)</f>
        <v>9.166666666666666E-2</v>
      </c>
      <c r="Y626" s="29" t="e">
        <f>_xll.qlYieldTSDiscount(Currency&amp;"ON",R626)/(1+U626*X626)</f>
        <v>#NUM!</v>
      </c>
      <c r="Z626" s="30" t="e">
        <f>_xll.qlTenorBasisValue(TenorBasis6M,R626,InterestRatesTrigger)</f>
        <v>#VALUE!</v>
      </c>
      <c r="AA626" s="30" t="e">
        <f t="shared" si="33"/>
        <v>#NUM!</v>
      </c>
    </row>
    <row r="627" spans="15:27" x14ac:dyDescent="0.2">
      <c r="O627" s="33">
        <v>1</v>
      </c>
      <c r="P627" s="27" t="str">
        <f>_xll.qlPeriodEquivalent(P626&amp;"+"&amp;O627&amp;"M")</f>
        <v>52Y</v>
      </c>
      <c r="Q627" s="28">
        <f>_xll.qlCalendarAdvance(Calendar,SettlementDate,P627,"f",,Trigger)</f>
        <v>61156</v>
      </c>
      <c r="R627" s="28">
        <f>_xll.qlInterestRateIndexValueDate(Index,Q627,Trigger)</f>
        <v>61158</v>
      </c>
      <c r="S627" s="28">
        <f>_xll.qlInterestRateIndexMaturity(Index,R627,Trigger)</f>
        <v>61189</v>
      </c>
      <c r="T627" s="30">
        <f>_xll.qlIndexFixing($M$6,Q627,,InterestRatesTrigger)</f>
        <v>1.3507984603068525E-2</v>
      </c>
      <c r="U627" s="30" t="e">
        <f>_xll.qlIndexFixing(Index,Q627,,InterestRatesTrigger)</f>
        <v>#NUM!</v>
      </c>
      <c r="V627" s="30" t="e">
        <f t="shared" si="32"/>
        <v>#NUM!</v>
      </c>
      <c r="W627" s="29">
        <f>_xll.qlDayCounterYearFraction(DayCounter,SettlementDate,R627,,,Trigger)</f>
        <v>52.763888888888886</v>
      </c>
      <c r="X627" s="29">
        <f>_xll.qlDayCounterYearFraction(DayCounter,R627,S627)</f>
        <v>8.611111111111111E-2</v>
      </c>
      <c r="Y627" s="29" t="e">
        <f>_xll.qlYieldTSDiscount(Currency&amp;"ON",R627)/(1+U627*X627)</f>
        <v>#NUM!</v>
      </c>
      <c r="Z627" s="30" t="e">
        <f>_xll.qlTenorBasisValue(TenorBasis6M,R627,InterestRatesTrigger)</f>
        <v>#VALUE!</v>
      </c>
      <c r="AA627" s="30" t="e">
        <f t="shared" si="33"/>
        <v>#NUM!</v>
      </c>
    </row>
    <row r="628" spans="15:27" x14ac:dyDescent="0.2">
      <c r="O628" s="33">
        <v>1</v>
      </c>
      <c r="P628" s="27" t="str">
        <f>_xll.qlPeriodEquivalent(P627&amp;"+"&amp;O628&amp;"M")</f>
        <v>52Y1M</v>
      </c>
      <c r="Q628" s="28">
        <f>_xll.qlCalendarAdvance(Calendar,SettlementDate,P628,"f",,Trigger)</f>
        <v>61186</v>
      </c>
      <c r="R628" s="28">
        <f>_xll.qlInterestRateIndexValueDate(Index,Q628,Trigger)</f>
        <v>61190</v>
      </c>
      <c r="S628" s="28">
        <f>_xll.qlInterestRateIndexMaturity(Index,R628,Trigger)</f>
        <v>61221</v>
      </c>
      <c r="T628" s="30">
        <f>_xll.qlIndexFixing($M$6,Q628,,InterestRatesTrigger)</f>
        <v>1.3534276892626956E-2</v>
      </c>
      <c r="U628" s="30" t="e">
        <f>_xll.qlIndexFixing(Index,Q628,,InterestRatesTrigger)</f>
        <v>#NUM!</v>
      </c>
      <c r="V628" s="30" t="e">
        <f t="shared" si="32"/>
        <v>#NUM!</v>
      </c>
      <c r="W628" s="29">
        <f>_xll.qlDayCounterYearFraction(DayCounter,SettlementDate,R628,,,Trigger)</f>
        <v>52.852777777777774</v>
      </c>
      <c r="X628" s="29">
        <f>_xll.qlDayCounterYearFraction(DayCounter,R628,S628)</f>
        <v>8.611111111111111E-2</v>
      </c>
      <c r="Y628" s="29" t="e">
        <f>_xll.qlYieldTSDiscount(Currency&amp;"ON",R628)/(1+U628*X628)</f>
        <v>#NUM!</v>
      </c>
      <c r="Z628" s="30" t="e">
        <f>_xll.qlTenorBasisValue(TenorBasis6M,R628,InterestRatesTrigger)</f>
        <v>#VALUE!</v>
      </c>
      <c r="AA628" s="30" t="e">
        <f t="shared" si="33"/>
        <v>#NUM!</v>
      </c>
    </row>
    <row r="629" spans="15:27" x14ac:dyDescent="0.2">
      <c r="O629" s="33">
        <v>1</v>
      </c>
      <c r="P629" s="27" t="str">
        <f>_xll.qlPeriodEquivalent(P628&amp;"+"&amp;O629&amp;"M")</f>
        <v>52Y2M</v>
      </c>
      <c r="Q629" s="28">
        <f>_xll.qlCalendarAdvance(Calendar,SettlementDate,P629,"f",,Trigger)</f>
        <v>61217</v>
      </c>
      <c r="R629" s="28">
        <f>_xll.qlInterestRateIndexValueDate(Index,Q629,Trigger)</f>
        <v>61219</v>
      </c>
      <c r="S629" s="28">
        <f>_xll.qlInterestRateIndexMaturity(Index,R629,Trigger)</f>
        <v>61252</v>
      </c>
      <c r="T629" s="30">
        <f>_xll.qlIndexFixing($M$6,Q629,,InterestRatesTrigger)</f>
        <v>1.3559170568929444E-2</v>
      </c>
      <c r="U629" s="30" t="e">
        <f>_xll.qlIndexFixing(Index,Q629,,InterestRatesTrigger)</f>
        <v>#NUM!</v>
      </c>
      <c r="V629" s="30" t="e">
        <f t="shared" si="32"/>
        <v>#NUM!</v>
      </c>
      <c r="W629" s="29">
        <f>_xll.qlDayCounterYearFraction(DayCounter,SettlementDate,R629,,,Trigger)</f>
        <v>52.93333333333333</v>
      </c>
      <c r="X629" s="29">
        <f>_xll.qlDayCounterYearFraction(DayCounter,R629,S629)</f>
        <v>9.166666666666666E-2</v>
      </c>
      <c r="Y629" s="29" t="e">
        <f>_xll.qlYieldTSDiscount(Currency&amp;"ON",R629)/(1+U629*X629)</f>
        <v>#NUM!</v>
      </c>
      <c r="Z629" s="30" t="e">
        <f>_xll.qlTenorBasisValue(TenorBasis6M,R629,InterestRatesTrigger)</f>
        <v>#VALUE!</v>
      </c>
      <c r="AA629" s="30" t="e">
        <f t="shared" si="33"/>
        <v>#NUM!</v>
      </c>
    </row>
    <row r="630" spans="15:27" x14ac:dyDescent="0.2">
      <c r="O630" s="33">
        <v>1</v>
      </c>
      <c r="P630" s="27" t="str">
        <f>_xll.qlPeriodEquivalent(P629&amp;"+"&amp;O630&amp;"M")</f>
        <v>52Y3M</v>
      </c>
      <c r="Q630" s="28">
        <f>_xll.qlCalendarAdvance(Calendar,SettlementDate,P630,"f",,Trigger)</f>
        <v>61248</v>
      </c>
      <c r="R630" s="28">
        <f>_xll.qlInterestRateIndexValueDate(Index,Q630,Trigger)</f>
        <v>61252</v>
      </c>
      <c r="S630" s="28">
        <f>_xll.qlInterestRateIndexMaturity(Index,R630,Trigger)</f>
        <v>61282</v>
      </c>
      <c r="T630" s="30">
        <f>_xll.qlIndexFixing($M$6,Q630,,InterestRatesTrigger)</f>
        <v>1.3583734826574378E-2</v>
      </c>
      <c r="U630" s="30" t="e">
        <f>_xll.qlIndexFixing(Index,Q630,,InterestRatesTrigger)</f>
        <v>#NUM!</v>
      </c>
      <c r="V630" s="30" t="e">
        <f t="shared" si="32"/>
        <v>#NUM!</v>
      </c>
      <c r="W630" s="29">
        <f>_xll.qlDayCounterYearFraction(DayCounter,SettlementDate,R630,,,Trigger)</f>
        <v>53.024999999999999</v>
      </c>
      <c r="X630" s="29">
        <f>_xll.qlDayCounterYearFraction(DayCounter,R630,S630)</f>
        <v>8.3333333333333329E-2</v>
      </c>
      <c r="Y630" s="29" t="e">
        <f>_xll.qlYieldTSDiscount(Currency&amp;"ON",R630)/(1+U630*X630)</f>
        <v>#NUM!</v>
      </c>
      <c r="Z630" s="30" t="e">
        <f>_xll.qlTenorBasisValue(TenorBasis6M,R630,InterestRatesTrigger)</f>
        <v>#VALUE!</v>
      </c>
      <c r="AA630" s="30" t="e">
        <f t="shared" si="33"/>
        <v>#NUM!</v>
      </c>
    </row>
    <row r="631" spans="15:27" x14ac:dyDescent="0.2">
      <c r="O631" s="33">
        <v>1</v>
      </c>
      <c r="P631" s="27" t="str">
        <f>_xll.qlPeriodEquivalent(P630&amp;"+"&amp;O631&amp;"M")</f>
        <v>52Y4M</v>
      </c>
      <c r="Q631" s="28">
        <f>_xll.qlCalendarAdvance(Calendar,SettlementDate,P631,"f",,Trigger)</f>
        <v>61280</v>
      </c>
      <c r="R631" s="28">
        <f>_xll.qlInterestRateIndexValueDate(Index,Q631,Trigger)</f>
        <v>61282</v>
      </c>
      <c r="S631" s="28">
        <f>_xll.qlInterestRateIndexMaturity(Index,R631,Trigger)</f>
        <v>61315</v>
      </c>
      <c r="T631" s="30">
        <f>_xll.qlIndexFixing($M$6,Q631,,InterestRatesTrigger)</f>
        <v>1.360954971874374E-2</v>
      </c>
      <c r="U631" s="30" t="e">
        <f>_xll.qlIndexFixing(Index,Q631,,InterestRatesTrigger)</f>
        <v>#NUM!</v>
      </c>
      <c r="V631" s="30" t="e">
        <f t="shared" si="32"/>
        <v>#NUM!</v>
      </c>
      <c r="W631" s="29">
        <f>_xll.qlDayCounterYearFraction(DayCounter,SettlementDate,R631,,,Trigger)</f>
        <v>53.108333333333334</v>
      </c>
      <c r="X631" s="29">
        <f>_xll.qlDayCounterYearFraction(DayCounter,R631,S631)</f>
        <v>9.166666666666666E-2</v>
      </c>
      <c r="Y631" s="29" t="e">
        <f>_xll.qlYieldTSDiscount(Currency&amp;"ON",R631)/(1+U631*X631)</f>
        <v>#NUM!</v>
      </c>
      <c r="Z631" s="30" t="e">
        <f>_xll.qlTenorBasisValue(TenorBasis6M,R631,InterestRatesTrigger)</f>
        <v>#VALUE!</v>
      </c>
      <c r="AA631" s="30" t="e">
        <f t="shared" si="33"/>
        <v>#NUM!</v>
      </c>
    </row>
    <row r="632" spans="15:27" x14ac:dyDescent="0.2">
      <c r="O632" s="33">
        <v>1</v>
      </c>
      <c r="P632" s="27" t="str">
        <f>_xll.qlPeriodEquivalent(P631&amp;"+"&amp;O632&amp;"M")</f>
        <v>52Y5M</v>
      </c>
      <c r="Q632" s="28">
        <f>_xll.qlCalendarAdvance(Calendar,SettlementDate,P632,"f",,Trigger)</f>
        <v>61309</v>
      </c>
      <c r="R632" s="28">
        <f>_xll.qlInterestRateIndexValueDate(Index,Q632,Trigger)</f>
        <v>61311</v>
      </c>
      <c r="S632" s="28">
        <f>_xll.qlInterestRateIndexMaturity(Index,R632,Trigger)</f>
        <v>61343</v>
      </c>
      <c r="T632" s="30">
        <f>_xll.qlIndexFixing($M$6,Q632,,InterestRatesTrigger)</f>
        <v>1.3631712483081204E-2</v>
      </c>
      <c r="U632" s="30" t="e">
        <f>_xll.qlIndexFixing(Index,Q632,,InterestRatesTrigger)</f>
        <v>#NUM!</v>
      </c>
      <c r="V632" s="30" t="e">
        <f t="shared" si="32"/>
        <v>#NUM!</v>
      </c>
      <c r="W632" s="29">
        <f>_xll.qlDayCounterYearFraction(DayCounter,SettlementDate,R632,,,Trigger)</f>
        <v>53.18888888888889</v>
      </c>
      <c r="X632" s="29">
        <f>_xll.qlDayCounterYearFraction(DayCounter,R632,S632)</f>
        <v>8.8888888888888892E-2</v>
      </c>
      <c r="Y632" s="29" t="e">
        <f>_xll.qlYieldTSDiscount(Currency&amp;"ON",R632)/(1+U632*X632)</f>
        <v>#NUM!</v>
      </c>
      <c r="Z632" s="30" t="e">
        <f>_xll.qlTenorBasisValue(TenorBasis6M,R632,InterestRatesTrigger)</f>
        <v>#VALUE!</v>
      </c>
      <c r="AA632" s="30" t="e">
        <f t="shared" si="33"/>
        <v>#NUM!</v>
      </c>
    </row>
    <row r="633" spans="15:27" x14ac:dyDescent="0.2">
      <c r="O633" s="33">
        <v>1</v>
      </c>
      <c r="P633" s="27" t="str">
        <f>_xll.qlPeriodEquivalent(P632&amp;"+"&amp;O633&amp;"M")</f>
        <v>52Y6M</v>
      </c>
      <c r="Q633" s="28">
        <f>_xll.qlCalendarAdvance(Calendar,SettlementDate,P633,"f",,Trigger)</f>
        <v>61339</v>
      </c>
      <c r="R633" s="28">
        <f>_xll.qlInterestRateIndexValueDate(Index,Q633,Trigger)</f>
        <v>61343</v>
      </c>
      <c r="S633" s="28">
        <f>_xll.qlInterestRateIndexMaturity(Index,R633,Trigger)</f>
        <v>61374</v>
      </c>
      <c r="T633" s="30">
        <f>_xll.qlIndexFixing($M$6,Q633,,InterestRatesTrigger)</f>
        <v>1.3655964782231828E-2</v>
      </c>
      <c r="U633" s="30" t="e">
        <f>_xll.qlIndexFixing(Index,Q633,,InterestRatesTrigger)</f>
        <v>#NUM!</v>
      </c>
      <c r="V633" s="30" t="e">
        <f t="shared" si="32"/>
        <v>#NUM!</v>
      </c>
      <c r="W633" s="29">
        <f>_xll.qlDayCounterYearFraction(DayCounter,SettlementDate,R633,,,Trigger)</f>
        <v>53.277777777777779</v>
      </c>
      <c r="X633" s="29">
        <f>_xll.qlDayCounterYearFraction(DayCounter,R633,S633)</f>
        <v>8.611111111111111E-2</v>
      </c>
      <c r="Y633" s="29" t="e">
        <f>_xll.qlYieldTSDiscount(Currency&amp;"ON",R633)/(1+U633*X633)</f>
        <v>#NUM!</v>
      </c>
      <c r="Z633" s="30" t="e">
        <f>_xll.qlTenorBasisValue(TenorBasis6M,R633,InterestRatesTrigger)</f>
        <v>#VALUE!</v>
      </c>
      <c r="AA633" s="30" t="e">
        <f t="shared" si="33"/>
        <v>#NUM!</v>
      </c>
    </row>
    <row r="634" spans="15:27" x14ac:dyDescent="0.2">
      <c r="O634" s="33">
        <v>1</v>
      </c>
      <c r="P634" s="27" t="str">
        <f>_xll.qlPeriodEquivalent(P633&amp;"+"&amp;O634&amp;"M")</f>
        <v>52Y7M</v>
      </c>
      <c r="Q634" s="28">
        <f>_xll.qlCalendarAdvance(Calendar,SettlementDate,P634,"f",,Trigger)</f>
        <v>61371</v>
      </c>
      <c r="R634" s="28">
        <f>_xll.qlInterestRateIndexValueDate(Index,Q634,Trigger)</f>
        <v>61373</v>
      </c>
      <c r="S634" s="28">
        <f>_xll.qlInterestRateIndexMaturity(Index,R634,Trigger)</f>
        <v>61406</v>
      </c>
      <c r="T634" s="30">
        <f>_xll.qlIndexFixing($M$6,Q634,,InterestRatesTrigger)</f>
        <v>1.3680328070771516E-2</v>
      </c>
      <c r="U634" s="30" t="e">
        <f>_xll.qlIndexFixing(Index,Q634,,InterestRatesTrigger)</f>
        <v>#NUM!</v>
      </c>
      <c r="V634" s="30" t="e">
        <f t="shared" si="32"/>
        <v>#NUM!</v>
      </c>
      <c r="W634" s="29">
        <f>_xll.qlDayCounterYearFraction(DayCounter,SettlementDate,R634,,,Trigger)</f>
        <v>53.361111111111114</v>
      </c>
      <c r="X634" s="29">
        <f>_xll.qlDayCounterYearFraction(DayCounter,R634,S634)</f>
        <v>9.166666666666666E-2</v>
      </c>
      <c r="Y634" s="29" t="e">
        <f>_xll.qlYieldTSDiscount(Currency&amp;"ON",R634)/(1+U634*X634)</f>
        <v>#NUM!</v>
      </c>
      <c r="Z634" s="30" t="e">
        <f>_xll.qlTenorBasisValue(TenorBasis6M,R634,InterestRatesTrigger)</f>
        <v>#VALUE!</v>
      </c>
      <c r="AA634" s="30" t="e">
        <f t="shared" si="33"/>
        <v>#NUM!</v>
      </c>
    </row>
    <row r="635" spans="15:27" x14ac:dyDescent="0.2">
      <c r="O635" s="33">
        <v>1</v>
      </c>
      <c r="P635" s="27" t="str">
        <f>_xll.qlPeriodEquivalent(P634&amp;"+"&amp;O635&amp;"M")</f>
        <v>52Y8M</v>
      </c>
      <c r="Q635" s="28">
        <f>_xll.qlCalendarAdvance(Calendar,SettlementDate,P635,"f",,Trigger)</f>
        <v>61401</v>
      </c>
      <c r="R635" s="28">
        <f>_xll.qlInterestRateIndexValueDate(Index,Q635,Trigger)</f>
        <v>61403</v>
      </c>
      <c r="S635" s="28">
        <f>_xll.qlInterestRateIndexMaturity(Index,R635,Trigger)</f>
        <v>61434</v>
      </c>
      <c r="T635" s="30">
        <f>_xll.qlIndexFixing($M$6,Q635,,InterestRatesTrigger)</f>
        <v>1.3701869464212611E-2</v>
      </c>
      <c r="U635" s="30" t="e">
        <f>_xll.qlIndexFixing(Index,Q635,,InterestRatesTrigger)</f>
        <v>#NUM!</v>
      </c>
      <c r="V635" s="30" t="e">
        <f t="shared" si="32"/>
        <v>#NUM!</v>
      </c>
      <c r="W635" s="29">
        <f>_xll.qlDayCounterYearFraction(DayCounter,SettlementDate,R635,,,Trigger)</f>
        <v>53.444444444444443</v>
      </c>
      <c r="X635" s="29">
        <f>_xll.qlDayCounterYearFraction(DayCounter,R635,S635)</f>
        <v>8.611111111111111E-2</v>
      </c>
      <c r="Y635" s="29" t="e">
        <f>_xll.qlYieldTSDiscount(Currency&amp;"ON",R635)/(1+U635*X635)</f>
        <v>#NUM!</v>
      </c>
      <c r="Z635" s="30" t="e">
        <f>_xll.qlTenorBasisValue(TenorBasis6M,R635,InterestRatesTrigger)</f>
        <v>#VALUE!</v>
      </c>
      <c r="AA635" s="30" t="e">
        <f t="shared" si="33"/>
        <v>#NUM!</v>
      </c>
    </row>
    <row r="636" spans="15:27" x14ac:dyDescent="0.2">
      <c r="O636" s="33">
        <v>1</v>
      </c>
      <c r="P636" s="27" t="str">
        <f>_xll.qlPeriodEquivalent(P635&amp;"+"&amp;O636&amp;"M")</f>
        <v>52Y9M</v>
      </c>
      <c r="Q636" s="28">
        <f>_xll.qlCalendarAdvance(Calendar,SettlementDate,P636,"f",,Trigger)</f>
        <v>61430</v>
      </c>
      <c r="R636" s="28">
        <f>_xll.qlInterestRateIndexValueDate(Index,Q636,Trigger)</f>
        <v>61434</v>
      </c>
      <c r="S636" s="28">
        <f>_xll.qlInterestRateIndexMaturity(Index,R636,Trigger)</f>
        <v>61465</v>
      </c>
      <c r="T636" s="30">
        <f>_xll.qlIndexFixing($M$6,Q636,,InterestRatesTrigger)</f>
        <v>1.372518600797675E-2</v>
      </c>
      <c r="U636" s="30" t="e">
        <f>_xll.qlIndexFixing(Index,Q636,,InterestRatesTrigger)</f>
        <v>#NUM!</v>
      </c>
      <c r="V636" s="30" t="e">
        <f t="shared" si="32"/>
        <v>#NUM!</v>
      </c>
      <c r="W636" s="29">
        <f>_xll.qlDayCounterYearFraction(DayCounter,SettlementDate,R636,,,Trigger)</f>
        <v>53.530555555555559</v>
      </c>
      <c r="X636" s="29">
        <f>_xll.qlDayCounterYearFraction(DayCounter,R636,S636)</f>
        <v>8.611111111111111E-2</v>
      </c>
      <c r="Y636" s="29" t="e">
        <f>_xll.qlYieldTSDiscount(Currency&amp;"ON",R636)/(1+U636*X636)</f>
        <v>#NUM!</v>
      </c>
      <c r="Z636" s="30" t="e">
        <f>_xll.qlTenorBasisValue(TenorBasis6M,R636,InterestRatesTrigger)</f>
        <v>#VALUE!</v>
      </c>
      <c r="AA636" s="30" t="e">
        <f t="shared" si="33"/>
        <v>#NUM!</v>
      </c>
    </row>
    <row r="637" spans="15:27" x14ac:dyDescent="0.2">
      <c r="O637" s="33">
        <v>1</v>
      </c>
      <c r="P637" s="27" t="str">
        <f>_xll.qlPeriodEquivalent(P636&amp;"+"&amp;O637&amp;"M")</f>
        <v>52Y10M</v>
      </c>
      <c r="Q637" s="28">
        <f>_xll.qlCalendarAdvance(Calendar,SettlementDate,P637,"f",,Trigger)</f>
        <v>61462</v>
      </c>
      <c r="R637" s="28">
        <f>_xll.qlInterestRateIndexValueDate(Index,Q637,Trigger)</f>
        <v>61464</v>
      </c>
      <c r="S637" s="28">
        <f>_xll.qlInterestRateIndexMaturity(Index,R637,Trigger)</f>
        <v>61494</v>
      </c>
      <c r="T637" s="30">
        <f>_xll.qlIndexFixing($M$6,Q637,,InterestRatesTrigger)</f>
        <v>1.3746859062336192E-2</v>
      </c>
      <c r="U637" s="30" t="e">
        <f>_xll.qlIndexFixing(Index,Q637,,InterestRatesTrigger)</f>
        <v>#NUM!</v>
      </c>
      <c r="V637" s="30" t="e">
        <f t="shared" si="32"/>
        <v>#NUM!</v>
      </c>
      <c r="W637" s="29">
        <f>_xll.qlDayCounterYearFraction(DayCounter,SettlementDate,R637,,,Trigger)</f>
        <v>53.613888888888887</v>
      </c>
      <c r="X637" s="29">
        <f>_xll.qlDayCounterYearFraction(DayCounter,R637,S637)</f>
        <v>8.3333333333333329E-2</v>
      </c>
      <c r="Y637" s="29" t="e">
        <f>_xll.qlYieldTSDiscount(Currency&amp;"ON",R637)/(1+U637*X637)</f>
        <v>#NUM!</v>
      </c>
      <c r="Z637" s="30" t="e">
        <f>_xll.qlTenorBasisValue(TenorBasis6M,R637,InterestRatesTrigger)</f>
        <v>#VALUE!</v>
      </c>
      <c r="AA637" s="30" t="e">
        <f t="shared" si="33"/>
        <v>#NUM!</v>
      </c>
    </row>
    <row r="638" spans="15:27" x14ac:dyDescent="0.2">
      <c r="O638" s="33">
        <v>1</v>
      </c>
      <c r="P638" s="27" t="str">
        <f>_xll.qlPeriodEquivalent(P637&amp;"+"&amp;O638&amp;"M")</f>
        <v>52Y11M</v>
      </c>
      <c r="Q638" s="28">
        <f>_xll.qlCalendarAdvance(Calendar,SettlementDate,P638,"f",,Trigger)</f>
        <v>61491</v>
      </c>
      <c r="R638" s="28">
        <f>_xll.qlInterestRateIndexValueDate(Index,Q638,Trigger)</f>
        <v>61493</v>
      </c>
      <c r="S638" s="28">
        <f>_xll.qlInterestRateIndexMaturity(Index,R638,Trigger)</f>
        <v>61525</v>
      </c>
      <c r="T638" s="30">
        <f>_xll.qlIndexFixing($M$6,Q638,,InterestRatesTrigger)</f>
        <v>1.3769436000131974E-2</v>
      </c>
      <c r="U638" s="30" t="e">
        <f>_xll.qlIndexFixing(Index,Q638,,InterestRatesTrigger)</f>
        <v>#NUM!</v>
      </c>
      <c r="V638" s="30" t="e">
        <f t="shared" si="32"/>
        <v>#NUM!</v>
      </c>
      <c r="W638" s="29">
        <f>_xll.qlDayCounterYearFraction(DayCounter,SettlementDate,R638,,,Trigger)</f>
        <v>53.694444444444443</v>
      </c>
      <c r="X638" s="29">
        <f>_xll.qlDayCounterYearFraction(DayCounter,R638,S638)</f>
        <v>8.8888888888888892E-2</v>
      </c>
      <c r="Y638" s="29" t="e">
        <f>_xll.qlYieldTSDiscount(Currency&amp;"ON",R638)/(1+U638*X638)</f>
        <v>#NUM!</v>
      </c>
      <c r="Z638" s="30" t="e">
        <f>_xll.qlTenorBasisValue(TenorBasis6M,R638,InterestRatesTrigger)</f>
        <v>#VALUE!</v>
      </c>
      <c r="AA638" s="30" t="e">
        <f t="shared" si="33"/>
        <v>#NUM!</v>
      </c>
    </row>
    <row r="639" spans="15:27" x14ac:dyDescent="0.2">
      <c r="O639" s="33">
        <v>1</v>
      </c>
      <c r="P639" s="27" t="str">
        <f>_xll.qlPeriodEquivalent(P638&amp;"+"&amp;O639&amp;"M")</f>
        <v>53Y</v>
      </c>
      <c r="Q639" s="28">
        <f>_xll.qlCalendarAdvance(Calendar,SettlementDate,P639,"f",,Trigger)</f>
        <v>61522</v>
      </c>
      <c r="R639" s="28">
        <f>_xll.qlInterestRateIndexValueDate(Index,Q639,Trigger)</f>
        <v>61526</v>
      </c>
      <c r="S639" s="28">
        <f>_xll.qlInterestRateIndexMaturity(Index,R639,Trigger)</f>
        <v>61556</v>
      </c>
      <c r="T639" s="30">
        <f>_xll.qlIndexFixing($M$6,Q639,,InterestRatesTrigger)</f>
        <v>1.3792151214037318E-2</v>
      </c>
      <c r="U639" s="30" t="e">
        <f>_xll.qlIndexFixing(Index,Q639,,InterestRatesTrigger)</f>
        <v>#NUM!</v>
      </c>
      <c r="V639" s="30" t="e">
        <f t="shared" si="32"/>
        <v>#NUM!</v>
      </c>
      <c r="W639" s="29">
        <f>_xll.qlDayCounterYearFraction(DayCounter,SettlementDate,R639,,,Trigger)</f>
        <v>53.786111111111111</v>
      </c>
      <c r="X639" s="29">
        <f>_xll.qlDayCounterYearFraction(DayCounter,R639,S639)</f>
        <v>8.3333333333333329E-2</v>
      </c>
      <c r="Y639" s="29" t="e">
        <f>_xll.qlYieldTSDiscount(Currency&amp;"ON",R639)/(1+U639*X639)</f>
        <v>#NUM!</v>
      </c>
      <c r="Z639" s="30" t="e">
        <f>_xll.qlTenorBasisValue(TenorBasis6M,R639,InterestRatesTrigger)</f>
        <v>#VALUE!</v>
      </c>
      <c r="AA639" s="30" t="e">
        <f t="shared" si="33"/>
        <v>#NUM!</v>
      </c>
    </row>
    <row r="640" spans="15:27" x14ac:dyDescent="0.2">
      <c r="O640" s="33">
        <v>1</v>
      </c>
      <c r="P640" s="27" t="str">
        <f>_xll.qlPeriodEquivalent(P639&amp;"+"&amp;O640&amp;"M")</f>
        <v>53Y1M</v>
      </c>
      <c r="Q640" s="28">
        <f>_xll.qlCalendarAdvance(Calendar,SettlementDate,P640,"f",,Trigger)</f>
        <v>61553</v>
      </c>
      <c r="R640" s="28">
        <f>_xll.qlInterestRateIndexValueDate(Index,Q640,Trigger)</f>
        <v>61555</v>
      </c>
      <c r="S640" s="28">
        <f>_xll.qlInterestRateIndexMaturity(Index,R640,Trigger)</f>
        <v>61588</v>
      </c>
      <c r="T640" s="30">
        <f>_xll.qlIndexFixing($M$6,Q640,,InterestRatesTrigger)</f>
        <v>1.3814823724997377E-2</v>
      </c>
      <c r="U640" s="30" t="e">
        <f>_xll.qlIndexFixing(Index,Q640,,InterestRatesTrigger)</f>
        <v>#NUM!</v>
      </c>
      <c r="V640" s="30" t="e">
        <f t="shared" si="32"/>
        <v>#NUM!</v>
      </c>
      <c r="W640" s="29">
        <f>_xll.qlDayCounterYearFraction(DayCounter,SettlementDate,R640,,,Trigger)</f>
        <v>53.866666666666667</v>
      </c>
      <c r="X640" s="29">
        <f>_xll.qlDayCounterYearFraction(DayCounter,R640,S640)</f>
        <v>9.166666666666666E-2</v>
      </c>
      <c r="Y640" s="29" t="e">
        <f>_xll.qlYieldTSDiscount(Currency&amp;"ON",R640)/(1+U640*X640)</f>
        <v>#NUM!</v>
      </c>
      <c r="Z640" s="30" t="e">
        <f>_xll.qlTenorBasisValue(TenorBasis6M,R640,InterestRatesTrigger)</f>
        <v>#VALUE!</v>
      </c>
      <c r="AA640" s="30" t="e">
        <f t="shared" si="33"/>
        <v>#NUM!</v>
      </c>
    </row>
    <row r="641" spans="15:27" x14ac:dyDescent="0.2">
      <c r="O641" s="33">
        <v>1</v>
      </c>
      <c r="P641" s="27" t="str">
        <f>_xll.qlPeriodEquivalent(P640&amp;"+"&amp;O641&amp;"M")</f>
        <v>53Y2M</v>
      </c>
      <c r="Q641" s="28">
        <f>_xll.qlCalendarAdvance(Calendar,SettlementDate,P641,"f",,Trigger)</f>
        <v>61583</v>
      </c>
      <c r="R641" s="28">
        <f>_xll.qlInterestRateIndexValueDate(Index,Q641,Trigger)</f>
        <v>61585</v>
      </c>
      <c r="S641" s="28">
        <f>_xll.qlInterestRateIndexMaturity(Index,R641,Trigger)</f>
        <v>61616</v>
      </c>
      <c r="T641" s="30">
        <f>_xll.qlIndexFixing($M$6,Q641,,InterestRatesTrigger)</f>
        <v>1.383485477902701E-2</v>
      </c>
      <c r="U641" s="30" t="e">
        <f>_xll.qlIndexFixing(Index,Q641,,InterestRatesTrigger)</f>
        <v>#NUM!</v>
      </c>
      <c r="V641" s="30" t="e">
        <f t="shared" si="32"/>
        <v>#NUM!</v>
      </c>
      <c r="W641" s="29">
        <f>_xll.qlDayCounterYearFraction(DayCounter,SettlementDate,R641,,,Trigger)</f>
        <v>53.95</v>
      </c>
      <c r="X641" s="29">
        <f>_xll.qlDayCounterYearFraction(DayCounter,R641,S641)</f>
        <v>8.611111111111111E-2</v>
      </c>
      <c r="Y641" s="29" t="e">
        <f>_xll.qlYieldTSDiscount(Currency&amp;"ON",R641)/(1+U641*X641)</f>
        <v>#NUM!</v>
      </c>
      <c r="Z641" s="30" t="e">
        <f>_xll.qlTenorBasisValue(TenorBasis6M,R641,InterestRatesTrigger)</f>
        <v>#VALUE!</v>
      </c>
      <c r="AA641" s="30" t="e">
        <f t="shared" si="33"/>
        <v>#NUM!</v>
      </c>
    </row>
    <row r="642" spans="15:27" x14ac:dyDescent="0.2">
      <c r="O642" s="33">
        <v>1</v>
      </c>
      <c r="P642" s="27" t="str">
        <f>_xll.qlPeriodEquivalent(P641&amp;"+"&amp;O642&amp;"M")</f>
        <v>53Y3M</v>
      </c>
      <c r="Q642" s="28">
        <f>_xll.qlCalendarAdvance(Calendar,SettlementDate,P642,"f",,Trigger)</f>
        <v>61616</v>
      </c>
      <c r="R642" s="28">
        <f>_xll.qlInterestRateIndexValueDate(Index,Q642,Trigger)</f>
        <v>61618</v>
      </c>
      <c r="S642" s="28">
        <f>_xll.qlInterestRateIndexMaturity(Index,R642,Trigger)</f>
        <v>61648</v>
      </c>
      <c r="T642" s="30">
        <f>_xll.qlIndexFixing($M$6,Q642,,InterestRatesTrigger)</f>
        <v>1.3857345606609783E-2</v>
      </c>
      <c r="U642" s="30" t="e">
        <f>_xll.qlIndexFixing(Index,Q642,,InterestRatesTrigger)</f>
        <v>#NUM!</v>
      </c>
      <c r="V642" s="30" t="e">
        <f t="shared" si="32"/>
        <v>#NUM!</v>
      </c>
      <c r="W642" s="29">
        <f>_xll.qlDayCounterYearFraction(DayCounter,SettlementDate,R642,,,Trigger)</f>
        <v>54.041666666666664</v>
      </c>
      <c r="X642" s="29">
        <f>_xll.qlDayCounterYearFraction(DayCounter,R642,S642)</f>
        <v>8.3333333333333329E-2</v>
      </c>
      <c r="Y642" s="29" t="e">
        <f>_xll.qlYieldTSDiscount(Currency&amp;"ON",R642)/(1+U642*X642)</f>
        <v>#NUM!</v>
      </c>
      <c r="Z642" s="30" t="e">
        <f>_xll.qlTenorBasisValue(TenorBasis6M,R642,InterestRatesTrigger)</f>
        <v>#VALUE!</v>
      </c>
      <c r="AA642" s="30" t="e">
        <f t="shared" si="33"/>
        <v>#NUM!</v>
      </c>
    </row>
    <row r="643" spans="15:27" x14ac:dyDescent="0.2">
      <c r="O643" s="33">
        <v>1</v>
      </c>
      <c r="P643" s="27" t="str">
        <f>_xll.qlPeriodEquivalent(P642&amp;"+"&amp;O643&amp;"M")</f>
        <v>53Y4M</v>
      </c>
      <c r="Q643" s="28">
        <f>_xll.qlCalendarAdvance(Calendar,SettlementDate,P643,"f",,Trigger)</f>
        <v>61644</v>
      </c>
      <c r="R643" s="28">
        <f>_xll.qlInterestRateIndexValueDate(Index,Q643,Trigger)</f>
        <v>61646</v>
      </c>
      <c r="S643" s="28">
        <f>_xll.qlInterestRateIndexMaturity(Index,R643,Trigger)</f>
        <v>61679</v>
      </c>
      <c r="T643" s="30">
        <f>_xll.qlIndexFixing($M$6,Q643,,InterestRatesTrigger)</f>
        <v>1.3878540940234723E-2</v>
      </c>
      <c r="U643" s="30" t="e">
        <f>_xll.qlIndexFixing(Index,Q643,,InterestRatesTrigger)</f>
        <v>#NUM!</v>
      </c>
      <c r="V643" s="30" t="e">
        <f t="shared" si="32"/>
        <v>#NUM!</v>
      </c>
      <c r="W643" s="29">
        <f>_xll.qlDayCounterYearFraction(DayCounter,SettlementDate,R643,,,Trigger)</f>
        <v>54.119444444444447</v>
      </c>
      <c r="X643" s="29">
        <f>_xll.qlDayCounterYearFraction(DayCounter,R643,S643)</f>
        <v>9.166666666666666E-2</v>
      </c>
      <c r="Y643" s="29" t="e">
        <f>_xll.qlYieldTSDiscount(Currency&amp;"ON",R643)/(1+U643*X643)</f>
        <v>#NUM!</v>
      </c>
      <c r="Z643" s="30" t="e">
        <f>_xll.qlTenorBasisValue(TenorBasis6M,R643,InterestRatesTrigger)</f>
        <v>#VALUE!</v>
      </c>
      <c r="AA643" s="30" t="e">
        <f t="shared" si="33"/>
        <v>#NUM!</v>
      </c>
    </row>
    <row r="644" spans="15:27" x14ac:dyDescent="0.2">
      <c r="O644" s="33">
        <v>1</v>
      </c>
      <c r="P644" s="27" t="str">
        <f>_xll.qlPeriodEquivalent(P643&amp;"+"&amp;O644&amp;"M")</f>
        <v>53Y5M</v>
      </c>
      <c r="Q644" s="28">
        <f>_xll.qlCalendarAdvance(Calendar,SettlementDate,P644,"f",,Trigger)</f>
        <v>61675</v>
      </c>
      <c r="R644" s="28">
        <f>_xll.qlInterestRateIndexValueDate(Index,Q644,Trigger)</f>
        <v>61679</v>
      </c>
      <c r="S644" s="28">
        <f>_xll.qlInterestRateIndexMaturity(Index,R644,Trigger)</f>
        <v>61709</v>
      </c>
      <c r="T644" s="30">
        <f>_xll.qlIndexFixing($M$6,Q644,,InterestRatesTrigger)</f>
        <v>1.3899246058584502E-2</v>
      </c>
      <c r="U644" s="30" t="e">
        <f>_xll.qlIndexFixing(Index,Q644,,InterestRatesTrigger)</f>
        <v>#NUM!</v>
      </c>
      <c r="V644" s="30" t="e">
        <f t="shared" si="32"/>
        <v>#NUM!</v>
      </c>
      <c r="W644" s="29">
        <f>_xll.qlDayCounterYearFraction(DayCounter,SettlementDate,R644,,,Trigger)</f>
        <v>54.211111111111109</v>
      </c>
      <c r="X644" s="29">
        <f>_xll.qlDayCounterYearFraction(DayCounter,R644,S644)</f>
        <v>8.3333333333333329E-2</v>
      </c>
      <c r="Y644" s="29" t="e">
        <f>_xll.qlYieldTSDiscount(Currency&amp;"ON",R644)/(1+U644*X644)</f>
        <v>#NUM!</v>
      </c>
      <c r="Z644" s="30" t="e">
        <f>_xll.qlTenorBasisValue(TenorBasis6M,R644,InterestRatesTrigger)</f>
        <v>#VALUE!</v>
      </c>
      <c r="AA644" s="30" t="e">
        <f t="shared" si="33"/>
        <v>#NUM!</v>
      </c>
    </row>
    <row r="645" spans="15:27" x14ac:dyDescent="0.2">
      <c r="O645" s="33">
        <v>1</v>
      </c>
      <c r="P645" s="27" t="str">
        <f>_xll.qlPeriodEquivalent(P644&amp;"+"&amp;O645&amp;"M")</f>
        <v>53Y6M</v>
      </c>
      <c r="Q645" s="28">
        <f>_xll.qlCalendarAdvance(Calendar,SettlementDate,P645,"f",,Trigger)</f>
        <v>61707</v>
      </c>
      <c r="R645" s="28">
        <f>_xll.qlInterestRateIndexValueDate(Index,Q645,Trigger)</f>
        <v>61709</v>
      </c>
      <c r="S645" s="28">
        <f>_xll.qlInterestRateIndexMaturity(Index,R645,Trigger)</f>
        <v>61742</v>
      </c>
      <c r="T645" s="30">
        <f>_xll.qlIndexFixing($M$6,Q645,,InterestRatesTrigger)</f>
        <v>1.39212740095748E-2</v>
      </c>
      <c r="U645" s="30" t="e">
        <f>_xll.qlIndexFixing(Index,Q645,,InterestRatesTrigger)</f>
        <v>#NUM!</v>
      </c>
      <c r="V645" s="30" t="e">
        <f t="shared" si="32"/>
        <v>#NUM!</v>
      </c>
      <c r="W645" s="29">
        <f>_xll.qlDayCounterYearFraction(DayCounter,SettlementDate,R645,,,Trigger)</f>
        <v>54.294444444444444</v>
      </c>
      <c r="X645" s="29">
        <f>_xll.qlDayCounterYearFraction(DayCounter,R645,S645)</f>
        <v>9.166666666666666E-2</v>
      </c>
      <c r="Y645" s="29" t="e">
        <f>_xll.qlYieldTSDiscount(Currency&amp;"ON",R645)/(1+U645*X645)</f>
        <v>#NUM!</v>
      </c>
      <c r="Z645" s="30" t="e">
        <f>_xll.qlTenorBasisValue(TenorBasis6M,R645,InterestRatesTrigger)</f>
        <v>#VALUE!</v>
      </c>
      <c r="AA645" s="30" t="e">
        <f t="shared" si="33"/>
        <v>#NUM!</v>
      </c>
    </row>
    <row r="646" spans="15:27" x14ac:dyDescent="0.2">
      <c r="O646" s="33">
        <v>1</v>
      </c>
      <c r="P646" s="27" t="str">
        <f>_xll.qlPeriodEquivalent(P645&amp;"+"&amp;O646&amp;"M")</f>
        <v>53Y7M</v>
      </c>
      <c r="Q646" s="28">
        <f>_xll.qlCalendarAdvance(Calendar,SettlementDate,P646,"f",,Trigger)</f>
        <v>61736</v>
      </c>
      <c r="R646" s="28">
        <f>_xll.qlInterestRateIndexValueDate(Index,Q646,Trigger)</f>
        <v>61738</v>
      </c>
      <c r="S646" s="28">
        <f>_xll.qlInterestRateIndexMaturity(Index,R646,Trigger)</f>
        <v>61770</v>
      </c>
      <c r="T646" s="30">
        <f>_xll.qlIndexFixing($M$6,Q646,,InterestRatesTrigger)</f>
        <v>1.393996600364017E-2</v>
      </c>
      <c r="U646" s="30" t="e">
        <f>_xll.qlIndexFixing(Index,Q646,,InterestRatesTrigger)</f>
        <v>#NUM!</v>
      </c>
      <c r="V646" s="30" t="e">
        <f t="shared" si="32"/>
        <v>#NUM!</v>
      </c>
      <c r="W646" s="29">
        <f>_xll.qlDayCounterYearFraction(DayCounter,SettlementDate,R646,,,Trigger)</f>
        <v>54.375</v>
      </c>
      <c r="X646" s="29">
        <f>_xll.qlDayCounterYearFraction(DayCounter,R646,S646)</f>
        <v>8.8888888888888892E-2</v>
      </c>
      <c r="Y646" s="29" t="e">
        <f>_xll.qlYieldTSDiscount(Currency&amp;"ON",R646)/(1+U646*X646)</f>
        <v>#NUM!</v>
      </c>
      <c r="Z646" s="30" t="e">
        <f>_xll.qlTenorBasisValue(TenorBasis6M,R646,InterestRatesTrigger)</f>
        <v>#VALUE!</v>
      </c>
      <c r="AA646" s="30" t="e">
        <f t="shared" si="33"/>
        <v>#NUM!</v>
      </c>
    </row>
    <row r="647" spans="15:27" x14ac:dyDescent="0.2">
      <c r="O647" s="33">
        <v>1</v>
      </c>
      <c r="P647" s="27" t="str">
        <f>_xll.qlPeriodEquivalent(P646&amp;"+"&amp;O647&amp;"M")</f>
        <v>53Y8M</v>
      </c>
      <c r="Q647" s="28">
        <f>_xll.qlCalendarAdvance(Calendar,SettlementDate,P647,"f",,Trigger)</f>
        <v>61767</v>
      </c>
      <c r="R647" s="28">
        <f>_xll.qlInterestRateIndexValueDate(Index,Q647,Trigger)</f>
        <v>61771</v>
      </c>
      <c r="S647" s="28">
        <f>_xll.qlInterestRateIndexMaturity(Index,R647,Trigger)</f>
        <v>61799</v>
      </c>
      <c r="T647" s="30">
        <f>_xll.qlIndexFixing($M$6,Q647,,InterestRatesTrigger)</f>
        <v>1.3959247944333215E-2</v>
      </c>
      <c r="U647" s="30" t="e">
        <f>_xll.qlIndexFixing(Index,Q647,,InterestRatesTrigger)</f>
        <v>#NUM!</v>
      </c>
      <c r="V647" s="30" t="e">
        <f t="shared" si="32"/>
        <v>#NUM!</v>
      </c>
      <c r="W647" s="29">
        <f>_xll.qlDayCounterYearFraction(DayCounter,SettlementDate,R647,,,Trigger)</f>
        <v>54.466666666666669</v>
      </c>
      <c r="X647" s="29">
        <f>_xll.qlDayCounterYearFraction(DayCounter,R647,S647)</f>
        <v>7.7777777777777779E-2</v>
      </c>
      <c r="Y647" s="29" t="e">
        <f>_xll.qlYieldTSDiscount(Currency&amp;"ON",R647)/(1+U647*X647)</f>
        <v>#NUM!</v>
      </c>
      <c r="Z647" s="30" t="e">
        <f>_xll.qlTenorBasisValue(TenorBasis6M,R647,InterestRatesTrigger)</f>
        <v>#VALUE!</v>
      </c>
      <c r="AA647" s="30" t="e">
        <f t="shared" si="33"/>
        <v>#NUM!</v>
      </c>
    </row>
    <row r="648" spans="15:27" x14ac:dyDescent="0.2">
      <c r="O648" s="33">
        <v>1</v>
      </c>
      <c r="P648" s="27" t="str">
        <f>_xll.qlPeriodEquivalent(P647&amp;"+"&amp;O648&amp;"M")</f>
        <v>53Y9M</v>
      </c>
      <c r="Q648" s="28">
        <f>_xll.qlCalendarAdvance(Calendar,SettlementDate,P648,"f",,Trigger)</f>
        <v>61795</v>
      </c>
      <c r="R648" s="28">
        <f>_xll.qlInterestRateIndexValueDate(Index,Q648,Trigger)</f>
        <v>61799</v>
      </c>
      <c r="S648" s="28">
        <f>_xll.qlInterestRateIndexMaturity(Index,R648,Trigger)</f>
        <v>61834</v>
      </c>
      <c r="T648" s="30">
        <f>_xll.qlIndexFixing($M$6,Q648,,InterestRatesTrigger)</f>
        <v>1.3981548992679496E-2</v>
      </c>
      <c r="U648" s="30" t="e">
        <f>_xll.qlIndexFixing(Index,Q648,,InterestRatesTrigger)</f>
        <v>#NUM!</v>
      </c>
      <c r="V648" s="30" t="e">
        <f t="shared" si="32"/>
        <v>#NUM!</v>
      </c>
      <c r="W648" s="29">
        <f>_xll.qlDayCounterYearFraction(DayCounter,SettlementDate,R648,,,Trigger)</f>
        <v>54.544444444444444</v>
      </c>
      <c r="X648" s="29">
        <f>_xll.qlDayCounterYearFraction(DayCounter,R648,S648)</f>
        <v>9.7222222222222224E-2</v>
      </c>
      <c r="Y648" s="29" t="e">
        <f>_xll.qlYieldTSDiscount(Currency&amp;"ON",R648)/(1+U648*X648)</f>
        <v>#NUM!</v>
      </c>
      <c r="Z648" s="30" t="e">
        <f>_xll.qlTenorBasisValue(TenorBasis6M,R648,InterestRatesTrigger)</f>
        <v>#VALUE!</v>
      </c>
      <c r="AA648" s="30" t="e">
        <f t="shared" si="33"/>
        <v>#NUM!</v>
      </c>
    </row>
    <row r="649" spans="15:27" x14ac:dyDescent="0.2">
      <c r="O649" s="33">
        <v>1</v>
      </c>
      <c r="P649" s="27" t="str">
        <f>_xll.qlPeriodEquivalent(P648&amp;"+"&amp;O649&amp;"M")</f>
        <v>53Y10M</v>
      </c>
      <c r="Q649" s="28">
        <f>_xll.qlCalendarAdvance(Calendar,SettlementDate,P649,"f",,Trigger)</f>
        <v>61826</v>
      </c>
      <c r="R649" s="28">
        <f>_xll.qlInterestRateIndexValueDate(Index,Q649,Trigger)</f>
        <v>61828</v>
      </c>
      <c r="S649" s="28">
        <f>_xll.qlInterestRateIndexMaturity(Index,R649,Trigger)</f>
        <v>61858</v>
      </c>
      <c r="T649" s="30">
        <f>_xll.qlIndexFixing($M$6,Q649,,InterestRatesTrigger)</f>
        <v>1.3997146526199877E-2</v>
      </c>
      <c r="U649" s="30" t="e">
        <f>_xll.qlIndexFixing(Index,Q649,,InterestRatesTrigger)</f>
        <v>#NUM!</v>
      </c>
      <c r="V649" s="30" t="e">
        <f t="shared" si="32"/>
        <v>#NUM!</v>
      </c>
      <c r="W649" s="29">
        <f>_xll.qlDayCounterYearFraction(DayCounter,SettlementDate,R649,,,Trigger)</f>
        <v>54.625</v>
      </c>
      <c r="X649" s="29">
        <f>_xll.qlDayCounterYearFraction(DayCounter,R649,S649)</f>
        <v>8.3333333333333329E-2</v>
      </c>
      <c r="Y649" s="29" t="e">
        <f>_xll.qlYieldTSDiscount(Currency&amp;"ON",R649)/(1+U649*X649)</f>
        <v>#NUM!</v>
      </c>
      <c r="Z649" s="30" t="e">
        <f>_xll.qlTenorBasisValue(TenorBasis6M,R649,InterestRatesTrigger)</f>
        <v>#VALUE!</v>
      </c>
      <c r="AA649" s="30" t="e">
        <f t="shared" si="33"/>
        <v>#NUM!</v>
      </c>
    </row>
    <row r="650" spans="15:27" x14ac:dyDescent="0.2">
      <c r="O650" s="33">
        <v>1</v>
      </c>
      <c r="P650" s="27" t="str">
        <f>_xll.qlPeriodEquivalent(P649&amp;"+"&amp;O650&amp;"M")</f>
        <v>53Y11M</v>
      </c>
      <c r="Q650" s="28">
        <f>_xll.qlCalendarAdvance(Calendar,SettlementDate,P650,"f",,Trigger)</f>
        <v>61856</v>
      </c>
      <c r="R650" s="28">
        <f>_xll.qlInterestRateIndexValueDate(Index,Q650,Trigger)</f>
        <v>61858</v>
      </c>
      <c r="S650" s="28">
        <f>_xll.qlInterestRateIndexMaturity(Index,R650,Trigger)</f>
        <v>61889</v>
      </c>
      <c r="T650" s="30">
        <f>_xll.qlIndexFixing($M$6,Q650,,InterestRatesTrigger)</f>
        <v>1.4016680578058346E-2</v>
      </c>
      <c r="U650" s="30" t="e">
        <f>_xll.qlIndexFixing(Index,Q650,,InterestRatesTrigger)</f>
        <v>#NUM!</v>
      </c>
      <c r="V650" s="30" t="e">
        <f t="shared" si="32"/>
        <v>#NUM!</v>
      </c>
      <c r="W650" s="29">
        <f>_xll.qlDayCounterYearFraction(DayCounter,SettlementDate,R650,,,Trigger)</f>
        <v>54.708333333333336</v>
      </c>
      <c r="X650" s="29">
        <f>_xll.qlDayCounterYearFraction(DayCounter,R650,S650)</f>
        <v>8.611111111111111E-2</v>
      </c>
      <c r="Y650" s="29" t="e">
        <f>_xll.qlYieldTSDiscount(Currency&amp;"ON",R650)/(1+U650*X650)</f>
        <v>#NUM!</v>
      </c>
      <c r="Z650" s="30" t="e">
        <f>_xll.qlTenorBasisValue(TenorBasis6M,R650,InterestRatesTrigger)</f>
        <v>#VALUE!</v>
      </c>
      <c r="AA650" s="30" t="e">
        <f t="shared" si="33"/>
        <v>#NUM!</v>
      </c>
    </row>
    <row r="651" spans="15:27" x14ac:dyDescent="0.2">
      <c r="O651" s="33">
        <v>1</v>
      </c>
      <c r="P651" s="27" t="str">
        <f>_xll.qlPeriodEquivalent(P650&amp;"+"&amp;O651&amp;"M")</f>
        <v>54Y</v>
      </c>
      <c r="Q651" s="28">
        <f>_xll.qlCalendarAdvance(Calendar,SettlementDate,P651,"f",,Trigger)</f>
        <v>61889</v>
      </c>
      <c r="R651" s="28">
        <f>_xll.qlInterestRateIndexValueDate(Index,Q651,Trigger)</f>
        <v>61891</v>
      </c>
      <c r="S651" s="28">
        <f>_xll.qlInterestRateIndexMaturity(Index,R651,Trigger)</f>
        <v>61921</v>
      </c>
      <c r="T651" s="30">
        <f>_xll.qlIndexFixing($M$6,Q651,,InterestRatesTrigger)</f>
        <v>1.4036642669963406E-2</v>
      </c>
      <c r="U651" s="30" t="e">
        <f>_xll.qlIndexFixing(Index,Q651,,InterestRatesTrigger)</f>
        <v>#NUM!</v>
      </c>
      <c r="V651" s="30" t="e">
        <f t="shared" si="32"/>
        <v>#NUM!</v>
      </c>
      <c r="W651" s="29">
        <f>_xll.qlDayCounterYearFraction(DayCounter,SettlementDate,R651,,,Trigger)</f>
        <v>54.8</v>
      </c>
      <c r="X651" s="29">
        <f>_xll.qlDayCounterYearFraction(DayCounter,R651,S651)</f>
        <v>8.3333333333333329E-2</v>
      </c>
      <c r="Y651" s="29" t="e">
        <f>_xll.qlYieldTSDiscount(Currency&amp;"ON",R651)/(1+U651*X651)</f>
        <v>#NUM!</v>
      </c>
      <c r="Z651" s="30" t="e">
        <f>_xll.qlTenorBasisValue(TenorBasis6M,R651,InterestRatesTrigger)</f>
        <v>#VALUE!</v>
      </c>
      <c r="AA651" s="30" t="e">
        <f t="shared" si="33"/>
        <v>#NUM!</v>
      </c>
    </row>
    <row r="652" spans="15:27" x14ac:dyDescent="0.2">
      <c r="O652" s="33">
        <v>1</v>
      </c>
      <c r="P652" s="27" t="str">
        <f>_xll.qlPeriodEquivalent(P651&amp;"+"&amp;O652&amp;"M")</f>
        <v>54Y1M</v>
      </c>
      <c r="Q652" s="28">
        <f>_xll.qlCalendarAdvance(Calendar,SettlementDate,P652,"f",,Trigger)</f>
        <v>61917</v>
      </c>
      <c r="R652" s="28">
        <f>_xll.qlInterestRateIndexValueDate(Index,Q652,Trigger)</f>
        <v>61919</v>
      </c>
      <c r="S652" s="28">
        <f>_xll.qlInterestRateIndexMaturity(Index,R652,Trigger)</f>
        <v>61952</v>
      </c>
      <c r="T652" s="30">
        <f>_xll.qlIndexFixing($M$6,Q652,,InterestRatesTrigger)</f>
        <v>1.4055569648659243E-2</v>
      </c>
      <c r="U652" s="30" t="e">
        <f>_xll.qlIndexFixing(Index,Q652,,InterestRatesTrigger)</f>
        <v>#NUM!</v>
      </c>
      <c r="V652" s="30" t="e">
        <f t="shared" si="32"/>
        <v>#NUM!</v>
      </c>
      <c r="W652" s="29">
        <f>_xll.qlDayCounterYearFraction(DayCounter,SettlementDate,R652,,,Trigger)</f>
        <v>54.87777777777778</v>
      </c>
      <c r="X652" s="29">
        <f>_xll.qlDayCounterYearFraction(DayCounter,R652,S652)</f>
        <v>9.166666666666666E-2</v>
      </c>
      <c r="Y652" s="29" t="e">
        <f>_xll.qlYieldTSDiscount(Currency&amp;"ON",R652)/(1+U652*X652)</f>
        <v>#NUM!</v>
      </c>
      <c r="Z652" s="30" t="e">
        <f>_xll.qlTenorBasisValue(TenorBasis6M,R652,InterestRatesTrigger)</f>
        <v>#VALUE!</v>
      </c>
      <c r="AA652" s="30" t="e">
        <f t="shared" si="33"/>
        <v>#NUM!</v>
      </c>
    </row>
    <row r="653" spans="15:27" x14ac:dyDescent="0.2">
      <c r="O653" s="33">
        <v>1</v>
      </c>
      <c r="P653" s="27" t="str">
        <f>_xll.qlPeriodEquivalent(P652&amp;"+"&amp;O653&amp;"M")</f>
        <v>54Y2M</v>
      </c>
      <c r="Q653" s="28">
        <f>_xll.qlCalendarAdvance(Calendar,SettlementDate,P653,"f",,Trigger)</f>
        <v>61948</v>
      </c>
      <c r="R653" s="28">
        <f>_xll.qlInterestRateIndexValueDate(Index,Q653,Trigger)</f>
        <v>61952</v>
      </c>
      <c r="S653" s="28">
        <f>_xll.qlInterestRateIndexMaturity(Index,R653,Trigger)</f>
        <v>61983</v>
      </c>
      <c r="T653" s="30">
        <f>_xll.qlIndexFixing($M$6,Q653,,InterestRatesTrigger)</f>
        <v>1.4074384602698197E-2</v>
      </c>
      <c r="U653" s="30" t="e">
        <f>_xll.qlIndexFixing(Index,Q653,,InterestRatesTrigger)</f>
        <v>#NUM!</v>
      </c>
      <c r="V653" s="30" t="e">
        <f t="shared" si="32"/>
        <v>#NUM!</v>
      </c>
      <c r="W653" s="29">
        <f>_xll.qlDayCounterYearFraction(DayCounter,SettlementDate,R653,,,Trigger)</f>
        <v>54.969444444444441</v>
      </c>
      <c r="X653" s="29">
        <f>_xll.qlDayCounterYearFraction(DayCounter,R653,S653)</f>
        <v>8.611111111111111E-2</v>
      </c>
      <c r="Y653" s="29" t="e">
        <f>_xll.qlYieldTSDiscount(Currency&amp;"ON",R653)/(1+U653*X653)</f>
        <v>#NUM!</v>
      </c>
      <c r="Z653" s="30" t="e">
        <f>_xll.qlTenorBasisValue(TenorBasis6M,R653,InterestRatesTrigger)</f>
        <v>#VALUE!</v>
      </c>
      <c r="AA653" s="30" t="e">
        <f t="shared" si="33"/>
        <v>#NUM!</v>
      </c>
    </row>
    <row r="654" spans="15:27" x14ac:dyDescent="0.2">
      <c r="O654" s="33">
        <v>1</v>
      </c>
      <c r="P654" s="27" t="str">
        <f>_xll.qlPeriodEquivalent(P653&amp;"+"&amp;O654&amp;"M")</f>
        <v>54Y3M</v>
      </c>
      <c r="Q654" s="28">
        <f>_xll.qlCalendarAdvance(Calendar,SettlementDate,P654,"f",,Trigger)</f>
        <v>61980</v>
      </c>
      <c r="R654" s="28">
        <f>_xll.qlInterestRateIndexValueDate(Index,Q654,Trigger)</f>
        <v>61982</v>
      </c>
      <c r="S654" s="28">
        <f>_xll.qlInterestRateIndexMaturity(Index,R654,Trigger)</f>
        <v>62012</v>
      </c>
      <c r="T654" s="30">
        <f>_xll.qlIndexFixing($M$6,Q654,,InterestRatesTrigger)</f>
        <v>1.4091701101987653E-2</v>
      </c>
      <c r="U654" s="30" t="e">
        <f>_xll.qlIndexFixing(Index,Q654,,InterestRatesTrigger)</f>
        <v>#NUM!</v>
      </c>
      <c r="V654" s="30" t="e">
        <f t="shared" si="32"/>
        <v>#NUM!</v>
      </c>
      <c r="W654" s="29">
        <f>_xll.qlDayCounterYearFraction(DayCounter,SettlementDate,R654,,,Trigger)</f>
        <v>55.052777777777777</v>
      </c>
      <c r="X654" s="29">
        <f>_xll.qlDayCounterYearFraction(DayCounter,R654,S654)</f>
        <v>8.3333333333333329E-2</v>
      </c>
      <c r="Y654" s="29" t="e">
        <f>_xll.qlYieldTSDiscount(Currency&amp;"ON",R654)/(1+U654*X654)</f>
        <v>#NUM!</v>
      </c>
      <c r="Z654" s="30" t="e">
        <f>_xll.qlTenorBasisValue(TenorBasis6M,R654,InterestRatesTrigger)</f>
        <v>#VALUE!</v>
      </c>
      <c r="AA654" s="30" t="e">
        <f t="shared" si="33"/>
        <v>#NUM!</v>
      </c>
    </row>
    <row r="655" spans="15:27" x14ac:dyDescent="0.2">
      <c r="O655" s="33">
        <v>1</v>
      </c>
      <c r="P655" s="27" t="str">
        <f>_xll.qlPeriodEquivalent(P654&amp;"+"&amp;O655&amp;"M")</f>
        <v>54Y4M</v>
      </c>
      <c r="Q655" s="28">
        <f>_xll.qlCalendarAdvance(Calendar,SettlementDate,P655,"f",,Trigger)</f>
        <v>62009</v>
      </c>
      <c r="R655" s="28">
        <f>_xll.qlInterestRateIndexValueDate(Index,Q655,Trigger)</f>
        <v>62011</v>
      </c>
      <c r="S655" s="28">
        <f>_xll.qlInterestRateIndexMaturity(Index,R655,Trigger)</f>
        <v>62043</v>
      </c>
      <c r="T655" s="30">
        <f>_xll.qlIndexFixing($M$6,Q655,,InterestRatesTrigger)</f>
        <v>1.410988767379967E-2</v>
      </c>
      <c r="U655" s="30" t="e">
        <f>_xll.qlIndexFixing(Index,Q655,,InterestRatesTrigger)</f>
        <v>#NUM!</v>
      </c>
      <c r="V655" s="30" t="e">
        <f t="shared" si="32"/>
        <v>#NUM!</v>
      </c>
      <c r="W655" s="29">
        <f>_xll.qlDayCounterYearFraction(DayCounter,SettlementDate,R655,,,Trigger)</f>
        <v>55.133333333333333</v>
      </c>
      <c r="X655" s="29">
        <f>_xll.qlDayCounterYearFraction(DayCounter,R655,S655)</f>
        <v>8.8888888888888892E-2</v>
      </c>
      <c r="Y655" s="29" t="e">
        <f>_xll.qlYieldTSDiscount(Currency&amp;"ON",R655)/(1+U655*X655)</f>
        <v>#NUM!</v>
      </c>
      <c r="Z655" s="30" t="e">
        <f>_xll.qlTenorBasisValue(TenorBasis6M,R655,InterestRatesTrigger)</f>
        <v>#VALUE!</v>
      </c>
      <c r="AA655" s="30" t="e">
        <f t="shared" si="33"/>
        <v>#NUM!</v>
      </c>
    </row>
    <row r="656" spans="15:27" x14ac:dyDescent="0.2">
      <c r="O656" s="33">
        <v>1</v>
      </c>
      <c r="P656" s="27" t="str">
        <f>_xll.qlPeriodEquivalent(P655&amp;"+"&amp;O656&amp;"M")</f>
        <v>54Y5M</v>
      </c>
      <c r="Q656" s="28">
        <f>_xll.qlCalendarAdvance(Calendar,SettlementDate,P656,"f",,Trigger)</f>
        <v>62040</v>
      </c>
      <c r="R656" s="28">
        <f>_xll.qlInterestRateIndexValueDate(Index,Q656,Trigger)</f>
        <v>62044</v>
      </c>
      <c r="S656" s="28">
        <f>_xll.qlInterestRateIndexMaturity(Index,R656,Trigger)</f>
        <v>62074</v>
      </c>
      <c r="T656" s="30">
        <f>_xll.qlIndexFixing($M$6,Q656,,InterestRatesTrigger)</f>
        <v>1.4127865354015334E-2</v>
      </c>
      <c r="U656" s="30" t="e">
        <f>_xll.qlIndexFixing(Index,Q656,,InterestRatesTrigger)</f>
        <v>#NUM!</v>
      </c>
      <c r="V656" s="30" t="e">
        <f t="shared" si="32"/>
        <v>#NUM!</v>
      </c>
      <c r="W656" s="29">
        <f>_xll.qlDayCounterYearFraction(DayCounter,SettlementDate,R656,,,Trigger)</f>
        <v>55.225000000000001</v>
      </c>
      <c r="X656" s="29">
        <f>_xll.qlDayCounterYearFraction(DayCounter,R656,S656)</f>
        <v>8.3333333333333329E-2</v>
      </c>
      <c r="Y656" s="29" t="e">
        <f>_xll.qlYieldTSDiscount(Currency&amp;"ON",R656)/(1+U656*X656)</f>
        <v>#NUM!</v>
      </c>
      <c r="Z656" s="30" t="e">
        <f>_xll.qlTenorBasisValue(TenorBasis6M,R656,InterestRatesTrigger)</f>
        <v>#VALUE!</v>
      </c>
      <c r="AA656" s="30" t="e">
        <f t="shared" si="33"/>
        <v>#NUM!</v>
      </c>
    </row>
    <row r="657" spans="15:27" x14ac:dyDescent="0.2">
      <c r="O657" s="33">
        <v>1</v>
      </c>
      <c r="P657" s="27" t="str">
        <f>_xll.qlPeriodEquivalent(P656&amp;"+"&amp;O657&amp;"M")</f>
        <v>54Y6M</v>
      </c>
      <c r="Q657" s="28">
        <f>_xll.qlCalendarAdvance(Calendar,SettlementDate,P657,"f",,Trigger)</f>
        <v>62071</v>
      </c>
      <c r="R657" s="28">
        <f>_xll.qlInterestRateIndexValueDate(Index,Q657,Trigger)</f>
        <v>62073</v>
      </c>
      <c r="S657" s="28">
        <f>_xll.qlInterestRateIndexMaturity(Index,R657,Trigger)</f>
        <v>62106</v>
      </c>
      <c r="T657" s="30">
        <f>_xll.qlIndexFixing($M$6,Q657,,InterestRatesTrigger)</f>
        <v>1.414608605976995E-2</v>
      </c>
      <c r="U657" s="30" t="e">
        <f>_xll.qlIndexFixing(Index,Q657,,InterestRatesTrigger)</f>
        <v>#NUM!</v>
      </c>
      <c r="V657" s="30" t="e">
        <f t="shared" si="32"/>
        <v>#NUM!</v>
      </c>
      <c r="W657" s="29">
        <f>_xll.qlDayCounterYearFraction(DayCounter,SettlementDate,R657,,,Trigger)</f>
        <v>55.305555555555557</v>
      </c>
      <c r="X657" s="29">
        <f>_xll.qlDayCounterYearFraction(DayCounter,R657,S657)</f>
        <v>9.166666666666666E-2</v>
      </c>
      <c r="Y657" s="29" t="e">
        <f>_xll.qlYieldTSDiscount(Currency&amp;"ON",R657)/(1+U657*X657)</f>
        <v>#NUM!</v>
      </c>
      <c r="Z657" s="30" t="e">
        <f>_xll.qlTenorBasisValue(TenorBasis6M,R657,InterestRatesTrigger)</f>
        <v>#VALUE!</v>
      </c>
      <c r="AA657" s="30" t="e">
        <f t="shared" si="33"/>
        <v>#NUM!</v>
      </c>
    </row>
    <row r="658" spans="15:27" x14ac:dyDescent="0.2">
      <c r="O658" s="33">
        <v>1</v>
      </c>
      <c r="P658" s="27" t="str">
        <f>_xll.qlPeriodEquivalent(P657&amp;"+"&amp;O658&amp;"M")</f>
        <v>54Y7M</v>
      </c>
      <c r="Q658" s="28">
        <f>_xll.qlCalendarAdvance(Calendar,SettlementDate,P658,"f",,Trigger)</f>
        <v>62101</v>
      </c>
      <c r="R658" s="28">
        <f>_xll.qlInterestRateIndexValueDate(Index,Q658,Trigger)</f>
        <v>62103</v>
      </c>
      <c r="S658" s="28">
        <f>_xll.qlInterestRateIndexMaturity(Index,R658,Trigger)</f>
        <v>62134</v>
      </c>
      <c r="T658" s="30">
        <f>_xll.qlIndexFixing($M$6,Q658,,InterestRatesTrigger)</f>
        <v>1.4161821699587502E-2</v>
      </c>
      <c r="U658" s="30" t="e">
        <f>_xll.qlIndexFixing(Index,Q658,,InterestRatesTrigger)</f>
        <v>#NUM!</v>
      </c>
      <c r="V658" s="30" t="e">
        <f t="shared" si="32"/>
        <v>#NUM!</v>
      </c>
      <c r="W658" s="29">
        <f>_xll.qlDayCounterYearFraction(DayCounter,SettlementDate,R658,,,Trigger)</f>
        <v>55.388888888888886</v>
      </c>
      <c r="X658" s="29">
        <f>_xll.qlDayCounterYearFraction(DayCounter,R658,S658)</f>
        <v>8.611111111111111E-2</v>
      </c>
      <c r="Y658" s="29" t="e">
        <f>_xll.qlYieldTSDiscount(Currency&amp;"ON",R658)/(1+U658*X658)</f>
        <v>#NUM!</v>
      </c>
      <c r="Z658" s="30" t="e">
        <f>_xll.qlTenorBasisValue(TenorBasis6M,R658,InterestRatesTrigger)</f>
        <v>#VALUE!</v>
      </c>
      <c r="AA658" s="30" t="e">
        <f t="shared" si="33"/>
        <v>#NUM!</v>
      </c>
    </row>
    <row r="659" spans="15:27" x14ac:dyDescent="0.2">
      <c r="O659" s="33">
        <v>1</v>
      </c>
      <c r="P659" s="27" t="str">
        <f>_xll.qlPeriodEquivalent(P658&amp;"+"&amp;O659&amp;"M")</f>
        <v>54Y8M</v>
      </c>
      <c r="Q659" s="28">
        <f>_xll.qlCalendarAdvance(Calendar,SettlementDate,P659,"f",,Trigger)</f>
        <v>62134</v>
      </c>
      <c r="R659" s="28">
        <f>_xll.qlInterestRateIndexValueDate(Index,Q659,Trigger)</f>
        <v>62136</v>
      </c>
      <c r="S659" s="28">
        <f>_xll.qlInterestRateIndexMaturity(Index,R659,Trigger)</f>
        <v>62164</v>
      </c>
      <c r="T659" s="30">
        <f>_xll.qlIndexFixing($M$6,Q659,,InterestRatesTrigger)</f>
        <v>1.4178409632325131E-2</v>
      </c>
      <c r="U659" s="30" t="e">
        <f>_xll.qlIndexFixing(Index,Q659,,InterestRatesTrigger)</f>
        <v>#NUM!</v>
      </c>
      <c r="V659" s="30" t="e">
        <f t="shared" si="32"/>
        <v>#NUM!</v>
      </c>
      <c r="W659" s="29">
        <f>_xll.qlDayCounterYearFraction(DayCounter,SettlementDate,R659,,,Trigger)</f>
        <v>55.480555555555554</v>
      </c>
      <c r="X659" s="29">
        <f>_xll.qlDayCounterYearFraction(DayCounter,R659,S659)</f>
        <v>7.7777777777777779E-2</v>
      </c>
      <c r="Y659" s="29" t="e">
        <f>_xll.qlYieldTSDiscount(Currency&amp;"ON",R659)/(1+U659*X659)</f>
        <v>#NUM!</v>
      </c>
      <c r="Z659" s="30" t="e">
        <f>_xll.qlTenorBasisValue(TenorBasis6M,R659,InterestRatesTrigger)</f>
        <v>#VALUE!</v>
      </c>
      <c r="AA659" s="30" t="e">
        <f t="shared" si="33"/>
        <v>#NUM!</v>
      </c>
    </row>
    <row r="660" spans="15:27" x14ac:dyDescent="0.2">
      <c r="O660" s="33">
        <v>1</v>
      </c>
      <c r="P660" s="27" t="str">
        <f>_xll.qlPeriodEquivalent(P659&amp;"+"&amp;O660&amp;"M")</f>
        <v>54Y9M</v>
      </c>
      <c r="Q660" s="28">
        <f>_xll.qlCalendarAdvance(Calendar,SettlementDate,P660,"f",,Trigger)</f>
        <v>62162</v>
      </c>
      <c r="R660" s="28">
        <f>_xll.qlInterestRateIndexValueDate(Index,Q660,Trigger)</f>
        <v>62164</v>
      </c>
      <c r="S660" s="28">
        <f>_xll.qlInterestRateIndexMaturity(Index,R660,Trigger)</f>
        <v>62197</v>
      </c>
      <c r="T660" s="30">
        <f>_xll.qlIndexFixing($M$6,Q660,,InterestRatesTrigger)</f>
        <v>1.4196404235195073E-2</v>
      </c>
      <c r="U660" s="30" t="e">
        <f>_xll.qlIndexFixing(Index,Q660,,InterestRatesTrigger)</f>
        <v>#NUM!</v>
      </c>
      <c r="V660" s="30" t="e">
        <f t="shared" si="32"/>
        <v>#NUM!</v>
      </c>
      <c r="W660" s="29">
        <f>_xll.qlDayCounterYearFraction(DayCounter,SettlementDate,R660,,,Trigger)</f>
        <v>55.55833333333333</v>
      </c>
      <c r="X660" s="29">
        <f>_xll.qlDayCounterYearFraction(DayCounter,R660,S660)</f>
        <v>9.166666666666666E-2</v>
      </c>
      <c r="Y660" s="29" t="e">
        <f>_xll.qlYieldTSDiscount(Currency&amp;"ON",R660)/(1+U660*X660)</f>
        <v>#NUM!</v>
      </c>
      <c r="Z660" s="30" t="e">
        <f>_xll.qlTenorBasisValue(TenorBasis6M,R660,InterestRatesTrigger)</f>
        <v>#VALUE!</v>
      </c>
      <c r="AA660" s="30" t="e">
        <f t="shared" si="33"/>
        <v>#NUM!</v>
      </c>
    </row>
    <row r="661" spans="15:27" x14ac:dyDescent="0.2">
      <c r="O661" s="33">
        <v>1</v>
      </c>
      <c r="P661" s="27" t="str">
        <f>_xll.qlPeriodEquivalent(P660&amp;"+"&amp;O661&amp;"M")</f>
        <v>54Y10M</v>
      </c>
      <c r="Q661" s="28">
        <f>_xll.qlCalendarAdvance(Calendar,SettlementDate,P661,"f",,Trigger)</f>
        <v>62191</v>
      </c>
      <c r="R661" s="28">
        <f>_xll.qlInterestRateIndexValueDate(Index,Q661,Trigger)</f>
        <v>62193</v>
      </c>
      <c r="S661" s="28">
        <f>_xll.qlInterestRateIndexMaturity(Index,R661,Trigger)</f>
        <v>62225</v>
      </c>
      <c r="T661" s="30">
        <f>_xll.qlIndexFixing($M$6,Q661,,InterestRatesTrigger)</f>
        <v>1.4211399536093183E-2</v>
      </c>
      <c r="U661" s="30" t="e">
        <f>_xll.qlIndexFixing(Index,Q661,,InterestRatesTrigger)</f>
        <v>#NUM!</v>
      </c>
      <c r="V661" s="30" t="e">
        <f t="shared" si="32"/>
        <v>#NUM!</v>
      </c>
      <c r="W661" s="29">
        <f>_xll.qlDayCounterYearFraction(DayCounter,SettlementDate,R661,,,Trigger)</f>
        <v>55.638888888888886</v>
      </c>
      <c r="X661" s="29">
        <f>_xll.qlDayCounterYearFraction(DayCounter,R661,S661)</f>
        <v>8.8888888888888892E-2</v>
      </c>
      <c r="Y661" s="29" t="e">
        <f>_xll.qlYieldTSDiscount(Currency&amp;"ON",R661)/(1+U661*X661)</f>
        <v>#NUM!</v>
      </c>
      <c r="Z661" s="30" t="e">
        <f>_xll.qlTenorBasisValue(TenorBasis6M,R661,InterestRatesTrigger)</f>
        <v>#VALUE!</v>
      </c>
      <c r="AA661" s="30" t="e">
        <f t="shared" si="33"/>
        <v>#NUM!</v>
      </c>
    </row>
    <row r="662" spans="15:27" x14ac:dyDescent="0.2">
      <c r="O662" s="33">
        <v>1</v>
      </c>
      <c r="P662" s="27" t="str">
        <f>_xll.qlPeriodEquivalent(P661&amp;"+"&amp;O662&amp;"M")</f>
        <v>54Y11M</v>
      </c>
      <c r="Q662" s="28">
        <f>_xll.qlCalendarAdvance(Calendar,SettlementDate,P662,"f",,Trigger)</f>
        <v>62221</v>
      </c>
      <c r="R662" s="28">
        <f>_xll.qlInterestRateIndexValueDate(Index,Q662,Trigger)</f>
        <v>62225</v>
      </c>
      <c r="S662" s="28">
        <f>_xll.qlInterestRateIndexMaturity(Index,R662,Trigger)</f>
        <v>62256</v>
      </c>
      <c r="T662" s="30">
        <f>_xll.qlIndexFixing($M$6,Q662,,InterestRatesTrigger)</f>
        <v>1.4227732763492311E-2</v>
      </c>
      <c r="U662" s="30" t="e">
        <f>_xll.qlIndexFixing(Index,Q662,,InterestRatesTrigger)</f>
        <v>#NUM!</v>
      </c>
      <c r="V662" s="30" t="e">
        <f t="shared" si="32"/>
        <v>#NUM!</v>
      </c>
      <c r="W662" s="29">
        <f>_xll.qlDayCounterYearFraction(DayCounter,SettlementDate,R662,,,Trigger)</f>
        <v>55.727777777777774</v>
      </c>
      <c r="X662" s="29">
        <f>_xll.qlDayCounterYearFraction(DayCounter,R662,S662)</f>
        <v>8.611111111111111E-2</v>
      </c>
      <c r="Y662" s="29" t="e">
        <f>_xll.qlYieldTSDiscount(Currency&amp;"ON",R662)/(1+U662*X662)</f>
        <v>#NUM!</v>
      </c>
      <c r="Z662" s="30" t="e">
        <f>_xll.qlTenorBasisValue(TenorBasis6M,R662,InterestRatesTrigger)</f>
        <v>#VALUE!</v>
      </c>
      <c r="AA662" s="30" t="e">
        <f t="shared" si="33"/>
        <v>#NUM!</v>
      </c>
    </row>
    <row r="663" spans="15:27" x14ac:dyDescent="0.2">
      <c r="O663" s="33">
        <v>1</v>
      </c>
      <c r="P663" s="27" t="str">
        <f>_xll.qlPeriodEquivalent(P662&amp;"+"&amp;O663&amp;"M")</f>
        <v>55Y</v>
      </c>
      <c r="Q663" s="28">
        <f>_xll.qlCalendarAdvance(Calendar,SettlementDate,P663,"f",,Trigger)</f>
        <v>62253</v>
      </c>
      <c r="R663" s="28">
        <f>_xll.qlInterestRateIndexValueDate(Index,Q663,Trigger)</f>
        <v>62255</v>
      </c>
      <c r="S663" s="28">
        <f>_xll.qlInterestRateIndexMaturity(Index,R663,Trigger)</f>
        <v>62285</v>
      </c>
      <c r="T663" s="30">
        <f>_xll.qlIndexFixing($M$6,Q663,,InterestRatesTrigger)</f>
        <v>1.4242754177744565E-2</v>
      </c>
      <c r="U663" s="30" t="e">
        <f>_xll.qlIndexFixing(Index,Q663,,InterestRatesTrigger)</f>
        <v>#NUM!</v>
      </c>
      <c r="V663" s="30" t="e">
        <f t="shared" si="32"/>
        <v>#NUM!</v>
      </c>
      <c r="W663" s="29">
        <f>_xll.qlDayCounterYearFraction(DayCounter,SettlementDate,R663,,,Trigger)</f>
        <v>55.81111111111111</v>
      </c>
      <c r="X663" s="29">
        <f>_xll.qlDayCounterYearFraction(DayCounter,R663,S663)</f>
        <v>8.3333333333333329E-2</v>
      </c>
      <c r="Y663" s="29" t="e">
        <f>_xll.qlYieldTSDiscount(Currency&amp;"ON",R663)/(1+U663*X663)</f>
        <v>#NUM!</v>
      </c>
      <c r="Z663" s="30" t="e">
        <f>_xll.qlTenorBasisValue(TenorBasis6M,R663,InterestRatesTrigger)</f>
        <v>#VALUE!</v>
      </c>
      <c r="AA663" s="30" t="e">
        <f t="shared" si="33"/>
        <v>#NUM!</v>
      </c>
    </row>
    <row r="664" spans="15:27" x14ac:dyDescent="0.2">
      <c r="O664" s="33">
        <v>1</v>
      </c>
      <c r="P664" s="27" t="str">
        <f>_xll.qlPeriodEquivalent(P663&amp;"+"&amp;O664&amp;"M")</f>
        <v>55Y1M</v>
      </c>
      <c r="Q664" s="28">
        <f>_xll.qlCalendarAdvance(Calendar,SettlementDate,P664,"f",,Trigger)</f>
        <v>62282</v>
      </c>
      <c r="R664" s="28">
        <f>_xll.qlInterestRateIndexValueDate(Index,Q664,Trigger)</f>
        <v>62284</v>
      </c>
      <c r="S664" s="28">
        <f>_xll.qlInterestRateIndexMaturity(Index,R664,Trigger)</f>
        <v>62316</v>
      </c>
      <c r="T664" s="30">
        <f>_xll.qlIndexFixing($M$6,Q664,,InterestRatesTrigger)</f>
        <v>1.4258624594212232E-2</v>
      </c>
      <c r="U664" s="30" t="e">
        <f>_xll.qlIndexFixing(Index,Q664,,InterestRatesTrigger)</f>
        <v>#NUM!</v>
      </c>
      <c r="V664" s="30" t="e">
        <f t="shared" si="32"/>
        <v>#NUM!</v>
      </c>
      <c r="W664" s="29">
        <f>_xll.qlDayCounterYearFraction(DayCounter,SettlementDate,R664,,,Trigger)</f>
        <v>55.891666666666666</v>
      </c>
      <c r="X664" s="29">
        <f>_xll.qlDayCounterYearFraction(DayCounter,R664,S664)</f>
        <v>8.8888888888888892E-2</v>
      </c>
      <c r="Y664" s="29" t="e">
        <f>_xll.qlYieldTSDiscount(Currency&amp;"ON",R664)/(1+U664*X664)</f>
        <v>#NUM!</v>
      </c>
      <c r="Z664" s="30" t="e">
        <f>_xll.qlTenorBasisValue(TenorBasis6M,R664,InterestRatesTrigger)</f>
        <v>#VALUE!</v>
      </c>
      <c r="AA664" s="30" t="e">
        <f t="shared" si="33"/>
        <v>#NUM!</v>
      </c>
    </row>
    <row r="665" spans="15:27" x14ac:dyDescent="0.2">
      <c r="O665" s="33">
        <v>1</v>
      </c>
      <c r="P665" s="27" t="str">
        <f>_xll.qlPeriodEquivalent(P664&amp;"+"&amp;O665&amp;"M")</f>
        <v>55Y2M</v>
      </c>
      <c r="Q665" s="28">
        <f>_xll.qlCalendarAdvance(Calendar,SettlementDate,P665,"f",,Trigger)</f>
        <v>62313</v>
      </c>
      <c r="R665" s="28">
        <f>_xll.qlInterestRateIndexValueDate(Index,Q665,Trigger)</f>
        <v>62317</v>
      </c>
      <c r="S665" s="28">
        <f>_xll.qlInterestRateIndexMaturity(Index,R665,Trigger)</f>
        <v>62348</v>
      </c>
      <c r="T665" s="30">
        <f>_xll.qlIndexFixing($M$6,Q665,,InterestRatesTrigger)</f>
        <v>1.427463806506802E-2</v>
      </c>
      <c r="U665" s="30" t="e">
        <f>_xll.qlIndexFixing(Index,Q665,,InterestRatesTrigger)</f>
        <v>#NUM!</v>
      </c>
      <c r="V665" s="30" t="e">
        <f t="shared" si="32"/>
        <v>#NUM!</v>
      </c>
      <c r="W665" s="29">
        <f>_xll.qlDayCounterYearFraction(DayCounter,SettlementDate,R665,,,Trigger)</f>
        <v>55.983333333333334</v>
      </c>
      <c r="X665" s="29">
        <f>_xll.qlDayCounterYearFraction(DayCounter,R665,S665)</f>
        <v>8.611111111111111E-2</v>
      </c>
      <c r="Y665" s="29" t="e">
        <f>_xll.qlYieldTSDiscount(Currency&amp;"ON",R665)/(1+U665*X665)</f>
        <v>#NUM!</v>
      </c>
      <c r="Z665" s="30" t="e">
        <f>_xll.qlTenorBasisValue(TenorBasis6M,R665,InterestRatesTrigger)</f>
        <v>#VALUE!</v>
      </c>
      <c r="AA665" s="30" t="e">
        <f t="shared" si="33"/>
        <v>#NUM!</v>
      </c>
    </row>
    <row r="666" spans="15:27" x14ac:dyDescent="0.2">
      <c r="O666" s="33">
        <v>1</v>
      </c>
      <c r="P666" s="27" t="str">
        <f>_xll.qlPeriodEquivalent(P665&amp;"+"&amp;O666&amp;"M")</f>
        <v>55Y3M</v>
      </c>
      <c r="Q666" s="28">
        <f>_xll.qlCalendarAdvance(Calendar,SettlementDate,P666,"f",,Trigger)</f>
        <v>62344</v>
      </c>
      <c r="R666" s="28">
        <f>_xll.qlInterestRateIndexValueDate(Index,Q666,Trigger)</f>
        <v>62346</v>
      </c>
      <c r="S666" s="28">
        <f>_xll.qlInterestRateIndexMaturity(Index,R666,Trigger)</f>
        <v>62376</v>
      </c>
      <c r="T666" s="30">
        <f>_xll.qlIndexFixing($M$6,Q666,,InterestRatesTrigger)</f>
        <v>1.4288397697572286E-2</v>
      </c>
      <c r="U666" s="30" t="e">
        <f>_xll.qlIndexFixing(Index,Q666,,InterestRatesTrigger)</f>
        <v>#NUM!</v>
      </c>
      <c r="V666" s="30" t="e">
        <f t="shared" si="32"/>
        <v>#NUM!</v>
      </c>
      <c r="W666" s="29">
        <f>_xll.qlDayCounterYearFraction(DayCounter,SettlementDate,R666,,,Trigger)</f>
        <v>56.06388888888889</v>
      </c>
      <c r="X666" s="29">
        <f>_xll.qlDayCounterYearFraction(DayCounter,R666,S666)</f>
        <v>8.3333333333333329E-2</v>
      </c>
      <c r="Y666" s="29" t="e">
        <f>_xll.qlYieldTSDiscount(Currency&amp;"ON",R666)/(1+U666*X666)</f>
        <v>#NUM!</v>
      </c>
      <c r="Z666" s="30" t="e">
        <f>_xll.qlTenorBasisValue(TenorBasis6M,R666,InterestRatesTrigger)</f>
        <v>#VALUE!</v>
      </c>
      <c r="AA666" s="30" t="e">
        <f t="shared" si="33"/>
        <v>#NUM!</v>
      </c>
    </row>
    <row r="667" spans="15:27" x14ac:dyDescent="0.2">
      <c r="O667" s="33">
        <v>1</v>
      </c>
      <c r="P667" s="27" t="str">
        <f>_xll.qlPeriodEquivalent(P666&amp;"+"&amp;O667&amp;"M")</f>
        <v>55Y4M</v>
      </c>
      <c r="Q667" s="28">
        <f>_xll.qlCalendarAdvance(Calendar,SettlementDate,P667,"f",,Trigger)</f>
        <v>62374</v>
      </c>
      <c r="R667" s="28">
        <f>_xll.qlInterestRateIndexValueDate(Index,Q667,Trigger)</f>
        <v>62376</v>
      </c>
      <c r="S667" s="28">
        <f>_xll.qlInterestRateIndexMaturity(Index,R667,Trigger)</f>
        <v>62407</v>
      </c>
      <c r="T667" s="30">
        <f>_xll.qlIndexFixing($M$6,Q667,,InterestRatesTrigger)</f>
        <v>1.4303452447071019E-2</v>
      </c>
      <c r="U667" s="30" t="e">
        <f>_xll.qlIndexFixing(Index,Q667,,InterestRatesTrigger)</f>
        <v>#NUM!</v>
      </c>
      <c r="V667" s="30" t="e">
        <f t="shared" si="32"/>
        <v>#NUM!</v>
      </c>
      <c r="W667" s="29">
        <f>_xll.qlDayCounterYearFraction(DayCounter,SettlementDate,R667,,,Trigger)</f>
        <v>56.147222222222226</v>
      </c>
      <c r="X667" s="29">
        <f>_xll.qlDayCounterYearFraction(DayCounter,R667,S667)</f>
        <v>8.611111111111111E-2</v>
      </c>
      <c r="Y667" s="29" t="e">
        <f>_xll.qlYieldTSDiscount(Currency&amp;"ON",R667)/(1+U667*X667)</f>
        <v>#NUM!</v>
      </c>
      <c r="Z667" s="30" t="e">
        <f>_xll.qlTenorBasisValue(TenorBasis6M,R667,InterestRatesTrigger)</f>
        <v>#VALUE!</v>
      </c>
      <c r="AA667" s="30" t="e">
        <f t="shared" si="33"/>
        <v>#NUM!</v>
      </c>
    </row>
    <row r="668" spans="15:27" x14ac:dyDescent="0.2">
      <c r="O668" s="33">
        <v>1</v>
      </c>
      <c r="P668" s="27" t="str">
        <f>_xll.qlPeriodEquivalent(P667&amp;"+"&amp;O668&amp;"M")</f>
        <v>55Y5M</v>
      </c>
      <c r="Q668" s="28">
        <f>_xll.qlCalendarAdvance(Calendar,SettlementDate,P668,"f",,Trigger)</f>
        <v>62407</v>
      </c>
      <c r="R668" s="28">
        <f>_xll.qlInterestRateIndexValueDate(Index,Q668,Trigger)</f>
        <v>62409</v>
      </c>
      <c r="S668" s="28">
        <f>_xll.qlInterestRateIndexMaturity(Index,R668,Trigger)</f>
        <v>62439</v>
      </c>
      <c r="T668" s="30">
        <f>_xll.qlIndexFixing($M$6,Q668,,InterestRatesTrigger)</f>
        <v>1.4318618206582201E-2</v>
      </c>
      <c r="U668" s="30" t="e">
        <f>_xll.qlIndexFixing(Index,Q668,,InterestRatesTrigger)</f>
        <v>#NUM!</v>
      </c>
      <c r="V668" s="30" t="e">
        <f t="shared" si="32"/>
        <v>#NUM!</v>
      </c>
      <c r="W668" s="29">
        <f>_xll.qlDayCounterYearFraction(DayCounter,SettlementDate,R668,,,Trigger)</f>
        <v>56.238888888888887</v>
      </c>
      <c r="X668" s="29">
        <f>_xll.qlDayCounterYearFraction(DayCounter,R668,S668)</f>
        <v>8.3333333333333329E-2</v>
      </c>
      <c r="Y668" s="29" t="e">
        <f>_xll.qlYieldTSDiscount(Currency&amp;"ON",R668)/(1+U668*X668)</f>
        <v>#NUM!</v>
      </c>
      <c r="Z668" s="30" t="e">
        <f>_xll.qlTenorBasisValue(TenorBasis6M,R668,InterestRatesTrigger)</f>
        <v>#VALUE!</v>
      </c>
      <c r="AA668" s="30" t="e">
        <f t="shared" si="33"/>
        <v>#NUM!</v>
      </c>
    </row>
    <row r="669" spans="15:27" x14ac:dyDescent="0.2">
      <c r="O669" s="33">
        <v>1</v>
      </c>
      <c r="P669" s="27" t="str">
        <f>_xll.qlPeriodEquivalent(P668&amp;"+"&amp;O669&amp;"M")</f>
        <v>55Y6M</v>
      </c>
      <c r="Q669" s="28">
        <f>_xll.qlCalendarAdvance(Calendar,SettlementDate,P669,"f",,Trigger)</f>
        <v>62435</v>
      </c>
      <c r="R669" s="28">
        <f>_xll.qlInterestRateIndexValueDate(Index,Q669,Trigger)</f>
        <v>62437</v>
      </c>
      <c r="S669" s="28">
        <f>_xll.qlInterestRateIndexMaturity(Index,R669,Trigger)</f>
        <v>62470</v>
      </c>
      <c r="T669" s="30">
        <f>_xll.qlIndexFixing($M$6,Q669,,InterestRatesTrigger)</f>
        <v>1.4333234625767008E-2</v>
      </c>
      <c r="U669" s="30" t="e">
        <f>_xll.qlIndexFixing(Index,Q669,,InterestRatesTrigger)</f>
        <v>#NUM!</v>
      </c>
      <c r="V669" s="30" t="e">
        <f t="shared" si="32"/>
        <v>#NUM!</v>
      </c>
      <c r="W669" s="29">
        <f>_xll.qlDayCounterYearFraction(DayCounter,SettlementDate,R669,,,Trigger)</f>
        <v>56.31666666666667</v>
      </c>
      <c r="X669" s="29">
        <f>_xll.qlDayCounterYearFraction(DayCounter,R669,S669)</f>
        <v>9.166666666666666E-2</v>
      </c>
      <c r="Y669" s="29" t="e">
        <f>_xll.qlYieldTSDiscount(Currency&amp;"ON",R669)/(1+U669*X669)</f>
        <v>#NUM!</v>
      </c>
      <c r="Z669" s="30" t="e">
        <f>_xll.qlTenorBasisValue(TenorBasis6M,R669,InterestRatesTrigger)</f>
        <v>#VALUE!</v>
      </c>
      <c r="AA669" s="30" t="e">
        <f t="shared" si="33"/>
        <v>#NUM!</v>
      </c>
    </row>
    <row r="670" spans="15:27" x14ac:dyDescent="0.2">
      <c r="O670" s="33">
        <v>1</v>
      </c>
      <c r="P670" s="27" t="str">
        <f>_xll.qlPeriodEquivalent(P669&amp;"+"&amp;O670&amp;"M")</f>
        <v>55Y7M</v>
      </c>
      <c r="Q670" s="28">
        <f>_xll.qlCalendarAdvance(Calendar,SettlementDate,P670,"f",,Trigger)</f>
        <v>62466</v>
      </c>
      <c r="R670" s="28">
        <f>_xll.qlInterestRateIndexValueDate(Index,Q670,Trigger)</f>
        <v>62470</v>
      </c>
      <c r="S670" s="28">
        <f>_xll.qlInterestRateIndexMaturity(Index,R670,Trigger)</f>
        <v>62501</v>
      </c>
      <c r="T670" s="30">
        <f>_xll.qlIndexFixing($M$6,Q670,,InterestRatesTrigger)</f>
        <v>1.4347316043418391E-2</v>
      </c>
      <c r="U670" s="30" t="e">
        <f>_xll.qlIndexFixing(Index,Q670,,InterestRatesTrigger)</f>
        <v>#NUM!</v>
      </c>
      <c r="V670" s="30" t="e">
        <f t="shared" si="32"/>
        <v>#NUM!</v>
      </c>
      <c r="W670" s="29">
        <f>_xll.qlDayCounterYearFraction(DayCounter,SettlementDate,R670,,,Trigger)</f>
        <v>56.408333333333331</v>
      </c>
      <c r="X670" s="29">
        <f>_xll.qlDayCounterYearFraction(DayCounter,R670,S670)</f>
        <v>8.611111111111111E-2</v>
      </c>
      <c r="Y670" s="29" t="e">
        <f>_xll.qlYieldTSDiscount(Currency&amp;"ON",R670)/(1+U670*X670)</f>
        <v>#NUM!</v>
      </c>
      <c r="Z670" s="30" t="e">
        <f>_xll.qlTenorBasisValue(TenorBasis6M,R670,InterestRatesTrigger)</f>
        <v>#VALUE!</v>
      </c>
      <c r="AA670" s="30" t="e">
        <f t="shared" si="33"/>
        <v>#NUM!</v>
      </c>
    </row>
    <row r="671" spans="15:27" x14ac:dyDescent="0.2">
      <c r="O671" s="33">
        <v>1</v>
      </c>
      <c r="P671" s="27" t="str">
        <f>_xll.qlPeriodEquivalent(P670&amp;"+"&amp;O671&amp;"M")</f>
        <v>55Y8M</v>
      </c>
      <c r="Q671" s="28">
        <f>_xll.qlCalendarAdvance(Calendar,SettlementDate,P671,"f",,Trigger)</f>
        <v>62498</v>
      </c>
      <c r="R671" s="28">
        <f>_xll.qlInterestRateIndexValueDate(Index,Q671,Trigger)</f>
        <v>62500</v>
      </c>
      <c r="S671" s="28">
        <f>_xll.qlInterestRateIndexMaturity(Index,R671,Trigger)</f>
        <v>62528</v>
      </c>
      <c r="T671" s="30">
        <f>_xll.qlIndexFixing($M$6,Q671,,InterestRatesTrigger)</f>
        <v>1.4359262173353799E-2</v>
      </c>
      <c r="U671" s="30" t="e">
        <f>_xll.qlIndexFixing(Index,Q671,,InterestRatesTrigger)</f>
        <v>#NUM!</v>
      </c>
      <c r="V671" s="30" t="e">
        <f t="shared" si="32"/>
        <v>#NUM!</v>
      </c>
      <c r="W671" s="29">
        <f>_xll.qlDayCounterYearFraction(DayCounter,SettlementDate,R671,,,Trigger)</f>
        <v>56.491666666666667</v>
      </c>
      <c r="X671" s="29">
        <f>_xll.qlDayCounterYearFraction(DayCounter,R671,S671)</f>
        <v>7.7777777777777779E-2</v>
      </c>
      <c r="Y671" s="29" t="e">
        <f>_xll.qlYieldTSDiscount(Currency&amp;"ON",R671)/(1+U671*X671)</f>
        <v>#NUM!</v>
      </c>
      <c r="Z671" s="30" t="e">
        <f>_xll.qlTenorBasisValue(TenorBasis6M,R671,InterestRatesTrigger)</f>
        <v>#VALUE!</v>
      </c>
      <c r="AA671" s="30" t="e">
        <f t="shared" si="33"/>
        <v>#NUM!</v>
      </c>
    </row>
    <row r="672" spans="15:27" x14ac:dyDescent="0.2">
      <c r="O672" s="33">
        <v>1</v>
      </c>
      <c r="P672" s="27" t="str">
        <f>_xll.qlPeriodEquivalent(P671&amp;"+"&amp;O672&amp;"M")</f>
        <v>55Y9M</v>
      </c>
      <c r="Q672" s="28">
        <f>_xll.qlCalendarAdvance(Calendar,SettlementDate,P672,"f",,Trigger)</f>
        <v>62526</v>
      </c>
      <c r="R672" s="28">
        <f>_xll.qlInterestRateIndexValueDate(Index,Q672,Trigger)</f>
        <v>62528</v>
      </c>
      <c r="S672" s="28">
        <f>_xll.qlInterestRateIndexMaturity(Index,R672,Trigger)</f>
        <v>62561</v>
      </c>
      <c r="T672" s="30">
        <f>_xll.qlIndexFixing($M$6,Q672,,InterestRatesTrigger)</f>
        <v>1.4374136612420395E-2</v>
      </c>
      <c r="U672" s="30" t="e">
        <f>_xll.qlIndexFixing(Index,Q672,,InterestRatesTrigger)</f>
        <v>#NUM!</v>
      </c>
      <c r="V672" s="30" t="e">
        <f t="shared" si="32"/>
        <v>#NUM!</v>
      </c>
      <c r="W672" s="29">
        <f>_xll.qlDayCounterYearFraction(DayCounter,SettlementDate,R672,,,Trigger)</f>
        <v>56.569444444444443</v>
      </c>
      <c r="X672" s="29">
        <f>_xll.qlDayCounterYearFraction(DayCounter,R672,S672)</f>
        <v>9.166666666666666E-2</v>
      </c>
      <c r="Y672" s="29" t="e">
        <f>_xll.qlYieldTSDiscount(Currency&amp;"ON",R672)/(1+U672*X672)</f>
        <v>#NUM!</v>
      </c>
      <c r="Z672" s="30" t="e">
        <f>_xll.qlTenorBasisValue(TenorBasis6M,R672,InterestRatesTrigger)</f>
        <v>#VALUE!</v>
      </c>
      <c r="AA672" s="30" t="e">
        <f t="shared" si="33"/>
        <v>#NUM!</v>
      </c>
    </row>
    <row r="673" spans="15:27" x14ac:dyDescent="0.2">
      <c r="O673" s="33">
        <v>1</v>
      </c>
      <c r="P673" s="27" t="str">
        <f>_xll.qlPeriodEquivalent(P672&amp;"+"&amp;O673&amp;"M")</f>
        <v>55Y10M</v>
      </c>
      <c r="Q673" s="28">
        <f>_xll.qlCalendarAdvance(Calendar,SettlementDate,P673,"f",,Trigger)</f>
        <v>62556</v>
      </c>
      <c r="R673" s="28">
        <f>_xll.qlInterestRateIndexValueDate(Index,Q673,Trigger)</f>
        <v>62558</v>
      </c>
      <c r="S673" s="28">
        <f>_xll.qlInterestRateIndexMaturity(Index,R673,Trigger)</f>
        <v>62589</v>
      </c>
      <c r="T673" s="30">
        <f>_xll.qlIndexFixing($M$6,Q673,,InterestRatesTrigger)</f>
        <v>1.4386103516030223E-2</v>
      </c>
      <c r="U673" s="30" t="e">
        <f>_xll.qlIndexFixing(Index,Q673,,InterestRatesTrigger)</f>
        <v>#NUM!</v>
      </c>
      <c r="V673" s="30" t="e">
        <f t="shared" si="32"/>
        <v>#NUM!</v>
      </c>
      <c r="W673" s="29">
        <f>_xll.qlDayCounterYearFraction(DayCounter,SettlementDate,R673,,,Trigger)</f>
        <v>56.652777777777779</v>
      </c>
      <c r="X673" s="29">
        <f>_xll.qlDayCounterYearFraction(DayCounter,R673,S673)</f>
        <v>8.611111111111111E-2</v>
      </c>
      <c r="Y673" s="29" t="e">
        <f>_xll.qlYieldTSDiscount(Currency&amp;"ON",R673)/(1+U673*X673)</f>
        <v>#NUM!</v>
      </c>
      <c r="Z673" s="30" t="e">
        <f>_xll.qlTenorBasisValue(TenorBasis6M,R673,InterestRatesTrigger)</f>
        <v>#VALUE!</v>
      </c>
      <c r="AA673" s="30" t="e">
        <f t="shared" si="33"/>
        <v>#NUM!</v>
      </c>
    </row>
    <row r="674" spans="15:27" x14ac:dyDescent="0.2">
      <c r="O674" s="33">
        <v>1</v>
      </c>
      <c r="P674" s="27" t="str">
        <f>_xll.qlPeriodEquivalent(P673&amp;"+"&amp;O674&amp;"M")</f>
        <v>55Y11M</v>
      </c>
      <c r="Q674" s="28">
        <f>_xll.qlCalendarAdvance(Calendar,SettlementDate,P674,"f",,Trigger)</f>
        <v>62586</v>
      </c>
      <c r="R674" s="28">
        <f>_xll.qlInterestRateIndexValueDate(Index,Q674,Trigger)</f>
        <v>62590</v>
      </c>
      <c r="S674" s="28">
        <f>_xll.qlInterestRateIndexMaturity(Index,R674,Trigger)</f>
        <v>62621</v>
      </c>
      <c r="T674" s="30">
        <f>_xll.qlIndexFixing($M$6,Q674,,InterestRatesTrigger)</f>
        <v>1.4399662276093314E-2</v>
      </c>
      <c r="U674" s="30" t="e">
        <f>_xll.qlIndexFixing(Index,Q674,,InterestRatesTrigger)</f>
        <v>#NUM!</v>
      </c>
      <c r="V674" s="30" t="e">
        <f t="shared" si="32"/>
        <v>#NUM!</v>
      </c>
      <c r="W674" s="29">
        <f>_xll.qlDayCounterYearFraction(DayCounter,SettlementDate,R674,,,Trigger)</f>
        <v>56.741666666666667</v>
      </c>
      <c r="X674" s="29">
        <f>_xll.qlDayCounterYearFraction(DayCounter,R674,S674)</f>
        <v>8.611111111111111E-2</v>
      </c>
      <c r="Y674" s="29" t="e">
        <f>_xll.qlYieldTSDiscount(Currency&amp;"ON",R674)/(1+U674*X674)</f>
        <v>#NUM!</v>
      </c>
      <c r="Z674" s="30" t="e">
        <f>_xll.qlTenorBasisValue(TenorBasis6M,R674,InterestRatesTrigger)</f>
        <v>#VALUE!</v>
      </c>
      <c r="AA674" s="30" t="e">
        <f t="shared" si="33"/>
        <v>#NUM!</v>
      </c>
    </row>
    <row r="675" spans="15:27" x14ac:dyDescent="0.2">
      <c r="O675" s="33">
        <v>1</v>
      </c>
      <c r="P675" s="27" t="str">
        <f>_xll.qlPeriodEquivalent(P674&amp;"+"&amp;O675&amp;"M")</f>
        <v>56Y</v>
      </c>
      <c r="Q675" s="28">
        <f>_xll.qlCalendarAdvance(Calendar,SettlementDate,P675,"f",,Trigger)</f>
        <v>62617</v>
      </c>
      <c r="R675" s="28">
        <f>_xll.qlInterestRateIndexValueDate(Index,Q675,Trigger)</f>
        <v>62619</v>
      </c>
      <c r="S675" s="28">
        <f>_xll.qlInterestRateIndexMaturity(Index,R675,Trigger)</f>
        <v>62649</v>
      </c>
      <c r="T675" s="30">
        <f>_xll.qlIndexFixing($M$6,Q675,,InterestRatesTrigger)</f>
        <v>1.4411205365175483E-2</v>
      </c>
      <c r="U675" s="30" t="e">
        <f>_xll.qlIndexFixing(Index,Q675,,InterestRatesTrigger)</f>
        <v>#NUM!</v>
      </c>
      <c r="V675" s="30" t="e">
        <f t="shared" si="32"/>
        <v>#NUM!</v>
      </c>
      <c r="W675" s="29">
        <f>_xll.qlDayCounterYearFraction(DayCounter,SettlementDate,R675,,,Trigger)</f>
        <v>56.822222222222223</v>
      </c>
      <c r="X675" s="29">
        <f>_xll.qlDayCounterYearFraction(DayCounter,R675,S675)</f>
        <v>8.3333333333333329E-2</v>
      </c>
      <c r="Y675" s="29" t="e">
        <f>_xll.qlYieldTSDiscount(Currency&amp;"ON",R675)/(1+U675*X675)</f>
        <v>#NUM!</v>
      </c>
      <c r="Z675" s="30" t="e">
        <f>_xll.qlTenorBasisValue(TenorBasis6M,R675,InterestRatesTrigger)</f>
        <v>#VALUE!</v>
      </c>
      <c r="AA675" s="30" t="e">
        <f t="shared" si="33"/>
        <v>#NUM!</v>
      </c>
    </row>
    <row r="676" spans="15:27" x14ac:dyDescent="0.2">
      <c r="O676" s="33">
        <v>1</v>
      </c>
      <c r="P676" s="27" t="str">
        <f>_xll.qlPeriodEquivalent(P675&amp;"+"&amp;O676&amp;"M")</f>
        <v>56Y1M</v>
      </c>
      <c r="Q676" s="28">
        <f>_xll.qlCalendarAdvance(Calendar,SettlementDate,P676,"f",,Trigger)</f>
        <v>62647</v>
      </c>
      <c r="R676" s="28">
        <f>_xll.qlInterestRateIndexValueDate(Index,Q676,Trigger)</f>
        <v>62649</v>
      </c>
      <c r="S676" s="28">
        <f>_xll.qlInterestRateIndexMaturity(Index,R676,Trigger)</f>
        <v>62680</v>
      </c>
      <c r="T676" s="30">
        <f>_xll.qlIndexFixing($M$6,Q676,,InterestRatesTrigger)</f>
        <v>1.4423898144257284E-2</v>
      </c>
      <c r="U676" s="30" t="e">
        <f>_xll.qlIndexFixing(Index,Q676,,InterestRatesTrigger)</f>
        <v>#NUM!</v>
      </c>
      <c r="V676" s="30" t="e">
        <f t="shared" ref="V676:V722" si="34">U676-T676</f>
        <v>#NUM!</v>
      </c>
      <c r="W676" s="29">
        <f>_xll.qlDayCounterYearFraction(DayCounter,SettlementDate,R676,,,Trigger)</f>
        <v>56.905555555555559</v>
      </c>
      <c r="X676" s="29">
        <f>_xll.qlDayCounterYearFraction(DayCounter,R676,S676)</f>
        <v>8.611111111111111E-2</v>
      </c>
      <c r="Y676" s="29" t="e">
        <f>_xll.qlYieldTSDiscount(Currency&amp;"ON",R676)/(1+U676*X676)</f>
        <v>#NUM!</v>
      </c>
      <c r="Z676" s="30" t="e">
        <f>_xll.qlTenorBasisValue(TenorBasis6M,R676,InterestRatesTrigger)</f>
        <v>#VALUE!</v>
      </c>
      <c r="AA676" s="30" t="e">
        <f t="shared" ref="AA676:AA722" si="35">V676-Z676</f>
        <v>#NUM!</v>
      </c>
    </row>
    <row r="677" spans="15:27" x14ac:dyDescent="0.2">
      <c r="O677" s="33">
        <v>1</v>
      </c>
      <c r="P677" s="27" t="str">
        <f>_xll.qlPeriodEquivalent(P676&amp;"+"&amp;O677&amp;"M")</f>
        <v>56Y2M</v>
      </c>
      <c r="Q677" s="28">
        <f>_xll.qlCalendarAdvance(Calendar,SettlementDate,P677,"f",,Trigger)</f>
        <v>62680</v>
      </c>
      <c r="R677" s="28">
        <f>_xll.qlInterestRateIndexValueDate(Index,Q677,Trigger)</f>
        <v>62682</v>
      </c>
      <c r="S677" s="28">
        <f>_xll.qlInterestRateIndexMaturity(Index,R677,Trigger)</f>
        <v>62715</v>
      </c>
      <c r="T677" s="30">
        <f>_xll.qlIndexFixing($M$6,Q677,,InterestRatesTrigger)</f>
        <v>1.4437992416390958E-2</v>
      </c>
      <c r="U677" s="30" t="e">
        <f>_xll.qlIndexFixing(Index,Q677,,InterestRatesTrigger)</f>
        <v>#NUM!</v>
      </c>
      <c r="V677" s="30" t="e">
        <f t="shared" si="34"/>
        <v>#NUM!</v>
      </c>
      <c r="W677" s="29">
        <f>_xll.qlDayCounterYearFraction(DayCounter,SettlementDate,R677,,,Trigger)</f>
        <v>56.99722222222222</v>
      </c>
      <c r="X677" s="29">
        <f>_xll.qlDayCounterYearFraction(DayCounter,R677,S677)</f>
        <v>9.166666666666666E-2</v>
      </c>
      <c r="Y677" s="29" t="e">
        <f>_xll.qlYieldTSDiscount(Currency&amp;"ON",R677)/(1+U677*X677)</f>
        <v>#NUM!</v>
      </c>
      <c r="Z677" s="30" t="e">
        <f>_xll.qlTenorBasisValue(TenorBasis6M,R677,InterestRatesTrigger)</f>
        <v>#VALUE!</v>
      </c>
      <c r="AA677" s="30" t="e">
        <f t="shared" si="35"/>
        <v>#NUM!</v>
      </c>
    </row>
    <row r="678" spans="15:27" x14ac:dyDescent="0.2">
      <c r="O678" s="33">
        <v>1</v>
      </c>
      <c r="P678" s="27" t="str">
        <f>_xll.qlPeriodEquivalent(P677&amp;"+"&amp;O678&amp;"M")</f>
        <v>56Y3M</v>
      </c>
      <c r="Q678" s="28">
        <f>_xll.qlCalendarAdvance(Calendar,SettlementDate,P678,"f",,Trigger)</f>
        <v>62709</v>
      </c>
      <c r="R678" s="28">
        <f>_xll.qlInterestRateIndexValueDate(Index,Q678,Trigger)</f>
        <v>62711</v>
      </c>
      <c r="S678" s="28">
        <f>_xll.qlInterestRateIndexMaturity(Index,R678,Trigger)</f>
        <v>62743</v>
      </c>
      <c r="T678" s="30">
        <f>_xll.qlIndexFixing($M$6,Q678,,InterestRatesTrigger)</f>
        <v>1.4448781508696884E-2</v>
      </c>
      <c r="U678" s="30" t="e">
        <f>_xll.qlIndexFixing(Index,Q678,,InterestRatesTrigger)</f>
        <v>#NUM!</v>
      </c>
      <c r="V678" s="30" t="e">
        <f t="shared" si="34"/>
        <v>#NUM!</v>
      </c>
      <c r="W678" s="29">
        <f>_xll.qlDayCounterYearFraction(DayCounter,SettlementDate,R678,,,Trigger)</f>
        <v>57.077777777777776</v>
      </c>
      <c r="X678" s="29">
        <f>_xll.qlDayCounterYearFraction(DayCounter,R678,S678)</f>
        <v>8.8888888888888892E-2</v>
      </c>
      <c r="Y678" s="29" t="e">
        <f>_xll.qlYieldTSDiscount(Currency&amp;"ON",R678)/(1+U678*X678)</f>
        <v>#NUM!</v>
      </c>
      <c r="Z678" s="30" t="e">
        <f>_xll.qlTenorBasisValue(TenorBasis6M,R678,InterestRatesTrigger)</f>
        <v>#VALUE!</v>
      </c>
      <c r="AA678" s="30" t="e">
        <f t="shared" si="35"/>
        <v>#NUM!</v>
      </c>
    </row>
    <row r="679" spans="15:27" x14ac:dyDescent="0.2">
      <c r="O679" s="33">
        <v>1</v>
      </c>
      <c r="P679" s="27" t="str">
        <f>_xll.qlPeriodEquivalent(P678&amp;"+"&amp;O679&amp;"M")</f>
        <v>56Y4M</v>
      </c>
      <c r="Q679" s="28">
        <f>_xll.qlCalendarAdvance(Calendar,SettlementDate,P679,"f",,Trigger)</f>
        <v>62739</v>
      </c>
      <c r="R679" s="28">
        <f>_xll.qlInterestRateIndexValueDate(Index,Q679,Trigger)</f>
        <v>62743</v>
      </c>
      <c r="S679" s="28">
        <f>_xll.qlInterestRateIndexMaturity(Index,R679,Trigger)</f>
        <v>62774</v>
      </c>
      <c r="T679" s="30">
        <f>_xll.qlIndexFixing($M$6,Q679,,InterestRatesTrigger)</f>
        <v>1.4460467096188406E-2</v>
      </c>
      <c r="U679" s="30" t="e">
        <f>_xll.qlIndexFixing(Index,Q679,,InterestRatesTrigger)</f>
        <v>#NUM!</v>
      </c>
      <c r="V679" s="30" t="e">
        <f t="shared" si="34"/>
        <v>#NUM!</v>
      </c>
      <c r="W679" s="29">
        <f>_xll.qlDayCounterYearFraction(DayCounter,SettlementDate,R679,,,Trigger)</f>
        <v>57.166666666666664</v>
      </c>
      <c r="X679" s="29">
        <f>_xll.qlDayCounterYearFraction(DayCounter,R679,S679)</f>
        <v>8.611111111111111E-2</v>
      </c>
      <c r="Y679" s="29" t="e">
        <f>_xll.qlYieldTSDiscount(Currency&amp;"ON",R679)/(1+U679*X679)</f>
        <v>#NUM!</v>
      </c>
      <c r="Z679" s="30" t="e">
        <f>_xll.qlTenorBasisValue(TenorBasis6M,R679,InterestRatesTrigger)</f>
        <v>#VALUE!</v>
      </c>
      <c r="AA679" s="30" t="e">
        <f t="shared" si="35"/>
        <v>#NUM!</v>
      </c>
    </row>
    <row r="680" spans="15:27" x14ac:dyDescent="0.2">
      <c r="O680" s="33">
        <v>1</v>
      </c>
      <c r="P680" s="27" t="str">
        <f>_xll.qlPeriodEquivalent(P679&amp;"+"&amp;O680&amp;"M")</f>
        <v>56Y5M</v>
      </c>
      <c r="Q680" s="28">
        <f>_xll.qlCalendarAdvance(Calendar,SettlementDate,P680,"f",,Trigger)</f>
        <v>62771</v>
      </c>
      <c r="R680" s="28">
        <f>_xll.qlInterestRateIndexValueDate(Index,Q680,Trigger)</f>
        <v>62773</v>
      </c>
      <c r="S680" s="28">
        <f>_xll.qlInterestRateIndexMaturity(Index,R680,Trigger)</f>
        <v>62803</v>
      </c>
      <c r="T680" s="30">
        <f>_xll.qlIndexFixing($M$6,Q680,,InterestRatesTrigger)</f>
        <v>1.4471135684157588E-2</v>
      </c>
      <c r="U680" s="30" t="e">
        <f>_xll.qlIndexFixing(Index,Q680,,InterestRatesTrigger)</f>
        <v>#NUM!</v>
      </c>
      <c r="V680" s="30" t="e">
        <f t="shared" si="34"/>
        <v>#NUM!</v>
      </c>
      <c r="W680" s="29">
        <f>_xll.qlDayCounterYearFraction(DayCounter,SettlementDate,R680,,,Trigger)</f>
        <v>57.25</v>
      </c>
      <c r="X680" s="29">
        <f>_xll.qlDayCounterYearFraction(DayCounter,R680,S680)</f>
        <v>8.3333333333333329E-2</v>
      </c>
      <c r="Y680" s="29" t="e">
        <f>_xll.qlYieldTSDiscount(Currency&amp;"ON",R680)/(1+U680*X680)</f>
        <v>#NUM!</v>
      </c>
      <c r="Z680" s="30" t="e">
        <f>_xll.qlTenorBasisValue(TenorBasis6M,R680,InterestRatesTrigger)</f>
        <v>#VALUE!</v>
      </c>
      <c r="AA680" s="30" t="e">
        <f t="shared" si="35"/>
        <v>#NUM!</v>
      </c>
    </row>
    <row r="681" spans="15:27" x14ac:dyDescent="0.2">
      <c r="O681" s="33">
        <v>1</v>
      </c>
      <c r="P681" s="27" t="str">
        <f>_xll.qlPeriodEquivalent(P680&amp;"+"&amp;O681&amp;"M")</f>
        <v>56Y6M</v>
      </c>
      <c r="Q681" s="28">
        <f>_xll.qlCalendarAdvance(Calendar,SettlementDate,P681,"f",,Trigger)</f>
        <v>62800</v>
      </c>
      <c r="R681" s="28">
        <f>_xll.qlInterestRateIndexValueDate(Index,Q681,Trigger)</f>
        <v>62802</v>
      </c>
      <c r="S681" s="28">
        <f>_xll.qlInterestRateIndexMaturity(Index,R681,Trigger)</f>
        <v>62834</v>
      </c>
      <c r="T681" s="30">
        <f>_xll.qlIndexFixing($M$6,Q681,,InterestRatesTrigger)</f>
        <v>1.4482606777397877E-2</v>
      </c>
      <c r="U681" s="30" t="e">
        <f>_xll.qlIndexFixing(Index,Q681,,InterestRatesTrigger)</f>
        <v>#NUM!</v>
      </c>
      <c r="V681" s="30" t="e">
        <f t="shared" si="34"/>
        <v>#NUM!</v>
      </c>
      <c r="W681" s="29">
        <f>_xll.qlDayCounterYearFraction(DayCounter,SettlementDate,R681,,,Trigger)</f>
        <v>57.330555555555556</v>
      </c>
      <c r="X681" s="29">
        <f>_xll.qlDayCounterYearFraction(DayCounter,R681,S681)</f>
        <v>8.8888888888888892E-2</v>
      </c>
      <c r="Y681" s="29" t="e">
        <f>_xll.qlYieldTSDiscount(Currency&amp;"ON",R681)/(1+U681*X681)</f>
        <v>#NUM!</v>
      </c>
      <c r="Z681" s="30" t="e">
        <f>_xll.qlTenorBasisValue(TenorBasis6M,R681,InterestRatesTrigger)</f>
        <v>#VALUE!</v>
      </c>
      <c r="AA681" s="30" t="e">
        <f t="shared" si="35"/>
        <v>#NUM!</v>
      </c>
    </row>
    <row r="682" spans="15:27" x14ac:dyDescent="0.2">
      <c r="O682" s="33">
        <v>1</v>
      </c>
      <c r="P682" s="27" t="str">
        <f>_xll.qlPeriodEquivalent(P681&amp;"+"&amp;O682&amp;"M")</f>
        <v>56Y7M</v>
      </c>
      <c r="Q682" s="28">
        <f>_xll.qlCalendarAdvance(Calendar,SettlementDate,P682,"f",,Trigger)</f>
        <v>62831</v>
      </c>
      <c r="R682" s="28">
        <f>_xll.qlInterestRateIndexValueDate(Index,Q682,Trigger)</f>
        <v>62835</v>
      </c>
      <c r="S682" s="28">
        <f>_xll.qlInterestRateIndexMaturity(Index,R682,Trigger)</f>
        <v>62866</v>
      </c>
      <c r="T682" s="30">
        <f>_xll.qlIndexFixing($M$6,Q682,,InterestRatesTrigger)</f>
        <v>1.4493825822055195E-2</v>
      </c>
      <c r="U682" s="30" t="e">
        <f>_xll.qlIndexFixing(Index,Q682,,InterestRatesTrigger)</f>
        <v>#NUM!</v>
      </c>
      <c r="V682" s="30" t="e">
        <f t="shared" si="34"/>
        <v>#NUM!</v>
      </c>
      <c r="W682" s="29">
        <f>_xll.qlDayCounterYearFraction(DayCounter,SettlementDate,R682,,,Trigger)</f>
        <v>57.422222222222224</v>
      </c>
      <c r="X682" s="29">
        <f>_xll.qlDayCounterYearFraction(DayCounter,R682,S682)</f>
        <v>8.611111111111111E-2</v>
      </c>
      <c r="Y682" s="29" t="e">
        <f>_xll.qlYieldTSDiscount(Currency&amp;"ON",R682)/(1+U682*X682)</f>
        <v>#NUM!</v>
      </c>
      <c r="Z682" s="30" t="e">
        <f>_xll.qlTenorBasisValue(TenorBasis6M,R682,InterestRatesTrigger)</f>
        <v>#VALUE!</v>
      </c>
      <c r="AA682" s="30" t="e">
        <f t="shared" si="35"/>
        <v>#NUM!</v>
      </c>
    </row>
    <row r="683" spans="15:27" x14ac:dyDescent="0.2">
      <c r="O683" s="33">
        <v>1</v>
      </c>
      <c r="P683" s="27" t="str">
        <f>_xll.qlPeriodEquivalent(P682&amp;"+"&amp;O683&amp;"M")</f>
        <v>56Y8M</v>
      </c>
      <c r="Q683" s="28">
        <f>_xll.qlCalendarAdvance(Calendar,SettlementDate,P683,"f",,Trigger)</f>
        <v>62862</v>
      </c>
      <c r="R683" s="28">
        <f>_xll.qlInterestRateIndexValueDate(Index,Q683,Trigger)</f>
        <v>62864</v>
      </c>
      <c r="S683" s="28">
        <f>_xll.qlInterestRateIndexMaturity(Index,R683,Trigger)</f>
        <v>62893</v>
      </c>
      <c r="T683" s="30">
        <f>_xll.qlIndexFixing($M$6,Q683,,InterestRatesTrigger)</f>
        <v>1.4502918281131125E-2</v>
      </c>
      <c r="U683" s="30" t="e">
        <f>_xll.qlIndexFixing(Index,Q683,,InterestRatesTrigger)</f>
        <v>#NUM!</v>
      </c>
      <c r="V683" s="30" t="e">
        <f t="shared" si="34"/>
        <v>#NUM!</v>
      </c>
      <c r="W683" s="29">
        <f>_xll.qlDayCounterYearFraction(DayCounter,SettlementDate,R683,,,Trigger)</f>
        <v>57.50277777777778</v>
      </c>
      <c r="X683" s="29">
        <f>_xll.qlDayCounterYearFraction(DayCounter,R683,S683)</f>
        <v>8.0555555555555561E-2</v>
      </c>
      <c r="Y683" s="29" t="e">
        <f>_xll.qlYieldTSDiscount(Currency&amp;"ON",R683)/(1+U683*X683)</f>
        <v>#NUM!</v>
      </c>
      <c r="Z683" s="30" t="e">
        <f>_xll.qlTenorBasisValue(TenorBasis6M,R683,InterestRatesTrigger)</f>
        <v>#VALUE!</v>
      </c>
      <c r="AA683" s="30" t="e">
        <f t="shared" si="35"/>
        <v>#NUM!</v>
      </c>
    </row>
    <row r="684" spans="15:27" x14ac:dyDescent="0.2">
      <c r="O684" s="33">
        <v>1</v>
      </c>
      <c r="P684" s="27" t="str">
        <f>_xll.qlPeriodEquivalent(P683&amp;"+"&amp;O684&amp;"M")</f>
        <v>56Y9M</v>
      </c>
      <c r="Q684" s="28">
        <f>_xll.qlCalendarAdvance(Calendar,SettlementDate,P684,"f",,Trigger)</f>
        <v>62891</v>
      </c>
      <c r="R684" s="28">
        <f>_xll.qlInterestRateIndexValueDate(Index,Q684,Trigger)</f>
        <v>62893</v>
      </c>
      <c r="S684" s="28">
        <f>_xll.qlInterestRateIndexMaturity(Index,R684,Trigger)</f>
        <v>62926</v>
      </c>
      <c r="T684" s="30">
        <f>_xll.qlIndexFixing($M$6,Q684,,InterestRatesTrigger)</f>
        <v>1.4514536062122992E-2</v>
      </c>
      <c r="U684" s="30" t="e">
        <f>_xll.qlIndexFixing(Index,Q684,,InterestRatesTrigger)</f>
        <v>#NUM!</v>
      </c>
      <c r="V684" s="30" t="e">
        <f t="shared" si="34"/>
        <v>#NUM!</v>
      </c>
      <c r="W684" s="29">
        <f>_xll.qlDayCounterYearFraction(DayCounter,SettlementDate,R684,,,Trigger)</f>
        <v>57.583333333333336</v>
      </c>
      <c r="X684" s="29">
        <f>_xll.qlDayCounterYearFraction(DayCounter,R684,S684)</f>
        <v>9.166666666666666E-2</v>
      </c>
      <c r="Y684" s="29" t="e">
        <f>_xll.qlYieldTSDiscount(Currency&amp;"ON",R684)/(1+U684*X684)</f>
        <v>#NUM!</v>
      </c>
      <c r="Z684" s="30" t="e">
        <f>_xll.qlTenorBasisValue(TenorBasis6M,R684,InterestRatesTrigger)</f>
        <v>#VALUE!</v>
      </c>
      <c r="AA684" s="30" t="e">
        <f t="shared" si="35"/>
        <v>#NUM!</v>
      </c>
    </row>
    <row r="685" spans="15:27" x14ac:dyDescent="0.2">
      <c r="O685" s="33">
        <v>1</v>
      </c>
      <c r="P685" s="27" t="str">
        <f>_xll.qlPeriodEquivalent(P684&amp;"+"&amp;O685&amp;"M")</f>
        <v>56Y10M</v>
      </c>
      <c r="Q685" s="28">
        <f>_xll.qlCalendarAdvance(Calendar,SettlementDate,P685,"f",,Trigger)</f>
        <v>62926</v>
      </c>
      <c r="R685" s="28">
        <f>_xll.qlInterestRateIndexValueDate(Index,Q685,Trigger)</f>
        <v>62928</v>
      </c>
      <c r="S685" s="28">
        <f>_xll.qlInterestRateIndexMaturity(Index,R685,Trigger)</f>
        <v>62960</v>
      </c>
      <c r="T685" s="30">
        <f>_xll.qlIndexFixing($M$6,Q685,,InterestRatesTrigger)</f>
        <v>1.4525555413190672E-2</v>
      </c>
      <c r="U685" s="30" t="e">
        <f>_xll.qlIndexFixing(Index,Q685,,InterestRatesTrigger)</f>
        <v>#NUM!</v>
      </c>
      <c r="V685" s="30" t="e">
        <f t="shared" si="34"/>
        <v>#NUM!</v>
      </c>
      <c r="W685" s="29">
        <f>_xll.qlDayCounterYearFraction(DayCounter,SettlementDate,R685,,,Trigger)</f>
        <v>57.680555555555557</v>
      </c>
      <c r="X685" s="29">
        <f>_xll.qlDayCounterYearFraction(DayCounter,R685,S685)</f>
        <v>8.8888888888888892E-2</v>
      </c>
      <c r="Y685" s="29" t="e">
        <f>_xll.qlYieldTSDiscount(Currency&amp;"ON",R685)/(1+U685*X685)</f>
        <v>#NUM!</v>
      </c>
      <c r="Z685" s="30" t="e">
        <f>_xll.qlTenorBasisValue(TenorBasis6M,R685,InterestRatesTrigger)</f>
        <v>#VALUE!</v>
      </c>
      <c r="AA685" s="30" t="e">
        <f t="shared" si="35"/>
        <v>#NUM!</v>
      </c>
    </row>
    <row r="686" spans="15:27" x14ac:dyDescent="0.2">
      <c r="O686" s="33">
        <v>1</v>
      </c>
      <c r="P686" s="27" t="str">
        <f>_xll.qlPeriodEquivalent(P685&amp;"+"&amp;O686&amp;"M")</f>
        <v>56Y11M</v>
      </c>
      <c r="Q686" s="28">
        <f>_xll.qlCalendarAdvance(Calendar,SettlementDate,P686,"f",,Trigger)</f>
        <v>62953</v>
      </c>
      <c r="R686" s="28">
        <f>_xll.qlInterestRateIndexValueDate(Index,Q686,Trigger)</f>
        <v>62955</v>
      </c>
      <c r="S686" s="28">
        <f>_xll.qlInterestRateIndexMaturity(Index,R686,Trigger)</f>
        <v>62988</v>
      </c>
      <c r="T686" s="30">
        <f>_xll.qlIndexFixing($M$6,Q686,,InterestRatesTrigger)</f>
        <v>1.4534621622540298E-2</v>
      </c>
      <c r="U686" s="30" t="e">
        <f>_xll.qlIndexFixing(Index,Q686,,InterestRatesTrigger)</f>
        <v>#NUM!</v>
      </c>
      <c r="V686" s="30" t="e">
        <f t="shared" si="34"/>
        <v>#NUM!</v>
      </c>
      <c r="W686" s="29">
        <f>_xll.qlDayCounterYearFraction(DayCounter,SettlementDate,R686,,,Trigger)</f>
        <v>57.755555555555553</v>
      </c>
      <c r="X686" s="29">
        <f>_xll.qlDayCounterYearFraction(DayCounter,R686,S686)</f>
        <v>9.166666666666666E-2</v>
      </c>
      <c r="Y686" s="29" t="e">
        <f>_xll.qlYieldTSDiscount(Currency&amp;"ON",R686)/(1+U686*X686)</f>
        <v>#NUM!</v>
      </c>
      <c r="Z686" s="30" t="e">
        <f>_xll.qlTenorBasisValue(TenorBasis6M,R686,InterestRatesTrigger)</f>
        <v>#VALUE!</v>
      </c>
      <c r="AA686" s="30" t="e">
        <f t="shared" si="35"/>
        <v>#NUM!</v>
      </c>
    </row>
    <row r="687" spans="15:27" x14ac:dyDescent="0.2">
      <c r="O687" s="33">
        <v>1</v>
      </c>
      <c r="P687" s="27" t="str">
        <f>_xll.qlPeriodEquivalent(P686&amp;"+"&amp;O687&amp;"M")</f>
        <v>57Y</v>
      </c>
      <c r="Q687" s="28">
        <f>_xll.qlCalendarAdvance(Calendar,SettlementDate,P687,"f",,Trigger)</f>
        <v>62983</v>
      </c>
      <c r="R687" s="28">
        <f>_xll.qlInterestRateIndexValueDate(Index,Q687,Trigger)</f>
        <v>62985</v>
      </c>
      <c r="S687" s="28">
        <f>_xll.qlInterestRateIndexMaturity(Index,R687,Trigger)</f>
        <v>63016</v>
      </c>
      <c r="T687" s="30">
        <f>_xll.qlIndexFixing($M$6,Q687,,InterestRatesTrigger)</f>
        <v>1.454305560294703E-2</v>
      </c>
      <c r="U687" s="30" t="e">
        <f>_xll.qlIndexFixing(Index,Q687,,InterestRatesTrigger)</f>
        <v>#NUM!</v>
      </c>
      <c r="V687" s="30" t="e">
        <f t="shared" si="34"/>
        <v>#NUM!</v>
      </c>
      <c r="W687" s="29">
        <f>_xll.qlDayCounterYearFraction(DayCounter,SettlementDate,R687,,,Trigger)</f>
        <v>57.838888888888889</v>
      </c>
      <c r="X687" s="29">
        <f>_xll.qlDayCounterYearFraction(DayCounter,R687,S687)</f>
        <v>8.611111111111111E-2</v>
      </c>
      <c r="Y687" s="29" t="e">
        <f>_xll.qlYieldTSDiscount(Currency&amp;"ON",R687)/(1+U687*X687)</f>
        <v>#NUM!</v>
      </c>
      <c r="Z687" s="30" t="e">
        <f>_xll.qlTenorBasisValue(TenorBasis6M,R687,InterestRatesTrigger)</f>
        <v>#VALUE!</v>
      </c>
      <c r="AA687" s="30" t="e">
        <f t="shared" si="35"/>
        <v>#NUM!</v>
      </c>
    </row>
    <row r="688" spans="15:27" x14ac:dyDescent="0.2">
      <c r="O688" s="33">
        <v>1</v>
      </c>
      <c r="P688" s="27" t="str">
        <f>_xll.qlPeriodEquivalent(P687&amp;"+"&amp;O688&amp;"M")</f>
        <v>57Y1M</v>
      </c>
      <c r="Q688" s="28">
        <f>_xll.qlCalendarAdvance(Calendar,SettlementDate,P688,"f",,Trigger)</f>
        <v>63013</v>
      </c>
      <c r="R688" s="28">
        <f>_xll.qlInterestRateIndexValueDate(Index,Q688,Trigger)</f>
        <v>63017</v>
      </c>
      <c r="S688" s="28">
        <f>_xll.qlInterestRateIndexMaturity(Index,R688,Trigger)</f>
        <v>63048</v>
      </c>
      <c r="T688" s="30">
        <f>_xll.qlIndexFixing($M$6,Q688,,InterestRatesTrigger)</f>
        <v>1.4552730164215261E-2</v>
      </c>
      <c r="U688" s="30" t="e">
        <f>_xll.qlIndexFixing(Index,Q688,,InterestRatesTrigger)</f>
        <v>#NUM!</v>
      </c>
      <c r="V688" s="30" t="e">
        <f t="shared" si="34"/>
        <v>#NUM!</v>
      </c>
      <c r="W688" s="29">
        <f>_xll.qlDayCounterYearFraction(DayCounter,SettlementDate,R688,,,Trigger)</f>
        <v>57.927777777777777</v>
      </c>
      <c r="X688" s="29">
        <f>_xll.qlDayCounterYearFraction(DayCounter,R688,S688)</f>
        <v>8.611111111111111E-2</v>
      </c>
      <c r="Y688" s="29" t="e">
        <f>_xll.qlYieldTSDiscount(Currency&amp;"ON",R688)/(1+U688*X688)</f>
        <v>#NUM!</v>
      </c>
      <c r="Z688" s="30" t="e">
        <f>_xll.qlTenorBasisValue(TenorBasis6M,R688,InterestRatesTrigger)</f>
        <v>#VALUE!</v>
      </c>
      <c r="AA688" s="30" t="e">
        <f t="shared" si="35"/>
        <v>#NUM!</v>
      </c>
    </row>
    <row r="689" spans="15:27" x14ac:dyDescent="0.2">
      <c r="O689" s="33">
        <v>1</v>
      </c>
      <c r="P689" s="27" t="str">
        <f>_xll.qlPeriodEquivalent(P688&amp;"+"&amp;O689&amp;"M")</f>
        <v>57Y2M</v>
      </c>
      <c r="Q689" s="28">
        <f>_xll.qlCalendarAdvance(Calendar,SettlementDate,P689,"f",,Trigger)</f>
        <v>63044</v>
      </c>
      <c r="R689" s="28">
        <f>_xll.qlInterestRateIndexValueDate(Index,Q689,Trigger)</f>
        <v>63046</v>
      </c>
      <c r="S689" s="28">
        <f>_xll.qlInterestRateIndexMaturity(Index,R689,Trigger)</f>
        <v>63079</v>
      </c>
      <c r="T689" s="30">
        <f>_xll.qlIndexFixing($M$6,Q689,,InterestRatesTrigger)</f>
        <v>1.4562122942421077E-2</v>
      </c>
      <c r="U689" s="30" t="e">
        <f>_xll.qlIndexFixing(Index,Q689,,InterestRatesTrigger)</f>
        <v>#NUM!</v>
      </c>
      <c r="V689" s="30" t="e">
        <f t="shared" si="34"/>
        <v>#NUM!</v>
      </c>
      <c r="W689" s="29">
        <f>_xll.qlDayCounterYearFraction(DayCounter,SettlementDate,R689,,,Trigger)</f>
        <v>58.008333333333333</v>
      </c>
      <c r="X689" s="29">
        <f>_xll.qlDayCounterYearFraction(DayCounter,R689,S689)</f>
        <v>9.166666666666666E-2</v>
      </c>
      <c r="Y689" s="29" t="e">
        <f>_xll.qlYieldTSDiscount(Currency&amp;"ON",R689)/(1+U689*X689)</f>
        <v>#NUM!</v>
      </c>
      <c r="Z689" s="30" t="e">
        <f>_xll.qlTenorBasisValue(TenorBasis6M,R689,InterestRatesTrigger)</f>
        <v>#VALUE!</v>
      </c>
      <c r="AA689" s="30" t="e">
        <f t="shared" si="35"/>
        <v>#NUM!</v>
      </c>
    </row>
    <row r="690" spans="15:27" x14ac:dyDescent="0.2">
      <c r="O690" s="33">
        <v>1</v>
      </c>
      <c r="P690" s="27" t="str">
        <f>_xll.qlPeriodEquivalent(P689&amp;"+"&amp;O690&amp;"M")</f>
        <v>57Y3M</v>
      </c>
      <c r="Q690" s="28">
        <f>_xll.qlCalendarAdvance(Calendar,SettlementDate,P690,"f",,Trigger)</f>
        <v>63075</v>
      </c>
      <c r="R690" s="28">
        <f>_xll.qlInterestRateIndexValueDate(Index,Q690,Trigger)</f>
        <v>63079</v>
      </c>
      <c r="S690" s="28">
        <f>_xll.qlInterestRateIndexMaturity(Index,R690,Trigger)</f>
        <v>63109</v>
      </c>
      <c r="T690" s="30">
        <f>_xll.qlIndexFixing($M$6,Q690,,InterestRatesTrigger)</f>
        <v>1.4570212135901706E-2</v>
      </c>
      <c r="U690" s="30" t="e">
        <f>_xll.qlIndexFixing(Index,Q690,,InterestRatesTrigger)</f>
        <v>#NUM!</v>
      </c>
      <c r="V690" s="30" t="e">
        <f t="shared" si="34"/>
        <v>#NUM!</v>
      </c>
      <c r="W690" s="29">
        <f>_xll.qlDayCounterYearFraction(DayCounter,SettlementDate,R690,,,Trigger)</f>
        <v>58.1</v>
      </c>
      <c r="X690" s="29">
        <f>_xll.qlDayCounterYearFraction(DayCounter,R690,S690)</f>
        <v>8.3333333333333329E-2</v>
      </c>
      <c r="Y690" s="29" t="e">
        <f>_xll.qlYieldTSDiscount(Currency&amp;"ON",R690)/(1+U690*X690)</f>
        <v>#NUM!</v>
      </c>
      <c r="Z690" s="30" t="e">
        <f>_xll.qlTenorBasisValue(TenorBasis6M,R690,InterestRatesTrigger)</f>
        <v>#VALUE!</v>
      </c>
      <c r="AA690" s="30" t="e">
        <f t="shared" si="35"/>
        <v>#NUM!</v>
      </c>
    </row>
    <row r="691" spans="15:27" x14ac:dyDescent="0.2">
      <c r="O691" s="33">
        <v>1</v>
      </c>
      <c r="P691" s="27" t="str">
        <f>_xll.qlPeriodEquivalent(P690&amp;"+"&amp;O691&amp;"M")</f>
        <v>57Y4M</v>
      </c>
      <c r="Q691" s="28">
        <f>_xll.qlCalendarAdvance(Calendar,SettlementDate,P691,"f",,Trigger)</f>
        <v>63107</v>
      </c>
      <c r="R691" s="28">
        <f>_xll.qlInterestRateIndexValueDate(Index,Q691,Trigger)</f>
        <v>63109</v>
      </c>
      <c r="S691" s="28">
        <f>_xll.qlInterestRateIndexMaturity(Index,R691,Trigger)</f>
        <v>63142</v>
      </c>
      <c r="T691" s="30">
        <f>_xll.qlIndexFixing($M$6,Q691,,InterestRatesTrigger)</f>
        <v>1.4579783208514226E-2</v>
      </c>
      <c r="U691" s="30" t="e">
        <f>_xll.qlIndexFixing(Index,Q691,,InterestRatesTrigger)</f>
        <v>#NUM!</v>
      </c>
      <c r="V691" s="30" t="e">
        <f t="shared" si="34"/>
        <v>#NUM!</v>
      </c>
      <c r="W691" s="29">
        <f>_xll.qlDayCounterYearFraction(DayCounter,SettlementDate,R691,,,Trigger)</f>
        <v>58.18333333333333</v>
      </c>
      <c r="X691" s="29">
        <f>_xll.qlDayCounterYearFraction(DayCounter,R691,S691)</f>
        <v>9.166666666666666E-2</v>
      </c>
      <c r="Y691" s="29" t="e">
        <f>_xll.qlYieldTSDiscount(Currency&amp;"ON",R691)/(1+U691*X691)</f>
        <v>#NUM!</v>
      </c>
      <c r="Z691" s="30" t="e">
        <f>_xll.qlTenorBasisValue(TenorBasis6M,R691,InterestRatesTrigger)</f>
        <v>#VALUE!</v>
      </c>
      <c r="AA691" s="30" t="e">
        <f t="shared" si="35"/>
        <v>#NUM!</v>
      </c>
    </row>
    <row r="692" spans="15:27" x14ac:dyDescent="0.2">
      <c r="O692" s="33">
        <v>1</v>
      </c>
      <c r="P692" s="27" t="str">
        <f>_xll.qlPeriodEquivalent(P691&amp;"+"&amp;O692&amp;"M")</f>
        <v>57Y5M</v>
      </c>
      <c r="Q692" s="28">
        <f>_xll.qlCalendarAdvance(Calendar,SettlementDate,P692,"f",,Trigger)</f>
        <v>63136</v>
      </c>
      <c r="R692" s="28">
        <f>_xll.qlInterestRateIndexValueDate(Index,Q692,Trigger)</f>
        <v>63138</v>
      </c>
      <c r="S692" s="28">
        <f>_xll.qlInterestRateIndexMaturity(Index,R692,Trigger)</f>
        <v>63170</v>
      </c>
      <c r="T692" s="30">
        <f>_xll.qlIndexFixing($M$6,Q692,,InterestRatesTrigger)</f>
        <v>1.4587107051909076E-2</v>
      </c>
      <c r="U692" s="30" t="e">
        <f>_xll.qlIndexFixing(Index,Q692,,InterestRatesTrigger)</f>
        <v>#NUM!</v>
      </c>
      <c r="V692" s="30" t="e">
        <f t="shared" si="34"/>
        <v>#NUM!</v>
      </c>
      <c r="W692" s="29">
        <f>_xll.qlDayCounterYearFraction(DayCounter,SettlementDate,R692,,,Trigger)</f>
        <v>58.263888888888886</v>
      </c>
      <c r="X692" s="29">
        <f>_xll.qlDayCounterYearFraction(DayCounter,R692,S692)</f>
        <v>8.8888888888888892E-2</v>
      </c>
      <c r="Y692" s="29" t="e">
        <f>_xll.qlYieldTSDiscount(Currency&amp;"ON",R692)/(1+U692*X692)</f>
        <v>#NUM!</v>
      </c>
      <c r="Z692" s="30" t="e">
        <f>_xll.qlTenorBasisValue(TenorBasis6M,R692,InterestRatesTrigger)</f>
        <v>#VALUE!</v>
      </c>
      <c r="AA692" s="30" t="e">
        <f t="shared" si="35"/>
        <v>#NUM!</v>
      </c>
    </row>
    <row r="693" spans="15:27" x14ac:dyDescent="0.2">
      <c r="O693" s="33">
        <v>1</v>
      </c>
      <c r="P693" s="27" t="str">
        <f>_xll.qlPeriodEquivalent(P692&amp;"+"&amp;O693&amp;"M")</f>
        <v>57Y6M</v>
      </c>
      <c r="Q693" s="28">
        <f>_xll.qlCalendarAdvance(Calendar,SettlementDate,P693,"f",,Trigger)</f>
        <v>63166</v>
      </c>
      <c r="R693" s="28">
        <f>_xll.qlInterestRateIndexValueDate(Index,Q693,Trigger)</f>
        <v>63170</v>
      </c>
      <c r="S693" s="28">
        <f>_xll.qlInterestRateIndexMaturity(Index,R693,Trigger)</f>
        <v>63201</v>
      </c>
      <c r="T693" s="30">
        <f>_xll.qlIndexFixing($M$6,Q693,,InterestRatesTrigger)</f>
        <v>1.4594963504990805E-2</v>
      </c>
      <c r="U693" s="30" t="e">
        <f>_xll.qlIndexFixing(Index,Q693,,InterestRatesTrigger)</f>
        <v>#NUM!</v>
      </c>
      <c r="V693" s="30" t="e">
        <f t="shared" si="34"/>
        <v>#NUM!</v>
      </c>
      <c r="W693" s="29">
        <f>_xll.qlDayCounterYearFraction(DayCounter,SettlementDate,R693,,,Trigger)</f>
        <v>58.352777777777774</v>
      </c>
      <c r="X693" s="29">
        <f>_xll.qlDayCounterYearFraction(DayCounter,R693,S693)</f>
        <v>8.611111111111111E-2</v>
      </c>
      <c r="Y693" s="29" t="e">
        <f>_xll.qlYieldTSDiscount(Currency&amp;"ON",R693)/(1+U693*X693)</f>
        <v>#NUM!</v>
      </c>
      <c r="Z693" s="30" t="e">
        <f>_xll.qlTenorBasisValue(TenorBasis6M,R693,InterestRatesTrigger)</f>
        <v>#VALUE!</v>
      </c>
      <c r="AA693" s="30" t="e">
        <f t="shared" si="35"/>
        <v>#NUM!</v>
      </c>
    </row>
    <row r="694" spans="15:27" x14ac:dyDescent="0.2">
      <c r="O694" s="33">
        <v>1</v>
      </c>
      <c r="P694" s="27" t="str">
        <f>_xll.qlPeriodEquivalent(P693&amp;"+"&amp;O694&amp;"M")</f>
        <v>57Y7M</v>
      </c>
      <c r="Q694" s="28">
        <f>_xll.qlCalendarAdvance(Calendar,SettlementDate,P694,"f",,Trigger)</f>
        <v>63198</v>
      </c>
      <c r="R694" s="28">
        <f>_xll.qlInterestRateIndexValueDate(Index,Q694,Trigger)</f>
        <v>63200</v>
      </c>
      <c r="S694" s="28">
        <f>_xll.qlInterestRateIndexMaturity(Index,R694,Trigger)</f>
        <v>63233</v>
      </c>
      <c r="T694" s="30">
        <f>_xll.qlIndexFixing($M$6,Q694,,InterestRatesTrigger)</f>
        <v>1.4603300422588526E-2</v>
      </c>
      <c r="U694" s="30" t="e">
        <f>_xll.qlIndexFixing(Index,Q694,,InterestRatesTrigger)</f>
        <v>#NUM!</v>
      </c>
      <c r="V694" s="30" t="e">
        <f t="shared" si="34"/>
        <v>#NUM!</v>
      </c>
      <c r="W694" s="29">
        <f>_xll.qlDayCounterYearFraction(DayCounter,SettlementDate,R694,,,Trigger)</f>
        <v>58.43611111111111</v>
      </c>
      <c r="X694" s="29">
        <f>_xll.qlDayCounterYearFraction(DayCounter,R694,S694)</f>
        <v>9.166666666666666E-2</v>
      </c>
      <c r="Y694" s="29" t="e">
        <f>_xll.qlYieldTSDiscount(Currency&amp;"ON",R694)/(1+U694*X694)</f>
        <v>#NUM!</v>
      </c>
      <c r="Z694" s="30" t="e">
        <f>_xll.qlTenorBasisValue(TenorBasis6M,R694,InterestRatesTrigger)</f>
        <v>#VALUE!</v>
      </c>
      <c r="AA694" s="30" t="e">
        <f t="shared" si="35"/>
        <v>#NUM!</v>
      </c>
    </row>
    <row r="695" spans="15:27" x14ac:dyDescent="0.2">
      <c r="O695" s="33">
        <v>1</v>
      </c>
      <c r="P695" s="27" t="str">
        <f>_xll.qlPeriodEquivalent(P694&amp;"+"&amp;O695&amp;"M")</f>
        <v>57Y8M</v>
      </c>
      <c r="Q695" s="28">
        <f>_xll.qlCalendarAdvance(Calendar,SettlementDate,P695,"f",,Trigger)</f>
        <v>63228</v>
      </c>
      <c r="R695" s="28">
        <f>_xll.qlInterestRateIndexValueDate(Index,Q695,Trigger)</f>
        <v>63230</v>
      </c>
      <c r="S695" s="28">
        <f>_xll.qlInterestRateIndexMaturity(Index,R695,Trigger)</f>
        <v>63258</v>
      </c>
      <c r="T695" s="30">
        <f>_xll.qlIndexFixing($M$6,Q695,,InterestRatesTrigger)</f>
        <v>1.4608466125687654E-2</v>
      </c>
      <c r="U695" s="30" t="e">
        <f>_xll.qlIndexFixing(Index,Q695,,InterestRatesTrigger)</f>
        <v>#NUM!</v>
      </c>
      <c r="V695" s="30" t="e">
        <f t="shared" si="34"/>
        <v>#NUM!</v>
      </c>
      <c r="W695" s="29">
        <f>_xll.qlDayCounterYearFraction(DayCounter,SettlementDate,R695,,,Trigger)</f>
        <v>58.519444444444446</v>
      </c>
      <c r="X695" s="29">
        <f>_xll.qlDayCounterYearFraction(DayCounter,R695,S695)</f>
        <v>7.7777777777777779E-2</v>
      </c>
      <c r="Y695" s="29" t="e">
        <f>_xll.qlYieldTSDiscount(Currency&amp;"ON",R695)/(1+U695*X695)</f>
        <v>#NUM!</v>
      </c>
      <c r="Z695" s="30" t="e">
        <f>_xll.qlTenorBasisValue(TenorBasis6M,R695,InterestRatesTrigger)</f>
        <v>#VALUE!</v>
      </c>
      <c r="AA695" s="30" t="e">
        <f t="shared" si="35"/>
        <v>#NUM!</v>
      </c>
    </row>
    <row r="696" spans="15:27" x14ac:dyDescent="0.2">
      <c r="O696" s="33">
        <v>1</v>
      </c>
      <c r="P696" s="27" t="str">
        <f>_xll.qlPeriodEquivalent(P695&amp;"+"&amp;O696&amp;"M")</f>
        <v>57Y9M</v>
      </c>
      <c r="Q696" s="28">
        <f>_xll.qlCalendarAdvance(Calendar,SettlementDate,P696,"f",,Trigger)</f>
        <v>63256</v>
      </c>
      <c r="R696" s="28">
        <f>_xll.qlInterestRateIndexValueDate(Index,Q696,Trigger)</f>
        <v>63258</v>
      </c>
      <c r="S696" s="28">
        <f>_xll.qlInterestRateIndexMaturity(Index,R696,Trigger)</f>
        <v>63289</v>
      </c>
      <c r="T696" s="30">
        <f>_xll.qlIndexFixing($M$6,Q696,,InterestRatesTrigger)</f>
        <v>1.4616240140424949E-2</v>
      </c>
      <c r="U696" s="30" t="e">
        <f>_xll.qlIndexFixing(Index,Q696,,InterestRatesTrigger)</f>
        <v>#NUM!</v>
      </c>
      <c r="V696" s="30" t="e">
        <f t="shared" si="34"/>
        <v>#NUM!</v>
      </c>
      <c r="W696" s="29">
        <f>_xll.qlDayCounterYearFraction(DayCounter,SettlementDate,R696,,,Trigger)</f>
        <v>58.597222222222221</v>
      </c>
      <c r="X696" s="29">
        <f>_xll.qlDayCounterYearFraction(DayCounter,R696,S696)</f>
        <v>8.611111111111111E-2</v>
      </c>
      <c r="Y696" s="29" t="e">
        <f>_xll.qlYieldTSDiscount(Currency&amp;"ON",R696)/(1+U696*X696)</f>
        <v>#NUM!</v>
      </c>
      <c r="Z696" s="30" t="e">
        <f>_xll.qlTenorBasisValue(TenorBasis6M,R696,InterestRatesTrigger)</f>
        <v>#VALUE!</v>
      </c>
      <c r="AA696" s="30" t="e">
        <f t="shared" si="35"/>
        <v>#NUM!</v>
      </c>
    </row>
    <row r="697" spans="15:27" x14ac:dyDescent="0.2">
      <c r="O697" s="33">
        <v>1</v>
      </c>
      <c r="P697" s="27" t="str">
        <f>_xll.qlPeriodEquivalent(P696&amp;"+"&amp;O697&amp;"M")</f>
        <v>57Y10M</v>
      </c>
      <c r="Q697" s="28">
        <f>_xll.qlCalendarAdvance(Calendar,SettlementDate,P697,"f",,Trigger)</f>
        <v>63289</v>
      </c>
      <c r="R697" s="28">
        <f>_xll.qlInterestRateIndexValueDate(Index,Q697,Trigger)</f>
        <v>63291</v>
      </c>
      <c r="S697" s="28">
        <f>_xll.qlInterestRateIndexMaturity(Index,R697,Trigger)</f>
        <v>63321</v>
      </c>
      <c r="T697" s="30">
        <f>_xll.qlIndexFixing($M$6,Q697,,InterestRatesTrigger)</f>
        <v>1.4623245182445288E-2</v>
      </c>
      <c r="U697" s="30" t="e">
        <f>_xll.qlIndexFixing(Index,Q697,,InterestRatesTrigger)</f>
        <v>#NUM!</v>
      </c>
      <c r="V697" s="30" t="e">
        <f t="shared" si="34"/>
        <v>#NUM!</v>
      </c>
      <c r="W697" s="29">
        <f>_xll.qlDayCounterYearFraction(DayCounter,SettlementDate,R697,,,Trigger)</f>
        <v>58.68888888888889</v>
      </c>
      <c r="X697" s="29">
        <f>_xll.qlDayCounterYearFraction(DayCounter,R697,S697)</f>
        <v>8.3333333333333329E-2</v>
      </c>
      <c r="Y697" s="29" t="e">
        <f>_xll.qlYieldTSDiscount(Currency&amp;"ON",R697)/(1+U697*X697)</f>
        <v>#NUM!</v>
      </c>
      <c r="Z697" s="30" t="e">
        <f>_xll.qlTenorBasisValue(TenorBasis6M,R697,InterestRatesTrigger)</f>
        <v>#VALUE!</v>
      </c>
      <c r="AA697" s="30" t="e">
        <f t="shared" si="35"/>
        <v>#NUM!</v>
      </c>
    </row>
    <row r="698" spans="15:27" x14ac:dyDescent="0.2">
      <c r="O698" s="33">
        <v>1</v>
      </c>
      <c r="P698" s="27" t="str">
        <f>_xll.qlPeriodEquivalent(P697&amp;"+"&amp;O698&amp;"M")</f>
        <v>57Y11M</v>
      </c>
      <c r="Q698" s="28">
        <f>_xll.qlCalendarAdvance(Calendar,SettlementDate,P698,"f",,Trigger)</f>
        <v>63317</v>
      </c>
      <c r="R698" s="28">
        <f>_xll.qlInterestRateIndexValueDate(Index,Q698,Trigger)</f>
        <v>63319</v>
      </c>
      <c r="S698" s="28">
        <f>_xll.qlInterestRateIndexMaturity(Index,R698,Trigger)</f>
        <v>63352</v>
      </c>
      <c r="T698" s="30">
        <f>_xll.qlIndexFixing($M$6,Q698,,InterestRatesTrigger)</f>
        <v>1.4630501406613726E-2</v>
      </c>
      <c r="U698" s="30" t="e">
        <f>_xll.qlIndexFixing(Index,Q698,,InterestRatesTrigger)</f>
        <v>#NUM!</v>
      </c>
      <c r="V698" s="30" t="e">
        <f t="shared" si="34"/>
        <v>#NUM!</v>
      </c>
      <c r="W698" s="29">
        <f>_xll.qlDayCounterYearFraction(DayCounter,SettlementDate,R698,,,Trigger)</f>
        <v>58.766666666666666</v>
      </c>
      <c r="X698" s="29">
        <f>_xll.qlDayCounterYearFraction(DayCounter,R698,S698)</f>
        <v>9.166666666666666E-2</v>
      </c>
      <c r="Y698" s="29" t="e">
        <f>_xll.qlYieldTSDiscount(Currency&amp;"ON",R698)/(1+U698*X698)</f>
        <v>#NUM!</v>
      </c>
      <c r="Z698" s="30" t="e">
        <f>_xll.qlTenorBasisValue(TenorBasis6M,R698,InterestRatesTrigger)</f>
        <v>#VALUE!</v>
      </c>
      <c r="AA698" s="30" t="e">
        <f t="shared" si="35"/>
        <v>#NUM!</v>
      </c>
    </row>
    <row r="699" spans="15:27" x14ac:dyDescent="0.2">
      <c r="O699" s="33">
        <v>1</v>
      </c>
      <c r="P699" s="27" t="str">
        <f>_xll.qlPeriodEquivalent(P698&amp;"+"&amp;O699&amp;"M")</f>
        <v>58Y</v>
      </c>
      <c r="Q699" s="28">
        <f>_xll.qlCalendarAdvance(Calendar,SettlementDate,P699,"f",,Trigger)</f>
        <v>63348</v>
      </c>
      <c r="R699" s="28">
        <f>_xll.qlInterestRateIndexValueDate(Index,Q699,Trigger)</f>
        <v>63352</v>
      </c>
      <c r="S699" s="28">
        <f>_xll.qlInterestRateIndexMaturity(Index,R699,Trigger)</f>
        <v>63382</v>
      </c>
      <c r="T699" s="30">
        <f>_xll.qlIndexFixing($M$6,Q699,,InterestRatesTrigger)</f>
        <v>1.4636137768611945E-2</v>
      </c>
      <c r="U699" s="30" t="e">
        <f>_xll.qlIndexFixing(Index,Q699,,InterestRatesTrigger)</f>
        <v>#NUM!</v>
      </c>
      <c r="V699" s="30" t="e">
        <f t="shared" si="34"/>
        <v>#NUM!</v>
      </c>
      <c r="W699" s="29">
        <f>_xll.qlDayCounterYearFraction(DayCounter,SettlementDate,R699,,,Trigger)</f>
        <v>58.858333333333334</v>
      </c>
      <c r="X699" s="29">
        <f>_xll.qlDayCounterYearFraction(DayCounter,R699,S699)</f>
        <v>8.3333333333333329E-2</v>
      </c>
      <c r="Y699" s="29" t="e">
        <f>_xll.qlYieldTSDiscount(Currency&amp;"ON",R699)/(1+U699*X699)</f>
        <v>#NUM!</v>
      </c>
      <c r="Z699" s="30" t="e">
        <f>_xll.qlTenorBasisValue(TenorBasis6M,R699,InterestRatesTrigger)</f>
        <v>#VALUE!</v>
      </c>
      <c r="AA699" s="30" t="e">
        <f t="shared" si="35"/>
        <v>#NUM!</v>
      </c>
    </row>
    <row r="700" spans="15:27" x14ac:dyDescent="0.2">
      <c r="O700" s="33">
        <v>1</v>
      </c>
      <c r="P700" s="27" t="str">
        <f>_xll.qlPeriodEquivalent(P699&amp;"+"&amp;O700&amp;"M")</f>
        <v>58Y1M</v>
      </c>
      <c r="Q700" s="28">
        <f>_xll.qlCalendarAdvance(Calendar,SettlementDate,P700,"f",,Trigger)</f>
        <v>63380</v>
      </c>
      <c r="R700" s="28">
        <f>_xll.qlInterestRateIndexValueDate(Index,Q700,Trigger)</f>
        <v>63382</v>
      </c>
      <c r="S700" s="28">
        <f>_xll.qlInterestRateIndexMaturity(Index,R700,Trigger)</f>
        <v>63415</v>
      </c>
      <c r="T700" s="30">
        <f>_xll.qlIndexFixing($M$6,Q700,,InterestRatesTrigger)</f>
        <v>1.4643272041219292E-2</v>
      </c>
      <c r="U700" s="30" t="e">
        <f>_xll.qlIndexFixing(Index,Q700,,InterestRatesTrigger)</f>
        <v>#NUM!</v>
      </c>
      <c r="V700" s="30" t="e">
        <f t="shared" si="34"/>
        <v>#NUM!</v>
      </c>
      <c r="W700" s="29">
        <f>_xll.qlDayCounterYearFraction(DayCounter,SettlementDate,R700,,,Trigger)</f>
        <v>58.94166666666667</v>
      </c>
      <c r="X700" s="29">
        <f>_xll.qlDayCounterYearFraction(DayCounter,R700,S700)</f>
        <v>9.166666666666666E-2</v>
      </c>
      <c r="Y700" s="29" t="e">
        <f>_xll.qlYieldTSDiscount(Currency&amp;"ON",R700)/(1+U700*X700)</f>
        <v>#NUM!</v>
      </c>
      <c r="Z700" s="30" t="e">
        <f>_xll.qlTenorBasisValue(TenorBasis6M,R700,InterestRatesTrigger)</f>
        <v>#VALUE!</v>
      </c>
      <c r="AA700" s="30" t="e">
        <f t="shared" si="35"/>
        <v>#NUM!</v>
      </c>
    </row>
    <row r="701" spans="15:27" x14ac:dyDescent="0.2">
      <c r="O701" s="33">
        <v>1</v>
      </c>
      <c r="P701" s="27" t="str">
        <f>_xll.qlPeriodEquivalent(P700&amp;"+"&amp;O701&amp;"M")</f>
        <v>58Y2M</v>
      </c>
      <c r="Q701" s="28">
        <f>_xll.qlCalendarAdvance(Calendar,SettlementDate,P701,"f",,Trigger)</f>
        <v>63409</v>
      </c>
      <c r="R701" s="28">
        <f>_xll.qlInterestRateIndexValueDate(Index,Q701,Trigger)</f>
        <v>63411</v>
      </c>
      <c r="S701" s="28">
        <f>_xll.qlInterestRateIndexMaturity(Index,R701,Trigger)</f>
        <v>63443</v>
      </c>
      <c r="T701" s="30">
        <f>_xll.qlIndexFixing($M$6,Q701,,InterestRatesTrigger)</f>
        <v>1.4648381415452161E-2</v>
      </c>
      <c r="U701" s="30" t="e">
        <f>_xll.qlIndexFixing(Index,Q701,,InterestRatesTrigger)</f>
        <v>#NUM!</v>
      </c>
      <c r="V701" s="30" t="e">
        <f t="shared" si="34"/>
        <v>#NUM!</v>
      </c>
      <c r="W701" s="29">
        <f>_xll.qlDayCounterYearFraction(DayCounter,SettlementDate,R701,,,Trigger)</f>
        <v>59.022222222222226</v>
      </c>
      <c r="X701" s="29">
        <f>_xll.qlDayCounterYearFraction(DayCounter,R701,S701)</f>
        <v>8.8888888888888892E-2</v>
      </c>
      <c r="Y701" s="29" t="e">
        <f>_xll.qlYieldTSDiscount(Currency&amp;"ON",R701)/(1+U701*X701)</f>
        <v>#NUM!</v>
      </c>
      <c r="Z701" s="30" t="e">
        <f>_xll.qlTenorBasisValue(TenorBasis6M,R701,InterestRatesTrigger)</f>
        <v>#VALUE!</v>
      </c>
      <c r="AA701" s="30" t="e">
        <f t="shared" si="35"/>
        <v>#NUM!</v>
      </c>
    </row>
    <row r="702" spans="15:27" x14ac:dyDescent="0.2">
      <c r="O702" s="33">
        <v>1</v>
      </c>
      <c r="P702" s="27" t="str">
        <f>_xll.qlPeriodEquivalent(P701&amp;"+"&amp;O702&amp;"M")</f>
        <v>58Y3M</v>
      </c>
      <c r="Q702" s="28">
        <f>_xll.qlCalendarAdvance(Calendar,SettlementDate,P702,"f",,Trigger)</f>
        <v>63440</v>
      </c>
      <c r="R702" s="28">
        <f>_xll.qlInterestRateIndexValueDate(Index,Q702,Trigger)</f>
        <v>63444</v>
      </c>
      <c r="S702" s="28">
        <f>_xll.qlInterestRateIndexMaturity(Index,R702,Trigger)</f>
        <v>63474</v>
      </c>
      <c r="T702" s="30">
        <f>_xll.qlIndexFixing($M$6,Q702,,InterestRatesTrigger)</f>
        <v>1.4653581662831705E-2</v>
      </c>
      <c r="U702" s="30" t="e">
        <f>_xll.qlIndexFixing(Index,Q702,,InterestRatesTrigger)</f>
        <v>#NUM!</v>
      </c>
      <c r="V702" s="30" t="e">
        <f t="shared" si="34"/>
        <v>#NUM!</v>
      </c>
      <c r="W702" s="29">
        <f>_xll.qlDayCounterYearFraction(DayCounter,SettlementDate,R702,,,Trigger)</f>
        <v>59.113888888888887</v>
      </c>
      <c r="X702" s="29">
        <f>_xll.qlDayCounterYearFraction(DayCounter,R702,S702)</f>
        <v>8.3333333333333329E-2</v>
      </c>
      <c r="Y702" s="29" t="e">
        <f>_xll.qlYieldTSDiscount(Currency&amp;"ON",R702)/(1+U702*X702)</f>
        <v>#NUM!</v>
      </c>
      <c r="Z702" s="30" t="e">
        <f>_xll.qlTenorBasisValue(TenorBasis6M,R702,InterestRatesTrigger)</f>
        <v>#VALUE!</v>
      </c>
      <c r="AA702" s="30" t="e">
        <f t="shared" si="35"/>
        <v>#NUM!</v>
      </c>
    </row>
    <row r="703" spans="15:27" x14ac:dyDescent="0.2">
      <c r="O703" s="33">
        <v>1</v>
      </c>
      <c r="P703" s="27" t="str">
        <f>_xll.qlPeriodEquivalent(P702&amp;"+"&amp;O703&amp;"M")</f>
        <v>58Y4M</v>
      </c>
      <c r="Q703" s="28">
        <f>_xll.qlCalendarAdvance(Calendar,SettlementDate,P703,"f",,Trigger)</f>
        <v>63471</v>
      </c>
      <c r="R703" s="28">
        <f>_xll.qlInterestRateIndexValueDate(Index,Q703,Trigger)</f>
        <v>63473</v>
      </c>
      <c r="S703" s="28">
        <f>_xll.qlInterestRateIndexMaturity(Index,R703,Trigger)</f>
        <v>63506</v>
      </c>
      <c r="T703" s="30">
        <f>_xll.qlIndexFixing($M$6,Q703,,InterestRatesTrigger)</f>
        <v>1.4659726419929762E-2</v>
      </c>
      <c r="U703" s="30" t="e">
        <f>_xll.qlIndexFixing(Index,Q703,,InterestRatesTrigger)</f>
        <v>#NUM!</v>
      </c>
      <c r="V703" s="30" t="e">
        <f t="shared" si="34"/>
        <v>#NUM!</v>
      </c>
      <c r="W703" s="29">
        <f>_xll.qlDayCounterYearFraction(DayCounter,SettlementDate,R703,,,Trigger)</f>
        <v>59.194444444444443</v>
      </c>
      <c r="X703" s="29">
        <f>_xll.qlDayCounterYearFraction(DayCounter,R703,S703)</f>
        <v>9.166666666666666E-2</v>
      </c>
      <c r="Y703" s="29" t="e">
        <f>_xll.qlYieldTSDiscount(Currency&amp;"ON",R703)/(1+U703*X703)</f>
        <v>#NUM!</v>
      </c>
      <c r="Z703" s="30" t="e">
        <f>_xll.qlTenorBasisValue(TenorBasis6M,R703,InterestRatesTrigger)</f>
        <v>#VALUE!</v>
      </c>
      <c r="AA703" s="30" t="e">
        <f t="shared" si="35"/>
        <v>#NUM!</v>
      </c>
    </row>
    <row r="704" spans="15:27" x14ac:dyDescent="0.2">
      <c r="O704" s="33">
        <v>1</v>
      </c>
      <c r="P704" s="27" t="str">
        <f>_xll.qlPeriodEquivalent(P703&amp;"+"&amp;O704&amp;"M")</f>
        <v>58Y5M</v>
      </c>
      <c r="Q704" s="28">
        <f>_xll.qlCalendarAdvance(Calendar,SettlementDate,P704,"f",,Trigger)</f>
        <v>63501</v>
      </c>
      <c r="R704" s="28">
        <f>_xll.qlInterestRateIndexValueDate(Index,Q704,Trigger)</f>
        <v>63503</v>
      </c>
      <c r="S704" s="28">
        <f>_xll.qlInterestRateIndexMaturity(Index,R704,Trigger)</f>
        <v>63534</v>
      </c>
      <c r="T704" s="30">
        <f>_xll.qlIndexFixing($M$6,Q704,,InterestRatesTrigger)</f>
        <v>1.466387988619644E-2</v>
      </c>
      <c r="U704" s="30" t="e">
        <f>_xll.qlIndexFixing(Index,Q704,,InterestRatesTrigger)</f>
        <v>#NUM!</v>
      </c>
      <c r="V704" s="30" t="e">
        <f t="shared" si="34"/>
        <v>#NUM!</v>
      </c>
      <c r="W704" s="29">
        <f>_xll.qlDayCounterYearFraction(DayCounter,SettlementDate,R704,,,Trigger)</f>
        <v>59.277777777777779</v>
      </c>
      <c r="X704" s="29">
        <f>_xll.qlDayCounterYearFraction(DayCounter,R704,S704)</f>
        <v>8.611111111111111E-2</v>
      </c>
      <c r="Y704" s="29" t="e">
        <f>_xll.qlYieldTSDiscount(Currency&amp;"ON",R704)/(1+U704*X704)</f>
        <v>#NUM!</v>
      </c>
      <c r="Z704" s="30" t="e">
        <f>_xll.qlTenorBasisValue(TenorBasis6M,R704,InterestRatesTrigger)</f>
        <v>#VALUE!</v>
      </c>
      <c r="AA704" s="30" t="e">
        <f t="shared" si="35"/>
        <v>#NUM!</v>
      </c>
    </row>
    <row r="705" spans="15:27" x14ac:dyDescent="0.2">
      <c r="O705" s="33">
        <v>1</v>
      </c>
      <c r="P705" s="27" t="str">
        <f>_xll.qlPeriodEquivalent(P704&amp;"+"&amp;O705&amp;"M")</f>
        <v>58Y6M</v>
      </c>
      <c r="Q705" s="28">
        <f>_xll.qlCalendarAdvance(Calendar,SettlementDate,P705,"f",,Trigger)</f>
        <v>63531</v>
      </c>
      <c r="R705" s="28">
        <f>_xll.qlInterestRateIndexValueDate(Index,Q705,Trigger)</f>
        <v>63535</v>
      </c>
      <c r="S705" s="28">
        <f>_xll.qlInterestRateIndexMaturity(Index,R705,Trigger)</f>
        <v>63566</v>
      </c>
      <c r="T705" s="30">
        <f>_xll.qlIndexFixing($M$6,Q705,,InterestRatesTrigger)</f>
        <v>1.4668842299868682E-2</v>
      </c>
      <c r="U705" s="30" t="e">
        <f>_xll.qlIndexFixing(Index,Q705,,InterestRatesTrigger)</f>
        <v>#NUM!</v>
      </c>
      <c r="V705" s="30" t="e">
        <f t="shared" si="34"/>
        <v>#NUM!</v>
      </c>
      <c r="W705" s="29">
        <f>_xll.qlDayCounterYearFraction(DayCounter,SettlementDate,R705,,,Trigger)</f>
        <v>59.366666666666667</v>
      </c>
      <c r="X705" s="29">
        <f>_xll.qlDayCounterYearFraction(DayCounter,R705,S705)</f>
        <v>8.611111111111111E-2</v>
      </c>
      <c r="Y705" s="29" t="e">
        <f>_xll.qlYieldTSDiscount(Currency&amp;"ON",R705)/(1+U705*X705)</f>
        <v>#NUM!</v>
      </c>
      <c r="Z705" s="30" t="e">
        <f>_xll.qlTenorBasisValue(TenorBasis6M,R705,InterestRatesTrigger)</f>
        <v>#VALUE!</v>
      </c>
      <c r="AA705" s="30" t="e">
        <f t="shared" si="35"/>
        <v>#NUM!</v>
      </c>
    </row>
    <row r="706" spans="15:27" x14ac:dyDescent="0.2">
      <c r="O706" s="33">
        <v>1</v>
      </c>
      <c r="P706" s="27" t="str">
        <f>_xll.qlPeriodEquivalent(P705&amp;"+"&amp;O706&amp;"M")</f>
        <v>58Y7M</v>
      </c>
      <c r="Q706" s="28">
        <f>_xll.qlCalendarAdvance(Calendar,SettlementDate,P706,"f",,Trigger)</f>
        <v>63562</v>
      </c>
      <c r="R706" s="28">
        <f>_xll.qlInterestRateIndexValueDate(Index,Q706,Trigger)</f>
        <v>63564</v>
      </c>
      <c r="S706" s="28">
        <f>_xll.qlInterestRateIndexMaturity(Index,R706,Trigger)</f>
        <v>63597</v>
      </c>
      <c r="T706" s="30">
        <f>_xll.qlIndexFixing($M$6,Q706,,InterestRatesTrigger)</f>
        <v>1.467382649688063E-2</v>
      </c>
      <c r="U706" s="30" t="e">
        <f>_xll.qlIndexFixing(Index,Q706,,InterestRatesTrigger)</f>
        <v>#NUM!</v>
      </c>
      <c r="V706" s="30" t="e">
        <f t="shared" si="34"/>
        <v>#NUM!</v>
      </c>
      <c r="W706" s="29">
        <f>_xll.qlDayCounterYearFraction(DayCounter,SettlementDate,R706,,,Trigger)</f>
        <v>59.447222222222223</v>
      </c>
      <c r="X706" s="29">
        <f>_xll.qlDayCounterYearFraction(DayCounter,R706,S706)</f>
        <v>9.166666666666666E-2</v>
      </c>
      <c r="Y706" s="29" t="e">
        <f>_xll.qlYieldTSDiscount(Currency&amp;"ON",R706)/(1+U706*X706)</f>
        <v>#NUM!</v>
      </c>
      <c r="Z706" s="30" t="e">
        <f>_xll.qlTenorBasisValue(TenorBasis6M,R706,InterestRatesTrigger)</f>
        <v>#VALUE!</v>
      </c>
      <c r="AA706" s="30" t="e">
        <f t="shared" si="35"/>
        <v>#NUM!</v>
      </c>
    </row>
    <row r="707" spans="15:27" x14ac:dyDescent="0.2">
      <c r="O707" s="33">
        <v>1</v>
      </c>
      <c r="P707" s="27" t="str">
        <f>_xll.qlPeriodEquivalent(P706&amp;"+"&amp;O707&amp;"M")</f>
        <v>58Y8M</v>
      </c>
      <c r="Q707" s="28">
        <f>_xll.qlCalendarAdvance(Calendar,SettlementDate,P707,"f",,Trigger)</f>
        <v>63593</v>
      </c>
      <c r="R707" s="28">
        <f>_xll.qlInterestRateIndexValueDate(Index,Q707,Trigger)</f>
        <v>63597</v>
      </c>
      <c r="S707" s="28">
        <f>_xll.qlInterestRateIndexMaturity(Index,R707,Trigger)</f>
        <v>63625</v>
      </c>
      <c r="T707" s="30">
        <f>_xll.qlIndexFixing($M$6,Q707,,InterestRatesTrigger)</f>
        <v>1.4676533812357624E-2</v>
      </c>
      <c r="U707" s="30" t="e">
        <f>_xll.qlIndexFixing(Index,Q707,,InterestRatesTrigger)</f>
        <v>#NUM!</v>
      </c>
      <c r="V707" s="30" t="e">
        <f t="shared" si="34"/>
        <v>#NUM!</v>
      </c>
      <c r="W707" s="29">
        <f>_xll.qlDayCounterYearFraction(DayCounter,SettlementDate,R707,,,Trigger)</f>
        <v>59.538888888888891</v>
      </c>
      <c r="X707" s="29">
        <f>_xll.qlDayCounterYearFraction(DayCounter,R707,S707)</f>
        <v>7.7777777777777779E-2</v>
      </c>
      <c r="Y707" s="29" t="e">
        <f>_xll.qlYieldTSDiscount(Currency&amp;"ON",R707)/(1+U707*X707)</f>
        <v>#NUM!</v>
      </c>
      <c r="Z707" s="30" t="e">
        <f>_xll.qlTenorBasisValue(TenorBasis6M,R707,InterestRatesTrigger)</f>
        <v>#VALUE!</v>
      </c>
      <c r="AA707" s="30" t="e">
        <f t="shared" si="35"/>
        <v>#NUM!</v>
      </c>
    </row>
    <row r="708" spans="15:27" x14ac:dyDescent="0.2">
      <c r="O708" s="33">
        <v>1</v>
      </c>
      <c r="P708" s="27" t="str">
        <f>_xll.qlPeriodEquivalent(P707&amp;"+"&amp;O708&amp;"M")</f>
        <v>58Y9M</v>
      </c>
      <c r="Q708" s="28">
        <f>_xll.qlCalendarAdvance(Calendar,SettlementDate,P708,"f",,Trigger)</f>
        <v>63621</v>
      </c>
      <c r="R708" s="28">
        <f>_xll.qlInterestRateIndexValueDate(Index,Q708,Trigger)</f>
        <v>63625</v>
      </c>
      <c r="S708" s="28">
        <f>_xll.qlInterestRateIndexMaturity(Index,R708,Trigger)</f>
        <v>63656</v>
      </c>
      <c r="T708" s="30">
        <f>_xll.qlIndexFixing($M$6,Q708,,InterestRatesTrigger)</f>
        <v>1.4681238393455129E-2</v>
      </c>
      <c r="U708" s="30" t="e">
        <f>_xll.qlIndexFixing(Index,Q708,,InterestRatesTrigger)</f>
        <v>#NUM!</v>
      </c>
      <c r="V708" s="30" t="e">
        <f t="shared" si="34"/>
        <v>#NUM!</v>
      </c>
      <c r="W708" s="29">
        <f>_xll.qlDayCounterYearFraction(DayCounter,SettlementDate,R708,,,Trigger)</f>
        <v>59.616666666666667</v>
      </c>
      <c r="X708" s="29">
        <f>_xll.qlDayCounterYearFraction(DayCounter,R708,S708)</f>
        <v>8.611111111111111E-2</v>
      </c>
      <c r="Y708" s="29" t="e">
        <f>_xll.qlYieldTSDiscount(Currency&amp;"ON",R708)/(1+U708*X708)</f>
        <v>#NUM!</v>
      </c>
      <c r="Z708" s="30" t="e">
        <f>_xll.qlTenorBasisValue(TenorBasis6M,R708,InterestRatesTrigger)</f>
        <v>#VALUE!</v>
      </c>
      <c r="AA708" s="30" t="e">
        <f t="shared" si="35"/>
        <v>#NUM!</v>
      </c>
    </row>
    <row r="709" spans="15:27" x14ac:dyDescent="0.2">
      <c r="O709" s="33">
        <v>1</v>
      </c>
      <c r="P709" s="27" t="str">
        <f>_xll.qlPeriodEquivalent(P708&amp;"+"&amp;O709&amp;"M")</f>
        <v>58Y10M</v>
      </c>
      <c r="Q709" s="28">
        <f>_xll.qlCalendarAdvance(Calendar,SettlementDate,P709,"f",,Trigger)</f>
        <v>63653</v>
      </c>
      <c r="R709" s="28">
        <f>_xll.qlInterestRateIndexValueDate(Index,Q709,Trigger)</f>
        <v>63655</v>
      </c>
      <c r="S709" s="28">
        <f>_xll.qlInterestRateIndexMaturity(Index,R709,Trigger)</f>
        <v>63685</v>
      </c>
      <c r="T709" s="30">
        <f>_xll.qlIndexFixing($M$6,Q709,,InterestRatesTrigger)</f>
        <v>1.4684501826359941E-2</v>
      </c>
      <c r="U709" s="30" t="e">
        <f>_xll.qlIndexFixing(Index,Q709,,InterestRatesTrigger)</f>
        <v>#NUM!</v>
      </c>
      <c r="V709" s="30" t="e">
        <f t="shared" si="34"/>
        <v>#NUM!</v>
      </c>
      <c r="W709" s="29">
        <f>_xll.qlDayCounterYearFraction(DayCounter,SettlementDate,R709,,,Trigger)</f>
        <v>59.7</v>
      </c>
      <c r="X709" s="29">
        <f>_xll.qlDayCounterYearFraction(DayCounter,R709,S709)</f>
        <v>8.3333333333333329E-2</v>
      </c>
      <c r="Y709" s="29" t="e">
        <f>_xll.qlYieldTSDiscount(Currency&amp;"ON",R709)/(1+U709*X709)</f>
        <v>#NUM!</v>
      </c>
      <c r="Z709" s="30" t="e">
        <f>_xll.qlTenorBasisValue(TenorBasis6M,R709,InterestRatesTrigger)</f>
        <v>#VALUE!</v>
      </c>
      <c r="AA709" s="30" t="e">
        <f t="shared" si="35"/>
        <v>#NUM!</v>
      </c>
    </row>
    <row r="710" spans="15:27" x14ac:dyDescent="0.2">
      <c r="O710" s="33">
        <v>1</v>
      </c>
      <c r="P710" s="27" t="str">
        <f>_xll.qlPeriodEquivalent(P709&amp;"+"&amp;O710&amp;"M")</f>
        <v>58Y11M</v>
      </c>
      <c r="Q710" s="28">
        <f>_xll.qlCalendarAdvance(Calendar,SettlementDate,P710,"f",,Trigger)</f>
        <v>63682</v>
      </c>
      <c r="R710" s="28">
        <f>_xll.qlInterestRateIndexValueDate(Index,Q710,Trigger)</f>
        <v>63684</v>
      </c>
      <c r="S710" s="28">
        <f>_xll.qlInterestRateIndexMaturity(Index,R710,Trigger)</f>
        <v>63716</v>
      </c>
      <c r="T710" s="30">
        <f>_xll.qlIndexFixing($M$6,Q710,,InterestRatesTrigger)</f>
        <v>1.4688467990696397E-2</v>
      </c>
      <c r="U710" s="30" t="e">
        <f>_xll.qlIndexFixing(Index,Q710,,InterestRatesTrigger)</f>
        <v>#NUM!</v>
      </c>
      <c r="V710" s="30" t="e">
        <f t="shared" si="34"/>
        <v>#NUM!</v>
      </c>
      <c r="W710" s="29">
        <f>_xll.qlDayCounterYearFraction(DayCounter,SettlementDate,R710,,,Trigger)</f>
        <v>59.780555555555559</v>
      </c>
      <c r="X710" s="29">
        <f>_xll.qlDayCounterYearFraction(DayCounter,R710,S710)</f>
        <v>8.8888888888888892E-2</v>
      </c>
      <c r="Y710" s="29" t="e">
        <f>_xll.qlYieldTSDiscount(Currency&amp;"ON",R710)/(1+U710*X710)</f>
        <v>#NUM!</v>
      </c>
      <c r="Z710" s="30" t="e">
        <f>_xll.qlTenorBasisValue(TenorBasis6M,R710,InterestRatesTrigger)</f>
        <v>#VALUE!</v>
      </c>
      <c r="AA710" s="30" t="e">
        <f t="shared" si="35"/>
        <v>#NUM!</v>
      </c>
    </row>
    <row r="711" spans="15:27" x14ac:dyDescent="0.2">
      <c r="O711" s="33">
        <v>1</v>
      </c>
      <c r="P711" s="27" t="str">
        <f>_xll.qlPeriodEquivalent(P710&amp;"+"&amp;O711&amp;"M")</f>
        <v>59Y</v>
      </c>
      <c r="Q711" s="28">
        <f>_xll.qlCalendarAdvance(Calendar,SettlementDate,P711,"f",,Trigger)</f>
        <v>63713</v>
      </c>
      <c r="R711" s="28">
        <f>_xll.qlInterestRateIndexValueDate(Index,Q711,Trigger)</f>
        <v>63717</v>
      </c>
      <c r="S711" s="28">
        <f>_xll.qlInterestRateIndexMaturity(Index,R711,Trigger)</f>
        <v>63747</v>
      </c>
      <c r="T711" s="30">
        <f>_xll.qlIndexFixing($M$6,Q711,,InterestRatesTrigger)</f>
        <v>1.4691181607544124E-2</v>
      </c>
      <c r="U711" s="30" t="e">
        <f>_xll.qlIndexFixing(Index,Q711,,InterestRatesTrigger)</f>
        <v>#NUM!</v>
      </c>
      <c r="V711" s="30" t="e">
        <f t="shared" si="34"/>
        <v>#NUM!</v>
      </c>
      <c r="W711" s="29">
        <f>_xll.qlDayCounterYearFraction(DayCounter,SettlementDate,R711,,,Trigger)</f>
        <v>59.87222222222222</v>
      </c>
      <c r="X711" s="29">
        <f>_xll.qlDayCounterYearFraction(DayCounter,R711,S711)</f>
        <v>8.3333333333333329E-2</v>
      </c>
      <c r="Y711" s="29" t="e">
        <f>_xll.qlYieldTSDiscount(Currency&amp;"ON",R711)/(1+U711*X711)</f>
        <v>#NUM!</v>
      </c>
      <c r="Z711" s="30" t="e">
        <f>_xll.qlTenorBasisValue(TenorBasis6M,R711,InterestRatesTrigger)</f>
        <v>#VALUE!</v>
      </c>
      <c r="AA711" s="30" t="e">
        <f t="shared" si="35"/>
        <v>#NUM!</v>
      </c>
    </row>
    <row r="712" spans="15:27" x14ac:dyDescent="0.2">
      <c r="O712" s="33">
        <v>1</v>
      </c>
      <c r="P712" s="27" t="str">
        <f>_xll.qlPeriodEquivalent(P711&amp;"+"&amp;O712&amp;"M")</f>
        <v>59Y1M</v>
      </c>
      <c r="Q712" s="28">
        <f>_xll.qlCalendarAdvance(Calendar,SettlementDate,P712,"f",,Trigger)</f>
        <v>63744</v>
      </c>
      <c r="R712" s="28">
        <f>_xll.qlInterestRateIndexValueDate(Index,Q712,Trigger)</f>
        <v>63746</v>
      </c>
      <c r="S712" s="28">
        <f>_xll.qlInterestRateIndexMaturity(Index,R712,Trigger)</f>
        <v>63779</v>
      </c>
      <c r="T712" s="30">
        <f>_xll.qlIndexFixing($M$6,Q712,,InterestRatesTrigger)</f>
        <v>1.4694963710544847E-2</v>
      </c>
      <c r="U712" s="30" t="e">
        <f>_xll.qlIndexFixing(Index,Q712,,InterestRatesTrigger)</f>
        <v>#NUM!</v>
      </c>
      <c r="V712" s="30" t="e">
        <f t="shared" si="34"/>
        <v>#NUM!</v>
      </c>
      <c r="W712" s="29">
        <f>_xll.qlDayCounterYearFraction(DayCounter,SettlementDate,R712,,,Trigger)</f>
        <v>59.952777777777776</v>
      </c>
      <c r="X712" s="29">
        <f>_xll.qlDayCounterYearFraction(DayCounter,R712,S712)</f>
        <v>9.166666666666666E-2</v>
      </c>
      <c r="Y712" s="29" t="e">
        <f>_xll.qlYieldTSDiscount(Currency&amp;"ON",R712)/(1+U712*X712)</f>
        <v>#NUM!</v>
      </c>
      <c r="Z712" s="30" t="e">
        <f>_xll.qlTenorBasisValue(TenorBasis6M,R712,InterestRatesTrigger)</f>
        <v>#VALUE!</v>
      </c>
      <c r="AA712" s="30" t="e">
        <f t="shared" si="35"/>
        <v>#NUM!</v>
      </c>
    </row>
    <row r="713" spans="15:27" x14ac:dyDescent="0.2">
      <c r="O713" s="33">
        <v>1</v>
      </c>
      <c r="P713" s="27" t="str">
        <f>_xll.qlPeriodEquivalent(P712&amp;"+"&amp;O713&amp;"M")</f>
        <v>59Y2M</v>
      </c>
      <c r="Q713" s="28">
        <f>_xll.qlCalendarAdvance(Calendar,SettlementDate,P713,"f",,Trigger)</f>
        <v>63774</v>
      </c>
      <c r="R713" s="28">
        <f>_xll.qlInterestRateIndexValueDate(Index,Q713,Trigger)</f>
        <v>63776</v>
      </c>
      <c r="S713" s="28">
        <f>_xll.qlInterestRateIndexMaturity(Index,R713,Trigger)</f>
        <v>63807</v>
      </c>
      <c r="T713" s="30">
        <f>_xll.qlIndexFixing($M$6,Q713,,InterestRatesTrigger)</f>
        <v>1.469686365911454E-2</v>
      </c>
      <c r="U713" s="30" t="e">
        <f>_xll.qlIndexFixing(Index,Q713,,InterestRatesTrigger)</f>
        <v>#NUM!</v>
      </c>
      <c r="V713" s="30" t="e">
        <f t="shared" si="34"/>
        <v>#NUM!</v>
      </c>
      <c r="W713" s="29">
        <f>_xll.qlDayCounterYearFraction(DayCounter,SettlementDate,R713,,,Trigger)</f>
        <v>60.036111111111111</v>
      </c>
      <c r="X713" s="29">
        <f>_xll.qlDayCounterYearFraction(DayCounter,R713,S713)</f>
        <v>8.611111111111111E-2</v>
      </c>
      <c r="Y713" s="29" t="e">
        <f>_xll.qlYieldTSDiscount(Currency&amp;"ON",R713)/(1+U713*X713)</f>
        <v>#NUM!</v>
      </c>
      <c r="Z713" s="30" t="e">
        <f>_xll.qlTenorBasisValue(TenorBasis6M,R713,InterestRatesTrigger)</f>
        <v>#VALUE!</v>
      </c>
      <c r="AA713" s="30" t="e">
        <f t="shared" si="35"/>
        <v>#NUM!</v>
      </c>
    </row>
    <row r="714" spans="15:27" x14ac:dyDescent="0.2">
      <c r="O714" s="33">
        <v>1</v>
      </c>
      <c r="P714" s="27" t="str">
        <f>_xll.qlPeriodEquivalent(P713&amp;"+"&amp;O714&amp;"M")</f>
        <v>59Y3M</v>
      </c>
      <c r="Q714" s="28">
        <f>_xll.qlCalendarAdvance(Calendar,SettlementDate,P714,"f",,Trigger)</f>
        <v>63807</v>
      </c>
      <c r="R714" s="28">
        <f>_xll.qlInterestRateIndexValueDate(Index,Q714,Trigger)</f>
        <v>63809</v>
      </c>
      <c r="S714" s="28">
        <f>_xll.qlInterestRateIndexMaturity(Index,R714,Trigger)</f>
        <v>63839</v>
      </c>
      <c r="T714" s="30">
        <f>_xll.qlIndexFixing($M$6,Q714,,InterestRatesTrigger)</f>
        <v>1.4699079775607693E-2</v>
      </c>
      <c r="U714" s="30" t="e">
        <f>_xll.qlIndexFixing(Index,Q714,,InterestRatesTrigger)</f>
        <v>#NUM!</v>
      </c>
      <c r="V714" s="30" t="e">
        <f t="shared" si="34"/>
        <v>#NUM!</v>
      </c>
      <c r="W714" s="29">
        <f>_xll.qlDayCounterYearFraction(DayCounter,SettlementDate,R714,,,Trigger)</f>
        <v>60.12777777777778</v>
      </c>
      <c r="X714" s="29">
        <f>_xll.qlDayCounterYearFraction(DayCounter,R714,S714)</f>
        <v>8.3333333333333329E-2</v>
      </c>
      <c r="Y714" s="29" t="e">
        <f>_xll.qlYieldTSDiscount(Currency&amp;"ON",R714)/(1+U714*X714)</f>
        <v>#NUM!</v>
      </c>
      <c r="Z714" s="30" t="e">
        <f>_xll.qlTenorBasisValue(TenorBasis6M,R714,InterestRatesTrigger)</f>
        <v>#VALUE!</v>
      </c>
      <c r="AA714" s="30" t="e">
        <f t="shared" si="35"/>
        <v>#NUM!</v>
      </c>
    </row>
    <row r="715" spans="15:27" x14ac:dyDescent="0.2">
      <c r="O715" s="33">
        <v>1</v>
      </c>
      <c r="P715" s="27" t="str">
        <f>_xll.qlPeriodEquivalent(P714&amp;"+"&amp;O715&amp;"M")</f>
        <v>59Y4M</v>
      </c>
      <c r="Q715" s="28">
        <f>_xll.qlCalendarAdvance(Calendar,SettlementDate,P715,"f",,Trigger)</f>
        <v>63835</v>
      </c>
      <c r="R715" s="28">
        <f>_xll.qlInterestRateIndexValueDate(Index,Q715,Trigger)</f>
        <v>63837</v>
      </c>
      <c r="S715" s="28">
        <f>_xll.qlInterestRateIndexMaturity(Index,R715,Trigger)</f>
        <v>63870</v>
      </c>
      <c r="T715" s="30">
        <f>_xll.qlIndexFixing($M$6,Q715,,InterestRatesTrigger)</f>
        <v>1.4702000833593975E-2</v>
      </c>
      <c r="U715" s="30" t="e">
        <f>_xll.qlIndexFixing(Index,Q715,,InterestRatesTrigger)</f>
        <v>#NUM!</v>
      </c>
      <c r="V715" s="30" t="e">
        <f t="shared" si="34"/>
        <v>#NUM!</v>
      </c>
      <c r="W715" s="29">
        <f>_xll.qlDayCounterYearFraction(DayCounter,SettlementDate,R715,,,Trigger)</f>
        <v>60.205555555555556</v>
      </c>
      <c r="X715" s="29">
        <f>_xll.qlDayCounterYearFraction(DayCounter,R715,S715)</f>
        <v>9.166666666666666E-2</v>
      </c>
      <c r="Y715" s="29" t="e">
        <f>_xll.qlYieldTSDiscount(Currency&amp;"ON",R715)/(1+U715*X715)</f>
        <v>#NUM!</v>
      </c>
      <c r="Z715" s="30" t="e">
        <f>_xll.qlTenorBasisValue(TenorBasis6M,R715,InterestRatesTrigger)</f>
        <v>#VALUE!</v>
      </c>
      <c r="AA715" s="30" t="e">
        <f t="shared" si="35"/>
        <v>#NUM!</v>
      </c>
    </row>
    <row r="716" spans="15:27" x14ac:dyDescent="0.2">
      <c r="O716" s="33">
        <v>1</v>
      </c>
      <c r="P716" s="27" t="str">
        <f>_xll.qlPeriodEquivalent(P715&amp;"+"&amp;O716&amp;"M")</f>
        <v>59Y5M</v>
      </c>
      <c r="Q716" s="28">
        <f>_xll.qlCalendarAdvance(Calendar,SettlementDate,P716,"f",,Trigger)</f>
        <v>63866</v>
      </c>
      <c r="R716" s="28">
        <f>_xll.qlInterestRateIndexValueDate(Index,Q716,Trigger)</f>
        <v>63870</v>
      </c>
      <c r="S716" s="28">
        <f>_xll.qlInterestRateIndexMaturity(Index,R716,Trigger)</f>
        <v>63900</v>
      </c>
      <c r="T716" s="30">
        <f>_xll.qlIndexFixing($M$6,Q716,,InterestRatesTrigger)</f>
        <v>1.4702990058651721E-2</v>
      </c>
      <c r="U716" s="30" t="e">
        <f>_xll.qlIndexFixing(Index,Q716,,InterestRatesTrigger)</f>
        <v>#NUM!</v>
      </c>
      <c r="V716" s="30" t="e">
        <f t="shared" si="34"/>
        <v>#NUM!</v>
      </c>
      <c r="W716" s="29">
        <f>_xll.qlDayCounterYearFraction(DayCounter,SettlementDate,R716,,,Trigger)</f>
        <v>60.297222222222224</v>
      </c>
      <c r="X716" s="29">
        <f>_xll.qlDayCounterYearFraction(DayCounter,R716,S716)</f>
        <v>8.3333333333333329E-2</v>
      </c>
      <c r="Y716" s="29" t="e">
        <f>_xll.qlYieldTSDiscount(Currency&amp;"ON",R716)/(1+U716*X716)</f>
        <v>#NUM!</v>
      </c>
      <c r="Z716" s="30" t="e">
        <f>_xll.qlTenorBasisValue(TenorBasis6M,R716,InterestRatesTrigger)</f>
        <v>#VALUE!</v>
      </c>
      <c r="AA716" s="30" t="e">
        <f t="shared" si="35"/>
        <v>#NUM!</v>
      </c>
    </row>
    <row r="717" spans="15:27" x14ac:dyDescent="0.2">
      <c r="O717" s="33">
        <v>1</v>
      </c>
      <c r="P717" s="27" t="str">
        <f>_xll.qlPeriodEquivalent(P716&amp;"+"&amp;O717&amp;"M")</f>
        <v>59Y6M</v>
      </c>
      <c r="Q717" s="28">
        <f>_xll.qlCalendarAdvance(Calendar,SettlementDate,P717,"f",,Trigger)</f>
        <v>63898</v>
      </c>
      <c r="R717" s="28">
        <f>_xll.qlInterestRateIndexValueDate(Index,Q717,Trigger)</f>
        <v>63900</v>
      </c>
      <c r="S717" s="28">
        <f>_xll.qlInterestRateIndexMaturity(Index,R717,Trigger)</f>
        <v>63933</v>
      </c>
      <c r="T717" s="30">
        <f>_xll.qlIndexFixing($M$6,Q717,,InterestRatesTrigger)</f>
        <v>1.4705493525022172E-2</v>
      </c>
      <c r="U717" s="30" t="e">
        <f>_xll.qlIndexFixing(Index,Q717,,InterestRatesTrigger)</f>
        <v>#NUM!</v>
      </c>
      <c r="V717" s="30" t="e">
        <f t="shared" si="34"/>
        <v>#NUM!</v>
      </c>
      <c r="W717" s="29">
        <f>_xll.qlDayCounterYearFraction(DayCounter,SettlementDate,R717,,,Trigger)</f>
        <v>60.380555555555553</v>
      </c>
      <c r="X717" s="29">
        <f>_xll.qlDayCounterYearFraction(DayCounter,R717,S717)</f>
        <v>9.166666666666666E-2</v>
      </c>
      <c r="Y717" s="29" t="e">
        <f>_xll.qlYieldTSDiscount(Currency&amp;"ON",R717)/(1+U717*X717)</f>
        <v>#NUM!</v>
      </c>
      <c r="Z717" s="30" t="e">
        <f>_xll.qlTenorBasisValue(TenorBasis6M,R717,InterestRatesTrigger)</f>
        <v>#VALUE!</v>
      </c>
      <c r="AA717" s="30" t="e">
        <f t="shared" si="35"/>
        <v>#NUM!</v>
      </c>
    </row>
    <row r="718" spans="15:27" x14ac:dyDescent="0.2">
      <c r="O718" s="33">
        <v>1</v>
      </c>
      <c r="P718" s="27" t="str">
        <f>_xll.qlPeriodEquivalent(P717&amp;"+"&amp;O718&amp;"M")</f>
        <v>59Y7M</v>
      </c>
      <c r="Q718" s="28">
        <f>_xll.qlCalendarAdvance(Calendar,SettlementDate,P718,"f",,Trigger)</f>
        <v>63927</v>
      </c>
      <c r="R718" s="28">
        <f>_xll.qlInterestRateIndexValueDate(Index,Q718,Trigger)</f>
        <v>63929</v>
      </c>
      <c r="S718" s="28">
        <f>_xll.qlInterestRateIndexMaturity(Index,R718,Trigger)</f>
        <v>63961</v>
      </c>
      <c r="T718" s="30">
        <f>_xll.qlIndexFixing($M$6,Q718,,InterestRatesTrigger)</f>
        <v>1.4706403363885512E-2</v>
      </c>
      <c r="U718" s="30" t="e">
        <f>_xll.qlIndexFixing(Index,Q718,,InterestRatesTrigger)</f>
        <v>#NUM!</v>
      </c>
      <c r="V718" s="30" t="e">
        <f t="shared" si="34"/>
        <v>#NUM!</v>
      </c>
      <c r="W718" s="29">
        <f>_xll.qlDayCounterYearFraction(DayCounter,SettlementDate,R718,,,Trigger)</f>
        <v>60.461111111111109</v>
      </c>
      <c r="X718" s="29">
        <f>_xll.qlDayCounterYearFraction(DayCounter,R718,S718)</f>
        <v>8.8888888888888892E-2</v>
      </c>
      <c r="Y718" s="29" t="e">
        <f>_xll.qlYieldTSDiscount(Currency&amp;"ON",R718)/(1+U718*X718)</f>
        <v>#NUM!</v>
      </c>
      <c r="Z718" s="30" t="e">
        <f>_xll.qlTenorBasisValue(TenorBasis6M,R718,InterestRatesTrigger)</f>
        <v>#VALUE!</v>
      </c>
      <c r="AA718" s="30" t="e">
        <f t="shared" si="35"/>
        <v>#NUM!</v>
      </c>
    </row>
    <row r="719" spans="15:27" x14ac:dyDescent="0.2">
      <c r="O719" s="33">
        <v>1</v>
      </c>
      <c r="P719" s="27" t="str">
        <f>_xll.qlPeriodEquivalent(P718&amp;"+"&amp;O719&amp;"M")</f>
        <v>59Y8M</v>
      </c>
      <c r="Q719" s="28">
        <f>_xll.qlCalendarAdvance(Calendar,SettlementDate,P719,"f",,Trigger)</f>
        <v>63958</v>
      </c>
      <c r="R719" s="28">
        <f>_xll.qlInterestRateIndexValueDate(Index,Q719,Trigger)</f>
        <v>63962</v>
      </c>
      <c r="S719" s="28">
        <f>_xll.qlInterestRateIndexMaturity(Index,R719,Trigger)</f>
        <v>63990</v>
      </c>
      <c r="T719" s="30">
        <f>_xll.qlIndexFixing($M$6,Q719,,InterestRatesTrigger)</f>
        <v>1.4706258243454125E-2</v>
      </c>
      <c r="U719" s="30" t="e">
        <f>_xll.qlIndexFixing(Index,Q719,,InterestRatesTrigger)</f>
        <v>#NUM!</v>
      </c>
      <c r="V719" s="30" t="e">
        <f t="shared" si="34"/>
        <v>#NUM!</v>
      </c>
      <c r="W719" s="29">
        <f>_xll.qlDayCounterYearFraction(DayCounter,SettlementDate,R719,,,Trigger)</f>
        <v>60.552777777777777</v>
      </c>
      <c r="X719" s="29">
        <f>_xll.qlDayCounterYearFraction(DayCounter,R719,S719)</f>
        <v>7.7777777777777779E-2</v>
      </c>
      <c r="Y719" s="29" t="e">
        <f>_xll.qlYieldTSDiscount(Currency&amp;"ON",R719)/(1+U719*X719)</f>
        <v>#NUM!</v>
      </c>
      <c r="Z719" s="30" t="e">
        <f>_xll.qlTenorBasisValue(TenorBasis6M,R719,InterestRatesTrigger)</f>
        <v>#VALUE!</v>
      </c>
      <c r="AA719" s="30" t="e">
        <f t="shared" si="35"/>
        <v>#NUM!</v>
      </c>
    </row>
    <row r="720" spans="15:27" x14ac:dyDescent="0.2">
      <c r="O720" s="33">
        <v>1</v>
      </c>
      <c r="P720" s="27" t="str">
        <f>_xll.qlPeriodEquivalent(P719&amp;"+"&amp;O720&amp;"M")</f>
        <v>59Y9M</v>
      </c>
      <c r="Q720" s="28">
        <f>_xll.qlCalendarAdvance(Calendar,SettlementDate,P720,"f",,Trigger)</f>
        <v>63986</v>
      </c>
      <c r="R720" s="28">
        <f>_xll.qlInterestRateIndexValueDate(Index,Q720,Trigger)</f>
        <v>63990</v>
      </c>
      <c r="S720" s="28">
        <f>_xll.qlInterestRateIndexMaturity(Index,R720,Trigger)</f>
        <v>64021</v>
      </c>
      <c r="T720" s="30">
        <f>_xll.qlIndexFixing($M$6,Q720,,InterestRatesTrigger)</f>
        <v>1.4707905461737742E-2</v>
      </c>
      <c r="U720" s="30" t="e">
        <f>_xll.qlIndexFixing(Index,Q720,,InterestRatesTrigger)</f>
        <v>#NUM!</v>
      </c>
      <c r="V720" s="30" t="e">
        <f t="shared" si="34"/>
        <v>#NUM!</v>
      </c>
      <c r="W720" s="29">
        <f>_xll.qlDayCounterYearFraction(DayCounter,SettlementDate,R720,,,Trigger)</f>
        <v>60.630555555555553</v>
      </c>
      <c r="X720" s="29">
        <f>_xll.qlDayCounterYearFraction(DayCounter,R720,S720)</f>
        <v>8.611111111111111E-2</v>
      </c>
      <c r="Y720" s="29" t="e">
        <f>_xll.qlYieldTSDiscount(Currency&amp;"ON",R720)/(1+U720*X720)</f>
        <v>#NUM!</v>
      </c>
      <c r="Z720" s="30" t="e">
        <f>_xll.qlTenorBasisValue(TenorBasis6M,R720,InterestRatesTrigger)</f>
        <v>#VALUE!</v>
      </c>
      <c r="AA720" s="30" t="e">
        <f t="shared" si="35"/>
        <v>#NUM!</v>
      </c>
    </row>
    <row r="721" spans="15:27" x14ac:dyDescent="0.2">
      <c r="O721" s="33">
        <v>1</v>
      </c>
      <c r="P721" s="27" t="str">
        <f>_xll.qlPeriodEquivalent(P720&amp;"+"&amp;O721&amp;"M")</f>
        <v>59Y10M</v>
      </c>
      <c r="Q721" s="28">
        <f>_xll.qlCalendarAdvance(Calendar,SettlementDate,P721,"f",,Trigger)</f>
        <v>64018</v>
      </c>
      <c r="R721" s="28">
        <f>_xll.qlInterestRateIndexValueDate(Index,Q721,Trigger)</f>
        <v>64020</v>
      </c>
      <c r="S721" s="28">
        <f>_xll.qlInterestRateIndexMaturity(Index,R721,Trigger)</f>
        <v>64052</v>
      </c>
      <c r="T721" s="30">
        <f>_xll.qlIndexFixing($M$6,Q721,,InterestRatesTrigger)</f>
        <v>1.4708718795282127E-2</v>
      </c>
      <c r="U721" s="30" t="e">
        <f>_xll.qlIndexFixing(Index,Q721,,InterestRatesTrigger)</f>
        <v>#NUM!</v>
      </c>
      <c r="V721" s="30" t="e">
        <f t="shared" si="34"/>
        <v>#NUM!</v>
      </c>
      <c r="W721" s="29">
        <f>_xll.qlDayCounterYearFraction(DayCounter,SettlementDate,R721,,,Trigger)</f>
        <v>60.713888888888889</v>
      </c>
      <c r="X721" s="29">
        <f>_xll.qlDayCounterYearFraction(DayCounter,R721,S721)</f>
        <v>8.8888888888888892E-2</v>
      </c>
      <c r="Y721" s="29" t="e">
        <f>_xll.qlYieldTSDiscount(Currency&amp;"ON",R721)/(1+U721*X721)</f>
        <v>#NUM!</v>
      </c>
      <c r="Z721" s="30" t="e">
        <f>_xll.qlTenorBasisValue(TenorBasis6M,R721,InterestRatesTrigger)</f>
        <v>#VALUE!</v>
      </c>
      <c r="AA721" s="30" t="e">
        <f t="shared" si="35"/>
        <v>#NUM!</v>
      </c>
    </row>
    <row r="722" spans="15:27" x14ac:dyDescent="0.2">
      <c r="O722" s="33">
        <v>1</v>
      </c>
      <c r="P722" s="27" t="str">
        <f>_xll.qlPeriodEquivalent(P721&amp;"+"&amp;O722&amp;"M")</f>
        <v>59Y11M</v>
      </c>
      <c r="Q722" s="31">
        <f>_xll.qlCalendarAdvance(Calendar,SettlementDate,P722,"f",,Trigger)</f>
        <v>64047</v>
      </c>
      <c r="R722" s="31">
        <f>_xll.qlInterestRateIndexValueDate(Index,Q722,Trigger)</f>
        <v>64049</v>
      </c>
      <c r="S722" s="31">
        <f>_xll.qlInterestRateIndexMaturity(Index,R722,Trigger)</f>
        <v>64080</v>
      </c>
      <c r="T722" s="32">
        <f>_xll.qlIndexFixing($M$6,Q722,,InterestRatesTrigger)</f>
        <v>1.4708660231207892E-2</v>
      </c>
      <c r="U722" s="32" t="e">
        <f>_xll.qlIndexFixing(Index,Q722,,InterestRatesTrigger)</f>
        <v>#NUM!</v>
      </c>
      <c r="V722" s="32" t="e">
        <f t="shared" si="34"/>
        <v>#NUM!</v>
      </c>
      <c r="W722" s="74">
        <f>_xll.qlDayCounterYearFraction(DayCounter,SettlementDate,R722,,,Trigger)</f>
        <v>60.794444444444444</v>
      </c>
      <c r="X722" s="74">
        <f>_xll.qlDayCounterYearFraction(DayCounter,R722,S722)</f>
        <v>8.611111111111111E-2</v>
      </c>
      <c r="Y722" s="74" t="e">
        <f>_xll.qlYieldTSDiscount(Currency&amp;"ON",R722)/(1+U722*X722)</f>
        <v>#NUM!</v>
      </c>
      <c r="Z722" s="32" t="e">
        <f>_xll.qlTenorBasisValue(TenorBasis6M,R722,InterestRatesTrigger)</f>
        <v>#VALUE!</v>
      </c>
      <c r="AA722" s="32" t="e">
        <f t="shared" si="35"/>
        <v>#NUM!</v>
      </c>
    </row>
    <row r="723" spans="15:27" x14ac:dyDescent="0.2">
      <c r="P723" s="36"/>
      <c r="Q723" s="40"/>
      <c r="R723" s="40"/>
      <c r="S723" s="40"/>
      <c r="T723" s="41"/>
      <c r="U723" s="41"/>
      <c r="V723" s="41"/>
      <c r="W723" s="36"/>
      <c r="X723" s="36"/>
      <c r="Y723" s="36"/>
      <c r="Z723" s="36"/>
      <c r="AA723" s="36"/>
    </row>
    <row r="724" spans="15:27" x14ac:dyDescent="0.2">
      <c r="P724" s="36"/>
      <c r="Q724" s="40"/>
      <c r="R724" s="40"/>
      <c r="S724" s="40"/>
      <c r="T724" s="41"/>
      <c r="U724" s="41"/>
      <c r="V724" s="41"/>
      <c r="W724" s="36"/>
      <c r="X724" s="36"/>
      <c r="Y724" s="36"/>
      <c r="Z724" s="36"/>
      <c r="AA724" s="36"/>
    </row>
    <row r="725" spans="15:27" x14ac:dyDescent="0.2">
      <c r="P725" s="36"/>
      <c r="Q725" s="40"/>
      <c r="R725" s="40"/>
      <c r="S725" s="40"/>
      <c r="T725" s="41"/>
      <c r="U725" s="41"/>
      <c r="V725" s="41"/>
      <c r="W725" s="36"/>
      <c r="X725" s="36"/>
      <c r="Y725" s="36"/>
      <c r="Z725" s="36"/>
      <c r="AA725" s="36"/>
    </row>
    <row r="726" spans="15:27" x14ac:dyDescent="0.2">
      <c r="P726" s="36"/>
      <c r="Q726" s="40"/>
      <c r="R726" s="40"/>
      <c r="S726" s="40"/>
      <c r="T726" s="41"/>
      <c r="U726" s="41"/>
      <c r="V726" s="41"/>
      <c r="W726" s="36"/>
      <c r="X726" s="36"/>
      <c r="Y726" s="36"/>
      <c r="Z726" s="36"/>
      <c r="AA726" s="36"/>
    </row>
    <row r="727" spans="15:27" x14ac:dyDescent="0.2">
      <c r="P727" s="36"/>
      <c r="Q727" s="40"/>
      <c r="R727" s="40"/>
      <c r="S727" s="40"/>
      <c r="T727" s="41"/>
      <c r="U727" s="41"/>
      <c r="V727" s="41"/>
      <c r="W727" s="36"/>
      <c r="X727" s="36"/>
      <c r="Y727" s="36"/>
      <c r="Z727" s="36"/>
      <c r="AA727" s="36"/>
    </row>
    <row r="728" spans="15:27" x14ac:dyDescent="0.2">
      <c r="P728" s="36"/>
      <c r="Q728" s="40"/>
      <c r="R728" s="40"/>
      <c r="S728" s="40"/>
      <c r="T728" s="41"/>
      <c r="U728" s="41"/>
      <c r="V728" s="41"/>
      <c r="W728" s="36"/>
      <c r="X728" s="36"/>
      <c r="Y728" s="36"/>
      <c r="Z728" s="36"/>
      <c r="AA728" s="36"/>
    </row>
    <row r="729" spans="15:27" x14ac:dyDescent="0.2">
      <c r="P729" s="36"/>
      <c r="Q729" s="40"/>
      <c r="R729" s="40"/>
      <c r="S729" s="40"/>
      <c r="T729" s="41"/>
      <c r="U729" s="41"/>
      <c r="V729" s="41"/>
      <c r="W729" s="36"/>
      <c r="X729" s="36"/>
      <c r="Y729" s="36"/>
      <c r="Z729" s="36"/>
      <c r="AA729" s="36"/>
    </row>
    <row r="730" spans="15:27" x14ac:dyDescent="0.2">
      <c r="P730" s="36"/>
      <c r="Q730" s="40"/>
      <c r="R730" s="40"/>
      <c r="S730" s="40"/>
      <c r="T730" s="41"/>
      <c r="U730" s="41"/>
      <c r="V730" s="41"/>
      <c r="W730" s="36"/>
      <c r="X730" s="36"/>
      <c r="Y730" s="36"/>
      <c r="Z730" s="36"/>
      <c r="AA730" s="36"/>
    </row>
    <row r="731" spans="15:27" x14ac:dyDescent="0.2">
      <c r="P731" s="36"/>
      <c r="Q731" s="40"/>
      <c r="R731" s="40"/>
      <c r="S731" s="40"/>
      <c r="T731" s="41"/>
      <c r="U731" s="41"/>
      <c r="V731" s="41"/>
      <c r="W731" s="36"/>
      <c r="X731" s="36"/>
      <c r="Y731" s="36"/>
      <c r="Z731" s="36"/>
      <c r="AA731" s="36"/>
    </row>
    <row r="732" spans="15:27" x14ac:dyDescent="0.2">
      <c r="P732" s="36"/>
      <c r="Q732" s="40"/>
      <c r="R732" s="40"/>
      <c r="S732" s="40"/>
      <c r="T732" s="41"/>
      <c r="U732" s="41"/>
      <c r="V732" s="41"/>
      <c r="W732" s="36"/>
      <c r="X732" s="36"/>
      <c r="Y732" s="36"/>
      <c r="Z732" s="36"/>
      <c r="AA732" s="36"/>
    </row>
    <row r="733" spans="15:27" x14ac:dyDescent="0.2">
      <c r="P733" s="36"/>
      <c r="Q733" s="40"/>
      <c r="R733" s="40"/>
      <c r="S733" s="40"/>
      <c r="T733" s="41"/>
      <c r="U733" s="41"/>
      <c r="V733" s="41"/>
      <c r="W733" s="36"/>
      <c r="X733" s="36"/>
      <c r="Y733" s="36"/>
      <c r="Z733" s="36"/>
      <c r="AA733" s="36"/>
    </row>
    <row r="734" spans="15:27" x14ac:dyDescent="0.2">
      <c r="P734" s="36"/>
      <c r="Q734" s="40"/>
      <c r="R734" s="40"/>
      <c r="S734" s="40"/>
      <c r="T734" s="41"/>
      <c r="U734" s="41"/>
      <c r="V734" s="41"/>
      <c r="W734" s="36"/>
      <c r="X734" s="36"/>
      <c r="Y734" s="36"/>
      <c r="Z734" s="36"/>
      <c r="AA734" s="36"/>
    </row>
    <row r="735" spans="15:27" x14ac:dyDescent="0.2">
      <c r="P735" s="36"/>
      <c r="Q735" s="40"/>
      <c r="R735" s="40"/>
      <c r="S735" s="40"/>
      <c r="T735" s="41"/>
      <c r="U735" s="41"/>
      <c r="V735" s="41"/>
      <c r="W735" s="36"/>
      <c r="X735" s="36"/>
      <c r="Y735" s="36"/>
      <c r="Z735" s="36"/>
      <c r="AA735" s="36"/>
    </row>
    <row r="736" spans="15:27" x14ac:dyDescent="0.2">
      <c r="P736" s="36"/>
      <c r="Q736" s="40"/>
      <c r="R736" s="40"/>
      <c r="S736" s="40"/>
      <c r="T736" s="41"/>
      <c r="U736" s="41"/>
      <c r="V736" s="41"/>
      <c r="W736" s="36"/>
      <c r="X736" s="36"/>
      <c r="Y736" s="36"/>
      <c r="Z736" s="36"/>
      <c r="AA736" s="36"/>
    </row>
    <row r="737" spans="16:27" x14ac:dyDescent="0.2">
      <c r="P737" s="36"/>
      <c r="Q737" s="40"/>
      <c r="R737" s="40"/>
      <c r="S737" s="40"/>
      <c r="T737" s="41"/>
      <c r="U737" s="41"/>
      <c r="V737" s="41"/>
      <c r="W737" s="36"/>
      <c r="X737" s="36"/>
      <c r="Y737" s="36"/>
      <c r="Z737" s="36"/>
      <c r="AA737" s="36"/>
    </row>
    <row r="738" spans="16:27" x14ac:dyDescent="0.2">
      <c r="P738" s="36"/>
      <c r="Q738" s="40"/>
      <c r="R738" s="40"/>
      <c r="S738" s="40"/>
      <c r="T738" s="41"/>
      <c r="U738" s="41"/>
      <c r="V738" s="41"/>
      <c r="W738" s="36"/>
      <c r="X738" s="36"/>
      <c r="Y738" s="36"/>
      <c r="Z738" s="36"/>
      <c r="AA738" s="36"/>
    </row>
    <row r="739" spans="16:27" x14ac:dyDescent="0.2">
      <c r="P739" s="36"/>
      <c r="Q739" s="40"/>
      <c r="R739" s="40"/>
      <c r="S739" s="40"/>
      <c r="T739" s="41"/>
      <c r="U739" s="41"/>
      <c r="V739" s="41"/>
      <c r="W739" s="36"/>
      <c r="X739" s="36"/>
      <c r="Y739" s="36"/>
      <c r="Z739" s="36"/>
      <c r="AA739" s="36"/>
    </row>
    <row r="740" spans="16:27" x14ac:dyDescent="0.2">
      <c r="P740" s="36"/>
      <c r="Q740" s="40"/>
      <c r="R740" s="40"/>
      <c r="S740" s="40"/>
      <c r="T740" s="41"/>
      <c r="U740" s="41"/>
      <c r="V740" s="41"/>
      <c r="W740" s="36"/>
      <c r="X740" s="36"/>
      <c r="Y740" s="36"/>
      <c r="Z740" s="36"/>
      <c r="AA740" s="36"/>
    </row>
    <row r="741" spans="16:27" x14ac:dyDescent="0.2">
      <c r="P741" s="36"/>
      <c r="Q741" s="40"/>
      <c r="R741" s="40"/>
      <c r="S741" s="40"/>
      <c r="T741" s="41"/>
      <c r="U741" s="41"/>
      <c r="V741" s="41"/>
      <c r="W741" s="36"/>
      <c r="X741" s="36"/>
      <c r="Y741" s="36"/>
      <c r="Z741" s="36"/>
      <c r="AA741" s="36"/>
    </row>
    <row r="742" spans="16:27" x14ac:dyDescent="0.2">
      <c r="P742" s="36"/>
      <c r="Q742" s="40"/>
      <c r="R742" s="40"/>
      <c r="S742" s="40"/>
      <c r="T742" s="41"/>
      <c r="U742" s="41"/>
      <c r="V742" s="41"/>
      <c r="W742" s="36"/>
      <c r="X742" s="36"/>
      <c r="Y742" s="36"/>
      <c r="Z742" s="36"/>
      <c r="AA742" s="36"/>
    </row>
    <row r="743" spans="16:27" x14ac:dyDescent="0.2">
      <c r="P743" s="36"/>
      <c r="Q743" s="40"/>
      <c r="R743" s="40"/>
      <c r="S743" s="40"/>
      <c r="T743" s="41"/>
      <c r="U743" s="41"/>
      <c r="V743" s="41"/>
      <c r="W743" s="36"/>
      <c r="X743" s="36"/>
      <c r="Y743" s="36"/>
      <c r="Z743" s="36"/>
      <c r="AA743" s="36"/>
    </row>
    <row r="744" spans="16:27" x14ac:dyDescent="0.2">
      <c r="P744" s="36"/>
      <c r="Q744" s="40"/>
      <c r="R744" s="40"/>
      <c r="S744" s="40"/>
      <c r="T744" s="41"/>
      <c r="U744" s="41"/>
      <c r="V744" s="41"/>
      <c r="W744" s="36"/>
      <c r="X744" s="36"/>
      <c r="Y744" s="36"/>
      <c r="Z744" s="36"/>
      <c r="AA744" s="36"/>
    </row>
    <row r="745" spans="16:27" x14ac:dyDescent="0.2">
      <c r="P745" s="36"/>
      <c r="Q745" s="40"/>
      <c r="R745" s="40"/>
      <c r="S745" s="40"/>
      <c r="T745" s="41"/>
      <c r="U745" s="41"/>
      <c r="V745" s="41"/>
      <c r="W745" s="36"/>
      <c r="X745" s="36"/>
      <c r="Y745" s="36"/>
      <c r="Z745" s="36"/>
      <c r="AA745" s="36"/>
    </row>
    <row r="746" spans="16:27" x14ac:dyDescent="0.2">
      <c r="P746" s="36"/>
      <c r="Q746" s="40"/>
      <c r="R746" s="40"/>
      <c r="S746" s="40"/>
      <c r="T746" s="41"/>
      <c r="U746" s="41"/>
      <c r="V746" s="41"/>
      <c r="W746" s="36"/>
      <c r="X746" s="36"/>
      <c r="Y746" s="36"/>
      <c r="Z746" s="36"/>
      <c r="AA746" s="36"/>
    </row>
    <row r="747" spans="16:27" x14ac:dyDescent="0.2">
      <c r="P747" s="36"/>
      <c r="Q747" s="40"/>
      <c r="R747" s="40"/>
      <c r="S747" s="40"/>
      <c r="T747" s="41"/>
      <c r="U747" s="41"/>
      <c r="V747" s="41"/>
      <c r="W747" s="36"/>
      <c r="X747" s="36"/>
      <c r="Y747" s="36"/>
      <c r="Z747" s="36"/>
      <c r="AA747" s="36"/>
    </row>
    <row r="748" spans="16:27" x14ac:dyDescent="0.2">
      <c r="P748" s="36"/>
      <c r="Q748" s="40"/>
      <c r="R748" s="40"/>
      <c r="S748" s="40"/>
      <c r="T748" s="41"/>
      <c r="U748" s="41"/>
      <c r="V748" s="41"/>
      <c r="W748" s="36"/>
      <c r="X748" s="36"/>
      <c r="Y748" s="36"/>
      <c r="Z748" s="36"/>
      <c r="AA748" s="36"/>
    </row>
    <row r="749" spans="16:27" x14ac:dyDescent="0.2">
      <c r="P749" s="36"/>
      <c r="Q749" s="40"/>
      <c r="R749" s="40"/>
      <c r="S749" s="40"/>
      <c r="T749" s="41"/>
      <c r="U749" s="41"/>
      <c r="V749" s="41"/>
      <c r="W749" s="36"/>
      <c r="X749" s="36"/>
      <c r="Y749" s="36"/>
      <c r="Z749" s="36"/>
      <c r="AA749" s="36"/>
    </row>
    <row r="750" spans="16:27" x14ac:dyDescent="0.2">
      <c r="P750" s="36"/>
      <c r="Q750" s="40"/>
      <c r="R750" s="40"/>
      <c r="S750" s="40"/>
      <c r="T750" s="41"/>
      <c r="U750" s="41"/>
      <c r="V750" s="41"/>
      <c r="W750" s="36"/>
      <c r="X750" s="36"/>
      <c r="Y750" s="36"/>
      <c r="Z750" s="36"/>
      <c r="AA750" s="36"/>
    </row>
    <row r="751" spans="16:27" x14ac:dyDescent="0.2">
      <c r="P751" s="36"/>
      <c r="Q751" s="40"/>
      <c r="R751" s="40"/>
      <c r="S751" s="40"/>
      <c r="T751" s="41"/>
      <c r="U751" s="41"/>
      <c r="V751" s="41"/>
      <c r="W751" s="36"/>
      <c r="X751" s="36"/>
      <c r="Y751" s="36"/>
      <c r="Z751" s="36"/>
      <c r="AA751" s="36"/>
    </row>
    <row r="752" spans="16:27" x14ac:dyDescent="0.2">
      <c r="P752" s="36"/>
      <c r="Q752" s="40"/>
      <c r="R752" s="40"/>
      <c r="S752" s="40"/>
      <c r="T752" s="41"/>
      <c r="U752" s="41"/>
      <c r="V752" s="41"/>
      <c r="W752" s="36"/>
      <c r="X752" s="36"/>
      <c r="Y752" s="36"/>
      <c r="Z752" s="36"/>
      <c r="AA752" s="36"/>
    </row>
    <row r="753" spans="16:27" x14ac:dyDescent="0.2">
      <c r="P753" s="36"/>
      <c r="Q753" s="40"/>
      <c r="R753" s="40"/>
      <c r="S753" s="40"/>
      <c r="T753" s="41"/>
      <c r="U753" s="41"/>
      <c r="V753" s="41"/>
      <c r="W753" s="36"/>
      <c r="X753" s="36"/>
      <c r="Y753" s="36"/>
      <c r="Z753" s="36"/>
      <c r="AA753" s="36"/>
    </row>
    <row r="754" spans="16:27" x14ac:dyDescent="0.2">
      <c r="P754" s="36"/>
      <c r="Q754" s="40"/>
      <c r="R754" s="40"/>
      <c r="S754" s="40"/>
      <c r="T754" s="41"/>
      <c r="U754" s="41"/>
      <c r="V754" s="41"/>
      <c r="W754" s="36"/>
      <c r="X754" s="36"/>
      <c r="Y754" s="36"/>
      <c r="Z754" s="36"/>
      <c r="AA754" s="36"/>
    </row>
    <row r="755" spans="16:27" x14ac:dyDescent="0.2">
      <c r="P755" s="36"/>
      <c r="Q755" s="40"/>
      <c r="R755" s="40"/>
      <c r="S755" s="40"/>
      <c r="T755" s="41"/>
      <c r="U755" s="41"/>
      <c r="V755" s="41"/>
      <c r="W755" s="36"/>
      <c r="X755" s="36"/>
      <c r="Y755" s="36"/>
      <c r="Z755" s="36"/>
      <c r="AA755" s="36"/>
    </row>
    <row r="756" spans="16:27" x14ac:dyDescent="0.2">
      <c r="P756" s="36"/>
      <c r="Q756" s="40"/>
      <c r="R756" s="40"/>
      <c r="S756" s="40"/>
      <c r="T756" s="41"/>
      <c r="U756" s="41"/>
      <c r="V756" s="41"/>
      <c r="W756" s="36"/>
      <c r="X756" s="36"/>
      <c r="Y756" s="36"/>
      <c r="Z756" s="36"/>
      <c r="AA756" s="36"/>
    </row>
    <row r="757" spans="16:27" x14ac:dyDescent="0.2">
      <c r="P757" s="36"/>
      <c r="Q757" s="40"/>
      <c r="R757" s="40"/>
      <c r="S757" s="40"/>
      <c r="T757" s="41"/>
      <c r="U757" s="41"/>
      <c r="V757" s="41"/>
      <c r="W757" s="36"/>
      <c r="X757" s="36"/>
      <c r="Y757" s="36"/>
      <c r="Z757" s="36"/>
      <c r="AA757" s="36"/>
    </row>
    <row r="758" spans="16:27" x14ac:dyDescent="0.2">
      <c r="P758" s="36"/>
      <c r="Q758" s="40"/>
      <c r="R758" s="40"/>
      <c r="S758" s="40"/>
      <c r="T758" s="41"/>
      <c r="U758" s="41"/>
      <c r="V758" s="41"/>
      <c r="W758" s="36"/>
      <c r="X758" s="36"/>
      <c r="Y758" s="36"/>
      <c r="Z758" s="36"/>
      <c r="AA758" s="36"/>
    </row>
    <row r="759" spans="16:27" x14ac:dyDescent="0.2">
      <c r="P759" s="36"/>
      <c r="Q759" s="40"/>
      <c r="R759" s="40"/>
      <c r="S759" s="40"/>
      <c r="T759" s="41"/>
      <c r="U759" s="41"/>
      <c r="V759" s="41"/>
      <c r="W759" s="36"/>
      <c r="X759" s="36"/>
      <c r="Y759" s="36"/>
      <c r="Z759" s="36"/>
      <c r="AA759" s="36"/>
    </row>
    <row r="760" spans="16:27" x14ac:dyDescent="0.2">
      <c r="P760" s="36"/>
      <c r="Q760" s="40"/>
      <c r="R760" s="40"/>
      <c r="S760" s="40"/>
      <c r="T760" s="41"/>
      <c r="U760" s="41"/>
      <c r="V760" s="41"/>
      <c r="W760" s="36"/>
      <c r="X760" s="36"/>
      <c r="Y760" s="36"/>
      <c r="Z760" s="36"/>
      <c r="AA760" s="36"/>
    </row>
    <row r="761" spans="16:27" x14ac:dyDescent="0.2">
      <c r="P761" s="36"/>
      <c r="Q761" s="40"/>
      <c r="R761" s="40"/>
      <c r="S761" s="40"/>
      <c r="T761" s="41"/>
      <c r="U761" s="41"/>
      <c r="V761" s="41"/>
      <c r="W761" s="36"/>
      <c r="X761" s="36"/>
      <c r="Y761" s="36"/>
      <c r="Z761" s="36"/>
      <c r="AA761" s="36"/>
    </row>
    <row r="762" spans="16:27" x14ac:dyDescent="0.2">
      <c r="P762" s="36"/>
      <c r="Q762" s="40"/>
      <c r="R762" s="40"/>
      <c r="S762" s="40"/>
      <c r="T762" s="41"/>
      <c r="U762" s="41"/>
      <c r="V762" s="41"/>
      <c r="W762" s="36"/>
      <c r="X762" s="36"/>
      <c r="Y762" s="36"/>
      <c r="Z762" s="36"/>
      <c r="AA762" s="36"/>
    </row>
    <row r="763" spans="16:27" x14ac:dyDescent="0.2">
      <c r="P763" s="36"/>
      <c r="Q763" s="40"/>
      <c r="R763" s="40"/>
      <c r="S763" s="40"/>
      <c r="T763" s="41"/>
      <c r="U763" s="41"/>
      <c r="V763" s="41"/>
      <c r="W763" s="36"/>
      <c r="X763" s="36"/>
      <c r="Y763" s="36"/>
      <c r="Z763" s="36"/>
      <c r="AA763" s="36"/>
    </row>
    <row r="764" spans="16:27" x14ac:dyDescent="0.2">
      <c r="P764" s="36"/>
      <c r="Q764" s="40"/>
      <c r="R764" s="40"/>
      <c r="S764" s="40"/>
      <c r="T764" s="41"/>
      <c r="U764" s="41"/>
      <c r="V764" s="41"/>
      <c r="W764" s="36"/>
      <c r="X764" s="36"/>
      <c r="Y764" s="36"/>
      <c r="Z764" s="36"/>
      <c r="AA764" s="36"/>
    </row>
    <row r="765" spans="16:27" x14ac:dyDescent="0.2">
      <c r="P765" s="36"/>
      <c r="Q765" s="40"/>
      <c r="R765" s="40"/>
      <c r="S765" s="40"/>
      <c r="T765" s="41"/>
      <c r="U765" s="41"/>
      <c r="V765" s="41"/>
      <c r="W765" s="36"/>
      <c r="X765" s="36"/>
      <c r="Y765" s="36"/>
      <c r="Z765" s="36"/>
      <c r="AA765" s="36"/>
    </row>
    <row r="766" spans="16:27" x14ac:dyDescent="0.2">
      <c r="P766" s="36"/>
      <c r="Q766" s="40"/>
      <c r="R766" s="40"/>
      <c r="S766" s="40"/>
      <c r="T766" s="41"/>
      <c r="U766" s="41"/>
      <c r="V766" s="41"/>
      <c r="W766" s="36"/>
      <c r="X766" s="36"/>
      <c r="Y766" s="36"/>
      <c r="Z766" s="36"/>
      <c r="AA766" s="36"/>
    </row>
    <row r="767" spans="16:27" x14ac:dyDescent="0.2">
      <c r="P767" s="36"/>
      <c r="Q767" s="40"/>
      <c r="R767" s="40"/>
      <c r="S767" s="40"/>
      <c r="T767" s="41"/>
      <c r="U767" s="41"/>
      <c r="V767" s="41"/>
      <c r="W767" s="36"/>
      <c r="X767" s="36"/>
      <c r="Y767" s="36"/>
      <c r="Z767" s="36"/>
      <c r="AA767" s="36"/>
    </row>
    <row r="768" spans="16:27" x14ac:dyDescent="0.2">
      <c r="P768" s="36"/>
      <c r="Q768" s="40"/>
      <c r="R768" s="40"/>
      <c r="S768" s="40"/>
      <c r="T768" s="41"/>
      <c r="U768" s="41"/>
      <c r="V768" s="41"/>
      <c r="W768" s="36"/>
      <c r="X768" s="36"/>
      <c r="Y768" s="36"/>
      <c r="Z768" s="36"/>
      <c r="AA768" s="36"/>
    </row>
    <row r="769" spans="16:27" x14ac:dyDescent="0.2">
      <c r="P769" s="36"/>
      <c r="Q769" s="40"/>
      <c r="R769" s="40"/>
      <c r="S769" s="40"/>
      <c r="T769" s="41"/>
      <c r="U769" s="41"/>
      <c r="V769" s="41"/>
      <c r="W769" s="36"/>
      <c r="X769" s="36"/>
      <c r="Y769" s="36"/>
      <c r="Z769" s="36"/>
      <c r="AA769" s="36"/>
    </row>
    <row r="770" spans="16:27" x14ac:dyDescent="0.2">
      <c r="P770" s="36"/>
      <c r="Q770" s="40"/>
      <c r="R770" s="40"/>
      <c r="S770" s="40"/>
      <c r="T770" s="41"/>
      <c r="U770" s="41"/>
      <c r="V770" s="41"/>
      <c r="W770" s="36"/>
      <c r="X770" s="36"/>
      <c r="Y770" s="36"/>
      <c r="Z770" s="36"/>
      <c r="AA770" s="36"/>
    </row>
    <row r="771" spans="16:27" x14ac:dyDescent="0.2">
      <c r="P771" s="36"/>
      <c r="Q771" s="40"/>
      <c r="R771" s="40"/>
      <c r="S771" s="40"/>
      <c r="T771" s="41"/>
      <c r="U771" s="41"/>
      <c r="V771" s="41"/>
      <c r="W771" s="36"/>
      <c r="X771" s="36"/>
      <c r="Y771" s="36"/>
      <c r="Z771" s="36"/>
      <c r="AA771" s="36"/>
    </row>
    <row r="772" spans="16:27" x14ac:dyDescent="0.2">
      <c r="P772" s="36"/>
      <c r="Q772" s="40"/>
      <c r="R772" s="40"/>
      <c r="S772" s="40"/>
      <c r="T772" s="41"/>
      <c r="U772" s="41"/>
      <c r="V772" s="41"/>
      <c r="W772" s="36"/>
      <c r="X772" s="36"/>
      <c r="Y772" s="36"/>
      <c r="Z772" s="36"/>
      <c r="AA772" s="36"/>
    </row>
    <row r="773" spans="16:27" x14ac:dyDescent="0.2">
      <c r="P773" s="36"/>
      <c r="Q773" s="40"/>
      <c r="R773" s="40"/>
      <c r="S773" s="40"/>
      <c r="T773" s="41"/>
      <c r="U773" s="41"/>
      <c r="V773" s="41"/>
      <c r="W773" s="36"/>
      <c r="X773" s="36"/>
      <c r="Y773" s="36"/>
      <c r="Z773" s="36"/>
      <c r="AA773" s="36"/>
    </row>
    <row r="774" spans="16:27" x14ac:dyDescent="0.2">
      <c r="P774" s="36"/>
      <c r="Q774" s="40"/>
      <c r="R774" s="40"/>
      <c r="S774" s="40"/>
      <c r="T774" s="41"/>
      <c r="U774" s="41"/>
      <c r="V774" s="41"/>
      <c r="W774" s="36"/>
      <c r="X774" s="36"/>
      <c r="Y774" s="36"/>
      <c r="Z774" s="36"/>
      <c r="AA774" s="36"/>
    </row>
    <row r="775" spans="16:27" x14ac:dyDescent="0.2">
      <c r="P775" s="36"/>
      <c r="Q775" s="40"/>
      <c r="R775" s="40"/>
      <c r="S775" s="40"/>
      <c r="T775" s="41"/>
      <c r="U775" s="41"/>
      <c r="V775" s="41"/>
      <c r="W775" s="36"/>
      <c r="X775" s="36"/>
      <c r="Y775" s="36"/>
      <c r="Z775" s="36"/>
      <c r="AA775" s="36"/>
    </row>
    <row r="776" spans="16:27" x14ac:dyDescent="0.2">
      <c r="P776" s="36"/>
      <c r="Q776" s="40"/>
      <c r="R776" s="40"/>
      <c r="S776" s="40"/>
      <c r="T776" s="41"/>
      <c r="U776" s="41"/>
      <c r="V776" s="41"/>
      <c r="W776" s="36"/>
      <c r="X776" s="36"/>
      <c r="Y776" s="36"/>
      <c r="Z776" s="36"/>
      <c r="AA776" s="36"/>
    </row>
    <row r="777" spans="16:27" x14ac:dyDescent="0.2">
      <c r="P777" s="36"/>
      <c r="Q777" s="40"/>
      <c r="R777" s="40"/>
      <c r="S777" s="40"/>
      <c r="T777" s="41"/>
      <c r="U777" s="41"/>
      <c r="V777" s="41"/>
      <c r="W777" s="36"/>
      <c r="X777" s="36"/>
      <c r="Y777" s="36"/>
      <c r="Z777" s="36"/>
      <c r="AA777" s="36"/>
    </row>
    <row r="778" spans="16:27" x14ac:dyDescent="0.2">
      <c r="P778" s="36"/>
      <c r="Q778" s="40"/>
      <c r="R778" s="40"/>
      <c r="S778" s="40"/>
      <c r="T778" s="41"/>
      <c r="U778" s="41"/>
      <c r="V778" s="41"/>
      <c r="W778" s="36"/>
      <c r="X778" s="36"/>
      <c r="Y778" s="36"/>
      <c r="Z778" s="36"/>
      <c r="AA778" s="36"/>
    </row>
    <row r="779" spans="16:27" x14ac:dyDescent="0.2">
      <c r="P779" s="36"/>
      <c r="Q779" s="40"/>
      <c r="R779" s="40"/>
      <c r="S779" s="40"/>
      <c r="T779" s="41"/>
      <c r="U779" s="41"/>
      <c r="V779" s="41"/>
      <c r="W779" s="36"/>
      <c r="X779" s="36"/>
      <c r="Y779" s="36"/>
      <c r="Z779" s="36"/>
      <c r="AA779" s="36"/>
    </row>
    <row r="780" spans="16:27" x14ac:dyDescent="0.2">
      <c r="P780" s="36"/>
      <c r="Q780" s="40"/>
      <c r="R780" s="40"/>
      <c r="S780" s="40"/>
      <c r="T780" s="41"/>
      <c r="U780" s="41"/>
      <c r="V780" s="41"/>
      <c r="W780" s="36"/>
      <c r="X780" s="36"/>
      <c r="Y780" s="36"/>
      <c r="Z780" s="36"/>
      <c r="AA780" s="36"/>
    </row>
    <row r="781" spans="16:27" x14ac:dyDescent="0.2">
      <c r="P781" s="36"/>
      <c r="Q781" s="40"/>
      <c r="R781" s="40"/>
      <c r="S781" s="40"/>
      <c r="T781" s="41"/>
      <c r="U781" s="41"/>
      <c r="V781" s="41"/>
      <c r="W781" s="36"/>
      <c r="X781" s="36"/>
      <c r="Y781" s="36"/>
      <c r="Z781" s="36"/>
      <c r="AA781" s="36"/>
    </row>
    <row r="782" spans="16:27" x14ac:dyDescent="0.2">
      <c r="P782" s="36"/>
      <c r="Q782" s="40"/>
      <c r="R782" s="40"/>
      <c r="S782" s="40"/>
      <c r="T782" s="41"/>
      <c r="U782" s="41"/>
      <c r="V782" s="41"/>
      <c r="W782" s="36"/>
      <c r="X782" s="36"/>
      <c r="Y782" s="36"/>
      <c r="Z782" s="36"/>
      <c r="AA782" s="36"/>
    </row>
    <row r="783" spans="16:27" x14ac:dyDescent="0.2">
      <c r="P783" s="36"/>
      <c r="Q783" s="40"/>
      <c r="R783" s="40"/>
      <c r="S783" s="40"/>
      <c r="T783" s="41"/>
      <c r="U783" s="41"/>
      <c r="V783" s="41"/>
      <c r="W783" s="36"/>
      <c r="X783" s="36"/>
      <c r="Y783" s="36"/>
      <c r="Z783" s="36"/>
      <c r="AA783" s="36"/>
    </row>
    <row r="784" spans="16:27" x14ac:dyDescent="0.2">
      <c r="P784" s="36"/>
      <c r="Q784" s="40"/>
      <c r="R784" s="40"/>
      <c r="S784" s="40"/>
      <c r="T784" s="41"/>
      <c r="U784" s="41"/>
      <c r="V784" s="41"/>
      <c r="W784" s="36"/>
      <c r="X784" s="36"/>
      <c r="Y784" s="36"/>
      <c r="Z784" s="36"/>
      <c r="AA784" s="36"/>
    </row>
    <row r="785" spans="16:27" x14ac:dyDescent="0.2">
      <c r="P785" s="36"/>
      <c r="Q785" s="40"/>
      <c r="R785" s="40"/>
      <c r="S785" s="40"/>
      <c r="T785" s="41"/>
      <c r="U785" s="41"/>
      <c r="V785" s="41"/>
      <c r="W785" s="36"/>
      <c r="X785" s="36"/>
      <c r="Y785" s="36"/>
      <c r="Z785" s="36"/>
      <c r="AA785" s="36"/>
    </row>
    <row r="786" spans="16:27" x14ac:dyDescent="0.2">
      <c r="P786" s="36"/>
      <c r="Q786" s="40"/>
      <c r="R786" s="40"/>
      <c r="S786" s="40"/>
      <c r="T786" s="41"/>
      <c r="U786" s="41"/>
      <c r="V786" s="41"/>
      <c r="W786" s="36"/>
      <c r="X786" s="36"/>
      <c r="Y786" s="36"/>
      <c r="Z786" s="36"/>
      <c r="AA786" s="36"/>
    </row>
    <row r="787" spans="16:27" x14ac:dyDescent="0.2">
      <c r="P787" s="36"/>
      <c r="Q787" s="40"/>
      <c r="R787" s="40"/>
      <c r="S787" s="40"/>
      <c r="T787" s="41"/>
      <c r="U787" s="41"/>
      <c r="V787" s="41"/>
      <c r="W787" s="36"/>
      <c r="X787" s="36"/>
      <c r="Y787" s="36"/>
      <c r="Z787" s="36"/>
      <c r="AA787" s="36"/>
    </row>
    <row r="788" spans="16:27" x14ac:dyDescent="0.2">
      <c r="P788" s="36"/>
      <c r="Q788" s="40"/>
      <c r="R788" s="40"/>
      <c r="S788" s="40"/>
      <c r="T788" s="41"/>
      <c r="U788" s="41"/>
      <c r="V788" s="41"/>
      <c r="W788" s="36"/>
      <c r="X788" s="36"/>
      <c r="Y788" s="36"/>
      <c r="Z788" s="36"/>
      <c r="AA788" s="36"/>
    </row>
    <row r="789" spans="16:27" x14ac:dyDescent="0.2">
      <c r="P789" s="36"/>
      <c r="Q789" s="40"/>
      <c r="R789" s="40"/>
      <c r="S789" s="40"/>
      <c r="T789" s="41"/>
      <c r="U789" s="41"/>
      <c r="V789" s="41"/>
      <c r="W789" s="36"/>
      <c r="X789" s="36"/>
      <c r="Y789" s="36"/>
      <c r="Z789" s="36"/>
      <c r="AA789" s="36"/>
    </row>
    <row r="790" spans="16:27" x14ac:dyDescent="0.2">
      <c r="P790" s="36"/>
      <c r="Q790" s="40"/>
      <c r="R790" s="40"/>
      <c r="S790" s="40"/>
      <c r="T790" s="41"/>
      <c r="U790" s="41"/>
      <c r="V790" s="41"/>
      <c r="W790" s="36"/>
      <c r="X790" s="36"/>
      <c r="Y790" s="36"/>
      <c r="Z790" s="36"/>
      <c r="AA790" s="36"/>
    </row>
    <row r="791" spans="16:27" x14ac:dyDescent="0.2">
      <c r="P791" s="36"/>
      <c r="Q791" s="40"/>
      <c r="R791" s="40"/>
      <c r="S791" s="40"/>
      <c r="T791" s="41"/>
      <c r="U791" s="41"/>
      <c r="V791" s="41"/>
      <c r="W791" s="36"/>
      <c r="X791" s="36"/>
      <c r="Y791" s="36"/>
      <c r="Z791" s="36"/>
      <c r="AA791" s="36"/>
    </row>
    <row r="792" spans="16:27" x14ac:dyDescent="0.2">
      <c r="P792" s="36"/>
      <c r="Q792" s="40"/>
      <c r="R792" s="40"/>
      <c r="S792" s="40"/>
      <c r="T792" s="41"/>
      <c r="U792" s="41"/>
      <c r="V792" s="41"/>
      <c r="W792" s="36"/>
      <c r="X792" s="36"/>
      <c r="Y792" s="36"/>
      <c r="Z792" s="36"/>
      <c r="AA792" s="36"/>
    </row>
    <row r="793" spans="16:27" x14ac:dyDescent="0.2">
      <c r="P793" s="36"/>
      <c r="Q793" s="40"/>
      <c r="R793" s="40"/>
      <c r="S793" s="40"/>
      <c r="T793" s="41"/>
      <c r="U793" s="41"/>
      <c r="V793" s="41"/>
      <c r="W793" s="36"/>
      <c r="X793" s="36"/>
      <c r="Y793" s="36"/>
      <c r="Z793" s="36"/>
      <c r="AA793" s="36"/>
    </row>
    <row r="794" spans="16:27" x14ac:dyDescent="0.2">
      <c r="P794" s="36"/>
      <c r="Q794" s="40"/>
      <c r="R794" s="40"/>
      <c r="S794" s="40"/>
      <c r="T794" s="41"/>
      <c r="U794" s="41"/>
      <c r="V794" s="41"/>
      <c r="W794" s="36"/>
      <c r="X794" s="36"/>
      <c r="Y794" s="36"/>
      <c r="Z794" s="36"/>
      <c r="AA794" s="36"/>
    </row>
    <row r="795" spans="16:27" x14ac:dyDescent="0.2">
      <c r="P795" s="36"/>
      <c r="Q795" s="40"/>
      <c r="R795" s="40"/>
      <c r="S795" s="40"/>
      <c r="T795" s="41"/>
      <c r="U795" s="41"/>
      <c r="V795" s="41"/>
      <c r="W795" s="36"/>
      <c r="X795" s="36"/>
      <c r="Y795" s="36"/>
      <c r="Z795" s="36"/>
      <c r="AA795" s="36"/>
    </row>
    <row r="796" spans="16:27" x14ac:dyDescent="0.2">
      <c r="P796" s="36"/>
      <c r="Q796" s="40"/>
      <c r="R796" s="40"/>
      <c r="S796" s="40"/>
      <c r="T796" s="41"/>
      <c r="U796" s="41"/>
      <c r="V796" s="41"/>
      <c r="W796" s="36"/>
      <c r="X796" s="36"/>
      <c r="Y796" s="36"/>
      <c r="Z796" s="36"/>
      <c r="AA796" s="36"/>
    </row>
    <row r="797" spans="16:27" x14ac:dyDescent="0.2">
      <c r="P797" s="36"/>
      <c r="Q797" s="40"/>
      <c r="R797" s="40"/>
      <c r="S797" s="40"/>
      <c r="T797" s="41"/>
      <c r="U797" s="41"/>
      <c r="V797" s="41"/>
      <c r="W797" s="36"/>
      <c r="X797" s="36"/>
      <c r="Y797" s="36"/>
      <c r="Z797" s="36"/>
      <c r="AA797" s="36"/>
    </row>
    <row r="798" spans="16:27" x14ac:dyDescent="0.2">
      <c r="P798" s="36"/>
      <c r="Q798" s="40"/>
      <c r="R798" s="40"/>
      <c r="S798" s="40"/>
      <c r="T798" s="41"/>
      <c r="U798" s="41"/>
      <c r="V798" s="41"/>
      <c r="W798" s="36"/>
      <c r="X798" s="36"/>
      <c r="Y798" s="36"/>
      <c r="Z798" s="36"/>
      <c r="AA798" s="36"/>
    </row>
    <row r="799" spans="16:27" x14ac:dyDescent="0.2">
      <c r="P799" s="36"/>
      <c r="Q799" s="40"/>
      <c r="R799" s="40"/>
      <c r="S799" s="40"/>
      <c r="T799" s="41"/>
      <c r="U799" s="41"/>
      <c r="V799" s="41"/>
      <c r="W799" s="36"/>
      <c r="X799" s="36"/>
      <c r="Y799" s="36"/>
      <c r="Z799" s="36"/>
      <c r="AA799" s="36"/>
    </row>
    <row r="800" spans="16:27" x14ac:dyDescent="0.2">
      <c r="P800" s="36"/>
      <c r="Q800" s="40"/>
      <c r="R800" s="40"/>
      <c r="S800" s="40"/>
      <c r="T800" s="41"/>
      <c r="U800" s="41"/>
      <c r="V800" s="41"/>
      <c r="W800" s="36"/>
      <c r="X800" s="36"/>
      <c r="Y800" s="36"/>
      <c r="Z800" s="36"/>
      <c r="AA800" s="36"/>
    </row>
    <row r="801" spans="16:27" x14ac:dyDescent="0.2">
      <c r="P801" s="36"/>
      <c r="Q801" s="40"/>
      <c r="R801" s="40"/>
      <c r="S801" s="40"/>
      <c r="T801" s="41"/>
      <c r="U801" s="41"/>
      <c r="V801" s="41"/>
      <c r="W801" s="36"/>
      <c r="X801" s="36"/>
      <c r="Y801" s="36"/>
      <c r="Z801" s="36"/>
      <c r="AA801" s="36"/>
    </row>
    <row r="802" spans="16:27" x14ac:dyDescent="0.2">
      <c r="P802" s="36"/>
      <c r="Q802" s="40"/>
      <c r="R802" s="40"/>
      <c r="S802" s="40"/>
      <c r="T802" s="41"/>
      <c r="U802" s="41"/>
      <c r="V802" s="41"/>
      <c r="W802" s="36"/>
      <c r="X802" s="36"/>
      <c r="Y802" s="36"/>
      <c r="Z802" s="36"/>
      <c r="AA802" s="36"/>
    </row>
    <row r="803" spans="16:27" x14ac:dyDescent="0.2">
      <c r="P803" s="36"/>
      <c r="Q803" s="40"/>
      <c r="R803" s="40"/>
      <c r="S803" s="40"/>
      <c r="T803" s="41"/>
      <c r="U803" s="41"/>
      <c r="V803" s="41"/>
      <c r="W803" s="36"/>
      <c r="X803" s="36"/>
      <c r="Y803" s="36"/>
      <c r="Z803" s="36"/>
      <c r="AA803" s="36"/>
    </row>
    <row r="804" spans="16:27" x14ac:dyDescent="0.2">
      <c r="P804" s="36"/>
      <c r="Q804" s="40"/>
      <c r="R804" s="40"/>
      <c r="S804" s="40"/>
      <c r="T804" s="41"/>
      <c r="U804" s="41"/>
      <c r="V804" s="41"/>
      <c r="W804" s="36"/>
      <c r="X804" s="36"/>
      <c r="Y804" s="36"/>
      <c r="Z804" s="36"/>
      <c r="AA804" s="36"/>
    </row>
    <row r="805" spans="16:27" x14ac:dyDescent="0.2">
      <c r="P805" s="36"/>
      <c r="Q805" s="40"/>
      <c r="R805" s="40"/>
      <c r="S805" s="40"/>
      <c r="T805" s="41"/>
      <c r="U805" s="41"/>
      <c r="V805" s="41"/>
      <c r="W805" s="36"/>
      <c r="X805" s="36"/>
      <c r="Y805" s="36"/>
      <c r="Z805" s="36"/>
      <c r="AA805" s="36"/>
    </row>
    <row r="806" spans="16:27" x14ac:dyDescent="0.2">
      <c r="P806" s="36"/>
      <c r="Q806" s="40"/>
      <c r="R806" s="40"/>
      <c r="S806" s="40"/>
      <c r="T806" s="41"/>
      <c r="U806" s="41"/>
      <c r="V806" s="41"/>
      <c r="W806" s="36"/>
      <c r="X806" s="36"/>
      <c r="Y806" s="36"/>
      <c r="Z806" s="36"/>
      <c r="AA806" s="36"/>
    </row>
    <row r="807" spans="16:27" x14ac:dyDescent="0.2">
      <c r="P807" s="36"/>
      <c r="Q807" s="40"/>
      <c r="R807" s="40"/>
      <c r="S807" s="40"/>
      <c r="T807" s="41"/>
      <c r="U807" s="41"/>
      <c r="V807" s="41"/>
      <c r="W807" s="36"/>
      <c r="X807" s="36"/>
      <c r="Y807" s="36"/>
      <c r="Z807" s="36"/>
      <c r="AA807" s="36"/>
    </row>
    <row r="808" spans="16:27" x14ac:dyDescent="0.2">
      <c r="P808" s="36"/>
      <c r="Q808" s="40"/>
      <c r="R808" s="40"/>
      <c r="S808" s="40"/>
      <c r="T808" s="41"/>
      <c r="U808" s="41"/>
      <c r="V808" s="41"/>
      <c r="W808" s="36"/>
      <c r="X808" s="36"/>
      <c r="Y808" s="36"/>
      <c r="Z808" s="36"/>
      <c r="AA808" s="36"/>
    </row>
    <row r="809" spans="16:27" x14ac:dyDescent="0.2">
      <c r="P809" s="36"/>
      <c r="Q809" s="40"/>
      <c r="R809" s="40"/>
      <c r="S809" s="40"/>
      <c r="T809" s="41"/>
      <c r="U809" s="41"/>
      <c r="V809" s="41"/>
      <c r="W809" s="36"/>
      <c r="X809" s="36"/>
      <c r="Y809" s="36"/>
      <c r="Z809" s="36"/>
      <c r="AA809" s="36"/>
    </row>
    <row r="810" spans="16:27" x14ac:dyDescent="0.2">
      <c r="P810" s="36"/>
      <c r="Q810" s="40"/>
      <c r="R810" s="40"/>
      <c r="S810" s="40"/>
      <c r="T810" s="41"/>
      <c r="U810" s="41"/>
      <c r="V810" s="41"/>
      <c r="W810" s="36"/>
      <c r="X810" s="36"/>
      <c r="Y810" s="36"/>
      <c r="Z810" s="36"/>
      <c r="AA810" s="36"/>
    </row>
    <row r="811" spans="16:27" x14ac:dyDescent="0.2">
      <c r="P811" s="36"/>
      <c r="Q811" s="40"/>
      <c r="R811" s="40"/>
      <c r="S811" s="40"/>
      <c r="T811" s="41"/>
      <c r="U811" s="41"/>
      <c r="V811" s="41"/>
      <c r="W811" s="36"/>
      <c r="X811" s="36"/>
      <c r="Y811" s="36"/>
      <c r="Z811" s="36"/>
      <c r="AA811" s="36"/>
    </row>
    <row r="812" spans="16:27" x14ac:dyDescent="0.2">
      <c r="P812" s="36"/>
      <c r="Q812" s="40"/>
      <c r="R812" s="40"/>
      <c r="S812" s="40"/>
      <c r="T812" s="41"/>
      <c r="U812" s="41"/>
      <c r="V812" s="41"/>
      <c r="W812" s="36"/>
      <c r="X812" s="36"/>
      <c r="Y812" s="36"/>
      <c r="Z812" s="36"/>
      <c r="AA812" s="36"/>
    </row>
    <row r="813" spans="16:27" x14ac:dyDescent="0.2">
      <c r="P813" s="36"/>
      <c r="Q813" s="40"/>
      <c r="R813" s="40"/>
      <c r="S813" s="40"/>
      <c r="T813" s="41"/>
      <c r="U813" s="41"/>
      <c r="V813" s="41"/>
      <c r="W813" s="36"/>
      <c r="X813" s="36"/>
      <c r="Y813" s="36"/>
      <c r="Z813" s="36"/>
      <c r="AA813" s="36"/>
    </row>
    <row r="814" spans="16:27" x14ac:dyDescent="0.2">
      <c r="P814" s="36"/>
      <c r="Q814" s="40"/>
      <c r="R814" s="40"/>
      <c r="S814" s="40"/>
      <c r="T814" s="41"/>
      <c r="U814" s="41"/>
      <c r="V814" s="41"/>
      <c r="W814" s="36"/>
      <c r="X814" s="36"/>
      <c r="Y814" s="36"/>
      <c r="Z814" s="36"/>
      <c r="AA814" s="36"/>
    </row>
    <row r="815" spans="16:27" x14ac:dyDescent="0.2">
      <c r="P815" s="36"/>
      <c r="Q815" s="40"/>
      <c r="R815" s="40"/>
      <c r="S815" s="40"/>
      <c r="T815" s="41"/>
      <c r="U815" s="41"/>
      <c r="V815" s="41"/>
      <c r="W815" s="36"/>
      <c r="X815" s="36"/>
      <c r="Y815" s="36"/>
      <c r="Z815" s="36"/>
      <c r="AA815" s="36"/>
    </row>
    <row r="816" spans="16:27" x14ac:dyDescent="0.2">
      <c r="P816" s="36"/>
      <c r="Q816" s="40"/>
      <c r="R816" s="40"/>
      <c r="S816" s="40"/>
      <c r="T816" s="41"/>
      <c r="U816" s="41"/>
      <c r="V816" s="41"/>
      <c r="W816" s="36"/>
      <c r="X816" s="36"/>
      <c r="Y816" s="36"/>
      <c r="Z816" s="36"/>
      <c r="AA816" s="36"/>
    </row>
    <row r="817" spans="16:27" x14ac:dyDescent="0.2">
      <c r="P817" s="36"/>
      <c r="Q817" s="40"/>
      <c r="R817" s="40"/>
      <c r="S817" s="40"/>
      <c r="T817" s="41"/>
      <c r="U817" s="41"/>
      <c r="V817" s="41"/>
      <c r="W817" s="36"/>
      <c r="X817" s="36"/>
      <c r="Y817" s="36"/>
      <c r="Z817" s="36"/>
      <c r="AA817" s="36"/>
    </row>
    <row r="818" spans="16:27" x14ac:dyDescent="0.2">
      <c r="P818" s="36"/>
      <c r="Q818" s="40"/>
      <c r="R818" s="40"/>
      <c r="S818" s="40"/>
      <c r="T818" s="41"/>
      <c r="U818" s="41"/>
      <c r="V818" s="41"/>
      <c r="W818" s="36"/>
      <c r="X818" s="36"/>
      <c r="Y818" s="36"/>
      <c r="Z818" s="36"/>
      <c r="AA818" s="36"/>
    </row>
    <row r="819" spans="16:27" x14ac:dyDescent="0.2">
      <c r="P819" s="36"/>
      <c r="Q819" s="40"/>
      <c r="R819" s="40"/>
      <c r="S819" s="40"/>
      <c r="T819" s="41"/>
      <c r="U819" s="41"/>
      <c r="V819" s="41"/>
      <c r="W819" s="36"/>
      <c r="X819" s="36"/>
      <c r="Y819" s="36"/>
      <c r="Z819" s="36"/>
      <c r="AA819" s="36"/>
    </row>
    <row r="820" spans="16:27" x14ac:dyDescent="0.2">
      <c r="P820" s="36"/>
      <c r="Q820" s="40"/>
      <c r="R820" s="40"/>
      <c r="S820" s="40"/>
      <c r="T820" s="41"/>
      <c r="U820" s="41"/>
      <c r="V820" s="41"/>
      <c r="W820" s="36"/>
      <c r="X820" s="36"/>
      <c r="Y820" s="36"/>
      <c r="Z820" s="36"/>
      <c r="AA820" s="36"/>
    </row>
    <row r="821" spans="16:27" x14ac:dyDescent="0.2">
      <c r="P821" s="36"/>
      <c r="Q821" s="40"/>
      <c r="R821" s="40"/>
      <c r="S821" s="40"/>
      <c r="T821" s="41"/>
      <c r="U821" s="41"/>
      <c r="V821" s="41"/>
      <c r="W821" s="36"/>
      <c r="X821" s="36"/>
      <c r="Y821" s="36"/>
      <c r="Z821" s="36"/>
      <c r="AA821" s="36"/>
    </row>
    <row r="822" spans="16:27" x14ac:dyDescent="0.2">
      <c r="P822" s="36"/>
      <c r="Q822" s="40"/>
      <c r="R822" s="40"/>
      <c r="S822" s="40"/>
      <c r="T822" s="41"/>
      <c r="U822" s="41"/>
      <c r="V822" s="41"/>
      <c r="W822" s="36"/>
      <c r="X822" s="36"/>
      <c r="Y822" s="36"/>
      <c r="Z822" s="36"/>
      <c r="AA822" s="36"/>
    </row>
    <row r="823" spans="16:27" x14ac:dyDescent="0.2">
      <c r="P823" s="36"/>
      <c r="Q823" s="40"/>
      <c r="R823" s="40"/>
      <c r="S823" s="40"/>
      <c r="T823" s="41"/>
      <c r="U823" s="41"/>
      <c r="V823" s="41"/>
      <c r="W823" s="36"/>
      <c r="X823" s="36"/>
      <c r="Y823" s="36"/>
      <c r="Z823" s="36"/>
      <c r="AA823" s="36"/>
    </row>
    <row r="824" spans="16:27" x14ac:dyDescent="0.2">
      <c r="P824" s="36"/>
      <c r="Q824" s="40"/>
      <c r="R824" s="40"/>
      <c r="S824" s="40"/>
      <c r="T824" s="41"/>
      <c r="U824" s="41"/>
      <c r="V824" s="41"/>
      <c r="W824" s="36"/>
      <c r="X824" s="36"/>
      <c r="Y824" s="36"/>
      <c r="Z824" s="36"/>
      <c r="AA824" s="36"/>
    </row>
    <row r="825" spans="16:27" x14ac:dyDescent="0.2">
      <c r="P825" s="36"/>
      <c r="Q825" s="40"/>
      <c r="R825" s="40"/>
      <c r="S825" s="40"/>
      <c r="T825" s="41"/>
      <c r="U825" s="41"/>
      <c r="V825" s="41"/>
      <c r="W825" s="36"/>
      <c r="X825" s="36"/>
      <c r="Y825" s="36"/>
      <c r="Z825" s="36"/>
      <c r="AA825" s="36"/>
    </row>
    <row r="826" spans="16:27" x14ac:dyDescent="0.2">
      <c r="P826" s="36"/>
      <c r="Q826" s="40"/>
      <c r="R826" s="40"/>
      <c r="S826" s="40"/>
      <c r="T826" s="41"/>
      <c r="U826" s="41"/>
      <c r="V826" s="41"/>
      <c r="W826" s="36"/>
      <c r="X826" s="36"/>
      <c r="Y826" s="36"/>
      <c r="Z826" s="36"/>
      <c r="AA826" s="36"/>
    </row>
    <row r="827" spans="16:27" x14ac:dyDescent="0.2">
      <c r="P827" s="36"/>
      <c r="Q827" s="40"/>
      <c r="R827" s="40"/>
      <c r="S827" s="40"/>
      <c r="T827" s="41"/>
      <c r="U827" s="41"/>
      <c r="V827" s="41"/>
      <c r="W827" s="36"/>
      <c r="X827" s="36"/>
      <c r="Y827" s="36"/>
      <c r="Z827" s="36"/>
      <c r="AA827" s="36"/>
    </row>
    <row r="828" spans="16:27" x14ac:dyDescent="0.2">
      <c r="P828" s="36"/>
      <c r="Q828" s="40"/>
      <c r="R828" s="40"/>
      <c r="S828" s="40"/>
      <c r="T828" s="41"/>
      <c r="U828" s="41"/>
      <c r="V828" s="41"/>
      <c r="W828" s="36"/>
      <c r="X828" s="36"/>
      <c r="Y828" s="36"/>
      <c r="Z828" s="36"/>
      <c r="AA828" s="36"/>
    </row>
    <row r="829" spans="16:27" x14ac:dyDescent="0.2">
      <c r="P829" s="36"/>
      <c r="Q829" s="40"/>
      <c r="R829" s="40"/>
      <c r="S829" s="40"/>
      <c r="T829" s="41"/>
      <c r="U829" s="41"/>
      <c r="V829" s="41"/>
      <c r="W829" s="36"/>
      <c r="X829" s="36"/>
      <c r="Y829" s="36"/>
      <c r="Z829" s="36"/>
      <c r="AA829" s="36"/>
    </row>
    <row r="830" spans="16:27" x14ac:dyDescent="0.2">
      <c r="P830" s="36"/>
      <c r="Q830" s="40"/>
      <c r="R830" s="40"/>
      <c r="S830" s="40"/>
      <c r="T830" s="41"/>
      <c r="U830" s="41"/>
      <c r="V830" s="41"/>
      <c r="W830" s="36"/>
      <c r="X830" s="36"/>
      <c r="Y830" s="36"/>
      <c r="Z830" s="36"/>
      <c r="AA830" s="36"/>
    </row>
    <row r="831" spans="16:27" x14ac:dyDescent="0.2">
      <c r="P831" s="36"/>
      <c r="Q831" s="40"/>
      <c r="R831" s="40"/>
      <c r="S831" s="40"/>
      <c r="T831" s="41"/>
      <c r="U831" s="41"/>
      <c r="V831" s="41"/>
      <c r="W831" s="36"/>
      <c r="X831" s="36"/>
      <c r="Y831" s="36"/>
      <c r="Z831" s="36"/>
      <c r="AA831" s="36"/>
    </row>
    <row r="832" spans="16:27" x14ac:dyDescent="0.2">
      <c r="P832" s="36"/>
      <c r="Q832" s="40"/>
      <c r="R832" s="40"/>
      <c r="S832" s="40"/>
      <c r="T832" s="41"/>
      <c r="U832" s="41"/>
      <c r="V832" s="41"/>
      <c r="W832" s="36"/>
      <c r="X832" s="36"/>
      <c r="Y832" s="36"/>
      <c r="Z832" s="36"/>
      <c r="AA832" s="36"/>
    </row>
    <row r="833" spans="16:27" x14ac:dyDescent="0.2">
      <c r="P833" s="36"/>
      <c r="Q833" s="40"/>
      <c r="R833" s="40"/>
      <c r="S833" s="40"/>
      <c r="T833" s="41"/>
      <c r="U833" s="41"/>
      <c r="V833" s="41"/>
      <c r="W833" s="36"/>
      <c r="X833" s="36"/>
      <c r="Y833" s="36"/>
      <c r="Z833" s="36"/>
      <c r="AA833" s="36"/>
    </row>
    <row r="834" spans="16:27" x14ac:dyDescent="0.2">
      <c r="P834" s="36"/>
      <c r="Q834" s="40"/>
      <c r="R834" s="40"/>
      <c r="S834" s="40"/>
      <c r="T834" s="41"/>
      <c r="U834" s="41"/>
      <c r="V834" s="41"/>
      <c r="W834" s="36"/>
      <c r="X834" s="36"/>
      <c r="Y834" s="36"/>
      <c r="Z834" s="36"/>
      <c r="AA834" s="36"/>
    </row>
    <row r="835" spans="16:27" x14ac:dyDescent="0.2">
      <c r="P835" s="36"/>
      <c r="Q835" s="40"/>
      <c r="R835" s="40"/>
      <c r="S835" s="40"/>
      <c r="T835" s="41"/>
      <c r="U835" s="41"/>
      <c r="V835" s="41"/>
      <c r="W835" s="36"/>
      <c r="X835" s="36"/>
      <c r="Y835" s="36"/>
      <c r="Z835" s="36"/>
      <c r="AA835" s="36"/>
    </row>
    <row r="836" spans="16:27" x14ac:dyDescent="0.2">
      <c r="P836" s="36"/>
      <c r="Q836" s="40"/>
      <c r="R836" s="40"/>
      <c r="S836" s="40"/>
      <c r="T836" s="41"/>
      <c r="U836" s="41"/>
      <c r="V836" s="41"/>
      <c r="W836" s="36"/>
      <c r="X836" s="36"/>
      <c r="Y836" s="36"/>
      <c r="Z836" s="36"/>
      <c r="AA836" s="36"/>
    </row>
    <row r="837" spans="16:27" x14ac:dyDescent="0.2">
      <c r="P837" s="36"/>
      <c r="Q837" s="40"/>
      <c r="R837" s="40"/>
      <c r="S837" s="40"/>
      <c r="T837" s="41"/>
      <c r="U837" s="41"/>
      <c r="V837" s="41"/>
      <c r="W837" s="36"/>
      <c r="X837" s="36"/>
      <c r="Y837" s="36"/>
      <c r="Z837" s="36"/>
      <c r="AA837" s="36"/>
    </row>
    <row r="838" spans="16:27" x14ac:dyDescent="0.2">
      <c r="P838" s="36"/>
      <c r="Q838" s="40"/>
      <c r="R838" s="40"/>
      <c r="S838" s="40"/>
      <c r="T838" s="41"/>
      <c r="U838" s="41"/>
      <c r="V838" s="41"/>
      <c r="W838" s="36"/>
      <c r="X838" s="36"/>
      <c r="Y838" s="36"/>
      <c r="Z838" s="36"/>
      <c r="AA838" s="36"/>
    </row>
    <row r="839" spans="16:27" x14ac:dyDescent="0.2">
      <c r="P839" s="36"/>
      <c r="Q839" s="40"/>
      <c r="R839" s="40"/>
      <c r="S839" s="40"/>
      <c r="T839" s="41"/>
      <c r="U839" s="41"/>
      <c r="V839" s="41"/>
      <c r="W839" s="36"/>
      <c r="X839" s="36"/>
      <c r="Y839" s="36"/>
      <c r="Z839" s="36"/>
      <c r="AA839" s="36"/>
    </row>
    <row r="840" spans="16:27" x14ac:dyDescent="0.2">
      <c r="P840" s="36"/>
      <c r="Q840" s="40"/>
      <c r="R840" s="40"/>
      <c r="S840" s="40"/>
      <c r="T840" s="41"/>
      <c r="U840" s="41"/>
      <c r="V840" s="41"/>
      <c r="W840" s="36"/>
      <c r="X840" s="36"/>
      <c r="Y840" s="36"/>
      <c r="Z840" s="36"/>
      <c r="AA840" s="36"/>
    </row>
    <row r="841" spans="16:27" x14ac:dyDescent="0.2">
      <c r="P841" s="36"/>
      <c r="Q841" s="40"/>
      <c r="R841" s="40"/>
      <c r="S841" s="40"/>
      <c r="T841" s="41"/>
      <c r="U841" s="41"/>
      <c r="V841" s="41"/>
      <c r="W841" s="36"/>
      <c r="X841" s="36"/>
      <c r="Y841" s="36"/>
      <c r="Z841" s="36"/>
      <c r="AA841" s="36"/>
    </row>
    <row r="842" spans="16:27" x14ac:dyDescent="0.2">
      <c r="P842" s="36"/>
      <c r="Q842" s="40"/>
      <c r="R842" s="40"/>
      <c r="S842" s="40"/>
      <c r="T842" s="41"/>
      <c r="U842" s="41"/>
      <c r="V842" s="41"/>
      <c r="W842" s="36"/>
      <c r="X842" s="36"/>
      <c r="Y842" s="36"/>
      <c r="Z842" s="36"/>
      <c r="AA842" s="36"/>
    </row>
    <row r="843" spans="16:27" x14ac:dyDescent="0.2">
      <c r="P843" s="36"/>
      <c r="Q843" s="40"/>
      <c r="R843" s="40"/>
      <c r="S843" s="40"/>
      <c r="T843" s="41"/>
      <c r="U843" s="41"/>
      <c r="V843" s="41"/>
      <c r="W843" s="36"/>
      <c r="X843" s="36"/>
      <c r="Y843" s="36"/>
      <c r="Z843" s="36"/>
      <c r="AA843" s="36"/>
    </row>
    <row r="844" spans="16:27" x14ac:dyDescent="0.2">
      <c r="P844" s="36"/>
      <c r="Q844" s="40"/>
      <c r="R844" s="40"/>
      <c r="S844" s="40"/>
      <c r="T844" s="41"/>
      <c r="U844" s="41"/>
      <c r="V844" s="41"/>
      <c r="W844" s="36"/>
      <c r="X844" s="36"/>
      <c r="Y844" s="36"/>
      <c r="Z844" s="36"/>
      <c r="AA844" s="36"/>
    </row>
    <row r="845" spans="16:27" x14ac:dyDescent="0.2">
      <c r="P845" s="36"/>
      <c r="Q845" s="40"/>
      <c r="R845" s="40"/>
      <c r="S845" s="40"/>
      <c r="T845" s="41"/>
      <c r="U845" s="41"/>
      <c r="V845" s="41"/>
      <c r="W845" s="36"/>
      <c r="X845" s="36"/>
      <c r="Y845" s="36"/>
      <c r="Z845" s="36"/>
      <c r="AA845" s="36"/>
    </row>
    <row r="846" spans="16:27" x14ac:dyDescent="0.2">
      <c r="P846" s="36"/>
      <c r="Q846" s="40"/>
      <c r="R846" s="40"/>
      <c r="S846" s="40"/>
      <c r="T846" s="41"/>
      <c r="U846" s="41"/>
      <c r="V846" s="41"/>
      <c r="W846" s="36"/>
      <c r="X846" s="36"/>
      <c r="Y846" s="36"/>
      <c r="Z846" s="36"/>
      <c r="AA846" s="36"/>
    </row>
    <row r="847" spans="16:27" x14ac:dyDescent="0.2">
      <c r="P847" s="36"/>
      <c r="Q847" s="40"/>
      <c r="R847" s="40"/>
      <c r="S847" s="40"/>
      <c r="T847" s="41"/>
      <c r="U847" s="41"/>
      <c r="V847" s="41"/>
      <c r="W847" s="36"/>
      <c r="X847" s="36"/>
      <c r="Y847" s="36"/>
      <c r="Z847" s="36"/>
      <c r="AA847" s="36"/>
    </row>
    <row r="848" spans="16:27" x14ac:dyDescent="0.2">
      <c r="P848" s="36"/>
      <c r="Q848" s="40"/>
      <c r="R848" s="40"/>
      <c r="S848" s="40"/>
      <c r="T848" s="41"/>
      <c r="U848" s="41"/>
      <c r="V848" s="41"/>
      <c r="W848" s="36"/>
      <c r="X848" s="36"/>
      <c r="Y848" s="36"/>
      <c r="Z848" s="36"/>
      <c r="AA848" s="36"/>
    </row>
    <row r="849" spans="16:27" x14ac:dyDescent="0.2">
      <c r="P849" s="36"/>
      <c r="Q849" s="40"/>
      <c r="R849" s="40"/>
      <c r="S849" s="40"/>
      <c r="T849" s="41"/>
      <c r="U849" s="41"/>
      <c r="V849" s="41"/>
      <c r="W849" s="36"/>
      <c r="X849" s="36"/>
      <c r="Y849" s="36"/>
      <c r="Z849" s="36"/>
      <c r="AA849" s="36"/>
    </row>
    <row r="850" spans="16:27" x14ac:dyDescent="0.2">
      <c r="P850" s="36"/>
      <c r="Q850" s="40"/>
      <c r="R850" s="40"/>
      <c r="S850" s="40"/>
      <c r="T850" s="41"/>
      <c r="U850" s="41"/>
      <c r="V850" s="41"/>
      <c r="W850" s="36"/>
      <c r="X850" s="36"/>
      <c r="Y850" s="36"/>
      <c r="Z850" s="36"/>
      <c r="AA850" s="36"/>
    </row>
    <row r="851" spans="16:27" x14ac:dyDescent="0.2">
      <c r="P851" s="36"/>
      <c r="Q851" s="40"/>
      <c r="R851" s="40"/>
      <c r="S851" s="40"/>
      <c r="T851" s="41"/>
      <c r="U851" s="41"/>
      <c r="V851" s="41"/>
      <c r="W851" s="36"/>
      <c r="X851" s="36"/>
      <c r="Y851" s="36"/>
      <c r="Z851" s="36"/>
      <c r="AA851" s="36"/>
    </row>
    <row r="852" spans="16:27" x14ac:dyDescent="0.2">
      <c r="P852" s="36"/>
      <c r="Q852" s="40"/>
      <c r="R852" s="40"/>
      <c r="S852" s="40"/>
      <c r="T852" s="41"/>
      <c r="U852" s="41"/>
      <c r="V852" s="41"/>
      <c r="W852" s="36"/>
      <c r="X852" s="36"/>
      <c r="Y852" s="36"/>
      <c r="Z852" s="36"/>
      <c r="AA852" s="36"/>
    </row>
    <row r="853" spans="16:27" x14ac:dyDescent="0.2">
      <c r="P853" s="36"/>
      <c r="Q853" s="40"/>
      <c r="R853" s="40"/>
      <c r="S853" s="40"/>
      <c r="T853" s="41"/>
      <c r="U853" s="41"/>
      <c r="V853" s="41"/>
      <c r="W853" s="36"/>
      <c r="X853" s="36"/>
      <c r="Y853" s="36"/>
      <c r="Z853" s="36"/>
      <c r="AA853" s="36"/>
    </row>
    <row r="854" spans="16:27" x14ac:dyDescent="0.2">
      <c r="P854" s="36"/>
      <c r="Q854" s="40"/>
      <c r="R854" s="40"/>
      <c r="S854" s="40"/>
      <c r="T854" s="41"/>
      <c r="U854" s="41"/>
      <c r="V854" s="41"/>
      <c r="W854" s="36"/>
      <c r="X854" s="36"/>
      <c r="Y854" s="36"/>
      <c r="Z854" s="36"/>
      <c r="AA854" s="36"/>
    </row>
    <row r="855" spans="16:27" x14ac:dyDescent="0.2">
      <c r="P855" s="36"/>
      <c r="Q855" s="40"/>
      <c r="R855" s="40"/>
      <c r="S855" s="40"/>
      <c r="T855" s="41"/>
      <c r="U855" s="41"/>
      <c r="V855" s="41"/>
      <c r="W855" s="36"/>
      <c r="X855" s="36"/>
      <c r="Y855" s="36"/>
      <c r="Z855" s="36"/>
      <c r="AA855" s="36"/>
    </row>
    <row r="856" spans="16:27" x14ac:dyDescent="0.2">
      <c r="P856" s="36"/>
      <c r="Q856" s="40"/>
      <c r="R856" s="40"/>
      <c r="S856" s="40"/>
      <c r="T856" s="41"/>
      <c r="U856" s="41"/>
      <c r="V856" s="41"/>
      <c r="W856" s="36"/>
      <c r="X856" s="36"/>
      <c r="Y856" s="36"/>
      <c r="Z856" s="36"/>
      <c r="AA856" s="36"/>
    </row>
    <row r="857" spans="16:27" x14ac:dyDescent="0.2">
      <c r="P857" s="36"/>
      <c r="Q857" s="40"/>
      <c r="R857" s="40"/>
      <c r="S857" s="40"/>
      <c r="T857" s="41"/>
      <c r="U857" s="41"/>
      <c r="V857" s="41"/>
      <c r="W857" s="36"/>
      <c r="X857" s="36"/>
      <c r="Y857" s="36"/>
      <c r="Z857" s="36"/>
      <c r="AA857" s="36"/>
    </row>
    <row r="858" spans="16:27" x14ac:dyDescent="0.2">
      <c r="P858" s="36"/>
      <c r="Q858" s="40"/>
      <c r="R858" s="40"/>
      <c r="S858" s="40"/>
      <c r="T858" s="41"/>
      <c r="U858" s="41"/>
      <c r="V858" s="41"/>
      <c r="W858" s="36"/>
      <c r="X858" s="36"/>
      <c r="Y858" s="36"/>
      <c r="Z858" s="36"/>
      <c r="AA858" s="36"/>
    </row>
    <row r="859" spans="16:27" x14ac:dyDescent="0.2">
      <c r="P859" s="36"/>
      <c r="Q859" s="40"/>
      <c r="R859" s="40"/>
      <c r="S859" s="40"/>
      <c r="T859" s="41"/>
      <c r="U859" s="41"/>
      <c r="V859" s="41"/>
      <c r="W859" s="36"/>
      <c r="X859" s="36"/>
      <c r="Y859" s="36"/>
      <c r="Z859" s="36"/>
      <c r="AA859" s="36"/>
    </row>
    <row r="860" spans="16:27" x14ac:dyDescent="0.2">
      <c r="P860" s="36"/>
      <c r="Q860" s="40"/>
      <c r="R860" s="40"/>
      <c r="S860" s="40"/>
      <c r="T860" s="41"/>
      <c r="U860" s="41"/>
      <c r="V860" s="41"/>
      <c r="W860" s="36"/>
      <c r="X860" s="36"/>
      <c r="Y860" s="36"/>
      <c r="Z860" s="36"/>
      <c r="AA860" s="36"/>
    </row>
    <row r="861" spans="16:27" x14ac:dyDescent="0.2">
      <c r="P861" s="36"/>
      <c r="Q861" s="40"/>
      <c r="R861" s="40"/>
      <c r="S861" s="40"/>
      <c r="T861" s="41"/>
      <c r="U861" s="41"/>
      <c r="V861" s="41"/>
      <c r="W861" s="36"/>
      <c r="X861" s="36"/>
      <c r="Y861" s="36"/>
      <c r="Z861" s="36"/>
      <c r="AA861" s="36"/>
    </row>
    <row r="862" spans="16:27" x14ac:dyDescent="0.2">
      <c r="P862" s="36"/>
      <c r="Q862" s="40"/>
      <c r="R862" s="40"/>
      <c r="S862" s="40"/>
      <c r="T862" s="41"/>
      <c r="U862" s="41"/>
      <c r="V862" s="41"/>
      <c r="W862" s="36"/>
      <c r="X862" s="36"/>
      <c r="Y862" s="36"/>
      <c r="Z862" s="36"/>
      <c r="AA862" s="36"/>
    </row>
    <row r="863" spans="16:27" x14ac:dyDescent="0.2">
      <c r="P863" s="36"/>
      <c r="Q863" s="40"/>
      <c r="R863" s="40"/>
      <c r="S863" s="40"/>
      <c r="T863" s="41"/>
      <c r="U863" s="41"/>
      <c r="V863" s="41"/>
      <c r="W863" s="36"/>
      <c r="X863" s="36"/>
      <c r="Y863" s="36"/>
      <c r="Z863" s="36"/>
      <c r="AA863" s="36"/>
    </row>
    <row r="864" spans="16:27" x14ac:dyDescent="0.2">
      <c r="P864" s="36"/>
      <c r="Q864" s="40"/>
      <c r="R864" s="40"/>
      <c r="S864" s="40"/>
      <c r="T864" s="41"/>
      <c r="U864" s="41"/>
      <c r="V864" s="41"/>
      <c r="W864" s="36"/>
      <c r="X864" s="36"/>
      <c r="Y864" s="36"/>
      <c r="Z864" s="36"/>
      <c r="AA864" s="36"/>
    </row>
    <row r="865" spans="16:27" x14ac:dyDescent="0.2">
      <c r="P865" s="36"/>
      <c r="Q865" s="40"/>
      <c r="R865" s="40"/>
      <c r="S865" s="40"/>
      <c r="T865" s="41"/>
      <c r="U865" s="41"/>
      <c r="V865" s="41"/>
      <c r="W865" s="36"/>
      <c r="X865" s="36"/>
      <c r="Y865" s="36"/>
      <c r="Z865" s="36"/>
      <c r="AA865" s="36"/>
    </row>
    <row r="866" spans="16:27" x14ac:dyDescent="0.2">
      <c r="P866" s="36"/>
      <c r="Q866" s="40"/>
      <c r="R866" s="40"/>
      <c r="S866" s="40"/>
      <c r="T866" s="41"/>
      <c r="U866" s="41"/>
      <c r="V866" s="41"/>
      <c r="W866" s="36"/>
      <c r="X866" s="36"/>
      <c r="Y866" s="36"/>
      <c r="Z866" s="36"/>
      <c r="AA866" s="36"/>
    </row>
    <row r="867" spans="16:27" x14ac:dyDescent="0.2">
      <c r="P867" s="36"/>
      <c r="Q867" s="40"/>
      <c r="R867" s="40"/>
      <c r="S867" s="40"/>
      <c r="T867" s="41"/>
      <c r="U867" s="41"/>
      <c r="V867" s="41"/>
      <c r="W867" s="36"/>
      <c r="X867" s="36"/>
      <c r="Y867" s="36"/>
      <c r="Z867" s="36"/>
      <c r="AA867" s="36"/>
    </row>
    <row r="868" spans="16:27" x14ac:dyDescent="0.2">
      <c r="P868" s="36"/>
      <c r="Q868" s="40"/>
      <c r="R868" s="40"/>
      <c r="S868" s="40"/>
      <c r="T868" s="41"/>
      <c r="U868" s="41"/>
      <c r="V868" s="41"/>
      <c r="W868" s="36"/>
      <c r="X868" s="36"/>
      <c r="Y868" s="36"/>
      <c r="Z868" s="36"/>
      <c r="AA868" s="36"/>
    </row>
    <row r="869" spans="16:27" x14ac:dyDescent="0.2">
      <c r="P869" s="36"/>
      <c r="Q869" s="40"/>
      <c r="R869" s="40"/>
      <c r="S869" s="40"/>
      <c r="T869" s="41"/>
      <c r="U869" s="41"/>
      <c r="V869" s="41"/>
      <c r="W869" s="36"/>
      <c r="X869" s="36"/>
      <c r="Y869" s="36"/>
      <c r="Z869" s="36"/>
      <c r="AA869" s="36"/>
    </row>
    <row r="870" spans="16:27" x14ac:dyDescent="0.2">
      <c r="P870" s="36"/>
      <c r="Q870" s="40"/>
      <c r="R870" s="40"/>
      <c r="S870" s="40"/>
      <c r="T870" s="41"/>
      <c r="U870" s="41"/>
      <c r="V870" s="41"/>
      <c r="W870" s="36"/>
      <c r="X870" s="36"/>
      <c r="Y870" s="36"/>
      <c r="Z870" s="36"/>
      <c r="AA870" s="36"/>
    </row>
    <row r="871" spans="16:27" x14ac:dyDescent="0.2">
      <c r="P871" s="36"/>
      <c r="Q871" s="40"/>
      <c r="R871" s="40"/>
      <c r="S871" s="40"/>
      <c r="T871" s="41"/>
      <c r="U871" s="41"/>
      <c r="V871" s="41"/>
      <c r="W871" s="36"/>
      <c r="X871" s="36"/>
      <c r="Y871" s="36"/>
      <c r="Z871" s="36"/>
      <c r="AA871" s="36"/>
    </row>
    <row r="872" spans="16:27" x14ac:dyDescent="0.2">
      <c r="P872" s="36"/>
      <c r="Q872" s="40"/>
      <c r="R872" s="40"/>
      <c r="S872" s="40"/>
      <c r="T872" s="41"/>
      <c r="U872" s="41"/>
      <c r="V872" s="41"/>
      <c r="W872" s="36"/>
      <c r="X872" s="36"/>
      <c r="Y872" s="36"/>
      <c r="Z872" s="36"/>
      <c r="AA872" s="36"/>
    </row>
    <row r="873" spans="16:27" x14ac:dyDescent="0.2">
      <c r="P873" s="36"/>
      <c r="Q873" s="40"/>
      <c r="R873" s="40"/>
      <c r="S873" s="40"/>
      <c r="T873" s="41"/>
      <c r="U873" s="41"/>
      <c r="V873" s="41"/>
      <c r="W873" s="36"/>
      <c r="X873" s="36"/>
      <c r="Y873" s="36"/>
      <c r="Z873" s="36"/>
      <c r="AA873" s="36"/>
    </row>
    <row r="874" spans="16:27" x14ac:dyDescent="0.2">
      <c r="P874" s="36"/>
      <c r="Q874" s="40"/>
      <c r="R874" s="40"/>
      <c r="S874" s="40"/>
      <c r="T874" s="41"/>
      <c r="U874" s="41"/>
      <c r="V874" s="41"/>
      <c r="W874" s="36"/>
      <c r="X874" s="36"/>
      <c r="Y874" s="36"/>
      <c r="Z874" s="36"/>
      <c r="AA874" s="36"/>
    </row>
    <row r="875" spans="16:27" x14ac:dyDescent="0.2">
      <c r="P875" s="36"/>
      <c r="Q875" s="40"/>
      <c r="R875" s="40"/>
      <c r="S875" s="40"/>
      <c r="T875" s="41"/>
      <c r="U875" s="41"/>
      <c r="V875" s="41"/>
      <c r="W875" s="36"/>
      <c r="X875" s="36"/>
      <c r="Y875" s="36"/>
      <c r="Z875" s="36"/>
      <c r="AA875" s="36"/>
    </row>
    <row r="876" spans="16:27" x14ac:dyDescent="0.2">
      <c r="P876" s="36"/>
      <c r="Q876" s="40"/>
      <c r="R876" s="40"/>
      <c r="S876" s="40"/>
      <c r="T876" s="41"/>
      <c r="U876" s="41"/>
      <c r="V876" s="41"/>
      <c r="W876" s="36"/>
      <c r="X876" s="36"/>
      <c r="Y876" s="36"/>
      <c r="Z876" s="36"/>
      <c r="AA876" s="36"/>
    </row>
    <row r="877" spans="16:27" x14ac:dyDescent="0.2">
      <c r="P877" s="36"/>
      <c r="Q877" s="40"/>
      <c r="R877" s="40"/>
      <c r="S877" s="40"/>
      <c r="T877" s="41"/>
      <c r="U877" s="41"/>
      <c r="V877" s="41"/>
      <c r="W877" s="36"/>
      <c r="X877" s="36"/>
      <c r="Y877" s="36"/>
      <c r="Z877" s="36"/>
      <c r="AA877" s="36"/>
    </row>
    <row r="878" spans="16:27" x14ac:dyDescent="0.2">
      <c r="P878" s="36"/>
      <c r="Q878" s="40"/>
      <c r="R878" s="40"/>
      <c r="S878" s="40"/>
      <c r="T878" s="41"/>
      <c r="U878" s="41"/>
      <c r="V878" s="41"/>
      <c r="W878" s="36"/>
      <c r="X878" s="36"/>
      <c r="Y878" s="36"/>
      <c r="Z878" s="36"/>
      <c r="AA878" s="36"/>
    </row>
    <row r="879" spans="16:27" x14ac:dyDescent="0.2">
      <c r="P879" s="36"/>
      <c r="Q879" s="40"/>
      <c r="R879" s="40"/>
      <c r="S879" s="40"/>
      <c r="T879" s="41"/>
      <c r="U879" s="41"/>
      <c r="V879" s="41"/>
      <c r="W879" s="36"/>
      <c r="X879" s="36"/>
      <c r="Y879" s="36"/>
      <c r="Z879" s="36"/>
      <c r="AA879" s="36"/>
    </row>
    <row r="880" spans="16:27" x14ac:dyDescent="0.2">
      <c r="P880" s="36"/>
      <c r="Q880" s="40"/>
      <c r="R880" s="40"/>
      <c r="S880" s="40"/>
      <c r="T880" s="41"/>
      <c r="U880" s="41"/>
      <c r="V880" s="41"/>
      <c r="W880" s="36"/>
      <c r="X880" s="36"/>
      <c r="Y880" s="36"/>
      <c r="Z880" s="36"/>
      <c r="AA880" s="36"/>
    </row>
    <row r="881" spans="16:27" x14ac:dyDescent="0.2">
      <c r="P881" s="36"/>
      <c r="Q881" s="40"/>
      <c r="R881" s="40"/>
      <c r="S881" s="40"/>
      <c r="T881" s="41"/>
      <c r="U881" s="41"/>
      <c r="V881" s="41"/>
      <c r="W881" s="36"/>
      <c r="X881" s="36"/>
      <c r="Y881" s="36"/>
      <c r="Z881" s="36"/>
      <c r="AA881" s="36"/>
    </row>
    <row r="882" spans="16:27" x14ac:dyDescent="0.2">
      <c r="P882" s="36"/>
      <c r="Q882" s="40"/>
      <c r="R882" s="40"/>
      <c r="S882" s="40"/>
      <c r="T882" s="41"/>
      <c r="U882" s="41"/>
      <c r="V882" s="41"/>
      <c r="W882" s="36"/>
      <c r="X882" s="36"/>
      <c r="Y882" s="36"/>
      <c r="Z882" s="36"/>
      <c r="AA882" s="36"/>
    </row>
    <row r="883" spans="16:27" x14ac:dyDescent="0.2">
      <c r="P883" s="36"/>
      <c r="Q883" s="40"/>
      <c r="R883" s="40"/>
      <c r="S883" s="40"/>
      <c r="T883" s="41"/>
      <c r="U883" s="41"/>
      <c r="V883" s="41"/>
      <c r="W883" s="36"/>
      <c r="X883" s="36"/>
      <c r="Y883" s="36"/>
      <c r="Z883" s="36"/>
      <c r="AA883" s="36"/>
    </row>
    <row r="884" spans="16:27" x14ac:dyDescent="0.2">
      <c r="P884" s="36"/>
      <c r="Q884" s="40"/>
      <c r="R884" s="40"/>
      <c r="S884" s="40"/>
      <c r="T884" s="41"/>
      <c r="U884" s="41"/>
      <c r="V884" s="41"/>
      <c r="W884" s="36"/>
      <c r="X884" s="36"/>
      <c r="Y884" s="36"/>
      <c r="Z884" s="36"/>
      <c r="AA884" s="36"/>
    </row>
    <row r="885" spans="16:27" x14ac:dyDescent="0.2">
      <c r="P885" s="36"/>
      <c r="Q885" s="40"/>
      <c r="R885" s="40"/>
      <c r="S885" s="40"/>
      <c r="T885" s="41"/>
      <c r="U885" s="41"/>
      <c r="V885" s="41"/>
      <c r="W885" s="36"/>
      <c r="X885" s="36"/>
      <c r="Y885" s="36"/>
      <c r="Z885" s="36"/>
      <c r="AA885" s="36"/>
    </row>
    <row r="886" spans="16:27" x14ac:dyDescent="0.2">
      <c r="P886" s="36"/>
      <c r="Q886" s="40"/>
      <c r="R886" s="40"/>
      <c r="S886" s="40"/>
      <c r="T886" s="41"/>
      <c r="U886" s="41"/>
      <c r="V886" s="41"/>
      <c r="W886" s="36"/>
      <c r="X886" s="36"/>
      <c r="Y886" s="36"/>
      <c r="Z886" s="36"/>
      <c r="AA886" s="36"/>
    </row>
    <row r="887" spans="16:27" x14ac:dyDescent="0.2">
      <c r="P887" s="36"/>
      <c r="Q887" s="40"/>
      <c r="R887" s="40"/>
      <c r="S887" s="40"/>
      <c r="T887" s="41"/>
      <c r="U887" s="41"/>
      <c r="V887" s="41"/>
      <c r="W887" s="36"/>
      <c r="X887" s="36"/>
      <c r="Y887" s="36"/>
      <c r="Z887" s="36"/>
      <c r="AA887" s="36"/>
    </row>
    <row r="888" spans="16:27" x14ac:dyDescent="0.2">
      <c r="P888" s="36"/>
      <c r="Q888" s="40"/>
      <c r="R888" s="40"/>
      <c r="S888" s="40"/>
      <c r="T888" s="41"/>
      <c r="U888" s="41"/>
      <c r="V888" s="41"/>
      <c r="W888" s="36"/>
      <c r="X888" s="36"/>
      <c r="Y888" s="36"/>
      <c r="Z888" s="36"/>
      <c r="AA888" s="36"/>
    </row>
    <row r="889" spans="16:27" x14ac:dyDescent="0.2">
      <c r="P889" s="36"/>
      <c r="Q889" s="40"/>
      <c r="R889" s="40"/>
      <c r="S889" s="40"/>
      <c r="T889" s="41"/>
      <c r="U889" s="41"/>
      <c r="V889" s="41"/>
      <c r="W889" s="36"/>
      <c r="X889" s="36"/>
      <c r="Y889" s="36"/>
      <c r="Z889" s="36"/>
      <c r="AA889" s="36"/>
    </row>
    <row r="890" spans="16:27" x14ac:dyDescent="0.2">
      <c r="P890" s="36"/>
      <c r="Q890" s="40"/>
      <c r="R890" s="40"/>
      <c r="S890" s="40"/>
      <c r="T890" s="41"/>
      <c r="U890" s="41"/>
      <c r="V890" s="41"/>
      <c r="W890" s="36"/>
      <c r="X890" s="36"/>
      <c r="Y890" s="36"/>
      <c r="Z890" s="36"/>
      <c r="AA890" s="36"/>
    </row>
    <row r="891" spans="16:27" x14ac:dyDescent="0.2">
      <c r="P891" s="36"/>
      <c r="Q891" s="40"/>
      <c r="R891" s="40"/>
      <c r="S891" s="40"/>
      <c r="T891" s="41"/>
      <c r="U891" s="41"/>
      <c r="V891" s="41"/>
      <c r="W891" s="36"/>
      <c r="X891" s="36"/>
      <c r="Y891" s="36"/>
      <c r="Z891" s="36"/>
      <c r="AA891" s="36"/>
    </row>
    <row r="892" spans="16:27" x14ac:dyDescent="0.2">
      <c r="P892" s="36"/>
      <c r="Q892" s="40"/>
      <c r="R892" s="40"/>
      <c r="S892" s="40"/>
      <c r="T892" s="41"/>
      <c r="U892" s="41"/>
      <c r="V892" s="41"/>
      <c r="W892" s="36"/>
      <c r="X892" s="36"/>
      <c r="Y892" s="36"/>
      <c r="Z892" s="36"/>
      <c r="AA892" s="36"/>
    </row>
    <row r="893" spans="16:27" x14ac:dyDescent="0.2">
      <c r="P893" s="36"/>
      <c r="Q893" s="40"/>
      <c r="R893" s="40"/>
      <c r="S893" s="40"/>
      <c r="T893" s="41"/>
      <c r="U893" s="41"/>
      <c r="V893" s="41"/>
      <c r="W893" s="36"/>
      <c r="X893" s="36"/>
      <c r="Y893" s="36"/>
      <c r="Z893" s="36"/>
      <c r="AA893" s="36"/>
    </row>
    <row r="894" spans="16:27" x14ac:dyDescent="0.2">
      <c r="P894" s="36"/>
      <c r="Q894" s="40"/>
      <c r="R894" s="40"/>
      <c r="S894" s="40"/>
      <c r="T894" s="41"/>
      <c r="U894" s="41"/>
      <c r="V894" s="41"/>
      <c r="W894" s="36"/>
      <c r="X894" s="36"/>
      <c r="Y894" s="36"/>
      <c r="Z894" s="36"/>
      <c r="AA894" s="36"/>
    </row>
    <row r="895" spans="16:27" x14ac:dyDescent="0.2">
      <c r="P895" s="36"/>
      <c r="Q895" s="40"/>
      <c r="R895" s="40"/>
      <c r="S895" s="40"/>
      <c r="T895" s="41"/>
      <c r="U895" s="41"/>
      <c r="V895" s="41"/>
      <c r="W895" s="36"/>
      <c r="X895" s="36"/>
      <c r="Y895" s="36"/>
      <c r="Z895" s="36"/>
      <c r="AA895" s="36"/>
    </row>
    <row r="896" spans="16:27" x14ac:dyDescent="0.2">
      <c r="P896" s="36"/>
      <c r="Q896" s="40"/>
      <c r="R896" s="40"/>
      <c r="S896" s="40"/>
      <c r="T896" s="41"/>
      <c r="U896" s="41"/>
      <c r="V896" s="41"/>
      <c r="W896" s="36"/>
      <c r="X896" s="36"/>
      <c r="Y896" s="36"/>
      <c r="Z896" s="36"/>
      <c r="AA896" s="36"/>
    </row>
    <row r="897" spans="16:27" x14ac:dyDescent="0.2">
      <c r="P897" s="36"/>
      <c r="Q897" s="40"/>
      <c r="R897" s="40"/>
      <c r="S897" s="40"/>
      <c r="T897" s="41"/>
      <c r="U897" s="41"/>
      <c r="V897" s="41"/>
      <c r="W897" s="36"/>
      <c r="X897" s="36"/>
      <c r="Y897" s="36"/>
      <c r="Z897" s="36"/>
      <c r="AA897" s="36"/>
    </row>
    <row r="898" spans="16:27" x14ac:dyDescent="0.2">
      <c r="P898" s="36"/>
      <c r="Q898" s="40"/>
      <c r="R898" s="40"/>
      <c r="S898" s="40"/>
      <c r="T898" s="41"/>
      <c r="U898" s="41"/>
      <c r="V898" s="41"/>
      <c r="W898" s="36"/>
      <c r="X898" s="36"/>
      <c r="Y898" s="36"/>
      <c r="Z898" s="36"/>
      <c r="AA898" s="36"/>
    </row>
    <row r="899" spans="16:27" x14ac:dyDescent="0.2">
      <c r="P899" s="36"/>
      <c r="Q899" s="40"/>
      <c r="R899" s="40"/>
      <c r="S899" s="40"/>
      <c r="T899" s="41"/>
      <c r="U899" s="41"/>
      <c r="V899" s="41"/>
      <c r="W899" s="36"/>
      <c r="X899" s="36"/>
      <c r="Y899" s="36"/>
      <c r="Z899" s="36"/>
      <c r="AA899" s="36"/>
    </row>
    <row r="900" spans="16:27" x14ac:dyDescent="0.2">
      <c r="P900" s="36"/>
      <c r="Q900" s="40"/>
      <c r="R900" s="40"/>
      <c r="S900" s="40"/>
      <c r="T900" s="41"/>
      <c r="U900" s="41"/>
      <c r="V900" s="41"/>
      <c r="W900" s="36"/>
      <c r="X900" s="36"/>
      <c r="Y900" s="36"/>
      <c r="Z900" s="36"/>
      <c r="AA900" s="36"/>
    </row>
    <row r="901" spans="16:27" x14ac:dyDescent="0.2">
      <c r="P901" s="36"/>
      <c r="Q901" s="40"/>
      <c r="R901" s="40"/>
      <c r="S901" s="40"/>
      <c r="T901" s="41"/>
      <c r="U901" s="41"/>
      <c r="V901" s="41"/>
      <c r="W901" s="36"/>
      <c r="X901" s="36"/>
      <c r="Y901" s="36"/>
      <c r="Z901" s="36"/>
      <c r="AA901" s="36"/>
    </row>
    <row r="902" spans="16:27" x14ac:dyDescent="0.2">
      <c r="P902" s="36"/>
      <c r="Q902" s="40"/>
      <c r="R902" s="40"/>
      <c r="S902" s="40"/>
      <c r="T902" s="41"/>
      <c r="U902" s="41"/>
      <c r="V902" s="41"/>
      <c r="W902" s="36"/>
      <c r="X902" s="36"/>
      <c r="Y902" s="36"/>
      <c r="Z902" s="36"/>
      <c r="AA902" s="36"/>
    </row>
    <row r="903" spans="16:27" x14ac:dyDescent="0.2">
      <c r="P903" s="36"/>
      <c r="Q903" s="40"/>
      <c r="R903" s="40"/>
      <c r="S903" s="40"/>
      <c r="T903" s="41"/>
      <c r="U903" s="41"/>
      <c r="V903" s="41"/>
      <c r="W903" s="36"/>
      <c r="X903" s="36"/>
      <c r="Y903" s="36"/>
      <c r="Z903" s="36"/>
      <c r="AA903" s="36"/>
    </row>
    <row r="904" spans="16:27" x14ac:dyDescent="0.2">
      <c r="P904" s="36"/>
      <c r="Q904" s="40"/>
      <c r="R904" s="40"/>
      <c r="S904" s="40"/>
      <c r="T904" s="41"/>
      <c r="U904" s="41"/>
      <c r="V904" s="41"/>
      <c r="W904" s="36"/>
      <c r="X904" s="36"/>
      <c r="Y904" s="36"/>
      <c r="Z904" s="36"/>
      <c r="AA904" s="36"/>
    </row>
    <row r="905" spans="16:27" x14ac:dyDescent="0.2">
      <c r="P905" s="36"/>
      <c r="Q905" s="40"/>
      <c r="R905" s="40"/>
      <c r="S905" s="40"/>
      <c r="T905" s="41"/>
      <c r="U905" s="41"/>
      <c r="V905" s="41"/>
      <c r="W905" s="36"/>
      <c r="X905" s="36"/>
      <c r="Y905" s="36"/>
      <c r="Z905" s="36"/>
      <c r="AA905" s="36"/>
    </row>
    <row r="906" spans="16:27" x14ac:dyDescent="0.2">
      <c r="P906" s="36"/>
      <c r="Q906" s="40"/>
      <c r="R906" s="40"/>
      <c r="S906" s="40"/>
      <c r="T906" s="41"/>
      <c r="U906" s="41"/>
      <c r="V906" s="41"/>
      <c r="W906" s="36"/>
      <c r="X906" s="36"/>
      <c r="Y906" s="36"/>
      <c r="Z906" s="36"/>
      <c r="AA906" s="36"/>
    </row>
    <row r="907" spans="16:27" x14ac:dyDescent="0.2">
      <c r="P907" s="36"/>
      <c r="Q907" s="40"/>
      <c r="R907" s="40"/>
      <c r="S907" s="40"/>
      <c r="T907" s="41"/>
      <c r="U907" s="41"/>
      <c r="V907" s="41"/>
      <c r="W907" s="36"/>
      <c r="X907" s="36"/>
      <c r="Y907" s="36"/>
      <c r="Z907" s="36"/>
      <c r="AA907" s="36"/>
    </row>
    <row r="908" spans="16:27" x14ac:dyDescent="0.2">
      <c r="P908" s="36"/>
      <c r="Q908" s="40"/>
      <c r="R908" s="40"/>
      <c r="S908" s="40"/>
      <c r="T908" s="41"/>
      <c r="U908" s="41"/>
      <c r="V908" s="41"/>
      <c r="W908" s="36"/>
      <c r="X908" s="36"/>
      <c r="Y908" s="36"/>
      <c r="Z908" s="36"/>
      <c r="AA908" s="36"/>
    </row>
    <row r="909" spans="16:27" x14ac:dyDescent="0.2">
      <c r="P909" s="36"/>
      <c r="Q909" s="40"/>
      <c r="R909" s="40"/>
      <c r="S909" s="40"/>
      <c r="T909" s="41"/>
      <c r="U909" s="41"/>
      <c r="V909" s="41"/>
      <c r="W909" s="36"/>
      <c r="X909" s="36"/>
      <c r="Y909" s="36"/>
      <c r="Z909" s="36"/>
      <c r="AA909" s="36"/>
    </row>
    <row r="910" spans="16:27" x14ac:dyDescent="0.2">
      <c r="P910" s="36"/>
      <c r="Q910" s="40"/>
      <c r="R910" s="40"/>
      <c r="S910" s="40"/>
      <c r="T910" s="41"/>
      <c r="U910" s="41"/>
      <c r="V910" s="41"/>
      <c r="W910" s="36"/>
      <c r="X910" s="36"/>
      <c r="Y910" s="36"/>
      <c r="Z910" s="36"/>
      <c r="AA910" s="36"/>
    </row>
    <row r="911" spans="16:27" x14ac:dyDescent="0.2">
      <c r="P911" s="36"/>
      <c r="Q911" s="40"/>
      <c r="R911" s="40"/>
      <c r="S911" s="40"/>
      <c r="T911" s="41"/>
      <c r="U911" s="41"/>
      <c r="V911" s="41"/>
      <c r="W911" s="36"/>
      <c r="X911" s="36"/>
      <c r="Y911" s="36"/>
      <c r="Z911" s="36"/>
      <c r="AA911" s="36"/>
    </row>
    <row r="912" spans="16:27" x14ac:dyDescent="0.2">
      <c r="P912" s="36"/>
      <c r="Q912" s="40"/>
      <c r="R912" s="40"/>
      <c r="S912" s="40"/>
      <c r="T912" s="41"/>
      <c r="U912" s="41"/>
      <c r="V912" s="41"/>
      <c r="W912" s="36"/>
      <c r="X912" s="36"/>
      <c r="Y912" s="36"/>
      <c r="Z912" s="36"/>
      <c r="AA912" s="36"/>
    </row>
    <row r="913" spans="16:27" x14ac:dyDescent="0.2">
      <c r="P913" s="36"/>
      <c r="Q913" s="40"/>
      <c r="R913" s="40"/>
      <c r="S913" s="40"/>
      <c r="T913" s="41"/>
      <c r="U913" s="41"/>
      <c r="V913" s="41"/>
      <c r="W913" s="36"/>
      <c r="X913" s="36"/>
      <c r="Y913" s="36"/>
      <c r="Z913" s="36"/>
      <c r="AA913" s="36"/>
    </row>
    <row r="914" spans="16:27" x14ac:dyDescent="0.2">
      <c r="P914" s="36"/>
      <c r="Q914" s="40"/>
      <c r="R914" s="40"/>
      <c r="S914" s="40"/>
      <c r="T914" s="41"/>
      <c r="U914" s="41"/>
      <c r="V914" s="41"/>
      <c r="W914" s="36"/>
      <c r="X914" s="36"/>
      <c r="Y914" s="36"/>
      <c r="Z914" s="36"/>
      <c r="AA914" s="36"/>
    </row>
    <row r="915" spans="16:27" x14ac:dyDescent="0.2">
      <c r="P915" s="36"/>
      <c r="Q915" s="40"/>
      <c r="R915" s="40"/>
      <c r="S915" s="40"/>
      <c r="T915" s="41"/>
      <c r="U915" s="41"/>
      <c r="V915" s="41"/>
      <c r="W915" s="36"/>
      <c r="X915" s="36"/>
      <c r="Y915" s="36"/>
      <c r="Z915" s="36"/>
      <c r="AA915" s="36"/>
    </row>
    <row r="916" spans="16:27" x14ac:dyDescent="0.2">
      <c r="P916" s="36"/>
      <c r="Q916" s="40"/>
      <c r="R916" s="40"/>
      <c r="S916" s="40"/>
      <c r="T916" s="41"/>
      <c r="U916" s="41"/>
      <c r="V916" s="41"/>
      <c r="W916" s="36"/>
      <c r="X916" s="36"/>
      <c r="Y916" s="36"/>
      <c r="Z916" s="36"/>
      <c r="AA916" s="36"/>
    </row>
    <row r="917" spans="16:27" x14ac:dyDescent="0.2">
      <c r="P917" s="36"/>
      <c r="Q917" s="40"/>
      <c r="R917" s="40"/>
      <c r="S917" s="40"/>
      <c r="T917" s="41"/>
      <c r="U917" s="41"/>
      <c r="V917" s="41"/>
      <c r="W917" s="36"/>
      <c r="X917" s="36"/>
      <c r="Y917" s="36"/>
      <c r="Z917" s="36"/>
      <c r="AA917" s="36"/>
    </row>
    <row r="918" spans="16:27" x14ac:dyDescent="0.2">
      <c r="P918" s="36"/>
      <c r="Q918" s="40"/>
      <c r="R918" s="40"/>
      <c r="S918" s="40"/>
      <c r="T918" s="41"/>
      <c r="U918" s="41"/>
      <c r="V918" s="41"/>
      <c r="W918" s="36"/>
      <c r="X918" s="36"/>
      <c r="Y918" s="36"/>
      <c r="Z918" s="36"/>
      <c r="AA918" s="36"/>
    </row>
    <row r="919" spans="16:27" x14ac:dyDescent="0.2">
      <c r="P919" s="36"/>
      <c r="Q919" s="40"/>
      <c r="R919" s="40"/>
      <c r="S919" s="40"/>
      <c r="T919" s="41"/>
      <c r="U919" s="41"/>
      <c r="V919" s="41"/>
      <c r="W919" s="36"/>
      <c r="X919" s="36"/>
      <c r="Y919" s="36"/>
      <c r="Z919" s="36"/>
      <c r="AA919" s="36"/>
    </row>
    <row r="920" spans="16:27" x14ac:dyDescent="0.2">
      <c r="P920" s="36"/>
      <c r="Q920" s="40"/>
      <c r="R920" s="40"/>
      <c r="S920" s="40"/>
      <c r="T920" s="41"/>
      <c r="U920" s="41"/>
      <c r="V920" s="41"/>
      <c r="W920" s="36"/>
      <c r="X920" s="36"/>
      <c r="Y920" s="36"/>
      <c r="Z920" s="36"/>
      <c r="AA920" s="36"/>
    </row>
    <row r="921" spans="16:27" x14ac:dyDescent="0.2">
      <c r="P921" s="36"/>
      <c r="Q921" s="40"/>
      <c r="R921" s="40"/>
      <c r="S921" s="40"/>
      <c r="T921" s="41"/>
      <c r="U921" s="41"/>
      <c r="V921" s="41"/>
      <c r="W921" s="36"/>
      <c r="X921" s="36"/>
      <c r="Y921" s="36"/>
      <c r="Z921" s="36"/>
      <c r="AA921" s="36"/>
    </row>
    <row r="922" spans="16:27" x14ac:dyDescent="0.2">
      <c r="P922" s="36"/>
      <c r="Q922" s="40"/>
      <c r="R922" s="40"/>
      <c r="S922" s="40"/>
      <c r="T922" s="41"/>
      <c r="U922" s="41"/>
      <c r="V922" s="41"/>
      <c r="W922" s="36"/>
      <c r="X922" s="36"/>
      <c r="Y922" s="36"/>
      <c r="Z922" s="36"/>
      <c r="AA922" s="36"/>
    </row>
    <row r="923" spans="16:27" x14ac:dyDescent="0.2">
      <c r="P923" s="36"/>
      <c r="Q923" s="40"/>
      <c r="R923" s="40"/>
      <c r="S923" s="40"/>
      <c r="T923" s="41"/>
      <c r="U923" s="41"/>
      <c r="V923" s="41"/>
      <c r="W923" s="36"/>
      <c r="X923" s="36"/>
      <c r="Y923" s="36"/>
      <c r="Z923" s="36"/>
      <c r="AA923" s="36"/>
    </row>
    <row r="924" spans="16:27" x14ac:dyDescent="0.2">
      <c r="P924" s="36"/>
      <c r="Q924" s="40"/>
      <c r="R924" s="40"/>
      <c r="S924" s="40"/>
      <c r="T924" s="41"/>
      <c r="U924" s="41"/>
      <c r="V924" s="41"/>
      <c r="W924" s="36"/>
      <c r="X924" s="36"/>
      <c r="Y924" s="36"/>
      <c r="Z924" s="36"/>
      <c r="AA924" s="36"/>
    </row>
    <row r="925" spans="16:27" x14ac:dyDescent="0.2">
      <c r="P925" s="36"/>
      <c r="Q925" s="40"/>
      <c r="R925" s="40"/>
      <c r="S925" s="40"/>
      <c r="T925" s="41"/>
      <c r="U925" s="41"/>
      <c r="V925" s="41"/>
      <c r="W925" s="36"/>
      <c r="X925" s="36"/>
      <c r="Y925" s="36"/>
      <c r="Z925" s="36"/>
      <c r="AA925" s="36"/>
    </row>
    <row r="926" spans="16:27" x14ac:dyDescent="0.2">
      <c r="P926" s="36"/>
      <c r="Q926" s="40"/>
      <c r="R926" s="40"/>
      <c r="S926" s="40"/>
      <c r="T926" s="41"/>
      <c r="U926" s="41"/>
      <c r="V926" s="41"/>
      <c r="W926" s="36"/>
      <c r="X926" s="36"/>
      <c r="Y926" s="36"/>
      <c r="Z926" s="36"/>
      <c r="AA926" s="36"/>
    </row>
    <row r="927" spans="16:27" x14ac:dyDescent="0.2">
      <c r="P927" s="36"/>
      <c r="Q927" s="40"/>
      <c r="R927" s="40"/>
      <c r="S927" s="40"/>
      <c r="T927" s="41"/>
      <c r="U927" s="41"/>
      <c r="V927" s="41"/>
      <c r="W927" s="36"/>
      <c r="X927" s="36"/>
      <c r="Y927" s="36"/>
      <c r="Z927" s="36"/>
      <c r="AA927" s="36"/>
    </row>
    <row r="928" spans="16:27" x14ac:dyDescent="0.2">
      <c r="P928" s="36"/>
      <c r="Q928" s="40"/>
      <c r="R928" s="40"/>
      <c r="S928" s="40"/>
      <c r="T928" s="41"/>
      <c r="U928" s="41"/>
      <c r="V928" s="41"/>
      <c r="W928" s="36"/>
      <c r="X928" s="36"/>
      <c r="Y928" s="36"/>
      <c r="Z928" s="36"/>
      <c r="AA928" s="36"/>
    </row>
    <row r="929" spans="16:27" x14ac:dyDescent="0.2">
      <c r="P929" s="36"/>
      <c r="Q929" s="40"/>
      <c r="R929" s="40"/>
      <c r="S929" s="40"/>
      <c r="T929" s="41"/>
      <c r="U929" s="41"/>
      <c r="V929" s="41"/>
      <c r="W929" s="36"/>
      <c r="X929" s="36"/>
      <c r="Y929" s="36"/>
      <c r="Z929" s="36"/>
      <c r="AA929" s="36"/>
    </row>
    <row r="930" spans="16:27" x14ac:dyDescent="0.2">
      <c r="P930" s="36"/>
      <c r="Q930" s="40"/>
      <c r="R930" s="40"/>
      <c r="S930" s="40"/>
      <c r="T930" s="41"/>
      <c r="U930" s="41"/>
      <c r="V930" s="41"/>
      <c r="W930" s="36"/>
      <c r="X930" s="36"/>
      <c r="Y930" s="36"/>
      <c r="Z930" s="36"/>
      <c r="AA930" s="36"/>
    </row>
    <row r="931" spans="16:27" x14ac:dyDescent="0.2">
      <c r="P931" s="36"/>
      <c r="Q931" s="40"/>
      <c r="R931" s="40"/>
      <c r="S931" s="40"/>
      <c r="T931" s="41"/>
      <c r="U931" s="41"/>
      <c r="V931" s="41"/>
      <c r="W931" s="36"/>
      <c r="X931" s="36"/>
      <c r="Y931" s="36"/>
      <c r="Z931" s="36"/>
      <c r="AA931" s="36"/>
    </row>
    <row r="932" spans="16:27" x14ac:dyDescent="0.2">
      <c r="P932" s="36"/>
      <c r="Q932" s="40"/>
      <c r="R932" s="40"/>
      <c r="S932" s="40"/>
      <c r="T932" s="41"/>
      <c r="U932" s="41"/>
      <c r="V932" s="41"/>
      <c r="W932" s="36"/>
      <c r="X932" s="36"/>
      <c r="Y932" s="36"/>
      <c r="Z932" s="36"/>
      <c r="AA932" s="36"/>
    </row>
    <row r="933" spans="16:27" x14ac:dyDescent="0.2">
      <c r="P933" s="36"/>
      <c r="Q933" s="40"/>
      <c r="R933" s="40"/>
      <c r="S933" s="40"/>
      <c r="T933" s="41"/>
      <c r="U933" s="41"/>
      <c r="V933" s="41"/>
      <c r="W933" s="36"/>
      <c r="X933" s="36"/>
      <c r="Y933" s="36"/>
      <c r="Z933" s="36"/>
      <c r="AA933" s="36"/>
    </row>
    <row r="934" spans="16:27" x14ac:dyDescent="0.2">
      <c r="P934" s="36"/>
      <c r="Q934" s="40"/>
      <c r="R934" s="40"/>
      <c r="S934" s="40"/>
      <c r="T934" s="41"/>
      <c r="U934" s="41"/>
      <c r="V934" s="41"/>
      <c r="W934" s="36"/>
      <c r="X934" s="36"/>
      <c r="Y934" s="36"/>
      <c r="Z934" s="36"/>
      <c r="AA934" s="36"/>
    </row>
    <row r="935" spans="16:27" x14ac:dyDescent="0.2">
      <c r="P935" s="36"/>
      <c r="Q935" s="40"/>
      <c r="R935" s="40"/>
      <c r="S935" s="40"/>
      <c r="T935" s="41"/>
      <c r="U935" s="41"/>
      <c r="V935" s="41"/>
      <c r="W935" s="36"/>
      <c r="X935" s="36"/>
      <c r="Y935" s="36"/>
      <c r="Z935" s="36"/>
      <c r="AA935" s="36"/>
    </row>
    <row r="936" spans="16:27" x14ac:dyDescent="0.2">
      <c r="P936" s="36"/>
      <c r="Q936" s="40"/>
      <c r="R936" s="40"/>
      <c r="S936" s="40"/>
      <c r="T936" s="41"/>
      <c r="U936" s="41"/>
      <c r="V936" s="41"/>
      <c r="W936" s="36"/>
      <c r="X936" s="36"/>
      <c r="Y936" s="36"/>
      <c r="Z936" s="36"/>
      <c r="AA936" s="36"/>
    </row>
    <row r="937" spans="16:27" x14ac:dyDescent="0.2">
      <c r="P937" s="36"/>
      <c r="Q937" s="40"/>
      <c r="R937" s="40"/>
      <c r="S937" s="40"/>
      <c r="T937" s="41"/>
      <c r="U937" s="41"/>
      <c r="V937" s="41"/>
      <c r="W937" s="36"/>
      <c r="X937" s="36"/>
      <c r="Y937" s="36"/>
      <c r="Z937" s="36"/>
      <c r="AA937" s="36"/>
    </row>
    <row r="938" spans="16:27" x14ac:dyDescent="0.2">
      <c r="P938" s="36"/>
      <c r="Q938" s="40"/>
      <c r="R938" s="40"/>
      <c r="S938" s="40"/>
      <c r="T938" s="41"/>
      <c r="U938" s="41"/>
      <c r="V938" s="41"/>
      <c r="W938" s="36"/>
      <c r="X938" s="36"/>
      <c r="Y938" s="36"/>
      <c r="Z938" s="36"/>
      <c r="AA938" s="36"/>
    </row>
    <row r="939" spans="16:27" x14ac:dyDescent="0.2">
      <c r="P939" s="36"/>
      <c r="Q939" s="40"/>
      <c r="R939" s="40"/>
      <c r="S939" s="40"/>
      <c r="T939" s="41"/>
      <c r="U939" s="41"/>
      <c r="V939" s="41"/>
      <c r="W939" s="36"/>
      <c r="X939" s="36"/>
      <c r="Y939" s="36"/>
      <c r="Z939" s="36"/>
      <c r="AA939" s="36"/>
    </row>
    <row r="940" spans="16:27" x14ac:dyDescent="0.2">
      <c r="P940" s="36"/>
      <c r="Q940" s="40"/>
      <c r="R940" s="40"/>
      <c r="S940" s="40"/>
      <c r="T940" s="41"/>
      <c r="U940" s="41"/>
      <c r="V940" s="41"/>
      <c r="W940" s="36"/>
      <c r="X940" s="36"/>
      <c r="Y940" s="36"/>
      <c r="Z940" s="36"/>
      <c r="AA940" s="36"/>
    </row>
    <row r="941" spans="16:27" x14ac:dyDescent="0.2">
      <c r="P941" s="36"/>
      <c r="Q941" s="40"/>
      <c r="R941" s="40"/>
      <c r="S941" s="40"/>
      <c r="T941" s="41"/>
      <c r="U941" s="41"/>
      <c r="V941" s="41"/>
      <c r="W941" s="36"/>
      <c r="X941" s="36"/>
      <c r="Y941" s="36"/>
      <c r="Z941" s="36"/>
      <c r="AA941" s="36"/>
    </row>
    <row r="942" spans="16:27" x14ac:dyDescent="0.2">
      <c r="P942" s="36"/>
      <c r="Q942" s="40"/>
      <c r="R942" s="40"/>
      <c r="S942" s="40"/>
      <c r="T942" s="41"/>
      <c r="U942" s="41"/>
      <c r="V942" s="41"/>
      <c r="W942" s="36"/>
      <c r="X942" s="36"/>
      <c r="Y942" s="36"/>
      <c r="Z942" s="36"/>
      <c r="AA942" s="36"/>
    </row>
    <row r="943" spans="16:27" x14ac:dyDescent="0.2">
      <c r="P943" s="36"/>
      <c r="Q943" s="40"/>
      <c r="R943" s="40"/>
      <c r="S943" s="40"/>
      <c r="T943" s="41"/>
      <c r="U943" s="41"/>
      <c r="V943" s="41"/>
      <c r="W943" s="36"/>
      <c r="X943" s="36"/>
      <c r="Y943" s="36"/>
      <c r="Z943" s="36"/>
      <c r="AA943" s="36"/>
    </row>
    <row r="944" spans="16:27" x14ac:dyDescent="0.2">
      <c r="P944" s="36"/>
      <c r="Q944" s="40"/>
      <c r="R944" s="40"/>
      <c r="S944" s="40"/>
      <c r="T944" s="41"/>
      <c r="U944" s="41"/>
      <c r="V944" s="41"/>
      <c r="W944" s="36"/>
      <c r="X944" s="36"/>
      <c r="Y944" s="36"/>
      <c r="Z944" s="36"/>
      <c r="AA944" s="36"/>
    </row>
    <row r="945" spans="16:27" x14ac:dyDescent="0.2">
      <c r="P945" s="36"/>
      <c r="Q945" s="40"/>
      <c r="R945" s="40"/>
      <c r="S945" s="40"/>
      <c r="T945" s="41"/>
      <c r="U945" s="41"/>
      <c r="V945" s="41"/>
      <c r="W945" s="36"/>
      <c r="X945" s="36"/>
      <c r="Y945" s="36"/>
      <c r="Z945" s="36"/>
      <c r="AA945" s="36"/>
    </row>
    <row r="946" spans="16:27" x14ac:dyDescent="0.2">
      <c r="P946" s="36"/>
      <c r="Q946" s="40"/>
      <c r="R946" s="40"/>
      <c r="S946" s="40"/>
      <c r="T946" s="41"/>
      <c r="U946" s="41"/>
      <c r="V946" s="41"/>
      <c r="W946" s="36"/>
      <c r="X946" s="36"/>
      <c r="Y946" s="36"/>
      <c r="Z946" s="36"/>
      <c r="AA946" s="36"/>
    </row>
    <row r="947" spans="16:27" x14ac:dyDescent="0.2">
      <c r="P947" s="36"/>
      <c r="Q947" s="40"/>
      <c r="R947" s="40"/>
      <c r="S947" s="40"/>
      <c r="T947" s="41"/>
      <c r="U947" s="41"/>
      <c r="V947" s="41"/>
      <c r="W947" s="36"/>
      <c r="X947" s="36"/>
      <c r="Y947" s="36"/>
      <c r="Z947" s="36"/>
      <c r="AA947" s="36"/>
    </row>
    <row r="948" spans="16:27" x14ac:dyDescent="0.2">
      <c r="P948" s="36"/>
      <c r="Q948" s="40"/>
      <c r="R948" s="40"/>
      <c r="S948" s="40"/>
      <c r="T948" s="41"/>
      <c r="U948" s="41"/>
      <c r="V948" s="41"/>
      <c r="W948" s="36"/>
      <c r="X948" s="36"/>
      <c r="Y948" s="36"/>
      <c r="Z948" s="36"/>
      <c r="AA948" s="36"/>
    </row>
    <row r="949" spans="16:27" x14ac:dyDescent="0.2">
      <c r="P949" s="36"/>
      <c r="Q949" s="40"/>
      <c r="R949" s="40"/>
      <c r="S949" s="40"/>
      <c r="T949" s="41"/>
      <c r="U949" s="41"/>
      <c r="V949" s="41"/>
      <c r="W949" s="36"/>
      <c r="X949" s="36"/>
      <c r="Y949" s="36"/>
      <c r="Z949" s="36"/>
      <c r="AA949" s="36"/>
    </row>
    <row r="950" spans="16:27" x14ac:dyDescent="0.2">
      <c r="P950" s="36"/>
      <c r="Q950" s="40"/>
      <c r="R950" s="40"/>
      <c r="S950" s="40"/>
      <c r="T950" s="41"/>
      <c r="U950" s="41"/>
      <c r="V950" s="41"/>
      <c r="W950" s="36"/>
      <c r="X950" s="36"/>
      <c r="Y950" s="36"/>
      <c r="Z950" s="36"/>
      <c r="AA950" s="36"/>
    </row>
    <row r="951" spans="16:27" x14ac:dyDescent="0.2">
      <c r="P951" s="36"/>
      <c r="Q951" s="40"/>
      <c r="R951" s="40"/>
      <c r="S951" s="40"/>
      <c r="T951" s="41"/>
      <c r="U951" s="41"/>
      <c r="V951" s="41"/>
      <c r="W951" s="36"/>
      <c r="X951" s="36"/>
      <c r="Y951" s="36"/>
      <c r="Z951" s="36"/>
      <c r="AA951" s="36"/>
    </row>
    <row r="952" spans="16:27" x14ac:dyDescent="0.2">
      <c r="P952" s="36"/>
      <c r="Q952" s="40"/>
      <c r="R952" s="40"/>
      <c r="S952" s="40"/>
      <c r="T952" s="41"/>
      <c r="U952" s="41"/>
      <c r="V952" s="41"/>
      <c r="W952" s="36"/>
      <c r="X952" s="36"/>
      <c r="Y952" s="36"/>
      <c r="Z952" s="36"/>
      <c r="AA952" s="36"/>
    </row>
    <row r="953" spans="16:27" x14ac:dyDescent="0.2">
      <c r="P953" s="36"/>
      <c r="Q953" s="40"/>
      <c r="R953" s="40"/>
      <c r="S953" s="40"/>
      <c r="T953" s="41"/>
      <c r="U953" s="41"/>
      <c r="V953" s="41"/>
      <c r="W953" s="36"/>
      <c r="X953" s="36"/>
      <c r="Y953" s="36"/>
      <c r="Z953" s="36"/>
      <c r="AA953" s="36"/>
    </row>
    <row r="954" spans="16:27" x14ac:dyDescent="0.2">
      <c r="P954" s="36"/>
      <c r="Q954" s="40"/>
      <c r="R954" s="40"/>
      <c r="S954" s="40"/>
      <c r="T954" s="41"/>
      <c r="U954" s="41"/>
      <c r="V954" s="41"/>
      <c r="W954" s="36"/>
      <c r="X954" s="36"/>
      <c r="Y954" s="36"/>
      <c r="Z954" s="36"/>
      <c r="AA954" s="36"/>
    </row>
    <row r="955" spans="16:27" x14ac:dyDescent="0.2">
      <c r="P955" s="36"/>
      <c r="Q955" s="40"/>
      <c r="R955" s="40"/>
      <c r="S955" s="40"/>
      <c r="T955" s="41"/>
      <c r="U955" s="41"/>
      <c r="V955" s="41"/>
      <c r="W955" s="36"/>
      <c r="X955" s="36"/>
      <c r="Y955" s="36"/>
      <c r="Z955" s="36"/>
      <c r="AA955" s="36"/>
    </row>
    <row r="956" spans="16:27" x14ac:dyDescent="0.2">
      <c r="P956" s="36"/>
      <c r="Q956" s="40"/>
      <c r="R956" s="40"/>
      <c r="S956" s="40"/>
      <c r="T956" s="41"/>
      <c r="U956" s="41"/>
      <c r="V956" s="41"/>
      <c r="W956" s="36"/>
      <c r="X956" s="36"/>
      <c r="Y956" s="36"/>
      <c r="Z956" s="36"/>
      <c r="AA956" s="36"/>
    </row>
    <row r="957" spans="16:27" x14ac:dyDescent="0.2">
      <c r="P957" s="36"/>
      <c r="Q957" s="40"/>
      <c r="R957" s="40"/>
      <c r="S957" s="40"/>
      <c r="T957" s="41"/>
      <c r="U957" s="41"/>
      <c r="V957" s="41"/>
      <c r="W957" s="36"/>
      <c r="X957" s="36"/>
      <c r="Y957" s="36"/>
      <c r="Z957" s="36"/>
      <c r="AA957" s="36"/>
    </row>
    <row r="958" spans="16:27" x14ac:dyDescent="0.2">
      <c r="P958" s="36"/>
      <c r="Q958" s="40"/>
      <c r="R958" s="40"/>
      <c r="S958" s="40"/>
      <c r="T958" s="41"/>
      <c r="U958" s="41"/>
      <c r="V958" s="41"/>
      <c r="W958" s="36"/>
      <c r="X958" s="36"/>
      <c r="Y958" s="36"/>
      <c r="Z958" s="36"/>
      <c r="AA958" s="36"/>
    </row>
    <row r="959" spans="16:27" x14ac:dyDescent="0.2">
      <c r="P959" s="36"/>
      <c r="Q959" s="40"/>
      <c r="R959" s="40"/>
      <c r="S959" s="40"/>
      <c r="T959" s="41"/>
      <c r="U959" s="41"/>
      <c r="V959" s="41"/>
      <c r="W959" s="36"/>
      <c r="X959" s="36"/>
      <c r="Y959" s="36"/>
      <c r="Z959" s="36"/>
      <c r="AA959" s="36"/>
    </row>
    <row r="960" spans="16:27" x14ac:dyDescent="0.2">
      <c r="P960" s="36"/>
      <c r="Q960" s="40"/>
      <c r="R960" s="40"/>
      <c r="S960" s="40"/>
      <c r="T960" s="41"/>
      <c r="U960" s="41"/>
      <c r="V960" s="41"/>
      <c r="W960" s="36"/>
      <c r="X960" s="36"/>
      <c r="Y960" s="36"/>
      <c r="Z960" s="36"/>
      <c r="AA960" s="36"/>
    </row>
    <row r="961" spans="16:27" x14ac:dyDescent="0.2">
      <c r="P961" s="36"/>
      <c r="Q961" s="40"/>
      <c r="R961" s="40"/>
      <c r="S961" s="40"/>
      <c r="T961" s="41"/>
      <c r="U961" s="41"/>
      <c r="V961" s="41"/>
      <c r="W961" s="36"/>
      <c r="X961" s="36"/>
      <c r="Y961" s="36"/>
      <c r="Z961" s="36"/>
      <c r="AA961" s="36"/>
    </row>
    <row r="962" spans="16:27" x14ac:dyDescent="0.2">
      <c r="P962" s="36"/>
      <c r="Q962" s="40"/>
      <c r="R962" s="40"/>
      <c r="S962" s="40"/>
      <c r="T962" s="41"/>
      <c r="U962" s="41"/>
      <c r="V962" s="41"/>
      <c r="W962" s="36"/>
      <c r="X962" s="36"/>
      <c r="Y962" s="36"/>
      <c r="Z962" s="36"/>
      <c r="AA962" s="36"/>
    </row>
    <row r="963" spans="16:27" x14ac:dyDescent="0.2">
      <c r="P963" s="36"/>
      <c r="Q963" s="40"/>
      <c r="R963" s="40"/>
      <c r="S963" s="40"/>
      <c r="T963" s="41"/>
      <c r="U963" s="41"/>
      <c r="V963" s="41"/>
      <c r="W963" s="36"/>
      <c r="X963" s="36"/>
      <c r="Y963" s="36"/>
      <c r="Z963" s="36"/>
      <c r="AA963" s="36"/>
    </row>
    <row r="964" spans="16:27" x14ac:dyDescent="0.2">
      <c r="P964" s="36"/>
      <c r="Q964" s="40"/>
      <c r="R964" s="40"/>
      <c r="S964" s="40"/>
      <c r="T964" s="41"/>
      <c r="U964" s="41"/>
      <c r="V964" s="41"/>
      <c r="W964" s="36"/>
      <c r="X964" s="36"/>
      <c r="Y964" s="36"/>
      <c r="Z964" s="36"/>
      <c r="AA964" s="36"/>
    </row>
    <row r="965" spans="16:27" x14ac:dyDescent="0.2">
      <c r="P965" s="36"/>
      <c r="Q965" s="40"/>
      <c r="R965" s="40"/>
      <c r="S965" s="40"/>
      <c r="T965" s="41"/>
      <c r="U965" s="41"/>
      <c r="V965" s="41"/>
      <c r="W965" s="36"/>
      <c r="X965" s="36"/>
      <c r="Y965" s="36"/>
      <c r="Z965" s="36"/>
      <c r="AA965" s="36"/>
    </row>
    <row r="966" spans="16:27" x14ac:dyDescent="0.2">
      <c r="P966" s="36"/>
      <c r="Q966" s="40"/>
      <c r="R966" s="40"/>
      <c r="S966" s="40"/>
      <c r="T966" s="41"/>
      <c r="U966" s="41"/>
      <c r="V966" s="41"/>
      <c r="W966" s="36"/>
      <c r="X966" s="36"/>
      <c r="Y966" s="36"/>
      <c r="Z966" s="36"/>
      <c r="AA966" s="36"/>
    </row>
    <row r="967" spans="16:27" x14ac:dyDescent="0.2">
      <c r="P967" s="36"/>
      <c r="Q967" s="40"/>
      <c r="R967" s="40"/>
      <c r="S967" s="40"/>
      <c r="T967" s="41"/>
      <c r="U967" s="41"/>
      <c r="V967" s="41"/>
      <c r="W967" s="36"/>
      <c r="X967" s="36"/>
      <c r="Y967" s="36"/>
      <c r="Z967" s="36"/>
      <c r="AA967" s="36"/>
    </row>
    <row r="968" spans="16:27" x14ac:dyDescent="0.2">
      <c r="P968" s="36"/>
      <c r="Q968" s="40"/>
      <c r="R968" s="40"/>
      <c r="S968" s="40"/>
      <c r="T968" s="41"/>
      <c r="U968" s="41"/>
      <c r="V968" s="41"/>
      <c r="W968" s="36"/>
      <c r="X968" s="36"/>
      <c r="Y968" s="36"/>
      <c r="Z968" s="36"/>
      <c r="AA968" s="36"/>
    </row>
    <row r="969" spans="16:27" x14ac:dyDescent="0.2">
      <c r="P969" s="36"/>
      <c r="Q969" s="40"/>
      <c r="R969" s="40"/>
      <c r="S969" s="40"/>
      <c r="T969" s="41"/>
      <c r="U969" s="41"/>
      <c r="V969" s="41"/>
      <c r="W969" s="36"/>
      <c r="X969" s="36"/>
      <c r="Y969" s="36"/>
      <c r="Z969" s="36"/>
      <c r="AA969" s="36"/>
    </row>
    <row r="970" spans="16:27" x14ac:dyDescent="0.2">
      <c r="P970" s="36"/>
      <c r="Q970" s="40"/>
      <c r="R970" s="40"/>
      <c r="S970" s="40"/>
      <c r="T970" s="41"/>
      <c r="U970" s="41"/>
      <c r="V970" s="41"/>
      <c r="W970" s="36"/>
      <c r="X970" s="36"/>
      <c r="Y970" s="36"/>
      <c r="Z970" s="36"/>
      <c r="AA970" s="36"/>
    </row>
    <row r="971" spans="16:27" x14ac:dyDescent="0.2">
      <c r="P971" s="36"/>
      <c r="Q971" s="40"/>
      <c r="R971" s="40"/>
      <c r="S971" s="40"/>
      <c r="T971" s="41"/>
      <c r="U971" s="41"/>
      <c r="V971" s="41"/>
      <c r="W971" s="36"/>
      <c r="X971" s="36"/>
      <c r="Y971" s="36"/>
      <c r="Z971" s="36"/>
      <c r="AA971" s="36"/>
    </row>
    <row r="972" spans="16:27" x14ac:dyDescent="0.2">
      <c r="P972" s="36"/>
      <c r="Q972" s="40"/>
      <c r="R972" s="40"/>
      <c r="S972" s="40"/>
      <c r="T972" s="41"/>
      <c r="U972" s="41"/>
      <c r="V972" s="41"/>
      <c r="W972" s="36"/>
      <c r="X972" s="36"/>
      <c r="Y972" s="36"/>
      <c r="Z972" s="36"/>
      <c r="AA972" s="36"/>
    </row>
    <row r="973" spans="16:27" x14ac:dyDescent="0.2">
      <c r="P973" s="36"/>
      <c r="Q973" s="40"/>
      <c r="R973" s="40"/>
      <c r="S973" s="40"/>
      <c r="T973" s="41"/>
      <c r="U973" s="41"/>
      <c r="V973" s="41"/>
      <c r="W973" s="36"/>
      <c r="X973" s="36"/>
      <c r="Y973" s="36"/>
      <c r="Z973" s="36"/>
      <c r="AA973" s="36"/>
    </row>
    <row r="974" spans="16:27" x14ac:dyDescent="0.2">
      <c r="P974" s="36"/>
      <c r="Q974" s="40"/>
      <c r="R974" s="40"/>
      <c r="S974" s="40"/>
      <c r="T974" s="41"/>
      <c r="U974" s="41"/>
      <c r="V974" s="41"/>
      <c r="W974" s="36"/>
      <c r="X974" s="36"/>
      <c r="Y974" s="36"/>
      <c r="Z974" s="36"/>
      <c r="AA974" s="36"/>
    </row>
    <row r="975" spans="16:27" x14ac:dyDescent="0.2">
      <c r="P975" s="36"/>
      <c r="Q975" s="40"/>
      <c r="R975" s="40"/>
      <c r="S975" s="40"/>
      <c r="T975" s="41"/>
      <c r="U975" s="41"/>
      <c r="V975" s="41"/>
      <c r="W975" s="36"/>
      <c r="X975" s="36"/>
      <c r="Y975" s="36"/>
      <c r="Z975" s="36"/>
      <c r="AA975" s="36"/>
    </row>
    <row r="976" spans="16:27" x14ac:dyDescent="0.2">
      <c r="P976" s="36"/>
      <c r="Q976" s="40"/>
      <c r="R976" s="40"/>
      <c r="S976" s="40"/>
      <c r="T976" s="41"/>
      <c r="U976" s="41"/>
      <c r="V976" s="41"/>
      <c r="W976" s="36"/>
      <c r="X976" s="36"/>
      <c r="Y976" s="36"/>
      <c r="Z976" s="36"/>
      <c r="AA976" s="36"/>
    </row>
    <row r="977" spans="16:27" x14ac:dyDescent="0.2">
      <c r="P977" s="36"/>
      <c r="Q977" s="40"/>
      <c r="R977" s="40"/>
      <c r="S977" s="40"/>
      <c r="T977" s="41"/>
      <c r="U977" s="41"/>
      <c r="V977" s="41"/>
      <c r="W977" s="36"/>
      <c r="X977" s="36"/>
      <c r="Y977" s="36"/>
      <c r="Z977" s="36"/>
      <c r="AA977" s="36"/>
    </row>
    <row r="978" spans="16:27" x14ac:dyDescent="0.2">
      <c r="P978" s="36"/>
      <c r="Q978" s="40"/>
      <c r="R978" s="40"/>
      <c r="S978" s="40"/>
      <c r="T978" s="41"/>
      <c r="U978" s="41"/>
      <c r="V978" s="41"/>
      <c r="W978" s="36"/>
      <c r="X978" s="36"/>
      <c r="Y978" s="36"/>
      <c r="Z978" s="36"/>
      <c r="AA978" s="36"/>
    </row>
    <row r="979" spans="16:27" x14ac:dyDescent="0.2">
      <c r="P979" s="36"/>
      <c r="Q979" s="40"/>
      <c r="R979" s="40"/>
      <c r="S979" s="40"/>
      <c r="T979" s="41"/>
      <c r="U979" s="41"/>
      <c r="V979" s="41"/>
      <c r="W979" s="36"/>
      <c r="X979" s="36"/>
      <c r="Y979" s="36"/>
      <c r="Z979" s="36"/>
      <c r="AA979" s="36"/>
    </row>
    <row r="980" spans="16:27" x14ac:dyDescent="0.2">
      <c r="P980" s="36"/>
      <c r="Q980" s="40"/>
      <c r="R980" s="40"/>
      <c r="S980" s="40"/>
      <c r="T980" s="41"/>
      <c r="U980" s="41"/>
      <c r="V980" s="41"/>
      <c r="W980" s="36"/>
      <c r="X980" s="36"/>
      <c r="Y980" s="36"/>
      <c r="Z980" s="36"/>
      <c r="AA980" s="36"/>
    </row>
    <row r="981" spans="16:27" x14ac:dyDescent="0.2">
      <c r="P981" s="36"/>
      <c r="Q981" s="40"/>
      <c r="R981" s="40"/>
      <c r="S981" s="40"/>
      <c r="T981" s="41"/>
      <c r="U981" s="41"/>
      <c r="V981" s="41"/>
      <c r="W981" s="36"/>
      <c r="X981" s="36"/>
      <c r="Y981" s="36"/>
      <c r="Z981" s="36"/>
      <c r="AA981" s="36"/>
    </row>
    <row r="982" spans="16:27" x14ac:dyDescent="0.2">
      <c r="P982" s="36"/>
      <c r="Q982" s="40"/>
      <c r="R982" s="40"/>
      <c r="S982" s="40"/>
      <c r="T982" s="41"/>
      <c r="U982" s="41"/>
      <c r="V982" s="41"/>
      <c r="W982" s="36"/>
      <c r="X982" s="36"/>
      <c r="Y982" s="36"/>
      <c r="Z982" s="36"/>
      <c r="AA982" s="36"/>
    </row>
    <row r="983" spans="16:27" x14ac:dyDescent="0.2">
      <c r="P983" s="36"/>
      <c r="Q983" s="40"/>
      <c r="R983" s="40"/>
      <c r="S983" s="40"/>
      <c r="T983" s="41"/>
      <c r="U983" s="41"/>
      <c r="V983" s="41"/>
      <c r="W983" s="36"/>
      <c r="X983" s="36"/>
      <c r="Y983" s="36"/>
      <c r="Z983" s="36"/>
      <c r="AA983" s="36"/>
    </row>
    <row r="984" spans="16:27" x14ac:dyDescent="0.2">
      <c r="P984" s="36"/>
      <c r="Q984" s="40"/>
      <c r="R984" s="40"/>
      <c r="S984" s="40"/>
      <c r="T984" s="41"/>
      <c r="U984" s="41"/>
      <c r="V984" s="41"/>
      <c r="W984" s="36"/>
      <c r="X984" s="36"/>
      <c r="Y984" s="36"/>
      <c r="Z984" s="36"/>
      <c r="AA984" s="36"/>
    </row>
    <row r="985" spans="16:27" x14ac:dyDescent="0.2">
      <c r="P985" s="36"/>
      <c r="Q985" s="40"/>
      <c r="R985" s="40"/>
      <c r="S985" s="40"/>
      <c r="T985" s="41"/>
      <c r="U985" s="41"/>
      <c r="V985" s="41"/>
      <c r="W985" s="36"/>
      <c r="X985" s="36"/>
      <c r="Y985" s="36"/>
      <c r="Z985" s="36"/>
      <c r="AA985" s="36"/>
    </row>
    <row r="986" spans="16:27" x14ac:dyDescent="0.2">
      <c r="P986" s="36"/>
      <c r="Q986" s="40"/>
      <c r="R986" s="40"/>
      <c r="S986" s="40"/>
      <c r="T986" s="41"/>
      <c r="U986" s="41"/>
      <c r="V986" s="41"/>
      <c r="W986" s="36"/>
      <c r="X986" s="36"/>
      <c r="Y986" s="36"/>
      <c r="Z986" s="36"/>
      <c r="AA986" s="36"/>
    </row>
    <row r="987" spans="16:27" x14ac:dyDescent="0.2">
      <c r="P987" s="36"/>
      <c r="Q987" s="40"/>
      <c r="R987" s="40"/>
      <c r="S987" s="40"/>
      <c r="T987" s="41"/>
      <c r="U987" s="41"/>
      <c r="V987" s="41"/>
      <c r="W987" s="36"/>
      <c r="X987" s="36"/>
      <c r="Y987" s="36"/>
      <c r="Z987" s="36"/>
      <c r="AA987" s="36"/>
    </row>
    <row r="988" spans="16:27" x14ac:dyDescent="0.2">
      <c r="P988" s="36"/>
      <c r="Q988" s="40"/>
      <c r="R988" s="40"/>
      <c r="S988" s="40"/>
      <c r="T988" s="41"/>
      <c r="U988" s="41"/>
      <c r="V988" s="41"/>
      <c r="W988" s="36"/>
      <c r="X988" s="36"/>
      <c r="Y988" s="36"/>
      <c r="Z988" s="36"/>
      <c r="AA988" s="36"/>
    </row>
    <row r="989" spans="16:27" x14ac:dyDescent="0.2">
      <c r="P989" s="36"/>
      <c r="Q989" s="40"/>
      <c r="R989" s="40"/>
      <c r="S989" s="40"/>
      <c r="T989" s="41"/>
      <c r="U989" s="41"/>
      <c r="V989" s="41"/>
      <c r="W989" s="36"/>
      <c r="X989" s="36"/>
      <c r="Y989" s="36"/>
      <c r="Z989" s="36"/>
      <c r="AA989" s="36"/>
    </row>
    <row r="990" spans="16:27" x14ac:dyDescent="0.2">
      <c r="P990" s="36"/>
      <c r="Q990" s="40"/>
      <c r="R990" s="40"/>
      <c r="S990" s="40"/>
      <c r="T990" s="41"/>
      <c r="U990" s="41"/>
      <c r="V990" s="41"/>
      <c r="W990" s="36"/>
      <c r="X990" s="36"/>
      <c r="Y990" s="36"/>
      <c r="Z990" s="36"/>
      <c r="AA990" s="36"/>
    </row>
    <row r="991" spans="16:27" x14ac:dyDescent="0.2">
      <c r="P991" s="36"/>
      <c r="Q991" s="40"/>
      <c r="R991" s="40"/>
      <c r="S991" s="40"/>
      <c r="T991" s="41"/>
      <c r="U991" s="41"/>
      <c r="V991" s="41"/>
      <c r="W991" s="36"/>
      <c r="X991" s="36"/>
      <c r="Y991" s="36"/>
      <c r="Z991" s="36"/>
      <c r="AA991" s="36"/>
    </row>
    <row r="992" spans="16:27" x14ac:dyDescent="0.2">
      <c r="P992" s="36"/>
      <c r="Q992" s="40"/>
      <c r="R992" s="40"/>
      <c r="S992" s="40"/>
      <c r="T992" s="41"/>
      <c r="U992" s="41"/>
      <c r="V992" s="41"/>
      <c r="W992" s="36"/>
      <c r="X992" s="36"/>
      <c r="Y992" s="36"/>
      <c r="Z992" s="36"/>
      <c r="AA992" s="36"/>
    </row>
    <row r="993" spans="16:27" x14ac:dyDescent="0.2">
      <c r="P993" s="36"/>
      <c r="Q993" s="40"/>
      <c r="R993" s="40"/>
      <c r="S993" s="40"/>
      <c r="T993" s="41"/>
      <c r="U993" s="41"/>
      <c r="V993" s="41"/>
      <c r="W993" s="36"/>
      <c r="X993" s="36"/>
      <c r="Y993" s="36"/>
      <c r="Z993" s="36"/>
      <c r="AA993" s="36"/>
    </row>
    <row r="994" spans="16:27" x14ac:dyDescent="0.2">
      <c r="P994" s="36"/>
      <c r="Q994" s="40"/>
      <c r="R994" s="40"/>
      <c r="S994" s="40"/>
      <c r="T994" s="41"/>
      <c r="U994" s="41"/>
      <c r="V994" s="41"/>
      <c r="W994" s="36"/>
      <c r="X994" s="36"/>
      <c r="Y994" s="36"/>
      <c r="Z994" s="36"/>
      <c r="AA994" s="36"/>
    </row>
    <row r="995" spans="16:27" x14ac:dyDescent="0.2">
      <c r="P995" s="36"/>
      <c r="Q995" s="40"/>
      <c r="R995" s="40"/>
      <c r="S995" s="40"/>
      <c r="T995" s="41"/>
      <c r="U995" s="41"/>
      <c r="V995" s="41"/>
      <c r="W995" s="36"/>
      <c r="X995" s="36"/>
      <c r="Y995" s="36"/>
      <c r="Z995" s="36"/>
      <c r="AA995" s="36"/>
    </row>
    <row r="996" spans="16:27" x14ac:dyDescent="0.2">
      <c r="P996" s="36"/>
      <c r="Q996" s="40"/>
      <c r="R996" s="40"/>
      <c r="S996" s="40"/>
      <c r="T996" s="41"/>
      <c r="U996" s="41"/>
      <c r="V996" s="41"/>
      <c r="W996" s="36"/>
      <c r="X996" s="36"/>
      <c r="Y996" s="36"/>
      <c r="Z996" s="36"/>
      <c r="AA996" s="36"/>
    </row>
    <row r="997" spans="16:27" x14ac:dyDescent="0.2">
      <c r="P997" s="36"/>
      <c r="Q997" s="40"/>
      <c r="R997" s="40"/>
      <c r="S997" s="40"/>
      <c r="T997" s="41"/>
      <c r="U997" s="41"/>
      <c r="V997" s="41"/>
      <c r="W997" s="36"/>
      <c r="X997" s="36"/>
      <c r="Y997" s="36"/>
      <c r="Z997" s="36"/>
      <c r="AA997" s="36"/>
    </row>
    <row r="998" spans="16:27" x14ac:dyDescent="0.2">
      <c r="P998" s="36"/>
      <c r="Q998" s="40"/>
      <c r="R998" s="40"/>
      <c r="S998" s="40"/>
      <c r="T998" s="41"/>
      <c r="U998" s="41"/>
      <c r="V998" s="41"/>
      <c r="W998" s="36"/>
      <c r="X998" s="36"/>
      <c r="Y998" s="36"/>
      <c r="Z998" s="36"/>
      <c r="AA998" s="36"/>
    </row>
    <row r="999" spans="16:27" x14ac:dyDescent="0.2">
      <c r="P999" s="36"/>
      <c r="Q999" s="40"/>
      <c r="R999" s="40"/>
      <c r="S999" s="40"/>
      <c r="T999" s="41"/>
      <c r="U999" s="41"/>
      <c r="V999" s="41"/>
      <c r="W999" s="36"/>
      <c r="X999" s="36"/>
      <c r="Y999" s="36"/>
      <c r="Z999" s="36"/>
      <c r="AA999" s="36"/>
    </row>
    <row r="1000" spans="16:27" x14ac:dyDescent="0.2">
      <c r="P1000" s="36"/>
      <c r="Q1000" s="40"/>
      <c r="R1000" s="40"/>
      <c r="S1000" s="40"/>
      <c r="T1000" s="41"/>
      <c r="U1000" s="41"/>
      <c r="V1000" s="41"/>
      <c r="W1000" s="36"/>
      <c r="X1000" s="36"/>
      <c r="Y1000" s="36"/>
      <c r="Z1000" s="36"/>
      <c r="AA1000" s="36"/>
    </row>
    <row r="1001" spans="16:27" x14ac:dyDescent="0.2">
      <c r="P1001" s="36"/>
      <c r="Q1001" s="40"/>
      <c r="R1001" s="40"/>
      <c r="S1001" s="40"/>
      <c r="T1001" s="41"/>
      <c r="U1001" s="41"/>
      <c r="V1001" s="41"/>
      <c r="W1001" s="36"/>
      <c r="X1001" s="36"/>
      <c r="Y1001" s="36"/>
      <c r="Z1001" s="36"/>
      <c r="AA1001" s="36"/>
    </row>
    <row r="1002" spans="16:27" x14ac:dyDescent="0.2">
      <c r="P1002" s="36"/>
      <c r="Q1002" s="40"/>
      <c r="R1002" s="40"/>
      <c r="S1002" s="40"/>
      <c r="T1002" s="41"/>
      <c r="U1002" s="41"/>
      <c r="V1002" s="41"/>
      <c r="W1002" s="36"/>
      <c r="X1002" s="36"/>
      <c r="Y1002" s="36"/>
      <c r="Z1002" s="36"/>
      <c r="AA1002" s="36"/>
    </row>
    <row r="1003" spans="16:27" x14ac:dyDescent="0.2">
      <c r="P1003" s="36"/>
      <c r="Q1003" s="40"/>
      <c r="R1003" s="40"/>
      <c r="S1003" s="40"/>
      <c r="T1003" s="41"/>
      <c r="U1003" s="41"/>
      <c r="V1003" s="41"/>
      <c r="W1003" s="36"/>
      <c r="X1003" s="36"/>
      <c r="Y1003" s="36"/>
      <c r="Z1003" s="36"/>
      <c r="AA1003" s="36"/>
    </row>
    <row r="1004" spans="16:27" x14ac:dyDescent="0.2">
      <c r="P1004" s="36"/>
      <c r="Q1004" s="40"/>
      <c r="R1004" s="40"/>
      <c r="S1004" s="40"/>
      <c r="T1004" s="41"/>
      <c r="U1004" s="41"/>
      <c r="V1004" s="41"/>
      <c r="W1004" s="36"/>
      <c r="X1004" s="36"/>
      <c r="Y1004" s="36"/>
      <c r="Z1004" s="36"/>
      <c r="AA1004" s="36"/>
    </row>
    <row r="1005" spans="16:27" x14ac:dyDescent="0.2">
      <c r="P1005" s="36"/>
      <c r="Q1005" s="40"/>
      <c r="R1005" s="40"/>
      <c r="S1005" s="40"/>
      <c r="T1005" s="41"/>
      <c r="U1005" s="41"/>
      <c r="V1005" s="41"/>
      <c r="W1005" s="36"/>
      <c r="X1005" s="36"/>
      <c r="Y1005" s="36"/>
      <c r="Z1005" s="36"/>
      <c r="AA1005" s="36"/>
    </row>
    <row r="1006" spans="16:27" x14ac:dyDescent="0.2">
      <c r="P1006" s="36"/>
      <c r="Q1006" s="40"/>
      <c r="R1006" s="40"/>
      <c r="S1006" s="40"/>
      <c r="T1006" s="41"/>
      <c r="U1006" s="41"/>
      <c r="V1006" s="41"/>
      <c r="W1006" s="36"/>
      <c r="X1006" s="36"/>
      <c r="Y1006" s="36"/>
      <c r="Z1006" s="36"/>
      <c r="AA1006" s="36"/>
    </row>
    <row r="1007" spans="16:27" x14ac:dyDescent="0.2">
      <c r="P1007" s="36"/>
      <c r="Q1007" s="40"/>
      <c r="R1007" s="40"/>
      <c r="S1007" s="40"/>
      <c r="T1007" s="41"/>
      <c r="U1007" s="41"/>
      <c r="V1007" s="41"/>
      <c r="W1007" s="36"/>
      <c r="X1007" s="36"/>
      <c r="Y1007" s="36"/>
      <c r="Z1007" s="36"/>
      <c r="AA1007" s="36"/>
    </row>
    <row r="1008" spans="16:27" x14ac:dyDescent="0.2">
      <c r="P1008" s="36"/>
      <c r="Q1008" s="40"/>
      <c r="R1008" s="40"/>
      <c r="S1008" s="40"/>
      <c r="T1008" s="41"/>
      <c r="U1008" s="41"/>
      <c r="V1008" s="41"/>
      <c r="W1008" s="36"/>
      <c r="X1008" s="36"/>
      <c r="Y1008" s="36"/>
      <c r="Z1008" s="36"/>
      <c r="AA1008" s="36"/>
    </row>
    <row r="1009" spans="16:27" x14ac:dyDescent="0.2">
      <c r="P1009" s="36"/>
      <c r="Q1009" s="40"/>
      <c r="R1009" s="40"/>
      <c r="S1009" s="40"/>
      <c r="T1009" s="41"/>
      <c r="U1009" s="41"/>
      <c r="V1009" s="41"/>
      <c r="W1009" s="36"/>
      <c r="X1009" s="36"/>
      <c r="Y1009" s="36"/>
      <c r="Z1009" s="36"/>
      <c r="AA1009" s="36"/>
    </row>
    <row r="1010" spans="16:27" x14ac:dyDescent="0.2">
      <c r="P1010" s="36"/>
      <c r="Q1010" s="40"/>
      <c r="R1010" s="40"/>
      <c r="S1010" s="40"/>
      <c r="T1010" s="41"/>
      <c r="U1010" s="41"/>
      <c r="V1010" s="41"/>
      <c r="W1010" s="36"/>
      <c r="X1010" s="36"/>
      <c r="Y1010" s="36"/>
      <c r="Z1010" s="36"/>
      <c r="AA1010" s="36"/>
    </row>
    <row r="1011" spans="16:27" x14ac:dyDescent="0.2">
      <c r="P1011" s="36"/>
      <c r="Q1011" s="40"/>
      <c r="R1011" s="40"/>
      <c r="S1011" s="40"/>
      <c r="T1011" s="41"/>
      <c r="U1011" s="41"/>
      <c r="V1011" s="41"/>
      <c r="W1011" s="36"/>
      <c r="X1011" s="36"/>
      <c r="Y1011" s="36"/>
      <c r="Z1011" s="36"/>
      <c r="AA1011" s="36"/>
    </row>
    <row r="1012" spans="16:27" x14ac:dyDescent="0.2">
      <c r="P1012" s="36"/>
      <c r="Q1012" s="40"/>
      <c r="R1012" s="40"/>
      <c r="S1012" s="40"/>
      <c r="T1012" s="41"/>
      <c r="U1012" s="41"/>
      <c r="V1012" s="41"/>
      <c r="W1012" s="36"/>
      <c r="X1012" s="36"/>
      <c r="Y1012" s="36"/>
      <c r="Z1012" s="36"/>
      <c r="AA1012" s="36"/>
    </row>
    <row r="1013" spans="16:27" x14ac:dyDescent="0.2">
      <c r="P1013" s="36"/>
      <c r="Q1013" s="40"/>
      <c r="R1013" s="40"/>
      <c r="S1013" s="40"/>
      <c r="T1013" s="41"/>
      <c r="U1013" s="41"/>
      <c r="V1013" s="41"/>
      <c r="W1013" s="36"/>
      <c r="X1013" s="36"/>
      <c r="Y1013" s="36"/>
      <c r="Z1013" s="36"/>
      <c r="AA1013" s="36"/>
    </row>
    <row r="1014" spans="16:27" x14ac:dyDescent="0.2">
      <c r="P1014" s="36"/>
      <c r="Q1014" s="40"/>
      <c r="R1014" s="40"/>
      <c r="S1014" s="40"/>
      <c r="T1014" s="41"/>
      <c r="U1014" s="41"/>
      <c r="V1014" s="41"/>
      <c r="W1014" s="36"/>
      <c r="X1014" s="36"/>
      <c r="Y1014" s="36"/>
      <c r="Z1014" s="36"/>
      <c r="AA1014" s="36"/>
    </row>
    <row r="1015" spans="16:27" x14ac:dyDescent="0.2">
      <c r="P1015" s="36"/>
      <c r="Q1015" s="40"/>
      <c r="R1015" s="40"/>
      <c r="S1015" s="40"/>
      <c r="T1015" s="41"/>
      <c r="U1015" s="41"/>
      <c r="V1015" s="41"/>
      <c r="W1015" s="36"/>
      <c r="X1015" s="36"/>
      <c r="Y1015" s="36"/>
      <c r="Z1015" s="36"/>
      <c r="AA1015" s="36"/>
    </row>
    <row r="1016" spans="16:27" x14ac:dyDescent="0.2">
      <c r="P1016" s="36"/>
      <c r="Q1016" s="40"/>
      <c r="R1016" s="40"/>
      <c r="S1016" s="40"/>
      <c r="T1016" s="41"/>
      <c r="U1016" s="41"/>
      <c r="V1016" s="41"/>
      <c r="W1016" s="36"/>
      <c r="X1016" s="36"/>
      <c r="Y1016" s="36"/>
      <c r="Z1016" s="36"/>
      <c r="AA1016" s="36"/>
    </row>
    <row r="1017" spans="16:27" x14ac:dyDescent="0.2">
      <c r="P1017" s="36"/>
      <c r="Q1017" s="40"/>
      <c r="R1017" s="40"/>
      <c r="S1017" s="40"/>
      <c r="T1017" s="41"/>
      <c r="U1017" s="41"/>
      <c r="V1017" s="41"/>
      <c r="W1017" s="36"/>
      <c r="X1017" s="36"/>
      <c r="Y1017" s="36"/>
      <c r="Z1017" s="36"/>
      <c r="AA1017" s="36"/>
    </row>
    <row r="1018" spans="16:27" x14ac:dyDescent="0.2">
      <c r="P1018" s="36"/>
      <c r="Q1018" s="40"/>
      <c r="R1018" s="40"/>
      <c r="S1018" s="40"/>
      <c r="T1018" s="41"/>
      <c r="U1018" s="41"/>
      <c r="V1018" s="41"/>
      <c r="W1018" s="36"/>
      <c r="X1018" s="36"/>
      <c r="Y1018" s="36"/>
      <c r="Z1018" s="36"/>
      <c r="AA1018" s="36"/>
    </row>
    <row r="1019" spans="16:27" x14ac:dyDescent="0.2">
      <c r="P1019" s="36"/>
      <c r="Q1019" s="40"/>
      <c r="R1019" s="40"/>
      <c r="S1019" s="40"/>
      <c r="T1019" s="41"/>
      <c r="U1019" s="41"/>
      <c r="V1019" s="41"/>
      <c r="W1019" s="36"/>
      <c r="X1019" s="36"/>
      <c r="Y1019" s="36"/>
      <c r="Z1019" s="36"/>
      <c r="AA1019" s="36"/>
    </row>
    <row r="1020" spans="16:27" x14ac:dyDescent="0.2">
      <c r="P1020" s="36"/>
      <c r="Q1020" s="40"/>
      <c r="R1020" s="40"/>
      <c r="S1020" s="40"/>
      <c r="T1020" s="41"/>
      <c r="U1020" s="41"/>
      <c r="V1020" s="41"/>
      <c r="W1020" s="36"/>
      <c r="X1020" s="36"/>
      <c r="Y1020" s="36"/>
      <c r="Z1020" s="36"/>
      <c r="AA1020" s="36"/>
    </row>
    <row r="1021" spans="16:27" x14ac:dyDescent="0.2">
      <c r="P1021" s="36"/>
      <c r="Q1021" s="40"/>
      <c r="R1021" s="40"/>
      <c r="S1021" s="40"/>
      <c r="T1021" s="41"/>
      <c r="U1021" s="41"/>
      <c r="V1021" s="41"/>
      <c r="W1021" s="36"/>
      <c r="X1021" s="36"/>
      <c r="Y1021" s="36"/>
      <c r="Z1021" s="36"/>
      <c r="AA1021" s="36"/>
    </row>
    <row r="1022" spans="16:27" x14ac:dyDescent="0.2">
      <c r="P1022" s="36"/>
      <c r="Q1022" s="40"/>
      <c r="R1022" s="40"/>
      <c r="S1022" s="40"/>
      <c r="T1022" s="41"/>
      <c r="U1022" s="41"/>
      <c r="V1022" s="41"/>
      <c r="W1022" s="36"/>
      <c r="X1022" s="36"/>
      <c r="Y1022" s="36"/>
      <c r="Z1022" s="36"/>
      <c r="AA1022" s="36"/>
    </row>
    <row r="1023" spans="16:27" x14ac:dyDescent="0.2">
      <c r="P1023" s="36"/>
      <c r="Q1023" s="40"/>
      <c r="R1023" s="40"/>
      <c r="S1023" s="40"/>
      <c r="T1023" s="41"/>
      <c r="U1023" s="41"/>
      <c r="V1023" s="41"/>
      <c r="W1023" s="36"/>
      <c r="X1023" s="36"/>
      <c r="Y1023" s="36"/>
      <c r="Z1023" s="36"/>
      <c r="AA1023" s="36"/>
    </row>
    <row r="1024" spans="16:27" x14ac:dyDescent="0.2">
      <c r="P1024" s="36"/>
      <c r="Q1024" s="40"/>
      <c r="R1024" s="40"/>
      <c r="S1024" s="40"/>
      <c r="T1024" s="41"/>
      <c r="U1024" s="41"/>
      <c r="V1024" s="41"/>
      <c r="W1024" s="36"/>
      <c r="X1024" s="36"/>
      <c r="Y1024" s="36"/>
      <c r="Z1024" s="36"/>
      <c r="AA1024" s="36"/>
    </row>
    <row r="1025" spans="16:27" x14ac:dyDescent="0.2">
      <c r="P1025" s="36"/>
      <c r="Q1025" s="40"/>
      <c r="R1025" s="40"/>
      <c r="S1025" s="40"/>
      <c r="T1025" s="41"/>
      <c r="U1025" s="41"/>
      <c r="V1025" s="41"/>
      <c r="W1025" s="36"/>
      <c r="X1025" s="36"/>
      <c r="Y1025" s="36"/>
      <c r="Z1025" s="36"/>
      <c r="AA1025" s="36"/>
    </row>
    <row r="1026" spans="16:27" x14ac:dyDescent="0.2">
      <c r="P1026" s="36"/>
      <c r="Q1026" s="40"/>
      <c r="R1026" s="40"/>
      <c r="S1026" s="40"/>
      <c r="T1026" s="41"/>
      <c r="U1026" s="41"/>
      <c r="V1026" s="41"/>
      <c r="W1026" s="36"/>
      <c r="X1026" s="36"/>
      <c r="Y1026" s="36"/>
      <c r="Z1026" s="36"/>
      <c r="AA1026" s="36"/>
    </row>
    <row r="1027" spans="16:27" x14ac:dyDescent="0.2">
      <c r="P1027" s="36"/>
      <c r="Q1027" s="40"/>
      <c r="R1027" s="40"/>
      <c r="S1027" s="40"/>
      <c r="T1027" s="41"/>
      <c r="U1027" s="41"/>
      <c r="V1027" s="41"/>
      <c r="W1027" s="36"/>
      <c r="X1027" s="36"/>
      <c r="Y1027" s="36"/>
      <c r="Z1027" s="36"/>
      <c r="AA1027" s="36"/>
    </row>
    <row r="1028" spans="16:27" x14ac:dyDescent="0.2">
      <c r="P1028" s="36"/>
      <c r="Q1028" s="40"/>
      <c r="R1028" s="40"/>
      <c r="S1028" s="40"/>
      <c r="T1028" s="41"/>
      <c r="U1028" s="41"/>
      <c r="V1028" s="41"/>
      <c r="W1028" s="36"/>
      <c r="X1028" s="36"/>
      <c r="Y1028" s="36"/>
      <c r="Z1028" s="36"/>
      <c r="AA1028" s="36"/>
    </row>
    <row r="1029" spans="16:27" x14ac:dyDescent="0.2">
      <c r="P1029" s="36"/>
      <c r="Q1029" s="40"/>
      <c r="R1029" s="40"/>
      <c r="S1029" s="40"/>
      <c r="T1029" s="41"/>
      <c r="U1029" s="41"/>
      <c r="V1029" s="41"/>
      <c r="W1029" s="36"/>
      <c r="X1029" s="36"/>
      <c r="Y1029" s="36"/>
      <c r="Z1029" s="36"/>
      <c r="AA1029" s="36"/>
    </row>
    <row r="1030" spans="16:27" x14ac:dyDescent="0.2">
      <c r="P1030" s="36"/>
      <c r="Q1030" s="40"/>
      <c r="R1030" s="40"/>
      <c r="S1030" s="40"/>
      <c r="T1030" s="41"/>
      <c r="U1030" s="41"/>
      <c r="V1030" s="41"/>
      <c r="W1030" s="36"/>
      <c r="X1030" s="36"/>
      <c r="Y1030" s="36"/>
      <c r="Z1030" s="36"/>
      <c r="AA1030" s="36"/>
    </row>
    <row r="1031" spans="16:27" x14ac:dyDescent="0.2">
      <c r="P1031" s="36"/>
      <c r="Q1031" s="40"/>
      <c r="R1031" s="40"/>
      <c r="S1031" s="40"/>
      <c r="T1031" s="41"/>
      <c r="U1031" s="41"/>
      <c r="V1031" s="41"/>
      <c r="W1031" s="36"/>
      <c r="X1031" s="36"/>
      <c r="Y1031" s="36"/>
      <c r="Z1031" s="36"/>
      <c r="AA1031" s="36"/>
    </row>
    <row r="1032" spans="16:27" x14ac:dyDescent="0.2">
      <c r="P1032" s="36"/>
      <c r="Q1032" s="40"/>
      <c r="R1032" s="40"/>
      <c r="S1032" s="40"/>
      <c r="T1032" s="41"/>
      <c r="U1032" s="41"/>
      <c r="V1032" s="41"/>
      <c r="W1032" s="36"/>
      <c r="X1032" s="36"/>
      <c r="Y1032" s="36"/>
      <c r="Z1032" s="36"/>
      <c r="AA1032" s="36"/>
    </row>
    <row r="1033" spans="16:27" x14ac:dyDescent="0.2">
      <c r="P1033" s="36"/>
      <c r="Q1033" s="40"/>
      <c r="R1033" s="40"/>
      <c r="S1033" s="40"/>
      <c r="T1033" s="41"/>
      <c r="U1033" s="41"/>
      <c r="V1033" s="41"/>
      <c r="W1033" s="36"/>
      <c r="X1033" s="36"/>
      <c r="Y1033" s="36"/>
      <c r="Z1033" s="36"/>
      <c r="AA1033" s="36"/>
    </row>
    <row r="1034" spans="16:27" x14ac:dyDescent="0.2">
      <c r="P1034" s="36"/>
      <c r="Q1034" s="40"/>
      <c r="R1034" s="40"/>
      <c r="S1034" s="40"/>
      <c r="T1034" s="41"/>
      <c r="U1034" s="41"/>
      <c r="V1034" s="41"/>
      <c r="W1034" s="36"/>
      <c r="X1034" s="36"/>
      <c r="Y1034" s="36"/>
      <c r="Z1034" s="36"/>
      <c r="AA1034" s="36"/>
    </row>
    <row r="1035" spans="16:27" x14ac:dyDescent="0.2">
      <c r="P1035" s="36"/>
      <c r="Q1035" s="40"/>
      <c r="R1035" s="40"/>
      <c r="S1035" s="40"/>
      <c r="T1035" s="41"/>
      <c r="U1035" s="41"/>
      <c r="V1035" s="41"/>
      <c r="W1035" s="36"/>
      <c r="X1035" s="36"/>
      <c r="Y1035" s="36"/>
      <c r="Z1035" s="36"/>
      <c r="AA1035" s="36"/>
    </row>
    <row r="1036" spans="16:27" x14ac:dyDescent="0.2">
      <c r="P1036" s="36"/>
      <c r="Q1036" s="40"/>
      <c r="R1036" s="40"/>
      <c r="S1036" s="40"/>
      <c r="T1036" s="41"/>
      <c r="U1036" s="41"/>
      <c r="V1036" s="41"/>
      <c r="W1036" s="36"/>
      <c r="X1036" s="36"/>
      <c r="Y1036" s="36"/>
      <c r="Z1036" s="36"/>
      <c r="AA1036" s="36"/>
    </row>
    <row r="1037" spans="16:27" x14ac:dyDescent="0.2">
      <c r="P1037" s="36"/>
      <c r="Q1037" s="40"/>
      <c r="R1037" s="40"/>
      <c r="S1037" s="40"/>
      <c r="T1037" s="41"/>
      <c r="U1037" s="41"/>
      <c r="V1037" s="41"/>
      <c r="W1037" s="36"/>
      <c r="X1037" s="36"/>
      <c r="Y1037" s="36"/>
      <c r="Z1037" s="36"/>
      <c r="AA1037" s="36"/>
    </row>
    <row r="1038" spans="16:27" x14ac:dyDescent="0.2">
      <c r="P1038" s="36"/>
      <c r="Q1038" s="40"/>
      <c r="R1038" s="40"/>
      <c r="S1038" s="40"/>
      <c r="T1038" s="41"/>
      <c r="U1038" s="41"/>
      <c r="V1038" s="41"/>
      <c r="W1038" s="36"/>
      <c r="X1038" s="36"/>
      <c r="Y1038" s="36"/>
      <c r="Z1038" s="36"/>
      <c r="AA1038" s="36"/>
    </row>
    <row r="1039" spans="16:27" x14ac:dyDescent="0.2">
      <c r="P1039" s="36"/>
      <c r="Q1039" s="40"/>
      <c r="R1039" s="40"/>
      <c r="S1039" s="40"/>
      <c r="T1039" s="41"/>
      <c r="U1039" s="41"/>
      <c r="V1039" s="41"/>
      <c r="W1039" s="36"/>
      <c r="X1039" s="36"/>
      <c r="Y1039" s="36"/>
      <c r="Z1039" s="36"/>
      <c r="AA1039" s="36"/>
    </row>
    <row r="1040" spans="16:27" x14ac:dyDescent="0.2">
      <c r="P1040" s="36"/>
      <c r="Q1040" s="40"/>
      <c r="R1040" s="40"/>
      <c r="S1040" s="40"/>
      <c r="T1040" s="41"/>
      <c r="U1040" s="41"/>
      <c r="V1040" s="41"/>
      <c r="W1040" s="36"/>
      <c r="X1040" s="36"/>
      <c r="Y1040" s="36"/>
      <c r="Z1040" s="36"/>
      <c r="AA1040" s="36"/>
    </row>
    <row r="1041" spans="16:27" x14ac:dyDescent="0.2">
      <c r="P1041" s="36"/>
      <c r="Q1041" s="40"/>
      <c r="R1041" s="40"/>
      <c r="S1041" s="40"/>
      <c r="T1041" s="41"/>
      <c r="U1041" s="41"/>
      <c r="V1041" s="41"/>
      <c r="W1041" s="36"/>
      <c r="X1041" s="36"/>
      <c r="Y1041" s="36"/>
      <c r="Z1041" s="36"/>
      <c r="AA1041" s="36"/>
    </row>
    <row r="1042" spans="16:27" x14ac:dyDescent="0.2">
      <c r="P1042" s="36"/>
      <c r="Q1042" s="40"/>
      <c r="R1042" s="40"/>
      <c r="S1042" s="40"/>
      <c r="T1042" s="41"/>
      <c r="U1042" s="41"/>
      <c r="V1042" s="41"/>
      <c r="W1042" s="36"/>
      <c r="X1042" s="36"/>
      <c r="Y1042" s="36"/>
      <c r="Z1042" s="36"/>
      <c r="AA1042" s="36"/>
    </row>
    <row r="1043" spans="16:27" x14ac:dyDescent="0.2">
      <c r="P1043" s="36"/>
      <c r="Q1043" s="40"/>
      <c r="R1043" s="40"/>
      <c r="S1043" s="40"/>
      <c r="T1043" s="41"/>
      <c r="U1043" s="41"/>
      <c r="V1043" s="41"/>
      <c r="W1043" s="36"/>
      <c r="X1043" s="36"/>
      <c r="Y1043" s="36"/>
      <c r="Z1043" s="36"/>
      <c r="AA1043" s="36"/>
    </row>
    <row r="1044" spans="16:27" x14ac:dyDescent="0.2">
      <c r="P1044" s="36"/>
      <c r="Q1044" s="40"/>
      <c r="R1044" s="40"/>
      <c r="S1044" s="40"/>
      <c r="T1044" s="41"/>
      <c r="U1044" s="41"/>
      <c r="V1044" s="41"/>
      <c r="W1044" s="36"/>
      <c r="X1044" s="36"/>
      <c r="Y1044" s="36"/>
      <c r="Z1044" s="36"/>
      <c r="AA1044" s="36"/>
    </row>
    <row r="1045" spans="16:27" x14ac:dyDescent="0.2">
      <c r="P1045" s="36"/>
      <c r="Q1045" s="40"/>
      <c r="R1045" s="40"/>
      <c r="S1045" s="40"/>
      <c r="T1045" s="41"/>
      <c r="U1045" s="41"/>
      <c r="V1045" s="41"/>
      <c r="W1045" s="36"/>
      <c r="X1045" s="36"/>
      <c r="Y1045" s="36"/>
      <c r="Z1045" s="36"/>
      <c r="AA1045" s="36"/>
    </row>
    <row r="1046" spans="16:27" x14ac:dyDescent="0.2">
      <c r="P1046" s="36"/>
      <c r="Q1046" s="40"/>
      <c r="R1046" s="40"/>
      <c r="S1046" s="40"/>
      <c r="T1046" s="41"/>
      <c r="U1046" s="41"/>
      <c r="V1046" s="41"/>
      <c r="W1046" s="36"/>
      <c r="X1046" s="36"/>
      <c r="Y1046" s="36"/>
      <c r="Z1046" s="36"/>
      <c r="AA1046" s="36"/>
    </row>
    <row r="1047" spans="16:27" x14ac:dyDescent="0.2">
      <c r="P1047" s="36"/>
      <c r="Q1047" s="40"/>
      <c r="R1047" s="40"/>
      <c r="S1047" s="40"/>
      <c r="T1047" s="41"/>
      <c r="U1047" s="41"/>
      <c r="V1047" s="41"/>
      <c r="W1047" s="36"/>
      <c r="X1047" s="36"/>
      <c r="Y1047" s="36"/>
      <c r="Z1047" s="36"/>
      <c r="AA1047" s="36"/>
    </row>
    <row r="1048" spans="16:27" x14ac:dyDescent="0.2">
      <c r="P1048" s="36"/>
      <c r="Q1048" s="40"/>
      <c r="R1048" s="40"/>
      <c r="S1048" s="40"/>
      <c r="T1048" s="41"/>
      <c r="U1048" s="41"/>
      <c r="V1048" s="41"/>
      <c r="W1048" s="36"/>
      <c r="X1048" s="36"/>
      <c r="Y1048" s="36"/>
      <c r="Z1048" s="36"/>
      <c r="AA1048" s="36"/>
    </row>
    <row r="1049" spans="16:27" x14ac:dyDescent="0.2">
      <c r="P1049" s="36"/>
      <c r="Q1049" s="40"/>
      <c r="R1049" s="40"/>
      <c r="S1049" s="40"/>
      <c r="T1049" s="41"/>
      <c r="U1049" s="41"/>
      <c r="V1049" s="41"/>
      <c r="W1049" s="36"/>
      <c r="X1049" s="36"/>
      <c r="Y1049" s="36"/>
      <c r="Z1049" s="36"/>
      <c r="AA1049" s="36"/>
    </row>
    <row r="1050" spans="16:27" x14ac:dyDescent="0.2">
      <c r="P1050" s="36"/>
      <c r="Q1050" s="40"/>
      <c r="R1050" s="40"/>
      <c r="S1050" s="40"/>
      <c r="T1050" s="41"/>
      <c r="U1050" s="41"/>
      <c r="V1050" s="41"/>
      <c r="W1050" s="36"/>
      <c r="X1050" s="36"/>
      <c r="Y1050" s="36"/>
      <c r="Z1050" s="36"/>
      <c r="AA1050" s="36"/>
    </row>
    <row r="1051" spans="16:27" x14ac:dyDescent="0.2">
      <c r="P1051" s="36"/>
      <c r="Q1051" s="40"/>
      <c r="R1051" s="40"/>
      <c r="S1051" s="40"/>
      <c r="T1051" s="41"/>
      <c r="U1051" s="41"/>
      <c r="V1051" s="41"/>
      <c r="W1051" s="36"/>
      <c r="X1051" s="36"/>
      <c r="Y1051" s="36"/>
      <c r="Z1051" s="36"/>
      <c r="AA1051" s="36"/>
    </row>
    <row r="1052" spans="16:27" x14ac:dyDescent="0.2">
      <c r="P1052" s="36"/>
      <c r="Q1052" s="40"/>
      <c r="R1052" s="40"/>
      <c r="S1052" s="40"/>
      <c r="T1052" s="41"/>
      <c r="U1052" s="41"/>
      <c r="V1052" s="41"/>
      <c r="W1052" s="36"/>
      <c r="X1052" s="36"/>
      <c r="Y1052" s="36"/>
      <c r="Z1052" s="36"/>
      <c r="AA1052" s="36"/>
    </row>
    <row r="1053" spans="16:27" x14ac:dyDescent="0.2">
      <c r="P1053" s="36"/>
      <c r="Q1053" s="40"/>
      <c r="R1053" s="40"/>
      <c r="S1053" s="40"/>
      <c r="T1053" s="41"/>
      <c r="U1053" s="41"/>
      <c r="V1053" s="41"/>
      <c r="W1053" s="36"/>
      <c r="X1053" s="36"/>
      <c r="Y1053" s="36"/>
      <c r="Z1053" s="36"/>
      <c r="AA1053" s="36"/>
    </row>
    <row r="1054" spans="16:27" x14ac:dyDescent="0.2">
      <c r="P1054" s="36"/>
      <c r="Q1054" s="40"/>
      <c r="R1054" s="40"/>
      <c r="S1054" s="40"/>
      <c r="T1054" s="41"/>
      <c r="U1054" s="41"/>
      <c r="V1054" s="41"/>
      <c r="W1054" s="36"/>
      <c r="X1054" s="36"/>
      <c r="Y1054" s="36"/>
      <c r="Z1054" s="36"/>
      <c r="AA1054" s="36"/>
    </row>
    <row r="1055" spans="16:27" x14ac:dyDescent="0.2">
      <c r="P1055" s="36"/>
      <c r="Q1055" s="40"/>
      <c r="R1055" s="40"/>
      <c r="S1055" s="40"/>
      <c r="T1055" s="41"/>
      <c r="U1055" s="41"/>
      <c r="V1055" s="41"/>
      <c r="W1055" s="36"/>
      <c r="X1055" s="36"/>
      <c r="Y1055" s="36"/>
      <c r="Z1055" s="36"/>
      <c r="AA1055" s="36"/>
    </row>
    <row r="1056" spans="16:27" x14ac:dyDescent="0.2">
      <c r="P1056" s="36"/>
      <c r="Q1056" s="40"/>
      <c r="R1056" s="40"/>
      <c r="S1056" s="40"/>
      <c r="T1056" s="41"/>
      <c r="U1056" s="41"/>
      <c r="V1056" s="41"/>
      <c r="W1056" s="36"/>
      <c r="X1056" s="36"/>
      <c r="Y1056" s="36"/>
      <c r="Z1056" s="36"/>
      <c r="AA1056" s="36"/>
    </row>
    <row r="1057" spans="16:27" x14ac:dyDescent="0.2">
      <c r="P1057" s="36"/>
      <c r="Q1057" s="40"/>
      <c r="R1057" s="40"/>
      <c r="S1057" s="40"/>
      <c r="T1057" s="41"/>
      <c r="U1057" s="41"/>
      <c r="V1057" s="41"/>
      <c r="W1057" s="36"/>
      <c r="X1057" s="36"/>
      <c r="Y1057" s="36"/>
      <c r="Z1057" s="36"/>
      <c r="AA1057" s="36"/>
    </row>
    <row r="1058" spans="16:27" x14ac:dyDescent="0.2">
      <c r="P1058" s="36"/>
      <c r="Q1058" s="40"/>
      <c r="R1058" s="40"/>
      <c r="S1058" s="40"/>
      <c r="T1058" s="41"/>
      <c r="U1058" s="41"/>
      <c r="V1058" s="41"/>
      <c r="W1058" s="36"/>
      <c r="X1058" s="36"/>
      <c r="Y1058" s="36"/>
      <c r="Z1058" s="36"/>
      <c r="AA1058" s="36"/>
    </row>
    <row r="1059" spans="16:27" x14ac:dyDescent="0.2">
      <c r="P1059" s="36"/>
      <c r="Q1059" s="40"/>
      <c r="R1059" s="40"/>
      <c r="S1059" s="40"/>
      <c r="T1059" s="41"/>
      <c r="U1059" s="41"/>
      <c r="V1059" s="41"/>
      <c r="W1059" s="36"/>
      <c r="X1059" s="36"/>
      <c r="Y1059" s="36"/>
      <c r="Z1059" s="36"/>
      <c r="AA1059" s="36"/>
    </row>
    <row r="1060" spans="16:27" x14ac:dyDescent="0.2">
      <c r="P1060" s="36"/>
      <c r="Q1060" s="40"/>
      <c r="R1060" s="40"/>
      <c r="S1060" s="40"/>
      <c r="T1060" s="41"/>
      <c r="U1060" s="41"/>
      <c r="V1060" s="41"/>
      <c r="W1060" s="36"/>
      <c r="X1060" s="36"/>
      <c r="Y1060" s="36"/>
      <c r="Z1060" s="36"/>
      <c r="AA1060" s="36"/>
    </row>
    <row r="1061" spans="16:27" x14ac:dyDescent="0.2">
      <c r="P1061" s="36"/>
      <c r="Q1061" s="40"/>
      <c r="R1061" s="40"/>
      <c r="S1061" s="40"/>
      <c r="T1061" s="41"/>
      <c r="U1061" s="41"/>
      <c r="V1061" s="41"/>
      <c r="W1061" s="36"/>
      <c r="X1061" s="36"/>
      <c r="Y1061" s="36"/>
      <c r="Z1061" s="36"/>
      <c r="AA1061" s="36"/>
    </row>
    <row r="1062" spans="16:27" x14ac:dyDescent="0.2">
      <c r="P1062" s="36"/>
      <c r="Q1062" s="40"/>
      <c r="R1062" s="40"/>
      <c r="S1062" s="40"/>
      <c r="T1062" s="41"/>
      <c r="U1062" s="41"/>
      <c r="V1062" s="41"/>
      <c r="W1062" s="36"/>
      <c r="X1062" s="36"/>
      <c r="Y1062" s="36"/>
      <c r="Z1062" s="36"/>
      <c r="AA1062" s="36"/>
    </row>
    <row r="1063" spans="16:27" x14ac:dyDescent="0.2">
      <c r="P1063" s="36"/>
      <c r="Q1063" s="40"/>
      <c r="R1063" s="40"/>
      <c r="S1063" s="40"/>
      <c r="T1063" s="41"/>
      <c r="U1063" s="41"/>
      <c r="V1063" s="41"/>
      <c r="W1063" s="36"/>
      <c r="X1063" s="36"/>
      <c r="Y1063" s="36"/>
      <c r="Z1063" s="36"/>
      <c r="AA1063" s="36"/>
    </row>
    <row r="1064" spans="16:27" x14ac:dyDescent="0.2">
      <c r="P1064" s="36"/>
      <c r="Q1064" s="40"/>
      <c r="R1064" s="40"/>
      <c r="S1064" s="40"/>
      <c r="T1064" s="41"/>
      <c r="U1064" s="41"/>
      <c r="V1064" s="41"/>
      <c r="W1064" s="36"/>
      <c r="X1064" s="36"/>
      <c r="Y1064" s="36"/>
      <c r="Z1064" s="36"/>
      <c r="AA1064" s="36"/>
    </row>
    <row r="1065" spans="16:27" x14ac:dyDescent="0.2">
      <c r="P1065" s="36"/>
      <c r="Q1065" s="40"/>
      <c r="R1065" s="40"/>
      <c r="S1065" s="40"/>
      <c r="T1065" s="41"/>
      <c r="U1065" s="41"/>
      <c r="V1065" s="41"/>
      <c r="W1065" s="36"/>
      <c r="X1065" s="36"/>
      <c r="Y1065" s="36"/>
      <c r="Z1065" s="36"/>
      <c r="AA1065" s="36"/>
    </row>
    <row r="1066" spans="16:27" x14ac:dyDescent="0.2">
      <c r="P1066" s="36"/>
      <c r="Q1066" s="40"/>
      <c r="R1066" s="40"/>
      <c r="S1066" s="40"/>
      <c r="T1066" s="41"/>
      <c r="U1066" s="41"/>
      <c r="V1066" s="41"/>
      <c r="W1066" s="36"/>
      <c r="X1066" s="36"/>
      <c r="Y1066" s="36"/>
      <c r="Z1066" s="36"/>
      <c r="AA1066" s="36"/>
    </row>
    <row r="1067" spans="16:27" x14ac:dyDescent="0.2">
      <c r="P1067" s="36"/>
      <c r="Q1067" s="40"/>
      <c r="R1067" s="40"/>
      <c r="S1067" s="40"/>
      <c r="T1067" s="41"/>
      <c r="U1067" s="41"/>
      <c r="V1067" s="41"/>
      <c r="W1067" s="36"/>
      <c r="X1067" s="36"/>
      <c r="Y1067" s="36"/>
      <c r="Z1067" s="36"/>
      <c r="AA1067" s="36"/>
    </row>
    <row r="1068" spans="16:27" x14ac:dyDescent="0.2">
      <c r="P1068" s="36"/>
      <c r="Q1068" s="40"/>
      <c r="R1068" s="40"/>
      <c r="S1068" s="40"/>
      <c r="T1068" s="41"/>
      <c r="U1068" s="41"/>
      <c r="V1068" s="41"/>
      <c r="W1068" s="36"/>
      <c r="X1068" s="36"/>
      <c r="Y1068" s="36"/>
      <c r="Z1068" s="36"/>
      <c r="AA1068" s="36"/>
    </row>
    <row r="1069" spans="16:27" x14ac:dyDescent="0.2">
      <c r="P1069" s="36"/>
      <c r="Q1069" s="40"/>
      <c r="R1069" s="40"/>
      <c r="S1069" s="40"/>
      <c r="T1069" s="41"/>
      <c r="U1069" s="41"/>
      <c r="V1069" s="41"/>
      <c r="W1069" s="36"/>
      <c r="X1069" s="36"/>
      <c r="Y1069" s="36"/>
      <c r="Z1069" s="36"/>
      <c r="AA1069" s="36"/>
    </row>
    <row r="1070" spans="16:27" x14ac:dyDescent="0.2">
      <c r="P1070" s="36"/>
      <c r="Q1070" s="40"/>
      <c r="R1070" s="40"/>
      <c r="S1070" s="40"/>
      <c r="T1070" s="41"/>
      <c r="U1070" s="41"/>
      <c r="V1070" s="41"/>
      <c r="W1070" s="36"/>
      <c r="X1070" s="36"/>
      <c r="Y1070" s="36"/>
      <c r="Z1070" s="36"/>
      <c r="AA1070" s="36"/>
    </row>
    <row r="1071" spans="16:27" x14ac:dyDescent="0.2">
      <c r="P1071" s="36"/>
      <c r="Q1071" s="40"/>
      <c r="R1071" s="40"/>
      <c r="S1071" s="40"/>
      <c r="T1071" s="41"/>
      <c r="U1071" s="41"/>
      <c r="V1071" s="41"/>
      <c r="W1071" s="36"/>
      <c r="X1071" s="36"/>
      <c r="Y1071" s="36"/>
      <c r="Z1071" s="36"/>
      <c r="AA1071" s="36"/>
    </row>
    <row r="1072" spans="16:27" x14ac:dyDescent="0.2">
      <c r="P1072" s="36"/>
      <c r="Q1072" s="40"/>
      <c r="R1072" s="40"/>
      <c r="S1072" s="40"/>
      <c r="T1072" s="41"/>
      <c r="U1072" s="41"/>
      <c r="V1072" s="41"/>
      <c r="W1072" s="36"/>
      <c r="X1072" s="36"/>
      <c r="Y1072" s="36"/>
      <c r="Z1072" s="36"/>
      <c r="AA1072" s="36"/>
    </row>
    <row r="1073" spans="16:27" x14ac:dyDescent="0.2">
      <c r="P1073" s="36"/>
      <c r="Q1073" s="40"/>
      <c r="R1073" s="40"/>
      <c r="S1073" s="40"/>
      <c r="T1073" s="41"/>
      <c r="U1073" s="41"/>
      <c r="V1073" s="41"/>
      <c r="W1073" s="36"/>
      <c r="X1073" s="36"/>
      <c r="Y1073" s="36"/>
      <c r="Z1073" s="36"/>
      <c r="AA1073" s="36"/>
    </row>
    <row r="1074" spans="16:27" x14ac:dyDescent="0.2">
      <c r="P1074" s="36"/>
      <c r="Q1074" s="40"/>
      <c r="R1074" s="40"/>
      <c r="S1074" s="40"/>
      <c r="T1074" s="41"/>
      <c r="U1074" s="41"/>
      <c r="V1074" s="41"/>
      <c r="W1074" s="36"/>
      <c r="X1074" s="36"/>
      <c r="Y1074" s="36"/>
      <c r="Z1074" s="36"/>
      <c r="AA1074" s="36"/>
    </row>
    <row r="1075" spans="16:27" x14ac:dyDescent="0.2">
      <c r="P1075" s="36"/>
      <c r="Q1075" s="40"/>
      <c r="R1075" s="40"/>
      <c r="S1075" s="40"/>
      <c r="T1075" s="41"/>
      <c r="U1075" s="41"/>
      <c r="V1075" s="41"/>
      <c r="W1075" s="36"/>
      <c r="X1075" s="36"/>
      <c r="Y1075" s="36"/>
      <c r="Z1075" s="36"/>
      <c r="AA1075" s="36"/>
    </row>
    <row r="1076" spans="16:27" x14ac:dyDescent="0.2">
      <c r="P1076" s="36"/>
      <c r="Q1076" s="40"/>
      <c r="R1076" s="40"/>
      <c r="S1076" s="40"/>
      <c r="T1076" s="41"/>
      <c r="U1076" s="41"/>
      <c r="V1076" s="41"/>
      <c r="W1076" s="36"/>
      <c r="X1076" s="36"/>
      <c r="Y1076" s="36"/>
      <c r="Z1076" s="36"/>
      <c r="AA1076" s="36"/>
    </row>
    <row r="1077" spans="16:27" x14ac:dyDescent="0.2">
      <c r="P1077" s="36"/>
      <c r="Q1077" s="40"/>
      <c r="R1077" s="40"/>
      <c r="S1077" s="40"/>
      <c r="T1077" s="41"/>
      <c r="U1077" s="41"/>
      <c r="V1077" s="41"/>
      <c r="W1077" s="36"/>
      <c r="X1077" s="36"/>
      <c r="Y1077" s="36"/>
      <c r="Z1077" s="36"/>
      <c r="AA1077" s="36"/>
    </row>
    <row r="1078" spans="16:27" x14ac:dyDescent="0.2">
      <c r="P1078" s="36"/>
      <c r="Q1078" s="40"/>
      <c r="R1078" s="40"/>
      <c r="S1078" s="40"/>
      <c r="T1078" s="41"/>
      <c r="U1078" s="41"/>
      <c r="V1078" s="41"/>
      <c r="W1078" s="36"/>
      <c r="X1078" s="36"/>
      <c r="Y1078" s="36"/>
      <c r="Z1078" s="36"/>
      <c r="AA1078" s="36"/>
    </row>
    <row r="1079" spans="16:27" x14ac:dyDescent="0.2">
      <c r="P1079" s="36"/>
      <c r="Q1079" s="40"/>
      <c r="R1079" s="40"/>
      <c r="S1079" s="40"/>
      <c r="T1079" s="41"/>
      <c r="U1079" s="41"/>
      <c r="V1079" s="41"/>
      <c r="W1079" s="36"/>
      <c r="X1079" s="36"/>
      <c r="Y1079" s="36"/>
      <c r="Z1079" s="36"/>
      <c r="AA1079" s="36"/>
    </row>
    <row r="1080" spans="16:27" x14ac:dyDescent="0.2">
      <c r="P1080" s="36"/>
      <c r="Q1080" s="40"/>
      <c r="R1080" s="40"/>
      <c r="S1080" s="40"/>
      <c r="T1080" s="41"/>
      <c r="U1080" s="41"/>
      <c r="V1080" s="41"/>
      <c r="W1080" s="36"/>
      <c r="X1080" s="36"/>
      <c r="Y1080" s="36"/>
      <c r="Z1080" s="36"/>
      <c r="AA1080" s="36"/>
    </row>
    <row r="1081" spans="16:27" x14ac:dyDescent="0.2">
      <c r="P1081" s="36"/>
      <c r="Q1081" s="40"/>
      <c r="R1081" s="40"/>
      <c r="S1081" s="40"/>
      <c r="T1081" s="41"/>
      <c r="U1081" s="41"/>
      <c r="V1081" s="41"/>
      <c r="W1081" s="36"/>
      <c r="X1081" s="36"/>
      <c r="Y1081" s="36"/>
      <c r="Z1081" s="36"/>
      <c r="AA1081" s="36"/>
    </row>
    <row r="1082" spans="16:27" x14ac:dyDescent="0.2">
      <c r="P1082" s="36"/>
      <c r="Q1082" s="40"/>
      <c r="R1082" s="40"/>
      <c r="S1082" s="40"/>
      <c r="T1082" s="41"/>
      <c r="U1082" s="41"/>
      <c r="V1082" s="41"/>
      <c r="W1082" s="36"/>
      <c r="X1082" s="36"/>
      <c r="Y1082" s="36"/>
      <c r="Z1082" s="36"/>
      <c r="AA1082" s="36"/>
    </row>
    <row r="1083" spans="16:27" x14ac:dyDescent="0.2">
      <c r="P1083" s="36"/>
      <c r="Q1083" s="40"/>
      <c r="R1083" s="40"/>
      <c r="S1083" s="40"/>
      <c r="T1083" s="41"/>
      <c r="U1083" s="41"/>
      <c r="V1083" s="41"/>
      <c r="W1083" s="36"/>
      <c r="X1083" s="36"/>
      <c r="Y1083" s="36"/>
      <c r="Z1083" s="36"/>
      <c r="AA1083" s="36"/>
    </row>
    <row r="1084" spans="16:27" x14ac:dyDescent="0.2">
      <c r="P1084" s="36"/>
      <c r="Q1084" s="40"/>
      <c r="R1084" s="40"/>
      <c r="S1084" s="40"/>
      <c r="T1084" s="41"/>
      <c r="U1084" s="41"/>
      <c r="V1084" s="41"/>
      <c r="W1084" s="36"/>
      <c r="X1084" s="36"/>
      <c r="Y1084" s="36"/>
      <c r="Z1084" s="36"/>
      <c r="AA1084" s="36"/>
    </row>
    <row r="1085" spans="16:27" x14ac:dyDescent="0.2">
      <c r="P1085" s="36"/>
      <c r="Q1085" s="40"/>
      <c r="R1085" s="40"/>
      <c r="S1085" s="40"/>
      <c r="T1085" s="41"/>
      <c r="U1085" s="41"/>
      <c r="V1085" s="41"/>
      <c r="W1085" s="36"/>
      <c r="X1085" s="36"/>
      <c r="Y1085" s="36"/>
      <c r="Z1085" s="36"/>
      <c r="AA1085" s="36"/>
    </row>
    <row r="1086" spans="16:27" x14ac:dyDescent="0.2">
      <c r="P1086" s="36"/>
      <c r="Q1086" s="40"/>
      <c r="R1086" s="40"/>
      <c r="S1086" s="40"/>
      <c r="T1086" s="41"/>
      <c r="U1086" s="41"/>
      <c r="V1086" s="41"/>
      <c r="W1086" s="36"/>
      <c r="X1086" s="36"/>
      <c r="Y1086" s="36"/>
      <c r="Z1086" s="36"/>
      <c r="AA1086" s="36"/>
    </row>
    <row r="1087" spans="16:27" x14ac:dyDescent="0.2">
      <c r="P1087" s="36"/>
      <c r="Q1087" s="40"/>
      <c r="R1087" s="40"/>
      <c r="S1087" s="40"/>
      <c r="T1087" s="41"/>
      <c r="U1087" s="41"/>
      <c r="V1087" s="41"/>
      <c r="W1087" s="36"/>
      <c r="X1087" s="36"/>
      <c r="Y1087" s="36"/>
      <c r="Z1087" s="36"/>
      <c r="AA1087" s="36"/>
    </row>
    <row r="1088" spans="16:27" x14ac:dyDescent="0.2">
      <c r="P1088" s="36"/>
      <c r="Q1088" s="40"/>
      <c r="R1088" s="40"/>
      <c r="S1088" s="40"/>
      <c r="T1088" s="41"/>
      <c r="U1088" s="41"/>
      <c r="V1088" s="41"/>
      <c r="W1088" s="36"/>
      <c r="X1088" s="36"/>
      <c r="Y1088" s="36"/>
      <c r="Z1088" s="36"/>
      <c r="AA1088" s="36"/>
    </row>
    <row r="1089" spans="16:27" x14ac:dyDescent="0.2">
      <c r="P1089" s="36"/>
      <c r="Q1089" s="40"/>
      <c r="R1089" s="40"/>
      <c r="S1089" s="40"/>
      <c r="T1089" s="41"/>
      <c r="U1089" s="41"/>
      <c r="V1089" s="41"/>
      <c r="W1089" s="36"/>
      <c r="X1089" s="36"/>
      <c r="Y1089" s="36"/>
      <c r="Z1089" s="36"/>
      <c r="AA1089" s="36"/>
    </row>
    <row r="1090" spans="16:27" x14ac:dyDescent="0.2">
      <c r="P1090" s="36"/>
      <c r="Q1090" s="40"/>
      <c r="R1090" s="40"/>
      <c r="S1090" s="40"/>
      <c r="T1090" s="41"/>
      <c r="U1090" s="41"/>
      <c r="V1090" s="41"/>
      <c r="W1090" s="36"/>
      <c r="X1090" s="36"/>
      <c r="Y1090" s="36"/>
      <c r="Z1090" s="36"/>
      <c r="AA1090" s="36"/>
    </row>
    <row r="1091" spans="16:27" x14ac:dyDescent="0.2">
      <c r="P1091" s="36"/>
      <c r="Q1091" s="40"/>
      <c r="R1091" s="40"/>
      <c r="S1091" s="40"/>
      <c r="T1091" s="41"/>
      <c r="U1091" s="41"/>
      <c r="V1091" s="41"/>
      <c r="W1091" s="36"/>
      <c r="X1091" s="36"/>
      <c r="Y1091" s="36"/>
      <c r="Z1091" s="36"/>
      <c r="AA1091" s="36"/>
    </row>
    <row r="1092" spans="16:27" x14ac:dyDescent="0.2">
      <c r="P1092" s="36"/>
      <c r="Q1092" s="40"/>
      <c r="R1092" s="40"/>
      <c r="S1092" s="40"/>
      <c r="T1092" s="41"/>
      <c r="U1092" s="41"/>
      <c r="V1092" s="41"/>
      <c r="W1092" s="36"/>
      <c r="X1092" s="36"/>
      <c r="Y1092" s="36"/>
      <c r="Z1092" s="36"/>
      <c r="AA1092" s="36"/>
    </row>
    <row r="1093" spans="16:27" x14ac:dyDescent="0.2">
      <c r="P1093" s="36"/>
      <c r="Q1093" s="40"/>
      <c r="R1093" s="40"/>
      <c r="S1093" s="40"/>
      <c r="T1093" s="41"/>
      <c r="U1093" s="41"/>
      <c r="V1093" s="41"/>
      <c r="W1093" s="36"/>
      <c r="X1093" s="36"/>
      <c r="Y1093" s="36"/>
      <c r="Z1093" s="36"/>
      <c r="AA1093" s="36"/>
    </row>
    <row r="1094" spans="16:27" x14ac:dyDescent="0.2">
      <c r="P1094" s="36"/>
      <c r="Q1094" s="40"/>
      <c r="R1094" s="40"/>
      <c r="S1094" s="40"/>
      <c r="T1094" s="41"/>
      <c r="U1094" s="41"/>
      <c r="V1094" s="41"/>
      <c r="W1094" s="36"/>
      <c r="X1094" s="36"/>
      <c r="Y1094" s="36"/>
      <c r="Z1094" s="36"/>
      <c r="AA1094" s="36"/>
    </row>
    <row r="1095" spans="16:27" x14ac:dyDescent="0.2">
      <c r="P1095" s="36"/>
      <c r="Q1095" s="40"/>
      <c r="R1095" s="40"/>
      <c r="S1095" s="40"/>
      <c r="T1095" s="41"/>
      <c r="U1095" s="41"/>
      <c r="V1095" s="41"/>
      <c r="W1095" s="36"/>
      <c r="X1095" s="36"/>
      <c r="Y1095" s="36"/>
      <c r="Z1095" s="36"/>
      <c r="AA1095" s="36"/>
    </row>
    <row r="1096" spans="16:27" x14ac:dyDescent="0.2">
      <c r="P1096" s="36"/>
      <c r="Q1096" s="40"/>
      <c r="R1096" s="40"/>
      <c r="S1096" s="40"/>
      <c r="T1096" s="41"/>
      <c r="U1096" s="41"/>
      <c r="V1096" s="41"/>
      <c r="W1096" s="36"/>
      <c r="X1096" s="36"/>
      <c r="Y1096" s="36"/>
      <c r="Z1096" s="36"/>
      <c r="AA1096" s="36"/>
    </row>
    <row r="1097" spans="16:27" x14ac:dyDescent="0.2">
      <c r="P1097" s="36"/>
      <c r="Q1097" s="40"/>
      <c r="R1097" s="40"/>
      <c r="S1097" s="40"/>
      <c r="T1097" s="41"/>
      <c r="U1097" s="41"/>
      <c r="V1097" s="41"/>
      <c r="W1097" s="36"/>
      <c r="X1097" s="36"/>
      <c r="Y1097" s="36"/>
      <c r="Z1097" s="36"/>
      <c r="AA1097" s="36"/>
    </row>
    <row r="1098" spans="16:27" x14ac:dyDescent="0.2">
      <c r="P1098" s="36"/>
      <c r="Q1098" s="40"/>
      <c r="R1098" s="40"/>
      <c r="S1098" s="40"/>
      <c r="T1098" s="41"/>
      <c r="U1098" s="41"/>
      <c r="V1098" s="41"/>
      <c r="W1098" s="36"/>
      <c r="X1098" s="36"/>
      <c r="Y1098" s="36"/>
      <c r="Z1098" s="36"/>
      <c r="AA1098" s="36"/>
    </row>
    <row r="1099" spans="16:27" x14ac:dyDescent="0.2">
      <c r="P1099" s="36"/>
      <c r="Q1099" s="40"/>
      <c r="R1099" s="40"/>
      <c r="S1099" s="40"/>
      <c r="T1099" s="41"/>
      <c r="U1099" s="41"/>
      <c r="V1099" s="41"/>
      <c r="W1099" s="36"/>
      <c r="X1099" s="36"/>
      <c r="Y1099" s="36"/>
      <c r="Z1099" s="36"/>
      <c r="AA1099" s="36"/>
    </row>
    <row r="1100" spans="16:27" x14ac:dyDescent="0.2">
      <c r="P1100" s="36"/>
      <c r="Q1100" s="40"/>
      <c r="R1100" s="40"/>
      <c r="S1100" s="40"/>
      <c r="T1100" s="41"/>
      <c r="U1100" s="41"/>
      <c r="V1100" s="41"/>
      <c r="W1100" s="36"/>
      <c r="X1100" s="36"/>
      <c r="Y1100" s="36"/>
      <c r="Z1100" s="36"/>
      <c r="AA1100" s="36"/>
    </row>
    <row r="1101" spans="16:27" x14ac:dyDescent="0.2">
      <c r="P1101" s="36"/>
      <c r="Q1101" s="40"/>
      <c r="R1101" s="40"/>
      <c r="S1101" s="40"/>
      <c r="T1101" s="41"/>
      <c r="U1101" s="41"/>
      <c r="V1101" s="41"/>
      <c r="W1101" s="36"/>
      <c r="X1101" s="36"/>
      <c r="Y1101" s="36"/>
      <c r="Z1101" s="36"/>
      <c r="AA1101" s="36"/>
    </row>
    <row r="1102" spans="16:27" x14ac:dyDescent="0.2">
      <c r="P1102" s="36"/>
      <c r="Q1102" s="40"/>
      <c r="R1102" s="40"/>
      <c r="S1102" s="40"/>
      <c r="T1102" s="41"/>
      <c r="U1102" s="41"/>
      <c r="V1102" s="41"/>
      <c r="W1102" s="36"/>
      <c r="X1102" s="36"/>
      <c r="Y1102" s="36"/>
      <c r="Z1102" s="36"/>
      <c r="AA1102" s="36"/>
    </row>
    <row r="1103" spans="16:27" x14ac:dyDescent="0.2">
      <c r="P1103" s="36"/>
      <c r="Q1103" s="40"/>
      <c r="R1103" s="40"/>
      <c r="S1103" s="40"/>
      <c r="T1103" s="41"/>
      <c r="U1103" s="41"/>
      <c r="V1103" s="41"/>
      <c r="W1103" s="36"/>
      <c r="X1103" s="36"/>
      <c r="Y1103" s="36"/>
      <c r="Z1103" s="36"/>
      <c r="AA1103" s="36"/>
    </row>
    <row r="1104" spans="16:27" x14ac:dyDescent="0.2">
      <c r="P1104" s="36"/>
      <c r="Q1104" s="40"/>
      <c r="R1104" s="40"/>
      <c r="S1104" s="40"/>
      <c r="T1104" s="41"/>
      <c r="U1104" s="41"/>
      <c r="V1104" s="41"/>
      <c r="W1104" s="36"/>
      <c r="X1104" s="36"/>
      <c r="Y1104" s="36"/>
      <c r="Z1104" s="36"/>
      <c r="AA1104" s="36"/>
    </row>
    <row r="1105" spans="16:27" x14ac:dyDescent="0.2">
      <c r="P1105" s="36"/>
      <c r="Q1105" s="40"/>
      <c r="R1105" s="40"/>
      <c r="S1105" s="40"/>
      <c r="T1105" s="41"/>
      <c r="U1105" s="41"/>
      <c r="V1105" s="41"/>
      <c r="W1105" s="36"/>
      <c r="X1105" s="36"/>
      <c r="Y1105" s="36"/>
      <c r="Z1105" s="36"/>
      <c r="AA1105" s="36"/>
    </row>
    <row r="1106" spans="16:27" x14ac:dyDescent="0.2">
      <c r="P1106" s="36"/>
      <c r="Q1106" s="40"/>
      <c r="R1106" s="40"/>
      <c r="S1106" s="40"/>
      <c r="T1106" s="41"/>
      <c r="U1106" s="41"/>
      <c r="V1106" s="41"/>
      <c r="W1106" s="36"/>
      <c r="X1106" s="36"/>
      <c r="Y1106" s="36"/>
      <c r="Z1106" s="36"/>
      <c r="AA1106" s="36"/>
    </row>
    <row r="1107" spans="16:27" x14ac:dyDescent="0.2">
      <c r="P1107" s="36"/>
      <c r="Q1107" s="40"/>
      <c r="R1107" s="40"/>
      <c r="S1107" s="40"/>
      <c r="T1107" s="41"/>
      <c r="U1107" s="41"/>
      <c r="V1107" s="41"/>
      <c r="W1107" s="36"/>
      <c r="X1107" s="36"/>
      <c r="Y1107" s="36"/>
      <c r="Z1107" s="36"/>
      <c r="AA1107" s="36"/>
    </row>
    <row r="1108" spans="16:27" x14ac:dyDescent="0.2">
      <c r="P1108" s="36"/>
      <c r="Q1108" s="40"/>
      <c r="R1108" s="40"/>
      <c r="S1108" s="40"/>
      <c r="T1108" s="41"/>
      <c r="U1108" s="41"/>
      <c r="V1108" s="41"/>
      <c r="W1108" s="36"/>
      <c r="X1108" s="36"/>
      <c r="Y1108" s="36"/>
      <c r="Z1108" s="36"/>
      <c r="AA1108" s="36"/>
    </row>
    <row r="1109" spans="16:27" x14ac:dyDescent="0.2">
      <c r="P1109" s="36"/>
      <c r="Q1109" s="40"/>
      <c r="R1109" s="40"/>
      <c r="S1109" s="40"/>
      <c r="T1109" s="41"/>
      <c r="U1109" s="41"/>
      <c r="V1109" s="41"/>
      <c r="W1109" s="36"/>
      <c r="X1109" s="36"/>
      <c r="Y1109" s="36"/>
      <c r="Z1109" s="36"/>
      <c r="AA1109" s="36"/>
    </row>
    <row r="1110" spans="16:27" x14ac:dyDescent="0.2">
      <c r="P1110" s="36"/>
      <c r="Q1110" s="40"/>
      <c r="R1110" s="40"/>
      <c r="S1110" s="40"/>
      <c r="T1110" s="41"/>
      <c r="U1110" s="41"/>
      <c r="V1110" s="41"/>
      <c r="W1110" s="36"/>
      <c r="X1110" s="36"/>
      <c r="Y1110" s="36"/>
      <c r="Z1110" s="36"/>
      <c r="AA1110" s="36"/>
    </row>
    <row r="1111" spans="16:27" x14ac:dyDescent="0.2">
      <c r="P1111" s="36"/>
      <c r="Q1111" s="40"/>
      <c r="R1111" s="40"/>
      <c r="S1111" s="40"/>
      <c r="T1111" s="41"/>
      <c r="U1111" s="41"/>
      <c r="V1111" s="41"/>
      <c r="W1111" s="36"/>
      <c r="X1111" s="36"/>
      <c r="Y1111" s="36"/>
      <c r="Z1111" s="36"/>
      <c r="AA1111" s="36"/>
    </row>
    <row r="1112" spans="16:27" x14ac:dyDescent="0.2">
      <c r="P1112" s="36"/>
      <c r="Q1112" s="40"/>
      <c r="R1112" s="40"/>
      <c r="S1112" s="40"/>
      <c r="T1112" s="41"/>
      <c r="U1112" s="41"/>
      <c r="V1112" s="41"/>
      <c r="W1112" s="36"/>
      <c r="X1112" s="36"/>
      <c r="Y1112" s="36"/>
      <c r="Z1112" s="36"/>
      <c r="AA1112" s="36"/>
    </row>
    <row r="1113" spans="16:27" x14ac:dyDescent="0.2">
      <c r="P1113" s="36"/>
      <c r="Q1113" s="40"/>
      <c r="R1113" s="40"/>
      <c r="S1113" s="40"/>
      <c r="T1113" s="41"/>
      <c r="U1113" s="41"/>
      <c r="V1113" s="41"/>
      <c r="W1113" s="36"/>
      <c r="X1113" s="36"/>
      <c r="Y1113" s="36"/>
      <c r="Z1113" s="36"/>
      <c r="AA1113" s="36"/>
    </row>
    <row r="1114" spans="16:27" x14ac:dyDescent="0.2">
      <c r="P1114" s="36"/>
      <c r="Q1114" s="40"/>
      <c r="R1114" s="40"/>
      <c r="S1114" s="40"/>
      <c r="T1114" s="41"/>
      <c r="U1114" s="41"/>
      <c r="V1114" s="41"/>
      <c r="W1114" s="36"/>
      <c r="X1114" s="36"/>
      <c r="Y1114" s="36"/>
      <c r="Z1114" s="36"/>
      <c r="AA1114" s="36"/>
    </row>
    <row r="1115" spans="16:27" x14ac:dyDescent="0.2">
      <c r="P1115" s="36"/>
      <c r="Q1115" s="40"/>
      <c r="R1115" s="40"/>
      <c r="S1115" s="40"/>
      <c r="T1115" s="41"/>
      <c r="U1115" s="41"/>
      <c r="V1115" s="41"/>
      <c r="W1115" s="36"/>
      <c r="X1115" s="36"/>
      <c r="Y1115" s="36"/>
      <c r="Z1115" s="36"/>
      <c r="AA1115" s="36"/>
    </row>
    <row r="1116" spans="16:27" x14ac:dyDescent="0.2">
      <c r="P1116" s="36"/>
      <c r="Q1116" s="40"/>
      <c r="R1116" s="40"/>
      <c r="S1116" s="40"/>
      <c r="T1116" s="41"/>
      <c r="U1116" s="41"/>
      <c r="V1116" s="41"/>
      <c r="W1116" s="36"/>
      <c r="X1116" s="36"/>
      <c r="Y1116" s="36"/>
      <c r="Z1116" s="36"/>
      <c r="AA1116" s="36"/>
    </row>
    <row r="1117" spans="16:27" x14ac:dyDescent="0.2">
      <c r="P1117" s="36"/>
      <c r="Q1117" s="40"/>
      <c r="R1117" s="40"/>
      <c r="S1117" s="40"/>
      <c r="T1117" s="41"/>
      <c r="U1117" s="41"/>
      <c r="V1117" s="41"/>
      <c r="W1117" s="36"/>
      <c r="X1117" s="36"/>
      <c r="Y1117" s="36"/>
      <c r="Z1117" s="36"/>
      <c r="AA1117" s="36"/>
    </row>
    <row r="1118" spans="16:27" x14ac:dyDescent="0.2">
      <c r="P1118" s="36"/>
      <c r="Q1118" s="40"/>
      <c r="R1118" s="40"/>
      <c r="S1118" s="40"/>
      <c r="T1118" s="41"/>
      <c r="U1118" s="41"/>
      <c r="V1118" s="41"/>
      <c r="W1118" s="36"/>
      <c r="X1118" s="36"/>
      <c r="Y1118" s="36"/>
      <c r="Z1118" s="36"/>
      <c r="AA1118" s="36"/>
    </row>
    <row r="1119" spans="16:27" x14ac:dyDescent="0.2">
      <c r="P1119" s="36"/>
      <c r="Q1119" s="40"/>
      <c r="R1119" s="40"/>
      <c r="S1119" s="40"/>
      <c r="T1119" s="41"/>
      <c r="U1119" s="41"/>
      <c r="V1119" s="41"/>
      <c r="W1119" s="36"/>
      <c r="X1119" s="36"/>
      <c r="Y1119" s="36"/>
      <c r="Z1119" s="36"/>
      <c r="AA1119" s="36"/>
    </row>
    <row r="1120" spans="16:27" x14ac:dyDescent="0.2">
      <c r="P1120" s="36"/>
      <c r="Q1120" s="40"/>
      <c r="R1120" s="40"/>
      <c r="S1120" s="40"/>
      <c r="T1120" s="41"/>
      <c r="U1120" s="41"/>
      <c r="V1120" s="41"/>
      <c r="W1120" s="36"/>
      <c r="X1120" s="36"/>
      <c r="Y1120" s="36"/>
      <c r="Z1120" s="36"/>
      <c r="AA1120" s="36"/>
    </row>
    <row r="1121" spans="16:27" x14ac:dyDescent="0.2">
      <c r="P1121" s="36"/>
      <c r="Q1121" s="40"/>
      <c r="R1121" s="40"/>
      <c r="S1121" s="40"/>
      <c r="T1121" s="41"/>
      <c r="U1121" s="41"/>
      <c r="V1121" s="41"/>
      <c r="W1121" s="36"/>
      <c r="X1121" s="36"/>
      <c r="Y1121" s="36"/>
      <c r="Z1121" s="36"/>
      <c r="AA1121" s="36"/>
    </row>
    <row r="1122" spans="16:27" x14ac:dyDescent="0.2">
      <c r="P1122" s="36"/>
      <c r="Q1122" s="40"/>
      <c r="R1122" s="40"/>
      <c r="S1122" s="40"/>
      <c r="T1122" s="41"/>
      <c r="U1122" s="41"/>
      <c r="V1122" s="41"/>
      <c r="W1122" s="36"/>
      <c r="X1122" s="36"/>
      <c r="Y1122" s="36"/>
      <c r="Z1122" s="36"/>
      <c r="AA1122" s="36"/>
    </row>
    <row r="1123" spans="16:27" x14ac:dyDescent="0.2">
      <c r="P1123" s="36"/>
      <c r="Q1123" s="40"/>
      <c r="R1123" s="40"/>
      <c r="S1123" s="40"/>
      <c r="T1123" s="41"/>
      <c r="U1123" s="41"/>
      <c r="V1123" s="41"/>
      <c r="W1123" s="36"/>
      <c r="X1123" s="36"/>
      <c r="Y1123" s="36"/>
      <c r="Z1123" s="36"/>
      <c r="AA1123" s="36"/>
    </row>
    <row r="1124" spans="16:27" x14ac:dyDescent="0.2">
      <c r="P1124" s="36"/>
      <c r="Q1124" s="40"/>
      <c r="R1124" s="40"/>
      <c r="S1124" s="40"/>
      <c r="T1124" s="41"/>
      <c r="U1124" s="41"/>
      <c r="V1124" s="41"/>
      <c r="W1124" s="36"/>
      <c r="X1124" s="36"/>
      <c r="Y1124" s="36"/>
      <c r="Z1124" s="36"/>
      <c r="AA1124" s="36"/>
    </row>
    <row r="1125" spans="16:27" x14ac:dyDescent="0.2">
      <c r="P1125" s="36"/>
      <c r="Q1125" s="40"/>
      <c r="R1125" s="40"/>
      <c r="S1125" s="40"/>
      <c r="T1125" s="41"/>
      <c r="U1125" s="41"/>
      <c r="V1125" s="41"/>
      <c r="W1125" s="36"/>
      <c r="X1125" s="36"/>
      <c r="Y1125" s="36"/>
      <c r="Z1125" s="36"/>
      <c r="AA1125" s="36"/>
    </row>
    <row r="1126" spans="16:27" x14ac:dyDescent="0.2">
      <c r="P1126" s="36"/>
      <c r="Q1126" s="40"/>
      <c r="R1126" s="40"/>
      <c r="S1126" s="40"/>
      <c r="T1126" s="41"/>
      <c r="U1126" s="41"/>
      <c r="V1126" s="41"/>
      <c r="W1126" s="36"/>
      <c r="X1126" s="36"/>
      <c r="Y1126" s="36"/>
      <c r="Z1126" s="36"/>
      <c r="AA1126" s="36"/>
    </row>
    <row r="1127" spans="16:27" x14ac:dyDescent="0.2">
      <c r="P1127" s="36"/>
      <c r="Q1127" s="40"/>
      <c r="R1127" s="40"/>
      <c r="S1127" s="40"/>
      <c r="T1127" s="41"/>
      <c r="U1127" s="41"/>
      <c r="V1127" s="41"/>
      <c r="W1127" s="36"/>
      <c r="X1127" s="36"/>
      <c r="Y1127" s="36"/>
      <c r="Z1127" s="36"/>
      <c r="AA1127" s="36"/>
    </row>
    <row r="1128" spans="16:27" x14ac:dyDescent="0.2">
      <c r="P1128" s="36"/>
      <c r="Q1128" s="40"/>
      <c r="R1128" s="40"/>
      <c r="S1128" s="40"/>
      <c r="T1128" s="41"/>
      <c r="U1128" s="41"/>
      <c r="V1128" s="41"/>
      <c r="W1128" s="36"/>
      <c r="X1128" s="36"/>
      <c r="Y1128" s="36"/>
      <c r="Z1128" s="36"/>
      <c r="AA1128" s="36"/>
    </row>
    <row r="1129" spans="16:27" x14ac:dyDescent="0.2">
      <c r="P1129" s="36"/>
      <c r="Q1129" s="40"/>
      <c r="R1129" s="40"/>
      <c r="S1129" s="40"/>
      <c r="T1129" s="41"/>
      <c r="U1129" s="41"/>
      <c r="V1129" s="41"/>
      <c r="W1129" s="36"/>
      <c r="X1129" s="36"/>
      <c r="Y1129" s="36"/>
      <c r="Z1129" s="36"/>
      <c r="AA1129" s="36"/>
    </row>
    <row r="1130" spans="16:27" x14ac:dyDescent="0.2">
      <c r="P1130" s="36"/>
      <c r="Q1130" s="40"/>
      <c r="R1130" s="40"/>
      <c r="S1130" s="40"/>
      <c r="T1130" s="41"/>
      <c r="U1130" s="41"/>
      <c r="V1130" s="41"/>
      <c r="W1130" s="36"/>
      <c r="X1130" s="36"/>
      <c r="Y1130" s="36"/>
      <c r="Z1130" s="36"/>
      <c r="AA1130" s="36"/>
    </row>
    <row r="1131" spans="16:27" x14ac:dyDescent="0.2">
      <c r="P1131" s="36"/>
      <c r="Q1131" s="40"/>
      <c r="R1131" s="40"/>
      <c r="S1131" s="40"/>
      <c r="T1131" s="41"/>
      <c r="U1131" s="41"/>
      <c r="V1131" s="41"/>
      <c r="W1131" s="36"/>
      <c r="X1131" s="36"/>
      <c r="Y1131" s="36"/>
      <c r="Z1131" s="36"/>
      <c r="AA1131" s="36"/>
    </row>
    <row r="1132" spans="16:27" x14ac:dyDescent="0.2">
      <c r="P1132" s="36"/>
      <c r="Q1132" s="40"/>
      <c r="R1132" s="40"/>
      <c r="S1132" s="40"/>
      <c r="T1132" s="41"/>
      <c r="U1132" s="41"/>
      <c r="V1132" s="41"/>
      <c r="W1132" s="36"/>
      <c r="X1132" s="36"/>
      <c r="Y1132" s="36"/>
      <c r="Z1132" s="36"/>
      <c r="AA1132" s="36"/>
    </row>
    <row r="1133" spans="16:27" x14ac:dyDescent="0.2">
      <c r="P1133" s="36"/>
      <c r="Q1133" s="40"/>
      <c r="R1133" s="40"/>
      <c r="S1133" s="40"/>
      <c r="T1133" s="41"/>
      <c r="U1133" s="41"/>
      <c r="V1133" s="41"/>
      <c r="W1133" s="36"/>
      <c r="X1133" s="36"/>
      <c r="Y1133" s="36"/>
      <c r="Z1133" s="36"/>
      <c r="AA1133" s="36"/>
    </row>
    <row r="1134" spans="16:27" x14ac:dyDescent="0.2">
      <c r="P1134" s="36"/>
      <c r="Q1134" s="40"/>
      <c r="R1134" s="40"/>
      <c r="S1134" s="40"/>
      <c r="T1134" s="41"/>
      <c r="U1134" s="41"/>
      <c r="V1134" s="41"/>
      <c r="W1134" s="36"/>
      <c r="X1134" s="36"/>
      <c r="Y1134" s="36"/>
      <c r="Z1134" s="36"/>
      <c r="AA1134" s="36"/>
    </row>
    <row r="1135" spans="16:27" x14ac:dyDescent="0.2">
      <c r="P1135" s="36"/>
      <c r="Q1135" s="40"/>
      <c r="R1135" s="40"/>
      <c r="S1135" s="40"/>
      <c r="T1135" s="41"/>
      <c r="U1135" s="41"/>
      <c r="V1135" s="41"/>
      <c r="W1135" s="36"/>
      <c r="X1135" s="36"/>
      <c r="Y1135" s="36"/>
      <c r="Z1135" s="36"/>
      <c r="AA1135" s="36"/>
    </row>
    <row r="1136" spans="16:27" x14ac:dyDescent="0.2">
      <c r="P1136" s="36"/>
      <c r="Q1136" s="40"/>
      <c r="R1136" s="40"/>
      <c r="S1136" s="40"/>
      <c r="T1136" s="41"/>
      <c r="U1136" s="41"/>
      <c r="V1136" s="41"/>
      <c r="W1136" s="36"/>
      <c r="X1136" s="36"/>
      <c r="Y1136" s="36"/>
      <c r="Z1136" s="36"/>
      <c r="AA1136" s="36"/>
    </row>
    <row r="1137" spans="16:27" x14ac:dyDescent="0.2">
      <c r="P1137" s="36"/>
      <c r="Q1137" s="40"/>
      <c r="R1137" s="40"/>
      <c r="S1137" s="40"/>
      <c r="T1137" s="41"/>
      <c r="U1137" s="41"/>
      <c r="V1137" s="41"/>
      <c r="W1137" s="36"/>
      <c r="X1137" s="36"/>
      <c r="Y1137" s="36"/>
      <c r="Z1137" s="36"/>
      <c r="AA1137" s="36"/>
    </row>
    <row r="1138" spans="16:27" x14ac:dyDescent="0.2">
      <c r="P1138" s="36"/>
      <c r="Q1138" s="40"/>
      <c r="R1138" s="40"/>
      <c r="S1138" s="40"/>
      <c r="T1138" s="41"/>
      <c r="U1138" s="41"/>
      <c r="V1138" s="41"/>
      <c r="W1138" s="36"/>
      <c r="X1138" s="36"/>
      <c r="Y1138" s="36"/>
      <c r="Z1138" s="36"/>
      <c r="AA1138" s="36"/>
    </row>
    <row r="1139" spans="16:27" x14ac:dyDescent="0.2">
      <c r="P1139" s="36"/>
      <c r="Q1139" s="40"/>
      <c r="R1139" s="40"/>
      <c r="S1139" s="40"/>
      <c r="T1139" s="41"/>
      <c r="U1139" s="41"/>
      <c r="V1139" s="41"/>
      <c r="W1139" s="36"/>
      <c r="X1139" s="36"/>
      <c r="Y1139" s="36"/>
      <c r="Z1139" s="36"/>
      <c r="AA1139" s="36"/>
    </row>
    <row r="1140" spans="16:27" x14ac:dyDescent="0.2">
      <c r="P1140" s="36"/>
      <c r="Q1140" s="40"/>
      <c r="R1140" s="40"/>
      <c r="S1140" s="40"/>
      <c r="T1140" s="41"/>
      <c r="U1140" s="41"/>
      <c r="V1140" s="41"/>
      <c r="W1140" s="36"/>
      <c r="X1140" s="36"/>
      <c r="Y1140" s="36"/>
      <c r="Z1140" s="36"/>
      <c r="AA1140" s="36"/>
    </row>
    <row r="1141" spans="16:27" x14ac:dyDescent="0.2">
      <c r="P1141" s="36"/>
      <c r="Q1141" s="40"/>
      <c r="R1141" s="40"/>
      <c r="S1141" s="40"/>
      <c r="T1141" s="41"/>
      <c r="U1141" s="41"/>
      <c r="V1141" s="41"/>
      <c r="W1141" s="36"/>
      <c r="X1141" s="36"/>
      <c r="Y1141" s="36"/>
      <c r="Z1141" s="36"/>
      <c r="AA1141" s="36"/>
    </row>
    <row r="1142" spans="16:27" x14ac:dyDescent="0.2">
      <c r="P1142" s="36"/>
      <c r="Q1142" s="40"/>
      <c r="R1142" s="40"/>
      <c r="S1142" s="40"/>
      <c r="T1142" s="41"/>
      <c r="U1142" s="41"/>
      <c r="V1142" s="41"/>
      <c r="W1142" s="36"/>
      <c r="X1142" s="36"/>
      <c r="Y1142" s="36"/>
      <c r="Z1142" s="36"/>
      <c r="AA1142" s="36"/>
    </row>
    <row r="1143" spans="16:27" x14ac:dyDescent="0.2">
      <c r="P1143" s="36"/>
      <c r="Q1143" s="40"/>
      <c r="R1143" s="40"/>
      <c r="S1143" s="40"/>
      <c r="T1143" s="41"/>
      <c r="U1143" s="41"/>
      <c r="V1143" s="41"/>
      <c r="W1143" s="36"/>
      <c r="X1143" s="36"/>
      <c r="Y1143" s="36"/>
      <c r="Z1143" s="36"/>
      <c r="AA1143" s="36"/>
    </row>
    <row r="1144" spans="16:27" x14ac:dyDescent="0.2">
      <c r="P1144" s="36"/>
      <c r="Q1144" s="40"/>
      <c r="R1144" s="40"/>
      <c r="S1144" s="40"/>
      <c r="T1144" s="41"/>
      <c r="U1144" s="41"/>
      <c r="V1144" s="41"/>
      <c r="W1144" s="36"/>
      <c r="X1144" s="36"/>
      <c r="Y1144" s="36"/>
      <c r="Z1144" s="36"/>
      <c r="AA1144" s="36"/>
    </row>
    <row r="1145" spans="16:27" x14ac:dyDescent="0.2">
      <c r="P1145" s="36"/>
      <c r="Q1145" s="40"/>
      <c r="R1145" s="40"/>
      <c r="S1145" s="40"/>
      <c r="T1145" s="41"/>
      <c r="U1145" s="41"/>
      <c r="V1145" s="41"/>
      <c r="W1145" s="36"/>
      <c r="X1145" s="36"/>
      <c r="Y1145" s="36"/>
      <c r="Z1145" s="36"/>
      <c r="AA1145" s="36"/>
    </row>
    <row r="1146" spans="16:27" x14ac:dyDescent="0.2">
      <c r="P1146" s="36"/>
      <c r="Q1146" s="40"/>
      <c r="R1146" s="40"/>
      <c r="S1146" s="40"/>
      <c r="T1146" s="41"/>
      <c r="U1146" s="41"/>
      <c r="V1146" s="41"/>
      <c r="W1146" s="36"/>
      <c r="X1146" s="36"/>
      <c r="Y1146" s="36"/>
      <c r="Z1146" s="36"/>
      <c r="AA1146" s="36"/>
    </row>
    <row r="1147" spans="16:27" x14ac:dyDescent="0.2">
      <c r="P1147" s="36"/>
      <c r="Q1147" s="40"/>
      <c r="R1147" s="40"/>
      <c r="S1147" s="40"/>
      <c r="T1147" s="41"/>
      <c r="U1147" s="41"/>
      <c r="V1147" s="41"/>
      <c r="W1147" s="36"/>
      <c r="X1147" s="36"/>
      <c r="Y1147" s="36"/>
      <c r="Z1147" s="36"/>
      <c r="AA1147" s="36"/>
    </row>
    <row r="1148" spans="16:27" x14ac:dyDescent="0.2">
      <c r="P1148" s="36"/>
      <c r="Q1148" s="40"/>
      <c r="R1148" s="40"/>
      <c r="S1148" s="40"/>
      <c r="T1148" s="41"/>
      <c r="U1148" s="41"/>
      <c r="V1148" s="41"/>
      <c r="W1148" s="36"/>
      <c r="X1148" s="36"/>
      <c r="Y1148" s="36"/>
      <c r="Z1148" s="36"/>
      <c r="AA1148" s="36"/>
    </row>
    <row r="1149" spans="16:27" x14ac:dyDescent="0.2">
      <c r="P1149" s="36"/>
      <c r="Q1149" s="40"/>
      <c r="R1149" s="40"/>
      <c r="S1149" s="40"/>
      <c r="T1149" s="41"/>
      <c r="U1149" s="41"/>
      <c r="V1149" s="41"/>
      <c r="W1149" s="36"/>
      <c r="X1149" s="36"/>
      <c r="Y1149" s="36"/>
      <c r="Z1149" s="36"/>
      <c r="AA1149" s="36"/>
    </row>
    <row r="1150" spans="16:27" x14ac:dyDescent="0.2">
      <c r="P1150" s="36"/>
      <c r="Q1150" s="40"/>
      <c r="R1150" s="40"/>
      <c r="S1150" s="40"/>
      <c r="T1150" s="41"/>
      <c r="U1150" s="41"/>
      <c r="V1150" s="41"/>
      <c r="W1150" s="36"/>
      <c r="X1150" s="36"/>
      <c r="Y1150" s="36"/>
      <c r="Z1150" s="36"/>
      <c r="AA1150" s="36"/>
    </row>
    <row r="1151" spans="16:27" x14ac:dyDescent="0.2">
      <c r="P1151" s="36"/>
      <c r="Q1151" s="40"/>
      <c r="R1151" s="40"/>
      <c r="S1151" s="40"/>
      <c r="T1151" s="41"/>
      <c r="U1151" s="41"/>
      <c r="V1151" s="41"/>
      <c r="W1151" s="36"/>
      <c r="X1151" s="36"/>
      <c r="Y1151" s="36"/>
      <c r="Z1151" s="36"/>
      <c r="AA1151" s="36"/>
    </row>
    <row r="1152" spans="16:27" x14ac:dyDescent="0.2">
      <c r="P1152" s="36"/>
      <c r="Q1152" s="40"/>
      <c r="R1152" s="40"/>
      <c r="S1152" s="40"/>
      <c r="T1152" s="41"/>
      <c r="U1152" s="41"/>
      <c r="V1152" s="41"/>
      <c r="W1152" s="36"/>
      <c r="X1152" s="36"/>
      <c r="Y1152" s="36"/>
      <c r="Z1152" s="36"/>
      <c r="AA1152" s="36"/>
    </row>
    <row r="1153" spans="16:27" x14ac:dyDescent="0.2">
      <c r="P1153" s="36"/>
      <c r="Q1153" s="40"/>
      <c r="R1153" s="40"/>
      <c r="S1153" s="40"/>
      <c r="T1153" s="41"/>
      <c r="U1153" s="41"/>
      <c r="V1153" s="41"/>
      <c r="W1153" s="36"/>
      <c r="X1153" s="36"/>
      <c r="Y1153" s="36"/>
      <c r="Z1153" s="36"/>
      <c r="AA1153" s="36"/>
    </row>
    <row r="1154" spans="16:27" x14ac:dyDescent="0.2">
      <c r="P1154" s="36"/>
      <c r="Q1154" s="40"/>
      <c r="R1154" s="40"/>
      <c r="S1154" s="40"/>
      <c r="T1154" s="41"/>
      <c r="U1154" s="41"/>
      <c r="V1154" s="41"/>
      <c r="W1154" s="36"/>
      <c r="X1154" s="36"/>
      <c r="Y1154" s="36"/>
      <c r="Z1154" s="36"/>
      <c r="AA1154" s="36"/>
    </row>
    <row r="1155" spans="16:27" x14ac:dyDescent="0.2">
      <c r="P1155" s="36"/>
      <c r="Q1155" s="40"/>
      <c r="R1155" s="40"/>
      <c r="S1155" s="40"/>
      <c r="T1155" s="41"/>
      <c r="U1155" s="41"/>
      <c r="V1155" s="41"/>
      <c r="W1155" s="36"/>
      <c r="X1155" s="36"/>
      <c r="Y1155" s="36"/>
      <c r="Z1155" s="36"/>
      <c r="AA1155" s="36"/>
    </row>
    <row r="1156" spans="16:27" x14ac:dyDescent="0.2">
      <c r="P1156" s="36"/>
      <c r="Q1156" s="40"/>
      <c r="R1156" s="40"/>
      <c r="S1156" s="40"/>
      <c r="T1156" s="41"/>
      <c r="U1156" s="41"/>
      <c r="V1156" s="41"/>
      <c r="W1156" s="36"/>
      <c r="X1156" s="36"/>
      <c r="Y1156" s="36"/>
      <c r="Z1156" s="36"/>
      <c r="AA1156" s="36"/>
    </row>
    <row r="1157" spans="16:27" x14ac:dyDescent="0.2">
      <c r="P1157" s="36"/>
      <c r="Q1157" s="40"/>
      <c r="R1157" s="40"/>
      <c r="S1157" s="40"/>
      <c r="T1157" s="41"/>
      <c r="U1157" s="41"/>
      <c r="V1157" s="41"/>
      <c r="W1157" s="36"/>
      <c r="X1157" s="36"/>
      <c r="Y1157" s="36"/>
      <c r="Z1157" s="36"/>
      <c r="AA1157" s="36"/>
    </row>
    <row r="1158" spans="16:27" x14ac:dyDescent="0.2">
      <c r="P1158" s="36"/>
      <c r="Q1158" s="40"/>
      <c r="R1158" s="40"/>
      <c r="S1158" s="40"/>
      <c r="T1158" s="41"/>
      <c r="U1158" s="41"/>
      <c r="V1158" s="41"/>
      <c r="W1158" s="36"/>
      <c r="X1158" s="36"/>
      <c r="Y1158" s="36"/>
      <c r="Z1158" s="36"/>
      <c r="AA1158" s="36"/>
    </row>
    <row r="1159" spans="16:27" x14ac:dyDescent="0.2">
      <c r="P1159" s="36"/>
      <c r="Q1159" s="40"/>
      <c r="R1159" s="40"/>
      <c r="S1159" s="40"/>
      <c r="T1159" s="41"/>
      <c r="U1159" s="41"/>
      <c r="V1159" s="41"/>
      <c r="W1159" s="36"/>
      <c r="X1159" s="36"/>
      <c r="Y1159" s="36"/>
      <c r="Z1159" s="36"/>
      <c r="AA1159" s="36"/>
    </row>
    <row r="1160" spans="16:27" x14ac:dyDescent="0.2">
      <c r="P1160" s="36"/>
      <c r="Q1160" s="40"/>
      <c r="R1160" s="40"/>
      <c r="S1160" s="40"/>
      <c r="T1160" s="41"/>
      <c r="U1160" s="41"/>
      <c r="V1160" s="41"/>
      <c r="W1160" s="36"/>
      <c r="X1160" s="36"/>
      <c r="Y1160" s="36"/>
      <c r="Z1160" s="36"/>
      <c r="AA1160" s="36"/>
    </row>
    <row r="1161" spans="16:27" x14ac:dyDescent="0.2">
      <c r="P1161" s="36"/>
      <c r="Q1161" s="40"/>
      <c r="R1161" s="40"/>
      <c r="S1161" s="40"/>
      <c r="T1161" s="41"/>
      <c r="U1161" s="41"/>
      <c r="V1161" s="41"/>
      <c r="W1161" s="36"/>
      <c r="X1161" s="36"/>
      <c r="Y1161" s="36"/>
      <c r="Z1161" s="36"/>
      <c r="AA1161" s="36"/>
    </row>
    <row r="1162" spans="16:27" x14ac:dyDescent="0.2">
      <c r="P1162" s="36"/>
      <c r="Q1162" s="40"/>
      <c r="R1162" s="40"/>
      <c r="S1162" s="40"/>
      <c r="T1162" s="41"/>
      <c r="U1162" s="41"/>
      <c r="V1162" s="41"/>
      <c r="W1162" s="36"/>
      <c r="X1162" s="36"/>
      <c r="Y1162" s="36"/>
      <c r="Z1162" s="36"/>
      <c r="AA1162" s="36"/>
    </row>
    <row r="1163" spans="16:27" x14ac:dyDescent="0.2">
      <c r="P1163" s="36"/>
      <c r="Q1163" s="40"/>
      <c r="R1163" s="40"/>
      <c r="S1163" s="40"/>
      <c r="T1163" s="41"/>
      <c r="U1163" s="41"/>
      <c r="V1163" s="41"/>
      <c r="W1163" s="36"/>
      <c r="X1163" s="36"/>
      <c r="Y1163" s="36"/>
      <c r="Z1163" s="36"/>
      <c r="AA1163" s="36"/>
    </row>
    <row r="1164" spans="16:27" x14ac:dyDescent="0.2">
      <c r="P1164" s="36"/>
      <c r="Q1164" s="40"/>
      <c r="R1164" s="40"/>
      <c r="S1164" s="40"/>
      <c r="T1164" s="41"/>
      <c r="U1164" s="41"/>
      <c r="V1164" s="41"/>
      <c r="W1164" s="36"/>
      <c r="X1164" s="36"/>
      <c r="Y1164" s="36"/>
      <c r="Z1164" s="36"/>
      <c r="AA1164" s="36"/>
    </row>
    <row r="1165" spans="16:27" x14ac:dyDescent="0.2">
      <c r="P1165" s="36"/>
      <c r="Q1165" s="40"/>
      <c r="R1165" s="40"/>
      <c r="S1165" s="40"/>
      <c r="T1165" s="41"/>
      <c r="U1165" s="41"/>
      <c r="V1165" s="41"/>
      <c r="W1165" s="36"/>
      <c r="X1165" s="36"/>
      <c r="Y1165" s="36"/>
      <c r="Z1165" s="36"/>
      <c r="AA1165" s="36"/>
    </row>
    <row r="1166" spans="16:27" x14ac:dyDescent="0.2">
      <c r="P1166" s="36"/>
      <c r="Q1166" s="40"/>
      <c r="R1166" s="40"/>
      <c r="S1166" s="40"/>
      <c r="T1166" s="41"/>
      <c r="U1166" s="41"/>
      <c r="V1166" s="41"/>
      <c r="W1166" s="36"/>
      <c r="X1166" s="36"/>
      <c r="Y1166" s="36"/>
      <c r="Z1166" s="36"/>
      <c r="AA1166" s="36"/>
    </row>
    <row r="1167" spans="16:27" x14ac:dyDescent="0.2">
      <c r="P1167" s="36"/>
      <c r="Q1167" s="40"/>
      <c r="R1167" s="40"/>
      <c r="S1167" s="40"/>
      <c r="T1167" s="41"/>
      <c r="U1167" s="41"/>
      <c r="V1167" s="41"/>
      <c r="W1167" s="36"/>
      <c r="X1167" s="36"/>
      <c r="Y1167" s="36"/>
      <c r="Z1167" s="36"/>
      <c r="AA1167" s="36"/>
    </row>
    <row r="1168" spans="16:27" x14ac:dyDescent="0.2">
      <c r="P1168" s="36"/>
      <c r="Q1168" s="40"/>
      <c r="R1168" s="40"/>
      <c r="S1168" s="40"/>
      <c r="T1168" s="41"/>
      <c r="U1168" s="41"/>
      <c r="V1168" s="41"/>
      <c r="W1168" s="36"/>
      <c r="X1168" s="36"/>
      <c r="Y1168" s="36"/>
      <c r="Z1168" s="36"/>
      <c r="AA1168" s="36"/>
    </row>
    <row r="1169" spans="16:27" x14ac:dyDescent="0.2">
      <c r="P1169" s="36"/>
      <c r="Q1169" s="40"/>
      <c r="R1169" s="40"/>
      <c r="S1169" s="40"/>
      <c r="T1169" s="41"/>
      <c r="U1169" s="41"/>
      <c r="V1169" s="41"/>
      <c r="W1169" s="36"/>
      <c r="X1169" s="36"/>
      <c r="Y1169" s="36"/>
      <c r="Z1169" s="36"/>
      <c r="AA1169" s="36"/>
    </row>
    <row r="1170" spans="16:27" x14ac:dyDescent="0.2">
      <c r="P1170" s="36"/>
      <c r="Q1170" s="40"/>
      <c r="R1170" s="40"/>
      <c r="S1170" s="40"/>
      <c r="T1170" s="41"/>
      <c r="U1170" s="41"/>
      <c r="V1170" s="41"/>
      <c r="W1170" s="36"/>
      <c r="X1170" s="36"/>
      <c r="Y1170" s="36"/>
      <c r="Z1170" s="36"/>
      <c r="AA1170" s="36"/>
    </row>
    <row r="1171" spans="16:27" x14ac:dyDescent="0.2">
      <c r="P1171" s="36"/>
      <c r="Q1171" s="40"/>
      <c r="R1171" s="40"/>
      <c r="S1171" s="40"/>
      <c r="T1171" s="41"/>
      <c r="U1171" s="41"/>
      <c r="V1171" s="41"/>
      <c r="W1171" s="36"/>
      <c r="X1171" s="36"/>
      <c r="Y1171" s="36"/>
      <c r="Z1171" s="36"/>
      <c r="AA1171" s="36"/>
    </row>
    <row r="1172" spans="16:27" x14ac:dyDescent="0.2">
      <c r="P1172" s="36"/>
      <c r="Q1172" s="40"/>
      <c r="R1172" s="40"/>
      <c r="S1172" s="40"/>
      <c r="T1172" s="41"/>
      <c r="U1172" s="41"/>
      <c r="V1172" s="41"/>
      <c r="W1172" s="36"/>
      <c r="X1172" s="36"/>
      <c r="Y1172" s="36"/>
      <c r="Z1172" s="36"/>
      <c r="AA1172" s="36"/>
    </row>
    <row r="1173" spans="16:27" x14ac:dyDescent="0.2">
      <c r="P1173" s="36"/>
      <c r="Q1173" s="40"/>
      <c r="R1173" s="40"/>
      <c r="S1173" s="40"/>
      <c r="T1173" s="41"/>
      <c r="U1173" s="41"/>
      <c r="V1173" s="41"/>
      <c r="W1173" s="36"/>
      <c r="X1173" s="36"/>
      <c r="Y1173" s="36"/>
      <c r="Z1173" s="36"/>
      <c r="AA1173" s="36"/>
    </row>
    <row r="1174" spans="16:27" x14ac:dyDescent="0.2">
      <c r="P1174" s="36"/>
      <c r="Q1174" s="40"/>
      <c r="R1174" s="40"/>
      <c r="S1174" s="40"/>
      <c r="T1174" s="41"/>
      <c r="U1174" s="41"/>
      <c r="V1174" s="41"/>
      <c r="W1174" s="36"/>
      <c r="X1174" s="36"/>
      <c r="Y1174" s="36"/>
      <c r="Z1174" s="36"/>
      <c r="AA1174" s="36"/>
    </row>
    <row r="1175" spans="16:27" x14ac:dyDescent="0.2">
      <c r="P1175" s="36"/>
      <c r="Q1175" s="40"/>
      <c r="R1175" s="40"/>
      <c r="S1175" s="40"/>
      <c r="T1175" s="41"/>
      <c r="U1175" s="41"/>
      <c r="V1175" s="41"/>
      <c r="W1175" s="36"/>
      <c r="X1175" s="36"/>
      <c r="Y1175" s="36"/>
      <c r="Z1175" s="36"/>
      <c r="AA1175" s="36"/>
    </row>
    <row r="1176" spans="16:27" x14ac:dyDescent="0.2">
      <c r="P1176" s="36"/>
      <c r="Q1176" s="40"/>
      <c r="R1176" s="40"/>
      <c r="S1176" s="40"/>
      <c r="T1176" s="41"/>
      <c r="U1176" s="41"/>
      <c r="V1176" s="41"/>
      <c r="W1176" s="36"/>
      <c r="X1176" s="36"/>
      <c r="Y1176" s="36"/>
      <c r="Z1176" s="36"/>
      <c r="AA1176" s="36"/>
    </row>
    <row r="1177" spans="16:27" x14ac:dyDescent="0.2">
      <c r="P1177" s="36"/>
      <c r="Q1177" s="40"/>
      <c r="R1177" s="40"/>
      <c r="S1177" s="40"/>
      <c r="T1177" s="41"/>
      <c r="U1177" s="41"/>
      <c r="V1177" s="41"/>
      <c r="W1177" s="36"/>
      <c r="X1177" s="36"/>
      <c r="Y1177" s="36"/>
      <c r="Z1177" s="36"/>
      <c r="AA1177" s="36"/>
    </row>
    <row r="1178" spans="16:27" x14ac:dyDescent="0.2">
      <c r="P1178" s="36"/>
      <c r="Q1178" s="40"/>
      <c r="R1178" s="40"/>
      <c r="S1178" s="40"/>
      <c r="T1178" s="41"/>
      <c r="U1178" s="41"/>
      <c r="V1178" s="41"/>
      <c r="W1178" s="36"/>
      <c r="X1178" s="36"/>
      <c r="Y1178" s="36"/>
      <c r="Z1178" s="36"/>
      <c r="AA1178" s="36"/>
    </row>
    <row r="1179" spans="16:27" x14ac:dyDescent="0.2">
      <c r="P1179" s="36"/>
      <c r="Q1179" s="40"/>
      <c r="R1179" s="40"/>
      <c r="S1179" s="40"/>
      <c r="T1179" s="41"/>
      <c r="U1179" s="41"/>
      <c r="V1179" s="41"/>
      <c r="W1179" s="36"/>
      <c r="X1179" s="36"/>
      <c r="Y1179" s="36"/>
      <c r="Z1179" s="36"/>
      <c r="AA1179" s="36"/>
    </row>
    <row r="1180" spans="16:27" x14ac:dyDescent="0.2">
      <c r="P1180" s="36"/>
      <c r="Q1180" s="40"/>
      <c r="R1180" s="40"/>
      <c r="S1180" s="40"/>
      <c r="T1180" s="41"/>
      <c r="U1180" s="41"/>
      <c r="V1180" s="41"/>
      <c r="W1180" s="36"/>
      <c r="X1180" s="36"/>
      <c r="Y1180" s="36"/>
      <c r="Z1180" s="36"/>
      <c r="AA1180" s="36"/>
    </row>
    <row r="1181" spans="16:27" x14ac:dyDescent="0.2">
      <c r="P1181" s="36"/>
      <c r="Q1181" s="40"/>
      <c r="R1181" s="40"/>
      <c r="S1181" s="40"/>
      <c r="T1181" s="41"/>
      <c r="U1181" s="41"/>
      <c r="V1181" s="41"/>
      <c r="W1181" s="36"/>
      <c r="X1181" s="36"/>
      <c r="Y1181" s="36"/>
      <c r="Z1181" s="36"/>
      <c r="AA1181" s="36"/>
    </row>
    <row r="1182" spans="16:27" x14ac:dyDescent="0.2">
      <c r="P1182" s="36"/>
      <c r="Q1182" s="40"/>
      <c r="R1182" s="40"/>
      <c r="S1182" s="40"/>
      <c r="T1182" s="41"/>
      <c r="U1182" s="41"/>
      <c r="V1182" s="41"/>
      <c r="W1182" s="36"/>
      <c r="X1182" s="36"/>
      <c r="Y1182" s="36"/>
      <c r="Z1182" s="36"/>
      <c r="AA1182" s="36"/>
    </row>
    <row r="1183" spans="16:27" x14ac:dyDescent="0.2">
      <c r="P1183" s="36"/>
      <c r="Q1183" s="40"/>
      <c r="R1183" s="40"/>
      <c r="S1183" s="40"/>
      <c r="T1183" s="41"/>
      <c r="U1183" s="41"/>
      <c r="V1183" s="41"/>
      <c r="W1183" s="36"/>
      <c r="X1183" s="36"/>
      <c r="Y1183" s="36"/>
      <c r="Z1183" s="36"/>
      <c r="AA1183" s="36"/>
    </row>
    <row r="1184" spans="16:27" x14ac:dyDescent="0.2">
      <c r="P1184" s="36"/>
      <c r="Q1184" s="40"/>
      <c r="R1184" s="40"/>
      <c r="S1184" s="40"/>
      <c r="T1184" s="41"/>
      <c r="U1184" s="41"/>
      <c r="V1184" s="41"/>
      <c r="W1184" s="36"/>
      <c r="X1184" s="36"/>
      <c r="Y1184" s="36"/>
      <c r="Z1184" s="36"/>
      <c r="AA1184" s="36"/>
    </row>
    <row r="1185" spans="16:27" x14ac:dyDescent="0.2">
      <c r="P1185" s="36"/>
      <c r="Q1185" s="40"/>
      <c r="R1185" s="40"/>
      <c r="S1185" s="40"/>
      <c r="T1185" s="41"/>
      <c r="U1185" s="41"/>
      <c r="V1185" s="41"/>
      <c r="W1185" s="36"/>
      <c r="X1185" s="36"/>
      <c r="Y1185" s="36"/>
      <c r="Z1185" s="36"/>
      <c r="AA1185" s="36"/>
    </row>
    <row r="1186" spans="16:27" x14ac:dyDescent="0.2">
      <c r="P1186" s="36"/>
      <c r="Q1186" s="40"/>
      <c r="R1186" s="40"/>
      <c r="S1186" s="40"/>
      <c r="T1186" s="41"/>
      <c r="U1186" s="41"/>
      <c r="V1186" s="41"/>
      <c r="W1186" s="36"/>
      <c r="X1186" s="36"/>
      <c r="Y1186" s="36"/>
      <c r="Z1186" s="36"/>
      <c r="AA1186" s="36"/>
    </row>
    <row r="1187" spans="16:27" x14ac:dyDescent="0.2">
      <c r="P1187" s="36"/>
      <c r="Q1187" s="40"/>
      <c r="R1187" s="40"/>
      <c r="S1187" s="40"/>
      <c r="T1187" s="41"/>
      <c r="U1187" s="41"/>
      <c r="V1187" s="41"/>
      <c r="W1187" s="36"/>
      <c r="X1187" s="36"/>
      <c r="Y1187" s="36"/>
      <c r="Z1187" s="36"/>
      <c r="AA1187" s="36"/>
    </row>
    <row r="1188" spans="16:27" x14ac:dyDescent="0.2">
      <c r="P1188" s="36"/>
      <c r="Q1188" s="40"/>
      <c r="R1188" s="40"/>
      <c r="S1188" s="40"/>
      <c r="T1188" s="41"/>
      <c r="U1188" s="41"/>
      <c r="V1188" s="41"/>
      <c r="W1188" s="36"/>
      <c r="X1188" s="36"/>
      <c r="Y1188" s="36"/>
      <c r="Z1188" s="36"/>
      <c r="AA1188" s="36"/>
    </row>
    <row r="1189" spans="16:27" x14ac:dyDescent="0.2">
      <c r="P1189" s="36"/>
      <c r="Q1189" s="40"/>
      <c r="R1189" s="40"/>
      <c r="S1189" s="40"/>
      <c r="T1189" s="41"/>
      <c r="U1189" s="41"/>
      <c r="V1189" s="41"/>
      <c r="W1189" s="36"/>
      <c r="X1189" s="36"/>
      <c r="Y1189" s="36"/>
      <c r="Z1189" s="36"/>
      <c r="AA1189" s="36"/>
    </row>
    <row r="1190" spans="16:27" x14ac:dyDescent="0.2">
      <c r="P1190" s="36"/>
      <c r="Q1190" s="40"/>
      <c r="R1190" s="40"/>
      <c r="S1190" s="40"/>
      <c r="T1190" s="41"/>
      <c r="U1190" s="41"/>
      <c r="V1190" s="41"/>
      <c r="W1190" s="36"/>
      <c r="X1190" s="36"/>
      <c r="Y1190" s="36"/>
      <c r="Z1190" s="36"/>
      <c r="AA1190" s="36"/>
    </row>
    <row r="1191" spans="16:27" x14ac:dyDescent="0.2">
      <c r="P1191" s="36"/>
      <c r="Q1191" s="40"/>
      <c r="R1191" s="40"/>
      <c r="S1191" s="40"/>
      <c r="T1191" s="41"/>
      <c r="U1191" s="41"/>
      <c r="V1191" s="41"/>
      <c r="W1191" s="36"/>
      <c r="X1191" s="36"/>
      <c r="Y1191" s="36"/>
      <c r="Z1191" s="36"/>
      <c r="AA1191" s="36"/>
    </row>
    <row r="1192" spans="16:27" x14ac:dyDescent="0.2">
      <c r="P1192" s="36"/>
      <c r="Q1192" s="40"/>
      <c r="R1192" s="40"/>
      <c r="S1192" s="40"/>
      <c r="T1192" s="41"/>
      <c r="U1192" s="41"/>
      <c r="V1192" s="41"/>
      <c r="W1192" s="36"/>
      <c r="X1192" s="36"/>
      <c r="Y1192" s="36"/>
      <c r="Z1192" s="36"/>
      <c r="AA1192" s="36"/>
    </row>
    <row r="1193" spans="16:27" x14ac:dyDescent="0.2">
      <c r="P1193" s="36"/>
      <c r="Q1193" s="40"/>
      <c r="R1193" s="40"/>
      <c r="S1193" s="40"/>
      <c r="T1193" s="41"/>
      <c r="U1193" s="41"/>
      <c r="V1193" s="41"/>
      <c r="W1193" s="36"/>
      <c r="X1193" s="36"/>
      <c r="Y1193" s="36"/>
      <c r="Z1193" s="36"/>
      <c r="AA1193" s="36"/>
    </row>
    <row r="1194" spans="16:27" x14ac:dyDescent="0.2">
      <c r="P1194" s="36"/>
      <c r="Q1194" s="40"/>
      <c r="R1194" s="40"/>
      <c r="S1194" s="40"/>
      <c r="T1194" s="41"/>
      <c r="U1194" s="41"/>
      <c r="V1194" s="41"/>
      <c r="W1194" s="36"/>
      <c r="X1194" s="36"/>
      <c r="Y1194" s="36"/>
      <c r="Z1194" s="36"/>
      <c r="AA1194" s="36"/>
    </row>
    <row r="1195" spans="16:27" x14ac:dyDescent="0.2">
      <c r="P1195" s="36"/>
      <c r="Q1195" s="40"/>
      <c r="R1195" s="40"/>
      <c r="S1195" s="40"/>
      <c r="T1195" s="41"/>
      <c r="U1195" s="41"/>
      <c r="V1195" s="41"/>
      <c r="W1195" s="36"/>
      <c r="X1195" s="36"/>
      <c r="Y1195" s="36"/>
      <c r="Z1195" s="36"/>
      <c r="AA1195" s="36"/>
    </row>
    <row r="1196" spans="16:27" x14ac:dyDescent="0.2">
      <c r="P1196" s="36"/>
      <c r="Q1196" s="40"/>
      <c r="R1196" s="40"/>
      <c r="S1196" s="40"/>
      <c r="T1196" s="41"/>
      <c r="U1196" s="41"/>
      <c r="V1196" s="41"/>
      <c r="W1196" s="36"/>
      <c r="X1196" s="36"/>
      <c r="Y1196" s="36"/>
      <c r="Z1196" s="36"/>
      <c r="AA1196" s="36"/>
    </row>
    <row r="1197" spans="16:27" x14ac:dyDescent="0.2">
      <c r="P1197" s="36"/>
      <c r="Q1197" s="40"/>
      <c r="R1197" s="40"/>
      <c r="S1197" s="40"/>
      <c r="T1197" s="41"/>
      <c r="U1197" s="41"/>
      <c r="V1197" s="41"/>
      <c r="W1197" s="36"/>
      <c r="X1197" s="36"/>
      <c r="Y1197" s="36"/>
      <c r="Z1197" s="36"/>
      <c r="AA1197" s="36"/>
    </row>
    <row r="1198" spans="16:27" x14ac:dyDescent="0.2">
      <c r="P1198" s="36"/>
      <c r="Q1198" s="40"/>
      <c r="R1198" s="40"/>
      <c r="S1198" s="40"/>
      <c r="T1198" s="41"/>
      <c r="U1198" s="41"/>
      <c r="V1198" s="41"/>
      <c r="W1198" s="36"/>
      <c r="X1198" s="36"/>
      <c r="Y1198" s="36"/>
      <c r="Z1198" s="36"/>
      <c r="AA1198" s="36"/>
    </row>
    <row r="1199" spans="16:27" x14ac:dyDescent="0.2">
      <c r="P1199" s="36"/>
      <c r="Q1199" s="40"/>
      <c r="R1199" s="40"/>
      <c r="S1199" s="40"/>
      <c r="T1199" s="41"/>
      <c r="U1199" s="41"/>
      <c r="V1199" s="41"/>
      <c r="W1199" s="36"/>
      <c r="X1199" s="36"/>
      <c r="Y1199" s="36"/>
      <c r="Z1199" s="36"/>
      <c r="AA1199" s="36"/>
    </row>
    <row r="1200" spans="16:27" x14ac:dyDescent="0.2">
      <c r="P1200" s="36"/>
      <c r="Q1200" s="40"/>
      <c r="R1200" s="40"/>
      <c r="S1200" s="40"/>
      <c r="T1200" s="41"/>
      <c r="U1200" s="41"/>
      <c r="V1200" s="41"/>
      <c r="W1200" s="36"/>
      <c r="X1200" s="36"/>
      <c r="Y1200" s="36"/>
      <c r="Z1200" s="36"/>
      <c r="AA1200" s="36"/>
    </row>
    <row r="1201" spans="16:27" x14ac:dyDescent="0.2">
      <c r="P1201" s="36"/>
      <c r="Q1201" s="40"/>
      <c r="R1201" s="40"/>
      <c r="S1201" s="40"/>
      <c r="T1201" s="41"/>
      <c r="U1201" s="41"/>
      <c r="V1201" s="41"/>
      <c r="W1201" s="36"/>
      <c r="X1201" s="36"/>
      <c r="Y1201" s="36"/>
      <c r="Z1201" s="36"/>
      <c r="AA1201" s="36"/>
    </row>
    <row r="1202" spans="16:27" x14ac:dyDescent="0.2">
      <c r="P1202" s="36"/>
      <c r="Q1202" s="40"/>
      <c r="R1202" s="40"/>
      <c r="S1202" s="40"/>
      <c r="T1202" s="41"/>
      <c r="U1202" s="41"/>
      <c r="V1202" s="41"/>
      <c r="W1202" s="36"/>
      <c r="X1202" s="36"/>
      <c r="Y1202" s="36"/>
      <c r="Z1202" s="36"/>
      <c r="AA1202" s="36"/>
    </row>
    <row r="1203" spans="16:27" x14ac:dyDescent="0.2">
      <c r="P1203" s="36"/>
      <c r="Q1203" s="40"/>
      <c r="R1203" s="40"/>
      <c r="S1203" s="40"/>
      <c r="T1203" s="41"/>
      <c r="U1203" s="41"/>
      <c r="V1203" s="41"/>
      <c r="W1203" s="36"/>
      <c r="X1203" s="36"/>
      <c r="Y1203" s="36"/>
      <c r="Z1203" s="36"/>
      <c r="AA1203" s="36"/>
    </row>
    <row r="1204" spans="16:27" x14ac:dyDescent="0.2">
      <c r="P1204" s="36"/>
      <c r="Q1204" s="40"/>
      <c r="R1204" s="40"/>
      <c r="S1204" s="40"/>
      <c r="T1204" s="41"/>
      <c r="U1204" s="41"/>
      <c r="V1204" s="41"/>
      <c r="W1204" s="36"/>
      <c r="X1204" s="36"/>
      <c r="Y1204" s="36"/>
      <c r="Z1204" s="36"/>
      <c r="AA1204" s="36"/>
    </row>
    <row r="1205" spans="16:27" x14ac:dyDescent="0.2">
      <c r="P1205" s="36"/>
      <c r="Q1205" s="40"/>
      <c r="R1205" s="40"/>
      <c r="S1205" s="40"/>
      <c r="T1205" s="41"/>
      <c r="U1205" s="41"/>
      <c r="V1205" s="41"/>
      <c r="W1205" s="36"/>
      <c r="X1205" s="36"/>
      <c r="Y1205" s="36"/>
      <c r="Z1205" s="36"/>
      <c r="AA1205" s="36"/>
    </row>
    <row r="1206" spans="16:27" x14ac:dyDescent="0.2">
      <c r="P1206" s="36"/>
      <c r="Q1206" s="40"/>
      <c r="R1206" s="40"/>
      <c r="S1206" s="40"/>
      <c r="T1206" s="41"/>
      <c r="U1206" s="41"/>
      <c r="V1206" s="41"/>
      <c r="W1206" s="36"/>
      <c r="X1206" s="36"/>
      <c r="Y1206" s="36"/>
      <c r="Z1206" s="36"/>
      <c r="AA1206" s="36"/>
    </row>
    <row r="1207" spans="16:27" x14ac:dyDescent="0.2">
      <c r="P1207" s="36"/>
      <c r="Q1207" s="40"/>
      <c r="R1207" s="40"/>
      <c r="S1207" s="40"/>
      <c r="T1207" s="41"/>
      <c r="U1207" s="41"/>
      <c r="V1207" s="41"/>
      <c r="W1207" s="36"/>
      <c r="X1207" s="36"/>
      <c r="Y1207" s="36"/>
      <c r="Z1207" s="36"/>
      <c r="AA1207" s="36"/>
    </row>
    <row r="1208" spans="16:27" x14ac:dyDescent="0.2">
      <c r="P1208" s="36"/>
      <c r="Q1208" s="40"/>
      <c r="R1208" s="40"/>
      <c r="S1208" s="40"/>
      <c r="T1208" s="41"/>
      <c r="U1208" s="41"/>
      <c r="V1208" s="41"/>
      <c r="W1208" s="36"/>
      <c r="X1208" s="36"/>
      <c r="Y1208" s="36"/>
      <c r="Z1208" s="36"/>
      <c r="AA1208" s="36"/>
    </row>
    <row r="1209" spans="16:27" x14ac:dyDescent="0.2">
      <c r="P1209" s="36"/>
      <c r="Q1209" s="40"/>
      <c r="R1209" s="40"/>
      <c r="S1209" s="40"/>
      <c r="T1209" s="41"/>
      <c r="U1209" s="41"/>
      <c r="V1209" s="41"/>
      <c r="W1209" s="36"/>
      <c r="X1209" s="36"/>
      <c r="Y1209" s="36"/>
      <c r="Z1209" s="36"/>
      <c r="AA1209" s="36"/>
    </row>
    <row r="1210" spans="16:27" x14ac:dyDescent="0.2">
      <c r="P1210" s="36"/>
      <c r="Q1210" s="40"/>
      <c r="R1210" s="40"/>
      <c r="S1210" s="40"/>
      <c r="T1210" s="41"/>
      <c r="U1210" s="41"/>
      <c r="V1210" s="41"/>
      <c r="W1210" s="36"/>
      <c r="X1210" s="36"/>
      <c r="Y1210" s="36"/>
      <c r="Z1210" s="36"/>
      <c r="AA1210" s="36"/>
    </row>
    <row r="1211" spans="16:27" x14ac:dyDescent="0.2">
      <c r="P1211" s="36"/>
      <c r="Q1211" s="40"/>
      <c r="R1211" s="40"/>
      <c r="S1211" s="40"/>
      <c r="T1211" s="41"/>
      <c r="U1211" s="41"/>
      <c r="V1211" s="41"/>
      <c r="W1211" s="36"/>
      <c r="X1211" s="36"/>
      <c r="Y1211" s="36"/>
      <c r="Z1211" s="36"/>
      <c r="AA1211" s="36"/>
    </row>
    <row r="1212" spans="16:27" x14ac:dyDescent="0.2">
      <c r="P1212" s="36"/>
      <c r="Q1212" s="40"/>
      <c r="R1212" s="40"/>
      <c r="S1212" s="40"/>
      <c r="T1212" s="41"/>
      <c r="U1212" s="41"/>
      <c r="V1212" s="41"/>
      <c r="W1212" s="36"/>
      <c r="X1212" s="36"/>
      <c r="Y1212" s="36"/>
      <c r="Z1212" s="36"/>
      <c r="AA1212" s="36"/>
    </row>
    <row r="1213" spans="16:27" x14ac:dyDescent="0.2">
      <c r="P1213" s="36"/>
      <c r="Q1213" s="40"/>
      <c r="R1213" s="40"/>
      <c r="S1213" s="40"/>
      <c r="T1213" s="41"/>
      <c r="U1213" s="41"/>
      <c r="V1213" s="41"/>
      <c r="W1213" s="36"/>
      <c r="X1213" s="36"/>
      <c r="Y1213" s="36"/>
      <c r="Z1213" s="36"/>
      <c r="AA1213" s="36"/>
    </row>
    <row r="1214" spans="16:27" x14ac:dyDescent="0.2">
      <c r="P1214" s="36"/>
      <c r="Q1214" s="40"/>
      <c r="R1214" s="40"/>
      <c r="S1214" s="40"/>
      <c r="T1214" s="41"/>
      <c r="U1214" s="41"/>
      <c r="V1214" s="41"/>
      <c r="W1214" s="36"/>
      <c r="X1214" s="36"/>
      <c r="Y1214" s="36"/>
      <c r="Z1214" s="36"/>
      <c r="AA1214" s="36"/>
    </row>
    <row r="1215" spans="16:27" x14ac:dyDescent="0.2">
      <c r="P1215" s="36"/>
      <c r="Q1215" s="40"/>
      <c r="R1215" s="40"/>
      <c r="S1215" s="40"/>
      <c r="T1215" s="41"/>
      <c r="U1215" s="41"/>
      <c r="V1215" s="41"/>
      <c r="W1215" s="36"/>
      <c r="X1215" s="36"/>
      <c r="Y1215" s="36"/>
      <c r="Z1215" s="36"/>
      <c r="AA1215" s="36"/>
    </row>
    <row r="1216" spans="16:27" x14ac:dyDescent="0.2">
      <c r="P1216" s="36"/>
      <c r="Q1216" s="40"/>
      <c r="R1216" s="40"/>
      <c r="S1216" s="40"/>
      <c r="T1216" s="41"/>
      <c r="U1216" s="41"/>
      <c r="V1216" s="41"/>
      <c r="W1216" s="36"/>
      <c r="X1216" s="36"/>
      <c r="Y1216" s="36"/>
      <c r="Z1216" s="36"/>
      <c r="AA1216" s="36"/>
    </row>
    <row r="1217" spans="16:27" x14ac:dyDescent="0.2">
      <c r="P1217" s="36"/>
      <c r="Q1217" s="40"/>
      <c r="R1217" s="40"/>
      <c r="S1217" s="40"/>
      <c r="T1217" s="41"/>
      <c r="U1217" s="41"/>
      <c r="V1217" s="41"/>
      <c r="W1217" s="36"/>
      <c r="X1217" s="36"/>
      <c r="Y1217" s="36"/>
      <c r="Z1217" s="36"/>
      <c r="AA1217" s="36"/>
    </row>
    <row r="1218" spans="16:27" x14ac:dyDescent="0.2">
      <c r="P1218" s="36"/>
      <c r="Q1218" s="40"/>
      <c r="R1218" s="40"/>
      <c r="S1218" s="40"/>
      <c r="T1218" s="41"/>
      <c r="U1218" s="41"/>
      <c r="V1218" s="41"/>
      <c r="W1218" s="36"/>
      <c r="X1218" s="36"/>
      <c r="Y1218" s="36"/>
      <c r="Z1218" s="36"/>
      <c r="AA1218" s="36"/>
    </row>
    <row r="1219" spans="16:27" x14ac:dyDescent="0.2">
      <c r="P1219" s="36"/>
      <c r="Q1219" s="40"/>
      <c r="R1219" s="40"/>
      <c r="S1219" s="40"/>
      <c r="T1219" s="41"/>
      <c r="U1219" s="41"/>
      <c r="V1219" s="41"/>
      <c r="W1219" s="36"/>
      <c r="X1219" s="36"/>
      <c r="Y1219" s="36"/>
      <c r="Z1219" s="36"/>
      <c r="AA1219" s="36"/>
    </row>
    <row r="1220" spans="16:27" x14ac:dyDescent="0.2">
      <c r="P1220" s="36"/>
      <c r="Q1220" s="40"/>
      <c r="R1220" s="40"/>
      <c r="S1220" s="40"/>
      <c r="T1220" s="41"/>
      <c r="U1220" s="41"/>
      <c r="V1220" s="41"/>
      <c r="W1220" s="36"/>
      <c r="X1220" s="36"/>
      <c r="Y1220" s="36"/>
      <c r="Z1220" s="36"/>
      <c r="AA1220" s="36"/>
    </row>
    <row r="1221" spans="16:27" x14ac:dyDescent="0.2">
      <c r="P1221" s="36"/>
      <c r="Q1221" s="40"/>
      <c r="R1221" s="40"/>
      <c r="S1221" s="40"/>
      <c r="T1221" s="41"/>
      <c r="U1221" s="41"/>
      <c r="V1221" s="41"/>
      <c r="W1221" s="36"/>
      <c r="X1221" s="36"/>
      <c r="Y1221" s="36"/>
      <c r="Z1221" s="36"/>
      <c r="AA1221" s="36"/>
    </row>
    <row r="1222" spans="16:27" x14ac:dyDescent="0.2">
      <c r="P1222" s="36"/>
      <c r="Q1222" s="40"/>
      <c r="R1222" s="40"/>
      <c r="S1222" s="40"/>
      <c r="T1222" s="41"/>
      <c r="U1222" s="41"/>
      <c r="V1222" s="41"/>
      <c r="W1222" s="36"/>
      <c r="X1222" s="36"/>
      <c r="Y1222" s="36"/>
      <c r="Z1222" s="36"/>
      <c r="AA1222" s="36"/>
    </row>
    <row r="1223" spans="16:27" x14ac:dyDescent="0.2">
      <c r="P1223" s="36"/>
      <c r="Q1223" s="40"/>
      <c r="R1223" s="40"/>
      <c r="S1223" s="40"/>
      <c r="T1223" s="41"/>
      <c r="U1223" s="41"/>
      <c r="V1223" s="41"/>
      <c r="W1223" s="36"/>
      <c r="X1223" s="36"/>
      <c r="Y1223" s="36"/>
      <c r="Z1223" s="36"/>
      <c r="AA1223" s="36"/>
    </row>
    <row r="1224" spans="16:27" x14ac:dyDescent="0.2">
      <c r="P1224" s="36"/>
      <c r="Q1224" s="40"/>
      <c r="R1224" s="40"/>
      <c r="S1224" s="40"/>
      <c r="T1224" s="41"/>
      <c r="U1224" s="41"/>
      <c r="V1224" s="41"/>
      <c r="W1224" s="36"/>
      <c r="X1224" s="36"/>
      <c r="Y1224" s="36"/>
      <c r="Z1224" s="36"/>
      <c r="AA1224" s="36"/>
    </row>
    <row r="1225" spans="16:27" x14ac:dyDescent="0.2">
      <c r="P1225" s="36"/>
      <c r="Q1225" s="40"/>
      <c r="R1225" s="40"/>
      <c r="S1225" s="40"/>
      <c r="T1225" s="41"/>
      <c r="U1225" s="41"/>
      <c r="V1225" s="41"/>
      <c r="W1225" s="36"/>
      <c r="X1225" s="36"/>
      <c r="Y1225" s="36"/>
      <c r="Z1225" s="36"/>
      <c r="AA1225" s="36"/>
    </row>
    <row r="1226" spans="16:27" x14ac:dyDescent="0.2">
      <c r="P1226" s="36"/>
      <c r="Q1226" s="40"/>
      <c r="R1226" s="40"/>
      <c r="S1226" s="40"/>
      <c r="T1226" s="41"/>
      <c r="U1226" s="41"/>
      <c r="V1226" s="41"/>
      <c r="W1226" s="36"/>
      <c r="X1226" s="36"/>
      <c r="Y1226" s="36"/>
      <c r="Z1226" s="36"/>
      <c r="AA1226" s="36"/>
    </row>
    <row r="1227" spans="16:27" x14ac:dyDescent="0.2">
      <c r="P1227" s="36"/>
      <c r="Q1227" s="40"/>
      <c r="R1227" s="40"/>
      <c r="S1227" s="40"/>
      <c r="T1227" s="41"/>
      <c r="U1227" s="41"/>
      <c r="V1227" s="41"/>
      <c r="W1227" s="36"/>
      <c r="X1227" s="36"/>
      <c r="Y1227" s="36"/>
      <c r="Z1227" s="36"/>
      <c r="AA1227" s="36"/>
    </row>
    <row r="1228" spans="16:27" x14ac:dyDescent="0.2">
      <c r="P1228" s="36"/>
      <c r="Q1228" s="40"/>
      <c r="R1228" s="40"/>
      <c r="S1228" s="40"/>
      <c r="T1228" s="41"/>
      <c r="U1228" s="41"/>
      <c r="V1228" s="41"/>
      <c r="W1228" s="36"/>
      <c r="X1228" s="36"/>
      <c r="Y1228" s="36"/>
      <c r="Z1228" s="36"/>
      <c r="AA1228" s="36"/>
    </row>
    <row r="1229" spans="16:27" x14ac:dyDescent="0.2">
      <c r="P1229" s="36"/>
      <c r="Q1229" s="40"/>
      <c r="R1229" s="40"/>
      <c r="S1229" s="40"/>
      <c r="T1229" s="41"/>
      <c r="U1229" s="41"/>
      <c r="V1229" s="41"/>
      <c r="W1229" s="36"/>
      <c r="X1229" s="36"/>
      <c r="Y1229" s="36"/>
      <c r="Z1229" s="36"/>
      <c r="AA1229" s="36"/>
    </row>
    <row r="1230" spans="16:27" x14ac:dyDescent="0.2">
      <c r="P1230" s="36"/>
      <c r="Q1230" s="40"/>
      <c r="R1230" s="40"/>
      <c r="S1230" s="40"/>
      <c r="T1230" s="41"/>
      <c r="U1230" s="41"/>
      <c r="V1230" s="41"/>
      <c r="W1230" s="36"/>
      <c r="X1230" s="36"/>
      <c r="Y1230" s="36"/>
      <c r="Z1230" s="36"/>
      <c r="AA1230" s="36"/>
    </row>
    <row r="1231" spans="16:27" x14ac:dyDescent="0.2">
      <c r="P1231" s="36"/>
      <c r="Q1231" s="40"/>
      <c r="R1231" s="40"/>
      <c r="S1231" s="40"/>
      <c r="T1231" s="41"/>
      <c r="U1231" s="41"/>
      <c r="V1231" s="41"/>
      <c r="W1231" s="36"/>
      <c r="X1231" s="36"/>
      <c r="Y1231" s="36"/>
      <c r="Z1231" s="36"/>
      <c r="AA1231" s="36"/>
    </row>
    <row r="1232" spans="16:27" x14ac:dyDescent="0.2">
      <c r="P1232" s="36"/>
      <c r="Q1232" s="40"/>
      <c r="R1232" s="40"/>
      <c r="S1232" s="40"/>
      <c r="T1232" s="41"/>
      <c r="U1232" s="41"/>
      <c r="V1232" s="41"/>
      <c r="W1232" s="36"/>
      <c r="X1232" s="36"/>
      <c r="Y1232" s="36"/>
      <c r="Z1232" s="36"/>
      <c r="AA1232" s="36"/>
    </row>
    <row r="1233" spans="16:27" x14ac:dyDescent="0.2">
      <c r="P1233" s="36"/>
      <c r="Q1233" s="40"/>
      <c r="R1233" s="40"/>
      <c r="S1233" s="40"/>
      <c r="T1233" s="41"/>
      <c r="U1233" s="41"/>
      <c r="V1233" s="41"/>
      <c r="W1233" s="36"/>
      <c r="X1233" s="36"/>
      <c r="Y1233" s="36"/>
      <c r="Z1233" s="36"/>
      <c r="AA1233" s="36"/>
    </row>
    <row r="1234" spans="16:27" x14ac:dyDescent="0.2">
      <c r="P1234" s="36"/>
      <c r="Q1234" s="40"/>
      <c r="R1234" s="40"/>
      <c r="S1234" s="40"/>
      <c r="T1234" s="41"/>
      <c r="U1234" s="41"/>
      <c r="V1234" s="41"/>
      <c r="W1234" s="36"/>
      <c r="X1234" s="36"/>
      <c r="Y1234" s="36"/>
      <c r="Z1234" s="36"/>
      <c r="AA1234" s="36"/>
    </row>
    <row r="1235" spans="16:27" x14ac:dyDescent="0.2">
      <c r="P1235" s="36"/>
      <c r="Q1235" s="40"/>
      <c r="R1235" s="40"/>
      <c r="S1235" s="40"/>
      <c r="T1235" s="41"/>
      <c r="U1235" s="41"/>
      <c r="V1235" s="41"/>
      <c r="W1235" s="36"/>
      <c r="X1235" s="36"/>
      <c r="Y1235" s="36"/>
      <c r="Z1235" s="36"/>
      <c r="AA1235" s="36"/>
    </row>
    <row r="1236" spans="16:27" x14ac:dyDescent="0.2">
      <c r="P1236" s="36"/>
      <c r="Q1236" s="40"/>
      <c r="R1236" s="40"/>
      <c r="S1236" s="40"/>
      <c r="T1236" s="41"/>
      <c r="U1236" s="41"/>
      <c r="V1236" s="41"/>
      <c r="W1236" s="36"/>
      <c r="X1236" s="36"/>
      <c r="Y1236" s="36"/>
      <c r="Z1236" s="36"/>
      <c r="AA1236" s="36"/>
    </row>
    <row r="1237" spans="16:27" x14ac:dyDescent="0.2">
      <c r="P1237" s="36"/>
      <c r="Q1237" s="40"/>
      <c r="R1237" s="40"/>
      <c r="S1237" s="40"/>
      <c r="T1237" s="41"/>
      <c r="U1237" s="41"/>
      <c r="V1237" s="41"/>
      <c r="W1237" s="36"/>
      <c r="X1237" s="36"/>
      <c r="Y1237" s="36"/>
      <c r="Z1237" s="36"/>
      <c r="AA1237" s="36"/>
    </row>
    <row r="1238" spans="16:27" x14ac:dyDescent="0.2">
      <c r="P1238" s="36"/>
      <c r="Q1238" s="40"/>
      <c r="R1238" s="40"/>
      <c r="S1238" s="40"/>
      <c r="T1238" s="41"/>
      <c r="U1238" s="41"/>
      <c r="V1238" s="41"/>
      <c r="W1238" s="36"/>
      <c r="X1238" s="36"/>
      <c r="Y1238" s="36"/>
      <c r="Z1238" s="36"/>
      <c r="AA1238" s="36"/>
    </row>
    <row r="1239" spans="16:27" x14ac:dyDescent="0.2">
      <c r="P1239" s="36"/>
      <c r="Q1239" s="40"/>
      <c r="R1239" s="40"/>
      <c r="S1239" s="40"/>
      <c r="T1239" s="41"/>
      <c r="U1239" s="41"/>
      <c r="V1239" s="41"/>
      <c r="W1239" s="36"/>
      <c r="X1239" s="36"/>
      <c r="Y1239" s="36"/>
      <c r="Z1239" s="36"/>
      <c r="AA1239" s="36"/>
    </row>
    <row r="1240" spans="16:27" x14ac:dyDescent="0.2">
      <c r="P1240" s="36"/>
      <c r="Q1240" s="40"/>
      <c r="R1240" s="40"/>
      <c r="S1240" s="40"/>
      <c r="T1240" s="41"/>
      <c r="U1240" s="41"/>
      <c r="V1240" s="41"/>
      <c r="W1240" s="36"/>
      <c r="X1240" s="36"/>
      <c r="Y1240" s="36"/>
      <c r="Z1240" s="36"/>
      <c r="AA1240" s="36"/>
    </row>
    <row r="1241" spans="16:27" x14ac:dyDescent="0.2">
      <c r="P1241" s="36"/>
      <c r="Q1241" s="40"/>
      <c r="R1241" s="40"/>
      <c r="S1241" s="40"/>
      <c r="T1241" s="41"/>
      <c r="U1241" s="41"/>
      <c r="V1241" s="41"/>
      <c r="W1241" s="36"/>
      <c r="X1241" s="36"/>
      <c r="Y1241" s="36"/>
      <c r="Z1241" s="36"/>
      <c r="AA1241" s="36"/>
    </row>
    <row r="1242" spans="16:27" x14ac:dyDescent="0.2">
      <c r="P1242" s="36"/>
      <c r="Q1242" s="40"/>
      <c r="R1242" s="40"/>
      <c r="S1242" s="40"/>
      <c r="T1242" s="41"/>
      <c r="U1242" s="41"/>
      <c r="V1242" s="41"/>
      <c r="W1242" s="36"/>
      <c r="X1242" s="36"/>
      <c r="Y1242" s="36"/>
      <c r="Z1242" s="36"/>
      <c r="AA1242" s="36"/>
    </row>
    <row r="1243" spans="16:27" x14ac:dyDescent="0.2">
      <c r="P1243" s="36"/>
      <c r="Q1243" s="40"/>
      <c r="R1243" s="40"/>
      <c r="S1243" s="40"/>
      <c r="T1243" s="41"/>
      <c r="U1243" s="41"/>
      <c r="V1243" s="41"/>
      <c r="W1243" s="36"/>
      <c r="X1243" s="36"/>
      <c r="Y1243" s="36"/>
      <c r="Z1243" s="36"/>
      <c r="AA1243" s="36"/>
    </row>
    <row r="1244" spans="16:27" x14ac:dyDescent="0.2">
      <c r="P1244" s="36"/>
      <c r="Q1244" s="40"/>
      <c r="R1244" s="40"/>
      <c r="S1244" s="40"/>
      <c r="T1244" s="41"/>
      <c r="U1244" s="41"/>
      <c r="V1244" s="41"/>
      <c r="W1244" s="36"/>
      <c r="X1244" s="36"/>
      <c r="Y1244" s="36"/>
      <c r="Z1244" s="36"/>
      <c r="AA1244" s="36"/>
    </row>
    <row r="1245" spans="16:27" x14ac:dyDescent="0.2">
      <c r="P1245" s="36"/>
      <c r="Q1245" s="40"/>
      <c r="R1245" s="40"/>
      <c r="S1245" s="40"/>
      <c r="T1245" s="41"/>
      <c r="U1245" s="41"/>
      <c r="V1245" s="41"/>
      <c r="W1245" s="36"/>
      <c r="X1245" s="36"/>
      <c r="Y1245" s="36"/>
      <c r="Z1245" s="36"/>
      <c r="AA1245" s="36"/>
    </row>
    <row r="1246" spans="16:27" x14ac:dyDescent="0.2">
      <c r="P1246" s="36"/>
      <c r="Q1246" s="40"/>
      <c r="R1246" s="40"/>
      <c r="S1246" s="40"/>
      <c r="T1246" s="41"/>
      <c r="U1246" s="41"/>
      <c r="V1246" s="41"/>
      <c r="W1246" s="36"/>
      <c r="X1246" s="36"/>
      <c r="Y1246" s="36"/>
      <c r="Z1246" s="36"/>
      <c r="AA1246" s="36"/>
    </row>
    <row r="1247" spans="16:27" x14ac:dyDescent="0.2">
      <c r="P1247" s="36"/>
      <c r="Q1247" s="40"/>
      <c r="R1247" s="40"/>
      <c r="S1247" s="40"/>
      <c r="T1247" s="41"/>
      <c r="U1247" s="41"/>
      <c r="V1247" s="41"/>
      <c r="W1247" s="36"/>
      <c r="X1247" s="36"/>
      <c r="Y1247" s="36"/>
      <c r="Z1247" s="36"/>
      <c r="AA1247" s="36"/>
    </row>
    <row r="1248" spans="16:27" x14ac:dyDescent="0.2">
      <c r="P1248" s="36"/>
      <c r="Q1248" s="40"/>
      <c r="R1248" s="40"/>
      <c r="S1248" s="40"/>
      <c r="T1248" s="41"/>
      <c r="U1248" s="41"/>
      <c r="V1248" s="41"/>
      <c r="W1248" s="36"/>
      <c r="X1248" s="36"/>
      <c r="Y1248" s="36"/>
      <c r="Z1248" s="36"/>
      <c r="AA1248" s="36"/>
    </row>
    <row r="1249" spans="16:27" x14ac:dyDescent="0.2">
      <c r="P1249" s="36"/>
      <c r="Q1249" s="40"/>
      <c r="R1249" s="40"/>
      <c r="S1249" s="40"/>
      <c r="T1249" s="41"/>
      <c r="U1249" s="41"/>
      <c r="V1249" s="41"/>
      <c r="W1249" s="36"/>
      <c r="X1249" s="36"/>
      <c r="Y1249" s="36"/>
      <c r="Z1249" s="36"/>
      <c r="AA1249" s="36"/>
    </row>
    <row r="1250" spans="16:27" x14ac:dyDescent="0.2">
      <c r="P1250" s="36"/>
      <c r="Q1250" s="40"/>
      <c r="R1250" s="40"/>
      <c r="S1250" s="40"/>
      <c r="T1250" s="41"/>
      <c r="U1250" s="41"/>
      <c r="V1250" s="41"/>
      <c r="W1250" s="36"/>
      <c r="X1250" s="36"/>
      <c r="Y1250" s="36"/>
      <c r="Z1250" s="36"/>
      <c r="AA1250" s="36"/>
    </row>
    <row r="1251" spans="16:27" x14ac:dyDescent="0.2">
      <c r="P1251" s="36"/>
      <c r="Q1251" s="40"/>
      <c r="R1251" s="40"/>
      <c r="S1251" s="40"/>
      <c r="T1251" s="41"/>
      <c r="U1251" s="41"/>
      <c r="V1251" s="41"/>
      <c r="W1251" s="36"/>
      <c r="X1251" s="36"/>
      <c r="Y1251" s="36"/>
      <c r="Z1251" s="36"/>
      <c r="AA1251" s="36"/>
    </row>
    <row r="1252" spans="16:27" x14ac:dyDescent="0.2">
      <c r="P1252" s="36"/>
      <c r="Q1252" s="40"/>
      <c r="R1252" s="40"/>
      <c r="S1252" s="40"/>
      <c r="T1252" s="41"/>
      <c r="U1252" s="41"/>
      <c r="V1252" s="41"/>
      <c r="W1252" s="36"/>
      <c r="X1252" s="36"/>
      <c r="Y1252" s="36"/>
      <c r="Z1252" s="36"/>
      <c r="AA1252" s="36"/>
    </row>
    <row r="1253" spans="16:27" x14ac:dyDescent="0.2">
      <c r="P1253" s="36"/>
      <c r="Q1253" s="40"/>
      <c r="R1253" s="40"/>
      <c r="S1253" s="40"/>
      <c r="T1253" s="41"/>
      <c r="U1253" s="41"/>
      <c r="V1253" s="41"/>
      <c r="W1253" s="36"/>
      <c r="X1253" s="36"/>
      <c r="Y1253" s="36"/>
      <c r="Z1253" s="36"/>
      <c r="AA1253" s="36"/>
    </row>
    <row r="1254" spans="16:27" x14ac:dyDescent="0.2">
      <c r="P1254" s="36"/>
      <c r="Q1254" s="40"/>
      <c r="R1254" s="40"/>
      <c r="S1254" s="40"/>
      <c r="T1254" s="41"/>
      <c r="U1254" s="41"/>
      <c r="V1254" s="41"/>
      <c r="W1254" s="36"/>
      <c r="X1254" s="36"/>
      <c r="Y1254" s="36"/>
      <c r="Z1254" s="36"/>
      <c r="AA1254" s="36"/>
    </row>
    <row r="1255" spans="16:27" x14ac:dyDescent="0.2">
      <c r="P1255" s="36"/>
      <c r="Q1255" s="40"/>
      <c r="R1255" s="40"/>
      <c r="S1255" s="40"/>
      <c r="T1255" s="41"/>
      <c r="U1255" s="41"/>
      <c r="V1255" s="41"/>
      <c r="W1255" s="36"/>
      <c r="X1255" s="36"/>
      <c r="Y1255" s="36"/>
      <c r="Z1255" s="36"/>
      <c r="AA1255" s="36"/>
    </row>
    <row r="1256" spans="16:27" x14ac:dyDescent="0.2">
      <c r="P1256" s="36"/>
      <c r="Q1256" s="40"/>
      <c r="R1256" s="40"/>
      <c r="S1256" s="40"/>
      <c r="T1256" s="41"/>
      <c r="U1256" s="41"/>
      <c r="V1256" s="41"/>
      <c r="W1256" s="36"/>
      <c r="X1256" s="36"/>
      <c r="Y1256" s="36"/>
      <c r="Z1256" s="36"/>
      <c r="AA1256" s="36"/>
    </row>
    <row r="1257" spans="16:27" x14ac:dyDescent="0.2">
      <c r="P1257" s="36"/>
      <c r="Q1257" s="40"/>
      <c r="R1257" s="40"/>
      <c r="S1257" s="40"/>
      <c r="T1257" s="41"/>
      <c r="U1257" s="41"/>
      <c r="V1257" s="41"/>
      <c r="W1257" s="36"/>
      <c r="X1257" s="36"/>
      <c r="Y1257" s="36"/>
      <c r="Z1257" s="36"/>
      <c r="AA1257" s="36"/>
    </row>
    <row r="1258" spans="16:27" x14ac:dyDescent="0.2">
      <c r="P1258" s="36"/>
      <c r="Q1258" s="40"/>
      <c r="R1258" s="40"/>
      <c r="S1258" s="40"/>
      <c r="T1258" s="41"/>
      <c r="U1258" s="41"/>
      <c r="V1258" s="41"/>
      <c r="W1258" s="36"/>
      <c r="X1258" s="36"/>
      <c r="Y1258" s="36"/>
      <c r="Z1258" s="36"/>
      <c r="AA1258" s="36"/>
    </row>
    <row r="1259" spans="16:27" x14ac:dyDescent="0.2">
      <c r="P1259" s="36"/>
      <c r="Q1259" s="40"/>
      <c r="R1259" s="40"/>
      <c r="S1259" s="40"/>
      <c r="T1259" s="41"/>
      <c r="U1259" s="41"/>
      <c r="V1259" s="41"/>
      <c r="W1259" s="36"/>
      <c r="X1259" s="36"/>
      <c r="Y1259" s="36"/>
      <c r="Z1259" s="36"/>
      <c r="AA1259" s="36"/>
    </row>
    <row r="1260" spans="16:27" x14ac:dyDescent="0.2">
      <c r="P1260" s="36"/>
      <c r="Q1260" s="40"/>
      <c r="R1260" s="40"/>
      <c r="S1260" s="40"/>
      <c r="T1260" s="41"/>
      <c r="U1260" s="41"/>
      <c r="V1260" s="41"/>
      <c r="W1260" s="36"/>
      <c r="X1260" s="36"/>
      <c r="Y1260" s="36"/>
      <c r="Z1260" s="36"/>
      <c r="AA1260" s="36"/>
    </row>
    <row r="1261" spans="16:27" x14ac:dyDescent="0.2">
      <c r="P1261" s="36"/>
      <c r="Q1261" s="40"/>
      <c r="R1261" s="40"/>
      <c r="S1261" s="40"/>
      <c r="T1261" s="41"/>
      <c r="U1261" s="41"/>
      <c r="V1261" s="41"/>
      <c r="W1261" s="36"/>
      <c r="X1261" s="36"/>
      <c r="Y1261" s="36"/>
      <c r="Z1261" s="36"/>
      <c r="AA1261" s="36"/>
    </row>
    <row r="1262" spans="16:27" x14ac:dyDescent="0.2">
      <c r="P1262" s="36"/>
      <c r="Q1262" s="40"/>
      <c r="R1262" s="40"/>
      <c r="S1262" s="40"/>
      <c r="T1262" s="41"/>
      <c r="U1262" s="41"/>
      <c r="V1262" s="41"/>
      <c r="W1262" s="36"/>
      <c r="X1262" s="36"/>
      <c r="Y1262" s="36"/>
      <c r="Z1262" s="36"/>
      <c r="AA1262" s="36"/>
    </row>
    <row r="1263" spans="16:27" x14ac:dyDescent="0.2">
      <c r="P1263" s="36"/>
      <c r="Q1263" s="40"/>
      <c r="R1263" s="40"/>
      <c r="S1263" s="40"/>
      <c r="T1263" s="41"/>
      <c r="U1263" s="41"/>
      <c r="V1263" s="41"/>
      <c r="W1263" s="36"/>
      <c r="X1263" s="36"/>
      <c r="Y1263" s="36"/>
      <c r="Z1263" s="36"/>
      <c r="AA1263" s="36"/>
    </row>
    <row r="1264" spans="16:27" x14ac:dyDescent="0.2">
      <c r="P1264" s="36"/>
      <c r="Q1264" s="40"/>
      <c r="R1264" s="40"/>
      <c r="S1264" s="40"/>
      <c r="T1264" s="41"/>
      <c r="U1264" s="41"/>
      <c r="V1264" s="41"/>
      <c r="W1264" s="36"/>
      <c r="X1264" s="36"/>
      <c r="Y1264" s="36"/>
      <c r="Z1264" s="36"/>
      <c r="AA1264" s="36"/>
    </row>
    <row r="1265" spans="16:27" x14ac:dyDescent="0.2">
      <c r="P1265" s="36"/>
      <c r="Q1265" s="40"/>
      <c r="R1265" s="40"/>
      <c r="S1265" s="40"/>
      <c r="T1265" s="41"/>
      <c r="U1265" s="41"/>
      <c r="V1265" s="41"/>
      <c r="W1265" s="36"/>
      <c r="X1265" s="36"/>
      <c r="Y1265" s="36"/>
      <c r="Z1265" s="36"/>
      <c r="AA1265" s="36"/>
    </row>
    <row r="1266" spans="16:27" x14ac:dyDescent="0.2">
      <c r="P1266" s="36"/>
      <c r="Q1266" s="40"/>
      <c r="R1266" s="40"/>
      <c r="S1266" s="40"/>
      <c r="T1266" s="41"/>
      <c r="U1266" s="41"/>
      <c r="V1266" s="41"/>
      <c r="W1266" s="36"/>
      <c r="X1266" s="36"/>
      <c r="Y1266" s="36"/>
      <c r="Z1266" s="36"/>
      <c r="AA1266" s="36"/>
    </row>
    <row r="1267" spans="16:27" x14ac:dyDescent="0.2">
      <c r="P1267" s="36"/>
      <c r="Q1267" s="40"/>
      <c r="R1267" s="40"/>
      <c r="S1267" s="40"/>
      <c r="T1267" s="41"/>
      <c r="U1267" s="41"/>
      <c r="V1267" s="41"/>
      <c r="W1267" s="36"/>
      <c r="X1267" s="36"/>
      <c r="Y1267" s="36"/>
      <c r="Z1267" s="36"/>
      <c r="AA1267" s="36"/>
    </row>
    <row r="1268" spans="16:27" x14ac:dyDescent="0.2">
      <c r="P1268" s="36"/>
      <c r="Q1268" s="40"/>
      <c r="R1268" s="40"/>
      <c r="S1268" s="40"/>
      <c r="T1268" s="41"/>
      <c r="U1268" s="41"/>
      <c r="V1268" s="41"/>
      <c r="W1268" s="36"/>
      <c r="X1268" s="36"/>
      <c r="Y1268" s="36"/>
      <c r="Z1268" s="36"/>
      <c r="AA1268" s="36"/>
    </row>
    <row r="1269" spans="16:27" x14ac:dyDescent="0.2">
      <c r="P1269" s="36"/>
      <c r="Q1269" s="40"/>
      <c r="R1269" s="40"/>
      <c r="S1269" s="40"/>
      <c r="T1269" s="41"/>
      <c r="U1269" s="41"/>
      <c r="V1269" s="41"/>
      <c r="W1269" s="36"/>
      <c r="X1269" s="36"/>
      <c r="Y1269" s="36"/>
      <c r="Z1269" s="36"/>
      <c r="AA1269" s="36"/>
    </row>
    <row r="1270" spans="16:27" x14ac:dyDescent="0.2">
      <c r="P1270" s="36"/>
      <c r="Q1270" s="40"/>
      <c r="R1270" s="40"/>
      <c r="S1270" s="40"/>
      <c r="T1270" s="41"/>
      <c r="U1270" s="41"/>
      <c r="V1270" s="41"/>
      <c r="W1270" s="36"/>
      <c r="X1270" s="36"/>
      <c r="Y1270" s="36"/>
      <c r="Z1270" s="36"/>
      <c r="AA1270" s="36"/>
    </row>
    <row r="1271" spans="16:27" x14ac:dyDescent="0.2">
      <c r="P1271" s="36"/>
      <c r="Q1271" s="40"/>
      <c r="R1271" s="40"/>
      <c r="S1271" s="40"/>
      <c r="T1271" s="41"/>
      <c r="U1271" s="41"/>
      <c r="V1271" s="41"/>
      <c r="W1271" s="36"/>
      <c r="X1271" s="36"/>
      <c r="Y1271" s="36"/>
      <c r="Z1271" s="36"/>
      <c r="AA1271" s="36"/>
    </row>
    <row r="1272" spans="16:27" x14ac:dyDescent="0.2">
      <c r="P1272" s="36"/>
      <c r="Q1272" s="40"/>
      <c r="R1272" s="40"/>
      <c r="S1272" s="40"/>
      <c r="T1272" s="41"/>
      <c r="U1272" s="41"/>
      <c r="V1272" s="41"/>
      <c r="W1272" s="36"/>
      <c r="X1272" s="36"/>
      <c r="Y1272" s="36"/>
      <c r="Z1272" s="36"/>
      <c r="AA1272" s="36"/>
    </row>
    <row r="1273" spans="16:27" x14ac:dyDescent="0.2">
      <c r="P1273" s="36"/>
      <c r="Q1273" s="40"/>
      <c r="R1273" s="40"/>
      <c r="S1273" s="40"/>
      <c r="T1273" s="41"/>
      <c r="U1273" s="41"/>
      <c r="V1273" s="41"/>
      <c r="W1273" s="36"/>
      <c r="X1273" s="36"/>
      <c r="Y1273" s="36"/>
      <c r="Z1273" s="36"/>
      <c r="AA1273" s="36"/>
    </row>
    <row r="1274" spans="16:27" x14ac:dyDescent="0.2">
      <c r="P1274" s="36"/>
      <c r="Q1274" s="40"/>
      <c r="R1274" s="40"/>
      <c r="S1274" s="40"/>
      <c r="T1274" s="41"/>
      <c r="U1274" s="41"/>
      <c r="V1274" s="41"/>
      <c r="W1274" s="36"/>
      <c r="X1274" s="36"/>
      <c r="Y1274" s="36"/>
      <c r="Z1274" s="36"/>
      <c r="AA1274" s="36"/>
    </row>
    <row r="1275" spans="16:27" x14ac:dyDescent="0.2">
      <c r="P1275" s="36"/>
      <c r="Q1275" s="40"/>
      <c r="R1275" s="40"/>
      <c r="S1275" s="40"/>
      <c r="T1275" s="41"/>
      <c r="U1275" s="41"/>
      <c r="V1275" s="41"/>
      <c r="W1275" s="36"/>
      <c r="X1275" s="36"/>
      <c r="Y1275" s="36"/>
      <c r="Z1275" s="36"/>
      <c r="AA1275" s="36"/>
    </row>
    <row r="1276" spans="16:27" x14ac:dyDescent="0.2">
      <c r="P1276" s="36"/>
      <c r="Q1276" s="40"/>
      <c r="R1276" s="40"/>
      <c r="S1276" s="40"/>
      <c r="T1276" s="41"/>
      <c r="U1276" s="41"/>
      <c r="V1276" s="41"/>
      <c r="W1276" s="36"/>
      <c r="X1276" s="36"/>
      <c r="Y1276" s="36"/>
      <c r="Z1276" s="36"/>
      <c r="AA1276" s="36"/>
    </row>
    <row r="1277" spans="16:27" x14ac:dyDescent="0.2">
      <c r="P1277" s="36"/>
      <c r="Q1277" s="40"/>
      <c r="R1277" s="40"/>
      <c r="S1277" s="40"/>
      <c r="T1277" s="41"/>
      <c r="U1277" s="41"/>
      <c r="V1277" s="41"/>
      <c r="W1277" s="36"/>
      <c r="X1277" s="36"/>
      <c r="Y1277" s="36"/>
      <c r="Z1277" s="36"/>
      <c r="AA1277" s="36"/>
    </row>
    <row r="1278" spans="16:27" x14ac:dyDescent="0.2">
      <c r="P1278" s="36"/>
      <c r="Q1278" s="40"/>
      <c r="R1278" s="40"/>
      <c r="S1278" s="40"/>
      <c r="T1278" s="41"/>
      <c r="U1278" s="41"/>
      <c r="V1278" s="41"/>
      <c r="W1278" s="36"/>
      <c r="X1278" s="36"/>
      <c r="Y1278" s="36"/>
      <c r="Z1278" s="36"/>
      <c r="AA1278" s="36"/>
    </row>
    <row r="1279" spans="16:27" x14ac:dyDescent="0.2">
      <c r="P1279" s="36"/>
      <c r="Q1279" s="40"/>
      <c r="R1279" s="40"/>
      <c r="S1279" s="40"/>
      <c r="T1279" s="41"/>
      <c r="U1279" s="41"/>
      <c r="V1279" s="41"/>
      <c r="W1279" s="36"/>
      <c r="X1279" s="36"/>
      <c r="Y1279" s="36"/>
      <c r="Z1279" s="36"/>
      <c r="AA1279" s="36"/>
    </row>
    <row r="1280" spans="16:27" x14ac:dyDescent="0.2">
      <c r="P1280" s="36"/>
      <c r="Q1280" s="40"/>
      <c r="R1280" s="40"/>
      <c r="S1280" s="40"/>
      <c r="T1280" s="41"/>
      <c r="U1280" s="41"/>
      <c r="V1280" s="41"/>
      <c r="W1280" s="36"/>
      <c r="X1280" s="36"/>
      <c r="Y1280" s="36"/>
      <c r="Z1280" s="36"/>
      <c r="AA1280" s="36"/>
    </row>
    <row r="1281" spans="16:27" x14ac:dyDescent="0.2">
      <c r="P1281" s="36"/>
      <c r="Q1281" s="40"/>
      <c r="R1281" s="40"/>
      <c r="S1281" s="40"/>
      <c r="T1281" s="41"/>
      <c r="U1281" s="41"/>
      <c r="V1281" s="41"/>
      <c r="W1281" s="36"/>
      <c r="X1281" s="36"/>
      <c r="Y1281" s="36"/>
      <c r="Z1281" s="36"/>
      <c r="AA1281" s="36"/>
    </row>
    <row r="1282" spans="16:27" x14ac:dyDescent="0.2">
      <c r="P1282" s="36"/>
      <c r="Q1282" s="40"/>
      <c r="R1282" s="40"/>
      <c r="S1282" s="40"/>
      <c r="T1282" s="41"/>
      <c r="U1282" s="41"/>
      <c r="V1282" s="41"/>
      <c r="W1282" s="36"/>
      <c r="X1282" s="36"/>
      <c r="Y1282" s="36"/>
      <c r="Z1282" s="36"/>
      <c r="AA1282" s="36"/>
    </row>
    <row r="1283" spans="16:27" x14ac:dyDescent="0.2">
      <c r="P1283" s="36"/>
      <c r="Q1283" s="40"/>
      <c r="R1283" s="40"/>
      <c r="S1283" s="40"/>
      <c r="T1283" s="41"/>
      <c r="U1283" s="41"/>
      <c r="V1283" s="41"/>
      <c r="W1283" s="36"/>
      <c r="X1283" s="36"/>
      <c r="Y1283" s="36"/>
      <c r="Z1283" s="36"/>
      <c r="AA1283" s="36"/>
    </row>
    <row r="1284" spans="16:27" x14ac:dyDescent="0.2">
      <c r="P1284" s="36"/>
      <c r="Q1284" s="40"/>
      <c r="R1284" s="40"/>
      <c r="S1284" s="40"/>
      <c r="T1284" s="41"/>
      <c r="U1284" s="41"/>
      <c r="V1284" s="41"/>
      <c r="W1284" s="36"/>
      <c r="X1284" s="36"/>
      <c r="Y1284" s="36"/>
      <c r="Z1284" s="36"/>
      <c r="AA1284" s="36"/>
    </row>
    <row r="1285" spans="16:27" x14ac:dyDescent="0.2">
      <c r="P1285" s="36"/>
      <c r="Q1285" s="40"/>
      <c r="R1285" s="40"/>
      <c r="S1285" s="40"/>
      <c r="T1285" s="41"/>
      <c r="U1285" s="41"/>
      <c r="V1285" s="41"/>
      <c r="W1285" s="36"/>
      <c r="X1285" s="36"/>
      <c r="Y1285" s="36"/>
      <c r="Z1285" s="36"/>
      <c r="AA1285" s="36"/>
    </row>
    <row r="1286" spans="16:27" x14ac:dyDescent="0.2">
      <c r="P1286" s="36"/>
      <c r="Q1286" s="40"/>
      <c r="R1286" s="40"/>
      <c r="S1286" s="40"/>
      <c r="T1286" s="41"/>
      <c r="U1286" s="41"/>
      <c r="V1286" s="41"/>
      <c r="W1286" s="36"/>
      <c r="X1286" s="36"/>
      <c r="Y1286" s="36"/>
      <c r="Z1286" s="36"/>
      <c r="AA1286" s="36"/>
    </row>
    <row r="1287" spans="16:27" x14ac:dyDescent="0.2">
      <c r="P1287" s="36"/>
      <c r="Q1287" s="40"/>
      <c r="R1287" s="40"/>
      <c r="S1287" s="40"/>
      <c r="T1287" s="41"/>
      <c r="U1287" s="41"/>
      <c r="V1287" s="41"/>
      <c r="W1287" s="36"/>
      <c r="X1287" s="36"/>
      <c r="Y1287" s="36"/>
      <c r="Z1287" s="36"/>
      <c r="AA1287" s="36"/>
    </row>
    <row r="1288" spans="16:27" x14ac:dyDescent="0.2">
      <c r="P1288" s="36"/>
      <c r="Q1288" s="40"/>
      <c r="R1288" s="40"/>
      <c r="S1288" s="40"/>
      <c r="T1288" s="41"/>
      <c r="U1288" s="41"/>
      <c r="V1288" s="41"/>
      <c r="W1288" s="36"/>
      <c r="X1288" s="36"/>
      <c r="Y1288" s="36"/>
      <c r="Z1288" s="36"/>
      <c r="AA1288" s="36"/>
    </row>
    <row r="1289" spans="16:27" x14ac:dyDescent="0.2">
      <c r="P1289" s="36"/>
      <c r="Q1289" s="40"/>
      <c r="R1289" s="40"/>
      <c r="S1289" s="40"/>
      <c r="T1289" s="41"/>
      <c r="U1289" s="41"/>
      <c r="V1289" s="41"/>
      <c r="W1289" s="36"/>
      <c r="X1289" s="36"/>
      <c r="Y1289" s="36"/>
      <c r="Z1289" s="36"/>
      <c r="AA1289" s="36"/>
    </row>
    <row r="1290" spans="16:27" x14ac:dyDescent="0.2">
      <c r="P1290" s="36"/>
      <c r="Q1290" s="40"/>
      <c r="R1290" s="40"/>
      <c r="S1290" s="40"/>
      <c r="T1290" s="41"/>
      <c r="U1290" s="41"/>
      <c r="V1290" s="41"/>
      <c r="W1290" s="36"/>
      <c r="X1290" s="36"/>
      <c r="Y1290" s="36"/>
      <c r="Z1290" s="36"/>
      <c r="AA1290" s="36"/>
    </row>
    <row r="1291" spans="16:27" x14ac:dyDescent="0.2">
      <c r="P1291" s="36"/>
      <c r="Q1291" s="40"/>
      <c r="R1291" s="40"/>
      <c r="S1291" s="40"/>
      <c r="T1291" s="41"/>
      <c r="U1291" s="41"/>
      <c r="V1291" s="41"/>
      <c r="W1291" s="36"/>
      <c r="X1291" s="36"/>
      <c r="Y1291" s="36"/>
      <c r="Z1291" s="36"/>
      <c r="AA1291" s="36"/>
    </row>
    <row r="1292" spans="16:27" x14ac:dyDescent="0.2">
      <c r="P1292" s="36"/>
      <c r="Q1292" s="40"/>
      <c r="R1292" s="40"/>
      <c r="S1292" s="40"/>
      <c r="T1292" s="41"/>
      <c r="U1292" s="41"/>
      <c r="V1292" s="41"/>
      <c r="W1292" s="36"/>
      <c r="X1292" s="36"/>
      <c r="Y1292" s="36"/>
      <c r="Z1292" s="36"/>
      <c r="AA1292" s="36"/>
    </row>
    <row r="1293" spans="16:27" x14ac:dyDescent="0.2">
      <c r="P1293" s="36"/>
      <c r="Q1293" s="40"/>
      <c r="R1293" s="40"/>
      <c r="S1293" s="40"/>
      <c r="T1293" s="41"/>
      <c r="U1293" s="41"/>
      <c r="V1293" s="41"/>
      <c r="W1293" s="36"/>
      <c r="X1293" s="36"/>
      <c r="Y1293" s="36"/>
      <c r="Z1293" s="36"/>
      <c r="AA1293" s="36"/>
    </row>
    <row r="1294" spans="16:27" x14ac:dyDescent="0.2">
      <c r="P1294" s="36"/>
      <c r="Q1294" s="40"/>
      <c r="R1294" s="40"/>
      <c r="S1294" s="40"/>
      <c r="T1294" s="41"/>
      <c r="U1294" s="41"/>
      <c r="V1294" s="41"/>
      <c r="W1294" s="36"/>
      <c r="X1294" s="36"/>
      <c r="Y1294" s="36"/>
      <c r="Z1294" s="36"/>
      <c r="AA1294" s="36"/>
    </row>
    <row r="1295" spans="16:27" x14ac:dyDescent="0.2">
      <c r="P1295" s="36"/>
      <c r="Q1295" s="40"/>
      <c r="R1295" s="40"/>
      <c r="S1295" s="40"/>
      <c r="T1295" s="41"/>
      <c r="U1295" s="41"/>
      <c r="V1295" s="41"/>
      <c r="W1295" s="36"/>
      <c r="X1295" s="36"/>
      <c r="Y1295" s="36"/>
      <c r="Z1295" s="36"/>
      <c r="AA1295" s="36"/>
    </row>
    <row r="1296" spans="16:27" x14ac:dyDescent="0.2">
      <c r="P1296" s="36"/>
      <c r="Q1296" s="40"/>
      <c r="R1296" s="40"/>
      <c r="S1296" s="40"/>
      <c r="T1296" s="41"/>
      <c r="U1296" s="41"/>
      <c r="V1296" s="41"/>
      <c r="W1296" s="36"/>
      <c r="X1296" s="36"/>
      <c r="Y1296" s="36"/>
      <c r="Z1296" s="36"/>
      <c r="AA1296" s="36"/>
    </row>
    <row r="1297" spans="16:27" x14ac:dyDescent="0.2">
      <c r="P1297" s="36"/>
      <c r="Q1297" s="40"/>
      <c r="R1297" s="40"/>
      <c r="S1297" s="40"/>
      <c r="T1297" s="41"/>
      <c r="U1297" s="41"/>
      <c r="V1297" s="41"/>
      <c r="W1297" s="36"/>
      <c r="X1297" s="36"/>
      <c r="Y1297" s="36"/>
      <c r="Z1297" s="36"/>
      <c r="AA1297" s="36"/>
    </row>
    <row r="1298" spans="16:27" x14ac:dyDescent="0.2">
      <c r="P1298" s="36"/>
      <c r="Q1298" s="40"/>
      <c r="R1298" s="40"/>
      <c r="S1298" s="40"/>
      <c r="T1298" s="41"/>
      <c r="U1298" s="41"/>
      <c r="V1298" s="41"/>
      <c r="W1298" s="36"/>
      <c r="X1298" s="36"/>
      <c r="Y1298" s="36"/>
      <c r="Z1298" s="36"/>
      <c r="AA1298" s="36"/>
    </row>
    <row r="1299" spans="16:27" x14ac:dyDescent="0.2">
      <c r="P1299" s="36"/>
      <c r="Q1299" s="40"/>
      <c r="R1299" s="40"/>
      <c r="S1299" s="40"/>
      <c r="T1299" s="41"/>
      <c r="U1299" s="41"/>
      <c r="V1299" s="41"/>
      <c r="W1299" s="36"/>
      <c r="X1299" s="36"/>
      <c r="Y1299" s="36"/>
      <c r="Z1299" s="36"/>
      <c r="AA1299" s="36"/>
    </row>
    <row r="1300" spans="16:27" x14ac:dyDescent="0.2">
      <c r="P1300" s="36"/>
      <c r="Q1300" s="40"/>
      <c r="R1300" s="40"/>
      <c r="S1300" s="40"/>
      <c r="T1300" s="41"/>
      <c r="U1300" s="41"/>
      <c r="V1300" s="41"/>
      <c r="W1300" s="36"/>
      <c r="X1300" s="36"/>
      <c r="Y1300" s="36"/>
      <c r="Z1300" s="36"/>
      <c r="AA1300" s="36"/>
    </row>
    <row r="1301" spans="16:27" x14ac:dyDescent="0.2">
      <c r="P1301" s="36"/>
      <c r="Q1301" s="40"/>
      <c r="R1301" s="40"/>
      <c r="S1301" s="40"/>
      <c r="T1301" s="41"/>
      <c r="U1301" s="41"/>
      <c r="V1301" s="41"/>
      <c r="W1301" s="36"/>
      <c r="X1301" s="36"/>
      <c r="Y1301" s="36"/>
      <c r="Z1301" s="36"/>
      <c r="AA1301" s="36"/>
    </row>
    <row r="1302" spans="16:27" x14ac:dyDescent="0.2">
      <c r="P1302" s="36"/>
      <c r="Q1302" s="40"/>
      <c r="R1302" s="40"/>
      <c r="S1302" s="40"/>
      <c r="T1302" s="41"/>
      <c r="U1302" s="41"/>
      <c r="V1302" s="41"/>
      <c r="W1302" s="36"/>
      <c r="X1302" s="36"/>
      <c r="Y1302" s="36"/>
      <c r="Z1302" s="36"/>
      <c r="AA1302" s="36"/>
    </row>
    <row r="1303" spans="16:27" x14ac:dyDescent="0.2">
      <c r="P1303" s="36"/>
      <c r="Q1303" s="40"/>
      <c r="R1303" s="40"/>
      <c r="S1303" s="40"/>
      <c r="T1303" s="41"/>
      <c r="U1303" s="41"/>
      <c r="V1303" s="41"/>
      <c r="W1303" s="36"/>
      <c r="X1303" s="36"/>
      <c r="Y1303" s="36"/>
      <c r="Z1303" s="36"/>
      <c r="AA1303" s="36"/>
    </row>
    <row r="1304" spans="16:27" x14ac:dyDescent="0.2">
      <c r="P1304" s="36"/>
      <c r="Q1304" s="40"/>
      <c r="R1304" s="40"/>
      <c r="S1304" s="40"/>
      <c r="T1304" s="41"/>
      <c r="U1304" s="41"/>
      <c r="V1304" s="41"/>
      <c r="W1304" s="36"/>
      <c r="X1304" s="36"/>
      <c r="Y1304" s="36"/>
      <c r="Z1304" s="36"/>
      <c r="AA1304" s="36"/>
    </row>
    <row r="1305" spans="16:27" x14ac:dyDescent="0.2">
      <c r="P1305" s="36"/>
      <c r="Q1305" s="40"/>
      <c r="R1305" s="40"/>
      <c r="S1305" s="40"/>
      <c r="T1305" s="41"/>
      <c r="U1305" s="41"/>
      <c r="V1305" s="41"/>
      <c r="W1305" s="36"/>
      <c r="X1305" s="36"/>
      <c r="Y1305" s="36"/>
      <c r="Z1305" s="36"/>
      <c r="AA1305" s="36"/>
    </row>
    <row r="1306" spans="16:27" x14ac:dyDescent="0.2">
      <c r="P1306" s="36"/>
      <c r="Q1306" s="40"/>
      <c r="R1306" s="40"/>
      <c r="S1306" s="40"/>
      <c r="T1306" s="41"/>
      <c r="U1306" s="41"/>
      <c r="V1306" s="41"/>
      <c r="W1306" s="36"/>
      <c r="X1306" s="36"/>
      <c r="Y1306" s="36"/>
      <c r="Z1306" s="36"/>
      <c r="AA1306" s="36"/>
    </row>
    <row r="1307" spans="16:27" x14ac:dyDescent="0.2">
      <c r="P1307" s="36"/>
      <c r="Q1307" s="40"/>
      <c r="R1307" s="40"/>
      <c r="S1307" s="40"/>
      <c r="T1307" s="41"/>
      <c r="U1307" s="41"/>
      <c r="V1307" s="41"/>
      <c r="W1307" s="36"/>
      <c r="X1307" s="36"/>
      <c r="Y1307" s="36"/>
      <c r="Z1307" s="36"/>
      <c r="AA1307" s="36"/>
    </row>
    <row r="1308" spans="16:27" x14ac:dyDescent="0.2">
      <c r="P1308" s="36"/>
      <c r="Q1308" s="40"/>
      <c r="R1308" s="40"/>
      <c r="S1308" s="40"/>
      <c r="T1308" s="41"/>
      <c r="U1308" s="41"/>
      <c r="V1308" s="41"/>
      <c r="W1308" s="36"/>
      <c r="X1308" s="36"/>
      <c r="Y1308" s="36"/>
      <c r="Z1308" s="36"/>
      <c r="AA1308" s="36"/>
    </row>
    <row r="1309" spans="16:27" x14ac:dyDescent="0.2">
      <c r="P1309" s="36"/>
      <c r="Q1309" s="40"/>
      <c r="R1309" s="40"/>
      <c r="S1309" s="40"/>
      <c r="T1309" s="41"/>
      <c r="U1309" s="41"/>
      <c r="V1309" s="41"/>
      <c r="W1309" s="36"/>
      <c r="X1309" s="36"/>
      <c r="Y1309" s="36"/>
      <c r="Z1309" s="36"/>
      <c r="AA1309" s="36"/>
    </row>
    <row r="1310" spans="16:27" x14ac:dyDescent="0.2">
      <c r="P1310" s="36"/>
      <c r="Q1310" s="40"/>
      <c r="R1310" s="40"/>
      <c r="S1310" s="40"/>
      <c r="T1310" s="41"/>
      <c r="U1310" s="41"/>
      <c r="V1310" s="41"/>
      <c r="W1310" s="36"/>
      <c r="X1310" s="36"/>
      <c r="Y1310" s="36"/>
      <c r="Z1310" s="36"/>
      <c r="AA1310" s="36"/>
    </row>
    <row r="1311" spans="16:27" x14ac:dyDescent="0.2">
      <c r="P1311" s="36"/>
      <c r="Q1311" s="40"/>
      <c r="R1311" s="40"/>
      <c r="S1311" s="40"/>
      <c r="T1311" s="41"/>
      <c r="U1311" s="41"/>
      <c r="V1311" s="36"/>
      <c r="W1311" s="36"/>
      <c r="X1311" s="36"/>
      <c r="Y1311" s="36"/>
      <c r="Z1311" s="36"/>
      <c r="AA1311" s="36"/>
    </row>
    <row r="1312" spans="16:27" x14ac:dyDescent="0.2">
      <c r="P1312" s="36"/>
      <c r="Q1312" s="40"/>
      <c r="R1312" s="40"/>
      <c r="S1312" s="40"/>
      <c r="T1312" s="41"/>
      <c r="U1312" s="41"/>
      <c r="V1312" s="36"/>
      <c r="W1312" s="36"/>
      <c r="X1312" s="36"/>
      <c r="Y1312" s="36"/>
      <c r="Z1312" s="36"/>
      <c r="AA1312" s="36"/>
    </row>
    <row r="1313" spans="16:27" x14ac:dyDescent="0.2">
      <c r="P1313" s="36"/>
      <c r="Q1313" s="40"/>
      <c r="R1313" s="40"/>
      <c r="S1313" s="40"/>
      <c r="T1313" s="41"/>
      <c r="U1313" s="41"/>
      <c r="V1313" s="36"/>
      <c r="W1313" s="36"/>
      <c r="X1313" s="36"/>
      <c r="Y1313" s="36"/>
      <c r="Z1313" s="36"/>
      <c r="AA1313" s="36"/>
    </row>
    <row r="1314" spans="16:27" x14ac:dyDescent="0.2">
      <c r="P1314" s="36"/>
      <c r="Q1314" s="40"/>
      <c r="R1314" s="40"/>
      <c r="S1314" s="40"/>
      <c r="T1314" s="41"/>
      <c r="U1314" s="41"/>
      <c r="V1314" s="36"/>
      <c r="W1314" s="36"/>
      <c r="X1314" s="36"/>
      <c r="Y1314" s="36"/>
      <c r="Z1314" s="36"/>
      <c r="AA1314" s="36"/>
    </row>
    <row r="1315" spans="16:27" x14ac:dyDescent="0.2">
      <c r="P1315" s="36"/>
      <c r="Q1315" s="40"/>
      <c r="R1315" s="40"/>
      <c r="S1315" s="40"/>
      <c r="T1315" s="41"/>
      <c r="U1315" s="41"/>
      <c r="V1315" s="36"/>
      <c r="W1315" s="36"/>
      <c r="X1315" s="36"/>
      <c r="Y1315" s="36"/>
      <c r="Z1315" s="36"/>
      <c r="AA1315" s="36"/>
    </row>
    <row r="1316" spans="16:27" x14ac:dyDescent="0.2">
      <c r="P1316" s="36"/>
      <c r="Q1316" s="40"/>
      <c r="R1316" s="40"/>
      <c r="S1316" s="40"/>
      <c r="T1316" s="41"/>
      <c r="U1316" s="41"/>
      <c r="V1316" s="36"/>
      <c r="W1316" s="36"/>
      <c r="X1316" s="36"/>
      <c r="Y1316" s="36"/>
      <c r="Z1316" s="36"/>
      <c r="AA1316" s="36"/>
    </row>
    <row r="1317" spans="16:27" x14ac:dyDescent="0.2">
      <c r="P1317" s="36"/>
      <c r="Q1317" s="40"/>
      <c r="R1317" s="40"/>
      <c r="S1317" s="40"/>
      <c r="T1317" s="41"/>
      <c r="U1317" s="41"/>
      <c r="V1317" s="36"/>
      <c r="W1317" s="36"/>
      <c r="X1317" s="36"/>
      <c r="Y1317" s="36"/>
      <c r="Z1317" s="36"/>
      <c r="AA1317" s="36"/>
    </row>
    <row r="1318" spans="16:27" x14ac:dyDescent="0.2">
      <c r="P1318" s="36"/>
      <c r="Q1318" s="40"/>
      <c r="R1318" s="40"/>
      <c r="S1318" s="40"/>
      <c r="T1318" s="41"/>
      <c r="U1318" s="41"/>
      <c r="V1318" s="36"/>
      <c r="W1318" s="36"/>
      <c r="X1318" s="36"/>
      <c r="Y1318" s="36"/>
      <c r="Z1318" s="36"/>
      <c r="AA1318" s="36"/>
    </row>
    <row r="1319" spans="16:27" x14ac:dyDescent="0.2">
      <c r="P1319" s="36"/>
      <c r="Q1319" s="40"/>
      <c r="R1319" s="40"/>
      <c r="S1319" s="40"/>
      <c r="T1319" s="41"/>
      <c r="U1319" s="41"/>
      <c r="V1319" s="36"/>
      <c r="W1319" s="36"/>
      <c r="X1319" s="36"/>
      <c r="Y1319" s="36"/>
      <c r="Z1319" s="36"/>
      <c r="AA1319" s="36"/>
    </row>
    <row r="1320" spans="16:27" x14ac:dyDescent="0.2">
      <c r="P1320" s="36"/>
      <c r="Q1320" s="40"/>
      <c r="R1320" s="40"/>
      <c r="S1320" s="40"/>
      <c r="T1320" s="41"/>
      <c r="U1320" s="41"/>
      <c r="V1320" s="36"/>
      <c r="W1320" s="36"/>
      <c r="X1320" s="36"/>
      <c r="Y1320" s="36"/>
      <c r="Z1320" s="36"/>
      <c r="AA1320" s="36"/>
    </row>
    <row r="1321" spans="16:27" x14ac:dyDescent="0.2">
      <c r="P1321" s="36"/>
      <c r="Q1321" s="40"/>
      <c r="R1321" s="40"/>
      <c r="S1321" s="40"/>
      <c r="T1321" s="41"/>
      <c r="U1321" s="41"/>
      <c r="V1321" s="36"/>
      <c r="W1321" s="36"/>
      <c r="X1321" s="36"/>
      <c r="Y1321" s="36"/>
      <c r="Z1321" s="36"/>
      <c r="AA1321" s="36"/>
    </row>
    <row r="1322" spans="16:27" x14ac:dyDescent="0.2">
      <c r="P1322" s="36"/>
      <c r="Q1322" s="40"/>
      <c r="R1322" s="40"/>
      <c r="S1322" s="40"/>
      <c r="T1322" s="41"/>
      <c r="U1322" s="41"/>
      <c r="V1322" s="36"/>
      <c r="W1322" s="36"/>
      <c r="X1322" s="36"/>
      <c r="Y1322" s="36"/>
      <c r="Z1322" s="36"/>
      <c r="AA1322" s="36"/>
    </row>
    <row r="1323" spans="16:27" x14ac:dyDescent="0.2">
      <c r="P1323" s="36"/>
      <c r="Q1323" s="40"/>
      <c r="R1323" s="40"/>
      <c r="S1323" s="40"/>
      <c r="T1323" s="41"/>
      <c r="U1323" s="41"/>
      <c r="V1323" s="36"/>
      <c r="W1323" s="36"/>
      <c r="X1323" s="36"/>
      <c r="Y1323" s="36"/>
      <c r="Z1323" s="36"/>
      <c r="AA1323" s="36"/>
    </row>
    <row r="1324" spans="16:27" x14ac:dyDescent="0.2">
      <c r="P1324" s="36"/>
      <c r="Q1324" s="40"/>
      <c r="R1324" s="40"/>
      <c r="S1324" s="40"/>
      <c r="T1324" s="41"/>
      <c r="U1324" s="41"/>
      <c r="V1324" s="36"/>
      <c r="W1324" s="36"/>
      <c r="X1324" s="36"/>
      <c r="Y1324" s="36"/>
      <c r="Z1324" s="36"/>
      <c r="AA1324" s="36"/>
    </row>
    <row r="1325" spans="16:27" x14ac:dyDescent="0.2">
      <c r="P1325" s="36"/>
      <c r="Q1325" s="40"/>
      <c r="R1325" s="40"/>
      <c r="S1325" s="40"/>
      <c r="T1325" s="41"/>
      <c r="U1325" s="41"/>
      <c r="V1325" s="36"/>
      <c r="W1325" s="36"/>
      <c r="X1325" s="36"/>
      <c r="Y1325" s="36"/>
      <c r="Z1325" s="36"/>
      <c r="AA1325" s="36"/>
    </row>
    <row r="1326" spans="16:27" x14ac:dyDescent="0.2">
      <c r="P1326" s="36"/>
      <c r="Q1326" s="40"/>
      <c r="R1326" s="40"/>
      <c r="S1326" s="40"/>
      <c r="T1326" s="41"/>
      <c r="U1326" s="41"/>
      <c r="V1326" s="36"/>
      <c r="W1326" s="36"/>
      <c r="X1326" s="36"/>
      <c r="Y1326" s="36"/>
      <c r="Z1326" s="36"/>
      <c r="AA1326" s="36"/>
    </row>
    <row r="1327" spans="16:27" x14ac:dyDescent="0.2">
      <c r="P1327" s="36"/>
      <c r="Q1327" s="40"/>
      <c r="R1327" s="40"/>
      <c r="S1327" s="40"/>
      <c r="T1327" s="41"/>
      <c r="U1327" s="41"/>
      <c r="V1327" s="36"/>
      <c r="W1327" s="36"/>
      <c r="X1327" s="36"/>
      <c r="Y1327" s="36"/>
      <c r="Z1327" s="36"/>
      <c r="AA1327" s="36"/>
    </row>
    <row r="1328" spans="16:27" x14ac:dyDescent="0.2">
      <c r="P1328" s="36"/>
      <c r="Q1328" s="40"/>
      <c r="R1328" s="40"/>
      <c r="S1328" s="40"/>
      <c r="T1328" s="41"/>
      <c r="U1328" s="41"/>
      <c r="V1328" s="36"/>
      <c r="W1328" s="36"/>
      <c r="X1328" s="36"/>
      <c r="Y1328" s="36"/>
      <c r="Z1328" s="36"/>
      <c r="AA1328" s="36"/>
    </row>
    <row r="1329" spans="16:27" x14ac:dyDescent="0.2">
      <c r="P1329" s="36"/>
      <c r="Q1329" s="40"/>
      <c r="R1329" s="40"/>
      <c r="S1329" s="40"/>
      <c r="T1329" s="41"/>
      <c r="U1329" s="41"/>
      <c r="V1329" s="36"/>
      <c r="W1329" s="36"/>
      <c r="X1329" s="36"/>
      <c r="Y1329" s="36"/>
      <c r="Z1329" s="36"/>
      <c r="AA1329" s="36"/>
    </row>
    <row r="1330" spans="16:27" x14ac:dyDescent="0.2">
      <c r="P1330" s="36"/>
      <c r="Q1330" s="40"/>
      <c r="R1330" s="40"/>
      <c r="S1330" s="40"/>
      <c r="T1330" s="41"/>
      <c r="U1330" s="41"/>
      <c r="V1330" s="36"/>
      <c r="W1330" s="36"/>
      <c r="X1330" s="36"/>
      <c r="Y1330" s="36"/>
      <c r="Z1330" s="36"/>
      <c r="AA1330" s="36"/>
    </row>
    <row r="1331" spans="16:27" x14ac:dyDescent="0.2">
      <c r="P1331" s="36"/>
      <c r="Q1331" s="40"/>
      <c r="R1331" s="40"/>
      <c r="S1331" s="40"/>
      <c r="T1331" s="41"/>
      <c r="U1331" s="41"/>
      <c r="V1331" s="36"/>
      <c r="W1331" s="36"/>
      <c r="X1331" s="36"/>
      <c r="Y1331" s="36"/>
      <c r="Z1331" s="36"/>
      <c r="AA1331" s="36"/>
    </row>
    <row r="1332" spans="16:27" x14ac:dyDescent="0.2">
      <c r="P1332" s="36"/>
      <c r="Q1332" s="40"/>
      <c r="R1332" s="40"/>
      <c r="S1332" s="40"/>
      <c r="T1332" s="41"/>
      <c r="U1332" s="41"/>
      <c r="V1332" s="36"/>
      <c r="W1332" s="36"/>
      <c r="X1332" s="36"/>
      <c r="Y1332" s="36"/>
      <c r="Z1332" s="36"/>
      <c r="AA1332" s="36"/>
    </row>
    <row r="1333" spans="16:27" x14ac:dyDescent="0.2">
      <c r="P1333" s="36"/>
      <c r="Q1333" s="40"/>
      <c r="R1333" s="40"/>
      <c r="S1333" s="40"/>
      <c r="T1333" s="41"/>
      <c r="U1333" s="41"/>
      <c r="V1333" s="36"/>
      <c r="W1333" s="36"/>
      <c r="X1333" s="36"/>
      <c r="Y1333" s="36"/>
      <c r="Z1333" s="36"/>
      <c r="AA1333" s="36"/>
    </row>
    <row r="1334" spans="16:27" x14ac:dyDescent="0.2">
      <c r="P1334" s="36"/>
      <c r="Q1334" s="40"/>
      <c r="R1334" s="40"/>
      <c r="S1334" s="40"/>
      <c r="T1334" s="41"/>
      <c r="U1334" s="41"/>
      <c r="V1334" s="36"/>
      <c r="W1334" s="36"/>
      <c r="X1334" s="36"/>
      <c r="Y1334" s="36"/>
      <c r="Z1334" s="36"/>
      <c r="AA1334" s="36"/>
    </row>
    <row r="1335" spans="16:27" x14ac:dyDescent="0.2">
      <c r="P1335" s="36"/>
      <c r="Q1335" s="40"/>
      <c r="R1335" s="40"/>
      <c r="S1335" s="40"/>
      <c r="T1335" s="41"/>
      <c r="U1335" s="41"/>
      <c r="V1335" s="36"/>
      <c r="W1335" s="36"/>
      <c r="X1335" s="36"/>
      <c r="Y1335" s="36"/>
      <c r="Z1335" s="36"/>
      <c r="AA1335" s="36"/>
    </row>
    <row r="1336" spans="16:27" x14ac:dyDescent="0.2">
      <c r="P1336" s="36"/>
      <c r="Q1336" s="40"/>
      <c r="R1336" s="40"/>
      <c r="S1336" s="40"/>
      <c r="T1336" s="41"/>
      <c r="U1336" s="41"/>
      <c r="V1336" s="36"/>
      <c r="W1336" s="36"/>
      <c r="X1336" s="36"/>
      <c r="Y1336" s="36"/>
      <c r="Z1336" s="36"/>
      <c r="AA1336" s="36"/>
    </row>
    <row r="1337" spans="16:27" x14ac:dyDescent="0.2">
      <c r="P1337" s="36"/>
      <c r="Q1337" s="40"/>
      <c r="R1337" s="40"/>
      <c r="S1337" s="40"/>
      <c r="T1337" s="41"/>
      <c r="U1337" s="41"/>
      <c r="V1337" s="36"/>
      <c r="W1337" s="36"/>
      <c r="X1337" s="36"/>
      <c r="Y1337" s="36"/>
      <c r="Z1337" s="36"/>
      <c r="AA1337" s="36"/>
    </row>
    <row r="1338" spans="16:27" x14ac:dyDescent="0.2">
      <c r="P1338" s="36"/>
      <c r="Q1338" s="40"/>
      <c r="R1338" s="40"/>
      <c r="S1338" s="40"/>
      <c r="T1338" s="41"/>
      <c r="U1338" s="41"/>
      <c r="V1338" s="36"/>
      <c r="W1338" s="36"/>
      <c r="X1338" s="36"/>
      <c r="Y1338" s="36"/>
      <c r="Z1338" s="36"/>
      <c r="AA1338" s="36"/>
    </row>
    <row r="1339" spans="16:27" x14ac:dyDescent="0.2">
      <c r="P1339" s="36"/>
      <c r="Q1339" s="40"/>
      <c r="R1339" s="40"/>
      <c r="S1339" s="40"/>
      <c r="T1339" s="41"/>
      <c r="U1339" s="41"/>
      <c r="V1339" s="36"/>
      <c r="W1339" s="36"/>
      <c r="X1339" s="36"/>
      <c r="Y1339" s="36"/>
      <c r="Z1339" s="36"/>
      <c r="AA1339" s="36"/>
    </row>
    <row r="1340" spans="16:27" x14ac:dyDescent="0.2">
      <c r="P1340" s="36"/>
      <c r="Q1340" s="40"/>
      <c r="R1340" s="40"/>
      <c r="S1340" s="40"/>
      <c r="T1340" s="41"/>
      <c r="U1340" s="41"/>
      <c r="V1340" s="36"/>
      <c r="W1340" s="36"/>
      <c r="X1340" s="36"/>
      <c r="Y1340" s="36"/>
      <c r="Z1340" s="36"/>
      <c r="AA1340" s="36"/>
    </row>
    <row r="1341" spans="16:27" x14ac:dyDescent="0.2">
      <c r="P1341" s="36"/>
      <c r="Q1341" s="40"/>
      <c r="R1341" s="40"/>
      <c r="S1341" s="40"/>
      <c r="T1341" s="41"/>
      <c r="U1341" s="41"/>
      <c r="V1341" s="36"/>
      <c r="W1341" s="36"/>
      <c r="X1341" s="36"/>
      <c r="Y1341" s="36"/>
      <c r="Z1341" s="36"/>
      <c r="AA1341" s="36"/>
    </row>
    <row r="1342" spans="16:27" x14ac:dyDescent="0.2">
      <c r="P1342" s="36"/>
      <c r="Q1342" s="40"/>
      <c r="R1342" s="40"/>
      <c r="S1342" s="40"/>
      <c r="T1342" s="41"/>
      <c r="U1342" s="41"/>
      <c r="V1342" s="36"/>
      <c r="W1342" s="36"/>
      <c r="X1342" s="36"/>
      <c r="Y1342" s="36"/>
      <c r="Z1342" s="36"/>
      <c r="AA1342" s="36"/>
    </row>
    <row r="1343" spans="16:27" x14ac:dyDescent="0.2">
      <c r="P1343" s="36"/>
      <c r="Q1343" s="40"/>
      <c r="R1343" s="40"/>
      <c r="S1343" s="40"/>
      <c r="T1343" s="41"/>
      <c r="U1343" s="41"/>
      <c r="V1343" s="36"/>
      <c r="W1343" s="36"/>
      <c r="X1343" s="36"/>
      <c r="Y1343" s="36"/>
      <c r="Z1343" s="36"/>
      <c r="AA1343" s="36"/>
    </row>
    <row r="1344" spans="16:27" x14ac:dyDescent="0.2">
      <c r="P1344" s="36"/>
      <c r="Q1344" s="40"/>
      <c r="R1344" s="40"/>
      <c r="S1344" s="40"/>
      <c r="T1344" s="41"/>
      <c r="U1344" s="41"/>
      <c r="V1344" s="36"/>
      <c r="W1344" s="36"/>
      <c r="X1344" s="36"/>
      <c r="Y1344" s="36"/>
      <c r="Z1344" s="36"/>
      <c r="AA1344" s="36"/>
    </row>
    <row r="1345" spans="16:27" x14ac:dyDescent="0.2">
      <c r="P1345" s="36"/>
      <c r="Q1345" s="40"/>
      <c r="R1345" s="40"/>
      <c r="S1345" s="40"/>
      <c r="T1345" s="41"/>
      <c r="U1345" s="41"/>
      <c r="V1345" s="36"/>
      <c r="W1345" s="36"/>
      <c r="X1345" s="36"/>
      <c r="Y1345" s="36"/>
      <c r="Z1345" s="36"/>
      <c r="AA1345" s="36"/>
    </row>
    <row r="1346" spans="16:27" x14ac:dyDescent="0.2">
      <c r="P1346" s="36"/>
      <c r="Q1346" s="40"/>
      <c r="R1346" s="40"/>
      <c r="S1346" s="40"/>
      <c r="T1346" s="41"/>
      <c r="U1346" s="41"/>
      <c r="V1346" s="36"/>
      <c r="W1346" s="36"/>
      <c r="X1346" s="36"/>
      <c r="Y1346" s="36"/>
      <c r="Z1346" s="36"/>
      <c r="AA1346" s="36"/>
    </row>
    <row r="1347" spans="16:27" x14ac:dyDescent="0.2">
      <c r="P1347" s="36"/>
      <c r="Q1347" s="40"/>
      <c r="R1347" s="40"/>
      <c r="S1347" s="40"/>
      <c r="T1347" s="41"/>
      <c r="U1347" s="41"/>
      <c r="V1347" s="36"/>
      <c r="W1347" s="36"/>
      <c r="X1347" s="36"/>
      <c r="Y1347" s="36"/>
      <c r="Z1347" s="36"/>
      <c r="AA1347" s="36"/>
    </row>
    <row r="1348" spans="16:27" x14ac:dyDescent="0.2">
      <c r="P1348" s="36"/>
      <c r="Q1348" s="40"/>
      <c r="R1348" s="40"/>
      <c r="S1348" s="40"/>
      <c r="T1348" s="41"/>
      <c r="U1348" s="41"/>
      <c r="V1348" s="36"/>
      <c r="W1348" s="36"/>
      <c r="X1348" s="36"/>
      <c r="Y1348" s="36"/>
      <c r="Z1348" s="36"/>
      <c r="AA1348" s="36"/>
    </row>
    <row r="1349" spans="16:27" x14ac:dyDescent="0.2">
      <c r="P1349" s="36"/>
      <c r="Q1349" s="40"/>
      <c r="R1349" s="40"/>
      <c r="S1349" s="40"/>
      <c r="T1349" s="41"/>
      <c r="U1349" s="41"/>
      <c r="V1349" s="36"/>
      <c r="W1349" s="36"/>
      <c r="X1349" s="36"/>
      <c r="Y1349" s="36"/>
      <c r="Z1349" s="36"/>
      <c r="AA1349" s="36"/>
    </row>
    <row r="1350" spans="16:27" x14ac:dyDescent="0.2">
      <c r="P1350" s="36"/>
      <c r="Q1350" s="40"/>
      <c r="R1350" s="40"/>
      <c r="S1350" s="40"/>
      <c r="T1350" s="41"/>
      <c r="U1350" s="41"/>
      <c r="V1350" s="36"/>
      <c r="W1350" s="36"/>
      <c r="X1350" s="36"/>
      <c r="Y1350" s="36"/>
      <c r="Z1350" s="36"/>
      <c r="AA1350" s="36"/>
    </row>
    <row r="1351" spans="16:27" x14ac:dyDescent="0.2">
      <c r="P1351" s="36"/>
      <c r="Q1351" s="40"/>
      <c r="R1351" s="40"/>
      <c r="S1351" s="40"/>
      <c r="T1351" s="41"/>
      <c r="U1351" s="41"/>
      <c r="V1351" s="36"/>
      <c r="W1351" s="36"/>
      <c r="X1351" s="36"/>
      <c r="Y1351" s="36"/>
      <c r="Z1351" s="36"/>
      <c r="AA1351" s="36"/>
    </row>
    <row r="1352" spans="16:27" x14ac:dyDescent="0.2">
      <c r="P1352" s="36"/>
      <c r="Q1352" s="40"/>
      <c r="R1352" s="40"/>
      <c r="S1352" s="40"/>
      <c r="T1352" s="41"/>
      <c r="U1352" s="41"/>
      <c r="V1352" s="36"/>
      <c r="W1352" s="36"/>
      <c r="X1352" s="36"/>
      <c r="Y1352" s="36"/>
      <c r="Z1352" s="36"/>
      <c r="AA1352" s="36"/>
    </row>
    <row r="1353" spans="16:27" x14ac:dyDescent="0.2">
      <c r="P1353" s="36"/>
      <c r="Q1353" s="40"/>
      <c r="R1353" s="40"/>
      <c r="S1353" s="40"/>
      <c r="T1353" s="41"/>
      <c r="U1353" s="41"/>
      <c r="V1353" s="36"/>
      <c r="W1353" s="36"/>
      <c r="X1353" s="36"/>
      <c r="Y1353" s="36"/>
      <c r="Z1353" s="36"/>
      <c r="AA1353" s="36"/>
    </row>
    <row r="1354" spans="16:27" x14ac:dyDescent="0.2">
      <c r="P1354" s="36"/>
      <c r="Q1354" s="40"/>
      <c r="R1354" s="40"/>
      <c r="S1354" s="40"/>
      <c r="T1354" s="41"/>
      <c r="U1354" s="41"/>
      <c r="V1354" s="36"/>
      <c r="W1354" s="36"/>
      <c r="X1354" s="36"/>
      <c r="Y1354" s="36"/>
      <c r="Z1354" s="36"/>
      <c r="AA1354" s="36"/>
    </row>
    <row r="1355" spans="16:27" x14ac:dyDescent="0.2">
      <c r="P1355" s="36"/>
      <c r="Q1355" s="40"/>
      <c r="R1355" s="40"/>
      <c r="S1355" s="40"/>
      <c r="T1355" s="41"/>
      <c r="U1355" s="41"/>
      <c r="V1355" s="36"/>
      <c r="W1355" s="36"/>
      <c r="X1355" s="36"/>
      <c r="Y1355" s="36"/>
      <c r="Z1355" s="36"/>
      <c r="AA1355" s="36"/>
    </row>
    <row r="1356" spans="16:27" x14ac:dyDescent="0.2">
      <c r="P1356" s="36"/>
      <c r="Q1356" s="40"/>
      <c r="R1356" s="40"/>
      <c r="S1356" s="40"/>
      <c r="T1356" s="41"/>
      <c r="U1356" s="41"/>
      <c r="V1356" s="36"/>
      <c r="W1356" s="36"/>
      <c r="X1356" s="36"/>
      <c r="Y1356" s="36"/>
      <c r="Z1356" s="36"/>
      <c r="AA1356" s="36"/>
    </row>
    <row r="1357" spans="16:27" x14ac:dyDescent="0.2">
      <c r="P1357" s="36"/>
      <c r="Q1357" s="40"/>
      <c r="R1357" s="40"/>
      <c r="S1357" s="40"/>
      <c r="T1357" s="41"/>
      <c r="U1357" s="41"/>
      <c r="V1357" s="36"/>
      <c r="W1357" s="36"/>
      <c r="X1357" s="36"/>
      <c r="Y1357" s="36"/>
      <c r="Z1357" s="36"/>
      <c r="AA1357" s="36"/>
    </row>
    <row r="1358" spans="16:27" x14ac:dyDescent="0.2">
      <c r="P1358" s="36"/>
      <c r="Q1358" s="40"/>
      <c r="R1358" s="40"/>
      <c r="S1358" s="40"/>
      <c r="T1358" s="41"/>
      <c r="U1358" s="41"/>
      <c r="V1358" s="36"/>
      <c r="W1358" s="36"/>
      <c r="X1358" s="36"/>
      <c r="Y1358" s="36"/>
      <c r="Z1358" s="36"/>
      <c r="AA1358" s="36"/>
    </row>
    <row r="1359" spans="16:27" x14ac:dyDescent="0.2">
      <c r="P1359" s="36"/>
      <c r="Q1359" s="40"/>
      <c r="R1359" s="40"/>
      <c r="S1359" s="40"/>
      <c r="T1359" s="41"/>
      <c r="U1359" s="41"/>
      <c r="V1359" s="36"/>
      <c r="W1359" s="36"/>
      <c r="X1359" s="36"/>
      <c r="Y1359" s="36"/>
      <c r="Z1359" s="36"/>
      <c r="AA1359" s="36"/>
    </row>
    <row r="1360" spans="16:27" x14ac:dyDescent="0.2">
      <c r="P1360" s="36"/>
      <c r="Q1360" s="40"/>
      <c r="R1360" s="40"/>
      <c r="S1360" s="40"/>
      <c r="T1360" s="41"/>
      <c r="U1360" s="41"/>
      <c r="V1360" s="36"/>
      <c r="W1360" s="36"/>
      <c r="X1360" s="36"/>
      <c r="Y1360" s="36"/>
      <c r="Z1360" s="36"/>
      <c r="AA1360" s="36"/>
    </row>
    <row r="1361" spans="16:27" x14ac:dyDescent="0.2">
      <c r="P1361" s="36"/>
      <c r="Q1361" s="40"/>
      <c r="R1361" s="40"/>
      <c r="S1361" s="40"/>
      <c r="T1361" s="41"/>
      <c r="U1361" s="41"/>
      <c r="V1361" s="36"/>
      <c r="W1361" s="36"/>
      <c r="X1361" s="36"/>
      <c r="Y1361" s="36"/>
      <c r="Z1361" s="36"/>
      <c r="AA1361" s="36"/>
    </row>
    <row r="1362" spans="16:27" x14ac:dyDescent="0.2">
      <c r="P1362" s="36"/>
      <c r="Q1362" s="40"/>
      <c r="R1362" s="40"/>
      <c r="S1362" s="40"/>
      <c r="T1362" s="41"/>
      <c r="U1362" s="41"/>
      <c r="V1362" s="36"/>
      <c r="W1362" s="36"/>
      <c r="X1362" s="36"/>
      <c r="Y1362" s="36"/>
      <c r="Z1362" s="36"/>
      <c r="AA1362" s="36"/>
    </row>
    <row r="1363" spans="16:27" x14ac:dyDescent="0.2">
      <c r="P1363" s="36"/>
      <c r="Q1363" s="40"/>
      <c r="R1363" s="40"/>
      <c r="S1363" s="40"/>
      <c r="T1363" s="41"/>
      <c r="U1363" s="41"/>
      <c r="V1363" s="36"/>
      <c r="W1363" s="36"/>
      <c r="X1363" s="36"/>
      <c r="Y1363" s="36"/>
      <c r="Z1363" s="36"/>
      <c r="AA1363" s="36"/>
    </row>
    <row r="1364" spans="16:27" x14ac:dyDescent="0.2">
      <c r="P1364" s="36"/>
      <c r="Q1364" s="40"/>
      <c r="R1364" s="40"/>
      <c r="S1364" s="40"/>
      <c r="T1364" s="41"/>
      <c r="U1364" s="41"/>
      <c r="V1364" s="36"/>
      <c r="W1364" s="36"/>
      <c r="X1364" s="36"/>
      <c r="Y1364" s="36"/>
      <c r="Z1364" s="36"/>
      <c r="AA1364" s="36"/>
    </row>
    <row r="1365" spans="16:27" x14ac:dyDescent="0.2">
      <c r="P1365" s="36"/>
      <c r="Q1365" s="40"/>
      <c r="R1365" s="40"/>
      <c r="S1365" s="40"/>
      <c r="T1365" s="41"/>
      <c r="U1365" s="41"/>
      <c r="V1365" s="36"/>
      <c r="W1365" s="36"/>
      <c r="X1365" s="36"/>
      <c r="Y1365" s="36"/>
      <c r="Z1365" s="36"/>
      <c r="AA1365" s="36"/>
    </row>
    <row r="1366" spans="16:27" x14ac:dyDescent="0.2">
      <c r="P1366" s="36"/>
      <c r="Q1366" s="40"/>
      <c r="R1366" s="40"/>
      <c r="S1366" s="40"/>
      <c r="T1366" s="41"/>
      <c r="U1366" s="41"/>
      <c r="V1366" s="36"/>
      <c r="W1366" s="36"/>
      <c r="X1366" s="36"/>
      <c r="Y1366" s="36"/>
      <c r="Z1366" s="36"/>
      <c r="AA1366" s="36"/>
    </row>
    <row r="1367" spans="16:27" x14ac:dyDescent="0.2">
      <c r="P1367" s="36"/>
      <c r="Q1367" s="40"/>
      <c r="R1367" s="40"/>
      <c r="S1367" s="40"/>
      <c r="T1367" s="41"/>
      <c r="U1367" s="41"/>
      <c r="V1367" s="36"/>
      <c r="W1367" s="36"/>
      <c r="X1367" s="36"/>
      <c r="Y1367" s="36"/>
      <c r="Z1367" s="36"/>
      <c r="AA1367" s="36"/>
    </row>
    <row r="1368" spans="16:27" x14ac:dyDescent="0.2">
      <c r="P1368" s="36"/>
      <c r="Q1368" s="40"/>
      <c r="R1368" s="40"/>
      <c r="S1368" s="40"/>
      <c r="T1368" s="41"/>
      <c r="U1368" s="41"/>
      <c r="V1368" s="36"/>
      <c r="W1368" s="36"/>
      <c r="X1368" s="36"/>
      <c r="Y1368" s="36"/>
      <c r="Z1368" s="36"/>
      <c r="AA1368" s="36"/>
    </row>
    <row r="1369" spans="16:27" x14ac:dyDescent="0.2">
      <c r="P1369" s="36"/>
      <c r="Q1369" s="40"/>
      <c r="R1369" s="40"/>
      <c r="S1369" s="40"/>
      <c r="T1369" s="41"/>
      <c r="U1369" s="41"/>
      <c r="V1369" s="36"/>
      <c r="W1369" s="36"/>
      <c r="X1369" s="36"/>
      <c r="Y1369" s="36"/>
      <c r="Z1369" s="36"/>
      <c r="AA1369" s="36"/>
    </row>
    <row r="1370" spans="16:27" x14ac:dyDescent="0.2">
      <c r="P1370" s="36"/>
      <c r="Q1370" s="40"/>
      <c r="R1370" s="40"/>
      <c r="S1370" s="40"/>
      <c r="T1370" s="41"/>
      <c r="U1370" s="41"/>
      <c r="V1370" s="36"/>
      <c r="W1370" s="36"/>
      <c r="X1370" s="36"/>
      <c r="Y1370" s="36"/>
      <c r="Z1370" s="36"/>
      <c r="AA1370" s="36"/>
    </row>
    <row r="1371" spans="16:27" x14ac:dyDescent="0.2">
      <c r="P1371" s="36"/>
      <c r="Q1371" s="40"/>
      <c r="R1371" s="40"/>
      <c r="S1371" s="40"/>
      <c r="T1371" s="41"/>
      <c r="U1371" s="41"/>
      <c r="V1371" s="36"/>
      <c r="W1371" s="36"/>
      <c r="X1371" s="36"/>
      <c r="Y1371" s="36"/>
      <c r="Z1371" s="36"/>
      <c r="AA1371" s="36"/>
    </row>
    <row r="1372" spans="16:27" x14ac:dyDescent="0.2">
      <c r="P1372" s="36"/>
      <c r="Q1372" s="40"/>
      <c r="R1372" s="40"/>
      <c r="S1372" s="40"/>
      <c r="T1372" s="41"/>
      <c r="U1372" s="41"/>
      <c r="V1372" s="36"/>
      <c r="W1372" s="36"/>
      <c r="X1372" s="36"/>
      <c r="Y1372" s="36"/>
      <c r="Z1372" s="36"/>
      <c r="AA1372" s="36"/>
    </row>
    <row r="1373" spans="16:27" x14ac:dyDescent="0.2">
      <c r="P1373" s="36"/>
      <c r="Q1373" s="40"/>
      <c r="R1373" s="40"/>
      <c r="S1373" s="40"/>
      <c r="T1373" s="41"/>
      <c r="U1373" s="41"/>
      <c r="V1373" s="36"/>
      <c r="W1373" s="36"/>
      <c r="X1373" s="36"/>
      <c r="Y1373" s="36"/>
      <c r="Z1373" s="36"/>
      <c r="AA1373" s="36"/>
    </row>
    <row r="1374" spans="16:27" x14ac:dyDescent="0.2">
      <c r="P1374" s="36"/>
      <c r="Q1374" s="40"/>
      <c r="R1374" s="40"/>
      <c r="S1374" s="40"/>
      <c r="T1374" s="41"/>
      <c r="U1374" s="41"/>
      <c r="V1374" s="36"/>
      <c r="W1374" s="36"/>
      <c r="X1374" s="36"/>
      <c r="Y1374" s="36"/>
      <c r="Z1374" s="36"/>
      <c r="AA1374" s="36"/>
    </row>
    <row r="1375" spans="16:27" x14ac:dyDescent="0.2">
      <c r="P1375" s="36"/>
      <c r="Q1375" s="36"/>
      <c r="R1375" s="36"/>
      <c r="S1375" s="36"/>
      <c r="T1375" s="36"/>
      <c r="U1375" s="36"/>
      <c r="V1375" s="36"/>
      <c r="W1375" s="36"/>
      <c r="X1375" s="36"/>
      <c r="Y1375" s="36"/>
      <c r="Z1375" s="36"/>
      <c r="AA1375" s="36"/>
    </row>
    <row r="1376" spans="16:27" x14ac:dyDescent="0.2">
      <c r="P1376" s="36"/>
      <c r="Q1376" s="36"/>
      <c r="R1376" s="36"/>
      <c r="S1376" s="36"/>
      <c r="T1376" s="36"/>
      <c r="U1376" s="36"/>
      <c r="V1376" s="36"/>
      <c r="W1376" s="36"/>
      <c r="X1376" s="36"/>
      <c r="Y1376" s="36"/>
      <c r="Z1376" s="36"/>
      <c r="AA1376" s="36"/>
    </row>
    <row r="1377" spans="16:27" x14ac:dyDescent="0.2">
      <c r="P1377" s="36"/>
      <c r="Q1377" s="36"/>
      <c r="R1377" s="36"/>
      <c r="S1377" s="36"/>
      <c r="T1377" s="36"/>
      <c r="U1377" s="36"/>
      <c r="V1377" s="36"/>
      <c r="W1377" s="36"/>
      <c r="X1377" s="36"/>
      <c r="Y1377" s="36"/>
      <c r="Z1377" s="36"/>
      <c r="AA1377" s="36"/>
    </row>
    <row r="1378" spans="16:27" x14ac:dyDescent="0.2">
      <c r="P1378" s="36"/>
      <c r="Q1378" s="36"/>
      <c r="R1378" s="36"/>
      <c r="S1378" s="36"/>
      <c r="T1378" s="36"/>
      <c r="U1378" s="36"/>
      <c r="V1378" s="36"/>
      <c r="W1378" s="36"/>
      <c r="X1378" s="36"/>
      <c r="Y1378" s="36"/>
      <c r="Z1378" s="36"/>
      <c r="AA1378" s="36"/>
    </row>
    <row r="1379" spans="16:27" x14ac:dyDescent="0.2">
      <c r="P1379" s="36"/>
      <c r="Q1379" s="36"/>
      <c r="R1379" s="36"/>
      <c r="S1379" s="36"/>
      <c r="T1379" s="36"/>
      <c r="U1379" s="36"/>
      <c r="V1379" s="36"/>
      <c r="W1379" s="36"/>
      <c r="X1379" s="36"/>
      <c r="Y1379" s="36"/>
      <c r="Z1379" s="36"/>
      <c r="AA1379" s="36"/>
    </row>
    <row r="1380" spans="16:27" x14ac:dyDescent="0.2">
      <c r="P1380" s="36"/>
      <c r="Q1380" s="36"/>
      <c r="R1380" s="36"/>
      <c r="S1380" s="36"/>
      <c r="T1380" s="36"/>
      <c r="U1380" s="36"/>
      <c r="V1380" s="36"/>
      <c r="W1380" s="36"/>
      <c r="X1380" s="36"/>
      <c r="Y1380" s="36"/>
      <c r="Z1380" s="36"/>
      <c r="AA1380" s="36"/>
    </row>
    <row r="1381" spans="16:27" x14ac:dyDescent="0.2">
      <c r="P1381" s="36"/>
      <c r="Q1381" s="36"/>
      <c r="R1381" s="36"/>
      <c r="S1381" s="36"/>
      <c r="T1381" s="36"/>
      <c r="U1381" s="36"/>
      <c r="V1381" s="36"/>
      <c r="W1381" s="36"/>
      <c r="X1381" s="36"/>
      <c r="Y1381" s="36"/>
      <c r="Z1381" s="36"/>
      <c r="AA1381" s="36"/>
    </row>
    <row r="1382" spans="16:27" x14ac:dyDescent="0.2">
      <c r="P1382" s="36"/>
      <c r="Q1382" s="36"/>
      <c r="R1382" s="36"/>
      <c r="S1382" s="36"/>
      <c r="T1382" s="36"/>
      <c r="U1382" s="36"/>
      <c r="V1382" s="36"/>
      <c r="W1382" s="36"/>
      <c r="X1382" s="36"/>
      <c r="Y1382" s="36"/>
      <c r="Z1382" s="36"/>
      <c r="AA1382" s="36"/>
    </row>
    <row r="1383" spans="16:27" x14ac:dyDescent="0.2">
      <c r="P1383" s="36"/>
      <c r="Q1383" s="36"/>
      <c r="R1383" s="36"/>
      <c r="S1383" s="36"/>
      <c r="T1383" s="36"/>
      <c r="U1383" s="36"/>
      <c r="V1383" s="36"/>
      <c r="W1383" s="36"/>
      <c r="X1383" s="36"/>
      <c r="Y1383" s="36"/>
      <c r="Z1383" s="36"/>
      <c r="AA1383" s="36"/>
    </row>
    <row r="1384" spans="16:27" x14ac:dyDescent="0.2">
      <c r="P1384" s="36"/>
      <c r="Q1384" s="36"/>
      <c r="R1384" s="36"/>
      <c r="S1384" s="36"/>
      <c r="T1384" s="36"/>
      <c r="U1384" s="36"/>
      <c r="V1384" s="36"/>
      <c r="W1384" s="36"/>
      <c r="X1384" s="36"/>
      <c r="Y1384" s="36"/>
      <c r="Z1384" s="36"/>
      <c r="AA1384" s="36"/>
    </row>
    <row r="1385" spans="16:27" x14ac:dyDescent="0.2">
      <c r="P1385" s="36"/>
      <c r="Q1385" s="36"/>
      <c r="R1385" s="36"/>
      <c r="S1385" s="36"/>
      <c r="T1385" s="36"/>
      <c r="U1385" s="36"/>
      <c r="V1385" s="36"/>
      <c r="W1385" s="36"/>
      <c r="X1385" s="36"/>
      <c r="Y1385" s="36"/>
      <c r="Z1385" s="36"/>
      <c r="AA1385" s="36"/>
    </row>
    <row r="1386" spans="16:27" x14ac:dyDescent="0.2">
      <c r="P1386" s="36"/>
      <c r="Q1386" s="36"/>
      <c r="R1386" s="36"/>
      <c r="S1386" s="36"/>
      <c r="T1386" s="36"/>
      <c r="U1386" s="36"/>
      <c r="V1386" s="36"/>
      <c r="W1386" s="36"/>
      <c r="X1386" s="36"/>
      <c r="Y1386" s="36"/>
      <c r="Z1386" s="36"/>
      <c r="AA1386" s="36"/>
    </row>
    <row r="1387" spans="16:27" x14ac:dyDescent="0.2">
      <c r="P1387" s="36"/>
      <c r="Q1387" s="36"/>
      <c r="R1387" s="36"/>
      <c r="S1387" s="36"/>
      <c r="T1387" s="36"/>
      <c r="U1387" s="36"/>
      <c r="V1387" s="36"/>
      <c r="W1387" s="36"/>
      <c r="X1387" s="36"/>
      <c r="Y1387" s="36"/>
      <c r="Z1387" s="36"/>
      <c r="AA1387" s="36"/>
    </row>
    <row r="1388" spans="16:27" x14ac:dyDescent="0.2">
      <c r="P1388" s="36"/>
      <c r="Q1388" s="36"/>
      <c r="R1388" s="36"/>
      <c r="S1388" s="36"/>
      <c r="T1388" s="36"/>
      <c r="U1388" s="36"/>
      <c r="V1388" s="36"/>
      <c r="W1388" s="36"/>
      <c r="X1388" s="36"/>
      <c r="Y1388" s="36"/>
      <c r="Z1388" s="36"/>
      <c r="AA1388" s="36"/>
    </row>
    <row r="1389" spans="16:27" x14ac:dyDescent="0.2">
      <c r="P1389" s="36"/>
      <c r="Q1389" s="36"/>
      <c r="R1389" s="36"/>
      <c r="S1389" s="36"/>
      <c r="T1389" s="36"/>
      <c r="U1389" s="36"/>
      <c r="V1389" s="36"/>
      <c r="W1389" s="36"/>
      <c r="X1389" s="36"/>
      <c r="Y1389" s="36"/>
      <c r="Z1389" s="36"/>
      <c r="AA1389" s="36"/>
    </row>
    <row r="1390" spans="16:27" x14ac:dyDescent="0.2">
      <c r="P1390" s="36"/>
      <c r="Q1390" s="36"/>
      <c r="R1390" s="36"/>
      <c r="S1390" s="36"/>
      <c r="T1390" s="36"/>
      <c r="U1390" s="36"/>
      <c r="V1390" s="36"/>
      <c r="W1390" s="36"/>
      <c r="X1390" s="36"/>
      <c r="Y1390" s="36"/>
      <c r="Z1390" s="36"/>
      <c r="AA1390" s="36"/>
    </row>
    <row r="1391" spans="16:27" x14ac:dyDescent="0.2">
      <c r="P1391" s="36"/>
      <c r="Q1391" s="36"/>
      <c r="R1391" s="36"/>
      <c r="S1391" s="36"/>
      <c r="T1391" s="36"/>
      <c r="U1391" s="36"/>
      <c r="V1391" s="36"/>
      <c r="W1391" s="36"/>
      <c r="X1391" s="36"/>
      <c r="Y1391" s="36"/>
      <c r="Z1391" s="36"/>
      <c r="AA1391" s="36"/>
    </row>
    <row r="1392" spans="16:27" x14ac:dyDescent="0.2">
      <c r="P1392" s="36"/>
      <c r="Q1392" s="36"/>
      <c r="R1392" s="36"/>
      <c r="S1392" s="36"/>
      <c r="T1392" s="36"/>
      <c r="U1392" s="36"/>
      <c r="V1392" s="36"/>
      <c r="W1392" s="36"/>
      <c r="X1392" s="36"/>
      <c r="Y1392" s="36"/>
      <c r="Z1392" s="36"/>
      <c r="AA1392" s="36"/>
    </row>
    <row r="1393" spans="16:27" x14ac:dyDescent="0.2">
      <c r="P1393" s="36"/>
      <c r="Q1393" s="36"/>
      <c r="R1393" s="36"/>
      <c r="S1393" s="36"/>
      <c r="T1393" s="36"/>
      <c r="U1393" s="36"/>
      <c r="V1393" s="36"/>
      <c r="W1393" s="36"/>
      <c r="X1393" s="36"/>
      <c r="Y1393" s="36"/>
      <c r="Z1393" s="36"/>
      <c r="AA1393" s="36"/>
    </row>
    <row r="1394" spans="16:27" x14ac:dyDescent="0.2">
      <c r="P1394" s="36"/>
      <c r="Q1394" s="36"/>
      <c r="R1394" s="36"/>
      <c r="S1394" s="36"/>
      <c r="T1394" s="36"/>
      <c r="U1394" s="36"/>
      <c r="V1394" s="36"/>
      <c r="W1394" s="36"/>
      <c r="X1394" s="36"/>
      <c r="Y1394" s="36"/>
      <c r="Z1394" s="36"/>
      <c r="AA1394" s="36"/>
    </row>
    <row r="1395" spans="16:27" x14ac:dyDescent="0.2">
      <c r="P1395" s="36"/>
      <c r="Q1395" s="36"/>
      <c r="R1395" s="36"/>
      <c r="S1395" s="36"/>
      <c r="T1395" s="36"/>
      <c r="U1395" s="36"/>
      <c r="V1395" s="36"/>
      <c r="W1395" s="36"/>
      <c r="X1395" s="36"/>
      <c r="Y1395" s="36"/>
      <c r="Z1395" s="36"/>
      <c r="AA1395" s="36"/>
    </row>
    <row r="1396" spans="16:27" x14ac:dyDescent="0.2">
      <c r="P1396" s="36"/>
      <c r="Q1396" s="36"/>
      <c r="R1396" s="36"/>
      <c r="S1396" s="36"/>
      <c r="T1396" s="36"/>
      <c r="U1396" s="36"/>
      <c r="V1396" s="36"/>
      <c r="W1396" s="36"/>
      <c r="X1396" s="36"/>
      <c r="Y1396" s="36"/>
      <c r="Z1396" s="36"/>
      <c r="AA1396" s="36"/>
    </row>
    <row r="1397" spans="16:27" x14ac:dyDescent="0.2">
      <c r="P1397" s="36"/>
      <c r="Q1397" s="36"/>
      <c r="R1397" s="36"/>
      <c r="S1397" s="36"/>
      <c r="T1397" s="36"/>
      <c r="U1397" s="36"/>
      <c r="V1397" s="36"/>
      <c r="W1397" s="36"/>
      <c r="X1397" s="36"/>
      <c r="Y1397" s="36"/>
      <c r="Z1397" s="36"/>
      <c r="AA1397" s="36"/>
    </row>
    <row r="1398" spans="16:27" x14ac:dyDescent="0.2">
      <c r="P1398" s="36"/>
      <c r="Q1398" s="36"/>
      <c r="R1398" s="36"/>
      <c r="S1398" s="36"/>
      <c r="T1398" s="36"/>
      <c r="U1398" s="36"/>
      <c r="V1398" s="36"/>
      <c r="W1398" s="36"/>
      <c r="X1398" s="36"/>
      <c r="Y1398" s="36"/>
      <c r="Z1398" s="36"/>
      <c r="AA1398" s="36"/>
    </row>
    <row r="1399" spans="16:27" x14ac:dyDescent="0.2">
      <c r="P1399" s="36"/>
      <c r="Q1399" s="36"/>
      <c r="R1399" s="36"/>
      <c r="S1399" s="36"/>
      <c r="T1399" s="36"/>
      <c r="U1399" s="36"/>
      <c r="V1399" s="36"/>
      <c r="W1399" s="36"/>
      <c r="X1399" s="36"/>
      <c r="Y1399" s="36"/>
      <c r="Z1399" s="36"/>
      <c r="AA1399" s="36"/>
    </row>
    <row r="1400" spans="16:27" x14ac:dyDescent="0.2">
      <c r="P1400" s="36"/>
      <c r="Q1400" s="36"/>
      <c r="R1400" s="36"/>
      <c r="S1400" s="36"/>
      <c r="T1400" s="36"/>
      <c r="U1400" s="36"/>
      <c r="V1400" s="36"/>
      <c r="W1400" s="36"/>
      <c r="X1400" s="36"/>
      <c r="Y1400" s="36"/>
      <c r="Z1400" s="36"/>
      <c r="AA1400" s="36"/>
    </row>
    <row r="1401" spans="16:27" x14ac:dyDescent="0.2">
      <c r="P1401" s="36"/>
      <c r="Q1401" s="36"/>
      <c r="R1401" s="36"/>
      <c r="S1401" s="36"/>
      <c r="T1401" s="36"/>
      <c r="U1401" s="36"/>
      <c r="V1401" s="36"/>
      <c r="W1401" s="36"/>
      <c r="X1401" s="36"/>
      <c r="Y1401" s="36"/>
      <c r="Z1401" s="36"/>
      <c r="AA1401" s="36"/>
    </row>
    <row r="1402" spans="16:27" x14ac:dyDescent="0.2">
      <c r="P1402" s="36"/>
      <c r="Q1402" s="36"/>
      <c r="R1402" s="36"/>
      <c r="S1402" s="36"/>
      <c r="T1402" s="36"/>
      <c r="U1402" s="36"/>
      <c r="V1402" s="36"/>
      <c r="W1402" s="36"/>
      <c r="X1402" s="36"/>
      <c r="Y1402" s="36"/>
      <c r="Z1402" s="36"/>
      <c r="AA1402" s="36"/>
    </row>
    <row r="1403" spans="16:27" x14ac:dyDescent="0.2">
      <c r="P1403" s="36"/>
      <c r="Q1403" s="36"/>
      <c r="R1403" s="36"/>
      <c r="S1403" s="36"/>
      <c r="T1403" s="36"/>
      <c r="U1403" s="36"/>
      <c r="V1403" s="36"/>
      <c r="W1403" s="36"/>
      <c r="X1403" s="36"/>
      <c r="Y1403" s="36"/>
      <c r="Z1403" s="36"/>
      <c r="AA1403" s="36"/>
    </row>
    <row r="1404" spans="16:27" x14ac:dyDescent="0.2">
      <c r="P1404" s="36"/>
      <c r="Q1404" s="36"/>
      <c r="R1404" s="36"/>
      <c r="S1404" s="36"/>
      <c r="T1404" s="36"/>
      <c r="U1404" s="36"/>
      <c r="V1404" s="36"/>
      <c r="W1404" s="36"/>
      <c r="X1404" s="36"/>
      <c r="Y1404" s="36"/>
      <c r="Z1404" s="36"/>
      <c r="AA1404" s="36"/>
    </row>
    <row r="1405" spans="16:27" x14ac:dyDescent="0.2">
      <c r="P1405" s="36"/>
      <c r="Q1405" s="36"/>
      <c r="R1405" s="36"/>
      <c r="S1405" s="36"/>
      <c r="T1405" s="36"/>
      <c r="U1405" s="36"/>
      <c r="V1405" s="36"/>
      <c r="W1405" s="36"/>
      <c r="X1405" s="36"/>
      <c r="Y1405" s="36"/>
      <c r="Z1405" s="36"/>
      <c r="AA1405" s="36"/>
    </row>
    <row r="1406" spans="16:27" x14ac:dyDescent="0.2">
      <c r="P1406" s="36"/>
      <c r="Q1406" s="36"/>
      <c r="R1406" s="36"/>
      <c r="S1406" s="36"/>
      <c r="T1406" s="36"/>
      <c r="U1406" s="36"/>
      <c r="V1406" s="36"/>
      <c r="W1406" s="36"/>
      <c r="X1406" s="36"/>
      <c r="Y1406" s="36"/>
      <c r="Z1406" s="36"/>
      <c r="AA1406" s="36"/>
    </row>
    <row r="1407" spans="16:27" x14ac:dyDescent="0.2">
      <c r="P1407" s="36"/>
      <c r="Q1407" s="36"/>
      <c r="R1407" s="36"/>
      <c r="S1407" s="36"/>
      <c r="T1407" s="36"/>
      <c r="U1407" s="36"/>
      <c r="V1407" s="36"/>
      <c r="W1407" s="36"/>
      <c r="X1407" s="36"/>
      <c r="Y1407" s="36"/>
      <c r="Z1407" s="36"/>
      <c r="AA1407" s="36"/>
    </row>
    <row r="1408" spans="16:27" x14ac:dyDescent="0.2">
      <c r="P1408" s="36"/>
      <c r="Q1408" s="36"/>
      <c r="R1408" s="36"/>
      <c r="S1408" s="36"/>
      <c r="T1408" s="36"/>
      <c r="U1408" s="36"/>
      <c r="V1408" s="36"/>
      <c r="W1408" s="36"/>
      <c r="X1408" s="36"/>
      <c r="Y1408" s="36"/>
      <c r="Z1408" s="36"/>
      <c r="AA1408" s="36"/>
    </row>
    <row r="1409" spans="16:27" x14ac:dyDescent="0.2">
      <c r="P1409" s="36"/>
      <c r="Q1409" s="36"/>
      <c r="R1409" s="36"/>
      <c r="S1409" s="36"/>
      <c r="T1409" s="36"/>
      <c r="U1409" s="36"/>
      <c r="V1409" s="36"/>
      <c r="W1409" s="36"/>
      <c r="X1409" s="36"/>
      <c r="Y1409" s="36"/>
      <c r="Z1409" s="36"/>
      <c r="AA1409" s="36"/>
    </row>
    <row r="1410" spans="16:27" x14ac:dyDescent="0.2">
      <c r="P1410" s="36"/>
      <c r="Q1410" s="36"/>
      <c r="R1410" s="36"/>
      <c r="S1410" s="36"/>
      <c r="T1410" s="36"/>
      <c r="U1410" s="36"/>
      <c r="V1410" s="36"/>
      <c r="W1410" s="36"/>
      <c r="X1410" s="36"/>
      <c r="Y1410" s="36"/>
      <c r="Z1410" s="36"/>
      <c r="AA1410" s="36"/>
    </row>
    <row r="1411" spans="16:27" x14ac:dyDescent="0.2">
      <c r="P1411" s="36"/>
      <c r="Q1411" s="36"/>
      <c r="R1411" s="36"/>
      <c r="S1411" s="36"/>
      <c r="T1411" s="36"/>
      <c r="U1411" s="36"/>
      <c r="V1411" s="36"/>
      <c r="W1411" s="36"/>
      <c r="X1411" s="36"/>
      <c r="Y1411" s="36"/>
      <c r="Z1411" s="36"/>
      <c r="AA1411" s="36"/>
    </row>
    <row r="1412" spans="16:27" x14ac:dyDescent="0.2">
      <c r="P1412" s="36"/>
      <c r="Q1412" s="36"/>
      <c r="R1412" s="36"/>
      <c r="S1412" s="36"/>
      <c r="T1412" s="36"/>
      <c r="U1412" s="36"/>
      <c r="V1412" s="36"/>
      <c r="W1412" s="36"/>
      <c r="X1412" s="36"/>
      <c r="Y1412" s="36"/>
      <c r="Z1412" s="36"/>
      <c r="AA1412" s="36"/>
    </row>
    <row r="1413" spans="16:27" x14ac:dyDescent="0.2">
      <c r="P1413" s="36"/>
      <c r="Q1413" s="36"/>
      <c r="R1413" s="36"/>
      <c r="S1413" s="36"/>
      <c r="T1413" s="36"/>
      <c r="U1413" s="36"/>
      <c r="V1413" s="36"/>
      <c r="W1413" s="36"/>
      <c r="X1413" s="36"/>
      <c r="Y1413" s="36"/>
      <c r="Z1413" s="36"/>
      <c r="AA1413" s="36"/>
    </row>
    <row r="1414" spans="16:27" x14ac:dyDescent="0.2">
      <c r="P1414" s="36"/>
      <c r="Q1414" s="36"/>
      <c r="R1414" s="36"/>
      <c r="S1414" s="36"/>
      <c r="T1414" s="36"/>
      <c r="U1414" s="36"/>
      <c r="V1414" s="36"/>
      <c r="W1414" s="36"/>
      <c r="X1414" s="36"/>
      <c r="Y1414" s="36"/>
      <c r="Z1414" s="36"/>
      <c r="AA1414" s="36"/>
    </row>
    <row r="1415" spans="16:27" x14ac:dyDescent="0.2">
      <c r="P1415" s="36"/>
      <c r="Q1415" s="36"/>
      <c r="R1415" s="36"/>
      <c r="S1415" s="36"/>
      <c r="T1415" s="36"/>
      <c r="U1415" s="36"/>
      <c r="V1415" s="36"/>
      <c r="W1415" s="36"/>
      <c r="X1415" s="36"/>
      <c r="Y1415" s="36"/>
      <c r="Z1415" s="36"/>
      <c r="AA1415" s="36"/>
    </row>
    <row r="1416" spans="16:27" x14ac:dyDescent="0.2">
      <c r="P1416" s="36"/>
      <c r="Q1416" s="36"/>
      <c r="R1416" s="36"/>
      <c r="S1416" s="36"/>
      <c r="T1416" s="36"/>
      <c r="U1416" s="36"/>
      <c r="V1416" s="36"/>
      <c r="W1416" s="36"/>
      <c r="X1416" s="36"/>
      <c r="Y1416" s="36"/>
      <c r="Z1416" s="36"/>
      <c r="AA1416" s="36"/>
    </row>
    <row r="1417" spans="16:27" x14ac:dyDescent="0.2">
      <c r="P1417" s="36"/>
      <c r="Q1417" s="36"/>
      <c r="R1417" s="36"/>
      <c r="S1417" s="36"/>
      <c r="T1417" s="36"/>
      <c r="U1417" s="36"/>
      <c r="V1417" s="36"/>
      <c r="W1417" s="36"/>
      <c r="X1417" s="36"/>
      <c r="Y1417" s="36"/>
      <c r="Z1417" s="36"/>
      <c r="AA1417" s="36"/>
    </row>
    <row r="1418" spans="16:27" x14ac:dyDescent="0.2">
      <c r="P1418" s="36"/>
      <c r="Q1418" s="36"/>
      <c r="R1418" s="36"/>
      <c r="S1418" s="36"/>
      <c r="T1418" s="36"/>
      <c r="U1418" s="36"/>
      <c r="V1418" s="36"/>
      <c r="W1418" s="36"/>
      <c r="X1418" s="36"/>
      <c r="Y1418" s="36"/>
      <c r="Z1418" s="36"/>
      <c r="AA1418" s="36"/>
    </row>
    <row r="1419" spans="16:27" x14ac:dyDescent="0.2">
      <c r="P1419" s="36"/>
      <c r="Q1419" s="36"/>
      <c r="R1419" s="36"/>
      <c r="S1419" s="36"/>
      <c r="T1419" s="36"/>
      <c r="U1419" s="36"/>
      <c r="V1419" s="36"/>
      <c r="W1419" s="36"/>
      <c r="X1419" s="36"/>
      <c r="Y1419" s="36"/>
      <c r="Z1419" s="36"/>
      <c r="AA1419" s="36"/>
    </row>
    <row r="1420" spans="16:27" x14ac:dyDescent="0.2">
      <c r="P1420" s="36"/>
      <c r="Q1420" s="36"/>
      <c r="R1420" s="36"/>
      <c r="S1420" s="36"/>
      <c r="T1420" s="36"/>
      <c r="U1420" s="36"/>
      <c r="V1420" s="36"/>
      <c r="W1420" s="36"/>
      <c r="X1420" s="36"/>
      <c r="Y1420" s="36"/>
      <c r="Z1420" s="36"/>
      <c r="AA1420" s="36"/>
    </row>
    <row r="1421" spans="16:27" x14ac:dyDescent="0.2">
      <c r="P1421" s="36"/>
      <c r="Q1421" s="36"/>
      <c r="R1421" s="36"/>
      <c r="S1421" s="36"/>
      <c r="T1421" s="36"/>
      <c r="U1421" s="36"/>
      <c r="V1421" s="36"/>
      <c r="W1421" s="36"/>
      <c r="X1421" s="36"/>
      <c r="Y1421" s="36"/>
      <c r="Z1421" s="36"/>
      <c r="AA1421" s="36"/>
    </row>
    <row r="1422" spans="16:27" x14ac:dyDescent="0.2">
      <c r="P1422" s="36"/>
      <c r="Q1422" s="36"/>
      <c r="R1422" s="36"/>
      <c r="S1422" s="36"/>
      <c r="T1422" s="36"/>
      <c r="U1422" s="36"/>
      <c r="V1422" s="36"/>
      <c r="W1422" s="36"/>
      <c r="X1422" s="36"/>
      <c r="Y1422" s="36"/>
      <c r="Z1422" s="36"/>
      <c r="AA1422" s="36"/>
    </row>
    <row r="1423" spans="16:27" x14ac:dyDescent="0.2">
      <c r="P1423" s="36"/>
      <c r="Q1423" s="36"/>
      <c r="R1423" s="36"/>
      <c r="S1423" s="36"/>
      <c r="T1423" s="36"/>
      <c r="U1423" s="36"/>
      <c r="V1423" s="36"/>
      <c r="W1423" s="36"/>
      <c r="X1423" s="36"/>
      <c r="Y1423" s="36"/>
      <c r="Z1423" s="36"/>
      <c r="AA1423" s="36"/>
    </row>
    <row r="1424" spans="16:27" x14ac:dyDescent="0.2">
      <c r="P1424" s="36"/>
      <c r="Q1424" s="36"/>
      <c r="R1424" s="36"/>
      <c r="S1424" s="36"/>
      <c r="T1424" s="36"/>
      <c r="U1424" s="36"/>
      <c r="V1424" s="36"/>
      <c r="W1424" s="36"/>
      <c r="X1424" s="36"/>
      <c r="Y1424" s="36"/>
      <c r="Z1424" s="36"/>
      <c r="AA1424" s="36"/>
    </row>
    <row r="1425" spans="16:27" x14ac:dyDescent="0.2">
      <c r="P1425" s="36"/>
      <c r="Q1425" s="36"/>
      <c r="R1425" s="36"/>
      <c r="S1425" s="36"/>
      <c r="T1425" s="36"/>
      <c r="U1425" s="36"/>
      <c r="V1425" s="36"/>
      <c r="W1425" s="36"/>
      <c r="X1425" s="36"/>
      <c r="Y1425" s="36"/>
      <c r="Z1425" s="36"/>
      <c r="AA1425" s="36"/>
    </row>
    <row r="1426" spans="16:27" x14ac:dyDescent="0.2">
      <c r="P1426" s="36"/>
      <c r="Q1426" s="36"/>
      <c r="R1426" s="36"/>
      <c r="S1426" s="36"/>
      <c r="T1426" s="36"/>
      <c r="U1426" s="36"/>
      <c r="V1426" s="36"/>
      <c r="W1426" s="36"/>
      <c r="X1426" s="36"/>
      <c r="Y1426" s="36"/>
      <c r="Z1426" s="36"/>
      <c r="AA1426" s="36"/>
    </row>
    <row r="1427" spans="16:27" x14ac:dyDescent="0.2">
      <c r="P1427" s="36"/>
      <c r="Q1427" s="36"/>
      <c r="R1427" s="36"/>
      <c r="S1427" s="36"/>
      <c r="T1427" s="36"/>
      <c r="U1427" s="36"/>
      <c r="V1427" s="36"/>
      <c r="W1427" s="36"/>
      <c r="X1427" s="36"/>
      <c r="Y1427" s="36"/>
      <c r="Z1427" s="36"/>
      <c r="AA1427" s="36"/>
    </row>
    <row r="1428" spans="16:27" x14ac:dyDescent="0.2">
      <c r="P1428" s="36"/>
      <c r="Q1428" s="36"/>
      <c r="R1428" s="36"/>
      <c r="S1428" s="36"/>
      <c r="T1428" s="36"/>
      <c r="U1428" s="36"/>
      <c r="V1428" s="36"/>
      <c r="W1428" s="36"/>
      <c r="X1428" s="36"/>
      <c r="Y1428" s="36"/>
      <c r="Z1428" s="36"/>
      <c r="AA1428" s="36"/>
    </row>
    <row r="1429" spans="16:27" x14ac:dyDescent="0.2">
      <c r="P1429" s="36"/>
      <c r="Q1429" s="36"/>
      <c r="R1429" s="36"/>
      <c r="S1429" s="36"/>
      <c r="T1429" s="36"/>
      <c r="U1429" s="36"/>
      <c r="V1429" s="36"/>
      <c r="W1429" s="36"/>
      <c r="X1429" s="36"/>
      <c r="Y1429" s="36"/>
      <c r="Z1429" s="36"/>
      <c r="AA1429" s="36"/>
    </row>
    <row r="1430" spans="16:27" x14ac:dyDescent="0.2">
      <c r="P1430" s="36"/>
      <c r="Q1430" s="36"/>
      <c r="R1430" s="36"/>
      <c r="S1430" s="36"/>
      <c r="T1430" s="36"/>
      <c r="U1430" s="36"/>
      <c r="V1430" s="36"/>
      <c r="W1430" s="36"/>
      <c r="X1430" s="36"/>
      <c r="Y1430" s="36"/>
      <c r="Z1430" s="36"/>
      <c r="AA1430" s="36"/>
    </row>
    <row r="1431" spans="16:27" x14ac:dyDescent="0.2">
      <c r="P1431" s="36"/>
      <c r="Q1431" s="36"/>
      <c r="R1431" s="36"/>
      <c r="S1431" s="36"/>
      <c r="T1431" s="36"/>
      <c r="U1431" s="36"/>
      <c r="V1431" s="36"/>
      <c r="W1431" s="36"/>
      <c r="X1431" s="36"/>
      <c r="Y1431" s="36"/>
      <c r="Z1431" s="36"/>
      <c r="AA1431" s="36"/>
    </row>
    <row r="1432" spans="16:27" x14ac:dyDescent="0.2">
      <c r="P1432" s="36"/>
      <c r="Q1432" s="36"/>
      <c r="R1432" s="36"/>
      <c r="S1432" s="36"/>
      <c r="T1432" s="36"/>
      <c r="U1432" s="36"/>
      <c r="V1432" s="36"/>
      <c r="W1432" s="36"/>
      <c r="X1432" s="36"/>
      <c r="Y1432" s="36"/>
      <c r="Z1432" s="36"/>
      <c r="AA1432" s="36"/>
    </row>
    <row r="1433" spans="16:27" x14ac:dyDescent="0.2">
      <c r="P1433" s="36"/>
      <c r="Q1433" s="36"/>
      <c r="R1433" s="36"/>
      <c r="S1433" s="36"/>
      <c r="T1433" s="36"/>
      <c r="U1433" s="36"/>
      <c r="V1433" s="36"/>
      <c r="W1433" s="36"/>
      <c r="X1433" s="36"/>
      <c r="Y1433" s="36"/>
      <c r="Z1433" s="36"/>
      <c r="AA1433" s="36"/>
    </row>
    <row r="1434" spans="16:27" x14ac:dyDescent="0.2">
      <c r="P1434" s="36"/>
      <c r="Q1434" s="36"/>
      <c r="R1434" s="36"/>
      <c r="S1434" s="36"/>
      <c r="T1434" s="36"/>
      <c r="U1434" s="36"/>
      <c r="V1434" s="36"/>
      <c r="W1434" s="36"/>
      <c r="X1434" s="36"/>
      <c r="Y1434" s="36"/>
      <c r="Z1434" s="36"/>
      <c r="AA1434" s="36"/>
    </row>
    <row r="1435" spans="16:27" x14ac:dyDescent="0.2">
      <c r="P1435" s="36"/>
      <c r="Q1435" s="36"/>
      <c r="R1435" s="36"/>
      <c r="S1435" s="36"/>
      <c r="T1435" s="36"/>
      <c r="U1435" s="36"/>
      <c r="V1435" s="36"/>
      <c r="W1435" s="36"/>
      <c r="X1435" s="36"/>
      <c r="Y1435" s="36"/>
      <c r="Z1435" s="36"/>
      <c r="AA1435" s="36"/>
    </row>
    <row r="1436" spans="16:27" x14ac:dyDescent="0.2">
      <c r="P1436" s="36"/>
      <c r="Q1436" s="36"/>
      <c r="R1436" s="36"/>
      <c r="S1436" s="36"/>
      <c r="T1436" s="36"/>
      <c r="U1436" s="36"/>
      <c r="V1436" s="36"/>
      <c r="W1436" s="36"/>
      <c r="X1436" s="36"/>
      <c r="Y1436" s="36"/>
      <c r="Z1436" s="36"/>
      <c r="AA1436" s="36"/>
    </row>
    <row r="1437" spans="16:27" x14ac:dyDescent="0.2">
      <c r="P1437" s="36"/>
      <c r="Q1437" s="36"/>
      <c r="R1437" s="36"/>
      <c r="S1437" s="36"/>
      <c r="T1437" s="36"/>
      <c r="U1437" s="36"/>
      <c r="V1437" s="36"/>
      <c r="W1437" s="36"/>
      <c r="X1437" s="36"/>
      <c r="Y1437" s="36"/>
      <c r="Z1437" s="36"/>
      <c r="AA1437" s="36"/>
    </row>
    <row r="1438" spans="16:27" x14ac:dyDescent="0.2">
      <c r="P1438" s="36"/>
      <c r="Q1438" s="36"/>
      <c r="R1438" s="36"/>
      <c r="S1438" s="36"/>
      <c r="T1438" s="36"/>
      <c r="U1438" s="36"/>
      <c r="V1438" s="36"/>
      <c r="W1438" s="36"/>
      <c r="X1438" s="36"/>
      <c r="Y1438" s="36"/>
      <c r="Z1438" s="36"/>
      <c r="AA1438" s="36"/>
    </row>
    <row r="1439" spans="16:27" x14ac:dyDescent="0.2">
      <c r="P1439" s="36"/>
      <c r="Q1439" s="36"/>
      <c r="R1439" s="36"/>
      <c r="S1439" s="36"/>
      <c r="T1439" s="36"/>
      <c r="U1439" s="36"/>
      <c r="V1439" s="36"/>
      <c r="W1439" s="36"/>
      <c r="X1439" s="36"/>
      <c r="Y1439" s="36"/>
      <c r="Z1439" s="36"/>
      <c r="AA1439" s="36"/>
    </row>
    <row r="1440" spans="16:27" x14ac:dyDescent="0.2">
      <c r="P1440" s="36"/>
      <c r="Q1440" s="36"/>
      <c r="R1440" s="36"/>
      <c r="S1440" s="36"/>
      <c r="T1440" s="36"/>
      <c r="U1440" s="36"/>
      <c r="V1440" s="36"/>
      <c r="W1440" s="36"/>
      <c r="X1440" s="36"/>
      <c r="Y1440" s="36"/>
      <c r="Z1440" s="36"/>
      <c r="AA1440" s="36"/>
    </row>
    <row r="1441" spans="16:27" x14ac:dyDescent="0.2">
      <c r="P1441" s="36"/>
      <c r="Q1441" s="36"/>
      <c r="R1441" s="36"/>
      <c r="S1441" s="36"/>
      <c r="T1441" s="36"/>
      <c r="U1441" s="36"/>
      <c r="V1441" s="36"/>
      <c r="W1441" s="36"/>
      <c r="X1441" s="36"/>
      <c r="Y1441" s="36"/>
      <c r="Z1441" s="36"/>
      <c r="AA1441" s="36"/>
    </row>
    <row r="1442" spans="16:27" x14ac:dyDescent="0.2">
      <c r="P1442" s="36"/>
      <c r="Q1442" s="36"/>
      <c r="R1442" s="36"/>
      <c r="S1442" s="36"/>
      <c r="T1442" s="36"/>
      <c r="U1442" s="36"/>
      <c r="V1442" s="36"/>
      <c r="W1442" s="36"/>
      <c r="X1442" s="36"/>
      <c r="Y1442" s="36"/>
      <c r="Z1442" s="36"/>
      <c r="AA1442" s="36"/>
    </row>
    <row r="1443" spans="16:27" x14ac:dyDescent="0.2">
      <c r="P1443" s="36"/>
      <c r="Q1443" s="36"/>
      <c r="R1443" s="36"/>
      <c r="S1443" s="36"/>
      <c r="T1443" s="36"/>
      <c r="U1443" s="36"/>
      <c r="V1443" s="36"/>
      <c r="W1443" s="36"/>
      <c r="X1443" s="36"/>
      <c r="Y1443" s="36"/>
      <c r="Z1443" s="36"/>
      <c r="AA1443" s="36"/>
    </row>
    <row r="1444" spans="16:27" x14ac:dyDescent="0.2">
      <c r="P1444" s="36"/>
      <c r="Q1444" s="36"/>
      <c r="R1444" s="36"/>
      <c r="S1444" s="36"/>
      <c r="T1444" s="36"/>
      <c r="U1444" s="36"/>
      <c r="V1444" s="36"/>
      <c r="W1444" s="36"/>
      <c r="X1444" s="36"/>
      <c r="Y1444" s="36"/>
      <c r="Z1444" s="36"/>
      <c r="AA1444" s="36"/>
    </row>
    <row r="1445" spans="16:27" x14ac:dyDescent="0.2">
      <c r="P1445" s="36"/>
      <c r="Q1445" s="36"/>
      <c r="R1445" s="36"/>
      <c r="S1445" s="36"/>
      <c r="T1445" s="36"/>
      <c r="U1445" s="36"/>
      <c r="V1445" s="36"/>
      <c r="W1445" s="36"/>
      <c r="X1445" s="36"/>
      <c r="Y1445" s="36"/>
      <c r="Z1445" s="36"/>
      <c r="AA1445" s="36"/>
    </row>
    <row r="1446" spans="16:27" x14ac:dyDescent="0.2">
      <c r="P1446" s="36"/>
      <c r="Q1446" s="36"/>
      <c r="R1446" s="36"/>
      <c r="S1446" s="36"/>
      <c r="T1446" s="36"/>
      <c r="U1446" s="36"/>
      <c r="V1446" s="36"/>
      <c r="W1446" s="36"/>
      <c r="X1446" s="36"/>
      <c r="Y1446" s="36"/>
      <c r="Z1446" s="36"/>
      <c r="AA1446" s="36"/>
    </row>
    <row r="1447" spans="16:27" x14ac:dyDescent="0.2">
      <c r="P1447" s="36"/>
      <c r="Q1447" s="36"/>
      <c r="R1447" s="36"/>
      <c r="S1447" s="36"/>
      <c r="T1447" s="36"/>
      <c r="U1447" s="36"/>
      <c r="V1447" s="36"/>
      <c r="W1447" s="36"/>
      <c r="X1447" s="36"/>
      <c r="Y1447" s="36"/>
      <c r="Z1447" s="36"/>
      <c r="AA1447" s="36"/>
    </row>
    <row r="1448" spans="16:27" x14ac:dyDescent="0.2">
      <c r="P1448" s="36"/>
      <c r="Q1448" s="36"/>
      <c r="R1448" s="36"/>
      <c r="S1448" s="36"/>
      <c r="T1448" s="36"/>
      <c r="U1448" s="36"/>
      <c r="V1448" s="36"/>
      <c r="W1448" s="36"/>
      <c r="X1448" s="36"/>
      <c r="Y1448" s="36"/>
      <c r="Z1448" s="36"/>
      <c r="AA1448" s="36"/>
    </row>
    <row r="1449" spans="16:27" x14ac:dyDescent="0.2">
      <c r="P1449" s="36"/>
      <c r="Q1449" s="36"/>
      <c r="R1449" s="36"/>
      <c r="S1449" s="36"/>
      <c r="T1449" s="36"/>
      <c r="U1449" s="36"/>
      <c r="V1449" s="36"/>
      <c r="W1449" s="36"/>
      <c r="X1449" s="36"/>
      <c r="Y1449" s="36"/>
      <c r="Z1449" s="36"/>
      <c r="AA1449" s="36"/>
    </row>
    <row r="1450" spans="16:27" x14ac:dyDescent="0.2">
      <c r="P1450" s="36"/>
      <c r="Q1450" s="36"/>
      <c r="R1450" s="36"/>
      <c r="S1450" s="36"/>
      <c r="T1450" s="36"/>
      <c r="U1450" s="36"/>
      <c r="V1450" s="36"/>
      <c r="W1450" s="36"/>
      <c r="X1450" s="36"/>
      <c r="Y1450" s="36"/>
      <c r="Z1450" s="36"/>
      <c r="AA1450" s="36"/>
    </row>
    <row r="1451" spans="16:27" x14ac:dyDescent="0.2">
      <c r="P1451" s="36"/>
      <c r="Q1451" s="36"/>
      <c r="R1451" s="36"/>
      <c r="S1451" s="36"/>
      <c r="T1451" s="36"/>
      <c r="U1451" s="36"/>
      <c r="V1451" s="36"/>
      <c r="W1451" s="36"/>
      <c r="X1451" s="36"/>
      <c r="Y1451" s="36"/>
      <c r="Z1451" s="36"/>
      <c r="AA1451" s="36"/>
    </row>
    <row r="1452" spans="16:27" x14ac:dyDescent="0.2">
      <c r="P1452" s="36"/>
      <c r="Q1452" s="36"/>
      <c r="R1452" s="36"/>
      <c r="S1452" s="36"/>
      <c r="T1452" s="36"/>
      <c r="U1452" s="36"/>
      <c r="V1452" s="36"/>
      <c r="W1452" s="36"/>
      <c r="X1452" s="36"/>
      <c r="Y1452" s="36"/>
      <c r="Z1452" s="36"/>
      <c r="AA1452" s="36"/>
    </row>
    <row r="1453" spans="16:27" x14ac:dyDescent="0.2">
      <c r="P1453" s="36"/>
      <c r="Q1453" s="36"/>
      <c r="R1453" s="36"/>
      <c r="S1453" s="36"/>
      <c r="T1453" s="36"/>
      <c r="U1453" s="36"/>
      <c r="V1453" s="36"/>
      <c r="W1453" s="36"/>
      <c r="X1453" s="36"/>
      <c r="Y1453" s="36"/>
      <c r="Z1453" s="36"/>
      <c r="AA1453" s="36"/>
    </row>
    <row r="1454" spans="16:27" x14ac:dyDescent="0.2">
      <c r="P1454" s="36"/>
      <c r="Q1454" s="36"/>
      <c r="R1454" s="36"/>
      <c r="S1454" s="36"/>
      <c r="T1454" s="36"/>
      <c r="U1454" s="36"/>
      <c r="V1454" s="36"/>
      <c r="W1454" s="36"/>
      <c r="X1454" s="36"/>
      <c r="Y1454" s="36"/>
      <c r="Z1454" s="36"/>
      <c r="AA1454" s="36"/>
    </row>
    <row r="1455" spans="16:27" x14ac:dyDescent="0.2">
      <c r="P1455" s="36"/>
      <c r="Q1455" s="36"/>
      <c r="R1455" s="36"/>
      <c r="S1455" s="36"/>
      <c r="T1455" s="36"/>
      <c r="U1455" s="36"/>
      <c r="V1455" s="36"/>
      <c r="W1455" s="36"/>
      <c r="X1455" s="36"/>
      <c r="Y1455" s="36"/>
      <c r="Z1455" s="36"/>
      <c r="AA1455" s="36"/>
    </row>
    <row r="1456" spans="16:27" x14ac:dyDescent="0.2">
      <c r="P1456" s="36"/>
      <c r="Q1456" s="36"/>
      <c r="R1456" s="36"/>
      <c r="S1456" s="36"/>
      <c r="T1456" s="36"/>
      <c r="U1456" s="36"/>
      <c r="V1456" s="36"/>
      <c r="W1456" s="36"/>
      <c r="X1456" s="36"/>
      <c r="Y1456" s="36"/>
      <c r="Z1456" s="36"/>
      <c r="AA1456" s="36"/>
    </row>
    <row r="1457" spans="16:27" x14ac:dyDescent="0.2">
      <c r="P1457" s="36"/>
      <c r="Q1457" s="36"/>
      <c r="R1457" s="36"/>
      <c r="S1457" s="36"/>
      <c r="T1457" s="36"/>
      <c r="U1457" s="36"/>
      <c r="V1457" s="36"/>
      <c r="W1457" s="36"/>
      <c r="X1457" s="36"/>
      <c r="Y1457" s="36"/>
      <c r="Z1457" s="36"/>
      <c r="AA1457" s="36"/>
    </row>
    <row r="1458" spans="16:27" x14ac:dyDescent="0.2">
      <c r="P1458" s="36"/>
      <c r="Q1458" s="36"/>
      <c r="R1458" s="36"/>
      <c r="S1458" s="36"/>
      <c r="T1458" s="36"/>
      <c r="U1458" s="36"/>
      <c r="V1458" s="36"/>
      <c r="W1458" s="36"/>
      <c r="X1458" s="36"/>
      <c r="Y1458" s="36"/>
      <c r="Z1458" s="36"/>
      <c r="AA1458" s="36"/>
    </row>
    <row r="1459" spans="16:27" x14ac:dyDescent="0.2">
      <c r="P1459" s="36"/>
      <c r="Q1459" s="36"/>
      <c r="R1459" s="36"/>
      <c r="S1459" s="36"/>
      <c r="T1459" s="36"/>
      <c r="U1459" s="36"/>
      <c r="V1459" s="36"/>
      <c r="W1459" s="36"/>
      <c r="X1459" s="36"/>
      <c r="Y1459" s="36"/>
      <c r="Z1459" s="36"/>
      <c r="AA1459" s="36"/>
    </row>
    <row r="1460" spans="16:27" x14ac:dyDescent="0.2">
      <c r="P1460" s="36"/>
      <c r="Q1460" s="36"/>
      <c r="R1460" s="36"/>
      <c r="S1460" s="36"/>
      <c r="T1460" s="36"/>
      <c r="U1460" s="36"/>
      <c r="V1460" s="36"/>
      <c r="W1460" s="36"/>
      <c r="X1460" s="36"/>
      <c r="Y1460" s="36"/>
      <c r="Z1460" s="36"/>
      <c r="AA1460" s="36"/>
    </row>
    <row r="1461" spans="16:27" x14ac:dyDescent="0.2">
      <c r="P1461" s="36"/>
      <c r="Q1461" s="36"/>
      <c r="R1461" s="36"/>
      <c r="S1461" s="36"/>
      <c r="T1461" s="36"/>
      <c r="U1461" s="36"/>
      <c r="V1461" s="36"/>
      <c r="W1461" s="36"/>
      <c r="X1461" s="36"/>
      <c r="Y1461" s="36"/>
      <c r="Z1461" s="36"/>
      <c r="AA1461" s="36"/>
    </row>
    <row r="1462" spans="16:27" x14ac:dyDescent="0.2">
      <c r="P1462" s="36"/>
      <c r="Q1462" s="36"/>
      <c r="R1462" s="36"/>
      <c r="S1462" s="36"/>
      <c r="T1462" s="36"/>
      <c r="U1462" s="36"/>
      <c r="V1462" s="36"/>
      <c r="W1462" s="36"/>
      <c r="X1462" s="36"/>
      <c r="Y1462" s="36"/>
      <c r="Z1462" s="36"/>
      <c r="AA1462" s="36"/>
    </row>
    <row r="1463" spans="16:27" x14ac:dyDescent="0.2">
      <c r="P1463" s="36"/>
      <c r="Q1463" s="36"/>
      <c r="R1463" s="36"/>
      <c r="S1463" s="36"/>
      <c r="T1463" s="36"/>
      <c r="U1463" s="36"/>
      <c r="V1463" s="36"/>
      <c r="W1463" s="36"/>
      <c r="X1463" s="36"/>
      <c r="Y1463" s="36"/>
      <c r="Z1463" s="36"/>
      <c r="AA1463" s="36"/>
    </row>
    <row r="1464" spans="16:27" x14ac:dyDescent="0.2">
      <c r="P1464" s="36"/>
      <c r="Q1464" s="36"/>
      <c r="R1464" s="36"/>
      <c r="S1464" s="36"/>
      <c r="T1464" s="36"/>
      <c r="U1464" s="36"/>
      <c r="V1464" s="36"/>
      <c r="W1464" s="36"/>
      <c r="X1464" s="36"/>
      <c r="Y1464" s="36"/>
      <c r="Z1464" s="36"/>
      <c r="AA1464" s="36"/>
    </row>
    <row r="1465" spans="16:27" x14ac:dyDescent="0.2">
      <c r="P1465" s="36"/>
      <c r="Q1465" s="36"/>
      <c r="R1465" s="36"/>
      <c r="S1465" s="36"/>
      <c r="T1465" s="36"/>
      <c r="U1465" s="36"/>
      <c r="V1465" s="36"/>
      <c r="W1465" s="36"/>
      <c r="X1465" s="36"/>
      <c r="Y1465" s="36"/>
      <c r="Z1465" s="36"/>
      <c r="AA1465" s="36"/>
    </row>
    <row r="1466" spans="16:27" x14ac:dyDescent="0.2">
      <c r="P1466" s="36"/>
      <c r="Q1466" s="36"/>
      <c r="R1466" s="36"/>
      <c r="S1466" s="36"/>
      <c r="T1466" s="36"/>
      <c r="U1466" s="36"/>
      <c r="V1466" s="36"/>
      <c r="W1466" s="36"/>
      <c r="X1466" s="36"/>
      <c r="Y1466" s="36"/>
      <c r="Z1466" s="36"/>
      <c r="AA1466" s="36"/>
    </row>
    <row r="1467" spans="16:27" x14ac:dyDescent="0.2">
      <c r="P1467" s="36"/>
      <c r="Q1467" s="36"/>
      <c r="R1467" s="36"/>
      <c r="S1467" s="36"/>
      <c r="T1467" s="36"/>
      <c r="U1467" s="36"/>
      <c r="V1467" s="36"/>
      <c r="W1467" s="36"/>
      <c r="X1467" s="36"/>
      <c r="Y1467" s="36"/>
      <c r="Z1467" s="36"/>
      <c r="AA1467" s="36"/>
    </row>
    <row r="1468" spans="16:27" x14ac:dyDescent="0.2">
      <c r="P1468" s="36"/>
      <c r="Q1468" s="36"/>
      <c r="R1468" s="36"/>
      <c r="S1468" s="36"/>
      <c r="T1468" s="36"/>
      <c r="U1468" s="36"/>
      <c r="V1468" s="36"/>
      <c r="W1468" s="36"/>
      <c r="X1468" s="36"/>
      <c r="Y1468" s="36"/>
      <c r="Z1468" s="36"/>
      <c r="AA1468" s="36"/>
    </row>
    <row r="1469" spans="16:27" x14ac:dyDescent="0.2">
      <c r="P1469" s="36"/>
      <c r="Q1469" s="36"/>
      <c r="R1469" s="36"/>
      <c r="S1469" s="36"/>
      <c r="T1469" s="36"/>
      <c r="U1469" s="36"/>
      <c r="V1469" s="36"/>
      <c r="W1469" s="36"/>
      <c r="X1469" s="36"/>
      <c r="Y1469" s="36"/>
      <c r="Z1469" s="36"/>
      <c r="AA1469" s="36"/>
    </row>
    <row r="1470" spans="16:27" x14ac:dyDescent="0.2">
      <c r="P1470" s="36"/>
      <c r="Q1470" s="36"/>
      <c r="R1470" s="36"/>
      <c r="S1470" s="36"/>
      <c r="T1470" s="36"/>
      <c r="U1470" s="36"/>
      <c r="V1470" s="36"/>
      <c r="W1470" s="36"/>
      <c r="X1470" s="36"/>
      <c r="Y1470" s="36"/>
      <c r="Z1470" s="36"/>
      <c r="AA1470" s="36"/>
    </row>
    <row r="1471" spans="16:27" x14ac:dyDescent="0.2">
      <c r="P1471" s="36"/>
      <c r="Q1471" s="36"/>
      <c r="R1471" s="36"/>
      <c r="S1471" s="36"/>
      <c r="T1471" s="36"/>
      <c r="U1471" s="36"/>
      <c r="V1471" s="36"/>
      <c r="W1471" s="36"/>
      <c r="X1471" s="36"/>
      <c r="Y1471" s="36"/>
      <c r="Z1471" s="36"/>
      <c r="AA1471" s="36"/>
    </row>
    <row r="1472" spans="16:27" x14ac:dyDescent="0.2">
      <c r="P1472" s="36"/>
      <c r="Q1472" s="36"/>
      <c r="R1472" s="36"/>
      <c r="S1472" s="36"/>
      <c r="T1472" s="36"/>
      <c r="U1472" s="36"/>
      <c r="V1472" s="36"/>
      <c r="W1472" s="36"/>
      <c r="X1472" s="36"/>
      <c r="Y1472" s="36"/>
      <c r="Z1472" s="36"/>
      <c r="AA1472" s="36"/>
    </row>
    <row r="1473" spans="16:27" x14ac:dyDescent="0.2">
      <c r="P1473" s="36"/>
      <c r="Q1473" s="36"/>
      <c r="R1473" s="36"/>
      <c r="S1473" s="36"/>
      <c r="T1473" s="36"/>
      <c r="U1473" s="36"/>
      <c r="V1473" s="36"/>
      <c r="W1473" s="36"/>
      <c r="X1473" s="36"/>
      <c r="Y1473" s="36"/>
      <c r="Z1473" s="36"/>
      <c r="AA1473" s="36"/>
    </row>
    <row r="1474" spans="16:27" x14ac:dyDescent="0.2">
      <c r="P1474" s="36"/>
      <c r="Q1474" s="36"/>
      <c r="R1474" s="36"/>
      <c r="S1474" s="36"/>
      <c r="T1474" s="36"/>
      <c r="U1474" s="36"/>
      <c r="V1474" s="36"/>
      <c r="W1474" s="36"/>
      <c r="X1474" s="36"/>
      <c r="Y1474" s="36"/>
      <c r="Z1474" s="36"/>
      <c r="AA1474" s="36"/>
    </row>
    <row r="1475" spans="16:27" x14ac:dyDescent="0.2">
      <c r="P1475" s="36"/>
      <c r="Q1475" s="36"/>
      <c r="R1475" s="36"/>
      <c r="S1475" s="36"/>
      <c r="T1475" s="36"/>
      <c r="U1475" s="36"/>
      <c r="V1475" s="36"/>
      <c r="W1475" s="36"/>
      <c r="X1475" s="36"/>
      <c r="Y1475" s="36"/>
      <c r="Z1475" s="36"/>
      <c r="AA1475" s="36"/>
    </row>
    <row r="1476" spans="16:27" x14ac:dyDescent="0.2">
      <c r="P1476" s="36"/>
      <c r="Q1476" s="36"/>
      <c r="R1476" s="36"/>
      <c r="S1476" s="36"/>
      <c r="T1476" s="36"/>
      <c r="U1476" s="36"/>
      <c r="V1476" s="36"/>
      <c r="W1476" s="36"/>
      <c r="X1476" s="36"/>
      <c r="Y1476" s="36"/>
      <c r="Z1476" s="36"/>
      <c r="AA1476" s="36"/>
    </row>
    <row r="1477" spans="16:27" x14ac:dyDescent="0.2">
      <c r="P1477" s="36"/>
      <c r="Q1477" s="36"/>
      <c r="R1477" s="36"/>
      <c r="S1477" s="36"/>
      <c r="T1477" s="36"/>
      <c r="U1477" s="36"/>
      <c r="V1477" s="36"/>
      <c r="W1477" s="36"/>
      <c r="X1477" s="36"/>
      <c r="Y1477" s="36"/>
      <c r="Z1477" s="36"/>
      <c r="AA1477" s="36"/>
    </row>
    <row r="1478" spans="16:27" x14ac:dyDescent="0.2">
      <c r="P1478" s="36"/>
      <c r="Q1478" s="36"/>
      <c r="R1478" s="36"/>
      <c r="S1478" s="36"/>
      <c r="T1478" s="36"/>
      <c r="U1478" s="36"/>
      <c r="V1478" s="36"/>
      <c r="W1478" s="36"/>
      <c r="X1478" s="36"/>
      <c r="Y1478" s="36"/>
      <c r="Z1478" s="36"/>
      <c r="AA1478" s="36"/>
    </row>
    <row r="1479" spans="16:27" x14ac:dyDescent="0.2">
      <c r="P1479" s="36"/>
      <c r="Q1479" s="36"/>
      <c r="R1479" s="36"/>
      <c r="S1479" s="36"/>
      <c r="T1479" s="36"/>
      <c r="U1479" s="36"/>
      <c r="V1479" s="36"/>
      <c r="W1479" s="36"/>
      <c r="X1479" s="36"/>
      <c r="Y1479" s="36"/>
      <c r="Z1479" s="36"/>
      <c r="AA1479" s="36"/>
    </row>
    <row r="1480" spans="16:27" x14ac:dyDescent="0.2">
      <c r="P1480" s="36"/>
      <c r="Q1480" s="36"/>
      <c r="R1480" s="36"/>
      <c r="S1480" s="36"/>
      <c r="T1480" s="36"/>
      <c r="U1480" s="36"/>
      <c r="V1480" s="36"/>
      <c r="W1480" s="36"/>
      <c r="X1480" s="36"/>
      <c r="Y1480" s="36"/>
      <c r="Z1480" s="36"/>
      <c r="AA1480" s="36"/>
    </row>
    <row r="1481" spans="16:27" x14ac:dyDescent="0.2">
      <c r="P1481" s="36"/>
      <c r="Q1481" s="36"/>
      <c r="R1481" s="36"/>
      <c r="S1481" s="36"/>
      <c r="T1481" s="36"/>
      <c r="U1481" s="36"/>
      <c r="V1481" s="36"/>
      <c r="W1481" s="36"/>
      <c r="X1481" s="36"/>
      <c r="Y1481" s="36"/>
      <c r="Z1481" s="36"/>
      <c r="AA1481" s="36"/>
    </row>
    <row r="1482" spans="16:27" x14ac:dyDescent="0.2">
      <c r="P1482" s="36"/>
      <c r="Q1482" s="36"/>
      <c r="R1482" s="36"/>
      <c r="S1482" s="36"/>
      <c r="T1482" s="36"/>
      <c r="U1482" s="36"/>
      <c r="V1482" s="36"/>
      <c r="W1482" s="36"/>
      <c r="X1482" s="36"/>
      <c r="Y1482" s="36"/>
      <c r="Z1482" s="36"/>
      <c r="AA1482" s="36"/>
    </row>
    <row r="1483" spans="16:27" x14ac:dyDescent="0.2">
      <c r="P1483" s="36"/>
      <c r="Q1483" s="36"/>
      <c r="R1483" s="36"/>
      <c r="S1483" s="36"/>
      <c r="T1483" s="36"/>
      <c r="U1483" s="36"/>
      <c r="V1483" s="36"/>
      <c r="W1483" s="36"/>
      <c r="X1483" s="36"/>
      <c r="Y1483" s="36"/>
      <c r="Z1483" s="36"/>
      <c r="AA1483" s="36"/>
    </row>
    <row r="1484" spans="16:27" x14ac:dyDescent="0.2">
      <c r="P1484" s="36"/>
      <c r="Q1484" s="36"/>
      <c r="R1484" s="36"/>
      <c r="S1484" s="36"/>
      <c r="T1484" s="36"/>
      <c r="U1484" s="36"/>
      <c r="V1484" s="36"/>
      <c r="W1484" s="36"/>
      <c r="X1484" s="36"/>
      <c r="Y1484" s="36"/>
      <c r="Z1484" s="36"/>
      <c r="AA1484" s="36"/>
    </row>
    <row r="1485" spans="16:27" x14ac:dyDescent="0.2">
      <c r="P1485" s="36"/>
      <c r="Q1485" s="36"/>
      <c r="R1485" s="36"/>
      <c r="S1485" s="36"/>
      <c r="T1485" s="36"/>
      <c r="U1485" s="36"/>
      <c r="V1485" s="36"/>
      <c r="W1485" s="36"/>
      <c r="X1485" s="36"/>
      <c r="Y1485" s="36"/>
      <c r="Z1485" s="36"/>
      <c r="AA1485" s="36"/>
    </row>
    <row r="1486" spans="16:27" x14ac:dyDescent="0.2">
      <c r="P1486" s="36"/>
      <c r="Q1486" s="36"/>
      <c r="R1486" s="36"/>
      <c r="S1486" s="36"/>
      <c r="T1486" s="36"/>
      <c r="U1486" s="36"/>
      <c r="V1486" s="36"/>
      <c r="W1486" s="36"/>
      <c r="X1486" s="36"/>
      <c r="Y1486" s="36"/>
      <c r="Z1486" s="36"/>
      <c r="AA1486" s="36"/>
    </row>
    <row r="1487" spans="16:27" x14ac:dyDescent="0.2">
      <c r="P1487" s="36"/>
      <c r="Q1487" s="36"/>
      <c r="R1487" s="36"/>
      <c r="S1487" s="36"/>
      <c r="T1487" s="36"/>
      <c r="U1487" s="36"/>
      <c r="V1487" s="36"/>
      <c r="W1487" s="36"/>
      <c r="X1487" s="36"/>
      <c r="Y1487" s="36"/>
      <c r="Z1487" s="36"/>
      <c r="AA1487" s="36"/>
    </row>
    <row r="1488" spans="16:27" x14ac:dyDescent="0.2">
      <c r="P1488" s="36"/>
      <c r="Q1488" s="36"/>
      <c r="R1488" s="36"/>
      <c r="S1488" s="36"/>
      <c r="T1488" s="36"/>
      <c r="U1488" s="36"/>
      <c r="V1488" s="36"/>
      <c r="W1488" s="36"/>
      <c r="X1488" s="36"/>
      <c r="Y1488" s="36"/>
      <c r="Z1488" s="36"/>
      <c r="AA1488" s="36"/>
    </row>
    <row r="1489" spans="16:27" x14ac:dyDescent="0.2">
      <c r="P1489" s="36"/>
      <c r="Q1489" s="36"/>
      <c r="R1489" s="36"/>
      <c r="S1489" s="36"/>
      <c r="T1489" s="36"/>
      <c r="U1489" s="36"/>
      <c r="V1489" s="36"/>
      <c r="W1489" s="36"/>
      <c r="X1489" s="36"/>
      <c r="Y1489" s="36"/>
      <c r="Z1489" s="36"/>
      <c r="AA1489" s="36"/>
    </row>
    <row r="1490" spans="16:27" x14ac:dyDescent="0.2">
      <c r="P1490" s="36"/>
      <c r="Q1490" s="36"/>
      <c r="R1490" s="36"/>
      <c r="S1490" s="36"/>
      <c r="T1490" s="36"/>
      <c r="U1490" s="36"/>
      <c r="V1490" s="36"/>
      <c r="W1490" s="36"/>
      <c r="X1490" s="36"/>
      <c r="Y1490" s="36"/>
      <c r="Z1490" s="36"/>
      <c r="AA1490" s="36"/>
    </row>
    <row r="1491" spans="16:27" x14ac:dyDescent="0.2">
      <c r="P1491" s="36"/>
      <c r="Q1491" s="36"/>
      <c r="R1491" s="36"/>
      <c r="S1491" s="36"/>
      <c r="T1491" s="36"/>
      <c r="U1491" s="36"/>
      <c r="V1491" s="36"/>
      <c r="W1491" s="36"/>
      <c r="X1491" s="36"/>
      <c r="Y1491" s="36"/>
      <c r="Z1491" s="36"/>
      <c r="AA1491" s="36"/>
    </row>
    <row r="1492" spans="16:27" x14ac:dyDescent="0.2">
      <c r="P1492" s="36"/>
      <c r="Q1492" s="36"/>
      <c r="R1492" s="36"/>
      <c r="S1492" s="36"/>
      <c r="T1492" s="36"/>
      <c r="U1492" s="36"/>
      <c r="V1492" s="36"/>
      <c r="W1492" s="36"/>
      <c r="X1492" s="36"/>
      <c r="Y1492" s="36"/>
      <c r="Z1492" s="36"/>
      <c r="AA1492" s="36"/>
    </row>
    <row r="1493" spans="16:27" x14ac:dyDescent="0.2">
      <c r="P1493" s="36"/>
      <c r="Q1493" s="36"/>
      <c r="R1493" s="36"/>
      <c r="S1493" s="36"/>
      <c r="T1493" s="36"/>
      <c r="U1493" s="36"/>
      <c r="V1493" s="36"/>
      <c r="W1493" s="36"/>
      <c r="X1493" s="36"/>
      <c r="Y1493" s="36"/>
      <c r="Z1493" s="36"/>
      <c r="AA1493" s="36"/>
    </row>
    <row r="1494" spans="16:27" x14ac:dyDescent="0.2">
      <c r="P1494" s="36"/>
      <c r="Q1494" s="36"/>
      <c r="R1494" s="36"/>
      <c r="S1494" s="36"/>
      <c r="T1494" s="36"/>
      <c r="U1494" s="36"/>
      <c r="V1494" s="36"/>
      <c r="W1494" s="36"/>
      <c r="X1494" s="36"/>
      <c r="Y1494" s="36"/>
      <c r="Z1494" s="36"/>
      <c r="AA1494" s="36"/>
    </row>
    <row r="1495" spans="16:27" x14ac:dyDescent="0.2">
      <c r="P1495" s="36"/>
      <c r="Q1495" s="36"/>
      <c r="R1495" s="36"/>
      <c r="S1495" s="36"/>
      <c r="T1495" s="36"/>
      <c r="U1495" s="36"/>
      <c r="V1495" s="36"/>
      <c r="W1495" s="36"/>
      <c r="X1495" s="36"/>
      <c r="Y1495" s="36"/>
      <c r="Z1495" s="36"/>
      <c r="AA1495" s="36"/>
    </row>
    <row r="1496" spans="16:27" x14ac:dyDescent="0.2">
      <c r="P1496" s="36"/>
      <c r="Q1496" s="36"/>
      <c r="R1496" s="36"/>
      <c r="S1496" s="36"/>
      <c r="T1496" s="36"/>
      <c r="U1496" s="36"/>
      <c r="V1496" s="36"/>
      <c r="W1496" s="36"/>
      <c r="X1496" s="36"/>
      <c r="Y1496" s="36"/>
      <c r="Z1496" s="36"/>
      <c r="AA1496" s="36"/>
    </row>
    <row r="1497" spans="16:27" x14ac:dyDescent="0.2">
      <c r="P1497" s="36"/>
      <c r="Q1497" s="36"/>
      <c r="R1497" s="36"/>
      <c r="S1497" s="36"/>
      <c r="T1497" s="36"/>
      <c r="U1497" s="36"/>
      <c r="V1497" s="36"/>
      <c r="W1497" s="36"/>
      <c r="X1497" s="36"/>
      <c r="Y1497" s="36"/>
      <c r="Z1497" s="36"/>
      <c r="AA1497" s="36"/>
    </row>
    <row r="1498" spans="16:27" x14ac:dyDescent="0.2">
      <c r="P1498" s="36"/>
      <c r="Q1498" s="36"/>
      <c r="R1498" s="36"/>
      <c r="S1498" s="36"/>
      <c r="T1498" s="36"/>
      <c r="U1498" s="36"/>
      <c r="V1498" s="36"/>
      <c r="W1498" s="36"/>
      <c r="X1498" s="36"/>
      <c r="Y1498" s="36"/>
      <c r="Z1498" s="36"/>
      <c r="AA1498" s="36"/>
    </row>
    <row r="1499" spans="16:27" x14ac:dyDescent="0.2">
      <c r="P1499" s="36"/>
      <c r="Q1499" s="36"/>
      <c r="R1499" s="36"/>
      <c r="S1499" s="36"/>
      <c r="T1499" s="36"/>
      <c r="U1499" s="36"/>
      <c r="V1499" s="36"/>
      <c r="W1499" s="36"/>
      <c r="X1499" s="36"/>
      <c r="Y1499" s="36"/>
      <c r="Z1499" s="36"/>
      <c r="AA1499" s="36"/>
    </row>
    <row r="1500" spans="16:27" x14ac:dyDescent="0.2">
      <c r="P1500" s="36"/>
      <c r="Q1500" s="36"/>
      <c r="R1500" s="36"/>
      <c r="S1500" s="36"/>
      <c r="T1500" s="36"/>
      <c r="U1500" s="36"/>
      <c r="V1500" s="36"/>
      <c r="W1500" s="36"/>
      <c r="X1500" s="36"/>
      <c r="Y1500" s="36"/>
      <c r="Z1500" s="36"/>
      <c r="AA1500" s="36"/>
    </row>
    <row r="1501" spans="16:27" x14ac:dyDescent="0.2">
      <c r="P1501" s="36"/>
      <c r="Q1501" s="36"/>
      <c r="R1501" s="36"/>
      <c r="S1501" s="36"/>
      <c r="T1501" s="36"/>
      <c r="U1501" s="36"/>
      <c r="V1501" s="36"/>
      <c r="W1501" s="36"/>
      <c r="X1501" s="36"/>
      <c r="Y1501" s="36"/>
      <c r="Z1501" s="36"/>
      <c r="AA1501" s="36"/>
    </row>
    <row r="1502" spans="16:27" x14ac:dyDescent="0.2">
      <c r="P1502" s="36"/>
      <c r="Q1502" s="36"/>
      <c r="R1502" s="36"/>
      <c r="S1502" s="36"/>
      <c r="T1502" s="36"/>
      <c r="U1502" s="36"/>
      <c r="V1502" s="36"/>
      <c r="W1502" s="36"/>
      <c r="X1502" s="36"/>
      <c r="Y1502" s="36"/>
      <c r="Z1502" s="36"/>
      <c r="AA1502" s="36"/>
    </row>
    <row r="1503" spans="16:27" x14ac:dyDescent="0.2">
      <c r="P1503" s="36"/>
      <c r="Q1503" s="36"/>
      <c r="R1503" s="36"/>
      <c r="S1503" s="36"/>
      <c r="T1503" s="36"/>
      <c r="U1503" s="36"/>
      <c r="V1503" s="36"/>
      <c r="W1503" s="36"/>
      <c r="X1503" s="36"/>
      <c r="Y1503" s="36"/>
      <c r="Z1503" s="36"/>
      <c r="AA1503" s="36"/>
    </row>
    <row r="1504" spans="16:27" x14ac:dyDescent="0.2">
      <c r="P1504" s="36"/>
      <c r="Q1504" s="36"/>
      <c r="R1504" s="36"/>
      <c r="S1504" s="36"/>
      <c r="T1504" s="36"/>
      <c r="U1504" s="36"/>
      <c r="V1504" s="36"/>
      <c r="W1504" s="36"/>
      <c r="X1504" s="36"/>
      <c r="Y1504" s="36"/>
      <c r="Z1504" s="36"/>
      <c r="AA1504" s="36"/>
    </row>
    <row r="1505" spans="16:27" x14ac:dyDescent="0.2">
      <c r="P1505" s="36"/>
      <c r="Q1505" s="36"/>
      <c r="R1505" s="36"/>
      <c r="S1505" s="36"/>
      <c r="T1505" s="36"/>
      <c r="U1505" s="36"/>
      <c r="V1505" s="36"/>
      <c r="W1505" s="36"/>
      <c r="X1505" s="36"/>
      <c r="Y1505" s="36"/>
      <c r="Z1505" s="36"/>
      <c r="AA1505" s="36"/>
    </row>
    <row r="1506" spans="16:27" x14ac:dyDescent="0.2">
      <c r="P1506" s="36"/>
      <c r="Q1506" s="36"/>
      <c r="R1506" s="36"/>
      <c r="S1506" s="36"/>
      <c r="T1506" s="36"/>
      <c r="U1506" s="36"/>
      <c r="V1506" s="36"/>
      <c r="W1506" s="36"/>
      <c r="X1506" s="36"/>
      <c r="Y1506" s="36"/>
      <c r="Z1506" s="36"/>
      <c r="AA1506" s="36"/>
    </row>
    <row r="1507" spans="16:27" x14ac:dyDescent="0.2">
      <c r="P1507" s="36"/>
      <c r="Q1507" s="36"/>
      <c r="R1507" s="36"/>
      <c r="S1507" s="36"/>
      <c r="T1507" s="36"/>
      <c r="U1507" s="36"/>
      <c r="V1507" s="36"/>
      <c r="W1507" s="36"/>
      <c r="X1507" s="36"/>
      <c r="Y1507" s="36"/>
      <c r="Z1507" s="36"/>
      <c r="AA1507" s="36"/>
    </row>
    <row r="1508" spans="16:27" x14ac:dyDescent="0.2">
      <c r="P1508" s="36"/>
      <c r="Q1508" s="36"/>
      <c r="R1508" s="36"/>
      <c r="S1508" s="36"/>
      <c r="T1508" s="36"/>
      <c r="U1508" s="36"/>
      <c r="V1508" s="36"/>
      <c r="W1508" s="36"/>
      <c r="X1508" s="36"/>
      <c r="Y1508" s="36"/>
      <c r="Z1508" s="36"/>
      <c r="AA1508" s="36"/>
    </row>
    <row r="1509" spans="16:27" x14ac:dyDescent="0.2">
      <c r="P1509" s="36"/>
      <c r="Q1509" s="36"/>
      <c r="R1509" s="36"/>
      <c r="S1509" s="36"/>
      <c r="T1509" s="36"/>
      <c r="U1509" s="36"/>
      <c r="V1509" s="36"/>
      <c r="W1509" s="36"/>
      <c r="X1509" s="36"/>
      <c r="Y1509" s="36"/>
      <c r="Z1509" s="36"/>
      <c r="AA1509" s="36"/>
    </row>
    <row r="1510" spans="16:27" x14ac:dyDescent="0.2">
      <c r="P1510" s="36"/>
      <c r="Q1510" s="36"/>
      <c r="R1510" s="36"/>
      <c r="S1510" s="36"/>
      <c r="T1510" s="36"/>
      <c r="U1510" s="36"/>
      <c r="V1510" s="36"/>
      <c r="W1510" s="36"/>
      <c r="X1510" s="36"/>
      <c r="Y1510" s="36"/>
      <c r="Z1510" s="36"/>
      <c r="AA1510" s="36"/>
    </row>
    <row r="1511" spans="16:27" x14ac:dyDescent="0.2">
      <c r="P1511" s="36"/>
      <c r="Q1511" s="36"/>
      <c r="R1511" s="36"/>
      <c r="S1511" s="36"/>
      <c r="T1511" s="36"/>
      <c r="U1511" s="36"/>
      <c r="V1511" s="36"/>
      <c r="W1511" s="36"/>
      <c r="X1511" s="36"/>
      <c r="Y1511" s="36"/>
      <c r="Z1511" s="36"/>
      <c r="AA1511" s="36"/>
    </row>
    <row r="1512" spans="16:27" x14ac:dyDescent="0.2">
      <c r="P1512" s="36"/>
      <c r="Q1512" s="36"/>
      <c r="R1512" s="36"/>
      <c r="S1512" s="36"/>
      <c r="T1512" s="36"/>
      <c r="U1512" s="36"/>
      <c r="V1512" s="36"/>
      <c r="W1512" s="36"/>
      <c r="X1512" s="36"/>
      <c r="Y1512" s="36"/>
      <c r="Z1512" s="36"/>
      <c r="AA1512" s="36"/>
    </row>
    <row r="1513" spans="16:27" x14ac:dyDescent="0.2">
      <c r="P1513" s="36"/>
      <c r="Q1513" s="36"/>
      <c r="R1513" s="36"/>
      <c r="S1513" s="36"/>
      <c r="T1513" s="36"/>
      <c r="U1513" s="36"/>
      <c r="V1513" s="36"/>
      <c r="W1513" s="36"/>
      <c r="X1513" s="36"/>
      <c r="Y1513" s="36"/>
      <c r="Z1513" s="36"/>
      <c r="AA1513" s="36"/>
    </row>
    <row r="1514" spans="16:27" x14ac:dyDescent="0.2">
      <c r="P1514" s="36"/>
      <c r="Q1514" s="36"/>
      <c r="R1514" s="36"/>
      <c r="S1514" s="36"/>
      <c r="T1514" s="36"/>
      <c r="U1514" s="36"/>
      <c r="V1514" s="36"/>
      <c r="W1514" s="36"/>
      <c r="X1514" s="36"/>
      <c r="Y1514" s="36"/>
      <c r="Z1514" s="36"/>
      <c r="AA1514" s="36"/>
    </row>
    <row r="1515" spans="16:27" x14ac:dyDescent="0.2">
      <c r="P1515" s="36"/>
      <c r="Q1515" s="36"/>
      <c r="R1515" s="36"/>
      <c r="S1515" s="36"/>
      <c r="T1515" s="36"/>
      <c r="U1515" s="36"/>
      <c r="V1515" s="36"/>
      <c r="W1515" s="36"/>
      <c r="X1515" s="36"/>
      <c r="Y1515" s="36"/>
      <c r="Z1515" s="36"/>
      <c r="AA1515" s="36"/>
    </row>
    <row r="1516" spans="16:27" x14ac:dyDescent="0.2">
      <c r="P1516" s="36"/>
      <c r="Q1516" s="36"/>
      <c r="R1516" s="36"/>
      <c r="S1516" s="36"/>
      <c r="T1516" s="36"/>
      <c r="U1516" s="36"/>
      <c r="V1516" s="36"/>
      <c r="W1516" s="36"/>
      <c r="X1516" s="36"/>
      <c r="Y1516" s="36"/>
      <c r="Z1516" s="36"/>
      <c r="AA1516" s="36"/>
    </row>
    <row r="1517" spans="16:27" x14ac:dyDescent="0.2">
      <c r="P1517" s="36"/>
      <c r="Q1517" s="36"/>
      <c r="R1517" s="36"/>
      <c r="S1517" s="36"/>
      <c r="T1517" s="36"/>
      <c r="U1517" s="36"/>
      <c r="V1517" s="36"/>
      <c r="W1517" s="36"/>
      <c r="X1517" s="36"/>
      <c r="Y1517" s="36"/>
      <c r="Z1517" s="36"/>
      <c r="AA1517" s="36"/>
    </row>
    <row r="1518" spans="16:27" x14ac:dyDescent="0.2">
      <c r="P1518" s="36"/>
      <c r="Q1518" s="36"/>
      <c r="R1518" s="36"/>
      <c r="S1518" s="36"/>
      <c r="T1518" s="36"/>
      <c r="U1518" s="36"/>
      <c r="V1518" s="36"/>
      <c r="W1518" s="36"/>
      <c r="X1518" s="36"/>
      <c r="Y1518" s="36"/>
      <c r="Z1518" s="36"/>
      <c r="AA1518" s="36"/>
    </row>
    <row r="1519" spans="16:27" x14ac:dyDescent="0.2">
      <c r="P1519" s="36"/>
      <c r="Q1519" s="36"/>
      <c r="R1519" s="36"/>
      <c r="S1519" s="36"/>
      <c r="T1519" s="36"/>
      <c r="U1519" s="36"/>
      <c r="V1519" s="36"/>
      <c r="W1519" s="36"/>
      <c r="X1519" s="36"/>
      <c r="Y1519" s="36"/>
      <c r="Z1519" s="36"/>
      <c r="AA1519" s="36"/>
    </row>
    <row r="1520" spans="16:27" x14ac:dyDescent="0.2">
      <c r="P1520" s="36"/>
      <c r="Q1520" s="36"/>
      <c r="R1520" s="36"/>
      <c r="S1520" s="36"/>
      <c r="T1520" s="36"/>
      <c r="U1520" s="36"/>
      <c r="V1520" s="36"/>
      <c r="W1520" s="36"/>
      <c r="X1520" s="36"/>
      <c r="Y1520" s="36"/>
      <c r="Z1520" s="36"/>
      <c r="AA1520" s="36"/>
    </row>
    <row r="1521" spans="16:27" x14ac:dyDescent="0.2">
      <c r="P1521" s="36"/>
      <c r="Q1521" s="36"/>
      <c r="R1521" s="36"/>
      <c r="S1521" s="36"/>
      <c r="T1521" s="36"/>
      <c r="U1521" s="36"/>
      <c r="V1521" s="36"/>
      <c r="W1521" s="36"/>
      <c r="X1521" s="36"/>
      <c r="Y1521" s="36"/>
      <c r="Z1521" s="36"/>
      <c r="AA1521" s="36"/>
    </row>
    <row r="1522" spans="16:27" x14ac:dyDescent="0.2">
      <c r="P1522" s="36"/>
      <c r="Q1522" s="36"/>
      <c r="R1522" s="36"/>
      <c r="S1522" s="36"/>
      <c r="T1522" s="36"/>
      <c r="U1522" s="36"/>
      <c r="V1522" s="36"/>
      <c r="W1522" s="36"/>
      <c r="X1522" s="36"/>
      <c r="Y1522" s="36"/>
      <c r="Z1522" s="36"/>
      <c r="AA1522" s="36"/>
    </row>
    <row r="1523" spans="16:27" x14ac:dyDescent="0.2">
      <c r="P1523" s="36"/>
      <c r="Q1523" s="36"/>
      <c r="R1523" s="36"/>
      <c r="S1523" s="36"/>
      <c r="T1523" s="36"/>
      <c r="U1523" s="36"/>
      <c r="V1523" s="36"/>
      <c r="W1523" s="36"/>
      <c r="X1523" s="36"/>
      <c r="Y1523" s="36"/>
      <c r="Z1523" s="36"/>
      <c r="AA1523" s="36"/>
    </row>
    <row r="1524" spans="16:27" x14ac:dyDescent="0.2">
      <c r="P1524" s="36"/>
      <c r="Q1524" s="36"/>
      <c r="R1524" s="36"/>
      <c r="S1524" s="36"/>
      <c r="T1524" s="36"/>
      <c r="U1524" s="36"/>
      <c r="V1524" s="36"/>
      <c r="W1524" s="36"/>
      <c r="X1524" s="36"/>
      <c r="Y1524" s="36"/>
      <c r="Z1524" s="36"/>
      <c r="AA1524" s="36"/>
    </row>
    <row r="1525" spans="16:27" x14ac:dyDescent="0.2">
      <c r="P1525" s="36"/>
      <c r="Q1525" s="36"/>
      <c r="R1525" s="36"/>
      <c r="S1525" s="36"/>
      <c r="T1525" s="36"/>
      <c r="U1525" s="36"/>
      <c r="V1525" s="36"/>
      <c r="W1525" s="36"/>
      <c r="X1525" s="36"/>
      <c r="Y1525" s="36"/>
      <c r="Z1525" s="36"/>
      <c r="AA1525" s="36"/>
    </row>
    <row r="1526" spans="16:27" x14ac:dyDescent="0.2">
      <c r="P1526" s="36"/>
      <c r="Q1526" s="36"/>
      <c r="R1526" s="36"/>
      <c r="S1526" s="36"/>
      <c r="T1526" s="36"/>
      <c r="U1526" s="36"/>
      <c r="V1526" s="36"/>
      <c r="W1526" s="36"/>
      <c r="X1526" s="36"/>
      <c r="Y1526" s="36"/>
      <c r="Z1526" s="36"/>
      <c r="AA1526" s="36"/>
    </row>
    <row r="1527" spans="16:27" x14ac:dyDescent="0.2">
      <c r="P1527" s="36"/>
      <c r="Q1527" s="36"/>
      <c r="R1527" s="36"/>
      <c r="S1527" s="36"/>
      <c r="T1527" s="36"/>
      <c r="U1527" s="36"/>
      <c r="V1527" s="36"/>
      <c r="W1527" s="36"/>
      <c r="X1527" s="36"/>
      <c r="Y1527" s="36"/>
      <c r="Z1527" s="36"/>
      <c r="AA1527" s="36"/>
    </row>
    <row r="1528" spans="16:27" x14ac:dyDescent="0.2">
      <c r="P1528" s="36"/>
      <c r="Q1528" s="36"/>
      <c r="R1528" s="36"/>
      <c r="S1528" s="36"/>
      <c r="T1528" s="36"/>
      <c r="U1528" s="36"/>
      <c r="V1528" s="36"/>
      <c r="W1528" s="36"/>
      <c r="X1528" s="36"/>
      <c r="Y1528" s="36"/>
      <c r="Z1528" s="36"/>
      <c r="AA1528" s="36"/>
    </row>
    <row r="1529" spans="16:27" x14ac:dyDescent="0.2">
      <c r="P1529" s="36"/>
      <c r="Q1529" s="36"/>
      <c r="R1529" s="36"/>
      <c r="S1529" s="36"/>
      <c r="T1529" s="36"/>
      <c r="U1529" s="36"/>
      <c r="V1529" s="36"/>
      <c r="W1529" s="36"/>
      <c r="X1529" s="36"/>
      <c r="Y1529" s="36"/>
      <c r="Z1529" s="36"/>
      <c r="AA1529" s="36"/>
    </row>
    <row r="1530" spans="16:27" x14ac:dyDescent="0.2">
      <c r="P1530" s="36"/>
      <c r="Q1530" s="36"/>
      <c r="R1530" s="36"/>
      <c r="S1530" s="36"/>
      <c r="T1530" s="36"/>
      <c r="U1530" s="36"/>
      <c r="V1530" s="36"/>
      <c r="W1530" s="36"/>
      <c r="X1530" s="36"/>
      <c r="Y1530" s="36"/>
      <c r="Z1530" s="36"/>
      <c r="AA1530" s="36"/>
    </row>
    <row r="1531" spans="16:27" x14ac:dyDescent="0.2">
      <c r="P1531" s="36"/>
      <c r="Q1531" s="36"/>
      <c r="R1531" s="36"/>
      <c r="S1531" s="36"/>
      <c r="T1531" s="36"/>
      <c r="U1531" s="36"/>
      <c r="V1531" s="36"/>
      <c r="W1531" s="36"/>
      <c r="X1531" s="36"/>
      <c r="Y1531" s="36"/>
      <c r="Z1531" s="36"/>
      <c r="AA1531" s="36"/>
    </row>
    <row r="1532" spans="16:27" x14ac:dyDescent="0.2">
      <c r="P1532" s="36"/>
      <c r="Q1532" s="36"/>
      <c r="R1532" s="36"/>
      <c r="S1532" s="36"/>
      <c r="T1532" s="36"/>
      <c r="U1532" s="36"/>
      <c r="V1532" s="36"/>
      <c r="W1532" s="36"/>
      <c r="X1532" s="36"/>
      <c r="Y1532" s="36"/>
      <c r="Z1532" s="36"/>
      <c r="AA1532" s="36"/>
    </row>
    <row r="1533" spans="16:27" x14ac:dyDescent="0.2">
      <c r="P1533" s="36"/>
      <c r="Q1533" s="36"/>
      <c r="R1533" s="36"/>
      <c r="S1533" s="36"/>
      <c r="T1533" s="36"/>
      <c r="U1533" s="36"/>
      <c r="V1533" s="36"/>
      <c r="W1533" s="36"/>
      <c r="X1533" s="36"/>
      <c r="Y1533" s="36"/>
      <c r="Z1533" s="36"/>
      <c r="AA1533" s="36"/>
    </row>
    <row r="1534" spans="16:27" x14ac:dyDescent="0.2">
      <c r="P1534" s="36"/>
      <c r="Q1534" s="36"/>
      <c r="R1534" s="36"/>
      <c r="S1534" s="36"/>
      <c r="T1534" s="36"/>
      <c r="U1534" s="36"/>
      <c r="V1534" s="36"/>
      <c r="W1534" s="36"/>
      <c r="X1534" s="36"/>
      <c r="Y1534" s="36"/>
      <c r="Z1534" s="36"/>
      <c r="AA1534" s="36"/>
    </row>
    <row r="1535" spans="16:27" x14ac:dyDescent="0.2">
      <c r="P1535" s="36"/>
      <c r="Q1535" s="36"/>
      <c r="R1535" s="36"/>
      <c r="S1535" s="36"/>
      <c r="T1535" s="36"/>
      <c r="U1535" s="36"/>
      <c r="V1535" s="36"/>
      <c r="W1535" s="36"/>
      <c r="X1535" s="36"/>
      <c r="Y1535" s="36"/>
      <c r="Z1535" s="36"/>
      <c r="AA1535" s="36"/>
    </row>
    <row r="1536" spans="16:27" x14ac:dyDescent="0.2">
      <c r="P1536" s="36"/>
      <c r="Q1536" s="36"/>
      <c r="R1536" s="36"/>
      <c r="S1536" s="36"/>
      <c r="T1536" s="36"/>
      <c r="U1536" s="36"/>
      <c r="V1536" s="36"/>
      <c r="W1536" s="36"/>
      <c r="X1536" s="36"/>
      <c r="Y1536" s="36"/>
      <c r="Z1536" s="36"/>
      <c r="AA1536" s="36"/>
    </row>
    <row r="1537" spans="16:27" x14ac:dyDescent="0.2">
      <c r="P1537" s="36"/>
      <c r="Q1537" s="36"/>
      <c r="R1537" s="36"/>
      <c r="S1537" s="36"/>
      <c r="T1537" s="36"/>
      <c r="U1537" s="36"/>
      <c r="V1537" s="36"/>
      <c r="W1537" s="36"/>
      <c r="X1537" s="36"/>
      <c r="Y1537" s="36"/>
      <c r="Z1537" s="36"/>
      <c r="AA1537" s="36"/>
    </row>
    <row r="1538" spans="16:27" x14ac:dyDescent="0.2">
      <c r="P1538" s="36"/>
      <c r="Q1538" s="36"/>
      <c r="R1538" s="36"/>
      <c r="S1538" s="36"/>
      <c r="T1538" s="36"/>
      <c r="U1538" s="36"/>
      <c r="V1538" s="36"/>
      <c r="W1538" s="36"/>
      <c r="X1538" s="36"/>
      <c r="Y1538" s="36"/>
      <c r="Z1538" s="36"/>
      <c r="AA1538" s="36"/>
    </row>
    <row r="1539" spans="16:27" x14ac:dyDescent="0.2">
      <c r="P1539" s="36"/>
      <c r="Q1539" s="36"/>
      <c r="R1539" s="36"/>
      <c r="S1539" s="36"/>
      <c r="T1539" s="36"/>
      <c r="U1539" s="36"/>
      <c r="V1539" s="36"/>
      <c r="W1539" s="36"/>
      <c r="X1539" s="36"/>
      <c r="Y1539" s="36"/>
      <c r="Z1539" s="36"/>
      <c r="AA1539" s="36"/>
    </row>
    <row r="1540" spans="16:27" x14ac:dyDescent="0.2">
      <c r="P1540" s="36"/>
      <c r="Q1540" s="36"/>
      <c r="R1540" s="36"/>
      <c r="S1540" s="36"/>
      <c r="T1540" s="36"/>
      <c r="U1540" s="36"/>
      <c r="V1540" s="36"/>
      <c r="W1540" s="36"/>
      <c r="X1540" s="36"/>
      <c r="Y1540" s="36"/>
      <c r="Z1540" s="36"/>
      <c r="AA1540" s="36"/>
    </row>
    <row r="1541" spans="16:27" x14ac:dyDescent="0.2">
      <c r="P1541" s="36"/>
      <c r="Q1541" s="36"/>
      <c r="R1541" s="36"/>
      <c r="S1541" s="36"/>
      <c r="T1541" s="36"/>
      <c r="U1541" s="36"/>
      <c r="V1541" s="36"/>
      <c r="W1541" s="36"/>
      <c r="X1541" s="36"/>
      <c r="Y1541" s="36"/>
      <c r="Z1541" s="36"/>
      <c r="AA1541" s="36"/>
    </row>
    <row r="1542" spans="16:27" x14ac:dyDescent="0.2">
      <c r="P1542" s="36"/>
      <c r="Q1542" s="36"/>
      <c r="R1542" s="36"/>
      <c r="S1542" s="36"/>
      <c r="T1542" s="36"/>
      <c r="U1542" s="36"/>
      <c r="V1542" s="36"/>
      <c r="W1542" s="36"/>
      <c r="X1542" s="36"/>
      <c r="Y1542" s="36"/>
      <c r="Z1542" s="36"/>
      <c r="AA1542" s="36"/>
    </row>
    <row r="1543" spans="16:27" x14ac:dyDescent="0.2">
      <c r="P1543" s="36"/>
      <c r="Q1543" s="36"/>
      <c r="R1543" s="36"/>
      <c r="S1543" s="36"/>
      <c r="T1543" s="36"/>
      <c r="U1543" s="36"/>
      <c r="V1543" s="36"/>
      <c r="W1543" s="36"/>
      <c r="X1543" s="36"/>
      <c r="Y1543" s="36"/>
      <c r="Z1543" s="36"/>
      <c r="AA1543" s="36"/>
    </row>
    <row r="1544" spans="16:27" x14ac:dyDescent="0.2">
      <c r="P1544" s="36"/>
      <c r="Q1544" s="36"/>
      <c r="R1544" s="36"/>
      <c r="S1544" s="36"/>
      <c r="T1544" s="36"/>
      <c r="U1544" s="36"/>
      <c r="V1544" s="36"/>
      <c r="W1544" s="36"/>
      <c r="X1544" s="36"/>
      <c r="Y1544" s="36"/>
      <c r="Z1544" s="36"/>
      <c r="AA1544" s="36"/>
    </row>
    <row r="1545" spans="16:27" x14ac:dyDescent="0.2">
      <c r="P1545" s="36"/>
      <c r="Q1545" s="36"/>
      <c r="R1545" s="36"/>
      <c r="S1545" s="36"/>
      <c r="T1545" s="36"/>
      <c r="U1545" s="36"/>
      <c r="V1545" s="36"/>
      <c r="W1545" s="36"/>
      <c r="X1545" s="36"/>
      <c r="Y1545" s="36"/>
      <c r="Z1545" s="36"/>
      <c r="AA1545" s="36"/>
    </row>
    <row r="1546" spans="16:27" x14ac:dyDescent="0.2">
      <c r="P1546" s="36"/>
      <c r="Q1546" s="36"/>
      <c r="R1546" s="36"/>
      <c r="S1546" s="36"/>
      <c r="T1546" s="36"/>
      <c r="U1546" s="36"/>
      <c r="V1546" s="36"/>
      <c r="W1546" s="36"/>
      <c r="X1546" s="36"/>
      <c r="Y1546" s="36"/>
      <c r="Z1546" s="36"/>
      <c r="AA1546" s="36"/>
    </row>
    <row r="1547" spans="16:27" x14ac:dyDescent="0.2">
      <c r="P1547" s="36"/>
      <c r="Q1547" s="36"/>
      <c r="R1547" s="36"/>
      <c r="S1547" s="36"/>
      <c r="T1547" s="36"/>
      <c r="U1547" s="36"/>
      <c r="V1547" s="36"/>
      <c r="W1547" s="36"/>
      <c r="X1547" s="36"/>
      <c r="Y1547" s="36"/>
      <c r="Z1547" s="36"/>
      <c r="AA1547" s="36"/>
    </row>
    <row r="1548" spans="16:27" x14ac:dyDescent="0.2">
      <c r="P1548" s="36"/>
      <c r="Q1548" s="36"/>
      <c r="R1548" s="36"/>
      <c r="S1548" s="36"/>
      <c r="T1548" s="36"/>
      <c r="U1548" s="36"/>
      <c r="V1548" s="36"/>
      <c r="W1548" s="36"/>
      <c r="X1548" s="36"/>
      <c r="Y1548" s="36"/>
      <c r="Z1548" s="36"/>
      <c r="AA1548" s="36"/>
    </row>
    <row r="1549" spans="16:27" x14ac:dyDescent="0.2">
      <c r="P1549" s="36"/>
      <c r="Q1549" s="36"/>
      <c r="R1549" s="36"/>
      <c r="S1549" s="36"/>
      <c r="T1549" s="36"/>
      <c r="U1549" s="36"/>
      <c r="V1549" s="36"/>
      <c r="W1549" s="36"/>
      <c r="X1549" s="36"/>
      <c r="Y1549" s="36"/>
      <c r="Z1549" s="36"/>
      <c r="AA1549" s="36"/>
    </row>
    <row r="1550" spans="16:27" x14ac:dyDescent="0.2">
      <c r="P1550" s="36"/>
      <c r="Q1550" s="36"/>
      <c r="R1550" s="36"/>
      <c r="S1550" s="36"/>
      <c r="T1550" s="36"/>
      <c r="U1550" s="36"/>
      <c r="V1550" s="36"/>
      <c r="W1550" s="36"/>
      <c r="X1550" s="36"/>
      <c r="Y1550" s="36"/>
      <c r="Z1550" s="36"/>
      <c r="AA1550" s="36"/>
    </row>
    <row r="1551" spans="16:27" x14ac:dyDescent="0.2">
      <c r="P1551" s="36"/>
      <c r="Q1551" s="36"/>
      <c r="R1551" s="36"/>
      <c r="S1551" s="36"/>
      <c r="T1551" s="36"/>
      <c r="U1551" s="36"/>
      <c r="V1551" s="36"/>
      <c r="W1551" s="36"/>
      <c r="X1551" s="36"/>
      <c r="Y1551" s="36"/>
      <c r="Z1551" s="36"/>
      <c r="AA1551" s="36"/>
    </row>
    <row r="1552" spans="16:27" x14ac:dyDescent="0.2">
      <c r="P1552" s="36"/>
      <c r="Q1552" s="36"/>
      <c r="R1552" s="36"/>
      <c r="S1552" s="36"/>
      <c r="T1552" s="36"/>
      <c r="U1552" s="36"/>
      <c r="V1552" s="36"/>
      <c r="W1552" s="36"/>
      <c r="X1552" s="36"/>
      <c r="Y1552" s="36"/>
      <c r="Z1552" s="36"/>
      <c r="AA1552" s="36"/>
    </row>
    <row r="1553" spans="16:27" x14ac:dyDescent="0.2">
      <c r="P1553" s="36"/>
      <c r="Q1553" s="36"/>
      <c r="R1553" s="36"/>
      <c r="S1553" s="36"/>
      <c r="T1553" s="36"/>
      <c r="U1553" s="36"/>
      <c r="V1553" s="36"/>
      <c r="W1553" s="36"/>
      <c r="X1553" s="36"/>
      <c r="Y1553" s="36"/>
      <c r="Z1553" s="36"/>
      <c r="AA1553" s="36"/>
    </row>
    <row r="1554" spans="16:27" x14ac:dyDescent="0.2">
      <c r="P1554" s="36"/>
      <c r="Q1554" s="36"/>
      <c r="R1554" s="36"/>
      <c r="S1554" s="36"/>
      <c r="T1554" s="36"/>
      <c r="U1554" s="36"/>
      <c r="V1554" s="36"/>
      <c r="W1554" s="36"/>
      <c r="X1554" s="36"/>
      <c r="Y1554" s="36"/>
      <c r="Z1554" s="36"/>
      <c r="AA1554" s="36"/>
    </row>
    <row r="1555" spans="16:27" x14ac:dyDescent="0.2">
      <c r="P1555" s="36"/>
      <c r="Q1555" s="36"/>
      <c r="R1555" s="36"/>
      <c r="S1555" s="36"/>
      <c r="T1555" s="36"/>
      <c r="U1555" s="36"/>
      <c r="V1555" s="36"/>
      <c r="W1555" s="36"/>
      <c r="X1555" s="36"/>
      <c r="Y1555" s="36"/>
      <c r="Z1555" s="36"/>
      <c r="AA1555" s="36"/>
    </row>
    <row r="1556" spans="16:27" x14ac:dyDescent="0.2">
      <c r="P1556" s="36"/>
      <c r="Q1556" s="36"/>
      <c r="R1556" s="36"/>
      <c r="S1556" s="36"/>
      <c r="T1556" s="36"/>
      <c r="U1556" s="36"/>
      <c r="V1556" s="36"/>
      <c r="W1556" s="36"/>
      <c r="X1556" s="36"/>
      <c r="Y1556" s="36"/>
      <c r="Z1556" s="36"/>
      <c r="AA1556" s="36"/>
    </row>
    <row r="1557" spans="16:27" x14ac:dyDescent="0.2">
      <c r="P1557" s="36"/>
      <c r="Q1557" s="36"/>
      <c r="R1557" s="36"/>
      <c r="S1557" s="36"/>
      <c r="T1557" s="36"/>
      <c r="U1557" s="36"/>
      <c r="V1557" s="36"/>
      <c r="W1557" s="36"/>
      <c r="X1557" s="36"/>
      <c r="Y1557" s="36"/>
      <c r="Z1557" s="36"/>
      <c r="AA1557" s="36"/>
    </row>
    <row r="1558" spans="16:27" x14ac:dyDescent="0.2">
      <c r="P1558" s="36"/>
      <c r="Q1558" s="36"/>
      <c r="R1558" s="36"/>
      <c r="S1558" s="36"/>
      <c r="T1558" s="36"/>
      <c r="U1558" s="36"/>
      <c r="V1558" s="36"/>
      <c r="W1558" s="36"/>
      <c r="X1558" s="36"/>
      <c r="Y1558" s="36"/>
      <c r="Z1558" s="36"/>
      <c r="AA1558" s="36"/>
    </row>
    <row r="1559" spans="16:27" x14ac:dyDescent="0.2">
      <c r="P1559" s="36"/>
      <c r="Q1559" s="36"/>
      <c r="R1559" s="36"/>
      <c r="S1559" s="36"/>
      <c r="T1559" s="36"/>
      <c r="U1559" s="36"/>
      <c r="V1559" s="36"/>
      <c r="W1559" s="36"/>
      <c r="X1559" s="36"/>
      <c r="Y1559" s="36"/>
      <c r="Z1559" s="36"/>
      <c r="AA1559" s="36"/>
    </row>
    <row r="1560" spans="16:27" x14ac:dyDescent="0.2">
      <c r="P1560" s="36"/>
      <c r="Q1560" s="36"/>
      <c r="R1560" s="36"/>
      <c r="S1560" s="36"/>
      <c r="T1560" s="36"/>
      <c r="U1560" s="36"/>
      <c r="V1560" s="36"/>
      <c r="W1560" s="36"/>
      <c r="X1560" s="36"/>
      <c r="Y1560" s="36"/>
      <c r="Z1560" s="36"/>
      <c r="AA1560" s="36"/>
    </row>
    <row r="1561" spans="16:27" x14ac:dyDescent="0.2">
      <c r="P1561" s="36"/>
      <c r="Q1561" s="36"/>
      <c r="R1561" s="36"/>
      <c r="S1561" s="36"/>
      <c r="T1561" s="36"/>
      <c r="U1561" s="36"/>
      <c r="V1561" s="36"/>
      <c r="W1561" s="36"/>
      <c r="X1561" s="36"/>
      <c r="Y1561" s="36"/>
      <c r="Z1561" s="36"/>
      <c r="AA1561" s="36"/>
    </row>
    <row r="1562" spans="16:27" x14ac:dyDescent="0.2">
      <c r="P1562" s="36"/>
      <c r="Q1562" s="36"/>
      <c r="R1562" s="36"/>
      <c r="S1562" s="36"/>
      <c r="T1562" s="36"/>
      <c r="U1562" s="36"/>
      <c r="V1562" s="36"/>
      <c r="W1562" s="36"/>
      <c r="X1562" s="36"/>
      <c r="Y1562" s="36"/>
      <c r="Z1562" s="36"/>
      <c r="AA1562" s="36"/>
    </row>
    <row r="1563" spans="16:27" x14ac:dyDescent="0.2">
      <c r="P1563" s="36"/>
      <c r="Q1563" s="36"/>
      <c r="R1563" s="36"/>
      <c r="S1563" s="36"/>
      <c r="T1563" s="36"/>
      <c r="U1563" s="36"/>
      <c r="V1563" s="36"/>
      <c r="W1563" s="36"/>
      <c r="X1563" s="36"/>
      <c r="Y1563" s="36"/>
      <c r="Z1563" s="36"/>
      <c r="AA1563" s="36"/>
    </row>
    <row r="1564" spans="16:27" x14ac:dyDescent="0.2">
      <c r="P1564" s="36"/>
      <c r="Q1564" s="36"/>
      <c r="R1564" s="36"/>
      <c r="S1564" s="36"/>
      <c r="T1564" s="36"/>
      <c r="U1564" s="36"/>
      <c r="V1564" s="36"/>
      <c r="W1564" s="36"/>
      <c r="X1564" s="36"/>
      <c r="Y1564" s="36"/>
      <c r="Z1564" s="36"/>
      <c r="AA1564" s="36"/>
    </row>
    <row r="1565" spans="16:27" x14ac:dyDescent="0.2">
      <c r="P1565" s="36"/>
      <c r="Q1565" s="36"/>
      <c r="R1565" s="36"/>
      <c r="S1565" s="36"/>
      <c r="T1565" s="36"/>
      <c r="U1565" s="36"/>
      <c r="V1565" s="36"/>
      <c r="W1565" s="36"/>
      <c r="X1565" s="36"/>
      <c r="Y1565" s="36"/>
      <c r="Z1565" s="36"/>
      <c r="AA1565" s="36"/>
    </row>
    <row r="1566" spans="16:27" x14ac:dyDescent="0.2">
      <c r="P1566" s="36"/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</row>
    <row r="1567" spans="16:27" x14ac:dyDescent="0.2">
      <c r="P1567" s="36"/>
      <c r="Q1567" s="36"/>
      <c r="R1567" s="36"/>
      <c r="S1567" s="36"/>
      <c r="T1567" s="36"/>
      <c r="U1567" s="36"/>
      <c r="V1567" s="36"/>
      <c r="W1567" s="36"/>
      <c r="X1567" s="36"/>
      <c r="Y1567" s="36"/>
      <c r="Z1567" s="36"/>
      <c r="AA1567" s="36"/>
    </row>
    <row r="1568" spans="16:27" x14ac:dyDescent="0.2">
      <c r="P1568" s="36"/>
      <c r="Q1568" s="36"/>
      <c r="R1568" s="36"/>
      <c r="S1568" s="36"/>
      <c r="T1568" s="36"/>
      <c r="U1568" s="36"/>
      <c r="V1568" s="36"/>
      <c r="W1568" s="36"/>
      <c r="X1568" s="36"/>
      <c r="Y1568" s="36"/>
      <c r="Z1568" s="36"/>
      <c r="AA1568" s="36"/>
    </row>
    <row r="1569" spans="16:27" x14ac:dyDescent="0.2">
      <c r="P1569" s="36"/>
      <c r="Q1569" s="36"/>
      <c r="R1569" s="36"/>
      <c r="S1569" s="36"/>
      <c r="T1569" s="36"/>
      <c r="U1569" s="36"/>
      <c r="V1569" s="36"/>
      <c r="W1569" s="36"/>
      <c r="X1569" s="36"/>
      <c r="Y1569" s="36"/>
      <c r="Z1569" s="36"/>
      <c r="AA1569" s="36"/>
    </row>
    <row r="1570" spans="16:27" x14ac:dyDescent="0.2">
      <c r="P1570" s="36"/>
      <c r="Q1570" s="36"/>
      <c r="R1570" s="36"/>
      <c r="S1570" s="36"/>
      <c r="T1570" s="36"/>
      <c r="U1570" s="36"/>
      <c r="V1570" s="36"/>
      <c r="W1570" s="36"/>
      <c r="X1570" s="36"/>
      <c r="Y1570" s="36"/>
      <c r="Z1570" s="36"/>
      <c r="AA1570" s="36"/>
    </row>
    <row r="1571" spans="16:27" x14ac:dyDescent="0.2">
      <c r="P1571" s="36"/>
      <c r="Q1571" s="36"/>
      <c r="R1571" s="36"/>
      <c r="S1571" s="36"/>
      <c r="T1571" s="36"/>
      <c r="U1571" s="36"/>
      <c r="V1571" s="36"/>
      <c r="W1571" s="36"/>
      <c r="X1571" s="36"/>
      <c r="Y1571" s="36"/>
      <c r="Z1571" s="36"/>
      <c r="AA1571" s="36"/>
    </row>
    <row r="1572" spans="16:27" x14ac:dyDescent="0.2">
      <c r="P1572" s="36"/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</row>
    <row r="1573" spans="16:27" x14ac:dyDescent="0.2">
      <c r="P1573" s="36"/>
      <c r="Q1573" s="36"/>
      <c r="R1573" s="36"/>
      <c r="S1573" s="36"/>
      <c r="T1573" s="36"/>
      <c r="U1573" s="36"/>
      <c r="V1573" s="36"/>
      <c r="W1573" s="36"/>
      <c r="X1573" s="36"/>
      <c r="Y1573" s="36"/>
      <c r="Z1573" s="36"/>
      <c r="AA1573" s="36"/>
    </row>
    <row r="1574" spans="16:27" x14ac:dyDescent="0.2">
      <c r="P1574" s="36"/>
      <c r="Q1574" s="36"/>
      <c r="R1574" s="36"/>
      <c r="S1574" s="36"/>
      <c r="T1574" s="36"/>
      <c r="U1574" s="36"/>
      <c r="V1574" s="36"/>
      <c r="W1574" s="36"/>
      <c r="X1574" s="36"/>
      <c r="Y1574" s="36"/>
      <c r="Z1574" s="36"/>
      <c r="AA1574" s="36"/>
    </row>
    <row r="1575" spans="16:27" x14ac:dyDescent="0.2">
      <c r="P1575" s="36"/>
      <c r="Q1575" s="36"/>
      <c r="R1575" s="36"/>
      <c r="S1575" s="36"/>
      <c r="T1575" s="36"/>
      <c r="U1575" s="36"/>
      <c r="V1575" s="36"/>
      <c r="W1575" s="36"/>
      <c r="X1575" s="36"/>
      <c r="Y1575" s="36"/>
      <c r="Z1575" s="36"/>
      <c r="AA1575" s="36"/>
    </row>
    <row r="1576" spans="16:27" x14ac:dyDescent="0.2">
      <c r="P1576" s="36"/>
      <c r="Q1576" s="36"/>
      <c r="R1576" s="36"/>
      <c r="S1576" s="36"/>
      <c r="T1576" s="36"/>
      <c r="U1576" s="36"/>
      <c r="V1576" s="36"/>
      <c r="W1576" s="36"/>
      <c r="X1576" s="36"/>
      <c r="Y1576" s="36"/>
      <c r="Z1576" s="36"/>
      <c r="AA1576" s="36"/>
    </row>
    <row r="1577" spans="16:27" x14ac:dyDescent="0.2">
      <c r="P1577" s="36"/>
      <c r="Q1577" s="36"/>
      <c r="R1577" s="36"/>
      <c r="S1577" s="36"/>
      <c r="T1577" s="36"/>
      <c r="U1577" s="36"/>
      <c r="V1577" s="36"/>
      <c r="W1577" s="36"/>
      <c r="X1577" s="36"/>
      <c r="Y1577" s="36"/>
      <c r="Z1577" s="36"/>
      <c r="AA1577" s="36"/>
    </row>
    <row r="1578" spans="16:27" x14ac:dyDescent="0.2">
      <c r="P1578" s="36"/>
      <c r="Q1578" s="36"/>
      <c r="R1578" s="36"/>
      <c r="S1578" s="36"/>
      <c r="T1578" s="36"/>
      <c r="U1578" s="36"/>
      <c r="V1578" s="36"/>
      <c r="W1578" s="36"/>
      <c r="X1578" s="36"/>
      <c r="Y1578" s="36"/>
      <c r="Z1578" s="36"/>
      <c r="AA1578" s="36"/>
    </row>
    <row r="1579" spans="16:27" x14ac:dyDescent="0.2">
      <c r="P1579" s="36"/>
      <c r="Q1579" s="36"/>
      <c r="R1579" s="36"/>
      <c r="S1579" s="36"/>
      <c r="T1579" s="36"/>
      <c r="U1579" s="36"/>
      <c r="V1579" s="36"/>
      <c r="W1579" s="36"/>
      <c r="X1579" s="36"/>
      <c r="Y1579" s="36"/>
      <c r="Z1579" s="36"/>
      <c r="AA1579" s="36"/>
    </row>
    <row r="1580" spans="16:27" x14ac:dyDescent="0.2">
      <c r="P1580" s="36"/>
      <c r="Q1580" s="36"/>
      <c r="R1580" s="36"/>
      <c r="S1580" s="36"/>
      <c r="T1580" s="36"/>
      <c r="U1580" s="36"/>
      <c r="V1580" s="36"/>
      <c r="W1580" s="36"/>
      <c r="X1580" s="36"/>
      <c r="Y1580" s="36"/>
      <c r="Z1580" s="36"/>
      <c r="AA1580" s="36"/>
    </row>
    <row r="1581" spans="16:27" x14ac:dyDescent="0.2">
      <c r="P1581" s="36"/>
      <c r="Q1581" s="36"/>
      <c r="R1581" s="36"/>
      <c r="S1581" s="36"/>
      <c r="T1581" s="36"/>
      <c r="U1581" s="36"/>
      <c r="V1581" s="36"/>
      <c r="W1581" s="36"/>
      <c r="X1581" s="36"/>
      <c r="Y1581" s="36"/>
      <c r="Z1581" s="36"/>
      <c r="AA1581" s="36"/>
    </row>
    <row r="1582" spans="16:27" x14ac:dyDescent="0.2">
      <c r="P1582" s="36"/>
      <c r="Q1582" s="36"/>
      <c r="R1582" s="36"/>
      <c r="S1582" s="36"/>
      <c r="T1582" s="36"/>
      <c r="U1582" s="36"/>
      <c r="V1582" s="36"/>
      <c r="W1582" s="36"/>
      <c r="X1582" s="36"/>
      <c r="Y1582" s="36"/>
      <c r="Z1582" s="36"/>
      <c r="AA1582" s="36"/>
    </row>
    <row r="1583" spans="16:27" x14ac:dyDescent="0.2">
      <c r="P1583" s="36"/>
      <c r="Q1583" s="36"/>
      <c r="R1583" s="36"/>
      <c r="S1583" s="36"/>
      <c r="T1583" s="36"/>
      <c r="U1583" s="36"/>
      <c r="V1583" s="36"/>
      <c r="W1583" s="36"/>
      <c r="X1583" s="36"/>
      <c r="Y1583" s="36"/>
      <c r="Z1583" s="36"/>
      <c r="AA1583" s="36"/>
    </row>
    <row r="1584" spans="16:27" x14ac:dyDescent="0.2">
      <c r="P1584" s="36"/>
      <c r="Q1584" s="36"/>
      <c r="R1584" s="36"/>
      <c r="S1584" s="36"/>
      <c r="T1584" s="36"/>
      <c r="U1584" s="36"/>
      <c r="V1584" s="36"/>
      <c r="W1584" s="36"/>
      <c r="X1584" s="36"/>
      <c r="Y1584" s="36"/>
      <c r="Z1584" s="36"/>
      <c r="AA1584" s="36"/>
    </row>
    <row r="1585" spans="16:27" x14ac:dyDescent="0.2">
      <c r="P1585" s="36"/>
      <c r="Q1585" s="36"/>
      <c r="R1585" s="36"/>
      <c r="S1585" s="36"/>
      <c r="T1585" s="36"/>
      <c r="U1585" s="36"/>
      <c r="V1585" s="36"/>
      <c r="W1585" s="36"/>
      <c r="X1585" s="36"/>
      <c r="Y1585" s="36"/>
      <c r="Z1585" s="36"/>
      <c r="AA1585" s="36"/>
    </row>
    <row r="1586" spans="16:27" x14ac:dyDescent="0.2">
      <c r="P1586" s="36"/>
      <c r="Q1586" s="36"/>
      <c r="R1586" s="36"/>
      <c r="S1586" s="36"/>
      <c r="T1586" s="36"/>
      <c r="U1586" s="36"/>
      <c r="V1586" s="36"/>
      <c r="W1586" s="36"/>
      <c r="X1586" s="36"/>
      <c r="Y1586" s="36"/>
      <c r="Z1586" s="36"/>
      <c r="AA1586" s="36"/>
    </row>
    <row r="1587" spans="16:27" x14ac:dyDescent="0.2">
      <c r="P1587" s="36"/>
      <c r="Q1587" s="36"/>
      <c r="R1587" s="36"/>
      <c r="S1587" s="36"/>
      <c r="T1587" s="36"/>
      <c r="U1587" s="36"/>
      <c r="V1587" s="36"/>
      <c r="W1587" s="36"/>
      <c r="X1587" s="36"/>
      <c r="Y1587" s="36"/>
      <c r="Z1587" s="36"/>
      <c r="AA1587" s="36"/>
    </row>
    <row r="1588" spans="16:27" x14ac:dyDescent="0.2">
      <c r="P1588" s="36"/>
      <c r="Q1588" s="36"/>
      <c r="R1588" s="36"/>
      <c r="S1588" s="36"/>
      <c r="T1588" s="36"/>
      <c r="U1588" s="36"/>
      <c r="V1588" s="36"/>
      <c r="W1588" s="36"/>
      <c r="X1588" s="36"/>
      <c r="Y1588" s="36"/>
      <c r="Z1588" s="36"/>
      <c r="AA1588" s="36"/>
    </row>
    <row r="1589" spans="16:27" x14ac:dyDescent="0.2">
      <c r="P1589" s="36"/>
      <c r="Q1589" s="36"/>
      <c r="R1589" s="36"/>
      <c r="S1589" s="36"/>
      <c r="T1589" s="36"/>
      <c r="U1589" s="36"/>
      <c r="V1589" s="36"/>
      <c r="W1589" s="36"/>
      <c r="X1589" s="36"/>
      <c r="Y1589" s="36"/>
      <c r="Z1589" s="36"/>
      <c r="AA1589" s="36"/>
    </row>
    <row r="1590" spans="16:27" x14ac:dyDescent="0.2">
      <c r="P1590" s="36"/>
      <c r="Q1590" s="36"/>
      <c r="R1590" s="36"/>
      <c r="S1590" s="36"/>
      <c r="T1590" s="36"/>
      <c r="U1590" s="36"/>
      <c r="V1590" s="36"/>
      <c r="W1590" s="36"/>
      <c r="X1590" s="36"/>
      <c r="Y1590" s="36"/>
      <c r="Z1590" s="36"/>
      <c r="AA1590" s="36"/>
    </row>
    <row r="1591" spans="16:27" x14ac:dyDescent="0.2">
      <c r="P1591" s="36"/>
      <c r="Q1591" s="36"/>
      <c r="R1591" s="36"/>
      <c r="S1591" s="36"/>
      <c r="T1591" s="36"/>
      <c r="U1591" s="36"/>
      <c r="V1591" s="36"/>
      <c r="W1591" s="36"/>
      <c r="X1591" s="36"/>
      <c r="Y1591" s="36"/>
      <c r="Z1591" s="36"/>
      <c r="AA1591" s="36"/>
    </row>
    <row r="1592" spans="16:27" x14ac:dyDescent="0.2">
      <c r="P1592" s="36"/>
      <c r="Q1592" s="36"/>
      <c r="R1592" s="36"/>
      <c r="S1592" s="36"/>
      <c r="T1592" s="36"/>
      <c r="U1592" s="36"/>
      <c r="V1592" s="36"/>
      <c r="W1592" s="36"/>
      <c r="X1592" s="36"/>
      <c r="Y1592" s="36"/>
      <c r="Z1592" s="36"/>
      <c r="AA1592" s="36"/>
    </row>
    <row r="1593" spans="16:27" x14ac:dyDescent="0.2">
      <c r="P1593" s="36"/>
      <c r="Q1593" s="36"/>
      <c r="R1593" s="36"/>
      <c r="S1593" s="36"/>
      <c r="T1593" s="36"/>
      <c r="U1593" s="36"/>
      <c r="V1593" s="36"/>
      <c r="W1593" s="36"/>
      <c r="X1593" s="36"/>
      <c r="Y1593" s="36"/>
      <c r="Z1593" s="36"/>
      <c r="AA1593" s="36"/>
    </row>
    <row r="1594" spans="16:27" x14ac:dyDescent="0.2">
      <c r="P1594" s="36"/>
      <c r="Q1594" s="36"/>
      <c r="R1594" s="36"/>
      <c r="S1594" s="36"/>
      <c r="T1594" s="36"/>
      <c r="U1594" s="36"/>
      <c r="V1594" s="36"/>
      <c r="W1594" s="36"/>
      <c r="X1594" s="36"/>
      <c r="Y1594" s="36"/>
      <c r="Z1594" s="36"/>
      <c r="AA1594" s="36"/>
    </row>
    <row r="1595" spans="16:27" x14ac:dyDescent="0.2">
      <c r="P1595" s="36"/>
      <c r="Q1595" s="36"/>
      <c r="R1595" s="36"/>
      <c r="S1595" s="36"/>
      <c r="T1595" s="36"/>
      <c r="U1595" s="36"/>
      <c r="V1595" s="36"/>
      <c r="W1595" s="36"/>
      <c r="X1595" s="36"/>
      <c r="Y1595" s="36"/>
      <c r="Z1595" s="36"/>
      <c r="AA1595" s="36"/>
    </row>
    <row r="1596" spans="16:27" x14ac:dyDescent="0.2">
      <c r="P1596" s="36"/>
      <c r="Q1596" s="36"/>
      <c r="R1596" s="36"/>
      <c r="S1596" s="36"/>
      <c r="T1596" s="36"/>
      <c r="U1596" s="36"/>
      <c r="V1596" s="36"/>
      <c r="W1596" s="36"/>
      <c r="X1596" s="36"/>
      <c r="Y1596" s="36"/>
      <c r="Z1596" s="36"/>
      <c r="AA1596" s="36"/>
    </row>
    <row r="1597" spans="16:27" x14ac:dyDescent="0.2">
      <c r="P1597" s="36"/>
      <c r="Q1597" s="36"/>
      <c r="R1597" s="36"/>
      <c r="S1597" s="36"/>
      <c r="T1597" s="36"/>
      <c r="U1597" s="36"/>
      <c r="V1597" s="36"/>
      <c r="W1597" s="36"/>
      <c r="X1597" s="36"/>
      <c r="Y1597" s="36"/>
      <c r="Z1597" s="36"/>
      <c r="AA1597" s="36"/>
    </row>
    <row r="1598" spans="16:27" x14ac:dyDescent="0.2">
      <c r="P1598" s="36"/>
      <c r="Q1598" s="36"/>
      <c r="R1598" s="36"/>
      <c r="S1598" s="36"/>
      <c r="T1598" s="36"/>
      <c r="U1598" s="36"/>
      <c r="V1598" s="36"/>
      <c r="W1598" s="36"/>
      <c r="X1598" s="36"/>
      <c r="Y1598" s="36"/>
      <c r="Z1598" s="36"/>
      <c r="AA1598" s="36"/>
    </row>
    <row r="1599" spans="16:27" x14ac:dyDescent="0.2">
      <c r="P1599" s="36"/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</row>
    <row r="1600" spans="16:27" x14ac:dyDescent="0.2">
      <c r="P1600" s="36"/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</row>
    <row r="1601" spans="16:27" x14ac:dyDescent="0.2">
      <c r="P1601" s="36"/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</row>
    <row r="1602" spans="16:27" x14ac:dyDescent="0.2">
      <c r="P1602" s="36"/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</row>
    <row r="1603" spans="16:27" x14ac:dyDescent="0.2">
      <c r="P1603" s="36"/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</row>
    <row r="1604" spans="16:27" x14ac:dyDescent="0.2">
      <c r="P1604" s="36"/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</row>
    <row r="1605" spans="16:27" x14ac:dyDescent="0.2">
      <c r="P1605" s="36"/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</row>
    <row r="1606" spans="16:27" x14ac:dyDescent="0.2">
      <c r="P1606" s="36"/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</row>
    <row r="1607" spans="16:27" x14ac:dyDescent="0.2">
      <c r="P1607" s="36"/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</row>
    <row r="1608" spans="16:27" x14ac:dyDescent="0.2">
      <c r="P1608" s="36"/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</row>
    <row r="1609" spans="16:27" x14ac:dyDescent="0.2">
      <c r="P1609" s="36"/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</row>
    <row r="1610" spans="16:27" x14ac:dyDescent="0.2">
      <c r="P1610" s="36"/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</row>
    <row r="1611" spans="16:27" x14ac:dyDescent="0.2">
      <c r="P1611" s="36"/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</row>
    <row r="1612" spans="16:27" x14ac:dyDescent="0.2">
      <c r="P1612" s="36"/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</row>
    <row r="1613" spans="16:27" x14ac:dyDescent="0.2">
      <c r="P1613" s="36"/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</row>
    <row r="1614" spans="16:27" x14ac:dyDescent="0.2">
      <c r="P1614" s="36"/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</row>
    <row r="1615" spans="16:27" x14ac:dyDescent="0.2">
      <c r="P1615" s="36"/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</row>
    <row r="1616" spans="16:27" x14ac:dyDescent="0.2">
      <c r="P1616" s="36"/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</row>
    <row r="1617" spans="16:27" x14ac:dyDescent="0.2">
      <c r="P1617" s="36"/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</row>
    <row r="1618" spans="16:27" x14ac:dyDescent="0.2">
      <c r="P1618" s="36"/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Length4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9</xdr:row>
                    <xdr:rowOff>123825</xdr:rowOff>
                  </from>
                  <to>
                    <xdr:col>29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Length1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</xdr:row>
                    <xdr:rowOff>276225</xdr:rowOff>
                  </from>
                  <to>
                    <xdr:col>29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Length7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18</xdr:row>
                    <xdr:rowOff>0</xdr:rowOff>
                  </from>
                  <to>
                    <xdr:col>29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Length2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4</xdr:row>
                    <xdr:rowOff>38100</xdr:rowOff>
                  </from>
                  <to>
                    <xdr:col>29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Length3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7</xdr:row>
                    <xdr:rowOff>0</xdr:rowOff>
                  </from>
                  <to>
                    <xdr:col>29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Length5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12</xdr:row>
                    <xdr:rowOff>66675</xdr:rowOff>
                  </from>
                  <to>
                    <xdr:col>29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Length6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15</xdr:row>
                    <xdr:rowOff>19050</xdr:rowOff>
                  </from>
                  <to>
                    <xdr:col>29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A1618"/>
  <sheetViews>
    <sheetView showGridLines="0" topLeftCell="K1" workbookViewId="0">
      <selection activeCell="M12" sqref="M12"/>
    </sheetView>
  </sheetViews>
  <sheetFormatPr defaultRowHeight="11.25" outlineLevelCol="1" x14ac:dyDescent="0.2"/>
  <cols>
    <col min="1" max="1" width="10" style="33" hidden="1" customWidth="1" outlineLevel="1"/>
    <col min="2" max="2" width="17.28515625" style="33" hidden="1" customWidth="1" outlineLevel="1"/>
    <col min="3" max="3" width="7" style="33" hidden="1" customWidth="1" outlineLevel="1"/>
    <col min="4" max="4" width="17.28515625" style="33" hidden="1" customWidth="1" outlineLevel="1"/>
    <col min="5" max="5" width="6" style="33" hidden="1" customWidth="1" outlineLevel="1"/>
    <col min="6" max="6" width="10" style="33" hidden="1" customWidth="1" outlineLevel="1"/>
    <col min="7" max="7" width="6" style="33" hidden="1" customWidth="1" outlineLevel="1"/>
    <col min="8" max="8" width="8" style="33" hidden="1" customWidth="1" outlineLevel="1"/>
    <col min="9" max="10" width="12" style="33" hidden="1" customWidth="1" outlineLevel="1"/>
    <col min="11" max="11" width="2.7109375" style="33" customWidth="1" collapsed="1"/>
    <col min="12" max="12" width="12" style="33" bestFit="1" customWidth="1"/>
    <col min="13" max="13" width="15.140625" style="33" bestFit="1" customWidth="1"/>
    <col min="14" max="14" width="6" style="33" bestFit="1" customWidth="1"/>
    <col min="15" max="15" width="3" style="33" bestFit="1" customWidth="1"/>
    <col min="16" max="16" width="6" style="33" bestFit="1" customWidth="1"/>
    <col min="17" max="18" width="17.28515625" style="33" bestFit="1" customWidth="1"/>
    <col min="19" max="19" width="17.28515625" style="33" customWidth="1"/>
    <col min="20" max="22" width="9.7109375" style="33" customWidth="1"/>
    <col min="23" max="25" width="9" style="33" hidden="1" customWidth="1" outlineLevel="1"/>
    <col min="26" max="26" width="12" style="33" customWidth="1" collapsed="1"/>
    <col min="27" max="27" width="12" style="33" customWidth="1"/>
    <col min="28" max="32" width="9.140625" style="33"/>
    <col min="33" max="33" width="15.140625" style="33" bestFit="1" customWidth="1"/>
    <col min="34" max="35" width="9.140625" style="33"/>
    <col min="36" max="36" width="13.140625" style="33" bestFit="1" customWidth="1"/>
    <col min="37" max="16384" width="9.140625" style="33"/>
  </cols>
  <sheetData>
    <row r="1" spans="1:27" x14ac:dyDescent="0.2">
      <c r="A1" s="14" t="s">
        <v>25</v>
      </c>
      <c r="B1" s="14"/>
      <c r="C1" s="14"/>
      <c r="D1" s="14"/>
      <c r="E1" s="14"/>
      <c r="F1" s="14" t="s">
        <v>26</v>
      </c>
      <c r="G1" s="14"/>
      <c r="H1" s="14"/>
      <c r="I1" s="14"/>
      <c r="J1" s="14"/>
      <c r="T1" s="42"/>
      <c r="U1" s="42"/>
      <c r="V1" s="34"/>
      <c r="W1" s="34"/>
      <c r="X1" s="34"/>
      <c r="Y1" s="34"/>
    </row>
    <row r="2" spans="1:27" ht="22.5" customHeight="1" x14ac:dyDescent="0.2">
      <c r="A2" s="15" t="s">
        <v>27</v>
      </c>
      <c r="B2" s="15" t="s">
        <v>28</v>
      </c>
      <c r="C2" s="15" t="s">
        <v>29</v>
      </c>
      <c r="D2" s="15" t="s">
        <v>30</v>
      </c>
      <c r="E2" s="15" t="s">
        <v>31</v>
      </c>
      <c r="F2" s="15" t="s">
        <v>28</v>
      </c>
      <c r="G2" s="15" t="s">
        <v>30</v>
      </c>
      <c r="H2" s="15" t="s">
        <v>31</v>
      </c>
      <c r="I2" s="15" t="s">
        <v>32</v>
      </c>
      <c r="J2" s="15" t="s">
        <v>33</v>
      </c>
      <c r="Q2" s="45" t="s">
        <v>22</v>
      </c>
      <c r="R2" s="45" t="s">
        <v>23</v>
      </c>
      <c r="S2" s="45" t="s">
        <v>55</v>
      </c>
      <c r="T2" s="45" t="s">
        <v>24</v>
      </c>
      <c r="U2" s="45" t="str">
        <f>"F "&amp;$M$3</f>
        <v>F 3M</v>
      </c>
      <c r="V2" s="45" t="s">
        <v>36</v>
      </c>
      <c r="W2" s="45" t="s">
        <v>37</v>
      </c>
      <c r="X2" s="45" t="s">
        <v>56</v>
      </c>
      <c r="Y2" s="45" t="s">
        <v>44</v>
      </c>
      <c r="Z2" s="45" t="s">
        <v>43</v>
      </c>
      <c r="AA2" s="45" t="s">
        <v>52</v>
      </c>
    </row>
    <row r="3" spans="1:27" x14ac:dyDescent="0.2">
      <c r="A3" s="18" t="str">
        <f>_xll.qlPeriodEquivalent(C3&amp;"M")</f>
        <v>1Y</v>
      </c>
      <c r="B3" s="10">
        <f>_xll.qlDateEndOfMonth(EDATE(_xll.qlSettingsEvaluationDate(Trigger),-1))</f>
        <v>42155</v>
      </c>
      <c r="C3" s="11">
        <v>12</v>
      </c>
      <c r="D3" s="10">
        <f>EDATE($Q$3,C3)</f>
        <v>42525</v>
      </c>
      <c r="E3" s="12">
        <f>IF(C3&lt;=12,1,IF(C3&lt;=24,3,IF(C3&lt;=120,6,IF(C3&lt;=240,12,IF(C3&lt;=360,36,60)))))</f>
        <v>1</v>
      </c>
      <c r="F3" s="16">
        <f>ROUNDDOWN(I3*10,2)/10</f>
        <v>1E-3</v>
      </c>
      <c r="G3" s="17">
        <f>IF(J3-I3&gt;1%,(QUOTIENT(J3*10000,50)+1)*0.5%,(QUOTIENT(J3*10000,10)+1)*0.1%)</f>
        <v>2E-3</v>
      </c>
      <c r="H3" s="12">
        <f>IF(G3-F3&lt;0.5%,0.025%,IF(G3-F3&lt;1%,0.1%,IF(G3-F3&lt;2%,0.25%,0.5%)))</f>
        <v>2.5000000000000001E-4</v>
      </c>
      <c r="I3" s="17">
        <f>MIN(_xll.ohPack($V$3:INDEX($V$3:$V$135,MATCH(D3+1,$R$3:$R$135,1),1)))</f>
        <v>1.1201574658142358E-3</v>
      </c>
      <c r="J3" s="17">
        <f>MAX(_xll.ohPack($V$3:INDEX($V$3:$V$135,MATCH(D3+1,$R$3:$R$135,1),1)))</f>
        <v>1.4071263906107155E-3</v>
      </c>
      <c r="L3" s="46" t="s">
        <v>21</v>
      </c>
      <c r="M3" s="35" t="s">
        <v>0</v>
      </c>
      <c r="N3" s="36"/>
      <c r="O3" s="33">
        <v>0</v>
      </c>
      <c r="P3" s="26" t="str">
        <f>O3&amp;"M"</f>
        <v>0M</v>
      </c>
      <c r="Q3" s="28">
        <f>EvaluationDate</f>
        <v>42159</v>
      </c>
      <c r="R3" s="28">
        <f>_xll.qlInterestRateIndexValueDate(Index,Q3,Trigger)</f>
        <v>42163</v>
      </c>
      <c r="S3" s="28">
        <f>_xll.qlInterestRateIndexMaturity(Index,R3,Trigger)</f>
        <v>42255</v>
      </c>
      <c r="T3" s="30">
        <f>_xll.qlIndexFixing($M$6,Q3,,InterestRatesTrigger)</f>
        <v>-1.2501574658142357E-3</v>
      </c>
      <c r="U3" s="30">
        <f>_xll.qlIndexFixing(Index,Q3,,InterestRatesTrigger)</f>
        <v>-1.2999999999999999E-4</v>
      </c>
      <c r="V3" s="30">
        <f>U3-T3</f>
        <v>1.1201574658142358E-3</v>
      </c>
      <c r="W3" s="29">
        <f>_xll.qlDayCounterYearFraction(DayCounter,SettlementDate,R3,,,Trigger)</f>
        <v>0</v>
      </c>
      <c r="X3" s="29">
        <f>_xll.qlDayCounterYearFraction(DayCounter,R3,S3)</f>
        <v>0.25555555555555554</v>
      </c>
      <c r="Y3" s="29">
        <f>_xll.qlYieldTSDiscount(Currency&amp;"ON",R3)/(1+U3*X3)</f>
        <v>1.0000454460758696</v>
      </c>
      <c r="Z3" s="30">
        <f>_xll.qlTenorBasisValue(TenorBasis6M,R3,InterestRatesTrigger)</f>
        <v>1.144633461533974E-3</v>
      </c>
      <c r="AA3" s="30">
        <f>V3-Z3</f>
        <v>-2.4475995719738146E-5</v>
      </c>
    </row>
    <row r="4" spans="1:27" x14ac:dyDescent="0.2">
      <c r="A4" s="18" t="str">
        <f>_xll.qlPeriodEquivalent(C4&amp;"M")</f>
        <v>2Y</v>
      </c>
      <c r="B4" s="10">
        <f>_xll.qlDateEndOfMonth(EDATE(_xll.qlIMMNextDate(_xll.qlSettingsEvaluationDate(Trigger)-1,TRUE),-3))</f>
        <v>42094</v>
      </c>
      <c r="C4" s="11">
        <v>24</v>
      </c>
      <c r="D4" s="10">
        <f t="shared" ref="D4:D9" si="0">EDATE($Q$3,C4)</f>
        <v>42890</v>
      </c>
      <c r="E4" s="12">
        <f t="shared" ref="E4:E9" si="1">IF(C4&lt;=12,1,IF(C4&lt;=24,3,IF(C4&lt;=120,6,IF(C4&lt;=240,12,IF(C4&lt;=360,36,60)))))</f>
        <v>3</v>
      </c>
      <c r="F4" s="16">
        <f t="shared" ref="F4:F9" si="2">ROUNDDOWN(I4*10,2)/10</f>
        <v>1E-3</v>
      </c>
      <c r="G4" s="17">
        <f t="shared" ref="G4:G9" si="3">IF(J4-I4&gt;1%,(QUOTIENT(J4*10000,50)+1)*0.5%,(QUOTIENT(J4*10000,10)+1)*0.1%)</f>
        <v>2E-3</v>
      </c>
      <c r="H4" s="12">
        <f t="shared" ref="H4:H9" si="4">IF(G4-F4&lt;0.5%,0.025%,IF(G4-F4&lt;1%,0.1%,IF(G4-F4&lt;2%,0.25%,0.5%)))</f>
        <v>2.5000000000000001E-4</v>
      </c>
      <c r="I4" s="17">
        <f>MIN(_xll.ohPack($V$3:INDEX($V$3:$V$135,MATCH(D4+1,$R$3:$R$135,1),1)))</f>
        <v>1.1201574658142358E-3</v>
      </c>
      <c r="J4" s="17">
        <f>MAX(_xll.ohPack($V$3:INDEX($V$3:$V$135,MATCH(D4+1,$R$3:$R$135,1),1)))</f>
        <v>1.5145999534220264E-3</v>
      </c>
      <c r="N4" s="36"/>
      <c r="O4" s="33">
        <v>1</v>
      </c>
      <c r="P4" s="26" t="str">
        <f>_xll.qlPeriodEquivalent(P3&amp;"+"&amp;O4&amp;"M")</f>
        <v>1M</v>
      </c>
      <c r="Q4" s="28">
        <f>_xll.qlCalendarAdvance(Calendar,SettlementDate,P4,"f",,Trigger)</f>
        <v>42193</v>
      </c>
      <c r="R4" s="28">
        <f>_xll.qlInterestRateIndexValueDate(Index,Q4,Trigger)</f>
        <v>42195</v>
      </c>
      <c r="S4" s="28">
        <f>_xll.qlInterestRateIndexMaturity(Index,R4,Trigger)</f>
        <v>42289</v>
      </c>
      <c r="T4" s="30">
        <f>_xll.qlIndexFixing($M$6,Q4,,InterestRatesTrigger)</f>
        <v>-1.2828402041264063E-3</v>
      </c>
      <c r="U4" s="30">
        <f>_xll.qlIndexFixing(Index,Q4,,InterestRatesTrigger)</f>
        <v>-9.2354782887654394E-5</v>
      </c>
      <c r="V4" s="30">
        <f t="shared" ref="V4:V67" si="5">U4-T4</f>
        <v>1.1904854212387518E-3</v>
      </c>
      <c r="W4" s="29">
        <f>_xll.qlDayCounterYearFraction(DayCounter,SettlementDate,R4,,,Trigger)</f>
        <v>8.8888888888888892E-2</v>
      </c>
      <c r="X4" s="29">
        <f>_xll.qlDayCounterYearFraction(DayCounter,R4,S4)</f>
        <v>0.26111111111111113</v>
      </c>
      <c r="Y4" s="29">
        <f>_xll.qlYieldTSDiscount(Currency&amp;"ON",R4)/(1+U4*X4)</f>
        <v>1.0001426918800591</v>
      </c>
      <c r="Z4" s="30">
        <f>_xll.qlTenorBasisValue(TenorBasis6M,R4,InterestRatesTrigger)</f>
        <v>1.1696634930767049E-3</v>
      </c>
      <c r="AA4" s="30">
        <f t="shared" ref="AA4:AA67" si="6">V4-Z4</f>
        <v>2.0821928162046864E-5</v>
      </c>
    </row>
    <row r="5" spans="1:27" x14ac:dyDescent="0.2">
      <c r="A5" s="18" t="str">
        <f>_xll.qlPeriodEquivalent(C5&amp;"M")</f>
        <v>5Y</v>
      </c>
      <c r="B5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5" s="11">
        <v>60</v>
      </c>
      <c r="D5" s="10">
        <f t="shared" si="0"/>
        <v>43986</v>
      </c>
      <c r="E5" s="12">
        <f t="shared" si="1"/>
        <v>6</v>
      </c>
      <c r="F5" s="16">
        <f t="shared" si="2"/>
        <v>1E-3</v>
      </c>
      <c r="G5" s="17">
        <f t="shared" si="3"/>
        <v>2E-3</v>
      </c>
      <c r="H5" s="12">
        <f t="shared" si="4"/>
        <v>2.5000000000000001E-4</v>
      </c>
      <c r="I5" s="17">
        <f>MIN(_xll.ohPack($V$3:INDEX($V$3:$V$135,MATCH(D5+1,$R$3:$R$135,1),1)))</f>
        <v>1.1201574658142358E-3</v>
      </c>
      <c r="J5" s="17">
        <f>MAX(_xll.ohPack($V$3:INDEX($V$3:$V$135,MATCH(D5+1,$R$3:$R$135,1),1)))</f>
        <v>1.5900421762701186E-3</v>
      </c>
      <c r="L5" s="46" t="s">
        <v>20</v>
      </c>
      <c r="M5" s="35" t="str">
        <f>PROPER(Currency)&amp;IborType&amp;M3</f>
        <v>Euribor3M</v>
      </c>
      <c r="O5" s="33">
        <v>1</v>
      </c>
      <c r="P5" s="27" t="str">
        <f>_xll.qlPeriodEquivalent(P4&amp;"+"&amp;O5&amp;"M")</f>
        <v>2M</v>
      </c>
      <c r="Q5" s="28">
        <f>_xll.qlCalendarAdvance(Calendar,SettlementDate,P5,"f",,Trigger)</f>
        <v>42226</v>
      </c>
      <c r="R5" s="28">
        <f>_xll.qlInterestRateIndexValueDate(Index,Q5,Trigger)</f>
        <v>42228</v>
      </c>
      <c r="S5" s="28">
        <f>_xll.qlInterestRateIndexMaturity(Index,R5,Trigger)</f>
        <v>42320</v>
      </c>
      <c r="T5" s="30">
        <f>_xll.qlIndexFixing($M$6,Q5,,InterestRatesTrigger)</f>
        <v>-1.2870976140093486E-3</v>
      </c>
      <c r="U5" s="30">
        <f>_xll.qlIndexFixing(Index,Q5,,InterestRatesTrigger)</f>
        <v>-2.5634010628074733E-5</v>
      </c>
      <c r="V5" s="30">
        <f t="shared" si="5"/>
        <v>1.261463603381274E-3</v>
      </c>
      <c r="W5" s="29">
        <f>_xll.qlDayCounterYearFraction(DayCounter,SettlementDate,R5,,,Trigger)</f>
        <v>0.18055555555555555</v>
      </c>
      <c r="X5" s="29">
        <f>_xll.qlDayCounterYearFraction(DayCounter,R5,S5)</f>
        <v>0.25555555555555554</v>
      </c>
      <c r="Y5" s="29">
        <f>_xll.qlYieldTSDiscount(Currency&amp;"ON",R5)/(1+U5*X5)</f>
        <v>1.0002412174147268</v>
      </c>
      <c r="Z5" s="30">
        <f>_xll.qlTenorBasisValue(TenorBasis6M,R5,InterestRatesTrigger)</f>
        <v>1.1944828965299934E-3</v>
      </c>
      <c r="AA5" s="30">
        <f t="shared" si="6"/>
        <v>6.6980706851280537E-5</v>
      </c>
    </row>
    <row r="6" spans="1:27" x14ac:dyDescent="0.2">
      <c r="A6" s="18" t="str">
        <f>_xll.qlPeriodEquivalent(C6&amp;"M")</f>
        <v>10Y</v>
      </c>
      <c r="B6" s="10">
        <f t="shared" ref="B6:B9" si="7">B5</f>
        <v>42004</v>
      </c>
      <c r="C6" s="11">
        <v>120</v>
      </c>
      <c r="D6" s="10">
        <f t="shared" si="0"/>
        <v>45812</v>
      </c>
      <c r="E6" s="12">
        <f t="shared" si="1"/>
        <v>6</v>
      </c>
      <c r="F6" s="16">
        <f t="shared" si="2"/>
        <v>1E-3</v>
      </c>
      <c r="G6" s="17">
        <f t="shared" si="3"/>
        <v>2E-3</v>
      </c>
      <c r="H6" s="12">
        <f t="shared" si="4"/>
        <v>2.5000000000000001E-4</v>
      </c>
      <c r="I6" s="17">
        <f>MIN(_xll.ohPack($V$3:INDEX($V$3:$V$135,MATCH(D6+1,$R$3:$R$135,1),1)))</f>
        <v>1.1198810328393941E-3</v>
      </c>
      <c r="J6" s="17">
        <f>MAX(_xll.ohPack($V$3:INDEX($V$3:$V$135,MATCH(D6+1,$R$3:$R$135,1),1)))</f>
        <v>1.5900421762701186E-3</v>
      </c>
      <c r="L6" s="46" t="str">
        <f>"ON Index "&amp;$M$3</f>
        <v>ON Index 3M</v>
      </c>
      <c r="M6" s="35" t="str">
        <f>_xll.qlIborIndex(,,M3,2,Currency,Calendar,"mf",TRUE,DayCounter,Currency&amp;"ON",,Trigger)</f>
        <v>obj_00846#0001</v>
      </c>
      <c r="N6" s="34"/>
      <c r="O6" s="33">
        <v>1</v>
      </c>
      <c r="P6" s="27" t="str">
        <f>_xll.qlPeriodEquivalent(P5&amp;"+"&amp;O6&amp;"M")</f>
        <v>3M</v>
      </c>
      <c r="Q6" s="28">
        <f>_xll.qlCalendarAdvance(Calendar,SettlementDate,P6,"f",,Trigger)</f>
        <v>42255</v>
      </c>
      <c r="R6" s="28">
        <f>_xll.qlInterestRateIndexValueDate(Index,Q6,Trigger)</f>
        <v>42257</v>
      </c>
      <c r="S6" s="28">
        <f>_xll.qlInterestRateIndexMaturity(Index,R6,Trigger)</f>
        <v>42348</v>
      </c>
      <c r="T6" s="30">
        <f>_xll.qlIndexFixing($M$6,Q6,,InterestRatesTrigger)</f>
        <v>-1.2998084458236948E-3</v>
      </c>
      <c r="U6" s="30">
        <f>_xll.qlIndexFixing(Index,Q6,,InterestRatesTrigger)</f>
        <v>1.8933227632722174E-5</v>
      </c>
      <c r="V6" s="30">
        <f t="shared" si="5"/>
        <v>1.3187416734564169E-3</v>
      </c>
      <c r="W6" s="29">
        <f>_xll.qlDayCounterYearFraction(DayCounter,SettlementDate,R6,,,Trigger)</f>
        <v>0.26111111111111113</v>
      </c>
      <c r="X6" s="29">
        <f>_xll.qlDayCounterYearFraction(DayCounter,R6,S6)</f>
        <v>0.25277777777777777</v>
      </c>
      <c r="Y6" s="29">
        <f>_xll.qlYieldTSDiscount(Currency&amp;"ON",R6)/(1+U6*X6)</f>
        <v>1.0003342144024836</v>
      </c>
      <c r="Z6" s="30">
        <f>_xll.qlTenorBasisValue(TenorBasis6M,R6,InterestRatesTrigger)</f>
        <v>1.2154810901933324E-3</v>
      </c>
      <c r="AA6" s="30">
        <f t="shared" si="6"/>
        <v>1.0326058326308452E-4</v>
      </c>
    </row>
    <row r="7" spans="1:27" x14ac:dyDescent="0.2">
      <c r="A7" s="18" t="str">
        <f>_xll.qlPeriodEquivalent(C7&amp;"M")</f>
        <v>20Y</v>
      </c>
      <c r="B7" s="10">
        <f>IF(AND(MONTH(B6)=12),B6,_xll.qlDateEndOfMonth(EDATE(B6,-6)))</f>
        <v>42004</v>
      </c>
      <c r="C7" s="11">
        <v>240</v>
      </c>
      <c r="D7" s="10">
        <f t="shared" si="0"/>
        <v>49464</v>
      </c>
      <c r="E7" s="13">
        <f t="shared" si="1"/>
        <v>12</v>
      </c>
      <c r="F7" s="16">
        <f t="shared" si="2"/>
        <v>0</v>
      </c>
      <c r="G7" s="17">
        <f t="shared" si="3"/>
        <v>2E-3</v>
      </c>
      <c r="H7" s="12">
        <f t="shared" si="4"/>
        <v>2.5000000000000001E-4</v>
      </c>
      <c r="I7" s="17">
        <f>MIN(_xll.ohPack($V$3:INDEX($V$3:$V$135,MATCH(D7+1,$R$3:$R$135,1),1)))</f>
        <v>5.9834046204123095E-4</v>
      </c>
      <c r="J7" s="17">
        <f>MAX(_xll.ohPack($V$3:INDEX($V$3:$V$135,MATCH(D7+1,$R$3:$R$135,1),1)))</f>
        <v>1.5900421762701186E-3</v>
      </c>
      <c r="O7" s="33">
        <v>1</v>
      </c>
      <c r="P7" s="27" t="str">
        <f>_xll.qlPeriodEquivalent(P6&amp;"+"&amp;O7&amp;"M")</f>
        <v>4M</v>
      </c>
      <c r="Q7" s="28">
        <f>_xll.qlCalendarAdvance(Calendar,SettlementDate,P7,"f",,Trigger)</f>
        <v>42285</v>
      </c>
      <c r="R7" s="28">
        <f>_xll.qlInterestRateIndexValueDate(Index,Q7,Trigger)</f>
        <v>42289</v>
      </c>
      <c r="S7" s="28">
        <f>_xll.qlInterestRateIndexMaturity(Index,R7,Trigger)</f>
        <v>42381</v>
      </c>
      <c r="T7" s="30">
        <f>_xll.qlIndexFixing($M$6,Q7,,InterestRatesTrigger)</f>
        <v>-1.2426180338654803E-3</v>
      </c>
      <c r="U7" s="30">
        <f>_xll.qlIndexFixing(Index,Q7,,InterestRatesTrigger)</f>
        <v>1.2000618199691856E-4</v>
      </c>
      <c r="V7" s="30">
        <f t="shared" si="5"/>
        <v>1.3626242158623989E-3</v>
      </c>
      <c r="W7" s="29">
        <f>_xll.qlDayCounterYearFraction(DayCounter,SettlementDate,R7,,,Trigger)</f>
        <v>0.35</v>
      </c>
      <c r="X7" s="29">
        <f>_xll.qlDayCounterYearFraction(DayCounter,R7,S7)</f>
        <v>0.25555555555555554</v>
      </c>
      <c r="Y7" s="29">
        <f>_xll.qlYieldTSDiscount(Currency&amp;"ON",R7)/(1+U7*X7)</f>
        <v>1.0004230081602696</v>
      </c>
      <c r="Z7" s="30">
        <f>_xll.qlTenorBasisValue(TenorBasis6M,R7,InterestRatesTrigger)</f>
        <v>1.2377897460193776E-3</v>
      </c>
      <c r="AA7" s="30">
        <f t="shared" si="6"/>
        <v>1.2483446984302136E-4</v>
      </c>
    </row>
    <row r="8" spans="1:27" x14ac:dyDescent="0.2">
      <c r="A8" s="18" t="str">
        <f>_xll.qlPeriodEquivalent(C8&amp;"M")</f>
        <v>30Y</v>
      </c>
      <c r="B8" s="10">
        <f t="shared" si="7"/>
        <v>42004</v>
      </c>
      <c r="C8" s="11">
        <v>360</v>
      </c>
      <c r="D8" s="10">
        <f t="shared" si="0"/>
        <v>53117</v>
      </c>
      <c r="E8" s="13">
        <f t="shared" si="1"/>
        <v>36</v>
      </c>
      <c r="F8" s="16">
        <f t="shared" si="2"/>
        <v>0</v>
      </c>
      <c r="G8" s="17">
        <f t="shared" si="3"/>
        <v>2E-3</v>
      </c>
      <c r="H8" s="12">
        <f t="shared" si="4"/>
        <v>2.5000000000000001E-4</v>
      </c>
      <c r="I8" s="17">
        <f>MIN(_xll.ohPack($V$3:INDEX($V$3:$V$135,MATCH(D8+1,$R$3:$R$135,1),1)))</f>
        <v>3.1778635339973355E-4</v>
      </c>
      <c r="J8" s="17">
        <f>MAX(_xll.ohPack($V$3:INDEX($V$3:$V$135,MATCH(D8+1,$R$3:$R$135,1),1)))</f>
        <v>1.5900421762701186E-3</v>
      </c>
      <c r="L8" s="46" t="s">
        <v>39</v>
      </c>
      <c r="M8" s="43">
        <v>1.1162939349235233E-3</v>
      </c>
      <c r="N8" s="33" t="b">
        <v>0</v>
      </c>
      <c r="O8" s="33">
        <v>1</v>
      </c>
      <c r="P8" s="27" t="str">
        <f>_xll.qlPeriodEquivalent(P7&amp;"+"&amp;O8&amp;"M")</f>
        <v>5M</v>
      </c>
      <c r="Q8" s="28">
        <f>_xll.qlCalendarAdvance(Calendar,SettlementDate,P8,"f",,Trigger)</f>
        <v>42317</v>
      </c>
      <c r="R8" s="28">
        <f>_xll.qlInterestRateIndexValueDate(Index,Q8,Trigger)</f>
        <v>42319</v>
      </c>
      <c r="S8" s="28">
        <f>_xll.qlInterestRateIndexMaturity(Index,R8,Trigger)</f>
        <v>42411</v>
      </c>
      <c r="T8" s="30">
        <f>_xll.qlIndexFixing($M$6,Q8,,InterestRatesTrigger)</f>
        <v>-1.2197822323592093E-3</v>
      </c>
      <c r="U8" s="30">
        <f>_xll.qlIndexFixing(Index,Q8,,InterestRatesTrigger)</f>
        <v>1.4878155045711347E-4</v>
      </c>
      <c r="V8" s="30">
        <f t="shared" si="5"/>
        <v>1.3685637828163228E-3</v>
      </c>
      <c r="W8" s="29">
        <f>_xll.qlDayCounterYearFraction(DayCounter,SettlementDate,R8,,,Trigger)</f>
        <v>0.43333333333333335</v>
      </c>
      <c r="X8" s="29">
        <f>_xll.qlDayCounterYearFraction(DayCounter,R8,S8)</f>
        <v>0.25555555555555554</v>
      </c>
      <c r="Y8" s="29">
        <f>_xll.qlYieldTSDiscount(Currency&amp;"ON",R8)/(1+U8*X8)</f>
        <v>1.0005220208255141</v>
      </c>
      <c r="Z8" s="30">
        <f>_xll.qlTenorBasisValue(TenorBasis6M,R8,InterestRatesTrigger)</f>
        <v>1.2579016329543708E-3</v>
      </c>
      <c r="AA8" s="30">
        <f t="shared" si="6"/>
        <v>1.1066214986195193E-4</v>
      </c>
    </row>
    <row r="9" spans="1:27" x14ac:dyDescent="0.2">
      <c r="A9" s="19" t="str">
        <f>_xll.qlPeriodEquivalent(C9&amp;"M")</f>
        <v>60Y</v>
      </c>
      <c r="B9" s="20">
        <f t="shared" si="7"/>
        <v>42004</v>
      </c>
      <c r="C9" s="21">
        <v>720</v>
      </c>
      <c r="D9" s="20">
        <f t="shared" si="0"/>
        <v>64074</v>
      </c>
      <c r="E9" s="22">
        <f t="shared" si="1"/>
        <v>60</v>
      </c>
      <c r="F9" s="23">
        <f t="shared" si="2"/>
        <v>0</v>
      </c>
      <c r="G9" s="24">
        <f t="shared" si="3"/>
        <v>2E-3</v>
      </c>
      <c r="H9" s="25">
        <f t="shared" si="4"/>
        <v>2.5000000000000001E-4</v>
      </c>
      <c r="I9" s="24">
        <f>MIN(_xll.ohPack($V$3:INDEX($V$3:$V$135,MATCH(D9+1,$R$3:$R$135,1),1)))</f>
        <v>3.1070829907203432E-4</v>
      </c>
      <c r="J9" s="24">
        <f>MAX(_xll.ohPack($V$3:INDEX($V$3:$V$135,MATCH(D9+1,$R$3:$R$135,1),1)))</f>
        <v>1.5900421762701186E-3</v>
      </c>
      <c r="L9" s="46" t="s">
        <v>40</v>
      </c>
      <c r="M9" s="44">
        <v>3.1623773038383791E-4</v>
      </c>
      <c r="N9" s="33" t="b">
        <v>0</v>
      </c>
      <c r="O9" s="33">
        <v>1</v>
      </c>
      <c r="P9" s="27" t="str">
        <f>_xll.qlPeriodEquivalent(P8&amp;"+"&amp;O9&amp;"M")</f>
        <v>6M</v>
      </c>
      <c r="Q9" s="28">
        <f>_xll.qlCalendarAdvance(Calendar,SettlementDate,P9,"f",,Trigger)</f>
        <v>42346</v>
      </c>
      <c r="R9" s="28">
        <f>_xll.qlInterestRateIndexValueDate(Index,Q9,Trigger)</f>
        <v>42348</v>
      </c>
      <c r="S9" s="28">
        <f>_xll.qlInterestRateIndexMaturity(Index,R9,Trigger)</f>
        <v>42439</v>
      </c>
      <c r="T9" s="30">
        <f>_xll.qlIndexFixing($M$6,Q9,,InterestRatesTrigger)</f>
        <v>-1.1898886796848581E-3</v>
      </c>
      <c r="U9" s="30">
        <f>_xll.qlIndexFixing(Index,Q9,,InterestRatesTrigger)</f>
        <v>1.68687217867081E-4</v>
      </c>
      <c r="V9" s="30">
        <f t="shared" si="5"/>
        <v>1.3585758975519391E-3</v>
      </c>
      <c r="W9" s="29">
        <f>_xll.qlDayCounterYearFraction(DayCounter,SettlementDate,R9,,,Trigger)</f>
        <v>0.51388888888888884</v>
      </c>
      <c r="X9" s="29">
        <f>_xll.qlDayCounterYearFraction(DayCounter,R9,S9)</f>
        <v>0.25277777777777777</v>
      </c>
      <c r="Y9" s="29">
        <f>_xll.qlYieldTSDiscount(Currency&amp;"ON",R9)/(1+U9*X9)</f>
        <v>1.0006251169652904</v>
      </c>
      <c r="Z9" s="30">
        <f>_xll.qlTenorBasisValue(TenorBasis6M,R9,InterestRatesTrigger)</f>
        <v>1.2766217758805425E-3</v>
      </c>
      <c r="AA9" s="30">
        <f t="shared" si="6"/>
        <v>8.1954121671396667E-5</v>
      </c>
    </row>
    <row r="10" spans="1:27" x14ac:dyDescent="0.2">
      <c r="A10" s="18" t="str">
        <f>_xll.qlPeriodEquivalent(C10&amp;"M")</f>
        <v>1Y</v>
      </c>
      <c r="B10" s="10">
        <f>_xll.qlDateEndOfMonth(EDATE(_xll.qlSettingsEvaluationDate(Trigger),-1))</f>
        <v>42155</v>
      </c>
      <c r="C10" s="11">
        <v>12</v>
      </c>
      <c r="D10" s="10">
        <f>EDATE($Q$3,C10)</f>
        <v>42525</v>
      </c>
      <c r="E10" s="12">
        <f>IF(C10&lt;=12,1,IF(C10&lt;=24,3,IF(C10&lt;=120,6,IF(C10&lt;=240,12,IF(C10&lt;=360,36,60)))))</f>
        <v>1</v>
      </c>
      <c r="F10" s="16">
        <f>ROUNDDOWN(I10*10,2)/10</f>
        <v>1E-3</v>
      </c>
      <c r="G10" s="17">
        <f>IF(J10-I10&gt;1%,(QUOTIENT(J10*10000,50)+1)*0.5%,(QUOTIENT(J10*10000,10)+1)*0.1%)</f>
        <v>2E-3</v>
      </c>
      <c r="H10" s="12">
        <f>IF(G10-F10&lt;0.5%,0.025%,IF(G10-F10&lt;1%,0.1%,IF(G10-F10&lt;2%,0.25%,0.5%)))</f>
        <v>2.5000000000000001E-4</v>
      </c>
      <c r="I10" s="17">
        <f>MIN(_xll.ohPack($V$3:INDEX($V$3:$V$135,MATCH(D10+1,$R$3:$R$135,1),1)))</f>
        <v>1.1201574658142358E-3</v>
      </c>
      <c r="J10" s="17">
        <f>MAX(_xll.ohPack($V$3:INDEX($V$3:$V$135,MATCH(D10+1,$R$3:$R$135,1),1)))</f>
        <v>1.4071263906107155E-3</v>
      </c>
      <c r="L10" s="46" t="s">
        <v>41</v>
      </c>
      <c r="M10" s="44">
        <v>0.17</v>
      </c>
      <c r="N10" s="33" t="b">
        <v>1</v>
      </c>
      <c r="O10" s="33">
        <v>1</v>
      </c>
      <c r="P10" s="27" t="str">
        <f>_xll.qlPeriodEquivalent(P9&amp;"+"&amp;O10&amp;"M")</f>
        <v>7M</v>
      </c>
      <c r="Q10" s="28">
        <f>_xll.qlCalendarAdvance(Calendar,SettlementDate,P10,"f",,Trigger)</f>
        <v>42377</v>
      </c>
      <c r="R10" s="28">
        <f>_xll.qlInterestRateIndexValueDate(Index,Q10,Trigger)</f>
        <v>42381</v>
      </c>
      <c r="S10" s="28">
        <f>_xll.qlInterestRateIndexMaturity(Index,R10,Trigger)</f>
        <v>42472</v>
      </c>
      <c r="T10" s="30">
        <f>_xll.qlIndexFixing($M$6,Q10,,InterestRatesTrigger)</f>
        <v>-1.1728886165685137E-3</v>
      </c>
      <c r="U10" s="30">
        <f>_xll.qlIndexFixing(Index,Q10,,InterestRatesTrigger)</f>
        <v>1.6228155786816598E-4</v>
      </c>
      <c r="V10" s="30">
        <f t="shared" si="5"/>
        <v>1.3351701744366796E-3</v>
      </c>
      <c r="W10" s="29">
        <f>_xll.qlDayCounterYearFraction(DayCounter,SettlementDate,R10,,,Trigger)</f>
        <v>0.60555555555555551</v>
      </c>
      <c r="X10" s="29">
        <f>_xll.qlDayCounterYearFraction(DayCounter,R10,S10)</f>
        <v>0.25277777777777777</v>
      </c>
      <c r="Y10" s="29">
        <f>_xll.qlYieldTSDiscount(Currency&amp;"ON",R10)/(1+U10*X10)</f>
        <v>1.000730441180073</v>
      </c>
      <c r="Z10" s="30">
        <f>_xll.qlTenorBasisValue(TenorBasis6M,R10,InterestRatesTrigger)</f>
        <v>1.2970813864993898E-3</v>
      </c>
      <c r="AA10" s="30">
        <f t="shared" si="6"/>
        <v>3.8088787937289774E-5</v>
      </c>
    </row>
    <row r="11" spans="1:27" x14ac:dyDescent="0.2">
      <c r="A11" s="18" t="str">
        <f>_xll.qlPeriodEquivalent(C11&amp;"M")</f>
        <v>2Y</v>
      </c>
      <c r="B11" s="10">
        <f>_xll.qlDateEndOfMonth(EDATE(_xll.qlIMMNextDate(_xll.qlSettingsEvaluationDate(Trigger)-1,TRUE),-3))</f>
        <v>42094</v>
      </c>
      <c r="C11" s="11">
        <v>24</v>
      </c>
      <c r="D11" s="10">
        <f t="shared" ref="D11:D16" si="8">EDATE($Q$3,C11)</f>
        <v>42890</v>
      </c>
      <c r="E11" s="12">
        <f t="shared" ref="E11:E16" si="9">IF(C11&lt;=12,1,IF(C11&lt;=24,3,IF(C11&lt;=120,6,IF(C11&lt;=240,12,IF(C11&lt;=360,36,60)))))</f>
        <v>3</v>
      </c>
      <c r="F11" s="16">
        <f t="shared" ref="F11:F16" si="10">ROUNDDOWN(I11*10,2)/10</f>
        <v>1E-3</v>
      </c>
      <c r="G11" s="17">
        <f t="shared" ref="G11:G16" si="11">IF(J11-I11&gt;1%,(QUOTIENT(J11*10000,50)+1)*0.5%,(QUOTIENT(J11*10000,10)+1)*0.1%)</f>
        <v>2E-3</v>
      </c>
      <c r="H11" s="12">
        <f t="shared" ref="H11:H16" si="12">IF(G11-F11&lt;0.5%,0.025%,IF(G11-F11&lt;1%,0.1%,IF(G11-F11&lt;2%,0.25%,0.5%)))</f>
        <v>2.5000000000000001E-4</v>
      </c>
      <c r="I11" s="17">
        <f>MIN(_xll.ohPack($V$3:INDEX($V$3:$V$135,MATCH(D11+1,$R$3:$R$135,1),1)))</f>
        <v>1.1201574658142358E-3</v>
      </c>
      <c r="J11" s="17">
        <f>MAX(_xll.ohPack($V$3:INDEX($V$3:$V$135,MATCH(D11+1,$R$3:$R$135,1),1)))</f>
        <v>1.5145999534220264E-3</v>
      </c>
      <c r="L11" s="46" t="s">
        <v>42</v>
      </c>
      <c r="M11" s="43">
        <v>1.2248388953469531E-4</v>
      </c>
      <c r="N11" s="33" t="b">
        <v>0</v>
      </c>
      <c r="O11" s="33">
        <v>1</v>
      </c>
      <c r="P11" s="27" t="str">
        <f>_xll.qlPeriodEquivalent(P10&amp;"+"&amp;O11&amp;"M")</f>
        <v>8M</v>
      </c>
      <c r="Q11" s="28">
        <f>_xll.qlCalendarAdvance(Calendar,SettlementDate,P11,"f",,Trigger)</f>
        <v>42408</v>
      </c>
      <c r="R11" s="28">
        <f>_xll.qlInterestRateIndexValueDate(Index,Q11,Trigger)</f>
        <v>42410</v>
      </c>
      <c r="S11" s="28">
        <f>_xll.qlInterestRateIndexMaturity(Index,R11,Trigger)</f>
        <v>42500</v>
      </c>
      <c r="T11" s="30">
        <f>_xll.qlIndexFixing($M$6,Q11,,InterestRatesTrigger)</f>
        <v>-1.1094100909025961E-3</v>
      </c>
      <c r="U11" s="30">
        <f>_xll.qlIndexFixing(Index,Q11,,InterestRatesTrigger)</f>
        <v>2.3388251598444043E-4</v>
      </c>
      <c r="V11" s="30">
        <f t="shared" si="5"/>
        <v>1.3432926068870366E-3</v>
      </c>
      <c r="W11" s="29">
        <f>_xll.qlDayCounterYearFraction(DayCounter,SettlementDate,R11,,,Trigger)</f>
        <v>0.68611111111111112</v>
      </c>
      <c r="X11" s="29">
        <f>_xll.qlDayCounterYearFraction(DayCounter,R11,S11)</f>
        <v>0.25</v>
      </c>
      <c r="Y11" s="29">
        <f>_xll.qlYieldTSDiscount(Currency&amp;"ON",R11)/(1+U11*X11)</f>
        <v>1.0008100817606782</v>
      </c>
      <c r="Z11" s="30">
        <f>_xll.qlTenorBasisValue(TenorBasis6M,R11,InterestRatesTrigger)</f>
        <v>1.314337573155089E-3</v>
      </c>
      <c r="AA11" s="30">
        <f t="shared" si="6"/>
        <v>2.895503373194757E-5</v>
      </c>
    </row>
    <row r="12" spans="1:27" x14ac:dyDescent="0.2">
      <c r="A12" s="18" t="str">
        <f>_xll.qlPeriodEquivalent(C12&amp;"M")</f>
        <v>5Y</v>
      </c>
      <c r="B12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12" s="11">
        <v>60</v>
      </c>
      <c r="D12" s="10">
        <f t="shared" si="8"/>
        <v>43986</v>
      </c>
      <c r="E12" s="12">
        <f t="shared" si="9"/>
        <v>6</v>
      </c>
      <c r="F12" s="16">
        <f t="shared" si="10"/>
        <v>1E-3</v>
      </c>
      <c r="G12" s="17">
        <f t="shared" si="11"/>
        <v>2E-3</v>
      </c>
      <c r="H12" s="12">
        <f t="shared" si="12"/>
        <v>2.5000000000000001E-4</v>
      </c>
      <c r="I12" s="17">
        <f>MIN(_xll.ohPack($V$3:INDEX($V$3:$V$135,MATCH(D12+1,$R$3:$R$135,1),1)))</f>
        <v>1.1201574658142358E-3</v>
      </c>
      <c r="J12" s="17">
        <f>MAX(_xll.ohPack($V$3:INDEX($V$3:$V$135,MATCH(D12+1,$R$3:$R$135,1),1)))</f>
        <v>1.5900421762701186E-3</v>
      </c>
      <c r="L12" s="46" t="s">
        <v>45</v>
      </c>
      <c r="M12" s="35" t="str">
        <f>_xll.qlAbcdCalibration2(,W3:W253,V3:V253,Y3:Y253,ContBasis,N8:N11,,,,Trigger)</f>
        <v>obj_00875#0014</v>
      </c>
      <c r="N12" s="34"/>
      <c r="O12" s="33">
        <v>1</v>
      </c>
      <c r="P12" s="27" t="str">
        <f>_xll.qlPeriodEquivalent(P11&amp;"+"&amp;O12&amp;"M")</f>
        <v>9M</v>
      </c>
      <c r="Q12" s="28">
        <f>_xll.qlCalendarAdvance(Calendar,SettlementDate,P12,"f",,Trigger)</f>
        <v>42437</v>
      </c>
      <c r="R12" s="28">
        <f>_xll.qlInterestRateIndexValueDate(Index,Q12,Trigger)</f>
        <v>42439</v>
      </c>
      <c r="S12" s="28">
        <f>_xll.qlInterestRateIndexMaturity(Index,R12,Trigger)</f>
        <v>42531</v>
      </c>
      <c r="T12" s="30">
        <f>_xll.qlIndexFixing($M$6,Q12,,InterestRatesTrigger)</f>
        <v>-1.0672381091695858E-3</v>
      </c>
      <c r="U12" s="30">
        <f>_xll.qlIndexFixing(Index,Q12,,InterestRatesTrigger)</f>
        <v>3.0909250842206168E-4</v>
      </c>
      <c r="V12" s="30">
        <f t="shared" si="5"/>
        <v>1.3763306175916474E-3</v>
      </c>
      <c r="W12" s="29">
        <f>_xll.qlDayCounterYearFraction(DayCounter,SettlementDate,R12,,,Trigger)</f>
        <v>0.76666666666666672</v>
      </c>
      <c r="X12" s="29">
        <f>_xll.qlDayCounterYearFraction(DayCounter,R12,S12)</f>
        <v>0.25555555555555554</v>
      </c>
      <c r="Y12" s="29">
        <f>_xll.qlYieldTSDiscount(Currency&amp;"ON",R12)/(1+U12*X12)</f>
        <v>1.0008897922332205</v>
      </c>
      <c r="Z12" s="30">
        <f>_xll.qlTenorBasisValue(TenorBasis6M,R12,InterestRatesTrigger)</f>
        <v>1.3309325736055825E-3</v>
      </c>
      <c r="AA12" s="30">
        <f t="shared" si="6"/>
        <v>4.5398043986064887E-5</v>
      </c>
    </row>
    <row r="13" spans="1:27" x14ac:dyDescent="0.2">
      <c r="A13" s="18" t="str">
        <f>_xll.qlPeriodEquivalent(C13&amp;"M")</f>
        <v>10Y</v>
      </c>
      <c r="B13" s="10">
        <f t="shared" ref="B13:B16" si="13">B12</f>
        <v>42004</v>
      </c>
      <c r="C13" s="11">
        <v>120</v>
      </c>
      <c r="D13" s="10">
        <f t="shared" si="8"/>
        <v>45812</v>
      </c>
      <c r="E13" s="12">
        <f t="shared" si="9"/>
        <v>6</v>
      </c>
      <c r="F13" s="16">
        <f t="shared" si="10"/>
        <v>1E-3</v>
      </c>
      <c r="G13" s="17">
        <f t="shared" si="11"/>
        <v>2E-3</v>
      </c>
      <c r="H13" s="12">
        <f t="shared" si="12"/>
        <v>2.5000000000000001E-4</v>
      </c>
      <c r="I13" s="17">
        <f>MIN(_xll.ohPack($V$3:INDEX($V$3:$V$135,MATCH(D13+1,$R$3:$R$135,1),1)))</f>
        <v>1.1198810328393941E-3</v>
      </c>
      <c r="J13" s="17">
        <f>MAX(_xll.ohPack($V$3:INDEX($V$3:$V$135,MATCH(D13+1,$R$3:$R$135,1),1)))</f>
        <v>1.5900421762701186E-3</v>
      </c>
      <c r="L13" s="46" t="s">
        <v>38</v>
      </c>
      <c r="M13" s="35" t="b">
        <f>_xll.qlAbcdCalibration2Compute(M12,AllTriggers)</f>
        <v>1</v>
      </c>
      <c r="O13" s="33">
        <v>1</v>
      </c>
      <c r="P13" s="27" t="str">
        <f>_xll.qlPeriodEquivalent(P12&amp;"+"&amp;O13&amp;"M")</f>
        <v>10M</v>
      </c>
      <c r="Q13" s="28">
        <f>_xll.qlCalendarAdvance(Calendar,SettlementDate,P13,"f",,Trigger)</f>
        <v>42468</v>
      </c>
      <c r="R13" s="28">
        <f>_xll.qlInterestRateIndexValueDate(Index,Q13,Trigger)</f>
        <v>42472</v>
      </c>
      <c r="S13" s="28">
        <f>_xll.qlInterestRateIndexMaturity(Index,R13,Trigger)</f>
        <v>42563</v>
      </c>
      <c r="T13" s="30">
        <f>_xll.qlIndexFixing($M$6,Q13,,InterestRatesTrigger)</f>
        <v>-1.0338543543633514E-3</v>
      </c>
      <c r="U13" s="30">
        <f>_xll.qlIndexFixing(Index,Q13,,InterestRatesTrigger)</f>
        <v>3.7033548686308957E-4</v>
      </c>
      <c r="V13" s="30">
        <f t="shared" si="5"/>
        <v>1.4041898412264411E-3</v>
      </c>
      <c r="W13" s="29">
        <f>_xll.qlDayCounterYearFraction(DayCounter,SettlementDate,R13,,,Trigger)</f>
        <v>0.85833333333333328</v>
      </c>
      <c r="X13" s="29">
        <f>_xll.qlDayCounterYearFraction(DayCounter,R13,S13)</f>
        <v>0.25277777777777777</v>
      </c>
      <c r="Y13" s="29">
        <f>_xll.qlYieldTSDiscount(Currency&amp;"ON",R13)/(1+U13*X13)</f>
        <v>1.0009745854049965</v>
      </c>
      <c r="Z13" s="30">
        <f>_xll.qlTenorBasisValue(TenorBasis6M,R13,InterestRatesTrigger)</f>
        <v>1.3490308754277791E-3</v>
      </c>
      <c r="AA13" s="30">
        <f t="shared" si="6"/>
        <v>5.5158965798661995E-5</v>
      </c>
    </row>
    <row r="14" spans="1:27" x14ac:dyDescent="0.2">
      <c r="A14" s="18" t="str">
        <f>_xll.qlPeriodEquivalent(C14&amp;"M")</f>
        <v>20Y</v>
      </c>
      <c r="B14" s="10">
        <f>IF(AND(MONTH(B13)=12),B13,_xll.qlDateEndOfMonth(EDATE(B13,-6)))</f>
        <v>42004</v>
      </c>
      <c r="C14" s="11">
        <v>240</v>
      </c>
      <c r="D14" s="10">
        <f t="shared" si="8"/>
        <v>49464</v>
      </c>
      <c r="E14" s="13">
        <f t="shared" si="9"/>
        <v>12</v>
      </c>
      <c r="F14" s="16">
        <f t="shared" si="10"/>
        <v>0</v>
      </c>
      <c r="G14" s="17">
        <f t="shared" si="11"/>
        <v>2E-3</v>
      </c>
      <c r="H14" s="12">
        <f t="shared" si="12"/>
        <v>2.5000000000000001E-4</v>
      </c>
      <c r="I14" s="17">
        <f>MIN(_xll.ohPack($V$3:INDEX($V$3:$V$135,MATCH(D14+1,$R$3:$R$135,1),1)))</f>
        <v>5.9834046204123095E-4</v>
      </c>
      <c r="J14" s="17">
        <f>MAX(_xll.ohPack($V$3:INDEX($V$3:$V$135,MATCH(D14+1,$R$3:$R$135,1),1)))</f>
        <v>1.5900421762701186E-3</v>
      </c>
      <c r="L14" s="46" t="s">
        <v>35</v>
      </c>
      <c r="M14" s="43">
        <f>_xll.qlAbcdCalibration2Error(M12)</f>
        <v>9.1500538637752498E-5</v>
      </c>
      <c r="O14" s="33">
        <v>1</v>
      </c>
      <c r="P14" s="27" t="str">
        <f>_xll.qlPeriodEquivalent(P13&amp;"+"&amp;O14&amp;"M")</f>
        <v>11M</v>
      </c>
      <c r="Q14" s="28">
        <f>_xll.qlCalendarAdvance(Calendar,SettlementDate,P14,"f",,Trigger)</f>
        <v>42499</v>
      </c>
      <c r="R14" s="28">
        <f>_xll.qlInterestRateIndexValueDate(Index,Q14,Trigger)</f>
        <v>42501</v>
      </c>
      <c r="S14" s="28">
        <f>_xll.qlInterestRateIndexMaturity(Index,R14,Trigger)</f>
        <v>42593</v>
      </c>
      <c r="T14" s="30">
        <f>_xll.qlIndexFixing($M$6,Q14,,InterestRatesTrigger)</f>
        <v>-9.9178193337022004E-4</v>
      </c>
      <c r="U14" s="30">
        <f>_xll.qlIndexFixing(Index,Q14,,InterestRatesTrigger)</f>
        <v>4.1534445724049536E-4</v>
      </c>
      <c r="V14" s="30">
        <f t="shared" si="5"/>
        <v>1.4071263906107155E-3</v>
      </c>
      <c r="W14" s="29">
        <f>_xll.qlDayCounterYearFraction(DayCounter,SettlementDate,R14,,,Trigger)</f>
        <v>0.93888888888888888</v>
      </c>
      <c r="X14" s="29">
        <f>_xll.qlDayCounterYearFraction(DayCounter,R14,S14)</f>
        <v>0.25555555555555554</v>
      </c>
      <c r="Y14" s="29">
        <f>_xll.qlYieldTSDiscount(Currency&amp;"ON",R14)/(1+U14*X14)</f>
        <v>1.0010431116820486</v>
      </c>
      <c r="Z14" s="30">
        <f>_xll.qlTenorBasisValue(TenorBasis6M,R14,InterestRatesTrigger)</f>
        <v>1.3642610483266121E-3</v>
      </c>
      <c r="AA14" s="30">
        <f t="shared" si="6"/>
        <v>4.2865342284103408E-5</v>
      </c>
    </row>
    <row r="15" spans="1:27" x14ac:dyDescent="0.2">
      <c r="A15" s="18" t="str">
        <f>_xll.qlPeriodEquivalent(C15&amp;"M")</f>
        <v>30Y</v>
      </c>
      <c r="B15" s="10">
        <f t="shared" si="13"/>
        <v>42004</v>
      </c>
      <c r="C15" s="11">
        <v>360</v>
      </c>
      <c r="D15" s="10">
        <f t="shared" si="8"/>
        <v>53117</v>
      </c>
      <c r="E15" s="13">
        <f t="shared" si="9"/>
        <v>36</v>
      </c>
      <c r="F15" s="16">
        <f t="shared" si="10"/>
        <v>0</v>
      </c>
      <c r="G15" s="17">
        <f t="shared" si="11"/>
        <v>2E-3</v>
      </c>
      <c r="H15" s="12">
        <f t="shared" si="12"/>
        <v>2.5000000000000001E-4</v>
      </c>
      <c r="I15" s="17">
        <f>MIN(_xll.ohPack($V$3:INDEX($V$3:$V$135,MATCH(D15+1,$R$3:$R$135,1),1)))</f>
        <v>3.1778635339973355E-4</v>
      </c>
      <c r="J15" s="17">
        <f>MAX(_xll.ohPack($V$3:INDEX($V$3:$V$135,MATCH(D15+1,$R$3:$R$135,1),1)))</f>
        <v>1.5900421762701186E-3</v>
      </c>
      <c r="L15" s="46" t="s">
        <v>57</v>
      </c>
      <c r="M15" s="43">
        <f>_xll.qlAbcdCalibration2MaxError(M12)</f>
        <v>3.6427811674495702E-4</v>
      </c>
      <c r="O15" s="33">
        <v>1</v>
      </c>
      <c r="P15" s="27" t="str">
        <f>_xll.qlPeriodEquivalent(P14&amp;"+"&amp;O15&amp;"M")</f>
        <v>1Y</v>
      </c>
      <c r="Q15" s="28">
        <f>_xll.qlCalendarAdvance(Calendar,SettlementDate,P15,"f",,Trigger)</f>
        <v>42529</v>
      </c>
      <c r="R15" s="28">
        <f>_xll.qlInterestRateIndexValueDate(Index,Q15,Trigger)</f>
        <v>42531</v>
      </c>
      <c r="S15" s="28">
        <f>_xll.qlInterestRateIndexMaturity(Index,R15,Trigger)</f>
        <v>42625</v>
      </c>
      <c r="T15" s="30">
        <f>_xll.qlIndexFixing($M$6,Q15,,InterestRatesTrigger)</f>
        <v>-8.8280742833064243E-4</v>
      </c>
      <c r="U15" s="30">
        <f>_xll.qlIndexFixing(Index,Q15,,InterestRatesTrigger)</f>
        <v>5.1191594250577898E-4</v>
      </c>
      <c r="V15" s="30">
        <f t="shared" si="5"/>
        <v>1.3947233708364215E-3</v>
      </c>
      <c r="W15" s="29">
        <f>_xll.qlDayCounterYearFraction(DayCounter,SettlementDate,R15,,,Trigger)</f>
        <v>1.0222222222222221</v>
      </c>
      <c r="X15" s="29">
        <f>_xll.qlDayCounterYearFraction(DayCounter,R15,S15)</f>
        <v>0.26111111111111113</v>
      </c>
      <c r="Y15" s="29">
        <f>_xll.qlYieldTSDiscount(Currency&amp;"ON",R15)/(1+U15*X15)</f>
        <v>1.001108115117221</v>
      </c>
      <c r="Z15" s="30">
        <f>_xll.qlTenorBasisValue(TenorBasis6M,R15,InterestRatesTrigger)</f>
        <v>1.3793681553253489E-3</v>
      </c>
      <c r="AA15" s="30">
        <f t="shared" si="6"/>
        <v>1.5355215511072629E-5</v>
      </c>
    </row>
    <row r="16" spans="1:27" x14ac:dyDescent="0.2">
      <c r="A16" s="19" t="str">
        <f>_xll.qlPeriodEquivalent(C16&amp;"M")</f>
        <v>60Y</v>
      </c>
      <c r="B16" s="20">
        <f t="shared" si="13"/>
        <v>42004</v>
      </c>
      <c r="C16" s="21">
        <v>720</v>
      </c>
      <c r="D16" s="20">
        <f t="shared" si="8"/>
        <v>64074</v>
      </c>
      <c r="E16" s="22">
        <f t="shared" si="9"/>
        <v>60</v>
      </c>
      <c r="F16" s="23">
        <f t="shared" si="10"/>
        <v>0</v>
      </c>
      <c r="G16" s="24">
        <f t="shared" si="11"/>
        <v>2E-3</v>
      </c>
      <c r="H16" s="25">
        <f t="shared" si="12"/>
        <v>2.5000000000000001E-4</v>
      </c>
      <c r="I16" s="24">
        <f>MIN(_xll.ohPack($V$3:INDEX($V$3:$V$135,MATCH(D16+1,$R$3:$R$135,1),1)))</f>
        <v>3.1070829907203432E-4</v>
      </c>
      <c r="J16" s="24">
        <f>MAX(_xll.ohPack($V$3:INDEX($V$3:$V$135,MATCH(D16+1,$R$3:$R$135,1),1)))</f>
        <v>1.5900421762701186E-3</v>
      </c>
      <c r="O16" s="33">
        <v>1</v>
      </c>
      <c r="P16" s="27" t="str">
        <f>_xll.qlPeriodEquivalent(P15&amp;"+"&amp;O16&amp;"M")</f>
        <v>1Y1M</v>
      </c>
      <c r="Q16" s="28">
        <f>_xll.qlCalendarAdvance(Calendar,SettlementDate,P16,"f",,Trigger)</f>
        <v>42559</v>
      </c>
      <c r="R16" s="28">
        <f>_xll.qlInterestRateIndexValueDate(Index,Q16,Trigger)</f>
        <v>42563</v>
      </c>
      <c r="S16" s="28">
        <f>_xll.qlInterestRateIndexMaturity(Index,R16,Trigger)</f>
        <v>42655</v>
      </c>
      <c r="T16" s="30">
        <f>_xll.qlIndexFixing($M$6,Q16,,InterestRatesTrigger)</f>
        <v>-7.8734125085980818E-4</v>
      </c>
      <c r="U16" s="30">
        <f>_xll.qlIndexFixing(Index,Q16,,InterestRatesTrigger)</f>
        <v>6.1887535889286656E-4</v>
      </c>
      <c r="V16" s="30">
        <f t="shared" si="5"/>
        <v>1.4062166097526746E-3</v>
      </c>
      <c r="W16" s="29">
        <f>_xll.qlDayCounterYearFraction(DayCounter,SettlementDate,R16,,,Trigger)</f>
        <v>1.1111111111111112</v>
      </c>
      <c r="X16" s="29">
        <f>_xll.qlDayCounterYearFraction(DayCounter,R16,S16)</f>
        <v>0.25555555555555554</v>
      </c>
      <c r="Y16" s="29">
        <f>_xll.qlYieldTSDiscount(Currency&amp;"ON",R16)/(1+U16*X16)</f>
        <v>1.0011716298572519</v>
      </c>
      <c r="Z16" s="30">
        <f>_xll.qlTenorBasisValue(TenorBasis6M,R16,InterestRatesTrigger)</f>
        <v>1.3947727856355857E-3</v>
      </c>
      <c r="AA16" s="30">
        <f t="shared" si="6"/>
        <v>1.1443824117088894E-5</v>
      </c>
    </row>
    <row r="17" spans="12:27" x14ac:dyDescent="0.2">
      <c r="L17" s="72" t="s">
        <v>51</v>
      </c>
      <c r="M17" s="73"/>
      <c r="O17" s="33">
        <v>1</v>
      </c>
      <c r="P17" s="27" t="str">
        <f>_xll.qlPeriodEquivalent(P16&amp;"+"&amp;O17&amp;"M")</f>
        <v>1Y2M</v>
      </c>
      <c r="Q17" s="28">
        <f>_xll.qlCalendarAdvance(Calendar,SettlementDate,P17,"f",,Trigger)</f>
        <v>42590</v>
      </c>
      <c r="R17" s="28">
        <f>_xll.qlInterestRateIndexValueDate(Index,Q17,Trigger)</f>
        <v>42592</v>
      </c>
      <c r="S17" s="28">
        <f>_xll.qlInterestRateIndexMaturity(Index,R17,Trigger)</f>
        <v>42684</v>
      </c>
      <c r="T17" s="30">
        <f>_xll.qlIndexFixing($M$6,Q17,,InterestRatesTrigger)</f>
        <v>-7.1406918948584814E-4</v>
      </c>
      <c r="U17" s="30">
        <f>_xll.qlIndexFixing(Index,Q17,,InterestRatesTrigger)</f>
        <v>7.1746622292561031E-4</v>
      </c>
      <c r="V17" s="30">
        <f t="shared" si="5"/>
        <v>1.4315354124114586E-3</v>
      </c>
      <c r="W17" s="29">
        <f>_xll.qlDayCounterYearFraction(DayCounter,SettlementDate,R17,,,Trigger)</f>
        <v>1.1916666666666667</v>
      </c>
      <c r="X17" s="29">
        <f>_xll.qlDayCounterYearFraction(DayCounter,R17,S17)</f>
        <v>0.25555555555555554</v>
      </c>
      <c r="Y17" s="29">
        <f>_xll.qlYieldTSDiscount(Currency&amp;"ON",R17)/(1+U17*X17)</f>
        <v>1.0012172927259753</v>
      </c>
      <c r="Z17" s="30">
        <f>_xll.qlTenorBasisValue(TenorBasis6M,R17,InterestRatesTrigger)</f>
        <v>1.4081153790408958E-3</v>
      </c>
      <c r="AA17" s="30">
        <f t="shared" si="6"/>
        <v>2.3420033370562731E-5</v>
      </c>
    </row>
    <row r="18" spans="12:27" x14ac:dyDescent="0.2">
      <c r="L18" s="46" t="s">
        <v>46</v>
      </c>
      <c r="M18" s="43">
        <f>_xll.qlAbcdCalibration2A($M$12,M13)</f>
        <v>9.4853885019176298E-4</v>
      </c>
      <c r="O18" s="33">
        <v>1</v>
      </c>
      <c r="P18" s="27" t="str">
        <f>_xll.qlPeriodEquivalent(P17&amp;"+"&amp;O18&amp;"M")</f>
        <v>1Y3M</v>
      </c>
      <c r="Q18" s="28">
        <f>_xll.qlCalendarAdvance(Calendar,SettlementDate,P18,"f",,Trigger)</f>
        <v>42621</v>
      </c>
      <c r="R18" s="28">
        <f>_xll.qlInterestRateIndexValueDate(Index,Q18,Trigger)</f>
        <v>42625</v>
      </c>
      <c r="S18" s="28">
        <f>_xll.qlInterestRateIndexMaturity(Index,R18,Trigger)</f>
        <v>42716</v>
      </c>
      <c r="T18" s="30">
        <f>_xll.qlIndexFixing($M$6,Q18,,InterestRatesTrigger)</f>
        <v>-6.5091273189937739E-4</v>
      </c>
      <c r="U18" s="30">
        <f>_xll.qlIndexFixing(Index,Q18,,InterestRatesTrigger)</f>
        <v>8.0700790618587178E-4</v>
      </c>
      <c r="V18" s="30">
        <f t="shared" si="5"/>
        <v>1.4579206380852493E-3</v>
      </c>
      <c r="W18" s="29">
        <f>_xll.qlDayCounterYearFraction(DayCounter,SettlementDate,R18,,,Trigger)</f>
        <v>1.2833333333333334</v>
      </c>
      <c r="X18" s="29">
        <f>_xll.qlDayCounterYearFraction(DayCounter,R18,S18)</f>
        <v>0.25277777777777777</v>
      </c>
      <c r="Y18" s="29">
        <f>_xll.qlYieldTSDiscount(Currency&amp;"ON",R18)/(1+U18*X18)</f>
        <v>1.0012685280596196</v>
      </c>
      <c r="Z18" s="30">
        <f>_xll.qlTenorBasisValue(TenorBasis6M,R18,InterestRatesTrigger)</f>
        <v>1.4226011331731877E-3</v>
      </c>
      <c r="AA18" s="30">
        <f t="shared" si="6"/>
        <v>3.5319504912061615E-5</v>
      </c>
    </row>
    <row r="19" spans="12:27" x14ac:dyDescent="0.2">
      <c r="L19" s="46" t="s">
        <v>47</v>
      </c>
      <c r="M19" s="44">
        <f>_xll.qlAbcdCalibration2B($M$12,M13)</f>
        <v>4.5224502255195807E-4</v>
      </c>
      <c r="O19" s="33">
        <v>1</v>
      </c>
      <c r="P19" s="27" t="str">
        <f>_xll.qlPeriodEquivalent(P18&amp;"+"&amp;O19&amp;"M")</f>
        <v>1Y4M</v>
      </c>
      <c r="Q19" s="28">
        <f>_xll.qlCalendarAdvance(Calendar,SettlementDate,P19,"f",,Trigger)</f>
        <v>42653</v>
      </c>
      <c r="R19" s="28">
        <f>_xll.qlInterestRateIndexValueDate(Index,Q19,Trigger)</f>
        <v>42655</v>
      </c>
      <c r="S19" s="28">
        <f>_xll.qlInterestRateIndexMaturity(Index,R19,Trigger)</f>
        <v>42747</v>
      </c>
      <c r="T19" s="30">
        <f>_xll.qlIndexFixing($M$6,Q19,,InterestRatesTrigger)</f>
        <v>-3.8940555635850728E-4</v>
      </c>
      <c r="U19" s="30">
        <f>_xll.qlIndexFixing(Index,Q19,,InterestRatesTrigger)</f>
        <v>1.0695536874343711E-3</v>
      </c>
      <c r="V19" s="30">
        <f t="shared" si="5"/>
        <v>1.4589592437928784E-3</v>
      </c>
      <c r="W19" s="29">
        <f>_xll.qlDayCounterYearFraction(DayCounter,SettlementDate,R19,,,Trigger)</f>
        <v>1.3666666666666667</v>
      </c>
      <c r="X19" s="29">
        <f>_xll.qlDayCounterYearFraction(DayCounter,R19,S19)</f>
        <v>0.25555555555555554</v>
      </c>
      <c r="Y19" s="29">
        <f>_xll.qlYieldTSDiscount(Currency&amp;"ON",R19)/(1+U19*X19)</f>
        <v>1.0012578155898699</v>
      </c>
      <c r="Z19" s="30">
        <f>_xll.qlTenorBasisValue(TenorBasis6M,R19,InterestRatesTrigger)</f>
        <v>1.4351413791450953E-3</v>
      </c>
      <c r="AA19" s="30">
        <f t="shared" si="6"/>
        <v>2.3817864647783038E-5</v>
      </c>
    </row>
    <row r="20" spans="12:27" x14ac:dyDescent="0.2">
      <c r="L20" s="46" t="s">
        <v>48</v>
      </c>
      <c r="M20" s="44">
        <f>_xll.qlAbcdCalibration2C($M$12,M13)</f>
        <v>0.17</v>
      </c>
      <c r="O20" s="33">
        <v>1</v>
      </c>
      <c r="P20" s="27" t="str">
        <f>_xll.qlPeriodEquivalent(P19&amp;"+"&amp;O20&amp;"M")</f>
        <v>1Y5M</v>
      </c>
      <c r="Q20" s="28">
        <f>_xll.qlCalendarAdvance(Calendar,SettlementDate,P20,"f",,Trigger)</f>
        <v>42682</v>
      </c>
      <c r="R20" s="28">
        <f>_xll.qlInterestRateIndexValueDate(Index,Q20,Trigger)</f>
        <v>42684</v>
      </c>
      <c r="S20" s="28">
        <f>_xll.qlInterestRateIndexMaturity(Index,R20,Trigger)</f>
        <v>42776</v>
      </c>
      <c r="T20" s="30">
        <f>_xll.qlIndexFixing($M$6,Q20,,InterestRatesTrigger)</f>
        <v>-3.2148784527855686E-4</v>
      </c>
      <c r="U20" s="30">
        <f>_xll.qlIndexFixing(Index,Q20,,InterestRatesTrigger)</f>
        <v>1.1170814684043377E-3</v>
      </c>
      <c r="V20" s="30">
        <f t="shared" si="5"/>
        <v>1.4385693136828945E-3</v>
      </c>
      <c r="W20" s="29">
        <f>_xll.qlDayCounterYearFraction(DayCounter,SettlementDate,R20,,,Trigger)</f>
        <v>1.4472222222222222</v>
      </c>
      <c r="X20" s="29">
        <f>_xll.qlDayCounterYearFraction(DayCounter,R20,S20)</f>
        <v>0.25555555555555554</v>
      </c>
      <c r="Y20" s="29">
        <f>_xll.qlYieldTSDiscount(Currency&amp;"ON",R20)/(1+U20*X20)</f>
        <v>1.0012977948720263</v>
      </c>
      <c r="Z20" s="30">
        <f>_xll.qlTenorBasisValue(TenorBasis6M,R20,InterestRatesTrigger)</f>
        <v>1.4467082134679502E-3</v>
      </c>
      <c r="AA20" s="30">
        <f t="shared" si="6"/>
        <v>-8.1388997850556904E-6</v>
      </c>
    </row>
    <row r="21" spans="12:27" x14ac:dyDescent="0.2">
      <c r="L21" s="46" t="s">
        <v>49</v>
      </c>
      <c r="M21" s="43">
        <f>_xll.qlAbcdCalibration2D($M$12,M13)</f>
        <v>1.96094611342211E-4</v>
      </c>
      <c r="O21" s="33">
        <v>1</v>
      </c>
      <c r="P21" s="27" t="str">
        <f>_xll.qlPeriodEquivalent(P20&amp;"+"&amp;O21&amp;"M")</f>
        <v>1Y6M</v>
      </c>
      <c r="Q21" s="28">
        <f>_xll.qlCalendarAdvance(Calendar,SettlementDate,P21,"f",,Trigger)</f>
        <v>42712</v>
      </c>
      <c r="R21" s="28">
        <f>_xll.qlInterestRateIndexValueDate(Index,Q21,Trigger)</f>
        <v>42716</v>
      </c>
      <c r="S21" s="28">
        <f>_xll.qlInterestRateIndexMaturity(Index,R21,Trigger)</f>
        <v>42807</v>
      </c>
      <c r="T21" s="30">
        <f>_xll.qlIndexFixing($M$6,Q21,,InterestRatesTrigger)</f>
        <v>-1.8551892757177448E-4</v>
      </c>
      <c r="U21" s="30">
        <f>_xll.qlIndexFixing(Index,Q21,,InterestRatesTrigger)</f>
        <v>1.2266477416475311E-3</v>
      </c>
      <c r="V21" s="30">
        <f t="shared" si="5"/>
        <v>1.4121666692193057E-3</v>
      </c>
      <c r="W21" s="29">
        <f>_xll.qlDayCounterYearFraction(DayCounter,SettlementDate,R21,,,Trigger)</f>
        <v>1.5361111111111112</v>
      </c>
      <c r="X21" s="29">
        <f>_xll.qlDayCounterYearFraction(DayCounter,R21,S21)</f>
        <v>0.25277777777777777</v>
      </c>
      <c r="Y21" s="29">
        <f>_xll.qlYieldTSDiscount(Currency&amp;"ON",R21)/(1+U21*X21)</f>
        <v>1.0013271054278252</v>
      </c>
      <c r="Z21" s="30">
        <f>_xll.qlTenorBasisValue(TenorBasis6M,R21,InterestRatesTrigger)</f>
        <v>1.4588531102768232E-3</v>
      </c>
      <c r="AA21" s="30">
        <f t="shared" si="6"/>
        <v>-4.6686441057517541E-5</v>
      </c>
    </row>
    <row r="22" spans="12:27" x14ac:dyDescent="0.2">
      <c r="L22" s="46" t="s">
        <v>50</v>
      </c>
      <c r="M22" s="35" t="str">
        <f>_xll.qlAbcdTenorBasis(,Index,Currency&amp;"ON",SettlementDate,TRUE,M18:M21,,Trigger)</f>
        <v>obj_00876#0002</v>
      </c>
      <c r="O22" s="33">
        <v>3</v>
      </c>
      <c r="P22" s="27" t="str">
        <f>_xll.qlPeriodEquivalent(P21&amp;"+"&amp;O22&amp;"M")</f>
        <v>1Y9M</v>
      </c>
      <c r="Q22" s="28">
        <f>_xll.qlCalendarAdvance(Calendar,SettlementDate,P22,"f",,Trigger)</f>
        <v>42802</v>
      </c>
      <c r="R22" s="28">
        <f>_xll.qlInterestRateIndexValueDate(Index,Q22,Trigger)</f>
        <v>42804</v>
      </c>
      <c r="S22" s="28">
        <f>_xll.qlInterestRateIndexMaturity(Index,R22,Trigger)</f>
        <v>42898</v>
      </c>
      <c r="T22" s="30">
        <f>_xll.qlIndexFixing($M$6,Q22,,InterestRatesTrigger)</f>
        <v>2.7266496495711941E-4</v>
      </c>
      <c r="U22" s="30">
        <f>_xll.qlIndexFixing(Index,Q22,,InterestRatesTrigger)</f>
        <v>1.7872649183791457E-3</v>
      </c>
      <c r="V22" s="30">
        <f t="shared" si="5"/>
        <v>1.5145999534220264E-3</v>
      </c>
      <c r="W22" s="29">
        <f>_xll.qlDayCounterYearFraction(DayCounter,SettlementDate,R22,,,Trigger)</f>
        <v>1.7805555555555554</v>
      </c>
      <c r="X22" s="29">
        <f>_xll.qlDayCounterYearFraction(DayCounter,R22,S22)</f>
        <v>0.26111111111111113</v>
      </c>
      <c r="Y22" s="29">
        <f>_xll.qlYieldTSDiscount(Currency&amp;"ON",R22)/(1+U22*X22)</f>
        <v>1.0012165654171947</v>
      </c>
      <c r="Z22" s="30">
        <f>_xll.qlTenorBasisValue(TenorBasis6M,R22,InterestRatesTrigger)</f>
        <v>1.4890356628148227E-3</v>
      </c>
      <c r="AA22" s="30">
        <f t="shared" si="6"/>
        <v>2.5564290607203721E-5</v>
      </c>
    </row>
    <row r="23" spans="12:27" x14ac:dyDescent="0.2">
      <c r="M23" s="42">
        <f>1/M20-M18/M19</f>
        <v>3.7849526318501554</v>
      </c>
      <c r="O23" s="33">
        <v>3</v>
      </c>
      <c r="P23" s="27" t="str">
        <f>_xll.qlPeriodEquivalent(P22&amp;"+"&amp;O23&amp;"M")</f>
        <v>2Y</v>
      </c>
      <c r="Q23" s="28">
        <f>_xll.qlCalendarAdvance(Calendar,SettlementDate,P23,"f",,Trigger)</f>
        <v>42894</v>
      </c>
      <c r="R23" s="28">
        <f>_xll.qlInterestRateIndexValueDate(Index,Q23,Trigger)</f>
        <v>42898</v>
      </c>
      <c r="S23" s="28">
        <f>_xll.qlInterestRateIndexMaturity(Index,R23,Trigger)</f>
        <v>42990</v>
      </c>
      <c r="T23" s="30">
        <f>_xll.qlIndexFixing($M$6,Q23,,InterestRatesTrigger)</f>
        <v>8.3692954138492803E-4</v>
      </c>
      <c r="U23" s="30">
        <f>_xll.qlIndexFixing(Index,Q23,,InterestRatesTrigger)</f>
        <v>2.4269717176550465E-3</v>
      </c>
      <c r="V23" s="30">
        <f t="shared" si="5"/>
        <v>1.5900421762701186E-3</v>
      </c>
      <c r="W23" s="29">
        <f>_xll.qlDayCounterYearFraction(DayCounter,SettlementDate,R23,,,Trigger)</f>
        <v>2.0416666666666665</v>
      </c>
      <c r="X23" s="29">
        <f>_xll.qlDayCounterYearFraction(DayCounter,R23,S23)</f>
        <v>0.25555555555555554</v>
      </c>
      <c r="Y23" s="29">
        <f>_xll.qlYieldTSDiscount(Currency&amp;"ON",R23)/(1+U23*X23)</f>
        <v>1.0009916560745353</v>
      </c>
      <c r="Z23" s="30">
        <f>_xll.qlTenorBasisValue(TenorBasis6M,R23,InterestRatesTrigger)</f>
        <v>1.5163569348392812E-3</v>
      </c>
      <c r="AA23" s="30">
        <f t="shared" si="6"/>
        <v>7.3685241430837328E-5</v>
      </c>
    </row>
    <row r="24" spans="12:27" x14ac:dyDescent="0.2">
      <c r="O24" s="33">
        <v>3</v>
      </c>
      <c r="P24" s="27" t="str">
        <f>_xll.qlPeriodEquivalent(P23&amp;"+"&amp;O24&amp;"M")</f>
        <v>2Y3M</v>
      </c>
      <c r="Q24" s="28">
        <f>_xll.qlCalendarAdvance(Calendar,SettlementDate,P24,"f",,Trigger)</f>
        <v>42986</v>
      </c>
      <c r="R24" s="28">
        <f>_xll.qlInterestRateIndexValueDate(Index,Q24,Trigger)</f>
        <v>42990</v>
      </c>
      <c r="S24" s="28">
        <f>_xll.qlInterestRateIndexMaturity(Index,R24,Trigger)</f>
        <v>43081</v>
      </c>
      <c r="T24" s="30">
        <f>_xll.qlIndexFixing($M$6,Q24,,InterestRatesTrigger)</f>
        <v>1.4366465295713037E-3</v>
      </c>
      <c r="U24" s="30">
        <f>_xll.qlIndexFixing(Index,Q24,,InterestRatesTrigger)</f>
        <v>3.0111228138386516E-3</v>
      </c>
      <c r="V24" s="30">
        <f t="shared" si="5"/>
        <v>1.5744762842673479E-3</v>
      </c>
      <c r="W24" s="29">
        <f>_xll.qlDayCounterYearFraction(DayCounter,SettlementDate,R24,,,Trigger)</f>
        <v>2.2972222222222221</v>
      </c>
      <c r="X24" s="29">
        <f>_xll.qlDayCounterYearFraction(DayCounter,R24,S24)</f>
        <v>0.25277777777777777</v>
      </c>
      <c r="Y24" s="29">
        <f>_xll.qlYieldTSDiscount(Currency&amp;"ON",R24)/(1+U24*X24)</f>
        <v>1.0006366866182932</v>
      </c>
      <c r="Z24" s="30">
        <f>_xll.qlTenorBasisValue(TenorBasis6M,R24,InterestRatesTrigger)</f>
        <v>1.5385306280256462E-3</v>
      </c>
      <c r="AA24" s="30">
        <f t="shared" si="6"/>
        <v>3.5945656241701722E-5</v>
      </c>
    </row>
    <row r="25" spans="12:27" x14ac:dyDescent="0.2">
      <c r="L25" s="72" t="s">
        <v>54</v>
      </c>
      <c r="M25" s="73"/>
      <c r="O25" s="33">
        <v>3</v>
      </c>
      <c r="P25" s="27" t="str">
        <f>_xll.qlPeriodEquivalent(P24&amp;"+"&amp;O25&amp;"M")</f>
        <v>2Y6M</v>
      </c>
      <c r="Q25" s="28">
        <f>_xll.qlCalendarAdvance(Calendar,SettlementDate,P25,"f",,Trigger)</f>
        <v>43077</v>
      </c>
      <c r="R25" s="28">
        <f>_xll.qlInterestRateIndexValueDate(Index,Q25,Trigger)</f>
        <v>43081</v>
      </c>
      <c r="S25" s="28">
        <f>_xll.qlInterestRateIndexMaturity(Index,R25,Trigger)</f>
        <v>43171</v>
      </c>
      <c r="T25" s="30">
        <f>_xll.qlIndexFixing($M$6,Q25,,InterestRatesTrigger)</f>
        <v>2.1531453905172526E-3</v>
      </c>
      <c r="U25" s="30">
        <f>_xll.qlIndexFixing(Index,Q25,,InterestRatesTrigger)</f>
        <v>3.6909730835086307E-3</v>
      </c>
      <c r="V25" s="30">
        <f t="shared" si="5"/>
        <v>1.5378276929913781E-3</v>
      </c>
      <c r="W25" s="29">
        <f>_xll.qlDayCounterYearFraction(DayCounter,SettlementDate,R25,,,Trigger)</f>
        <v>2.5499999999999998</v>
      </c>
      <c r="X25" s="29">
        <f>_xll.qlDayCounterYearFraction(DayCounter,R25,S25)</f>
        <v>0.25</v>
      </c>
      <c r="Y25" s="29">
        <f>_xll.qlYieldTSDiscount(Currency&amp;"ON",R25)/(1+U25*X25)</f>
        <v>1.0001119414955673</v>
      </c>
      <c r="Z25" s="30">
        <f>_xll.qlTenorBasisValue(TenorBasis6M,R25,InterestRatesTrigger)</f>
        <v>1.5563472430211334E-3</v>
      </c>
      <c r="AA25" s="30">
        <f t="shared" si="6"/>
        <v>-1.8519550029755293E-5</v>
      </c>
    </row>
    <row r="26" spans="12:27" x14ac:dyDescent="0.2">
      <c r="L26" s="46" t="s">
        <v>46</v>
      </c>
      <c r="M26" s="43">
        <f t="array" ref="M26:M29">_xll.qlTenorInstCoefficients(M22)</f>
        <v>9.1066875735451309E-4</v>
      </c>
      <c r="O26" s="33">
        <v>3</v>
      </c>
      <c r="P26" s="27" t="str">
        <f>_xll.qlPeriodEquivalent(P25&amp;"+"&amp;O26&amp;"M")</f>
        <v>2Y9M</v>
      </c>
      <c r="Q26" s="28">
        <f>_xll.qlCalendarAdvance(Calendar,SettlementDate,P26,"f",,Trigger)</f>
        <v>43167</v>
      </c>
      <c r="R26" s="28">
        <f>_xll.qlInterestRateIndexValueDate(Index,Q26,Trigger)</f>
        <v>43171</v>
      </c>
      <c r="S26" s="28">
        <f>_xll.qlInterestRateIndexMaturity(Index,R26,Trigger)</f>
        <v>43263</v>
      </c>
      <c r="T26" s="30">
        <f>_xll.qlIndexFixing($M$6,Q26,,InterestRatesTrigger)</f>
        <v>2.9977168133512302E-3</v>
      </c>
      <c r="U26" s="30">
        <f>_xll.qlIndexFixing(Index,Q26,,InterestRatesTrigger)</f>
        <v>4.4773598691446549E-3</v>
      </c>
      <c r="V26" s="30">
        <f t="shared" si="5"/>
        <v>1.4796430557934247E-3</v>
      </c>
      <c r="W26" s="29">
        <f>_xll.qlDayCounterYearFraction(DayCounter,SettlementDate,R26,,,Trigger)</f>
        <v>2.8</v>
      </c>
      <c r="X26" s="29">
        <f>_xll.qlDayCounterYearFraction(DayCounter,R26,S26)</f>
        <v>0.25555555555555554</v>
      </c>
      <c r="Y26" s="29">
        <f>_xll.qlYieldTSDiscount(Currency&amp;"ON",R26)/(1+U26*X26)</f>
        <v>0.99935276098704939</v>
      </c>
      <c r="Z26" s="30">
        <f>_xll.qlTenorBasisValue(TenorBasis6M,R26,InterestRatesTrigger)</f>
        <v>1.5702387982030148E-3</v>
      </c>
      <c r="AA26" s="30">
        <f t="shared" si="6"/>
        <v>-9.059574240959014E-5</v>
      </c>
    </row>
    <row r="27" spans="12:27" x14ac:dyDescent="0.2">
      <c r="L27" s="46" t="s">
        <v>47</v>
      </c>
      <c r="M27" s="44">
        <v>4.6213991854231434E-4</v>
      </c>
      <c r="O27" s="33">
        <v>3</v>
      </c>
      <c r="P27" s="27" t="str">
        <f>_xll.qlPeriodEquivalent(P26&amp;"+"&amp;O27&amp;"M")</f>
        <v>3Y</v>
      </c>
      <c r="Q27" s="28">
        <f>_xll.qlCalendarAdvance(Calendar,SettlementDate,P27,"f",,Trigger)</f>
        <v>43259</v>
      </c>
      <c r="R27" s="28">
        <f>_xll.qlInterestRateIndexValueDate(Index,Q27,Trigger)</f>
        <v>43263</v>
      </c>
      <c r="S27" s="28">
        <f>_xll.qlInterestRateIndexMaturity(Index,R27,Trigger)</f>
        <v>43355</v>
      </c>
      <c r="T27" s="30">
        <f>_xll.qlIndexFixing($M$6,Q27,,InterestRatesTrigger)</f>
        <v>3.9527891017363346E-3</v>
      </c>
      <c r="U27" s="30">
        <f>_xll.qlIndexFixing(Index,Q27,,InterestRatesTrigger)</f>
        <v>5.3632762802710929E-3</v>
      </c>
      <c r="V27" s="30">
        <f t="shared" si="5"/>
        <v>1.4104871785347584E-3</v>
      </c>
      <c r="W27" s="29">
        <f>_xll.qlDayCounterYearFraction(DayCounter,SettlementDate,R27,,,Trigger)</f>
        <v>3.0555555555555554</v>
      </c>
      <c r="X27" s="29">
        <f>_xll.qlDayCounterYearFraction(DayCounter,R27,S27)</f>
        <v>0.25555555555555554</v>
      </c>
      <c r="Y27" s="29">
        <f>_xll.qlYieldTSDiscount(Currency&amp;"ON",R27)/(1+U27*X27)</f>
        <v>0.99836198801283149</v>
      </c>
      <c r="Z27" s="30">
        <f>_xll.qlTenorBasisValue(TenorBasis6M,R27,InterestRatesTrigger)</f>
        <v>1.5808929288173505E-3</v>
      </c>
      <c r="AA27" s="30">
        <f t="shared" si="6"/>
        <v>-1.7040575028259212E-4</v>
      </c>
    </row>
    <row r="28" spans="12:27" x14ac:dyDescent="0.2">
      <c r="L28" s="46" t="s">
        <v>48</v>
      </c>
      <c r="M28" s="44">
        <v>0.17</v>
      </c>
      <c r="O28" s="33">
        <v>3</v>
      </c>
      <c r="P28" s="27" t="str">
        <f>_xll.qlPeriodEquivalent(P27&amp;"+"&amp;O28&amp;"M")</f>
        <v>3Y3M</v>
      </c>
      <c r="Q28" s="28">
        <f>_xll.qlCalendarAdvance(Calendar,SettlementDate,P28,"f",,Trigger)</f>
        <v>43353</v>
      </c>
      <c r="R28" s="28">
        <f>_xll.qlInterestRateIndexValueDate(Index,Q28,Trigger)</f>
        <v>43355</v>
      </c>
      <c r="S28" s="28">
        <f>_xll.qlInterestRateIndexMaturity(Index,R28,Trigger)</f>
        <v>43446</v>
      </c>
      <c r="T28" s="30">
        <f>_xll.qlIndexFixing($M$6,Q28,,InterestRatesTrigger)</f>
        <v>4.9178070304787659E-3</v>
      </c>
      <c r="U28" s="30">
        <f>_xll.qlIndexFixing(Index,Q28,,InterestRatesTrigger)</f>
        <v>6.2887622443802971E-3</v>
      </c>
      <c r="V28" s="30">
        <f t="shared" si="5"/>
        <v>1.3709552139015311E-3</v>
      </c>
      <c r="W28" s="29">
        <f>_xll.qlDayCounterYearFraction(DayCounter,SettlementDate,R28,,,Trigger)</f>
        <v>3.3111111111111109</v>
      </c>
      <c r="X28" s="29">
        <f>_xll.qlDayCounterYearFraction(DayCounter,R28,S28)</f>
        <v>0.25277777777777777</v>
      </c>
      <c r="Y28" s="29">
        <f>_xll.qlYieldTSDiscount(Currency&amp;"ON",R28)/(1+U28*X28)</f>
        <v>0.99713638508439006</v>
      </c>
      <c r="Z28" s="30">
        <f>_xll.qlTenorBasisValue(TenorBasis6M,R28,InterestRatesTrigger)</f>
        <v>1.5882357400433514E-3</v>
      </c>
      <c r="AA28" s="30">
        <f t="shared" si="6"/>
        <v>-2.1728052614182025E-4</v>
      </c>
    </row>
    <row r="29" spans="12:27" x14ac:dyDescent="0.2">
      <c r="L29" s="46" t="s">
        <v>49</v>
      </c>
      <c r="M29" s="43">
        <v>1.96094611342211E-4</v>
      </c>
      <c r="O29" s="33">
        <v>3</v>
      </c>
      <c r="P29" s="27" t="str">
        <f>_xll.qlPeriodEquivalent(P28&amp;"+"&amp;O29&amp;"M")</f>
        <v>3Y6M</v>
      </c>
      <c r="Q29" s="28">
        <f>_xll.qlCalendarAdvance(Calendar,SettlementDate,P29,"f",,Trigger)</f>
        <v>43444</v>
      </c>
      <c r="R29" s="28">
        <f>_xll.qlInterestRateIndexValueDate(Index,Q29,Trigger)</f>
        <v>43446</v>
      </c>
      <c r="S29" s="28">
        <f>_xll.qlInterestRateIndexMaturity(Index,R29,Trigger)</f>
        <v>43536</v>
      </c>
      <c r="T29" s="30">
        <f>_xll.qlIndexFixing($M$6,Q29,,InterestRatesTrigger)</f>
        <v>5.8685135457618998E-3</v>
      </c>
      <c r="U29" s="30">
        <f>_xll.qlIndexFixing(Index,Q29,,InterestRatesTrigger)</f>
        <v>7.237702100491461E-3</v>
      </c>
      <c r="V29" s="30">
        <f t="shared" si="5"/>
        <v>1.3691885547295612E-3</v>
      </c>
      <c r="W29" s="29">
        <f>_xll.qlDayCounterYearFraction(DayCounter,SettlementDate,R29,,,Trigger)</f>
        <v>3.5638888888888891</v>
      </c>
      <c r="X29" s="29">
        <f>_xll.qlDayCounterYearFraction(DayCounter,R29,S29)</f>
        <v>0.25</v>
      </c>
      <c r="Y29" s="29">
        <f>_xll.qlYieldTSDiscount(Currency&amp;"ON",R29)/(1+U29*X29)</f>
        <v>0.99567990206006374</v>
      </c>
      <c r="Z29" s="30">
        <f>_xll.qlTenorBasisValue(TenorBasis6M,R29,InterestRatesTrigger)</f>
        <v>1.5924951610445863E-3</v>
      </c>
      <c r="AA29" s="30">
        <f t="shared" si="6"/>
        <v>-2.2330660631502504E-4</v>
      </c>
    </row>
    <row r="30" spans="12:27" x14ac:dyDescent="0.2">
      <c r="M30" s="42">
        <f>1/M28-M26/M27</f>
        <v>3.9118052329695008</v>
      </c>
      <c r="O30" s="33">
        <v>3</v>
      </c>
      <c r="P30" s="27" t="str">
        <f>_xll.qlPeriodEquivalent(P29&amp;"+"&amp;O30&amp;"M")</f>
        <v>3Y9M</v>
      </c>
      <c r="Q30" s="28">
        <f>_xll.qlCalendarAdvance(Calendar,SettlementDate,P30,"f",,Trigger)</f>
        <v>43532</v>
      </c>
      <c r="R30" s="28">
        <f>_xll.qlInterestRateIndexValueDate(Index,Q30,Trigger)</f>
        <v>43536</v>
      </c>
      <c r="S30" s="28">
        <f>_xll.qlInterestRateIndexMaturity(Index,R30,Trigger)</f>
        <v>43628</v>
      </c>
      <c r="T30" s="30">
        <f>_xll.qlIndexFixing($M$6,Q30,,InterestRatesTrigger)</f>
        <v>6.8208704198369228E-3</v>
      </c>
      <c r="U30" s="30">
        <f>_xll.qlIndexFixing(Index,Q30,,InterestRatesTrigger)</f>
        <v>8.2259352784464432E-3</v>
      </c>
      <c r="V30" s="30">
        <f t="shared" si="5"/>
        <v>1.4050648586095204E-3</v>
      </c>
      <c r="W30" s="29">
        <f>_xll.qlDayCounterYearFraction(DayCounter,SettlementDate,R30,,,Trigger)</f>
        <v>3.8138888888888891</v>
      </c>
      <c r="X30" s="29">
        <f>_xll.qlDayCounterYearFraction(DayCounter,R30,S30)</f>
        <v>0.25555555555555554</v>
      </c>
      <c r="Y30" s="29">
        <f>_xll.qlYieldTSDiscount(Currency&amp;"ON",R30)/(1+U30*X30)</f>
        <v>0.99393079626943603</v>
      </c>
      <c r="Z30" s="30">
        <f>_xll.qlTenorBasisValue(TenorBasis6M,R30,InterestRatesTrigger)</f>
        <v>1.5940012539045945E-3</v>
      </c>
      <c r="AA30" s="30">
        <f t="shared" si="6"/>
        <v>-1.8893639529507403E-4</v>
      </c>
    </row>
    <row r="31" spans="12:27" x14ac:dyDescent="0.2">
      <c r="O31" s="33">
        <v>3</v>
      </c>
      <c r="P31" s="27" t="str">
        <f>_xll.qlPeriodEquivalent(P30&amp;"+"&amp;O31&amp;"M")</f>
        <v>4Y</v>
      </c>
      <c r="Q31" s="28">
        <f>_xll.qlCalendarAdvance(Calendar,SettlementDate,P31,"f",,Trigger)</f>
        <v>43626</v>
      </c>
      <c r="R31" s="28">
        <f>_xll.qlInterestRateIndexValueDate(Index,Q31,Trigger)</f>
        <v>43628</v>
      </c>
      <c r="S31" s="28">
        <f>_xll.qlInterestRateIndexMaturity(Index,R31,Trigger)</f>
        <v>43720</v>
      </c>
      <c r="T31" s="30">
        <f>_xll.qlIndexFixing($M$6,Q31,,InterestRatesTrigger)</f>
        <v>7.7707149440326591E-3</v>
      </c>
      <c r="U31" s="30">
        <f>_xll.qlIndexFixing(Index,Q31,,InterestRatesTrigger)</f>
        <v>9.2374961204037039E-3</v>
      </c>
      <c r="V31" s="30">
        <f t="shared" si="5"/>
        <v>1.4667811763710448E-3</v>
      </c>
      <c r="W31" s="29">
        <f>_xll.qlDayCounterYearFraction(DayCounter,SettlementDate,R31,,,Trigger)</f>
        <v>4.0694444444444446</v>
      </c>
      <c r="X31" s="29">
        <f>_xll.qlDayCounterYearFraction(DayCounter,R31,S31)</f>
        <v>0.25555555555555554</v>
      </c>
      <c r="Y31" s="29">
        <f>_xll.qlYieldTSDiscount(Currency&amp;"ON",R31)/(1+U31*X31)</f>
        <v>0.99194538911079766</v>
      </c>
      <c r="Z31" s="30">
        <f>_xll.qlTenorBasisValue(TenorBasis6M,R31,InterestRatesTrigger)</f>
        <v>1.5929823082866767E-3</v>
      </c>
      <c r="AA31" s="30">
        <f t="shared" si="6"/>
        <v>-1.2620113191563189E-4</v>
      </c>
    </row>
    <row r="32" spans="12:27" x14ac:dyDescent="0.2">
      <c r="O32" s="33">
        <v>3</v>
      </c>
      <c r="P32" s="27" t="str">
        <f>_xll.qlPeriodEquivalent(P31&amp;"+"&amp;O32&amp;"M")</f>
        <v>4Y3M</v>
      </c>
      <c r="Q32" s="28">
        <f>_xll.qlCalendarAdvance(Calendar,SettlementDate,P32,"f",,Trigger)</f>
        <v>43717</v>
      </c>
      <c r="R32" s="28">
        <f>_xll.qlInterestRateIndexValueDate(Index,Q32,Trigger)</f>
        <v>43719</v>
      </c>
      <c r="S32" s="28">
        <f>_xll.qlInterestRateIndexMaturity(Index,R32,Trigger)</f>
        <v>43810</v>
      </c>
      <c r="T32" s="30">
        <f>_xll.qlIndexFixing($M$6,Q32,,InterestRatesTrigger)</f>
        <v>8.6593284314916679E-3</v>
      </c>
      <c r="U32" s="30">
        <f>_xll.qlIndexFixing(Index,Q32,,InterestRatesTrigger)</f>
        <v>1.016576648471687E-2</v>
      </c>
      <c r="V32" s="30">
        <f t="shared" si="5"/>
        <v>1.5064380532252026E-3</v>
      </c>
      <c r="W32" s="29">
        <f>_xll.qlDayCounterYearFraction(DayCounter,SettlementDate,R32,,,Trigger)</f>
        <v>4.322222222222222</v>
      </c>
      <c r="X32" s="29">
        <f>_xll.qlDayCounterYearFraction(DayCounter,R32,S32)</f>
        <v>0.25277777777777777</v>
      </c>
      <c r="Y32" s="29">
        <f>_xll.qlYieldTSDiscount(Currency&amp;"ON",R32)/(1+U32*X32)</f>
        <v>0.98979567112443001</v>
      </c>
      <c r="Z32" s="30">
        <f>_xll.qlTenorBasisValue(TenorBasis6M,R32,InterestRatesTrigger)</f>
        <v>1.589638386580284E-3</v>
      </c>
      <c r="AA32" s="30">
        <f t="shared" si="6"/>
        <v>-8.3200333355081457E-5</v>
      </c>
    </row>
    <row r="33" spans="15:27" x14ac:dyDescent="0.2">
      <c r="O33" s="33">
        <v>3</v>
      </c>
      <c r="P33" s="27" t="str">
        <f>_xll.qlPeriodEquivalent(P32&amp;"+"&amp;O33&amp;"M")</f>
        <v>4Y6M</v>
      </c>
      <c r="Q33" s="28">
        <f>_xll.qlCalendarAdvance(Calendar,SettlementDate,P33,"f",,Trigger)</f>
        <v>43808</v>
      </c>
      <c r="R33" s="28">
        <f>_xll.qlInterestRateIndexValueDate(Index,Q33,Trigger)</f>
        <v>43810</v>
      </c>
      <c r="S33" s="28">
        <f>_xll.qlInterestRateIndexMaturity(Index,R33,Trigger)</f>
        <v>43901</v>
      </c>
      <c r="T33" s="30">
        <f>_xll.qlIndexFixing($M$6,Q33,,InterestRatesTrigger)</f>
        <v>9.4993333883254382E-3</v>
      </c>
      <c r="U33" s="30">
        <f>_xll.qlIndexFixing(Index,Q33,,InterestRatesTrigger)</f>
        <v>1.101365805846358E-2</v>
      </c>
      <c r="V33" s="30">
        <f t="shared" si="5"/>
        <v>1.5143246701381421E-3</v>
      </c>
      <c r="W33" s="29">
        <f>_xll.qlDayCounterYearFraction(DayCounter,SettlementDate,R33,,,Trigger)</f>
        <v>4.5750000000000002</v>
      </c>
      <c r="X33" s="29">
        <f>_xll.qlDayCounterYearFraction(DayCounter,R33,S33)</f>
        <v>0.25277777777777777</v>
      </c>
      <c r="Y33" s="29">
        <f>_xll.qlYieldTSDiscount(Currency&amp;"ON",R33)/(1+U33*X33)</f>
        <v>0.98742276335101642</v>
      </c>
      <c r="Z33" s="30">
        <f>_xll.qlTenorBasisValue(TenorBasis6M,R33,InterestRatesTrigger)</f>
        <v>1.5841664461894798E-3</v>
      </c>
      <c r="AA33" s="30">
        <f t="shared" si="6"/>
        <v>-6.9841776051337732E-5</v>
      </c>
    </row>
    <row r="34" spans="15:27" x14ac:dyDescent="0.2">
      <c r="O34" s="33">
        <v>3</v>
      </c>
      <c r="P34" s="27" t="str">
        <f>_xll.qlPeriodEquivalent(P33&amp;"+"&amp;O34&amp;"M")</f>
        <v>4Y9M</v>
      </c>
      <c r="Q34" s="28">
        <f>_xll.qlCalendarAdvance(Calendar,SettlementDate,P34,"f",,Trigger)</f>
        <v>43899</v>
      </c>
      <c r="R34" s="28">
        <f>_xll.qlInterestRateIndexValueDate(Index,Q34,Trigger)</f>
        <v>43901</v>
      </c>
      <c r="S34" s="28">
        <f>_xll.qlInterestRateIndexMaturity(Index,R34,Trigger)</f>
        <v>43993</v>
      </c>
      <c r="T34" s="30">
        <f>_xll.qlIndexFixing($M$6,Q34,,InterestRatesTrigger)</f>
        <v>1.0289873263021164E-2</v>
      </c>
      <c r="U34" s="30">
        <f>_xll.qlIndexFixing(Index,Q34,,InterestRatesTrigger)</f>
        <v>1.1779775706160343E-2</v>
      </c>
      <c r="V34" s="30">
        <f t="shared" si="5"/>
        <v>1.4899024431391794E-3</v>
      </c>
      <c r="W34" s="29">
        <f>_xll.qlDayCounterYearFraction(DayCounter,SettlementDate,R34,,,Trigger)</f>
        <v>4.8277777777777775</v>
      </c>
      <c r="X34" s="29">
        <f>_xll.qlDayCounterYearFraction(DayCounter,R34,S34)</f>
        <v>0.25555555555555554</v>
      </c>
      <c r="Y34" s="29">
        <f>_xll.qlYieldTSDiscount(Currency&amp;"ON",R34)/(1+U34*X34)</f>
        <v>0.98483509624865129</v>
      </c>
      <c r="Z34" s="30">
        <f>_xll.qlTenorBasisValue(TenorBasis6M,R34,InterestRatesTrigger)</f>
        <v>1.576748862370452E-3</v>
      </c>
      <c r="AA34" s="30">
        <f t="shared" si="6"/>
        <v>-8.6846419231272542E-5</v>
      </c>
    </row>
    <row r="35" spans="15:27" x14ac:dyDescent="0.2">
      <c r="O35" s="33">
        <v>3</v>
      </c>
      <c r="P35" s="27" t="str">
        <f>_xll.qlPeriodEquivalent(P34&amp;"+"&amp;O35&amp;"M")</f>
        <v>5Y</v>
      </c>
      <c r="Q35" s="28">
        <f>_xll.qlCalendarAdvance(Calendar,SettlementDate,P35,"f",,Trigger)</f>
        <v>43990</v>
      </c>
      <c r="R35" s="28">
        <f>_xll.qlInterestRateIndexValueDate(Index,Q35,Trigger)</f>
        <v>43992</v>
      </c>
      <c r="S35" s="28">
        <f>_xll.qlInterestRateIndexMaturity(Index,R35,Trigger)</f>
        <v>44084</v>
      </c>
      <c r="T35" s="30">
        <f>_xll.qlIndexFixing($M$6,Q35,,InterestRatesTrigger)</f>
        <v>1.1022657388867643E-2</v>
      </c>
      <c r="U35" s="30">
        <f>_xll.qlIndexFixing(Index,Q35,,InterestRatesTrigger)</f>
        <v>1.2466172402239019E-2</v>
      </c>
      <c r="V35" s="30">
        <f t="shared" si="5"/>
        <v>1.4435150133713763E-3</v>
      </c>
      <c r="W35" s="29">
        <f>_xll.qlDayCounterYearFraction(DayCounter,SettlementDate,R35,,,Trigger)</f>
        <v>5.0805555555555557</v>
      </c>
      <c r="X35" s="29">
        <f>_xll.qlDayCounterYearFraction(DayCounter,R35,S35)</f>
        <v>0.25555555555555554</v>
      </c>
      <c r="Y35" s="29">
        <f>_xll.qlYieldTSDiscount(Currency&amp;"ON",R35)/(1+U35*X35)</f>
        <v>0.98210943525610894</v>
      </c>
      <c r="Z35" s="30">
        <f>_xll.qlTenorBasisValue(TenorBasis6M,R35,InterestRatesTrigger)</f>
        <v>1.5675565386018724E-3</v>
      </c>
      <c r="AA35" s="30">
        <f t="shared" si="6"/>
        <v>-1.2404152523049611E-4</v>
      </c>
    </row>
    <row r="36" spans="15:27" x14ac:dyDescent="0.2">
      <c r="O36" s="33">
        <v>3</v>
      </c>
      <c r="P36" s="27" t="str">
        <f>_xll.qlPeriodEquivalent(P35&amp;"+"&amp;O36&amp;"M")</f>
        <v>5Y3M</v>
      </c>
      <c r="Q36" s="28">
        <f>_xll.qlCalendarAdvance(Calendar,SettlementDate,P36,"f",,Trigger)</f>
        <v>44082</v>
      </c>
      <c r="R36" s="28">
        <f>_xll.qlInterestRateIndexValueDate(Index,Q36,Trigger)</f>
        <v>44084</v>
      </c>
      <c r="S36" s="28">
        <f>_xll.qlInterestRateIndexMaturity(Index,R36,Trigger)</f>
        <v>44175</v>
      </c>
      <c r="T36" s="30">
        <f>_xll.qlIndexFixing($M$6,Q36,,InterestRatesTrigger)</f>
        <v>1.1707682153325568E-2</v>
      </c>
      <c r="U36" s="30">
        <f>_xll.qlIndexFixing(Index,Q36,,InterestRatesTrigger)</f>
        <v>1.3119640921621583E-2</v>
      </c>
      <c r="V36" s="30">
        <f t="shared" si="5"/>
        <v>1.411958768296015E-3</v>
      </c>
      <c r="W36" s="29">
        <f>_xll.qlDayCounterYearFraction(DayCounter,SettlementDate,R36,,,Trigger)</f>
        <v>5.3361111111111112</v>
      </c>
      <c r="X36" s="29">
        <f>_xll.qlDayCounterYearFraction(DayCounter,R36,S36)</f>
        <v>0.25277777777777777</v>
      </c>
      <c r="Y36" s="29">
        <f>_xll.qlYieldTSDiscount(Currency&amp;"ON",R36)/(1+U36*X36)</f>
        <v>0.97922326536926796</v>
      </c>
      <c r="Z36" s="30">
        <f>_xll.qlTenorBasisValue(TenorBasis6M,R36,InterestRatesTrigger)</f>
        <v>1.5566223841902349E-3</v>
      </c>
      <c r="AA36" s="30">
        <f t="shared" si="6"/>
        <v>-1.4466361589421991E-4</v>
      </c>
    </row>
    <row r="37" spans="15:27" x14ac:dyDescent="0.2">
      <c r="O37" s="33">
        <v>3</v>
      </c>
      <c r="P37" s="27" t="str">
        <f>_xll.qlPeriodEquivalent(P36&amp;"+"&amp;O37&amp;"M")</f>
        <v>5Y6M</v>
      </c>
      <c r="Q37" s="28">
        <f>_xll.qlCalendarAdvance(Calendar,SettlementDate,P37,"f",,Trigger)</f>
        <v>44173</v>
      </c>
      <c r="R37" s="28">
        <f>_xll.qlInterestRateIndexValueDate(Index,Q37,Trigger)</f>
        <v>44175</v>
      </c>
      <c r="S37" s="28">
        <f>_xll.qlInterestRateIndexMaturity(Index,R37,Trigger)</f>
        <v>44265</v>
      </c>
      <c r="T37" s="30">
        <f>_xll.qlIndexFixing($M$6,Q37,,InterestRatesTrigger)</f>
        <v>1.2334677708997432E-2</v>
      </c>
      <c r="U37" s="30">
        <f>_xll.qlIndexFixing(Index,Q37,,InterestRatesTrigger)</f>
        <v>1.3738905518603239E-2</v>
      </c>
      <c r="V37" s="30">
        <f t="shared" si="5"/>
        <v>1.404227809605807E-3</v>
      </c>
      <c r="W37" s="29">
        <f>_xll.qlDayCounterYearFraction(DayCounter,SettlementDate,R37,,,Trigger)</f>
        <v>5.5888888888888886</v>
      </c>
      <c r="X37" s="29">
        <f>_xll.qlDayCounterYearFraction(DayCounter,R37,S37)</f>
        <v>0.25</v>
      </c>
      <c r="Y37" s="29">
        <f>_xll.qlYieldTSDiscount(Currency&amp;"ON",R37)/(1+U37*X37)</f>
        <v>0.97621868637075726</v>
      </c>
      <c r="Z37" s="30">
        <f>_xll.qlTenorBasisValue(TenorBasis6M,R37,InterestRatesTrigger)</f>
        <v>1.5443352597352398E-3</v>
      </c>
      <c r="AA37" s="30">
        <f t="shared" si="6"/>
        <v>-1.4010745012943285E-4</v>
      </c>
    </row>
    <row r="38" spans="15:27" x14ac:dyDescent="0.2">
      <c r="O38" s="33">
        <v>3</v>
      </c>
      <c r="P38" s="27" t="str">
        <f>_xll.qlPeriodEquivalent(P37&amp;"+"&amp;O38&amp;"M")</f>
        <v>5Y9M</v>
      </c>
      <c r="Q38" s="28">
        <f>_xll.qlCalendarAdvance(Calendar,SettlementDate,P38,"f",,Trigger)</f>
        <v>44263</v>
      </c>
      <c r="R38" s="28">
        <f>_xll.qlInterestRateIndexValueDate(Index,Q38,Trigger)</f>
        <v>44265</v>
      </c>
      <c r="S38" s="28">
        <f>_xll.qlInterestRateIndexMaturity(Index,R38,Trigger)</f>
        <v>44357</v>
      </c>
      <c r="T38" s="30">
        <f>_xll.qlIndexFixing($M$6,Q38,,InterestRatesTrigger)</f>
        <v>1.2914990482181013E-2</v>
      </c>
      <c r="U38" s="30">
        <f>_xll.qlIndexFixing(Index,Q38,,InterestRatesTrigger)</f>
        <v>1.4335225857881776E-2</v>
      </c>
      <c r="V38" s="30">
        <f t="shared" si="5"/>
        <v>1.4202353757007628E-3</v>
      </c>
      <c r="W38" s="29">
        <f>_xll.qlDayCounterYearFraction(DayCounter,SettlementDate,R38,,,Trigger)</f>
        <v>5.8388888888888886</v>
      </c>
      <c r="X38" s="29">
        <f>_xll.qlDayCounterYearFraction(DayCounter,R38,S38)</f>
        <v>0.25555555555555554</v>
      </c>
      <c r="Y38" s="29">
        <f>_xll.qlYieldTSDiscount(Currency&amp;"ON",R38)/(1+U38*X38)</f>
        <v>0.97299582292995768</v>
      </c>
      <c r="Z38" s="30">
        <f>_xll.qlTenorBasisValue(TenorBasis6M,R38,InterestRatesTrigger)</f>
        <v>1.5308812539386466E-3</v>
      </c>
      <c r="AA38" s="30">
        <f t="shared" si="6"/>
        <v>-1.1064587823788382E-4</v>
      </c>
    </row>
    <row r="39" spans="15:27" x14ac:dyDescent="0.2">
      <c r="O39" s="33">
        <v>3</v>
      </c>
      <c r="P39" s="27" t="str">
        <f>_xll.qlPeriodEquivalent(P38&amp;"+"&amp;O39&amp;"M")</f>
        <v>6Y</v>
      </c>
      <c r="Q39" s="28">
        <f>_xll.qlCalendarAdvance(Calendar,SettlementDate,P39,"f",,Trigger)</f>
        <v>44355</v>
      </c>
      <c r="R39" s="28">
        <f>_xll.qlInterestRateIndexValueDate(Index,Q39,Trigger)</f>
        <v>44357</v>
      </c>
      <c r="S39" s="28">
        <f>_xll.qlInterestRateIndexMaturity(Index,R39,Trigger)</f>
        <v>44449</v>
      </c>
      <c r="T39" s="30">
        <f>_xll.qlIndexFixing($M$6,Q39,,InterestRatesTrigger)</f>
        <v>1.3466121866861866E-2</v>
      </c>
      <c r="U39" s="30">
        <f>_xll.qlIndexFixing(Index,Q39,,InterestRatesTrigger)</f>
        <v>1.4916299790677488E-2</v>
      </c>
      <c r="V39" s="30">
        <f t="shared" si="5"/>
        <v>1.4501779238156216E-3</v>
      </c>
      <c r="W39" s="29">
        <f>_xll.qlDayCounterYearFraction(DayCounter,SettlementDate,R39,,,Trigger)</f>
        <v>6.0944444444444441</v>
      </c>
      <c r="X39" s="29">
        <f>_xll.qlDayCounterYearFraction(DayCounter,R39,S39)</f>
        <v>0.25555555555555554</v>
      </c>
      <c r="Y39" s="29">
        <f>_xll.qlYieldTSDiscount(Currency&amp;"ON",R39)/(1+U39*X39)</f>
        <v>0.96965155238186973</v>
      </c>
      <c r="Z39" s="30">
        <f>_xll.qlTenorBasisValue(TenorBasis6M,R39,InterestRatesTrigger)</f>
        <v>1.5159225211715307E-3</v>
      </c>
      <c r="AA39" s="30">
        <f t="shared" si="6"/>
        <v>-6.5744597355909054E-5</v>
      </c>
    </row>
    <row r="40" spans="15:27" x14ac:dyDescent="0.2">
      <c r="O40" s="33">
        <v>3</v>
      </c>
      <c r="P40" s="27" t="str">
        <f>_xll.qlPeriodEquivalent(P39&amp;"+"&amp;O40&amp;"M")</f>
        <v>6Y3M</v>
      </c>
      <c r="Q40" s="28">
        <f>_xll.qlCalendarAdvance(Calendar,SettlementDate,P40,"f",,Trigger)</f>
        <v>44447</v>
      </c>
      <c r="R40" s="28">
        <f>_xll.qlInterestRateIndexValueDate(Index,Q40,Trigger)</f>
        <v>44449</v>
      </c>
      <c r="S40" s="28">
        <f>_xll.qlInterestRateIndexMaturity(Index,R40,Trigger)</f>
        <v>44540</v>
      </c>
      <c r="T40" s="30">
        <f>_xll.qlIndexFixing($M$6,Q40,,InterestRatesTrigger)</f>
        <v>1.403979137065948E-2</v>
      </c>
      <c r="U40" s="30">
        <f>_xll.qlIndexFixing(Index,Q40,,InterestRatesTrigger)</f>
        <v>1.5496040586592838E-2</v>
      </c>
      <c r="V40" s="30">
        <f t="shared" si="5"/>
        <v>1.4562492159333577E-3</v>
      </c>
      <c r="W40" s="29">
        <f>_xll.qlDayCounterYearFraction(DayCounter,SettlementDate,R40,,,Trigger)</f>
        <v>6.35</v>
      </c>
      <c r="X40" s="29">
        <f>_xll.qlDayCounterYearFraction(DayCounter,R40,S40)</f>
        <v>0.25277777777777777</v>
      </c>
      <c r="Y40" s="29">
        <f>_xll.qlYieldTSDiscount(Currency&amp;"ON",R40)/(1+U40*X40)</f>
        <v>0.96622491796273802</v>
      </c>
      <c r="Z40" s="30">
        <f>_xll.qlTenorBasisValue(TenorBasis6M,R40,InterestRatesTrigger)</f>
        <v>1.4998703365654109E-3</v>
      </c>
      <c r="AA40" s="30">
        <f t="shared" si="6"/>
        <v>-4.3621120632053156E-5</v>
      </c>
    </row>
    <row r="41" spans="15:27" x14ac:dyDescent="0.2">
      <c r="O41" s="33">
        <v>3</v>
      </c>
      <c r="P41" s="27" t="str">
        <f>_xll.qlPeriodEquivalent(P40&amp;"+"&amp;O41&amp;"M")</f>
        <v>6Y6M</v>
      </c>
      <c r="Q41" s="28">
        <f>_xll.qlCalendarAdvance(Calendar,SettlementDate,P41,"f",,Trigger)</f>
        <v>44538</v>
      </c>
      <c r="R41" s="28">
        <f>_xll.qlInterestRateIndexValueDate(Index,Q41,Trigger)</f>
        <v>44540</v>
      </c>
      <c r="S41" s="28">
        <f>_xll.qlInterestRateIndexMaturity(Index,R41,Trigger)</f>
        <v>44630</v>
      </c>
      <c r="T41" s="30">
        <f>_xll.qlIndexFixing($M$6,Q41,,InterestRatesTrigger)</f>
        <v>1.4646585462545936E-2</v>
      </c>
      <c r="U41" s="30">
        <f>_xll.qlIndexFixing(Index,Q41,,InterestRatesTrigger)</f>
        <v>1.6076927122183449E-2</v>
      </c>
      <c r="V41" s="30">
        <f t="shared" si="5"/>
        <v>1.4303416596375129E-3</v>
      </c>
      <c r="W41" s="29">
        <f>_xll.qlDayCounterYearFraction(DayCounter,SettlementDate,R41,,,Trigger)</f>
        <v>6.6027777777777779</v>
      </c>
      <c r="X41" s="29">
        <f>_xll.qlDayCounterYearFraction(DayCounter,R41,S41)</f>
        <v>0.25</v>
      </c>
      <c r="Y41" s="29">
        <f>_xll.qlYieldTSDiscount(Currency&amp;"ON",R41)/(1+U41*X41)</f>
        <v>0.96270998019015086</v>
      </c>
      <c r="Z41" s="30">
        <f>_xll.qlTenorBasisValue(TenorBasis6M,R41,InterestRatesTrigger)</f>
        <v>1.4830326721438707E-3</v>
      </c>
      <c r="AA41" s="30">
        <f t="shared" si="6"/>
        <v>-5.2691012506357821E-5</v>
      </c>
    </row>
    <row r="42" spans="15:27" x14ac:dyDescent="0.2">
      <c r="O42" s="33">
        <v>3</v>
      </c>
      <c r="P42" s="27" t="str">
        <f>_xll.qlPeriodEquivalent(P41&amp;"+"&amp;O42&amp;"M")</f>
        <v>6Y9M</v>
      </c>
      <c r="Q42" s="28">
        <f>_xll.qlCalendarAdvance(Calendar,SettlementDate,P42,"f",,Trigger)</f>
        <v>44628</v>
      </c>
      <c r="R42" s="28">
        <f>_xll.qlInterestRateIndexValueDate(Index,Q42,Trigger)</f>
        <v>44630</v>
      </c>
      <c r="S42" s="28">
        <f>_xll.qlInterestRateIndexMaturity(Index,R42,Trigger)</f>
        <v>44722</v>
      </c>
      <c r="T42" s="30">
        <f>_xll.qlIndexFixing($M$6,Q42,,InterestRatesTrigger)</f>
        <v>1.5297332037948162E-2</v>
      </c>
      <c r="U42" s="30">
        <f>_xll.qlIndexFixing(Index,Q42,,InterestRatesTrigger)</f>
        <v>1.6669706892649516E-2</v>
      </c>
      <c r="V42" s="30">
        <f t="shared" si="5"/>
        <v>1.372374854701354E-3</v>
      </c>
      <c r="W42" s="29">
        <f>_xll.qlDayCounterYearFraction(DayCounter,SettlementDate,R42,,,Trigger)</f>
        <v>6.8527777777777779</v>
      </c>
      <c r="X42" s="29">
        <f>_xll.qlDayCounterYearFraction(DayCounter,R42,S42)</f>
        <v>0.25555555555555554</v>
      </c>
      <c r="Y42" s="29">
        <f>_xll.qlYieldTSDiscount(Currency&amp;"ON",R42)/(1+U42*X42)</f>
        <v>0.95896773802673352</v>
      </c>
      <c r="Z42" s="30">
        <f>_xll.qlTenorBasisValue(TenorBasis6M,R42,InterestRatesTrigger)</f>
        <v>1.4655458477403275E-3</v>
      </c>
      <c r="AA42" s="30">
        <f t="shared" si="6"/>
        <v>-9.3170993038973592E-5</v>
      </c>
    </row>
    <row r="43" spans="15:27" x14ac:dyDescent="0.2">
      <c r="O43" s="33">
        <v>3</v>
      </c>
      <c r="P43" s="27" t="str">
        <f>_xll.qlPeriodEquivalent(P42&amp;"+"&amp;O43&amp;"M")</f>
        <v>7Y</v>
      </c>
      <c r="Q43" s="28">
        <f>_xll.qlCalendarAdvance(Calendar,SettlementDate,P43,"f",,Trigger)</f>
        <v>44720</v>
      </c>
      <c r="R43" s="28">
        <f>_xll.qlInterestRateIndexValueDate(Index,Q43,Trigger)</f>
        <v>44722</v>
      </c>
      <c r="S43" s="28">
        <f>_xll.qlInterestRateIndexMaturity(Index,R43,Trigger)</f>
        <v>44816</v>
      </c>
      <c r="T43" s="30">
        <f>_xll.qlIndexFixing($M$6,Q43,,InterestRatesTrigger)</f>
        <v>1.5973510815041517E-2</v>
      </c>
      <c r="U43" s="30">
        <f>_xll.qlIndexFixing(Index,Q43,,InterestRatesTrigger)</f>
        <v>1.7267921101456769E-2</v>
      </c>
      <c r="V43" s="30">
        <f t="shared" si="5"/>
        <v>1.2944102864152519E-3</v>
      </c>
      <c r="W43" s="29">
        <f>_xll.qlDayCounterYearFraction(DayCounter,SettlementDate,R43,,,Trigger)</f>
        <v>7.1083333333333334</v>
      </c>
      <c r="X43" s="29">
        <f>_xll.qlDayCounterYearFraction(DayCounter,R43,S43)</f>
        <v>0.26111111111111113</v>
      </c>
      <c r="Y43" s="29">
        <f>_xll.qlYieldTSDiscount(Currency&amp;"ON",R43)/(1+U43*X43)</f>
        <v>0.95499682193820234</v>
      </c>
      <c r="Z43" s="30">
        <f>_xll.qlTenorBasisValue(TenorBasis6M,R43,InterestRatesTrigger)</f>
        <v>1.4469134556898539E-3</v>
      </c>
      <c r="AA43" s="30">
        <f t="shared" si="6"/>
        <v>-1.5250316927460194E-4</v>
      </c>
    </row>
    <row r="44" spans="15:27" x14ac:dyDescent="0.2">
      <c r="O44" s="33">
        <v>3</v>
      </c>
      <c r="P44" s="27" t="str">
        <f>_xll.qlPeriodEquivalent(P43&amp;"+"&amp;O44&amp;"M")</f>
        <v>7Y3M</v>
      </c>
      <c r="Q44" s="28">
        <f>_xll.qlCalendarAdvance(Calendar,SettlementDate,P44,"f",,Trigger)</f>
        <v>44812</v>
      </c>
      <c r="R44" s="28">
        <f>_xll.qlInterestRateIndexValueDate(Index,Q44,Trigger)</f>
        <v>44816</v>
      </c>
      <c r="S44" s="28">
        <f>_xll.qlInterestRateIndexMaturity(Index,R44,Trigger)</f>
        <v>44907</v>
      </c>
      <c r="T44" s="30">
        <f>_xll.qlIndexFixing($M$6,Q44,,InterestRatesTrigger)</f>
        <v>1.6547026693258242E-2</v>
      </c>
      <c r="U44" s="30">
        <f>_xll.qlIndexFixing(Index,Q44,,InterestRatesTrigger)</f>
        <v>1.7797115299972799E-2</v>
      </c>
      <c r="V44" s="30">
        <f t="shared" si="5"/>
        <v>1.250088606714557E-3</v>
      </c>
      <c r="W44" s="29">
        <f>_xll.qlDayCounterYearFraction(DayCounter,SettlementDate,R44,,,Trigger)</f>
        <v>7.3694444444444445</v>
      </c>
      <c r="X44" s="29">
        <f>_xll.qlDayCounterYearFraction(DayCounter,R44,S44)</f>
        <v>0.25277777777777777</v>
      </c>
      <c r="Y44" s="29">
        <f>_xll.qlYieldTSDiscount(Currency&amp;"ON",R44)/(1+U44*X44)</f>
        <v>0.95103979854419307</v>
      </c>
      <c r="Z44" s="30">
        <f>_xll.qlTenorBasisValue(TenorBasis6M,R44,InterestRatesTrigger)</f>
        <v>1.4271843446142817E-3</v>
      </c>
      <c r="AA44" s="30">
        <f t="shared" si="6"/>
        <v>-1.7709573789972477E-4</v>
      </c>
    </row>
    <row r="45" spans="15:27" x14ac:dyDescent="0.2">
      <c r="O45" s="33">
        <v>3</v>
      </c>
      <c r="P45" s="27" t="str">
        <f>_xll.qlPeriodEquivalent(P44&amp;"+"&amp;O45&amp;"M")</f>
        <v>7Y6M</v>
      </c>
      <c r="Q45" s="28">
        <f>_xll.qlCalendarAdvance(Calendar,SettlementDate,P45,"f",,Trigger)</f>
        <v>44903</v>
      </c>
      <c r="R45" s="28">
        <f>_xll.qlInterestRateIndexValueDate(Index,Q45,Trigger)</f>
        <v>44907</v>
      </c>
      <c r="S45" s="28">
        <f>_xll.qlInterestRateIndexMaturity(Index,R45,Trigger)</f>
        <v>44998</v>
      </c>
      <c r="T45" s="30">
        <f>_xll.qlIndexFixing($M$6,Q45,,InterestRatesTrigger)</f>
        <v>1.6992312537684739E-2</v>
      </c>
      <c r="U45" s="30">
        <f>_xll.qlIndexFixing(Index,Q45,,InterestRatesTrigger)</f>
        <v>1.8243724120052721E-2</v>
      </c>
      <c r="V45" s="30">
        <f t="shared" si="5"/>
        <v>1.2514115823679811E-3</v>
      </c>
      <c r="W45" s="29">
        <f>_xll.qlDayCounterYearFraction(DayCounter,SettlementDate,R45,,,Trigger)</f>
        <v>7.6222222222222218</v>
      </c>
      <c r="X45" s="29">
        <f>_xll.qlDayCounterYearFraction(DayCounter,R45,S45)</f>
        <v>0.25277777777777777</v>
      </c>
      <c r="Y45" s="29">
        <f>_xll.qlYieldTSDiscount(Currency&amp;"ON",R45)/(1+U45*X45)</f>
        <v>0.94697200651382041</v>
      </c>
      <c r="Z45" s="30">
        <f>_xll.qlTenorBasisValue(TenorBasis6M,R45,InterestRatesTrigger)</f>
        <v>1.4075076861491957E-3</v>
      </c>
      <c r="AA45" s="30">
        <f t="shared" si="6"/>
        <v>-1.5609610378121462E-4</v>
      </c>
    </row>
    <row r="46" spans="15:27" x14ac:dyDescent="0.2">
      <c r="O46" s="33">
        <v>3</v>
      </c>
      <c r="P46" s="27" t="str">
        <f>_xll.qlPeriodEquivalent(P45&amp;"+"&amp;O46&amp;"M")</f>
        <v>7Y9M</v>
      </c>
      <c r="Q46" s="28">
        <f>_xll.qlCalendarAdvance(Calendar,SettlementDate,P46,"f",,Trigger)</f>
        <v>44993</v>
      </c>
      <c r="R46" s="28">
        <f>_xll.qlInterestRateIndexValueDate(Index,Q46,Trigger)</f>
        <v>44995</v>
      </c>
      <c r="S46" s="28">
        <f>_xll.qlInterestRateIndexMaturity(Index,R46,Trigger)</f>
        <v>45089</v>
      </c>
      <c r="T46" s="30">
        <f>_xll.qlIndexFixing($M$6,Q46,,InterestRatesTrigger)</f>
        <v>1.7315384621707879E-2</v>
      </c>
      <c r="U46" s="30">
        <f>_xll.qlIndexFixing(Index,Q46,,InterestRatesTrigger)</f>
        <v>1.8611603147454164E-2</v>
      </c>
      <c r="V46" s="30">
        <f t="shared" si="5"/>
        <v>1.2962185257462851E-3</v>
      </c>
      <c r="W46" s="29">
        <f>_xll.qlDayCounterYearFraction(DayCounter,SettlementDate,R46,,,Trigger)</f>
        <v>7.8666666666666663</v>
      </c>
      <c r="X46" s="29">
        <f>_xll.qlDayCounterYearFraction(DayCounter,R46,S46)</f>
        <v>0.26111111111111113</v>
      </c>
      <c r="Y46" s="29">
        <f>_xll.qlYieldTSDiscount(Currency&amp;"ON",R46)/(1+U46*X46)</f>
        <v>0.94282369802069643</v>
      </c>
      <c r="Z46" s="30">
        <f>_xll.qlTenorBasisValue(TenorBasis6M,R46,InterestRatesTrigger)</f>
        <v>1.388015780989865E-3</v>
      </c>
      <c r="AA46" s="30">
        <f t="shared" si="6"/>
        <v>-9.1797255243579977E-5</v>
      </c>
    </row>
    <row r="47" spans="15:27" x14ac:dyDescent="0.2">
      <c r="O47" s="33">
        <v>3</v>
      </c>
      <c r="P47" s="27" t="str">
        <f>_xll.qlPeriodEquivalent(P46&amp;"+"&amp;O47&amp;"M")</f>
        <v>8Y</v>
      </c>
      <c r="Q47" s="28">
        <f>_xll.qlCalendarAdvance(Calendar,SettlementDate,P47,"f",,Trigger)</f>
        <v>45085</v>
      </c>
      <c r="R47" s="28">
        <f>_xll.qlInterestRateIndexValueDate(Index,Q47,Trigger)</f>
        <v>45089</v>
      </c>
      <c r="S47" s="28">
        <f>_xll.qlInterestRateIndexMaturity(Index,R47,Trigger)</f>
        <v>45181</v>
      </c>
      <c r="T47" s="30">
        <f>_xll.qlIndexFixing($M$6,Q47,,InterestRatesTrigger)</f>
        <v>1.7547740198897519E-2</v>
      </c>
      <c r="U47" s="30">
        <f>_xll.qlIndexFixing(Index,Q47,,InterestRatesTrigger)</f>
        <v>1.8920292103063525E-2</v>
      </c>
      <c r="V47" s="30">
        <f t="shared" si="5"/>
        <v>1.3725519041660056E-3</v>
      </c>
      <c r="W47" s="29">
        <f>_xll.qlDayCounterYearFraction(DayCounter,SettlementDate,R47,,,Trigger)</f>
        <v>8.1277777777777782</v>
      </c>
      <c r="X47" s="29">
        <f>_xll.qlDayCounterYearFraction(DayCounter,R47,S47)</f>
        <v>0.25555555555555554</v>
      </c>
      <c r="Y47" s="29">
        <f>_xll.qlYieldTSDiscount(Currency&amp;"ON",R47)/(1+U47*X47)</f>
        <v>0.93860304701232933</v>
      </c>
      <c r="Z47" s="30">
        <f>_xll.qlTenorBasisValue(TenorBasis6M,R47,InterestRatesTrigger)</f>
        <v>1.3667678133230466E-3</v>
      </c>
      <c r="AA47" s="30">
        <f t="shared" si="6"/>
        <v>5.7840908429590207E-6</v>
      </c>
    </row>
    <row r="48" spans="15:27" x14ac:dyDescent="0.2">
      <c r="O48" s="33">
        <v>3</v>
      </c>
      <c r="P48" s="27" t="str">
        <f>_xll.qlPeriodEquivalent(P47&amp;"+"&amp;O48&amp;"M")</f>
        <v>8Y3M</v>
      </c>
      <c r="Q48" s="28">
        <f>_xll.qlCalendarAdvance(Calendar,SettlementDate,P48,"f",,Trigger)</f>
        <v>45177</v>
      </c>
      <c r="R48" s="28">
        <f>_xll.qlInterestRateIndexValueDate(Index,Q48,Trigger)</f>
        <v>45181</v>
      </c>
      <c r="S48" s="28">
        <f>_xll.qlInterestRateIndexMaturity(Index,R48,Trigger)</f>
        <v>45272</v>
      </c>
      <c r="T48" s="30">
        <f>_xll.qlIndexFixing($M$6,Q48,,InterestRatesTrigger)</f>
        <v>1.7744614499474579E-2</v>
      </c>
      <c r="U48" s="30">
        <f>_xll.qlIndexFixing(Index,Q48,,InterestRatesTrigger)</f>
        <v>1.9169993554587376E-2</v>
      </c>
      <c r="V48" s="30">
        <f t="shared" si="5"/>
        <v>1.4253790551127972E-3</v>
      </c>
      <c r="W48" s="29">
        <f>_xll.qlDayCounterYearFraction(DayCounter,SettlementDate,R48,,,Trigger)</f>
        <v>8.3833333333333329</v>
      </c>
      <c r="X48" s="29">
        <f>_xll.qlDayCounterYearFraction(DayCounter,R48,S48)</f>
        <v>0.25277777777777777</v>
      </c>
      <c r="Y48" s="29">
        <f>_xll.qlYieldTSDiscount(Currency&amp;"ON",R48)/(1+U48*X48)</f>
        <v>0.93440292323434748</v>
      </c>
      <c r="Z48" s="30">
        <f>_xll.qlTenorBasisValue(TenorBasis6M,R48,InterestRatesTrigger)</f>
        <v>1.3456163144677526E-3</v>
      </c>
      <c r="AA48" s="30">
        <f t="shared" si="6"/>
        <v>7.9762740645044575E-5</v>
      </c>
    </row>
    <row r="49" spans="15:27" x14ac:dyDescent="0.2">
      <c r="O49" s="33">
        <v>3</v>
      </c>
      <c r="P49" s="27" t="str">
        <f>_xll.qlPeriodEquivalent(P48&amp;"+"&amp;O49&amp;"M")</f>
        <v>8Y6M</v>
      </c>
      <c r="Q49" s="28">
        <f>_xll.qlCalendarAdvance(Calendar,SettlementDate,P49,"f",,Trigger)</f>
        <v>45268</v>
      </c>
      <c r="R49" s="28">
        <f>_xll.qlInterestRateIndexValueDate(Index,Q49,Trigger)</f>
        <v>45272</v>
      </c>
      <c r="S49" s="28">
        <f>_xll.qlInterestRateIndexMaturity(Index,R49,Trigger)</f>
        <v>45363</v>
      </c>
      <c r="T49" s="30">
        <f>_xll.qlIndexFixing($M$6,Q49,,InterestRatesTrigger)</f>
        <v>1.7924763952331387E-2</v>
      </c>
      <c r="U49" s="30">
        <f>_xll.qlIndexFixing(Index,Q49,,InterestRatesTrigger)</f>
        <v>1.9369010297355688E-2</v>
      </c>
      <c r="V49" s="30">
        <f t="shared" si="5"/>
        <v>1.4442463450243005E-3</v>
      </c>
      <c r="W49" s="29">
        <f>_xll.qlDayCounterYearFraction(DayCounter,SettlementDate,R49,,,Trigger)</f>
        <v>8.6361111111111111</v>
      </c>
      <c r="X49" s="29">
        <f>_xll.qlDayCounterYearFraction(DayCounter,R49,S49)</f>
        <v>0.25277777777777777</v>
      </c>
      <c r="Y49" s="29">
        <f>_xll.qlYieldTSDiscount(Currency&amp;"ON",R49)/(1+U49*X49)</f>
        <v>0.93018385743726184</v>
      </c>
      <c r="Z49" s="30">
        <f>_xll.qlTenorBasisValue(TenorBasis6M,R49,InterestRatesTrigger)</f>
        <v>1.3244139127801847E-3</v>
      </c>
      <c r="AA49" s="30">
        <f t="shared" si="6"/>
        <v>1.1983243224411577E-4</v>
      </c>
    </row>
    <row r="50" spans="15:27" x14ac:dyDescent="0.2">
      <c r="O50" s="33">
        <v>3</v>
      </c>
      <c r="P50" s="27" t="str">
        <f>_xll.qlPeriodEquivalent(P49&amp;"+"&amp;O50&amp;"M")</f>
        <v>8Y9M</v>
      </c>
      <c r="Q50" s="28">
        <f>_xll.qlCalendarAdvance(Calendar,SettlementDate,P50,"f",,Trigger)</f>
        <v>45359</v>
      </c>
      <c r="R50" s="28">
        <f>_xll.qlInterestRateIndexValueDate(Index,Q50,Trigger)</f>
        <v>45363</v>
      </c>
      <c r="S50" s="28">
        <f>_xll.qlInterestRateIndexMaturity(Index,R50,Trigger)</f>
        <v>45455</v>
      </c>
      <c r="T50" s="30">
        <f>_xll.qlIndexFixing($M$6,Q50,,InterestRatesTrigger)</f>
        <v>1.8090192934497248E-2</v>
      </c>
      <c r="U50" s="30">
        <f>_xll.qlIndexFixing(Index,Q50,,InterestRatesTrigger)</f>
        <v>1.9519553847563771E-2</v>
      </c>
      <c r="V50" s="30">
        <f t="shared" si="5"/>
        <v>1.4293609130665227E-3</v>
      </c>
      <c r="W50" s="29">
        <f>_xll.qlDayCounterYearFraction(DayCounter,SettlementDate,R50,,,Trigger)</f>
        <v>8.8888888888888893</v>
      </c>
      <c r="X50" s="29">
        <f>_xll.qlDayCounterYearFraction(DayCounter,R50,S50)</f>
        <v>0.25555555555555554</v>
      </c>
      <c r="Y50" s="29">
        <f>_xll.qlYieldTSDiscount(Currency&amp;"ON",R50)/(1+U50*X50)</f>
        <v>0.92590319998306159</v>
      </c>
      <c r="Z50" s="30">
        <f>_xll.qlTenorBasisValue(TenorBasis6M,R50,InterestRatesTrigger)</f>
        <v>1.3029916561536367E-3</v>
      </c>
      <c r="AA50" s="30">
        <f t="shared" si="6"/>
        <v>1.2636925691288602E-4</v>
      </c>
    </row>
    <row r="51" spans="15:27" x14ac:dyDescent="0.2">
      <c r="O51" s="33">
        <v>3</v>
      </c>
      <c r="P51" s="27" t="str">
        <f>_xll.qlPeriodEquivalent(P50&amp;"+"&amp;O51&amp;"M")</f>
        <v>9Y</v>
      </c>
      <c r="Q51" s="28">
        <f>_xll.qlCalendarAdvance(Calendar,SettlementDate,P51,"f",,Trigger)</f>
        <v>45453</v>
      </c>
      <c r="R51" s="28">
        <f>_xll.qlInterestRateIndexValueDate(Index,Q51,Trigger)</f>
        <v>45455</v>
      </c>
      <c r="S51" s="28">
        <f>_xll.qlInterestRateIndexMaturity(Index,R51,Trigger)</f>
        <v>45547</v>
      </c>
      <c r="T51" s="30">
        <f>_xll.qlIndexFixing($M$6,Q51,,InterestRatesTrigger)</f>
        <v>1.8253412948345333E-2</v>
      </c>
      <c r="U51" s="30">
        <f>_xll.qlIndexFixing(Index,Q51,,InterestRatesTrigger)</f>
        <v>1.9636050561455003E-2</v>
      </c>
      <c r="V51" s="30">
        <f t="shared" si="5"/>
        <v>1.3826376131096697E-3</v>
      </c>
      <c r="W51" s="29">
        <f>_xll.qlDayCounterYearFraction(DayCounter,SettlementDate,R51,,,Trigger)</f>
        <v>9.1444444444444439</v>
      </c>
      <c r="X51" s="29">
        <f>_xll.qlDayCounterYearFraction(DayCounter,R51,S51)</f>
        <v>0.25555555555555554</v>
      </c>
      <c r="Y51" s="29">
        <f>_xll.qlYieldTSDiscount(Currency&amp;"ON",R51)/(1+U51*X51)</f>
        <v>0.92161510015152259</v>
      </c>
      <c r="Z51" s="30">
        <f>_xll.qlTenorBasisValue(TenorBasis6M,R51,InterestRatesTrigger)</f>
        <v>1.2811663551844784E-3</v>
      </c>
      <c r="AA51" s="30">
        <f t="shared" si="6"/>
        <v>1.014712579251913E-4</v>
      </c>
    </row>
    <row r="52" spans="15:27" x14ac:dyDescent="0.2">
      <c r="O52" s="33">
        <v>3</v>
      </c>
      <c r="P52" s="27" t="str">
        <f>_xll.qlPeriodEquivalent(P51&amp;"+"&amp;O52&amp;"M")</f>
        <v>9Y3M</v>
      </c>
      <c r="Q52" s="28">
        <f>_xll.qlCalendarAdvance(Calendar,SettlementDate,P52,"f",,Trigger)</f>
        <v>45544</v>
      </c>
      <c r="R52" s="28">
        <f>_xll.qlInterestRateIndexValueDate(Index,Q52,Trigger)</f>
        <v>45546</v>
      </c>
      <c r="S52" s="28">
        <f>_xll.qlInterestRateIndexMaturity(Index,R52,Trigger)</f>
        <v>45637</v>
      </c>
      <c r="T52" s="30">
        <f>_xll.qlIndexFixing($M$6,Q52,,InterestRatesTrigger)</f>
        <v>1.8460601602653209E-2</v>
      </c>
      <c r="U52" s="30">
        <f>_xll.qlIndexFixing(Index,Q52,,InterestRatesTrigger)</f>
        <v>1.9775550857937599E-2</v>
      </c>
      <c r="V52" s="30">
        <f t="shared" si="5"/>
        <v>1.3149492552843901E-3</v>
      </c>
      <c r="W52" s="29">
        <f>_xll.qlDayCounterYearFraction(DayCounter,SettlementDate,R52,,,Trigger)</f>
        <v>9.3972222222222221</v>
      </c>
      <c r="X52" s="29">
        <f>_xll.qlDayCounterYearFraction(DayCounter,R52,S52)</f>
        <v>0.25277777777777777</v>
      </c>
      <c r="Y52" s="29">
        <f>_xll.qlYieldTSDiscount(Currency&amp;"ON",R52)/(1+U52*X52)</f>
        <v>0.91740019364077463</v>
      </c>
      <c r="Z52" s="30">
        <f>_xll.qlTenorBasisValue(TenorBasis6M,R52,InterestRatesTrigger)</f>
        <v>1.259463508223359E-3</v>
      </c>
      <c r="AA52" s="30">
        <f t="shared" si="6"/>
        <v>5.5485747061031175E-5</v>
      </c>
    </row>
    <row r="53" spans="15:27" x14ac:dyDescent="0.2">
      <c r="O53" s="33">
        <v>3</v>
      </c>
      <c r="P53" s="27" t="str">
        <f>_xll.qlPeriodEquivalent(P52&amp;"+"&amp;O53&amp;"M")</f>
        <v>9Y6M</v>
      </c>
      <c r="Q53" s="28">
        <f>_xll.qlCalendarAdvance(Calendar,SettlementDate,P53,"f",,Trigger)</f>
        <v>45635</v>
      </c>
      <c r="R53" s="28">
        <f>_xll.qlInterestRateIndexValueDate(Index,Q53,Trigger)</f>
        <v>45637</v>
      </c>
      <c r="S53" s="28">
        <f>_xll.qlInterestRateIndexMaturity(Index,R53,Trigger)</f>
        <v>45727</v>
      </c>
      <c r="T53" s="30">
        <f>_xll.qlIndexFixing($M$6,Q53,,InterestRatesTrigger)</f>
        <v>1.872623000679674E-2</v>
      </c>
      <c r="U53" s="30">
        <f>_xll.qlIndexFixing(Index,Q53,,InterestRatesTrigger)</f>
        <v>1.9954192816983962E-2</v>
      </c>
      <c r="V53" s="30">
        <f t="shared" si="5"/>
        <v>1.227962810187222E-3</v>
      </c>
      <c r="W53" s="29">
        <f>_xll.qlDayCounterYearFraction(DayCounter,SettlementDate,R53,,,Trigger)</f>
        <v>9.65</v>
      </c>
      <c r="X53" s="29">
        <f>_xll.qlDayCounterYearFraction(DayCounter,R53,S53)</f>
        <v>0.25</v>
      </c>
      <c r="Y53" s="29">
        <f>_xll.qlYieldTSDiscount(Currency&amp;"ON",R53)/(1+U53*X53)</f>
        <v>0.91314842695370624</v>
      </c>
      <c r="Z53" s="30">
        <f>_xll.qlTenorBasisValue(TenorBasis6M,R53,InterestRatesTrigger)</f>
        <v>1.2376933291076539E-3</v>
      </c>
      <c r="AA53" s="30">
        <f t="shared" si="6"/>
        <v>-9.73051892043191E-6</v>
      </c>
    </row>
    <row r="54" spans="15:27" x14ac:dyDescent="0.2">
      <c r="O54" s="33">
        <v>3</v>
      </c>
      <c r="P54" s="27" t="str">
        <f>_xll.qlPeriodEquivalent(P53&amp;"+"&amp;O54&amp;"M")</f>
        <v>9Y9M</v>
      </c>
      <c r="Q54" s="28">
        <f>_xll.qlCalendarAdvance(Calendar,SettlementDate,P54,"f",,Trigger)</f>
        <v>45726</v>
      </c>
      <c r="R54" s="28">
        <f>_xll.qlInterestRateIndexValueDate(Index,Q54,Trigger)</f>
        <v>45728</v>
      </c>
      <c r="S54" s="28">
        <f>_xll.qlInterestRateIndexMaturity(Index,R54,Trigger)</f>
        <v>45820</v>
      </c>
      <c r="T54" s="30">
        <f>_xll.qlIndexFixing($M$6,Q54,,InterestRatesTrigger)</f>
        <v>1.9057844389981614E-2</v>
      </c>
      <c r="U54" s="30">
        <f>_xll.qlIndexFixing(Index,Q54,,InterestRatesTrigger)</f>
        <v>2.0177725422821008E-2</v>
      </c>
      <c r="V54" s="30">
        <f t="shared" si="5"/>
        <v>1.1198810328393941E-3</v>
      </c>
      <c r="W54" s="29">
        <f>_xll.qlDayCounterYearFraction(DayCounter,SettlementDate,R54,,,Trigger)</f>
        <v>9.9027777777777786</v>
      </c>
      <c r="X54" s="29">
        <f>_xll.qlDayCounterYearFraction(DayCounter,R54,S54)</f>
        <v>0.25555555555555554</v>
      </c>
      <c r="Y54" s="29">
        <f>_xll.qlYieldTSDiscount(Currency&amp;"ON",R54)/(1+U54*X54)</f>
        <v>0.90869395176147727</v>
      </c>
      <c r="Z54" s="30">
        <f>_xll.qlTenorBasisValue(TenorBasis6M,R54,InterestRatesTrigger)</f>
        <v>1.2158987801357945E-3</v>
      </c>
      <c r="AA54" s="30">
        <f t="shared" si="6"/>
        <v>-9.6017747296400432E-5</v>
      </c>
    </row>
    <row r="55" spans="15:27" x14ac:dyDescent="0.2">
      <c r="O55" s="33">
        <v>3</v>
      </c>
      <c r="P55" s="27" t="str">
        <f>_xll.qlPeriodEquivalent(P54&amp;"+"&amp;O55&amp;"M")</f>
        <v>10Y</v>
      </c>
      <c r="Q55" s="28">
        <f>_xll.qlCalendarAdvance(Calendar,SettlementDate,P55,"f",,Trigger)</f>
        <v>45817</v>
      </c>
      <c r="R55" s="28">
        <f>_xll.qlInterestRateIndexValueDate(Index,Q55,Trigger)</f>
        <v>45819</v>
      </c>
      <c r="S55" s="28">
        <f>_xll.qlInterestRateIndexMaturity(Index,R55,Trigger)</f>
        <v>45911</v>
      </c>
      <c r="T55" s="30">
        <f>_xll.qlIndexFixing($M$6,Q55,,InterestRatesTrigger)</f>
        <v>1.9413110525825217E-2</v>
      </c>
      <c r="U55" s="30">
        <f>_xll.qlIndexFixing(Index,Q55,,InterestRatesTrigger)</f>
        <v>2.0423849185023213E-2</v>
      </c>
      <c r="V55" s="30">
        <f t="shared" si="5"/>
        <v>1.0107386591979954E-3</v>
      </c>
      <c r="W55" s="29">
        <f>_xll.qlDayCounterYearFraction(DayCounter,SettlementDate,R55,,,Trigger)</f>
        <v>10.155555555555555</v>
      </c>
      <c r="X55" s="29">
        <f>_xll.qlDayCounterYearFraction(DayCounter,R55,S55)</f>
        <v>0.25555555555555554</v>
      </c>
      <c r="Y55" s="29">
        <f>_xll.qlYieldTSDiscount(Currency&amp;"ON",R55)/(1+U55*X55)</f>
        <v>0.9042813838295054</v>
      </c>
      <c r="Z55" s="30">
        <f>_xll.qlTenorBasisValue(TenorBasis6M,R55,InterestRatesTrigger)</f>
        <v>1.194119373864174E-3</v>
      </c>
      <c r="AA55" s="30">
        <f t="shared" si="6"/>
        <v>-1.8338071466617858E-4</v>
      </c>
    </row>
    <row r="56" spans="15:27" x14ac:dyDescent="0.2">
      <c r="O56" s="33">
        <v>3</v>
      </c>
      <c r="P56" s="27" t="str">
        <f>_xll.qlPeriodEquivalent(P55&amp;"+"&amp;O56&amp;"M")</f>
        <v>10Y3M</v>
      </c>
      <c r="Q56" s="28">
        <f>_xll.qlCalendarAdvance(Calendar,SettlementDate,P56,"f",,Trigger)</f>
        <v>45908</v>
      </c>
      <c r="R56" s="28">
        <f>_xll.qlInterestRateIndexValueDate(Index,Q56,Trigger)</f>
        <v>45910</v>
      </c>
      <c r="S56" s="28">
        <f>_xll.qlInterestRateIndexMaturity(Index,R56,Trigger)</f>
        <v>46001</v>
      </c>
      <c r="T56" s="30">
        <f>_xll.qlIndexFixing($M$6,Q56,,InterestRatesTrigger)</f>
        <v>1.9680946202689453E-2</v>
      </c>
      <c r="U56" s="30">
        <f>_xll.qlIndexFixing(Index,Q56,,InterestRatesTrigger)</f>
        <v>2.0644405060950145E-2</v>
      </c>
      <c r="V56" s="30">
        <f t="shared" si="5"/>
        <v>9.6345885826069205E-4</v>
      </c>
      <c r="W56" s="29">
        <f>_xll.qlDayCounterYearFraction(DayCounter,SettlementDate,R56,,,Trigger)</f>
        <v>10.408333333333333</v>
      </c>
      <c r="X56" s="29">
        <f>_xll.qlDayCounterYearFraction(DayCounter,R56,S56)</f>
        <v>0.25277777777777777</v>
      </c>
      <c r="Y56" s="29">
        <f>_xll.qlYieldTSDiscount(Currency&amp;"ON",R56)/(1+U56*X56)</f>
        <v>0.89986693951529773</v>
      </c>
      <c r="Z56" s="30">
        <f>_xll.qlTenorBasisValue(TenorBasis6M,R56,InterestRatesTrigger)</f>
        <v>1.1723913854370333E-3</v>
      </c>
      <c r="AA56" s="30">
        <f t="shared" si="6"/>
        <v>-2.0893252717634121E-4</v>
      </c>
    </row>
    <row r="57" spans="15:27" x14ac:dyDescent="0.2">
      <c r="O57" s="33">
        <v>3</v>
      </c>
      <c r="P57" s="27" t="str">
        <f>_xll.qlPeriodEquivalent(P56&amp;"+"&amp;O57&amp;"M")</f>
        <v>10Y6M</v>
      </c>
      <c r="Q57" s="28">
        <f>_xll.qlCalendarAdvance(Calendar,SettlementDate,P57,"f",,Trigger)</f>
        <v>45999</v>
      </c>
      <c r="R57" s="28">
        <f>_xll.qlInterestRateIndexValueDate(Index,Q57,Trigger)</f>
        <v>46001</v>
      </c>
      <c r="S57" s="28">
        <f>_xll.qlInterestRateIndexMaturity(Index,R57,Trigger)</f>
        <v>46091</v>
      </c>
      <c r="T57" s="30">
        <f>_xll.qlIndexFixing($M$6,Q57,,InterestRatesTrigger)</f>
        <v>1.9837717357907181E-2</v>
      </c>
      <c r="U57" s="30">
        <f>_xll.qlIndexFixing(Index,Q57,,InterestRatesTrigger)</f>
        <v>2.0829859428570074E-2</v>
      </c>
      <c r="V57" s="30">
        <f t="shared" si="5"/>
        <v>9.9214207066289362E-4</v>
      </c>
      <c r="W57" s="29">
        <f>_xll.qlDayCounterYearFraction(DayCounter,SettlementDate,R57,,,Trigger)</f>
        <v>10.661111111111111</v>
      </c>
      <c r="X57" s="29">
        <f>_xll.qlDayCounterYearFraction(DayCounter,R57,S57)</f>
        <v>0.25</v>
      </c>
      <c r="Y57" s="29">
        <f>_xll.qlYieldTSDiscount(Currency&amp;"ON",R57)/(1+U57*X57)</f>
        <v>0.89542212985059366</v>
      </c>
      <c r="Z57" s="30">
        <f>_xll.qlTenorBasisValue(TenorBasis6M,R57,InterestRatesTrigger)</f>
        <v>1.1507480532345681E-3</v>
      </c>
      <c r="AA57" s="30">
        <f t="shared" si="6"/>
        <v>-1.5860598257167445E-4</v>
      </c>
    </row>
    <row r="58" spans="15:27" x14ac:dyDescent="0.2">
      <c r="O58" s="33">
        <v>3</v>
      </c>
      <c r="P58" s="27" t="str">
        <f>_xll.qlPeriodEquivalent(P57&amp;"+"&amp;O58&amp;"M")</f>
        <v>10Y9M</v>
      </c>
      <c r="Q58" s="28">
        <f>_xll.qlCalendarAdvance(Calendar,SettlementDate,P58,"f",,Trigger)</f>
        <v>46090</v>
      </c>
      <c r="R58" s="28">
        <f>_xll.qlInterestRateIndexValueDate(Index,Q58,Trigger)</f>
        <v>46092</v>
      </c>
      <c r="S58" s="28">
        <f>_xll.qlInterestRateIndexMaturity(Index,R58,Trigger)</f>
        <v>46184</v>
      </c>
      <c r="T58" s="30">
        <f>_xll.qlIndexFixing($M$6,Q58,,InterestRatesTrigger)</f>
        <v>1.9884597069329112E-2</v>
      </c>
      <c r="U58" s="30">
        <f>_xll.qlIndexFixing(Index,Q58,,InterestRatesTrigger)</f>
        <v>2.0984153511213046E-2</v>
      </c>
      <c r="V58" s="30">
        <f t="shared" si="5"/>
        <v>1.0995564418839338E-3</v>
      </c>
      <c r="W58" s="29">
        <f>_xll.qlDayCounterYearFraction(DayCounter,SettlementDate,R58,,,Trigger)</f>
        <v>10.91388888888889</v>
      </c>
      <c r="X58" s="29">
        <f>_xll.qlDayCounterYearFraction(DayCounter,R58,S58)</f>
        <v>0.25555555555555554</v>
      </c>
      <c r="Y58" s="29">
        <f>_xll.qlYieldTSDiscount(Currency&amp;"ON",R58)/(1+U58*X58)</f>
        <v>0.8908166875745509</v>
      </c>
      <c r="Z58" s="30">
        <f>_xll.qlTenorBasisValue(TenorBasis6M,R58,InterestRatesTrigger)</f>
        <v>1.1292197684431534E-3</v>
      </c>
      <c r="AA58" s="30">
        <f t="shared" si="6"/>
        <v>-2.9663326559219638E-5</v>
      </c>
    </row>
    <row r="59" spans="15:27" x14ac:dyDescent="0.2">
      <c r="O59" s="33">
        <v>3</v>
      </c>
      <c r="P59" s="27" t="str">
        <f>_xll.qlPeriodEquivalent(P58&amp;"+"&amp;O59&amp;"M")</f>
        <v>11Y</v>
      </c>
      <c r="Q59" s="28">
        <f>_xll.qlCalendarAdvance(Calendar,SettlementDate,P59,"f",,Trigger)</f>
        <v>46181</v>
      </c>
      <c r="R59" s="28">
        <f>_xll.qlInterestRateIndexValueDate(Index,Q59,Trigger)</f>
        <v>46183</v>
      </c>
      <c r="S59" s="28">
        <f>_xll.qlInterestRateIndexMaturity(Index,R59,Trigger)</f>
        <v>46275</v>
      </c>
      <c r="T59" s="30">
        <f>_xll.qlIndexFixing($M$6,Q59,,InterestRatesTrigger)</f>
        <v>1.9843221485398785E-2</v>
      </c>
      <c r="U59" s="30">
        <f>_xll.qlIndexFixing(Index,Q59,,InterestRatesTrigger)</f>
        <v>2.1099972064189027E-2</v>
      </c>
      <c r="V59" s="30">
        <f t="shared" si="5"/>
        <v>1.2567505787902424E-3</v>
      </c>
      <c r="W59" s="29">
        <f>_xll.qlDayCounterYearFraction(DayCounter,SettlementDate,R59,,,Trigger)</f>
        <v>11.166666666666666</v>
      </c>
      <c r="X59" s="29">
        <f>_xll.qlDayCounterYearFraction(DayCounter,R59,S59)</f>
        <v>0.25555555555555554</v>
      </c>
      <c r="Y59" s="29">
        <f>_xll.qlYieldTSDiscount(Currency&amp;"ON",R59)/(1+U59*X59)</f>
        <v>0.88633548609242707</v>
      </c>
      <c r="Z59" s="30">
        <f>_xll.qlTenorBasisValue(TenorBasis6M,R59,InterestRatesTrigger)</f>
        <v>1.1078342541215661E-3</v>
      </c>
      <c r="AA59" s="30">
        <f t="shared" si="6"/>
        <v>1.489163246686763E-4</v>
      </c>
    </row>
    <row r="60" spans="15:27" x14ac:dyDescent="0.2">
      <c r="O60" s="33">
        <v>3</v>
      </c>
      <c r="P60" s="27" t="str">
        <f>_xll.qlPeriodEquivalent(P59&amp;"+"&amp;O60&amp;"M")</f>
        <v>11Y3M</v>
      </c>
      <c r="Q60" s="28">
        <f>_xll.qlCalendarAdvance(Calendar,SettlementDate,P60,"f",,Trigger)</f>
        <v>46273</v>
      </c>
      <c r="R60" s="28">
        <f>_xll.qlInterestRateIndexValueDate(Index,Q60,Trigger)</f>
        <v>46275</v>
      </c>
      <c r="S60" s="28">
        <f>_xll.qlInterestRateIndexMaturity(Index,R60,Trigger)</f>
        <v>46366</v>
      </c>
      <c r="T60" s="30">
        <f>_xll.qlIndexFixing($M$6,Q60,,InterestRatesTrigger)</f>
        <v>1.9810112228977401E-2</v>
      </c>
      <c r="U60" s="30">
        <f>_xll.qlIndexFixing(Index,Q60,,InterestRatesTrigger)</f>
        <v>2.118006393919351E-2</v>
      </c>
      <c r="V60" s="30">
        <f t="shared" si="5"/>
        <v>1.3699517102161093E-3</v>
      </c>
      <c r="W60" s="29">
        <f>_xll.qlDayCounterYearFraction(DayCounter,SettlementDate,R60,,,Trigger)</f>
        <v>11.422222222222222</v>
      </c>
      <c r="X60" s="29">
        <f>_xll.qlDayCounterYearFraction(DayCounter,R60,S60)</f>
        <v>0.25277777777777777</v>
      </c>
      <c r="Y60" s="29">
        <f>_xll.qlYieldTSDiscount(Currency&amp;"ON",R60)/(1+U60*X60)</f>
        <v>0.8818971691241928</v>
      </c>
      <c r="Z60" s="30">
        <f>_xll.qlTenorBasisValue(TenorBasis6M,R60,InterestRatesTrigger)</f>
        <v>1.0863845952224049E-3</v>
      </c>
      <c r="AA60" s="30">
        <f t="shared" si="6"/>
        <v>2.8356711499370442E-4</v>
      </c>
    </row>
    <row r="61" spans="15:27" x14ac:dyDescent="0.2">
      <c r="O61" s="33">
        <v>3</v>
      </c>
      <c r="P61" s="27" t="str">
        <f>_xll.qlPeriodEquivalent(P60&amp;"+"&amp;O61&amp;"M")</f>
        <v>11Y6M</v>
      </c>
      <c r="Q61" s="28">
        <f>_xll.qlCalendarAdvance(Calendar,SettlementDate,P61,"f",,Trigger)</f>
        <v>46364</v>
      </c>
      <c r="R61" s="28">
        <f>_xll.qlInterestRateIndexValueDate(Index,Q61,Trigger)</f>
        <v>46366</v>
      </c>
      <c r="S61" s="28">
        <f>_xll.qlInterestRateIndexMaturity(Index,R61,Trigger)</f>
        <v>46456</v>
      </c>
      <c r="T61" s="30">
        <f>_xll.qlIndexFixing($M$6,Q61,,InterestRatesTrigger)</f>
        <v>1.9808224303554667E-2</v>
      </c>
      <c r="U61" s="30">
        <f>_xll.qlIndexFixing(Index,Q61,,InterestRatesTrigger)</f>
        <v>2.1223980472471204E-2</v>
      </c>
      <c r="V61" s="30">
        <f t="shared" si="5"/>
        <v>1.4157561689165377E-3</v>
      </c>
      <c r="W61" s="29">
        <f>_xll.qlDayCounterYearFraction(DayCounter,SettlementDate,R61,,,Trigger)</f>
        <v>11.675000000000001</v>
      </c>
      <c r="X61" s="29">
        <f>_xll.qlDayCounterYearFraction(DayCounter,R61,S61)</f>
        <v>0.25</v>
      </c>
      <c r="Y61" s="29">
        <f>_xll.qlYieldTSDiscount(Currency&amp;"ON",R61)/(1+U61*X61)</f>
        <v>0.87754479419101383</v>
      </c>
      <c r="Z61" s="30">
        <f>_xll.qlTenorBasisValue(TenorBasis6M,R61,InterestRatesTrigger)</f>
        <v>1.0653601710154665E-3</v>
      </c>
      <c r="AA61" s="30">
        <f t="shared" si="6"/>
        <v>3.5039599790107111E-4</v>
      </c>
    </row>
    <row r="62" spans="15:27" x14ac:dyDescent="0.2">
      <c r="O62" s="33">
        <v>3</v>
      </c>
      <c r="P62" s="27" t="str">
        <f>_xll.qlPeriodEquivalent(P61&amp;"+"&amp;O62&amp;"M")</f>
        <v>11Y9M</v>
      </c>
      <c r="Q62" s="28">
        <f>_xll.qlCalendarAdvance(Calendar,SettlementDate,P62,"f",,Trigger)</f>
        <v>46454</v>
      </c>
      <c r="R62" s="28">
        <f>_xll.qlInterestRateIndexValueDate(Index,Q62,Trigger)</f>
        <v>46456</v>
      </c>
      <c r="S62" s="28">
        <f>_xll.qlInterestRateIndexMaturity(Index,R62,Trigger)</f>
        <v>46548</v>
      </c>
      <c r="T62" s="30">
        <f>_xll.qlIndexFixing($M$6,Q62,,InterestRatesTrigger)</f>
        <v>1.9838996773199578E-2</v>
      </c>
      <c r="U62" s="30">
        <f>_xll.qlIndexFixing(Index,Q62,,InterestRatesTrigger)</f>
        <v>2.1234535237207239E-2</v>
      </c>
      <c r="V62" s="30">
        <f t="shared" si="5"/>
        <v>1.3955384640076604E-3</v>
      </c>
      <c r="W62" s="29">
        <f>_xll.qlDayCounterYearFraction(DayCounter,SettlementDate,R62,,,Trigger)</f>
        <v>11.925000000000001</v>
      </c>
      <c r="X62" s="29">
        <f>_xll.qlDayCounterYearFraction(DayCounter,R62,S62)</f>
        <v>0.25555555555555554</v>
      </c>
      <c r="Y62" s="29">
        <f>_xll.qlYieldTSDiscount(Currency&amp;"ON",R62)/(1+U62*X62)</f>
        <v>0.87311580778427977</v>
      </c>
      <c r="Z62" s="30">
        <f>_xll.qlTenorBasisValue(TenorBasis6M,R62,InterestRatesTrigger)</f>
        <v>1.0447750283170648E-3</v>
      </c>
      <c r="AA62" s="30">
        <f t="shared" si="6"/>
        <v>3.5076343569059561E-4</v>
      </c>
    </row>
    <row r="63" spans="15:27" x14ac:dyDescent="0.2">
      <c r="O63" s="33">
        <v>3</v>
      </c>
      <c r="P63" s="27" t="str">
        <f>_xll.qlPeriodEquivalent(P62&amp;"+"&amp;O63&amp;"M")</f>
        <v>12Y</v>
      </c>
      <c r="Q63" s="28">
        <f>_xll.qlCalendarAdvance(Calendar,SettlementDate,P63,"f",,Trigger)</f>
        <v>46546</v>
      </c>
      <c r="R63" s="28">
        <f>_xll.qlInterestRateIndexValueDate(Index,Q63,Trigger)</f>
        <v>46548</v>
      </c>
      <c r="S63" s="28">
        <f>_xll.qlInterestRateIndexMaturity(Index,R63,Trigger)</f>
        <v>46640</v>
      </c>
      <c r="T63" s="30">
        <f>_xll.qlIndexFixing($M$6,Q63,,InterestRatesTrigger)</f>
        <v>1.9892639314346008E-2</v>
      </c>
      <c r="U63" s="30">
        <f>_xll.qlIndexFixing(Index,Q63,,InterestRatesTrigger)</f>
        <v>2.1213355041357886E-2</v>
      </c>
      <c r="V63" s="30">
        <f t="shared" si="5"/>
        <v>1.3207157270118779E-3</v>
      </c>
      <c r="W63" s="29">
        <f>_xll.qlDayCounterYearFraction(DayCounter,SettlementDate,R63,,,Trigger)</f>
        <v>12.180555555555555</v>
      </c>
      <c r="X63" s="29">
        <f>_xll.qlDayCounterYearFraction(DayCounter,R63,S63)</f>
        <v>0.25555555555555554</v>
      </c>
      <c r="Y63" s="29">
        <f>_xll.qlYieldTSDiscount(Currency&amp;"ON",R63)/(1+U63*X63)</f>
        <v>0.8687161470388759</v>
      </c>
      <c r="Z63" s="30">
        <f>_xll.qlTenorBasisValue(TenorBasis6M,R63,InterestRatesTrigger)</f>
        <v>1.0239653236933746E-3</v>
      </c>
      <c r="AA63" s="30">
        <f t="shared" si="6"/>
        <v>2.967504033185033E-4</v>
      </c>
    </row>
    <row r="64" spans="15:27" x14ac:dyDescent="0.2">
      <c r="O64" s="33">
        <v>3</v>
      </c>
      <c r="P64" s="27" t="str">
        <f>_xll.qlPeriodEquivalent(P63&amp;"+"&amp;O64&amp;"M")</f>
        <v>12Y3M</v>
      </c>
      <c r="Q64" s="28">
        <f>_xll.qlCalendarAdvance(Calendar,SettlementDate,P64,"f",,Trigger)</f>
        <v>46638</v>
      </c>
      <c r="R64" s="28">
        <f>_xll.qlInterestRateIndexValueDate(Index,Q64,Trigger)</f>
        <v>46640</v>
      </c>
      <c r="S64" s="28">
        <f>_xll.qlInterestRateIndexMaturity(Index,R64,Trigger)</f>
        <v>46731</v>
      </c>
      <c r="T64" s="30">
        <f>_xll.qlIndexFixing($M$6,Q64,,InterestRatesTrigger)</f>
        <v>1.9939919452648013E-2</v>
      </c>
      <c r="U64" s="30">
        <f>_xll.qlIndexFixing(Index,Q64,,InterestRatesTrigger)</f>
        <v>2.1181198546697724E-2</v>
      </c>
      <c r="V64" s="30">
        <f t="shared" si="5"/>
        <v>1.2412790940497104E-3</v>
      </c>
      <c r="W64" s="29">
        <f>_xll.qlDayCounterYearFraction(DayCounter,SettlementDate,R64,,,Trigger)</f>
        <v>12.436111111111112</v>
      </c>
      <c r="X64" s="29">
        <f>_xll.qlDayCounterYearFraction(DayCounter,R64,S64)</f>
        <v>0.25277777777777777</v>
      </c>
      <c r="Y64" s="29">
        <f>_xll.qlYieldTSDiscount(Currency&amp;"ON",R64)/(1+U64*X64)</f>
        <v>0.86437986222720309</v>
      </c>
      <c r="Z64" s="30">
        <f>_xll.qlTenorBasisValue(TenorBasis6M,R64,InterestRatesTrigger)</f>
        <v>1.0034082132684072E-3</v>
      </c>
      <c r="AA64" s="30">
        <f t="shared" si="6"/>
        <v>2.378708807813032E-4</v>
      </c>
    </row>
    <row r="65" spans="15:27" x14ac:dyDescent="0.2">
      <c r="O65" s="33">
        <v>3</v>
      </c>
      <c r="P65" s="27" t="str">
        <f>_xll.qlPeriodEquivalent(P64&amp;"+"&amp;O65&amp;"M")</f>
        <v>12Y6M</v>
      </c>
      <c r="Q65" s="28">
        <f>_xll.qlCalendarAdvance(Calendar,SettlementDate,P65,"f",,Trigger)</f>
        <v>46729</v>
      </c>
      <c r="R65" s="28">
        <f>_xll.qlInterestRateIndexValueDate(Index,Q65,Trigger)</f>
        <v>46731</v>
      </c>
      <c r="S65" s="28">
        <f>_xll.qlInterestRateIndexMaturity(Index,R65,Trigger)</f>
        <v>46822</v>
      </c>
      <c r="T65" s="30">
        <f>_xll.qlIndexFixing($M$6,Q65,,InterestRatesTrigger)</f>
        <v>1.9975218327172032E-2</v>
      </c>
      <c r="U65" s="30">
        <f>_xll.qlIndexFixing(Index,Q65,,InterestRatesTrigger)</f>
        <v>2.1144150832084697E-2</v>
      </c>
      <c r="V65" s="30">
        <f t="shared" si="5"/>
        <v>1.1689325049126648E-3</v>
      </c>
      <c r="W65" s="29">
        <f>_xll.qlDayCounterYearFraction(DayCounter,SettlementDate,R65,,,Trigger)</f>
        <v>12.688888888888888</v>
      </c>
      <c r="X65" s="29">
        <f>_xll.qlDayCounterYearFraction(DayCounter,R65,S65)</f>
        <v>0.25277777777777777</v>
      </c>
      <c r="Y65" s="29">
        <f>_xll.qlYieldTSDiscount(Currency&amp;"ON",R65)/(1+U65*X65)</f>
        <v>0.86005293024839102</v>
      </c>
      <c r="Z65" s="30">
        <f>_xll.qlTenorBasisValue(TenorBasis6M,R65,InterestRatesTrigger)</f>
        <v>9.8333816083063207E-4</v>
      </c>
      <c r="AA65" s="30">
        <f t="shared" si="6"/>
        <v>1.8559434408203269E-4</v>
      </c>
    </row>
    <row r="66" spans="15:27" x14ac:dyDescent="0.2">
      <c r="O66" s="33">
        <v>3</v>
      </c>
      <c r="P66" s="27" t="str">
        <f>_xll.qlPeriodEquivalent(P65&amp;"+"&amp;O66&amp;"M")</f>
        <v>12Y9M</v>
      </c>
      <c r="Q66" s="28">
        <f>_xll.qlCalendarAdvance(Calendar,SettlementDate,P66,"f",,Trigger)</f>
        <v>46820</v>
      </c>
      <c r="R66" s="28">
        <f>_xll.qlInterestRateIndexValueDate(Index,Q66,Trigger)</f>
        <v>46822</v>
      </c>
      <c r="S66" s="28">
        <f>_xll.qlInterestRateIndexMaturity(Index,R66,Trigger)</f>
        <v>46916</v>
      </c>
      <c r="T66" s="30">
        <f>_xll.qlIndexFixing($M$6,Q66,,InterestRatesTrigger)</f>
        <v>2.0000200598963888E-2</v>
      </c>
      <c r="U66" s="30">
        <f>_xll.qlIndexFixing(Index,Q66,,InterestRatesTrigger)</f>
        <v>2.1102521236097811E-2</v>
      </c>
      <c r="V66" s="30">
        <f t="shared" si="5"/>
        <v>1.1023206371339224E-3</v>
      </c>
      <c r="W66" s="29">
        <f>_xll.qlDayCounterYearFraction(DayCounter,SettlementDate,R66,,,Trigger)</f>
        <v>12.941666666666666</v>
      </c>
      <c r="X66" s="29">
        <f>_xll.qlDayCounterYearFraction(DayCounter,R66,S66)</f>
        <v>0.26111111111111113</v>
      </c>
      <c r="Y66" s="29">
        <f>_xll.qlYieldTSDiscount(Currency&amp;"ON",R66)/(1+U66*X66)</f>
        <v>0.8555913856423607</v>
      </c>
      <c r="Z66" s="30">
        <f>_xll.qlTenorBasisValue(TenorBasis6M,R66,InterestRatesTrigger)</f>
        <v>9.6354358238253974E-4</v>
      </c>
      <c r="AA66" s="30">
        <f t="shared" si="6"/>
        <v>1.3877705475138266E-4</v>
      </c>
    </row>
    <row r="67" spans="15:27" x14ac:dyDescent="0.2">
      <c r="O67" s="33">
        <v>3</v>
      </c>
      <c r="P67" s="27" t="str">
        <f>_xll.qlPeriodEquivalent(P66&amp;"+"&amp;O67&amp;"M")</f>
        <v>13Y</v>
      </c>
      <c r="Q67" s="28">
        <f>_xll.qlCalendarAdvance(Calendar,SettlementDate,P67,"f",,Trigger)</f>
        <v>46912</v>
      </c>
      <c r="R67" s="28">
        <f>_xll.qlInterestRateIndexValueDate(Index,Q67,Trigger)</f>
        <v>46916</v>
      </c>
      <c r="S67" s="28">
        <f>_xll.qlInterestRateIndexMaturity(Index,R67,Trigger)</f>
        <v>47008</v>
      </c>
      <c r="T67" s="30">
        <f>_xll.qlIndexFixing($M$6,Q67,,InterestRatesTrigger)</f>
        <v>2.0009860584703366E-2</v>
      </c>
      <c r="U67" s="30">
        <f>_xll.qlIndexFixing(Index,Q67,,InterestRatesTrigger)</f>
        <v>2.1051691378197252E-2</v>
      </c>
      <c r="V67" s="30">
        <f t="shared" si="5"/>
        <v>1.0418307934938857E-3</v>
      </c>
      <c r="W67" s="29">
        <f>_xll.qlDayCounterYearFraction(DayCounter,SettlementDate,R67,,,Trigger)</f>
        <v>13.202777777777778</v>
      </c>
      <c r="X67" s="29">
        <f>_xll.qlDayCounterYearFraction(DayCounter,R67,S67)</f>
        <v>0.25555555555555554</v>
      </c>
      <c r="Y67" s="29">
        <f>_xll.qlYieldTSDiscount(Currency&amp;"ON",R67)/(1+U67*X67)</f>
        <v>0.85125671342275788</v>
      </c>
      <c r="Z67" s="30">
        <f>_xll.qlTenorBasisValue(TenorBasis6M,R67,InterestRatesTrigger)</f>
        <v>9.4339808749397997E-4</v>
      </c>
      <c r="AA67" s="30">
        <f t="shared" si="6"/>
        <v>9.8432705999905749E-5</v>
      </c>
    </row>
    <row r="68" spans="15:27" x14ac:dyDescent="0.2">
      <c r="O68" s="33">
        <v>3</v>
      </c>
      <c r="P68" s="27" t="str">
        <f>_xll.qlPeriodEquivalent(P67&amp;"+"&amp;O68&amp;"M")</f>
        <v>13Y3M</v>
      </c>
      <c r="Q68" s="28">
        <f>_xll.qlCalendarAdvance(Calendar,SettlementDate,P68,"f",,Trigger)</f>
        <v>47004</v>
      </c>
      <c r="R68" s="28">
        <f>_xll.qlInterestRateIndexValueDate(Index,Q68,Trigger)</f>
        <v>47008</v>
      </c>
      <c r="S68" s="28">
        <f>_xll.qlInterestRateIndexMaturity(Index,R68,Trigger)</f>
        <v>47099</v>
      </c>
      <c r="T68" s="30">
        <f>_xll.qlIndexFixing($M$6,Q68,,InterestRatesTrigger)</f>
        <v>2.000742860232858E-2</v>
      </c>
      <c r="U68" s="30">
        <f>_xll.qlIndexFixing(Index,Q68,,InterestRatesTrigger)</f>
        <v>2.0996503865392351E-2</v>
      </c>
      <c r="V68" s="30">
        <f t="shared" ref="V68:V131" si="14">U68-T68</f>
        <v>9.8907526306377114E-4</v>
      </c>
      <c r="W68" s="29">
        <f>_xll.qlDayCounterYearFraction(DayCounter,SettlementDate,R68,,,Trigger)</f>
        <v>13.458333333333334</v>
      </c>
      <c r="X68" s="29">
        <f>_xll.qlDayCounterYearFraction(DayCounter,R68,S68)</f>
        <v>0.25277777777777777</v>
      </c>
      <c r="Y68" s="29">
        <f>_xll.qlYieldTSDiscount(Currency&amp;"ON",R68)/(1+U68*X68)</f>
        <v>0.84698686366232567</v>
      </c>
      <c r="Z68" s="30">
        <f>_xll.qlTenorBasisValue(TenorBasis6M,R68,InterestRatesTrigger)</f>
        <v>9.2398877168788811E-4</v>
      </c>
      <c r="AA68" s="30">
        <f t="shared" ref="AA68:AA131" si="15">V68-Z68</f>
        <v>6.5086491375883023E-5</v>
      </c>
    </row>
    <row r="69" spans="15:27" x14ac:dyDescent="0.2">
      <c r="O69" s="33">
        <v>3</v>
      </c>
      <c r="P69" s="27" t="str">
        <f>_xll.qlPeriodEquivalent(P68&amp;"+"&amp;O69&amp;"M")</f>
        <v>13Y6M</v>
      </c>
      <c r="Q69" s="28">
        <f>_xll.qlCalendarAdvance(Calendar,SettlementDate,P69,"f",,Trigger)</f>
        <v>47095</v>
      </c>
      <c r="R69" s="28">
        <f>_xll.qlInterestRateIndexValueDate(Index,Q69,Trigger)</f>
        <v>47099</v>
      </c>
      <c r="S69" s="28">
        <f>_xll.qlInterestRateIndexMaturity(Index,R69,Trigger)</f>
        <v>47189</v>
      </c>
      <c r="T69" s="30">
        <f>_xll.qlIndexFixing($M$6,Q69,,InterestRatesTrigger)</f>
        <v>1.9992860780236654E-2</v>
      </c>
      <c r="U69" s="30">
        <f>_xll.qlIndexFixing(Index,Q69,,InterestRatesTrigger)</f>
        <v>2.0936284722212761E-2</v>
      </c>
      <c r="V69" s="30">
        <f t="shared" si="14"/>
        <v>9.4342394197610702E-4</v>
      </c>
      <c r="W69" s="29">
        <f>_xll.qlDayCounterYearFraction(DayCounter,SettlementDate,R69,,,Trigger)</f>
        <v>13.71111111111111</v>
      </c>
      <c r="X69" s="29">
        <f>_xll.qlDayCounterYearFraction(DayCounter,R69,S69)</f>
        <v>0.25</v>
      </c>
      <c r="Y69" s="29">
        <f>_xll.qlYieldTSDiscount(Currency&amp;"ON",R69)/(1+U69*X69)</f>
        <v>0.84278635479287634</v>
      </c>
      <c r="Z69" s="30">
        <f>_xll.qlTenorBasisValue(TenorBasis6M,R69,InterestRatesTrigger)</f>
        <v>9.0509877736686729E-4</v>
      </c>
      <c r="AA69" s="30">
        <f t="shared" si="15"/>
        <v>3.8325164609239728E-5</v>
      </c>
    </row>
    <row r="70" spans="15:27" x14ac:dyDescent="0.2">
      <c r="O70" s="33">
        <v>3</v>
      </c>
      <c r="P70" s="27" t="str">
        <f>_xll.qlPeriodEquivalent(P69&amp;"+"&amp;O70&amp;"M")</f>
        <v>13Y9M</v>
      </c>
      <c r="Q70" s="28">
        <f>_xll.qlCalendarAdvance(Calendar,SettlementDate,P70,"f",,Trigger)</f>
        <v>47185</v>
      </c>
      <c r="R70" s="28">
        <f>_xll.qlInterestRateIndexValueDate(Index,Q70,Trigger)</f>
        <v>47189</v>
      </c>
      <c r="S70" s="28">
        <f>_xll.qlInterestRateIndexMaturity(Index,R70,Trigger)</f>
        <v>47281</v>
      </c>
      <c r="T70" s="30">
        <f>_xll.qlIndexFixing($M$6,Q70,,InterestRatesTrigger)</f>
        <v>1.9967652548383407E-2</v>
      </c>
      <c r="U70" s="30">
        <f>_xll.qlIndexFixing(Index,Q70,,InterestRatesTrigger)</f>
        <v>2.087189008193684E-2</v>
      </c>
      <c r="V70" s="30">
        <f t="shared" si="14"/>
        <v>9.0423753355343278E-4</v>
      </c>
      <c r="W70" s="29">
        <f>_xll.qlDayCounterYearFraction(DayCounter,SettlementDate,R70,,,Trigger)</f>
        <v>13.96111111111111</v>
      </c>
      <c r="X70" s="29">
        <f>_xll.qlDayCounterYearFraction(DayCounter,R70,S70)</f>
        <v>0.25555555555555554</v>
      </c>
      <c r="Y70" s="29">
        <f>_xll.qlYieldTSDiscount(Currency&amp;"ON",R70)/(1+U70*X70)</f>
        <v>0.83851158245435764</v>
      </c>
      <c r="Z70" s="30">
        <f>_xll.qlTenorBasisValue(TenorBasis6M,R70,InterestRatesTrigger)</f>
        <v>8.8672547993146565E-4</v>
      </c>
      <c r="AA70" s="30">
        <f t="shared" si="15"/>
        <v>1.7512053621967128E-5</v>
      </c>
    </row>
    <row r="71" spans="15:27" x14ac:dyDescent="0.2">
      <c r="O71" s="33">
        <v>3</v>
      </c>
      <c r="P71" s="27" t="str">
        <f>_xll.qlPeriodEquivalent(P70&amp;"+"&amp;O71&amp;"M")</f>
        <v>14Y</v>
      </c>
      <c r="Q71" s="28">
        <f>_xll.qlCalendarAdvance(Calendar,SettlementDate,P71,"f",,Trigger)</f>
        <v>47277</v>
      </c>
      <c r="R71" s="28">
        <f>_xll.qlInterestRateIndexValueDate(Index,Q71,Trigger)</f>
        <v>47281</v>
      </c>
      <c r="S71" s="28">
        <f>_xll.qlInterestRateIndexMaturity(Index,R71,Trigger)</f>
        <v>47373</v>
      </c>
      <c r="T71" s="30">
        <f>_xll.qlIndexFixing($M$6,Q71,,InterestRatesTrigger)</f>
        <v>1.9928642279911358E-2</v>
      </c>
      <c r="U71" s="30">
        <f>_xll.qlIndexFixing(Index,Q71,,InterestRatesTrigger)</f>
        <v>2.0799810075289981E-2</v>
      </c>
      <c r="V71" s="30">
        <f t="shared" si="14"/>
        <v>8.7116779537862316E-4</v>
      </c>
      <c r="W71" s="29">
        <f>_xll.qlDayCounterYearFraction(DayCounter,SettlementDate,R71,,,Trigger)</f>
        <v>14.216666666666667</v>
      </c>
      <c r="X71" s="29">
        <f>_xll.qlDayCounterYearFraction(DayCounter,R71,S71)</f>
        <v>0.25555555555555554</v>
      </c>
      <c r="Y71" s="29">
        <f>_xll.qlYieldTSDiscount(Currency&amp;"ON",R71)/(1+U71*X71)</f>
        <v>0.83426979746288776</v>
      </c>
      <c r="Z71" s="30">
        <f>_xll.qlTenorBasisValue(TenorBasis6M,R71,InterestRatesTrigger)</f>
        <v>8.6826813480918568E-4</v>
      </c>
      <c r="AA71" s="30">
        <f t="shared" si="15"/>
        <v>2.8996605694374747E-6</v>
      </c>
    </row>
    <row r="72" spans="15:27" x14ac:dyDescent="0.2">
      <c r="O72" s="33">
        <v>3</v>
      </c>
      <c r="P72" s="27" t="str">
        <f>_xll.qlPeriodEquivalent(P71&amp;"+"&amp;O72&amp;"M")</f>
        <v>14Y3M</v>
      </c>
      <c r="Q72" s="28">
        <f>_xll.qlCalendarAdvance(Calendar,SettlementDate,P72,"f",,Trigger)</f>
        <v>47371</v>
      </c>
      <c r="R72" s="28">
        <f>_xll.qlInterestRateIndexValueDate(Index,Q72,Trigger)</f>
        <v>47373</v>
      </c>
      <c r="S72" s="28">
        <f>_xll.qlInterestRateIndexMaturity(Index,R72,Trigger)</f>
        <v>47464</v>
      </c>
      <c r="T72" s="30">
        <f>_xll.qlIndexFixing($M$6,Q72,,InterestRatesTrigger)</f>
        <v>1.9876914619869332E-2</v>
      </c>
      <c r="U72" s="30">
        <f>_xll.qlIndexFixing(Index,Q72,,InterestRatesTrigger)</f>
        <v>2.0721788276045688E-2</v>
      </c>
      <c r="V72" s="30">
        <f t="shared" si="14"/>
        <v>8.4487365617635576E-4</v>
      </c>
      <c r="W72" s="29">
        <f>_xll.qlDayCounterYearFraction(DayCounter,SettlementDate,R72,,,Trigger)</f>
        <v>14.472222222222221</v>
      </c>
      <c r="X72" s="29">
        <f>_xll.qlDayCounterYearFraction(DayCounter,R72,S72)</f>
        <v>0.25277777777777777</v>
      </c>
      <c r="Y72" s="29">
        <f>_xll.qlYieldTSDiscount(Currency&amp;"ON",R72)/(1+U72*X72)</f>
        <v>0.8301064872103977</v>
      </c>
      <c r="Z72" s="30">
        <f>_xll.qlTenorBasisValue(TenorBasis6M,R72,InterestRatesTrigger)</f>
        <v>8.5014410777755896E-4</v>
      </c>
      <c r="AA72" s="30">
        <f t="shared" si="15"/>
        <v>-5.270451601203192E-6</v>
      </c>
    </row>
    <row r="73" spans="15:27" x14ac:dyDescent="0.2">
      <c r="O73" s="33">
        <v>3</v>
      </c>
      <c r="P73" s="27" t="str">
        <f>_xll.qlPeriodEquivalent(P72&amp;"+"&amp;O73&amp;"M")</f>
        <v>14Y6M</v>
      </c>
      <c r="Q73" s="28">
        <f>_xll.qlCalendarAdvance(Calendar,SettlementDate,P73,"f",,Trigger)</f>
        <v>47462</v>
      </c>
      <c r="R73" s="28">
        <f>_xll.qlInterestRateIndexValueDate(Index,Q73,Trigger)</f>
        <v>47464</v>
      </c>
      <c r="S73" s="28">
        <f>_xll.qlInterestRateIndexMaturity(Index,R73,Trigger)</f>
        <v>47554</v>
      </c>
      <c r="T73" s="30">
        <f>_xll.qlIndexFixing($M$6,Q73,,InterestRatesTrigger)</f>
        <v>1.9813596508069686E-2</v>
      </c>
      <c r="U73" s="30">
        <f>_xll.qlIndexFixing(Index,Q73,,InterestRatesTrigger)</f>
        <v>2.0638988249650048E-2</v>
      </c>
      <c r="V73" s="30">
        <f t="shared" si="14"/>
        <v>8.2539174158036133E-4</v>
      </c>
      <c r="W73" s="29">
        <f>_xll.qlDayCounterYearFraction(DayCounter,SettlementDate,R73,,,Trigger)</f>
        <v>14.725</v>
      </c>
      <c r="X73" s="29">
        <f>_xll.qlDayCounterYearFraction(DayCounter,R73,S73)</f>
        <v>0.25</v>
      </c>
      <c r="Y73" s="29">
        <f>_xll.qlYieldTSDiscount(Currency&amp;"ON",R73)/(1+U73*X73)</f>
        <v>0.82602082432764978</v>
      </c>
      <c r="Z73" s="30">
        <f>_xll.qlTenorBasisValue(TenorBasis6M,R73,InterestRatesTrigger)</f>
        <v>8.3254940836818565E-4</v>
      </c>
      <c r="AA73" s="30">
        <f t="shared" si="15"/>
        <v>-7.1576667878243223E-6</v>
      </c>
    </row>
    <row r="74" spans="15:27" x14ac:dyDescent="0.2">
      <c r="O74" s="33">
        <v>3</v>
      </c>
      <c r="P74" s="27" t="str">
        <f>_xll.qlPeriodEquivalent(P73&amp;"+"&amp;O74&amp;"M")</f>
        <v>14Y9M</v>
      </c>
      <c r="Q74" s="28">
        <f>_xll.qlCalendarAdvance(Calendar,SettlementDate,P74,"f",,Trigger)</f>
        <v>47550</v>
      </c>
      <c r="R74" s="28">
        <f>_xll.qlInterestRateIndexValueDate(Index,Q74,Trigger)</f>
        <v>47554</v>
      </c>
      <c r="S74" s="28">
        <f>_xll.qlInterestRateIndexMaturity(Index,R74,Trigger)</f>
        <v>47646</v>
      </c>
      <c r="T74" s="30">
        <f>_xll.qlIndexFixing($M$6,Q74,,InterestRatesTrigger)</f>
        <v>1.9739337928133659E-2</v>
      </c>
      <c r="U74" s="30">
        <f>_xll.qlIndexFixing(Index,Q74,,InterestRatesTrigger)</f>
        <v>2.0551836537004167E-2</v>
      </c>
      <c r="V74" s="30">
        <f t="shared" si="14"/>
        <v>8.1249860887050787E-4</v>
      </c>
      <c r="W74" s="29">
        <f>_xll.qlDayCounterYearFraction(DayCounter,SettlementDate,R74,,,Trigger)</f>
        <v>14.975</v>
      </c>
      <c r="X74" s="29">
        <f>_xll.qlDayCounterYearFraction(DayCounter,R74,S74)</f>
        <v>0.25555555555555554</v>
      </c>
      <c r="Y74" s="29">
        <f>_xll.qlYieldTSDiscount(Currency&amp;"ON",R74)/(1+U74*X74)</f>
        <v>0.8218738387064799</v>
      </c>
      <c r="Z74" s="30">
        <f>_xll.qlTenorBasisValue(TenorBasis6M,R74,InterestRatesTrigger)</f>
        <v>8.1547652528959273E-4</v>
      </c>
      <c r="AA74" s="30">
        <f t="shared" si="15"/>
        <v>-2.9779164190848594E-6</v>
      </c>
    </row>
    <row r="75" spans="15:27" x14ac:dyDescent="0.2">
      <c r="O75" s="33">
        <v>3</v>
      </c>
      <c r="P75" s="27" t="str">
        <f>_xll.qlPeriodEquivalent(P74&amp;"+"&amp;O75&amp;"M")</f>
        <v>15Y</v>
      </c>
      <c r="Q75" s="28">
        <f>_xll.qlCalendarAdvance(Calendar,SettlementDate,P75,"f",,Trigger)</f>
        <v>47644</v>
      </c>
      <c r="R75" s="28">
        <f>_xll.qlInterestRateIndexValueDate(Index,Q75,Trigger)</f>
        <v>47646</v>
      </c>
      <c r="S75" s="28">
        <f>_xll.qlInterestRateIndexMaturity(Index,R75,Trigger)</f>
        <v>47738</v>
      </c>
      <c r="T75" s="30">
        <f>_xll.qlIndexFixing($M$6,Q75,,InterestRatesTrigger)</f>
        <v>1.9652393885074657E-2</v>
      </c>
      <c r="U75" s="30">
        <f>_xll.qlIndexFixing(Index,Q75,,InterestRatesTrigger)</f>
        <v>2.045714974887659E-2</v>
      </c>
      <c r="V75" s="30">
        <f t="shared" si="14"/>
        <v>8.0475586380193351E-4</v>
      </c>
      <c r="W75" s="29">
        <f>_xll.qlDayCounterYearFraction(DayCounter,SettlementDate,R75,,,Trigger)</f>
        <v>15.230555555555556</v>
      </c>
      <c r="X75" s="29">
        <f>_xll.qlDayCounterYearFraction(DayCounter,R75,S75)</f>
        <v>0.25555555555555554</v>
      </c>
      <c r="Y75" s="29">
        <f>_xll.qlYieldTSDiscount(Currency&amp;"ON",R75)/(1+U75*X75)</f>
        <v>0.81776839217599617</v>
      </c>
      <c r="Z75" s="30">
        <f>_xll.qlTenorBasisValue(TenorBasis6M,R75,InterestRatesTrigger)</f>
        <v>7.9836447971346652E-4</v>
      </c>
      <c r="AA75" s="30">
        <f t="shared" si="15"/>
        <v>6.3913840884669915E-6</v>
      </c>
    </row>
    <row r="76" spans="15:27" x14ac:dyDescent="0.2">
      <c r="O76" s="33">
        <v>3</v>
      </c>
      <c r="P76" s="27" t="str">
        <f>_xll.qlPeriodEquivalent(P75&amp;"+"&amp;O76&amp;"M")</f>
        <v>15Y3M</v>
      </c>
      <c r="Q76" s="28">
        <f>_xll.qlCalendarAdvance(Calendar,SettlementDate,P76,"f",,Trigger)</f>
        <v>47735</v>
      </c>
      <c r="R76" s="28">
        <f>_xll.qlInterestRateIndexValueDate(Index,Q76,Trigger)</f>
        <v>47737</v>
      </c>
      <c r="S76" s="28">
        <f>_xll.qlInterestRateIndexMaturity(Index,R76,Trigger)</f>
        <v>47828</v>
      </c>
      <c r="T76" s="30">
        <f>_xll.qlIndexFixing($M$6,Q76,,InterestRatesTrigger)</f>
        <v>1.9561706193446288E-2</v>
      </c>
      <c r="U76" s="30">
        <f>_xll.qlIndexFixing(Index,Q76,,InterestRatesTrigger)</f>
        <v>2.0359472237119081E-2</v>
      </c>
      <c r="V76" s="30">
        <f t="shared" si="14"/>
        <v>7.9776604367279291E-4</v>
      </c>
      <c r="W76" s="29">
        <f>_xll.qlDayCounterYearFraction(DayCounter,SettlementDate,R76,,,Trigger)</f>
        <v>15.483333333333333</v>
      </c>
      <c r="X76" s="29">
        <f>_xll.qlDayCounterYearFraction(DayCounter,R76,S76)</f>
        <v>0.25277777777777777</v>
      </c>
      <c r="Y76" s="29">
        <f>_xll.qlYieldTSDiscount(Currency&amp;"ON",R76)/(1+U76*X76)</f>
        <v>0.8137920556825593</v>
      </c>
      <c r="Z76" s="30">
        <f>_xll.qlTenorBasisValue(TenorBasis6M,R76,InterestRatesTrigger)</f>
        <v>7.817786249218197E-4</v>
      </c>
      <c r="AA76" s="30">
        <f t="shared" si="15"/>
        <v>1.5987418750973209E-5</v>
      </c>
    </row>
    <row r="77" spans="15:27" x14ac:dyDescent="0.2">
      <c r="O77" s="33">
        <v>3</v>
      </c>
      <c r="P77" s="27" t="str">
        <f>_xll.qlPeriodEquivalent(P76&amp;"+"&amp;O77&amp;"M")</f>
        <v>15Y6M</v>
      </c>
      <c r="Q77" s="28">
        <f>_xll.qlCalendarAdvance(Calendar,SettlementDate,P77,"f",,Trigger)</f>
        <v>47826</v>
      </c>
      <c r="R77" s="28">
        <f>_xll.qlInterestRateIndexValueDate(Index,Q77,Trigger)</f>
        <v>47828</v>
      </c>
      <c r="S77" s="28">
        <f>_xll.qlInterestRateIndexMaturity(Index,R77,Trigger)</f>
        <v>47918</v>
      </c>
      <c r="T77" s="30">
        <f>_xll.qlIndexFixing($M$6,Q77,,InterestRatesTrigger)</f>
        <v>1.9467832067829427E-2</v>
      </c>
      <c r="U77" s="30">
        <f>_xll.qlIndexFixing(Index,Q77,,InterestRatesTrigger)</f>
        <v>2.025818771547705E-2</v>
      </c>
      <c r="V77" s="30">
        <f t="shared" si="14"/>
        <v>7.9035564764762256E-4</v>
      </c>
      <c r="W77" s="29">
        <f>_xll.qlDayCounterYearFraction(DayCounter,SettlementDate,R77,,,Trigger)</f>
        <v>15.736111111111111</v>
      </c>
      <c r="X77" s="29">
        <f>_xll.qlDayCounterYearFraction(DayCounter,R77,S77)</f>
        <v>0.25</v>
      </c>
      <c r="Y77" s="29">
        <f>_xll.qlYieldTSDiscount(Currency&amp;"ON",R77)/(1+U77*X77)</f>
        <v>0.80985381285669167</v>
      </c>
      <c r="Z77" s="30">
        <f>_xll.qlTenorBasisValue(TenorBasis6M,R77,InterestRatesTrigger)</f>
        <v>7.6553217152817684E-4</v>
      </c>
      <c r="AA77" s="30">
        <f t="shared" si="15"/>
        <v>2.4823476119445725E-5</v>
      </c>
    </row>
    <row r="78" spans="15:27" x14ac:dyDescent="0.2">
      <c r="O78" s="33">
        <v>3</v>
      </c>
      <c r="P78" s="27" t="str">
        <f>_xll.qlPeriodEquivalent(P77&amp;"+"&amp;O78&amp;"M")</f>
        <v>15Y9M</v>
      </c>
      <c r="Q78" s="28">
        <f>_xll.qlCalendarAdvance(Calendar,SettlementDate,P78,"f",,Trigger)</f>
        <v>47917</v>
      </c>
      <c r="R78" s="28">
        <f>_xll.qlInterestRateIndexValueDate(Index,Q78,Trigger)</f>
        <v>47919</v>
      </c>
      <c r="S78" s="28">
        <f>_xll.qlInterestRateIndexMaturity(Index,R78,Trigger)</f>
        <v>48011</v>
      </c>
      <c r="T78" s="30">
        <f>_xll.qlIndexFixing($M$6,Q78,,InterestRatesTrigger)</f>
        <v>1.9370697131075865E-2</v>
      </c>
      <c r="U78" s="30">
        <f>_xll.qlIndexFixing(Index,Q78,,InterestRatesTrigger)</f>
        <v>2.0153216672855842E-2</v>
      </c>
      <c r="V78" s="30">
        <f t="shared" si="14"/>
        <v>7.825195417799774E-4</v>
      </c>
      <c r="W78" s="29">
        <f>_xll.qlDayCounterYearFraction(DayCounter,SettlementDate,R78,,,Trigger)</f>
        <v>15.988888888888889</v>
      </c>
      <c r="X78" s="29">
        <f>_xll.qlDayCounterYearFraction(DayCounter,R78,S78)</f>
        <v>0.25555555555555554</v>
      </c>
      <c r="Y78" s="29">
        <f>_xll.qlYieldTSDiscount(Currency&amp;"ON",R78)/(1+U78*X78)</f>
        <v>0.80581928350242782</v>
      </c>
      <c r="Z78" s="30">
        <f>_xll.qlTenorBasisValue(TenorBasis6M,R78,InterestRatesTrigger)</f>
        <v>7.496255127636851E-4</v>
      </c>
      <c r="AA78" s="30">
        <f t="shared" si="15"/>
        <v>3.2894029016292299E-5</v>
      </c>
    </row>
    <row r="79" spans="15:27" x14ac:dyDescent="0.2">
      <c r="O79" s="33">
        <v>3</v>
      </c>
      <c r="P79" s="27" t="str">
        <f>_xll.qlPeriodEquivalent(P78&amp;"+"&amp;O79&amp;"M")</f>
        <v>16Y</v>
      </c>
      <c r="Q79" s="28">
        <f>_xll.qlCalendarAdvance(Calendar,SettlementDate,P79,"f",,Trigger)</f>
        <v>48008</v>
      </c>
      <c r="R79" s="28">
        <f>_xll.qlInterestRateIndexValueDate(Index,Q79,Trigger)</f>
        <v>48010</v>
      </c>
      <c r="S79" s="28">
        <f>_xll.qlInterestRateIndexMaturity(Index,R79,Trigger)</f>
        <v>48102</v>
      </c>
      <c r="T79" s="30">
        <f>_xll.qlIndexFixing($M$6,Q79,,InterestRatesTrigger)</f>
        <v>1.9270334972472974E-2</v>
      </c>
      <c r="U79" s="30">
        <f>_xll.qlIndexFixing(Index,Q79,,InterestRatesTrigger)</f>
        <v>2.0044589573009381E-2</v>
      </c>
      <c r="V79" s="30">
        <f t="shared" si="14"/>
        <v>7.7425460053640732E-4</v>
      </c>
      <c r="W79" s="29">
        <f>_xll.qlDayCounterYearFraction(DayCounter,SettlementDate,R79,,,Trigger)</f>
        <v>16.241666666666667</v>
      </c>
      <c r="X79" s="29">
        <f>_xll.qlDayCounterYearFraction(DayCounter,R79,S79)</f>
        <v>0.25555555555555554</v>
      </c>
      <c r="Y79" s="29">
        <f>_xll.qlYieldTSDiscount(Currency&amp;"ON",R79)/(1+U79*X79)</f>
        <v>0.80191497209804152</v>
      </c>
      <c r="Z79" s="30">
        <f>_xll.qlTenorBasisValue(TenorBasis6M,R79,InterestRatesTrigger)</f>
        <v>7.3405842474705632E-4</v>
      </c>
      <c r="AA79" s="30">
        <f t="shared" si="15"/>
        <v>4.0196175789351004E-5</v>
      </c>
    </row>
    <row r="80" spans="15:27" x14ac:dyDescent="0.2">
      <c r="O80" s="33">
        <v>3</v>
      </c>
      <c r="P80" s="27" t="str">
        <f>_xll.qlPeriodEquivalent(P79&amp;"+"&amp;O80&amp;"M")</f>
        <v>16Y3M</v>
      </c>
      <c r="Q80" s="28">
        <f>_xll.qlCalendarAdvance(Calendar,SettlementDate,P80,"f",,Trigger)</f>
        <v>48099</v>
      </c>
      <c r="R80" s="28">
        <f>_xll.qlInterestRateIndexValueDate(Index,Q80,Trigger)</f>
        <v>48101</v>
      </c>
      <c r="S80" s="28">
        <f>_xll.qlInterestRateIndexMaturity(Index,R80,Trigger)</f>
        <v>48192</v>
      </c>
      <c r="T80" s="30">
        <f>_xll.qlIndexFixing($M$6,Q80,,InterestRatesTrigger)</f>
        <v>1.9166813180624069E-2</v>
      </c>
      <c r="U80" s="30">
        <f>_xll.qlIndexFixing(Index,Q80,,InterestRatesTrigger)</f>
        <v>1.9932384353122581E-2</v>
      </c>
      <c r="V80" s="30">
        <f t="shared" si="14"/>
        <v>7.6557117249851162E-4</v>
      </c>
      <c r="W80" s="29">
        <f>_xll.qlDayCounterYearFraction(DayCounter,SettlementDate,R80,,,Trigger)</f>
        <v>16.494444444444444</v>
      </c>
      <c r="X80" s="29">
        <f>_xll.qlDayCounterYearFraction(DayCounter,R80,S80)</f>
        <v>0.25277777777777777</v>
      </c>
      <c r="Y80" s="29">
        <f>_xll.qlYieldTSDiscount(Currency&amp;"ON",R80)/(1+U80*X80)</f>
        <v>0.79809441172112261</v>
      </c>
      <c r="Z80" s="30">
        <f>_xll.qlTenorBasisValue(TenorBasis6M,R80,InterestRatesTrigger)</f>
        <v>7.1883011702517335E-4</v>
      </c>
      <c r="AA80" s="30">
        <f t="shared" si="15"/>
        <v>4.6741055473338263E-5</v>
      </c>
    </row>
    <row r="81" spans="15:27" x14ac:dyDescent="0.2">
      <c r="O81" s="33">
        <v>3</v>
      </c>
      <c r="P81" s="27" t="str">
        <f>_xll.qlPeriodEquivalent(P80&amp;"+"&amp;O81&amp;"M")</f>
        <v>16Y6M</v>
      </c>
      <c r="Q81" s="28">
        <f>_xll.qlCalendarAdvance(Calendar,SettlementDate,P81,"f",,Trigger)</f>
        <v>48190</v>
      </c>
      <c r="R81" s="28">
        <f>_xll.qlInterestRateIndexValueDate(Index,Q81,Trigger)</f>
        <v>48192</v>
      </c>
      <c r="S81" s="28">
        <f>_xll.qlInterestRateIndexMaturity(Index,R81,Trigger)</f>
        <v>48283</v>
      </c>
      <c r="T81" s="30">
        <f>_xll.qlIndexFixing($M$6,Q81,,InterestRatesTrigger)</f>
        <v>1.9060012257375993E-2</v>
      </c>
      <c r="U81" s="30">
        <f>_xll.qlIndexFixing(Index,Q81,,InterestRatesTrigger)</f>
        <v>1.9816468963082652E-2</v>
      </c>
      <c r="V81" s="30">
        <f t="shared" si="14"/>
        <v>7.5645670570665888E-4</v>
      </c>
      <c r="W81" s="29">
        <f>_xll.qlDayCounterYearFraction(DayCounter,SettlementDate,R81,,,Trigger)</f>
        <v>16.747222222222224</v>
      </c>
      <c r="X81" s="29">
        <f>_xll.qlDayCounterYearFraction(DayCounter,R81,S81)</f>
        <v>0.25277777777777777</v>
      </c>
      <c r="Y81" s="29">
        <f>_xll.qlYieldTSDiscount(Currency&amp;"ON",R81)/(1+U81*X81)</f>
        <v>0.794269488454725</v>
      </c>
      <c r="Z81" s="30">
        <f>_xll.qlTenorBasisValue(TenorBasis6M,R81,InterestRatesTrigger)</f>
        <v>7.0393927998175349E-4</v>
      </c>
      <c r="AA81" s="30">
        <f t="shared" si="15"/>
        <v>5.2517425724905387E-5</v>
      </c>
    </row>
    <row r="82" spans="15:27" x14ac:dyDescent="0.2">
      <c r="O82" s="33">
        <v>3</v>
      </c>
      <c r="P82" s="27" t="str">
        <f>_xll.qlPeriodEquivalent(P81&amp;"+"&amp;O82&amp;"M")</f>
        <v>16Y9M</v>
      </c>
      <c r="Q82" s="28">
        <f>_xll.qlCalendarAdvance(Calendar,SettlementDate,P82,"f",,Trigger)</f>
        <v>48281</v>
      </c>
      <c r="R82" s="28">
        <f>_xll.qlInterestRateIndexValueDate(Index,Q82,Trigger)</f>
        <v>48283</v>
      </c>
      <c r="S82" s="28">
        <f>_xll.qlInterestRateIndexMaturity(Index,R82,Trigger)</f>
        <v>48375</v>
      </c>
      <c r="T82" s="30">
        <f>_xll.qlIndexFixing($M$6,Q82,,InterestRatesTrigger)</f>
        <v>1.8949862240442223E-2</v>
      </c>
      <c r="U82" s="30">
        <f>_xll.qlIndexFixing(Index,Q82,,InterestRatesTrigger)</f>
        <v>1.9696764295085156E-2</v>
      </c>
      <c r="V82" s="30">
        <f t="shared" si="14"/>
        <v>7.4690205464293322E-4</v>
      </c>
      <c r="W82" s="29">
        <f>_xll.qlDayCounterYearFraction(DayCounter,SettlementDate,R82,,,Trigger)</f>
        <v>17</v>
      </c>
      <c r="X82" s="29">
        <f>_xll.qlDayCounterYearFraction(DayCounter,R82,S82)</f>
        <v>0.25555555555555554</v>
      </c>
      <c r="Y82" s="29">
        <f>_xll.qlYieldTSDiscount(Currency&amp;"ON",R82)/(1+U82*X82)</f>
        <v>0.79044185483704044</v>
      </c>
      <c r="Z82" s="30">
        <f>_xll.qlTenorBasisValue(TenorBasis6M,R82,InterestRatesTrigger)</f>
        <v>6.8938412928696939E-4</v>
      </c>
      <c r="AA82" s="30">
        <f t="shared" si="15"/>
        <v>5.7517925355963823E-5</v>
      </c>
    </row>
    <row r="83" spans="15:27" x14ac:dyDescent="0.2">
      <c r="O83" s="33">
        <v>3</v>
      </c>
      <c r="P83" s="27" t="str">
        <f>_xll.qlPeriodEquivalent(P82&amp;"+"&amp;O83&amp;"M")</f>
        <v>17Y</v>
      </c>
      <c r="Q83" s="28">
        <f>_xll.qlCalendarAdvance(Calendar,SettlementDate,P83,"f",,Trigger)</f>
        <v>48373</v>
      </c>
      <c r="R83" s="28">
        <f>_xll.qlInterestRateIndexValueDate(Index,Q83,Trigger)</f>
        <v>48375</v>
      </c>
      <c r="S83" s="28">
        <f>_xll.qlInterestRateIndexMaturity(Index,R83,Trigger)</f>
        <v>48467</v>
      </c>
      <c r="T83" s="30">
        <f>_xll.qlIndexFixing($M$6,Q83,,InterestRatesTrigger)</f>
        <v>1.8835313950598315E-2</v>
      </c>
      <c r="U83" s="30">
        <f>_xll.qlIndexFixing(Index,Q83,,InterestRatesTrigger)</f>
        <v>1.9572134190247101E-2</v>
      </c>
      <c r="V83" s="30">
        <f t="shared" si="14"/>
        <v>7.3682023964878607E-4</v>
      </c>
      <c r="W83" s="29">
        <f>_xll.qlDayCounterYearFraction(DayCounter,SettlementDate,R83,,,Trigger)</f>
        <v>17.255555555555556</v>
      </c>
      <c r="X83" s="29">
        <f>_xll.qlDayCounterYearFraction(DayCounter,R83,S83)</f>
        <v>0.25555555555555554</v>
      </c>
      <c r="Y83" s="29">
        <f>_xll.qlYieldTSDiscount(Currency&amp;"ON",R83)/(1+U83*X83)</f>
        <v>0.78665732612489336</v>
      </c>
      <c r="Z83" s="30">
        <f>_xll.qlTenorBasisValue(TenorBasis6M,R83,InterestRatesTrigger)</f>
        <v>6.7500800833486996E-4</v>
      </c>
      <c r="AA83" s="30">
        <f t="shared" si="15"/>
        <v>6.1812231313916111E-5</v>
      </c>
    </row>
    <row r="84" spans="15:27" x14ac:dyDescent="0.2">
      <c r="O84" s="33">
        <v>3</v>
      </c>
      <c r="P84" s="27" t="str">
        <f>_xll.qlPeriodEquivalent(P83&amp;"+"&amp;O84&amp;"M")</f>
        <v>17Y3M</v>
      </c>
      <c r="Q84" s="28">
        <f>_xll.qlCalendarAdvance(Calendar,SettlementDate,P84,"f",,Trigger)</f>
        <v>48465</v>
      </c>
      <c r="R84" s="28">
        <f>_xll.qlInterestRateIndexValueDate(Index,Q84,Trigger)</f>
        <v>48467</v>
      </c>
      <c r="S84" s="28">
        <f>_xll.qlInterestRateIndexMaturity(Index,R84,Trigger)</f>
        <v>48558</v>
      </c>
      <c r="T84" s="30">
        <f>_xll.qlIndexFixing($M$6,Q84,,InterestRatesTrigger)</f>
        <v>1.8717630685170232E-2</v>
      </c>
      <c r="U84" s="30">
        <f>_xll.qlIndexFixing(Index,Q84,,InterestRatesTrigger)</f>
        <v>1.9443953937641811E-2</v>
      </c>
      <c r="V84" s="30">
        <f t="shared" si="14"/>
        <v>7.2632325247157931E-4</v>
      </c>
      <c r="W84" s="29">
        <f>_xll.qlDayCounterYearFraction(DayCounter,SettlementDate,R84,,,Trigger)</f>
        <v>17.511111111111113</v>
      </c>
      <c r="X84" s="29">
        <f>_xll.qlDayCounterYearFraction(DayCounter,R84,S84)</f>
        <v>0.25277777777777777</v>
      </c>
      <c r="Y84" s="29">
        <f>_xll.qlYieldTSDiscount(Currency&amp;"ON",R84)/(1+U84*X84)</f>
        <v>0.78295651209752515</v>
      </c>
      <c r="Z84" s="30">
        <f>_xll.qlTenorBasisValue(TenorBasis6M,R84,InterestRatesTrigger)</f>
        <v>6.6097002435837511E-4</v>
      </c>
      <c r="AA84" s="30">
        <f t="shared" si="15"/>
        <v>6.5353228113204198E-5</v>
      </c>
    </row>
    <row r="85" spans="15:27" x14ac:dyDescent="0.2">
      <c r="O85" s="33">
        <v>3</v>
      </c>
      <c r="P85" s="27" t="str">
        <f>_xll.qlPeriodEquivalent(P84&amp;"+"&amp;O85&amp;"M")</f>
        <v>17Y6M</v>
      </c>
      <c r="Q85" s="28">
        <f>_xll.qlCalendarAdvance(Calendar,SettlementDate,P85,"f",,Trigger)</f>
        <v>48556</v>
      </c>
      <c r="R85" s="28">
        <f>_xll.qlInterestRateIndexValueDate(Index,Q85,Trigger)</f>
        <v>48558</v>
      </c>
      <c r="S85" s="28">
        <f>_xll.qlInterestRateIndexMaturity(Index,R85,Trigger)</f>
        <v>48648</v>
      </c>
      <c r="T85" s="30">
        <f>_xll.qlIndexFixing($M$6,Q85,,InterestRatesTrigger)</f>
        <v>1.8598028494269059E-2</v>
      </c>
      <c r="U85" s="30">
        <f>_xll.qlIndexFixing(Index,Q85,,InterestRatesTrigger)</f>
        <v>1.9313547021765132E-2</v>
      </c>
      <c r="V85" s="30">
        <f t="shared" si="14"/>
        <v>7.1551852749607292E-4</v>
      </c>
      <c r="W85" s="29">
        <f>_xll.qlDayCounterYearFraction(DayCounter,SettlementDate,R85,,,Trigger)</f>
        <v>17.763888888888889</v>
      </c>
      <c r="X85" s="29">
        <f>_xll.qlDayCounterYearFraction(DayCounter,R85,S85)</f>
        <v>0.25</v>
      </c>
      <c r="Y85" s="29">
        <f>_xll.qlYieldTSDiscount(Currency&amp;"ON",R85)/(1+U85*X85)</f>
        <v>0.77933664596962238</v>
      </c>
      <c r="Z85" s="30">
        <f>_xll.qlTenorBasisValue(TenorBasis6M,R85,InterestRatesTrigger)</f>
        <v>6.4741425921341854E-4</v>
      </c>
      <c r="AA85" s="30">
        <f t="shared" si="15"/>
        <v>6.8104268282654376E-5</v>
      </c>
    </row>
    <row r="86" spans="15:27" x14ac:dyDescent="0.2">
      <c r="O86" s="33">
        <v>3</v>
      </c>
      <c r="P86" s="27" t="str">
        <f>_xll.qlPeriodEquivalent(P85&amp;"+"&amp;O86&amp;"M")</f>
        <v>17Y9M</v>
      </c>
      <c r="Q86" s="28">
        <f>_xll.qlCalendarAdvance(Calendar,SettlementDate,P86,"f",,Trigger)</f>
        <v>48646</v>
      </c>
      <c r="R86" s="28">
        <f>_xll.qlInterestRateIndexValueDate(Index,Q86,Trigger)</f>
        <v>48648</v>
      </c>
      <c r="S86" s="28">
        <f>_xll.qlInterestRateIndexMaturity(Index,R86,Trigger)</f>
        <v>48740</v>
      </c>
      <c r="T86" s="30">
        <f>_xll.qlIndexFixing($M$6,Q86,,InterestRatesTrigger)</f>
        <v>1.8475971413262699E-2</v>
      </c>
      <c r="U86" s="30">
        <f>_xll.qlIndexFixing(Index,Q86,,InterestRatesTrigger)</f>
        <v>1.9180311727484883E-2</v>
      </c>
      <c r="V86" s="30">
        <f t="shared" si="14"/>
        <v>7.0434031422218421E-4</v>
      </c>
      <c r="W86" s="29">
        <f>_xll.qlDayCounterYearFraction(DayCounter,SettlementDate,R86,,,Trigger)</f>
        <v>18.013888888888889</v>
      </c>
      <c r="X86" s="29">
        <f>_xll.qlDayCounterYearFraction(DayCounter,R86,S86)</f>
        <v>0.25555555555555554</v>
      </c>
      <c r="Y86" s="29">
        <f>_xll.qlYieldTSDiscount(Currency&amp;"ON",R86)/(1+U86*X86)</f>
        <v>0.77567334048143377</v>
      </c>
      <c r="Z86" s="30">
        <f>_xll.qlTenorBasisValue(TenorBasis6M,R86,InterestRatesTrigger)</f>
        <v>6.3432666208267205E-4</v>
      </c>
      <c r="AA86" s="30">
        <f t="shared" si="15"/>
        <v>7.001365213951216E-5</v>
      </c>
    </row>
    <row r="87" spans="15:27" x14ac:dyDescent="0.2">
      <c r="O87" s="33">
        <v>3</v>
      </c>
      <c r="P87" s="27" t="str">
        <f>_xll.qlPeriodEquivalent(P86&amp;"+"&amp;O87&amp;"M")</f>
        <v>18Y</v>
      </c>
      <c r="Q87" s="28">
        <f>_xll.qlCalendarAdvance(Calendar,SettlementDate,P87,"f",,Trigger)</f>
        <v>48738</v>
      </c>
      <c r="R87" s="28">
        <f>_xll.qlInterestRateIndexValueDate(Index,Q87,Trigger)</f>
        <v>48740</v>
      </c>
      <c r="S87" s="28">
        <f>_xll.qlInterestRateIndexMaturity(Index,R87,Trigger)</f>
        <v>48834</v>
      </c>
      <c r="T87" s="30">
        <f>_xll.qlIndexFixing($M$6,Q87,,InterestRatesTrigger)</f>
        <v>1.8347848439074717E-2</v>
      </c>
      <c r="U87" s="30">
        <f>_xll.qlIndexFixing(Index,Q87,,InterestRatesTrigger)</f>
        <v>1.9040319759473606E-2</v>
      </c>
      <c r="V87" s="30">
        <f t="shared" si="14"/>
        <v>6.9247132039888804E-4</v>
      </c>
      <c r="W87" s="29">
        <f>_xll.qlDayCounterYearFraction(DayCounter,SettlementDate,R87,,,Trigger)</f>
        <v>18.269444444444446</v>
      </c>
      <c r="X87" s="29">
        <f>_xll.qlDayCounterYearFraction(DayCounter,R87,S87)</f>
        <v>0.26111111111111113</v>
      </c>
      <c r="Y87" s="29">
        <f>_xll.qlYieldTSDiscount(Currency&amp;"ON",R87)/(1+U87*X87)</f>
        <v>0.77197432635289032</v>
      </c>
      <c r="Z87" s="30">
        <f>_xll.qlTenorBasisValue(TenorBasis6M,R87,InterestRatesTrigger)</f>
        <v>6.212727007191655E-4</v>
      </c>
      <c r="AA87" s="30">
        <f t="shared" si="15"/>
        <v>7.1198619679722539E-5</v>
      </c>
    </row>
    <row r="88" spans="15:27" x14ac:dyDescent="0.2">
      <c r="O88" s="33">
        <v>3</v>
      </c>
      <c r="P88" s="27" t="str">
        <f>_xll.qlPeriodEquivalent(P87&amp;"+"&amp;O88&amp;"M")</f>
        <v>18Y3M</v>
      </c>
      <c r="Q88" s="28">
        <f>_xll.qlCalendarAdvance(Calendar,SettlementDate,P88,"f",,Trigger)</f>
        <v>48830</v>
      </c>
      <c r="R88" s="28">
        <f>_xll.qlInterestRateIndexValueDate(Index,Q88,Trigger)</f>
        <v>48834</v>
      </c>
      <c r="S88" s="28">
        <f>_xll.qlInterestRateIndexMaturity(Index,R88,Trigger)</f>
        <v>48925</v>
      </c>
      <c r="T88" s="30">
        <f>_xll.qlIndexFixing($M$6,Q88,,InterestRatesTrigger)</f>
        <v>1.8214761781308302E-2</v>
      </c>
      <c r="U88" s="30">
        <f>_xll.qlIndexFixing(Index,Q88,,InterestRatesTrigger)</f>
        <v>1.8894810704515652E-2</v>
      </c>
      <c r="V88" s="30">
        <f t="shared" si="14"/>
        <v>6.8004892320734991E-4</v>
      </c>
      <c r="W88" s="29">
        <f>_xll.qlDayCounterYearFraction(DayCounter,SettlementDate,R88,,,Trigger)</f>
        <v>18.530555555555555</v>
      </c>
      <c r="X88" s="29">
        <f>_xll.qlDayCounterYearFraction(DayCounter,R88,S88)</f>
        <v>0.25277777777777777</v>
      </c>
      <c r="Y88" s="29">
        <f>_xll.qlYieldTSDiscount(Currency&amp;"ON",R88)/(1+U88*X88)</f>
        <v>0.7684430145095501</v>
      </c>
      <c r="Z88" s="30">
        <f>_xll.qlTenorBasisValue(TenorBasis6M,R88,InterestRatesTrigger)</f>
        <v>6.0826965774705185E-4</v>
      </c>
      <c r="AA88" s="30">
        <f t="shared" si="15"/>
        <v>7.1779265460298063E-5</v>
      </c>
    </row>
    <row r="89" spans="15:27" x14ac:dyDescent="0.2">
      <c r="O89" s="33">
        <v>3</v>
      </c>
      <c r="P89" s="27" t="str">
        <f>_xll.qlPeriodEquivalent(P88&amp;"+"&amp;O89&amp;"M")</f>
        <v>18Y6M</v>
      </c>
      <c r="Q89" s="28">
        <f>_xll.qlCalendarAdvance(Calendar,SettlementDate,P89,"f",,Trigger)</f>
        <v>48921</v>
      </c>
      <c r="R89" s="28">
        <f>_xll.qlInterestRateIndexValueDate(Index,Q89,Trigger)</f>
        <v>48925</v>
      </c>
      <c r="S89" s="28">
        <f>_xll.qlInterestRateIndexMaturity(Index,R89,Trigger)</f>
        <v>49016</v>
      </c>
      <c r="T89" s="30">
        <f>_xll.qlIndexFixing($M$6,Q89,,InterestRatesTrigger)</f>
        <v>1.8081946963547431E-2</v>
      </c>
      <c r="U89" s="30">
        <f>_xll.qlIndexFixing(Index,Q89,,InterestRatesTrigger)</f>
        <v>1.8749450411796997E-2</v>
      </c>
      <c r="V89" s="30">
        <f t="shared" si="14"/>
        <v>6.6750344824956578E-4</v>
      </c>
      <c r="W89" s="29">
        <f>_xll.qlDayCounterYearFraction(DayCounter,SettlementDate,R89,,,Trigger)</f>
        <v>18.783333333333335</v>
      </c>
      <c r="X89" s="29">
        <f>_xll.qlDayCounterYearFraction(DayCounter,R89,S89)</f>
        <v>0.25277777777777777</v>
      </c>
      <c r="Y89" s="29">
        <f>_xll.qlYieldTSDiscount(Currency&amp;"ON",R89)/(1+U89*X89)</f>
        <v>0.76494907180473226</v>
      </c>
      <c r="Z89" s="30">
        <f>_xll.qlTenorBasisValue(TenorBasis6M,R89,InterestRatesTrigger)</f>
        <v>5.9599966681758243E-4</v>
      </c>
      <c r="AA89" s="30">
        <f t="shared" si="15"/>
        <v>7.1503781431983353E-5</v>
      </c>
    </row>
    <row r="90" spans="15:27" x14ac:dyDescent="0.2">
      <c r="O90" s="33">
        <v>3</v>
      </c>
      <c r="P90" s="27" t="str">
        <f>_xll.qlPeriodEquivalent(P89&amp;"+"&amp;O90&amp;"M")</f>
        <v>18Y9M</v>
      </c>
      <c r="Q90" s="28">
        <f>_xll.qlCalendarAdvance(Calendar,SettlementDate,P90,"f",,Trigger)</f>
        <v>49011</v>
      </c>
      <c r="R90" s="28">
        <f>_xll.qlInterestRateIndexValueDate(Index,Q90,Trigger)</f>
        <v>49013</v>
      </c>
      <c r="S90" s="28">
        <f>_xll.qlInterestRateIndexMaturity(Index,R90,Trigger)</f>
        <v>49107</v>
      </c>
      <c r="T90" s="30">
        <f>_xll.qlIndexFixing($M$6,Q90,,InterestRatesTrigger)</f>
        <v>1.7949503855271959E-2</v>
      </c>
      <c r="U90" s="30">
        <f>_xll.qlIndexFixing(Index,Q90,,InterestRatesTrigger)</f>
        <v>1.860435176600822E-2</v>
      </c>
      <c r="V90" s="30">
        <f t="shared" si="14"/>
        <v>6.5484791073626078E-4</v>
      </c>
      <c r="W90" s="29">
        <f>_xll.qlDayCounterYearFraction(DayCounter,SettlementDate,R90,,,Trigger)</f>
        <v>19.027777777777779</v>
      </c>
      <c r="X90" s="29">
        <f>_xll.qlDayCounterYearFraction(DayCounter,R90,S90)</f>
        <v>0.26111111111111113</v>
      </c>
      <c r="Y90" s="29">
        <f>_xll.qlYieldTSDiscount(Currency&amp;"ON",R90)/(1+U90*X90)</f>
        <v>0.76149298749414307</v>
      </c>
      <c r="Z90" s="30">
        <f>_xll.qlTenorBasisValue(TenorBasis6M,R90,InterestRatesTrigger)</f>
        <v>5.8442769736847459E-4</v>
      </c>
      <c r="AA90" s="30">
        <f t="shared" si="15"/>
        <v>7.0420213367786188E-5</v>
      </c>
    </row>
    <row r="91" spans="15:27" x14ac:dyDescent="0.2">
      <c r="O91" s="33">
        <v>3</v>
      </c>
      <c r="P91" s="27" t="str">
        <f>_xll.qlPeriodEquivalent(P90&amp;"+"&amp;O91&amp;"M")</f>
        <v>19Y</v>
      </c>
      <c r="Q91" s="28">
        <f>_xll.qlCalendarAdvance(Calendar,SettlementDate,P91,"f",,Trigger)</f>
        <v>49103</v>
      </c>
      <c r="R91" s="28">
        <f>_xll.qlInterestRateIndexValueDate(Index,Q91,Trigger)</f>
        <v>49107</v>
      </c>
      <c r="S91" s="28">
        <f>_xll.qlInterestRateIndexMaturity(Index,R91,Trigger)</f>
        <v>49199</v>
      </c>
      <c r="T91" s="30">
        <f>_xll.qlIndexFixing($M$6,Q91,,InterestRatesTrigger)</f>
        <v>1.7806295717930645E-2</v>
      </c>
      <c r="U91" s="30">
        <f>_xll.qlIndexFixing(Index,Q91,,InterestRatesTrigger)</f>
        <v>1.8447388452722535E-2</v>
      </c>
      <c r="V91" s="30">
        <f t="shared" si="14"/>
        <v>6.4109273479188988E-4</v>
      </c>
      <c r="W91" s="29">
        <f>_xll.qlDayCounterYearFraction(DayCounter,SettlementDate,R91,,,Trigger)</f>
        <v>19.288888888888888</v>
      </c>
      <c r="X91" s="29">
        <f>_xll.qlDayCounterYearFraction(DayCounter,R91,S91)</f>
        <v>0.25555555555555554</v>
      </c>
      <c r="Y91" s="29">
        <f>_xll.qlYieldTSDiscount(Currency&amp;"ON",R91)/(1+U91*X91)</f>
        <v>0.758048891695419</v>
      </c>
      <c r="Z91" s="30">
        <f>_xll.qlTenorBasisValue(TenorBasis6M,R91,InterestRatesTrigger)</f>
        <v>5.723808878164827E-4</v>
      </c>
      <c r="AA91" s="30">
        <f t="shared" si="15"/>
        <v>6.8711846975407181E-5</v>
      </c>
    </row>
    <row r="92" spans="15:27" x14ac:dyDescent="0.2">
      <c r="O92" s="33">
        <v>3</v>
      </c>
      <c r="P92" s="27" t="str">
        <f>_xll.qlPeriodEquivalent(P91&amp;"+"&amp;O92&amp;"M")</f>
        <v>19Y3M</v>
      </c>
      <c r="Q92" s="28">
        <f>_xll.qlCalendarAdvance(Calendar,SettlementDate,P92,"f",,Trigger)</f>
        <v>49195</v>
      </c>
      <c r="R92" s="28">
        <f>_xll.qlInterestRateIndexValueDate(Index,Q92,Trigger)</f>
        <v>49199</v>
      </c>
      <c r="S92" s="28">
        <f>_xll.qlInterestRateIndexMaturity(Index,R92,Trigger)</f>
        <v>49290</v>
      </c>
      <c r="T92" s="30">
        <f>_xll.qlIndexFixing($M$6,Q92,,InterestRatesTrigger)</f>
        <v>1.7662550965451013E-2</v>
      </c>
      <c r="U92" s="30">
        <f>_xll.qlIndexFixing(Index,Q92,,InterestRatesTrigger)</f>
        <v>1.8289710310236882E-2</v>
      </c>
      <c r="V92" s="30">
        <f t="shared" si="14"/>
        <v>6.2715934478586866E-4</v>
      </c>
      <c r="W92" s="29">
        <f>_xll.qlDayCounterYearFraction(DayCounter,SettlementDate,R92,,,Trigger)</f>
        <v>19.544444444444444</v>
      </c>
      <c r="X92" s="29">
        <f>_xll.qlDayCounterYearFraction(DayCounter,R92,S92)</f>
        <v>0.25277777777777777</v>
      </c>
      <c r="Y92" s="29">
        <f>_xll.qlYieldTSDiscount(Currency&amp;"ON",R92)/(1+U92*X92)</f>
        <v>0.75468344699360734</v>
      </c>
      <c r="Z92" s="30">
        <f>_xll.qlTenorBasisValue(TenorBasis6M,R92,InterestRatesTrigger)</f>
        <v>5.6089981492745398E-4</v>
      </c>
      <c r="AA92" s="30">
        <f t="shared" si="15"/>
        <v>6.6259529858414675E-5</v>
      </c>
    </row>
    <row r="93" spans="15:27" x14ac:dyDescent="0.2">
      <c r="O93" s="33">
        <v>3</v>
      </c>
      <c r="P93" s="27" t="str">
        <f>_xll.qlPeriodEquivalent(P92&amp;"+"&amp;O93&amp;"M")</f>
        <v>19Y6M</v>
      </c>
      <c r="Q93" s="28">
        <f>_xll.qlCalendarAdvance(Calendar,SettlementDate,P93,"f",,Trigger)</f>
        <v>49286</v>
      </c>
      <c r="R93" s="28">
        <f>_xll.qlInterestRateIndexValueDate(Index,Q93,Trigger)</f>
        <v>49290</v>
      </c>
      <c r="S93" s="28">
        <f>_xll.qlInterestRateIndexMaturity(Index,R93,Trigger)</f>
        <v>49380</v>
      </c>
      <c r="T93" s="30">
        <f>_xll.qlIndexFixing($M$6,Q93,,InterestRatesTrigger)</f>
        <v>1.7517177093136382E-2</v>
      </c>
      <c r="U93" s="30">
        <f>_xll.qlIndexFixing(Index,Q93,,InterestRatesTrigger)</f>
        <v>1.8130133856583797E-2</v>
      </c>
      <c r="V93" s="30">
        <f t="shared" si="14"/>
        <v>6.1295676344741423E-4</v>
      </c>
      <c r="W93" s="29">
        <f>_xll.qlDayCounterYearFraction(DayCounter,SettlementDate,R93,,,Trigger)</f>
        <v>19.797222222222221</v>
      </c>
      <c r="X93" s="29">
        <f>_xll.qlDayCounterYearFraction(DayCounter,R93,S93)</f>
        <v>0.25</v>
      </c>
      <c r="Y93" s="29">
        <f>_xll.qlYieldTSDiscount(Currency&amp;"ON",R93)/(1+U93*X93)</f>
        <v>0.75139682538389785</v>
      </c>
      <c r="Z93" s="30">
        <f>_xll.qlTenorBasisValue(TenorBasis6M,R93,InterestRatesTrigger)</f>
        <v>5.4983978435808715E-4</v>
      </c>
      <c r="AA93" s="30">
        <f t="shared" si="15"/>
        <v>6.311697908932708E-5</v>
      </c>
    </row>
    <row r="94" spans="15:27" x14ac:dyDescent="0.2">
      <c r="O94" s="33">
        <v>3</v>
      </c>
      <c r="P94" s="27" t="str">
        <f>_xll.qlPeriodEquivalent(P93&amp;"+"&amp;O94&amp;"M")</f>
        <v>19Y9M</v>
      </c>
      <c r="Q94" s="28">
        <f>_xll.qlCalendarAdvance(Calendar,SettlementDate,P94,"f",,Trigger)</f>
        <v>49376</v>
      </c>
      <c r="R94" s="28">
        <f>_xll.qlInterestRateIndexValueDate(Index,Q94,Trigger)</f>
        <v>49380</v>
      </c>
      <c r="S94" s="28">
        <f>_xll.qlInterestRateIndexMaturity(Index,R94,Trigger)</f>
        <v>49472</v>
      </c>
      <c r="T94" s="30">
        <f>_xll.qlIndexFixing($M$6,Q94,,InterestRatesTrigger)</f>
        <v>1.7369045264453178E-2</v>
      </c>
      <c r="U94" s="30">
        <f>_xll.qlIndexFixing(Index,Q94,,InterestRatesTrigger)</f>
        <v>1.7967385726494409E-2</v>
      </c>
      <c r="V94" s="30">
        <f t="shared" si="14"/>
        <v>5.9834046204123095E-4</v>
      </c>
      <c r="W94" s="29">
        <f>_xll.qlDayCounterYearFraction(DayCounter,SettlementDate,R94,,,Trigger)</f>
        <v>20.047222222222221</v>
      </c>
      <c r="X94" s="29">
        <f>_xll.qlDayCounterYearFraction(DayCounter,R94,S94)</f>
        <v>0.25555555555555554</v>
      </c>
      <c r="Y94" s="29">
        <f>_xll.qlYieldTSDiscount(Currency&amp;"ON",R94)/(1+U94*X94)</f>
        <v>0.74807654968607762</v>
      </c>
      <c r="Z94" s="30">
        <f>_xll.qlTenorBasisValue(TenorBasis6M,R94,InterestRatesTrigger)</f>
        <v>5.3918626613215829E-4</v>
      </c>
      <c r="AA94" s="30">
        <f t="shared" si="15"/>
        <v>5.9154195909072666E-5</v>
      </c>
    </row>
    <row r="95" spans="15:27" x14ac:dyDescent="0.2">
      <c r="O95" s="33">
        <v>3</v>
      </c>
      <c r="P95" s="27" t="str">
        <f>_xll.qlPeriodEquivalent(P94&amp;"+"&amp;O95&amp;"M")</f>
        <v>20Y</v>
      </c>
      <c r="Q95" s="28">
        <f>_xll.qlCalendarAdvance(Calendar,SettlementDate,P95,"f",,Trigger)</f>
        <v>49468</v>
      </c>
      <c r="R95" s="28">
        <f>_xll.qlInterestRateIndexValueDate(Index,Q95,Trigger)</f>
        <v>49472</v>
      </c>
      <c r="S95" s="28">
        <f>_xll.qlInterestRateIndexMaturity(Index,R95,Trigger)</f>
        <v>49564</v>
      </c>
      <c r="T95" s="30">
        <f>_xll.qlIndexFixing($M$6,Q95,,InterestRatesTrigger)</f>
        <v>1.7217310376923776E-2</v>
      </c>
      <c r="U95" s="30">
        <f>_xll.qlIndexFixing(Index,Q95,,InterestRatesTrigger)</f>
        <v>1.7800582348021295E-2</v>
      </c>
      <c r="V95" s="30">
        <f t="shared" si="14"/>
        <v>5.8327197109751816E-4</v>
      </c>
      <c r="W95" s="29">
        <f>_xll.qlDayCounterYearFraction(DayCounter,SettlementDate,R95,,,Trigger)</f>
        <v>20.302777777777777</v>
      </c>
      <c r="X95" s="29">
        <f>_xll.qlDayCounterYearFraction(DayCounter,R95,S95)</f>
        <v>0.25555555555555554</v>
      </c>
      <c r="Y95" s="29">
        <f>_xll.qlYieldTSDiscount(Currency&amp;"ON",R95)/(1+U95*X95)</f>
        <v>0.74480229825673416</v>
      </c>
      <c r="Z95" s="30">
        <f>_xll.qlTenorBasisValue(TenorBasis6M,R95,InterestRatesTrigger)</f>
        <v>5.285838653024483E-4</v>
      </c>
      <c r="AA95" s="30">
        <f t="shared" si="15"/>
        <v>5.4688105795069864E-5</v>
      </c>
    </row>
    <row r="96" spans="15:27" x14ac:dyDescent="0.2">
      <c r="O96" s="33">
        <v>3</v>
      </c>
      <c r="P96" s="27" t="str">
        <f>_xll.qlPeriodEquivalent(P95&amp;"+"&amp;O96&amp;"M")</f>
        <v>20Y3M</v>
      </c>
      <c r="Q96" s="28">
        <f>_xll.qlCalendarAdvance(Calendar,SettlementDate,P96,"f",,Trigger)</f>
        <v>49562</v>
      </c>
      <c r="R96" s="28">
        <f>_xll.qlInterestRateIndexValueDate(Index,Q96,Trigger)</f>
        <v>49564</v>
      </c>
      <c r="S96" s="28">
        <f>_xll.qlInterestRateIndexMaturity(Index,R96,Trigger)</f>
        <v>49655</v>
      </c>
      <c r="T96" s="30">
        <f>_xll.qlIndexFixing($M$6,Q96,,InterestRatesTrigger)</f>
        <v>1.7072374955806748E-2</v>
      </c>
      <c r="U96" s="30">
        <f>_xll.qlIndexFixing(Index,Q96,,InterestRatesTrigger)</f>
        <v>1.7641100873240442E-2</v>
      </c>
      <c r="V96" s="30">
        <f t="shared" si="14"/>
        <v>5.6872591743369408E-4</v>
      </c>
      <c r="W96" s="29">
        <f>_xll.qlDayCounterYearFraction(DayCounter,SettlementDate,R96,,,Trigger)</f>
        <v>20.558333333333334</v>
      </c>
      <c r="X96" s="29">
        <f>_xll.qlDayCounterYearFraction(DayCounter,R96,S96)</f>
        <v>0.25277777777777777</v>
      </c>
      <c r="Y96" s="29">
        <f>_xll.qlYieldTSDiscount(Currency&amp;"ON",R96)/(1+U96*X96)</f>
        <v>0.74160580429590117</v>
      </c>
      <c r="Z96" s="30">
        <f>_xll.qlTenorBasisValue(TenorBasis6M,R96,InterestRatesTrigger)</f>
        <v>5.1826727588024464E-4</v>
      </c>
      <c r="AA96" s="30">
        <f t="shared" si="15"/>
        <v>5.0458641553449441E-5</v>
      </c>
    </row>
    <row r="97" spans="15:27" x14ac:dyDescent="0.2">
      <c r="O97" s="33">
        <v>3</v>
      </c>
      <c r="P97" s="27" t="str">
        <f>_xll.qlPeriodEquivalent(P96&amp;"+"&amp;O97&amp;"M")</f>
        <v>20Y6M</v>
      </c>
      <c r="Q97" s="28">
        <f>_xll.qlCalendarAdvance(Calendar,SettlementDate,P97,"f",,Trigger)</f>
        <v>49653</v>
      </c>
      <c r="R97" s="28">
        <f>_xll.qlInterestRateIndexValueDate(Index,Q97,Trigger)</f>
        <v>49655</v>
      </c>
      <c r="S97" s="28">
        <f>_xll.qlInterestRateIndexMaturity(Index,R97,Trigger)</f>
        <v>49746</v>
      </c>
      <c r="T97" s="30">
        <f>_xll.qlIndexFixing($M$6,Q97,,InterestRatesTrigger)</f>
        <v>1.6936599690373377E-2</v>
      </c>
      <c r="U97" s="30">
        <f>_xll.qlIndexFixing(Index,Q97,,InterestRatesTrigger)</f>
        <v>1.7491503345137247E-2</v>
      </c>
      <c r="V97" s="30">
        <f t="shared" si="14"/>
        <v>5.5490365476387055E-4</v>
      </c>
      <c r="W97" s="29">
        <f>_xll.qlDayCounterYearFraction(DayCounter,SettlementDate,R97,,,Trigger)</f>
        <v>20.81111111111111</v>
      </c>
      <c r="X97" s="29">
        <f>_xll.qlDayCounterYearFraction(DayCounter,R97,S97)</f>
        <v>0.25277777777777777</v>
      </c>
      <c r="Y97" s="29">
        <f>_xll.qlYieldTSDiscount(Currency&amp;"ON",R97)/(1+U97*X97)</f>
        <v>0.73844694427569502</v>
      </c>
      <c r="Z97" s="30">
        <f>_xll.qlTenorBasisValue(TenorBasis6M,R97,InterestRatesTrigger)</f>
        <v>5.0833877396069696E-4</v>
      </c>
      <c r="AA97" s="30">
        <f t="shared" si="15"/>
        <v>4.6564880803173585E-5</v>
      </c>
    </row>
    <row r="98" spans="15:27" x14ac:dyDescent="0.2">
      <c r="O98" s="33">
        <v>3</v>
      </c>
      <c r="P98" s="27" t="str">
        <f>_xll.qlPeriodEquivalent(P97&amp;"+"&amp;O98&amp;"M")</f>
        <v>20Y9M</v>
      </c>
      <c r="Q98" s="28">
        <f>_xll.qlCalendarAdvance(Calendar,SettlementDate,P98,"f",,Trigger)</f>
        <v>49744</v>
      </c>
      <c r="R98" s="28">
        <f>_xll.qlInterestRateIndexValueDate(Index,Q98,Trigger)</f>
        <v>49746</v>
      </c>
      <c r="S98" s="28">
        <f>_xll.qlInterestRateIndexMaturity(Index,R98,Trigger)</f>
        <v>49838</v>
      </c>
      <c r="T98" s="30">
        <f>_xll.qlIndexFixing($M$6,Q98,,InterestRatesTrigger)</f>
        <v>1.6808472443066835E-2</v>
      </c>
      <c r="U98" s="30">
        <f>_xll.qlIndexFixing(Index,Q98,,InterestRatesTrigger)</f>
        <v>1.7350122916044142E-2</v>
      </c>
      <c r="V98" s="30">
        <f t="shared" si="14"/>
        <v>5.4165047297730778E-4</v>
      </c>
      <c r="W98" s="29">
        <f>_xll.qlDayCounterYearFraction(DayCounter,SettlementDate,R98,,,Trigger)</f>
        <v>21.06388888888889</v>
      </c>
      <c r="X98" s="29">
        <f>_xll.qlDayCounterYearFraction(DayCounter,R98,S98)</f>
        <v>0.25555555555555554</v>
      </c>
      <c r="Y98" s="29">
        <f>_xll.qlYieldTSDiscount(Currency&amp;"ON",R98)/(1+U98*X98)</f>
        <v>0.73528986602448632</v>
      </c>
      <c r="Z98" s="30">
        <f>_xll.qlTenorBasisValue(TenorBasis6M,R98,InterestRatesTrigger)</f>
        <v>4.98679490044617E-4</v>
      </c>
      <c r="AA98" s="30">
        <f t="shared" si="15"/>
        <v>4.2970982932690784E-5</v>
      </c>
    </row>
    <row r="99" spans="15:27" x14ac:dyDescent="0.2">
      <c r="O99" s="33">
        <v>3</v>
      </c>
      <c r="P99" s="27" t="str">
        <f>_xll.qlPeriodEquivalent(P98&amp;"+"&amp;O99&amp;"M")</f>
        <v>21Y</v>
      </c>
      <c r="Q99" s="28">
        <f>_xll.qlCalendarAdvance(Calendar,SettlementDate,P99,"f",,Trigger)</f>
        <v>49835</v>
      </c>
      <c r="R99" s="28">
        <f>_xll.qlInterestRateIndexValueDate(Index,Q99,Trigger)</f>
        <v>49837</v>
      </c>
      <c r="S99" s="28">
        <f>_xll.qlInterestRateIndexMaturity(Index,R99,Trigger)</f>
        <v>49929</v>
      </c>
      <c r="T99" s="30">
        <f>_xll.qlIndexFixing($M$6,Q99,,InterestRatesTrigger)</f>
        <v>1.6688593288174403E-2</v>
      </c>
      <c r="U99" s="30">
        <f>_xll.qlIndexFixing(Index,Q99,,InterestRatesTrigger)</f>
        <v>1.7217651454647234E-2</v>
      </c>
      <c r="V99" s="30">
        <f t="shared" si="14"/>
        <v>5.2905816647283097E-4</v>
      </c>
      <c r="W99" s="29">
        <f>_xll.qlDayCounterYearFraction(DayCounter,SettlementDate,R99,,,Trigger)</f>
        <v>21.316666666666666</v>
      </c>
      <c r="X99" s="29">
        <f>_xll.qlDayCounterYearFraction(DayCounter,R99,S99)</f>
        <v>0.25555555555555554</v>
      </c>
      <c r="Y99" s="29">
        <f>_xll.qlYieldTSDiscount(Currency&amp;"ON",R99)/(1+U99*X99)</f>
        <v>0.73220360449777822</v>
      </c>
      <c r="Z99" s="30">
        <f>_xll.qlTenorBasisValue(TenorBasis6M,R99,InterestRatesTrigger)</f>
        <v>4.8928417781024243E-4</v>
      </c>
      <c r="AA99" s="30">
        <f t="shared" si="15"/>
        <v>3.9773988662588538E-5</v>
      </c>
    </row>
    <row r="100" spans="15:27" x14ac:dyDescent="0.2">
      <c r="O100" s="33">
        <v>3</v>
      </c>
      <c r="P100" s="27" t="str">
        <f>_xll.qlPeriodEquivalent(P99&amp;"+"&amp;O100&amp;"M")</f>
        <v>21Y3M</v>
      </c>
      <c r="Q100" s="28">
        <f>_xll.qlCalendarAdvance(Calendar,SettlementDate,P100,"f",,Trigger)</f>
        <v>49926</v>
      </c>
      <c r="R100" s="28">
        <f>_xll.qlInterestRateIndexValueDate(Index,Q100,Trigger)</f>
        <v>49928</v>
      </c>
      <c r="S100" s="28">
        <f>_xll.qlInterestRateIndexMaturity(Index,R100,Trigger)</f>
        <v>50019</v>
      </c>
      <c r="T100" s="30">
        <f>_xll.qlIndexFixing($M$6,Q100,,InterestRatesTrigger)</f>
        <v>1.6576847517855618E-2</v>
      </c>
      <c r="U100" s="30">
        <f>_xll.qlIndexFixing(Index,Q100,,InterestRatesTrigger)</f>
        <v>1.7093966345450854E-2</v>
      </c>
      <c r="V100" s="30">
        <f t="shared" si="14"/>
        <v>5.1711882759523584E-4</v>
      </c>
      <c r="W100" s="29">
        <f>_xll.qlDayCounterYearFraction(DayCounter,SettlementDate,R100,,,Trigger)</f>
        <v>21.569444444444443</v>
      </c>
      <c r="X100" s="29">
        <f>_xll.qlDayCounterYearFraction(DayCounter,R100,S100)</f>
        <v>0.25277777777777777</v>
      </c>
      <c r="Y100" s="29">
        <f>_xll.qlYieldTSDiscount(Currency&amp;"ON",R100)/(1+U100*X100)</f>
        <v>0.72918515008432805</v>
      </c>
      <c r="Z100" s="30">
        <f>_xll.qlTenorBasisValue(TenorBasis6M,R100,InterestRatesTrigger)</f>
        <v>4.8014756274429007E-4</v>
      </c>
      <c r="AA100" s="30">
        <f t="shared" si="15"/>
        <v>3.6971264850945763E-5</v>
      </c>
    </row>
    <row r="101" spans="15:27" x14ac:dyDescent="0.2">
      <c r="O101" s="33">
        <v>3</v>
      </c>
      <c r="P101" s="27" t="str">
        <f>_xll.qlPeriodEquivalent(P100&amp;"+"&amp;O101&amp;"M")</f>
        <v>21Y6M</v>
      </c>
      <c r="Q101" s="28">
        <f>_xll.qlCalendarAdvance(Calendar,SettlementDate,P101,"f",,Trigger)</f>
        <v>50017</v>
      </c>
      <c r="R101" s="28">
        <f>_xll.qlInterestRateIndexValueDate(Index,Q101,Trigger)</f>
        <v>50019</v>
      </c>
      <c r="S101" s="28">
        <f>_xll.qlInterestRateIndexMaturity(Index,R101,Trigger)</f>
        <v>50109</v>
      </c>
      <c r="T101" s="30">
        <f>_xll.qlIndexFixing($M$6,Q101,,InterestRatesTrigger)</f>
        <v>1.6472952128071761E-2</v>
      </c>
      <c r="U101" s="30">
        <f>_xll.qlIndexFixing(Index,Q101,,InterestRatesTrigger)</f>
        <v>1.697873965591068E-2</v>
      </c>
      <c r="V101" s="30">
        <f t="shared" si="14"/>
        <v>5.05787527838919E-4</v>
      </c>
      <c r="W101" s="29">
        <f>_xll.qlDayCounterYearFraction(DayCounter,SettlementDate,R101,,,Trigger)</f>
        <v>21.822222222222223</v>
      </c>
      <c r="X101" s="29">
        <f>_xll.qlDayCounterYearFraction(DayCounter,R101,S101)</f>
        <v>0.25</v>
      </c>
      <c r="Y101" s="29">
        <f>_xll.qlYieldTSDiscount(Currency&amp;"ON",R101)/(1+U101*X101)</f>
        <v>0.72619758867592987</v>
      </c>
      <c r="Z101" s="30">
        <f>_xll.qlTenorBasisValue(TenorBasis6M,R101,InterestRatesTrigger)</f>
        <v>4.7126435351631387E-4</v>
      </c>
      <c r="AA101" s="30">
        <f t="shared" si="15"/>
        <v>3.4523174322605133E-5</v>
      </c>
    </row>
    <row r="102" spans="15:27" x14ac:dyDescent="0.2">
      <c r="O102" s="33">
        <v>3</v>
      </c>
      <c r="P102" s="27" t="str">
        <f>_xll.qlPeriodEquivalent(P101&amp;"+"&amp;O102&amp;"M")</f>
        <v>21Y9M</v>
      </c>
      <c r="Q102" s="28">
        <f>_xll.qlCalendarAdvance(Calendar,SettlementDate,P102,"f",,Trigger)</f>
        <v>50108</v>
      </c>
      <c r="R102" s="28">
        <f>_xll.qlInterestRateIndexValueDate(Index,Q102,Trigger)</f>
        <v>50110</v>
      </c>
      <c r="S102" s="28">
        <f>_xll.qlInterestRateIndexMaturity(Index,R102,Trigger)</f>
        <v>50202</v>
      </c>
      <c r="T102" s="30">
        <f>_xll.qlIndexFixing($M$6,Q102,,InterestRatesTrigger)</f>
        <v>1.6376523302450239E-2</v>
      </c>
      <c r="U102" s="30">
        <f>_xll.qlIndexFixing(Index,Q102,,InterestRatesTrigger)</f>
        <v>1.6871485171433314E-2</v>
      </c>
      <c r="V102" s="30">
        <f t="shared" si="14"/>
        <v>4.9496186898307509E-4</v>
      </c>
      <c r="W102" s="29">
        <f>_xll.qlDayCounterYearFraction(DayCounter,SettlementDate,R102,,,Trigger)</f>
        <v>22.074999999999999</v>
      </c>
      <c r="X102" s="29">
        <f>_xll.qlDayCounterYearFraction(DayCounter,R102,S102)</f>
        <v>0.25555555555555554</v>
      </c>
      <c r="Y102" s="29">
        <f>_xll.qlYieldTSDiscount(Currency&amp;"ON",R102)/(1+U102*X102)</f>
        <v>0.72313808860359197</v>
      </c>
      <c r="Z102" s="30">
        <f>_xll.qlTenorBasisValue(TenorBasis6M,R102,InterestRatesTrigger)</f>
        <v>4.6262925245758651E-4</v>
      </c>
      <c r="AA102" s="30">
        <f t="shared" si="15"/>
        <v>3.2332616525488581E-5</v>
      </c>
    </row>
    <row r="103" spans="15:27" x14ac:dyDescent="0.2">
      <c r="O103" s="33">
        <v>3</v>
      </c>
      <c r="P103" s="27" t="str">
        <f>_xll.qlPeriodEquivalent(P102&amp;"+"&amp;O103&amp;"M")</f>
        <v>22Y</v>
      </c>
      <c r="Q103" s="28">
        <f>_xll.qlCalendarAdvance(Calendar,SettlementDate,P103,"f",,Trigger)</f>
        <v>50199</v>
      </c>
      <c r="R103" s="28">
        <f>_xll.qlInterestRateIndexValueDate(Index,Q103,Trigger)</f>
        <v>50201</v>
      </c>
      <c r="S103" s="28">
        <f>_xll.qlInterestRateIndexMaturity(Index,R103,Trigger)</f>
        <v>50293</v>
      </c>
      <c r="T103" s="30">
        <f>_xll.qlIndexFixing($M$6,Q103,,InterestRatesTrigger)</f>
        <v>1.6288353702148588E-2</v>
      </c>
      <c r="U103" s="30">
        <f>_xll.qlIndexFixing(Index,Q103,,InterestRatesTrigger)</f>
        <v>1.6773176603763377E-2</v>
      </c>
      <c r="V103" s="30">
        <f t="shared" si="14"/>
        <v>4.8482290161478911E-4</v>
      </c>
      <c r="W103" s="29">
        <f>_xll.qlDayCounterYearFraction(DayCounter,SettlementDate,R103,,,Trigger)</f>
        <v>22.327777777777779</v>
      </c>
      <c r="X103" s="29">
        <f>_xll.qlDayCounterYearFraction(DayCounter,R103,S103)</f>
        <v>0.25555555555555554</v>
      </c>
      <c r="Y103" s="29">
        <f>_xll.qlYieldTSDiscount(Currency&amp;"ON",R103)/(1+U103*X103)</f>
        <v>0.72017490426718989</v>
      </c>
      <c r="Z103" s="30">
        <f>_xll.qlTenorBasisValue(TenorBasis6M,R103,InterestRatesTrigger)</f>
        <v>4.5423696519923684E-4</v>
      </c>
      <c r="AA103" s="30">
        <f t="shared" si="15"/>
        <v>3.058593641555227E-5</v>
      </c>
    </row>
    <row r="104" spans="15:27" x14ac:dyDescent="0.2">
      <c r="O104" s="33">
        <v>3</v>
      </c>
      <c r="P104" s="27" t="str">
        <f>_xll.qlPeriodEquivalent(P103&amp;"+"&amp;O104&amp;"M")</f>
        <v>22Y3M</v>
      </c>
      <c r="Q104" s="28">
        <f>_xll.qlCalendarAdvance(Calendar,SettlementDate,P104,"f",,Trigger)</f>
        <v>50291</v>
      </c>
      <c r="R104" s="28">
        <f>_xll.qlInterestRateIndexValueDate(Index,Q104,Trigger)</f>
        <v>50293</v>
      </c>
      <c r="S104" s="28">
        <f>_xll.qlInterestRateIndexMaturity(Index,R104,Trigger)</f>
        <v>50384</v>
      </c>
      <c r="T104" s="30">
        <f>_xll.qlIndexFixing($M$6,Q104,,InterestRatesTrigger)</f>
        <v>1.6207319396949475E-2</v>
      </c>
      <c r="U104" s="30">
        <f>_xll.qlIndexFixing(Index,Q104,,InterestRatesTrigger)</f>
        <v>1.6682543503669836E-2</v>
      </c>
      <c r="V104" s="30">
        <f t="shared" si="14"/>
        <v>4.752241067203615E-4</v>
      </c>
      <c r="W104" s="29">
        <f>_xll.qlDayCounterYearFraction(DayCounter,SettlementDate,R104,,,Trigger)</f>
        <v>22.583333333333332</v>
      </c>
      <c r="X104" s="29">
        <f>_xll.qlDayCounterYearFraction(DayCounter,R104,S104)</f>
        <v>0.25277777777777777</v>
      </c>
      <c r="Y104" s="29">
        <f>_xll.qlYieldTSDiscount(Currency&amp;"ON",R104)/(1+U104*X104)</f>
        <v>0.71723918285086308</v>
      </c>
      <c r="Z104" s="30">
        <f>_xll.qlTenorBasisValue(TenorBasis6M,R104,InterestRatesTrigger)</f>
        <v>4.4599389666581007E-4</v>
      </c>
      <c r="AA104" s="30">
        <f t="shared" si="15"/>
        <v>2.9230210054551433E-5</v>
      </c>
    </row>
    <row r="105" spans="15:27" x14ac:dyDescent="0.2">
      <c r="O105" s="33">
        <v>3</v>
      </c>
      <c r="P105" s="27" t="str">
        <f>_xll.qlPeriodEquivalent(P104&amp;"+"&amp;O105&amp;"M")</f>
        <v>22Y6M</v>
      </c>
      <c r="Q105" s="28">
        <f>_xll.qlCalendarAdvance(Calendar,SettlementDate,P105,"f",,Trigger)</f>
        <v>50382</v>
      </c>
      <c r="R105" s="28">
        <f>_xll.qlInterestRateIndexValueDate(Index,Q105,Trigger)</f>
        <v>50384</v>
      </c>
      <c r="S105" s="28">
        <f>_xll.qlInterestRateIndexMaturity(Index,R105,Trigger)</f>
        <v>50474</v>
      </c>
      <c r="T105" s="30">
        <f>_xll.qlIndexFixing($M$6,Q105,,InterestRatesTrigger)</f>
        <v>1.613505509087787E-2</v>
      </c>
      <c r="U105" s="30">
        <f>_xll.qlIndexFixing(Index,Q105,,InterestRatesTrigger)</f>
        <v>1.6601395656602236E-2</v>
      </c>
      <c r="V105" s="30">
        <f t="shared" si="14"/>
        <v>4.6634056572436577E-4</v>
      </c>
      <c r="W105" s="29">
        <f>_xll.qlDayCounterYearFraction(DayCounter,SettlementDate,R105,,,Trigger)</f>
        <v>22.836111111111112</v>
      </c>
      <c r="X105" s="29">
        <f>_xll.qlDayCounterYearFraction(DayCounter,R105,S105)</f>
        <v>0.25</v>
      </c>
      <c r="Y105" s="29">
        <f>_xll.qlYieldTSDiscount(Currency&amp;"ON",R105)/(1+U105*X105)</f>
        <v>0.71436014659250102</v>
      </c>
      <c r="Z105" s="30">
        <f>_xll.qlTenorBasisValue(TenorBasis6M,R105,InterestRatesTrigger)</f>
        <v>4.380739338869261E-4</v>
      </c>
      <c r="AA105" s="30">
        <f t="shared" si="15"/>
        <v>2.8266631837439672E-5</v>
      </c>
    </row>
    <row r="106" spans="15:27" x14ac:dyDescent="0.2">
      <c r="O106" s="33">
        <v>3</v>
      </c>
      <c r="P106" s="27" t="str">
        <f>_xll.qlPeriodEquivalent(P105&amp;"+"&amp;O106&amp;"M")</f>
        <v>22Y9M</v>
      </c>
      <c r="Q106" s="28">
        <f>_xll.qlCalendarAdvance(Calendar,SettlementDate,P106,"f",,Trigger)</f>
        <v>50472</v>
      </c>
      <c r="R106" s="28">
        <f>_xll.qlInterestRateIndexValueDate(Index,Q106,Trigger)</f>
        <v>50474</v>
      </c>
      <c r="S106" s="28">
        <f>_xll.qlInterestRateIndexMaturity(Index,R106,Trigger)</f>
        <v>50566</v>
      </c>
      <c r="T106" s="30">
        <f>_xll.qlIndexFixing($M$6,Q106,,InterestRatesTrigger)</f>
        <v>1.6071398617457995E-2</v>
      </c>
      <c r="U106" s="30">
        <f>_xll.qlIndexFixing(Index,Q106,,InterestRatesTrigger)</f>
        <v>1.6529482510709657E-2</v>
      </c>
      <c r="V106" s="30">
        <f t="shared" si="14"/>
        <v>4.5808389325166163E-4</v>
      </c>
      <c r="W106" s="29">
        <f>_xll.qlDayCounterYearFraction(DayCounter,SettlementDate,R106,,,Trigger)</f>
        <v>23.086111111111112</v>
      </c>
      <c r="X106" s="29">
        <f>_xll.qlDayCounterYearFraction(DayCounter,R106,S106)</f>
        <v>0.25555555555555554</v>
      </c>
      <c r="Y106" s="29">
        <f>_xll.qlYieldTSDiscount(Currency&amp;"ON",R106)/(1+U106*X106)</f>
        <v>0.71143783928046167</v>
      </c>
      <c r="Z106" s="30">
        <f>_xll.qlTenorBasisValue(TenorBasis6M,R106,InterestRatesTrigger)</f>
        <v>4.3046427273258736E-4</v>
      </c>
      <c r="AA106" s="30">
        <f t="shared" si="15"/>
        <v>2.7619620519074269E-5</v>
      </c>
    </row>
    <row r="107" spans="15:27" x14ac:dyDescent="0.2">
      <c r="O107" s="33">
        <v>3</v>
      </c>
      <c r="P107" s="27" t="str">
        <f>_xll.qlPeriodEquivalent(P106&amp;"+"&amp;O107&amp;"M")</f>
        <v>23Y</v>
      </c>
      <c r="Q107" s="28">
        <f>_xll.qlCalendarAdvance(Calendar,SettlementDate,P107,"f",,Trigger)</f>
        <v>50564</v>
      </c>
      <c r="R107" s="28">
        <f>_xll.qlInterestRateIndexValueDate(Index,Q107,Trigger)</f>
        <v>50566</v>
      </c>
      <c r="S107" s="28">
        <f>_xll.qlInterestRateIndexMaturity(Index,R107,Trigger)</f>
        <v>50658</v>
      </c>
      <c r="T107" s="30">
        <f>_xll.qlIndexFixing($M$6,Q107,,InterestRatesTrigger)</f>
        <v>1.6014353521317286E-2</v>
      </c>
      <c r="U107" s="30">
        <f>_xll.qlIndexFixing(Index,Q107,,InterestRatesTrigger)</f>
        <v>1.6464668997430685E-2</v>
      </c>
      <c r="V107" s="30">
        <f t="shared" si="14"/>
        <v>4.5031547611339845E-4</v>
      </c>
      <c r="W107" s="29">
        <f>_xll.qlDayCounterYearFraction(DayCounter,SettlementDate,R107,,,Trigger)</f>
        <v>23.341666666666665</v>
      </c>
      <c r="X107" s="29">
        <f>_xll.qlDayCounterYearFraction(DayCounter,R107,S107)</f>
        <v>0.25555555555555554</v>
      </c>
      <c r="Y107" s="29">
        <f>_xll.qlYieldTSDiscount(Currency&amp;"ON",R107)/(1+U107*X107)</f>
        <v>0.70853950622526574</v>
      </c>
      <c r="Z107" s="30">
        <f>_xll.qlTenorBasisValue(TenorBasis6M,R107,InterestRatesTrigger)</f>
        <v>4.2290974286056669E-4</v>
      </c>
      <c r="AA107" s="30">
        <f t="shared" si="15"/>
        <v>2.7405733252831757E-5</v>
      </c>
    </row>
    <row r="108" spans="15:27" x14ac:dyDescent="0.2">
      <c r="O108" s="33">
        <v>3</v>
      </c>
      <c r="P108" s="27" t="str">
        <f>_xll.qlPeriodEquivalent(P107&amp;"+"&amp;O108&amp;"M")</f>
        <v>23Y3M</v>
      </c>
      <c r="Q108" s="28">
        <f>_xll.qlCalendarAdvance(Calendar,SettlementDate,P108,"f",,Trigger)</f>
        <v>50656</v>
      </c>
      <c r="R108" s="28">
        <f>_xll.qlInterestRateIndexValueDate(Index,Q108,Trigger)</f>
        <v>50658</v>
      </c>
      <c r="S108" s="28">
        <f>_xll.qlInterestRateIndexMaturity(Index,R108,Trigger)</f>
        <v>50749</v>
      </c>
      <c r="T108" s="30">
        <f>_xll.qlIndexFixing($M$6,Q108,,InterestRatesTrigger)</f>
        <v>1.5965291099242815E-2</v>
      </c>
      <c r="U108" s="30">
        <f>_xll.qlIndexFixing(Index,Q108,,InterestRatesTrigger)</f>
        <v>1.6408481065298235E-2</v>
      </c>
      <c r="V108" s="30">
        <f t="shared" si="14"/>
        <v>4.4318996605541977E-4</v>
      </c>
      <c r="W108" s="29">
        <f>_xll.qlDayCounterYearFraction(DayCounter,SettlementDate,R108,,,Trigger)</f>
        <v>23.597222222222221</v>
      </c>
      <c r="X108" s="29">
        <f>_xll.qlDayCounterYearFraction(DayCounter,R108,S108)</f>
        <v>0.25277777777777777</v>
      </c>
      <c r="Y108" s="29">
        <f>_xll.qlYieldTSDiscount(Currency&amp;"ON",R108)/(1+U108*X108)</f>
        <v>0.70569370769441553</v>
      </c>
      <c r="Z108" s="30">
        <f>_xll.qlTenorBasisValue(TenorBasis6M,R108,InterestRatesTrigger)</f>
        <v>4.1557661988128451E-4</v>
      </c>
      <c r="AA108" s="30">
        <f t="shared" si="15"/>
        <v>2.7613346174135264E-5</v>
      </c>
    </row>
    <row r="109" spans="15:27" x14ac:dyDescent="0.2">
      <c r="O109" s="33">
        <v>3</v>
      </c>
      <c r="P109" s="27" t="str">
        <f>_xll.qlPeriodEquivalent(P108&amp;"+"&amp;O109&amp;"M")</f>
        <v>23Y6M</v>
      </c>
      <c r="Q109" s="28">
        <f>_xll.qlCalendarAdvance(Calendar,SettlementDate,P109,"f",,Trigger)</f>
        <v>50747</v>
      </c>
      <c r="R109" s="28">
        <f>_xll.qlInterestRateIndexValueDate(Index,Q109,Trigger)</f>
        <v>50749</v>
      </c>
      <c r="S109" s="28">
        <f>_xll.qlInterestRateIndexMaturity(Index,R109,Trigger)</f>
        <v>50839</v>
      </c>
      <c r="T109" s="30">
        <f>_xll.qlIndexFixing($M$6,Q109,,InterestRatesTrigger)</f>
        <v>1.5924645032701079E-2</v>
      </c>
      <c r="U109" s="30">
        <f>_xll.qlIndexFixing(Index,Q109,,InterestRatesTrigger)</f>
        <v>1.6361397087493401E-2</v>
      </c>
      <c r="V109" s="30">
        <f t="shared" si="14"/>
        <v>4.3675205479232204E-4</v>
      </c>
      <c r="W109" s="29">
        <f>_xll.qlDayCounterYearFraction(DayCounter,SettlementDate,R109,,,Trigger)</f>
        <v>23.85</v>
      </c>
      <c r="X109" s="29">
        <f>_xll.qlDayCounterYearFraction(DayCounter,R109,S109)</f>
        <v>0.25</v>
      </c>
      <c r="Y109" s="29">
        <f>_xll.qlYieldTSDiscount(Currency&amp;"ON",R109)/(1+U109*X109)</f>
        <v>0.70289735211319537</v>
      </c>
      <c r="Z109" s="30">
        <f>_xll.qlTenorBasisValue(TenorBasis6M,R109,InterestRatesTrigger)</f>
        <v>4.0853583669005406E-4</v>
      </c>
      <c r="AA109" s="30">
        <f t="shared" si="15"/>
        <v>2.8216218102267978E-5</v>
      </c>
    </row>
    <row r="110" spans="15:27" x14ac:dyDescent="0.2">
      <c r="O110" s="33">
        <v>3</v>
      </c>
      <c r="P110" s="27" t="str">
        <f>_xll.qlPeriodEquivalent(P109&amp;"+"&amp;O110&amp;"M")</f>
        <v>23Y9M</v>
      </c>
      <c r="Q110" s="28">
        <f>_xll.qlCalendarAdvance(Calendar,SettlementDate,P110,"f",,Trigger)</f>
        <v>50837</v>
      </c>
      <c r="R110" s="28">
        <f>_xll.qlInterestRateIndexValueDate(Index,Q110,Trigger)</f>
        <v>50839</v>
      </c>
      <c r="S110" s="28">
        <f>_xll.qlInterestRateIndexMaturity(Index,R110,Trigger)</f>
        <v>50931</v>
      </c>
      <c r="T110" s="30">
        <f>_xll.qlIndexFixing($M$6,Q110,,InterestRatesTrigger)</f>
        <v>1.5892753561493261E-2</v>
      </c>
      <c r="U110" s="30">
        <f>_xll.qlIndexFixing(Index,Q110,,InterestRatesTrigger)</f>
        <v>1.6323703104437398E-2</v>
      </c>
      <c r="V110" s="30">
        <f t="shared" si="14"/>
        <v>4.3094954294413748E-4</v>
      </c>
      <c r="W110" s="29">
        <f>_xll.qlDayCounterYearFraction(DayCounter,SettlementDate,R110,,,Trigger)</f>
        <v>24.1</v>
      </c>
      <c r="X110" s="29">
        <f>_xll.qlDayCounterYearFraction(DayCounter,R110,S110)</f>
        <v>0.25555555555555554</v>
      </c>
      <c r="Y110" s="29">
        <f>_xll.qlYieldTSDiscount(Currency&amp;"ON",R110)/(1+U110*X110)</f>
        <v>0.70005344368719691</v>
      </c>
      <c r="Z110" s="30">
        <f>_xll.qlTenorBasisValue(TenorBasis6M,R110,InterestRatesTrigger)</f>
        <v>4.0177544390145514E-4</v>
      </c>
      <c r="AA110" s="30">
        <f t="shared" si="15"/>
        <v>2.9174099042682342E-5</v>
      </c>
    </row>
    <row r="111" spans="15:27" x14ac:dyDescent="0.2">
      <c r="O111" s="33">
        <v>3</v>
      </c>
      <c r="P111" s="27" t="str">
        <f>_xll.qlPeriodEquivalent(P110&amp;"+"&amp;O111&amp;"M")</f>
        <v>24Y</v>
      </c>
      <c r="Q111" s="28">
        <f>_xll.qlCalendarAdvance(Calendar,SettlementDate,P111,"f",,Trigger)</f>
        <v>50929</v>
      </c>
      <c r="R111" s="28">
        <f>_xll.qlInterestRateIndexValueDate(Index,Q111,Trigger)</f>
        <v>50931</v>
      </c>
      <c r="S111" s="28">
        <f>_xll.qlInterestRateIndexMaturity(Index,R111,Trigger)</f>
        <v>51025</v>
      </c>
      <c r="T111" s="30">
        <f>_xll.qlIndexFixing($M$6,Q111,,InterestRatesTrigger)</f>
        <v>1.5868327340471292E-2</v>
      </c>
      <c r="U111" s="30">
        <f>_xll.qlIndexFixing(Index,Q111,,InterestRatesTrigger)</f>
        <v>1.6293977690230468E-2</v>
      </c>
      <c r="V111" s="30">
        <f t="shared" si="14"/>
        <v>4.2565034975917612E-4</v>
      </c>
      <c r="W111" s="29">
        <f>_xll.qlDayCounterYearFraction(DayCounter,SettlementDate,R111,,,Trigger)</f>
        <v>24.355555555555554</v>
      </c>
      <c r="X111" s="29">
        <f>_xll.qlDayCounterYearFraction(DayCounter,R111,S111)</f>
        <v>0.26111111111111113</v>
      </c>
      <c r="Y111" s="29">
        <f>_xll.qlYieldTSDiscount(Currency&amp;"ON",R111)/(1+U111*X111)</f>
        <v>0.69716411812815549</v>
      </c>
      <c r="Z111" s="30">
        <f>_xll.qlTenorBasisValue(TenorBasis6M,R111,InterestRatesTrigger)</f>
        <v>3.9506843748613222E-4</v>
      </c>
      <c r="AA111" s="30">
        <f t="shared" si="15"/>
        <v>3.0581912273043902E-5</v>
      </c>
    </row>
    <row r="112" spans="15:27" x14ac:dyDescent="0.2">
      <c r="O112" s="33">
        <v>3</v>
      </c>
      <c r="P112" s="27" t="str">
        <f>_xll.qlPeriodEquivalent(P111&amp;"+"&amp;O112&amp;"M")</f>
        <v>24Y3M</v>
      </c>
      <c r="Q112" s="28">
        <f>_xll.qlCalendarAdvance(Calendar,SettlementDate,P112,"f",,Trigger)</f>
        <v>51021</v>
      </c>
      <c r="R112" s="28">
        <f>_xll.qlInterestRateIndexValueDate(Index,Q112,Trigger)</f>
        <v>51025</v>
      </c>
      <c r="S112" s="28">
        <f>_xll.qlInterestRateIndexMaturity(Index,R112,Trigger)</f>
        <v>51116</v>
      </c>
      <c r="T112" s="30">
        <f>_xll.qlIndexFixing($M$6,Q112,,InterestRatesTrigger)</f>
        <v>1.5850462779900959E-2</v>
      </c>
      <c r="U112" s="30">
        <f>_xll.qlIndexFixing(Index,Q112,,InterestRatesTrigger)</f>
        <v>1.6271379680111074E-2</v>
      </c>
      <c r="V112" s="30">
        <f t="shared" si="14"/>
        <v>4.2091690021011513E-4</v>
      </c>
      <c r="W112" s="29">
        <f>_xll.qlDayCounterYearFraction(DayCounter,SettlementDate,R112,,,Trigger)</f>
        <v>24.616666666666667</v>
      </c>
      <c r="X112" s="29">
        <f>_xll.qlDayCounterYearFraction(DayCounter,R112,S112)</f>
        <v>0.25277777777777777</v>
      </c>
      <c r="Y112" s="29">
        <f>_xll.qlYieldTSDiscount(Currency&amp;"ON",R112)/(1+U112*X112)</f>
        <v>0.69438524613167629</v>
      </c>
      <c r="Z112" s="30">
        <f>_xll.qlTenorBasisValue(TenorBasis6M,R112,InterestRatesTrigger)</f>
        <v>3.8842296566063818E-4</v>
      </c>
      <c r="AA112" s="30">
        <f t="shared" si="15"/>
        <v>3.2493934549476951E-5</v>
      </c>
    </row>
    <row r="113" spans="15:27" x14ac:dyDescent="0.2">
      <c r="O113" s="33">
        <v>3</v>
      </c>
      <c r="P113" s="27" t="str">
        <f>_xll.qlPeriodEquivalent(P112&amp;"+"&amp;O113&amp;"M")</f>
        <v>24Y6M</v>
      </c>
      <c r="Q113" s="28">
        <f>_xll.qlCalendarAdvance(Calendar,SettlementDate,P113,"f",,Trigger)</f>
        <v>51112</v>
      </c>
      <c r="R113" s="28">
        <f>_xll.qlInterestRateIndexValueDate(Index,Q113,Trigger)</f>
        <v>51116</v>
      </c>
      <c r="S113" s="28">
        <f>_xll.qlInterestRateIndexMaturity(Index,R113,Trigger)</f>
        <v>51207</v>
      </c>
      <c r="T113" s="30">
        <f>_xll.qlIndexFixing($M$6,Q113,,InterestRatesTrigger)</f>
        <v>1.5841928620663203E-2</v>
      </c>
      <c r="U113" s="30">
        <f>_xll.qlIndexFixing(Index,Q113,,InterestRatesTrigger)</f>
        <v>1.6258863944163666E-2</v>
      </c>
      <c r="V113" s="30">
        <f t="shared" si="14"/>
        <v>4.1693532350046275E-4</v>
      </c>
      <c r="W113" s="29">
        <f>_xll.qlDayCounterYearFraction(DayCounter,SettlementDate,R113,,,Trigger)</f>
        <v>24.869444444444444</v>
      </c>
      <c r="X113" s="29">
        <f>_xll.qlDayCounterYearFraction(DayCounter,R113,S113)</f>
        <v>0.25277777777777777</v>
      </c>
      <c r="Y113" s="29">
        <f>_xll.qlYieldTSDiscount(Currency&amp;"ON",R113)/(1+U113*X113)</f>
        <v>0.69161637285147948</v>
      </c>
      <c r="Z113" s="30">
        <f>_xll.qlTenorBasisValue(TenorBasis6M,R113,InterestRatesTrigger)</f>
        <v>3.8218419262894842E-4</v>
      </c>
      <c r="AA113" s="30">
        <f t="shared" si="15"/>
        <v>3.4751130871514329E-5</v>
      </c>
    </row>
    <row r="114" spans="15:27" x14ac:dyDescent="0.2">
      <c r="O114" s="33">
        <v>3</v>
      </c>
      <c r="P114" s="27" t="str">
        <f>_xll.qlPeriodEquivalent(P113&amp;"+"&amp;O114&amp;"M")</f>
        <v>24Y9M</v>
      </c>
      <c r="Q114" s="28">
        <f>_xll.qlCalendarAdvance(Calendar,SettlementDate,P114,"f",,Trigger)</f>
        <v>51203</v>
      </c>
      <c r="R114" s="28">
        <f>_xll.qlInterestRateIndexValueDate(Index,Q114,Trigger)</f>
        <v>51207</v>
      </c>
      <c r="S114" s="28">
        <f>_xll.qlInterestRateIndexMaturity(Index,R114,Trigger)</f>
        <v>51299</v>
      </c>
      <c r="T114" s="30">
        <f>_xll.qlIndexFixing($M$6,Q114,,InterestRatesTrigger)</f>
        <v>1.5841691179093492E-2</v>
      </c>
      <c r="U114" s="30">
        <f>_xll.qlIndexFixing(Index,Q114,,InterestRatesTrigger)</f>
        <v>1.6255259415828525E-2</v>
      </c>
      <c r="V114" s="30">
        <f t="shared" si="14"/>
        <v>4.1356823673503393E-4</v>
      </c>
      <c r="W114" s="29">
        <f>_xll.qlDayCounterYearFraction(DayCounter,SettlementDate,R114,,,Trigger)</f>
        <v>25.122222222222224</v>
      </c>
      <c r="X114" s="29">
        <f>_xll.qlDayCounterYearFraction(DayCounter,R114,S114)</f>
        <v>0.25555555555555554</v>
      </c>
      <c r="Y114" s="29">
        <f>_xll.qlYieldTSDiscount(Currency&amp;"ON",R114)/(1+U114*X114)</f>
        <v>0.68882749958000877</v>
      </c>
      <c r="Z114" s="30">
        <f>_xll.qlTenorBasisValue(TenorBasis6M,R114,InterestRatesTrigger)</f>
        <v>3.7613200744932268E-4</v>
      </c>
      <c r="AA114" s="30">
        <f t="shared" si="15"/>
        <v>3.7436229285711252E-5</v>
      </c>
    </row>
    <row r="115" spans="15:27" x14ac:dyDescent="0.2">
      <c r="O115" s="33">
        <v>3</v>
      </c>
      <c r="P115" s="27" t="str">
        <f>_xll.qlPeriodEquivalent(P114&amp;"+"&amp;O115&amp;"M")</f>
        <v>25Y</v>
      </c>
      <c r="Q115" s="28">
        <f>_xll.qlCalendarAdvance(Calendar,SettlementDate,P115,"f",,Trigger)</f>
        <v>51295</v>
      </c>
      <c r="R115" s="28">
        <f>_xll.qlInterestRateIndexValueDate(Index,Q115,Trigger)</f>
        <v>51299</v>
      </c>
      <c r="S115" s="28">
        <f>_xll.qlInterestRateIndexMaturity(Index,R115,Trigger)</f>
        <v>51391</v>
      </c>
      <c r="T115" s="30">
        <f>_xll.qlIndexFixing($M$6,Q115,,InterestRatesTrigger)</f>
        <v>1.5848166019294879E-2</v>
      </c>
      <c r="U115" s="30">
        <f>_xll.qlIndexFixing(Index,Q115,,InterestRatesTrigger)</f>
        <v>1.6258794933560146E-2</v>
      </c>
      <c r="V115" s="30">
        <f t="shared" si="14"/>
        <v>4.1062891426526735E-4</v>
      </c>
      <c r="W115" s="29">
        <f>_xll.qlDayCounterYearFraction(DayCounter,SettlementDate,R115,,,Trigger)</f>
        <v>25.377777777777776</v>
      </c>
      <c r="X115" s="29">
        <f>_xll.qlDayCounterYearFraction(DayCounter,R115,S115)</f>
        <v>0.25555555555555554</v>
      </c>
      <c r="Y115" s="29">
        <f>_xll.qlYieldTSDiscount(Currency&amp;"ON",R115)/(1+U115*X115)</f>
        <v>0.68604945508697279</v>
      </c>
      <c r="Z115" s="30">
        <f>_xll.qlTenorBasisValue(TenorBasis6M,R115,InterestRatesTrigger)</f>
        <v>3.7019815120415908E-4</v>
      </c>
      <c r="AA115" s="30">
        <f t="shared" si="15"/>
        <v>4.0430763061108268E-5</v>
      </c>
    </row>
    <row r="116" spans="15:27" x14ac:dyDescent="0.2">
      <c r="O116" s="33">
        <v>3</v>
      </c>
      <c r="P116" s="27" t="str">
        <f>_xll.qlPeriodEquivalent(P115&amp;"+"&amp;O116&amp;"M")</f>
        <v>25Y3M</v>
      </c>
      <c r="Q116" s="28">
        <f>_xll.qlCalendarAdvance(Calendar,SettlementDate,P116,"f",,Trigger)</f>
        <v>51389</v>
      </c>
      <c r="R116" s="28">
        <f>_xll.qlInterestRateIndexValueDate(Index,Q116,Trigger)</f>
        <v>51391</v>
      </c>
      <c r="S116" s="28">
        <f>_xll.qlInterestRateIndexMaturity(Index,R116,Trigger)</f>
        <v>51482</v>
      </c>
      <c r="T116" s="30">
        <f>_xll.qlIndexFixing($M$6,Q116,,InterestRatesTrigger)</f>
        <v>1.5857789917669566E-2</v>
      </c>
      <c r="U116" s="30">
        <f>_xll.qlIndexFixing(Index,Q116,,InterestRatesTrigger)</f>
        <v>1.626538795415788E-2</v>
      </c>
      <c r="V116" s="30">
        <f t="shared" si="14"/>
        <v>4.0759803648831444E-4</v>
      </c>
      <c r="W116" s="29">
        <f>_xll.qlDayCounterYearFraction(DayCounter,SettlementDate,R116,,,Trigger)</f>
        <v>25.633333333333333</v>
      </c>
      <c r="X116" s="29">
        <f>_xll.qlDayCounterYearFraction(DayCounter,R116,S116)</f>
        <v>0.25277777777777777</v>
      </c>
      <c r="Y116" s="29">
        <f>_xll.qlYieldTSDiscount(Currency&amp;"ON",R116)/(1+U116*X116)</f>
        <v>0.6833117020655578</v>
      </c>
      <c r="Z116" s="30">
        <f>_xll.qlTenorBasisValue(TenorBasis6M,R116,InterestRatesTrigger)</f>
        <v>3.6444533382723823E-4</v>
      </c>
      <c r="AA116" s="30">
        <f t="shared" si="15"/>
        <v>4.3152702661076211E-5</v>
      </c>
    </row>
    <row r="117" spans="15:27" x14ac:dyDescent="0.2">
      <c r="O117" s="33">
        <v>3</v>
      </c>
      <c r="P117" s="27" t="str">
        <f>_xll.qlPeriodEquivalent(P116&amp;"+"&amp;O117&amp;"M")</f>
        <v>25Y6M</v>
      </c>
      <c r="Q117" s="28">
        <f>_xll.qlCalendarAdvance(Calendar,SettlementDate,P117,"f",,Trigger)</f>
        <v>51480</v>
      </c>
      <c r="R117" s="28">
        <f>_xll.qlInterestRateIndexValueDate(Index,Q117,Trigger)</f>
        <v>51482</v>
      </c>
      <c r="S117" s="28">
        <f>_xll.qlInterestRateIndexMaturity(Index,R117,Trigger)</f>
        <v>51572</v>
      </c>
      <c r="T117" s="30">
        <f>_xll.qlIndexFixing($M$6,Q117,,InterestRatesTrigger)</f>
        <v>1.5870016364173622E-2</v>
      </c>
      <c r="U117" s="30">
        <f>_xll.qlIndexFixing(Index,Q117,,InterestRatesTrigger)</f>
        <v>1.6274409449788863E-2</v>
      </c>
      <c r="V117" s="30">
        <f t="shared" si="14"/>
        <v>4.0439308561524001E-4</v>
      </c>
      <c r="W117" s="29">
        <f>_xll.qlDayCounterYearFraction(DayCounter,SettlementDate,R117,,,Trigger)</f>
        <v>25.886111111111113</v>
      </c>
      <c r="X117" s="29">
        <f>_xll.qlDayCounterYearFraction(DayCounter,R117,S117)</f>
        <v>0.25</v>
      </c>
      <c r="Y117" s="29">
        <f>_xll.qlYieldTSDiscount(Currency&amp;"ON",R117)/(1+U117*X117)</f>
        <v>0.68061268140345077</v>
      </c>
      <c r="Z117" s="30">
        <f>_xll.qlTenorBasisValue(TenorBasis6M,R117,InterestRatesTrigger)</f>
        <v>3.5892849122564957E-4</v>
      </c>
      <c r="AA117" s="30">
        <f t="shared" si="15"/>
        <v>4.5464594389590441E-5</v>
      </c>
    </row>
    <row r="118" spans="15:27" x14ac:dyDescent="0.2">
      <c r="O118" s="33">
        <v>3</v>
      </c>
      <c r="P118" s="27" t="str">
        <f>_xll.qlPeriodEquivalent(P117&amp;"+"&amp;O118&amp;"M")</f>
        <v>25Y9M</v>
      </c>
      <c r="Q118" s="28">
        <f>_xll.qlCalendarAdvance(Calendar,SettlementDate,P118,"f",,Trigger)</f>
        <v>51568</v>
      </c>
      <c r="R118" s="28">
        <f>_xll.qlInterestRateIndexValueDate(Index,Q118,Trigger)</f>
        <v>51572</v>
      </c>
      <c r="S118" s="28">
        <f>_xll.qlInterestRateIndexMaturity(Index,R118,Trigger)</f>
        <v>51664</v>
      </c>
      <c r="T118" s="30">
        <f>_xll.qlIndexFixing($M$6,Q118,,InterestRatesTrigger)</f>
        <v>1.5886088541234952E-2</v>
      </c>
      <c r="U118" s="30">
        <f>_xll.qlIndexFixing(Index,Q118,,InterestRatesTrigger)</f>
        <v>1.6287104581861382E-2</v>
      </c>
      <c r="V118" s="30">
        <f t="shared" si="14"/>
        <v>4.0101604062642987E-4</v>
      </c>
      <c r="W118" s="29">
        <f>_xll.qlDayCounterYearFraction(DayCounter,SettlementDate,R118,,,Trigger)</f>
        <v>26.136111111111113</v>
      </c>
      <c r="X118" s="29">
        <f>_xll.qlDayCounterYearFraction(DayCounter,R118,S118)</f>
        <v>0.25555555555555554</v>
      </c>
      <c r="Y118" s="29">
        <f>_xll.qlYieldTSDiscount(Currency&amp;"ON",R118)/(1+U118*X118)</f>
        <v>0.67785978952074899</v>
      </c>
      <c r="Z118" s="30">
        <f>_xll.qlTenorBasisValue(TenorBasis6M,R118,InterestRatesTrigger)</f>
        <v>3.53637492847369E-4</v>
      </c>
      <c r="AA118" s="30">
        <f t="shared" si="15"/>
        <v>4.7378547779060873E-5</v>
      </c>
    </row>
    <row r="119" spans="15:27" x14ac:dyDescent="0.2">
      <c r="O119" s="33">
        <v>3</v>
      </c>
      <c r="P119" s="27" t="str">
        <f>_xll.qlPeriodEquivalent(P118&amp;"+"&amp;O119&amp;"M")</f>
        <v>26Y</v>
      </c>
      <c r="Q119" s="28">
        <f>_xll.qlCalendarAdvance(Calendar,SettlementDate,P119,"f",,Trigger)</f>
        <v>51662</v>
      </c>
      <c r="R119" s="28">
        <f>_xll.qlInterestRateIndexValueDate(Index,Q119,Trigger)</f>
        <v>51664</v>
      </c>
      <c r="S119" s="28">
        <f>_xll.qlInterestRateIndexMaturity(Index,R119,Trigger)</f>
        <v>51756</v>
      </c>
      <c r="T119" s="30">
        <f>_xll.qlIndexFixing($M$6,Q119,,InterestRatesTrigger)</f>
        <v>1.590439871320054E-2</v>
      </c>
      <c r="U119" s="30">
        <f>_xll.qlIndexFixing(Index,Q119,,InterestRatesTrigger)</f>
        <v>1.6301752681232237E-2</v>
      </c>
      <c r="V119" s="30">
        <f t="shared" si="14"/>
        <v>3.9735396803169606E-4</v>
      </c>
      <c r="W119" s="29">
        <f>_xll.qlDayCounterYearFraction(DayCounter,SettlementDate,R119,,,Trigger)</f>
        <v>26.391666666666666</v>
      </c>
      <c r="X119" s="29">
        <f>_xll.qlDayCounterYearFraction(DayCounter,R119,S119)</f>
        <v>0.25555555555555554</v>
      </c>
      <c r="Y119" s="29">
        <f>_xll.qlYieldTSDiscount(Currency&amp;"ON",R119)/(1+U119*X119)</f>
        <v>0.67511643955352729</v>
      </c>
      <c r="Z119" s="30">
        <f>_xll.qlTenorBasisValue(TenorBasis6M,R119,InterestRatesTrigger)</f>
        <v>3.4839425223260337E-4</v>
      </c>
      <c r="AA119" s="30">
        <f t="shared" si="15"/>
        <v>4.8959715799092691E-5</v>
      </c>
    </row>
    <row r="120" spans="15:27" x14ac:dyDescent="0.2">
      <c r="O120" s="33">
        <v>3</v>
      </c>
      <c r="P120" s="27" t="str">
        <f>_xll.qlPeriodEquivalent(P119&amp;"+"&amp;O120&amp;"M")</f>
        <v>26Y3M</v>
      </c>
      <c r="Q120" s="28">
        <f>_xll.qlCalendarAdvance(Calendar,SettlementDate,P120,"f",,Trigger)</f>
        <v>51753</v>
      </c>
      <c r="R120" s="28">
        <f>_xll.qlInterestRateIndexValueDate(Index,Q120,Trigger)</f>
        <v>51755</v>
      </c>
      <c r="S120" s="28">
        <f>_xll.qlInterestRateIndexMaturity(Index,R120,Trigger)</f>
        <v>51846</v>
      </c>
      <c r="T120" s="30">
        <f>_xll.qlIndexFixing($M$6,Q120,,InterestRatesTrigger)</f>
        <v>1.5924776268099208E-2</v>
      </c>
      <c r="U120" s="30">
        <f>_xll.qlIndexFixing(Index,Q120,,InterestRatesTrigger)</f>
        <v>1.6318302620104388E-2</v>
      </c>
      <c r="V120" s="30">
        <f t="shared" si="14"/>
        <v>3.9352635200518016E-4</v>
      </c>
      <c r="W120" s="29">
        <f>_xll.qlDayCounterYearFraction(DayCounter,SettlementDate,R120,,,Trigger)</f>
        <v>26.644444444444446</v>
      </c>
      <c r="X120" s="29">
        <f>_xll.qlDayCounterYearFraction(DayCounter,R120,S120)</f>
        <v>0.25277777777777777</v>
      </c>
      <c r="Y120" s="29">
        <f>_xll.qlYieldTSDiscount(Currency&amp;"ON",R120)/(1+U120*X120)</f>
        <v>0.67244075142795268</v>
      </c>
      <c r="Z120" s="30">
        <f>_xll.qlTenorBasisValue(TenorBasis6M,R120,InterestRatesTrigger)</f>
        <v>3.4336805564806909E-4</v>
      </c>
      <c r="AA120" s="30">
        <f t="shared" si="15"/>
        <v>5.0158296357111069E-5</v>
      </c>
    </row>
    <row r="121" spans="15:27" x14ac:dyDescent="0.2">
      <c r="O121" s="33">
        <v>3</v>
      </c>
      <c r="P121" s="27" t="str">
        <f>_xll.qlPeriodEquivalent(P120&amp;"+"&amp;O121&amp;"M")</f>
        <v>26Y6M</v>
      </c>
      <c r="Q121" s="28">
        <f>_xll.qlCalendarAdvance(Calendar,SettlementDate,P121,"f",,Trigger)</f>
        <v>51844</v>
      </c>
      <c r="R121" s="28">
        <f>_xll.qlInterestRateIndexValueDate(Index,Q121,Trigger)</f>
        <v>51846</v>
      </c>
      <c r="S121" s="28">
        <f>_xll.qlInterestRateIndexMaturity(Index,R121,Trigger)</f>
        <v>51936</v>
      </c>
      <c r="T121" s="30">
        <f>_xll.qlIndexFixing($M$6,Q121,,InterestRatesTrigger)</f>
        <v>1.5947849659685431E-2</v>
      </c>
      <c r="U121" s="30">
        <f>_xll.qlIndexFixing(Index,Q121,,InterestRatesTrigger)</f>
        <v>1.6337342549462619E-2</v>
      </c>
      <c r="V121" s="30">
        <f t="shared" si="14"/>
        <v>3.8949288977718766E-4</v>
      </c>
      <c r="W121" s="29">
        <f>_xll.qlDayCounterYearFraction(DayCounter,SettlementDate,R121,,,Trigger)</f>
        <v>26.897222222222222</v>
      </c>
      <c r="X121" s="29">
        <f>_xll.qlDayCounterYearFraction(DayCounter,R121,S121)</f>
        <v>0.25</v>
      </c>
      <c r="Y121" s="29">
        <f>_xll.qlYieldTSDiscount(Currency&amp;"ON",R121)/(1+U121*X121)</f>
        <v>0.66977180125959102</v>
      </c>
      <c r="Z121" s="30">
        <f>_xll.qlTenorBasisValue(TenorBasis6M,R121,InterestRatesTrigger)</f>
        <v>3.3849674066919214E-4</v>
      </c>
      <c r="AA121" s="30">
        <f t="shared" si="15"/>
        <v>5.099614910799552E-5</v>
      </c>
    </row>
    <row r="122" spans="15:27" x14ac:dyDescent="0.2">
      <c r="O122" s="33">
        <v>3</v>
      </c>
      <c r="P122" s="27" t="str">
        <f>_xll.qlPeriodEquivalent(P121&amp;"+"&amp;O122&amp;"M")</f>
        <v>26Y9M</v>
      </c>
      <c r="Q122" s="28">
        <f>_xll.qlCalendarAdvance(Calendar,SettlementDate,P122,"f",,Trigger)</f>
        <v>51935</v>
      </c>
      <c r="R122" s="28">
        <f>_xll.qlInterestRateIndexValueDate(Index,Q122,Trigger)</f>
        <v>51937</v>
      </c>
      <c r="S122" s="28">
        <f>_xll.qlInterestRateIndexMaturity(Index,R122,Trigger)</f>
        <v>52029</v>
      </c>
      <c r="T122" s="30">
        <f>_xll.qlIndexFixing($M$6,Q122,,InterestRatesTrigger)</f>
        <v>1.5975143611764178E-2</v>
      </c>
      <c r="U122" s="30">
        <f>_xll.qlIndexFixing(Index,Q122,,InterestRatesTrigger)</f>
        <v>1.6360376710164413E-2</v>
      </c>
      <c r="V122" s="30">
        <f t="shared" si="14"/>
        <v>3.8523309840023459E-4</v>
      </c>
      <c r="W122" s="29">
        <f>_xll.qlDayCounterYearFraction(DayCounter,SettlementDate,R122,,,Trigger)</f>
        <v>27.15</v>
      </c>
      <c r="X122" s="29">
        <f>_xll.qlDayCounterYearFraction(DayCounter,R122,S122)</f>
        <v>0.25555555555555554</v>
      </c>
      <c r="Y122" s="29">
        <f>_xll.qlYieldTSDiscount(Currency&amp;"ON",R122)/(1+U122*X122)</f>
        <v>0.66701832902738978</v>
      </c>
      <c r="Z122" s="30">
        <f>_xll.qlTenorBasisValue(TenorBasis6M,R122,InterestRatesTrigger)</f>
        <v>3.3377610826794207E-4</v>
      </c>
      <c r="AA122" s="30">
        <f t="shared" si="15"/>
        <v>5.1456990132292524E-5</v>
      </c>
    </row>
    <row r="123" spans="15:27" x14ac:dyDescent="0.2">
      <c r="O123" s="33">
        <v>3</v>
      </c>
      <c r="P123" s="27" t="str">
        <f>_xll.qlPeriodEquivalent(P122&amp;"+"&amp;O123&amp;"M")</f>
        <v>27Y</v>
      </c>
      <c r="Q123" s="28">
        <f>_xll.qlCalendarAdvance(Calendar,SettlementDate,P123,"f",,Trigger)</f>
        <v>52026</v>
      </c>
      <c r="R123" s="28">
        <f>_xll.qlInterestRateIndexValueDate(Index,Q123,Trigger)</f>
        <v>52028</v>
      </c>
      <c r="S123" s="28">
        <f>_xll.qlInterestRateIndexMaturity(Index,R123,Trigger)</f>
        <v>52120</v>
      </c>
      <c r="T123" s="30">
        <f>_xll.qlIndexFixing($M$6,Q123,,InterestRatesTrigger)</f>
        <v>1.6004180905512786E-2</v>
      </c>
      <c r="U123" s="30">
        <f>_xll.qlIndexFixing(Index,Q123,,InterestRatesTrigger)</f>
        <v>1.6384956798375323E-2</v>
      </c>
      <c r="V123" s="30">
        <f t="shared" si="14"/>
        <v>3.8077589286253724E-4</v>
      </c>
      <c r="W123" s="29">
        <f>_xll.qlDayCounterYearFraction(DayCounter,SettlementDate,R123,,,Trigger)</f>
        <v>27.402777777777779</v>
      </c>
      <c r="X123" s="29">
        <f>_xll.qlDayCounterYearFraction(DayCounter,R123,S123)</f>
        <v>0.25555555555555554</v>
      </c>
      <c r="Y123" s="29">
        <f>_xll.qlYieldTSDiscount(Currency&amp;"ON",R123)/(1+U123*X123)</f>
        <v>0.66433156394588566</v>
      </c>
      <c r="Z123" s="30">
        <f>_xll.qlTenorBasisValue(TenorBasis6M,R123,InterestRatesTrigger)</f>
        <v>3.2920204119997492E-4</v>
      </c>
      <c r="AA123" s="30">
        <f t="shared" si="15"/>
        <v>5.1573851662562321E-5</v>
      </c>
    </row>
    <row r="124" spans="15:27" x14ac:dyDescent="0.2">
      <c r="O124" s="33">
        <v>3</v>
      </c>
      <c r="P124" s="27" t="str">
        <f>_xll.qlPeriodEquivalent(P123&amp;"+"&amp;O124&amp;"M")</f>
        <v>27Y3M</v>
      </c>
      <c r="Q124" s="28">
        <f>_xll.qlCalendarAdvance(Calendar,SettlementDate,P124,"f",,Trigger)</f>
        <v>52117</v>
      </c>
      <c r="R124" s="28">
        <f>_xll.qlInterestRateIndexValueDate(Index,Q124,Trigger)</f>
        <v>52119</v>
      </c>
      <c r="S124" s="28">
        <f>_xll.qlInterestRateIndexMaturity(Index,R124,Trigger)</f>
        <v>52210</v>
      </c>
      <c r="T124" s="30">
        <f>_xll.qlIndexFixing($M$6,Q124,,InterestRatesTrigger)</f>
        <v>1.6035404972135882E-2</v>
      </c>
      <c r="U124" s="30">
        <f>_xll.qlIndexFixing(Index,Q124,,InterestRatesTrigger)</f>
        <v>1.6411524661871249E-2</v>
      </c>
      <c r="V124" s="30">
        <f t="shared" si="14"/>
        <v>3.7611968973536719E-4</v>
      </c>
      <c r="W124" s="29">
        <f>_xll.qlDayCounterYearFraction(DayCounter,SettlementDate,R124,,,Trigger)</f>
        <v>27.655555555555555</v>
      </c>
      <c r="X124" s="29">
        <f>_xll.qlDayCounterYearFraction(DayCounter,R124,S124)</f>
        <v>0.25277777777777777</v>
      </c>
      <c r="Y124" s="29">
        <f>_xll.qlYieldTSDiscount(Currency&amp;"ON",R124)/(1+U124*X124)</f>
        <v>0.66168049069471979</v>
      </c>
      <c r="Z124" s="30">
        <f>_xll.qlTenorBasisValue(TenorBasis6M,R124,InterestRatesTrigger)</f>
        <v>3.2477050444798116E-4</v>
      </c>
      <c r="AA124" s="30">
        <f t="shared" si="15"/>
        <v>5.1349185287386033E-5</v>
      </c>
    </row>
    <row r="125" spans="15:27" x14ac:dyDescent="0.2">
      <c r="O125" s="33">
        <v>3</v>
      </c>
      <c r="P125" s="27" t="str">
        <f>_xll.qlPeriodEquivalent(P124&amp;"+"&amp;O125&amp;"M")</f>
        <v>27Y6M</v>
      </c>
      <c r="Q125" s="28">
        <f>_xll.qlCalendarAdvance(Calendar,SettlementDate,P125,"f",,Trigger)</f>
        <v>52208</v>
      </c>
      <c r="R125" s="28">
        <f>_xll.qlInterestRateIndexValueDate(Index,Q125,Trigger)</f>
        <v>52210</v>
      </c>
      <c r="S125" s="28">
        <f>_xll.qlInterestRateIndexMaturity(Index,R125,Trigger)</f>
        <v>52300</v>
      </c>
      <c r="T125" s="30">
        <f>_xll.qlIndexFixing($M$6,Q125,,InterestRatesTrigger)</f>
        <v>1.6069324122748974E-2</v>
      </c>
      <c r="U125" s="30">
        <f>_xll.qlIndexFixing(Index,Q125,,InterestRatesTrigger)</f>
        <v>1.6440581770157614E-2</v>
      </c>
      <c r="V125" s="30">
        <f t="shared" si="14"/>
        <v>3.7125764740864042E-4</v>
      </c>
      <c r="W125" s="29">
        <f>_xll.qlDayCounterYearFraction(DayCounter,SettlementDate,R125,,,Trigger)</f>
        <v>27.908333333333335</v>
      </c>
      <c r="X125" s="29">
        <f>_xll.qlDayCounterYearFraction(DayCounter,R125,S125)</f>
        <v>0.25</v>
      </c>
      <c r="Y125" s="29">
        <f>_xll.qlYieldTSDiscount(Currency&amp;"ON",R125)/(1+U125*X125)</f>
        <v>0.65903441849096056</v>
      </c>
      <c r="Z125" s="30">
        <f>_xll.qlTenorBasisValue(TenorBasis6M,R125,InterestRatesTrigger)</f>
        <v>3.2047754548739961E-4</v>
      </c>
      <c r="AA125" s="30">
        <f t="shared" si="15"/>
        <v>5.0780101921240814E-5</v>
      </c>
    </row>
    <row r="126" spans="15:27" x14ac:dyDescent="0.2">
      <c r="O126" s="33">
        <v>3</v>
      </c>
      <c r="P126" s="27" t="str">
        <f>_xll.qlPeriodEquivalent(P125&amp;"+"&amp;O126&amp;"M")</f>
        <v>27Y9M</v>
      </c>
      <c r="Q126" s="28">
        <f>_xll.qlCalendarAdvance(Calendar,SettlementDate,P126,"f",,Trigger)</f>
        <v>52299</v>
      </c>
      <c r="R126" s="28">
        <f>_xll.qlInterestRateIndexValueDate(Index,Q126,Trigger)</f>
        <v>52301</v>
      </c>
      <c r="S126" s="28">
        <f>_xll.qlInterestRateIndexMaturity(Index,R126,Trigger)</f>
        <v>52393</v>
      </c>
      <c r="T126" s="30">
        <f>_xll.qlIndexFixing($M$6,Q126,,InterestRatesTrigger)</f>
        <v>1.6107660616129615E-2</v>
      </c>
      <c r="U126" s="30">
        <f>_xll.qlIndexFixing(Index,Q126,,InterestRatesTrigger)</f>
        <v>1.6473813960608711E-2</v>
      </c>
      <c r="V126" s="30">
        <f t="shared" si="14"/>
        <v>3.6615334447909556E-4</v>
      </c>
      <c r="W126" s="29">
        <f>_xll.qlDayCounterYearFraction(DayCounter,SettlementDate,R126,,,Trigger)</f>
        <v>28.161111111111111</v>
      </c>
      <c r="X126" s="29">
        <f>_xll.qlDayCounterYearFraction(DayCounter,R126,S126)</f>
        <v>0.25555555555555554</v>
      </c>
      <c r="Y126" s="29">
        <f>_xll.qlYieldTSDiscount(Currency&amp;"ON",R126)/(1+U126*X126)</f>
        <v>0.65630292938498014</v>
      </c>
      <c r="Z126" s="30">
        <f>_xll.qlTenorBasisValue(TenorBasis6M,R126,InterestRatesTrigger)</f>
        <v>3.1631929438847748E-4</v>
      </c>
      <c r="AA126" s="30">
        <f t="shared" si="15"/>
        <v>4.9834050090618079E-5</v>
      </c>
    </row>
    <row r="127" spans="15:27" x14ac:dyDescent="0.2">
      <c r="O127" s="33">
        <v>3</v>
      </c>
      <c r="P127" s="27" t="str">
        <f>_xll.qlPeriodEquivalent(P126&amp;"+"&amp;O127&amp;"M")</f>
        <v>28Y</v>
      </c>
      <c r="Q127" s="28">
        <f>_xll.qlCalendarAdvance(Calendar,SettlementDate,P127,"f",,Trigger)</f>
        <v>52390</v>
      </c>
      <c r="R127" s="28">
        <f>_xll.qlInterestRateIndexValueDate(Index,Q127,Trigger)</f>
        <v>52392</v>
      </c>
      <c r="S127" s="28">
        <f>_xll.qlInterestRateIndexMaturity(Index,R127,Trigger)</f>
        <v>52484</v>
      </c>
      <c r="T127" s="30">
        <f>_xll.qlIndexFixing($M$6,Q127,,InterestRatesTrigger)</f>
        <v>1.6147610035602111E-2</v>
      </c>
      <c r="U127" s="30">
        <f>_xll.qlIndexFixing(Index,Q127,,InterestRatesTrigger)</f>
        <v>1.6508472170455108E-2</v>
      </c>
      <c r="V127" s="30">
        <f t="shared" si="14"/>
        <v>3.6086213485299681E-4</v>
      </c>
      <c r="W127" s="29">
        <f>_xll.qlDayCounterYearFraction(DayCounter,SettlementDate,R127,,,Trigger)</f>
        <v>28.413888888888888</v>
      </c>
      <c r="X127" s="29">
        <f>_xll.qlDayCounterYearFraction(DayCounter,R127,S127)</f>
        <v>0.25555555555555554</v>
      </c>
      <c r="Y127" s="29">
        <f>_xll.qlYieldTSDiscount(Currency&amp;"ON",R127)/(1+U127*X127)</f>
        <v>0.65363585367782229</v>
      </c>
      <c r="Z127" s="30">
        <f>_xll.qlTenorBasisValue(TenorBasis6M,R127,InterestRatesTrigger)</f>
        <v>3.1229196376779975E-4</v>
      </c>
      <c r="AA127" s="30">
        <f t="shared" si="15"/>
        <v>4.8570171085197066E-5</v>
      </c>
    </row>
    <row r="128" spans="15:27" x14ac:dyDescent="0.2">
      <c r="O128" s="33">
        <v>3</v>
      </c>
      <c r="P128" s="27" t="str">
        <f>_xll.qlPeriodEquivalent(P127&amp;"+"&amp;O128&amp;"M")</f>
        <v>28Y3M</v>
      </c>
      <c r="Q128" s="28">
        <f>_xll.qlCalendarAdvance(Calendar,SettlementDate,P128,"f",,Trigger)</f>
        <v>52482</v>
      </c>
      <c r="R128" s="28">
        <f>_xll.qlInterestRateIndexValueDate(Index,Q128,Trigger)</f>
        <v>52484</v>
      </c>
      <c r="S128" s="28">
        <f>_xll.qlInterestRateIndexMaturity(Index,R128,Trigger)</f>
        <v>52575</v>
      </c>
      <c r="T128" s="30">
        <f>_xll.qlIndexFixing($M$6,Q128,,InterestRatesTrigger)</f>
        <v>1.6190163630290764E-2</v>
      </c>
      <c r="U128" s="30">
        <f>_xll.qlIndexFixing(Index,Q128,,InterestRatesTrigger)</f>
        <v>1.6545479290780443E-2</v>
      </c>
      <c r="V128" s="30">
        <f t="shared" si="14"/>
        <v>3.5531566048967872E-4</v>
      </c>
      <c r="W128" s="29">
        <f>_xll.qlDayCounterYearFraction(DayCounter,SettlementDate,R128,,,Trigger)</f>
        <v>28.669444444444444</v>
      </c>
      <c r="X128" s="29">
        <f>_xll.qlDayCounterYearFraction(DayCounter,R128,S128)</f>
        <v>0.25277777777777777</v>
      </c>
      <c r="Y128" s="29">
        <f>_xll.qlYieldTSDiscount(Currency&amp;"ON",R128)/(1+U128*X128)</f>
        <v>0.65097329963729544</v>
      </c>
      <c r="Z128" s="30">
        <f>_xll.qlTenorBasisValue(TenorBasis6M,R128,InterestRatesTrigger)</f>
        <v>3.0834968329451306E-4</v>
      </c>
      <c r="AA128" s="30">
        <f t="shared" si="15"/>
        <v>4.6965977195165655E-5</v>
      </c>
    </row>
    <row r="129" spans="15:27" x14ac:dyDescent="0.2">
      <c r="O129" s="33">
        <v>3</v>
      </c>
      <c r="P129" s="27" t="str">
        <f>_xll.qlPeriodEquivalent(P128&amp;"+"&amp;O129&amp;"M")</f>
        <v>28Y6M</v>
      </c>
      <c r="Q129" s="28">
        <f>_xll.qlCalendarAdvance(Calendar,SettlementDate,P129,"f",,Trigger)</f>
        <v>52573</v>
      </c>
      <c r="R129" s="28">
        <f>_xll.qlInterestRateIndexValueDate(Index,Q129,Trigger)</f>
        <v>52575</v>
      </c>
      <c r="S129" s="28">
        <f>_xll.qlInterestRateIndexMaturity(Index,R129,Trigger)</f>
        <v>52666</v>
      </c>
      <c r="T129" s="30">
        <f>_xll.qlIndexFixing($M$6,Q129,,InterestRatesTrigger)</f>
        <v>1.6235582538761454E-2</v>
      </c>
      <c r="U129" s="30">
        <f>_xll.qlIndexFixing(Index,Q129,,InterestRatesTrigger)</f>
        <v>1.6585188963579654E-2</v>
      </c>
      <c r="V129" s="30">
        <f t="shared" si="14"/>
        <v>3.4960642481820028E-4</v>
      </c>
      <c r="W129" s="29">
        <f>_xll.qlDayCounterYearFraction(DayCounter,SettlementDate,R129,,,Trigger)</f>
        <v>28.922222222222221</v>
      </c>
      <c r="X129" s="29">
        <f>_xll.qlDayCounterYearFraction(DayCounter,R129,S129)</f>
        <v>0.25277777777777777</v>
      </c>
      <c r="Y129" s="29">
        <f>_xll.qlYieldTSDiscount(Currency&amp;"ON",R129)/(1+U129*X129)</f>
        <v>0.6483135605739575</v>
      </c>
      <c r="Z129" s="30">
        <f>_xll.qlTenorBasisValue(TenorBasis6M,R129,InterestRatesTrigger)</f>
        <v>3.0457449894359553E-4</v>
      </c>
      <c r="AA129" s="30">
        <f t="shared" si="15"/>
        <v>4.5031925874604751E-5</v>
      </c>
    </row>
    <row r="130" spans="15:27" x14ac:dyDescent="0.2">
      <c r="O130" s="33">
        <v>3</v>
      </c>
      <c r="P130" s="27" t="str">
        <f>_xll.qlPeriodEquivalent(P129&amp;"+"&amp;O130&amp;"M")</f>
        <v>28Y9M</v>
      </c>
      <c r="Q130" s="28">
        <f>_xll.qlCalendarAdvance(Calendar,SettlementDate,P130,"f",,Trigger)</f>
        <v>52664</v>
      </c>
      <c r="R130" s="28">
        <f>_xll.qlInterestRateIndexValueDate(Index,Q130,Trigger)</f>
        <v>52666</v>
      </c>
      <c r="S130" s="28">
        <f>_xll.qlInterestRateIndexMaturity(Index,R130,Trigger)</f>
        <v>52758</v>
      </c>
      <c r="T130" s="30">
        <f>_xll.qlIndexFixing($M$6,Q130,,InterestRatesTrigger)</f>
        <v>1.6284372112170001E-2</v>
      </c>
      <c r="U130" s="30">
        <f>_xll.qlIndexFixing(Index,Q130,,InterestRatesTrigger)</f>
        <v>1.6628043126672265E-2</v>
      </c>
      <c r="V130" s="30">
        <f t="shared" si="14"/>
        <v>3.4367101450226423E-4</v>
      </c>
      <c r="W130" s="29">
        <f>_xll.qlDayCounterYearFraction(DayCounter,SettlementDate,R130,,,Trigger)</f>
        <v>29.175000000000001</v>
      </c>
      <c r="X130" s="29">
        <f>_xll.qlDayCounterYearFraction(DayCounter,R130,S130)</f>
        <v>0.25555555555555554</v>
      </c>
      <c r="Y130" s="29">
        <f>_xll.qlYieldTSDiscount(Currency&amp;"ON",R130)/(1+U130*X130)</f>
        <v>0.64562709908323024</v>
      </c>
      <c r="Z130" s="30">
        <f>_xll.qlTenorBasisValue(TenorBasis6M,R130,InterestRatesTrigger)</f>
        <v>3.0091932724485922E-4</v>
      </c>
      <c r="AA130" s="30">
        <f t="shared" si="15"/>
        <v>4.2751687257405009E-5</v>
      </c>
    </row>
    <row r="131" spans="15:27" x14ac:dyDescent="0.2">
      <c r="O131" s="33">
        <v>3</v>
      </c>
      <c r="P131" s="27" t="str">
        <f>_xll.qlPeriodEquivalent(P130&amp;"+"&amp;O131&amp;"M")</f>
        <v>29Y</v>
      </c>
      <c r="Q131" s="28">
        <f>_xll.qlCalendarAdvance(Calendar,SettlementDate,P131,"f",,Trigger)</f>
        <v>52756</v>
      </c>
      <c r="R131" s="28">
        <f>_xll.qlInterestRateIndexValueDate(Index,Q131,Trigger)</f>
        <v>52758</v>
      </c>
      <c r="S131" s="28">
        <f>_xll.qlInterestRateIndexMaturity(Index,R131,Trigger)</f>
        <v>52852</v>
      </c>
      <c r="T131" s="30">
        <f>_xll.qlIndexFixing($M$6,Q131,,InterestRatesTrigger)</f>
        <v>1.6337159568975555E-2</v>
      </c>
      <c r="U131" s="30">
        <f>_xll.qlIndexFixing(Index,Q131,,InterestRatesTrigger)</f>
        <v>1.6674596278276041E-2</v>
      </c>
      <c r="V131" s="30">
        <f t="shared" si="14"/>
        <v>3.3743670930048639E-4</v>
      </c>
      <c r="W131" s="29">
        <f>_xll.qlDayCounterYearFraction(DayCounter,SettlementDate,R131,,,Trigger)</f>
        <v>29.430555555555557</v>
      </c>
      <c r="X131" s="29">
        <f>_xll.qlDayCounterYearFraction(DayCounter,R131,S131)</f>
        <v>0.26111111111111113</v>
      </c>
      <c r="Y131" s="29">
        <f>_xll.qlYieldTSDiscount(Currency&amp;"ON",R131)/(1+U131*X131)</f>
        <v>0.64288449840763928</v>
      </c>
      <c r="Z131" s="30">
        <f>_xll.qlTenorBasisValue(TenorBasis6M,R131,InterestRatesTrigger)</f>
        <v>2.9734245767551329E-4</v>
      </c>
      <c r="AA131" s="30">
        <f t="shared" si="15"/>
        <v>4.0094251624973095E-5</v>
      </c>
    </row>
    <row r="132" spans="15:27" x14ac:dyDescent="0.2">
      <c r="O132" s="33">
        <v>3</v>
      </c>
      <c r="P132" s="27" t="str">
        <f>_xll.qlPeriodEquivalent(P131&amp;"+"&amp;O132&amp;"M")</f>
        <v>29Y3M</v>
      </c>
      <c r="Q132" s="28">
        <f>_xll.qlCalendarAdvance(Calendar,SettlementDate,P132,"f",,Trigger)</f>
        <v>52848</v>
      </c>
      <c r="R132" s="28">
        <f>_xll.qlInterestRateIndexValueDate(Index,Q132,Trigger)</f>
        <v>52852</v>
      </c>
      <c r="S132" s="28">
        <f>_xll.qlInterestRateIndexMaturity(Index,R132,Trigger)</f>
        <v>52943</v>
      </c>
      <c r="T132" s="30">
        <f>_xll.qlIndexFixing($M$6,Q132,,InterestRatesTrigger)</f>
        <v>1.6390628175280045E-2</v>
      </c>
      <c r="U132" s="30">
        <f>_xll.qlIndexFixing(Index,Q132,,InterestRatesTrigger)</f>
        <v>1.6721572163172306E-2</v>
      </c>
      <c r="V132" s="30">
        <f t="shared" ref="V132:V135" si="16">U132-T132</f>
        <v>3.3094398789226126E-4</v>
      </c>
      <c r="W132" s="29">
        <f>_xll.qlDayCounterYearFraction(DayCounter,SettlementDate,R132,,,Trigger)</f>
        <v>29.691666666666666</v>
      </c>
      <c r="X132" s="29">
        <f>_xll.qlDayCounterYearFraction(DayCounter,R132,S132)</f>
        <v>0.25277777777777777</v>
      </c>
      <c r="Y132" s="29">
        <f>_xll.qlYieldTSDiscount(Currency&amp;"ON",R132)/(1+U132*X132)</f>
        <v>0.64023473042137302</v>
      </c>
      <c r="Z132" s="30">
        <f>_xll.qlTenorBasisValue(TenorBasis6M,R132,InterestRatesTrigger)</f>
        <v>2.9380724052550185E-4</v>
      </c>
      <c r="AA132" s="30">
        <f t="shared" ref="AA132:AA135" si="17">V132-Z132</f>
        <v>3.7136747366759413E-5</v>
      </c>
    </row>
    <row r="133" spans="15:27" x14ac:dyDescent="0.2">
      <c r="O133" s="33">
        <v>3</v>
      </c>
      <c r="P133" s="27" t="str">
        <f>_xll.qlPeriodEquivalent(P132&amp;"+"&amp;O133&amp;"M")</f>
        <v>29Y6M</v>
      </c>
      <c r="Q133" s="28">
        <f>_xll.qlCalendarAdvance(Calendar,SettlementDate,P133,"f",,Trigger)</f>
        <v>52939</v>
      </c>
      <c r="R133" s="28">
        <f>_xll.qlInterestRateIndexValueDate(Index,Q133,Trigger)</f>
        <v>52943</v>
      </c>
      <c r="S133" s="28">
        <f>_xll.qlInterestRateIndexMaturity(Index,R133,Trigger)</f>
        <v>53034</v>
      </c>
      <c r="T133" s="30">
        <f>_xll.qlIndexFixing($M$6,Q133,,InterestRatesTrigger)</f>
        <v>1.644708076380387E-2</v>
      </c>
      <c r="U133" s="30">
        <f>_xll.qlIndexFixing(Index,Q133,,InterestRatesTrigger)</f>
        <v>1.6771471958243661E-2</v>
      </c>
      <c r="V133" s="30">
        <f t="shared" si="16"/>
        <v>3.2439119443979092E-4</v>
      </c>
      <c r="W133" s="29">
        <f>_xll.qlDayCounterYearFraction(DayCounter,SettlementDate,R133,,,Trigger)</f>
        <v>29.944444444444443</v>
      </c>
      <c r="X133" s="29">
        <f>_xll.qlDayCounterYearFraction(DayCounter,R133,S133)</f>
        <v>0.25277777777777777</v>
      </c>
      <c r="Y133" s="29">
        <f>_xll.qlYieldTSDiscount(Currency&amp;"ON",R133)/(1+U133*X133)</f>
        <v>0.63758505503934981</v>
      </c>
      <c r="Z133" s="30">
        <f>_xll.qlTenorBasisValue(TenorBasis6M,R133,InterestRatesTrigger)</f>
        <v>2.9049642671169512E-4</v>
      </c>
      <c r="AA133" s="30">
        <f t="shared" si="17"/>
        <v>3.3894767728095802E-5</v>
      </c>
    </row>
    <row r="134" spans="15:27" x14ac:dyDescent="0.2">
      <c r="O134" s="33">
        <v>3</v>
      </c>
      <c r="P134" s="27" t="str">
        <f>_xll.qlPeriodEquivalent(P133&amp;"+"&amp;O134&amp;"M")</f>
        <v>29Y9M</v>
      </c>
      <c r="Q134" s="28">
        <f>_xll.qlCalendarAdvance(Calendar,SettlementDate,P134,"f",,Trigger)</f>
        <v>53029</v>
      </c>
      <c r="R134" s="28">
        <f>_xll.qlInterestRateIndexValueDate(Index,Q134,Trigger)</f>
        <v>53031</v>
      </c>
      <c r="S134" s="28">
        <f>_xll.qlInterestRateIndexMaturity(Index,R134,Trigger)</f>
        <v>53125</v>
      </c>
      <c r="T134" s="30">
        <f>_xll.qlIndexFixing($M$6,Q134,,InterestRatesTrigger)</f>
        <v>1.650640551066156E-2</v>
      </c>
      <c r="U134" s="30">
        <f>_xll.qlIndexFixing(Index,Q134,,InterestRatesTrigger)</f>
        <v>1.6824191864061293E-2</v>
      </c>
      <c r="V134" s="30">
        <f t="shared" si="16"/>
        <v>3.1778635339973355E-4</v>
      </c>
      <c r="W134" s="29">
        <f>_xll.qlDayCounterYearFraction(DayCounter,SettlementDate,R134,,,Trigger)</f>
        <v>30.18888888888889</v>
      </c>
      <c r="X134" s="29">
        <f>_xll.qlDayCounterYearFraction(DayCounter,R134,S134)</f>
        <v>0.26111111111111113</v>
      </c>
      <c r="Y134" s="29">
        <f>_xll.qlYieldTSDiscount(Currency&amp;"ON",R134)/(1+U134*X134)</f>
        <v>0.6349352276564959</v>
      </c>
      <c r="Z134" s="30">
        <f>_xll.qlTenorBasisValue(TenorBasis6M,R134,InterestRatesTrigger)</f>
        <v>2.8739609931988889E-4</v>
      </c>
      <c r="AA134" s="30">
        <f t="shared" si="17"/>
        <v>3.039025407984466E-5</v>
      </c>
    </row>
    <row r="135" spans="15:27" x14ac:dyDescent="0.2">
      <c r="O135" s="33">
        <v>3</v>
      </c>
      <c r="P135" s="27" t="str">
        <f>_xll.qlPeriodEquivalent(P134&amp;"+"&amp;O135&amp;"M")</f>
        <v>30Y</v>
      </c>
      <c r="Q135" s="28">
        <f>_xll.qlCalendarAdvance(Calendar,SettlementDate,P135,"f",,Trigger)</f>
        <v>53121</v>
      </c>
      <c r="R135" s="28">
        <f>_xll.qlInterestRateIndexValueDate(Index,Q135,Trigger)</f>
        <v>53125</v>
      </c>
      <c r="S135" s="28">
        <f>_xll.qlInterestRateIndexMaturity(Index,R135,Trigger)</f>
        <v>53217</v>
      </c>
      <c r="T135" s="30">
        <f>_xll.qlIndexFixing($M$6,Q135,,InterestRatesTrigger)</f>
        <v>1.6567253672463606E-2</v>
      </c>
      <c r="U135" s="30">
        <f>_xll.qlIndexFixing(Index,Q135,,InterestRatesTrigger)</f>
        <v>1.687796197153564E-2</v>
      </c>
      <c r="V135" s="30">
        <f t="shared" si="16"/>
        <v>3.1070829907203432E-4</v>
      </c>
      <c r="W135" s="29">
        <f>_xll.qlDayCounterYearFraction(DayCounter,SettlementDate,R135,,,Trigger)</f>
        <v>30.45</v>
      </c>
      <c r="X135" s="29">
        <f>_xll.qlDayCounterYearFraction(DayCounter,R135,S135)</f>
        <v>0.25555555555555554</v>
      </c>
      <c r="Y135" s="29">
        <f>_xll.qlYieldTSDiscount(Currency&amp;"ON",R135)/(1+U135*X135)</f>
        <v>0.63226058456546197</v>
      </c>
      <c r="Z135" s="30">
        <f>_xll.qlTenorBasisValue(TenorBasis6M,R135,InterestRatesTrigger)</f>
        <v>2.8419120539173226E-4</v>
      </c>
      <c r="AA135" s="30">
        <f t="shared" si="17"/>
        <v>2.6517093680302058E-5</v>
      </c>
    </row>
    <row r="136" spans="15:27" x14ac:dyDescent="0.2">
      <c r="O136" s="33">
        <v>3</v>
      </c>
      <c r="P136" s="27" t="str">
        <f>_xll.qlPeriodEquivalent(P135&amp;"+"&amp;O136&amp;"M")</f>
        <v>30Y3M</v>
      </c>
      <c r="Q136" s="28">
        <f>_xll.qlCalendarAdvance(Calendar,SettlementDate,P136,"f",,Trigger)</f>
        <v>53213</v>
      </c>
      <c r="R136" s="28">
        <f>_xll.qlInterestRateIndexValueDate(Index,Q136,Trigger)</f>
        <v>53217</v>
      </c>
      <c r="S136" s="28">
        <f>_xll.qlInterestRateIndexMaturity(Index,R136,Trigger)</f>
        <v>53308</v>
      </c>
      <c r="T136" s="30">
        <f>_xll.qlIndexFixing($M$6,Q136,,InterestRatesTrigger)</f>
        <v>1.662287832241088E-2</v>
      </c>
      <c r="U136" s="30">
        <f>_xll.qlIndexFixing(Index,Q136,,InterestRatesTrigger)</f>
        <v>1.6926752941648849E-2</v>
      </c>
      <c r="V136" s="30">
        <f t="shared" ref="V136:V158" si="18">U136-T136</f>
        <v>3.0387461923796905E-4</v>
      </c>
      <c r="W136" s="29">
        <f>_xll.qlDayCounterYearFraction(DayCounter,SettlementDate,R136,,,Trigger)</f>
        <v>30.705555555555556</v>
      </c>
      <c r="X136" s="29">
        <f>_xll.qlDayCounterYearFraction(DayCounter,R136,S136)</f>
        <v>0.25277777777777777</v>
      </c>
      <c r="Y136" s="29">
        <f>_xll.qlYieldTSDiscount(Currency&amp;"ON",R136)/(1+U136*X136)</f>
        <v>0.6296166313571806</v>
      </c>
      <c r="Z136" s="30">
        <f>_xll.qlTenorBasisValue(TenorBasis6M,R136,InterestRatesTrigger)</f>
        <v>2.8115816964689093E-4</v>
      </c>
      <c r="AA136" s="30">
        <f t="shared" ref="AA136:AA158" si="19">V136-Z136</f>
        <v>2.2716449591078116E-5</v>
      </c>
    </row>
    <row r="137" spans="15:27" x14ac:dyDescent="0.2">
      <c r="O137" s="33">
        <v>3</v>
      </c>
      <c r="P137" s="27" t="str">
        <f>_xll.qlPeriodEquivalent(P136&amp;"+"&amp;O137&amp;"M")</f>
        <v>30Y6M</v>
      </c>
      <c r="Q137" s="28">
        <f>_xll.qlCalendarAdvance(Calendar,SettlementDate,P137,"f",,Trigger)</f>
        <v>53304</v>
      </c>
      <c r="R137" s="28">
        <f>_xll.qlInterestRateIndexValueDate(Index,Q137,Trigger)</f>
        <v>53308</v>
      </c>
      <c r="S137" s="28">
        <f>_xll.qlInterestRateIndexMaturity(Index,R137,Trigger)</f>
        <v>53398</v>
      </c>
      <c r="T137" s="30">
        <f>_xll.qlIndexFixing($M$6,Q137,,InterestRatesTrigger)</f>
        <v>1.6672123850455911E-2</v>
      </c>
      <c r="U137" s="30">
        <f>_xll.qlIndexFixing(Index,Q137,,InterestRatesTrigger)</f>
        <v>1.6969409154544479E-2</v>
      </c>
      <c r="V137" s="30">
        <f t="shared" si="18"/>
        <v>2.9728530408856813E-4</v>
      </c>
      <c r="W137" s="29">
        <f>_xll.qlDayCounterYearFraction(DayCounter,SettlementDate,R137,,,Trigger)</f>
        <v>30.958333333333332</v>
      </c>
      <c r="X137" s="29">
        <f>_xll.qlDayCounterYearFraction(DayCounter,R137,S137)</f>
        <v>0.25</v>
      </c>
      <c r="Y137" s="29">
        <f>_xll.qlYieldTSDiscount(Currency&amp;"ON",R137)/(1+U137*X137)</f>
        <v>0.62700481626128546</v>
      </c>
      <c r="Z137" s="30">
        <f>_xll.qlTenorBasisValue(TenorBasis6M,R137,InterestRatesTrigger)</f>
        <v>2.7825594363004079E-4</v>
      </c>
      <c r="AA137" s="30">
        <f t="shared" si="19"/>
        <v>1.9029360458527335E-5</v>
      </c>
    </row>
    <row r="138" spans="15:27" x14ac:dyDescent="0.2">
      <c r="O138" s="33">
        <v>3</v>
      </c>
      <c r="P138" s="27" t="str">
        <f>_xll.qlPeriodEquivalent(P137&amp;"+"&amp;O138&amp;"M")</f>
        <v>30Y9M</v>
      </c>
      <c r="Q138" s="28">
        <f>_xll.qlCalendarAdvance(Calendar,SettlementDate,P138,"f",,Trigger)</f>
        <v>53394</v>
      </c>
      <c r="R138" s="28">
        <f>_xll.qlInterestRateIndexValueDate(Index,Q138,Trigger)</f>
        <v>53398</v>
      </c>
      <c r="S138" s="28">
        <f>_xll.qlInterestRateIndexMaturity(Index,R138,Trigger)</f>
        <v>53490</v>
      </c>
      <c r="T138" s="30">
        <f>_xll.qlIndexFixing($M$6,Q138,,InterestRatesTrigger)</f>
        <v>1.6717007971485894E-2</v>
      </c>
      <c r="U138" s="30">
        <f>_xll.qlIndexFixing(Index,Q138,,InterestRatesTrigger)</f>
        <v>1.7007879217301375E-2</v>
      </c>
      <c r="V138" s="30">
        <f t="shared" si="18"/>
        <v>2.9087124581548066E-4</v>
      </c>
      <c r="W138" s="29">
        <f>_xll.qlDayCounterYearFraction(DayCounter,SettlementDate,R138,,,Trigger)</f>
        <v>31.208333333333332</v>
      </c>
      <c r="X138" s="29">
        <f>_xll.qlDayCounterYearFraction(DayCounter,R138,S138)</f>
        <v>0.25555555555555554</v>
      </c>
      <c r="Y138" s="29">
        <f>_xll.qlYieldTSDiscount(Currency&amp;"ON",R138)/(1+U138*X138)</f>
        <v>0.6243375656465503</v>
      </c>
      <c r="Z138" s="30">
        <f>_xll.qlTenorBasisValue(TenorBasis6M,R138,InterestRatesTrigger)</f>
        <v>2.7547845700542494E-4</v>
      </c>
      <c r="AA138" s="30">
        <f t="shared" si="19"/>
        <v>1.5392788810055717E-5</v>
      </c>
    </row>
    <row r="139" spans="15:27" x14ac:dyDescent="0.2">
      <c r="O139" s="33">
        <v>3</v>
      </c>
      <c r="P139" s="27" t="str">
        <f>_xll.qlPeriodEquivalent(P138&amp;"+"&amp;O139&amp;"M")</f>
        <v>31Y</v>
      </c>
      <c r="Q139" s="28">
        <f>_xll.qlCalendarAdvance(Calendar,SettlementDate,P139,"f",,Trigger)</f>
        <v>53486</v>
      </c>
      <c r="R139" s="28">
        <f>_xll.qlInterestRateIndexValueDate(Index,Q139,Trigger)</f>
        <v>53490</v>
      </c>
      <c r="S139" s="28">
        <f>_xll.qlInterestRateIndexMaturity(Index,R139,Trigger)</f>
        <v>53582</v>
      </c>
      <c r="T139" s="30">
        <f>_xll.qlIndexFixing($M$6,Q139,,InterestRatesTrigger)</f>
        <v>1.6755725953230948E-2</v>
      </c>
      <c r="U139" s="30">
        <f>_xll.qlIndexFixing(Index,Q139,,InterestRatesTrigger)</f>
        <v>1.7040257431795255E-2</v>
      </c>
      <c r="V139" s="30">
        <f t="shared" si="18"/>
        <v>2.845314785643073E-4</v>
      </c>
      <c r="W139" s="29">
        <f>_xll.qlDayCounterYearFraction(DayCounter,SettlementDate,R139,,,Trigger)</f>
        <v>31.463888888888889</v>
      </c>
      <c r="X139" s="29">
        <f>_xll.qlDayCounterYearFraction(DayCounter,R139,S139)</f>
        <v>0.25555555555555554</v>
      </c>
      <c r="Y139" s="29">
        <f>_xll.qlYieldTSDiscount(Currency&amp;"ON",R139)/(1+U139*X139)</f>
        <v>0.62167654256763338</v>
      </c>
      <c r="Z139" s="30">
        <f>_xll.qlTenorBasisValue(TenorBasis6M,R139,InterestRatesTrigger)</f>
        <v>2.7273181567507025E-4</v>
      </c>
      <c r="AA139" s="30">
        <f t="shared" si="19"/>
        <v>1.1799662889237046E-5</v>
      </c>
    </row>
    <row r="140" spans="15:27" x14ac:dyDescent="0.2">
      <c r="O140" s="33">
        <v>3</v>
      </c>
      <c r="P140" s="27" t="str">
        <f>_xll.qlPeriodEquivalent(P139&amp;"+"&amp;O140&amp;"M")</f>
        <v>31Y3M</v>
      </c>
      <c r="Q140" s="28">
        <f>_xll.qlCalendarAdvance(Calendar,SettlementDate,P140,"f",,Trigger)</f>
        <v>53580</v>
      </c>
      <c r="R140" s="28">
        <f>_xll.qlInterestRateIndexValueDate(Index,Q140,Trigger)</f>
        <v>53582</v>
      </c>
      <c r="S140" s="28">
        <f>_xll.qlInterestRateIndexMaturity(Index,R140,Trigger)</f>
        <v>53673</v>
      </c>
      <c r="T140" s="30">
        <f>_xll.qlIndexFixing($M$6,Q140,,InterestRatesTrigger)</f>
        <v>1.678797322425353E-2</v>
      </c>
      <c r="U140" s="30">
        <f>_xll.qlIndexFixing(Index,Q140,,InterestRatesTrigger)</f>
        <v>1.7066358853281585E-2</v>
      </c>
      <c r="V140" s="30">
        <f t="shared" si="18"/>
        <v>2.7838562902805439E-4</v>
      </c>
      <c r="W140" s="29">
        <f>_xll.qlDayCounterYearFraction(DayCounter,SettlementDate,R140,,,Trigger)</f>
        <v>31.719444444444445</v>
      </c>
      <c r="X140" s="29">
        <f>_xll.qlDayCounterYearFraction(DayCounter,R140,S140)</f>
        <v>0.25277777777777777</v>
      </c>
      <c r="Y140" s="29">
        <f>_xll.qlYieldTSDiscount(Currency&amp;"ON",R140)/(1+U140*X140)</f>
        <v>0.61905097059120906</v>
      </c>
      <c r="Z140" s="30">
        <f>_xll.qlTenorBasisValue(TenorBasis6M,R140,InterestRatesTrigger)</f>
        <v>2.7007592436274405E-4</v>
      </c>
      <c r="AA140" s="30">
        <f t="shared" si="19"/>
        <v>8.3097046653103331E-6</v>
      </c>
    </row>
    <row r="141" spans="15:27" x14ac:dyDescent="0.2">
      <c r="O141" s="33">
        <v>3</v>
      </c>
      <c r="P141" s="27" t="str">
        <f>_xll.qlPeriodEquivalent(P140&amp;"+"&amp;O141&amp;"M")</f>
        <v>31Y6M</v>
      </c>
      <c r="Q141" s="28">
        <f>_xll.qlCalendarAdvance(Calendar,SettlementDate,P141,"f",,Trigger)</f>
        <v>53671</v>
      </c>
      <c r="R141" s="28">
        <f>_xll.qlInterestRateIndexValueDate(Index,Q141,Trigger)</f>
        <v>53673</v>
      </c>
      <c r="S141" s="28">
        <f>_xll.qlInterestRateIndexMaturity(Index,R141,Trigger)</f>
        <v>53763</v>
      </c>
      <c r="T141" s="30">
        <f>_xll.qlIndexFixing($M$6,Q141,,InterestRatesTrigger)</f>
        <v>1.681409816456636E-2</v>
      </c>
      <c r="U141" s="30">
        <f>_xll.qlIndexFixing(Index,Q141,,InterestRatesTrigger)</f>
        <v>1.7086574915863295E-2</v>
      </c>
      <c r="V141" s="30">
        <f t="shared" si="18"/>
        <v>2.7247675129693505E-4</v>
      </c>
      <c r="W141" s="29">
        <f>_xll.qlDayCounterYearFraction(DayCounter,SettlementDate,R141,,,Trigger)</f>
        <v>31.972222222222221</v>
      </c>
      <c r="X141" s="29">
        <f>_xll.qlDayCounterYearFraction(DayCounter,R141,S141)</f>
        <v>0.25</v>
      </c>
      <c r="Y141" s="29">
        <f>_xll.qlYieldTSDiscount(Currency&amp;"ON",R141)/(1+U141*X141)</f>
        <v>0.61646104697572579</v>
      </c>
      <c r="Z141" s="30">
        <f>_xll.qlTenorBasisValue(TenorBasis6M,R141,InterestRatesTrigger)</f>
        <v>2.675354514191499E-4</v>
      </c>
      <c r="AA141" s="30">
        <f t="shared" si="19"/>
        <v>4.9412998777851528E-6</v>
      </c>
    </row>
    <row r="142" spans="15:27" x14ac:dyDescent="0.2">
      <c r="O142" s="33">
        <v>3</v>
      </c>
      <c r="P142" s="27" t="str">
        <f>_xll.qlPeriodEquivalent(P141&amp;"+"&amp;O142&amp;"M")</f>
        <v>31Y9M</v>
      </c>
      <c r="Q142" s="28">
        <f>_xll.qlCalendarAdvance(Calendar,SettlementDate,P142,"f",,Trigger)</f>
        <v>53759</v>
      </c>
      <c r="R142" s="28">
        <f>_xll.qlInterestRateIndexValueDate(Index,Q142,Trigger)</f>
        <v>53763</v>
      </c>
      <c r="S142" s="28">
        <f>_xll.qlInterestRateIndexMaturity(Index,R142,Trigger)</f>
        <v>53855</v>
      </c>
      <c r="T142" s="30">
        <f>_xll.qlIndexFixing($M$6,Q142,,InterestRatesTrigger)</f>
        <v>1.68357520767397E-2</v>
      </c>
      <c r="U142" s="30">
        <f>_xll.qlIndexFixing(Index,Q142,,InterestRatesTrigger)</f>
        <v>1.7102495916911351E-2</v>
      </c>
      <c r="V142" s="30">
        <f t="shared" si="18"/>
        <v>2.6674384017165084E-4</v>
      </c>
      <c r="W142" s="29">
        <f>_xll.qlDayCounterYearFraction(DayCounter,SettlementDate,R142,,,Trigger)</f>
        <v>32.222222222222221</v>
      </c>
      <c r="X142" s="29">
        <f>_xll.qlDayCounterYearFraction(DayCounter,R142,S142)</f>
        <v>0.25555555555555554</v>
      </c>
      <c r="Y142" s="29">
        <f>_xll.qlYieldTSDiscount(Currency&amp;"ON",R142)/(1+U142*X142)</f>
        <v>0.61382007875609024</v>
      </c>
      <c r="Z142" s="30">
        <f>_xll.qlTenorBasisValue(TenorBasis6M,R142,InterestRatesTrigger)</f>
        <v>2.6510498167580992E-4</v>
      </c>
      <c r="AA142" s="30">
        <f t="shared" si="19"/>
        <v>1.6388584958409178E-6</v>
      </c>
    </row>
    <row r="143" spans="15:27" x14ac:dyDescent="0.2">
      <c r="O143" s="33">
        <v>3</v>
      </c>
      <c r="P143" s="27" t="str">
        <f>_xll.qlPeriodEquivalent(P142&amp;"+"&amp;O143&amp;"M")</f>
        <v>32Y</v>
      </c>
      <c r="Q143" s="28">
        <f>_xll.qlCalendarAdvance(Calendar,SettlementDate,P143,"f",,Trigger)</f>
        <v>53853</v>
      </c>
      <c r="R143" s="28">
        <f>_xll.qlInterestRateIndexValueDate(Index,Q143,Trigger)</f>
        <v>53855</v>
      </c>
      <c r="S143" s="28">
        <f>_xll.qlInterestRateIndexMaturity(Index,R143,Trigger)</f>
        <v>53947</v>
      </c>
      <c r="T143" s="30">
        <f>_xll.qlIndexFixing($M$6,Q143,,InterestRatesTrigger)</f>
        <v>1.6850970715428081E-2</v>
      </c>
      <c r="U143" s="30">
        <f>_xll.qlIndexFixing(Index,Q143,,InterestRatesTrigger)</f>
        <v>1.71120656830978E-2</v>
      </c>
      <c r="V143" s="30">
        <f t="shared" si="18"/>
        <v>2.6109496766971857E-4</v>
      </c>
      <c r="W143" s="29">
        <f>_xll.qlDayCounterYearFraction(DayCounter,SettlementDate,R143,,,Trigger)</f>
        <v>32.477777777777774</v>
      </c>
      <c r="X143" s="29">
        <f>_xll.qlDayCounterYearFraction(DayCounter,R143,S143)</f>
        <v>0.25555555555555554</v>
      </c>
      <c r="Y143" s="29">
        <f>_xll.qlYieldTSDiscount(Currency&amp;"ON",R143)/(1+U143*X143)</f>
        <v>0.61118896197155193</v>
      </c>
      <c r="Z143" s="30">
        <f>_xll.qlTenorBasisValue(TenorBasis6M,R143,InterestRatesTrigger)</f>
        <v>2.6270229603717933E-4</v>
      </c>
      <c r="AA143" s="30">
        <f t="shared" si="19"/>
        <v>-1.6073283674607588E-6</v>
      </c>
    </row>
    <row r="144" spans="15:27" x14ac:dyDescent="0.2">
      <c r="O144" s="33">
        <v>3</v>
      </c>
      <c r="P144" s="27" t="str">
        <f>_xll.qlPeriodEquivalent(P143&amp;"+"&amp;O144&amp;"M")</f>
        <v>32Y3M</v>
      </c>
      <c r="Q144" s="28">
        <f>_xll.qlCalendarAdvance(Calendar,SettlementDate,P144,"f",,Trigger)</f>
        <v>53944</v>
      </c>
      <c r="R144" s="28">
        <f>_xll.qlInterestRateIndexValueDate(Index,Q144,Trigger)</f>
        <v>53946</v>
      </c>
      <c r="S144" s="28">
        <f>_xll.qlInterestRateIndexMaturity(Index,R144,Trigger)</f>
        <v>54037</v>
      </c>
      <c r="T144" s="30">
        <f>_xll.qlIndexFixing($M$6,Q144,,InterestRatesTrigger)</f>
        <v>1.6859773038425053E-2</v>
      </c>
      <c r="U144" s="30">
        <f>_xll.qlIndexFixing(Index,Q144,,InterestRatesTrigger)</f>
        <v>1.7115469013728003E-2</v>
      </c>
      <c r="V144" s="30">
        <f t="shared" si="18"/>
        <v>2.5569597530294974E-4</v>
      </c>
      <c r="W144" s="29">
        <f>_xll.qlDayCounterYearFraction(DayCounter,SettlementDate,R144,,,Trigger)</f>
        <v>32.730555555555554</v>
      </c>
      <c r="X144" s="29">
        <f>_xll.qlDayCounterYearFraction(DayCounter,R144,S144)</f>
        <v>0.25277777777777777</v>
      </c>
      <c r="Y144" s="29">
        <f>_xll.qlYieldTSDiscount(Currency&amp;"ON",R144)/(1+U144*X144)</f>
        <v>0.60862496623552609</v>
      </c>
      <c r="Z144" s="30">
        <f>_xll.qlTenorBasisValue(TenorBasis6M,R144,InterestRatesTrigger)</f>
        <v>2.6040457986274397E-4</v>
      </c>
      <c r="AA144" s="30">
        <f t="shared" si="19"/>
        <v>-4.7086045597942308E-6</v>
      </c>
    </row>
    <row r="145" spans="15:27" x14ac:dyDescent="0.2">
      <c r="O145" s="33">
        <v>3</v>
      </c>
      <c r="P145" s="27" t="str">
        <f>_xll.qlPeriodEquivalent(P144&amp;"+"&amp;O145&amp;"M")</f>
        <v>32Y6M</v>
      </c>
      <c r="Q145" s="28">
        <f>_xll.qlCalendarAdvance(Calendar,SettlementDate,P145,"f",,Trigger)</f>
        <v>54035</v>
      </c>
      <c r="R145" s="28">
        <f>_xll.qlInterestRateIndexValueDate(Index,Q145,Trigger)</f>
        <v>54037</v>
      </c>
      <c r="S145" s="28">
        <f>_xll.qlInterestRateIndexMaturity(Index,R145,Trigger)</f>
        <v>54128</v>
      </c>
      <c r="T145" s="30">
        <f>_xll.qlIndexFixing($M$6,Q145,,InterestRatesTrigger)</f>
        <v>1.6863235474978786E-2</v>
      </c>
      <c r="U145" s="30">
        <f>_xll.qlIndexFixing(Index,Q145,,InterestRatesTrigger)</f>
        <v>1.7113685143361416E-2</v>
      </c>
      <c r="V145" s="30">
        <f t="shared" si="18"/>
        <v>2.504496683826303E-4</v>
      </c>
      <c r="W145" s="29">
        <f>_xll.qlDayCounterYearFraction(DayCounter,SettlementDate,R145,,,Trigger)</f>
        <v>32.983333333333334</v>
      </c>
      <c r="X145" s="29">
        <f>_xll.qlDayCounterYearFraction(DayCounter,R145,S145)</f>
        <v>0.25277777777777777</v>
      </c>
      <c r="Y145" s="29">
        <f>_xll.qlYieldTSDiscount(Currency&amp;"ON",R145)/(1+U145*X145)</f>
        <v>0.6060424224679537</v>
      </c>
      <c r="Z145" s="30">
        <f>_xll.qlTenorBasisValue(TenorBasis6M,R145,InterestRatesTrigger)</f>
        <v>2.5818286097259273E-4</v>
      </c>
      <c r="AA145" s="30">
        <f t="shared" si="19"/>
        <v>-7.733192589962426E-6</v>
      </c>
    </row>
    <row r="146" spans="15:27" x14ac:dyDescent="0.2">
      <c r="O146" s="33">
        <v>3</v>
      </c>
      <c r="P146" s="27" t="str">
        <f>_xll.qlPeriodEquivalent(P145&amp;"+"&amp;O146&amp;"M")</f>
        <v>32Y9M</v>
      </c>
      <c r="Q146" s="28">
        <f>_xll.qlCalendarAdvance(Calendar,SettlementDate,P146,"f",,Trigger)</f>
        <v>54126</v>
      </c>
      <c r="R146" s="28">
        <f>_xll.qlInterestRateIndexValueDate(Index,Q146,Trigger)</f>
        <v>54128</v>
      </c>
      <c r="S146" s="28">
        <f>_xll.qlInterestRateIndexMaturity(Index,R146,Trigger)</f>
        <v>54220</v>
      </c>
      <c r="T146" s="30">
        <f>_xll.qlIndexFixing($M$6,Q146,,InterestRatesTrigger)</f>
        <v>1.6861262967761088E-2</v>
      </c>
      <c r="U146" s="30">
        <f>_xll.qlIndexFixing(Index,Q146,,InterestRatesTrigger)</f>
        <v>1.7106621108465787E-2</v>
      </c>
      <c r="V146" s="30">
        <f t="shared" si="18"/>
        <v>2.4535814070469897E-4</v>
      </c>
      <c r="W146" s="29">
        <f>_xll.qlDayCounterYearFraction(DayCounter,SettlementDate,R146,,,Trigger)</f>
        <v>33.236111111111114</v>
      </c>
      <c r="X146" s="29">
        <f>_xll.qlDayCounterYearFraction(DayCounter,R146,S146)</f>
        <v>0.25555555555555554</v>
      </c>
      <c r="Y146" s="29">
        <f>_xll.qlYieldTSDiscount(Currency&amp;"ON",R146)/(1+U146*X146)</f>
        <v>0.60344256195859736</v>
      </c>
      <c r="Z146" s="30">
        <f>_xll.qlTenorBasisValue(TenorBasis6M,R146,InterestRatesTrigger)</f>
        <v>2.5603478875385654E-4</v>
      </c>
      <c r="AA146" s="30">
        <f t="shared" si="19"/>
        <v>-1.0676648049157567E-5</v>
      </c>
    </row>
    <row r="147" spans="15:27" x14ac:dyDescent="0.2">
      <c r="O147" s="33">
        <v>3</v>
      </c>
      <c r="P147" s="27" t="str">
        <f>_xll.qlPeriodEquivalent(P146&amp;"+"&amp;O147&amp;"M")</f>
        <v>33Y</v>
      </c>
      <c r="Q147" s="28">
        <f>_xll.qlCalendarAdvance(Calendar,SettlementDate,P147,"f",,Trigger)</f>
        <v>54217</v>
      </c>
      <c r="R147" s="28">
        <f>_xll.qlInterestRateIndexValueDate(Index,Q147,Trigger)</f>
        <v>54219</v>
      </c>
      <c r="S147" s="28">
        <f>_xll.qlInterestRateIndexMaturity(Index,R147,Trigger)</f>
        <v>54311</v>
      </c>
      <c r="T147" s="30">
        <f>_xll.qlIndexFixing($M$6,Q147,,InterestRatesTrigger)</f>
        <v>1.6853103042056394E-2</v>
      </c>
      <c r="U147" s="30">
        <f>_xll.qlIndexFixing(Index,Q147,,InterestRatesTrigger)</f>
        <v>1.7093556576632037E-2</v>
      </c>
      <c r="V147" s="30">
        <f t="shared" si="18"/>
        <v>2.4045353457564228E-4</v>
      </c>
      <c r="W147" s="29">
        <f>_xll.qlDayCounterYearFraction(DayCounter,SettlementDate,R147,,,Trigger)</f>
        <v>33.488888888888887</v>
      </c>
      <c r="X147" s="29">
        <f>_xll.qlDayCounterYearFraction(DayCounter,R147,S147)</f>
        <v>0.25555555555555554</v>
      </c>
      <c r="Y147" s="29">
        <f>_xll.qlYieldTSDiscount(Currency&amp;"ON",R147)/(1+U147*X147)</f>
        <v>0.60088356517844133</v>
      </c>
      <c r="Z147" s="30">
        <f>_xll.qlTenorBasisValue(TenorBasis6M,R147,InterestRatesTrigger)</f>
        <v>2.5395807681152907E-4</v>
      </c>
      <c r="AA147" s="30">
        <f t="shared" si="19"/>
        <v>-1.3504542235886791E-5</v>
      </c>
    </row>
    <row r="148" spans="15:27" x14ac:dyDescent="0.2">
      <c r="O148" s="33">
        <v>3</v>
      </c>
      <c r="P148" s="27" t="str">
        <f>_xll.qlPeriodEquivalent(P147&amp;"+"&amp;O148&amp;"M")</f>
        <v>33Y3M</v>
      </c>
      <c r="Q148" s="28">
        <f>_xll.qlCalendarAdvance(Calendar,SettlementDate,P148,"f",,Trigger)</f>
        <v>54309</v>
      </c>
      <c r="R148" s="28">
        <f>_xll.qlInterestRateIndexValueDate(Index,Q148,Trigger)</f>
        <v>54311</v>
      </c>
      <c r="S148" s="28">
        <f>_xll.qlInterestRateIndexMaturity(Index,R148,Trigger)</f>
        <v>54402</v>
      </c>
      <c r="T148" s="30">
        <f>_xll.qlIndexFixing($M$6,Q148,,InterestRatesTrigger)</f>
        <v>1.6838667212426502E-2</v>
      </c>
      <c r="U148" s="30">
        <f>_xll.qlIndexFixing(Index,Q148,,InterestRatesTrigger)</f>
        <v>1.7074349902083594E-2</v>
      </c>
      <c r="V148" s="30">
        <f t="shared" si="18"/>
        <v>2.356826896570928E-4</v>
      </c>
      <c r="W148" s="29">
        <f>_xll.qlDayCounterYearFraction(DayCounter,SettlementDate,R148,,,Trigger)</f>
        <v>33.744444444444447</v>
      </c>
      <c r="X148" s="29">
        <f>_xll.qlDayCounterYearFraction(DayCounter,R148,S148)</f>
        <v>0.25277777777777777</v>
      </c>
      <c r="Y148" s="29">
        <f>_xll.qlYieldTSDiscount(Currency&amp;"ON",R148)/(1+U148*X148)</f>
        <v>0.59833789460806164</v>
      </c>
      <c r="Z148" s="30">
        <f>_xll.qlTenorBasisValue(TenorBasis6M,R148,InterestRatesTrigger)</f>
        <v>2.5192881636276212E-4</v>
      </c>
      <c r="AA148" s="30">
        <f t="shared" si="19"/>
        <v>-1.6246126705669319E-5</v>
      </c>
    </row>
    <row r="149" spans="15:27" x14ac:dyDescent="0.2">
      <c r="O149" s="33">
        <v>3</v>
      </c>
      <c r="P149" s="27" t="str">
        <f>_xll.qlPeriodEquivalent(P148&amp;"+"&amp;O149&amp;"M")</f>
        <v>33Y6M</v>
      </c>
      <c r="Q149" s="28">
        <f>_xll.qlCalendarAdvance(Calendar,SettlementDate,P149,"f",,Trigger)</f>
        <v>54400</v>
      </c>
      <c r="R149" s="28">
        <f>_xll.qlInterestRateIndexValueDate(Index,Q149,Trigger)</f>
        <v>54402</v>
      </c>
      <c r="S149" s="28">
        <f>_xll.qlInterestRateIndexMaturity(Index,R149,Trigger)</f>
        <v>54492</v>
      </c>
      <c r="T149" s="30">
        <f>_xll.qlIndexFixing($M$6,Q149,,InterestRatesTrigger)</f>
        <v>1.6818623303541003E-2</v>
      </c>
      <c r="U149" s="30">
        <f>_xll.qlIndexFixing(Index,Q149,,InterestRatesTrigger)</f>
        <v>1.7049757240124919E-2</v>
      </c>
      <c r="V149" s="30">
        <f t="shared" si="18"/>
        <v>2.3113393658391601E-4</v>
      </c>
      <c r="W149" s="29">
        <f>_xll.qlDayCounterYearFraction(DayCounter,SettlementDate,R149,,,Trigger)</f>
        <v>33.99722222222222</v>
      </c>
      <c r="X149" s="29">
        <f>_xll.qlDayCounterYearFraction(DayCounter,R149,S149)</f>
        <v>0.25</v>
      </c>
      <c r="Y149" s="29">
        <f>_xll.qlYieldTSDiscount(Currency&amp;"ON",R149)/(1+U149*X149)</f>
        <v>0.59583368479237431</v>
      </c>
      <c r="Z149" s="30">
        <f>_xll.qlTenorBasisValue(TenorBasis6M,R149,InterestRatesTrigger)</f>
        <v>2.4998894045255484E-4</v>
      </c>
      <c r="AA149" s="30">
        <f t="shared" si="19"/>
        <v>-1.885500386863883E-5</v>
      </c>
    </row>
    <row r="150" spans="15:27" x14ac:dyDescent="0.2">
      <c r="O150" s="33">
        <v>3</v>
      </c>
      <c r="P150" s="27" t="str">
        <f>_xll.qlPeriodEquivalent(P149&amp;"+"&amp;O150&amp;"M")</f>
        <v>33Y9M</v>
      </c>
      <c r="Q150" s="28">
        <f>_xll.qlCalendarAdvance(Calendar,SettlementDate,P150,"f",,Trigger)</f>
        <v>54490</v>
      </c>
      <c r="R150" s="28">
        <f>_xll.qlInterestRateIndexValueDate(Index,Q150,Trigger)</f>
        <v>54492</v>
      </c>
      <c r="S150" s="28">
        <f>_xll.qlInterestRateIndexMaturity(Index,R150,Trigger)</f>
        <v>54584</v>
      </c>
      <c r="T150" s="30">
        <f>_xll.qlIndexFixing($M$6,Q150,,InterestRatesTrigger)</f>
        <v>1.6793851740880501E-2</v>
      </c>
      <c r="U150" s="30">
        <f>_xll.qlIndexFixing(Index,Q150,,InterestRatesTrigger)</f>
        <v>1.7020614745580295E-2</v>
      </c>
      <c r="V150" s="30">
        <f t="shared" si="18"/>
        <v>2.2676300469979399E-4</v>
      </c>
      <c r="W150" s="29">
        <f>_xll.qlDayCounterYearFraction(DayCounter,SettlementDate,R150,,,Trigger)</f>
        <v>34.24722222222222</v>
      </c>
      <c r="X150" s="29">
        <f>_xll.qlDayCounterYearFraction(DayCounter,R150,S150)</f>
        <v>0.25555555555555554</v>
      </c>
      <c r="Y150" s="29">
        <f>_xll.qlYieldTSDiscount(Currency&amp;"ON",R150)/(1+U150*X150)</f>
        <v>0.59328734052678589</v>
      </c>
      <c r="Z150" s="30">
        <f>_xll.qlTenorBasisValue(TenorBasis6M,R150,InterestRatesTrigger)</f>
        <v>2.481341750146356E-4</v>
      </c>
      <c r="AA150" s="30">
        <f t="shared" si="19"/>
        <v>-2.1371170314841612E-5</v>
      </c>
    </row>
    <row r="151" spans="15:27" x14ac:dyDescent="0.2">
      <c r="O151" s="33">
        <v>3</v>
      </c>
      <c r="P151" s="27" t="str">
        <f>_xll.qlPeriodEquivalent(P150&amp;"+"&amp;O151&amp;"M")</f>
        <v>34Y</v>
      </c>
      <c r="Q151" s="28">
        <f>_xll.qlCalendarAdvance(Calendar,SettlementDate,P151,"f",,Trigger)</f>
        <v>54582</v>
      </c>
      <c r="R151" s="28">
        <f>_xll.qlInterestRateIndexValueDate(Index,Q151,Trigger)</f>
        <v>54584</v>
      </c>
      <c r="S151" s="28">
        <f>_xll.qlInterestRateIndexMaturity(Index,R151,Trigger)</f>
        <v>54676</v>
      </c>
      <c r="T151" s="30">
        <f>_xll.qlIndexFixing($M$6,Q151,,InterestRatesTrigger)</f>
        <v>1.6762134497365442E-2</v>
      </c>
      <c r="U151" s="30">
        <f>_xll.qlIndexFixing(Index,Q151,,InterestRatesTrigger)</f>
        <v>1.6984629693115511E-2</v>
      </c>
      <c r="V151" s="30">
        <f t="shared" si="18"/>
        <v>2.2249519575006857E-4</v>
      </c>
      <c r="W151" s="29">
        <f>_xll.qlDayCounterYearFraction(DayCounter,SettlementDate,R151,,,Trigger)</f>
        <v>34.50277777777778</v>
      </c>
      <c r="X151" s="29">
        <f>_xll.qlDayCounterYearFraction(DayCounter,R151,S151)</f>
        <v>0.25555555555555554</v>
      </c>
      <c r="Y151" s="29">
        <f>_xll.qlYieldTSDiscount(Currency&amp;"ON",R151)/(1+U151*X151)</f>
        <v>0.59075738277208834</v>
      </c>
      <c r="Z151" s="30">
        <f>_xll.qlTenorBasisValue(TenorBasis6M,R151,InterestRatesTrigger)</f>
        <v>2.463016992996041E-4</v>
      </c>
      <c r="AA151" s="30">
        <f t="shared" si="19"/>
        <v>-2.3806503549535533E-5</v>
      </c>
    </row>
    <row r="152" spans="15:27" x14ac:dyDescent="0.2">
      <c r="O152" s="33">
        <v>3</v>
      </c>
      <c r="P152" s="27" t="str">
        <f>_xll.qlPeriodEquivalent(P151&amp;"+"&amp;O152&amp;"M")</f>
        <v>34Y3M</v>
      </c>
      <c r="Q152" s="28">
        <f>_xll.qlCalendarAdvance(Calendar,SettlementDate,P152,"f",,Trigger)</f>
        <v>54674</v>
      </c>
      <c r="R152" s="28">
        <f>_xll.qlInterestRateIndexValueDate(Index,Q152,Trigger)</f>
        <v>54676</v>
      </c>
      <c r="S152" s="28">
        <f>_xll.qlInterestRateIndexMaturity(Index,R152,Trigger)</f>
        <v>54767</v>
      </c>
      <c r="T152" s="30">
        <f>_xll.qlIndexFixing($M$6,Q152,,InterestRatesTrigger)</f>
        <v>1.6724332269836845E-2</v>
      </c>
      <c r="U152" s="30">
        <f>_xll.qlIndexFixing(Index,Q152,,InterestRatesTrigger)</f>
        <v>1.6942745455055596E-2</v>
      </c>
      <c r="V152" s="30">
        <f t="shared" si="18"/>
        <v>2.1841318521875069E-4</v>
      </c>
      <c r="W152" s="29">
        <f>_xll.qlDayCounterYearFraction(DayCounter,SettlementDate,R152,,,Trigger)</f>
        <v>34.758333333333333</v>
      </c>
      <c r="X152" s="29">
        <f>_xll.qlDayCounterYearFraction(DayCounter,R152,S152)</f>
        <v>0.25277777777777777</v>
      </c>
      <c r="Y152" s="29">
        <f>_xll.qlYieldTSDiscount(Currency&amp;"ON",R152)/(1+U152*X152)</f>
        <v>0.58827141077481448</v>
      </c>
      <c r="Z152" s="30">
        <f>_xll.qlTenorBasisValue(TenorBasis6M,R152,InterestRatesTrigger)</f>
        <v>2.4453139296843425E-4</v>
      </c>
      <c r="AA152" s="30">
        <f t="shared" si="19"/>
        <v>-2.6118207749683555E-5</v>
      </c>
    </row>
    <row r="153" spans="15:27" x14ac:dyDescent="0.2">
      <c r="O153" s="33">
        <v>3</v>
      </c>
      <c r="P153" s="27" t="str">
        <f>_xll.qlPeriodEquivalent(P152&amp;"+"&amp;O153&amp;"M")</f>
        <v>34Y6M</v>
      </c>
      <c r="Q153" s="28">
        <f>_xll.qlCalendarAdvance(Calendar,SettlementDate,P153,"f",,Trigger)</f>
        <v>54765</v>
      </c>
      <c r="R153" s="28">
        <f>_xll.qlInterestRateIndexValueDate(Index,Q153,Trigger)</f>
        <v>54767</v>
      </c>
      <c r="S153" s="28">
        <f>_xll.qlInterestRateIndexMaturity(Index,R153,Trigger)</f>
        <v>54857</v>
      </c>
      <c r="T153" s="30">
        <f>_xll.qlIndexFixing($M$6,Q153,,InterestRatesTrigger)</f>
        <v>1.6681180020733599E-2</v>
      </c>
      <c r="U153" s="30">
        <f>_xll.qlIndexFixing(Index,Q153,,InterestRatesTrigger)</f>
        <v>1.689572578602494E-2</v>
      </c>
      <c r="V153" s="30">
        <f t="shared" si="18"/>
        <v>2.1454576529134073E-4</v>
      </c>
      <c r="W153" s="29">
        <f>_xll.qlDayCounterYearFraction(DayCounter,SettlementDate,R153,,,Trigger)</f>
        <v>35.011111111111113</v>
      </c>
      <c r="X153" s="29">
        <f>_xll.qlDayCounterYearFraction(DayCounter,R153,S153)</f>
        <v>0.25</v>
      </c>
      <c r="Y153" s="29">
        <f>_xll.qlYieldTSDiscount(Currency&amp;"ON",R153)/(1+U153*X153)</f>
        <v>0.58582924992215901</v>
      </c>
      <c r="Z153" s="30">
        <f>_xll.qlTenorBasisValue(TenorBasis6M,R153,InterestRatesTrigger)</f>
        <v>2.4283953643195543E-4</v>
      </c>
      <c r="AA153" s="30">
        <f t="shared" si="19"/>
        <v>-2.8293771140614697E-5</v>
      </c>
    </row>
    <row r="154" spans="15:27" x14ac:dyDescent="0.2">
      <c r="O154" s="33">
        <v>3</v>
      </c>
      <c r="P154" s="27" t="str">
        <f>_xll.qlPeriodEquivalent(P153&amp;"+"&amp;O154&amp;"M")</f>
        <v>34Y9M</v>
      </c>
      <c r="Q154" s="28">
        <f>_xll.qlCalendarAdvance(Calendar,SettlementDate,P154,"f",,Trigger)</f>
        <v>54855</v>
      </c>
      <c r="R154" s="28">
        <f>_xll.qlInterestRateIndexValueDate(Index,Q154,Trigger)</f>
        <v>54857</v>
      </c>
      <c r="S154" s="28">
        <f>_xll.qlInterestRateIndexMaturity(Index,R154,Trigger)</f>
        <v>54949</v>
      </c>
      <c r="T154" s="30">
        <f>_xll.qlIndexFixing($M$6,Q154,,InterestRatesTrigger)</f>
        <v>1.6633152804792883E-2</v>
      </c>
      <c r="U154" s="30">
        <f>_xll.qlIndexFixing(Index,Q154,,InterestRatesTrigger)</f>
        <v>1.6844010209398269E-2</v>
      </c>
      <c r="V154" s="30">
        <f t="shared" si="18"/>
        <v>2.1085740460538571E-4</v>
      </c>
      <c r="W154" s="29">
        <f>_xll.qlDayCounterYearFraction(DayCounter,SettlementDate,R154,,,Trigger)</f>
        <v>35.261111111111113</v>
      </c>
      <c r="X154" s="29">
        <f>_xll.qlDayCounterYearFraction(DayCounter,R154,S154)</f>
        <v>0.25555555555555554</v>
      </c>
      <c r="Y154" s="29">
        <f>_xll.qlYieldTSDiscount(Currency&amp;"ON",R154)/(1+U154*X154)</f>
        <v>0.58334946655198938</v>
      </c>
      <c r="Z154" s="30">
        <f>_xll.qlTenorBasisValue(TenorBasis6M,R154,InterestRatesTrigger)</f>
        <v>2.412223472791437E-4</v>
      </c>
      <c r="AA154" s="30">
        <f t="shared" si="19"/>
        <v>-3.0364942673757992E-5</v>
      </c>
    </row>
    <row r="155" spans="15:27" x14ac:dyDescent="0.2">
      <c r="O155" s="33">
        <v>3</v>
      </c>
      <c r="P155" s="27" t="str">
        <f>_xll.qlPeriodEquivalent(P154&amp;"+"&amp;O155&amp;"M")</f>
        <v>35Y</v>
      </c>
      <c r="Q155" s="28">
        <f>_xll.qlCalendarAdvance(Calendar,SettlementDate,P155,"f",,Trigger)</f>
        <v>54947</v>
      </c>
      <c r="R155" s="28">
        <f>_xll.qlInterestRateIndexValueDate(Index,Q155,Trigger)</f>
        <v>54949</v>
      </c>
      <c r="S155" s="28">
        <f>_xll.qlInterestRateIndexMaturity(Index,R155,Trigger)</f>
        <v>55043</v>
      </c>
      <c r="T155" s="30">
        <f>_xll.qlIndexFixing($M$6,Q155,,InterestRatesTrigger)</f>
        <v>1.6578056733973546E-2</v>
      </c>
      <c r="U155" s="30">
        <f>_xll.qlIndexFixing(Index,Q155,,InterestRatesTrigger)</f>
        <v>1.6785319773255498E-2</v>
      </c>
      <c r="V155" s="30">
        <f t="shared" si="18"/>
        <v>2.0726303928195189E-4</v>
      </c>
      <c r="W155" s="29">
        <f>_xll.qlDayCounterYearFraction(DayCounter,SettlementDate,R155,,,Trigger)</f>
        <v>35.516666666666666</v>
      </c>
      <c r="X155" s="29">
        <f>_xll.qlDayCounterYearFraction(DayCounter,R155,S155)</f>
        <v>0.26111111111111113</v>
      </c>
      <c r="Y155" s="29">
        <f>_xll.qlYieldTSDiscount(Currency&amp;"ON",R155)/(1+U155*X155)</f>
        <v>0.5808350643659369</v>
      </c>
      <c r="Z155" s="30">
        <f>_xll.qlTenorBasisValue(TenorBasis6M,R155,InterestRatesTrigger)</f>
        <v>2.3962502115577647E-4</v>
      </c>
      <c r="AA155" s="30">
        <f t="shared" si="19"/>
        <v>-3.236198187382458E-5</v>
      </c>
    </row>
    <row r="156" spans="15:27" x14ac:dyDescent="0.2">
      <c r="O156" s="33">
        <v>3</v>
      </c>
      <c r="P156" s="27" t="str">
        <f>_xll.qlPeriodEquivalent(P155&amp;"+"&amp;O156&amp;"M")</f>
        <v>35Y3M</v>
      </c>
      <c r="Q156" s="28">
        <f>_xll.qlCalendarAdvance(Calendar,SettlementDate,P156,"f",,Trigger)</f>
        <v>55039</v>
      </c>
      <c r="R156" s="28">
        <f>_xll.qlInterestRateIndexValueDate(Index,Q156,Trigger)</f>
        <v>55043</v>
      </c>
      <c r="S156" s="28">
        <f>_xll.qlInterestRateIndexMaturity(Index,R156,Trigger)</f>
        <v>55134</v>
      </c>
      <c r="T156" s="30">
        <f>_xll.qlIndexFixing($M$6,Q156,,InterestRatesTrigger)</f>
        <v>1.6515382190749769E-2</v>
      </c>
      <c r="U156" s="30">
        <f>_xll.qlIndexFixing(Index,Q156,,InterestRatesTrigger)</f>
        <v>1.6719198569687906E-2</v>
      </c>
      <c r="V156" s="30">
        <f t="shared" si="18"/>
        <v>2.0381637893813684E-4</v>
      </c>
      <c r="W156" s="29">
        <f>_xll.qlDayCounterYearFraction(DayCounter,SettlementDate,R156,,,Trigger)</f>
        <v>35.777777777777779</v>
      </c>
      <c r="X156" s="29">
        <f>_xll.qlDayCounterYearFraction(DayCounter,R156,S156)</f>
        <v>0.25277777777777777</v>
      </c>
      <c r="Y156" s="29">
        <f>_xll.qlYieldTSDiscount(Currency&amp;"ON",R156)/(1+U156*X156)</f>
        <v>0.57842181243504032</v>
      </c>
      <c r="Z156" s="30">
        <f>_xll.qlTenorBasisValue(TenorBasis6M,R156,InterestRatesTrigger)</f>
        <v>2.3804935380007883E-4</v>
      </c>
      <c r="AA156" s="30">
        <f t="shared" si="19"/>
        <v>-3.4232974861941992E-5</v>
      </c>
    </row>
    <row r="157" spans="15:27" x14ac:dyDescent="0.2">
      <c r="O157" s="33">
        <v>3</v>
      </c>
      <c r="P157" s="27" t="str">
        <f>_xll.qlPeriodEquivalent(P156&amp;"+"&amp;O157&amp;"M")</f>
        <v>35Y6M</v>
      </c>
      <c r="Q157" s="28">
        <f>_xll.qlCalendarAdvance(Calendar,SettlementDate,P157,"f",,Trigger)</f>
        <v>55130</v>
      </c>
      <c r="R157" s="28">
        <f>_xll.qlInterestRateIndexValueDate(Index,Q157,Trigger)</f>
        <v>55134</v>
      </c>
      <c r="S157" s="28">
        <f>_xll.qlInterestRateIndexMaturity(Index,R157,Trigger)</f>
        <v>55225</v>
      </c>
      <c r="T157" s="30">
        <f>_xll.qlIndexFixing($M$6,Q157,,InterestRatesTrigger)</f>
        <v>1.6448991658253139E-2</v>
      </c>
      <c r="U157" s="30">
        <f>_xll.qlIndexFixing(Index,Q157,,InterestRatesTrigger)</f>
        <v>1.6649618068664586E-2</v>
      </c>
      <c r="V157" s="30">
        <f t="shared" si="18"/>
        <v>2.0062641041144677E-4</v>
      </c>
      <c r="W157" s="29">
        <f>_xll.qlDayCounterYearFraction(DayCounter,SettlementDate,R157,,,Trigger)</f>
        <v>36.030555555555559</v>
      </c>
      <c r="X157" s="29">
        <f>_xll.qlDayCounterYearFraction(DayCounter,R157,S157)</f>
        <v>0.25277777777777777</v>
      </c>
      <c r="Y157" s="29">
        <f>_xll.qlYieldTSDiscount(Currency&amp;"ON",R157)/(1+U157*X157)</f>
        <v>0.57602719015613968</v>
      </c>
      <c r="Z157" s="30">
        <f>_xll.qlTenorBasisValue(TenorBasis6M,R157,InterestRatesTrigger)</f>
        <v>2.3657649743098302E-4</v>
      </c>
      <c r="AA157" s="30">
        <f t="shared" si="19"/>
        <v>-3.595008701953625E-5</v>
      </c>
    </row>
    <row r="158" spans="15:27" x14ac:dyDescent="0.2">
      <c r="O158" s="33">
        <v>3</v>
      </c>
      <c r="P158" s="27" t="str">
        <f>_xll.qlPeriodEquivalent(P157&amp;"+"&amp;O158&amp;"M")</f>
        <v>35Y9M</v>
      </c>
      <c r="Q158" s="28">
        <f>_xll.qlCalendarAdvance(Calendar,SettlementDate,P158,"f",,Trigger)</f>
        <v>55220</v>
      </c>
      <c r="R158" s="28">
        <f>_xll.qlInterestRateIndexValueDate(Index,Q158,Trigger)</f>
        <v>55222</v>
      </c>
      <c r="S158" s="28">
        <f>_xll.qlInterestRateIndexMaturity(Index,R158,Trigger)</f>
        <v>55316</v>
      </c>
      <c r="T158" s="30">
        <f>_xll.qlIndexFixing($M$6,Q158,,InterestRatesTrigger)</f>
        <v>1.6379144660424991E-2</v>
      </c>
      <c r="U158" s="30">
        <f>_xll.qlIndexFixing(Index,Q158,,InterestRatesTrigger)</f>
        <v>1.6576827697759471E-2</v>
      </c>
      <c r="V158" s="30">
        <f t="shared" si="18"/>
        <v>1.9768303733447984E-4</v>
      </c>
      <c r="W158" s="29">
        <f>_xll.qlDayCounterYearFraction(DayCounter,SettlementDate,R158,,,Trigger)</f>
        <v>36.274999999999999</v>
      </c>
      <c r="X158" s="29">
        <f>_xll.qlDayCounterYearFraction(DayCounter,R158,S158)</f>
        <v>0.26111111111111113</v>
      </c>
      <c r="Y158" s="29">
        <f>_xll.qlYieldTSDiscount(Currency&amp;"ON",R158)/(1+U158*X158)</f>
        <v>0.57365193254668823</v>
      </c>
      <c r="Z158" s="30">
        <f>_xll.qlTenorBasisValue(TenorBasis6M,R158,InterestRatesTrigger)</f>
        <v>2.3519976043594868E-4</v>
      </c>
      <c r="AA158" s="30">
        <f t="shared" si="19"/>
        <v>-3.7516723101468837E-5</v>
      </c>
    </row>
    <row r="159" spans="15:27" x14ac:dyDescent="0.2">
      <c r="O159" s="33">
        <v>3</v>
      </c>
      <c r="P159" s="27" t="str">
        <f>_xll.qlPeriodEquivalent(P158&amp;"+"&amp;O159&amp;"M")</f>
        <v>36Y</v>
      </c>
      <c r="Q159" s="28">
        <f>_xll.qlCalendarAdvance(Calendar,SettlementDate,P159,"f",,Trigger)</f>
        <v>55312</v>
      </c>
      <c r="R159" s="28">
        <f>_xll.qlInterestRateIndexValueDate(Index,Q159,Trigger)</f>
        <v>55316</v>
      </c>
      <c r="S159" s="28">
        <f>_xll.qlInterestRateIndexMaturity(Index,R159,Trigger)</f>
        <v>55408</v>
      </c>
      <c r="T159" s="30">
        <f>_xll.qlIndexFixing($M$6,Q159,,InterestRatesTrigger)</f>
        <v>1.6298749781770101E-2</v>
      </c>
      <c r="U159" s="30">
        <f>_xll.qlIndexFixing(Index,Q159,,InterestRatesTrigger)</f>
        <v>1.649350203150143E-2</v>
      </c>
      <c r="V159" s="30">
        <f t="shared" ref="V159:V222" si="20">U159-T159</f>
        <v>1.9475224973132879E-4</v>
      </c>
      <c r="W159" s="29">
        <f>_xll.qlDayCounterYearFraction(DayCounter,SettlementDate,R159,,,Trigger)</f>
        <v>36.536111111111111</v>
      </c>
      <c r="X159" s="29">
        <f>_xll.qlDayCounterYearFraction(DayCounter,R159,S159)</f>
        <v>0.25555555555555554</v>
      </c>
      <c r="Y159" s="29">
        <f>_xll.qlYieldTSDiscount(Currency&amp;"ON",R159)/(1+U159*X159)</f>
        <v>0.57127349552332307</v>
      </c>
      <c r="Z159" s="30">
        <f>_xll.qlTenorBasisValue(TenorBasis6M,R159,InterestRatesTrigger)</f>
        <v>2.3377914686255905E-4</v>
      </c>
      <c r="AA159" s="30">
        <f t="shared" ref="AA159:AA222" si="21">V159-Z159</f>
        <v>-3.9026897131230255E-5</v>
      </c>
    </row>
    <row r="160" spans="15:27" x14ac:dyDescent="0.2">
      <c r="O160" s="33">
        <v>3</v>
      </c>
      <c r="P160" s="27" t="str">
        <f>_xll.qlPeriodEquivalent(P159&amp;"+"&amp;O160&amp;"M")</f>
        <v>36Y3M</v>
      </c>
      <c r="Q160" s="28">
        <f>_xll.qlCalendarAdvance(Calendar,SettlementDate,P160,"f",,Trigger)</f>
        <v>55404</v>
      </c>
      <c r="R160" s="28">
        <f>_xll.qlInterestRateIndexValueDate(Index,Q160,Trigger)</f>
        <v>55408</v>
      </c>
      <c r="S160" s="28">
        <f>_xll.qlInterestRateIndexMaturity(Index,R160,Trigger)</f>
        <v>55499</v>
      </c>
      <c r="T160" s="30">
        <f>_xll.qlIndexFixing($M$6,Q160,,InterestRatesTrigger)</f>
        <v>1.621410905635912E-2</v>
      </c>
      <c r="U160" s="30">
        <f>_xll.qlIndexFixing(Index,Q160,,InterestRatesTrigger)</f>
        <v>1.640616098345906E-2</v>
      </c>
      <c r="V160" s="30">
        <f t="shared" si="20"/>
        <v>1.9205192709994059E-4</v>
      </c>
      <c r="W160" s="29">
        <f>_xll.qlDayCounterYearFraction(DayCounter,SettlementDate,R160,,,Trigger)</f>
        <v>36.791666666666664</v>
      </c>
      <c r="X160" s="29">
        <f>_xll.qlDayCounterYearFraction(DayCounter,R160,S160)</f>
        <v>0.25277777777777777</v>
      </c>
      <c r="Y160" s="29">
        <f>_xll.qlYieldTSDiscount(Currency&amp;"ON",R160)/(1+U160*X160)</f>
        <v>0.56894234174678548</v>
      </c>
      <c r="Z160" s="30">
        <f>_xll.qlTenorBasisValue(TenorBasis6M,R160,InterestRatesTrigger)</f>
        <v>2.3243713952314179E-4</v>
      </c>
      <c r="AA160" s="30">
        <f t="shared" si="21"/>
        <v>-4.0385212423201195E-5</v>
      </c>
    </row>
    <row r="161" spans="15:27" x14ac:dyDescent="0.2">
      <c r="O161" s="33">
        <v>3</v>
      </c>
      <c r="P161" s="27" t="str">
        <f>_xll.qlPeriodEquivalent(P160&amp;"+"&amp;O161&amp;"M")</f>
        <v>36Y6M</v>
      </c>
      <c r="Q161" s="28">
        <f>_xll.qlCalendarAdvance(Calendar,SettlementDate,P161,"f",,Trigger)</f>
        <v>55495</v>
      </c>
      <c r="R161" s="28">
        <f>_xll.qlInterestRateIndexValueDate(Index,Q161,Trigger)</f>
        <v>55499</v>
      </c>
      <c r="S161" s="28">
        <f>_xll.qlInterestRateIndexMaturity(Index,R161,Trigger)</f>
        <v>55590</v>
      </c>
      <c r="T161" s="30">
        <f>_xll.qlIndexFixing($M$6,Q161,,InterestRatesTrigger)</f>
        <v>1.6124483821511375E-2</v>
      </c>
      <c r="U161" s="30">
        <f>_xll.qlIndexFixing(Index,Q161,,InterestRatesTrigger)</f>
        <v>1.6314030264208509E-2</v>
      </c>
      <c r="V161" s="30">
        <f t="shared" si="20"/>
        <v>1.8954644269713466E-4</v>
      </c>
      <c r="W161" s="29">
        <f>_xll.qlDayCounterYearFraction(DayCounter,SettlementDate,R161,,,Trigger)</f>
        <v>37.044444444444444</v>
      </c>
      <c r="X161" s="29">
        <f>_xll.qlDayCounterYearFraction(DayCounter,R161,S161)</f>
        <v>0.25277777777777777</v>
      </c>
      <c r="Y161" s="29">
        <f>_xll.qlYieldTSDiscount(Currency&amp;"ON",R161)/(1+U161*X161)</f>
        <v>0.56663315356479604</v>
      </c>
      <c r="Z161" s="30">
        <f>_xll.qlTenorBasisValue(TenorBasis6M,R161,InterestRatesTrigger)</f>
        <v>2.3115525267484435E-4</v>
      </c>
      <c r="AA161" s="30">
        <f t="shared" si="21"/>
        <v>-4.1608809977709685E-5</v>
      </c>
    </row>
    <row r="162" spans="15:27" x14ac:dyDescent="0.2">
      <c r="O162" s="33">
        <v>3</v>
      </c>
      <c r="P162" s="27" t="str">
        <f>_xll.qlPeriodEquivalent(P161&amp;"+"&amp;O162&amp;"M")</f>
        <v>36Y9M</v>
      </c>
      <c r="Q162" s="28">
        <f>_xll.qlCalendarAdvance(Calendar,SettlementDate,P162,"f",,Trigger)</f>
        <v>55586</v>
      </c>
      <c r="R162" s="28">
        <f>_xll.qlInterestRateIndexValueDate(Index,Q162,Trigger)</f>
        <v>55590</v>
      </c>
      <c r="S162" s="28">
        <f>_xll.qlInterestRateIndexMaturity(Index,R162,Trigger)</f>
        <v>55682</v>
      </c>
      <c r="T162" s="30">
        <f>_xll.qlIndexFixing($M$6,Q162,,InterestRatesTrigger)</f>
        <v>1.6028877489831242E-2</v>
      </c>
      <c r="U162" s="30">
        <f>_xll.qlIndexFixing(Index,Q162,,InterestRatesTrigger)</f>
        <v>1.621608526803419E-2</v>
      </c>
      <c r="V162" s="30">
        <f t="shared" si="20"/>
        <v>1.8720777820294826E-4</v>
      </c>
      <c r="W162" s="29">
        <f>_xll.qlDayCounterYearFraction(DayCounter,SettlementDate,R162,,,Trigger)</f>
        <v>37.297222222222224</v>
      </c>
      <c r="X162" s="29">
        <f>_xll.qlDayCounterYearFraction(DayCounter,R162,S162)</f>
        <v>0.25555555555555554</v>
      </c>
      <c r="Y162" s="29">
        <f>_xll.qlYieldTSDiscount(Currency&amp;"ON",R162)/(1+U162*X162)</f>
        <v>0.56432158143119815</v>
      </c>
      <c r="Z162" s="30">
        <f>_xll.qlTenorBasisValue(TenorBasis6M,R162,InterestRatesTrigger)</f>
        <v>2.2991717245056991E-4</v>
      </c>
      <c r="AA162" s="30">
        <f t="shared" si="21"/>
        <v>-4.2709394247621651E-5</v>
      </c>
    </row>
    <row r="163" spans="15:27" x14ac:dyDescent="0.2">
      <c r="O163" s="33">
        <v>3</v>
      </c>
      <c r="P163" s="27" t="str">
        <f>_xll.qlPeriodEquivalent(P162&amp;"+"&amp;O163&amp;"M")</f>
        <v>37Y</v>
      </c>
      <c r="Q163" s="28">
        <f>_xll.qlCalendarAdvance(Calendar,SettlementDate,P163,"f",,Trigger)</f>
        <v>55680</v>
      </c>
      <c r="R163" s="28">
        <f>_xll.qlInterestRateIndexValueDate(Index,Q163,Trigger)</f>
        <v>55682</v>
      </c>
      <c r="S163" s="28">
        <f>_xll.qlInterestRateIndexMaturity(Index,R163,Trigger)</f>
        <v>55774</v>
      </c>
      <c r="T163" s="30">
        <f>_xll.qlIndexFixing($M$6,Q163,,InterestRatesTrigger)</f>
        <v>1.5926487932564615E-2</v>
      </c>
      <c r="U163" s="30">
        <f>_xll.qlIndexFixing(Index,Q163,,InterestRatesTrigger)</f>
        <v>1.6111509494154602E-2</v>
      </c>
      <c r="V163" s="30">
        <f t="shared" si="20"/>
        <v>1.8502156158998681E-4</v>
      </c>
      <c r="W163" s="29">
        <f>_xll.qlDayCounterYearFraction(DayCounter,SettlementDate,R163,,,Trigger)</f>
        <v>37.552777777777777</v>
      </c>
      <c r="X163" s="29">
        <f>_xll.qlDayCounterYearFraction(DayCounter,R163,S163)</f>
        <v>0.25555555555555554</v>
      </c>
      <c r="Y163" s="29">
        <f>_xll.qlYieldTSDiscount(Currency&amp;"ON",R163)/(1+U163*X163)</f>
        <v>0.56203435729725448</v>
      </c>
      <c r="Z163" s="30">
        <f>_xll.qlTenorBasisValue(TenorBasis6M,R163,InterestRatesTrigger)</f>
        <v>2.2870856122058072E-4</v>
      </c>
      <c r="AA163" s="30">
        <f t="shared" si="21"/>
        <v>-4.3686999630593906E-5</v>
      </c>
    </row>
    <row r="164" spans="15:27" x14ac:dyDescent="0.2">
      <c r="O164" s="33">
        <v>3</v>
      </c>
      <c r="P164" s="27" t="str">
        <f>_xll.qlPeriodEquivalent(P163&amp;"+"&amp;O164&amp;"M")</f>
        <v>37Y3M</v>
      </c>
      <c r="Q164" s="28">
        <f>_xll.qlCalendarAdvance(Calendar,SettlementDate,P164,"f",,Trigger)</f>
        <v>55771</v>
      </c>
      <c r="R164" s="28">
        <f>_xll.qlInterestRateIndexValueDate(Index,Q164,Trigger)</f>
        <v>55773</v>
      </c>
      <c r="S164" s="28">
        <f>_xll.qlInterestRateIndexMaturity(Index,R164,Trigger)</f>
        <v>55864</v>
      </c>
      <c r="T164" s="30">
        <f>_xll.qlIndexFixing($M$6,Q164,,InterestRatesTrigger)</f>
        <v>1.5819650771595289E-2</v>
      </c>
      <c r="U164" s="30">
        <f>_xll.qlIndexFixing(Index,Q164,,InterestRatesTrigger)</f>
        <v>1.6002683712525462E-2</v>
      </c>
      <c r="V164" s="30">
        <f t="shared" si="20"/>
        <v>1.8303294093017369E-4</v>
      </c>
      <c r="W164" s="29">
        <f>_xll.qlDayCounterYearFraction(DayCounter,SettlementDate,R164,,,Trigger)</f>
        <v>37.805555555555557</v>
      </c>
      <c r="X164" s="29">
        <f>_xll.qlDayCounterYearFraction(DayCounter,R164,S164)</f>
        <v>0.25277777777777777</v>
      </c>
      <c r="Y164" s="29">
        <f>_xll.qlYieldTSDiscount(Currency&amp;"ON",R164)/(1+U164*X164)</f>
        <v>0.55982101367171522</v>
      </c>
      <c r="Z164" s="30">
        <f>_xll.qlTenorBasisValue(TenorBasis6M,R164,InterestRatesTrigger)</f>
        <v>2.2755429550637998E-4</v>
      </c>
      <c r="AA164" s="30">
        <f t="shared" si="21"/>
        <v>-4.452135457620629E-5</v>
      </c>
    </row>
    <row r="165" spans="15:27" x14ac:dyDescent="0.2">
      <c r="O165" s="33">
        <v>3</v>
      </c>
      <c r="P165" s="27" t="str">
        <f>_xll.qlPeriodEquivalent(P164&amp;"+"&amp;O165&amp;"M")</f>
        <v>37Y6M</v>
      </c>
      <c r="Q165" s="28">
        <f>_xll.qlCalendarAdvance(Calendar,SettlementDate,P165,"f",,Trigger)</f>
        <v>55862</v>
      </c>
      <c r="R165" s="28">
        <f>_xll.qlInterestRateIndexValueDate(Index,Q165,Trigger)</f>
        <v>55864</v>
      </c>
      <c r="S165" s="28">
        <f>_xll.qlInterestRateIndexMaturity(Index,R165,Trigger)</f>
        <v>55954</v>
      </c>
      <c r="T165" s="30">
        <f>_xll.qlIndexFixing($M$6,Q165,,InterestRatesTrigger)</f>
        <v>1.5707096099885298E-2</v>
      </c>
      <c r="U165" s="30">
        <f>_xll.qlIndexFixing(Index,Q165,,InterestRatesTrigger)</f>
        <v>1.5888309473102602E-2</v>
      </c>
      <c r="V165" s="30">
        <f t="shared" si="20"/>
        <v>1.812133732173038E-4</v>
      </c>
      <c r="W165" s="29">
        <f>_xll.qlDayCounterYearFraction(DayCounter,SettlementDate,R165,,,Trigger)</f>
        <v>38.05833333333333</v>
      </c>
      <c r="X165" s="29">
        <f>_xll.qlDayCounterYearFraction(DayCounter,R165,S165)</f>
        <v>0.25</v>
      </c>
      <c r="Y165" s="29">
        <f>_xll.qlYieldTSDiscount(Currency&amp;"ON",R165)/(1+U165*X165)</f>
        <v>0.55763185468837917</v>
      </c>
      <c r="Z165" s="30">
        <f>_xll.qlTenorBasisValue(TenorBasis6M,R165,InterestRatesTrigger)</f>
        <v>2.2643966529406197E-4</v>
      </c>
      <c r="AA165" s="30">
        <f t="shared" si="21"/>
        <v>-4.5226292076758169E-5</v>
      </c>
    </row>
    <row r="166" spans="15:27" x14ac:dyDescent="0.2">
      <c r="O166" s="33">
        <v>3</v>
      </c>
      <c r="P166" s="27" t="str">
        <f>_xll.qlPeriodEquivalent(P165&amp;"+"&amp;O166&amp;"M")</f>
        <v>37Y9M</v>
      </c>
      <c r="Q166" s="28">
        <f>_xll.qlCalendarAdvance(Calendar,SettlementDate,P166,"f",,Trigger)</f>
        <v>55953</v>
      </c>
      <c r="R166" s="28">
        <f>_xll.qlInterestRateIndexValueDate(Index,Q166,Trigger)</f>
        <v>55955</v>
      </c>
      <c r="S166" s="28">
        <f>_xll.qlInterestRateIndexMaturity(Index,R166,Trigger)</f>
        <v>56047</v>
      </c>
      <c r="T166" s="30">
        <f>_xll.qlIndexFixing($M$6,Q166,,InterestRatesTrigger)</f>
        <v>1.5587817304462079E-2</v>
      </c>
      <c r="U166" s="30">
        <f>_xll.qlIndexFixing(Index,Q166,,InterestRatesTrigger)</f>
        <v>1.5767378214375145E-2</v>
      </c>
      <c r="V166" s="30">
        <f t="shared" si="20"/>
        <v>1.7956090991306552E-4</v>
      </c>
      <c r="W166" s="29">
        <f>_xll.qlDayCounterYearFraction(DayCounter,SettlementDate,R166,,,Trigger)</f>
        <v>38.31111111111111</v>
      </c>
      <c r="X166" s="29">
        <f>_xll.qlDayCounterYearFraction(DayCounter,R166,S166)</f>
        <v>0.25555555555555554</v>
      </c>
      <c r="Y166" s="29">
        <f>_xll.qlYieldTSDiscount(Currency&amp;"ON",R166)/(1+U166*X166)</f>
        <v>0.55539489460969282</v>
      </c>
      <c r="Z166" s="30">
        <f>_xll.qlTenorBasisValue(TenorBasis6M,R166,InterestRatesTrigger)</f>
        <v>2.2536336873695386E-4</v>
      </c>
      <c r="AA166" s="30">
        <f t="shared" si="21"/>
        <v>-4.580245882388834E-5</v>
      </c>
    </row>
    <row r="167" spans="15:27" x14ac:dyDescent="0.2">
      <c r="O167" s="33">
        <v>3</v>
      </c>
      <c r="P167" s="27" t="str">
        <f>_xll.qlPeriodEquivalent(P166&amp;"+"&amp;O167&amp;"M")</f>
        <v>38Y</v>
      </c>
      <c r="Q167" s="28">
        <f>_xll.qlCalendarAdvance(Calendar,SettlementDate,P167,"f",,Trigger)</f>
        <v>56044</v>
      </c>
      <c r="R167" s="28">
        <f>_xll.qlInterestRateIndexValueDate(Index,Q167,Trigger)</f>
        <v>56046</v>
      </c>
      <c r="S167" s="28">
        <f>_xll.qlInterestRateIndexMaturity(Index,R167,Trigger)</f>
        <v>56138</v>
      </c>
      <c r="T167" s="30">
        <f>_xll.qlIndexFixing($M$6,Q167,,InterestRatesTrigger)</f>
        <v>1.5463346998936933E-2</v>
      </c>
      <c r="U167" s="30">
        <f>_xll.qlIndexFixing(Index,Q167,,InterestRatesTrigger)</f>
        <v>1.5641428967073125E-2</v>
      </c>
      <c r="V167" s="30">
        <f t="shared" si="20"/>
        <v>1.7808196813619281E-4</v>
      </c>
      <c r="W167" s="29">
        <f>_xll.qlDayCounterYearFraction(DayCounter,SettlementDate,R167,,,Trigger)</f>
        <v>38.56388888888889</v>
      </c>
      <c r="X167" s="29">
        <f>_xll.qlDayCounterYearFraction(DayCounter,R167,S167)</f>
        <v>0.25555555555555554</v>
      </c>
      <c r="Y167" s="29">
        <f>_xll.qlYieldTSDiscount(Currency&amp;"ON",R167)/(1+U167*X167)</f>
        <v>0.55323277537829429</v>
      </c>
      <c r="Z167" s="30">
        <f>_xll.qlTenorBasisValue(TenorBasis6M,R167,InterestRatesTrigger)</f>
        <v>2.2432414378083021E-4</v>
      </c>
      <c r="AA167" s="30">
        <f t="shared" si="21"/>
        <v>-4.6242175644637393E-5</v>
      </c>
    </row>
    <row r="168" spans="15:27" x14ac:dyDescent="0.2">
      <c r="O168" s="33">
        <v>3</v>
      </c>
      <c r="P168" s="27" t="str">
        <f>_xll.qlPeriodEquivalent(P167&amp;"+"&amp;O168&amp;"M")</f>
        <v>38Y3M</v>
      </c>
      <c r="Q168" s="28">
        <f>_xll.qlCalendarAdvance(Calendar,SettlementDate,P168,"f",,Trigger)</f>
        <v>56135</v>
      </c>
      <c r="R168" s="28">
        <f>_xll.qlInterestRateIndexValueDate(Index,Q168,Trigger)</f>
        <v>56137</v>
      </c>
      <c r="S168" s="28">
        <f>_xll.qlInterestRateIndexMaturity(Index,R168,Trigger)</f>
        <v>56228</v>
      </c>
      <c r="T168" s="30">
        <f>_xll.qlIndexFixing($M$6,Q168,,InterestRatesTrigger)</f>
        <v>1.5333498269106818E-2</v>
      </c>
      <c r="U168" s="30">
        <f>_xll.qlIndexFixing(Index,Q168,,InterestRatesTrigger)</f>
        <v>1.5510270925225132E-2</v>
      </c>
      <c r="V168" s="30">
        <f t="shared" si="20"/>
        <v>1.7677265611831458E-4</v>
      </c>
      <c r="W168" s="29">
        <f>_xll.qlDayCounterYearFraction(DayCounter,SettlementDate,R168,,,Trigger)</f>
        <v>38.81666666666667</v>
      </c>
      <c r="X168" s="29">
        <f>_xll.qlDayCounterYearFraction(DayCounter,R168,S168)</f>
        <v>0.25277777777777777</v>
      </c>
      <c r="Y168" s="29">
        <f>_xll.qlYieldTSDiscount(Currency&amp;"ON",R168)/(1+U168*X168)</f>
        <v>0.55112072130250989</v>
      </c>
      <c r="Z168" s="30">
        <f>_xll.qlTenorBasisValue(TenorBasis6M,R168,InterestRatesTrigger)</f>
        <v>2.2332076710318682E-4</v>
      </c>
      <c r="AA168" s="30">
        <f t="shared" si="21"/>
        <v>-4.6548110984872241E-5</v>
      </c>
    </row>
    <row r="169" spans="15:27" x14ac:dyDescent="0.2">
      <c r="O169" s="33">
        <v>3</v>
      </c>
      <c r="P169" s="27" t="str">
        <f>_xll.qlPeriodEquivalent(P168&amp;"+"&amp;O169&amp;"M")</f>
        <v>38Y6M</v>
      </c>
      <c r="Q169" s="28">
        <f>_xll.qlCalendarAdvance(Calendar,SettlementDate,P169,"f",,Trigger)</f>
        <v>56226</v>
      </c>
      <c r="R169" s="28">
        <f>_xll.qlInterestRateIndexValueDate(Index,Q169,Trigger)</f>
        <v>56228</v>
      </c>
      <c r="S169" s="28">
        <f>_xll.qlInterestRateIndexMaturity(Index,R169,Trigger)</f>
        <v>56318</v>
      </c>
      <c r="T169" s="30">
        <f>_xll.qlIndexFixing($M$6,Q169,,InterestRatesTrigger)</f>
        <v>1.5197935794746265E-2</v>
      </c>
      <c r="U169" s="30">
        <f>_xll.qlIndexFixing(Index,Q169,,InterestRatesTrigger)</f>
        <v>1.5373568111255231E-2</v>
      </c>
      <c r="V169" s="30">
        <f t="shared" si="20"/>
        <v>1.7563231650896682E-4</v>
      </c>
      <c r="W169" s="29">
        <f>_xll.qlDayCounterYearFraction(DayCounter,SettlementDate,R169,,,Trigger)</f>
        <v>39.069444444444443</v>
      </c>
      <c r="X169" s="29">
        <f>_xll.qlDayCounterYearFraction(DayCounter,R169,S169)</f>
        <v>0.25</v>
      </c>
      <c r="Y169" s="29">
        <f>_xll.qlYieldTSDiscount(Currency&amp;"ON",R169)/(1+U169*X169)</f>
        <v>0.54903509549901897</v>
      </c>
      <c r="Z169" s="30">
        <f>_xll.qlTenorBasisValue(TenorBasis6M,R169,InterestRatesTrigger)</f>
        <v>2.2235205307202414E-4</v>
      </c>
      <c r="AA169" s="30">
        <f t="shared" si="21"/>
        <v>-4.6719736563057316E-5</v>
      </c>
    </row>
    <row r="170" spans="15:27" x14ac:dyDescent="0.2">
      <c r="O170" s="33">
        <v>3</v>
      </c>
      <c r="P170" s="27" t="str">
        <f>_xll.qlPeriodEquivalent(P169&amp;"+"&amp;O170&amp;"M")</f>
        <v>38Y9M</v>
      </c>
      <c r="Q170" s="28">
        <f>_xll.qlCalendarAdvance(Calendar,SettlementDate,P170,"f",,Trigger)</f>
        <v>56317</v>
      </c>
      <c r="R170" s="28">
        <f>_xll.qlInterestRateIndexValueDate(Index,Q170,Trigger)</f>
        <v>56319</v>
      </c>
      <c r="S170" s="28">
        <f>_xll.qlInterestRateIndexMaturity(Index,R170,Trigger)</f>
        <v>56411</v>
      </c>
      <c r="T170" s="30">
        <f>_xll.qlIndexFixing($M$6,Q170,,InterestRatesTrigger)</f>
        <v>1.5055203501344136E-2</v>
      </c>
      <c r="U170" s="30">
        <f>_xll.qlIndexFixing(Index,Q170,,InterestRatesTrigger)</f>
        <v>1.5229872332071974E-2</v>
      </c>
      <c r="V170" s="30">
        <f t="shared" si="20"/>
        <v>1.746688307278383E-4</v>
      </c>
      <c r="W170" s="29">
        <f>_xll.qlDayCounterYearFraction(DayCounter,SettlementDate,R170,,,Trigger)</f>
        <v>39.322222222222223</v>
      </c>
      <c r="X170" s="29">
        <f>_xll.qlDayCounterYearFraction(DayCounter,R170,S170)</f>
        <v>0.25555555555555554</v>
      </c>
      <c r="Y170" s="29">
        <f>_xll.qlYieldTSDiscount(Currency&amp;"ON",R170)/(1+U170*X170)</f>
        <v>0.54690747580482235</v>
      </c>
      <c r="Z170" s="30">
        <f>_xll.qlTenorBasisValue(TenorBasis6M,R170,InterestRatesTrigger)</f>
        <v>2.2141685272434857E-4</v>
      </c>
      <c r="AA170" s="30">
        <f t="shared" si="21"/>
        <v>-4.6748021996510265E-5</v>
      </c>
    </row>
    <row r="171" spans="15:27" x14ac:dyDescent="0.2">
      <c r="O171" s="33">
        <v>3</v>
      </c>
      <c r="P171" s="27" t="str">
        <f>_xll.qlPeriodEquivalent(P170&amp;"+"&amp;O171&amp;"M")</f>
        <v>39Y</v>
      </c>
      <c r="Q171" s="28">
        <f>_xll.qlCalendarAdvance(Calendar,SettlementDate,P171,"f",,Trigger)</f>
        <v>56408</v>
      </c>
      <c r="R171" s="28">
        <f>_xll.qlInterestRateIndexValueDate(Index,Q171,Trigger)</f>
        <v>56410</v>
      </c>
      <c r="S171" s="28">
        <f>_xll.qlInterestRateIndexMaturity(Index,R171,Trigger)</f>
        <v>56502</v>
      </c>
      <c r="T171" s="30">
        <f>_xll.qlIndexFixing($M$6,Q171,,InterestRatesTrigger)</f>
        <v>1.4907580147529962E-2</v>
      </c>
      <c r="U171" s="30">
        <f>_xll.qlIndexFixing(Index,Q171,,InterestRatesTrigger)</f>
        <v>1.5081452452218761E-2</v>
      </c>
      <c r="V171" s="30">
        <f t="shared" si="20"/>
        <v>1.7387230468879876E-4</v>
      </c>
      <c r="W171" s="29">
        <f>_xll.qlDayCounterYearFraction(DayCounter,SettlementDate,R171,,,Trigger)</f>
        <v>39.575000000000003</v>
      </c>
      <c r="X171" s="29">
        <f>_xll.qlDayCounterYearFraction(DayCounter,R171,S171)</f>
        <v>0.25555555555555554</v>
      </c>
      <c r="Y171" s="29">
        <f>_xll.qlYieldTSDiscount(Currency&amp;"ON",R171)/(1+U171*X171)</f>
        <v>0.54485456325683779</v>
      </c>
      <c r="Z171" s="30">
        <f>_xll.qlTenorBasisValue(TenorBasis6M,R171,InterestRatesTrigger)</f>
        <v>2.2051405276454804E-4</v>
      </c>
      <c r="AA171" s="30">
        <f t="shared" si="21"/>
        <v>-4.6641748075749285E-5</v>
      </c>
    </row>
    <row r="172" spans="15:27" x14ac:dyDescent="0.2">
      <c r="O172" s="33">
        <v>3</v>
      </c>
      <c r="P172" s="27" t="str">
        <f>_xll.qlPeriodEquivalent(P171&amp;"+"&amp;O172&amp;"M")</f>
        <v>39Y3M</v>
      </c>
      <c r="Q172" s="28">
        <f>_xll.qlCalendarAdvance(Calendar,SettlementDate,P172,"f",,Trigger)</f>
        <v>56500</v>
      </c>
      <c r="R172" s="28">
        <f>_xll.qlInterestRateIndexValueDate(Index,Q172,Trigger)</f>
        <v>56502</v>
      </c>
      <c r="S172" s="28">
        <f>_xll.qlInterestRateIndexMaturity(Index,R172,Trigger)</f>
        <v>56593</v>
      </c>
      <c r="T172" s="30">
        <f>_xll.qlIndexFixing($M$6,Q172,,InterestRatesTrigger)</f>
        <v>1.4753014614606961E-2</v>
      </c>
      <c r="U172" s="30">
        <f>_xll.qlIndexFixing(Index,Q172,,InterestRatesTrigger)</f>
        <v>1.4926250708336402E-2</v>
      </c>
      <c r="V172" s="30">
        <f t="shared" si="20"/>
        <v>1.732360937294411E-4</v>
      </c>
      <c r="W172" s="29">
        <f>_xll.qlDayCounterYearFraction(DayCounter,SettlementDate,R172,,,Trigger)</f>
        <v>39.830555555555556</v>
      </c>
      <c r="X172" s="29">
        <f>_xll.qlDayCounterYearFraction(DayCounter,R172,S172)</f>
        <v>0.25277777777777777</v>
      </c>
      <c r="Y172" s="29">
        <f>_xll.qlYieldTSDiscount(Currency&amp;"ON",R172)/(1+U172*X172)</f>
        <v>0.54283056843354205</v>
      </c>
      <c r="Z172" s="30">
        <f>_xll.qlTenorBasisValue(TenorBasis6M,R172,InterestRatesTrigger)</f>
        <v>2.1963316796703552E-4</v>
      </c>
      <c r="AA172" s="30">
        <f t="shared" si="21"/>
        <v>-4.6397074237594421E-5</v>
      </c>
    </row>
    <row r="173" spans="15:27" x14ac:dyDescent="0.2">
      <c r="O173" s="33">
        <v>3</v>
      </c>
      <c r="P173" s="27" t="str">
        <f>_xll.qlPeriodEquivalent(P172&amp;"+"&amp;O173&amp;"M")</f>
        <v>39Y6M</v>
      </c>
      <c r="Q173" s="28">
        <f>_xll.qlCalendarAdvance(Calendar,SettlementDate,P173,"f",,Trigger)</f>
        <v>56591</v>
      </c>
      <c r="R173" s="28">
        <f>_xll.qlInterestRateIndexValueDate(Index,Q173,Trigger)</f>
        <v>56593</v>
      </c>
      <c r="S173" s="28">
        <f>_xll.qlInterestRateIndexMaturity(Index,R173,Trigger)</f>
        <v>56683</v>
      </c>
      <c r="T173" s="30">
        <f>_xll.qlIndexFixing($M$6,Q173,,InterestRatesTrigger)</f>
        <v>1.4594393690806839E-2</v>
      </c>
      <c r="U173" s="30">
        <f>_xll.qlIndexFixing(Index,Q173,,InterestRatesTrigger)</f>
        <v>1.4767170251584361E-2</v>
      </c>
      <c r="V173" s="30">
        <f t="shared" si="20"/>
        <v>1.7277656077752113E-4</v>
      </c>
      <c r="W173" s="29">
        <f>_xll.qlDayCounterYearFraction(DayCounter,SettlementDate,R173,,,Trigger)</f>
        <v>40.083333333333336</v>
      </c>
      <c r="X173" s="29">
        <f>_xll.qlDayCounterYearFraction(DayCounter,R173,S173)</f>
        <v>0.25</v>
      </c>
      <c r="Y173" s="29">
        <f>_xll.qlYieldTSDiscount(Currency&amp;"ON",R173)/(1+U173*X173)</f>
        <v>0.54085751703554263</v>
      </c>
      <c r="Z173" s="30">
        <f>_xll.qlTenorBasisValue(TenorBasis6M,R173,InterestRatesTrigger)</f>
        <v>2.1879229370932849E-4</v>
      </c>
      <c r="AA173" s="30">
        <f t="shared" si="21"/>
        <v>-4.6015732931807367E-5</v>
      </c>
    </row>
    <row r="174" spans="15:27" x14ac:dyDescent="0.2">
      <c r="O174" s="33">
        <v>3</v>
      </c>
      <c r="P174" s="27" t="str">
        <f>_xll.qlPeriodEquivalent(P173&amp;"+"&amp;O174&amp;"M")</f>
        <v>39Y9M</v>
      </c>
      <c r="Q174" s="28">
        <f>_xll.qlCalendarAdvance(Calendar,SettlementDate,P174,"f",,Trigger)</f>
        <v>56681</v>
      </c>
      <c r="R174" s="28">
        <f>_xll.qlInterestRateIndexValueDate(Index,Q174,Trigger)</f>
        <v>56683</v>
      </c>
      <c r="S174" s="28">
        <f>_xll.qlInterestRateIndexMaturity(Index,R174,Trigger)</f>
        <v>56775</v>
      </c>
      <c r="T174" s="30">
        <f>_xll.qlIndexFixing($M$6,Q174,,InterestRatesTrigger)</f>
        <v>1.4429992684260162E-2</v>
      </c>
      <c r="U174" s="30">
        <f>_xll.qlIndexFixing(Index,Q174,,InterestRatesTrigger)</f>
        <v>1.4602498748052022E-2</v>
      </c>
      <c r="V174" s="30">
        <f t="shared" si="20"/>
        <v>1.7250606379186004E-4</v>
      </c>
      <c r="W174" s="29">
        <f>_xll.qlDayCounterYearFraction(DayCounter,SettlementDate,R174,,,Trigger)</f>
        <v>40.333333333333336</v>
      </c>
      <c r="X174" s="29">
        <f>_xll.qlDayCounterYearFraction(DayCounter,R174,S174)</f>
        <v>0.25555555555555554</v>
      </c>
      <c r="Y174" s="29">
        <f>_xll.qlYieldTSDiscount(Currency&amp;"ON",R174)/(1+U174*X174)</f>
        <v>0.53886986653070712</v>
      </c>
      <c r="Z174" s="30">
        <f>_xll.qlTenorBasisValue(TenorBasis6M,R174,InterestRatesTrigger)</f>
        <v>2.1798943679291854E-4</v>
      </c>
      <c r="AA174" s="30">
        <f t="shared" si="21"/>
        <v>-4.5483373001058505E-5</v>
      </c>
    </row>
    <row r="175" spans="15:27" x14ac:dyDescent="0.2">
      <c r="O175" s="33">
        <v>3</v>
      </c>
      <c r="P175" s="27" t="str">
        <f>_xll.qlPeriodEquivalent(P174&amp;"+"&amp;O175&amp;"M")</f>
        <v>40Y</v>
      </c>
      <c r="Q175" s="28">
        <f>_xll.qlCalendarAdvance(Calendar,SettlementDate,P175,"f",,Trigger)</f>
        <v>56773</v>
      </c>
      <c r="R175" s="28">
        <f>_xll.qlInterestRateIndexValueDate(Index,Q175,Trigger)</f>
        <v>56775</v>
      </c>
      <c r="S175" s="28">
        <f>_xll.qlInterestRateIndexMaturity(Index,R175,Trigger)</f>
        <v>56867</v>
      </c>
      <c r="T175" s="30">
        <f>_xll.qlIndexFixing($M$6,Q175,,InterestRatesTrigger)</f>
        <v>1.425957173301701E-2</v>
      </c>
      <c r="U175" s="30">
        <f>_xll.qlIndexFixing(Index,Q175,,InterestRatesTrigger)</f>
        <v>1.4431925530695239E-2</v>
      </c>
      <c r="V175" s="30">
        <f t="shared" si="20"/>
        <v>1.7235379767822911E-4</v>
      </c>
      <c r="W175" s="29">
        <f>_xll.qlDayCounterYearFraction(DayCounter,SettlementDate,R175,,,Trigger)</f>
        <v>40.588888888888889</v>
      </c>
      <c r="X175" s="29">
        <f>_xll.qlDayCounterYearFraction(DayCounter,R175,S175)</f>
        <v>0.25555555555555554</v>
      </c>
      <c r="Y175" s="29">
        <f>_xll.qlYieldTSDiscount(Currency&amp;"ON",R175)/(1+U175*X175)</f>
        <v>0.53691331372908901</v>
      </c>
      <c r="Z175" s="30">
        <f>_xll.qlTenorBasisValue(TenorBasis6M,R175,InterestRatesTrigger)</f>
        <v>2.1719732683461227E-4</v>
      </c>
      <c r="AA175" s="30">
        <f t="shared" si="21"/>
        <v>-4.4843529156383158E-5</v>
      </c>
    </row>
    <row r="176" spans="15:27" x14ac:dyDescent="0.2">
      <c r="O176" s="33">
        <v>3</v>
      </c>
      <c r="P176" s="27" t="str">
        <f>_xll.qlPeriodEquivalent(P175&amp;"+"&amp;O176&amp;"M")</f>
        <v>40Y3M</v>
      </c>
      <c r="Q176" s="28">
        <f>_xll.qlCalendarAdvance(Calendar,SettlementDate,P176,"f",,Trigger)</f>
        <v>56865</v>
      </c>
      <c r="R176" s="28">
        <f>_xll.qlInterestRateIndexValueDate(Index,Q176,Trigger)</f>
        <v>56867</v>
      </c>
      <c r="S176" s="28">
        <f>_xll.qlInterestRateIndexMaturity(Index,R176,Trigger)</f>
        <v>56958</v>
      </c>
      <c r="T176" s="30">
        <f>_xll.qlIndexFixing($M$6,Q176,,InterestRatesTrigger)</f>
        <v>1.4094538088983043E-2</v>
      </c>
      <c r="U176" s="30">
        <f>_xll.qlIndexFixing(Index,Q176,,InterestRatesTrigger)</f>
        <v>1.4266729630409371E-2</v>
      </c>
      <c r="V176" s="30">
        <f t="shared" si="20"/>
        <v>1.7219154142632774E-4</v>
      </c>
      <c r="W176" s="29">
        <f>_xll.qlDayCounterYearFraction(DayCounter,SettlementDate,R176,,,Trigger)</f>
        <v>40.844444444444441</v>
      </c>
      <c r="X176" s="29">
        <f>_xll.qlDayCounterYearFraction(DayCounter,R176,S176)</f>
        <v>0.25277777777777777</v>
      </c>
      <c r="Y176" s="29">
        <f>_xll.qlYieldTSDiscount(Currency&amp;"ON",R176)/(1+U176*X176)</f>
        <v>0.53500747274828686</v>
      </c>
      <c r="Z176" s="30">
        <f>_xll.qlTenorBasisValue(TenorBasis6M,R176,InterestRatesTrigger)</f>
        <v>2.1643314578428851E-4</v>
      </c>
      <c r="AA176" s="30">
        <f t="shared" si="21"/>
        <v>-4.424160435796077E-5</v>
      </c>
    </row>
    <row r="177" spans="15:27" x14ac:dyDescent="0.2">
      <c r="O177" s="33">
        <v>3</v>
      </c>
      <c r="P177" s="27" t="str">
        <f>_xll.qlPeriodEquivalent(P176&amp;"+"&amp;O177&amp;"M")</f>
        <v>40Y6M</v>
      </c>
      <c r="Q177" s="28">
        <f>_xll.qlCalendarAdvance(Calendar,SettlementDate,P177,"f",,Trigger)</f>
        <v>56956</v>
      </c>
      <c r="R177" s="28">
        <f>_xll.qlInterestRateIndexValueDate(Index,Q177,Trigger)</f>
        <v>56958</v>
      </c>
      <c r="S177" s="28">
        <f>_xll.qlInterestRateIndexMaturity(Index,R177,Trigger)</f>
        <v>57049</v>
      </c>
      <c r="T177" s="30">
        <f>_xll.qlIndexFixing($M$6,Q177,,InterestRatesTrigger)</f>
        <v>1.3937328848362419E-2</v>
      </c>
      <c r="U177" s="30">
        <f>_xll.qlIndexFixing(Index,Q177,,InterestRatesTrigger)</f>
        <v>1.410932931027873E-2</v>
      </c>
      <c r="V177" s="30">
        <f t="shared" si="20"/>
        <v>1.7200046191631103E-4</v>
      </c>
      <c r="W177" s="29">
        <f>_xll.qlDayCounterYearFraction(DayCounter,SettlementDate,R177,,,Trigger)</f>
        <v>41.097222222222221</v>
      </c>
      <c r="X177" s="29">
        <f>_xll.qlDayCounterYearFraction(DayCounter,R177,S177)</f>
        <v>0.25277777777777777</v>
      </c>
      <c r="Y177" s="29">
        <f>_xll.qlYieldTSDiscount(Currency&amp;"ON",R177)/(1+U177*X177)</f>
        <v>0.53312925813763212</v>
      </c>
      <c r="Z177" s="30">
        <f>_xll.qlTenorBasisValue(TenorBasis6M,R177,InterestRatesTrigger)</f>
        <v>2.1570381563009578E-4</v>
      </c>
      <c r="AA177" s="30">
        <f t="shared" si="21"/>
        <v>-4.3703353713784741E-5</v>
      </c>
    </row>
    <row r="178" spans="15:27" x14ac:dyDescent="0.2">
      <c r="O178" s="33">
        <v>3</v>
      </c>
      <c r="P178" s="27" t="str">
        <f>_xll.qlPeriodEquivalent(P177&amp;"+"&amp;O178&amp;"M")</f>
        <v>40Y9M</v>
      </c>
      <c r="Q178" s="28">
        <f>_xll.qlCalendarAdvance(Calendar,SettlementDate,P178,"f",,Trigger)</f>
        <v>57047</v>
      </c>
      <c r="R178" s="28">
        <f>_xll.qlInterestRateIndexValueDate(Index,Q178,Trigger)</f>
        <v>57049</v>
      </c>
      <c r="S178" s="28">
        <f>_xll.qlInterestRateIndexMaturity(Index,R178,Trigger)</f>
        <v>57143</v>
      </c>
      <c r="T178" s="30">
        <f>_xll.qlIndexFixing($M$6,Q178,,InterestRatesTrigger)</f>
        <v>1.3785119056229426E-2</v>
      </c>
      <c r="U178" s="30">
        <f>_xll.qlIndexFixing(Index,Q178,,InterestRatesTrigger)</f>
        <v>1.3956907711752361E-2</v>
      </c>
      <c r="V178" s="30">
        <f t="shared" si="20"/>
        <v>1.7178865552293539E-4</v>
      </c>
      <c r="W178" s="29">
        <f>_xll.qlDayCounterYearFraction(DayCounter,SettlementDate,R178,,,Trigger)</f>
        <v>41.35</v>
      </c>
      <c r="X178" s="29">
        <f>_xll.qlDayCounterYearFraction(DayCounter,R178,S178)</f>
        <v>0.26111111111111113</v>
      </c>
      <c r="Y178" s="29">
        <f>_xll.qlYieldTSDiscount(Currency&amp;"ON",R178)/(1+U178*X178)</f>
        <v>0.53121644206523666</v>
      </c>
      <c r="Z178" s="30">
        <f>_xll.qlTenorBasisValue(TenorBasis6M,R178,InterestRatesTrigger)</f>
        <v>2.1499999231155924E-4</v>
      </c>
      <c r="AA178" s="30">
        <f t="shared" si="21"/>
        <v>-4.3211336788623848E-5</v>
      </c>
    </row>
    <row r="179" spans="15:27" x14ac:dyDescent="0.2">
      <c r="O179" s="33">
        <v>3</v>
      </c>
      <c r="P179" s="27" t="str">
        <f>_xll.qlPeriodEquivalent(P178&amp;"+"&amp;O179&amp;"M")</f>
        <v>41Y</v>
      </c>
      <c r="Q179" s="28">
        <f>_xll.qlCalendarAdvance(Calendar,SettlementDate,P179,"f",,Trigger)</f>
        <v>57139</v>
      </c>
      <c r="R179" s="28">
        <f>_xll.qlInterestRateIndexValueDate(Index,Q179,Trigger)</f>
        <v>57143</v>
      </c>
      <c r="S179" s="28">
        <f>_xll.qlInterestRateIndexMaturity(Index,R179,Trigger)</f>
        <v>57235</v>
      </c>
      <c r="T179" s="30">
        <f>_xll.qlIndexFixing($M$6,Q179,,InterestRatesTrigger)</f>
        <v>1.3637619399932181E-2</v>
      </c>
      <c r="U179" s="30">
        <f>_xll.qlIndexFixing(Index,Q179,,InterestRatesTrigger)</f>
        <v>1.3809124150012097E-2</v>
      </c>
      <c r="V179" s="30">
        <f t="shared" si="20"/>
        <v>1.7150475007991599E-4</v>
      </c>
      <c r="W179" s="29">
        <f>_xll.qlDayCounterYearFraction(DayCounter,SettlementDate,R179,,,Trigger)</f>
        <v>41.611111111111114</v>
      </c>
      <c r="X179" s="29">
        <f>_xll.qlDayCounterYearFraction(DayCounter,R179,S179)</f>
        <v>0.25555555555555554</v>
      </c>
      <c r="Y179" s="29">
        <f>_xll.qlYieldTSDiscount(Currency&amp;"ON",R179)/(1+U179*X179)</f>
        <v>0.52937203176041037</v>
      </c>
      <c r="Z179" s="30">
        <f>_xll.qlTenorBasisValue(TenorBasis6M,R179,InterestRatesTrigger)</f>
        <v>2.1429883431476441E-4</v>
      </c>
      <c r="AA179" s="30">
        <f t="shared" si="21"/>
        <v>-4.2794084234848423E-5</v>
      </c>
    </row>
    <row r="180" spans="15:27" x14ac:dyDescent="0.2">
      <c r="O180" s="33">
        <v>3</v>
      </c>
      <c r="P180" s="27" t="str">
        <f>_xll.qlPeriodEquivalent(P179&amp;"+"&amp;O180&amp;"M")</f>
        <v>41Y3M</v>
      </c>
      <c r="Q180" s="28">
        <f>_xll.qlCalendarAdvance(Calendar,SettlementDate,P180,"f",,Trigger)</f>
        <v>57231</v>
      </c>
      <c r="R180" s="28">
        <f>_xll.qlInterestRateIndexValueDate(Index,Q180,Trigger)</f>
        <v>57235</v>
      </c>
      <c r="S180" s="28">
        <f>_xll.qlInterestRateIndexMaturity(Index,R180,Trigger)</f>
        <v>57326</v>
      </c>
      <c r="T180" s="30">
        <f>_xll.qlIndexFixing($M$6,Q180,,InterestRatesTrigger)</f>
        <v>1.3499514318034306E-2</v>
      </c>
      <c r="U180" s="30">
        <f>_xll.qlIndexFixing(Index,Q180,,InterestRatesTrigger)</f>
        <v>1.3670709173782469E-2</v>
      </c>
      <c r="V180" s="30">
        <f t="shared" si="20"/>
        <v>1.7119485574816282E-4</v>
      </c>
      <c r="W180" s="29">
        <f>_xll.qlDayCounterYearFraction(DayCounter,SettlementDate,R180,,,Trigger)</f>
        <v>41.866666666666667</v>
      </c>
      <c r="X180" s="29">
        <f>_xll.qlDayCounterYearFraction(DayCounter,R180,S180)</f>
        <v>0.25277777777777777</v>
      </c>
      <c r="Y180" s="29">
        <f>_xll.qlYieldTSDiscount(Currency&amp;"ON",R180)/(1+U180*X180)</f>
        <v>0.5275720478902286</v>
      </c>
      <c r="Z180" s="30">
        <f>_xll.qlTenorBasisValue(TenorBasis6M,R180,InterestRatesTrigger)</f>
        <v>2.1363717610998033E-4</v>
      </c>
      <c r="AA180" s="30">
        <f t="shared" si="21"/>
        <v>-4.2442320361817516E-5</v>
      </c>
    </row>
    <row r="181" spans="15:27" x14ac:dyDescent="0.2">
      <c r="O181" s="33">
        <v>3</v>
      </c>
      <c r="P181" s="27" t="str">
        <f>_xll.qlPeriodEquivalent(P180&amp;"+"&amp;O181&amp;"M")</f>
        <v>41Y6M</v>
      </c>
      <c r="Q181" s="28">
        <f>_xll.qlCalendarAdvance(Calendar,SettlementDate,P181,"f",,Trigger)</f>
        <v>57322</v>
      </c>
      <c r="R181" s="28">
        <f>_xll.qlInterestRateIndexValueDate(Index,Q181,Trigger)</f>
        <v>57326</v>
      </c>
      <c r="S181" s="28">
        <f>_xll.qlInterestRateIndexMaturity(Index,R181,Trigger)</f>
        <v>57416</v>
      </c>
      <c r="T181" s="30">
        <f>_xll.qlIndexFixing($M$6,Q181,,InterestRatesTrigger)</f>
        <v>1.3369504293363477E-2</v>
      </c>
      <c r="U181" s="30">
        <f>_xll.qlIndexFixing(Index,Q181,,InterestRatesTrigger)</f>
        <v>1.3540356538432441E-2</v>
      </c>
      <c r="V181" s="30">
        <f t="shared" si="20"/>
        <v>1.7085224506896424E-4</v>
      </c>
      <c r="W181" s="29">
        <f>_xll.qlDayCounterYearFraction(DayCounter,SettlementDate,R181,,,Trigger)</f>
        <v>42.119444444444447</v>
      </c>
      <c r="X181" s="29">
        <f>_xll.qlDayCounterYearFraction(DayCounter,R181,S181)</f>
        <v>0.25</v>
      </c>
      <c r="Y181" s="29">
        <f>_xll.qlYieldTSDiscount(Currency&amp;"ON",R181)/(1+U181*X181)</f>
        <v>0.52581487033267449</v>
      </c>
      <c r="Z181" s="30">
        <f>_xll.qlTenorBasisValue(TenorBasis6M,R181,InterestRatesTrigger)</f>
        <v>2.1300580978076815E-4</v>
      </c>
      <c r="AA181" s="30">
        <f t="shared" si="21"/>
        <v>-4.2153564711803918E-5</v>
      </c>
    </row>
    <row r="182" spans="15:27" x14ac:dyDescent="0.2">
      <c r="O182" s="33">
        <v>3</v>
      </c>
      <c r="P182" s="27" t="str">
        <f>_xll.qlPeriodEquivalent(P181&amp;"+"&amp;O182&amp;"M")</f>
        <v>41Y9M</v>
      </c>
      <c r="Q182" s="28">
        <f>_xll.qlCalendarAdvance(Calendar,SettlementDate,P182,"f",,Trigger)</f>
        <v>57412</v>
      </c>
      <c r="R182" s="28">
        <f>_xll.qlInterestRateIndexValueDate(Index,Q182,Trigger)</f>
        <v>57416</v>
      </c>
      <c r="S182" s="28">
        <f>_xll.qlInterestRateIndexMaturity(Index,R182,Trigger)</f>
        <v>57508</v>
      </c>
      <c r="T182" s="30">
        <f>_xll.qlIndexFixing($M$6,Q182,,InterestRatesTrigger)</f>
        <v>1.3246130918416973E-2</v>
      </c>
      <c r="U182" s="30">
        <f>_xll.qlIndexFixing(Index,Q182,,InterestRatesTrigger)</f>
        <v>1.3416621366603107E-2</v>
      </c>
      <c r="V182" s="30">
        <f t="shared" si="20"/>
        <v>1.7049044818613461E-4</v>
      </c>
      <c r="W182" s="29">
        <f>_xll.qlDayCounterYearFraction(DayCounter,SettlementDate,R182,,,Trigger)</f>
        <v>42.369444444444447</v>
      </c>
      <c r="X182" s="29">
        <f>_xll.qlDayCounterYearFraction(DayCounter,R182,S182)</f>
        <v>0.25555555555555554</v>
      </c>
      <c r="Y182" s="29">
        <f>_xll.qlYieldTSDiscount(Currency&amp;"ON",R182)/(1+U182*X182)</f>
        <v>0.52404048120639157</v>
      </c>
      <c r="Z182" s="30">
        <f>_xll.qlTenorBasisValue(TenorBasis6M,R182,InterestRatesTrigger)</f>
        <v>2.1240321095843684E-4</v>
      </c>
      <c r="AA182" s="30">
        <f t="shared" si="21"/>
        <v>-4.1912762772302231E-5</v>
      </c>
    </row>
    <row r="183" spans="15:27" x14ac:dyDescent="0.2">
      <c r="O183" s="33">
        <v>3</v>
      </c>
      <c r="P183" s="27" t="str">
        <f>_xll.qlPeriodEquivalent(P182&amp;"+"&amp;O183&amp;"M")</f>
        <v>42Y</v>
      </c>
      <c r="Q183" s="28">
        <f>_xll.qlCalendarAdvance(Calendar,SettlementDate,P183,"f",,Trigger)</f>
        <v>57504</v>
      </c>
      <c r="R183" s="28">
        <f>_xll.qlInterestRateIndexValueDate(Index,Q183,Trigger)</f>
        <v>57508</v>
      </c>
      <c r="S183" s="28">
        <f>_xll.qlInterestRateIndexMaturity(Index,R183,Trigger)</f>
        <v>57600</v>
      </c>
      <c r="T183" s="30">
        <f>_xll.qlIndexFixing($M$6,Q183,,InterestRatesTrigger)</f>
        <v>1.3127611411592587E-2</v>
      </c>
      <c r="U183" s="30">
        <f>_xll.qlIndexFixing(Index,Q183,,InterestRatesTrigger)</f>
        <v>1.3297686284869454E-2</v>
      </c>
      <c r="V183" s="30">
        <f t="shared" si="20"/>
        <v>1.7007487327686671E-4</v>
      </c>
      <c r="W183" s="29">
        <f>_xll.qlDayCounterYearFraction(DayCounter,SettlementDate,R183,,,Trigger)</f>
        <v>42.625</v>
      </c>
      <c r="X183" s="29">
        <f>_xll.qlDayCounterYearFraction(DayCounter,R183,S183)</f>
        <v>0.25555555555555554</v>
      </c>
      <c r="Y183" s="29">
        <f>_xll.qlYieldTSDiscount(Currency&amp;"ON",R183)/(1+U183*X183)</f>
        <v>0.52228834527257495</v>
      </c>
      <c r="Z183" s="30">
        <f>_xll.qlTenorBasisValue(TenorBasis6M,R183,InterestRatesTrigger)</f>
        <v>2.1180889598026558E-4</v>
      </c>
      <c r="AA183" s="30">
        <f t="shared" si="21"/>
        <v>-4.1734022703398871E-5</v>
      </c>
    </row>
    <row r="184" spans="15:27" x14ac:dyDescent="0.2">
      <c r="O184" s="33">
        <v>3</v>
      </c>
      <c r="P184" s="27" t="str">
        <f>_xll.qlPeriodEquivalent(P183&amp;"+"&amp;O184&amp;"M")</f>
        <v>42Y3M</v>
      </c>
      <c r="Q184" s="28">
        <f>_xll.qlCalendarAdvance(Calendar,SettlementDate,P184,"f",,Trigger)</f>
        <v>57598</v>
      </c>
      <c r="R184" s="28">
        <f>_xll.qlInterestRateIndexValueDate(Index,Q184,Trigger)</f>
        <v>57600</v>
      </c>
      <c r="S184" s="28">
        <f>_xll.qlInterestRateIndexMaturity(Index,R184,Trigger)</f>
        <v>57691</v>
      </c>
      <c r="T184" s="30">
        <f>_xll.qlIndexFixing($M$6,Q184,,InterestRatesTrigger)</f>
        <v>1.3016199300011249E-2</v>
      </c>
      <c r="U184" s="30">
        <f>_xll.qlIndexFixing(Index,Q184,,InterestRatesTrigger)</f>
        <v>1.3185817850223202E-2</v>
      </c>
      <c r="V184" s="30">
        <f t="shared" si="20"/>
        <v>1.6961855021195224E-4</v>
      </c>
      <c r="W184" s="29">
        <f>_xll.qlDayCounterYearFraction(DayCounter,SettlementDate,R184,,,Trigger)</f>
        <v>42.880555555555553</v>
      </c>
      <c r="X184" s="29">
        <f>_xll.qlDayCounterYearFraction(DayCounter,R184,S184)</f>
        <v>0.25277777777777777</v>
      </c>
      <c r="Y184" s="29">
        <f>_xll.qlYieldTSDiscount(Currency&amp;"ON",R184)/(1+U184*X184)</f>
        <v>0.52057584804089152</v>
      </c>
      <c r="Z184" s="30">
        <f>_xll.qlTenorBasisValue(TenorBasis6M,R184,InterestRatesTrigger)</f>
        <v>2.1123574514578063E-4</v>
      </c>
      <c r="AA184" s="30">
        <f t="shared" si="21"/>
        <v>-4.1617194933828388E-5</v>
      </c>
    </row>
    <row r="185" spans="15:27" x14ac:dyDescent="0.2">
      <c r="O185" s="33">
        <v>3</v>
      </c>
      <c r="P185" s="27" t="str">
        <f>_xll.qlPeriodEquivalent(P184&amp;"+"&amp;O185&amp;"M")</f>
        <v>42Y6M</v>
      </c>
      <c r="Q185" s="28">
        <f>_xll.qlCalendarAdvance(Calendar,SettlementDate,P185,"f",,Trigger)</f>
        <v>57689</v>
      </c>
      <c r="R185" s="28">
        <f>_xll.qlInterestRateIndexValueDate(Index,Q185,Trigger)</f>
        <v>57691</v>
      </c>
      <c r="S185" s="28">
        <f>_xll.qlInterestRateIndexMaturity(Index,R185,Trigger)</f>
        <v>57781</v>
      </c>
      <c r="T185" s="30">
        <f>_xll.qlIndexFixing($M$6,Q185,,InterestRatesTrigger)</f>
        <v>1.2912586049263375E-2</v>
      </c>
      <c r="U185" s="30">
        <f>_xll.qlIndexFixing(Index,Q185,,InterestRatesTrigger)</f>
        <v>1.3081717152876315E-2</v>
      </c>
      <c r="V185" s="30">
        <f t="shared" si="20"/>
        <v>1.6913110361294059E-4</v>
      </c>
      <c r="W185" s="29">
        <f>_xll.qlDayCounterYearFraction(DayCounter,SettlementDate,R185,,,Trigger)</f>
        <v>43.133333333333333</v>
      </c>
      <c r="X185" s="29">
        <f>_xll.qlDayCounterYearFraction(DayCounter,R185,S185)</f>
        <v>0.25</v>
      </c>
      <c r="Y185" s="29">
        <f>_xll.qlYieldTSDiscount(Currency&amp;"ON",R185)/(1+U185*X185)</f>
        <v>0.5189010657070483</v>
      </c>
      <c r="Z185" s="30">
        <f>_xll.qlTenorBasisValue(TenorBasis6M,R185,InterestRatesTrigger)</f>
        <v>2.1068892909361609E-4</v>
      </c>
      <c r="AA185" s="30">
        <f t="shared" si="21"/>
        <v>-4.1557825480675496E-5</v>
      </c>
    </row>
    <row r="186" spans="15:27" x14ac:dyDescent="0.2">
      <c r="O186" s="33">
        <v>3</v>
      </c>
      <c r="P186" s="27" t="str">
        <f>_xll.qlPeriodEquivalent(P185&amp;"+"&amp;O186&amp;"M")</f>
        <v>42Y9M</v>
      </c>
      <c r="Q186" s="28">
        <f>_xll.qlCalendarAdvance(Calendar,SettlementDate,P186,"f",,Trigger)</f>
        <v>57777</v>
      </c>
      <c r="R186" s="28">
        <f>_xll.qlInterestRateIndexValueDate(Index,Q186,Trigger)</f>
        <v>57781</v>
      </c>
      <c r="S186" s="28">
        <f>_xll.qlInterestRateIndexMaturity(Index,R186,Trigger)</f>
        <v>57873</v>
      </c>
      <c r="T186" s="30">
        <f>_xll.qlIndexFixing($M$6,Q186,,InterestRatesTrigger)</f>
        <v>1.2815704058501869E-2</v>
      </c>
      <c r="U186" s="30">
        <f>_xll.qlIndexFixing(Index,Q186,,InterestRatesTrigger)</f>
        <v>1.2984326904092821E-2</v>
      </c>
      <c r="V186" s="30">
        <f t="shared" si="20"/>
        <v>1.6862284559095164E-4</v>
      </c>
      <c r="W186" s="29">
        <f>_xll.qlDayCounterYearFraction(DayCounter,SettlementDate,R186,,,Trigger)</f>
        <v>43.383333333333333</v>
      </c>
      <c r="X186" s="29">
        <f>_xll.qlDayCounterYearFraction(DayCounter,R186,S186)</f>
        <v>0.25555555555555554</v>
      </c>
      <c r="Y186" s="29">
        <f>_xll.qlYieldTSDiscount(Currency&amp;"ON",R186)/(1+U186*X186)</f>
        <v>0.51720673158018582</v>
      </c>
      <c r="Z186" s="30">
        <f>_xll.qlTenorBasisValue(TenorBasis6M,R186,InterestRatesTrigger)</f>
        <v>2.1016711654311217E-4</v>
      </c>
      <c r="AA186" s="30">
        <f t="shared" si="21"/>
        <v>-4.1544270952160523E-5</v>
      </c>
    </row>
    <row r="187" spans="15:27" x14ac:dyDescent="0.2">
      <c r="O187" s="33">
        <v>3</v>
      </c>
      <c r="P187" s="27" t="str">
        <f>_xll.qlPeriodEquivalent(P186&amp;"+"&amp;O187&amp;"M")</f>
        <v>43Y</v>
      </c>
      <c r="Q187" s="28">
        <f>_xll.qlCalendarAdvance(Calendar,SettlementDate,P187,"f",,Trigger)</f>
        <v>57871</v>
      </c>
      <c r="R187" s="28">
        <f>_xll.qlInterestRateIndexValueDate(Index,Q187,Trigger)</f>
        <v>57873</v>
      </c>
      <c r="S187" s="28">
        <f>_xll.qlInterestRateIndexMaturity(Index,R187,Trigger)</f>
        <v>57965</v>
      </c>
      <c r="T187" s="30">
        <f>_xll.qlIndexFixing($M$6,Q187,,InterestRatesTrigger)</f>
        <v>1.2723998511844505E-2</v>
      </c>
      <c r="U187" s="30">
        <f>_xll.qlIndexFixing(Index,Q187,,InterestRatesTrigger)</f>
        <v>1.2892058277957631E-2</v>
      </c>
      <c r="V187" s="30">
        <f t="shared" si="20"/>
        <v>1.6805976611312598E-4</v>
      </c>
      <c r="W187" s="29">
        <f>_xll.qlDayCounterYearFraction(DayCounter,SettlementDate,R187,,,Trigger)</f>
        <v>43.638888888888886</v>
      </c>
      <c r="X187" s="29">
        <f>_xll.qlDayCounterYearFraction(DayCounter,R187,S187)</f>
        <v>0.25555555555555554</v>
      </c>
      <c r="Y187" s="29">
        <f>_xll.qlYieldTSDiscount(Currency&amp;"ON",R187)/(1+U187*X187)</f>
        <v>0.5155304607668304</v>
      </c>
      <c r="Z187" s="30">
        <f>_xll.qlTenorBasisValue(TenorBasis6M,R187,InterestRatesTrigger)</f>
        <v>2.0965256381560949E-4</v>
      </c>
      <c r="AA187" s="30">
        <f t="shared" si="21"/>
        <v>-4.1592797702483513E-5</v>
      </c>
    </row>
    <row r="188" spans="15:27" x14ac:dyDescent="0.2">
      <c r="O188" s="33">
        <v>3</v>
      </c>
      <c r="P188" s="27" t="str">
        <f>_xll.qlPeriodEquivalent(P187&amp;"+"&amp;O188&amp;"M")</f>
        <v>43Y3M</v>
      </c>
      <c r="Q188" s="28">
        <f>_xll.qlCalendarAdvance(Calendar,SettlementDate,P188,"f",,Trigger)</f>
        <v>57962</v>
      </c>
      <c r="R188" s="28">
        <f>_xll.qlInterestRateIndexValueDate(Index,Q188,Trigger)</f>
        <v>57964</v>
      </c>
      <c r="S188" s="28">
        <f>_xll.qlInterestRateIndexMaturity(Index,R188,Trigger)</f>
        <v>58055</v>
      </c>
      <c r="T188" s="30">
        <f>_xll.qlIndexFixing($M$6,Q188,,InterestRatesTrigger)</f>
        <v>1.2640153369900224E-2</v>
      </c>
      <c r="U188" s="30">
        <f>_xll.qlIndexFixing(Index,Q188,,InterestRatesTrigger)</f>
        <v>1.2807617086618121E-2</v>
      </c>
      <c r="V188" s="30">
        <f t="shared" si="20"/>
        <v>1.6746371671789648E-4</v>
      </c>
      <c r="W188" s="29">
        <f>_xll.qlDayCounterYearFraction(DayCounter,SettlementDate,R188,,,Trigger)</f>
        <v>43.891666666666666</v>
      </c>
      <c r="X188" s="29">
        <f>_xll.qlDayCounterYearFraction(DayCounter,R188,S188)</f>
        <v>0.25277777777777777</v>
      </c>
      <c r="Y188" s="29">
        <f>_xll.qlYieldTSDiscount(Currency&amp;"ON",R188)/(1+U188*X188)</f>
        <v>0.51390689760348096</v>
      </c>
      <c r="Z188" s="30">
        <f>_xll.qlTenorBasisValue(TenorBasis6M,R188,InterestRatesTrigger)</f>
        <v>2.0916171433621293E-4</v>
      </c>
      <c r="AA188" s="30">
        <f t="shared" si="21"/>
        <v>-4.1697997618316452E-5</v>
      </c>
    </row>
    <row r="189" spans="15:27" x14ac:dyDescent="0.2">
      <c r="O189" s="33">
        <v>3</v>
      </c>
      <c r="P189" s="27" t="str">
        <f>_xll.qlPeriodEquivalent(P188&amp;"+"&amp;O189&amp;"M")</f>
        <v>43Y6M</v>
      </c>
      <c r="Q189" s="28">
        <f>_xll.qlCalendarAdvance(Calendar,SettlementDate,P189,"f",,Trigger)</f>
        <v>58053</v>
      </c>
      <c r="R189" s="28">
        <f>_xll.qlInterestRateIndexValueDate(Index,Q189,Trigger)</f>
        <v>58055</v>
      </c>
      <c r="S189" s="28">
        <f>_xll.qlInterestRateIndexMaturity(Index,R189,Trigger)</f>
        <v>58145</v>
      </c>
      <c r="T189" s="30">
        <f>_xll.qlIndexFixing($M$6,Q189,,InterestRatesTrigger)</f>
        <v>1.2562852044221806E-2</v>
      </c>
      <c r="U189" s="30">
        <f>_xll.qlIndexFixing(Index,Q189,,InterestRatesTrigger)</f>
        <v>1.2729683849991957E-2</v>
      </c>
      <c r="V189" s="30">
        <f t="shared" si="20"/>
        <v>1.6683180577015122E-4</v>
      </c>
      <c r="W189" s="29">
        <f>_xll.qlDayCounterYearFraction(DayCounter,SettlementDate,R189,,,Trigger)</f>
        <v>44.144444444444446</v>
      </c>
      <c r="X189" s="29">
        <f>_xll.qlDayCounterYearFraction(DayCounter,R189,S189)</f>
        <v>0.25</v>
      </c>
      <c r="Y189" s="29">
        <f>_xll.qlYieldTSDiscount(Currency&amp;"ON",R189)/(1+U189*X189)</f>
        <v>0.51229823392553009</v>
      </c>
      <c r="Z189" s="30">
        <f>_xll.qlTenorBasisValue(TenorBasis6M,R189,InterestRatesTrigger)</f>
        <v>2.0868825547651958E-4</v>
      </c>
      <c r="AA189" s="30">
        <f t="shared" si="21"/>
        <v>-4.1856449706368363E-5</v>
      </c>
    </row>
    <row r="190" spans="15:27" x14ac:dyDescent="0.2">
      <c r="O190" s="33">
        <v>3</v>
      </c>
      <c r="P190" s="27" t="str">
        <f>_xll.qlPeriodEquivalent(P189&amp;"+"&amp;O190&amp;"M")</f>
        <v>43Y9M</v>
      </c>
      <c r="Q190" s="28">
        <f>_xll.qlCalendarAdvance(Calendar,SettlementDate,P190,"f",,Trigger)</f>
        <v>58144</v>
      </c>
      <c r="R190" s="28">
        <f>_xll.qlInterestRateIndexValueDate(Index,Q190,Trigger)</f>
        <v>58146</v>
      </c>
      <c r="S190" s="28">
        <f>_xll.qlInterestRateIndexMaturity(Index,R190,Trigger)</f>
        <v>58238</v>
      </c>
      <c r="T190" s="30">
        <f>_xll.qlIndexFixing($M$6,Q190,,InterestRatesTrigger)</f>
        <v>1.2491646939097252E-2</v>
      </c>
      <c r="U190" s="30">
        <f>_xll.qlIndexFixing(Index,Q190,,InterestRatesTrigger)</f>
        <v>1.2657816975018917E-2</v>
      </c>
      <c r="V190" s="30">
        <f t="shared" si="20"/>
        <v>1.6617003592166515E-4</v>
      </c>
      <c r="W190" s="29">
        <f>_xll.qlDayCounterYearFraction(DayCounter,SettlementDate,R190,,,Trigger)</f>
        <v>44.397222222222226</v>
      </c>
      <c r="X190" s="29">
        <f>_xll.qlDayCounterYearFraction(DayCounter,R190,S190)</f>
        <v>0.25555555555555554</v>
      </c>
      <c r="Y190" s="29">
        <f>_xll.qlYieldTSDiscount(Currency&amp;"ON",R190)/(1+U190*X190)</f>
        <v>0.51064989804378846</v>
      </c>
      <c r="Z190" s="30">
        <f>_xll.qlTenorBasisValue(TenorBasis6M,R190,InterestRatesTrigger)</f>
        <v>2.0823158916830363E-4</v>
      </c>
      <c r="AA190" s="30">
        <f t="shared" si="21"/>
        <v>-4.2061553246638473E-5</v>
      </c>
    </row>
    <row r="191" spans="15:27" x14ac:dyDescent="0.2">
      <c r="O191" s="33">
        <v>3</v>
      </c>
      <c r="P191" s="27" t="str">
        <f>_xll.qlPeriodEquivalent(P190&amp;"+"&amp;O191&amp;"M")</f>
        <v>44Y</v>
      </c>
      <c r="Q191" s="28">
        <f>_xll.qlCalendarAdvance(Calendar,SettlementDate,P191,"f",,Trigger)</f>
        <v>58235</v>
      </c>
      <c r="R191" s="28">
        <f>_xll.qlInterestRateIndexValueDate(Index,Q191,Trigger)</f>
        <v>58237</v>
      </c>
      <c r="S191" s="28">
        <f>_xll.qlInterestRateIndexMaturity(Index,R191,Trigger)</f>
        <v>58329</v>
      </c>
      <c r="T191" s="30">
        <f>_xll.qlIndexFixing($M$6,Q191,,InterestRatesTrigger)</f>
        <v>1.242741700673318E-2</v>
      </c>
      <c r="U191" s="30">
        <f>_xll.qlIndexFixing(Index,Q191,,InterestRatesTrigger)</f>
        <v>1.2592884378124804E-2</v>
      </c>
      <c r="V191" s="30">
        <f t="shared" si="20"/>
        <v>1.6546737139162479E-4</v>
      </c>
      <c r="W191" s="29">
        <f>_xll.qlDayCounterYearFraction(DayCounter,SettlementDate,R191,,,Trigger)</f>
        <v>44.65</v>
      </c>
      <c r="X191" s="29">
        <f>_xll.qlDayCounterYearFraction(DayCounter,R191,S191)</f>
        <v>0.25555555555555554</v>
      </c>
      <c r="Y191" s="29">
        <f>_xll.qlYieldTSDiscount(Currency&amp;"ON",R191)/(1+U191*X191)</f>
        <v>0.50905094068395373</v>
      </c>
      <c r="Z191" s="30">
        <f>_xll.qlTenorBasisValue(TenorBasis6M,R191,InterestRatesTrigger)</f>
        <v>2.0779113703251785E-4</v>
      </c>
      <c r="AA191" s="30">
        <f t="shared" si="21"/>
        <v>-4.232376564089306E-5</v>
      </c>
    </row>
    <row r="192" spans="15:27" x14ac:dyDescent="0.2">
      <c r="O192" s="33">
        <v>3</v>
      </c>
      <c r="P192" s="27" t="str">
        <f>_xll.qlPeriodEquivalent(P191&amp;"+"&amp;O192&amp;"M")</f>
        <v>44Y3M</v>
      </c>
      <c r="Q192" s="28">
        <f>_xll.qlCalendarAdvance(Calendar,SettlementDate,P192,"f",,Trigger)</f>
        <v>58326</v>
      </c>
      <c r="R192" s="28">
        <f>_xll.qlInterestRateIndexValueDate(Index,Q192,Trigger)</f>
        <v>58328</v>
      </c>
      <c r="S192" s="28">
        <f>_xll.qlInterestRateIndexMaturity(Index,R192,Trigger)</f>
        <v>58419</v>
      </c>
      <c r="T192" s="30">
        <f>_xll.qlIndexFixing($M$6,Q192,,InterestRatesTrigger)</f>
        <v>1.2369876952365242E-2</v>
      </c>
      <c r="U192" s="30">
        <f>_xll.qlIndexFixing(Index,Q192,,InterestRatesTrigger)</f>
        <v>1.2534603784041901E-2</v>
      </c>
      <c r="V192" s="30">
        <f t="shared" si="20"/>
        <v>1.6472683167665855E-4</v>
      </c>
      <c r="W192" s="29">
        <f>_xll.qlDayCounterYearFraction(DayCounter,SettlementDate,R192,,,Trigger)</f>
        <v>44.902777777777779</v>
      </c>
      <c r="X192" s="29">
        <f>_xll.qlDayCounterYearFraction(DayCounter,R192,S192)</f>
        <v>0.25277777777777777</v>
      </c>
      <c r="Y192" s="29">
        <f>_xll.qlYieldTSDiscount(Currency&amp;"ON",R192)/(1+U192*X192)</f>
        <v>0.50748196107753862</v>
      </c>
      <c r="Z192" s="30">
        <f>_xll.qlTenorBasisValue(TenorBasis6M,R192,InterestRatesTrigger)</f>
        <v>2.0736633977509373E-4</v>
      </c>
      <c r="AA192" s="30">
        <f t="shared" si="21"/>
        <v>-4.2639508098435175E-5</v>
      </c>
    </row>
    <row r="193" spans="15:27" x14ac:dyDescent="0.2">
      <c r="O193" s="33">
        <v>3</v>
      </c>
      <c r="P193" s="27" t="str">
        <f>_xll.qlPeriodEquivalent(P192&amp;"+"&amp;O193&amp;"M")</f>
        <v>44Y6M</v>
      </c>
      <c r="Q193" s="28">
        <f>_xll.qlCalendarAdvance(Calendar,SettlementDate,P193,"f",,Trigger)</f>
        <v>58417</v>
      </c>
      <c r="R193" s="28">
        <f>_xll.qlInterestRateIndexValueDate(Index,Q193,Trigger)</f>
        <v>58419</v>
      </c>
      <c r="S193" s="28">
        <f>_xll.qlInterestRateIndexMaturity(Index,R193,Trigger)</f>
        <v>58510</v>
      </c>
      <c r="T193" s="30">
        <f>_xll.qlIndexFixing($M$6,Q193,,InterestRatesTrigger)</f>
        <v>1.2318831616660983E-2</v>
      </c>
      <c r="U193" s="30">
        <f>_xll.qlIndexFixing(Index,Q193,,InterestRatesTrigger)</f>
        <v>1.2482783272123434E-2</v>
      </c>
      <c r="V193" s="30">
        <f t="shared" si="20"/>
        <v>1.6395165546245066E-4</v>
      </c>
      <c r="W193" s="29">
        <f>_xll.qlDayCounterYearFraction(DayCounter,SettlementDate,R193,,,Trigger)</f>
        <v>45.155555555555559</v>
      </c>
      <c r="X193" s="29">
        <f>_xll.qlDayCounterYearFraction(DayCounter,R193,S193)</f>
        <v>0.25277777777777777</v>
      </c>
      <c r="Y193" s="29">
        <f>_xll.qlYieldTSDiscount(Currency&amp;"ON",R193)/(1+U193*X193)</f>
        <v>0.50590670345044275</v>
      </c>
      <c r="Z193" s="30">
        <f>_xll.qlTenorBasisValue(TenorBasis6M,R193,InterestRatesTrigger)</f>
        <v>2.0695665659898105E-4</v>
      </c>
      <c r="AA193" s="30">
        <f t="shared" si="21"/>
        <v>-4.300500113653039E-5</v>
      </c>
    </row>
    <row r="194" spans="15:27" x14ac:dyDescent="0.2">
      <c r="O194" s="33">
        <v>3</v>
      </c>
      <c r="P194" s="27" t="str">
        <f>_xll.qlPeriodEquivalent(P193&amp;"+"&amp;O194&amp;"M")</f>
        <v>44Y9M</v>
      </c>
      <c r="Q194" s="28">
        <f>_xll.qlCalendarAdvance(Calendar,SettlementDate,P194,"f",,Trigger)</f>
        <v>58508</v>
      </c>
      <c r="R194" s="28">
        <f>_xll.qlInterestRateIndexValueDate(Index,Q194,Trigger)</f>
        <v>58510</v>
      </c>
      <c r="S194" s="28">
        <f>_xll.qlInterestRateIndexMaturity(Index,R194,Trigger)</f>
        <v>58602</v>
      </c>
      <c r="T194" s="30">
        <f>_xll.qlIndexFixing($M$6,Q194,,InterestRatesTrigger)</f>
        <v>1.2274384443357867E-2</v>
      </c>
      <c r="U194" s="30">
        <f>_xll.qlIndexFixing(Index,Q194,,InterestRatesTrigger)</f>
        <v>1.2437525533551385E-2</v>
      </c>
      <c r="V194" s="30">
        <f t="shared" si="20"/>
        <v>1.6314109019351791E-4</v>
      </c>
      <c r="W194" s="29">
        <f>_xll.qlDayCounterYearFraction(DayCounter,SettlementDate,R194,,,Trigger)</f>
        <v>45.408333333333331</v>
      </c>
      <c r="X194" s="29">
        <f>_xll.qlDayCounterYearFraction(DayCounter,R194,S194)</f>
        <v>0.25555555555555554</v>
      </c>
      <c r="Y194" s="29">
        <f>_xll.qlYieldTSDiscount(Currency&amp;"ON",R194)/(1+U194*X194)</f>
        <v>0.5043246197404756</v>
      </c>
      <c r="Z194" s="30">
        <f>_xll.qlTenorBasisValue(TenorBasis6M,R194,InterestRatesTrigger)</f>
        <v>2.0656156463212026E-4</v>
      </c>
      <c r="AA194" s="30">
        <f t="shared" si="21"/>
        <v>-4.3420474438602352E-5</v>
      </c>
    </row>
    <row r="195" spans="15:27" x14ac:dyDescent="0.2">
      <c r="O195" s="33">
        <v>3</v>
      </c>
      <c r="P195" s="27" t="str">
        <f>_xll.qlPeriodEquivalent(P194&amp;"+"&amp;O195&amp;"M")</f>
        <v>45Y</v>
      </c>
      <c r="Q195" s="28">
        <f>_xll.qlCalendarAdvance(Calendar,SettlementDate,P195,"f",,Trigger)</f>
        <v>58600</v>
      </c>
      <c r="R195" s="28">
        <f>_xll.qlInterestRateIndexValueDate(Index,Q195,Trigger)</f>
        <v>58602</v>
      </c>
      <c r="S195" s="28">
        <f>_xll.qlInterestRateIndexMaturity(Index,R195,Trigger)</f>
        <v>58694</v>
      </c>
      <c r="T195" s="30">
        <f>_xll.qlIndexFixing($M$6,Q195,,InterestRatesTrigger)</f>
        <v>1.2236213215527997E-2</v>
      </c>
      <c r="U195" s="30">
        <f>_xll.qlIndexFixing(Index,Q195,,InterestRatesTrigger)</f>
        <v>1.2398496584908013E-2</v>
      </c>
      <c r="V195" s="30">
        <f t="shared" si="20"/>
        <v>1.6228336938001534E-4</v>
      </c>
      <c r="W195" s="29">
        <f>_xll.qlDayCounterYearFraction(DayCounter,SettlementDate,R195,,,Trigger)</f>
        <v>45.663888888888891</v>
      </c>
      <c r="X195" s="29">
        <f>_xll.qlDayCounterYearFraction(DayCounter,R195,S195)</f>
        <v>0.25555555555555554</v>
      </c>
      <c r="Y195" s="29">
        <f>_xll.qlYieldTSDiscount(Currency&amp;"ON",R195)/(1+U195*X195)</f>
        <v>0.50275260611187067</v>
      </c>
      <c r="Z195" s="30">
        <f>_xll.qlTenorBasisValue(TenorBasis6M,R195,InterestRatesTrigger)</f>
        <v>2.0617644789868448E-4</v>
      </c>
      <c r="AA195" s="30">
        <f t="shared" si="21"/>
        <v>-4.3893078518669141E-5</v>
      </c>
    </row>
    <row r="196" spans="15:27" x14ac:dyDescent="0.2">
      <c r="O196" s="33">
        <v>3</v>
      </c>
      <c r="P196" s="27" t="str">
        <f>_xll.qlPeriodEquivalent(P195&amp;"+"&amp;O196&amp;"M")</f>
        <v>45Y3M</v>
      </c>
      <c r="Q196" s="28">
        <f>_xll.qlCalendarAdvance(Calendar,SettlementDate,P196,"f",,Trigger)</f>
        <v>58692</v>
      </c>
      <c r="R196" s="28">
        <f>_xll.qlInterestRateIndexValueDate(Index,Q196,Trigger)</f>
        <v>58694</v>
      </c>
      <c r="S196" s="28">
        <f>_xll.qlInterestRateIndexMaturity(Index,R196,Trigger)</f>
        <v>58785</v>
      </c>
      <c r="T196" s="30">
        <f>_xll.qlIndexFixing($M$6,Q196,,InterestRatesTrigger)</f>
        <v>1.220473652344861E-2</v>
      </c>
      <c r="U196" s="30">
        <f>_xll.qlIndexFixing(Index,Q196,,InterestRatesTrigger)</f>
        <v>1.2366124475992534E-2</v>
      </c>
      <c r="V196" s="30">
        <f t="shared" si="20"/>
        <v>1.6138795254392463E-4</v>
      </c>
      <c r="W196" s="29">
        <f>_xll.qlDayCounterYearFraction(DayCounter,SettlementDate,R196,,,Trigger)</f>
        <v>45.919444444444444</v>
      </c>
      <c r="X196" s="29">
        <f>_xll.qlDayCounterYearFraction(DayCounter,R196,S196)</f>
        <v>0.25277777777777777</v>
      </c>
      <c r="Y196" s="29">
        <f>_xll.qlYieldTSDiscount(Currency&amp;"ON",R196)/(1+U196*X196)</f>
        <v>0.50120667881356851</v>
      </c>
      <c r="Z196" s="30">
        <f>_xll.qlTenorBasisValue(TenorBasis6M,R196,InterestRatesTrigger)</f>
        <v>2.0580522330827504E-4</v>
      </c>
      <c r="AA196" s="30">
        <f t="shared" si="21"/>
        <v>-4.4417270764350413E-5</v>
      </c>
    </row>
    <row r="197" spans="15:27" x14ac:dyDescent="0.2">
      <c r="O197" s="33">
        <v>3</v>
      </c>
      <c r="P197" s="27" t="str">
        <f>_xll.qlPeriodEquivalent(P196&amp;"+"&amp;O197&amp;"M")</f>
        <v>45Y6M</v>
      </c>
      <c r="Q197" s="28">
        <f>_xll.qlCalendarAdvance(Calendar,SettlementDate,P197,"f",,Trigger)</f>
        <v>58783</v>
      </c>
      <c r="R197" s="28">
        <f>_xll.qlInterestRateIndexValueDate(Index,Q197,Trigger)</f>
        <v>58785</v>
      </c>
      <c r="S197" s="28">
        <f>_xll.qlInterestRateIndexMaturity(Index,R197,Trigger)</f>
        <v>58875</v>
      </c>
      <c r="T197" s="30">
        <f>_xll.qlIndexFixing($M$6,Q197,,InterestRatesTrigger)</f>
        <v>1.2180175525410064E-2</v>
      </c>
      <c r="U197" s="30">
        <f>_xll.qlIndexFixing(Index,Q197,,InterestRatesTrigger)</f>
        <v>1.2340641677631936E-2</v>
      </c>
      <c r="V197" s="30">
        <f t="shared" si="20"/>
        <v>1.6046615222187199E-4</v>
      </c>
      <c r="W197" s="29">
        <f>_xll.qlDayCounterYearFraction(DayCounter,SettlementDate,R197,,,Trigger)</f>
        <v>46.172222222222224</v>
      </c>
      <c r="X197" s="29">
        <f>_xll.qlDayCounterYearFraction(DayCounter,R197,S197)</f>
        <v>0.25</v>
      </c>
      <c r="Y197" s="29">
        <f>_xll.qlYieldTSDiscount(Currency&amp;"ON",R197)/(1+U197*X197)</f>
        <v>0.49968545301623202</v>
      </c>
      <c r="Z197" s="30">
        <f>_xll.qlTenorBasisValue(TenorBasis6M,R197,InterestRatesTrigger)</f>
        <v>2.054512220015892E-4</v>
      </c>
      <c r="AA197" s="30">
        <f t="shared" si="21"/>
        <v>-4.4985069779717205E-5</v>
      </c>
    </row>
    <row r="198" spans="15:27" x14ac:dyDescent="0.2">
      <c r="O198" s="33">
        <v>3</v>
      </c>
      <c r="P198" s="27" t="str">
        <f>_xll.qlPeriodEquivalent(P197&amp;"+"&amp;O198&amp;"M")</f>
        <v>45Y9M</v>
      </c>
      <c r="Q198" s="28">
        <f>_xll.qlCalendarAdvance(Calendar,SettlementDate,P198,"f",,Trigger)</f>
        <v>58873</v>
      </c>
      <c r="R198" s="28">
        <f>_xll.qlInterestRateIndexValueDate(Index,Q198,Trigger)</f>
        <v>58875</v>
      </c>
      <c r="S198" s="28">
        <f>_xll.qlInterestRateIndexMaturity(Index,R198,Trigger)</f>
        <v>58967</v>
      </c>
      <c r="T198" s="30">
        <f>_xll.qlIndexFixing($M$6,Q198,,InterestRatesTrigger)</f>
        <v>1.2162705158487551E-2</v>
      </c>
      <c r="U198" s="30">
        <f>_xll.qlIndexFixing(Index,Q198,,InterestRatesTrigger)</f>
        <v>1.2322224377462478E-2</v>
      </c>
      <c r="V198" s="30">
        <f t="shared" si="20"/>
        <v>1.5951921897492706E-4</v>
      </c>
      <c r="W198" s="29">
        <f>_xll.qlDayCounterYearFraction(DayCounter,SettlementDate,R198,,,Trigger)</f>
        <v>46.422222222222224</v>
      </c>
      <c r="X198" s="29">
        <f>_xll.qlDayCounterYearFraction(DayCounter,R198,S198)</f>
        <v>0.25555555555555554</v>
      </c>
      <c r="Y198" s="29">
        <f>_xll.qlYieldTSDiscount(Currency&amp;"ON",R198)/(1+U198*X198)</f>
        <v>0.49813679860912047</v>
      </c>
      <c r="Z198" s="30">
        <f>_xll.qlTenorBasisValue(TenorBasis6M,R198,InterestRatesTrigger)</f>
        <v>2.0511356274333014E-4</v>
      </c>
      <c r="AA198" s="30">
        <f t="shared" si="21"/>
        <v>-4.5594343768403078E-5</v>
      </c>
    </row>
    <row r="199" spans="15:27" x14ac:dyDescent="0.2">
      <c r="O199" s="33">
        <v>3</v>
      </c>
      <c r="P199" s="27" t="str">
        <f>_xll.qlPeriodEquivalent(P198&amp;"+"&amp;O199&amp;"M")</f>
        <v>46Y</v>
      </c>
      <c r="Q199" s="28">
        <f>_xll.qlCalendarAdvance(Calendar,SettlementDate,P199,"f",,Trigger)</f>
        <v>58965</v>
      </c>
      <c r="R199" s="28">
        <f>_xll.qlInterestRateIndexValueDate(Index,Q199,Trigger)</f>
        <v>58967</v>
      </c>
      <c r="S199" s="28">
        <f>_xll.qlInterestRateIndexMaturity(Index,R199,Trigger)</f>
        <v>59061</v>
      </c>
      <c r="T199" s="30">
        <f>_xll.qlIndexFixing($M$6,Q199,,InterestRatesTrigger)</f>
        <v>1.2151667663358982E-2</v>
      </c>
      <c r="U199" s="30">
        <f>_xll.qlIndexFixing(Index,Q199,,InterestRatesTrigger)</f>
        <v>1.2310181126184462E-2</v>
      </c>
      <c r="V199" s="30">
        <f t="shared" si="20"/>
        <v>1.5851346282548008E-4</v>
      </c>
      <c r="W199" s="29">
        <f>_xll.qlDayCounterYearFraction(DayCounter,SettlementDate,R199,,,Trigger)</f>
        <v>46.677777777777777</v>
      </c>
      <c r="X199" s="29">
        <f>_xll.qlDayCounterYearFraction(DayCounter,R199,S199)</f>
        <v>0.26111111111111113</v>
      </c>
      <c r="Y199" s="29">
        <f>_xll.qlYieldTSDiscount(Currency&amp;"ON",R199)/(1+U199*X199)</f>
        <v>0.49656093447996935</v>
      </c>
      <c r="Z199" s="30">
        <f>_xll.qlTenorBasisValue(TenorBasis6M,R199,InterestRatesTrigger)</f>
        <v>2.0478075305516394E-4</v>
      </c>
      <c r="AA199" s="30">
        <f t="shared" si="21"/>
        <v>-4.6267290229683855E-5</v>
      </c>
    </row>
    <row r="200" spans="15:27" x14ac:dyDescent="0.2">
      <c r="O200" s="33">
        <v>3</v>
      </c>
      <c r="P200" s="27" t="str">
        <f>_xll.qlPeriodEquivalent(P199&amp;"+"&amp;O200&amp;"M")</f>
        <v>46Y3M</v>
      </c>
      <c r="Q200" s="28">
        <f>_xll.qlCalendarAdvance(Calendar,SettlementDate,P200,"f",,Trigger)</f>
        <v>59057</v>
      </c>
      <c r="R200" s="28">
        <f>_xll.qlInterestRateIndexValueDate(Index,Q200,Trigger)</f>
        <v>59061</v>
      </c>
      <c r="S200" s="28">
        <f>_xll.qlInterestRateIndexMaturity(Index,R200,Trigger)</f>
        <v>59152</v>
      </c>
      <c r="T200" s="30">
        <f>_xll.qlIndexFixing($M$6,Q200,,InterestRatesTrigger)</f>
        <v>1.2146483224284845E-2</v>
      </c>
      <c r="U200" s="30">
        <f>_xll.qlIndexFixing(Index,Q200,,InterestRatesTrigger)</f>
        <v>1.2303932001275988E-2</v>
      </c>
      <c r="V200" s="30">
        <f t="shared" si="20"/>
        <v>1.5744877699114257E-4</v>
      </c>
      <c r="W200" s="29">
        <f>_xll.qlDayCounterYearFraction(DayCounter,SettlementDate,R200,,,Trigger)</f>
        <v>46.93888888888889</v>
      </c>
      <c r="X200" s="29">
        <f>_xll.qlDayCounterYearFraction(DayCounter,R200,S200)</f>
        <v>0.25277777777777777</v>
      </c>
      <c r="Y200" s="29">
        <f>_xll.qlYieldTSDiscount(Currency&amp;"ON",R200)/(1+U200*X200)</f>
        <v>0.49504176256617982</v>
      </c>
      <c r="Z200" s="30">
        <f>_xll.qlTenorBasisValue(TenorBasis6M,R200,InterestRatesTrigger)</f>
        <v>2.0445315268226302E-4</v>
      </c>
      <c r="AA200" s="30">
        <f t="shared" si="21"/>
        <v>-4.7004375691120452E-5</v>
      </c>
    </row>
    <row r="201" spans="15:27" x14ac:dyDescent="0.2">
      <c r="O201" s="33">
        <v>3</v>
      </c>
      <c r="P201" s="27" t="str">
        <f>_xll.qlPeriodEquivalent(P200&amp;"+"&amp;O201&amp;"M")</f>
        <v>46Y6M</v>
      </c>
      <c r="Q201" s="28">
        <f>_xll.qlCalendarAdvance(Calendar,SettlementDate,P201,"f",,Trigger)</f>
        <v>59148</v>
      </c>
      <c r="R201" s="28">
        <f>_xll.qlInterestRateIndexValueDate(Index,Q201,Trigger)</f>
        <v>59152</v>
      </c>
      <c r="S201" s="28">
        <f>_xll.qlInterestRateIndexMaturity(Index,R201,Trigger)</f>
        <v>59243</v>
      </c>
      <c r="T201" s="30">
        <f>_xll.qlIndexFixing($M$6,Q201,,InterestRatesTrigger)</f>
        <v>1.2148668186328229E-2</v>
      </c>
      <c r="U201" s="30">
        <f>_xll.qlIndexFixing(Index,Q201,,InterestRatesTrigger)</f>
        <v>1.2305048596955203E-2</v>
      </c>
      <c r="V201" s="30">
        <f t="shared" si="20"/>
        <v>1.563804106269745E-4</v>
      </c>
      <c r="W201" s="29">
        <f>_xll.qlDayCounterYearFraction(DayCounter,SettlementDate,R201,,,Trigger)</f>
        <v>47.19166666666667</v>
      </c>
      <c r="X201" s="29">
        <f>_xll.qlDayCounterYearFraction(DayCounter,R201,S201)</f>
        <v>0.25277777777777777</v>
      </c>
      <c r="Y201" s="29">
        <f>_xll.qlYieldTSDiscount(Currency&amp;"ON",R201)/(1+U201*X201)</f>
        <v>0.49352631929200802</v>
      </c>
      <c r="Z201" s="30">
        <f>_xll.qlTenorBasisValue(TenorBasis6M,R201,InterestRatesTrigger)</f>
        <v>2.0414756546530079E-4</v>
      </c>
      <c r="AA201" s="30">
        <f t="shared" si="21"/>
        <v>-4.7767154838326289E-5</v>
      </c>
    </row>
    <row r="202" spans="15:27" x14ac:dyDescent="0.2">
      <c r="O202" s="33">
        <v>3</v>
      </c>
      <c r="P202" s="27" t="str">
        <f>_xll.qlPeriodEquivalent(P201&amp;"+"&amp;O202&amp;"M")</f>
        <v>46Y9M</v>
      </c>
      <c r="Q202" s="28">
        <f>_xll.qlCalendarAdvance(Calendar,SettlementDate,P202,"f",,Trigger)</f>
        <v>59238</v>
      </c>
      <c r="R202" s="28">
        <f>_xll.qlInterestRateIndexValueDate(Index,Q202,Trigger)</f>
        <v>59240</v>
      </c>
      <c r="S202" s="28">
        <f>_xll.qlInterestRateIndexMaturity(Index,R202,Trigger)</f>
        <v>59334</v>
      </c>
      <c r="T202" s="30">
        <f>_xll.qlIndexFixing($M$6,Q202,,InterestRatesTrigger)</f>
        <v>1.215789641624607E-2</v>
      </c>
      <c r="U202" s="30">
        <f>_xll.qlIndexFixing(Index,Q202,,InterestRatesTrigger)</f>
        <v>1.2313206255395424E-2</v>
      </c>
      <c r="V202" s="30">
        <f t="shared" si="20"/>
        <v>1.5530983914935348E-4</v>
      </c>
      <c r="W202" s="29">
        <f>_xll.qlDayCounterYearFraction(DayCounter,SettlementDate,R202,,,Trigger)</f>
        <v>47.43611111111111</v>
      </c>
      <c r="X202" s="29">
        <f>_xll.qlDayCounterYearFraction(DayCounter,R202,S202)</f>
        <v>0.26111111111111113</v>
      </c>
      <c r="Y202" s="29">
        <f>_xll.qlYieldTSDiscount(Currency&amp;"ON",R202)/(1+U202*X202)</f>
        <v>0.49201379241485182</v>
      </c>
      <c r="Z202" s="30">
        <f>_xll.qlTenorBasisValue(TenorBasis6M,R202,InterestRatesTrigger)</f>
        <v>2.0386248858014487E-4</v>
      </c>
      <c r="AA202" s="30">
        <f t="shared" si="21"/>
        <v>-4.855264943079139E-5</v>
      </c>
    </row>
    <row r="203" spans="15:27" x14ac:dyDescent="0.2">
      <c r="O203" s="33">
        <v>3</v>
      </c>
      <c r="P203" s="27" t="str">
        <f>_xll.qlPeriodEquivalent(P202&amp;"+"&amp;O203&amp;"M")</f>
        <v>47Y</v>
      </c>
      <c r="Q203" s="28">
        <f>_xll.qlCalendarAdvance(Calendar,SettlementDate,P203,"f",,Trigger)</f>
        <v>59330</v>
      </c>
      <c r="R203" s="28">
        <f>_xll.qlInterestRateIndexValueDate(Index,Q203,Trigger)</f>
        <v>59334</v>
      </c>
      <c r="S203" s="28">
        <f>_xll.qlInterestRateIndexMaturity(Index,R203,Trigger)</f>
        <v>59426</v>
      </c>
      <c r="T203" s="30">
        <f>_xll.qlIndexFixing($M$6,Q203,,InterestRatesTrigger)</f>
        <v>1.2173177007248723E-2</v>
      </c>
      <c r="U203" s="30">
        <f>_xll.qlIndexFixing(Index,Q203,,InterestRatesTrigger)</f>
        <v>1.2327310253884224E-2</v>
      </c>
      <c r="V203" s="30">
        <f t="shared" si="20"/>
        <v>1.5413324663550096E-4</v>
      </c>
      <c r="W203" s="29">
        <f>_xll.qlDayCounterYearFraction(DayCounter,SettlementDate,R203,,,Trigger)</f>
        <v>47.697222222222223</v>
      </c>
      <c r="X203" s="29">
        <f>_xll.qlDayCounterYearFraction(DayCounter,R203,S203)</f>
        <v>0.25555555555555554</v>
      </c>
      <c r="Y203" s="29">
        <f>_xll.qlYieldTSDiscount(Currency&amp;"ON",R203)/(1+U203*X203)</f>
        <v>0.49048848989100496</v>
      </c>
      <c r="Z203" s="30">
        <f>_xll.qlTenorBasisValue(TenorBasis6M,R203,InterestRatesTrigger)</f>
        <v>2.0356891217887611E-4</v>
      </c>
      <c r="AA203" s="30">
        <f t="shared" si="21"/>
        <v>-4.9435665543375148E-5</v>
      </c>
    </row>
    <row r="204" spans="15:27" x14ac:dyDescent="0.2">
      <c r="O204" s="33">
        <v>3</v>
      </c>
      <c r="P204" s="27" t="str">
        <f>_xll.qlPeriodEquivalent(P203&amp;"+"&amp;O204&amp;"M")</f>
        <v>47Y3M</v>
      </c>
      <c r="Q204" s="28">
        <f>_xll.qlCalendarAdvance(Calendar,SettlementDate,P204,"f",,Trigger)</f>
        <v>59422</v>
      </c>
      <c r="R204" s="28">
        <f>_xll.qlInterestRateIndexValueDate(Index,Q204,Trigger)</f>
        <v>59426</v>
      </c>
      <c r="S204" s="28">
        <f>_xll.qlInterestRateIndexMaturity(Index,R204,Trigger)</f>
        <v>59517</v>
      </c>
      <c r="T204" s="30">
        <f>_xll.qlIndexFixing($M$6,Q204,,InterestRatesTrigger)</f>
        <v>1.219515043791182E-2</v>
      </c>
      <c r="U204" s="30">
        <f>_xll.qlIndexFixing(Index,Q204,,InterestRatesTrigger)</f>
        <v>1.2348094067414493E-2</v>
      </c>
      <c r="V204" s="30">
        <f t="shared" si="20"/>
        <v>1.5294362950267308E-4</v>
      </c>
      <c r="W204" s="29">
        <f>_xll.qlDayCounterYearFraction(DayCounter,SettlementDate,R204,,,Trigger)</f>
        <v>47.952777777777776</v>
      </c>
      <c r="X204" s="29">
        <f>_xll.qlDayCounterYearFraction(DayCounter,R204,S204)</f>
        <v>0.25277777777777777</v>
      </c>
      <c r="Y204" s="29">
        <f>_xll.qlYieldTSDiscount(Currency&amp;"ON",R204)/(1+U204*X204)</f>
        <v>0.48898148060051871</v>
      </c>
      <c r="Z204" s="30">
        <f>_xll.qlTenorBasisValue(TenorBasis6M,R204,InterestRatesTrigger)</f>
        <v>2.0329213728545291E-4</v>
      </c>
      <c r="AA204" s="30">
        <f t="shared" si="21"/>
        <v>-5.0348507782779826E-5</v>
      </c>
    </row>
    <row r="205" spans="15:27" x14ac:dyDescent="0.2">
      <c r="O205" s="33">
        <v>3</v>
      </c>
      <c r="P205" s="27" t="str">
        <f>_xll.qlPeriodEquivalent(P204&amp;"+"&amp;O205&amp;"M")</f>
        <v>47Y6M</v>
      </c>
      <c r="Q205" s="28">
        <f>_xll.qlCalendarAdvance(Calendar,SettlementDate,P205,"f",,Trigger)</f>
        <v>59513</v>
      </c>
      <c r="R205" s="28">
        <f>_xll.qlInterestRateIndexValueDate(Index,Q205,Trigger)</f>
        <v>59517</v>
      </c>
      <c r="S205" s="28">
        <f>_xll.qlInterestRateIndexMaturity(Index,R205,Trigger)</f>
        <v>59607</v>
      </c>
      <c r="T205" s="30">
        <f>_xll.qlIndexFixing($M$6,Q205,,InterestRatesTrigger)</f>
        <v>1.2223451784551642E-2</v>
      </c>
      <c r="U205" s="30">
        <f>_xll.qlIndexFixing(Index,Q205,,InterestRatesTrigger)</f>
        <v>1.23751825642886E-2</v>
      </c>
      <c r="V205" s="30">
        <f t="shared" si="20"/>
        <v>1.5173077973695825E-4</v>
      </c>
      <c r="W205" s="29">
        <f>_xll.qlDayCounterYearFraction(DayCounter,SettlementDate,R205,,,Trigger)</f>
        <v>48.205555555555556</v>
      </c>
      <c r="X205" s="29">
        <f>_xll.qlDayCounterYearFraction(DayCounter,R205,S205)</f>
        <v>0.25</v>
      </c>
      <c r="Y205" s="29">
        <f>_xll.qlYieldTSDiscount(Currency&amp;"ON",R205)/(1+U205*X205)</f>
        <v>0.48749212588079965</v>
      </c>
      <c r="Z205" s="30">
        <f>_xll.qlTenorBasisValue(TenorBasis6M,R205,InterestRatesTrigger)</f>
        <v>2.0302827707716398E-4</v>
      </c>
      <c r="AA205" s="30">
        <f t="shared" si="21"/>
        <v>-5.1297497340205728E-5</v>
      </c>
    </row>
    <row r="206" spans="15:27" x14ac:dyDescent="0.2">
      <c r="O206" s="33">
        <v>3</v>
      </c>
      <c r="P206" s="27" t="str">
        <f>_xll.qlPeriodEquivalent(P205&amp;"+"&amp;O206&amp;"M")</f>
        <v>47Y9M</v>
      </c>
      <c r="Q206" s="28">
        <f>_xll.qlCalendarAdvance(Calendar,SettlementDate,P206,"f",,Trigger)</f>
        <v>59603</v>
      </c>
      <c r="R206" s="28">
        <f>_xll.qlInterestRateIndexValueDate(Index,Q206,Trigger)</f>
        <v>59607</v>
      </c>
      <c r="S206" s="28">
        <f>_xll.qlInterestRateIndexMaturity(Index,R206,Trigger)</f>
        <v>59699</v>
      </c>
      <c r="T206" s="30">
        <f>_xll.qlIndexFixing($M$6,Q206,,InterestRatesTrigger)</f>
        <v>1.2259142239043511E-2</v>
      </c>
      <c r="U206" s="30">
        <f>_xll.qlIndexFixing(Index,Q206,,InterestRatesTrigger)</f>
        <v>1.2409632552357054E-2</v>
      </c>
      <c r="V206" s="30">
        <f t="shared" si="20"/>
        <v>1.5049031331354316E-4</v>
      </c>
      <c r="W206" s="29">
        <f>_xll.qlDayCounterYearFraction(DayCounter,SettlementDate,R206,,,Trigger)</f>
        <v>48.455555555555556</v>
      </c>
      <c r="X206" s="29">
        <f>_xll.qlDayCounterYearFraction(DayCounter,R206,S206)</f>
        <v>0.25555555555555554</v>
      </c>
      <c r="Y206" s="29">
        <f>_xll.qlYieldTSDiscount(Currency&amp;"ON",R206)/(1+U206*X206)</f>
        <v>0.48596938217123364</v>
      </c>
      <c r="Z206" s="30">
        <f>_xll.qlTenorBasisValue(TenorBasis6M,R206,InterestRatesTrigger)</f>
        <v>2.0277666615382527E-4</v>
      </c>
      <c r="AA206" s="30">
        <f t="shared" si="21"/>
        <v>-5.2286352840282105E-5</v>
      </c>
    </row>
    <row r="207" spans="15:27" x14ac:dyDescent="0.2">
      <c r="O207" s="33">
        <v>3</v>
      </c>
      <c r="P207" s="27" t="str">
        <f>_xll.qlPeriodEquivalent(P206&amp;"+"&amp;O207&amp;"M")</f>
        <v>48Y</v>
      </c>
      <c r="Q207" s="28">
        <f>_xll.qlCalendarAdvance(Calendar,SettlementDate,P207,"f",,Trigger)</f>
        <v>59695</v>
      </c>
      <c r="R207" s="28">
        <f>_xll.qlInterestRateIndexValueDate(Index,Q207,Trigger)</f>
        <v>59699</v>
      </c>
      <c r="S207" s="28">
        <f>_xll.qlInterestRateIndexMaturity(Index,R207,Trigger)</f>
        <v>59791</v>
      </c>
      <c r="T207" s="30">
        <f>_xll.qlIndexFixing($M$6,Q207,,InterestRatesTrigger)</f>
        <v>1.2301511695748356E-2</v>
      </c>
      <c r="U207" s="30">
        <f>_xll.qlIndexFixing(Index,Q207,,InterestRatesTrigger)</f>
        <v>1.2450700459303493E-2</v>
      </c>
      <c r="V207" s="30">
        <f t="shared" si="20"/>
        <v>1.4918876355513727E-4</v>
      </c>
      <c r="W207" s="29">
        <f>_xll.qlDayCounterYearFraction(DayCounter,SettlementDate,R207,,,Trigger)</f>
        <v>48.711111111111109</v>
      </c>
      <c r="X207" s="29">
        <f>_xll.qlDayCounterYearFraction(DayCounter,R207,S207)</f>
        <v>0.25555555555555554</v>
      </c>
      <c r="Y207" s="29">
        <f>_xll.qlYieldTSDiscount(Currency&amp;"ON",R207)/(1+U207*X207)</f>
        <v>0.48444657926861046</v>
      </c>
      <c r="Z207" s="30">
        <f>_xll.qlTenorBasisValue(TenorBasis6M,R207,InterestRatesTrigger)</f>
        <v>2.0252873601221048E-4</v>
      </c>
      <c r="AA207" s="30">
        <f t="shared" si="21"/>
        <v>-5.3339972457073213E-5</v>
      </c>
    </row>
    <row r="208" spans="15:27" x14ac:dyDescent="0.2">
      <c r="O208" s="33">
        <v>3</v>
      </c>
      <c r="P208" s="27" t="str">
        <f>_xll.qlPeriodEquivalent(P207&amp;"+"&amp;O208&amp;"M")</f>
        <v>48Y3M</v>
      </c>
      <c r="Q208" s="28">
        <f>_xll.qlCalendarAdvance(Calendar,SettlementDate,P208,"f",,Trigger)</f>
        <v>59789</v>
      </c>
      <c r="R208" s="28">
        <f>_xll.qlInterestRateIndexValueDate(Index,Q208,Trigger)</f>
        <v>59791</v>
      </c>
      <c r="S208" s="28">
        <f>_xll.qlInterestRateIndexMaturity(Index,R208,Trigger)</f>
        <v>59882</v>
      </c>
      <c r="T208" s="30">
        <f>_xll.qlIndexFixing($M$6,Q208,,InterestRatesTrigger)</f>
        <v>1.2350133349456185E-2</v>
      </c>
      <c r="U208" s="30">
        <f>_xll.qlIndexFixing(Index,Q208,,InterestRatesTrigger)</f>
        <v>1.2497985615297639E-2</v>
      </c>
      <c r="V208" s="30">
        <f t="shared" si="20"/>
        <v>1.4785226584145342E-4</v>
      </c>
      <c r="W208" s="29">
        <f>_xll.qlDayCounterYearFraction(DayCounter,SettlementDate,R208,,,Trigger)</f>
        <v>48.966666666666669</v>
      </c>
      <c r="X208" s="29">
        <f>_xll.qlDayCounterYearFraction(DayCounter,R208,S208)</f>
        <v>0.25277777777777777</v>
      </c>
      <c r="Y208" s="29">
        <f>_xll.qlYieldTSDiscount(Currency&amp;"ON",R208)/(1+U208*X208)</f>
        <v>0.48293928332785818</v>
      </c>
      <c r="Z208" s="30">
        <f>_xll.qlTenorBasisValue(TenorBasis6M,R208,InterestRatesTrigger)</f>
        <v>2.0228984848448333E-4</v>
      </c>
      <c r="AA208" s="30">
        <f t="shared" si="21"/>
        <v>-5.4437582643029913E-5</v>
      </c>
    </row>
    <row r="209" spans="15:27" x14ac:dyDescent="0.2">
      <c r="O209" s="33">
        <v>3</v>
      </c>
      <c r="P209" s="27" t="str">
        <f>_xll.qlPeriodEquivalent(P208&amp;"+"&amp;O209&amp;"M")</f>
        <v>48Y6M</v>
      </c>
      <c r="Q209" s="28">
        <f>_xll.qlCalendarAdvance(Calendar,SettlementDate,P209,"f",,Trigger)</f>
        <v>59880</v>
      </c>
      <c r="R209" s="28">
        <f>_xll.qlInterestRateIndexValueDate(Index,Q209,Trigger)</f>
        <v>59882</v>
      </c>
      <c r="S209" s="28">
        <f>_xll.qlInterestRateIndexMaturity(Index,R209,Trigger)</f>
        <v>59973</v>
      </c>
      <c r="T209" s="30">
        <f>_xll.qlIndexFixing($M$6,Q209,,InterestRatesTrigger)</f>
        <v>1.2405331430432497E-2</v>
      </c>
      <c r="U209" s="30">
        <f>_xll.qlIndexFixing(Index,Q209,,InterestRatesTrigger)</f>
        <v>1.2551822993793151E-2</v>
      </c>
      <c r="V209" s="30">
        <f t="shared" si="20"/>
        <v>1.464915633606536E-4</v>
      </c>
      <c r="W209" s="29">
        <f>_xll.qlDayCounterYearFraction(DayCounter,SettlementDate,R209,,,Trigger)</f>
        <v>49.219444444444441</v>
      </c>
      <c r="X209" s="29">
        <f>_xll.qlDayCounterYearFraction(DayCounter,R209,S209)</f>
        <v>0.25277777777777777</v>
      </c>
      <c r="Y209" s="29">
        <f>_xll.qlYieldTSDiscount(Currency&amp;"ON",R209)/(1+U209*X209)</f>
        <v>0.4814297854388403</v>
      </c>
      <c r="Z209" s="30">
        <f>_xll.qlTenorBasisValue(TenorBasis6M,R209,InterestRatesTrigger)</f>
        <v>2.0206213724806638E-4</v>
      </c>
      <c r="AA209" s="30">
        <f t="shared" si="21"/>
        <v>-5.5570573887412782E-5</v>
      </c>
    </row>
    <row r="210" spans="15:27" x14ac:dyDescent="0.2">
      <c r="O210" s="33">
        <v>3</v>
      </c>
      <c r="P210" s="27" t="str">
        <f>_xll.qlPeriodEquivalent(P209&amp;"+"&amp;O210&amp;"M")</f>
        <v>48Y9M</v>
      </c>
      <c r="Q210" s="28">
        <f>_xll.qlCalendarAdvance(Calendar,SettlementDate,P210,"f",,Trigger)</f>
        <v>59971</v>
      </c>
      <c r="R210" s="28">
        <f>_xll.qlInterestRateIndexValueDate(Index,Q210,Trigger)</f>
        <v>59973</v>
      </c>
      <c r="S210" s="28">
        <f>_xll.qlInterestRateIndexMaturity(Index,R210,Trigger)</f>
        <v>60065</v>
      </c>
      <c r="T210" s="30">
        <f>_xll.qlIndexFixing($M$6,Q210,,InterestRatesTrigger)</f>
        <v>1.24677184989853E-2</v>
      </c>
      <c r="U210" s="30">
        <f>_xll.qlIndexFixing(Index,Q210,,InterestRatesTrigger)</f>
        <v>1.2612810119248844E-2</v>
      </c>
      <c r="V210" s="30">
        <f t="shared" si="20"/>
        <v>1.4509162026354362E-4</v>
      </c>
      <c r="W210" s="29">
        <f>_xll.qlDayCounterYearFraction(DayCounter,SettlementDate,R210,,,Trigger)</f>
        <v>49.472222222222221</v>
      </c>
      <c r="X210" s="29">
        <f>_xll.qlDayCounterYearFraction(DayCounter,R210,S210)</f>
        <v>0.25555555555555554</v>
      </c>
      <c r="Y210" s="29">
        <f>_xll.qlYieldTSDiscount(Currency&amp;"ON",R210)/(1+U210*X210)</f>
        <v>0.47990070564366022</v>
      </c>
      <c r="Z210" s="30">
        <f>_xll.qlTenorBasisValue(TenorBasis6M,R210,InterestRatesTrigger)</f>
        <v>2.018426564184878E-4</v>
      </c>
      <c r="AA210" s="30">
        <f t="shared" si="21"/>
        <v>-5.6751036154944177E-5</v>
      </c>
    </row>
    <row r="211" spans="15:27" x14ac:dyDescent="0.2">
      <c r="O211" s="33">
        <v>3</v>
      </c>
      <c r="P211" s="27" t="str">
        <f>_xll.qlPeriodEquivalent(P210&amp;"+"&amp;O211&amp;"M")</f>
        <v>49Y</v>
      </c>
      <c r="Q211" s="28">
        <f>_xll.qlCalendarAdvance(Calendar,SettlementDate,P211,"f",,Trigger)</f>
        <v>60062</v>
      </c>
      <c r="R211" s="28">
        <f>_xll.qlInterestRateIndexValueDate(Index,Q211,Trigger)</f>
        <v>60064</v>
      </c>
      <c r="S211" s="28">
        <f>_xll.qlInterestRateIndexMaturity(Index,R211,Trigger)</f>
        <v>60156</v>
      </c>
      <c r="T211" s="30">
        <f>_xll.qlIndexFixing($M$6,Q211,,InterestRatesTrigger)</f>
        <v>1.2536174340319086E-2</v>
      </c>
      <c r="U211" s="30">
        <f>_xll.qlIndexFixing(Index,Q211,,InterestRatesTrigger)</f>
        <v>1.2679832075127042E-2</v>
      </c>
      <c r="V211" s="30">
        <f t="shared" si="20"/>
        <v>1.4365773480795596E-4</v>
      </c>
      <c r="W211" s="29">
        <f>_xll.qlDayCounterYearFraction(DayCounter,SettlementDate,R211,,,Trigger)</f>
        <v>49.725000000000001</v>
      </c>
      <c r="X211" s="29">
        <f>_xll.qlDayCounterYearFraction(DayCounter,R211,S211)</f>
        <v>0.25555555555555554</v>
      </c>
      <c r="Y211" s="29">
        <f>_xll.qlYieldTSDiscount(Currency&amp;"ON",R211)/(1+U211*X211)</f>
        <v>0.47838492279417882</v>
      </c>
      <c r="Z211" s="30">
        <f>_xll.qlTenorBasisValue(TenorBasis6M,R211,InterestRatesTrigger)</f>
        <v>2.0163111504261982E-4</v>
      </c>
      <c r="AA211" s="30">
        <f t="shared" si="21"/>
        <v>-5.7973380234663859E-5</v>
      </c>
    </row>
    <row r="212" spans="15:27" x14ac:dyDescent="0.2">
      <c r="O212" s="33">
        <v>3</v>
      </c>
      <c r="P212" s="27" t="str">
        <f>_xll.qlPeriodEquivalent(P211&amp;"+"&amp;O212&amp;"M")</f>
        <v>49Y3M</v>
      </c>
      <c r="Q212" s="28">
        <f>_xll.qlCalendarAdvance(Calendar,SettlementDate,P212,"f",,Trigger)</f>
        <v>60153</v>
      </c>
      <c r="R212" s="28">
        <f>_xll.qlInterestRateIndexValueDate(Index,Q212,Trigger)</f>
        <v>60155</v>
      </c>
      <c r="S212" s="28">
        <f>_xll.qlInterestRateIndexMaturity(Index,R212,Trigger)</f>
        <v>60246</v>
      </c>
      <c r="T212" s="30">
        <f>_xll.qlIndexFixing($M$6,Q212,,InterestRatesTrigger)</f>
        <v>1.2610583221843476E-2</v>
      </c>
      <c r="U212" s="30">
        <f>_xll.qlIndexFixing(Index,Q212,,InterestRatesTrigger)</f>
        <v>1.275277379005816E-2</v>
      </c>
      <c r="V212" s="30">
        <f t="shared" si="20"/>
        <v>1.4219056821468401E-4</v>
      </c>
      <c r="W212" s="29">
        <f>_xll.qlDayCounterYearFraction(DayCounter,SettlementDate,R212,,,Trigger)</f>
        <v>49.977777777777774</v>
      </c>
      <c r="X212" s="29">
        <f>_xll.qlDayCounterYearFraction(DayCounter,R212,S212)</f>
        <v>0.25277777777777777</v>
      </c>
      <c r="Y212" s="29">
        <f>_xll.qlYieldTSDiscount(Currency&amp;"ON",R212)/(1+U212*X212)</f>
        <v>0.4768818258589454</v>
      </c>
      <c r="Z212" s="30">
        <f>_xll.qlTenorBasisValue(TenorBasis6M,R212,InterestRatesTrigger)</f>
        <v>2.0142723214183517E-4</v>
      </c>
      <c r="AA212" s="30">
        <f t="shared" si="21"/>
        <v>-5.9236663927151158E-5</v>
      </c>
    </row>
    <row r="213" spans="15:27" x14ac:dyDescent="0.2">
      <c r="O213" s="33">
        <v>3</v>
      </c>
      <c r="P213" s="27" t="str">
        <f>_xll.qlPeriodEquivalent(P212&amp;"+"&amp;O213&amp;"M")</f>
        <v>49Y6M</v>
      </c>
      <c r="Q213" s="28">
        <f>_xll.qlCalendarAdvance(Calendar,SettlementDate,P213,"f",,Trigger)</f>
        <v>60244</v>
      </c>
      <c r="R213" s="28">
        <f>_xll.qlInterestRateIndexValueDate(Index,Q213,Trigger)</f>
        <v>60246</v>
      </c>
      <c r="S213" s="28">
        <f>_xll.qlInterestRateIndexMaturity(Index,R213,Trigger)</f>
        <v>60336</v>
      </c>
      <c r="T213" s="30">
        <f>_xll.qlIndexFixing($M$6,Q213,,InterestRatesTrigger)</f>
        <v>1.2691524687985734E-2</v>
      </c>
      <c r="U213" s="30">
        <f>_xll.qlIndexFixing(Index,Q213,,InterestRatesTrigger)</f>
        <v>1.2832212030327916E-2</v>
      </c>
      <c r="V213" s="30">
        <f t="shared" si="20"/>
        <v>1.4068734234218283E-4</v>
      </c>
      <c r="W213" s="29">
        <f>_xll.qlDayCounterYearFraction(DayCounter,SettlementDate,R213,,,Trigger)</f>
        <v>50.230555555555554</v>
      </c>
      <c r="X213" s="29">
        <f>_xll.qlDayCounterYearFraction(DayCounter,R213,S213)</f>
        <v>0.25</v>
      </c>
      <c r="Y213" s="29">
        <f>_xll.qlYieldTSDiscount(Currency&amp;"ON",R213)/(1+U213*X213)</f>
        <v>0.47537388714648338</v>
      </c>
      <c r="Z213" s="30">
        <f>_xll.qlTenorBasisValue(TenorBasis6M,R213,InterestRatesTrigger)</f>
        <v>2.0123073638520888E-4</v>
      </c>
      <c r="AA213" s="30">
        <f t="shared" si="21"/>
        <v>-6.0543394043026052E-5</v>
      </c>
    </row>
    <row r="214" spans="15:27" x14ac:dyDescent="0.2">
      <c r="O214" s="33">
        <v>3</v>
      </c>
      <c r="P214" s="27" t="str">
        <f>_xll.qlPeriodEquivalent(P213&amp;"+"&amp;O214&amp;"M")</f>
        <v>49Y9M</v>
      </c>
      <c r="Q214" s="28">
        <f>_xll.qlCalendarAdvance(Calendar,SettlementDate,P214,"f",,Trigger)</f>
        <v>60335</v>
      </c>
      <c r="R214" s="28">
        <f>_xll.qlInterestRateIndexValueDate(Index,Q214,Trigger)</f>
        <v>60337</v>
      </c>
      <c r="S214" s="28">
        <f>_xll.qlInterestRateIndexMaturity(Index,R214,Trigger)</f>
        <v>60429</v>
      </c>
      <c r="T214" s="30">
        <f>_xll.qlIndexFixing($M$6,Q214,,InterestRatesTrigger)</f>
        <v>1.2781205021852702E-2</v>
      </c>
      <c r="U214" s="30">
        <f>_xll.qlIndexFixing(Index,Q214,,InterestRatesTrigger)</f>
        <v>1.2920342107969621E-2</v>
      </c>
      <c r="V214" s="30">
        <f t="shared" si="20"/>
        <v>1.391370861169184E-4</v>
      </c>
      <c r="W214" s="29">
        <f>_xll.qlDayCounterYearFraction(DayCounter,SettlementDate,R214,,,Trigger)</f>
        <v>50.483333333333334</v>
      </c>
      <c r="X214" s="29">
        <f>_xll.qlDayCounterYearFraction(DayCounter,R214,S214)</f>
        <v>0.25555555555555554</v>
      </c>
      <c r="Y214" s="29">
        <f>_xll.qlYieldTSDiscount(Currency&amp;"ON",R214)/(1+U214*X214)</f>
        <v>0.47380931024462336</v>
      </c>
      <c r="Z214" s="30">
        <f>_xll.qlTenorBasisValue(TenorBasis6M,R214,InterestRatesTrigger)</f>
        <v>2.0104136577266596E-4</v>
      </c>
      <c r="AA214" s="30">
        <f t="shared" si="21"/>
        <v>-6.1904279655747557E-5</v>
      </c>
    </row>
    <row r="215" spans="15:27" x14ac:dyDescent="0.2">
      <c r="O215" s="33">
        <v>3</v>
      </c>
      <c r="P215" s="27" t="str">
        <f>_xll.qlPeriodEquivalent(P214&amp;"+"&amp;O215&amp;"M")</f>
        <v>50Y</v>
      </c>
      <c r="Q215" s="28">
        <f>_xll.qlCalendarAdvance(Calendar,SettlementDate,P215,"f",,Trigger)</f>
        <v>60426</v>
      </c>
      <c r="R215" s="28">
        <f>_xll.qlInterestRateIndexValueDate(Index,Q215,Trigger)</f>
        <v>60428</v>
      </c>
      <c r="S215" s="28">
        <f>_xll.qlInterestRateIndexMaturity(Index,R215,Trigger)</f>
        <v>60520</v>
      </c>
      <c r="T215" s="30">
        <f>_xll.qlIndexFixing($M$6,Q215,,InterestRatesTrigger)</f>
        <v>1.2874474857716931E-2</v>
      </c>
      <c r="U215" s="30">
        <f>_xll.qlIndexFixing(Index,Q215,,InterestRatesTrigger)</f>
        <v>1.3012045798400507E-2</v>
      </c>
      <c r="V215" s="30">
        <f t="shared" si="20"/>
        <v>1.3757094068357623E-4</v>
      </c>
      <c r="W215" s="29">
        <f>_xll.qlDayCounterYearFraction(DayCounter,SettlementDate,R215,,,Trigger)</f>
        <v>50.736111111111114</v>
      </c>
      <c r="X215" s="29">
        <f>_xll.qlDayCounterYearFraction(DayCounter,R215,S215)</f>
        <v>0.25555555555555554</v>
      </c>
      <c r="Y215" s="29">
        <f>_xll.qlYieldTSDiscount(Currency&amp;"ON",R215)/(1+U215*X215)</f>
        <v>0.47227251078310162</v>
      </c>
      <c r="Z215" s="30">
        <f>_xll.qlTenorBasisValue(TenorBasis6M,R215,InterestRatesTrigger)</f>
        <v>2.0085886732781281E-4</v>
      </c>
      <c r="AA215" s="30">
        <f t="shared" si="21"/>
        <v>-6.3287926644236582E-5</v>
      </c>
    </row>
    <row r="216" spans="15:27" x14ac:dyDescent="0.2">
      <c r="O216" s="33">
        <v>3</v>
      </c>
      <c r="P216" s="27" t="str">
        <f>_xll.qlPeriodEquivalent(P215&amp;"+"&amp;O216&amp;"M")</f>
        <v>50Y3M</v>
      </c>
      <c r="Q216" s="28">
        <f>_xll.qlCalendarAdvance(Calendar,SettlementDate,P216,"f",,Trigger)</f>
        <v>60518</v>
      </c>
      <c r="R216" s="28">
        <f>_xll.qlInterestRateIndexValueDate(Index,Q216,Trigger)</f>
        <v>60520</v>
      </c>
      <c r="S216" s="28">
        <f>_xll.qlInterestRateIndexMaturity(Index,R216,Trigger)</f>
        <v>60611</v>
      </c>
      <c r="T216" s="30">
        <f>_xll.qlIndexFixing($M$6,Q216,,InterestRatesTrigger)</f>
        <v>1.2967040624786702E-2</v>
      </c>
      <c r="U216" s="30">
        <f>_xll.qlIndexFixing(Index,Q216,,InterestRatesTrigger)</f>
        <v>1.3103059684801081E-2</v>
      </c>
      <c r="V216" s="30">
        <f t="shared" si="20"/>
        <v>1.3601906001437826E-4</v>
      </c>
      <c r="W216" s="29">
        <f>_xll.qlDayCounterYearFraction(DayCounter,SettlementDate,R216,,,Trigger)</f>
        <v>50.991666666666667</v>
      </c>
      <c r="X216" s="29">
        <f>_xll.qlDayCounterYearFraction(DayCounter,R216,S216)</f>
        <v>0.25277777777777777</v>
      </c>
      <c r="Y216" s="29">
        <f>_xll.qlYieldTSDiscount(Currency&amp;"ON",R216)/(1+U216*X216)</f>
        <v>0.47072992610788483</v>
      </c>
      <c r="Z216" s="30">
        <f>_xll.qlTenorBasisValue(TenorBasis6M,R216,InterestRatesTrigger)</f>
        <v>2.0068110008866273E-4</v>
      </c>
      <c r="AA216" s="30">
        <f t="shared" si="21"/>
        <v>-6.4662040074284466E-5</v>
      </c>
    </row>
    <row r="217" spans="15:27" x14ac:dyDescent="0.2">
      <c r="O217" s="33">
        <v>3</v>
      </c>
      <c r="P217" s="27" t="str">
        <f>_xll.qlPeriodEquivalent(P216&amp;"+"&amp;O217&amp;"M")</f>
        <v>50Y6M</v>
      </c>
      <c r="Q217" s="28">
        <f>_xll.qlCalendarAdvance(Calendar,SettlementDate,P217,"f",,Trigger)</f>
        <v>60609</v>
      </c>
      <c r="R217" s="28">
        <f>_xll.qlInterestRateIndexValueDate(Index,Q217,Trigger)</f>
        <v>60611</v>
      </c>
      <c r="S217" s="28">
        <f>_xll.qlInterestRateIndexMaturity(Index,R217,Trigger)</f>
        <v>60701</v>
      </c>
      <c r="T217" s="30">
        <f>_xll.qlIndexFixing($M$6,Q217,,InterestRatesTrigger)</f>
        <v>1.3056241855262662E-2</v>
      </c>
      <c r="U217" s="30">
        <f>_xll.qlIndexFixing(Index,Q217,,InterestRatesTrigger)</f>
        <v>1.3190765021863449E-2</v>
      </c>
      <c r="V217" s="30">
        <f t="shared" si="20"/>
        <v>1.3452316660078623E-4</v>
      </c>
      <c r="W217" s="29">
        <f>_xll.qlDayCounterYearFraction(DayCounter,SettlementDate,R217,,,Trigger)</f>
        <v>51.244444444444447</v>
      </c>
      <c r="X217" s="29">
        <f>_xll.qlDayCounterYearFraction(DayCounter,R217,S217)</f>
        <v>0.25</v>
      </c>
      <c r="Y217" s="29">
        <f>_xll.qlYieldTSDiscount(Currency&amp;"ON",R217)/(1+U217*X217)</f>
        <v>0.46919878541561821</v>
      </c>
      <c r="Z217" s="30">
        <f>_xll.qlTenorBasisValue(TenorBasis6M,R217,InterestRatesTrigger)</f>
        <v>2.005116906288042E-4</v>
      </c>
      <c r="AA217" s="30">
        <f t="shared" si="21"/>
        <v>-6.5988524028017979E-5</v>
      </c>
    </row>
    <row r="218" spans="15:27" x14ac:dyDescent="0.2">
      <c r="O218" s="33">
        <v>3</v>
      </c>
      <c r="P218" s="27" t="str">
        <f>_xll.qlPeriodEquivalent(P217&amp;"+"&amp;O218&amp;"M")</f>
        <v>50Y9M</v>
      </c>
      <c r="Q218" s="28">
        <f>_xll.qlCalendarAdvance(Calendar,SettlementDate,P218,"f",,Trigger)</f>
        <v>60699</v>
      </c>
      <c r="R218" s="28">
        <f>_xll.qlInterestRateIndexValueDate(Index,Q218,Trigger)</f>
        <v>60701</v>
      </c>
      <c r="S218" s="28">
        <f>_xll.qlInterestRateIndexMaturity(Index,R218,Trigger)</f>
        <v>60793</v>
      </c>
      <c r="T218" s="30">
        <f>_xll.qlIndexFixing($M$6,Q218,,InterestRatesTrigger)</f>
        <v>1.3144292969816047E-2</v>
      </c>
      <c r="U218" s="30">
        <f>_xll.qlIndexFixing(Index,Q218,,InterestRatesTrigger)</f>
        <v>1.3277365932499997E-2</v>
      </c>
      <c r="V218" s="30">
        <f t="shared" si="20"/>
        <v>1.3307296268394962E-4</v>
      </c>
      <c r="W218" s="29">
        <f>_xll.qlDayCounterYearFraction(DayCounter,SettlementDate,R218,,,Trigger)</f>
        <v>51.494444444444447</v>
      </c>
      <c r="X218" s="29">
        <f>_xll.qlDayCounterYearFraction(DayCounter,R218,S218)</f>
        <v>0.25555555555555554</v>
      </c>
      <c r="Y218" s="29">
        <f>_xll.qlYieldTSDiscount(Currency&amp;"ON",R218)/(1+U218*X218)</f>
        <v>0.46762780354045574</v>
      </c>
      <c r="Z218" s="30">
        <f>_xll.qlTenorBasisValue(TenorBasis6M,R218,InterestRatesTrigger)</f>
        <v>2.0035020440201492E-4</v>
      </c>
      <c r="AA218" s="30">
        <f t="shared" si="21"/>
        <v>-6.7277241718065295E-5</v>
      </c>
    </row>
    <row r="219" spans="15:27" x14ac:dyDescent="0.2">
      <c r="O219" s="33">
        <v>3</v>
      </c>
      <c r="P219" s="27" t="str">
        <f>_xll.qlPeriodEquivalent(P218&amp;"+"&amp;O219&amp;"M")</f>
        <v>51Y</v>
      </c>
      <c r="Q219" s="28">
        <f>_xll.qlCalendarAdvance(Calendar,SettlementDate,P219,"f",,Trigger)</f>
        <v>60791</v>
      </c>
      <c r="R219" s="28">
        <f>_xll.qlInterestRateIndexValueDate(Index,Q219,Trigger)</f>
        <v>60793</v>
      </c>
      <c r="S219" s="28">
        <f>_xll.qlInterestRateIndexMaturity(Index,R219,Trigger)</f>
        <v>60885</v>
      </c>
      <c r="T219" s="30">
        <f>_xll.qlIndexFixing($M$6,Q219,,InterestRatesTrigger)</f>
        <v>1.3230441680037201E-2</v>
      </c>
      <c r="U219" s="30">
        <f>_xll.qlIndexFixing(Index,Q219,,InterestRatesTrigger)</f>
        <v>1.3362078444428683E-2</v>
      </c>
      <c r="V219" s="30">
        <f t="shared" si="20"/>
        <v>1.3163676439148161E-4</v>
      </c>
      <c r="W219" s="29">
        <f>_xll.qlDayCounterYearFraction(DayCounter,SettlementDate,R219,,,Trigger)</f>
        <v>51.75</v>
      </c>
      <c r="X219" s="29">
        <f>_xll.qlDayCounterYearFraction(DayCounter,R219,S219)</f>
        <v>0.25555555555555554</v>
      </c>
      <c r="Y219" s="29">
        <f>_xll.qlYieldTSDiscount(Currency&amp;"ON",R219)/(1+U219*X219)</f>
        <v>0.46605219984408069</v>
      </c>
      <c r="Z219" s="30">
        <f>_xll.qlTenorBasisValue(TenorBasis6M,R219,InterestRatesTrigger)</f>
        <v>2.0019113799974901E-4</v>
      </c>
      <c r="AA219" s="30">
        <f t="shared" si="21"/>
        <v>-6.8554373608267392E-5</v>
      </c>
    </row>
    <row r="220" spans="15:27" x14ac:dyDescent="0.2">
      <c r="O220" s="33">
        <v>3</v>
      </c>
      <c r="P220" s="27" t="str">
        <f>_xll.qlPeriodEquivalent(P219&amp;"+"&amp;O220&amp;"M")</f>
        <v>51Y3M</v>
      </c>
      <c r="Q220" s="28">
        <f>_xll.qlCalendarAdvance(Calendar,SettlementDate,P220,"f",,Trigger)</f>
        <v>60883</v>
      </c>
      <c r="R220" s="28">
        <f>_xll.qlInterestRateIndexValueDate(Index,Q220,Trigger)</f>
        <v>60885</v>
      </c>
      <c r="S220" s="28">
        <f>_xll.qlInterestRateIndexMaturity(Index,R220,Trigger)</f>
        <v>60976</v>
      </c>
      <c r="T220" s="30">
        <f>_xll.qlIndexFixing($M$6,Q220,,InterestRatesTrigger)</f>
        <v>1.331348865446124E-2</v>
      </c>
      <c r="U220" s="30">
        <f>_xll.qlIndexFixing(Index,Q220,,InterestRatesTrigger)</f>
        <v>1.3443731968876028E-2</v>
      </c>
      <c r="V220" s="30">
        <f t="shared" si="20"/>
        <v>1.3024331441478798E-4</v>
      </c>
      <c r="W220" s="29">
        <f>_xll.qlDayCounterYearFraction(DayCounter,SettlementDate,R220,,,Trigger)</f>
        <v>52.005555555555553</v>
      </c>
      <c r="X220" s="29">
        <f>_xll.qlDayCounterYearFraction(DayCounter,R220,S220)</f>
        <v>0.25277777777777777</v>
      </c>
      <c r="Y220" s="29">
        <f>_xll.qlYieldTSDiscount(Currency&amp;"ON",R220)/(1+U220*X220)</f>
        <v>0.46448936187267892</v>
      </c>
      <c r="Z220" s="30">
        <f>_xll.qlTenorBasisValue(TenorBasis6M,R220,InterestRatesTrigger)</f>
        <v>2.0003792848868502E-4</v>
      </c>
      <c r="AA220" s="30">
        <f t="shared" si="21"/>
        <v>-6.9794614073897041E-5</v>
      </c>
    </row>
    <row r="221" spans="15:27" x14ac:dyDescent="0.2">
      <c r="O221" s="33">
        <v>3</v>
      </c>
      <c r="P221" s="27" t="str">
        <f>_xll.qlPeriodEquivalent(P220&amp;"+"&amp;O221&amp;"M")</f>
        <v>51Y6M</v>
      </c>
      <c r="Q221" s="28">
        <f>_xll.qlCalendarAdvance(Calendar,SettlementDate,P221,"f",,Trigger)</f>
        <v>60974</v>
      </c>
      <c r="R221" s="28">
        <f>_xll.qlInterestRateIndexValueDate(Index,Q221,Trigger)</f>
        <v>60976</v>
      </c>
      <c r="S221" s="28">
        <f>_xll.qlInterestRateIndexMaturity(Index,R221,Trigger)</f>
        <v>61066</v>
      </c>
      <c r="T221" s="30">
        <f>_xll.qlIndexFixing($M$6,Q221,,InterestRatesTrigger)</f>
        <v>1.3393274891437379E-2</v>
      </c>
      <c r="U221" s="30">
        <f>_xll.qlIndexFixing(Index,Q221,,InterestRatesTrigger)</f>
        <v>1.3522179033757631E-2</v>
      </c>
      <c r="V221" s="30">
        <f t="shared" si="20"/>
        <v>1.2890414232025194E-4</v>
      </c>
      <c r="W221" s="29">
        <f>_xll.qlDayCounterYearFraction(DayCounter,SettlementDate,R221,,,Trigger)</f>
        <v>52.258333333333333</v>
      </c>
      <c r="X221" s="29">
        <f>_xll.qlDayCounterYearFraction(DayCounter,R221,S221)</f>
        <v>0.25</v>
      </c>
      <c r="Y221" s="29">
        <f>_xll.qlYieldTSDiscount(Currency&amp;"ON",R221)/(1+U221*X221)</f>
        <v>0.4629396146983713</v>
      </c>
      <c r="Z221" s="30">
        <f>_xll.qlTenorBasisValue(TenorBasis6M,R221,InterestRatesTrigger)</f>
        <v>1.9989193873503797E-4</v>
      </c>
      <c r="AA221" s="30">
        <f t="shared" si="21"/>
        <v>-7.0987796414786038E-5</v>
      </c>
    </row>
    <row r="222" spans="15:27" x14ac:dyDescent="0.2">
      <c r="O222" s="33">
        <v>3</v>
      </c>
      <c r="P222" s="27" t="str">
        <f>_xll.qlPeriodEquivalent(P221&amp;"+"&amp;O222&amp;"M")</f>
        <v>51Y9M</v>
      </c>
      <c r="Q222" s="28">
        <f>_xll.qlCalendarAdvance(Calendar,SettlementDate,P222,"f",,Trigger)</f>
        <v>61064</v>
      </c>
      <c r="R222" s="28">
        <f>_xll.qlInterestRateIndexValueDate(Index,Q222,Trigger)</f>
        <v>61066</v>
      </c>
      <c r="S222" s="28">
        <f>_xll.qlInterestRateIndexMaturity(Index,R222,Trigger)</f>
        <v>61158</v>
      </c>
      <c r="T222" s="30">
        <f>_xll.qlIndexFixing($M$6,Q222,,InterestRatesTrigger)</f>
        <v>1.3471895275990031E-2</v>
      </c>
      <c r="U222" s="30">
        <f>_xll.qlIndexFixing(Index,Q222,,InterestRatesTrigger)</f>
        <v>1.3599506565183987E-2</v>
      </c>
      <c r="V222" s="30">
        <f t="shared" si="20"/>
        <v>1.2761128919395667E-4</v>
      </c>
      <c r="W222" s="29">
        <f>_xll.qlDayCounterYearFraction(DayCounter,SettlementDate,R222,,,Trigger)</f>
        <v>52.508333333333333</v>
      </c>
      <c r="X222" s="29">
        <f>_xll.qlDayCounterYearFraction(DayCounter,R222,S222)</f>
        <v>0.25555555555555554</v>
      </c>
      <c r="Y222" s="29">
        <f>_xll.qlYieldTSDiscount(Currency&amp;"ON",R222)/(1+U222*X222)</f>
        <v>0.46135109045186889</v>
      </c>
      <c r="Z222" s="30">
        <f>_xll.qlTenorBasisValue(TenorBasis6M,R222,InterestRatesTrigger)</f>
        <v>1.9975279233474722E-4</v>
      </c>
      <c r="AA222" s="30">
        <f t="shared" si="21"/>
        <v>-7.2141503140790546E-5</v>
      </c>
    </row>
    <row r="223" spans="15:27" x14ac:dyDescent="0.2">
      <c r="O223" s="33">
        <v>3</v>
      </c>
      <c r="P223" s="27" t="str">
        <f>_xll.qlPeriodEquivalent(P222&amp;"+"&amp;O223&amp;"M")</f>
        <v>52Y</v>
      </c>
      <c r="Q223" s="28">
        <f>_xll.qlCalendarAdvance(Calendar,SettlementDate,P223,"f",,Trigger)</f>
        <v>61156</v>
      </c>
      <c r="R223" s="28">
        <f>_xll.qlInterestRateIndexValueDate(Index,Q223,Trigger)</f>
        <v>61158</v>
      </c>
      <c r="S223" s="28">
        <f>_xll.qlInterestRateIndexMaturity(Index,R223,Trigger)</f>
        <v>61252</v>
      </c>
      <c r="T223" s="30">
        <f>_xll.qlIndexFixing($M$6,Q223,,InterestRatesTrigger)</f>
        <v>1.3549808238100777E-2</v>
      </c>
      <c r="U223" s="30">
        <f>_xll.qlIndexFixing(Index,Q223,,InterestRatesTrigger)</f>
        <v>1.3676138552455802E-2</v>
      </c>
      <c r="V223" s="30">
        <f t="shared" ref="V223:V253" si="22">U223-T223</f>
        <v>1.2633031435502554E-4</v>
      </c>
      <c r="W223" s="29">
        <f>_xll.qlDayCounterYearFraction(DayCounter,SettlementDate,R223,,,Trigger)</f>
        <v>52.763888888888886</v>
      </c>
      <c r="X223" s="29">
        <f>_xll.qlDayCounterYearFraction(DayCounter,R223,S223)</f>
        <v>0.26111111111111113</v>
      </c>
      <c r="Y223" s="29">
        <f>_xll.qlYieldTSDiscount(Currency&amp;"ON",R223)/(1+U223*X223)</f>
        <v>0.45972441223260208</v>
      </c>
      <c r="Z223" s="30">
        <f>_xll.qlTenorBasisValue(TenorBasis6M,R223,InterestRatesTrigger)</f>
        <v>1.9961574614404349E-4</v>
      </c>
      <c r="AA223" s="30">
        <f t="shared" ref="AA223:AA253" si="23">V223-Z223</f>
        <v>-7.3285431789017953E-5</v>
      </c>
    </row>
    <row r="224" spans="15:27" x14ac:dyDescent="0.2">
      <c r="O224" s="33">
        <v>3</v>
      </c>
      <c r="P224" s="27" t="str">
        <f>_xll.qlPeriodEquivalent(P223&amp;"+"&amp;O224&amp;"M")</f>
        <v>52Y3M</v>
      </c>
      <c r="Q224" s="28">
        <f>_xll.qlCalendarAdvance(Calendar,SettlementDate,P224,"f",,Trigger)</f>
        <v>61248</v>
      </c>
      <c r="R224" s="28">
        <f>_xll.qlInterestRateIndexValueDate(Index,Q224,Trigger)</f>
        <v>61252</v>
      </c>
      <c r="S224" s="28">
        <f>_xll.qlInterestRateIndexMaturity(Index,R224,Trigger)</f>
        <v>61343</v>
      </c>
      <c r="T224" s="30">
        <f>_xll.qlIndexFixing($M$6,Q224,,InterestRatesTrigger)</f>
        <v>1.3623596937983751E-2</v>
      </c>
      <c r="U224" s="30">
        <f>_xll.qlIndexFixing(Index,Q224,,InterestRatesTrigger)</f>
        <v>1.3748669917021998E-2</v>
      </c>
      <c r="V224" s="30">
        <f t="shared" si="22"/>
        <v>1.2507297903824668E-4</v>
      </c>
      <c r="W224" s="29">
        <f>_xll.qlDayCounterYearFraction(DayCounter,SettlementDate,R224,,,Trigger)</f>
        <v>53.024999999999999</v>
      </c>
      <c r="X224" s="29">
        <f>_xll.qlDayCounterYearFraction(DayCounter,R224,S224)</f>
        <v>0.25277777777777777</v>
      </c>
      <c r="Y224" s="29">
        <f>_xll.qlYieldTSDiscount(Currency&amp;"ON",R224)/(1+U224*X224)</f>
        <v>0.45814729737316068</v>
      </c>
      <c r="Z224" s="30">
        <f>_xll.qlTenorBasisValue(TenorBasis6M,R224,InterestRatesTrigger)</f>
        <v>1.9948094620949482E-4</v>
      </c>
      <c r="AA224" s="30">
        <f t="shared" si="23"/>
        <v>-7.440796717124814E-5</v>
      </c>
    </row>
    <row r="225" spans="15:27" x14ac:dyDescent="0.2">
      <c r="O225" s="33">
        <v>3</v>
      </c>
      <c r="P225" s="27" t="str">
        <f>_xll.qlPeriodEquivalent(P224&amp;"+"&amp;O225&amp;"M")</f>
        <v>52Y6M</v>
      </c>
      <c r="Q225" s="28">
        <f>_xll.qlCalendarAdvance(Calendar,SettlementDate,P225,"f",,Trigger)</f>
        <v>61339</v>
      </c>
      <c r="R225" s="28">
        <f>_xll.qlInterestRateIndexValueDate(Index,Q225,Trigger)</f>
        <v>61343</v>
      </c>
      <c r="S225" s="28">
        <f>_xll.qlInterestRateIndexMaturity(Index,R225,Trigger)</f>
        <v>61434</v>
      </c>
      <c r="T225" s="30">
        <f>_xll.qlIndexFixing($M$6,Q225,,InterestRatesTrigger)</f>
        <v>1.3694556870122341E-2</v>
      </c>
      <c r="U225" s="30">
        <f>_xll.qlIndexFixing(Index,Q225,,InterestRatesTrigger)</f>
        <v>1.3818446701159039E-2</v>
      </c>
      <c r="V225" s="30">
        <f t="shared" si="22"/>
        <v>1.2388983103669808E-4</v>
      </c>
      <c r="W225" s="29">
        <f>_xll.qlDayCounterYearFraction(DayCounter,SettlementDate,R225,,,Trigger)</f>
        <v>53.277777777777779</v>
      </c>
      <c r="X225" s="29">
        <f>_xll.qlDayCounterYearFraction(DayCounter,R225,S225)</f>
        <v>0.25277777777777777</v>
      </c>
      <c r="Y225" s="29">
        <f>_xll.qlYieldTSDiscount(Currency&amp;"ON",R225)/(1+U225*X225)</f>
        <v>0.45656694566778389</v>
      </c>
      <c r="Z225" s="30">
        <f>_xll.qlTenorBasisValue(TenorBasis6M,R225,InterestRatesTrigger)</f>
        <v>1.9935529692691596E-4</v>
      </c>
      <c r="AA225" s="30">
        <f t="shared" si="23"/>
        <v>-7.5465465890217881E-5</v>
      </c>
    </row>
    <row r="226" spans="15:27" x14ac:dyDescent="0.2">
      <c r="O226" s="33">
        <v>3</v>
      </c>
      <c r="P226" s="27" t="str">
        <f>_xll.qlPeriodEquivalent(P225&amp;"+"&amp;O226&amp;"M")</f>
        <v>52Y9M</v>
      </c>
      <c r="Q226" s="28">
        <f>_xll.qlCalendarAdvance(Calendar,SettlementDate,P226,"f",,Trigger)</f>
        <v>61430</v>
      </c>
      <c r="R226" s="28">
        <f>_xll.qlInterestRateIndexValueDate(Index,Q226,Trigger)</f>
        <v>61434</v>
      </c>
      <c r="S226" s="28">
        <f>_xll.qlInterestRateIndexMaturity(Index,R226,Trigger)</f>
        <v>61526</v>
      </c>
      <c r="T226" s="30">
        <f>_xll.qlIndexFixing($M$6,Q226,,InterestRatesTrigger)</f>
        <v>1.3763789775766205E-2</v>
      </c>
      <c r="U226" s="30">
        <f>_xll.qlIndexFixing(Index,Q226,,InterestRatesTrigger)</f>
        <v>1.3886534321565794E-2</v>
      </c>
      <c r="V226" s="30">
        <f t="shared" si="22"/>
        <v>1.2274454579958884E-4</v>
      </c>
      <c r="W226" s="29">
        <f>_xll.qlDayCounterYearFraction(DayCounter,SettlementDate,R226,,,Trigger)</f>
        <v>53.530555555555559</v>
      </c>
      <c r="X226" s="29">
        <f>_xll.qlDayCounterYearFraction(DayCounter,R226,S226)</f>
        <v>0.25555555555555554</v>
      </c>
      <c r="Y226" s="29">
        <f>_xll.qlYieldTSDiscount(Currency&amp;"ON",R226)/(1+U226*X226)</f>
        <v>0.45496661758062507</v>
      </c>
      <c r="Z226" s="30">
        <f>_xll.qlTenorBasisValue(TenorBasis6M,R226,InterestRatesTrigger)</f>
        <v>1.9923424448103357E-4</v>
      </c>
      <c r="AA226" s="30">
        <f t="shared" si="23"/>
        <v>-7.6489698681444737E-5</v>
      </c>
    </row>
    <row r="227" spans="15:27" x14ac:dyDescent="0.2">
      <c r="O227" s="33">
        <v>3</v>
      </c>
      <c r="P227" s="27" t="str">
        <f>_xll.qlPeriodEquivalent(P226&amp;"+"&amp;O227&amp;"M")</f>
        <v>53Y</v>
      </c>
      <c r="Q227" s="28">
        <f>_xll.qlCalendarAdvance(Calendar,SettlementDate,P227,"f",,Trigger)</f>
        <v>61522</v>
      </c>
      <c r="R227" s="28">
        <f>_xll.qlInterestRateIndexValueDate(Index,Q227,Trigger)</f>
        <v>61526</v>
      </c>
      <c r="S227" s="28">
        <f>_xll.qlInterestRateIndexMaturity(Index,R227,Trigger)</f>
        <v>61618</v>
      </c>
      <c r="T227" s="30">
        <f>_xll.qlIndexFixing($M$6,Q227,,InterestRatesTrigger)</f>
        <v>1.3830737747828808E-2</v>
      </c>
      <c r="U227" s="30">
        <f>_xll.qlIndexFixing(Index,Q227,,InterestRatesTrigger)</f>
        <v>1.3952366022961191E-2</v>
      </c>
      <c r="V227" s="30">
        <f t="shared" si="22"/>
        <v>1.2162827513238252E-4</v>
      </c>
      <c r="W227" s="29">
        <f>_xll.qlDayCounterYearFraction(DayCounter,SettlementDate,R227,,,Trigger)</f>
        <v>53.786111111111111</v>
      </c>
      <c r="X227" s="29">
        <f>_xll.qlDayCounterYearFraction(DayCounter,R227,S227)</f>
        <v>0.25555555555555554</v>
      </c>
      <c r="Y227" s="29">
        <f>_xll.qlYieldTSDiscount(Currency&amp;"ON",R227)/(1+U227*X227)</f>
        <v>0.45336432104259528</v>
      </c>
      <c r="Z227" s="30">
        <f>_xll.qlTenorBasisValue(TenorBasis6M,R227,InterestRatesTrigger)</f>
        <v>1.9911636620360983E-4</v>
      </c>
      <c r="AA227" s="30">
        <f t="shared" si="23"/>
        <v>-7.7488091071227315E-5</v>
      </c>
    </row>
    <row r="228" spans="15:27" x14ac:dyDescent="0.2">
      <c r="O228" s="33">
        <v>3</v>
      </c>
      <c r="P228" s="27" t="str">
        <f>_xll.qlPeriodEquivalent(P227&amp;"+"&amp;O228&amp;"M")</f>
        <v>53Y3M</v>
      </c>
      <c r="Q228" s="28">
        <f>_xll.qlCalendarAdvance(Calendar,SettlementDate,P228,"f",,Trigger)</f>
        <v>61616</v>
      </c>
      <c r="R228" s="28">
        <f>_xll.qlInterestRateIndexValueDate(Index,Q228,Trigger)</f>
        <v>61618</v>
      </c>
      <c r="S228" s="28">
        <f>_xll.qlInterestRateIndexMaturity(Index,R228,Trigger)</f>
        <v>61709</v>
      </c>
      <c r="T228" s="30">
        <f>_xll.qlIndexFixing($M$6,Q228,,InterestRatesTrigger)</f>
        <v>1.3894665314554229E-2</v>
      </c>
      <c r="U228" s="30">
        <f>_xll.qlIndexFixing(Index,Q228,,InterestRatesTrigger)</f>
        <v>1.4015218532060402E-2</v>
      </c>
      <c r="V228" s="30">
        <f t="shared" si="22"/>
        <v>1.2055321750617347E-4</v>
      </c>
      <c r="W228" s="29">
        <f>_xll.qlDayCounterYearFraction(DayCounter,SettlementDate,R228,,,Trigger)</f>
        <v>54.041666666666664</v>
      </c>
      <c r="X228" s="29">
        <f>_xll.qlDayCounterYearFraction(DayCounter,R228,S228)</f>
        <v>0.25277777777777777</v>
      </c>
      <c r="Y228" s="29">
        <f>_xll.qlYieldTSDiscount(Currency&amp;"ON",R228)/(1+U228*X228)</f>
        <v>0.45177783373103819</v>
      </c>
      <c r="Z228" s="30">
        <f>_xll.qlTenorBasisValue(TenorBasis6M,R228,InterestRatesTrigger)</f>
        <v>1.9900285293817619E-4</v>
      </c>
      <c r="AA228" s="30">
        <f t="shared" si="23"/>
        <v>-7.8449635432002718E-5</v>
      </c>
    </row>
    <row r="229" spans="15:27" x14ac:dyDescent="0.2">
      <c r="O229" s="33">
        <v>3</v>
      </c>
      <c r="P229" s="27" t="str">
        <f>_xll.qlPeriodEquivalent(P228&amp;"+"&amp;O229&amp;"M")</f>
        <v>53Y6M</v>
      </c>
      <c r="Q229" s="28">
        <f>_xll.qlCalendarAdvance(Calendar,SettlementDate,P229,"f",,Trigger)</f>
        <v>61707</v>
      </c>
      <c r="R229" s="28">
        <f>_xll.qlInterestRateIndexValueDate(Index,Q229,Trigger)</f>
        <v>61709</v>
      </c>
      <c r="S229" s="28">
        <f>_xll.qlInterestRateIndexMaturity(Index,R229,Trigger)</f>
        <v>61799</v>
      </c>
      <c r="T229" s="30">
        <f>_xll.qlIndexFixing($M$6,Q229,,InterestRatesTrigger)</f>
        <v>1.395554102388985E-2</v>
      </c>
      <c r="U229" s="30">
        <f>_xll.qlIndexFixing(Index,Q229,,InterestRatesTrigger)</f>
        <v>1.4075070014681224E-2</v>
      </c>
      <c r="V229" s="30">
        <f t="shared" si="22"/>
        <v>1.1952899079137325E-4</v>
      </c>
      <c r="W229" s="29">
        <f>_xll.qlDayCounterYearFraction(DayCounter,SettlementDate,R229,,,Trigger)</f>
        <v>54.294444444444444</v>
      </c>
      <c r="X229" s="29">
        <f>_xll.qlDayCounterYearFraction(DayCounter,R229,S229)</f>
        <v>0.25</v>
      </c>
      <c r="Y229" s="29">
        <f>_xll.qlYieldTSDiscount(Currency&amp;"ON",R229)/(1+U229*X229)</f>
        <v>0.45020737756124085</v>
      </c>
      <c r="Z229" s="30">
        <f>_xll.qlTenorBasisValue(TenorBasis6M,R229,InterestRatesTrigger)</f>
        <v>1.9889471195549044E-4</v>
      </c>
      <c r="AA229" s="30">
        <f t="shared" si="23"/>
        <v>-7.9365721164117189E-5</v>
      </c>
    </row>
    <row r="230" spans="15:27" x14ac:dyDescent="0.2">
      <c r="O230" s="33">
        <v>3</v>
      </c>
      <c r="P230" s="27" t="str">
        <f>_xll.qlPeriodEquivalent(P229&amp;"+"&amp;O230&amp;"M")</f>
        <v>53Y9M</v>
      </c>
      <c r="Q230" s="28">
        <f>_xll.qlCalendarAdvance(Calendar,SettlementDate,P230,"f",,Trigger)</f>
        <v>61795</v>
      </c>
      <c r="R230" s="28">
        <f>_xll.qlInterestRateIndexValueDate(Index,Q230,Trigger)</f>
        <v>61799</v>
      </c>
      <c r="S230" s="28">
        <f>_xll.qlInterestRateIndexMaturity(Index,R230,Trigger)</f>
        <v>61891</v>
      </c>
      <c r="T230" s="30">
        <f>_xll.qlIndexFixing($M$6,Q230,,InterestRatesTrigger)</f>
        <v>1.4015208867894261E-2</v>
      </c>
      <c r="U230" s="30">
        <f>_xll.qlIndexFixing(Index,Q230,,InterestRatesTrigger)</f>
        <v>1.4133761229186487E-2</v>
      </c>
      <c r="V230" s="30">
        <f t="shared" si="22"/>
        <v>1.1855236129222624E-4</v>
      </c>
      <c r="W230" s="29">
        <f>_xll.qlDayCounterYearFraction(DayCounter,SettlementDate,R230,,,Trigger)</f>
        <v>54.544444444444444</v>
      </c>
      <c r="X230" s="29">
        <f>_xll.qlDayCounterYearFraction(DayCounter,R230,S230)</f>
        <v>0.25555555555555554</v>
      </c>
      <c r="Y230" s="29">
        <f>_xll.qlYieldTSDiscount(Currency&amp;"ON",R230)/(1+U230*X230)</f>
        <v>0.44860045655138153</v>
      </c>
      <c r="Z230" s="30">
        <f>_xll.qlTenorBasisValue(TenorBasis6M,R230,InterestRatesTrigger)</f>
        <v>1.9879166173834289E-4</v>
      </c>
      <c r="AA230" s="30">
        <f t="shared" si="23"/>
        <v>-8.023930044611665E-5</v>
      </c>
    </row>
    <row r="231" spans="15:27" x14ac:dyDescent="0.2">
      <c r="O231" s="33">
        <v>3</v>
      </c>
      <c r="P231" s="27" t="str">
        <f>_xll.qlPeriodEquivalent(P230&amp;"+"&amp;O231&amp;"M")</f>
        <v>54Y</v>
      </c>
      <c r="Q231" s="28">
        <f>_xll.qlCalendarAdvance(Calendar,SettlementDate,P231,"f",,Trigger)</f>
        <v>61889</v>
      </c>
      <c r="R231" s="28">
        <f>_xll.qlInterestRateIndexValueDate(Index,Q231,Trigger)</f>
        <v>61891</v>
      </c>
      <c r="S231" s="28">
        <f>_xll.qlInterestRateIndexMaturity(Index,R231,Trigger)</f>
        <v>61983</v>
      </c>
      <c r="T231" s="30">
        <f>_xll.qlIndexFixing($M$6,Q231,,InterestRatesTrigger)</f>
        <v>1.4072592703172579E-2</v>
      </c>
      <c r="U231" s="30">
        <f>_xll.qlIndexFixing(Index,Q231,,InterestRatesTrigger)</f>
        <v>1.4190188204185099E-2</v>
      </c>
      <c r="V231" s="30">
        <f t="shared" si="22"/>
        <v>1.1759550101251952E-4</v>
      </c>
      <c r="W231" s="29">
        <f>_xll.qlDayCounterYearFraction(DayCounter,SettlementDate,R231,,,Trigger)</f>
        <v>54.8</v>
      </c>
      <c r="X231" s="29">
        <f>_xll.qlDayCounterYearFraction(DayCounter,R231,S231)</f>
        <v>0.25555555555555554</v>
      </c>
      <c r="Y231" s="29">
        <f>_xll.qlYieldTSDiscount(Currency&amp;"ON",R231)/(1+U231*X231)</f>
        <v>0.44699303193592582</v>
      </c>
      <c r="Z231" s="30">
        <f>_xll.qlTenorBasisValue(TenorBasis6M,R231,InterestRatesTrigger)</f>
        <v>1.9869018807285306E-4</v>
      </c>
      <c r="AA231" s="30">
        <f t="shared" si="23"/>
        <v>-8.1094687060333546E-5</v>
      </c>
    </row>
    <row r="232" spans="15:27" x14ac:dyDescent="0.2">
      <c r="O232" s="33">
        <v>3</v>
      </c>
      <c r="P232" s="27" t="str">
        <f>_xll.qlPeriodEquivalent(P231&amp;"+"&amp;O232&amp;"M")</f>
        <v>54Y3M</v>
      </c>
      <c r="Q232" s="28">
        <f>_xll.qlCalendarAdvance(Calendar,SettlementDate,P232,"f",,Trigger)</f>
        <v>61980</v>
      </c>
      <c r="R232" s="28">
        <f>_xll.qlInterestRateIndexValueDate(Index,Q232,Trigger)</f>
        <v>61982</v>
      </c>
      <c r="S232" s="28">
        <f>_xll.qlInterestRateIndexMaturity(Index,R232,Trigger)</f>
        <v>62073</v>
      </c>
      <c r="T232" s="30">
        <f>_xll.qlIndexFixing($M$6,Q232,,InterestRatesTrigger)</f>
        <v>1.4126413954135728E-2</v>
      </c>
      <c r="U232" s="30">
        <f>_xll.qlIndexFixing(Index,Q232,,InterestRatesTrigger)</f>
        <v>1.4243102781607559E-2</v>
      </c>
      <c r="V232" s="30">
        <f t="shared" si="22"/>
        <v>1.1668882747183085E-4</v>
      </c>
      <c r="W232" s="29">
        <f>_xll.qlDayCounterYearFraction(DayCounter,SettlementDate,R232,,,Trigger)</f>
        <v>55.052777777777777</v>
      </c>
      <c r="X232" s="29">
        <f>_xll.qlDayCounterYearFraction(DayCounter,R232,S232)</f>
        <v>0.25277777777777777</v>
      </c>
      <c r="Y232" s="29">
        <f>_xll.qlYieldTSDiscount(Currency&amp;"ON",R232)/(1+U232*X232)</f>
        <v>0.44542022955533506</v>
      </c>
      <c r="Z232" s="30">
        <f>_xll.qlTenorBasisValue(TenorBasis6M,R232,InterestRatesTrigger)</f>
        <v>1.9859352417105948E-4</v>
      </c>
      <c r="AA232" s="30">
        <f t="shared" si="23"/>
        <v>-8.190469669922863E-5</v>
      </c>
    </row>
    <row r="233" spans="15:27" x14ac:dyDescent="0.2">
      <c r="O233" s="33">
        <v>3</v>
      </c>
      <c r="P233" s="27" t="str">
        <f>_xll.qlPeriodEquivalent(P232&amp;"+"&amp;O233&amp;"M")</f>
        <v>54Y6M</v>
      </c>
      <c r="Q233" s="28">
        <f>_xll.qlCalendarAdvance(Calendar,SettlementDate,P233,"f",,Trigger)</f>
        <v>62071</v>
      </c>
      <c r="R233" s="28">
        <f>_xll.qlInterestRateIndexValueDate(Index,Q233,Trigger)</f>
        <v>62073</v>
      </c>
      <c r="S233" s="28">
        <f>_xll.qlInterestRateIndexMaturity(Index,R233,Trigger)</f>
        <v>62163</v>
      </c>
      <c r="T233" s="30">
        <f>_xll.qlIndexFixing($M$6,Q233,,InterestRatesTrigger)</f>
        <v>1.4177898047014637E-2</v>
      </c>
      <c r="U233" s="30">
        <f>_xll.qlIndexFixing(Index,Q233,,InterestRatesTrigger)</f>
        <v>1.4293719129069515E-2</v>
      </c>
      <c r="V233" s="30">
        <f t="shared" si="22"/>
        <v>1.1582108205487884E-4</v>
      </c>
      <c r="W233" s="29">
        <f>_xll.qlDayCounterYearFraction(DayCounter,SettlementDate,R233,,,Trigger)</f>
        <v>55.305555555555557</v>
      </c>
      <c r="X233" s="29">
        <f>_xll.qlDayCounterYearFraction(DayCounter,R233,S233)</f>
        <v>0.25</v>
      </c>
      <c r="Y233" s="29">
        <f>_xll.qlYieldTSDiscount(Currency&amp;"ON",R233)/(1+U233*X233)</f>
        <v>0.44384726404310382</v>
      </c>
      <c r="Z233" s="30">
        <f>_xll.qlTenorBasisValue(TenorBasis6M,R233,InterestRatesTrigger)</f>
        <v>1.985004131867358E-4</v>
      </c>
      <c r="AA233" s="30">
        <f t="shared" si="23"/>
        <v>-8.2679331131856959E-5</v>
      </c>
    </row>
    <row r="234" spans="15:27" x14ac:dyDescent="0.2">
      <c r="O234" s="33">
        <v>3</v>
      </c>
      <c r="P234" s="27" t="str">
        <f>_xll.qlPeriodEquivalent(P233&amp;"+"&amp;O234&amp;"M")</f>
        <v>54Y9M</v>
      </c>
      <c r="Q234" s="28">
        <f>_xll.qlCalendarAdvance(Calendar,SettlementDate,P234,"f",,Trigger)</f>
        <v>62162</v>
      </c>
      <c r="R234" s="28">
        <f>_xll.qlInterestRateIndexValueDate(Index,Q234,Trigger)</f>
        <v>62164</v>
      </c>
      <c r="S234" s="28">
        <f>_xll.qlInterestRateIndexMaturity(Index,R234,Trigger)</f>
        <v>62256</v>
      </c>
      <c r="T234" s="30">
        <f>_xll.qlIndexFixing($M$6,Q234,,InterestRatesTrigger)</f>
        <v>1.4228680732326542E-2</v>
      </c>
      <c r="U234" s="30">
        <f>_xll.qlIndexFixing(Index,Q234,,InterestRatesTrigger)</f>
        <v>1.4343673437043179E-2</v>
      </c>
      <c r="V234" s="30">
        <f t="shared" si="22"/>
        <v>1.14992704716637E-4</v>
      </c>
      <c r="W234" s="29">
        <f>_xll.qlDayCounterYearFraction(DayCounter,SettlementDate,R234,,,Trigger)</f>
        <v>55.55833333333333</v>
      </c>
      <c r="X234" s="29">
        <f>_xll.qlDayCounterYearFraction(DayCounter,R234,S234)</f>
        <v>0.25555555555555554</v>
      </c>
      <c r="Y234" s="29">
        <f>_xll.qlYieldTSDiscount(Currency&amp;"ON",R234)/(1+U234*X234)</f>
        <v>0.44222158022299313</v>
      </c>
      <c r="Z234" s="30">
        <f>_xll.qlTenorBasisValue(TenorBasis6M,R234,InterestRatesTrigger)</f>
        <v>1.9841072670524269E-4</v>
      </c>
      <c r="AA234" s="30">
        <f t="shared" si="23"/>
        <v>-8.3418021988605686E-5</v>
      </c>
    </row>
    <row r="235" spans="15:27" x14ac:dyDescent="0.2">
      <c r="O235" s="33">
        <v>3</v>
      </c>
      <c r="P235" s="27" t="str">
        <f>_xll.qlPeriodEquivalent(P234&amp;"+"&amp;O235&amp;"M")</f>
        <v>55Y</v>
      </c>
      <c r="Q235" s="28">
        <f>_xll.qlCalendarAdvance(Calendar,SettlementDate,P235,"f",,Trigger)</f>
        <v>62253</v>
      </c>
      <c r="R235" s="28">
        <f>_xll.qlInterestRateIndexValueDate(Index,Q235,Trigger)</f>
        <v>62255</v>
      </c>
      <c r="S235" s="28">
        <f>_xll.qlInterestRateIndexMaturity(Index,R235,Trigger)</f>
        <v>62347</v>
      </c>
      <c r="T235" s="30">
        <f>_xll.qlIndexFixing($M$6,Q235,,InterestRatesTrigger)</f>
        <v>1.4275991968149477E-2</v>
      </c>
      <c r="U235" s="30">
        <f>_xll.qlIndexFixing(Index,Q235,,InterestRatesTrigger)</f>
        <v>1.4390195729273051E-2</v>
      </c>
      <c r="V235" s="30">
        <f t="shared" si="22"/>
        <v>1.1420376112357411E-4</v>
      </c>
      <c r="W235" s="29">
        <f>_xll.qlDayCounterYearFraction(DayCounter,SettlementDate,R235,,,Trigger)</f>
        <v>55.81111111111111</v>
      </c>
      <c r="X235" s="29">
        <f>_xll.qlDayCounterYearFraction(DayCounter,R235,S235)</f>
        <v>0.25555555555555554</v>
      </c>
      <c r="Y235" s="29">
        <f>_xll.qlYieldTSDiscount(Currency&amp;"ON",R235)/(1+U235*X235)</f>
        <v>0.44063158550836412</v>
      </c>
      <c r="Z235" s="30">
        <f>_xll.qlTenorBasisValue(TenorBasis6M,R235,InterestRatesTrigger)</f>
        <v>1.9832434085142247E-4</v>
      </c>
      <c r="AA235" s="30">
        <f t="shared" si="23"/>
        <v>-8.4120579727848356E-5</v>
      </c>
    </row>
    <row r="236" spans="15:27" x14ac:dyDescent="0.2">
      <c r="O236" s="33">
        <v>3</v>
      </c>
      <c r="P236" s="27" t="str">
        <f>_xll.qlPeriodEquivalent(P235&amp;"+"&amp;O236&amp;"M")</f>
        <v>55Y3M</v>
      </c>
      <c r="Q236" s="28">
        <f>_xll.qlCalendarAdvance(Calendar,SettlementDate,P236,"f",,Trigger)</f>
        <v>62344</v>
      </c>
      <c r="R236" s="28">
        <f>_xll.qlInterestRateIndexValueDate(Index,Q236,Trigger)</f>
        <v>62346</v>
      </c>
      <c r="S236" s="28">
        <f>_xll.qlInterestRateIndexMaturity(Index,R236,Trigger)</f>
        <v>62437</v>
      </c>
      <c r="T236" s="30">
        <f>_xll.qlIndexFixing($M$6,Q236,,InterestRatesTrigger)</f>
        <v>1.4320421147814642E-2</v>
      </c>
      <c r="U236" s="30">
        <f>_xll.qlIndexFixing(Index,Q236,,InterestRatesTrigger)</f>
        <v>1.4433874749976846E-2</v>
      </c>
      <c r="V236" s="30">
        <f t="shared" si="22"/>
        <v>1.1345360216220325E-4</v>
      </c>
      <c r="W236" s="29">
        <f>_xll.qlDayCounterYearFraction(DayCounter,SettlementDate,R236,,,Trigger)</f>
        <v>56.06388888888889</v>
      </c>
      <c r="X236" s="29">
        <f>_xll.qlDayCounterYearFraction(DayCounter,R236,S236)</f>
        <v>0.25277777777777777</v>
      </c>
      <c r="Y236" s="29">
        <f>_xll.qlYieldTSDiscount(Currency&amp;"ON",R236)/(1+U236*X236)</f>
        <v>0.43905993147724626</v>
      </c>
      <c r="Z236" s="30">
        <f>_xll.qlTenorBasisValue(TenorBasis6M,R236,InterestRatesTrigger)</f>
        <v>1.9824113613398081E-4</v>
      </c>
      <c r="AA236" s="30">
        <f t="shared" si="23"/>
        <v>-8.4787533971777561E-5</v>
      </c>
    </row>
    <row r="237" spans="15:27" x14ac:dyDescent="0.2">
      <c r="O237" s="33">
        <v>3</v>
      </c>
      <c r="P237" s="27" t="str">
        <f>_xll.qlPeriodEquivalent(P236&amp;"+"&amp;O237&amp;"M")</f>
        <v>55Y6M</v>
      </c>
      <c r="Q237" s="28">
        <f>_xll.qlCalendarAdvance(Calendar,SettlementDate,P237,"f",,Trigger)</f>
        <v>62435</v>
      </c>
      <c r="R237" s="28">
        <f>_xll.qlInterestRateIndexValueDate(Index,Q237,Trigger)</f>
        <v>62437</v>
      </c>
      <c r="S237" s="28">
        <f>_xll.qlInterestRateIndexMaturity(Index,R237,Trigger)</f>
        <v>62527</v>
      </c>
      <c r="T237" s="30">
        <f>_xll.qlIndexFixing($M$6,Q237,,InterestRatesTrigger)</f>
        <v>1.4362513515938424E-2</v>
      </c>
      <c r="U237" s="30">
        <f>_xll.qlIndexFixing(Index,Q237,,InterestRatesTrigger)</f>
        <v>1.4475255893835914E-2</v>
      </c>
      <c r="V237" s="30">
        <f t="shared" si="22"/>
        <v>1.1274237789749009E-4</v>
      </c>
      <c r="W237" s="29">
        <f>_xll.qlDayCounterYearFraction(DayCounter,SettlementDate,R237,,,Trigger)</f>
        <v>56.31666666666667</v>
      </c>
      <c r="X237" s="29">
        <f>_xll.qlDayCounterYearFraction(DayCounter,R237,S237)</f>
        <v>0.25</v>
      </c>
      <c r="Y237" s="29">
        <f>_xll.qlYieldTSDiscount(Currency&amp;"ON",R237)/(1+U237*X237)</f>
        <v>0.43748928532448378</v>
      </c>
      <c r="Z237" s="30">
        <f>_xll.qlTenorBasisValue(TenorBasis6M,R237,InterestRatesTrigger)</f>
        <v>1.9816099729496705E-4</v>
      </c>
      <c r="AA237" s="30">
        <f t="shared" si="23"/>
        <v>-8.5418619397476967E-5</v>
      </c>
    </row>
    <row r="238" spans="15:27" x14ac:dyDescent="0.2">
      <c r="O238" s="33">
        <v>3</v>
      </c>
      <c r="P238" s="27" t="str">
        <f>_xll.qlPeriodEquivalent(P237&amp;"+"&amp;O238&amp;"M")</f>
        <v>55Y9M</v>
      </c>
      <c r="Q238" s="28">
        <f>_xll.qlCalendarAdvance(Calendar,SettlementDate,P238,"f",,Trigger)</f>
        <v>62526</v>
      </c>
      <c r="R238" s="28">
        <f>_xll.qlInterestRateIndexValueDate(Index,Q238,Trigger)</f>
        <v>62528</v>
      </c>
      <c r="S238" s="28">
        <f>_xll.qlInterestRateIndexMaturity(Index,R238,Trigger)</f>
        <v>62620</v>
      </c>
      <c r="T238" s="30">
        <f>_xll.qlIndexFixing($M$6,Q238,,InterestRatesTrigger)</f>
        <v>1.4403770160087233E-2</v>
      </c>
      <c r="U238" s="30">
        <f>_xll.qlIndexFixing(Index,Q238,,InterestRatesTrigger)</f>
        <v>1.4515843095464524E-2</v>
      </c>
      <c r="V238" s="30">
        <f t="shared" si="22"/>
        <v>1.1207293537729077E-4</v>
      </c>
      <c r="W238" s="29">
        <f>_xll.qlDayCounterYearFraction(DayCounter,SettlementDate,R238,,,Trigger)</f>
        <v>56.569444444444443</v>
      </c>
      <c r="X238" s="29">
        <f>_xll.qlDayCounterYearFraction(DayCounter,R238,S238)</f>
        <v>0.25555555555555554</v>
      </c>
      <c r="Y238" s="29">
        <f>_xll.qlYieldTSDiscount(Currency&amp;"ON",R238)/(1+U238*X238)</f>
        <v>0.43586722939008743</v>
      </c>
      <c r="Z238" s="30">
        <f>_xll.qlTenorBasisValue(TenorBasis6M,R238,InterestRatesTrigger)</f>
        <v>1.9808381316419754E-4</v>
      </c>
      <c r="AA238" s="30">
        <f t="shared" si="23"/>
        <v>-8.6010877786906771E-5</v>
      </c>
    </row>
    <row r="239" spans="15:27" x14ac:dyDescent="0.2">
      <c r="O239" s="33">
        <v>3</v>
      </c>
      <c r="P239" s="27" t="str">
        <f>_xll.qlPeriodEquivalent(P238&amp;"+"&amp;O239&amp;"M")</f>
        <v>56Y</v>
      </c>
      <c r="Q239" s="28">
        <f>_xll.qlCalendarAdvance(Calendar,SettlementDate,P239,"f",,Trigger)</f>
        <v>62617</v>
      </c>
      <c r="R239" s="28">
        <f>_xll.qlInterestRateIndexValueDate(Index,Q239,Trigger)</f>
        <v>62619</v>
      </c>
      <c r="S239" s="28">
        <f>_xll.qlInterestRateIndexMaturity(Index,R239,Trigger)</f>
        <v>62711</v>
      </c>
      <c r="T239" s="30">
        <f>_xll.qlIndexFixing($M$6,Q239,,InterestRatesTrigger)</f>
        <v>1.444164412965388E-2</v>
      </c>
      <c r="U239" s="30">
        <f>_xll.qlIndexFixing(Index,Q239,,InterestRatesTrigger)</f>
        <v>1.4553085466599353E-2</v>
      </c>
      <c r="V239" s="30">
        <f t="shared" si="22"/>
        <v>1.1144133694547358E-4</v>
      </c>
      <c r="W239" s="29">
        <f>_xll.qlDayCounterYearFraction(DayCounter,SettlementDate,R239,,,Trigger)</f>
        <v>56.822222222222223</v>
      </c>
      <c r="X239" s="29">
        <f>_xll.qlDayCounterYearFraction(DayCounter,R239,S239)</f>
        <v>0.25555555555555554</v>
      </c>
      <c r="Y239" s="29">
        <f>_xll.qlYieldTSDiscount(Currency&amp;"ON",R239)/(1+U239*X239)</f>
        <v>0.43428195113231288</v>
      </c>
      <c r="Z239" s="30">
        <f>_xll.qlTenorBasisValue(TenorBasis6M,R239,InterestRatesTrigger)</f>
        <v>1.9800947651847103E-4</v>
      </c>
      <c r="AA239" s="30">
        <f t="shared" si="23"/>
        <v>-8.6568139572997449E-5</v>
      </c>
    </row>
    <row r="240" spans="15:27" x14ac:dyDescent="0.2">
      <c r="O240" s="33">
        <v>3</v>
      </c>
      <c r="P240" s="27" t="str">
        <f>_xll.qlPeriodEquivalent(P239&amp;"+"&amp;O240&amp;"M")</f>
        <v>56Y3M</v>
      </c>
      <c r="Q240" s="28">
        <f>_xll.qlCalendarAdvance(Calendar,SettlementDate,P240,"f",,Trigger)</f>
        <v>62709</v>
      </c>
      <c r="R240" s="28">
        <f>_xll.qlInterestRateIndexValueDate(Index,Q240,Trigger)</f>
        <v>62711</v>
      </c>
      <c r="S240" s="28">
        <f>_xll.qlInterestRateIndexMaturity(Index,R240,Trigger)</f>
        <v>62802</v>
      </c>
      <c r="T240" s="30">
        <f>_xll.qlIndexFixing($M$6,Q240,,InterestRatesTrigger)</f>
        <v>1.4477058650815382E-2</v>
      </c>
      <c r="U240" s="30">
        <f>_xll.qlIndexFixing(Index,Q240,,InterestRatesTrigger)</f>
        <v>1.4587900083567577E-2</v>
      </c>
      <c r="V240" s="30">
        <f t="shared" si="22"/>
        <v>1.108414327521956E-4</v>
      </c>
      <c r="W240" s="29">
        <f>_xll.qlDayCounterYearFraction(DayCounter,SettlementDate,R240,,,Trigger)</f>
        <v>57.077777777777776</v>
      </c>
      <c r="X240" s="29">
        <f>_xll.qlDayCounterYearFraction(DayCounter,R240,S240)</f>
        <v>0.25277777777777777</v>
      </c>
      <c r="Y240" s="29">
        <f>_xll.qlYieldTSDiscount(Currency&amp;"ON",R240)/(1+U240*X240)</f>
        <v>0.43269869862800003</v>
      </c>
      <c r="Z240" s="30">
        <f>_xll.qlTenorBasisValue(TenorBasis6M,R240,InterestRatesTrigger)</f>
        <v>1.9793711208218205E-4</v>
      </c>
      <c r="AA240" s="30">
        <f t="shared" si="23"/>
        <v>-8.7095679329986448E-5</v>
      </c>
    </row>
    <row r="241" spans="15:27" x14ac:dyDescent="0.2">
      <c r="O241" s="33">
        <v>3</v>
      </c>
      <c r="P241" s="27" t="str">
        <f>_xll.qlPeriodEquivalent(P240&amp;"+"&amp;O241&amp;"M")</f>
        <v>56Y6M</v>
      </c>
      <c r="Q241" s="28">
        <f>_xll.qlCalendarAdvance(Calendar,SettlementDate,P241,"f",,Trigger)</f>
        <v>62800</v>
      </c>
      <c r="R241" s="28">
        <f>_xll.qlInterestRateIndexValueDate(Index,Q241,Trigger)</f>
        <v>62802</v>
      </c>
      <c r="S241" s="28">
        <f>_xll.qlInterestRateIndexMaturity(Index,R241,Trigger)</f>
        <v>62893</v>
      </c>
      <c r="T241" s="30">
        <f>_xll.qlIndexFixing($M$6,Q241,,InterestRatesTrigger)</f>
        <v>1.4510199264036976E-2</v>
      </c>
      <c r="U241" s="30">
        <f>_xll.qlIndexFixing(Index,Q241,,InterestRatesTrigger)</f>
        <v>1.4620488013480823E-2</v>
      </c>
      <c r="V241" s="30">
        <f t="shared" si="22"/>
        <v>1.1028874944384731E-4</v>
      </c>
      <c r="W241" s="29">
        <f>_xll.qlDayCounterYearFraction(DayCounter,SettlementDate,R241,,,Trigger)</f>
        <v>57.330555555555556</v>
      </c>
      <c r="X241" s="29">
        <f>_xll.qlDayCounterYearFraction(DayCounter,R241,S241)</f>
        <v>0.25277777777777777</v>
      </c>
      <c r="Y241" s="29">
        <f>_xll.qlYieldTSDiscount(Currency&amp;"ON",R241)/(1+U241*X241)</f>
        <v>0.43111748214556933</v>
      </c>
      <c r="Z241" s="30">
        <f>_xll.qlTenorBasisValue(TenorBasis6M,R241,InterestRatesTrigger)</f>
        <v>1.9786819236668342E-4</v>
      </c>
      <c r="AA241" s="30">
        <f t="shared" si="23"/>
        <v>-8.7579442922836113E-5</v>
      </c>
    </row>
    <row r="242" spans="15:27" x14ac:dyDescent="0.2">
      <c r="O242" s="33">
        <v>3</v>
      </c>
      <c r="P242" s="27" t="str">
        <f>_xll.qlPeriodEquivalent(P241&amp;"+"&amp;O242&amp;"M")</f>
        <v>56Y9M</v>
      </c>
      <c r="Q242" s="28">
        <f>_xll.qlCalendarAdvance(Calendar,SettlementDate,P242,"f",,Trigger)</f>
        <v>62891</v>
      </c>
      <c r="R242" s="28">
        <f>_xll.qlInterestRateIndexValueDate(Index,Q242,Trigger)</f>
        <v>62893</v>
      </c>
      <c r="S242" s="28">
        <f>_xll.qlInterestRateIndexMaturity(Index,R242,Trigger)</f>
        <v>62985</v>
      </c>
      <c r="T242" s="30">
        <f>_xll.qlIndexFixing($M$6,Q242,,InterestRatesTrigger)</f>
        <v>1.4541434101513569E-2</v>
      </c>
      <c r="U242" s="30">
        <f>_xll.qlIndexFixing(Index,Q242,,InterestRatesTrigger)</f>
        <v>1.4651211280233039E-2</v>
      </c>
      <c r="V242" s="30">
        <f t="shared" si="22"/>
        <v>1.0977717871946992E-4</v>
      </c>
      <c r="W242" s="29">
        <f>_xll.qlDayCounterYearFraction(DayCounter,SettlementDate,R242,,,Trigger)</f>
        <v>57.583333333333336</v>
      </c>
      <c r="X242" s="29">
        <f>_xll.qlDayCounterYearFraction(DayCounter,R242,S242)</f>
        <v>0.25555555555555554</v>
      </c>
      <c r="Y242" s="29">
        <f>_xll.qlYieldTSDiscount(Currency&amp;"ON",R242)/(1+U242*X242)</f>
        <v>0.42952124437868838</v>
      </c>
      <c r="Z242" s="30">
        <f>_xll.qlTenorBasisValue(TenorBasis6M,R242,InterestRatesTrigger)</f>
        <v>1.9780181977182735E-4</v>
      </c>
      <c r="AA242" s="30">
        <f t="shared" si="23"/>
        <v>-8.8024641052357434E-5</v>
      </c>
    </row>
    <row r="243" spans="15:27" x14ac:dyDescent="0.2">
      <c r="O243" s="33">
        <v>3</v>
      </c>
      <c r="P243" s="27" t="str">
        <f>_xll.qlPeriodEquivalent(P242&amp;"+"&amp;O243&amp;"M")</f>
        <v>57Y</v>
      </c>
      <c r="Q243" s="28">
        <f>_xll.qlCalendarAdvance(Calendar,SettlementDate,P243,"f",,Trigger)</f>
        <v>62983</v>
      </c>
      <c r="R243" s="28">
        <f>_xll.qlInterestRateIndexValueDate(Index,Q243,Trigger)</f>
        <v>62985</v>
      </c>
      <c r="S243" s="28">
        <f>_xll.qlInterestRateIndexMaturity(Index,R243,Trigger)</f>
        <v>63079</v>
      </c>
      <c r="T243" s="30">
        <f>_xll.qlIndexFixing($M$6,Q243,,InterestRatesTrigger)</f>
        <v>1.4571026253272612E-2</v>
      </c>
      <c r="U243" s="30">
        <f>_xll.qlIndexFixing(Index,Q243,,InterestRatesTrigger)</f>
        <v>1.4680328613966074E-2</v>
      </c>
      <c r="V243" s="30">
        <f t="shared" si="22"/>
        <v>1.0930236069346157E-4</v>
      </c>
      <c r="W243" s="29">
        <f>_xll.qlDayCounterYearFraction(DayCounter,SettlementDate,R243,,,Trigger)</f>
        <v>57.838888888888889</v>
      </c>
      <c r="X243" s="29">
        <f>_xll.qlDayCounterYearFraction(DayCounter,R243,S243)</f>
        <v>0.26111111111111113</v>
      </c>
      <c r="Y243" s="29">
        <f>_xll.qlYieldTSDiscount(Currency&amp;"ON",R243)/(1+U243*X243)</f>
        <v>0.42789305130198707</v>
      </c>
      <c r="Z243" s="30">
        <f>_xll.qlTenorBasisValue(TenorBasis6M,R243,InterestRatesTrigger)</f>
        <v>1.977372124826421E-4</v>
      </c>
      <c r="AA243" s="30">
        <f t="shared" si="23"/>
        <v>-8.8434851789180531E-5</v>
      </c>
    </row>
    <row r="244" spans="15:27" x14ac:dyDescent="0.2">
      <c r="O244" s="33">
        <v>3</v>
      </c>
      <c r="P244" s="27" t="str">
        <f>_xll.qlPeriodEquivalent(P243&amp;"+"&amp;O244&amp;"M")</f>
        <v>57Y3M</v>
      </c>
      <c r="Q244" s="28">
        <f>_xll.qlCalendarAdvance(Calendar,SettlementDate,P244,"f",,Trigger)</f>
        <v>63075</v>
      </c>
      <c r="R244" s="28">
        <f>_xll.qlInterestRateIndexValueDate(Index,Q244,Trigger)</f>
        <v>63079</v>
      </c>
      <c r="S244" s="28">
        <f>_xll.qlInterestRateIndexMaturity(Index,R244,Trigger)</f>
        <v>63170</v>
      </c>
      <c r="T244" s="30">
        <f>_xll.qlIndexFixing($M$6,Q244,,InterestRatesTrigger)</f>
        <v>1.4596555145253825E-2</v>
      </c>
      <c r="U244" s="30">
        <f>_xll.qlIndexFixing(Index,Q244,,InterestRatesTrigger)</f>
        <v>1.4705403723344949E-2</v>
      </c>
      <c r="V244" s="30">
        <f t="shared" si="22"/>
        <v>1.0884857809112351E-4</v>
      </c>
      <c r="W244" s="29">
        <f>_xll.qlDayCounterYearFraction(DayCounter,SettlementDate,R244,,,Trigger)</f>
        <v>58.1</v>
      </c>
      <c r="X244" s="29">
        <f>_xll.qlDayCounterYearFraction(DayCounter,R244,S244)</f>
        <v>0.25277777777777777</v>
      </c>
      <c r="Y244" s="29">
        <f>_xll.qlYieldTSDiscount(Currency&amp;"ON",R244)/(1+U244*X244)</f>
        <v>0.42632049885991485</v>
      </c>
      <c r="Z244" s="30">
        <f>_xll.qlTenorBasisValue(TenorBasis6M,R244,InterestRatesTrigger)</f>
        <v>1.9767369565998075E-4</v>
      </c>
      <c r="AA244" s="30">
        <f t="shared" si="23"/>
        <v>-8.8825117568857242E-5</v>
      </c>
    </row>
    <row r="245" spans="15:27" x14ac:dyDescent="0.2">
      <c r="O245" s="33">
        <v>3</v>
      </c>
      <c r="P245" s="27" t="str">
        <f>_xll.qlPeriodEquivalent(P244&amp;"+"&amp;O245&amp;"M")</f>
        <v>57Y6M</v>
      </c>
      <c r="Q245" s="28">
        <f>_xll.qlCalendarAdvance(Calendar,SettlementDate,P245,"f",,Trigger)</f>
        <v>63166</v>
      </c>
      <c r="R245" s="28">
        <f>_xll.qlInterestRateIndexValueDate(Index,Q245,Trigger)</f>
        <v>63170</v>
      </c>
      <c r="S245" s="28">
        <f>_xll.qlInterestRateIndexMaturity(Index,R245,Trigger)</f>
        <v>63261</v>
      </c>
      <c r="T245" s="30">
        <f>_xll.qlIndexFixing($M$6,Q245,,InterestRatesTrigger)</f>
        <v>1.4620153603330263E-2</v>
      </c>
      <c r="U245" s="30">
        <f>_xll.qlIndexFixing(Index,Q245,,InterestRatesTrigger)</f>
        <v>1.4728608620656749E-2</v>
      </c>
      <c r="V245" s="30">
        <f t="shared" si="22"/>
        <v>1.0845501732648609E-4</v>
      </c>
      <c r="W245" s="29">
        <f>_xll.qlDayCounterYearFraction(DayCounter,SettlementDate,R245,,,Trigger)</f>
        <v>58.352777777777774</v>
      </c>
      <c r="X245" s="29">
        <f>_xll.qlDayCounterYearFraction(DayCounter,R245,S245)</f>
        <v>0.25277777777777777</v>
      </c>
      <c r="Y245" s="29">
        <f>_xll.qlYieldTSDiscount(Currency&amp;"ON",R245)/(1+U245*X245)</f>
        <v>0.42475081087573191</v>
      </c>
      <c r="Z245" s="30">
        <f>_xll.qlTenorBasisValue(TenorBasis6M,R245,InterestRatesTrigger)</f>
        <v>1.9761451949166245E-4</v>
      </c>
      <c r="AA245" s="30">
        <f t="shared" si="23"/>
        <v>-8.9159502165176362E-5</v>
      </c>
    </row>
    <row r="246" spans="15:27" x14ac:dyDescent="0.2">
      <c r="O246" s="33">
        <v>3</v>
      </c>
      <c r="P246" s="27" t="str">
        <f>_xll.qlPeriodEquivalent(P245&amp;"+"&amp;O246&amp;"M")</f>
        <v>57Y9M</v>
      </c>
      <c r="Q246" s="28">
        <f>_xll.qlCalendarAdvance(Calendar,SettlementDate,P246,"f",,Trigger)</f>
        <v>63256</v>
      </c>
      <c r="R246" s="28">
        <f>_xll.qlInterestRateIndexValueDate(Index,Q246,Trigger)</f>
        <v>63258</v>
      </c>
      <c r="S246" s="28">
        <f>_xll.qlInterestRateIndexMaturity(Index,R246,Trigger)</f>
        <v>63352</v>
      </c>
      <c r="T246" s="30">
        <f>_xll.qlIndexFixing($M$6,Q246,,InterestRatesTrigger)</f>
        <v>1.4641946889529918E-2</v>
      </c>
      <c r="U246" s="30">
        <f>_xll.qlIndexFixing(Index,Q246,,InterestRatesTrigger)</f>
        <v>1.4750066542626838E-2</v>
      </c>
      <c r="V246" s="30">
        <f t="shared" si="22"/>
        <v>1.0811965309692056E-4</v>
      </c>
      <c r="W246" s="29">
        <f>_xll.qlDayCounterYearFraction(DayCounter,SettlementDate,R246,,,Trigger)</f>
        <v>58.597222222222221</v>
      </c>
      <c r="X246" s="29">
        <f>_xll.qlDayCounterYearFraction(DayCounter,R246,S246)</f>
        <v>0.26111111111111113</v>
      </c>
      <c r="Y246" s="29">
        <f>_xll.qlYieldTSDiscount(Currency&amp;"ON",R246)/(1+U246*X246)</f>
        <v>0.42318425418403693</v>
      </c>
      <c r="Z246" s="30">
        <f>_xll.qlTenorBasisValue(TenorBasis6M,R246,InterestRatesTrigger)</f>
        <v>1.9755937989266383E-4</v>
      </c>
      <c r="AA246" s="30">
        <f t="shared" si="23"/>
        <v>-8.9439726795743267E-5</v>
      </c>
    </row>
    <row r="247" spans="15:27" x14ac:dyDescent="0.2">
      <c r="O247" s="33">
        <v>3</v>
      </c>
      <c r="P247" s="27" t="str">
        <f>_xll.qlPeriodEquivalent(P246&amp;"+"&amp;O247&amp;"M")</f>
        <v>58Y</v>
      </c>
      <c r="Q247" s="28">
        <f>_xll.qlCalendarAdvance(Calendar,SettlementDate,P247,"f",,Trigger)</f>
        <v>63348</v>
      </c>
      <c r="R247" s="28">
        <f>_xll.qlInterestRateIndexValueDate(Index,Q247,Trigger)</f>
        <v>63352</v>
      </c>
      <c r="S247" s="28">
        <f>_xll.qlInterestRateIndexMaturity(Index,R247,Trigger)</f>
        <v>63444</v>
      </c>
      <c r="T247" s="30">
        <f>_xll.qlIndexFixing($M$6,Q247,,InterestRatesTrigger)</f>
        <v>1.4660664487839306E-2</v>
      </c>
      <c r="U247" s="30">
        <f>_xll.qlIndexFixing(Index,Q247,,InterestRatesTrigger)</f>
        <v>1.4768453253564516E-2</v>
      </c>
      <c r="V247" s="30">
        <f t="shared" si="22"/>
        <v>1.0778876572520996E-4</v>
      </c>
      <c r="W247" s="29">
        <f>_xll.qlDayCounterYearFraction(DayCounter,SettlementDate,R247,,,Trigger)</f>
        <v>58.858333333333334</v>
      </c>
      <c r="X247" s="29">
        <f>_xll.qlDayCounterYearFraction(DayCounter,R247,S247)</f>
        <v>0.25555555555555554</v>
      </c>
      <c r="Y247" s="29">
        <f>_xll.qlYieldTSDiscount(Currency&amp;"ON",R247)/(1+U247*X247)</f>
        <v>0.42160495104151979</v>
      </c>
      <c r="Z247" s="30">
        <f>_xll.qlTenorBasisValue(TenorBasis6M,R247,InterestRatesTrigger)</f>
        <v>1.9750266333901887E-4</v>
      </c>
      <c r="AA247" s="30">
        <f t="shared" si="23"/>
        <v>-8.971389761380891E-5</v>
      </c>
    </row>
    <row r="248" spans="15:27" x14ac:dyDescent="0.2">
      <c r="O248" s="33">
        <v>3</v>
      </c>
      <c r="P248" s="27" t="str">
        <f>_xll.qlPeriodEquivalent(P247&amp;"+"&amp;O248&amp;"M")</f>
        <v>58Y3M</v>
      </c>
      <c r="Q248" s="28">
        <f>_xll.qlCalendarAdvance(Calendar,SettlementDate,P248,"f",,Trigger)</f>
        <v>63440</v>
      </c>
      <c r="R248" s="28">
        <f>_xll.qlInterestRateIndexValueDate(Index,Q248,Trigger)</f>
        <v>63444</v>
      </c>
      <c r="S248" s="28">
        <f>_xll.qlInterestRateIndexMaturity(Index,R248,Trigger)</f>
        <v>63535</v>
      </c>
      <c r="T248" s="30">
        <f>_xll.qlIndexFixing($M$6,Q248,,InterestRatesTrigger)</f>
        <v>1.4676958895778178E-2</v>
      </c>
      <c r="U248" s="30">
        <f>_xll.qlIndexFixing(Index,Q248,,InterestRatesTrigger)</f>
        <v>1.4784466539456122E-2</v>
      </c>
      <c r="V248" s="30">
        <f t="shared" si="22"/>
        <v>1.0750764367794402E-4</v>
      </c>
      <c r="W248" s="29">
        <f>_xll.qlDayCounterYearFraction(DayCounter,SettlementDate,R248,,,Trigger)</f>
        <v>59.113888888888887</v>
      </c>
      <c r="X248" s="29">
        <f>_xll.qlDayCounterYearFraction(DayCounter,R248,S248)</f>
        <v>0.25277777777777777</v>
      </c>
      <c r="Y248" s="29">
        <f>_xll.qlYieldTSDiscount(Currency&amp;"ON",R248)/(1+U248*X248)</f>
        <v>0.42004672906394092</v>
      </c>
      <c r="Z248" s="30">
        <f>_xll.qlTenorBasisValue(TenorBasis6M,R248,InterestRatesTrigger)</f>
        <v>1.9744925656392848E-4</v>
      </c>
      <c r="AA248" s="30">
        <f t="shared" si="23"/>
        <v>-8.9941612885984461E-5</v>
      </c>
    </row>
    <row r="249" spans="15:27" x14ac:dyDescent="0.2">
      <c r="O249" s="33">
        <v>3</v>
      </c>
      <c r="P249" s="27" t="str">
        <f>_xll.qlPeriodEquivalent(P248&amp;"+"&amp;O249&amp;"M")</f>
        <v>58Y6M</v>
      </c>
      <c r="Q249" s="28">
        <f>_xll.qlCalendarAdvance(Calendar,SettlementDate,P249,"f",,Trigger)</f>
        <v>63531</v>
      </c>
      <c r="R249" s="28">
        <f>_xll.qlInterestRateIndexValueDate(Index,Q249,Trigger)</f>
        <v>63535</v>
      </c>
      <c r="S249" s="28">
        <f>_xll.qlInterestRateIndexMaturity(Index,R249,Trigger)</f>
        <v>63625</v>
      </c>
      <c r="T249" s="30">
        <f>_xll.qlIndexFixing($M$6,Q249,,InterestRatesTrigger)</f>
        <v>1.4690723864033473E-2</v>
      </c>
      <c r="U249" s="30">
        <f>_xll.qlIndexFixing(Index,Q249,,InterestRatesTrigger)</f>
        <v>1.4797992561206286E-2</v>
      </c>
      <c r="V249" s="30">
        <f t="shared" si="22"/>
        <v>1.0726869717281318E-4</v>
      </c>
      <c r="W249" s="29">
        <f>_xll.qlDayCounterYearFraction(DayCounter,SettlementDate,R249,,,Trigger)</f>
        <v>59.366666666666667</v>
      </c>
      <c r="X249" s="29">
        <f>_xll.qlDayCounterYearFraction(DayCounter,R249,S249)</f>
        <v>0.25</v>
      </c>
      <c r="Y249" s="29">
        <f>_xll.qlYieldTSDiscount(Currency&amp;"ON",R249)/(1+U249*X249)</f>
        <v>0.41850982554747934</v>
      </c>
      <c r="Z249" s="30">
        <f>_xll.qlTenorBasisValue(TenorBasis6M,R249,InterestRatesTrigger)</f>
        <v>1.9739840102443382E-4</v>
      </c>
      <c r="AA249" s="30">
        <f t="shared" si="23"/>
        <v>-9.0129703851620641E-5</v>
      </c>
    </row>
    <row r="250" spans="15:27" x14ac:dyDescent="0.2">
      <c r="O250" s="33">
        <v>3</v>
      </c>
      <c r="P250" s="27" t="str">
        <f>_xll.qlPeriodEquivalent(P249&amp;"+"&amp;O250&amp;"M")</f>
        <v>58Y9M</v>
      </c>
      <c r="Q250" s="28">
        <f>_xll.qlCalendarAdvance(Calendar,SettlementDate,P250,"f",,Trigger)</f>
        <v>63621</v>
      </c>
      <c r="R250" s="28">
        <f>_xll.qlInterestRateIndexValueDate(Index,Q250,Trigger)</f>
        <v>63625</v>
      </c>
      <c r="S250" s="28">
        <f>_xll.qlInterestRateIndexMaturity(Index,R250,Trigger)</f>
        <v>63717</v>
      </c>
      <c r="T250" s="30">
        <f>_xll.qlIndexFixing($M$6,Q250,,InterestRatesTrigger)</f>
        <v>1.4703105324110755E-2</v>
      </c>
      <c r="U250" s="30">
        <f>_xll.qlIndexFixing(Index,Q250,,InterestRatesTrigger)</f>
        <v>1.4810186286871032E-2</v>
      </c>
      <c r="V250" s="30">
        <f t="shared" si="22"/>
        <v>1.0708096276027673E-4</v>
      </c>
      <c r="W250" s="29">
        <f>_xll.qlDayCounterYearFraction(DayCounter,SettlementDate,R250,,,Trigger)</f>
        <v>59.616666666666667</v>
      </c>
      <c r="X250" s="29">
        <f>_xll.qlDayCounterYearFraction(DayCounter,R250,S250)</f>
        <v>0.25555555555555554</v>
      </c>
      <c r="Y250" s="29">
        <f>_xll.qlYieldTSDiscount(Currency&amp;"ON",R250)/(1+U250*X250)</f>
        <v>0.41694295146327193</v>
      </c>
      <c r="Z250" s="30">
        <f>_xll.qlTenorBasisValue(TenorBasis6M,R250,InterestRatesTrigger)</f>
        <v>1.9734996157574235E-4</v>
      </c>
      <c r="AA250" s="30">
        <f t="shared" si="23"/>
        <v>-9.0268998815465622E-5</v>
      </c>
    </row>
    <row r="251" spans="15:27" x14ac:dyDescent="0.2">
      <c r="O251" s="33">
        <v>3</v>
      </c>
      <c r="P251" s="27" t="str">
        <f>_xll.qlPeriodEquivalent(P250&amp;"+"&amp;O251&amp;"M")</f>
        <v>59Y</v>
      </c>
      <c r="Q251" s="28">
        <f>_xll.qlCalendarAdvance(Calendar,SettlementDate,P251,"f",,Trigger)</f>
        <v>63713</v>
      </c>
      <c r="R251" s="28">
        <f>_xll.qlInterestRateIndexValueDate(Index,Q251,Trigger)</f>
        <v>63717</v>
      </c>
      <c r="S251" s="28">
        <f>_xll.qlInterestRateIndexMaturity(Index,R251,Trigger)</f>
        <v>63809</v>
      </c>
      <c r="T251" s="30">
        <f>_xll.qlIndexFixing($M$6,Q251,,InterestRatesTrigger)</f>
        <v>1.47126228453749E-2</v>
      </c>
      <c r="U251" s="30">
        <f>_xll.qlIndexFixing(Index,Q251,,InterestRatesTrigger)</f>
        <v>1.4819545079553593E-2</v>
      </c>
      <c r="V251" s="30">
        <f t="shared" si="22"/>
        <v>1.0692223417869268E-4</v>
      </c>
      <c r="W251" s="29">
        <f>_xll.qlDayCounterYearFraction(DayCounter,SettlementDate,R251,,,Trigger)</f>
        <v>59.87222222222222</v>
      </c>
      <c r="X251" s="29">
        <f>_xll.qlDayCounterYearFraction(DayCounter,R251,S251)</f>
        <v>0.25555555555555554</v>
      </c>
      <c r="Y251" s="29">
        <f>_xll.qlYieldTSDiscount(Currency&amp;"ON",R251)/(1+U251*X251)</f>
        <v>0.41538117975541472</v>
      </c>
      <c r="Z251" s="30">
        <f>_xll.qlTenorBasisValue(TenorBasis6M,R251,InterestRatesTrigger)</f>
        <v>1.973022848095301E-4</v>
      </c>
      <c r="AA251" s="30">
        <f t="shared" si="23"/>
        <v>-9.0380050630837425E-5</v>
      </c>
    </row>
    <row r="252" spans="15:27" x14ac:dyDescent="0.2">
      <c r="O252" s="33">
        <v>3</v>
      </c>
      <c r="P252" s="27" t="str">
        <f>_xll.qlPeriodEquivalent(P251&amp;"+"&amp;O252&amp;"M")</f>
        <v>59Y3M</v>
      </c>
      <c r="Q252" s="28">
        <f>_xll.qlCalendarAdvance(Calendar,SettlementDate,P252,"f",,Trigger)</f>
        <v>63807</v>
      </c>
      <c r="R252" s="28">
        <f>_xll.qlInterestRateIndexValueDate(Index,Q252,Trigger)</f>
        <v>63809</v>
      </c>
      <c r="S252" s="28">
        <f>_xll.qlInterestRateIndexMaturity(Index,R252,Trigger)</f>
        <v>63900</v>
      </c>
      <c r="T252" s="30">
        <f>_xll.qlIndexFixing($M$6,Q252,,InterestRatesTrigger)</f>
        <v>1.4719397754331265E-2</v>
      </c>
      <c r="U252" s="30">
        <f>_xll.qlIndexFixing(Index,Q252,,InterestRatesTrigger)</f>
        <v>1.4826197612706316E-2</v>
      </c>
      <c r="V252" s="30">
        <f t="shared" si="22"/>
        <v>1.0679985837505103E-4</v>
      </c>
      <c r="W252" s="29">
        <f>_xll.qlDayCounterYearFraction(DayCounter,SettlementDate,R252,,,Trigger)</f>
        <v>60.12777777777778</v>
      </c>
      <c r="X252" s="29">
        <f>_xll.qlDayCounterYearFraction(DayCounter,R252,S252)</f>
        <v>0.25277777777777777</v>
      </c>
      <c r="Y252" s="29">
        <f>_xll.qlYieldTSDiscount(Currency&amp;"ON",R252)/(1+U252*X252)</f>
        <v>0.41384151971425748</v>
      </c>
      <c r="Z252" s="30">
        <f>_xll.qlTenorBasisValue(TenorBasis6M,R252,InterestRatesTrigger)</f>
        <v>1.9725639901274955E-4</v>
      </c>
      <c r="AA252" s="30">
        <f t="shared" si="23"/>
        <v>-9.0456540637698525E-5</v>
      </c>
    </row>
    <row r="253" spans="15:27" x14ac:dyDescent="0.2">
      <c r="O253" s="33">
        <v>3</v>
      </c>
      <c r="P253" s="27" t="str">
        <f>_xll.qlPeriodEquivalent(P252&amp;"+"&amp;O253&amp;"M")</f>
        <v>59Y6M</v>
      </c>
      <c r="Q253" s="31">
        <f>_xll.qlCalendarAdvance(Calendar,SettlementDate,P253,"f",,Trigger)</f>
        <v>63898</v>
      </c>
      <c r="R253" s="31">
        <f>_xll.qlInterestRateIndexValueDate(Index,Q253,Trigger)</f>
        <v>63900</v>
      </c>
      <c r="S253" s="31">
        <f>_xll.qlInterestRateIndexMaturity(Index,R253,Trigger)</f>
        <v>63990</v>
      </c>
      <c r="T253" s="32">
        <f>_xll.qlIndexFixing($M$6,Q253,,InterestRatesTrigger)</f>
        <v>1.472374793239517E-2</v>
      </c>
      <c r="U253" s="32">
        <f>_xll.qlIndexFixing(Index,Q253,,InterestRatesTrigger)</f>
        <v>1.4830465851027874E-2</v>
      </c>
      <c r="V253" s="32">
        <f t="shared" si="22"/>
        <v>1.0671791863270386E-4</v>
      </c>
      <c r="W253" s="74">
        <f>_xll.qlDayCounterYearFraction(DayCounter,SettlementDate,R253,,,Trigger)</f>
        <v>60.380555555555553</v>
      </c>
      <c r="X253" s="74">
        <f>_xll.qlDayCounterYearFraction(DayCounter,R253,S253)</f>
        <v>0.25</v>
      </c>
      <c r="Y253" s="74">
        <f>_xll.qlYieldTSDiscount(Currency&amp;"ON",R253)/(1+U253*X253)</f>
        <v>0.41232391170279437</v>
      </c>
      <c r="Z253" s="32">
        <f>_xll.qlTenorBasisValue(TenorBasis6M,R253,InterestRatesTrigger)</f>
        <v>1.9721270879437196E-4</v>
      </c>
      <c r="AA253" s="32">
        <f t="shared" si="23"/>
        <v>-9.0494790161668102E-5</v>
      </c>
    </row>
    <row r="254" spans="15:27" x14ac:dyDescent="0.2">
      <c r="P254" s="36"/>
      <c r="Q254" s="40"/>
      <c r="R254" s="40"/>
      <c r="S254" s="40"/>
      <c r="T254" s="41"/>
      <c r="U254" s="41"/>
      <c r="V254" s="41"/>
      <c r="W254" s="36"/>
      <c r="X254" s="36"/>
      <c r="Y254" s="36"/>
      <c r="Z254" s="36"/>
      <c r="AA254" s="36"/>
    </row>
    <row r="255" spans="15:27" x14ac:dyDescent="0.2">
      <c r="P255" s="36"/>
      <c r="Q255" s="40"/>
      <c r="R255" s="40"/>
      <c r="S255" s="40"/>
      <c r="T255" s="41"/>
      <c r="U255" s="41"/>
      <c r="V255" s="41"/>
      <c r="W255" s="36"/>
      <c r="X255" s="36"/>
      <c r="Y255" s="36"/>
      <c r="Z255" s="36"/>
      <c r="AA255" s="36"/>
    </row>
    <row r="256" spans="15:27" x14ac:dyDescent="0.2">
      <c r="P256" s="36"/>
      <c r="Q256" s="40"/>
      <c r="R256" s="40"/>
      <c r="S256" s="40"/>
      <c r="T256" s="41"/>
      <c r="U256" s="41"/>
      <c r="V256" s="41"/>
      <c r="W256" s="36"/>
      <c r="X256" s="36"/>
      <c r="Y256" s="36"/>
      <c r="Z256" s="36"/>
      <c r="AA256" s="36"/>
    </row>
    <row r="257" spans="16:27" x14ac:dyDescent="0.2">
      <c r="P257" s="36"/>
      <c r="Q257" s="40"/>
      <c r="R257" s="40"/>
      <c r="S257" s="40"/>
      <c r="T257" s="41"/>
      <c r="U257" s="41"/>
      <c r="V257" s="41"/>
      <c r="W257" s="36"/>
      <c r="X257" s="36"/>
      <c r="Y257" s="36"/>
      <c r="Z257" s="36"/>
      <c r="AA257" s="36"/>
    </row>
    <row r="258" spans="16:27" x14ac:dyDescent="0.2">
      <c r="P258" s="36"/>
      <c r="Q258" s="40"/>
      <c r="R258" s="40"/>
      <c r="S258" s="40"/>
      <c r="T258" s="41"/>
      <c r="U258" s="41"/>
      <c r="V258" s="41"/>
      <c r="W258" s="36"/>
      <c r="X258" s="36"/>
      <c r="Y258" s="36"/>
      <c r="Z258" s="36"/>
      <c r="AA258" s="36"/>
    </row>
    <row r="259" spans="16:27" x14ac:dyDescent="0.2">
      <c r="P259" s="36"/>
      <c r="Q259" s="40"/>
      <c r="R259" s="40"/>
      <c r="S259" s="40"/>
      <c r="T259" s="41"/>
      <c r="U259" s="41"/>
      <c r="V259" s="41"/>
      <c r="W259" s="36"/>
      <c r="X259" s="36"/>
      <c r="Y259" s="36"/>
      <c r="Z259" s="36"/>
      <c r="AA259" s="36"/>
    </row>
    <row r="260" spans="16:27" x14ac:dyDescent="0.2">
      <c r="P260" s="36"/>
      <c r="Q260" s="40"/>
      <c r="R260" s="40"/>
      <c r="S260" s="40"/>
      <c r="T260" s="41"/>
      <c r="U260" s="41"/>
      <c r="V260" s="41"/>
      <c r="W260" s="36"/>
      <c r="X260" s="36"/>
      <c r="Y260" s="36"/>
      <c r="Z260" s="36"/>
      <c r="AA260" s="36"/>
    </row>
    <row r="261" spans="16:27" x14ac:dyDescent="0.2">
      <c r="P261" s="36"/>
      <c r="Q261" s="40"/>
      <c r="R261" s="40"/>
      <c r="S261" s="40"/>
      <c r="T261" s="41"/>
      <c r="U261" s="41"/>
      <c r="V261" s="41"/>
      <c r="W261" s="36"/>
      <c r="X261" s="36"/>
      <c r="Y261" s="36"/>
      <c r="Z261" s="36"/>
      <c r="AA261" s="36"/>
    </row>
    <row r="262" spans="16:27" x14ac:dyDescent="0.2">
      <c r="P262" s="36"/>
      <c r="Q262" s="40"/>
      <c r="R262" s="40"/>
      <c r="S262" s="40"/>
      <c r="T262" s="41"/>
      <c r="U262" s="41"/>
      <c r="V262" s="41"/>
      <c r="W262" s="36"/>
      <c r="X262" s="36"/>
      <c r="Y262" s="36"/>
      <c r="Z262" s="36"/>
      <c r="AA262" s="36"/>
    </row>
    <row r="263" spans="16:27" x14ac:dyDescent="0.2">
      <c r="P263" s="36"/>
      <c r="Q263" s="40"/>
      <c r="R263" s="40"/>
      <c r="S263" s="40"/>
      <c r="T263" s="41"/>
      <c r="U263" s="41"/>
      <c r="V263" s="41"/>
      <c r="W263" s="36"/>
      <c r="X263" s="36"/>
      <c r="Y263" s="36"/>
      <c r="Z263" s="36"/>
      <c r="AA263" s="36"/>
    </row>
    <row r="264" spans="16:27" x14ac:dyDescent="0.2">
      <c r="P264" s="36"/>
      <c r="Q264" s="40"/>
      <c r="R264" s="40"/>
      <c r="S264" s="40"/>
      <c r="T264" s="41"/>
      <c r="U264" s="41"/>
      <c r="V264" s="41"/>
      <c r="W264" s="36"/>
      <c r="X264" s="36"/>
      <c r="Y264" s="36"/>
      <c r="Z264" s="36"/>
      <c r="AA264" s="36"/>
    </row>
    <row r="265" spans="16:27" x14ac:dyDescent="0.2">
      <c r="P265" s="36"/>
      <c r="Q265" s="40"/>
      <c r="R265" s="40"/>
      <c r="S265" s="40"/>
      <c r="T265" s="41"/>
      <c r="U265" s="41"/>
      <c r="V265" s="41"/>
      <c r="W265" s="36"/>
      <c r="X265" s="36"/>
      <c r="Y265" s="36"/>
      <c r="Z265" s="36"/>
      <c r="AA265" s="36"/>
    </row>
    <row r="266" spans="16:27" x14ac:dyDescent="0.2">
      <c r="P266" s="36"/>
      <c r="Q266" s="40"/>
      <c r="R266" s="40"/>
      <c r="S266" s="40"/>
      <c r="T266" s="41"/>
      <c r="U266" s="41"/>
      <c r="V266" s="41"/>
      <c r="W266" s="36"/>
      <c r="X266" s="36"/>
      <c r="Y266" s="36"/>
      <c r="Z266" s="36"/>
      <c r="AA266" s="36"/>
    </row>
    <row r="267" spans="16:27" x14ac:dyDescent="0.2">
      <c r="P267" s="36"/>
      <c r="Q267" s="40"/>
      <c r="R267" s="40"/>
      <c r="S267" s="40"/>
      <c r="T267" s="41"/>
      <c r="U267" s="41"/>
      <c r="V267" s="41"/>
      <c r="W267" s="36"/>
      <c r="X267" s="36"/>
      <c r="Y267" s="36"/>
      <c r="Z267" s="36"/>
      <c r="AA267" s="36"/>
    </row>
    <row r="268" spans="16:27" x14ac:dyDescent="0.2">
      <c r="P268" s="36"/>
      <c r="Q268" s="40"/>
      <c r="R268" s="40"/>
      <c r="S268" s="40"/>
      <c r="T268" s="41"/>
      <c r="U268" s="41"/>
      <c r="V268" s="41"/>
      <c r="W268" s="36"/>
      <c r="X268" s="36"/>
      <c r="Y268" s="36"/>
      <c r="Z268" s="36"/>
      <c r="AA268" s="36"/>
    </row>
    <row r="269" spans="16:27" x14ac:dyDescent="0.2">
      <c r="P269" s="36"/>
      <c r="Q269" s="40"/>
      <c r="R269" s="40"/>
      <c r="S269" s="40"/>
      <c r="T269" s="41"/>
      <c r="U269" s="41"/>
      <c r="V269" s="41"/>
      <c r="W269" s="36"/>
      <c r="X269" s="36"/>
      <c r="Y269" s="36"/>
      <c r="Z269" s="36"/>
      <c r="AA269" s="36"/>
    </row>
    <row r="270" spans="16:27" x14ac:dyDescent="0.2">
      <c r="P270" s="36"/>
      <c r="Q270" s="40"/>
      <c r="R270" s="40"/>
      <c r="S270" s="40"/>
      <c r="T270" s="41"/>
      <c r="U270" s="41"/>
      <c r="V270" s="41"/>
      <c r="W270" s="36"/>
      <c r="X270" s="36"/>
      <c r="Y270" s="36"/>
      <c r="Z270" s="36"/>
      <c r="AA270" s="36"/>
    </row>
    <row r="271" spans="16:27" x14ac:dyDescent="0.2">
      <c r="P271" s="36"/>
      <c r="Q271" s="40"/>
      <c r="R271" s="40"/>
      <c r="S271" s="40"/>
      <c r="T271" s="41"/>
      <c r="U271" s="41"/>
      <c r="V271" s="41"/>
      <c r="W271" s="36"/>
      <c r="X271" s="36"/>
      <c r="Y271" s="36"/>
      <c r="Z271" s="36"/>
      <c r="AA271" s="36"/>
    </row>
    <row r="272" spans="16:27" x14ac:dyDescent="0.2">
      <c r="P272" s="36"/>
      <c r="Q272" s="40"/>
      <c r="R272" s="40"/>
      <c r="S272" s="40"/>
      <c r="T272" s="41"/>
      <c r="U272" s="41"/>
      <c r="V272" s="41"/>
      <c r="W272" s="36"/>
      <c r="X272" s="36"/>
      <c r="Y272" s="36"/>
      <c r="Z272" s="36"/>
      <c r="AA272" s="36"/>
    </row>
    <row r="273" spans="16:27" x14ac:dyDescent="0.2">
      <c r="P273" s="36"/>
      <c r="Q273" s="40"/>
      <c r="R273" s="40"/>
      <c r="S273" s="40"/>
      <c r="T273" s="41"/>
      <c r="U273" s="41"/>
      <c r="V273" s="41"/>
      <c r="W273" s="36"/>
      <c r="X273" s="36"/>
      <c r="Y273" s="36"/>
      <c r="Z273" s="36"/>
      <c r="AA273" s="36"/>
    </row>
    <row r="274" spans="16:27" x14ac:dyDescent="0.2">
      <c r="P274" s="36"/>
      <c r="Q274" s="40"/>
      <c r="R274" s="40"/>
      <c r="S274" s="40"/>
      <c r="T274" s="41"/>
      <c r="U274" s="41"/>
      <c r="V274" s="41"/>
      <c r="W274" s="36"/>
      <c r="X274" s="36"/>
      <c r="Y274" s="36"/>
      <c r="Z274" s="36"/>
      <c r="AA274" s="36"/>
    </row>
    <row r="275" spans="16:27" x14ac:dyDescent="0.2">
      <c r="P275" s="36"/>
      <c r="Q275" s="40"/>
      <c r="R275" s="40"/>
      <c r="S275" s="40"/>
      <c r="T275" s="41"/>
      <c r="U275" s="41"/>
      <c r="V275" s="41"/>
      <c r="W275" s="36"/>
      <c r="X275" s="36"/>
      <c r="Y275" s="36"/>
      <c r="Z275" s="36"/>
      <c r="AA275" s="36"/>
    </row>
    <row r="276" spans="16:27" x14ac:dyDescent="0.2">
      <c r="P276" s="36"/>
      <c r="Q276" s="40"/>
      <c r="R276" s="40"/>
      <c r="S276" s="40"/>
      <c r="T276" s="41"/>
      <c r="U276" s="41"/>
      <c r="V276" s="41"/>
      <c r="W276" s="36"/>
      <c r="X276" s="36"/>
      <c r="Y276" s="36"/>
      <c r="Z276" s="36"/>
      <c r="AA276" s="36"/>
    </row>
    <row r="277" spans="16:27" x14ac:dyDescent="0.2">
      <c r="P277" s="36"/>
      <c r="Q277" s="40"/>
      <c r="R277" s="40"/>
      <c r="S277" s="40"/>
      <c r="T277" s="41"/>
      <c r="U277" s="41"/>
      <c r="V277" s="41"/>
      <c r="W277" s="36"/>
      <c r="X277" s="36"/>
      <c r="Y277" s="36"/>
      <c r="Z277" s="36"/>
      <c r="AA277" s="36"/>
    </row>
    <row r="278" spans="16:27" x14ac:dyDescent="0.2">
      <c r="P278" s="36"/>
      <c r="Q278" s="40"/>
      <c r="R278" s="40"/>
      <c r="S278" s="40"/>
      <c r="T278" s="41"/>
      <c r="U278" s="41"/>
      <c r="V278" s="41"/>
      <c r="W278" s="36"/>
      <c r="X278" s="36"/>
      <c r="Y278" s="36"/>
      <c r="Z278" s="36"/>
      <c r="AA278" s="36"/>
    </row>
    <row r="279" spans="16:27" x14ac:dyDescent="0.2">
      <c r="P279" s="36"/>
      <c r="Q279" s="40"/>
      <c r="R279" s="40"/>
      <c r="S279" s="40"/>
      <c r="T279" s="41"/>
      <c r="U279" s="41"/>
      <c r="V279" s="41"/>
      <c r="W279" s="36"/>
      <c r="X279" s="36"/>
      <c r="Y279" s="36"/>
      <c r="Z279" s="36"/>
      <c r="AA279" s="36"/>
    </row>
    <row r="280" spans="16:27" x14ac:dyDescent="0.2">
      <c r="P280" s="36"/>
      <c r="Q280" s="40"/>
      <c r="R280" s="40"/>
      <c r="S280" s="40"/>
      <c r="T280" s="41"/>
      <c r="U280" s="41"/>
      <c r="V280" s="41"/>
      <c r="W280" s="36"/>
      <c r="X280" s="36"/>
      <c r="Y280" s="36"/>
      <c r="Z280" s="36"/>
      <c r="AA280" s="36"/>
    </row>
    <row r="281" spans="16:27" x14ac:dyDescent="0.2">
      <c r="P281" s="36"/>
      <c r="Q281" s="40"/>
      <c r="R281" s="40"/>
      <c r="S281" s="40"/>
      <c r="T281" s="41"/>
      <c r="U281" s="41"/>
      <c r="V281" s="41"/>
      <c r="W281" s="36"/>
      <c r="X281" s="36"/>
      <c r="Y281" s="36"/>
      <c r="Z281" s="36"/>
      <c r="AA281" s="36"/>
    </row>
    <row r="282" spans="16:27" x14ac:dyDescent="0.2">
      <c r="P282" s="36"/>
      <c r="Q282" s="40"/>
      <c r="R282" s="40"/>
      <c r="S282" s="40"/>
      <c r="T282" s="41"/>
      <c r="U282" s="41"/>
      <c r="V282" s="41"/>
      <c r="W282" s="36"/>
      <c r="X282" s="36"/>
      <c r="Y282" s="36"/>
      <c r="Z282" s="36"/>
      <c r="AA282" s="36"/>
    </row>
    <row r="283" spans="16:27" x14ac:dyDescent="0.2">
      <c r="P283" s="36"/>
      <c r="Q283" s="40"/>
      <c r="R283" s="40"/>
      <c r="S283" s="40"/>
      <c r="T283" s="41"/>
      <c r="U283" s="41"/>
      <c r="V283" s="41"/>
      <c r="W283" s="36"/>
      <c r="X283" s="36"/>
      <c r="Y283" s="36"/>
      <c r="Z283" s="36"/>
      <c r="AA283" s="36"/>
    </row>
    <row r="284" spans="16:27" x14ac:dyDescent="0.2">
      <c r="P284" s="36"/>
      <c r="Q284" s="40"/>
      <c r="R284" s="40"/>
      <c r="S284" s="40"/>
      <c r="T284" s="41"/>
      <c r="U284" s="41"/>
      <c r="V284" s="41"/>
      <c r="W284" s="36"/>
      <c r="X284" s="36"/>
      <c r="Y284" s="36"/>
      <c r="Z284" s="36"/>
      <c r="AA284" s="36"/>
    </row>
    <row r="285" spans="16:27" x14ac:dyDescent="0.2">
      <c r="P285" s="36"/>
      <c r="Q285" s="40"/>
      <c r="R285" s="40"/>
      <c r="S285" s="40"/>
      <c r="T285" s="41"/>
      <c r="U285" s="41"/>
      <c r="V285" s="41"/>
      <c r="W285" s="36"/>
      <c r="X285" s="36"/>
      <c r="Y285" s="36"/>
      <c r="Z285" s="36"/>
      <c r="AA285" s="36"/>
    </row>
    <row r="286" spans="16:27" x14ac:dyDescent="0.2">
      <c r="P286" s="36"/>
      <c r="Q286" s="40"/>
      <c r="R286" s="40"/>
      <c r="S286" s="40"/>
      <c r="T286" s="41"/>
      <c r="U286" s="41"/>
      <c r="V286" s="41"/>
      <c r="W286" s="36"/>
      <c r="X286" s="36"/>
      <c r="Y286" s="36"/>
      <c r="Z286" s="36"/>
      <c r="AA286" s="36"/>
    </row>
    <row r="287" spans="16:27" x14ac:dyDescent="0.2">
      <c r="P287" s="36"/>
      <c r="Q287" s="40"/>
      <c r="R287" s="40"/>
      <c r="S287" s="40"/>
      <c r="T287" s="41"/>
      <c r="U287" s="41"/>
      <c r="V287" s="41"/>
      <c r="W287" s="36"/>
      <c r="X287" s="36"/>
      <c r="Y287" s="36"/>
      <c r="Z287" s="36"/>
      <c r="AA287" s="36"/>
    </row>
    <row r="288" spans="16:27" x14ac:dyDescent="0.2">
      <c r="P288" s="36"/>
      <c r="Q288" s="40"/>
      <c r="R288" s="40"/>
      <c r="S288" s="40"/>
      <c r="T288" s="41"/>
      <c r="U288" s="41"/>
      <c r="V288" s="41"/>
      <c r="W288" s="36"/>
      <c r="X288" s="36"/>
      <c r="Y288" s="36"/>
      <c r="Z288" s="36"/>
      <c r="AA288" s="36"/>
    </row>
    <row r="289" spans="16:27" x14ac:dyDescent="0.2">
      <c r="P289" s="36"/>
      <c r="Q289" s="40"/>
      <c r="R289" s="40"/>
      <c r="S289" s="40"/>
      <c r="T289" s="41"/>
      <c r="U289" s="41"/>
      <c r="V289" s="41"/>
      <c r="W289" s="36"/>
      <c r="X289" s="36"/>
      <c r="Y289" s="36"/>
      <c r="Z289" s="36"/>
      <c r="AA289" s="36"/>
    </row>
    <row r="290" spans="16:27" x14ac:dyDescent="0.2">
      <c r="P290" s="36"/>
      <c r="Q290" s="40"/>
      <c r="R290" s="40"/>
      <c r="S290" s="40"/>
      <c r="T290" s="41"/>
      <c r="U290" s="41"/>
      <c r="V290" s="41"/>
      <c r="W290" s="36"/>
      <c r="X290" s="36"/>
      <c r="Y290" s="36"/>
      <c r="Z290" s="36"/>
      <c r="AA290" s="36"/>
    </row>
    <row r="291" spans="16:27" x14ac:dyDescent="0.2">
      <c r="P291" s="36"/>
      <c r="Q291" s="40"/>
      <c r="R291" s="40"/>
      <c r="S291" s="40"/>
      <c r="T291" s="41"/>
      <c r="U291" s="41"/>
      <c r="V291" s="41"/>
      <c r="W291" s="36"/>
      <c r="X291" s="36"/>
      <c r="Y291" s="36"/>
      <c r="Z291" s="36"/>
      <c r="AA291" s="36"/>
    </row>
    <row r="292" spans="16:27" x14ac:dyDescent="0.2">
      <c r="P292" s="36"/>
      <c r="Q292" s="40"/>
      <c r="R292" s="40"/>
      <c r="S292" s="40"/>
      <c r="T292" s="41"/>
      <c r="U292" s="41"/>
      <c r="V292" s="41"/>
      <c r="W292" s="36"/>
      <c r="X292" s="36"/>
      <c r="Y292" s="36"/>
      <c r="Z292" s="36"/>
      <c r="AA292" s="36"/>
    </row>
    <row r="293" spans="16:27" x14ac:dyDescent="0.2">
      <c r="P293" s="36"/>
      <c r="Q293" s="40"/>
      <c r="R293" s="40"/>
      <c r="S293" s="40"/>
      <c r="T293" s="41"/>
      <c r="U293" s="41"/>
      <c r="V293" s="41"/>
      <c r="W293" s="36"/>
      <c r="X293" s="36"/>
      <c r="Y293" s="36"/>
      <c r="Z293" s="36"/>
      <c r="AA293" s="36"/>
    </row>
    <row r="294" spans="16:27" x14ac:dyDescent="0.2">
      <c r="P294" s="36"/>
      <c r="Q294" s="40"/>
      <c r="R294" s="40"/>
      <c r="S294" s="40"/>
      <c r="T294" s="41"/>
      <c r="U294" s="41"/>
      <c r="V294" s="41"/>
      <c r="W294" s="36"/>
      <c r="X294" s="36"/>
      <c r="Y294" s="36"/>
      <c r="Z294" s="36"/>
      <c r="AA294" s="36"/>
    </row>
    <row r="295" spans="16:27" x14ac:dyDescent="0.2">
      <c r="P295" s="36"/>
      <c r="Q295" s="40"/>
      <c r="R295" s="40"/>
      <c r="S295" s="40"/>
      <c r="T295" s="41"/>
      <c r="U295" s="41"/>
      <c r="V295" s="41"/>
      <c r="W295" s="36"/>
      <c r="X295" s="36"/>
      <c r="Y295" s="36"/>
      <c r="Z295" s="36"/>
      <c r="AA295" s="36"/>
    </row>
    <row r="296" spans="16:27" x14ac:dyDescent="0.2">
      <c r="P296" s="36"/>
      <c r="Q296" s="40"/>
      <c r="R296" s="40"/>
      <c r="S296" s="40"/>
      <c r="T296" s="41"/>
      <c r="U296" s="41"/>
      <c r="V296" s="41"/>
      <c r="W296" s="36"/>
      <c r="X296" s="36"/>
      <c r="Y296" s="36"/>
      <c r="Z296" s="36"/>
      <c r="AA296" s="36"/>
    </row>
    <row r="297" spans="16:27" x14ac:dyDescent="0.2">
      <c r="P297" s="36"/>
      <c r="Q297" s="40"/>
      <c r="R297" s="40"/>
      <c r="S297" s="40"/>
      <c r="T297" s="41"/>
      <c r="U297" s="41"/>
      <c r="V297" s="41"/>
      <c r="W297" s="36"/>
      <c r="X297" s="36"/>
      <c r="Y297" s="36"/>
      <c r="Z297" s="36"/>
      <c r="AA297" s="36"/>
    </row>
    <row r="298" spans="16:27" x14ac:dyDescent="0.2">
      <c r="P298" s="36"/>
      <c r="Q298" s="40"/>
      <c r="R298" s="40"/>
      <c r="S298" s="40"/>
      <c r="T298" s="41"/>
      <c r="U298" s="41"/>
      <c r="V298" s="41"/>
      <c r="W298" s="36"/>
      <c r="X298" s="36"/>
      <c r="Y298" s="36"/>
      <c r="Z298" s="36"/>
      <c r="AA298" s="36"/>
    </row>
    <row r="299" spans="16:27" x14ac:dyDescent="0.2">
      <c r="P299" s="36"/>
      <c r="Q299" s="40"/>
      <c r="R299" s="40"/>
      <c r="S299" s="40"/>
      <c r="T299" s="41"/>
      <c r="U299" s="41"/>
      <c r="V299" s="41"/>
      <c r="W299" s="36"/>
      <c r="X299" s="36"/>
      <c r="Y299" s="36"/>
      <c r="Z299" s="36"/>
      <c r="AA299" s="36"/>
    </row>
    <row r="300" spans="16:27" x14ac:dyDescent="0.2">
      <c r="P300" s="36"/>
      <c r="Q300" s="40"/>
      <c r="R300" s="40"/>
      <c r="S300" s="40"/>
      <c r="T300" s="41"/>
      <c r="U300" s="41"/>
      <c r="V300" s="41"/>
      <c r="W300" s="36"/>
      <c r="X300" s="36"/>
      <c r="Y300" s="36"/>
      <c r="Z300" s="36"/>
      <c r="AA300" s="36"/>
    </row>
    <row r="301" spans="16:27" x14ac:dyDescent="0.2">
      <c r="P301" s="36"/>
      <c r="Q301" s="40"/>
      <c r="R301" s="40"/>
      <c r="S301" s="40"/>
      <c r="T301" s="41"/>
      <c r="U301" s="41"/>
      <c r="V301" s="41"/>
      <c r="W301" s="36"/>
      <c r="X301" s="36"/>
      <c r="Y301" s="36"/>
      <c r="Z301" s="36"/>
      <c r="AA301" s="36"/>
    </row>
    <row r="302" spans="16:27" x14ac:dyDescent="0.2">
      <c r="P302" s="36"/>
      <c r="Q302" s="40"/>
      <c r="R302" s="40"/>
      <c r="S302" s="40"/>
      <c r="T302" s="41"/>
      <c r="U302" s="41"/>
      <c r="V302" s="41"/>
      <c r="W302" s="36"/>
      <c r="X302" s="36"/>
      <c r="Y302" s="36"/>
      <c r="Z302" s="36"/>
      <c r="AA302" s="36"/>
    </row>
    <row r="303" spans="16:27" x14ac:dyDescent="0.2">
      <c r="P303" s="36"/>
      <c r="Q303" s="40"/>
      <c r="R303" s="40"/>
      <c r="S303" s="40"/>
      <c r="T303" s="41"/>
      <c r="U303" s="41"/>
      <c r="V303" s="41"/>
      <c r="W303" s="36"/>
      <c r="X303" s="36"/>
      <c r="Y303" s="36"/>
      <c r="Z303" s="36"/>
      <c r="AA303" s="36"/>
    </row>
    <row r="304" spans="16:27" x14ac:dyDescent="0.2">
      <c r="P304" s="36"/>
      <c r="Q304" s="40"/>
      <c r="R304" s="40"/>
      <c r="S304" s="40"/>
      <c r="T304" s="41"/>
      <c r="U304" s="41"/>
      <c r="V304" s="41"/>
      <c r="W304" s="36"/>
      <c r="X304" s="36"/>
      <c r="Y304" s="36"/>
      <c r="Z304" s="36"/>
      <c r="AA304" s="36"/>
    </row>
    <row r="305" spans="16:27" x14ac:dyDescent="0.2">
      <c r="P305" s="36"/>
      <c r="Q305" s="40"/>
      <c r="R305" s="40"/>
      <c r="S305" s="40"/>
      <c r="T305" s="41"/>
      <c r="U305" s="41"/>
      <c r="V305" s="41"/>
      <c r="W305" s="36"/>
      <c r="X305" s="36"/>
      <c r="Y305" s="36"/>
      <c r="Z305" s="36"/>
      <c r="AA305" s="36"/>
    </row>
    <row r="306" spans="16:27" x14ac:dyDescent="0.2">
      <c r="P306" s="36"/>
      <c r="Q306" s="40"/>
      <c r="R306" s="40"/>
      <c r="S306" s="40"/>
      <c r="T306" s="41"/>
      <c r="U306" s="41"/>
      <c r="V306" s="41"/>
      <c r="W306" s="36"/>
      <c r="X306" s="36"/>
      <c r="Y306" s="36"/>
      <c r="Z306" s="36"/>
      <c r="AA306" s="36"/>
    </row>
    <row r="307" spans="16:27" x14ac:dyDescent="0.2">
      <c r="P307" s="36"/>
      <c r="Q307" s="40"/>
      <c r="R307" s="40"/>
      <c r="S307" s="40"/>
      <c r="T307" s="41"/>
      <c r="U307" s="41"/>
      <c r="V307" s="41"/>
      <c r="W307" s="36"/>
      <c r="X307" s="36"/>
      <c r="Y307" s="36"/>
      <c r="Z307" s="36"/>
      <c r="AA307" s="36"/>
    </row>
    <row r="308" spans="16:27" x14ac:dyDescent="0.2">
      <c r="P308" s="36"/>
      <c r="Q308" s="40"/>
      <c r="R308" s="40"/>
      <c r="S308" s="40"/>
      <c r="T308" s="41"/>
      <c r="U308" s="41"/>
      <c r="V308" s="41"/>
      <c r="W308" s="36"/>
      <c r="X308" s="36"/>
      <c r="Y308" s="36"/>
      <c r="Z308" s="36"/>
      <c r="AA308" s="36"/>
    </row>
    <row r="309" spans="16:27" x14ac:dyDescent="0.2">
      <c r="P309" s="36"/>
      <c r="Q309" s="40"/>
      <c r="R309" s="40"/>
      <c r="S309" s="40"/>
      <c r="T309" s="41"/>
      <c r="U309" s="41"/>
      <c r="V309" s="41"/>
      <c r="W309" s="36"/>
      <c r="X309" s="36"/>
      <c r="Y309" s="36"/>
      <c r="Z309" s="36"/>
      <c r="AA309" s="36"/>
    </row>
    <row r="310" spans="16:27" x14ac:dyDescent="0.2">
      <c r="P310" s="36"/>
      <c r="Q310" s="40"/>
      <c r="R310" s="40"/>
      <c r="S310" s="40"/>
      <c r="T310" s="41"/>
      <c r="U310" s="41"/>
      <c r="V310" s="41"/>
      <c r="W310" s="36"/>
      <c r="X310" s="36"/>
      <c r="Y310" s="36"/>
      <c r="Z310" s="36"/>
      <c r="AA310" s="36"/>
    </row>
    <row r="311" spans="16:27" x14ac:dyDescent="0.2">
      <c r="P311" s="36"/>
      <c r="Q311" s="40"/>
      <c r="R311" s="40"/>
      <c r="S311" s="40"/>
      <c r="T311" s="41"/>
      <c r="U311" s="41"/>
      <c r="V311" s="41"/>
      <c r="W311" s="36"/>
      <c r="X311" s="36"/>
      <c r="Y311" s="36"/>
      <c r="Z311" s="36"/>
      <c r="AA311" s="36"/>
    </row>
    <row r="312" spans="16:27" x14ac:dyDescent="0.2">
      <c r="P312" s="36"/>
      <c r="Q312" s="40"/>
      <c r="R312" s="40"/>
      <c r="S312" s="40"/>
      <c r="T312" s="41"/>
      <c r="U312" s="41"/>
      <c r="V312" s="41"/>
      <c r="W312" s="36"/>
      <c r="X312" s="36"/>
      <c r="Y312" s="36"/>
      <c r="Z312" s="36"/>
      <c r="AA312" s="36"/>
    </row>
    <row r="313" spans="16:27" x14ac:dyDescent="0.2">
      <c r="P313" s="36"/>
      <c r="Q313" s="40"/>
      <c r="R313" s="40"/>
      <c r="S313" s="40"/>
      <c r="T313" s="41"/>
      <c r="U313" s="41"/>
      <c r="V313" s="41"/>
      <c r="W313" s="36"/>
      <c r="X313" s="36"/>
      <c r="Y313" s="36"/>
      <c r="Z313" s="36"/>
      <c r="AA313" s="36"/>
    </row>
    <row r="314" spans="16:27" x14ac:dyDescent="0.2">
      <c r="P314" s="36"/>
      <c r="Q314" s="40"/>
      <c r="R314" s="40"/>
      <c r="S314" s="40"/>
      <c r="T314" s="41"/>
      <c r="U314" s="41"/>
      <c r="V314" s="41"/>
      <c r="W314" s="36"/>
      <c r="X314" s="36"/>
      <c r="Y314" s="36"/>
      <c r="Z314" s="36"/>
      <c r="AA314" s="36"/>
    </row>
    <row r="315" spans="16:27" x14ac:dyDescent="0.2">
      <c r="P315" s="36"/>
      <c r="Q315" s="40"/>
      <c r="R315" s="40"/>
      <c r="S315" s="40"/>
      <c r="T315" s="41"/>
      <c r="U315" s="41"/>
      <c r="V315" s="41"/>
      <c r="W315" s="36"/>
      <c r="X315" s="36"/>
      <c r="Y315" s="36"/>
      <c r="Z315" s="36"/>
      <c r="AA315" s="36"/>
    </row>
    <row r="316" spans="16:27" x14ac:dyDescent="0.2">
      <c r="P316" s="36"/>
      <c r="Q316" s="40"/>
      <c r="R316" s="40"/>
      <c r="S316" s="40"/>
      <c r="T316" s="41"/>
      <c r="U316" s="41"/>
      <c r="V316" s="41"/>
      <c r="W316" s="36"/>
      <c r="X316" s="36"/>
      <c r="Y316" s="36"/>
      <c r="Z316" s="36"/>
      <c r="AA316" s="36"/>
    </row>
    <row r="317" spans="16:27" x14ac:dyDescent="0.2">
      <c r="P317" s="36"/>
      <c r="Q317" s="40"/>
      <c r="R317" s="40"/>
      <c r="S317" s="40"/>
      <c r="T317" s="41"/>
      <c r="U317" s="41"/>
      <c r="V317" s="41"/>
      <c r="W317" s="36"/>
      <c r="X317" s="36"/>
      <c r="Y317" s="36"/>
      <c r="Z317" s="36"/>
      <c r="AA317" s="36"/>
    </row>
    <row r="318" spans="16:27" x14ac:dyDescent="0.2">
      <c r="P318" s="36"/>
      <c r="Q318" s="40"/>
      <c r="R318" s="40"/>
      <c r="S318" s="40"/>
      <c r="T318" s="41"/>
      <c r="U318" s="41"/>
      <c r="V318" s="41"/>
      <c r="W318" s="36"/>
      <c r="X318" s="36"/>
      <c r="Y318" s="36"/>
      <c r="Z318" s="36"/>
      <c r="AA318" s="36"/>
    </row>
    <row r="319" spans="16:27" x14ac:dyDescent="0.2">
      <c r="P319" s="36"/>
      <c r="Q319" s="40"/>
      <c r="R319" s="40"/>
      <c r="S319" s="40"/>
      <c r="T319" s="41"/>
      <c r="U319" s="41"/>
      <c r="V319" s="41"/>
      <c r="W319" s="36"/>
      <c r="X319" s="36"/>
      <c r="Y319" s="36"/>
      <c r="Z319" s="36"/>
      <c r="AA319" s="36"/>
    </row>
    <row r="320" spans="16:27" x14ac:dyDescent="0.2">
      <c r="P320" s="36"/>
      <c r="Q320" s="40"/>
      <c r="R320" s="40"/>
      <c r="S320" s="40"/>
      <c r="T320" s="41"/>
      <c r="U320" s="41"/>
      <c r="V320" s="41"/>
      <c r="W320" s="36"/>
      <c r="X320" s="36"/>
      <c r="Y320" s="36"/>
      <c r="Z320" s="36"/>
      <c r="AA320" s="36"/>
    </row>
    <row r="321" spans="16:27" x14ac:dyDescent="0.2">
      <c r="P321" s="36"/>
      <c r="Q321" s="40"/>
      <c r="R321" s="40"/>
      <c r="S321" s="40"/>
      <c r="T321" s="41"/>
      <c r="U321" s="41"/>
      <c r="V321" s="41"/>
      <c r="W321" s="36"/>
      <c r="X321" s="36"/>
      <c r="Y321" s="36"/>
      <c r="Z321" s="36"/>
      <c r="AA321" s="36"/>
    </row>
    <row r="322" spans="16:27" x14ac:dyDescent="0.2">
      <c r="P322" s="36"/>
      <c r="Q322" s="40"/>
      <c r="R322" s="40"/>
      <c r="S322" s="40"/>
      <c r="T322" s="41"/>
      <c r="U322" s="41"/>
      <c r="V322" s="41"/>
      <c r="W322" s="36"/>
      <c r="X322" s="36"/>
      <c r="Y322" s="36"/>
      <c r="Z322" s="36"/>
      <c r="AA322" s="36"/>
    </row>
    <row r="323" spans="16:27" x14ac:dyDescent="0.2">
      <c r="P323" s="36"/>
      <c r="Q323" s="40"/>
      <c r="R323" s="40"/>
      <c r="S323" s="40"/>
      <c r="T323" s="41"/>
      <c r="U323" s="41"/>
      <c r="V323" s="41"/>
      <c r="W323" s="36"/>
      <c r="X323" s="36"/>
      <c r="Y323" s="36"/>
      <c r="Z323" s="36"/>
      <c r="AA323" s="36"/>
    </row>
    <row r="324" spans="16:27" x14ac:dyDescent="0.2">
      <c r="P324" s="36"/>
      <c r="Q324" s="40"/>
      <c r="R324" s="40"/>
      <c r="S324" s="40"/>
      <c r="T324" s="41"/>
      <c r="U324" s="41"/>
      <c r="V324" s="41"/>
      <c r="W324" s="36"/>
      <c r="X324" s="36"/>
      <c r="Y324" s="36"/>
      <c r="Z324" s="36"/>
      <c r="AA324" s="36"/>
    </row>
    <row r="325" spans="16:27" x14ac:dyDescent="0.2">
      <c r="P325" s="36"/>
      <c r="Q325" s="40"/>
      <c r="R325" s="40"/>
      <c r="S325" s="40"/>
      <c r="T325" s="41"/>
      <c r="U325" s="41"/>
      <c r="V325" s="41"/>
      <c r="W325" s="36"/>
      <c r="X325" s="36"/>
      <c r="Y325" s="36"/>
      <c r="Z325" s="36"/>
      <c r="AA325" s="36"/>
    </row>
    <row r="326" spans="16:27" x14ac:dyDescent="0.2">
      <c r="P326" s="36"/>
      <c r="Q326" s="40"/>
      <c r="R326" s="40"/>
      <c r="S326" s="40"/>
      <c r="T326" s="41"/>
      <c r="U326" s="41"/>
      <c r="V326" s="41"/>
      <c r="W326" s="36"/>
      <c r="X326" s="36"/>
      <c r="Y326" s="36"/>
      <c r="Z326" s="36"/>
      <c r="AA326" s="36"/>
    </row>
    <row r="327" spans="16:27" x14ac:dyDescent="0.2">
      <c r="P327" s="36"/>
      <c r="Q327" s="40"/>
      <c r="R327" s="40"/>
      <c r="S327" s="40"/>
      <c r="T327" s="41"/>
      <c r="U327" s="41"/>
      <c r="V327" s="41"/>
      <c r="W327" s="36"/>
      <c r="X327" s="36"/>
      <c r="Y327" s="36"/>
      <c r="Z327" s="36"/>
      <c r="AA327" s="36"/>
    </row>
    <row r="328" spans="16:27" x14ac:dyDescent="0.2">
      <c r="P328" s="36"/>
      <c r="Q328" s="40"/>
      <c r="R328" s="40"/>
      <c r="S328" s="40"/>
      <c r="T328" s="41"/>
      <c r="U328" s="41"/>
      <c r="V328" s="41"/>
      <c r="W328" s="36"/>
      <c r="X328" s="36"/>
      <c r="Y328" s="36"/>
      <c r="Z328" s="36"/>
      <c r="AA328" s="36"/>
    </row>
    <row r="329" spans="16:27" x14ac:dyDescent="0.2">
      <c r="P329" s="36"/>
      <c r="Q329" s="40"/>
      <c r="R329" s="40"/>
      <c r="S329" s="40"/>
      <c r="T329" s="41"/>
      <c r="U329" s="41"/>
      <c r="V329" s="41"/>
      <c r="W329" s="36"/>
      <c r="X329" s="36"/>
      <c r="Y329" s="36"/>
      <c r="Z329" s="36"/>
      <c r="AA329" s="36"/>
    </row>
    <row r="330" spans="16:27" x14ac:dyDescent="0.2">
      <c r="P330" s="36"/>
      <c r="Q330" s="40"/>
      <c r="R330" s="40"/>
      <c r="S330" s="40"/>
      <c r="T330" s="41"/>
      <c r="U330" s="41"/>
      <c r="V330" s="41"/>
      <c r="W330" s="36"/>
      <c r="X330" s="36"/>
      <c r="Y330" s="36"/>
      <c r="Z330" s="36"/>
      <c r="AA330" s="36"/>
    </row>
    <row r="331" spans="16:27" x14ac:dyDescent="0.2">
      <c r="P331" s="36"/>
      <c r="Q331" s="40"/>
      <c r="R331" s="40"/>
      <c r="S331" s="40"/>
      <c r="T331" s="41"/>
      <c r="U331" s="41"/>
      <c r="V331" s="41"/>
      <c r="W331" s="36"/>
      <c r="X331" s="36"/>
      <c r="Y331" s="36"/>
      <c r="Z331" s="36"/>
      <c r="AA331" s="36"/>
    </row>
    <row r="332" spans="16:27" x14ac:dyDescent="0.2">
      <c r="P332" s="36"/>
      <c r="Q332" s="40"/>
      <c r="R332" s="40"/>
      <c r="S332" s="40"/>
      <c r="T332" s="41"/>
      <c r="U332" s="41"/>
      <c r="V332" s="41"/>
      <c r="W332" s="36"/>
      <c r="X332" s="36"/>
      <c r="Y332" s="36"/>
      <c r="Z332" s="36"/>
      <c r="AA332" s="36"/>
    </row>
    <row r="333" spans="16:27" x14ac:dyDescent="0.2">
      <c r="P333" s="36"/>
      <c r="Q333" s="40"/>
      <c r="R333" s="40"/>
      <c r="S333" s="40"/>
      <c r="T333" s="41"/>
      <c r="U333" s="41"/>
      <c r="V333" s="41"/>
      <c r="W333" s="36"/>
      <c r="X333" s="36"/>
      <c r="Y333" s="36"/>
      <c r="Z333" s="36"/>
      <c r="AA333" s="36"/>
    </row>
    <row r="334" spans="16:27" x14ac:dyDescent="0.2">
      <c r="P334" s="36"/>
      <c r="Q334" s="40"/>
      <c r="R334" s="40"/>
      <c r="S334" s="40"/>
      <c r="T334" s="41"/>
      <c r="U334" s="41"/>
      <c r="V334" s="41"/>
      <c r="W334" s="36"/>
      <c r="X334" s="36"/>
      <c r="Y334" s="36"/>
      <c r="Z334" s="36"/>
      <c r="AA334" s="36"/>
    </row>
    <row r="335" spans="16:27" x14ac:dyDescent="0.2">
      <c r="P335" s="36"/>
      <c r="Q335" s="40"/>
      <c r="R335" s="40"/>
      <c r="S335" s="40"/>
      <c r="T335" s="41"/>
      <c r="U335" s="41"/>
      <c r="V335" s="41"/>
      <c r="W335" s="36"/>
      <c r="X335" s="36"/>
      <c r="Y335" s="36"/>
      <c r="Z335" s="36"/>
      <c r="AA335" s="36"/>
    </row>
    <row r="336" spans="16:27" x14ac:dyDescent="0.2">
      <c r="P336" s="36"/>
      <c r="Q336" s="40"/>
      <c r="R336" s="40"/>
      <c r="S336" s="40"/>
      <c r="T336" s="41"/>
      <c r="U336" s="41"/>
      <c r="V336" s="41"/>
      <c r="W336" s="36"/>
      <c r="X336" s="36"/>
      <c r="Y336" s="36"/>
      <c r="Z336" s="36"/>
      <c r="AA336" s="36"/>
    </row>
    <row r="337" spans="16:27" x14ac:dyDescent="0.2">
      <c r="P337" s="36"/>
      <c r="Q337" s="40"/>
      <c r="R337" s="40"/>
      <c r="S337" s="40"/>
      <c r="T337" s="41"/>
      <c r="U337" s="41"/>
      <c r="V337" s="41"/>
      <c r="W337" s="36"/>
      <c r="X337" s="36"/>
      <c r="Y337" s="36"/>
      <c r="Z337" s="36"/>
      <c r="AA337" s="36"/>
    </row>
    <row r="338" spans="16:27" x14ac:dyDescent="0.2">
      <c r="P338" s="36"/>
      <c r="Q338" s="40"/>
      <c r="R338" s="40"/>
      <c r="S338" s="40"/>
      <c r="T338" s="41"/>
      <c r="U338" s="41"/>
      <c r="V338" s="41"/>
      <c r="W338" s="36"/>
      <c r="X338" s="36"/>
      <c r="Y338" s="36"/>
      <c r="Z338" s="36"/>
      <c r="AA338" s="36"/>
    </row>
    <row r="339" spans="16:27" x14ac:dyDescent="0.2">
      <c r="P339" s="36"/>
      <c r="Q339" s="40"/>
      <c r="R339" s="40"/>
      <c r="S339" s="40"/>
      <c r="T339" s="41"/>
      <c r="U339" s="41"/>
      <c r="V339" s="41"/>
      <c r="W339" s="36"/>
      <c r="X339" s="36"/>
      <c r="Y339" s="36"/>
      <c r="Z339" s="36"/>
      <c r="AA339" s="36"/>
    </row>
    <row r="340" spans="16:27" x14ac:dyDescent="0.2">
      <c r="P340" s="36"/>
      <c r="Q340" s="40"/>
      <c r="R340" s="40"/>
      <c r="S340" s="40"/>
      <c r="T340" s="41"/>
      <c r="U340" s="41"/>
      <c r="V340" s="41"/>
      <c r="W340" s="36"/>
      <c r="X340" s="36"/>
      <c r="Y340" s="36"/>
      <c r="Z340" s="36"/>
      <c r="AA340" s="36"/>
    </row>
    <row r="341" spans="16:27" x14ac:dyDescent="0.2">
      <c r="P341" s="36"/>
      <c r="Q341" s="40"/>
      <c r="R341" s="40"/>
      <c r="S341" s="40"/>
      <c r="T341" s="41"/>
      <c r="U341" s="41"/>
      <c r="V341" s="41"/>
      <c r="W341" s="36"/>
      <c r="X341" s="36"/>
      <c r="Y341" s="36"/>
      <c r="Z341" s="36"/>
      <c r="AA341" s="36"/>
    </row>
    <row r="342" spans="16:27" x14ac:dyDescent="0.2">
      <c r="P342" s="36"/>
      <c r="Q342" s="40"/>
      <c r="R342" s="40"/>
      <c r="S342" s="40"/>
      <c r="T342" s="41"/>
      <c r="U342" s="41"/>
      <c r="V342" s="41"/>
      <c r="W342" s="36"/>
      <c r="X342" s="36"/>
      <c r="Y342" s="36"/>
      <c r="Z342" s="36"/>
      <c r="AA342" s="36"/>
    </row>
    <row r="343" spans="16:27" x14ac:dyDescent="0.2">
      <c r="P343" s="36"/>
      <c r="Q343" s="40"/>
      <c r="R343" s="40"/>
      <c r="S343" s="40"/>
      <c r="T343" s="41"/>
      <c r="U343" s="41"/>
      <c r="V343" s="41"/>
      <c r="W343" s="36"/>
      <c r="X343" s="36"/>
      <c r="Y343" s="36"/>
      <c r="Z343" s="36"/>
      <c r="AA343" s="36"/>
    </row>
    <row r="344" spans="16:27" x14ac:dyDescent="0.2">
      <c r="P344" s="36"/>
      <c r="Q344" s="40"/>
      <c r="R344" s="40"/>
      <c r="S344" s="40"/>
      <c r="T344" s="41"/>
      <c r="U344" s="41"/>
      <c r="V344" s="41"/>
      <c r="W344" s="36"/>
      <c r="X344" s="36"/>
      <c r="Y344" s="36"/>
      <c r="Z344" s="36"/>
      <c r="AA344" s="36"/>
    </row>
    <row r="345" spans="16:27" x14ac:dyDescent="0.2">
      <c r="P345" s="36"/>
      <c r="Q345" s="40"/>
      <c r="R345" s="40"/>
      <c r="S345" s="40"/>
      <c r="T345" s="41"/>
      <c r="U345" s="41"/>
      <c r="V345" s="41"/>
      <c r="W345" s="36"/>
      <c r="X345" s="36"/>
      <c r="Y345" s="36"/>
      <c r="Z345" s="36"/>
      <c r="AA345" s="36"/>
    </row>
    <row r="346" spans="16:27" x14ac:dyDescent="0.2">
      <c r="P346" s="36"/>
      <c r="Q346" s="40"/>
      <c r="R346" s="40"/>
      <c r="S346" s="40"/>
      <c r="T346" s="41"/>
      <c r="U346" s="41"/>
      <c r="V346" s="41"/>
      <c r="W346" s="36"/>
      <c r="X346" s="36"/>
      <c r="Y346" s="36"/>
      <c r="Z346" s="36"/>
      <c r="AA346" s="36"/>
    </row>
    <row r="347" spans="16:27" x14ac:dyDescent="0.2">
      <c r="P347" s="36"/>
      <c r="Q347" s="40"/>
      <c r="R347" s="40"/>
      <c r="S347" s="40"/>
      <c r="T347" s="41"/>
      <c r="U347" s="41"/>
      <c r="V347" s="41"/>
      <c r="W347" s="36"/>
      <c r="X347" s="36"/>
      <c r="Y347" s="36"/>
      <c r="Z347" s="36"/>
      <c r="AA347" s="36"/>
    </row>
    <row r="348" spans="16:27" x14ac:dyDescent="0.2">
      <c r="P348" s="36"/>
      <c r="Q348" s="40"/>
      <c r="R348" s="40"/>
      <c r="S348" s="40"/>
      <c r="T348" s="41"/>
      <c r="U348" s="41"/>
      <c r="V348" s="41"/>
      <c r="W348" s="36"/>
      <c r="X348" s="36"/>
      <c r="Y348" s="36"/>
      <c r="Z348" s="36"/>
      <c r="AA348" s="36"/>
    </row>
    <row r="349" spans="16:27" x14ac:dyDescent="0.2">
      <c r="P349" s="36"/>
      <c r="Q349" s="40"/>
      <c r="R349" s="40"/>
      <c r="S349" s="40"/>
      <c r="T349" s="41"/>
      <c r="U349" s="41"/>
      <c r="V349" s="41"/>
      <c r="W349" s="36"/>
      <c r="X349" s="36"/>
      <c r="Y349" s="36"/>
      <c r="Z349" s="36"/>
      <c r="AA349" s="36"/>
    </row>
    <row r="350" spans="16:27" x14ac:dyDescent="0.2">
      <c r="P350" s="36"/>
      <c r="Q350" s="40"/>
      <c r="R350" s="40"/>
      <c r="S350" s="40"/>
      <c r="T350" s="41"/>
      <c r="U350" s="41"/>
      <c r="V350" s="41"/>
      <c r="W350" s="36"/>
      <c r="X350" s="36"/>
      <c r="Y350" s="36"/>
      <c r="Z350" s="36"/>
      <c r="AA350" s="36"/>
    </row>
    <row r="351" spans="16:27" x14ac:dyDescent="0.2">
      <c r="P351" s="36"/>
      <c r="Q351" s="40"/>
      <c r="R351" s="40"/>
      <c r="S351" s="40"/>
      <c r="T351" s="41"/>
      <c r="U351" s="41"/>
      <c r="V351" s="41"/>
      <c r="W351" s="36"/>
      <c r="X351" s="36"/>
      <c r="Y351" s="36"/>
      <c r="Z351" s="36"/>
      <c r="AA351" s="36"/>
    </row>
    <row r="352" spans="16:27" x14ac:dyDescent="0.2">
      <c r="P352" s="36"/>
      <c r="Q352" s="40"/>
      <c r="R352" s="40"/>
      <c r="S352" s="40"/>
      <c r="T352" s="41"/>
      <c r="U352" s="41"/>
      <c r="V352" s="41"/>
      <c r="W352" s="36"/>
      <c r="X352" s="36"/>
      <c r="Y352" s="36"/>
      <c r="Z352" s="36"/>
      <c r="AA352" s="36"/>
    </row>
    <row r="353" spans="16:27" x14ac:dyDescent="0.2">
      <c r="P353" s="36"/>
      <c r="Q353" s="40"/>
      <c r="R353" s="40"/>
      <c r="S353" s="40"/>
      <c r="T353" s="41"/>
      <c r="U353" s="41"/>
      <c r="V353" s="41"/>
      <c r="W353" s="36"/>
      <c r="X353" s="36"/>
      <c r="Y353" s="36"/>
      <c r="Z353" s="36"/>
      <c r="AA353" s="36"/>
    </row>
    <row r="354" spans="16:27" x14ac:dyDescent="0.2">
      <c r="P354" s="36"/>
      <c r="Q354" s="40"/>
      <c r="R354" s="40"/>
      <c r="S354" s="40"/>
      <c r="T354" s="41"/>
      <c r="U354" s="41"/>
      <c r="V354" s="41"/>
      <c r="W354" s="36"/>
      <c r="X354" s="36"/>
      <c r="Y354" s="36"/>
      <c r="Z354" s="36"/>
      <c r="AA354" s="36"/>
    </row>
    <row r="355" spans="16:27" x14ac:dyDescent="0.2">
      <c r="P355" s="36"/>
      <c r="Q355" s="40"/>
      <c r="R355" s="40"/>
      <c r="S355" s="40"/>
      <c r="T355" s="41"/>
      <c r="U355" s="41"/>
      <c r="V355" s="41"/>
      <c r="W355" s="36"/>
      <c r="X355" s="36"/>
      <c r="Y355" s="36"/>
      <c r="Z355" s="36"/>
      <c r="AA355" s="36"/>
    </row>
    <row r="356" spans="16:27" x14ac:dyDescent="0.2">
      <c r="P356" s="36"/>
      <c r="Q356" s="40"/>
      <c r="R356" s="40"/>
      <c r="S356" s="40"/>
      <c r="T356" s="41"/>
      <c r="U356" s="41"/>
      <c r="V356" s="41"/>
      <c r="W356" s="36"/>
      <c r="X356" s="36"/>
      <c r="Y356" s="36"/>
      <c r="Z356" s="36"/>
      <c r="AA356" s="36"/>
    </row>
    <row r="357" spans="16:27" x14ac:dyDescent="0.2">
      <c r="P357" s="36"/>
      <c r="Q357" s="40"/>
      <c r="R357" s="40"/>
      <c r="S357" s="40"/>
      <c r="T357" s="41"/>
      <c r="U357" s="41"/>
      <c r="V357" s="41"/>
      <c r="W357" s="36"/>
      <c r="X357" s="36"/>
      <c r="Y357" s="36"/>
      <c r="Z357" s="36"/>
      <c r="AA357" s="36"/>
    </row>
    <row r="358" spans="16:27" x14ac:dyDescent="0.2">
      <c r="P358" s="36"/>
      <c r="Q358" s="40"/>
      <c r="R358" s="40"/>
      <c r="S358" s="40"/>
      <c r="T358" s="41"/>
      <c r="U358" s="41"/>
      <c r="V358" s="41"/>
      <c r="W358" s="36"/>
      <c r="X358" s="36"/>
      <c r="Y358" s="36"/>
      <c r="Z358" s="36"/>
      <c r="AA358" s="36"/>
    </row>
    <row r="359" spans="16:27" x14ac:dyDescent="0.2">
      <c r="P359" s="36"/>
      <c r="Q359" s="40"/>
      <c r="R359" s="40"/>
      <c r="S359" s="40"/>
      <c r="T359" s="41"/>
      <c r="U359" s="41"/>
      <c r="V359" s="41"/>
      <c r="W359" s="36"/>
      <c r="X359" s="36"/>
      <c r="Y359" s="36"/>
      <c r="Z359" s="36"/>
      <c r="AA359" s="36"/>
    </row>
    <row r="360" spans="16:27" x14ac:dyDescent="0.2">
      <c r="P360" s="36"/>
      <c r="Q360" s="40"/>
      <c r="R360" s="40"/>
      <c r="S360" s="40"/>
      <c r="T360" s="41"/>
      <c r="U360" s="41"/>
      <c r="V360" s="41"/>
      <c r="W360" s="36"/>
      <c r="X360" s="36"/>
      <c r="Y360" s="36"/>
      <c r="Z360" s="36"/>
      <c r="AA360" s="36"/>
    </row>
    <row r="361" spans="16:27" x14ac:dyDescent="0.2">
      <c r="P361" s="36"/>
      <c r="Q361" s="40"/>
      <c r="R361" s="40"/>
      <c r="S361" s="40"/>
      <c r="T361" s="41"/>
      <c r="U361" s="41"/>
      <c r="V361" s="41"/>
      <c r="W361" s="36"/>
      <c r="X361" s="36"/>
      <c r="Y361" s="36"/>
      <c r="Z361" s="36"/>
      <c r="AA361" s="36"/>
    </row>
    <row r="362" spans="16:27" x14ac:dyDescent="0.2">
      <c r="P362" s="36"/>
      <c r="Q362" s="40"/>
      <c r="R362" s="40"/>
      <c r="S362" s="40"/>
      <c r="T362" s="41"/>
      <c r="U362" s="41"/>
      <c r="V362" s="41"/>
      <c r="W362" s="36"/>
      <c r="X362" s="36"/>
      <c r="Y362" s="36"/>
      <c r="Z362" s="36"/>
      <c r="AA362" s="36"/>
    </row>
    <row r="363" spans="16:27" x14ac:dyDescent="0.2">
      <c r="P363" s="36"/>
      <c r="Q363" s="40"/>
      <c r="R363" s="40"/>
      <c r="S363" s="40"/>
      <c r="T363" s="41"/>
      <c r="U363" s="41"/>
      <c r="V363" s="41"/>
      <c r="W363" s="36"/>
      <c r="X363" s="36"/>
      <c r="Y363" s="36"/>
      <c r="Z363" s="36"/>
      <c r="AA363" s="36"/>
    </row>
    <row r="364" spans="16:27" x14ac:dyDescent="0.2">
      <c r="P364" s="36"/>
      <c r="Q364" s="40"/>
      <c r="R364" s="40"/>
      <c r="S364" s="40"/>
      <c r="T364" s="41"/>
      <c r="U364" s="41"/>
      <c r="V364" s="41"/>
      <c r="W364" s="36"/>
      <c r="X364" s="36"/>
      <c r="Y364" s="36"/>
      <c r="Z364" s="36"/>
      <c r="AA364" s="36"/>
    </row>
    <row r="365" spans="16:27" x14ac:dyDescent="0.2">
      <c r="P365" s="36"/>
      <c r="Q365" s="40"/>
      <c r="R365" s="40"/>
      <c r="S365" s="40"/>
      <c r="T365" s="41"/>
      <c r="U365" s="41"/>
      <c r="V365" s="41"/>
      <c r="W365" s="36"/>
      <c r="X365" s="36"/>
      <c r="Y365" s="36"/>
      <c r="Z365" s="36"/>
      <c r="AA365" s="36"/>
    </row>
    <row r="366" spans="16:27" x14ac:dyDescent="0.2">
      <c r="P366" s="36"/>
      <c r="Q366" s="40"/>
      <c r="R366" s="40"/>
      <c r="S366" s="40"/>
      <c r="T366" s="41"/>
      <c r="U366" s="41"/>
      <c r="V366" s="41"/>
      <c r="W366" s="36"/>
      <c r="X366" s="36"/>
      <c r="Y366" s="36"/>
      <c r="Z366" s="36"/>
      <c r="AA366" s="36"/>
    </row>
    <row r="367" spans="16:27" x14ac:dyDescent="0.2">
      <c r="P367" s="36"/>
      <c r="Q367" s="40"/>
      <c r="R367" s="40"/>
      <c r="S367" s="40"/>
      <c r="T367" s="41"/>
      <c r="U367" s="41"/>
      <c r="V367" s="41"/>
      <c r="W367" s="36"/>
      <c r="X367" s="36"/>
      <c r="Y367" s="36"/>
      <c r="Z367" s="36"/>
      <c r="AA367" s="36"/>
    </row>
    <row r="368" spans="16:27" x14ac:dyDescent="0.2">
      <c r="P368" s="36"/>
      <c r="Q368" s="40"/>
      <c r="R368" s="40"/>
      <c r="S368" s="40"/>
      <c r="T368" s="41"/>
      <c r="U368" s="41"/>
      <c r="V368" s="41"/>
      <c r="W368" s="36"/>
      <c r="X368" s="36"/>
      <c r="Y368" s="36"/>
      <c r="Z368" s="36"/>
      <c r="AA368" s="36"/>
    </row>
    <row r="369" spans="16:27" x14ac:dyDescent="0.2">
      <c r="P369" s="36"/>
      <c r="Q369" s="40"/>
      <c r="R369" s="40"/>
      <c r="S369" s="40"/>
      <c r="T369" s="41"/>
      <c r="U369" s="41"/>
      <c r="V369" s="41"/>
      <c r="W369" s="36"/>
      <c r="X369" s="36"/>
      <c r="Y369" s="36"/>
      <c r="Z369" s="36"/>
      <c r="AA369" s="36"/>
    </row>
    <row r="370" spans="16:27" x14ac:dyDescent="0.2">
      <c r="P370" s="36"/>
      <c r="Q370" s="40"/>
      <c r="R370" s="40"/>
      <c r="S370" s="40"/>
      <c r="T370" s="41"/>
      <c r="U370" s="41"/>
      <c r="V370" s="41"/>
      <c r="W370" s="36"/>
      <c r="X370" s="36"/>
      <c r="Y370" s="36"/>
      <c r="Z370" s="36"/>
      <c r="AA370" s="36"/>
    </row>
    <row r="371" spans="16:27" x14ac:dyDescent="0.2">
      <c r="P371" s="36"/>
      <c r="Q371" s="40"/>
      <c r="R371" s="40"/>
      <c r="S371" s="40"/>
      <c r="T371" s="41"/>
      <c r="U371" s="41"/>
      <c r="V371" s="41"/>
      <c r="W371" s="36"/>
      <c r="X371" s="36"/>
      <c r="Y371" s="36"/>
      <c r="Z371" s="36"/>
      <c r="AA371" s="36"/>
    </row>
    <row r="372" spans="16:27" x14ac:dyDescent="0.2">
      <c r="P372" s="36"/>
      <c r="Q372" s="40"/>
      <c r="R372" s="40"/>
      <c r="S372" s="40"/>
      <c r="T372" s="41"/>
      <c r="U372" s="41"/>
      <c r="V372" s="41"/>
      <c r="W372" s="36"/>
      <c r="X372" s="36"/>
      <c r="Y372" s="36"/>
      <c r="Z372" s="36"/>
      <c r="AA372" s="36"/>
    </row>
    <row r="373" spans="16:27" x14ac:dyDescent="0.2">
      <c r="P373" s="36"/>
      <c r="Q373" s="40"/>
      <c r="R373" s="40"/>
      <c r="S373" s="40"/>
      <c r="T373" s="41"/>
      <c r="U373" s="41"/>
      <c r="V373" s="41"/>
      <c r="W373" s="36"/>
      <c r="X373" s="36"/>
      <c r="Y373" s="36"/>
      <c r="Z373" s="36"/>
      <c r="AA373" s="36"/>
    </row>
    <row r="374" spans="16:27" x14ac:dyDescent="0.2">
      <c r="P374" s="36"/>
      <c r="Q374" s="40"/>
      <c r="R374" s="40"/>
      <c r="S374" s="40"/>
      <c r="T374" s="41"/>
      <c r="U374" s="41"/>
      <c r="V374" s="41"/>
      <c r="W374" s="36"/>
      <c r="X374" s="36"/>
      <c r="Y374" s="36"/>
      <c r="Z374" s="36"/>
      <c r="AA374" s="36"/>
    </row>
    <row r="375" spans="16:27" x14ac:dyDescent="0.2">
      <c r="P375" s="36"/>
      <c r="Q375" s="40"/>
      <c r="R375" s="40"/>
      <c r="S375" s="40"/>
      <c r="T375" s="41"/>
      <c r="U375" s="41"/>
      <c r="V375" s="41"/>
      <c r="W375" s="36"/>
      <c r="X375" s="36"/>
      <c r="Y375" s="36"/>
      <c r="Z375" s="36"/>
      <c r="AA375" s="36"/>
    </row>
    <row r="376" spans="16:27" x14ac:dyDescent="0.2">
      <c r="P376" s="36"/>
      <c r="Q376" s="40"/>
      <c r="R376" s="40"/>
      <c r="S376" s="40"/>
      <c r="T376" s="41"/>
      <c r="U376" s="41"/>
      <c r="V376" s="41"/>
      <c r="W376" s="36"/>
      <c r="X376" s="36"/>
      <c r="Y376" s="36"/>
      <c r="Z376" s="36"/>
      <c r="AA376" s="36"/>
    </row>
    <row r="377" spans="16:27" x14ac:dyDescent="0.2">
      <c r="P377" s="36"/>
      <c r="Q377" s="40"/>
      <c r="R377" s="40"/>
      <c r="S377" s="40"/>
      <c r="T377" s="41"/>
      <c r="U377" s="41"/>
      <c r="V377" s="41"/>
      <c r="W377" s="36"/>
      <c r="X377" s="36"/>
      <c r="Y377" s="36"/>
      <c r="Z377" s="36"/>
      <c r="AA377" s="36"/>
    </row>
    <row r="378" spans="16:27" x14ac:dyDescent="0.2">
      <c r="P378" s="36"/>
      <c r="Q378" s="40"/>
      <c r="R378" s="40"/>
      <c r="S378" s="40"/>
      <c r="T378" s="41"/>
      <c r="U378" s="41"/>
      <c r="V378" s="41"/>
      <c r="W378" s="36"/>
      <c r="X378" s="36"/>
      <c r="Y378" s="36"/>
      <c r="Z378" s="36"/>
      <c r="AA378" s="36"/>
    </row>
    <row r="379" spans="16:27" x14ac:dyDescent="0.2">
      <c r="P379" s="36"/>
      <c r="Q379" s="40"/>
      <c r="R379" s="40"/>
      <c r="S379" s="40"/>
      <c r="T379" s="41"/>
      <c r="U379" s="41"/>
      <c r="V379" s="41"/>
      <c r="W379" s="36"/>
      <c r="X379" s="36"/>
      <c r="Y379" s="36"/>
      <c r="Z379" s="36"/>
      <c r="AA379" s="36"/>
    </row>
    <row r="380" spans="16:27" x14ac:dyDescent="0.2">
      <c r="P380" s="36"/>
      <c r="Q380" s="40"/>
      <c r="R380" s="40"/>
      <c r="S380" s="40"/>
      <c r="T380" s="41"/>
      <c r="U380" s="41"/>
      <c r="V380" s="41"/>
      <c r="W380" s="36"/>
      <c r="X380" s="36"/>
      <c r="Y380" s="36"/>
      <c r="Z380" s="36"/>
      <c r="AA380" s="36"/>
    </row>
    <row r="381" spans="16:27" x14ac:dyDescent="0.2">
      <c r="P381" s="36"/>
      <c r="Q381" s="40"/>
      <c r="R381" s="40"/>
      <c r="S381" s="40"/>
      <c r="T381" s="41"/>
      <c r="U381" s="41"/>
      <c r="V381" s="41"/>
      <c r="W381" s="36"/>
      <c r="X381" s="36"/>
      <c r="Y381" s="36"/>
      <c r="Z381" s="36"/>
      <c r="AA381" s="36"/>
    </row>
    <row r="382" spans="16:27" x14ac:dyDescent="0.2">
      <c r="P382" s="36"/>
      <c r="Q382" s="40"/>
      <c r="R382" s="40"/>
      <c r="S382" s="40"/>
      <c r="T382" s="41"/>
      <c r="U382" s="41"/>
      <c r="V382" s="41"/>
      <c r="W382" s="36"/>
      <c r="X382" s="36"/>
      <c r="Y382" s="36"/>
      <c r="Z382" s="36"/>
      <c r="AA382" s="36"/>
    </row>
    <row r="383" spans="16:27" x14ac:dyDescent="0.2">
      <c r="P383" s="36"/>
      <c r="Q383" s="40"/>
      <c r="R383" s="40"/>
      <c r="S383" s="40"/>
      <c r="T383" s="41"/>
      <c r="U383" s="41"/>
      <c r="V383" s="41"/>
      <c r="W383" s="36"/>
      <c r="X383" s="36"/>
      <c r="Y383" s="36"/>
      <c r="Z383" s="36"/>
      <c r="AA383" s="36"/>
    </row>
    <row r="384" spans="16:27" x14ac:dyDescent="0.2">
      <c r="P384" s="36"/>
      <c r="Q384" s="40"/>
      <c r="R384" s="40"/>
      <c r="S384" s="40"/>
      <c r="T384" s="41"/>
      <c r="U384" s="41"/>
      <c r="V384" s="41"/>
      <c r="W384" s="36"/>
      <c r="X384" s="36"/>
      <c r="Y384" s="36"/>
      <c r="Z384" s="36"/>
      <c r="AA384" s="36"/>
    </row>
    <row r="385" spans="16:27" x14ac:dyDescent="0.2">
      <c r="P385" s="36"/>
      <c r="Q385" s="40"/>
      <c r="R385" s="40"/>
      <c r="S385" s="40"/>
      <c r="T385" s="41"/>
      <c r="U385" s="41"/>
      <c r="V385" s="41"/>
      <c r="W385" s="36"/>
      <c r="X385" s="36"/>
      <c r="Y385" s="36"/>
      <c r="Z385" s="36"/>
      <c r="AA385" s="36"/>
    </row>
    <row r="386" spans="16:27" x14ac:dyDescent="0.2">
      <c r="P386" s="36"/>
      <c r="Q386" s="40"/>
      <c r="R386" s="40"/>
      <c r="S386" s="40"/>
      <c r="T386" s="41"/>
      <c r="U386" s="41"/>
      <c r="V386" s="41"/>
      <c r="W386" s="36"/>
      <c r="X386" s="36"/>
      <c r="Y386" s="36"/>
      <c r="Z386" s="36"/>
      <c r="AA386" s="36"/>
    </row>
    <row r="387" spans="16:27" x14ac:dyDescent="0.2">
      <c r="P387" s="36"/>
      <c r="Q387" s="40"/>
      <c r="R387" s="40"/>
      <c r="S387" s="40"/>
      <c r="T387" s="41"/>
      <c r="U387" s="41"/>
      <c r="V387" s="41"/>
      <c r="W387" s="36"/>
      <c r="X387" s="36"/>
      <c r="Y387" s="36"/>
      <c r="Z387" s="36"/>
      <c r="AA387" s="36"/>
    </row>
    <row r="388" spans="16:27" x14ac:dyDescent="0.2">
      <c r="P388" s="36"/>
      <c r="Q388" s="40"/>
      <c r="R388" s="40"/>
      <c r="S388" s="40"/>
      <c r="T388" s="41"/>
      <c r="U388" s="41"/>
      <c r="V388" s="41"/>
      <c r="W388" s="36"/>
      <c r="X388" s="36"/>
      <c r="Y388" s="36"/>
      <c r="Z388" s="36"/>
      <c r="AA388" s="36"/>
    </row>
    <row r="389" spans="16:27" x14ac:dyDescent="0.2">
      <c r="P389" s="36"/>
      <c r="Q389" s="40"/>
      <c r="R389" s="40"/>
      <c r="S389" s="40"/>
      <c r="T389" s="41"/>
      <c r="U389" s="41"/>
      <c r="V389" s="41"/>
      <c r="W389" s="36"/>
      <c r="X389" s="36"/>
      <c r="Y389" s="36"/>
      <c r="Z389" s="36"/>
      <c r="AA389" s="36"/>
    </row>
    <row r="390" spans="16:27" x14ac:dyDescent="0.2">
      <c r="P390" s="36"/>
      <c r="Q390" s="40"/>
      <c r="R390" s="40"/>
      <c r="S390" s="40"/>
      <c r="T390" s="41"/>
      <c r="U390" s="41"/>
      <c r="V390" s="41"/>
      <c r="W390" s="36"/>
      <c r="X390" s="36"/>
      <c r="Y390" s="36"/>
      <c r="Z390" s="36"/>
      <c r="AA390" s="36"/>
    </row>
    <row r="391" spans="16:27" x14ac:dyDescent="0.2">
      <c r="P391" s="36"/>
      <c r="Q391" s="40"/>
      <c r="R391" s="40"/>
      <c r="S391" s="40"/>
      <c r="T391" s="41"/>
      <c r="U391" s="41"/>
      <c r="V391" s="41"/>
      <c r="W391" s="36"/>
      <c r="X391" s="36"/>
      <c r="Y391" s="36"/>
      <c r="Z391" s="36"/>
      <c r="AA391" s="36"/>
    </row>
    <row r="392" spans="16:27" x14ac:dyDescent="0.2">
      <c r="P392" s="36"/>
      <c r="Q392" s="40"/>
      <c r="R392" s="40"/>
      <c r="S392" s="40"/>
      <c r="T392" s="41"/>
      <c r="U392" s="41"/>
      <c r="V392" s="41"/>
      <c r="W392" s="36"/>
      <c r="X392" s="36"/>
      <c r="Y392" s="36"/>
      <c r="Z392" s="36"/>
      <c r="AA392" s="36"/>
    </row>
    <row r="393" spans="16:27" x14ac:dyDescent="0.2">
      <c r="P393" s="36"/>
      <c r="Q393" s="40"/>
      <c r="R393" s="40"/>
      <c r="S393" s="40"/>
      <c r="T393" s="41"/>
      <c r="U393" s="41"/>
      <c r="V393" s="41"/>
      <c r="W393" s="36"/>
      <c r="X393" s="36"/>
      <c r="Y393" s="36"/>
      <c r="Z393" s="36"/>
      <c r="AA393" s="36"/>
    </row>
    <row r="394" spans="16:27" x14ac:dyDescent="0.2">
      <c r="P394" s="36"/>
      <c r="Q394" s="40"/>
      <c r="R394" s="40"/>
      <c r="S394" s="40"/>
      <c r="T394" s="41"/>
      <c r="U394" s="41"/>
      <c r="V394" s="41"/>
      <c r="W394" s="36"/>
      <c r="X394" s="36"/>
      <c r="Y394" s="36"/>
      <c r="Z394" s="36"/>
      <c r="AA394" s="36"/>
    </row>
    <row r="395" spans="16:27" x14ac:dyDescent="0.2">
      <c r="P395" s="36"/>
      <c r="Q395" s="40"/>
      <c r="R395" s="40"/>
      <c r="S395" s="40"/>
      <c r="T395" s="41"/>
      <c r="U395" s="41"/>
      <c r="V395" s="41"/>
      <c r="W395" s="36"/>
      <c r="X395" s="36"/>
      <c r="Y395" s="36"/>
      <c r="Z395" s="36"/>
      <c r="AA395" s="36"/>
    </row>
    <row r="396" spans="16:27" x14ac:dyDescent="0.2">
      <c r="P396" s="36"/>
      <c r="Q396" s="40"/>
      <c r="R396" s="40"/>
      <c r="S396" s="40"/>
      <c r="T396" s="41"/>
      <c r="U396" s="41"/>
      <c r="V396" s="41"/>
      <c r="W396" s="36"/>
      <c r="X396" s="36"/>
      <c r="Y396" s="36"/>
      <c r="Z396" s="36"/>
      <c r="AA396" s="36"/>
    </row>
    <row r="397" spans="16:27" x14ac:dyDescent="0.2">
      <c r="P397" s="36"/>
      <c r="Q397" s="40"/>
      <c r="R397" s="40"/>
      <c r="S397" s="40"/>
      <c r="T397" s="41"/>
      <c r="U397" s="41"/>
      <c r="V397" s="41"/>
      <c r="W397" s="36"/>
      <c r="X397" s="36"/>
      <c r="Y397" s="36"/>
      <c r="Z397" s="36"/>
      <c r="AA397" s="36"/>
    </row>
    <row r="398" spans="16:27" x14ac:dyDescent="0.2">
      <c r="P398" s="36"/>
      <c r="Q398" s="40"/>
      <c r="R398" s="40"/>
      <c r="S398" s="40"/>
      <c r="T398" s="41"/>
      <c r="U398" s="41"/>
      <c r="V398" s="41"/>
      <c r="W398" s="36"/>
      <c r="X398" s="36"/>
      <c r="Y398" s="36"/>
      <c r="Z398" s="36"/>
      <c r="AA398" s="36"/>
    </row>
    <row r="399" spans="16:27" x14ac:dyDescent="0.2">
      <c r="P399" s="36"/>
      <c r="Q399" s="40"/>
      <c r="R399" s="40"/>
      <c r="S399" s="40"/>
      <c r="T399" s="41"/>
      <c r="U399" s="41"/>
      <c r="V399" s="41"/>
      <c r="W399" s="36"/>
      <c r="X399" s="36"/>
      <c r="Y399" s="36"/>
      <c r="Z399" s="36"/>
      <c r="AA399" s="36"/>
    </row>
    <row r="400" spans="16:27" x14ac:dyDescent="0.2">
      <c r="P400" s="36"/>
      <c r="Q400" s="40"/>
      <c r="R400" s="40"/>
      <c r="S400" s="40"/>
      <c r="T400" s="41"/>
      <c r="U400" s="41"/>
      <c r="V400" s="41"/>
      <c r="W400" s="36"/>
      <c r="X400" s="36"/>
      <c r="Y400" s="36"/>
      <c r="Z400" s="36"/>
      <c r="AA400" s="36"/>
    </row>
    <row r="401" spans="16:27" x14ac:dyDescent="0.2">
      <c r="P401" s="36"/>
      <c r="Q401" s="40"/>
      <c r="R401" s="40"/>
      <c r="S401" s="40"/>
      <c r="T401" s="41"/>
      <c r="U401" s="41"/>
      <c r="V401" s="41"/>
      <c r="W401" s="36"/>
      <c r="X401" s="36"/>
      <c r="Y401" s="36"/>
      <c r="Z401" s="36"/>
      <c r="AA401" s="36"/>
    </row>
    <row r="402" spans="16:27" x14ac:dyDescent="0.2">
      <c r="P402" s="36"/>
      <c r="Q402" s="40"/>
      <c r="R402" s="40"/>
      <c r="S402" s="40"/>
      <c r="T402" s="41"/>
      <c r="U402" s="41"/>
      <c r="V402" s="41"/>
      <c r="W402" s="36"/>
      <c r="X402" s="36"/>
      <c r="Y402" s="36"/>
      <c r="Z402" s="36"/>
      <c r="AA402" s="36"/>
    </row>
    <row r="403" spans="16:27" x14ac:dyDescent="0.2">
      <c r="P403" s="36"/>
      <c r="Q403" s="40"/>
      <c r="R403" s="40"/>
      <c r="S403" s="40"/>
      <c r="T403" s="41"/>
      <c r="U403" s="41"/>
      <c r="V403" s="41"/>
      <c r="W403" s="36"/>
      <c r="X403" s="36"/>
      <c r="Y403" s="36"/>
      <c r="Z403" s="36"/>
      <c r="AA403" s="36"/>
    </row>
    <row r="404" spans="16:27" x14ac:dyDescent="0.2">
      <c r="P404" s="36"/>
      <c r="Q404" s="40"/>
      <c r="R404" s="40"/>
      <c r="S404" s="40"/>
      <c r="T404" s="41"/>
      <c r="U404" s="41"/>
      <c r="V404" s="41"/>
      <c r="W404" s="36"/>
      <c r="X404" s="36"/>
      <c r="Y404" s="36"/>
      <c r="Z404" s="36"/>
      <c r="AA404" s="36"/>
    </row>
    <row r="405" spans="16:27" x14ac:dyDescent="0.2">
      <c r="P405" s="36"/>
      <c r="Q405" s="40"/>
      <c r="R405" s="40"/>
      <c r="S405" s="40"/>
      <c r="T405" s="41"/>
      <c r="U405" s="41"/>
      <c r="V405" s="41"/>
      <c r="W405" s="36"/>
      <c r="X405" s="36"/>
      <c r="Y405" s="36"/>
      <c r="Z405" s="36"/>
      <c r="AA405" s="36"/>
    </row>
    <row r="406" spans="16:27" x14ac:dyDescent="0.2">
      <c r="P406" s="36"/>
      <c r="Q406" s="40"/>
      <c r="R406" s="40"/>
      <c r="S406" s="40"/>
      <c r="T406" s="41"/>
      <c r="U406" s="41"/>
      <c r="V406" s="41"/>
      <c r="W406" s="36"/>
      <c r="X406" s="36"/>
      <c r="Y406" s="36"/>
      <c r="Z406" s="36"/>
      <c r="AA406" s="36"/>
    </row>
    <row r="407" spans="16:27" x14ac:dyDescent="0.2">
      <c r="P407" s="36"/>
      <c r="Q407" s="40"/>
      <c r="R407" s="40"/>
      <c r="S407" s="40"/>
      <c r="T407" s="41"/>
      <c r="U407" s="41"/>
      <c r="V407" s="41"/>
      <c r="W407" s="36"/>
      <c r="X407" s="36"/>
      <c r="Y407" s="36"/>
      <c r="Z407" s="36"/>
      <c r="AA407" s="36"/>
    </row>
    <row r="408" spans="16:27" x14ac:dyDescent="0.2">
      <c r="P408" s="36"/>
      <c r="Q408" s="40"/>
      <c r="R408" s="40"/>
      <c r="S408" s="40"/>
      <c r="T408" s="41"/>
      <c r="U408" s="41"/>
      <c r="V408" s="41"/>
      <c r="W408" s="36"/>
      <c r="X408" s="36"/>
      <c r="Y408" s="36"/>
      <c r="Z408" s="36"/>
      <c r="AA408" s="36"/>
    </row>
    <row r="409" spans="16:27" x14ac:dyDescent="0.2">
      <c r="P409" s="36"/>
      <c r="Q409" s="40"/>
      <c r="R409" s="40"/>
      <c r="S409" s="40"/>
      <c r="T409" s="41"/>
      <c r="U409" s="41"/>
      <c r="V409" s="41"/>
      <c r="W409" s="36"/>
      <c r="X409" s="36"/>
      <c r="Y409" s="36"/>
      <c r="Z409" s="36"/>
      <c r="AA409" s="36"/>
    </row>
    <row r="410" spans="16:27" x14ac:dyDescent="0.2">
      <c r="P410" s="36"/>
      <c r="Q410" s="40"/>
      <c r="R410" s="40"/>
      <c r="S410" s="40"/>
      <c r="T410" s="41"/>
      <c r="U410" s="41"/>
      <c r="V410" s="41"/>
      <c r="W410" s="36"/>
      <c r="X410" s="36"/>
      <c r="Y410" s="36"/>
      <c r="Z410" s="36"/>
      <c r="AA410" s="36"/>
    </row>
    <row r="411" spans="16:27" x14ac:dyDescent="0.2">
      <c r="P411" s="36"/>
      <c r="Q411" s="40"/>
      <c r="R411" s="40"/>
      <c r="S411" s="40"/>
      <c r="T411" s="41"/>
      <c r="U411" s="41"/>
      <c r="V411" s="41"/>
      <c r="W411" s="36"/>
      <c r="X411" s="36"/>
      <c r="Y411" s="36"/>
      <c r="Z411" s="36"/>
      <c r="AA411" s="36"/>
    </row>
    <row r="412" spans="16:27" x14ac:dyDescent="0.2">
      <c r="P412" s="36"/>
      <c r="Q412" s="40"/>
      <c r="R412" s="40"/>
      <c r="S412" s="40"/>
      <c r="T412" s="41"/>
      <c r="U412" s="41"/>
      <c r="V412" s="41"/>
      <c r="W412" s="36"/>
      <c r="X412" s="36"/>
      <c r="Y412" s="36"/>
      <c r="Z412" s="36"/>
      <c r="AA412" s="36"/>
    </row>
    <row r="413" spans="16:27" x14ac:dyDescent="0.2">
      <c r="P413" s="36"/>
      <c r="Q413" s="40"/>
      <c r="R413" s="40"/>
      <c r="S413" s="40"/>
      <c r="T413" s="41"/>
      <c r="U413" s="41"/>
      <c r="V413" s="41"/>
      <c r="W413" s="36"/>
      <c r="X413" s="36"/>
      <c r="Y413" s="36"/>
      <c r="Z413" s="36"/>
      <c r="AA413" s="36"/>
    </row>
    <row r="414" spans="16:27" x14ac:dyDescent="0.2">
      <c r="P414" s="36"/>
      <c r="Q414" s="40"/>
      <c r="R414" s="40"/>
      <c r="S414" s="40"/>
      <c r="T414" s="41"/>
      <c r="U414" s="41"/>
      <c r="V414" s="41"/>
      <c r="W414" s="36"/>
      <c r="X414" s="36"/>
      <c r="Y414" s="36"/>
      <c r="Z414" s="36"/>
      <c r="AA414" s="36"/>
    </row>
    <row r="415" spans="16:27" x14ac:dyDescent="0.2">
      <c r="P415" s="36"/>
      <c r="Q415" s="40"/>
      <c r="R415" s="40"/>
      <c r="S415" s="40"/>
      <c r="T415" s="41"/>
      <c r="U415" s="41"/>
      <c r="V415" s="41"/>
      <c r="W415" s="36"/>
      <c r="X415" s="36"/>
      <c r="Y415" s="36"/>
      <c r="Z415" s="36"/>
      <c r="AA415" s="36"/>
    </row>
    <row r="416" spans="16:27" x14ac:dyDescent="0.2">
      <c r="P416" s="36"/>
      <c r="Q416" s="40"/>
      <c r="R416" s="40"/>
      <c r="S416" s="40"/>
      <c r="T416" s="41"/>
      <c r="U416" s="41"/>
      <c r="V416" s="41"/>
      <c r="W416" s="36"/>
      <c r="X416" s="36"/>
      <c r="Y416" s="36"/>
      <c r="Z416" s="36"/>
      <c r="AA416" s="36"/>
    </row>
    <row r="417" spans="16:27" x14ac:dyDescent="0.2">
      <c r="P417" s="36"/>
      <c r="Q417" s="40"/>
      <c r="R417" s="40"/>
      <c r="S417" s="40"/>
      <c r="T417" s="41"/>
      <c r="U417" s="41"/>
      <c r="V417" s="41"/>
      <c r="W417" s="36"/>
      <c r="X417" s="36"/>
      <c r="Y417" s="36"/>
      <c r="Z417" s="36"/>
      <c r="AA417" s="36"/>
    </row>
    <row r="418" spans="16:27" x14ac:dyDescent="0.2">
      <c r="P418" s="36"/>
      <c r="Q418" s="40"/>
      <c r="R418" s="40"/>
      <c r="S418" s="40"/>
      <c r="T418" s="41"/>
      <c r="U418" s="41"/>
      <c r="V418" s="41"/>
      <c r="W418" s="36"/>
      <c r="X418" s="36"/>
      <c r="Y418" s="36"/>
      <c r="Z418" s="36"/>
      <c r="AA418" s="36"/>
    </row>
    <row r="419" spans="16:27" x14ac:dyDescent="0.2">
      <c r="P419" s="36"/>
      <c r="Q419" s="40"/>
      <c r="R419" s="40"/>
      <c r="S419" s="40"/>
      <c r="T419" s="41"/>
      <c r="U419" s="41"/>
      <c r="V419" s="41"/>
      <c r="W419" s="36"/>
      <c r="X419" s="36"/>
      <c r="Y419" s="36"/>
      <c r="Z419" s="36"/>
      <c r="AA419" s="36"/>
    </row>
    <row r="420" spans="16:27" x14ac:dyDescent="0.2">
      <c r="P420" s="36"/>
      <c r="Q420" s="40"/>
      <c r="R420" s="40"/>
      <c r="S420" s="40"/>
      <c r="T420" s="41"/>
      <c r="U420" s="41"/>
      <c r="V420" s="41"/>
      <c r="W420" s="36"/>
      <c r="X420" s="36"/>
      <c r="Y420" s="36"/>
      <c r="Z420" s="36"/>
      <c r="AA420" s="36"/>
    </row>
    <row r="421" spans="16:27" x14ac:dyDescent="0.2">
      <c r="P421" s="36"/>
      <c r="Q421" s="40"/>
      <c r="R421" s="40"/>
      <c r="S421" s="40"/>
      <c r="T421" s="41"/>
      <c r="U421" s="41"/>
      <c r="V421" s="41"/>
      <c r="W421" s="36"/>
      <c r="X421" s="36"/>
      <c r="Y421" s="36"/>
      <c r="Z421" s="36"/>
      <c r="AA421" s="36"/>
    </row>
    <row r="422" spans="16:27" x14ac:dyDescent="0.2">
      <c r="P422" s="36"/>
      <c r="Q422" s="40"/>
      <c r="R422" s="40"/>
      <c r="S422" s="40"/>
      <c r="T422" s="41"/>
      <c r="U422" s="41"/>
      <c r="V422" s="41"/>
      <c r="W422" s="36"/>
      <c r="X422" s="36"/>
      <c r="Y422" s="36"/>
      <c r="Z422" s="36"/>
      <c r="AA422" s="36"/>
    </row>
    <row r="423" spans="16:27" x14ac:dyDescent="0.2">
      <c r="P423" s="36"/>
      <c r="Q423" s="40"/>
      <c r="R423" s="40"/>
      <c r="S423" s="40"/>
      <c r="T423" s="41"/>
      <c r="U423" s="41"/>
      <c r="V423" s="41"/>
      <c r="W423" s="36"/>
      <c r="X423" s="36"/>
      <c r="Y423" s="36"/>
      <c r="Z423" s="36"/>
      <c r="AA423" s="36"/>
    </row>
    <row r="424" spans="16:27" x14ac:dyDescent="0.2">
      <c r="P424" s="36"/>
      <c r="Q424" s="40"/>
      <c r="R424" s="40"/>
      <c r="S424" s="40"/>
      <c r="T424" s="41"/>
      <c r="U424" s="41"/>
      <c r="V424" s="41"/>
      <c r="W424" s="36"/>
      <c r="X424" s="36"/>
      <c r="Y424" s="36"/>
      <c r="Z424" s="36"/>
      <c r="AA424" s="36"/>
    </row>
    <row r="425" spans="16:27" x14ac:dyDescent="0.2">
      <c r="P425" s="36"/>
      <c r="Q425" s="40"/>
      <c r="R425" s="40"/>
      <c r="S425" s="40"/>
      <c r="T425" s="41"/>
      <c r="U425" s="41"/>
      <c r="V425" s="41"/>
      <c r="W425" s="36"/>
      <c r="X425" s="36"/>
      <c r="Y425" s="36"/>
      <c r="Z425" s="36"/>
      <c r="AA425" s="36"/>
    </row>
    <row r="426" spans="16:27" x14ac:dyDescent="0.2">
      <c r="P426" s="36"/>
      <c r="Q426" s="40"/>
      <c r="R426" s="40"/>
      <c r="S426" s="40"/>
      <c r="T426" s="41"/>
      <c r="U426" s="41"/>
      <c r="V426" s="41"/>
      <c r="W426" s="36"/>
      <c r="X426" s="36"/>
      <c r="Y426" s="36"/>
      <c r="Z426" s="36"/>
      <c r="AA426" s="36"/>
    </row>
    <row r="427" spans="16:27" x14ac:dyDescent="0.2">
      <c r="P427" s="36"/>
      <c r="Q427" s="40"/>
      <c r="R427" s="40"/>
      <c r="S427" s="40"/>
      <c r="T427" s="41"/>
      <c r="U427" s="41"/>
      <c r="V427" s="41"/>
      <c r="W427" s="36"/>
      <c r="X427" s="36"/>
      <c r="Y427" s="36"/>
      <c r="Z427" s="36"/>
      <c r="AA427" s="36"/>
    </row>
    <row r="428" spans="16:27" x14ac:dyDescent="0.2">
      <c r="P428" s="36"/>
      <c r="Q428" s="40"/>
      <c r="R428" s="40"/>
      <c r="S428" s="40"/>
      <c r="T428" s="41"/>
      <c r="U428" s="41"/>
      <c r="V428" s="41"/>
      <c r="W428" s="36"/>
      <c r="X428" s="36"/>
      <c r="Y428" s="36"/>
      <c r="Z428" s="36"/>
      <c r="AA428" s="36"/>
    </row>
    <row r="429" spans="16:27" x14ac:dyDescent="0.2">
      <c r="P429" s="36"/>
      <c r="Q429" s="40"/>
      <c r="R429" s="40"/>
      <c r="S429" s="40"/>
      <c r="T429" s="41"/>
      <c r="U429" s="41"/>
      <c r="V429" s="41"/>
      <c r="W429" s="36"/>
      <c r="X429" s="36"/>
      <c r="Y429" s="36"/>
      <c r="Z429" s="36"/>
      <c r="AA429" s="36"/>
    </row>
    <row r="430" spans="16:27" x14ac:dyDescent="0.2">
      <c r="P430" s="36"/>
      <c r="Q430" s="40"/>
      <c r="R430" s="40"/>
      <c r="S430" s="40"/>
      <c r="T430" s="41"/>
      <c r="U430" s="41"/>
      <c r="V430" s="41"/>
      <c r="W430" s="36"/>
      <c r="X430" s="36"/>
      <c r="Y430" s="36"/>
      <c r="Z430" s="36"/>
      <c r="AA430" s="36"/>
    </row>
    <row r="431" spans="16:27" x14ac:dyDescent="0.2">
      <c r="P431" s="36"/>
      <c r="Q431" s="40"/>
      <c r="R431" s="40"/>
      <c r="S431" s="40"/>
      <c r="T431" s="41"/>
      <c r="U431" s="41"/>
      <c r="V431" s="41"/>
      <c r="W431" s="36"/>
      <c r="X431" s="36"/>
      <c r="Y431" s="36"/>
      <c r="Z431" s="36"/>
      <c r="AA431" s="36"/>
    </row>
    <row r="432" spans="16:27" x14ac:dyDescent="0.2">
      <c r="P432" s="36"/>
      <c r="Q432" s="40"/>
      <c r="R432" s="40"/>
      <c r="S432" s="40"/>
      <c r="T432" s="41"/>
      <c r="U432" s="41"/>
      <c r="V432" s="41"/>
      <c r="W432" s="36"/>
      <c r="X432" s="36"/>
      <c r="Y432" s="36"/>
      <c r="Z432" s="36"/>
      <c r="AA432" s="36"/>
    </row>
    <row r="433" spans="16:27" x14ac:dyDescent="0.2">
      <c r="P433" s="36"/>
      <c r="Q433" s="40"/>
      <c r="R433" s="40"/>
      <c r="S433" s="40"/>
      <c r="T433" s="41"/>
      <c r="U433" s="41"/>
      <c r="V433" s="41"/>
      <c r="W433" s="36"/>
      <c r="X433" s="36"/>
      <c r="Y433" s="36"/>
      <c r="Z433" s="36"/>
      <c r="AA433" s="36"/>
    </row>
    <row r="434" spans="16:27" x14ac:dyDescent="0.2">
      <c r="P434" s="36"/>
      <c r="Q434" s="40"/>
      <c r="R434" s="40"/>
      <c r="S434" s="40"/>
      <c r="T434" s="41"/>
      <c r="U434" s="41"/>
      <c r="V434" s="41"/>
      <c r="W434" s="36"/>
      <c r="X434" s="36"/>
      <c r="Y434" s="36"/>
      <c r="Z434" s="36"/>
      <c r="AA434" s="36"/>
    </row>
    <row r="435" spans="16:27" x14ac:dyDescent="0.2">
      <c r="P435" s="36"/>
      <c r="Q435" s="40"/>
      <c r="R435" s="40"/>
      <c r="S435" s="40"/>
      <c r="T435" s="41"/>
      <c r="U435" s="41"/>
      <c r="V435" s="41"/>
      <c r="W435" s="36"/>
      <c r="X435" s="36"/>
      <c r="Y435" s="36"/>
      <c r="Z435" s="36"/>
      <c r="AA435" s="36"/>
    </row>
    <row r="436" spans="16:27" x14ac:dyDescent="0.2">
      <c r="P436" s="36"/>
      <c r="Q436" s="40"/>
      <c r="R436" s="40"/>
      <c r="S436" s="40"/>
      <c r="T436" s="41"/>
      <c r="U436" s="41"/>
      <c r="V436" s="41"/>
      <c r="W436" s="36"/>
      <c r="X436" s="36"/>
      <c r="Y436" s="36"/>
      <c r="Z436" s="36"/>
      <c r="AA436" s="36"/>
    </row>
    <row r="437" spans="16:27" x14ac:dyDescent="0.2">
      <c r="P437" s="36"/>
      <c r="Q437" s="40"/>
      <c r="R437" s="40"/>
      <c r="S437" s="40"/>
      <c r="T437" s="41"/>
      <c r="U437" s="41"/>
      <c r="V437" s="41"/>
      <c r="W437" s="36"/>
      <c r="X437" s="36"/>
      <c r="Y437" s="36"/>
      <c r="Z437" s="36"/>
      <c r="AA437" s="36"/>
    </row>
    <row r="438" spans="16:27" x14ac:dyDescent="0.2">
      <c r="P438" s="36"/>
      <c r="Q438" s="40"/>
      <c r="R438" s="40"/>
      <c r="S438" s="40"/>
      <c r="T438" s="41"/>
      <c r="U438" s="41"/>
      <c r="V438" s="41"/>
      <c r="W438" s="36"/>
      <c r="X438" s="36"/>
      <c r="Y438" s="36"/>
      <c r="Z438" s="36"/>
      <c r="AA438" s="36"/>
    </row>
    <row r="439" spans="16:27" x14ac:dyDescent="0.2">
      <c r="P439" s="36"/>
      <c r="Q439" s="40"/>
      <c r="R439" s="40"/>
      <c r="S439" s="40"/>
      <c r="T439" s="41"/>
      <c r="U439" s="41"/>
      <c r="V439" s="41"/>
      <c r="W439" s="36"/>
      <c r="X439" s="36"/>
      <c r="Y439" s="36"/>
      <c r="Z439" s="36"/>
      <c r="AA439" s="36"/>
    </row>
    <row r="440" spans="16:27" x14ac:dyDescent="0.2">
      <c r="P440" s="36"/>
      <c r="Q440" s="40"/>
      <c r="R440" s="40"/>
      <c r="S440" s="40"/>
      <c r="T440" s="41"/>
      <c r="U440" s="41"/>
      <c r="V440" s="41"/>
      <c r="W440" s="36"/>
      <c r="X440" s="36"/>
      <c r="Y440" s="36"/>
      <c r="Z440" s="36"/>
      <c r="AA440" s="36"/>
    </row>
    <row r="441" spans="16:27" x14ac:dyDescent="0.2">
      <c r="P441" s="36"/>
      <c r="Q441" s="40"/>
      <c r="R441" s="40"/>
      <c r="S441" s="40"/>
      <c r="T441" s="41"/>
      <c r="U441" s="41"/>
      <c r="V441" s="41"/>
      <c r="W441" s="36"/>
      <c r="X441" s="36"/>
      <c r="Y441" s="36"/>
      <c r="Z441" s="36"/>
      <c r="AA441" s="36"/>
    </row>
    <row r="442" spans="16:27" x14ac:dyDescent="0.2">
      <c r="P442" s="36"/>
      <c r="Q442" s="40"/>
      <c r="R442" s="40"/>
      <c r="S442" s="40"/>
      <c r="T442" s="41"/>
      <c r="U442" s="41"/>
      <c r="V442" s="41"/>
      <c r="W442" s="36"/>
      <c r="X442" s="36"/>
      <c r="Y442" s="36"/>
      <c r="Z442" s="36"/>
      <c r="AA442" s="36"/>
    </row>
    <row r="443" spans="16:27" x14ac:dyDescent="0.2">
      <c r="P443" s="36"/>
      <c r="Q443" s="40"/>
      <c r="R443" s="40"/>
      <c r="S443" s="40"/>
      <c r="T443" s="41"/>
      <c r="U443" s="41"/>
      <c r="V443" s="41"/>
      <c r="W443" s="36"/>
      <c r="X443" s="36"/>
      <c r="Y443" s="36"/>
      <c r="Z443" s="36"/>
      <c r="AA443" s="36"/>
    </row>
    <row r="444" spans="16:27" x14ac:dyDescent="0.2">
      <c r="P444" s="36"/>
      <c r="Q444" s="40"/>
      <c r="R444" s="40"/>
      <c r="S444" s="40"/>
      <c r="T444" s="41"/>
      <c r="U444" s="41"/>
      <c r="V444" s="41"/>
      <c r="W444" s="36"/>
      <c r="X444" s="36"/>
      <c r="Y444" s="36"/>
      <c r="Z444" s="36"/>
      <c r="AA444" s="36"/>
    </row>
    <row r="445" spans="16:27" x14ac:dyDescent="0.2">
      <c r="P445" s="36"/>
      <c r="Q445" s="40"/>
      <c r="R445" s="40"/>
      <c r="S445" s="40"/>
      <c r="T445" s="41"/>
      <c r="U445" s="41"/>
      <c r="V445" s="41"/>
      <c r="W445" s="36"/>
      <c r="X445" s="36"/>
      <c r="Y445" s="36"/>
      <c r="Z445" s="36"/>
      <c r="AA445" s="36"/>
    </row>
    <row r="446" spans="16:27" x14ac:dyDescent="0.2">
      <c r="P446" s="36"/>
      <c r="Q446" s="40"/>
      <c r="R446" s="40"/>
      <c r="S446" s="40"/>
      <c r="T446" s="41"/>
      <c r="U446" s="41"/>
      <c r="V446" s="41"/>
      <c r="W446" s="36"/>
      <c r="X446" s="36"/>
      <c r="Y446" s="36"/>
      <c r="Z446" s="36"/>
      <c r="AA446" s="36"/>
    </row>
    <row r="447" spans="16:27" x14ac:dyDescent="0.2">
      <c r="P447" s="36"/>
      <c r="Q447" s="40"/>
      <c r="R447" s="40"/>
      <c r="S447" s="40"/>
      <c r="T447" s="41"/>
      <c r="U447" s="41"/>
      <c r="V447" s="41"/>
      <c r="W447" s="36"/>
      <c r="X447" s="36"/>
      <c r="Y447" s="36"/>
      <c r="Z447" s="36"/>
      <c r="AA447" s="36"/>
    </row>
    <row r="448" spans="16:27" x14ac:dyDescent="0.2">
      <c r="P448" s="36"/>
      <c r="Q448" s="40"/>
      <c r="R448" s="40"/>
      <c r="S448" s="40"/>
      <c r="T448" s="41"/>
      <c r="U448" s="41"/>
      <c r="V448" s="41"/>
      <c r="W448" s="36"/>
      <c r="X448" s="36"/>
      <c r="Y448" s="36"/>
      <c r="Z448" s="36"/>
      <c r="AA448" s="36"/>
    </row>
    <row r="449" spans="16:27" x14ac:dyDescent="0.2">
      <c r="P449" s="36"/>
      <c r="Q449" s="40"/>
      <c r="R449" s="40"/>
      <c r="S449" s="40"/>
      <c r="T449" s="41"/>
      <c r="U449" s="41"/>
      <c r="V449" s="41"/>
      <c r="W449" s="36"/>
      <c r="X449" s="36"/>
      <c r="Y449" s="36"/>
      <c r="Z449" s="36"/>
      <c r="AA449" s="36"/>
    </row>
    <row r="450" spans="16:27" x14ac:dyDescent="0.2">
      <c r="P450" s="36"/>
      <c r="Q450" s="40"/>
      <c r="R450" s="40"/>
      <c r="S450" s="40"/>
      <c r="T450" s="41"/>
      <c r="U450" s="41"/>
      <c r="V450" s="41"/>
      <c r="W450" s="36"/>
      <c r="X450" s="36"/>
      <c r="Y450" s="36"/>
      <c r="Z450" s="36"/>
      <c r="AA450" s="36"/>
    </row>
    <row r="451" spans="16:27" x14ac:dyDescent="0.2">
      <c r="P451" s="36"/>
      <c r="Q451" s="40"/>
      <c r="R451" s="40"/>
      <c r="S451" s="40"/>
      <c r="T451" s="41"/>
      <c r="U451" s="41"/>
      <c r="V451" s="41"/>
      <c r="W451" s="36"/>
      <c r="X451" s="36"/>
      <c r="Y451" s="36"/>
      <c r="Z451" s="36"/>
      <c r="AA451" s="36"/>
    </row>
    <row r="452" spans="16:27" x14ac:dyDescent="0.2">
      <c r="P452" s="36"/>
      <c r="Q452" s="40"/>
      <c r="R452" s="40"/>
      <c r="S452" s="40"/>
      <c r="T452" s="41"/>
      <c r="U452" s="41"/>
      <c r="V452" s="41"/>
      <c r="W452" s="36"/>
      <c r="X452" s="36"/>
      <c r="Y452" s="36"/>
      <c r="Z452" s="36"/>
      <c r="AA452" s="36"/>
    </row>
    <row r="453" spans="16:27" x14ac:dyDescent="0.2">
      <c r="P453" s="36"/>
      <c r="Q453" s="40"/>
      <c r="R453" s="40"/>
      <c r="S453" s="40"/>
      <c r="T453" s="41"/>
      <c r="U453" s="41"/>
      <c r="V453" s="41"/>
      <c r="W453" s="36"/>
      <c r="X453" s="36"/>
      <c r="Y453" s="36"/>
      <c r="Z453" s="36"/>
      <c r="AA453" s="36"/>
    </row>
    <row r="454" spans="16:27" x14ac:dyDescent="0.2">
      <c r="P454" s="36"/>
      <c r="Q454" s="40"/>
      <c r="R454" s="40"/>
      <c r="S454" s="40"/>
      <c r="T454" s="41"/>
      <c r="U454" s="41"/>
      <c r="V454" s="41"/>
      <c r="W454" s="36"/>
      <c r="X454" s="36"/>
      <c r="Y454" s="36"/>
      <c r="Z454" s="36"/>
      <c r="AA454" s="36"/>
    </row>
    <row r="455" spans="16:27" x14ac:dyDescent="0.2">
      <c r="P455" s="36"/>
      <c r="Q455" s="40"/>
      <c r="R455" s="40"/>
      <c r="S455" s="40"/>
      <c r="T455" s="41"/>
      <c r="U455" s="41"/>
      <c r="V455" s="41"/>
      <c r="W455" s="36"/>
      <c r="X455" s="36"/>
      <c r="Y455" s="36"/>
      <c r="Z455" s="36"/>
      <c r="AA455" s="36"/>
    </row>
    <row r="456" spans="16:27" x14ac:dyDescent="0.2">
      <c r="P456" s="36"/>
      <c r="Q456" s="40"/>
      <c r="R456" s="40"/>
      <c r="S456" s="40"/>
      <c r="T456" s="41"/>
      <c r="U456" s="41"/>
      <c r="V456" s="41"/>
      <c r="W456" s="36"/>
      <c r="X456" s="36"/>
      <c r="Y456" s="36"/>
      <c r="Z456" s="36"/>
      <c r="AA456" s="36"/>
    </row>
    <row r="457" spans="16:27" x14ac:dyDescent="0.2">
      <c r="P457" s="36"/>
      <c r="Q457" s="40"/>
      <c r="R457" s="40"/>
      <c r="S457" s="40"/>
      <c r="T457" s="41"/>
      <c r="U457" s="41"/>
      <c r="V457" s="41"/>
      <c r="W457" s="36"/>
      <c r="X457" s="36"/>
      <c r="Y457" s="36"/>
      <c r="Z457" s="36"/>
      <c r="AA457" s="36"/>
    </row>
    <row r="458" spans="16:27" x14ac:dyDescent="0.2">
      <c r="P458" s="36"/>
      <c r="Q458" s="40"/>
      <c r="R458" s="40"/>
      <c r="S458" s="40"/>
      <c r="T458" s="41"/>
      <c r="U458" s="41"/>
      <c r="V458" s="41"/>
      <c r="W458" s="36"/>
      <c r="X458" s="36"/>
      <c r="Y458" s="36"/>
      <c r="Z458" s="36"/>
      <c r="AA458" s="36"/>
    </row>
    <row r="459" spans="16:27" x14ac:dyDescent="0.2">
      <c r="P459" s="36"/>
      <c r="Q459" s="40"/>
      <c r="R459" s="40"/>
      <c r="S459" s="40"/>
      <c r="T459" s="41"/>
      <c r="U459" s="41"/>
      <c r="V459" s="41"/>
      <c r="W459" s="36"/>
      <c r="X459" s="36"/>
      <c r="Y459" s="36"/>
      <c r="Z459" s="36"/>
      <c r="AA459" s="36"/>
    </row>
    <row r="460" spans="16:27" x14ac:dyDescent="0.2">
      <c r="P460" s="36"/>
      <c r="Q460" s="40"/>
      <c r="R460" s="40"/>
      <c r="S460" s="40"/>
      <c r="T460" s="41"/>
      <c r="U460" s="41"/>
      <c r="V460" s="41"/>
      <c r="W460" s="36"/>
      <c r="X460" s="36"/>
      <c r="Y460" s="36"/>
      <c r="Z460" s="36"/>
      <c r="AA460" s="36"/>
    </row>
    <row r="461" spans="16:27" x14ac:dyDescent="0.2">
      <c r="P461" s="36"/>
      <c r="Q461" s="40"/>
      <c r="R461" s="40"/>
      <c r="S461" s="40"/>
      <c r="T461" s="41"/>
      <c r="U461" s="41"/>
      <c r="V461" s="41"/>
      <c r="W461" s="36"/>
      <c r="X461" s="36"/>
      <c r="Y461" s="36"/>
      <c r="Z461" s="36"/>
      <c r="AA461" s="36"/>
    </row>
    <row r="462" spans="16:27" x14ac:dyDescent="0.2">
      <c r="P462" s="36"/>
      <c r="Q462" s="40"/>
      <c r="R462" s="40"/>
      <c r="S462" s="40"/>
      <c r="T462" s="41"/>
      <c r="U462" s="41"/>
      <c r="V462" s="41"/>
      <c r="W462" s="36"/>
      <c r="X462" s="36"/>
      <c r="Y462" s="36"/>
      <c r="Z462" s="36"/>
      <c r="AA462" s="36"/>
    </row>
    <row r="463" spans="16:27" x14ac:dyDescent="0.2">
      <c r="P463" s="36"/>
      <c r="Q463" s="40"/>
      <c r="R463" s="40"/>
      <c r="S463" s="40"/>
      <c r="T463" s="41"/>
      <c r="U463" s="41"/>
      <c r="V463" s="41"/>
      <c r="W463" s="36"/>
      <c r="X463" s="36"/>
      <c r="Y463" s="36"/>
      <c r="Z463" s="36"/>
      <c r="AA463" s="36"/>
    </row>
    <row r="464" spans="16:27" x14ac:dyDescent="0.2">
      <c r="P464" s="36"/>
      <c r="Q464" s="40"/>
      <c r="R464" s="40"/>
      <c r="S464" s="40"/>
      <c r="T464" s="41"/>
      <c r="U464" s="41"/>
      <c r="V464" s="41"/>
      <c r="W464" s="36"/>
      <c r="X464" s="36"/>
      <c r="Y464" s="36"/>
      <c r="Z464" s="36"/>
      <c r="AA464" s="36"/>
    </row>
    <row r="465" spans="16:27" x14ac:dyDescent="0.2">
      <c r="P465" s="36"/>
      <c r="Q465" s="40"/>
      <c r="R465" s="40"/>
      <c r="S465" s="40"/>
      <c r="T465" s="41"/>
      <c r="U465" s="41"/>
      <c r="V465" s="41"/>
      <c r="W465" s="36"/>
      <c r="X465" s="36"/>
      <c r="Y465" s="36"/>
      <c r="Z465" s="36"/>
      <c r="AA465" s="36"/>
    </row>
    <row r="466" spans="16:27" x14ac:dyDescent="0.2">
      <c r="P466" s="36"/>
      <c r="Q466" s="40"/>
      <c r="R466" s="40"/>
      <c r="S466" s="40"/>
      <c r="T466" s="41"/>
      <c r="U466" s="41"/>
      <c r="V466" s="41"/>
      <c r="W466" s="36"/>
      <c r="X466" s="36"/>
      <c r="Y466" s="36"/>
      <c r="Z466" s="36"/>
      <c r="AA466" s="36"/>
    </row>
    <row r="467" spans="16:27" x14ac:dyDescent="0.2">
      <c r="P467" s="36"/>
      <c r="Q467" s="40"/>
      <c r="R467" s="40"/>
      <c r="S467" s="40"/>
      <c r="T467" s="41"/>
      <c r="U467" s="41"/>
      <c r="V467" s="41"/>
      <c r="W467" s="36"/>
      <c r="X467" s="36"/>
      <c r="Y467" s="36"/>
      <c r="Z467" s="36"/>
      <c r="AA467" s="36"/>
    </row>
    <row r="468" spans="16:27" x14ac:dyDescent="0.2">
      <c r="P468" s="36"/>
      <c r="Q468" s="40"/>
      <c r="R468" s="40"/>
      <c r="S468" s="40"/>
      <c r="T468" s="41"/>
      <c r="U468" s="41"/>
      <c r="V468" s="41"/>
      <c r="W468" s="36"/>
      <c r="X468" s="36"/>
      <c r="Y468" s="36"/>
      <c r="Z468" s="36"/>
      <c r="AA468" s="36"/>
    </row>
    <row r="469" spans="16:27" x14ac:dyDescent="0.2">
      <c r="P469" s="36"/>
      <c r="Q469" s="40"/>
      <c r="R469" s="40"/>
      <c r="S469" s="40"/>
      <c r="T469" s="41"/>
      <c r="U469" s="41"/>
      <c r="V469" s="41"/>
      <c r="W469" s="36"/>
      <c r="X469" s="36"/>
      <c r="Y469" s="36"/>
      <c r="Z469" s="36"/>
      <c r="AA469" s="36"/>
    </row>
    <row r="470" spans="16:27" x14ac:dyDescent="0.2">
      <c r="P470" s="36"/>
      <c r="Q470" s="40"/>
      <c r="R470" s="40"/>
      <c r="S470" s="40"/>
      <c r="T470" s="41"/>
      <c r="U470" s="41"/>
      <c r="V470" s="41"/>
      <c r="W470" s="36"/>
      <c r="X470" s="36"/>
      <c r="Y470" s="36"/>
      <c r="Z470" s="36"/>
      <c r="AA470" s="36"/>
    </row>
    <row r="471" spans="16:27" x14ac:dyDescent="0.2">
      <c r="P471" s="36"/>
      <c r="Q471" s="40"/>
      <c r="R471" s="40"/>
      <c r="S471" s="40"/>
      <c r="T471" s="41"/>
      <c r="U471" s="41"/>
      <c r="V471" s="41"/>
      <c r="W471" s="36"/>
      <c r="X471" s="36"/>
      <c r="Y471" s="36"/>
      <c r="Z471" s="36"/>
      <c r="AA471" s="36"/>
    </row>
    <row r="472" spans="16:27" x14ac:dyDescent="0.2">
      <c r="P472" s="36"/>
      <c r="Q472" s="40"/>
      <c r="R472" s="40"/>
      <c r="S472" s="40"/>
      <c r="T472" s="41"/>
      <c r="U472" s="41"/>
      <c r="V472" s="41"/>
      <c r="W472" s="36"/>
      <c r="X472" s="36"/>
      <c r="Y472" s="36"/>
      <c r="Z472" s="36"/>
      <c r="AA472" s="36"/>
    </row>
    <row r="473" spans="16:27" x14ac:dyDescent="0.2">
      <c r="P473" s="36"/>
      <c r="Q473" s="40"/>
      <c r="R473" s="40"/>
      <c r="S473" s="40"/>
      <c r="T473" s="41"/>
      <c r="U473" s="41"/>
      <c r="V473" s="41"/>
      <c r="W473" s="36"/>
      <c r="X473" s="36"/>
      <c r="Y473" s="36"/>
      <c r="Z473" s="36"/>
      <c r="AA473" s="36"/>
    </row>
    <row r="474" spans="16:27" x14ac:dyDescent="0.2">
      <c r="P474" s="36"/>
      <c r="Q474" s="40"/>
      <c r="R474" s="40"/>
      <c r="S474" s="40"/>
      <c r="T474" s="41"/>
      <c r="U474" s="41"/>
      <c r="V474" s="41"/>
      <c r="W474" s="36"/>
      <c r="X474" s="36"/>
      <c r="Y474" s="36"/>
      <c r="Z474" s="36"/>
      <c r="AA474" s="36"/>
    </row>
    <row r="475" spans="16:27" x14ac:dyDescent="0.2">
      <c r="P475" s="36"/>
      <c r="Q475" s="40"/>
      <c r="R475" s="40"/>
      <c r="S475" s="40"/>
      <c r="T475" s="41"/>
      <c r="U475" s="41"/>
      <c r="V475" s="41"/>
      <c r="W475" s="36"/>
      <c r="X475" s="36"/>
      <c r="Y475" s="36"/>
      <c r="Z475" s="36"/>
      <c r="AA475" s="36"/>
    </row>
    <row r="476" spans="16:27" x14ac:dyDescent="0.2">
      <c r="P476" s="36"/>
      <c r="Q476" s="40"/>
      <c r="R476" s="40"/>
      <c r="S476" s="40"/>
      <c r="T476" s="41"/>
      <c r="U476" s="41"/>
      <c r="V476" s="41"/>
      <c r="W476" s="36"/>
      <c r="X476" s="36"/>
      <c r="Y476" s="36"/>
      <c r="Z476" s="36"/>
      <c r="AA476" s="36"/>
    </row>
    <row r="477" spans="16:27" x14ac:dyDescent="0.2">
      <c r="P477" s="36"/>
      <c r="Q477" s="40"/>
      <c r="R477" s="40"/>
      <c r="S477" s="40"/>
      <c r="T477" s="41"/>
      <c r="U477" s="41"/>
      <c r="V477" s="41"/>
      <c r="W477" s="36"/>
      <c r="X477" s="36"/>
      <c r="Y477" s="36"/>
      <c r="Z477" s="36"/>
      <c r="AA477" s="36"/>
    </row>
    <row r="478" spans="16:27" x14ac:dyDescent="0.2">
      <c r="P478" s="36"/>
      <c r="Q478" s="40"/>
      <c r="R478" s="40"/>
      <c r="S478" s="40"/>
      <c r="T478" s="41"/>
      <c r="U478" s="41"/>
      <c r="V478" s="41"/>
      <c r="W478" s="36"/>
      <c r="X478" s="36"/>
      <c r="Y478" s="36"/>
      <c r="Z478" s="36"/>
      <c r="AA478" s="36"/>
    </row>
    <row r="479" spans="16:27" x14ac:dyDescent="0.2">
      <c r="P479" s="36"/>
      <c r="Q479" s="40"/>
      <c r="R479" s="40"/>
      <c r="S479" s="40"/>
      <c r="T479" s="41"/>
      <c r="U479" s="41"/>
      <c r="V479" s="41"/>
      <c r="W479" s="36"/>
      <c r="X479" s="36"/>
      <c r="Y479" s="36"/>
      <c r="Z479" s="36"/>
      <c r="AA479" s="36"/>
    </row>
    <row r="480" spans="16:27" x14ac:dyDescent="0.2">
      <c r="P480" s="36"/>
      <c r="Q480" s="40"/>
      <c r="R480" s="40"/>
      <c r="S480" s="40"/>
      <c r="T480" s="41"/>
      <c r="U480" s="41"/>
      <c r="V480" s="41"/>
      <c r="W480" s="36"/>
      <c r="X480" s="36"/>
      <c r="Y480" s="36"/>
      <c r="Z480" s="36"/>
      <c r="AA480" s="36"/>
    </row>
    <row r="481" spans="16:27" x14ac:dyDescent="0.2">
      <c r="P481" s="36"/>
      <c r="Q481" s="40"/>
      <c r="R481" s="40"/>
      <c r="S481" s="40"/>
      <c r="T481" s="41"/>
      <c r="U481" s="41"/>
      <c r="V481" s="41"/>
      <c r="W481" s="36"/>
      <c r="X481" s="36"/>
      <c r="Y481" s="36"/>
      <c r="Z481" s="36"/>
      <c r="AA481" s="36"/>
    </row>
    <row r="482" spans="16:27" x14ac:dyDescent="0.2">
      <c r="P482" s="36"/>
      <c r="Q482" s="40"/>
      <c r="R482" s="40"/>
      <c r="S482" s="40"/>
      <c r="T482" s="41"/>
      <c r="U482" s="41"/>
      <c r="V482" s="41"/>
      <c r="W482" s="36"/>
      <c r="X482" s="36"/>
      <c r="Y482" s="36"/>
      <c r="Z482" s="36"/>
      <c r="AA482" s="36"/>
    </row>
    <row r="483" spans="16:27" x14ac:dyDescent="0.2">
      <c r="P483" s="36"/>
      <c r="Q483" s="40"/>
      <c r="R483" s="40"/>
      <c r="S483" s="40"/>
      <c r="T483" s="41"/>
      <c r="U483" s="41"/>
      <c r="V483" s="41"/>
      <c r="W483" s="36"/>
      <c r="X483" s="36"/>
      <c r="Y483" s="36"/>
      <c r="Z483" s="36"/>
      <c r="AA483" s="36"/>
    </row>
    <row r="484" spans="16:27" x14ac:dyDescent="0.2">
      <c r="P484" s="36"/>
      <c r="Q484" s="40"/>
      <c r="R484" s="40"/>
      <c r="S484" s="40"/>
      <c r="T484" s="41"/>
      <c r="U484" s="41"/>
      <c r="V484" s="41"/>
      <c r="W484" s="36"/>
      <c r="X484" s="36"/>
      <c r="Y484" s="36"/>
      <c r="Z484" s="36"/>
      <c r="AA484" s="36"/>
    </row>
    <row r="485" spans="16:27" x14ac:dyDescent="0.2">
      <c r="P485" s="36"/>
      <c r="Q485" s="40"/>
      <c r="R485" s="40"/>
      <c r="S485" s="40"/>
      <c r="T485" s="41"/>
      <c r="U485" s="41"/>
      <c r="V485" s="41"/>
      <c r="W485" s="36"/>
      <c r="X485" s="36"/>
      <c r="Y485" s="36"/>
      <c r="Z485" s="36"/>
      <c r="AA485" s="36"/>
    </row>
    <row r="486" spans="16:27" x14ac:dyDescent="0.2">
      <c r="P486" s="36"/>
      <c r="Q486" s="40"/>
      <c r="R486" s="40"/>
      <c r="S486" s="40"/>
      <c r="T486" s="41"/>
      <c r="U486" s="41"/>
      <c r="V486" s="41"/>
      <c r="W486" s="36"/>
      <c r="X486" s="36"/>
      <c r="Y486" s="36"/>
      <c r="Z486" s="36"/>
      <c r="AA486" s="36"/>
    </row>
    <row r="487" spans="16:27" x14ac:dyDescent="0.2">
      <c r="P487" s="36"/>
      <c r="Q487" s="40"/>
      <c r="R487" s="40"/>
      <c r="S487" s="40"/>
      <c r="T487" s="41"/>
      <c r="U487" s="41"/>
      <c r="V487" s="41"/>
      <c r="W487" s="36"/>
      <c r="X487" s="36"/>
      <c r="Y487" s="36"/>
      <c r="Z487" s="36"/>
      <c r="AA487" s="36"/>
    </row>
    <row r="488" spans="16:27" x14ac:dyDescent="0.2">
      <c r="P488" s="36"/>
      <c r="Q488" s="40"/>
      <c r="R488" s="40"/>
      <c r="S488" s="40"/>
      <c r="T488" s="41"/>
      <c r="U488" s="41"/>
      <c r="V488" s="41"/>
      <c r="W488" s="36"/>
      <c r="X488" s="36"/>
      <c r="Y488" s="36"/>
      <c r="Z488" s="36"/>
      <c r="AA488" s="36"/>
    </row>
    <row r="489" spans="16:27" x14ac:dyDescent="0.2">
      <c r="P489" s="36"/>
      <c r="Q489" s="40"/>
      <c r="R489" s="40"/>
      <c r="S489" s="40"/>
      <c r="T489" s="41"/>
      <c r="U489" s="41"/>
      <c r="V489" s="41"/>
      <c r="W489" s="36"/>
      <c r="X489" s="36"/>
      <c r="Y489" s="36"/>
      <c r="Z489" s="36"/>
      <c r="AA489" s="36"/>
    </row>
    <row r="490" spans="16:27" x14ac:dyDescent="0.2">
      <c r="P490" s="36"/>
      <c r="Q490" s="40"/>
      <c r="R490" s="40"/>
      <c r="S490" s="40"/>
      <c r="T490" s="41"/>
      <c r="U490" s="41"/>
      <c r="V490" s="41"/>
      <c r="W490" s="36"/>
      <c r="X490" s="36"/>
      <c r="Y490" s="36"/>
      <c r="Z490" s="36"/>
      <c r="AA490" s="36"/>
    </row>
    <row r="491" spans="16:27" x14ac:dyDescent="0.2">
      <c r="P491" s="36"/>
      <c r="Q491" s="40"/>
      <c r="R491" s="40"/>
      <c r="S491" s="40"/>
      <c r="T491" s="41"/>
      <c r="U491" s="41"/>
      <c r="V491" s="41"/>
      <c r="W491" s="36"/>
      <c r="X491" s="36"/>
      <c r="Y491" s="36"/>
      <c r="Z491" s="36"/>
      <c r="AA491" s="36"/>
    </row>
    <row r="492" spans="16:27" x14ac:dyDescent="0.2">
      <c r="P492" s="36"/>
      <c r="Q492" s="40"/>
      <c r="R492" s="40"/>
      <c r="S492" s="40"/>
      <c r="T492" s="41"/>
      <c r="U492" s="41"/>
      <c r="V492" s="41"/>
      <c r="W492" s="36"/>
      <c r="X492" s="36"/>
      <c r="Y492" s="36"/>
      <c r="Z492" s="36"/>
      <c r="AA492" s="36"/>
    </row>
    <row r="493" spans="16:27" x14ac:dyDescent="0.2">
      <c r="P493" s="36"/>
      <c r="Q493" s="40"/>
      <c r="R493" s="40"/>
      <c r="S493" s="40"/>
      <c r="T493" s="41"/>
      <c r="U493" s="41"/>
      <c r="V493" s="41"/>
      <c r="W493" s="36"/>
      <c r="X493" s="36"/>
      <c r="Y493" s="36"/>
      <c r="Z493" s="36"/>
      <c r="AA493" s="36"/>
    </row>
    <row r="494" spans="16:27" x14ac:dyDescent="0.2">
      <c r="P494" s="36"/>
      <c r="Q494" s="40"/>
      <c r="R494" s="40"/>
      <c r="S494" s="40"/>
      <c r="T494" s="41"/>
      <c r="U494" s="41"/>
      <c r="V494" s="41"/>
      <c r="W494" s="36"/>
      <c r="X494" s="36"/>
      <c r="Y494" s="36"/>
      <c r="Z494" s="36"/>
      <c r="AA494" s="36"/>
    </row>
    <row r="495" spans="16:27" x14ac:dyDescent="0.2">
      <c r="P495" s="36"/>
      <c r="Q495" s="40"/>
      <c r="R495" s="40"/>
      <c r="S495" s="40"/>
      <c r="T495" s="41"/>
      <c r="U495" s="41"/>
      <c r="V495" s="41"/>
      <c r="W495" s="36"/>
      <c r="X495" s="36"/>
      <c r="Y495" s="36"/>
      <c r="Z495" s="36"/>
      <c r="AA495" s="36"/>
    </row>
    <row r="496" spans="16:27" x14ac:dyDescent="0.2">
      <c r="P496" s="36"/>
      <c r="Q496" s="40"/>
      <c r="R496" s="40"/>
      <c r="S496" s="40"/>
      <c r="T496" s="41"/>
      <c r="U496" s="41"/>
      <c r="V496" s="41"/>
      <c r="W496" s="36"/>
      <c r="X496" s="36"/>
      <c r="Y496" s="36"/>
      <c r="Z496" s="36"/>
      <c r="AA496" s="36"/>
    </row>
    <row r="497" spans="16:27" x14ac:dyDescent="0.2">
      <c r="P497" s="36"/>
      <c r="Q497" s="40"/>
      <c r="R497" s="40"/>
      <c r="S497" s="40"/>
      <c r="T497" s="41"/>
      <c r="U497" s="41"/>
      <c r="V497" s="41"/>
      <c r="W497" s="36"/>
      <c r="X497" s="36"/>
      <c r="Y497" s="36"/>
      <c r="Z497" s="36"/>
      <c r="AA497" s="36"/>
    </row>
    <row r="498" spans="16:27" x14ac:dyDescent="0.2">
      <c r="P498" s="36"/>
      <c r="Q498" s="40"/>
      <c r="R498" s="40"/>
      <c r="S498" s="40"/>
      <c r="T498" s="41"/>
      <c r="U498" s="41"/>
      <c r="V498" s="41"/>
      <c r="W498" s="36"/>
      <c r="X498" s="36"/>
      <c r="Y498" s="36"/>
      <c r="Z498" s="36"/>
      <c r="AA498" s="36"/>
    </row>
    <row r="499" spans="16:27" x14ac:dyDescent="0.2">
      <c r="P499" s="36"/>
      <c r="Q499" s="40"/>
      <c r="R499" s="40"/>
      <c r="S499" s="40"/>
      <c r="T499" s="41"/>
      <c r="U499" s="41"/>
      <c r="V499" s="41"/>
      <c r="W499" s="36"/>
      <c r="X499" s="36"/>
      <c r="Y499" s="36"/>
      <c r="Z499" s="36"/>
      <c r="AA499" s="36"/>
    </row>
    <row r="500" spans="16:27" x14ac:dyDescent="0.2">
      <c r="P500" s="36"/>
      <c r="Q500" s="40"/>
      <c r="R500" s="40"/>
      <c r="S500" s="40"/>
      <c r="T500" s="41"/>
      <c r="U500" s="41"/>
      <c r="V500" s="41"/>
      <c r="W500" s="36"/>
      <c r="X500" s="36"/>
      <c r="Y500" s="36"/>
      <c r="Z500" s="36"/>
      <c r="AA500" s="36"/>
    </row>
    <row r="501" spans="16:27" x14ac:dyDescent="0.2">
      <c r="P501" s="36"/>
      <c r="Q501" s="40"/>
      <c r="R501" s="40"/>
      <c r="S501" s="40"/>
      <c r="T501" s="41"/>
      <c r="U501" s="41"/>
      <c r="V501" s="41"/>
      <c r="W501" s="36"/>
      <c r="X501" s="36"/>
      <c r="Y501" s="36"/>
      <c r="Z501" s="36"/>
      <c r="AA501" s="36"/>
    </row>
    <row r="502" spans="16:27" x14ac:dyDescent="0.2">
      <c r="P502" s="36"/>
      <c r="Q502" s="40"/>
      <c r="R502" s="40"/>
      <c r="S502" s="40"/>
      <c r="T502" s="41"/>
      <c r="U502" s="41"/>
      <c r="V502" s="41"/>
      <c r="W502" s="36"/>
      <c r="X502" s="36"/>
      <c r="Y502" s="36"/>
      <c r="Z502" s="36"/>
      <c r="AA502" s="36"/>
    </row>
    <row r="503" spans="16:27" x14ac:dyDescent="0.2">
      <c r="P503" s="36"/>
      <c r="Q503" s="40"/>
      <c r="R503" s="40"/>
      <c r="S503" s="40"/>
      <c r="T503" s="41"/>
      <c r="U503" s="41"/>
      <c r="V503" s="41"/>
      <c r="W503" s="36"/>
      <c r="X503" s="36"/>
      <c r="Y503" s="36"/>
      <c r="Z503" s="36"/>
      <c r="AA503" s="36"/>
    </row>
    <row r="504" spans="16:27" x14ac:dyDescent="0.2">
      <c r="P504" s="36"/>
      <c r="Q504" s="40"/>
      <c r="R504" s="40"/>
      <c r="S504" s="40"/>
      <c r="T504" s="41"/>
      <c r="U504" s="41"/>
      <c r="V504" s="41"/>
      <c r="W504" s="36"/>
      <c r="X504" s="36"/>
      <c r="Y504" s="36"/>
      <c r="Z504" s="36"/>
      <c r="AA504" s="36"/>
    </row>
    <row r="505" spans="16:27" x14ac:dyDescent="0.2">
      <c r="P505" s="36"/>
      <c r="Q505" s="40"/>
      <c r="R505" s="40"/>
      <c r="S505" s="40"/>
      <c r="T505" s="41"/>
      <c r="U505" s="41"/>
      <c r="V505" s="41"/>
      <c r="W505" s="36"/>
      <c r="X505" s="36"/>
      <c r="Y505" s="36"/>
      <c r="Z505" s="36"/>
      <c r="AA505" s="36"/>
    </row>
    <row r="506" spans="16:27" x14ac:dyDescent="0.2">
      <c r="P506" s="36"/>
      <c r="Q506" s="40"/>
      <c r="R506" s="40"/>
      <c r="S506" s="40"/>
      <c r="T506" s="41"/>
      <c r="U506" s="41"/>
      <c r="V506" s="41"/>
      <c r="W506" s="36"/>
      <c r="X506" s="36"/>
      <c r="Y506" s="36"/>
      <c r="Z506" s="36"/>
      <c r="AA506" s="36"/>
    </row>
    <row r="507" spans="16:27" x14ac:dyDescent="0.2">
      <c r="P507" s="36"/>
      <c r="Q507" s="40"/>
      <c r="R507" s="40"/>
      <c r="S507" s="40"/>
      <c r="T507" s="41"/>
      <c r="U507" s="41"/>
      <c r="V507" s="41"/>
      <c r="W507" s="36"/>
      <c r="X507" s="36"/>
      <c r="Y507" s="36"/>
      <c r="Z507" s="36"/>
      <c r="AA507" s="36"/>
    </row>
    <row r="508" spans="16:27" x14ac:dyDescent="0.2">
      <c r="P508" s="36"/>
      <c r="Q508" s="40"/>
      <c r="R508" s="40"/>
      <c r="S508" s="40"/>
      <c r="T508" s="41"/>
      <c r="U508" s="41"/>
      <c r="V508" s="41"/>
      <c r="W508" s="36"/>
      <c r="X508" s="36"/>
      <c r="Y508" s="36"/>
      <c r="Z508" s="36"/>
      <c r="AA508" s="36"/>
    </row>
    <row r="509" spans="16:27" x14ac:dyDescent="0.2">
      <c r="P509" s="36"/>
      <c r="Q509" s="40"/>
      <c r="R509" s="40"/>
      <c r="S509" s="40"/>
      <c r="T509" s="41"/>
      <c r="U509" s="41"/>
      <c r="V509" s="41"/>
      <c r="W509" s="36"/>
      <c r="X509" s="36"/>
      <c r="Y509" s="36"/>
      <c r="Z509" s="36"/>
      <c r="AA509" s="36"/>
    </row>
    <row r="510" spans="16:27" x14ac:dyDescent="0.2">
      <c r="P510" s="36"/>
      <c r="Q510" s="40"/>
      <c r="R510" s="40"/>
      <c r="S510" s="40"/>
      <c r="T510" s="41"/>
      <c r="U510" s="41"/>
      <c r="V510" s="41"/>
      <c r="W510" s="36"/>
      <c r="X510" s="36"/>
      <c r="Y510" s="36"/>
      <c r="Z510" s="36"/>
      <c r="AA510" s="36"/>
    </row>
    <row r="511" spans="16:27" x14ac:dyDescent="0.2">
      <c r="P511" s="36"/>
      <c r="Q511" s="40"/>
      <c r="R511" s="40"/>
      <c r="S511" s="40"/>
      <c r="T511" s="41"/>
      <c r="U511" s="41"/>
      <c r="V511" s="41"/>
      <c r="W511" s="36"/>
      <c r="X511" s="36"/>
      <c r="Y511" s="36"/>
      <c r="Z511" s="36"/>
      <c r="AA511" s="36"/>
    </row>
    <row r="512" spans="16:27" x14ac:dyDescent="0.2">
      <c r="P512" s="36"/>
      <c r="Q512" s="40"/>
      <c r="R512" s="40"/>
      <c r="S512" s="40"/>
      <c r="T512" s="41"/>
      <c r="U512" s="41"/>
      <c r="V512" s="41"/>
      <c r="W512" s="36"/>
      <c r="X512" s="36"/>
      <c r="Y512" s="36"/>
      <c r="Z512" s="36"/>
      <c r="AA512" s="36"/>
    </row>
    <row r="513" spans="16:27" x14ac:dyDescent="0.2">
      <c r="P513" s="36"/>
      <c r="Q513" s="40"/>
      <c r="R513" s="40"/>
      <c r="S513" s="40"/>
      <c r="T513" s="41"/>
      <c r="U513" s="41"/>
      <c r="V513" s="41"/>
      <c r="W513" s="36"/>
      <c r="X513" s="36"/>
      <c r="Y513" s="36"/>
      <c r="Z513" s="36"/>
      <c r="AA513" s="36"/>
    </row>
    <row r="514" spans="16:27" x14ac:dyDescent="0.2">
      <c r="P514" s="36"/>
      <c r="Q514" s="40"/>
      <c r="R514" s="40"/>
      <c r="S514" s="40"/>
      <c r="T514" s="41"/>
      <c r="U514" s="41"/>
      <c r="V514" s="41"/>
      <c r="W514" s="36"/>
      <c r="X514" s="36"/>
      <c r="Y514" s="36"/>
      <c r="Z514" s="36"/>
      <c r="AA514" s="36"/>
    </row>
    <row r="515" spans="16:27" x14ac:dyDescent="0.2">
      <c r="P515" s="36"/>
      <c r="Q515" s="40"/>
      <c r="R515" s="40"/>
      <c r="S515" s="40"/>
      <c r="T515" s="41"/>
      <c r="U515" s="41"/>
      <c r="V515" s="41"/>
      <c r="W515" s="36"/>
      <c r="X515" s="36"/>
      <c r="Y515" s="36"/>
      <c r="Z515" s="36"/>
      <c r="AA515" s="36"/>
    </row>
    <row r="516" spans="16:27" x14ac:dyDescent="0.2">
      <c r="P516" s="36"/>
      <c r="Q516" s="40"/>
      <c r="R516" s="40"/>
      <c r="S516" s="40"/>
      <c r="T516" s="41"/>
      <c r="U516" s="41"/>
      <c r="V516" s="41"/>
      <c r="W516" s="36"/>
      <c r="X516" s="36"/>
      <c r="Y516" s="36"/>
      <c r="Z516" s="36"/>
      <c r="AA516" s="36"/>
    </row>
    <row r="517" spans="16:27" x14ac:dyDescent="0.2">
      <c r="P517" s="36"/>
      <c r="Q517" s="40"/>
      <c r="R517" s="40"/>
      <c r="S517" s="40"/>
      <c r="T517" s="41"/>
      <c r="U517" s="41"/>
      <c r="V517" s="41"/>
      <c r="W517" s="36"/>
      <c r="X517" s="36"/>
      <c r="Y517" s="36"/>
      <c r="Z517" s="36"/>
      <c r="AA517" s="36"/>
    </row>
    <row r="518" spans="16:27" x14ac:dyDescent="0.2">
      <c r="P518" s="36"/>
      <c r="Q518" s="40"/>
      <c r="R518" s="40"/>
      <c r="S518" s="40"/>
      <c r="T518" s="41"/>
      <c r="U518" s="41"/>
      <c r="V518" s="41"/>
      <c r="W518" s="36"/>
      <c r="X518" s="36"/>
      <c r="Y518" s="36"/>
      <c r="Z518" s="36"/>
      <c r="AA518" s="36"/>
    </row>
    <row r="519" spans="16:27" x14ac:dyDescent="0.2">
      <c r="P519" s="36"/>
      <c r="Q519" s="40"/>
      <c r="R519" s="40"/>
      <c r="S519" s="40"/>
      <c r="T519" s="41"/>
      <c r="U519" s="41"/>
      <c r="V519" s="41"/>
      <c r="W519" s="36"/>
      <c r="X519" s="36"/>
      <c r="Y519" s="36"/>
      <c r="Z519" s="36"/>
      <c r="AA519" s="36"/>
    </row>
    <row r="520" spans="16:27" x14ac:dyDescent="0.2">
      <c r="P520" s="36"/>
      <c r="Q520" s="40"/>
      <c r="R520" s="40"/>
      <c r="S520" s="40"/>
      <c r="T520" s="41"/>
      <c r="U520" s="41"/>
      <c r="V520" s="41"/>
      <c r="W520" s="36"/>
      <c r="X520" s="36"/>
      <c r="Y520" s="36"/>
      <c r="Z520" s="36"/>
      <c r="AA520" s="36"/>
    </row>
    <row r="521" spans="16:27" x14ac:dyDescent="0.2">
      <c r="P521" s="36"/>
      <c r="Q521" s="40"/>
      <c r="R521" s="40"/>
      <c r="S521" s="40"/>
      <c r="T521" s="41"/>
      <c r="U521" s="41"/>
      <c r="V521" s="41"/>
      <c r="W521" s="36"/>
      <c r="X521" s="36"/>
      <c r="Y521" s="36"/>
      <c r="Z521" s="36"/>
      <c r="AA521" s="36"/>
    </row>
    <row r="522" spans="16:27" x14ac:dyDescent="0.2">
      <c r="P522" s="36"/>
      <c r="Q522" s="40"/>
      <c r="R522" s="40"/>
      <c r="S522" s="40"/>
      <c r="T522" s="41"/>
      <c r="U522" s="41"/>
      <c r="V522" s="41"/>
      <c r="W522" s="36"/>
      <c r="X522" s="36"/>
      <c r="Y522" s="36"/>
      <c r="Z522" s="36"/>
      <c r="AA522" s="36"/>
    </row>
    <row r="523" spans="16:27" x14ac:dyDescent="0.2">
      <c r="P523" s="36"/>
      <c r="Q523" s="40"/>
      <c r="R523" s="40"/>
      <c r="S523" s="40"/>
      <c r="T523" s="41"/>
      <c r="U523" s="41"/>
      <c r="V523" s="41"/>
      <c r="W523" s="36"/>
      <c r="X523" s="36"/>
      <c r="Y523" s="36"/>
      <c r="Z523" s="36"/>
      <c r="AA523" s="36"/>
    </row>
    <row r="524" spans="16:27" x14ac:dyDescent="0.2">
      <c r="P524" s="36"/>
      <c r="Q524" s="40"/>
      <c r="R524" s="40"/>
      <c r="S524" s="40"/>
      <c r="T524" s="41"/>
      <c r="U524" s="41"/>
      <c r="V524" s="41"/>
      <c r="W524" s="36"/>
      <c r="X524" s="36"/>
      <c r="Y524" s="36"/>
      <c r="Z524" s="36"/>
      <c r="AA524" s="36"/>
    </row>
    <row r="525" spans="16:27" x14ac:dyDescent="0.2">
      <c r="P525" s="36"/>
      <c r="Q525" s="40"/>
      <c r="R525" s="40"/>
      <c r="S525" s="40"/>
      <c r="T525" s="41"/>
      <c r="U525" s="41"/>
      <c r="V525" s="41"/>
      <c r="W525" s="36"/>
      <c r="X525" s="36"/>
      <c r="Y525" s="36"/>
      <c r="Z525" s="36"/>
      <c r="AA525" s="36"/>
    </row>
    <row r="526" spans="16:27" x14ac:dyDescent="0.2">
      <c r="P526" s="36"/>
      <c r="Q526" s="40"/>
      <c r="R526" s="40"/>
      <c r="S526" s="40"/>
      <c r="T526" s="41"/>
      <c r="U526" s="41"/>
      <c r="V526" s="41"/>
      <c r="W526" s="36"/>
      <c r="X526" s="36"/>
      <c r="Y526" s="36"/>
      <c r="Z526" s="36"/>
      <c r="AA526" s="36"/>
    </row>
    <row r="527" spans="16:27" x14ac:dyDescent="0.2">
      <c r="P527" s="36"/>
      <c r="Q527" s="40"/>
      <c r="R527" s="40"/>
      <c r="S527" s="40"/>
      <c r="T527" s="41"/>
      <c r="U527" s="41"/>
      <c r="V527" s="41"/>
      <c r="W527" s="36"/>
      <c r="X527" s="36"/>
      <c r="Y527" s="36"/>
      <c r="Z527" s="36"/>
      <c r="AA527" s="36"/>
    </row>
    <row r="528" spans="16:27" x14ac:dyDescent="0.2">
      <c r="P528" s="36"/>
      <c r="Q528" s="40"/>
      <c r="R528" s="40"/>
      <c r="S528" s="40"/>
      <c r="T528" s="41"/>
      <c r="U528" s="41"/>
      <c r="V528" s="41"/>
      <c r="W528" s="36"/>
      <c r="X528" s="36"/>
      <c r="Y528" s="36"/>
      <c r="Z528" s="36"/>
      <c r="AA528" s="36"/>
    </row>
    <row r="529" spans="16:27" x14ac:dyDescent="0.2">
      <c r="P529" s="36"/>
      <c r="Q529" s="40"/>
      <c r="R529" s="40"/>
      <c r="S529" s="40"/>
      <c r="T529" s="41"/>
      <c r="U529" s="41"/>
      <c r="V529" s="41"/>
      <c r="W529" s="36"/>
      <c r="X529" s="36"/>
      <c r="Y529" s="36"/>
      <c r="Z529" s="36"/>
      <c r="AA529" s="36"/>
    </row>
    <row r="530" spans="16:27" x14ac:dyDescent="0.2">
      <c r="P530" s="36"/>
      <c r="Q530" s="40"/>
      <c r="R530" s="40"/>
      <c r="S530" s="40"/>
      <c r="T530" s="41"/>
      <c r="U530" s="41"/>
      <c r="V530" s="41"/>
      <c r="W530" s="36"/>
      <c r="X530" s="36"/>
      <c r="Y530" s="36"/>
      <c r="Z530" s="36"/>
      <c r="AA530" s="36"/>
    </row>
    <row r="531" spans="16:27" x14ac:dyDescent="0.2">
      <c r="P531" s="36"/>
      <c r="Q531" s="40"/>
      <c r="R531" s="40"/>
      <c r="S531" s="40"/>
      <c r="T531" s="41"/>
      <c r="U531" s="41"/>
      <c r="V531" s="41"/>
      <c r="W531" s="36"/>
      <c r="X531" s="36"/>
      <c r="Y531" s="36"/>
      <c r="Z531" s="36"/>
      <c r="AA531" s="36"/>
    </row>
    <row r="532" spans="16:27" x14ac:dyDescent="0.2">
      <c r="P532" s="36"/>
      <c r="Q532" s="40"/>
      <c r="R532" s="40"/>
      <c r="S532" s="40"/>
      <c r="T532" s="41"/>
      <c r="U532" s="41"/>
      <c r="V532" s="41"/>
      <c r="W532" s="36"/>
      <c r="X532" s="36"/>
      <c r="Y532" s="36"/>
      <c r="Z532" s="36"/>
      <c r="AA532" s="36"/>
    </row>
    <row r="533" spans="16:27" x14ac:dyDescent="0.2">
      <c r="P533" s="36"/>
      <c r="Q533" s="40"/>
      <c r="R533" s="40"/>
      <c r="S533" s="40"/>
      <c r="T533" s="41"/>
      <c r="U533" s="41"/>
      <c r="V533" s="41"/>
      <c r="W533" s="36"/>
      <c r="X533" s="36"/>
      <c r="Y533" s="36"/>
      <c r="Z533" s="36"/>
      <c r="AA533" s="36"/>
    </row>
    <row r="534" spans="16:27" x14ac:dyDescent="0.2">
      <c r="P534" s="36"/>
      <c r="Q534" s="40"/>
      <c r="R534" s="40"/>
      <c r="S534" s="40"/>
      <c r="T534" s="41"/>
      <c r="U534" s="41"/>
      <c r="V534" s="41"/>
      <c r="W534" s="36"/>
      <c r="X534" s="36"/>
      <c r="Y534" s="36"/>
      <c r="Z534" s="36"/>
      <c r="AA534" s="36"/>
    </row>
    <row r="535" spans="16:27" x14ac:dyDescent="0.2">
      <c r="P535" s="36"/>
      <c r="Q535" s="40"/>
      <c r="R535" s="40"/>
      <c r="S535" s="40"/>
      <c r="T535" s="41"/>
      <c r="U535" s="41"/>
      <c r="V535" s="41"/>
      <c r="W535" s="36"/>
      <c r="X535" s="36"/>
      <c r="Y535" s="36"/>
      <c r="Z535" s="36"/>
      <c r="AA535" s="36"/>
    </row>
    <row r="536" spans="16:27" x14ac:dyDescent="0.2">
      <c r="P536" s="36"/>
      <c r="Q536" s="40"/>
      <c r="R536" s="40"/>
      <c r="S536" s="40"/>
      <c r="T536" s="41"/>
      <c r="U536" s="41"/>
      <c r="V536" s="41"/>
      <c r="W536" s="36"/>
      <c r="X536" s="36"/>
      <c r="Y536" s="36"/>
      <c r="Z536" s="36"/>
      <c r="AA536" s="36"/>
    </row>
    <row r="537" spans="16:27" x14ac:dyDescent="0.2">
      <c r="P537" s="36"/>
      <c r="Q537" s="40"/>
      <c r="R537" s="40"/>
      <c r="S537" s="40"/>
      <c r="T537" s="41"/>
      <c r="U537" s="41"/>
      <c r="V537" s="41"/>
      <c r="W537" s="36"/>
      <c r="X537" s="36"/>
      <c r="Y537" s="36"/>
      <c r="Z537" s="36"/>
      <c r="AA537" s="36"/>
    </row>
    <row r="538" spans="16:27" x14ac:dyDescent="0.2">
      <c r="P538" s="36"/>
      <c r="Q538" s="40"/>
      <c r="R538" s="40"/>
      <c r="S538" s="40"/>
      <c r="T538" s="41"/>
      <c r="U538" s="41"/>
      <c r="V538" s="41"/>
      <c r="W538" s="36"/>
      <c r="X538" s="36"/>
      <c r="Y538" s="36"/>
      <c r="Z538" s="36"/>
      <c r="AA538" s="36"/>
    </row>
    <row r="539" spans="16:27" x14ac:dyDescent="0.2">
      <c r="P539" s="36"/>
      <c r="Q539" s="40"/>
      <c r="R539" s="40"/>
      <c r="S539" s="40"/>
      <c r="T539" s="41"/>
      <c r="U539" s="41"/>
      <c r="V539" s="41"/>
      <c r="W539" s="36"/>
      <c r="X539" s="36"/>
      <c r="Y539" s="36"/>
      <c r="Z539" s="36"/>
      <c r="AA539" s="36"/>
    </row>
    <row r="540" spans="16:27" x14ac:dyDescent="0.2">
      <c r="P540" s="36"/>
      <c r="Q540" s="40"/>
      <c r="R540" s="40"/>
      <c r="S540" s="40"/>
      <c r="T540" s="41"/>
      <c r="U540" s="41"/>
      <c r="V540" s="41"/>
      <c r="W540" s="36"/>
      <c r="X540" s="36"/>
      <c r="Y540" s="36"/>
      <c r="Z540" s="36"/>
      <c r="AA540" s="36"/>
    </row>
    <row r="541" spans="16:27" x14ac:dyDescent="0.2">
      <c r="P541" s="36"/>
      <c r="Q541" s="40"/>
      <c r="R541" s="40"/>
      <c r="S541" s="40"/>
      <c r="T541" s="41"/>
      <c r="U541" s="41"/>
      <c r="V541" s="41"/>
      <c r="W541" s="36"/>
      <c r="X541" s="36"/>
      <c r="Y541" s="36"/>
      <c r="Z541" s="36"/>
      <c r="AA541" s="36"/>
    </row>
    <row r="542" spans="16:27" x14ac:dyDescent="0.2">
      <c r="P542" s="36"/>
      <c r="Q542" s="40"/>
      <c r="R542" s="40"/>
      <c r="S542" s="40"/>
      <c r="T542" s="41"/>
      <c r="U542" s="41"/>
      <c r="V542" s="41"/>
      <c r="W542" s="36"/>
      <c r="X542" s="36"/>
      <c r="Y542" s="36"/>
      <c r="Z542" s="36"/>
      <c r="AA542" s="36"/>
    </row>
    <row r="543" spans="16:27" x14ac:dyDescent="0.2">
      <c r="P543" s="36"/>
      <c r="Q543" s="40"/>
      <c r="R543" s="40"/>
      <c r="S543" s="40"/>
      <c r="T543" s="41"/>
      <c r="U543" s="41"/>
      <c r="V543" s="41"/>
      <c r="W543" s="36"/>
      <c r="X543" s="36"/>
      <c r="Y543" s="36"/>
      <c r="Z543" s="36"/>
      <c r="AA543" s="36"/>
    </row>
    <row r="544" spans="16:27" x14ac:dyDescent="0.2">
      <c r="P544" s="36"/>
      <c r="Q544" s="40"/>
      <c r="R544" s="40"/>
      <c r="S544" s="40"/>
      <c r="T544" s="41"/>
      <c r="U544" s="41"/>
      <c r="V544" s="41"/>
      <c r="W544" s="36"/>
      <c r="X544" s="36"/>
      <c r="Y544" s="36"/>
      <c r="Z544" s="36"/>
      <c r="AA544" s="36"/>
    </row>
    <row r="545" spans="16:27" x14ac:dyDescent="0.2">
      <c r="P545" s="36"/>
      <c r="Q545" s="40"/>
      <c r="R545" s="40"/>
      <c r="S545" s="40"/>
      <c r="T545" s="41"/>
      <c r="U545" s="41"/>
      <c r="V545" s="41"/>
      <c r="W545" s="36"/>
      <c r="X545" s="36"/>
      <c r="Y545" s="36"/>
      <c r="Z545" s="36"/>
      <c r="AA545" s="36"/>
    </row>
    <row r="546" spans="16:27" x14ac:dyDescent="0.2">
      <c r="P546" s="36"/>
      <c r="Q546" s="40"/>
      <c r="R546" s="40"/>
      <c r="S546" s="40"/>
      <c r="T546" s="41"/>
      <c r="U546" s="41"/>
      <c r="V546" s="41"/>
      <c r="W546" s="36"/>
      <c r="X546" s="36"/>
      <c r="Y546" s="36"/>
      <c r="Z546" s="36"/>
      <c r="AA546" s="36"/>
    </row>
    <row r="547" spans="16:27" x14ac:dyDescent="0.2">
      <c r="P547" s="36"/>
      <c r="Q547" s="40"/>
      <c r="R547" s="40"/>
      <c r="S547" s="40"/>
      <c r="T547" s="41"/>
      <c r="U547" s="41"/>
      <c r="V547" s="41"/>
      <c r="W547" s="36"/>
      <c r="X547" s="36"/>
      <c r="Y547" s="36"/>
      <c r="Z547" s="36"/>
      <c r="AA547" s="36"/>
    </row>
    <row r="548" spans="16:27" x14ac:dyDescent="0.2">
      <c r="P548" s="36"/>
      <c r="Q548" s="40"/>
      <c r="R548" s="40"/>
      <c r="S548" s="40"/>
      <c r="T548" s="41"/>
      <c r="U548" s="41"/>
      <c r="V548" s="41"/>
      <c r="W548" s="36"/>
      <c r="X548" s="36"/>
      <c r="Y548" s="36"/>
      <c r="Z548" s="36"/>
      <c r="AA548" s="36"/>
    </row>
    <row r="549" spans="16:27" x14ac:dyDescent="0.2">
      <c r="P549" s="36"/>
      <c r="Q549" s="40"/>
      <c r="R549" s="40"/>
      <c r="S549" s="40"/>
      <c r="T549" s="41"/>
      <c r="U549" s="41"/>
      <c r="V549" s="41"/>
      <c r="W549" s="36"/>
      <c r="X549" s="36"/>
      <c r="Y549" s="36"/>
      <c r="Z549" s="36"/>
      <c r="AA549" s="36"/>
    </row>
    <row r="550" spans="16:27" x14ac:dyDescent="0.2">
      <c r="P550" s="36"/>
      <c r="Q550" s="40"/>
      <c r="R550" s="40"/>
      <c r="S550" s="40"/>
      <c r="T550" s="41"/>
      <c r="U550" s="41"/>
      <c r="V550" s="41"/>
      <c r="W550" s="36"/>
      <c r="X550" s="36"/>
      <c r="Y550" s="36"/>
      <c r="Z550" s="36"/>
      <c r="AA550" s="36"/>
    </row>
    <row r="551" spans="16:27" x14ac:dyDescent="0.2">
      <c r="P551" s="36"/>
      <c r="Q551" s="40"/>
      <c r="R551" s="40"/>
      <c r="S551" s="40"/>
      <c r="T551" s="41"/>
      <c r="U551" s="41"/>
      <c r="V551" s="41"/>
      <c r="W551" s="36"/>
      <c r="X551" s="36"/>
      <c r="Y551" s="36"/>
      <c r="Z551" s="36"/>
      <c r="AA551" s="36"/>
    </row>
    <row r="552" spans="16:27" x14ac:dyDescent="0.2">
      <c r="P552" s="36"/>
      <c r="Q552" s="40"/>
      <c r="R552" s="40"/>
      <c r="S552" s="40"/>
      <c r="T552" s="41"/>
      <c r="U552" s="41"/>
      <c r="V552" s="41"/>
      <c r="W552" s="36"/>
      <c r="X552" s="36"/>
      <c r="Y552" s="36"/>
      <c r="Z552" s="36"/>
      <c r="AA552" s="36"/>
    </row>
    <row r="553" spans="16:27" x14ac:dyDescent="0.2">
      <c r="P553" s="36"/>
      <c r="Q553" s="40"/>
      <c r="R553" s="40"/>
      <c r="S553" s="40"/>
      <c r="T553" s="41"/>
      <c r="U553" s="41"/>
      <c r="V553" s="41"/>
      <c r="W553" s="36"/>
      <c r="X553" s="36"/>
      <c r="Y553" s="36"/>
      <c r="Z553" s="36"/>
      <c r="AA553" s="36"/>
    </row>
    <row r="554" spans="16:27" x14ac:dyDescent="0.2">
      <c r="P554" s="36"/>
      <c r="Q554" s="40"/>
      <c r="R554" s="40"/>
      <c r="S554" s="40"/>
      <c r="T554" s="41"/>
      <c r="U554" s="41"/>
      <c r="V554" s="41"/>
      <c r="W554" s="36"/>
      <c r="X554" s="36"/>
      <c r="Y554" s="36"/>
      <c r="Z554" s="36"/>
      <c r="AA554" s="36"/>
    </row>
    <row r="555" spans="16:27" x14ac:dyDescent="0.2">
      <c r="P555" s="36"/>
      <c r="Q555" s="40"/>
      <c r="R555" s="40"/>
      <c r="S555" s="40"/>
      <c r="T555" s="41"/>
      <c r="U555" s="41"/>
      <c r="V555" s="41"/>
      <c r="W555" s="36"/>
      <c r="X555" s="36"/>
      <c r="Y555" s="36"/>
      <c r="Z555" s="36"/>
      <c r="AA555" s="36"/>
    </row>
    <row r="556" spans="16:27" x14ac:dyDescent="0.2">
      <c r="P556" s="36"/>
      <c r="Q556" s="40"/>
      <c r="R556" s="40"/>
      <c r="S556" s="40"/>
      <c r="T556" s="41"/>
      <c r="U556" s="41"/>
      <c r="V556" s="41"/>
      <c r="W556" s="36"/>
      <c r="X556" s="36"/>
      <c r="Y556" s="36"/>
      <c r="Z556" s="36"/>
      <c r="AA556" s="36"/>
    </row>
    <row r="557" spans="16:27" x14ac:dyDescent="0.2">
      <c r="P557" s="36"/>
      <c r="Q557" s="40"/>
      <c r="R557" s="40"/>
      <c r="S557" s="40"/>
      <c r="T557" s="41"/>
      <c r="U557" s="41"/>
      <c r="V557" s="41"/>
      <c r="W557" s="36"/>
      <c r="X557" s="36"/>
      <c r="Y557" s="36"/>
      <c r="Z557" s="36"/>
      <c r="AA557" s="36"/>
    </row>
    <row r="558" spans="16:27" x14ac:dyDescent="0.2">
      <c r="P558" s="36"/>
      <c r="Q558" s="40"/>
      <c r="R558" s="40"/>
      <c r="S558" s="40"/>
      <c r="T558" s="41"/>
      <c r="U558" s="41"/>
      <c r="V558" s="41"/>
      <c r="W558" s="36"/>
      <c r="X558" s="36"/>
      <c r="Y558" s="36"/>
      <c r="Z558" s="36"/>
      <c r="AA558" s="36"/>
    </row>
    <row r="559" spans="16:27" x14ac:dyDescent="0.2">
      <c r="P559" s="36"/>
      <c r="Q559" s="40"/>
      <c r="R559" s="40"/>
      <c r="S559" s="40"/>
      <c r="T559" s="41"/>
      <c r="U559" s="41"/>
      <c r="V559" s="41"/>
      <c r="W559" s="36"/>
      <c r="X559" s="36"/>
      <c r="Y559" s="36"/>
      <c r="Z559" s="36"/>
      <c r="AA559" s="36"/>
    </row>
    <row r="560" spans="16:27" x14ac:dyDescent="0.2">
      <c r="P560" s="36"/>
      <c r="Q560" s="40"/>
      <c r="R560" s="40"/>
      <c r="S560" s="40"/>
      <c r="T560" s="41"/>
      <c r="U560" s="41"/>
      <c r="V560" s="41"/>
      <c r="W560" s="36"/>
      <c r="X560" s="36"/>
      <c r="Y560" s="36"/>
      <c r="Z560" s="36"/>
      <c r="AA560" s="36"/>
    </row>
    <row r="561" spans="16:27" x14ac:dyDescent="0.2">
      <c r="P561" s="36"/>
      <c r="Q561" s="40"/>
      <c r="R561" s="40"/>
      <c r="S561" s="40"/>
      <c r="T561" s="41"/>
      <c r="U561" s="41"/>
      <c r="V561" s="41"/>
      <c r="W561" s="36"/>
      <c r="X561" s="36"/>
      <c r="Y561" s="36"/>
      <c r="Z561" s="36"/>
      <c r="AA561" s="36"/>
    </row>
    <row r="562" spans="16:27" x14ac:dyDescent="0.2">
      <c r="P562" s="36"/>
      <c r="Q562" s="40"/>
      <c r="R562" s="40"/>
      <c r="S562" s="40"/>
      <c r="T562" s="41"/>
      <c r="U562" s="41"/>
      <c r="V562" s="41"/>
      <c r="W562" s="36"/>
      <c r="X562" s="36"/>
      <c r="Y562" s="36"/>
      <c r="Z562" s="36"/>
      <c r="AA562" s="36"/>
    </row>
    <row r="563" spans="16:27" x14ac:dyDescent="0.2">
      <c r="P563" s="36"/>
      <c r="Q563" s="40"/>
      <c r="R563" s="40"/>
      <c r="S563" s="40"/>
      <c r="T563" s="41"/>
      <c r="U563" s="41"/>
      <c r="V563" s="41"/>
      <c r="W563" s="36"/>
      <c r="X563" s="36"/>
      <c r="Y563" s="36"/>
      <c r="Z563" s="36"/>
      <c r="AA563" s="36"/>
    </row>
    <row r="564" spans="16:27" x14ac:dyDescent="0.2">
      <c r="P564" s="36"/>
      <c r="Q564" s="40"/>
      <c r="R564" s="40"/>
      <c r="S564" s="40"/>
      <c r="T564" s="41"/>
      <c r="U564" s="41"/>
      <c r="V564" s="41"/>
      <c r="W564" s="36"/>
      <c r="X564" s="36"/>
      <c r="Y564" s="36"/>
      <c r="Z564" s="36"/>
      <c r="AA564" s="36"/>
    </row>
    <row r="565" spans="16:27" x14ac:dyDescent="0.2">
      <c r="P565" s="36"/>
      <c r="Q565" s="40"/>
      <c r="R565" s="40"/>
      <c r="S565" s="40"/>
      <c r="T565" s="41"/>
      <c r="U565" s="41"/>
      <c r="V565" s="41"/>
      <c r="W565" s="36"/>
      <c r="X565" s="36"/>
      <c r="Y565" s="36"/>
      <c r="Z565" s="36"/>
      <c r="AA565" s="36"/>
    </row>
    <row r="566" spans="16:27" x14ac:dyDescent="0.2">
      <c r="P566" s="36"/>
      <c r="Q566" s="40"/>
      <c r="R566" s="40"/>
      <c r="S566" s="40"/>
      <c r="T566" s="41"/>
      <c r="U566" s="41"/>
      <c r="V566" s="41"/>
      <c r="W566" s="36"/>
      <c r="X566" s="36"/>
      <c r="Y566" s="36"/>
      <c r="Z566" s="36"/>
      <c r="AA566" s="36"/>
    </row>
    <row r="567" spans="16:27" x14ac:dyDescent="0.2">
      <c r="P567" s="36"/>
      <c r="Q567" s="40"/>
      <c r="R567" s="40"/>
      <c r="S567" s="40"/>
      <c r="T567" s="41"/>
      <c r="U567" s="41"/>
      <c r="V567" s="41"/>
      <c r="W567" s="36"/>
      <c r="X567" s="36"/>
      <c r="Y567" s="36"/>
      <c r="Z567" s="36"/>
      <c r="AA567" s="36"/>
    </row>
    <row r="568" spans="16:27" x14ac:dyDescent="0.2">
      <c r="P568" s="36"/>
      <c r="Q568" s="40"/>
      <c r="R568" s="40"/>
      <c r="S568" s="40"/>
      <c r="T568" s="41"/>
      <c r="U568" s="41"/>
      <c r="V568" s="41"/>
      <c r="W568" s="36"/>
      <c r="X568" s="36"/>
      <c r="Y568" s="36"/>
      <c r="Z568" s="36"/>
      <c r="AA568" s="36"/>
    </row>
    <row r="569" spans="16:27" x14ac:dyDescent="0.2">
      <c r="P569" s="36"/>
      <c r="Q569" s="40"/>
      <c r="R569" s="40"/>
      <c r="S569" s="40"/>
      <c r="T569" s="41"/>
      <c r="U569" s="41"/>
      <c r="V569" s="41"/>
      <c r="W569" s="36"/>
      <c r="X569" s="36"/>
      <c r="Y569" s="36"/>
      <c r="Z569" s="36"/>
      <c r="AA569" s="36"/>
    </row>
    <row r="570" spans="16:27" x14ac:dyDescent="0.2">
      <c r="P570" s="36"/>
      <c r="Q570" s="40"/>
      <c r="R570" s="40"/>
      <c r="S570" s="40"/>
      <c r="T570" s="41"/>
      <c r="U570" s="41"/>
      <c r="V570" s="41"/>
      <c r="W570" s="36"/>
      <c r="X570" s="36"/>
      <c r="Y570" s="36"/>
      <c r="Z570" s="36"/>
      <c r="AA570" s="36"/>
    </row>
    <row r="571" spans="16:27" x14ac:dyDescent="0.2">
      <c r="P571" s="36"/>
      <c r="Q571" s="40"/>
      <c r="R571" s="40"/>
      <c r="S571" s="40"/>
      <c r="T571" s="41"/>
      <c r="U571" s="41"/>
      <c r="V571" s="41"/>
      <c r="W571" s="36"/>
      <c r="X571" s="36"/>
      <c r="Y571" s="36"/>
      <c r="Z571" s="36"/>
      <c r="AA571" s="36"/>
    </row>
    <row r="572" spans="16:27" x14ac:dyDescent="0.2">
      <c r="P572" s="36"/>
      <c r="Q572" s="40"/>
      <c r="R572" s="40"/>
      <c r="S572" s="40"/>
      <c r="T572" s="41"/>
      <c r="U572" s="41"/>
      <c r="V572" s="41"/>
      <c r="W572" s="36"/>
      <c r="X572" s="36"/>
      <c r="Y572" s="36"/>
      <c r="Z572" s="36"/>
      <c r="AA572" s="36"/>
    </row>
    <row r="573" spans="16:27" x14ac:dyDescent="0.2">
      <c r="P573" s="36"/>
      <c r="Q573" s="40"/>
      <c r="R573" s="40"/>
      <c r="S573" s="40"/>
      <c r="T573" s="41"/>
      <c r="U573" s="41"/>
      <c r="V573" s="41"/>
      <c r="W573" s="36"/>
      <c r="X573" s="36"/>
      <c r="Y573" s="36"/>
      <c r="Z573" s="36"/>
      <c r="AA573" s="36"/>
    </row>
    <row r="574" spans="16:27" x14ac:dyDescent="0.2">
      <c r="P574" s="36"/>
      <c r="Q574" s="40"/>
      <c r="R574" s="40"/>
      <c r="S574" s="40"/>
      <c r="T574" s="41"/>
      <c r="U574" s="41"/>
      <c r="V574" s="41"/>
      <c r="W574" s="36"/>
      <c r="X574" s="36"/>
      <c r="Y574" s="36"/>
      <c r="Z574" s="36"/>
      <c r="AA574" s="36"/>
    </row>
    <row r="575" spans="16:27" x14ac:dyDescent="0.2">
      <c r="P575" s="36"/>
      <c r="Q575" s="40"/>
      <c r="R575" s="40"/>
      <c r="S575" s="40"/>
      <c r="T575" s="41"/>
      <c r="U575" s="41"/>
      <c r="V575" s="41"/>
      <c r="W575" s="36"/>
      <c r="X575" s="36"/>
      <c r="Y575" s="36"/>
      <c r="Z575" s="36"/>
      <c r="AA575" s="36"/>
    </row>
    <row r="576" spans="16:27" x14ac:dyDescent="0.2">
      <c r="P576" s="36"/>
      <c r="Q576" s="40"/>
      <c r="R576" s="40"/>
      <c r="S576" s="40"/>
      <c r="T576" s="41"/>
      <c r="U576" s="41"/>
      <c r="V576" s="41"/>
      <c r="W576" s="36"/>
      <c r="X576" s="36"/>
      <c r="Y576" s="36"/>
      <c r="Z576" s="36"/>
      <c r="AA576" s="36"/>
    </row>
    <row r="577" spans="16:27" x14ac:dyDescent="0.2">
      <c r="P577" s="36"/>
      <c r="Q577" s="40"/>
      <c r="R577" s="40"/>
      <c r="S577" s="40"/>
      <c r="T577" s="41"/>
      <c r="U577" s="41"/>
      <c r="V577" s="41"/>
      <c r="W577" s="36"/>
      <c r="X577" s="36"/>
      <c r="Y577" s="36"/>
      <c r="Z577" s="36"/>
      <c r="AA577" s="36"/>
    </row>
    <row r="578" spans="16:27" x14ac:dyDescent="0.2">
      <c r="P578" s="36"/>
      <c r="Q578" s="40"/>
      <c r="R578" s="40"/>
      <c r="S578" s="40"/>
      <c r="T578" s="41"/>
      <c r="U578" s="41"/>
      <c r="V578" s="41"/>
      <c r="W578" s="36"/>
      <c r="X578" s="36"/>
      <c r="Y578" s="36"/>
      <c r="Z578" s="36"/>
      <c r="AA578" s="36"/>
    </row>
    <row r="579" spans="16:27" x14ac:dyDescent="0.2">
      <c r="P579" s="36"/>
      <c r="Q579" s="40"/>
      <c r="R579" s="40"/>
      <c r="S579" s="40"/>
      <c r="T579" s="41"/>
      <c r="U579" s="41"/>
      <c r="V579" s="41"/>
      <c r="W579" s="36"/>
      <c r="X579" s="36"/>
      <c r="Y579" s="36"/>
      <c r="Z579" s="36"/>
      <c r="AA579" s="36"/>
    </row>
    <row r="580" spans="16:27" x14ac:dyDescent="0.2">
      <c r="P580" s="36"/>
      <c r="Q580" s="40"/>
      <c r="R580" s="40"/>
      <c r="S580" s="40"/>
      <c r="T580" s="41"/>
      <c r="U580" s="41"/>
      <c r="V580" s="41"/>
      <c r="W580" s="36"/>
      <c r="X580" s="36"/>
      <c r="Y580" s="36"/>
      <c r="Z580" s="36"/>
      <c r="AA580" s="36"/>
    </row>
    <row r="581" spans="16:27" x14ac:dyDescent="0.2">
      <c r="P581" s="36"/>
      <c r="Q581" s="40"/>
      <c r="R581" s="40"/>
      <c r="S581" s="40"/>
      <c r="T581" s="41"/>
      <c r="U581" s="41"/>
      <c r="V581" s="41"/>
      <c r="W581" s="36"/>
      <c r="X581" s="36"/>
      <c r="Y581" s="36"/>
      <c r="Z581" s="36"/>
      <c r="AA581" s="36"/>
    </row>
    <row r="582" spans="16:27" x14ac:dyDescent="0.2">
      <c r="P582" s="36"/>
      <c r="Q582" s="40"/>
      <c r="R582" s="40"/>
      <c r="S582" s="40"/>
      <c r="T582" s="41"/>
      <c r="U582" s="41"/>
      <c r="V582" s="41"/>
      <c r="W582" s="36"/>
      <c r="X582" s="36"/>
      <c r="Y582" s="36"/>
      <c r="Z582" s="36"/>
      <c r="AA582" s="36"/>
    </row>
    <row r="583" spans="16:27" x14ac:dyDescent="0.2">
      <c r="P583" s="36"/>
      <c r="Q583" s="40"/>
      <c r="R583" s="40"/>
      <c r="S583" s="40"/>
      <c r="T583" s="41"/>
      <c r="U583" s="41"/>
      <c r="V583" s="41"/>
      <c r="W583" s="36"/>
      <c r="X583" s="36"/>
      <c r="Y583" s="36"/>
      <c r="Z583" s="36"/>
      <c r="AA583" s="36"/>
    </row>
    <row r="584" spans="16:27" x14ac:dyDescent="0.2">
      <c r="P584" s="36"/>
      <c r="Q584" s="40"/>
      <c r="R584" s="40"/>
      <c r="S584" s="40"/>
      <c r="T584" s="41"/>
      <c r="U584" s="41"/>
      <c r="V584" s="41"/>
      <c r="W584" s="36"/>
      <c r="X584" s="36"/>
      <c r="Y584" s="36"/>
      <c r="Z584" s="36"/>
      <c r="AA584" s="36"/>
    </row>
    <row r="585" spans="16:27" x14ac:dyDescent="0.2">
      <c r="P585" s="36"/>
      <c r="Q585" s="40"/>
      <c r="R585" s="40"/>
      <c r="S585" s="40"/>
      <c r="T585" s="41"/>
      <c r="U585" s="41"/>
      <c r="V585" s="41"/>
      <c r="W585" s="36"/>
      <c r="X585" s="36"/>
      <c r="Y585" s="36"/>
      <c r="Z585" s="36"/>
      <c r="AA585" s="36"/>
    </row>
    <row r="586" spans="16:27" x14ac:dyDescent="0.2">
      <c r="P586" s="36"/>
      <c r="Q586" s="40"/>
      <c r="R586" s="40"/>
      <c r="S586" s="40"/>
      <c r="T586" s="41"/>
      <c r="U586" s="41"/>
      <c r="V586" s="41"/>
      <c r="W586" s="36"/>
      <c r="X586" s="36"/>
      <c r="Y586" s="36"/>
      <c r="Z586" s="36"/>
      <c r="AA586" s="36"/>
    </row>
    <row r="587" spans="16:27" x14ac:dyDescent="0.2">
      <c r="P587" s="36"/>
      <c r="Q587" s="40"/>
      <c r="R587" s="40"/>
      <c r="S587" s="40"/>
      <c r="T587" s="41"/>
      <c r="U587" s="41"/>
      <c r="V587" s="41"/>
      <c r="W587" s="36"/>
      <c r="X587" s="36"/>
      <c r="Y587" s="36"/>
      <c r="Z587" s="36"/>
      <c r="AA587" s="36"/>
    </row>
    <row r="588" spans="16:27" x14ac:dyDescent="0.2">
      <c r="P588" s="36"/>
      <c r="Q588" s="40"/>
      <c r="R588" s="40"/>
      <c r="S588" s="40"/>
      <c r="T588" s="41"/>
      <c r="U588" s="41"/>
      <c r="V588" s="41"/>
      <c r="W588" s="36"/>
      <c r="X588" s="36"/>
      <c r="Y588" s="36"/>
      <c r="Z588" s="36"/>
      <c r="AA588" s="36"/>
    </row>
    <row r="589" spans="16:27" x14ac:dyDescent="0.2">
      <c r="P589" s="36"/>
      <c r="Q589" s="40"/>
      <c r="R589" s="40"/>
      <c r="S589" s="40"/>
      <c r="T589" s="41"/>
      <c r="U589" s="41"/>
      <c r="V589" s="41"/>
      <c r="W589" s="36"/>
      <c r="X589" s="36"/>
      <c r="Y589" s="36"/>
      <c r="Z589" s="36"/>
      <c r="AA589" s="36"/>
    </row>
    <row r="590" spans="16:27" x14ac:dyDescent="0.2">
      <c r="P590" s="36"/>
      <c r="Q590" s="40"/>
      <c r="R590" s="40"/>
      <c r="S590" s="40"/>
      <c r="T590" s="41"/>
      <c r="U590" s="41"/>
      <c r="V590" s="41"/>
      <c r="W590" s="36"/>
      <c r="X590" s="36"/>
      <c r="Y590" s="36"/>
      <c r="Z590" s="36"/>
      <c r="AA590" s="36"/>
    </row>
    <row r="591" spans="16:27" x14ac:dyDescent="0.2">
      <c r="P591" s="36"/>
      <c r="Q591" s="40"/>
      <c r="R591" s="40"/>
      <c r="S591" s="40"/>
      <c r="T591" s="41"/>
      <c r="U591" s="41"/>
      <c r="V591" s="41"/>
      <c r="W591" s="36"/>
      <c r="X591" s="36"/>
      <c r="Y591" s="36"/>
      <c r="Z591" s="36"/>
      <c r="AA591" s="36"/>
    </row>
    <row r="592" spans="16:27" x14ac:dyDescent="0.2">
      <c r="P592" s="36"/>
      <c r="Q592" s="40"/>
      <c r="R592" s="40"/>
      <c r="S592" s="40"/>
      <c r="T592" s="41"/>
      <c r="U592" s="41"/>
      <c r="V592" s="41"/>
      <c r="W592" s="36"/>
      <c r="X592" s="36"/>
      <c r="Y592" s="36"/>
      <c r="Z592" s="36"/>
      <c r="AA592" s="36"/>
    </row>
    <row r="593" spans="16:27" x14ac:dyDescent="0.2">
      <c r="P593" s="36"/>
      <c r="Q593" s="40"/>
      <c r="R593" s="40"/>
      <c r="S593" s="40"/>
      <c r="T593" s="41"/>
      <c r="U593" s="41"/>
      <c r="V593" s="41"/>
      <c r="W593" s="36"/>
      <c r="X593" s="36"/>
      <c r="Y593" s="36"/>
      <c r="Z593" s="36"/>
      <c r="AA593" s="36"/>
    </row>
    <row r="594" spans="16:27" x14ac:dyDescent="0.2">
      <c r="P594" s="36"/>
      <c r="Q594" s="40"/>
      <c r="R594" s="40"/>
      <c r="S594" s="40"/>
      <c r="T594" s="41"/>
      <c r="U594" s="41"/>
      <c r="V594" s="41"/>
      <c r="W594" s="36"/>
      <c r="X594" s="36"/>
      <c r="Y594" s="36"/>
      <c r="Z594" s="36"/>
      <c r="AA594" s="36"/>
    </row>
    <row r="595" spans="16:27" x14ac:dyDescent="0.2">
      <c r="P595" s="36"/>
      <c r="Q595" s="40"/>
      <c r="R595" s="40"/>
      <c r="S595" s="40"/>
      <c r="T595" s="41"/>
      <c r="U595" s="41"/>
      <c r="V595" s="41"/>
      <c r="W595" s="36"/>
      <c r="X595" s="36"/>
      <c r="Y595" s="36"/>
      <c r="Z595" s="36"/>
      <c r="AA595" s="36"/>
    </row>
    <row r="596" spans="16:27" x14ac:dyDescent="0.2">
      <c r="P596" s="36"/>
      <c r="Q596" s="40"/>
      <c r="R596" s="40"/>
      <c r="S596" s="40"/>
      <c r="T596" s="41"/>
      <c r="U596" s="41"/>
      <c r="V596" s="41"/>
      <c r="W596" s="36"/>
      <c r="X596" s="36"/>
      <c r="Y596" s="36"/>
      <c r="Z596" s="36"/>
      <c r="AA596" s="36"/>
    </row>
    <row r="597" spans="16:27" x14ac:dyDescent="0.2">
      <c r="P597" s="36"/>
      <c r="Q597" s="40"/>
      <c r="R597" s="40"/>
      <c r="S597" s="40"/>
      <c r="T597" s="41"/>
      <c r="U597" s="41"/>
      <c r="V597" s="41"/>
      <c r="W597" s="36"/>
      <c r="X597" s="36"/>
      <c r="Y597" s="36"/>
      <c r="Z597" s="36"/>
      <c r="AA597" s="36"/>
    </row>
    <row r="598" spans="16:27" x14ac:dyDescent="0.2">
      <c r="P598" s="36"/>
      <c r="Q598" s="40"/>
      <c r="R598" s="40"/>
      <c r="S598" s="40"/>
      <c r="T598" s="41"/>
      <c r="U598" s="41"/>
      <c r="V598" s="41"/>
      <c r="W598" s="36"/>
      <c r="X598" s="36"/>
      <c r="Y598" s="36"/>
      <c r="Z598" s="36"/>
      <c r="AA598" s="36"/>
    </row>
    <row r="599" spans="16:27" x14ac:dyDescent="0.2">
      <c r="P599" s="36"/>
      <c r="Q599" s="40"/>
      <c r="R599" s="40"/>
      <c r="S599" s="40"/>
      <c r="T599" s="41"/>
      <c r="U599" s="41"/>
      <c r="V599" s="41"/>
      <c r="W599" s="36"/>
      <c r="X599" s="36"/>
      <c r="Y599" s="36"/>
      <c r="Z599" s="36"/>
      <c r="AA599" s="36"/>
    </row>
    <row r="600" spans="16:27" x14ac:dyDescent="0.2">
      <c r="P600" s="36"/>
      <c r="Q600" s="40"/>
      <c r="R600" s="40"/>
      <c r="S600" s="40"/>
      <c r="T600" s="41"/>
      <c r="U600" s="41"/>
      <c r="V600" s="41"/>
      <c r="W600" s="36"/>
      <c r="X600" s="36"/>
      <c r="Y600" s="36"/>
      <c r="Z600" s="36"/>
      <c r="AA600" s="36"/>
    </row>
    <row r="601" spans="16:27" x14ac:dyDescent="0.2">
      <c r="P601" s="36"/>
      <c r="Q601" s="40"/>
      <c r="R601" s="40"/>
      <c r="S601" s="40"/>
      <c r="T601" s="41"/>
      <c r="U601" s="41"/>
      <c r="V601" s="41"/>
      <c r="W601" s="36"/>
      <c r="X601" s="36"/>
      <c r="Y601" s="36"/>
      <c r="Z601" s="36"/>
      <c r="AA601" s="36"/>
    </row>
    <row r="602" spans="16:27" x14ac:dyDescent="0.2">
      <c r="P602" s="36"/>
      <c r="Q602" s="40"/>
      <c r="R602" s="40"/>
      <c r="S602" s="40"/>
      <c r="T602" s="41"/>
      <c r="U602" s="41"/>
      <c r="V602" s="41"/>
      <c r="W602" s="36"/>
      <c r="X602" s="36"/>
      <c r="Y602" s="36"/>
      <c r="Z602" s="36"/>
      <c r="AA602" s="36"/>
    </row>
    <row r="603" spans="16:27" x14ac:dyDescent="0.2">
      <c r="P603" s="36"/>
      <c r="Q603" s="40"/>
      <c r="R603" s="40"/>
      <c r="S603" s="40"/>
      <c r="T603" s="41"/>
      <c r="U603" s="41"/>
      <c r="V603" s="41"/>
      <c r="W603" s="36"/>
      <c r="X603" s="36"/>
      <c r="Y603" s="36"/>
      <c r="Z603" s="36"/>
      <c r="AA603" s="36"/>
    </row>
    <row r="604" spans="16:27" x14ac:dyDescent="0.2">
      <c r="P604" s="36"/>
      <c r="Q604" s="40"/>
      <c r="R604" s="40"/>
      <c r="S604" s="40"/>
      <c r="T604" s="41"/>
      <c r="U604" s="41"/>
      <c r="V604" s="41"/>
      <c r="W604" s="36"/>
      <c r="X604" s="36"/>
      <c r="Y604" s="36"/>
      <c r="Z604" s="36"/>
      <c r="AA604" s="36"/>
    </row>
    <row r="605" spans="16:27" x14ac:dyDescent="0.2">
      <c r="P605" s="36"/>
      <c r="Q605" s="40"/>
      <c r="R605" s="40"/>
      <c r="S605" s="40"/>
      <c r="T605" s="41"/>
      <c r="U605" s="41"/>
      <c r="V605" s="41"/>
      <c r="W605" s="36"/>
      <c r="X605" s="36"/>
      <c r="Y605" s="36"/>
      <c r="Z605" s="36"/>
      <c r="AA605" s="36"/>
    </row>
    <row r="606" spans="16:27" x14ac:dyDescent="0.2">
      <c r="P606" s="36"/>
      <c r="Q606" s="40"/>
      <c r="R606" s="40"/>
      <c r="S606" s="40"/>
      <c r="T606" s="41"/>
      <c r="U606" s="41"/>
      <c r="V606" s="41"/>
      <c r="W606" s="36"/>
      <c r="X606" s="36"/>
      <c r="Y606" s="36"/>
      <c r="Z606" s="36"/>
      <c r="AA606" s="36"/>
    </row>
    <row r="607" spans="16:27" x14ac:dyDescent="0.2">
      <c r="P607" s="36"/>
      <c r="Q607" s="40"/>
      <c r="R607" s="40"/>
      <c r="S607" s="40"/>
      <c r="T607" s="41"/>
      <c r="U607" s="41"/>
      <c r="V607" s="41"/>
      <c r="W607" s="36"/>
      <c r="X607" s="36"/>
      <c r="Y607" s="36"/>
      <c r="Z607" s="36"/>
      <c r="AA607" s="36"/>
    </row>
    <row r="608" spans="16:27" x14ac:dyDescent="0.2">
      <c r="P608" s="36"/>
      <c r="Q608" s="40"/>
      <c r="R608" s="40"/>
      <c r="S608" s="40"/>
      <c r="T608" s="41"/>
      <c r="U608" s="41"/>
      <c r="V608" s="41"/>
      <c r="W608" s="36"/>
      <c r="X608" s="36"/>
      <c r="Y608" s="36"/>
      <c r="Z608" s="36"/>
      <c r="AA608" s="36"/>
    </row>
    <row r="609" spans="16:27" x14ac:dyDescent="0.2">
      <c r="P609" s="36"/>
      <c r="Q609" s="40"/>
      <c r="R609" s="40"/>
      <c r="S609" s="40"/>
      <c r="T609" s="41"/>
      <c r="U609" s="41"/>
      <c r="V609" s="41"/>
      <c r="W609" s="36"/>
      <c r="X609" s="36"/>
      <c r="Y609" s="36"/>
      <c r="Z609" s="36"/>
      <c r="AA609" s="36"/>
    </row>
    <row r="610" spans="16:27" x14ac:dyDescent="0.2">
      <c r="P610" s="36"/>
      <c r="Q610" s="40"/>
      <c r="R610" s="40"/>
      <c r="S610" s="40"/>
      <c r="T610" s="41"/>
      <c r="U610" s="41"/>
      <c r="V610" s="41"/>
      <c r="W610" s="36"/>
      <c r="X610" s="36"/>
      <c r="Y610" s="36"/>
      <c r="Z610" s="36"/>
      <c r="AA610" s="36"/>
    </row>
    <row r="611" spans="16:27" x14ac:dyDescent="0.2">
      <c r="P611" s="36"/>
      <c r="Q611" s="40"/>
      <c r="R611" s="40"/>
      <c r="S611" s="40"/>
      <c r="T611" s="41"/>
      <c r="U611" s="41"/>
      <c r="V611" s="41"/>
      <c r="W611" s="36"/>
      <c r="X611" s="36"/>
      <c r="Y611" s="36"/>
      <c r="Z611" s="36"/>
      <c r="AA611" s="36"/>
    </row>
    <row r="612" spans="16:27" x14ac:dyDescent="0.2">
      <c r="P612" s="36"/>
      <c r="Q612" s="40"/>
      <c r="R612" s="40"/>
      <c r="S612" s="40"/>
      <c r="T612" s="41"/>
      <c r="U612" s="41"/>
      <c r="V612" s="41"/>
      <c r="W612" s="36"/>
      <c r="X612" s="36"/>
      <c r="Y612" s="36"/>
      <c r="Z612" s="36"/>
      <c r="AA612" s="36"/>
    </row>
    <row r="613" spans="16:27" x14ac:dyDescent="0.2">
      <c r="P613" s="36"/>
      <c r="Q613" s="40"/>
      <c r="R613" s="40"/>
      <c r="S613" s="40"/>
      <c r="T613" s="41"/>
      <c r="U613" s="41"/>
      <c r="V613" s="41"/>
      <c r="W613" s="36"/>
      <c r="X613" s="36"/>
      <c r="Y613" s="36"/>
      <c r="Z613" s="36"/>
      <c r="AA613" s="36"/>
    </row>
    <row r="614" spans="16:27" x14ac:dyDescent="0.2">
      <c r="P614" s="36"/>
      <c r="Q614" s="40"/>
      <c r="R614" s="40"/>
      <c r="S614" s="40"/>
      <c r="T614" s="41"/>
      <c r="U614" s="41"/>
      <c r="V614" s="41"/>
      <c r="W614" s="36"/>
      <c r="X614" s="36"/>
      <c r="Y614" s="36"/>
      <c r="Z614" s="36"/>
      <c r="AA614" s="36"/>
    </row>
    <row r="615" spans="16:27" x14ac:dyDescent="0.2">
      <c r="P615" s="36"/>
      <c r="Q615" s="40"/>
      <c r="R615" s="40"/>
      <c r="S615" s="40"/>
      <c r="T615" s="41"/>
      <c r="U615" s="41"/>
      <c r="V615" s="41"/>
      <c r="W615" s="36"/>
      <c r="X615" s="36"/>
      <c r="Y615" s="36"/>
      <c r="Z615" s="36"/>
      <c r="AA615" s="36"/>
    </row>
    <row r="616" spans="16:27" x14ac:dyDescent="0.2">
      <c r="P616" s="36"/>
      <c r="Q616" s="40"/>
      <c r="R616" s="40"/>
      <c r="S616" s="40"/>
      <c r="T616" s="41"/>
      <c r="U616" s="41"/>
      <c r="V616" s="41"/>
      <c r="W616" s="36"/>
      <c r="X616" s="36"/>
      <c r="Y616" s="36"/>
      <c r="Z616" s="36"/>
      <c r="AA616" s="36"/>
    </row>
    <row r="617" spans="16:27" x14ac:dyDescent="0.2">
      <c r="P617" s="36"/>
      <c r="Q617" s="40"/>
      <c r="R617" s="40"/>
      <c r="S617" s="40"/>
      <c r="T617" s="41"/>
      <c r="U617" s="41"/>
      <c r="V617" s="41"/>
      <c r="W617" s="36"/>
      <c r="X617" s="36"/>
      <c r="Y617" s="36"/>
      <c r="Z617" s="36"/>
      <c r="AA617" s="36"/>
    </row>
    <row r="618" spans="16:27" x14ac:dyDescent="0.2">
      <c r="P618" s="36"/>
      <c r="Q618" s="40"/>
      <c r="R618" s="40"/>
      <c r="S618" s="40"/>
      <c r="T618" s="41"/>
      <c r="U618" s="41"/>
      <c r="V618" s="41"/>
      <c r="W618" s="36"/>
      <c r="X618" s="36"/>
      <c r="Y618" s="36"/>
      <c r="Z618" s="36"/>
      <c r="AA618" s="36"/>
    </row>
    <row r="619" spans="16:27" x14ac:dyDescent="0.2">
      <c r="P619" s="36"/>
      <c r="Q619" s="40"/>
      <c r="R619" s="40"/>
      <c r="S619" s="40"/>
      <c r="T619" s="41"/>
      <c r="U619" s="41"/>
      <c r="V619" s="41"/>
      <c r="W619" s="36"/>
      <c r="X619" s="36"/>
      <c r="Y619" s="36"/>
      <c r="Z619" s="36"/>
      <c r="AA619" s="36"/>
    </row>
    <row r="620" spans="16:27" x14ac:dyDescent="0.2">
      <c r="P620" s="36"/>
      <c r="Q620" s="40"/>
      <c r="R620" s="40"/>
      <c r="S620" s="40"/>
      <c r="T620" s="41"/>
      <c r="U620" s="41"/>
      <c r="V620" s="41"/>
      <c r="W620" s="36"/>
      <c r="X620" s="36"/>
      <c r="Y620" s="36"/>
      <c r="Z620" s="36"/>
      <c r="AA620" s="36"/>
    </row>
    <row r="621" spans="16:27" x14ac:dyDescent="0.2">
      <c r="P621" s="36"/>
      <c r="Q621" s="40"/>
      <c r="R621" s="40"/>
      <c r="S621" s="40"/>
      <c r="T621" s="41"/>
      <c r="U621" s="41"/>
      <c r="V621" s="41"/>
      <c r="W621" s="36"/>
      <c r="X621" s="36"/>
      <c r="Y621" s="36"/>
      <c r="Z621" s="36"/>
      <c r="AA621" s="36"/>
    </row>
    <row r="622" spans="16:27" x14ac:dyDescent="0.2">
      <c r="P622" s="36"/>
      <c r="Q622" s="40"/>
      <c r="R622" s="40"/>
      <c r="S622" s="40"/>
      <c r="T622" s="41"/>
      <c r="U622" s="41"/>
      <c r="V622" s="41"/>
      <c r="W622" s="36"/>
      <c r="X622" s="36"/>
      <c r="Y622" s="36"/>
      <c r="Z622" s="36"/>
      <c r="AA622" s="36"/>
    </row>
    <row r="623" spans="16:27" x14ac:dyDescent="0.2">
      <c r="P623" s="36"/>
      <c r="Q623" s="40"/>
      <c r="R623" s="40"/>
      <c r="S623" s="40"/>
      <c r="T623" s="41"/>
      <c r="U623" s="41"/>
      <c r="V623" s="41"/>
      <c r="W623" s="36"/>
      <c r="X623" s="36"/>
      <c r="Y623" s="36"/>
      <c r="Z623" s="36"/>
      <c r="AA623" s="36"/>
    </row>
    <row r="624" spans="16:27" x14ac:dyDescent="0.2">
      <c r="P624" s="36"/>
      <c r="Q624" s="40"/>
      <c r="R624" s="40"/>
      <c r="S624" s="40"/>
      <c r="T624" s="41"/>
      <c r="U624" s="41"/>
      <c r="V624" s="41"/>
      <c r="W624" s="36"/>
      <c r="X624" s="36"/>
      <c r="Y624" s="36"/>
      <c r="Z624" s="36"/>
      <c r="AA624" s="36"/>
    </row>
    <row r="625" spans="16:27" x14ac:dyDescent="0.2">
      <c r="P625" s="36"/>
      <c r="Q625" s="40"/>
      <c r="R625" s="40"/>
      <c r="S625" s="40"/>
      <c r="T625" s="41"/>
      <c r="U625" s="41"/>
      <c r="V625" s="41"/>
      <c r="W625" s="36"/>
      <c r="X625" s="36"/>
      <c r="Y625" s="36"/>
      <c r="Z625" s="36"/>
      <c r="AA625" s="36"/>
    </row>
    <row r="626" spans="16:27" x14ac:dyDescent="0.2">
      <c r="P626" s="36"/>
      <c r="Q626" s="40"/>
      <c r="R626" s="40"/>
      <c r="S626" s="40"/>
      <c r="T626" s="41"/>
      <c r="U626" s="41"/>
      <c r="V626" s="41"/>
      <c r="W626" s="36"/>
      <c r="X626" s="36"/>
      <c r="Y626" s="36"/>
      <c r="Z626" s="36"/>
      <c r="AA626" s="36"/>
    </row>
    <row r="627" spans="16:27" x14ac:dyDescent="0.2">
      <c r="P627" s="36"/>
      <c r="Q627" s="40"/>
      <c r="R627" s="40"/>
      <c r="S627" s="40"/>
      <c r="T627" s="41"/>
      <c r="U627" s="41"/>
      <c r="V627" s="41"/>
      <c r="W627" s="36"/>
      <c r="X627" s="36"/>
      <c r="Y627" s="36"/>
      <c r="Z627" s="36"/>
      <c r="AA627" s="36"/>
    </row>
    <row r="628" spans="16:27" x14ac:dyDescent="0.2">
      <c r="P628" s="36"/>
      <c r="Q628" s="40"/>
      <c r="R628" s="40"/>
      <c r="S628" s="40"/>
      <c r="T628" s="41"/>
      <c r="U628" s="41"/>
      <c r="V628" s="41"/>
      <c r="W628" s="36"/>
      <c r="X628" s="36"/>
      <c r="Y628" s="36"/>
      <c r="Z628" s="36"/>
      <c r="AA628" s="36"/>
    </row>
    <row r="629" spans="16:27" x14ac:dyDescent="0.2">
      <c r="P629" s="36"/>
      <c r="Q629" s="40"/>
      <c r="R629" s="40"/>
      <c r="S629" s="40"/>
      <c r="T629" s="41"/>
      <c r="U629" s="41"/>
      <c r="V629" s="41"/>
      <c r="W629" s="36"/>
      <c r="X629" s="36"/>
      <c r="Y629" s="36"/>
      <c r="Z629" s="36"/>
      <c r="AA629" s="36"/>
    </row>
    <row r="630" spans="16:27" x14ac:dyDescent="0.2">
      <c r="P630" s="36"/>
      <c r="Q630" s="40"/>
      <c r="R630" s="40"/>
      <c r="S630" s="40"/>
      <c r="T630" s="41"/>
      <c r="U630" s="41"/>
      <c r="V630" s="41"/>
      <c r="W630" s="36"/>
      <c r="X630" s="36"/>
      <c r="Y630" s="36"/>
      <c r="Z630" s="36"/>
      <c r="AA630" s="36"/>
    </row>
    <row r="631" spans="16:27" x14ac:dyDescent="0.2">
      <c r="P631" s="36"/>
      <c r="Q631" s="40"/>
      <c r="R631" s="40"/>
      <c r="S631" s="40"/>
      <c r="T631" s="41"/>
      <c r="U631" s="41"/>
      <c r="V631" s="41"/>
      <c r="W631" s="36"/>
      <c r="X631" s="36"/>
      <c r="Y631" s="36"/>
      <c r="Z631" s="36"/>
      <c r="AA631" s="36"/>
    </row>
    <row r="632" spans="16:27" x14ac:dyDescent="0.2">
      <c r="P632" s="36"/>
      <c r="Q632" s="40"/>
      <c r="R632" s="40"/>
      <c r="S632" s="40"/>
      <c r="T632" s="41"/>
      <c r="U632" s="41"/>
      <c r="V632" s="41"/>
      <c r="W632" s="36"/>
      <c r="X632" s="36"/>
      <c r="Y632" s="36"/>
      <c r="Z632" s="36"/>
      <c r="AA632" s="36"/>
    </row>
    <row r="633" spans="16:27" x14ac:dyDescent="0.2">
      <c r="P633" s="36"/>
      <c r="Q633" s="40"/>
      <c r="R633" s="40"/>
      <c r="S633" s="40"/>
      <c r="T633" s="41"/>
      <c r="U633" s="41"/>
      <c r="V633" s="41"/>
      <c r="W633" s="36"/>
      <c r="X633" s="36"/>
      <c r="Y633" s="36"/>
      <c r="Z633" s="36"/>
      <c r="AA633" s="36"/>
    </row>
    <row r="634" spans="16:27" x14ac:dyDescent="0.2">
      <c r="P634" s="36"/>
      <c r="Q634" s="40"/>
      <c r="R634" s="40"/>
      <c r="S634" s="40"/>
      <c r="T634" s="41"/>
      <c r="U634" s="41"/>
      <c r="V634" s="41"/>
      <c r="W634" s="36"/>
      <c r="X634" s="36"/>
      <c r="Y634" s="36"/>
      <c r="Z634" s="36"/>
      <c r="AA634" s="36"/>
    </row>
    <row r="635" spans="16:27" x14ac:dyDescent="0.2">
      <c r="P635" s="36"/>
      <c r="Q635" s="40"/>
      <c r="R635" s="40"/>
      <c r="S635" s="40"/>
      <c r="T635" s="41"/>
      <c r="U635" s="41"/>
      <c r="V635" s="41"/>
      <c r="W635" s="36"/>
      <c r="X635" s="36"/>
      <c r="Y635" s="36"/>
      <c r="Z635" s="36"/>
      <c r="AA635" s="36"/>
    </row>
    <row r="636" spans="16:27" x14ac:dyDescent="0.2">
      <c r="P636" s="36"/>
      <c r="Q636" s="40"/>
      <c r="R636" s="40"/>
      <c r="S636" s="40"/>
      <c r="T636" s="41"/>
      <c r="U636" s="41"/>
      <c r="V636" s="41"/>
      <c r="W636" s="36"/>
      <c r="X636" s="36"/>
      <c r="Y636" s="36"/>
      <c r="Z636" s="36"/>
      <c r="AA636" s="36"/>
    </row>
    <row r="637" spans="16:27" x14ac:dyDescent="0.2">
      <c r="P637" s="36"/>
      <c r="Q637" s="40"/>
      <c r="R637" s="40"/>
      <c r="S637" s="40"/>
      <c r="T637" s="41"/>
      <c r="U637" s="41"/>
      <c r="V637" s="41"/>
      <c r="W637" s="36"/>
      <c r="X637" s="36"/>
      <c r="Y637" s="36"/>
      <c r="Z637" s="36"/>
      <c r="AA637" s="36"/>
    </row>
    <row r="638" spans="16:27" x14ac:dyDescent="0.2">
      <c r="P638" s="36"/>
      <c r="Q638" s="40"/>
      <c r="R638" s="40"/>
      <c r="S638" s="40"/>
      <c r="T638" s="41"/>
      <c r="U638" s="41"/>
      <c r="V638" s="41"/>
      <c r="W638" s="36"/>
      <c r="X638" s="36"/>
      <c r="Y638" s="36"/>
      <c r="Z638" s="36"/>
      <c r="AA638" s="36"/>
    </row>
    <row r="639" spans="16:27" x14ac:dyDescent="0.2">
      <c r="P639" s="36"/>
      <c r="Q639" s="40"/>
      <c r="R639" s="40"/>
      <c r="S639" s="40"/>
      <c r="T639" s="41"/>
      <c r="U639" s="41"/>
      <c r="V639" s="41"/>
      <c r="W639" s="36"/>
      <c r="X639" s="36"/>
      <c r="Y639" s="36"/>
      <c r="Z639" s="36"/>
      <c r="AA639" s="36"/>
    </row>
    <row r="640" spans="16:27" x14ac:dyDescent="0.2">
      <c r="P640" s="36"/>
      <c r="Q640" s="40"/>
      <c r="R640" s="40"/>
      <c r="S640" s="40"/>
      <c r="T640" s="41"/>
      <c r="U640" s="41"/>
      <c r="V640" s="41"/>
      <c r="W640" s="36"/>
      <c r="X640" s="36"/>
      <c r="Y640" s="36"/>
      <c r="Z640" s="36"/>
      <c r="AA640" s="36"/>
    </row>
    <row r="641" spans="16:27" x14ac:dyDescent="0.2">
      <c r="P641" s="36"/>
      <c r="Q641" s="40"/>
      <c r="R641" s="40"/>
      <c r="S641" s="40"/>
      <c r="T641" s="41"/>
      <c r="U641" s="41"/>
      <c r="V641" s="41"/>
      <c r="W641" s="36"/>
      <c r="X641" s="36"/>
      <c r="Y641" s="36"/>
      <c r="Z641" s="36"/>
      <c r="AA641" s="36"/>
    </row>
    <row r="642" spans="16:27" x14ac:dyDescent="0.2">
      <c r="P642" s="36"/>
      <c r="Q642" s="40"/>
      <c r="R642" s="40"/>
      <c r="S642" s="40"/>
      <c r="T642" s="41"/>
      <c r="U642" s="41"/>
      <c r="V642" s="41"/>
      <c r="W642" s="36"/>
      <c r="X642" s="36"/>
      <c r="Y642" s="36"/>
      <c r="Z642" s="36"/>
      <c r="AA642" s="36"/>
    </row>
    <row r="643" spans="16:27" x14ac:dyDescent="0.2">
      <c r="P643" s="36"/>
      <c r="Q643" s="40"/>
      <c r="R643" s="40"/>
      <c r="S643" s="40"/>
      <c r="T643" s="41"/>
      <c r="U643" s="41"/>
      <c r="V643" s="41"/>
      <c r="W643" s="36"/>
      <c r="X643" s="36"/>
      <c r="Y643" s="36"/>
      <c r="Z643" s="36"/>
      <c r="AA643" s="36"/>
    </row>
    <row r="644" spans="16:27" x14ac:dyDescent="0.2">
      <c r="P644" s="36"/>
      <c r="Q644" s="40"/>
      <c r="R644" s="40"/>
      <c r="S644" s="40"/>
      <c r="T644" s="41"/>
      <c r="U644" s="41"/>
      <c r="V644" s="41"/>
      <c r="W644" s="36"/>
      <c r="X644" s="36"/>
      <c r="Y644" s="36"/>
      <c r="Z644" s="36"/>
      <c r="AA644" s="36"/>
    </row>
    <row r="645" spans="16:27" x14ac:dyDescent="0.2">
      <c r="P645" s="36"/>
      <c r="Q645" s="40"/>
      <c r="R645" s="40"/>
      <c r="S645" s="40"/>
      <c r="T645" s="41"/>
      <c r="U645" s="41"/>
      <c r="V645" s="41"/>
      <c r="W645" s="36"/>
      <c r="X645" s="36"/>
      <c r="Y645" s="36"/>
      <c r="Z645" s="36"/>
      <c r="AA645" s="36"/>
    </row>
    <row r="646" spans="16:27" x14ac:dyDescent="0.2">
      <c r="P646" s="36"/>
      <c r="Q646" s="40"/>
      <c r="R646" s="40"/>
      <c r="S646" s="40"/>
      <c r="T646" s="41"/>
      <c r="U646" s="41"/>
      <c r="V646" s="41"/>
      <c r="W646" s="36"/>
      <c r="X646" s="36"/>
      <c r="Y646" s="36"/>
      <c r="Z646" s="36"/>
      <c r="AA646" s="36"/>
    </row>
    <row r="647" spans="16:27" x14ac:dyDescent="0.2">
      <c r="P647" s="36"/>
      <c r="Q647" s="40"/>
      <c r="R647" s="40"/>
      <c r="S647" s="40"/>
      <c r="T647" s="41"/>
      <c r="U647" s="41"/>
      <c r="V647" s="41"/>
      <c r="W647" s="36"/>
      <c r="X647" s="36"/>
      <c r="Y647" s="36"/>
      <c r="Z647" s="36"/>
      <c r="AA647" s="36"/>
    </row>
    <row r="648" spans="16:27" x14ac:dyDescent="0.2">
      <c r="P648" s="36"/>
      <c r="Q648" s="40"/>
      <c r="R648" s="40"/>
      <c r="S648" s="40"/>
      <c r="T648" s="41"/>
      <c r="U648" s="41"/>
      <c r="V648" s="41"/>
      <c r="W648" s="36"/>
      <c r="X648" s="36"/>
      <c r="Y648" s="36"/>
      <c r="Z648" s="36"/>
      <c r="AA648" s="36"/>
    </row>
    <row r="649" spans="16:27" x14ac:dyDescent="0.2">
      <c r="P649" s="36"/>
      <c r="Q649" s="40"/>
      <c r="R649" s="40"/>
      <c r="S649" s="40"/>
      <c r="T649" s="41"/>
      <c r="U649" s="41"/>
      <c r="V649" s="41"/>
      <c r="W649" s="36"/>
      <c r="X649" s="36"/>
      <c r="Y649" s="36"/>
      <c r="Z649" s="36"/>
      <c r="AA649" s="36"/>
    </row>
    <row r="650" spans="16:27" x14ac:dyDescent="0.2">
      <c r="P650" s="36"/>
      <c r="Q650" s="40"/>
      <c r="R650" s="40"/>
      <c r="S650" s="40"/>
      <c r="T650" s="41"/>
      <c r="U650" s="41"/>
      <c r="V650" s="41"/>
      <c r="W650" s="36"/>
      <c r="X650" s="36"/>
      <c r="Y650" s="36"/>
      <c r="Z650" s="36"/>
      <c r="AA650" s="36"/>
    </row>
    <row r="651" spans="16:27" x14ac:dyDescent="0.2">
      <c r="P651" s="36"/>
      <c r="Q651" s="40"/>
      <c r="R651" s="40"/>
      <c r="S651" s="40"/>
      <c r="T651" s="41"/>
      <c r="U651" s="41"/>
      <c r="V651" s="41"/>
      <c r="W651" s="36"/>
      <c r="X651" s="36"/>
      <c r="Y651" s="36"/>
      <c r="Z651" s="36"/>
      <c r="AA651" s="36"/>
    </row>
    <row r="652" spans="16:27" x14ac:dyDescent="0.2">
      <c r="P652" s="36"/>
      <c r="Q652" s="40"/>
      <c r="R652" s="40"/>
      <c r="S652" s="40"/>
      <c r="T652" s="41"/>
      <c r="U652" s="41"/>
      <c r="V652" s="41"/>
      <c r="W652" s="36"/>
      <c r="X652" s="36"/>
      <c r="Y652" s="36"/>
      <c r="Z652" s="36"/>
      <c r="AA652" s="36"/>
    </row>
    <row r="653" spans="16:27" x14ac:dyDescent="0.2">
      <c r="P653" s="36"/>
      <c r="Q653" s="40"/>
      <c r="R653" s="40"/>
      <c r="S653" s="40"/>
      <c r="T653" s="41"/>
      <c r="U653" s="41"/>
      <c r="V653" s="41"/>
      <c r="W653" s="36"/>
      <c r="X653" s="36"/>
      <c r="Y653" s="36"/>
      <c r="Z653" s="36"/>
      <c r="AA653" s="36"/>
    </row>
    <row r="654" spans="16:27" x14ac:dyDescent="0.2">
      <c r="P654" s="36"/>
      <c r="Q654" s="40"/>
      <c r="R654" s="40"/>
      <c r="S654" s="40"/>
      <c r="T654" s="41"/>
      <c r="U654" s="41"/>
      <c r="V654" s="41"/>
      <c r="W654" s="36"/>
      <c r="X654" s="36"/>
      <c r="Y654" s="36"/>
      <c r="Z654" s="36"/>
      <c r="AA654" s="36"/>
    </row>
    <row r="655" spans="16:27" x14ac:dyDescent="0.2">
      <c r="P655" s="36"/>
      <c r="Q655" s="40"/>
      <c r="R655" s="40"/>
      <c r="S655" s="40"/>
      <c r="T655" s="41"/>
      <c r="U655" s="41"/>
      <c r="V655" s="41"/>
      <c r="W655" s="36"/>
      <c r="X655" s="36"/>
      <c r="Y655" s="36"/>
      <c r="Z655" s="36"/>
      <c r="AA655" s="36"/>
    </row>
    <row r="656" spans="16:27" x14ac:dyDescent="0.2">
      <c r="P656" s="36"/>
      <c r="Q656" s="40"/>
      <c r="R656" s="40"/>
      <c r="S656" s="40"/>
      <c r="T656" s="41"/>
      <c r="U656" s="41"/>
      <c r="V656" s="41"/>
      <c r="W656" s="36"/>
      <c r="X656" s="36"/>
      <c r="Y656" s="36"/>
      <c r="Z656" s="36"/>
      <c r="AA656" s="36"/>
    </row>
    <row r="657" spans="16:27" x14ac:dyDescent="0.2">
      <c r="P657" s="36"/>
      <c r="Q657" s="40"/>
      <c r="R657" s="40"/>
      <c r="S657" s="40"/>
      <c r="T657" s="41"/>
      <c r="U657" s="41"/>
      <c r="V657" s="41"/>
      <c r="W657" s="36"/>
      <c r="X657" s="36"/>
      <c r="Y657" s="36"/>
      <c r="Z657" s="36"/>
      <c r="AA657" s="36"/>
    </row>
    <row r="658" spans="16:27" x14ac:dyDescent="0.2">
      <c r="P658" s="36"/>
      <c r="Q658" s="40"/>
      <c r="R658" s="40"/>
      <c r="S658" s="40"/>
      <c r="T658" s="41"/>
      <c r="U658" s="41"/>
      <c r="V658" s="41"/>
      <c r="W658" s="36"/>
      <c r="X658" s="36"/>
      <c r="Y658" s="36"/>
      <c r="Z658" s="36"/>
      <c r="AA658" s="36"/>
    </row>
    <row r="659" spans="16:27" x14ac:dyDescent="0.2">
      <c r="P659" s="36"/>
      <c r="Q659" s="40"/>
      <c r="R659" s="40"/>
      <c r="S659" s="40"/>
      <c r="T659" s="41"/>
      <c r="U659" s="41"/>
      <c r="V659" s="41"/>
      <c r="W659" s="36"/>
      <c r="X659" s="36"/>
      <c r="Y659" s="36"/>
      <c r="Z659" s="36"/>
      <c r="AA659" s="36"/>
    </row>
    <row r="660" spans="16:27" x14ac:dyDescent="0.2">
      <c r="P660" s="36"/>
      <c r="Q660" s="40"/>
      <c r="R660" s="40"/>
      <c r="S660" s="40"/>
      <c r="T660" s="41"/>
      <c r="U660" s="41"/>
      <c r="V660" s="41"/>
      <c r="W660" s="36"/>
      <c r="X660" s="36"/>
      <c r="Y660" s="36"/>
      <c r="Z660" s="36"/>
      <c r="AA660" s="36"/>
    </row>
    <row r="661" spans="16:27" x14ac:dyDescent="0.2">
      <c r="P661" s="36"/>
      <c r="Q661" s="40"/>
      <c r="R661" s="40"/>
      <c r="S661" s="40"/>
      <c r="T661" s="41"/>
      <c r="U661" s="41"/>
      <c r="V661" s="41"/>
      <c r="W661" s="36"/>
      <c r="X661" s="36"/>
      <c r="Y661" s="36"/>
      <c r="Z661" s="36"/>
      <c r="AA661" s="36"/>
    </row>
    <row r="662" spans="16:27" x14ac:dyDescent="0.2">
      <c r="P662" s="36"/>
      <c r="Q662" s="40"/>
      <c r="R662" s="40"/>
      <c r="S662" s="40"/>
      <c r="T662" s="41"/>
      <c r="U662" s="41"/>
      <c r="V662" s="41"/>
      <c r="W662" s="36"/>
      <c r="X662" s="36"/>
      <c r="Y662" s="36"/>
      <c r="Z662" s="36"/>
      <c r="AA662" s="36"/>
    </row>
    <row r="663" spans="16:27" x14ac:dyDescent="0.2">
      <c r="P663" s="36"/>
      <c r="Q663" s="40"/>
      <c r="R663" s="40"/>
      <c r="S663" s="40"/>
      <c r="T663" s="41"/>
      <c r="U663" s="41"/>
      <c r="V663" s="41"/>
      <c r="W663" s="36"/>
      <c r="X663" s="36"/>
      <c r="Y663" s="36"/>
      <c r="Z663" s="36"/>
      <c r="AA663" s="36"/>
    </row>
    <row r="664" spans="16:27" x14ac:dyDescent="0.2">
      <c r="P664" s="36"/>
      <c r="Q664" s="40"/>
      <c r="R664" s="40"/>
      <c r="S664" s="40"/>
      <c r="T664" s="41"/>
      <c r="U664" s="41"/>
      <c r="V664" s="41"/>
      <c r="W664" s="36"/>
      <c r="X664" s="36"/>
      <c r="Y664" s="36"/>
      <c r="Z664" s="36"/>
      <c r="AA664" s="36"/>
    </row>
    <row r="665" spans="16:27" x14ac:dyDescent="0.2">
      <c r="P665" s="36"/>
      <c r="Q665" s="40"/>
      <c r="R665" s="40"/>
      <c r="S665" s="40"/>
      <c r="T665" s="41"/>
      <c r="U665" s="41"/>
      <c r="V665" s="41"/>
      <c r="W665" s="36"/>
      <c r="X665" s="36"/>
      <c r="Y665" s="36"/>
      <c r="Z665" s="36"/>
      <c r="AA665" s="36"/>
    </row>
    <row r="666" spans="16:27" x14ac:dyDescent="0.2">
      <c r="P666" s="36"/>
      <c r="Q666" s="40"/>
      <c r="R666" s="40"/>
      <c r="S666" s="40"/>
      <c r="T666" s="41"/>
      <c r="U666" s="41"/>
      <c r="V666" s="41"/>
      <c r="W666" s="36"/>
      <c r="X666" s="36"/>
      <c r="Y666" s="36"/>
      <c r="Z666" s="36"/>
      <c r="AA666" s="36"/>
    </row>
    <row r="667" spans="16:27" x14ac:dyDescent="0.2">
      <c r="P667" s="36"/>
      <c r="Q667" s="40"/>
      <c r="R667" s="40"/>
      <c r="S667" s="40"/>
      <c r="T667" s="41"/>
      <c r="U667" s="41"/>
      <c r="V667" s="41"/>
      <c r="W667" s="36"/>
      <c r="X667" s="36"/>
      <c r="Y667" s="36"/>
      <c r="Z667" s="36"/>
      <c r="AA667" s="36"/>
    </row>
    <row r="668" spans="16:27" x14ac:dyDescent="0.2">
      <c r="P668" s="36"/>
      <c r="Q668" s="40"/>
      <c r="R668" s="40"/>
      <c r="S668" s="40"/>
      <c r="T668" s="41"/>
      <c r="U668" s="41"/>
      <c r="V668" s="41"/>
      <c r="W668" s="36"/>
      <c r="X668" s="36"/>
      <c r="Y668" s="36"/>
      <c r="Z668" s="36"/>
      <c r="AA668" s="36"/>
    </row>
    <row r="669" spans="16:27" x14ac:dyDescent="0.2">
      <c r="P669" s="36"/>
      <c r="Q669" s="40"/>
      <c r="R669" s="40"/>
      <c r="S669" s="40"/>
      <c r="T669" s="41"/>
      <c r="U669" s="41"/>
      <c r="V669" s="41"/>
      <c r="W669" s="36"/>
      <c r="X669" s="36"/>
      <c r="Y669" s="36"/>
      <c r="Z669" s="36"/>
      <c r="AA669" s="36"/>
    </row>
    <row r="670" spans="16:27" x14ac:dyDescent="0.2">
      <c r="P670" s="36"/>
      <c r="Q670" s="40"/>
      <c r="R670" s="40"/>
      <c r="S670" s="40"/>
      <c r="T670" s="41"/>
      <c r="U670" s="41"/>
      <c r="V670" s="41"/>
      <c r="W670" s="36"/>
      <c r="X670" s="36"/>
      <c r="Y670" s="36"/>
      <c r="Z670" s="36"/>
      <c r="AA670" s="36"/>
    </row>
    <row r="671" spans="16:27" x14ac:dyDescent="0.2">
      <c r="P671" s="36"/>
      <c r="Q671" s="40"/>
      <c r="R671" s="40"/>
      <c r="S671" s="40"/>
      <c r="T671" s="41"/>
      <c r="U671" s="41"/>
      <c r="V671" s="41"/>
      <c r="W671" s="36"/>
      <c r="X671" s="36"/>
      <c r="Y671" s="36"/>
      <c r="Z671" s="36"/>
      <c r="AA671" s="36"/>
    </row>
    <row r="672" spans="16:27" x14ac:dyDescent="0.2">
      <c r="P672" s="36"/>
      <c r="Q672" s="40"/>
      <c r="R672" s="40"/>
      <c r="S672" s="40"/>
      <c r="T672" s="41"/>
      <c r="U672" s="41"/>
      <c r="V672" s="41"/>
      <c r="W672" s="36"/>
      <c r="X672" s="36"/>
      <c r="Y672" s="36"/>
      <c r="Z672" s="36"/>
      <c r="AA672" s="36"/>
    </row>
    <row r="673" spans="16:27" x14ac:dyDescent="0.2">
      <c r="P673" s="36"/>
      <c r="Q673" s="40"/>
      <c r="R673" s="40"/>
      <c r="S673" s="40"/>
      <c r="T673" s="41"/>
      <c r="U673" s="41"/>
      <c r="V673" s="41"/>
      <c r="W673" s="36"/>
      <c r="X673" s="36"/>
      <c r="Y673" s="36"/>
      <c r="Z673" s="36"/>
      <c r="AA673" s="36"/>
    </row>
    <row r="674" spans="16:27" x14ac:dyDescent="0.2">
      <c r="P674" s="36"/>
      <c r="Q674" s="40"/>
      <c r="R674" s="40"/>
      <c r="S674" s="40"/>
      <c r="T674" s="41"/>
      <c r="U674" s="41"/>
      <c r="V674" s="41"/>
      <c r="W674" s="36"/>
      <c r="X674" s="36"/>
      <c r="Y674" s="36"/>
      <c r="Z674" s="36"/>
      <c r="AA674" s="36"/>
    </row>
    <row r="675" spans="16:27" x14ac:dyDescent="0.2">
      <c r="P675" s="36"/>
      <c r="Q675" s="40"/>
      <c r="R675" s="40"/>
      <c r="S675" s="40"/>
      <c r="T675" s="41"/>
      <c r="U675" s="41"/>
      <c r="V675" s="41"/>
      <c r="W675" s="36"/>
      <c r="X675" s="36"/>
      <c r="Y675" s="36"/>
      <c r="Z675" s="36"/>
      <c r="AA675" s="36"/>
    </row>
    <row r="676" spans="16:27" x14ac:dyDescent="0.2">
      <c r="P676" s="36"/>
      <c r="Q676" s="40"/>
      <c r="R676" s="40"/>
      <c r="S676" s="40"/>
      <c r="T676" s="41"/>
      <c r="U676" s="41"/>
      <c r="V676" s="41"/>
      <c r="W676" s="36"/>
      <c r="X676" s="36"/>
      <c r="Y676" s="36"/>
      <c r="Z676" s="36"/>
      <c r="AA676" s="36"/>
    </row>
    <row r="677" spans="16:27" x14ac:dyDescent="0.2">
      <c r="P677" s="36"/>
      <c r="Q677" s="40"/>
      <c r="R677" s="40"/>
      <c r="S677" s="40"/>
      <c r="T677" s="41"/>
      <c r="U677" s="41"/>
      <c r="V677" s="41"/>
      <c r="W677" s="36"/>
      <c r="X677" s="36"/>
      <c r="Y677" s="36"/>
      <c r="Z677" s="36"/>
      <c r="AA677" s="36"/>
    </row>
    <row r="678" spans="16:27" x14ac:dyDescent="0.2">
      <c r="P678" s="36"/>
      <c r="Q678" s="40"/>
      <c r="R678" s="40"/>
      <c r="S678" s="40"/>
      <c r="T678" s="41"/>
      <c r="U678" s="41"/>
      <c r="V678" s="41"/>
      <c r="W678" s="36"/>
      <c r="X678" s="36"/>
      <c r="Y678" s="36"/>
      <c r="Z678" s="36"/>
      <c r="AA678" s="36"/>
    </row>
    <row r="679" spans="16:27" x14ac:dyDescent="0.2">
      <c r="P679" s="36"/>
      <c r="Q679" s="40"/>
      <c r="R679" s="40"/>
      <c r="S679" s="40"/>
      <c r="T679" s="41"/>
      <c r="U679" s="41"/>
      <c r="V679" s="41"/>
      <c r="W679" s="36"/>
      <c r="X679" s="36"/>
      <c r="Y679" s="36"/>
      <c r="Z679" s="36"/>
      <c r="AA679" s="36"/>
    </row>
    <row r="680" spans="16:27" x14ac:dyDescent="0.2">
      <c r="P680" s="36"/>
      <c r="Q680" s="40"/>
      <c r="R680" s="40"/>
      <c r="S680" s="40"/>
      <c r="T680" s="41"/>
      <c r="U680" s="41"/>
      <c r="V680" s="41"/>
      <c r="W680" s="36"/>
      <c r="X680" s="36"/>
      <c r="Y680" s="36"/>
      <c r="Z680" s="36"/>
      <c r="AA680" s="36"/>
    </row>
    <row r="681" spans="16:27" x14ac:dyDescent="0.2">
      <c r="P681" s="36"/>
      <c r="Q681" s="40"/>
      <c r="R681" s="40"/>
      <c r="S681" s="40"/>
      <c r="T681" s="41"/>
      <c r="U681" s="41"/>
      <c r="V681" s="41"/>
      <c r="W681" s="36"/>
      <c r="X681" s="36"/>
      <c r="Y681" s="36"/>
      <c r="Z681" s="36"/>
      <c r="AA681" s="36"/>
    </row>
    <row r="682" spans="16:27" x14ac:dyDescent="0.2">
      <c r="P682" s="36"/>
      <c r="Q682" s="40"/>
      <c r="R682" s="40"/>
      <c r="S682" s="40"/>
      <c r="T682" s="41"/>
      <c r="U682" s="41"/>
      <c r="V682" s="41"/>
      <c r="W682" s="36"/>
      <c r="X682" s="36"/>
      <c r="Y682" s="36"/>
      <c r="Z682" s="36"/>
      <c r="AA682" s="36"/>
    </row>
    <row r="683" spans="16:27" x14ac:dyDescent="0.2">
      <c r="P683" s="36"/>
      <c r="Q683" s="40"/>
      <c r="R683" s="40"/>
      <c r="S683" s="40"/>
      <c r="T683" s="41"/>
      <c r="U683" s="41"/>
      <c r="V683" s="41"/>
      <c r="W683" s="36"/>
      <c r="X683" s="36"/>
      <c r="Y683" s="36"/>
      <c r="Z683" s="36"/>
      <c r="AA683" s="36"/>
    </row>
    <row r="684" spans="16:27" x14ac:dyDescent="0.2">
      <c r="P684" s="36"/>
      <c r="Q684" s="40"/>
      <c r="R684" s="40"/>
      <c r="S684" s="40"/>
      <c r="T684" s="41"/>
      <c r="U684" s="41"/>
      <c r="V684" s="41"/>
      <c r="W684" s="36"/>
      <c r="X684" s="36"/>
      <c r="Y684" s="36"/>
      <c r="Z684" s="36"/>
      <c r="AA684" s="36"/>
    </row>
    <row r="685" spans="16:27" x14ac:dyDescent="0.2">
      <c r="P685" s="36"/>
      <c r="Q685" s="40"/>
      <c r="R685" s="40"/>
      <c r="S685" s="40"/>
      <c r="T685" s="41"/>
      <c r="U685" s="41"/>
      <c r="V685" s="41"/>
      <c r="W685" s="36"/>
      <c r="X685" s="36"/>
      <c r="Y685" s="36"/>
      <c r="Z685" s="36"/>
      <c r="AA685" s="36"/>
    </row>
    <row r="686" spans="16:27" x14ac:dyDescent="0.2">
      <c r="P686" s="36"/>
      <c r="Q686" s="40"/>
      <c r="R686" s="40"/>
      <c r="S686" s="40"/>
      <c r="T686" s="41"/>
      <c r="U686" s="41"/>
      <c r="V686" s="41"/>
      <c r="W686" s="36"/>
      <c r="X686" s="36"/>
      <c r="Y686" s="36"/>
      <c r="Z686" s="36"/>
      <c r="AA686" s="36"/>
    </row>
    <row r="687" spans="16:27" x14ac:dyDescent="0.2">
      <c r="P687" s="36"/>
      <c r="Q687" s="40"/>
      <c r="R687" s="40"/>
      <c r="S687" s="40"/>
      <c r="T687" s="41"/>
      <c r="U687" s="41"/>
      <c r="V687" s="41"/>
      <c r="W687" s="36"/>
      <c r="X687" s="36"/>
      <c r="Y687" s="36"/>
      <c r="Z687" s="36"/>
      <c r="AA687" s="36"/>
    </row>
    <row r="688" spans="16:27" x14ac:dyDescent="0.2">
      <c r="P688" s="36"/>
      <c r="Q688" s="40"/>
      <c r="R688" s="40"/>
      <c r="S688" s="40"/>
      <c r="T688" s="41"/>
      <c r="U688" s="41"/>
      <c r="V688" s="41"/>
      <c r="W688" s="36"/>
      <c r="X688" s="36"/>
      <c r="Y688" s="36"/>
      <c r="Z688" s="36"/>
      <c r="AA688" s="36"/>
    </row>
    <row r="689" spans="16:27" x14ac:dyDescent="0.2">
      <c r="P689" s="36"/>
      <c r="Q689" s="40"/>
      <c r="R689" s="40"/>
      <c r="S689" s="40"/>
      <c r="T689" s="41"/>
      <c r="U689" s="41"/>
      <c r="V689" s="41"/>
      <c r="W689" s="36"/>
      <c r="X689" s="36"/>
      <c r="Y689" s="36"/>
      <c r="Z689" s="36"/>
      <c r="AA689" s="36"/>
    </row>
    <row r="690" spans="16:27" x14ac:dyDescent="0.2">
      <c r="P690" s="36"/>
      <c r="Q690" s="40"/>
      <c r="R690" s="40"/>
      <c r="S690" s="40"/>
      <c r="T690" s="41"/>
      <c r="U690" s="41"/>
      <c r="V690" s="41"/>
      <c r="W690" s="36"/>
      <c r="X690" s="36"/>
      <c r="Y690" s="36"/>
      <c r="Z690" s="36"/>
      <c r="AA690" s="36"/>
    </row>
    <row r="691" spans="16:27" x14ac:dyDescent="0.2">
      <c r="P691" s="36"/>
      <c r="Q691" s="40"/>
      <c r="R691" s="40"/>
      <c r="S691" s="40"/>
      <c r="T691" s="41"/>
      <c r="U691" s="41"/>
      <c r="V691" s="41"/>
      <c r="W691" s="36"/>
      <c r="X691" s="36"/>
      <c r="Y691" s="36"/>
      <c r="Z691" s="36"/>
      <c r="AA691" s="36"/>
    </row>
    <row r="692" spans="16:27" x14ac:dyDescent="0.2">
      <c r="P692" s="36"/>
      <c r="Q692" s="40"/>
      <c r="R692" s="40"/>
      <c r="S692" s="40"/>
      <c r="T692" s="41"/>
      <c r="U692" s="41"/>
      <c r="V692" s="41"/>
      <c r="W692" s="36"/>
      <c r="X692" s="36"/>
      <c r="Y692" s="36"/>
      <c r="Z692" s="36"/>
      <c r="AA692" s="36"/>
    </row>
    <row r="693" spans="16:27" x14ac:dyDescent="0.2">
      <c r="P693" s="36"/>
      <c r="Q693" s="40"/>
      <c r="R693" s="40"/>
      <c r="S693" s="40"/>
      <c r="T693" s="41"/>
      <c r="U693" s="41"/>
      <c r="V693" s="41"/>
      <c r="W693" s="36"/>
      <c r="X693" s="36"/>
      <c r="Y693" s="36"/>
      <c r="Z693" s="36"/>
      <c r="AA693" s="36"/>
    </row>
    <row r="694" spans="16:27" x14ac:dyDescent="0.2">
      <c r="P694" s="36"/>
      <c r="Q694" s="40"/>
      <c r="R694" s="40"/>
      <c r="S694" s="40"/>
      <c r="T694" s="41"/>
      <c r="U694" s="41"/>
      <c r="V694" s="41"/>
      <c r="W694" s="36"/>
      <c r="X694" s="36"/>
      <c r="Y694" s="36"/>
      <c r="Z694" s="36"/>
      <c r="AA694" s="36"/>
    </row>
    <row r="695" spans="16:27" x14ac:dyDescent="0.2">
      <c r="P695" s="36"/>
      <c r="Q695" s="40"/>
      <c r="R695" s="40"/>
      <c r="S695" s="40"/>
      <c r="T695" s="41"/>
      <c r="U695" s="41"/>
      <c r="V695" s="41"/>
      <c r="W695" s="36"/>
      <c r="X695" s="36"/>
      <c r="Y695" s="36"/>
      <c r="Z695" s="36"/>
      <c r="AA695" s="36"/>
    </row>
    <row r="696" spans="16:27" x14ac:dyDescent="0.2">
      <c r="P696" s="36"/>
      <c r="Q696" s="40"/>
      <c r="R696" s="40"/>
      <c r="S696" s="40"/>
      <c r="T696" s="41"/>
      <c r="U696" s="41"/>
      <c r="V696" s="41"/>
      <c r="W696" s="36"/>
      <c r="X696" s="36"/>
      <c r="Y696" s="36"/>
      <c r="Z696" s="36"/>
      <c r="AA696" s="36"/>
    </row>
    <row r="697" spans="16:27" x14ac:dyDescent="0.2">
      <c r="P697" s="36"/>
      <c r="Q697" s="40"/>
      <c r="R697" s="40"/>
      <c r="S697" s="40"/>
      <c r="T697" s="41"/>
      <c r="U697" s="41"/>
      <c r="V697" s="41"/>
      <c r="W697" s="36"/>
      <c r="X697" s="36"/>
      <c r="Y697" s="36"/>
      <c r="Z697" s="36"/>
      <c r="AA697" s="36"/>
    </row>
    <row r="698" spans="16:27" x14ac:dyDescent="0.2">
      <c r="P698" s="36"/>
      <c r="Q698" s="40"/>
      <c r="R698" s="40"/>
      <c r="S698" s="40"/>
      <c r="T698" s="41"/>
      <c r="U698" s="41"/>
      <c r="V698" s="41"/>
      <c r="W698" s="36"/>
      <c r="X698" s="36"/>
      <c r="Y698" s="36"/>
      <c r="Z698" s="36"/>
      <c r="AA698" s="36"/>
    </row>
    <row r="699" spans="16:27" x14ac:dyDescent="0.2">
      <c r="P699" s="36"/>
      <c r="Q699" s="40"/>
      <c r="R699" s="40"/>
      <c r="S699" s="40"/>
      <c r="T699" s="41"/>
      <c r="U699" s="41"/>
      <c r="V699" s="41"/>
      <c r="W699" s="36"/>
      <c r="X699" s="36"/>
      <c r="Y699" s="36"/>
      <c r="Z699" s="36"/>
      <c r="AA699" s="36"/>
    </row>
    <row r="700" spans="16:27" x14ac:dyDescent="0.2">
      <c r="P700" s="36"/>
      <c r="Q700" s="40"/>
      <c r="R700" s="40"/>
      <c r="S700" s="40"/>
      <c r="T700" s="41"/>
      <c r="U700" s="41"/>
      <c r="V700" s="41"/>
      <c r="W700" s="36"/>
      <c r="X700" s="36"/>
      <c r="Y700" s="36"/>
      <c r="Z700" s="36"/>
      <c r="AA700" s="36"/>
    </row>
    <row r="701" spans="16:27" x14ac:dyDescent="0.2">
      <c r="P701" s="36"/>
      <c r="Q701" s="40"/>
      <c r="R701" s="40"/>
      <c r="S701" s="40"/>
      <c r="T701" s="41"/>
      <c r="U701" s="41"/>
      <c r="V701" s="41"/>
      <c r="W701" s="36"/>
      <c r="X701" s="36"/>
      <c r="Y701" s="36"/>
      <c r="Z701" s="36"/>
      <c r="AA701" s="36"/>
    </row>
    <row r="702" spans="16:27" x14ac:dyDescent="0.2">
      <c r="P702" s="36"/>
      <c r="Q702" s="40"/>
      <c r="R702" s="40"/>
      <c r="S702" s="40"/>
      <c r="T702" s="41"/>
      <c r="U702" s="41"/>
      <c r="V702" s="41"/>
      <c r="W702" s="36"/>
      <c r="X702" s="36"/>
      <c r="Y702" s="36"/>
      <c r="Z702" s="36"/>
      <c r="AA702" s="36"/>
    </row>
    <row r="703" spans="16:27" x14ac:dyDescent="0.2">
      <c r="P703" s="36"/>
      <c r="Q703" s="40"/>
      <c r="R703" s="40"/>
      <c r="S703" s="40"/>
      <c r="T703" s="41"/>
      <c r="U703" s="41"/>
      <c r="V703" s="41"/>
      <c r="W703" s="36"/>
      <c r="X703" s="36"/>
      <c r="Y703" s="36"/>
      <c r="Z703" s="36"/>
      <c r="AA703" s="36"/>
    </row>
    <row r="704" spans="16:27" x14ac:dyDescent="0.2">
      <c r="P704" s="36"/>
      <c r="Q704" s="40"/>
      <c r="R704" s="40"/>
      <c r="S704" s="40"/>
      <c r="T704" s="41"/>
      <c r="U704" s="41"/>
      <c r="V704" s="41"/>
      <c r="W704" s="36"/>
      <c r="X704" s="36"/>
      <c r="Y704" s="36"/>
      <c r="Z704" s="36"/>
      <c r="AA704" s="36"/>
    </row>
    <row r="705" spans="16:27" x14ac:dyDescent="0.2">
      <c r="P705" s="36"/>
      <c r="Q705" s="40"/>
      <c r="R705" s="40"/>
      <c r="S705" s="40"/>
      <c r="T705" s="41"/>
      <c r="U705" s="41"/>
      <c r="V705" s="41"/>
      <c r="W705" s="36"/>
      <c r="X705" s="36"/>
      <c r="Y705" s="36"/>
      <c r="Z705" s="36"/>
      <c r="AA705" s="36"/>
    </row>
    <row r="706" spans="16:27" x14ac:dyDescent="0.2">
      <c r="P706" s="36"/>
      <c r="Q706" s="40"/>
      <c r="R706" s="40"/>
      <c r="S706" s="40"/>
      <c r="T706" s="41"/>
      <c r="U706" s="41"/>
      <c r="V706" s="41"/>
      <c r="W706" s="36"/>
      <c r="X706" s="36"/>
      <c r="Y706" s="36"/>
      <c r="Z706" s="36"/>
      <c r="AA706" s="36"/>
    </row>
    <row r="707" spans="16:27" x14ac:dyDescent="0.2">
      <c r="P707" s="36"/>
      <c r="Q707" s="40"/>
      <c r="R707" s="40"/>
      <c r="S707" s="40"/>
      <c r="T707" s="41"/>
      <c r="U707" s="41"/>
      <c r="V707" s="41"/>
      <c r="W707" s="36"/>
      <c r="X707" s="36"/>
      <c r="Y707" s="36"/>
      <c r="Z707" s="36"/>
      <c r="AA707" s="36"/>
    </row>
    <row r="708" spans="16:27" x14ac:dyDescent="0.2">
      <c r="P708" s="36"/>
      <c r="Q708" s="40"/>
      <c r="R708" s="40"/>
      <c r="S708" s="40"/>
      <c r="T708" s="41"/>
      <c r="U708" s="41"/>
      <c r="V708" s="41"/>
      <c r="W708" s="36"/>
      <c r="X708" s="36"/>
      <c r="Y708" s="36"/>
      <c r="Z708" s="36"/>
      <c r="AA708" s="36"/>
    </row>
    <row r="709" spans="16:27" x14ac:dyDescent="0.2">
      <c r="P709" s="36"/>
      <c r="Q709" s="40"/>
      <c r="R709" s="40"/>
      <c r="S709" s="40"/>
      <c r="T709" s="41"/>
      <c r="U709" s="41"/>
      <c r="V709" s="41"/>
      <c r="W709" s="36"/>
      <c r="X709" s="36"/>
      <c r="Y709" s="36"/>
      <c r="Z709" s="36"/>
      <c r="AA709" s="36"/>
    </row>
    <row r="710" spans="16:27" x14ac:dyDescent="0.2">
      <c r="P710" s="36"/>
      <c r="Q710" s="40"/>
      <c r="R710" s="40"/>
      <c r="S710" s="40"/>
      <c r="T710" s="41"/>
      <c r="U710" s="41"/>
      <c r="V710" s="41"/>
      <c r="W710" s="36"/>
      <c r="X710" s="36"/>
      <c r="Y710" s="36"/>
      <c r="Z710" s="36"/>
      <c r="AA710" s="36"/>
    </row>
    <row r="711" spans="16:27" x14ac:dyDescent="0.2">
      <c r="P711" s="36"/>
      <c r="Q711" s="40"/>
      <c r="R711" s="40"/>
      <c r="S711" s="40"/>
      <c r="T711" s="41"/>
      <c r="U711" s="41"/>
      <c r="V711" s="41"/>
      <c r="W711" s="36"/>
      <c r="X711" s="36"/>
      <c r="Y711" s="36"/>
      <c r="Z711" s="36"/>
      <c r="AA711" s="36"/>
    </row>
    <row r="712" spans="16:27" x14ac:dyDescent="0.2">
      <c r="P712" s="36"/>
      <c r="Q712" s="40"/>
      <c r="R712" s="40"/>
      <c r="S712" s="40"/>
      <c r="T712" s="41"/>
      <c r="U712" s="41"/>
      <c r="V712" s="41"/>
      <c r="W712" s="36"/>
      <c r="X712" s="36"/>
      <c r="Y712" s="36"/>
      <c r="Z712" s="36"/>
      <c r="AA712" s="36"/>
    </row>
    <row r="713" spans="16:27" x14ac:dyDescent="0.2">
      <c r="P713" s="36"/>
      <c r="Q713" s="40"/>
      <c r="R713" s="40"/>
      <c r="S713" s="40"/>
      <c r="T713" s="41"/>
      <c r="U713" s="41"/>
      <c r="V713" s="41"/>
      <c r="W713" s="36"/>
      <c r="X713" s="36"/>
      <c r="Y713" s="36"/>
      <c r="Z713" s="36"/>
      <c r="AA713" s="36"/>
    </row>
    <row r="714" spans="16:27" x14ac:dyDescent="0.2">
      <c r="P714" s="36"/>
      <c r="Q714" s="40"/>
      <c r="R714" s="40"/>
      <c r="S714" s="40"/>
      <c r="T714" s="41"/>
      <c r="U714" s="41"/>
      <c r="V714" s="41"/>
      <c r="W714" s="36"/>
      <c r="X714" s="36"/>
      <c r="Y714" s="36"/>
      <c r="Z714" s="36"/>
      <c r="AA714" s="36"/>
    </row>
    <row r="715" spans="16:27" x14ac:dyDescent="0.2">
      <c r="P715" s="36"/>
      <c r="Q715" s="40"/>
      <c r="R715" s="40"/>
      <c r="S715" s="40"/>
      <c r="T715" s="41"/>
      <c r="U715" s="41"/>
      <c r="V715" s="41"/>
      <c r="W715" s="36"/>
      <c r="X715" s="36"/>
      <c r="Y715" s="36"/>
      <c r="Z715" s="36"/>
      <c r="AA715" s="36"/>
    </row>
    <row r="716" spans="16:27" x14ac:dyDescent="0.2">
      <c r="P716" s="36"/>
      <c r="Q716" s="40"/>
      <c r="R716" s="40"/>
      <c r="S716" s="40"/>
      <c r="T716" s="41"/>
      <c r="U716" s="41"/>
      <c r="V716" s="41"/>
      <c r="W716" s="36"/>
      <c r="X716" s="36"/>
      <c r="Y716" s="36"/>
      <c r="Z716" s="36"/>
      <c r="AA716" s="36"/>
    </row>
    <row r="717" spans="16:27" x14ac:dyDescent="0.2">
      <c r="P717" s="36"/>
      <c r="Q717" s="40"/>
      <c r="R717" s="40"/>
      <c r="S717" s="40"/>
      <c r="T717" s="41"/>
      <c r="U717" s="41"/>
      <c r="V717" s="41"/>
      <c r="W717" s="36"/>
      <c r="X717" s="36"/>
      <c r="Y717" s="36"/>
      <c r="Z717" s="36"/>
      <c r="AA717" s="36"/>
    </row>
    <row r="718" spans="16:27" x14ac:dyDescent="0.2">
      <c r="P718" s="36"/>
      <c r="Q718" s="40"/>
      <c r="R718" s="40"/>
      <c r="S718" s="40"/>
      <c r="T718" s="41"/>
      <c r="U718" s="41"/>
      <c r="V718" s="41"/>
      <c r="W718" s="36"/>
      <c r="X718" s="36"/>
      <c r="Y718" s="36"/>
      <c r="Z718" s="36"/>
      <c r="AA718" s="36"/>
    </row>
    <row r="719" spans="16:27" x14ac:dyDescent="0.2">
      <c r="P719" s="36"/>
      <c r="Q719" s="40"/>
      <c r="R719" s="40"/>
      <c r="S719" s="40"/>
      <c r="T719" s="41"/>
      <c r="U719" s="41"/>
      <c r="V719" s="41"/>
      <c r="W719" s="36"/>
      <c r="X719" s="36"/>
      <c r="Y719" s="36"/>
      <c r="Z719" s="36"/>
      <c r="AA719" s="36"/>
    </row>
    <row r="720" spans="16:27" x14ac:dyDescent="0.2">
      <c r="P720" s="36"/>
      <c r="Q720" s="40"/>
      <c r="R720" s="40"/>
      <c r="S720" s="40"/>
      <c r="T720" s="41"/>
      <c r="U720" s="41"/>
      <c r="V720" s="41"/>
      <c r="W720" s="36"/>
      <c r="X720" s="36"/>
      <c r="Y720" s="36"/>
      <c r="Z720" s="36"/>
      <c r="AA720" s="36"/>
    </row>
    <row r="721" spans="16:27" x14ac:dyDescent="0.2">
      <c r="P721" s="36"/>
      <c r="Q721" s="40"/>
      <c r="R721" s="40"/>
      <c r="S721" s="40"/>
      <c r="T721" s="41"/>
      <c r="U721" s="41"/>
      <c r="V721" s="41"/>
      <c r="W721" s="36"/>
      <c r="X721" s="36"/>
      <c r="Y721" s="36"/>
      <c r="Z721" s="36"/>
      <c r="AA721" s="36"/>
    </row>
    <row r="722" spans="16:27" x14ac:dyDescent="0.2">
      <c r="P722" s="36"/>
      <c r="Q722" s="40"/>
      <c r="R722" s="40"/>
      <c r="S722" s="40"/>
      <c r="T722" s="41"/>
      <c r="U722" s="41"/>
      <c r="V722" s="41"/>
      <c r="W722" s="36"/>
      <c r="X722" s="36"/>
      <c r="Y722" s="36"/>
      <c r="Z722" s="36"/>
      <c r="AA722" s="36"/>
    </row>
    <row r="723" spans="16:27" x14ac:dyDescent="0.2">
      <c r="P723" s="36"/>
      <c r="Q723" s="40"/>
      <c r="R723" s="40"/>
      <c r="S723" s="40"/>
      <c r="T723" s="41"/>
      <c r="U723" s="41"/>
      <c r="V723" s="41"/>
      <c r="W723" s="36"/>
      <c r="X723" s="36"/>
      <c r="Y723" s="36"/>
      <c r="Z723" s="36"/>
      <c r="AA723" s="36"/>
    </row>
    <row r="724" spans="16:27" x14ac:dyDescent="0.2">
      <c r="P724" s="36"/>
      <c r="Q724" s="40"/>
      <c r="R724" s="40"/>
      <c r="S724" s="40"/>
      <c r="T724" s="41"/>
      <c r="U724" s="41"/>
      <c r="V724" s="41"/>
      <c r="W724" s="36"/>
      <c r="X724" s="36"/>
      <c r="Y724" s="36"/>
      <c r="Z724" s="36"/>
      <c r="AA724" s="36"/>
    </row>
    <row r="725" spans="16:27" x14ac:dyDescent="0.2">
      <c r="P725" s="36"/>
      <c r="Q725" s="40"/>
      <c r="R725" s="40"/>
      <c r="S725" s="40"/>
      <c r="T725" s="41"/>
      <c r="U725" s="41"/>
      <c r="V725" s="41"/>
      <c r="W725" s="36"/>
      <c r="X725" s="36"/>
      <c r="Y725" s="36"/>
      <c r="Z725" s="36"/>
      <c r="AA725" s="36"/>
    </row>
    <row r="726" spans="16:27" x14ac:dyDescent="0.2">
      <c r="P726" s="36"/>
      <c r="Q726" s="40"/>
      <c r="R726" s="40"/>
      <c r="S726" s="40"/>
      <c r="T726" s="41"/>
      <c r="U726" s="41"/>
      <c r="V726" s="41"/>
      <c r="W726" s="36"/>
      <c r="X726" s="36"/>
      <c r="Y726" s="36"/>
      <c r="Z726" s="36"/>
      <c r="AA726" s="36"/>
    </row>
    <row r="727" spans="16:27" x14ac:dyDescent="0.2">
      <c r="P727" s="36"/>
      <c r="Q727" s="40"/>
      <c r="R727" s="40"/>
      <c r="S727" s="40"/>
      <c r="T727" s="41"/>
      <c r="U727" s="41"/>
      <c r="V727" s="41"/>
      <c r="W727" s="36"/>
      <c r="X727" s="36"/>
      <c r="Y727" s="36"/>
      <c r="Z727" s="36"/>
      <c r="AA727" s="36"/>
    </row>
    <row r="728" spans="16:27" x14ac:dyDescent="0.2">
      <c r="P728" s="36"/>
      <c r="Q728" s="40"/>
      <c r="R728" s="40"/>
      <c r="S728" s="40"/>
      <c r="T728" s="41"/>
      <c r="U728" s="41"/>
      <c r="V728" s="41"/>
      <c r="W728" s="36"/>
      <c r="X728" s="36"/>
      <c r="Y728" s="36"/>
      <c r="Z728" s="36"/>
      <c r="AA728" s="36"/>
    </row>
    <row r="729" spans="16:27" x14ac:dyDescent="0.2">
      <c r="P729" s="36"/>
      <c r="Q729" s="40"/>
      <c r="R729" s="40"/>
      <c r="S729" s="40"/>
      <c r="T729" s="41"/>
      <c r="U729" s="41"/>
      <c r="V729" s="41"/>
      <c r="W729" s="36"/>
      <c r="X729" s="36"/>
      <c r="Y729" s="36"/>
      <c r="Z729" s="36"/>
      <c r="AA729" s="36"/>
    </row>
    <row r="730" spans="16:27" x14ac:dyDescent="0.2">
      <c r="P730" s="36"/>
      <c r="Q730" s="40"/>
      <c r="R730" s="40"/>
      <c r="S730" s="40"/>
      <c r="T730" s="41"/>
      <c r="U730" s="41"/>
      <c r="V730" s="41"/>
      <c r="W730" s="36"/>
      <c r="X730" s="36"/>
      <c r="Y730" s="36"/>
      <c r="Z730" s="36"/>
      <c r="AA730" s="36"/>
    </row>
    <row r="731" spans="16:27" x14ac:dyDescent="0.2">
      <c r="P731" s="36"/>
      <c r="Q731" s="40"/>
      <c r="R731" s="40"/>
      <c r="S731" s="40"/>
      <c r="T731" s="41"/>
      <c r="U731" s="41"/>
      <c r="V731" s="41"/>
      <c r="W731" s="36"/>
      <c r="X731" s="36"/>
      <c r="Y731" s="36"/>
      <c r="Z731" s="36"/>
      <c r="AA731" s="36"/>
    </row>
    <row r="732" spans="16:27" x14ac:dyDescent="0.2">
      <c r="P732" s="36"/>
      <c r="Q732" s="40"/>
      <c r="R732" s="40"/>
      <c r="S732" s="40"/>
      <c r="T732" s="41"/>
      <c r="U732" s="41"/>
      <c r="V732" s="41"/>
      <c r="W732" s="36"/>
      <c r="X732" s="36"/>
      <c r="Y732" s="36"/>
      <c r="Z732" s="36"/>
      <c r="AA732" s="36"/>
    </row>
    <row r="733" spans="16:27" x14ac:dyDescent="0.2">
      <c r="P733" s="36"/>
      <c r="Q733" s="40"/>
      <c r="R733" s="40"/>
      <c r="S733" s="40"/>
      <c r="T733" s="41"/>
      <c r="U733" s="41"/>
      <c r="V733" s="41"/>
      <c r="W733" s="36"/>
      <c r="X733" s="36"/>
      <c r="Y733" s="36"/>
      <c r="Z733" s="36"/>
      <c r="AA733" s="36"/>
    </row>
    <row r="734" spans="16:27" x14ac:dyDescent="0.2">
      <c r="P734" s="36"/>
      <c r="Q734" s="40"/>
      <c r="R734" s="40"/>
      <c r="S734" s="40"/>
      <c r="T734" s="41"/>
      <c r="U734" s="41"/>
      <c r="V734" s="41"/>
      <c r="W734" s="36"/>
      <c r="X734" s="36"/>
      <c r="Y734" s="36"/>
      <c r="Z734" s="36"/>
      <c r="AA734" s="36"/>
    </row>
    <row r="735" spans="16:27" x14ac:dyDescent="0.2">
      <c r="P735" s="36"/>
      <c r="Q735" s="40"/>
      <c r="R735" s="40"/>
      <c r="S735" s="40"/>
      <c r="T735" s="41"/>
      <c r="U735" s="41"/>
      <c r="V735" s="41"/>
      <c r="W735" s="36"/>
      <c r="X735" s="36"/>
      <c r="Y735" s="36"/>
      <c r="Z735" s="36"/>
      <c r="AA735" s="36"/>
    </row>
    <row r="736" spans="16:27" x14ac:dyDescent="0.2">
      <c r="P736" s="36"/>
      <c r="Q736" s="40"/>
      <c r="R736" s="40"/>
      <c r="S736" s="40"/>
      <c r="T736" s="41"/>
      <c r="U736" s="41"/>
      <c r="V736" s="41"/>
      <c r="W736" s="36"/>
      <c r="X736" s="36"/>
      <c r="Y736" s="36"/>
      <c r="Z736" s="36"/>
      <c r="AA736" s="36"/>
    </row>
    <row r="737" spans="16:27" x14ac:dyDescent="0.2">
      <c r="P737" s="36"/>
      <c r="Q737" s="40"/>
      <c r="R737" s="40"/>
      <c r="S737" s="40"/>
      <c r="T737" s="41"/>
      <c r="U737" s="41"/>
      <c r="V737" s="41"/>
      <c r="W737" s="36"/>
      <c r="X737" s="36"/>
      <c r="Y737" s="36"/>
      <c r="Z737" s="36"/>
      <c r="AA737" s="36"/>
    </row>
    <row r="738" spans="16:27" x14ac:dyDescent="0.2">
      <c r="P738" s="36"/>
      <c r="Q738" s="40"/>
      <c r="R738" s="40"/>
      <c r="S738" s="40"/>
      <c r="T738" s="41"/>
      <c r="U738" s="41"/>
      <c r="V738" s="41"/>
      <c r="W738" s="36"/>
      <c r="X738" s="36"/>
      <c r="Y738" s="36"/>
      <c r="Z738" s="36"/>
      <c r="AA738" s="36"/>
    </row>
    <row r="739" spans="16:27" x14ac:dyDescent="0.2">
      <c r="P739" s="36"/>
      <c r="Q739" s="40"/>
      <c r="R739" s="40"/>
      <c r="S739" s="40"/>
      <c r="T739" s="41"/>
      <c r="U739" s="41"/>
      <c r="V739" s="41"/>
      <c r="W739" s="36"/>
      <c r="X739" s="36"/>
      <c r="Y739" s="36"/>
      <c r="Z739" s="36"/>
      <c r="AA739" s="36"/>
    </row>
    <row r="740" spans="16:27" x14ac:dyDescent="0.2">
      <c r="P740" s="36"/>
      <c r="Q740" s="40"/>
      <c r="R740" s="40"/>
      <c r="S740" s="40"/>
      <c r="T740" s="41"/>
      <c r="U740" s="41"/>
      <c r="V740" s="41"/>
      <c r="W740" s="36"/>
      <c r="X740" s="36"/>
      <c r="Y740" s="36"/>
      <c r="Z740" s="36"/>
      <c r="AA740" s="36"/>
    </row>
    <row r="741" spans="16:27" x14ac:dyDescent="0.2">
      <c r="P741" s="36"/>
      <c r="Q741" s="40"/>
      <c r="R741" s="40"/>
      <c r="S741" s="40"/>
      <c r="T741" s="41"/>
      <c r="U741" s="41"/>
      <c r="V741" s="41"/>
      <c r="W741" s="36"/>
      <c r="X741" s="36"/>
      <c r="Y741" s="36"/>
      <c r="Z741" s="36"/>
      <c r="AA741" s="36"/>
    </row>
    <row r="742" spans="16:27" x14ac:dyDescent="0.2">
      <c r="P742" s="36"/>
      <c r="Q742" s="40"/>
      <c r="R742" s="40"/>
      <c r="S742" s="40"/>
      <c r="T742" s="41"/>
      <c r="U742" s="41"/>
      <c r="V742" s="41"/>
      <c r="W742" s="36"/>
      <c r="X742" s="36"/>
      <c r="Y742" s="36"/>
      <c r="Z742" s="36"/>
      <c r="AA742" s="36"/>
    </row>
    <row r="743" spans="16:27" x14ac:dyDescent="0.2">
      <c r="P743" s="36"/>
      <c r="Q743" s="40"/>
      <c r="R743" s="40"/>
      <c r="S743" s="40"/>
      <c r="T743" s="41"/>
      <c r="U743" s="41"/>
      <c r="V743" s="41"/>
      <c r="W743" s="36"/>
      <c r="X743" s="36"/>
      <c r="Y743" s="36"/>
      <c r="Z743" s="36"/>
      <c r="AA743" s="36"/>
    </row>
    <row r="744" spans="16:27" x14ac:dyDescent="0.2">
      <c r="P744" s="36"/>
      <c r="Q744" s="40"/>
      <c r="R744" s="40"/>
      <c r="S744" s="40"/>
      <c r="T744" s="41"/>
      <c r="U744" s="41"/>
      <c r="V744" s="41"/>
      <c r="W744" s="36"/>
      <c r="X744" s="36"/>
      <c r="Y744" s="36"/>
      <c r="Z744" s="36"/>
      <c r="AA744" s="36"/>
    </row>
    <row r="745" spans="16:27" x14ac:dyDescent="0.2">
      <c r="P745" s="36"/>
      <c r="Q745" s="40"/>
      <c r="R745" s="40"/>
      <c r="S745" s="40"/>
      <c r="T745" s="41"/>
      <c r="U745" s="41"/>
      <c r="V745" s="41"/>
      <c r="W745" s="36"/>
      <c r="X745" s="36"/>
      <c r="Y745" s="36"/>
      <c r="Z745" s="36"/>
      <c r="AA745" s="36"/>
    </row>
    <row r="746" spans="16:27" x14ac:dyDescent="0.2">
      <c r="P746" s="36"/>
      <c r="Q746" s="40"/>
      <c r="R746" s="40"/>
      <c r="S746" s="40"/>
      <c r="T746" s="41"/>
      <c r="U746" s="41"/>
      <c r="V746" s="41"/>
      <c r="W746" s="36"/>
      <c r="X746" s="36"/>
      <c r="Y746" s="36"/>
      <c r="Z746" s="36"/>
      <c r="AA746" s="36"/>
    </row>
    <row r="747" spans="16:27" x14ac:dyDescent="0.2">
      <c r="P747" s="36"/>
      <c r="Q747" s="40"/>
      <c r="R747" s="40"/>
      <c r="S747" s="40"/>
      <c r="T747" s="41"/>
      <c r="U747" s="41"/>
      <c r="V747" s="41"/>
      <c r="W747" s="36"/>
      <c r="X747" s="36"/>
      <c r="Y747" s="36"/>
      <c r="Z747" s="36"/>
      <c r="AA747" s="36"/>
    </row>
    <row r="748" spans="16:27" x14ac:dyDescent="0.2">
      <c r="P748" s="36"/>
      <c r="Q748" s="40"/>
      <c r="R748" s="40"/>
      <c r="S748" s="40"/>
      <c r="T748" s="41"/>
      <c r="U748" s="41"/>
      <c r="V748" s="41"/>
      <c r="W748" s="36"/>
      <c r="X748" s="36"/>
      <c r="Y748" s="36"/>
      <c r="Z748" s="36"/>
      <c r="AA748" s="36"/>
    </row>
    <row r="749" spans="16:27" x14ac:dyDescent="0.2">
      <c r="P749" s="36"/>
      <c r="Q749" s="40"/>
      <c r="R749" s="40"/>
      <c r="S749" s="40"/>
      <c r="T749" s="41"/>
      <c r="U749" s="41"/>
      <c r="V749" s="41"/>
      <c r="W749" s="36"/>
      <c r="X749" s="36"/>
      <c r="Y749" s="36"/>
      <c r="Z749" s="36"/>
      <c r="AA749" s="36"/>
    </row>
    <row r="750" spans="16:27" x14ac:dyDescent="0.2">
      <c r="P750" s="36"/>
      <c r="Q750" s="40"/>
      <c r="R750" s="40"/>
      <c r="S750" s="40"/>
      <c r="T750" s="41"/>
      <c r="U750" s="41"/>
      <c r="V750" s="41"/>
      <c r="W750" s="36"/>
      <c r="X750" s="36"/>
      <c r="Y750" s="36"/>
      <c r="Z750" s="36"/>
      <c r="AA750" s="36"/>
    </row>
    <row r="751" spans="16:27" x14ac:dyDescent="0.2">
      <c r="P751" s="36"/>
      <c r="Q751" s="40"/>
      <c r="R751" s="40"/>
      <c r="S751" s="40"/>
      <c r="T751" s="41"/>
      <c r="U751" s="41"/>
      <c r="V751" s="41"/>
      <c r="W751" s="36"/>
      <c r="X751" s="36"/>
      <c r="Y751" s="36"/>
      <c r="Z751" s="36"/>
      <c r="AA751" s="36"/>
    </row>
    <row r="752" spans="16:27" x14ac:dyDescent="0.2">
      <c r="P752" s="36"/>
      <c r="Q752" s="40"/>
      <c r="R752" s="40"/>
      <c r="S752" s="40"/>
      <c r="T752" s="41"/>
      <c r="U752" s="41"/>
      <c r="V752" s="41"/>
      <c r="W752" s="36"/>
      <c r="X752" s="36"/>
      <c r="Y752" s="36"/>
      <c r="Z752" s="36"/>
      <c r="AA752" s="36"/>
    </row>
    <row r="753" spans="16:27" x14ac:dyDescent="0.2">
      <c r="P753" s="36"/>
      <c r="Q753" s="40"/>
      <c r="R753" s="40"/>
      <c r="S753" s="40"/>
      <c r="T753" s="41"/>
      <c r="U753" s="41"/>
      <c r="V753" s="41"/>
      <c r="W753" s="36"/>
      <c r="X753" s="36"/>
      <c r="Y753" s="36"/>
      <c r="Z753" s="36"/>
      <c r="AA753" s="36"/>
    </row>
    <row r="754" spans="16:27" x14ac:dyDescent="0.2">
      <c r="P754" s="36"/>
      <c r="Q754" s="40"/>
      <c r="R754" s="40"/>
      <c r="S754" s="40"/>
      <c r="T754" s="41"/>
      <c r="U754" s="41"/>
      <c r="V754" s="41"/>
      <c r="W754" s="36"/>
      <c r="X754" s="36"/>
      <c r="Y754" s="36"/>
      <c r="Z754" s="36"/>
      <c r="AA754" s="36"/>
    </row>
    <row r="755" spans="16:27" x14ac:dyDescent="0.2">
      <c r="P755" s="36"/>
      <c r="Q755" s="40"/>
      <c r="R755" s="40"/>
      <c r="S755" s="40"/>
      <c r="T755" s="41"/>
      <c r="U755" s="41"/>
      <c r="V755" s="41"/>
      <c r="W755" s="36"/>
      <c r="X755" s="36"/>
      <c r="Y755" s="36"/>
      <c r="Z755" s="36"/>
      <c r="AA755" s="36"/>
    </row>
    <row r="756" spans="16:27" x14ac:dyDescent="0.2">
      <c r="P756" s="36"/>
      <c r="Q756" s="40"/>
      <c r="R756" s="40"/>
      <c r="S756" s="40"/>
      <c r="T756" s="41"/>
      <c r="U756" s="41"/>
      <c r="V756" s="41"/>
      <c r="W756" s="36"/>
      <c r="X756" s="36"/>
      <c r="Y756" s="36"/>
      <c r="Z756" s="36"/>
      <c r="AA756" s="36"/>
    </row>
    <row r="757" spans="16:27" x14ac:dyDescent="0.2">
      <c r="P757" s="36"/>
      <c r="Q757" s="40"/>
      <c r="R757" s="40"/>
      <c r="S757" s="40"/>
      <c r="T757" s="41"/>
      <c r="U757" s="41"/>
      <c r="V757" s="41"/>
      <c r="W757" s="36"/>
      <c r="X757" s="36"/>
      <c r="Y757" s="36"/>
      <c r="Z757" s="36"/>
      <c r="AA757" s="36"/>
    </row>
    <row r="758" spans="16:27" x14ac:dyDescent="0.2">
      <c r="P758" s="36"/>
      <c r="Q758" s="40"/>
      <c r="R758" s="40"/>
      <c r="S758" s="40"/>
      <c r="T758" s="41"/>
      <c r="U758" s="41"/>
      <c r="V758" s="41"/>
      <c r="W758" s="36"/>
      <c r="X758" s="36"/>
      <c r="Y758" s="36"/>
      <c r="Z758" s="36"/>
      <c r="AA758" s="36"/>
    </row>
    <row r="759" spans="16:27" x14ac:dyDescent="0.2">
      <c r="P759" s="36"/>
      <c r="Q759" s="40"/>
      <c r="R759" s="40"/>
      <c r="S759" s="40"/>
      <c r="T759" s="41"/>
      <c r="U759" s="41"/>
      <c r="V759" s="41"/>
      <c r="W759" s="36"/>
      <c r="X759" s="36"/>
      <c r="Y759" s="36"/>
      <c r="Z759" s="36"/>
      <c r="AA759" s="36"/>
    </row>
    <row r="760" spans="16:27" x14ac:dyDescent="0.2">
      <c r="P760" s="36"/>
      <c r="Q760" s="40"/>
      <c r="R760" s="40"/>
      <c r="S760" s="40"/>
      <c r="T760" s="41"/>
      <c r="U760" s="41"/>
      <c r="V760" s="41"/>
      <c r="W760" s="36"/>
      <c r="X760" s="36"/>
      <c r="Y760" s="36"/>
      <c r="Z760" s="36"/>
      <c r="AA760" s="36"/>
    </row>
    <row r="761" spans="16:27" x14ac:dyDescent="0.2">
      <c r="P761" s="36"/>
      <c r="Q761" s="40"/>
      <c r="R761" s="40"/>
      <c r="S761" s="40"/>
      <c r="T761" s="41"/>
      <c r="U761" s="41"/>
      <c r="V761" s="41"/>
      <c r="W761" s="36"/>
      <c r="X761" s="36"/>
      <c r="Y761" s="36"/>
      <c r="Z761" s="36"/>
      <c r="AA761" s="36"/>
    </row>
    <row r="762" spans="16:27" x14ac:dyDescent="0.2">
      <c r="P762" s="36"/>
      <c r="Q762" s="40"/>
      <c r="R762" s="40"/>
      <c r="S762" s="40"/>
      <c r="T762" s="41"/>
      <c r="U762" s="41"/>
      <c r="V762" s="41"/>
      <c r="W762" s="36"/>
      <c r="X762" s="36"/>
      <c r="Y762" s="36"/>
      <c r="Z762" s="36"/>
      <c r="AA762" s="36"/>
    </row>
    <row r="763" spans="16:27" x14ac:dyDescent="0.2">
      <c r="P763" s="36"/>
      <c r="Q763" s="40"/>
      <c r="R763" s="40"/>
      <c r="S763" s="40"/>
      <c r="T763" s="41"/>
      <c r="U763" s="41"/>
      <c r="V763" s="41"/>
      <c r="W763" s="36"/>
      <c r="X763" s="36"/>
      <c r="Y763" s="36"/>
      <c r="Z763" s="36"/>
      <c r="AA763" s="36"/>
    </row>
    <row r="764" spans="16:27" x14ac:dyDescent="0.2">
      <c r="P764" s="36"/>
      <c r="Q764" s="40"/>
      <c r="R764" s="40"/>
      <c r="S764" s="40"/>
      <c r="T764" s="41"/>
      <c r="U764" s="41"/>
      <c r="V764" s="41"/>
      <c r="W764" s="36"/>
      <c r="X764" s="36"/>
      <c r="Y764" s="36"/>
      <c r="Z764" s="36"/>
      <c r="AA764" s="36"/>
    </row>
    <row r="765" spans="16:27" x14ac:dyDescent="0.2">
      <c r="P765" s="36"/>
      <c r="Q765" s="40"/>
      <c r="R765" s="40"/>
      <c r="S765" s="40"/>
      <c r="T765" s="41"/>
      <c r="U765" s="41"/>
      <c r="V765" s="41"/>
      <c r="W765" s="36"/>
      <c r="X765" s="36"/>
      <c r="Y765" s="36"/>
      <c r="Z765" s="36"/>
      <c r="AA765" s="36"/>
    </row>
    <row r="766" spans="16:27" x14ac:dyDescent="0.2">
      <c r="P766" s="36"/>
      <c r="Q766" s="40"/>
      <c r="R766" s="40"/>
      <c r="S766" s="40"/>
      <c r="T766" s="41"/>
      <c r="U766" s="41"/>
      <c r="V766" s="41"/>
      <c r="W766" s="36"/>
      <c r="X766" s="36"/>
      <c r="Y766" s="36"/>
      <c r="Z766" s="36"/>
      <c r="AA766" s="36"/>
    </row>
    <row r="767" spans="16:27" x14ac:dyDescent="0.2">
      <c r="P767" s="36"/>
      <c r="Q767" s="40"/>
      <c r="R767" s="40"/>
      <c r="S767" s="40"/>
      <c r="T767" s="41"/>
      <c r="U767" s="41"/>
      <c r="V767" s="41"/>
      <c r="W767" s="36"/>
      <c r="X767" s="36"/>
      <c r="Y767" s="36"/>
      <c r="Z767" s="36"/>
      <c r="AA767" s="36"/>
    </row>
    <row r="768" spans="16:27" x14ac:dyDescent="0.2">
      <c r="P768" s="36"/>
      <c r="Q768" s="40"/>
      <c r="R768" s="40"/>
      <c r="S768" s="40"/>
      <c r="T768" s="41"/>
      <c r="U768" s="41"/>
      <c r="V768" s="41"/>
      <c r="W768" s="36"/>
      <c r="X768" s="36"/>
      <c r="Y768" s="36"/>
      <c r="Z768" s="36"/>
      <c r="AA768" s="36"/>
    </row>
    <row r="769" spans="16:27" x14ac:dyDescent="0.2">
      <c r="P769" s="36"/>
      <c r="Q769" s="40"/>
      <c r="R769" s="40"/>
      <c r="S769" s="40"/>
      <c r="T769" s="41"/>
      <c r="U769" s="41"/>
      <c r="V769" s="41"/>
      <c r="W769" s="36"/>
      <c r="X769" s="36"/>
      <c r="Y769" s="36"/>
      <c r="Z769" s="36"/>
      <c r="AA769" s="36"/>
    </row>
    <row r="770" spans="16:27" x14ac:dyDescent="0.2">
      <c r="P770" s="36"/>
      <c r="Q770" s="40"/>
      <c r="R770" s="40"/>
      <c r="S770" s="40"/>
      <c r="T770" s="41"/>
      <c r="U770" s="41"/>
      <c r="V770" s="41"/>
      <c r="W770" s="36"/>
      <c r="X770" s="36"/>
      <c r="Y770" s="36"/>
      <c r="Z770" s="36"/>
      <c r="AA770" s="36"/>
    </row>
    <row r="771" spans="16:27" x14ac:dyDescent="0.2">
      <c r="P771" s="36"/>
      <c r="Q771" s="40"/>
      <c r="R771" s="40"/>
      <c r="S771" s="40"/>
      <c r="T771" s="41"/>
      <c r="U771" s="41"/>
      <c r="V771" s="41"/>
      <c r="W771" s="36"/>
      <c r="X771" s="36"/>
      <c r="Y771" s="36"/>
      <c r="Z771" s="36"/>
      <c r="AA771" s="36"/>
    </row>
    <row r="772" spans="16:27" x14ac:dyDescent="0.2">
      <c r="P772" s="36"/>
      <c r="Q772" s="40"/>
      <c r="R772" s="40"/>
      <c r="S772" s="40"/>
      <c r="T772" s="41"/>
      <c r="U772" s="41"/>
      <c r="V772" s="41"/>
      <c r="W772" s="36"/>
      <c r="X772" s="36"/>
      <c r="Y772" s="36"/>
      <c r="Z772" s="36"/>
      <c r="AA772" s="36"/>
    </row>
    <row r="773" spans="16:27" x14ac:dyDescent="0.2">
      <c r="P773" s="36"/>
      <c r="Q773" s="40"/>
      <c r="R773" s="40"/>
      <c r="S773" s="40"/>
      <c r="T773" s="41"/>
      <c r="U773" s="41"/>
      <c r="V773" s="41"/>
      <c r="W773" s="36"/>
      <c r="X773" s="36"/>
      <c r="Y773" s="36"/>
      <c r="Z773" s="36"/>
      <c r="AA773" s="36"/>
    </row>
    <row r="774" spans="16:27" x14ac:dyDescent="0.2">
      <c r="P774" s="36"/>
      <c r="Q774" s="40"/>
      <c r="R774" s="40"/>
      <c r="S774" s="40"/>
      <c r="T774" s="41"/>
      <c r="U774" s="41"/>
      <c r="V774" s="41"/>
      <c r="W774" s="36"/>
      <c r="X774" s="36"/>
      <c r="Y774" s="36"/>
      <c r="Z774" s="36"/>
      <c r="AA774" s="36"/>
    </row>
    <row r="775" spans="16:27" x14ac:dyDescent="0.2">
      <c r="P775" s="36"/>
      <c r="Q775" s="40"/>
      <c r="R775" s="40"/>
      <c r="S775" s="40"/>
      <c r="T775" s="41"/>
      <c r="U775" s="41"/>
      <c r="V775" s="41"/>
      <c r="W775" s="36"/>
      <c r="X775" s="36"/>
      <c r="Y775" s="36"/>
      <c r="Z775" s="36"/>
      <c r="AA775" s="36"/>
    </row>
    <row r="776" spans="16:27" x14ac:dyDescent="0.2">
      <c r="P776" s="36"/>
      <c r="Q776" s="40"/>
      <c r="R776" s="40"/>
      <c r="S776" s="40"/>
      <c r="T776" s="41"/>
      <c r="U776" s="41"/>
      <c r="V776" s="41"/>
      <c r="W776" s="36"/>
      <c r="X776" s="36"/>
      <c r="Y776" s="36"/>
      <c r="Z776" s="36"/>
      <c r="AA776" s="36"/>
    </row>
    <row r="777" spans="16:27" x14ac:dyDescent="0.2">
      <c r="P777" s="36"/>
      <c r="Q777" s="40"/>
      <c r="R777" s="40"/>
      <c r="S777" s="40"/>
      <c r="T777" s="41"/>
      <c r="U777" s="41"/>
      <c r="V777" s="41"/>
      <c r="W777" s="36"/>
      <c r="X777" s="36"/>
      <c r="Y777" s="36"/>
      <c r="Z777" s="36"/>
      <c r="AA777" s="36"/>
    </row>
    <row r="778" spans="16:27" x14ac:dyDescent="0.2">
      <c r="P778" s="36"/>
      <c r="Q778" s="40"/>
      <c r="R778" s="40"/>
      <c r="S778" s="40"/>
      <c r="T778" s="41"/>
      <c r="U778" s="41"/>
      <c r="V778" s="41"/>
      <c r="W778" s="36"/>
      <c r="X778" s="36"/>
      <c r="Y778" s="36"/>
      <c r="Z778" s="36"/>
      <c r="AA778" s="36"/>
    </row>
    <row r="779" spans="16:27" x14ac:dyDescent="0.2">
      <c r="P779" s="36"/>
      <c r="Q779" s="40"/>
      <c r="R779" s="40"/>
      <c r="S779" s="40"/>
      <c r="T779" s="41"/>
      <c r="U779" s="41"/>
      <c r="V779" s="41"/>
      <c r="W779" s="36"/>
      <c r="X779" s="36"/>
      <c r="Y779" s="36"/>
      <c r="Z779" s="36"/>
      <c r="AA779" s="36"/>
    </row>
    <row r="780" spans="16:27" x14ac:dyDescent="0.2">
      <c r="P780" s="36"/>
      <c r="Q780" s="40"/>
      <c r="R780" s="40"/>
      <c r="S780" s="40"/>
      <c r="T780" s="41"/>
      <c r="U780" s="41"/>
      <c r="V780" s="41"/>
      <c r="W780" s="36"/>
      <c r="X780" s="36"/>
      <c r="Y780" s="36"/>
      <c r="Z780" s="36"/>
      <c r="AA780" s="36"/>
    </row>
    <row r="781" spans="16:27" x14ac:dyDescent="0.2">
      <c r="P781" s="36"/>
      <c r="Q781" s="40"/>
      <c r="R781" s="40"/>
      <c r="S781" s="40"/>
      <c r="T781" s="41"/>
      <c r="U781" s="41"/>
      <c r="V781" s="41"/>
      <c r="W781" s="36"/>
      <c r="X781" s="36"/>
      <c r="Y781" s="36"/>
      <c r="Z781" s="36"/>
      <c r="AA781" s="36"/>
    </row>
    <row r="782" spans="16:27" x14ac:dyDescent="0.2">
      <c r="P782" s="36"/>
      <c r="Q782" s="40"/>
      <c r="R782" s="40"/>
      <c r="S782" s="40"/>
      <c r="T782" s="41"/>
      <c r="U782" s="41"/>
      <c r="V782" s="41"/>
      <c r="W782" s="36"/>
      <c r="X782" s="36"/>
      <c r="Y782" s="36"/>
      <c r="Z782" s="36"/>
      <c r="AA782" s="36"/>
    </row>
    <row r="783" spans="16:27" x14ac:dyDescent="0.2">
      <c r="P783" s="36"/>
      <c r="Q783" s="40"/>
      <c r="R783" s="40"/>
      <c r="S783" s="40"/>
      <c r="T783" s="41"/>
      <c r="U783" s="41"/>
      <c r="V783" s="41"/>
      <c r="W783" s="36"/>
      <c r="X783" s="36"/>
      <c r="Y783" s="36"/>
      <c r="Z783" s="36"/>
      <c r="AA783" s="36"/>
    </row>
    <row r="784" spans="16:27" x14ac:dyDescent="0.2">
      <c r="P784" s="36"/>
      <c r="Q784" s="40"/>
      <c r="R784" s="40"/>
      <c r="S784" s="40"/>
      <c r="T784" s="41"/>
      <c r="U784" s="41"/>
      <c r="V784" s="41"/>
      <c r="W784" s="36"/>
      <c r="X784" s="36"/>
      <c r="Y784" s="36"/>
      <c r="Z784" s="36"/>
      <c r="AA784" s="36"/>
    </row>
    <row r="785" spans="16:27" x14ac:dyDescent="0.2">
      <c r="P785" s="36"/>
      <c r="Q785" s="40"/>
      <c r="R785" s="40"/>
      <c r="S785" s="40"/>
      <c r="T785" s="41"/>
      <c r="U785" s="41"/>
      <c r="V785" s="41"/>
      <c r="W785" s="36"/>
      <c r="X785" s="36"/>
      <c r="Y785" s="36"/>
      <c r="Z785" s="36"/>
      <c r="AA785" s="36"/>
    </row>
    <row r="786" spans="16:27" x14ac:dyDescent="0.2">
      <c r="P786" s="36"/>
      <c r="Q786" s="40"/>
      <c r="R786" s="40"/>
      <c r="S786" s="40"/>
      <c r="T786" s="41"/>
      <c r="U786" s="41"/>
      <c r="V786" s="41"/>
      <c r="W786" s="36"/>
      <c r="X786" s="36"/>
      <c r="Y786" s="36"/>
      <c r="Z786" s="36"/>
      <c r="AA786" s="36"/>
    </row>
    <row r="787" spans="16:27" x14ac:dyDescent="0.2">
      <c r="P787" s="36"/>
      <c r="Q787" s="40"/>
      <c r="R787" s="40"/>
      <c r="S787" s="40"/>
      <c r="T787" s="41"/>
      <c r="U787" s="41"/>
      <c r="V787" s="41"/>
      <c r="W787" s="36"/>
      <c r="X787" s="36"/>
      <c r="Y787" s="36"/>
      <c r="Z787" s="36"/>
      <c r="AA787" s="36"/>
    </row>
    <row r="788" spans="16:27" x14ac:dyDescent="0.2">
      <c r="P788" s="36"/>
      <c r="Q788" s="40"/>
      <c r="R788" s="40"/>
      <c r="S788" s="40"/>
      <c r="T788" s="41"/>
      <c r="U788" s="41"/>
      <c r="V788" s="41"/>
      <c r="W788" s="36"/>
      <c r="X788" s="36"/>
      <c r="Y788" s="36"/>
      <c r="Z788" s="36"/>
      <c r="AA788" s="36"/>
    </row>
    <row r="789" spans="16:27" x14ac:dyDescent="0.2">
      <c r="P789" s="36"/>
      <c r="Q789" s="40"/>
      <c r="R789" s="40"/>
      <c r="S789" s="40"/>
      <c r="T789" s="41"/>
      <c r="U789" s="41"/>
      <c r="V789" s="41"/>
      <c r="W789" s="36"/>
      <c r="X789" s="36"/>
      <c r="Y789" s="36"/>
      <c r="Z789" s="36"/>
      <c r="AA789" s="36"/>
    </row>
    <row r="790" spans="16:27" x14ac:dyDescent="0.2">
      <c r="P790" s="36"/>
      <c r="Q790" s="40"/>
      <c r="R790" s="40"/>
      <c r="S790" s="40"/>
      <c r="T790" s="41"/>
      <c r="U790" s="41"/>
      <c r="V790" s="41"/>
      <c r="W790" s="36"/>
      <c r="X790" s="36"/>
      <c r="Y790" s="36"/>
      <c r="Z790" s="36"/>
      <c r="AA790" s="36"/>
    </row>
    <row r="791" spans="16:27" x14ac:dyDescent="0.2">
      <c r="P791" s="36"/>
      <c r="Q791" s="40"/>
      <c r="R791" s="40"/>
      <c r="S791" s="40"/>
      <c r="T791" s="41"/>
      <c r="U791" s="41"/>
      <c r="V791" s="41"/>
      <c r="W791" s="36"/>
      <c r="X791" s="36"/>
      <c r="Y791" s="36"/>
      <c r="Z791" s="36"/>
      <c r="AA791" s="36"/>
    </row>
    <row r="792" spans="16:27" x14ac:dyDescent="0.2">
      <c r="P792" s="36"/>
      <c r="Q792" s="40"/>
      <c r="R792" s="40"/>
      <c r="S792" s="40"/>
      <c r="T792" s="41"/>
      <c r="U792" s="41"/>
      <c r="V792" s="41"/>
      <c r="W792" s="36"/>
      <c r="X792" s="36"/>
      <c r="Y792" s="36"/>
      <c r="Z792" s="36"/>
      <c r="AA792" s="36"/>
    </row>
    <row r="793" spans="16:27" x14ac:dyDescent="0.2">
      <c r="P793" s="36"/>
      <c r="Q793" s="40"/>
      <c r="R793" s="40"/>
      <c r="S793" s="40"/>
      <c r="T793" s="41"/>
      <c r="U793" s="41"/>
      <c r="V793" s="41"/>
      <c r="W793" s="36"/>
      <c r="X793" s="36"/>
      <c r="Y793" s="36"/>
      <c r="Z793" s="36"/>
      <c r="AA793" s="36"/>
    </row>
    <row r="794" spans="16:27" x14ac:dyDescent="0.2">
      <c r="P794" s="36"/>
      <c r="Q794" s="40"/>
      <c r="R794" s="40"/>
      <c r="S794" s="40"/>
      <c r="T794" s="41"/>
      <c r="U794" s="41"/>
      <c r="V794" s="41"/>
      <c r="W794" s="36"/>
      <c r="X794" s="36"/>
      <c r="Y794" s="36"/>
      <c r="Z794" s="36"/>
      <c r="AA794" s="36"/>
    </row>
    <row r="795" spans="16:27" x14ac:dyDescent="0.2">
      <c r="P795" s="36"/>
      <c r="Q795" s="40"/>
      <c r="R795" s="40"/>
      <c r="S795" s="40"/>
      <c r="T795" s="41"/>
      <c r="U795" s="41"/>
      <c r="V795" s="41"/>
      <c r="W795" s="36"/>
      <c r="X795" s="36"/>
      <c r="Y795" s="36"/>
      <c r="Z795" s="36"/>
      <c r="AA795" s="36"/>
    </row>
    <row r="796" spans="16:27" x14ac:dyDescent="0.2">
      <c r="P796" s="36"/>
      <c r="Q796" s="40"/>
      <c r="R796" s="40"/>
      <c r="S796" s="40"/>
      <c r="T796" s="41"/>
      <c r="U796" s="41"/>
      <c r="V796" s="41"/>
      <c r="W796" s="36"/>
      <c r="X796" s="36"/>
      <c r="Y796" s="36"/>
      <c r="Z796" s="36"/>
      <c r="AA796" s="36"/>
    </row>
    <row r="797" spans="16:27" x14ac:dyDescent="0.2">
      <c r="P797" s="36"/>
      <c r="Q797" s="40"/>
      <c r="R797" s="40"/>
      <c r="S797" s="40"/>
      <c r="T797" s="41"/>
      <c r="U797" s="41"/>
      <c r="V797" s="41"/>
      <c r="W797" s="36"/>
      <c r="X797" s="36"/>
      <c r="Y797" s="36"/>
      <c r="Z797" s="36"/>
      <c r="AA797" s="36"/>
    </row>
    <row r="798" spans="16:27" x14ac:dyDescent="0.2">
      <c r="P798" s="36"/>
      <c r="Q798" s="40"/>
      <c r="R798" s="40"/>
      <c r="S798" s="40"/>
      <c r="T798" s="41"/>
      <c r="U798" s="41"/>
      <c r="V798" s="41"/>
      <c r="W798" s="36"/>
      <c r="X798" s="36"/>
      <c r="Y798" s="36"/>
      <c r="Z798" s="36"/>
      <c r="AA798" s="36"/>
    </row>
    <row r="799" spans="16:27" x14ac:dyDescent="0.2">
      <c r="P799" s="36"/>
      <c r="Q799" s="40"/>
      <c r="R799" s="40"/>
      <c r="S799" s="40"/>
      <c r="T799" s="41"/>
      <c r="U799" s="41"/>
      <c r="V799" s="41"/>
      <c r="W799" s="36"/>
      <c r="X799" s="36"/>
      <c r="Y799" s="36"/>
      <c r="Z799" s="36"/>
      <c r="AA799" s="36"/>
    </row>
    <row r="800" spans="16:27" x14ac:dyDescent="0.2">
      <c r="P800" s="36"/>
      <c r="Q800" s="40"/>
      <c r="R800" s="40"/>
      <c r="S800" s="40"/>
      <c r="T800" s="41"/>
      <c r="U800" s="41"/>
      <c r="V800" s="41"/>
      <c r="W800" s="36"/>
      <c r="X800" s="36"/>
      <c r="Y800" s="36"/>
      <c r="Z800" s="36"/>
      <c r="AA800" s="36"/>
    </row>
    <row r="801" spans="16:27" x14ac:dyDescent="0.2">
      <c r="P801" s="36"/>
      <c r="Q801" s="40"/>
      <c r="R801" s="40"/>
      <c r="S801" s="40"/>
      <c r="T801" s="41"/>
      <c r="U801" s="41"/>
      <c r="V801" s="41"/>
      <c r="W801" s="36"/>
      <c r="X801" s="36"/>
      <c r="Y801" s="36"/>
      <c r="Z801" s="36"/>
      <c r="AA801" s="36"/>
    </row>
    <row r="802" spans="16:27" x14ac:dyDescent="0.2">
      <c r="P802" s="36"/>
      <c r="Q802" s="40"/>
      <c r="R802" s="40"/>
      <c r="S802" s="40"/>
      <c r="T802" s="41"/>
      <c r="U802" s="41"/>
      <c r="V802" s="41"/>
      <c r="W802" s="36"/>
      <c r="X802" s="36"/>
      <c r="Y802" s="36"/>
      <c r="Z802" s="36"/>
      <c r="AA802" s="36"/>
    </row>
    <row r="803" spans="16:27" x14ac:dyDescent="0.2">
      <c r="P803" s="36"/>
      <c r="Q803" s="40"/>
      <c r="R803" s="40"/>
      <c r="S803" s="40"/>
      <c r="T803" s="41"/>
      <c r="U803" s="41"/>
      <c r="V803" s="41"/>
      <c r="W803" s="36"/>
      <c r="X803" s="36"/>
      <c r="Y803" s="36"/>
      <c r="Z803" s="36"/>
      <c r="AA803" s="36"/>
    </row>
    <row r="804" spans="16:27" x14ac:dyDescent="0.2">
      <c r="P804" s="36"/>
      <c r="Q804" s="40"/>
      <c r="R804" s="40"/>
      <c r="S804" s="40"/>
      <c r="T804" s="41"/>
      <c r="U804" s="41"/>
      <c r="V804" s="41"/>
      <c r="W804" s="36"/>
      <c r="X804" s="36"/>
      <c r="Y804" s="36"/>
      <c r="Z804" s="36"/>
      <c r="AA804" s="36"/>
    </row>
    <row r="805" spans="16:27" x14ac:dyDescent="0.2">
      <c r="P805" s="36"/>
      <c r="Q805" s="40"/>
      <c r="R805" s="40"/>
      <c r="S805" s="40"/>
      <c r="T805" s="41"/>
      <c r="U805" s="41"/>
      <c r="V805" s="41"/>
      <c r="W805" s="36"/>
      <c r="X805" s="36"/>
      <c r="Y805" s="36"/>
      <c r="Z805" s="36"/>
      <c r="AA805" s="36"/>
    </row>
    <row r="806" spans="16:27" x14ac:dyDescent="0.2">
      <c r="P806" s="36"/>
      <c r="Q806" s="40"/>
      <c r="R806" s="40"/>
      <c r="S806" s="40"/>
      <c r="T806" s="41"/>
      <c r="U806" s="41"/>
      <c r="V806" s="41"/>
      <c r="W806" s="36"/>
      <c r="X806" s="36"/>
      <c r="Y806" s="36"/>
      <c r="Z806" s="36"/>
      <c r="AA806" s="36"/>
    </row>
    <row r="807" spans="16:27" x14ac:dyDescent="0.2">
      <c r="P807" s="36"/>
      <c r="Q807" s="40"/>
      <c r="R807" s="40"/>
      <c r="S807" s="40"/>
      <c r="T807" s="41"/>
      <c r="U807" s="41"/>
      <c r="V807" s="41"/>
      <c r="W807" s="36"/>
      <c r="X807" s="36"/>
      <c r="Y807" s="36"/>
      <c r="Z807" s="36"/>
      <c r="AA807" s="36"/>
    </row>
    <row r="808" spans="16:27" x14ac:dyDescent="0.2">
      <c r="P808" s="36"/>
      <c r="Q808" s="40"/>
      <c r="R808" s="40"/>
      <c r="S808" s="40"/>
      <c r="T808" s="41"/>
      <c r="U808" s="41"/>
      <c r="V808" s="41"/>
      <c r="W808" s="36"/>
      <c r="X808" s="36"/>
      <c r="Y808" s="36"/>
      <c r="Z808" s="36"/>
      <c r="AA808" s="36"/>
    </row>
    <row r="809" spans="16:27" x14ac:dyDescent="0.2">
      <c r="P809" s="36"/>
      <c r="Q809" s="40"/>
      <c r="R809" s="40"/>
      <c r="S809" s="40"/>
      <c r="T809" s="41"/>
      <c r="U809" s="41"/>
      <c r="V809" s="41"/>
      <c r="W809" s="36"/>
      <c r="X809" s="36"/>
      <c r="Y809" s="36"/>
      <c r="Z809" s="36"/>
      <c r="AA809" s="36"/>
    </row>
    <row r="810" spans="16:27" x14ac:dyDescent="0.2">
      <c r="P810" s="36"/>
      <c r="Q810" s="40"/>
      <c r="R810" s="40"/>
      <c r="S810" s="40"/>
      <c r="T810" s="41"/>
      <c r="U810" s="41"/>
      <c r="V810" s="41"/>
      <c r="W810" s="36"/>
      <c r="X810" s="36"/>
      <c r="Y810" s="36"/>
      <c r="Z810" s="36"/>
      <c r="AA810" s="36"/>
    </row>
    <row r="811" spans="16:27" x14ac:dyDescent="0.2">
      <c r="P811" s="36"/>
      <c r="Q811" s="40"/>
      <c r="R811" s="40"/>
      <c r="S811" s="40"/>
      <c r="T811" s="41"/>
      <c r="U811" s="41"/>
      <c r="V811" s="41"/>
      <c r="W811" s="36"/>
      <c r="X811" s="36"/>
      <c r="Y811" s="36"/>
      <c r="Z811" s="36"/>
      <c r="AA811" s="36"/>
    </row>
    <row r="812" spans="16:27" x14ac:dyDescent="0.2">
      <c r="P812" s="36"/>
      <c r="Q812" s="40"/>
      <c r="R812" s="40"/>
      <c r="S812" s="40"/>
      <c r="T812" s="41"/>
      <c r="U812" s="41"/>
      <c r="V812" s="41"/>
      <c r="W812" s="36"/>
      <c r="X812" s="36"/>
      <c r="Y812" s="36"/>
      <c r="Z812" s="36"/>
      <c r="AA812" s="36"/>
    </row>
    <row r="813" spans="16:27" x14ac:dyDescent="0.2">
      <c r="P813" s="36"/>
      <c r="Q813" s="40"/>
      <c r="R813" s="40"/>
      <c r="S813" s="40"/>
      <c r="T813" s="41"/>
      <c r="U813" s="41"/>
      <c r="V813" s="41"/>
      <c r="W813" s="36"/>
      <c r="X813" s="36"/>
      <c r="Y813" s="36"/>
      <c r="Z813" s="36"/>
      <c r="AA813" s="36"/>
    </row>
    <row r="814" spans="16:27" x14ac:dyDescent="0.2">
      <c r="P814" s="36"/>
      <c r="Q814" s="40"/>
      <c r="R814" s="40"/>
      <c r="S814" s="40"/>
      <c r="T814" s="41"/>
      <c r="U814" s="41"/>
      <c r="V814" s="41"/>
      <c r="W814" s="36"/>
      <c r="X814" s="36"/>
      <c r="Y814" s="36"/>
      <c r="Z814" s="36"/>
      <c r="AA814" s="36"/>
    </row>
    <row r="815" spans="16:27" x14ac:dyDescent="0.2">
      <c r="P815" s="36"/>
      <c r="Q815" s="40"/>
      <c r="R815" s="40"/>
      <c r="S815" s="40"/>
      <c r="T815" s="41"/>
      <c r="U815" s="41"/>
      <c r="V815" s="41"/>
      <c r="W815" s="36"/>
      <c r="X815" s="36"/>
      <c r="Y815" s="36"/>
      <c r="Z815" s="36"/>
      <c r="AA815" s="36"/>
    </row>
    <row r="816" spans="16:27" x14ac:dyDescent="0.2">
      <c r="P816" s="36"/>
      <c r="Q816" s="40"/>
      <c r="R816" s="40"/>
      <c r="S816" s="40"/>
      <c r="T816" s="41"/>
      <c r="U816" s="41"/>
      <c r="V816" s="41"/>
      <c r="W816" s="36"/>
      <c r="X816" s="36"/>
      <c r="Y816" s="36"/>
      <c r="Z816" s="36"/>
      <c r="AA816" s="36"/>
    </row>
    <row r="817" spans="16:27" x14ac:dyDescent="0.2">
      <c r="P817" s="36"/>
      <c r="Q817" s="40"/>
      <c r="R817" s="40"/>
      <c r="S817" s="40"/>
      <c r="T817" s="41"/>
      <c r="U817" s="41"/>
      <c r="V817" s="41"/>
      <c r="W817" s="36"/>
      <c r="X817" s="36"/>
      <c r="Y817" s="36"/>
      <c r="Z817" s="36"/>
      <c r="AA817" s="36"/>
    </row>
    <row r="818" spans="16:27" x14ac:dyDescent="0.2">
      <c r="P818" s="36"/>
      <c r="Q818" s="40"/>
      <c r="R818" s="40"/>
      <c r="S818" s="40"/>
      <c r="T818" s="41"/>
      <c r="U818" s="41"/>
      <c r="V818" s="41"/>
      <c r="W818" s="36"/>
      <c r="X818" s="36"/>
      <c r="Y818" s="36"/>
      <c r="Z818" s="36"/>
      <c r="AA818" s="36"/>
    </row>
    <row r="819" spans="16:27" x14ac:dyDescent="0.2">
      <c r="P819" s="36"/>
      <c r="Q819" s="40"/>
      <c r="R819" s="40"/>
      <c r="S819" s="40"/>
      <c r="T819" s="41"/>
      <c r="U819" s="41"/>
      <c r="V819" s="41"/>
      <c r="W819" s="36"/>
      <c r="X819" s="36"/>
      <c r="Y819" s="36"/>
      <c r="Z819" s="36"/>
      <c r="AA819" s="36"/>
    </row>
    <row r="820" spans="16:27" x14ac:dyDescent="0.2">
      <c r="P820" s="36"/>
      <c r="Q820" s="40"/>
      <c r="R820" s="40"/>
      <c r="S820" s="40"/>
      <c r="T820" s="41"/>
      <c r="U820" s="41"/>
      <c r="V820" s="41"/>
      <c r="W820" s="36"/>
      <c r="X820" s="36"/>
      <c r="Y820" s="36"/>
      <c r="Z820" s="36"/>
      <c r="AA820" s="36"/>
    </row>
    <row r="821" spans="16:27" x14ac:dyDescent="0.2">
      <c r="P821" s="36"/>
      <c r="Q821" s="40"/>
      <c r="R821" s="40"/>
      <c r="S821" s="40"/>
      <c r="T821" s="41"/>
      <c r="U821" s="41"/>
      <c r="V821" s="41"/>
      <c r="W821" s="36"/>
      <c r="X821" s="36"/>
      <c r="Y821" s="36"/>
      <c r="Z821" s="36"/>
      <c r="AA821" s="36"/>
    </row>
    <row r="822" spans="16:27" x14ac:dyDescent="0.2">
      <c r="P822" s="36"/>
      <c r="Q822" s="40"/>
      <c r="R822" s="40"/>
      <c r="S822" s="40"/>
      <c r="T822" s="41"/>
      <c r="U822" s="41"/>
      <c r="V822" s="41"/>
      <c r="W822" s="36"/>
      <c r="X822" s="36"/>
      <c r="Y822" s="36"/>
      <c r="Z822" s="36"/>
      <c r="AA822" s="36"/>
    </row>
    <row r="823" spans="16:27" x14ac:dyDescent="0.2">
      <c r="P823" s="36"/>
      <c r="Q823" s="40"/>
      <c r="R823" s="40"/>
      <c r="S823" s="40"/>
      <c r="T823" s="41"/>
      <c r="U823" s="41"/>
      <c r="V823" s="41"/>
      <c r="W823" s="36"/>
      <c r="X823" s="36"/>
      <c r="Y823" s="36"/>
      <c r="Z823" s="36"/>
      <c r="AA823" s="36"/>
    </row>
    <row r="824" spans="16:27" x14ac:dyDescent="0.2">
      <c r="P824" s="36"/>
      <c r="Q824" s="40"/>
      <c r="R824" s="40"/>
      <c r="S824" s="40"/>
      <c r="T824" s="41"/>
      <c r="U824" s="41"/>
      <c r="V824" s="41"/>
      <c r="W824" s="36"/>
      <c r="X824" s="36"/>
      <c r="Y824" s="36"/>
      <c r="Z824" s="36"/>
      <c r="AA824" s="36"/>
    </row>
    <row r="825" spans="16:27" x14ac:dyDescent="0.2">
      <c r="P825" s="36"/>
      <c r="Q825" s="40"/>
      <c r="R825" s="40"/>
      <c r="S825" s="40"/>
      <c r="T825" s="41"/>
      <c r="U825" s="41"/>
      <c r="V825" s="41"/>
      <c r="W825" s="36"/>
      <c r="X825" s="36"/>
      <c r="Y825" s="36"/>
      <c r="Z825" s="36"/>
      <c r="AA825" s="36"/>
    </row>
    <row r="826" spans="16:27" x14ac:dyDescent="0.2">
      <c r="P826" s="36"/>
      <c r="Q826" s="40"/>
      <c r="R826" s="40"/>
      <c r="S826" s="40"/>
      <c r="T826" s="41"/>
      <c r="U826" s="41"/>
      <c r="V826" s="41"/>
      <c r="W826" s="36"/>
      <c r="X826" s="36"/>
      <c r="Y826" s="36"/>
      <c r="Z826" s="36"/>
      <c r="AA826" s="36"/>
    </row>
    <row r="827" spans="16:27" x14ac:dyDescent="0.2">
      <c r="P827" s="36"/>
      <c r="Q827" s="40"/>
      <c r="R827" s="40"/>
      <c r="S827" s="40"/>
      <c r="T827" s="41"/>
      <c r="U827" s="41"/>
      <c r="V827" s="41"/>
      <c r="W827" s="36"/>
      <c r="X827" s="36"/>
      <c r="Y827" s="36"/>
      <c r="Z827" s="36"/>
      <c r="AA827" s="36"/>
    </row>
    <row r="828" spans="16:27" x14ac:dyDescent="0.2">
      <c r="P828" s="36"/>
      <c r="Q828" s="40"/>
      <c r="R828" s="40"/>
      <c r="S828" s="40"/>
      <c r="T828" s="41"/>
      <c r="U828" s="41"/>
      <c r="V828" s="41"/>
      <c r="W828" s="36"/>
      <c r="X828" s="36"/>
      <c r="Y828" s="36"/>
      <c r="Z828" s="36"/>
      <c r="AA828" s="36"/>
    </row>
    <row r="829" spans="16:27" x14ac:dyDescent="0.2">
      <c r="P829" s="36"/>
      <c r="Q829" s="40"/>
      <c r="R829" s="40"/>
      <c r="S829" s="40"/>
      <c r="T829" s="41"/>
      <c r="U829" s="41"/>
      <c r="V829" s="41"/>
      <c r="W829" s="36"/>
      <c r="X829" s="36"/>
      <c r="Y829" s="36"/>
      <c r="Z829" s="36"/>
      <c r="AA829" s="36"/>
    </row>
    <row r="830" spans="16:27" x14ac:dyDescent="0.2">
      <c r="P830" s="36"/>
      <c r="Q830" s="40"/>
      <c r="R830" s="40"/>
      <c r="S830" s="40"/>
      <c r="T830" s="41"/>
      <c r="U830" s="41"/>
      <c r="V830" s="41"/>
      <c r="W830" s="36"/>
      <c r="X830" s="36"/>
      <c r="Y830" s="36"/>
      <c r="Z830" s="36"/>
      <c r="AA830" s="36"/>
    </row>
    <row r="831" spans="16:27" x14ac:dyDescent="0.2">
      <c r="P831" s="36"/>
      <c r="Q831" s="40"/>
      <c r="R831" s="40"/>
      <c r="S831" s="40"/>
      <c r="T831" s="41"/>
      <c r="U831" s="41"/>
      <c r="V831" s="41"/>
      <c r="W831" s="36"/>
      <c r="X831" s="36"/>
      <c r="Y831" s="36"/>
      <c r="Z831" s="36"/>
      <c r="AA831" s="36"/>
    </row>
    <row r="832" spans="16:27" x14ac:dyDescent="0.2">
      <c r="P832" s="36"/>
      <c r="Q832" s="40"/>
      <c r="R832" s="40"/>
      <c r="S832" s="40"/>
      <c r="T832" s="41"/>
      <c r="U832" s="41"/>
      <c r="V832" s="41"/>
      <c r="W832" s="36"/>
      <c r="X832" s="36"/>
      <c r="Y832" s="36"/>
      <c r="Z832" s="36"/>
      <c r="AA832" s="36"/>
    </row>
    <row r="833" spans="16:27" x14ac:dyDescent="0.2">
      <c r="P833" s="36"/>
      <c r="Q833" s="40"/>
      <c r="R833" s="40"/>
      <c r="S833" s="40"/>
      <c r="T833" s="41"/>
      <c r="U833" s="41"/>
      <c r="V833" s="41"/>
      <c r="W833" s="36"/>
      <c r="X833" s="36"/>
      <c r="Y833" s="36"/>
      <c r="Z833" s="36"/>
      <c r="AA833" s="36"/>
    </row>
    <row r="834" spans="16:27" x14ac:dyDescent="0.2">
      <c r="P834" s="36"/>
      <c r="Q834" s="40"/>
      <c r="R834" s="40"/>
      <c r="S834" s="40"/>
      <c r="T834" s="41"/>
      <c r="U834" s="41"/>
      <c r="V834" s="41"/>
      <c r="W834" s="36"/>
      <c r="X834" s="36"/>
      <c r="Y834" s="36"/>
      <c r="Z834" s="36"/>
      <c r="AA834" s="36"/>
    </row>
    <row r="835" spans="16:27" x14ac:dyDescent="0.2">
      <c r="P835" s="36"/>
      <c r="Q835" s="40"/>
      <c r="R835" s="40"/>
      <c r="S835" s="40"/>
      <c r="T835" s="41"/>
      <c r="U835" s="41"/>
      <c r="V835" s="41"/>
      <c r="W835" s="36"/>
      <c r="X835" s="36"/>
      <c r="Y835" s="36"/>
      <c r="Z835" s="36"/>
      <c r="AA835" s="36"/>
    </row>
    <row r="836" spans="16:27" x14ac:dyDescent="0.2">
      <c r="P836" s="36"/>
      <c r="Q836" s="40"/>
      <c r="R836" s="40"/>
      <c r="S836" s="40"/>
      <c r="T836" s="41"/>
      <c r="U836" s="41"/>
      <c r="V836" s="41"/>
      <c r="W836" s="36"/>
      <c r="X836" s="36"/>
      <c r="Y836" s="36"/>
      <c r="Z836" s="36"/>
      <c r="AA836" s="36"/>
    </row>
    <row r="837" spans="16:27" x14ac:dyDescent="0.2">
      <c r="P837" s="36"/>
      <c r="Q837" s="40"/>
      <c r="R837" s="40"/>
      <c r="S837" s="40"/>
      <c r="T837" s="41"/>
      <c r="U837" s="41"/>
      <c r="V837" s="41"/>
      <c r="W837" s="36"/>
      <c r="X837" s="36"/>
      <c r="Y837" s="36"/>
      <c r="Z837" s="36"/>
      <c r="AA837" s="36"/>
    </row>
    <row r="838" spans="16:27" x14ac:dyDescent="0.2">
      <c r="P838" s="36"/>
      <c r="Q838" s="40"/>
      <c r="R838" s="40"/>
      <c r="S838" s="40"/>
      <c r="T838" s="41"/>
      <c r="U838" s="41"/>
      <c r="V838" s="41"/>
      <c r="W838" s="36"/>
      <c r="X838" s="36"/>
      <c r="Y838" s="36"/>
      <c r="Z838" s="36"/>
      <c r="AA838" s="36"/>
    </row>
    <row r="839" spans="16:27" x14ac:dyDescent="0.2">
      <c r="P839" s="36"/>
      <c r="Q839" s="40"/>
      <c r="R839" s="40"/>
      <c r="S839" s="40"/>
      <c r="T839" s="41"/>
      <c r="U839" s="41"/>
      <c r="V839" s="41"/>
      <c r="W839" s="36"/>
      <c r="X839" s="36"/>
      <c r="Y839" s="36"/>
      <c r="Z839" s="36"/>
      <c r="AA839" s="36"/>
    </row>
    <row r="840" spans="16:27" x14ac:dyDescent="0.2">
      <c r="P840" s="36"/>
      <c r="Q840" s="40"/>
      <c r="R840" s="40"/>
      <c r="S840" s="40"/>
      <c r="T840" s="41"/>
      <c r="U840" s="41"/>
      <c r="V840" s="41"/>
      <c r="W840" s="36"/>
      <c r="X840" s="36"/>
      <c r="Y840" s="36"/>
      <c r="Z840" s="36"/>
      <c r="AA840" s="36"/>
    </row>
    <row r="841" spans="16:27" x14ac:dyDescent="0.2">
      <c r="P841" s="36"/>
      <c r="Q841" s="40"/>
      <c r="R841" s="40"/>
      <c r="S841" s="40"/>
      <c r="T841" s="41"/>
      <c r="U841" s="41"/>
      <c r="V841" s="41"/>
      <c r="W841" s="36"/>
      <c r="X841" s="36"/>
      <c r="Y841" s="36"/>
      <c r="Z841" s="36"/>
      <c r="AA841" s="36"/>
    </row>
    <row r="842" spans="16:27" x14ac:dyDescent="0.2">
      <c r="P842" s="36"/>
      <c r="Q842" s="40"/>
      <c r="R842" s="40"/>
      <c r="S842" s="40"/>
      <c r="T842" s="41"/>
      <c r="U842" s="41"/>
      <c r="V842" s="41"/>
      <c r="W842" s="36"/>
      <c r="X842" s="36"/>
      <c r="Y842" s="36"/>
      <c r="Z842" s="36"/>
      <c r="AA842" s="36"/>
    </row>
    <row r="843" spans="16:27" x14ac:dyDescent="0.2">
      <c r="P843" s="36"/>
      <c r="Q843" s="40"/>
      <c r="R843" s="40"/>
      <c r="S843" s="40"/>
      <c r="T843" s="41"/>
      <c r="U843" s="41"/>
      <c r="V843" s="41"/>
      <c r="W843" s="36"/>
      <c r="X843" s="36"/>
      <c r="Y843" s="36"/>
      <c r="Z843" s="36"/>
      <c r="AA843" s="36"/>
    </row>
    <row r="844" spans="16:27" x14ac:dyDescent="0.2">
      <c r="P844" s="36"/>
      <c r="Q844" s="40"/>
      <c r="R844" s="40"/>
      <c r="S844" s="40"/>
      <c r="T844" s="41"/>
      <c r="U844" s="41"/>
      <c r="V844" s="41"/>
      <c r="W844" s="36"/>
      <c r="X844" s="36"/>
      <c r="Y844" s="36"/>
      <c r="Z844" s="36"/>
      <c r="AA844" s="36"/>
    </row>
    <row r="845" spans="16:27" x14ac:dyDescent="0.2">
      <c r="P845" s="36"/>
      <c r="Q845" s="40"/>
      <c r="R845" s="40"/>
      <c r="S845" s="40"/>
      <c r="T845" s="41"/>
      <c r="U845" s="41"/>
      <c r="V845" s="41"/>
      <c r="W845" s="36"/>
      <c r="X845" s="36"/>
      <c r="Y845" s="36"/>
      <c r="Z845" s="36"/>
      <c r="AA845" s="36"/>
    </row>
    <row r="846" spans="16:27" x14ac:dyDescent="0.2">
      <c r="P846" s="36"/>
      <c r="Q846" s="40"/>
      <c r="R846" s="40"/>
      <c r="S846" s="40"/>
      <c r="T846" s="41"/>
      <c r="U846" s="41"/>
      <c r="V846" s="41"/>
      <c r="W846" s="36"/>
      <c r="X846" s="36"/>
      <c r="Y846" s="36"/>
      <c r="Z846" s="36"/>
      <c r="AA846" s="36"/>
    </row>
    <row r="847" spans="16:27" x14ac:dyDescent="0.2">
      <c r="P847" s="36"/>
      <c r="Q847" s="40"/>
      <c r="R847" s="40"/>
      <c r="S847" s="40"/>
      <c r="T847" s="41"/>
      <c r="U847" s="41"/>
      <c r="V847" s="41"/>
      <c r="W847" s="36"/>
      <c r="X847" s="36"/>
      <c r="Y847" s="36"/>
      <c r="Z847" s="36"/>
      <c r="AA847" s="36"/>
    </row>
    <row r="848" spans="16:27" x14ac:dyDescent="0.2">
      <c r="P848" s="36"/>
      <c r="Q848" s="40"/>
      <c r="R848" s="40"/>
      <c r="S848" s="40"/>
      <c r="T848" s="41"/>
      <c r="U848" s="41"/>
      <c r="V848" s="41"/>
      <c r="W848" s="36"/>
      <c r="X848" s="36"/>
      <c r="Y848" s="36"/>
      <c r="Z848" s="36"/>
      <c r="AA848" s="36"/>
    </row>
    <row r="849" spans="16:27" x14ac:dyDescent="0.2">
      <c r="P849" s="36"/>
      <c r="Q849" s="40"/>
      <c r="R849" s="40"/>
      <c r="S849" s="40"/>
      <c r="T849" s="41"/>
      <c r="U849" s="41"/>
      <c r="V849" s="41"/>
      <c r="W849" s="36"/>
      <c r="X849" s="36"/>
      <c r="Y849" s="36"/>
      <c r="Z849" s="36"/>
      <c r="AA849" s="36"/>
    </row>
    <row r="850" spans="16:27" x14ac:dyDescent="0.2">
      <c r="P850" s="36"/>
      <c r="Q850" s="40"/>
      <c r="R850" s="40"/>
      <c r="S850" s="40"/>
      <c r="T850" s="41"/>
      <c r="U850" s="41"/>
      <c r="V850" s="41"/>
      <c r="W850" s="36"/>
      <c r="X850" s="36"/>
      <c r="Y850" s="36"/>
      <c r="Z850" s="36"/>
      <c r="AA850" s="36"/>
    </row>
    <row r="851" spans="16:27" x14ac:dyDescent="0.2">
      <c r="P851" s="36"/>
      <c r="Q851" s="40"/>
      <c r="R851" s="40"/>
      <c r="S851" s="40"/>
      <c r="T851" s="41"/>
      <c r="U851" s="41"/>
      <c r="V851" s="41"/>
      <c r="W851" s="36"/>
      <c r="X851" s="36"/>
      <c r="Y851" s="36"/>
      <c r="Z851" s="36"/>
      <c r="AA851" s="36"/>
    </row>
    <row r="852" spans="16:27" x14ac:dyDescent="0.2">
      <c r="P852" s="36"/>
      <c r="Q852" s="40"/>
      <c r="R852" s="40"/>
      <c r="S852" s="40"/>
      <c r="T852" s="41"/>
      <c r="U852" s="41"/>
      <c r="V852" s="41"/>
      <c r="W852" s="36"/>
      <c r="X852" s="36"/>
      <c r="Y852" s="36"/>
      <c r="Z852" s="36"/>
      <c r="AA852" s="36"/>
    </row>
    <row r="853" spans="16:27" x14ac:dyDescent="0.2">
      <c r="P853" s="36"/>
      <c r="Q853" s="40"/>
      <c r="R853" s="40"/>
      <c r="S853" s="40"/>
      <c r="T853" s="41"/>
      <c r="U853" s="41"/>
      <c r="V853" s="41"/>
      <c r="W853" s="36"/>
      <c r="X853" s="36"/>
      <c r="Y853" s="36"/>
      <c r="Z853" s="36"/>
      <c r="AA853" s="36"/>
    </row>
    <row r="854" spans="16:27" x14ac:dyDescent="0.2">
      <c r="P854" s="36"/>
      <c r="Q854" s="40"/>
      <c r="R854" s="40"/>
      <c r="S854" s="40"/>
      <c r="T854" s="41"/>
      <c r="U854" s="41"/>
      <c r="V854" s="41"/>
      <c r="W854" s="36"/>
      <c r="X854" s="36"/>
      <c r="Y854" s="36"/>
      <c r="Z854" s="36"/>
      <c r="AA854" s="36"/>
    </row>
    <row r="855" spans="16:27" x14ac:dyDescent="0.2">
      <c r="P855" s="36"/>
      <c r="Q855" s="40"/>
      <c r="R855" s="40"/>
      <c r="S855" s="40"/>
      <c r="T855" s="41"/>
      <c r="U855" s="41"/>
      <c r="V855" s="41"/>
      <c r="W855" s="36"/>
      <c r="X855" s="36"/>
      <c r="Y855" s="36"/>
      <c r="Z855" s="36"/>
      <c r="AA855" s="36"/>
    </row>
    <row r="856" spans="16:27" x14ac:dyDescent="0.2">
      <c r="P856" s="36"/>
      <c r="Q856" s="40"/>
      <c r="R856" s="40"/>
      <c r="S856" s="40"/>
      <c r="T856" s="41"/>
      <c r="U856" s="41"/>
      <c r="V856" s="41"/>
      <c r="W856" s="36"/>
      <c r="X856" s="36"/>
      <c r="Y856" s="36"/>
      <c r="Z856" s="36"/>
      <c r="AA856" s="36"/>
    </row>
    <row r="857" spans="16:27" x14ac:dyDescent="0.2">
      <c r="P857" s="36"/>
      <c r="Q857" s="40"/>
      <c r="R857" s="40"/>
      <c r="S857" s="40"/>
      <c r="T857" s="41"/>
      <c r="U857" s="41"/>
      <c r="V857" s="41"/>
      <c r="W857" s="36"/>
      <c r="X857" s="36"/>
      <c r="Y857" s="36"/>
      <c r="Z857" s="36"/>
      <c r="AA857" s="36"/>
    </row>
    <row r="858" spans="16:27" x14ac:dyDescent="0.2">
      <c r="P858" s="36"/>
      <c r="Q858" s="40"/>
      <c r="R858" s="40"/>
      <c r="S858" s="40"/>
      <c r="T858" s="41"/>
      <c r="U858" s="41"/>
      <c r="V858" s="41"/>
      <c r="W858" s="36"/>
      <c r="X858" s="36"/>
      <c r="Y858" s="36"/>
      <c r="Z858" s="36"/>
      <c r="AA858" s="36"/>
    </row>
    <row r="859" spans="16:27" x14ac:dyDescent="0.2">
      <c r="P859" s="36"/>
      <c r="Q859" s="40"/>
      <c r="R859" s="40"/>
      <c r="S859" s="40"/>
      <c r="T859" s="41"/>
      <c r="U859" s="41"/>
      <c r="V859" s="41"/>
      <c r="W859" s="36"/>
      <c r="X859" s="36"/>
      <c r="Y859" s="36"/>
      <c r="Z859" s="36"/>
      <c r="AA859" s="36"/>
    </row>
    <row r="860" spans="16:27" x14ac:dyDescent="0.2">
      <c r="P860" s="36"/>
      <c r="Q860" s="40"/>
      <c r="R860" s="40"/>
      <c r="S860" s="40"/>
      <c r="T860" s="41"/>
      <c r="U860" s="41"/>
      <c r="V860" s="41"/>
      <c r="W860" s="36"/>
      <c r="X860" s="36"/>
      <c r="Y860" s="36"/>
      <c r="Z860" s="36"/>
      <c r="AA860" s="36"/>
    </row>
    <row r="861" spans="16:27" x14ac:dyDescent="0.2">
      <c r="P861" s="36"/>
      <c r="Q861" s="40"/>
      <c r="R861" s="40"/>
      <c r="S861" s="40"/>
      <c r="T861" s="41"/>
      <c r="U861" s="41"/>
      <c r="V861" s="41"/>
      <c r="W861" s="36"/>
      <c r="X861" s="36"/>
      <c r="Y861" s="36"/>
      <c r="Z861" s="36"/>
      <c r="AA861" s="36"/>
    </row>
    <row r="862" spans="16:27" x14ac:dyDescent="0.2">
      <c r="P862" s="36"/>
      <c r="Q862" s="40"/>
      <c r="R862" s="40"/>
      <c r="S862" s="40"/>
      <c r="T862" s="41"/>
      <c r="U862" s="41"/>
      <c r="V862" s="41"/>
      <c r="W862" s="36"/>
      <c r="X862" s="36"/>
      <c r="Y862" s="36"/>
      <c r="Z862" s="36"/>
      <c r="AA862" s="36"/>
    </row>
    <row r="863" spans="16:27" x14ac:dyDescent="0.2">
      <c r="P863" s="36"/>
      <c r="Q863" s="40"/>
      <c r="R863" s="40"/>
      <c r="S863" s="40"/>
      <c r="T863" s="41"/>
      <c r="U863" s="41"/>
      <c r="V863" s="41"/>
      <c r="W863" s="36"/>
      <c r="X863" s="36"/>
      <c r="Y863" s="36"/>
      <c r="Z863" s="36"/>
      <c r="AA863" s="36"/>
    </row>
    <row r="864" spans="16:27" x14ac:dyDescent="0.2">
      <c r="P864" s="36"/>
      <c r="Q864" s="40"/>
      <c r="R864" s="40"/>
      <c r="S864" s="40"/>
      <c r="T864" s="41"/>
      <c r="U864" s="41"/>
      <c r="V864" s="41"/>
      <c r="W864" s="36"/>
      <c r="X864" s="36"/>
      <c r="Y864" s="36"/>
      <c r="Z864" s="36"/>
      <c r="AA864" s="36"/>
    </row>
    <row r="865" spans="16:27" x14ac:dyDescent="0.2">
      <c r="P865" s="36"/>
      <c r="Q865" s="40"/>
      <c r="R865" s="40"/>
      <c r="S865" s="40"/>
      <c r="T865" s="41"/>
      <c r="U865" s="41"/>
      <c r="V865" s="41"/>
      <c r="W865" s="36"/>
      <c r="X865" s="36"/>
      <c r="Y865" s="36"/>
      <c r="Z865" s="36"/>
      <c r="AA865" s="36"/>
    </row>
    <row r="866" spans="16:27" x14ac:dyDescent="0.2">
      <c r="P866" s="36"/>
      <c r="Q866" s="40"/>
      <c r="R866" s="40"/>
      <c r="S866" s="40"/>
      <c r="T866" s="41"/>
      <c r="U866" s="41"/>
      <c r="V866" s="41"/>
      <c r="W866" s="36"/>
      <c r="X866" s="36"/>
      <c r="Y866" s="36"/>
      <c r="Z866" s="36"/>
      <c r="AA866" s="36"/>
    </row>
    <row r="867" spans="16:27" x14ac:dyDescent="0.2">
      <c r="P867" s="36"/>
      <c r="Q867" s="40"/>
      <c r="R867" s="40"/>
      <c r="S867" s="40"/>
      <c r="T867" s="41"/>
      <c r="U867" s="41"/>
      <c r="V867" s="41"/>
      <c r="W867" s="36"/>
      <c r="X867" s="36"/>
      <c r="Y867" s="36"/>
      <c r="Z867" s="36"/>
      <c r="AA867" s="36"/>
    </row>
    <row r="868" spans="16:27" x14ac:dyDescent="0.2">
      <c r="P868" s="36"/>
      <c r="Q868" s="40"/>
      <c r="R868" s="40"/>
      <c r="S868" s="40"/>
      <c r="T868" s="41"/>
      <c r="U868" s="41"/>
      <c r="V868" s="41"/>
      <c r="W868" s="36"/>
      <c r="X868" s="36"/>
      <c r="Y868" s="36"/>
      <c r="Z868" s="36"/>
      <c r="AA868" s="36"/>
    </row>
    <row r="869" spans="16:27" x14ac:dyDescent="0.2">
      <c r="P869" s="36"/>
      <c r="Q869" s="40"/>
      <c r="R869" s="40"/>
      <c r="S869" s="40"/>
      <c r="T869" s="41"/>
      <c r="U869" s="41"/>
      <c r="V869" s="41"/>
      <c r="W869" s="36"/>
      <c r="X869" s="36"/>
      <c r="Y869" s="36"/>
      <c r="Z869" s="36"/>
      <c r="AA869" s="36"/>
    </row>
    <row r="870" spans="16:27" x14ac:dyDescent="0.2">
      <c r="P870" s="36"/>
      <c r="Q870" s="40"/>
      <c r="R870" s="40"/>
      <c r="S870" s="40"/>
      <c r="T870" s="41"/>
      <c r="U870" s="41"/>
      <c r="V870" s="41"/>
      <c r="W870" s="36"/>
      <c r="X870" s="36"/>
      <c r="Y870" s="36"/>
      <c r="Z870" s="36"/>
      <c r="AA870" s="36"/>
    </row>
    <row r="871" spans="16:27" x14ac:dyDescent="0.2">
      <c r="P871" s="36"/>
      <c r="Q871" s="40"/>
      <c r="R871" s="40"/>
      <c r="S871" s="40"/>
      <c r="T871" s="41"/>
      <c r="U871" s="41"/>
      <c r="V871" s="41"/>
      <c r="W871" s="36"/>
      <c r="X871" s="36"/>
      <c r="Y871" s="36"/>
      <c r="Z871" s="36"/>
      <c r="AA871" s="36"/>
    </row>
    <row r="872" spans="16:27" x14ac:dyDescent="0.2">
      <c r="P872" s="36"/>
      <c r="Q872" s="40"/>
      <c r="R872" s="40"/>
      <c r="S872" s="40"/>
      <c r="T872" s="41"/>
      <c r="U872" s="41"/>
      <c r="V872" s="41"/>
      <c r="W872" s="36"/>
      <c r="X872" s="36"/>
      <c r="Y872" s="36"/>
      <c r="Z872" s="36"/>
      <c r="AA872" s="36"/>
    </row>
    <row r="873" spans="16:27" x14ac:dyDescent="0.2">
      <c r="P873" s="36"/>
      <c r="Q873" s="40"/>
      <c r="R873" s="40"/>
      <c r="S873" s="40"/>
      <c r="T873" s="41"/>
      <c r="U873" s="41"/>
      <c r="V873" s="41"/>
      <c r="W873" s="36"/>
      <c r="X873" s="36"/>
      <c r="Y873" s="36"/>
      <c r="Z873" s="36"/>
      <c r="AA873" s="36"/>
    </row>
    <row r="874" spans="16:27" x14ac:dyDescent="0.2">
      <c r="P874" s="36"/>
      <c r="Q874" s="40"/>
      <c r="R874" s="40"/>
      <c r="S874" s="40"/>
      <c r="T874" s="41"/>
      <c r="U874" s="41"/>
      <c r="V874" s="41"/>
      <c r="W874" s="36"/>
      <c r="X874" s="36"/>
      <c r="Y874" s="36"/>
      <c r="Z874" s="36"/>
      <c r="AA874" s="36"/>
    </row>
    <row r="875" spans="16:27" x14ac:dyDescent="0.2">
      <c r="P875" s="36"/>
      <c r="Q875" s="40"/>
      <c r="R875" s="40"/>
      <c r="S875" s="40"/>
      <c r="T875" s="41"/>
      <c r="U875" s="41"/>
      <c r="V875" s="41"/>
      <c r="W875" s="36"/>
      <c r="X875" s="36"/>
      <c r="Y875" s="36"/>
      <c r="Z875" s="36"/>
      <c r="AA875" s="36"/>
    </row>
    <row r="876" spans="16:27" x14ac:dyDescent="0.2">
      <c r="P876" s="36"/>
      <c r="Q876" s="40"/>
      <c r="R876" s="40"/>
      <c r="S876" s="40"/>
      <c r="T876" s="41"/>
      <c r="U876" s="41"/>
      <c r="V876" s="41"/>
      <c r="W876" s="36"/>
      <c r="X876" s="36"/>
      <c r="Y876" s="36"/>
      <c r="Z876" s="36"/>
      <c r="AA876" s="36"/>
    </row>
    <row r="877" spans="16:27" x14ac:dyDescent="0.2">
      <c r="P877" s="36"/>
      <c r="Q877" s="40"/>
      <c r="R877" s="40"/>
      <c r="S877" s="40"/>
      <c r="T877" s="41"/>
      <c r="U877" s="41"/>
      <c r="V877" s="41"/>
      <c r="W877" s="36"/>
      <c r="X877" s="36"/>
      <c r="Y877" s="36"/>
      <c r="Z877" s="36"/>
      <c r="AA877" s="36"/>
    </row>
    <row r="878" spans="16:27" x14ac:dyDescent="0.2">
      <c r="P878" s="36"/>
      <c r="Q878" s="40"/>
      <c r="R878" s="40"/>
      <c r="S878" s="40"/>
      <c r="T878" s="41"/>
      <c r="U878" s="41"/>
      <c r="V878" s="41"/>
      <c r="W878" s="36"/>
      <c r="X878" s="36"/>
      <c r="Y878" s="36"/>
      <c r="Z878" s="36"/>
      <c r="AA878" s="36"/>
    </row>
    <row r="879" spans="16:27" x14ac:dyDescent="0.2">
      <c r="P879" s="36"/>
      <c r="Q879" s="40"/>
      <c r="R879" s="40"/>
      <c r="S879" s="40"/>
      <c r="T879" s="41"/>
      <c r="U879" s="41"/>
      <c r="V879" s="41"/>
      <c r="W879" s="36"/>
      <c r="X879" s="36"/>
      <c r="Y879" s="36"/>
      <c r="Z879" s="36"/>
      <c r="AA879" s="36"/>
    </row>
    <row r="880" spans="16:27" x14ac:dyDescent="0.2">
      <c r="P880" s="36"/>
      <c r="Q880" s="40"/>
      <c r="R880" s="40"/>
      <c r="S880" s="40"/>
      <c r="T880" s="41"/>
      <c r="U880" s="41"/>
      <c r="V880" s="41"/>
      <c r="W880" s="36"/>
      <c r="X880" s="36"/>
      <c r="Y880" s="36"/>
      <c r="Z880" s="36"/>
      <c r="AA880" s="36"/>
    </row>
    <row r="881" spans="16:27" x14ac:dyDescent="0.2">
      <c r="P881" s="36"/>
      <c r="Q881" s="40"/>
      <c r="R881" s="40"/>
      <c r="S881" s="40"/>
      <c r="T881" s="41"/>
      <c r="U881" s="41"/>
      <c r="V881" s="41"/>
      <c r="W881" s="36"/>
      <c r="X881" s="36"/>
      <c r="Y881" s="36"/>
      <c r="Z881" s="36"/>
      <c r="AA881" s="36"/>
    </row>
    <row r="882" spans="16:27" x14ac:dyDescent="0.2">
      <c r="P882" s="36"/>
      <c r="Q882" s="40"/>
      <c r="R882" s="40"/>
      <c r="S882" s="40"/>
      <c r="T882" s="41"/>
      <c r="U882" s="41"/>
      <c r="V882" s="41"/>
      <c r="W882" s="36"/>
      <c r="X882" s="36"/>
      <c r="Y882" s="36"/>
      <c r="Z882" s="36"/>
      <c r="AA882" s="36"/>
    </row>
    <row r="883" spans="16:27" x14ac:dyDescent="0.2">
      <c r="P883" s="36"/>
      <c r="Q883" s="40"/>
      <c r="R883" s="40"/>
      <c r="S883" s="40"/>
      <c r="T883" s="41"/>
      <c r="U883" s="41"/>
      <c r="V883" s="41"/>
      <c r="W883" s="36"/>
      <c r="X883" s="36"/>
      <c r="Y883" s="36"/>
      <c r="Z883" s="36"/>
      <c r="AA883" s="36"/>
    </row>
    <row r="884" spans="16:27" x14ac:dyDescent="0.2">
      <c r="P884" s="36"/>
      <c r="Q884" s="40"/>
      <c r="R884" s="40"/>
      <c r="S884" s="40"/>
      <c r="T884" s="41"/>
      <c r="U884" s="41"/>
      <c r="V884" s="41"/>
      <c r="W884" s="36"/>
      <c r="X884" s="36"/>
      <c r="Y884" s="36"/>
      <c r="Z884" s="36"/>
      <c r="AA884" s="36"/>
    </row>
    <row r="885" spans="16:27" x14ac:dyDescent="0.2">
      <c r="P885" s="36"/>
      <c r="Q885" s="40"/>
      <c r="R885" s="40"/>
      <c r="S885" s="40"/>
      <c r="T885" s="41"/>
      <c r="U885" s="41"/>
      <c r="V885" s="41"/>
      <c r="W885" s="36"/>
      <c r="X885" s="36"/>
      <c r="Y885" s="36"/>
      <c r="Z885" s="36"/>
      <c r="AA885" s="36"/>
    </row>
    <row r="886" spans="16:27" x14ac:dyDescent="0.2">
      <c r="P886" s="36"/>
      <c r="Q886" s="40"/>
      <c r="R886" s="40"/>
      <c r="S886" s="40"/>
      <c r="T886" s="41"/>
      <c r="U886" s="41"/>
      <c r="V886" s="41"/>
      <c r="W886" s="36"/>
      <c r="X886" s="36"/>
      <c r="Y886" s="36"/>
      <c r="Z886" s="36"/>
      <c r="AA886" s="36"/>
    </row>
    <row r="887" spans="16:27" x14ac:dyDescent="0.2">
      <c r="P887" s="36"/>
      <c r="Q887" s="40"/>
      <c r="R887" s="40"/>
      <c r="S887" s="40"/>
      <c r="T887" s="41"/>
      <c r="U887" s="41"/>
      <c r="V887" s="41"/>
      <c r="W887" s="36"/>
      <c r="X887" s="36"/>
      <c r="Y887" s="36"/>
      <c r="Z887" s="36"/>
      <c r="AA887" s="36"/>
    </row>
    <row r="888" spans="16:27" x14ac:dyDescent="0.2">
      <c r="P888" s="36"/>
      <c r="Q888" s="40"/>
      <c r="R888" s="40"/>
      <c r="S888" s="40"/>
      <c r="T888" s="41"/>
      <c r="U888" s="41"/>
      <c r="V888" s="41"/>
      <c r="W888" s="36"/>
      <c r="X888" s="36"/>
      <c r="Y888" s="36"/>
      <c r="Z888" s="36"/>
      <c r="AA888" s="36"/>
    </row>
    <row r="889" spans="16:27" x14ac:dyDescent="0.2">
      <c r="P889" s="36"/>
      <c r="Q889" s="40"/>
      <c r="R889" s="40"/>
      <c r="S889" s="40"/>
      <c r="T889" s="41"/>
      <c r="U889" s="41"/>
      <c r="V889" s="41"/>
      <c r="W889" s="36"/>
      <c r="X889" s="36"/>
      <c r="Y889" s="36"/>
      <c r="Z889" s="36"/>
      <c r="AA889" s="36"/>
    </row>
    <row r="890" spans="16:27" x14ac:dyDescent="0.2">
      <c r="P890" s="36"/>
      <c r="Q890" s="40"/>
      <c r="R890" s="40"/>
      <c r="S890" s="40"/>
      <c r="T890" s="41"/>
      <c r="U890" s="41"/>
      <c r="V890" s="41"/>
      <c r="W890" s="36"/>
      <c r="X890" s="36"/>
      <c r="Y890" s="36"/>
      <c r="Z890" s="36"/>
      <c r="AA890" s="36"/>
    </row>
    <row r="891" spans="16:27" x14ac:dyDescent="0.2">
      <c r="P891" s="36"/>
      <c r="Q891" s="40"/>
      <c r="R891" s="40"/>
      <c r="S891" s="40"/>
      <c r="T891" s="41"/>
      <c r="U891" s="41"/>
      <c r="V891" s="41"/>
      <c r="W891" s="36"/>
      <c r="X891" s="36"/>
      <c r="Y891" s="36"/>
      <c r="Z891" s="36"/>
      <c r="AA891" s="36"/>
    </row>
    <row r="892" spans="16:27" x14ac:dyDescent="0.2">
      <c r="P892" s="36"/>
      <c r="Q892" s="40"/>
      <c r="R892" s="40"/>
      <c r="S892" s="40"/>
      <c r="T892" s="41"/>
      <c r="U892" s="41"/>
      <c r="V892" s="41"/>
      <c r="W892" s="36"/>
      <c r="X892" s="36"/>
      <c r="Y892" s="36"/>
      <c r="Z892" s="36"/>
      <c r="AA892" s="36"/>
    </row>
    <row r="893" spans="16:27" x14ac:dyDescent="0.2">
      <c r="P893" s="36"/>
      <c r="Q893" s="40"/>
      <c r="R893" s="40"/>
      <c r="S893" s="40"/>
      <c r="T893" s="41"/>
      <c r="U893" s="41"/>
      <c r="V893" s="41"/>
      <c r="W893" s="36"/>
      <c r="X893" s="36"/>
      <c r="Y893" s="36"/>
      <c r="Z893" s="36"/>
      <c r="AA893" s="36"/>
    </row>
    <row r="894" spans="16:27" x14ac:dyDescent="0.2">
      <c r="P894" s="36"/>
      <c r="Q894" s="40"/>
      <c r="R894" s="40"/>
      <c r="S894" s="40"/>
      <c r="T894" s="41"/>
      <c r="U894" s="41"/>
      <c r="V894" s="41"/>
      <c r="W894" s="36"/>
      <c r="X894" s="36"/>
      <c r="Y894" s="36"/>
      <c r="Z894" s="36"/>
      <c r="AA894" s="36"/>
    </row>
    <row r="895" spans="16:27" x14ac:dyDescent="0.2">
      <c r="P895" s="36"/>
      <c r="Q895" s="40"/>
      <c r="R895" s="40"/>
      <c r="S895" s="40"/>
      <c r="T895" s="41"/>
      <c r="U895" s="41"/>
      <c r="V895" s="41"/>
      <c r="W895" s="36"/>
      <c r="X895" s="36"/>
      <c r="Y895" s="36"/>
      <c r="Z895" s="36"/>
      <c r="AA895" s="36"/>
    </row>
    <row r="896" spans="16:27" x14ac:dyDescent="0.2">
      <c r="P896" s="36"/>
      <c r="Q896" s="40"/>
      <c r="R896" s="40"/>
      <c r="S896" s="40"/>
      <c r="T896" s="41"/>
      <c r="U896" s="41"/>
      <c r="V896" s="41"/>
      <c r="W896" s="36"/>
      <c r="X896" s="36"/>
      <c r="Y896" s="36"/>
      <c r="Z896" s="36"/>
      <c r="AA896" s="36"/>
    </row>
    <row r="897" spans="16:27" x14ac:dyDescent="0.2">
      <c r="P897" s="36"/>
      <c r="Q897" s="40"/>
      <c r="R897" s="40"/>
      <c r="S897" s="40"/>
      <c r="T897" s="41"/>
      <c r="U897" s="41"/>
      <c r="V897" s="41"/>
      <c r="W897" s="36"/>
      <c r="X897" s="36"/>
      <c r="Y897" s="36"/>
      <c r="Z897" s="36"/>
      <c r="AA897" s="36"/>
    </row>
    <row r="898" spans="16:27" x14ac:dyDescent="0.2">
      <c r="P898" s="36"/>
      <c r="Q898" s="40"/>
      <c r="R898" s="40"/>
      <c r="S898" s="40"/>
      <c r="T898" s="41"/>
      <c r="U898" s="41"/>
      <c r="V898" s="41"/>
      <c r="W898" s="36"/>
      <c r="X898" s="36"/>
      <c r="Y898" s="36"/>
      <c r="Z898" s="36"/>
      <c r="AA898" s="36"/>
    </row>
    <row r="899" spans="16:27" x14ac:dyDescent="0.2">
      <c r="P899" s="36"/>
      <c r="Q899" s="40"/>
      <c r="R899" s="40"/>
      <c r="S899" s="40"/>
      <c r="T899" s="41"/>
      <c r="U899" s="41"/>
      <c r="V899" s="41"/>
      <c r="W899" s="36"/>
      <c r="X899" s="36"/>
      <c r="Y899" s="36"/>
      <c r="Z899" s="36"/>
      <c r="AA899" s="36"/>
    </row>
    <row r="900" spans="16:27" x14ac:dyDescent="0.2">
      <c r="P900" s="36"/>
      <c r="Q900" s="40"/>
      <c r="R900" s="40"/>
      <c r="S900" s="40"/>
      <c r="T900" s="41"/>
      <c r="U900" s="41"/>
      <c r="V900" s="41"/>
      <c r="W900" s="36"/>
      <c r="X900" s="36"/>
      <c r="Y900" s="36"/>
      <c r="Z900" s="36"/>
      <c r="AA900" s="36"/>
    </row>
    <row r="901" spans="16:27" x14ac:dyDescent="0.2">
      <c r="P901" s="36"/>
      <c r="Q901" s="40"/>
      <c r="R901" s="40"/>
      <c r="S901" s="40"/>
      <c r="T901" s="41"/>
      <c r="U901" s="41"/>
      <c r="V901" s="41"/>
      <c r="W901" s="36"/>
      <c r="X901" s="36"/>
      <c r="Y901" s="36"/>
      <c r="Z901" s="36"/>
      <c r="AA901" s="36"/>
    </row>
    <row r="902" spans="16:27" x14ac:dyDescent="0.2">
      <c r="P902" s="36"/>
      <c r="Q902" s="40"/>
      <c r="R902" s="40"/>
      <c r="S902" s="40"/>
      <c r="T902" s="41"/>
      <c r="U902" s="41"/>
      <c r="V902" s="41"/>
      <c r="W902" s="36"/>
      <c r="X902" s="36"/>
      <c r="Y902" s="36"/>
      <c r="Z902" s="36"/>
      <c r="AA902" s="36"/>
    </row>
    <row r="903" spans="16:27" x14ac:dyDescent="0.2">
      <c r="P903" s="36"/>
      <c r="Q903" s="40"/>
      <c r="R903" s="40"/>
      <c r="S903" s="40"/>
      <c r="T903" s="41"/>
      <c r="U903" s="41"/>
      <c r="V903" s="41"/>
      <c r="W903" s="36"/>
      <c r="X903" s="36"/>
      <c r="Y903" s="36"/>
      <c r="Z903" s="36"/>
      <c r="AA903" s="36"/>
    </row>
    <row r="904" spans="16:27" x14ac:dyDescent="0.2">
      <c r="P904" s="36"/>
      <c r="Q904" s="40"/>
      <c r="R904" s="40"/>
      <c r="S904" s="40"/>
      <c r="T904" s="41"/>
      <c r="U904" s="41"/>
      <c r="V904" s="41"/>
      <c r="W904" s="36"/>
      <c r="X904" s="36"/>
      <c r="Y904" s="36"/>
      <c r="Z904" s="36"/>
      <c r="AA904" s="36"/>
    </row>
    <row r="905" spans="16:27" x14ac:dyDescent="0.2">
      <c r="P905" s="36"/>
      <c r="Q905" s="40"/>
      <c r="R905" s="40"/>
      <c r="S905" s="40"/>
      <c r="T905" s="41"/>
      <c r="U905" s="41"/>
      <c r="V905" s="41"/>
      <c r="W905" s="36"/>
      <c r="X905" s="36"/>
      <c r="Y905" s="36"/>
      <c r="Z905" s="36"/>
      <c r="AA905" s="36"/>
    </row>
    <row r="906" spans="16:27" x14ac:dyDescent="0.2">
      <c r="P906" s="36"/>
      <c r="Q906" s="40"/>
      <c r="R906" s="40"/>
      <c r="S906" s="40"/>
      <c r="T906" s="41"/>
      <c r="U906" s="41"/>
      <c r="V906" s="41"/>
      <c r="W906" s="36"/>
      <c r="X906" s="36"/>
      <c r="Y906" s="36"/>
      <c r="Z906" s="36"/>
      <c r="AA906" s="36"/>
    </row>
    <row r="907" spans="16:27" x14ac:dyDescent="0.2">
      <c r="P907" s="36"/>
      <c r="Q907" s="40"/>
      <c r="R907" s="40"/>
      <c r="S907" s="40"/>
      <c r="T907" s="41"/>
      <c r="U907" s="41"/>
      <c r="V907" s="41"/>
      <c r="W907" s="36"/>
      <c r="X907" s="36"/>
      <c r="Y907" s="36"/>
      <c r="Z907" s="36"/>
      <c r="AA907" s="36"/>
    </row>
    <row r="908" spans="16:27" x14ac:dyDescent="0.2">
      <c r="P908" s="36"/>
      <c r="Q908" s="40"/>
      <c r="R908" s="40"/>
      <c r="S908" s="40"/>
      <c r="T908" s="41"/>
      <c r="U908" s="41"/>
      <c r="V908" s="41"/>
      <c r="W908" s="36"/>
      <c r="X908" s="36"/>
      <c r="Y908" s="36"/>
      <c r="Z908" s="36"/>
      <c r="AA908" s="36"/>
    </row>
    <row r="909" spans="16:27" x14ac:dyDescent="0.2">
      <c r="P909" s="36"/>
      <c r="Q909" s="40"/>
      <c r="R909" s="40"/>
      <c r="S909" s="40"/>
      <c r="T909" s="41"/>
      <c r="U909" s="41"/>
      <c r="V909" s="41"/>
      <c r="W909" s="36"/>
      <c r="X909" s="36"/>
      <c r="Y909" s="36"/>
      <c r="Z909" s="36"/>
      <c r="AA909" s="36"/>
    </row>
    <row r="910" spans="16:27" x14ac:dyDescent="0.2">
      <c r="P910" s="36"/>
      <c r="Q910" s="40"/>
      <c r="R910" s="40"/>
      <c r="S910" s="40"/>
      <c r="T910" s="41"/>
      <c r="U910" s="41"/>
      <c r="V910" s="41"/>
      <c r="W910" s="36"/>
      <c r="X910" s="36"/>
      <c r="Y910" s="36"/>
      <c r="Z910" s="36"/>
      <c r="AA910" s="36"/>
    </row>
    <row r="911" spans="16:27" x14ac:dyDescent="0.2">
      <c r="P911" s="36"/>
      <c r="Q911" s="40"/>
      <c r="R911" s="40"/>
      <c r="S911" s="40"/>
      <c r="T911" s="41"/>
      <c r="U911" s="41"/>
      <c r="V911" s="41"/>
      <c r="W911" s="36"/>
      <c r="X911" s="36"/>
      <c r="Y911" s="36"/>
      <c r="Z911" s="36"/>
      <c r="AA911" s="36"/>
    </row>
    <row r="912" spans="16:27" x14ac:dyDescent="0.2">
      <c r="P912" s="36"/>
      <c r="Q912" s="40"/>
      <c r="R912" s="40"/>
      <c r="S912" s="40"/>
      <c r="T912" s="41"/>
      <c r="U912" s="41"/>
      <c r="V912" s="41"/>
      <c r="W912" s="36"/>
      <c r="X912" s="36"/>
      <c r="Y912" s="36"/>
      <c r="Z912" s="36"/>
      <c r="AA912" s="36"/>
    </row>
    <row r="913" spans="16:27" x14ac:dyDescent="0.2">
      <c r="P913" s="36"/>
      <c r="Q913" s="40"/>
      <c r="R913" s="40"/>
      <c r="S913" s="40"/>
      <c r="T913" s="41"/>
      <c r="U913" s="41"/>
      <c r="V913" s="41"/>
      <c r="W913" s="36"/>
      <c r="X913" s="36"/>
      <c r="Y913" s="36"/>
      <c r="Z913" s="36"/>
      <c r="AA913" s="36"/>
    </row>
    <row r="914" spans="16:27" x14ac:dyDescent="0.2">
      <c r="P914" s="36"/>
      <c r="Q914" s="40"/>
      <c r="R914" s="40"/>
      <c r="S914" s="40"/>
      <c r="T914" s="41"/>
      <c r="U914" s="41"/>
      <c r="V914" s="41"/>
      <c r="W914" s="36"/>
      <c r="X914" s="36"/>
      <c r="Y914" s="36"/>
      <c r="Z914" s="36"/>
      <c r="AA914" s="36"/>
    </row>
    <row r="915" spans="16:27" x14ac:dyDescent="0.2">
      <c r="P915" s="36"/>
      <c r="Q915" s="40"/>
      <c r="R915" s="40"/>
      <c r="S915" s="40"/>
      <c r="T915" s="41"/>
      <c r="U915" s="41"/>
      <c r="V915" s="41"/>
      <c r="W915" s="36"/>
      <c r="X915" s="36"/>
      <c r="Y915" s="36"/>
      <c r="Z915" s="36"/>
      <c r="AA915" s="36"/>
    </row>
    <row r="916" spans="16:27" x14ac:dyDescent="0.2">
      <c r="P916" s="36"/>
      <c r="Q916" s="40"/>
      <c r="R916" s="40"/>
      <c r="S916" s="40"/>
      <c r="T916" s="41"/>
      <c r="U916" s="41"/>
      <c r="V916" s="41"/>
      <c r="W916" s="36"/>
      <c r="X916" s="36"/>
      <c r="Y916" s="36"/>
      <c r="Z916" s="36"/>
      <c r="AA916" s="36"/>
    </row>
    <row r="917" spans="16:27" x14ac:dyDescent="0.2">
      <c r="P917" s="36"/>
      <c r="Q917" s="40"/>
      <c r="R917" s="40"/>
      <c r="S917" s="40"/>
      <c r="T917" s="41"/>
      <c r="U917" s="41"/>
      <c r="V917" s="41"/>
      <c r="W917" s="36"/>
      <c r="X917" s="36"/>
      <c r="Y917" s="36"/>
      <c r="Z917" s="36"/>
      <c r="AA917" s="36"/>
    </row>
    <row r="918" spans="16:27" x14ac:dyDescent="0.2">
      <c r="P918" s="36"/>
      <c r="Q918" s="40"/>
      <c r="R918" s="40"/>
      <c r="S918" s="40"/>
      <c r="T918" s="41"/>
      <c r="U918" s="41"/>
      <c r="V918" s="41"/>
      <c r="W918" s="36"/>
      <c r="X918" s="36"/>
      <c r="Y918" s="36"/>
      <c r="Z918" s="36"/>
      <c r="AA918" s="36"/>
    </row>
    <row r="919" spans="16:27" x14ac:dyDescent="0.2">
      <c r="P919" s="36"/>
      <c r="Q919" s="40"/>
      <c r="R919" s="40"/>
      <c r="S919" s="40"/>
      <c r="T919" s="41"/>
      <c r="U919" s="41"/>
      <c r="V919" s="41"/>
      <c r="W919" s="36"/>
      <c r="X919" s="36"/>
      <c r="Y919" s="36"/>
      <c r="Z919" s="36"/>
      <c r="AA919" s="36"/>
    </row>
    <row r="920" spans="16:27" x14ac:dyDescent="0.2">
      <c r="P920" s="36"/>
      <c r="Q920" s="40"/>
      <c r="R920" s="40"/>
      <c r="S920" s="40"/>
      <c r="T920" s="41"/>
      <c r="U920" s="41"/>
      <c r="V920" s="41"/>
      <c r="W920" s="36"/>
      <c r="X920" s="36"/>
      <c r="Y920" s="36"/>
      <c r="Z920" s="36"/>
      <c r="AA920" s="36"/>
    </row>
    <row r="921" spans="16:27" x14ac:dyDescent="0.2">
      <c r="P921" s="36"/>
      <c r="Q921" s="40"/>
      <c r="R921" s="40"/>
      <c r="S921" s="40"/>
      <c r="T921" s="41"/>
      <c r="U921" s="41"/>
      <c r="V921" s="41"/>
      <c r="W921" s="36"/>
      <c r="X921" s="36"/>
      <c r="Y921" s="36"/>
      <c r="Z921" s="36"/>
      <c r="AA921" s="36"/>
    </row>
    <row r="922" spans="16:27" x14ac:dyDescent="0.2">
      <c r="P922" s="36"/>
      <c r="Q922" s="40"/>
      <c r="R922" s="40"/>
      <c r="S922" s="40"/>
      <c r="T922" s="41"/>
      <c r="U922" s="41"/>
      <c r="V922" s="41"/>
      <c r="W922" s="36"/>
      <c r="X922" s="36"/>
      <c r="Y922" s="36"/>
      <c r="Z922" s="36"/>
      <c r="AA922" s="36"/>
    </row>
    <row r="923" spans="16:27" x14ac:dyDescent="0.2">
      <c r="P923" s="36"/>
      <c r="Q923" s="40"/>
      <c r="R923" s="40"/>
      <c r="S923" s="40"/>
      <c r="T923" s="41"/>
      <c r="U923" s="41"/>
      <c r="V923" s="41"/>
      <c r="W923" s="36"/>
      <c r="X923" s="36"/>
      <c r="Y923" s="36"/>
      <c r="Z923" s="36"/>
      <c r="AA923" s="36"/>
    </row>
    <row r="924" spans="16:27" x14ac:dyDescent="0.2">
      <c r="P924" s="36"/>
      <c r="Q924" s="40"/>
      <c r="R924" s="40"/>
      <c r="S924" s="40"/>
      <c r="T924" s="41"/>
      <c r="U924" s="41"/>
      <c r="V924" s="41"/>
      <c r="W924" s="36"/>
      <c r="X924" s="36"/>
      <c r="Y924" s="36"/>
      <c r="Z924" s="36"/>
      <c r="AA924" s="36"/>
    </row>
    <row r="925" spans="16:27" x14ac:dyDescent="0.2">
      <c r="P925" s="36"/>
      <c r="Q925" s="40"/>
      <c r="R925" s="40"/>
      <c r="S925" s="40"/>
      <c r="T925" s="41"/>
      <c r="U925" s="41"/>
      <c r="V925" s="41"/>
      <c r="W925" s="36"/>
      <c r="X925" s="36"/>
      <c r="Y925" s="36"/>
      <c r="Z925" s="36"/>
      <c r="AA925" s="36"/>
    </row>
    <row r="926" spans="16:27" x14ac:dyDescent="0.2">
      <c r="P926" s="36"/>
      <c r="Q926" s="40"/>
      <c r="R926" s="40"/>
      <c r="S926" s="40"/>
      <c r="T926" s="41"/>
      <c r="U926" s="41"/>
      <c r="V926" s="41"/>
      <c r="W926" s="36"/>
      <c r="X926" s="36"/>
      <c r="Y926" s="36"/>
      <c r="Z926" s="36"/>
      <c r="AA926" s="36"/>
    </row>
    <row r="927" spans="16:27" x14ac:dyDescent="0.2">
      <c r="P927" s="36"/>
      <c r="Q927" s="40"/>
      <c r="R927" s="40"/>
      <c r="S927" s="40"/>
      <c r="T927" s="41"/>
      <c r="U927" s="41"/>
      <c r="V927" s="41"/>
      <c r="W927" s="36"/>
      <c r="X927" s="36"/>
      <c r="Y927" s="36"/>
      <c r="Z927" s="36"/>
      <c r="AA927" s="36"/>
    </row>
    <row r="928" spans="16:27" x14ac:dyDescent="0.2">
      <c r="P928" s="36"/>
      <c r="Q928" s="40"/>
      <c r="R928" s="40"/>
      <c r="S928" s="40"/>
      <c r="T928" s="41"/>
      <c r="U928" s="41"/>
      <c r="V928" s="41"/>
      <c r="W928" s="36"/>
      <c r="X928" s="36"/>
      <c r="Y928" s="36"/>
      <c r="Z928" s="36"/>
      <c r="AA928" s="36"/>
    </row>
    <row r="929" spans="16:27" x14ac:dyDescent="0.2">
      <c r="P929" s="36"/>
      <c r="Q929" s="40"/>
      <c r="R929" s="40"/>
      <c r="S929" s="40"/>
      <c r="T929" s="41"/>
      <c r="U929" s="41"/>
      <c r="V929" s="41"/>
      <c r="W929" s="36"/>
      <c r="X929" s="36"/>
      <c r="Y929" s="36"/>
      <c r="Z929" s="36"/>
      <c r="AA929" s="36"/>
    </row>
    <row r="930" spans="16:27" x14ac:dyDescent="0.2">
      <c r="P930" s="36"/>
      <c r="Q930" s="40"/>
      <c r="R930" s="40"/>
      <c r="S930" s="40"/>
      <c r="T930" s="41"/>
      <c r="U930" s="41"/>
      <c r="V930" s="41"/>
      <c r="W930" s="36"/>
      <c r="X930" s="36"/>
      <c r="Y930" s="36"/>
      <c r="Z930" s="36"/>
      <c r="AA930" s="36"/>
    </row>
    <row r="931" spans="16:27" x14ac:dyDescent="0.2">
      <c r="P931" s="36"/>
      <c r="Q931" s="40"/>
      <c r="R931" s="40"/>
      <c r="S931" s="40"/>
      <c r="T931" s="41"/>
      <c r="U931" s="41"/>
      <c r="V931" s="41"/>
      <c r="W931" s="36"/>
      <c r="X931" s="36"/>
      <c r="Y931" s="36"/>
      <c r="Z931" s="36"/>
      <c r="AA931" s="36"/>
    </row>
    <row r="932" spans="16:27" x14ac:dyDescent="0.2">
      <c r="P932" s="36"/>
      <c r="Q932" s="40"/>
      <c r="R932" s="40"/>
      <c r="S932" s="40"/>
      <c r="T932" s="41"/>
      <c r="U932" s="41"/>
      <c r="V932" s="41"/>
      <c r="W932" s="36"/>
      <c r="X932" s="36"/>
      <c r="Y932" s="36"/>
      <c r="Z932" s="36"/>
      <c r="AA932" s="36"/>
    </row>
    <row r="933" spans="16:27" x14ac:dyDescent="0.2">
      <c r="P933" s="36"/>
      <c r="Q933" s="40"/>
      <c r="R933" s="40"/>
      <c r="S933" s="40"/>
      <c r="T933" s="41"/>
      <c r="U933" s="41"/>
      <c r="V933" s="41"/>
      <c r="W933" s="36"/>
      <c r="X933" s="36"/>
      <c r="Y933" s="36"/>
      <c r="Z933" s="36"/>
      <c r="AA933" s="36"/>
    </row>
    <row r="934" spans="16:27" x14ac:dyDescent="0.2">
      <c r="P934" s="36"/>
      <c r="Q934" s="40"/>
      <c r="R934" s="40"/>
      <c r="S934" s="40"/>
      <c r="T934" s="41"/>
      <c r="U934" s="41"/>
      <c r="V934" s="41"/>
      <c r="W934" s="36"/>
      <c r="X934" s="36"/>
      <c r="Y934" s="36"/>
      <c r="Z934" s="36"/>
      <c r="AA934" s="36"/>
    </row>
    <row r="935" spans="16:27" x14ac:dyDescent="0.2">
      <c r="P935" s="36"/>
      <c r="Q935" s="40"/>
      <c r="R935" s="40"/>
      <c r="S935" s="40"/>
      <c r="T935" s="41"/>
      <c r="U935" s="41"/>
      <c r="V935" s="41"/>
      <c r="W935" s="36"/>
      <c r="X935" s="36"/>
      <c r="Y935" s="36"/>
      <c r="Z935" s="36"/>
      <c r="AA935" s="36"/>
    </row>
    <row r="936" spans="16:27" x14ac:dyDescent="0.2">
      <c r="P936" s="36"/>
      <c r="Q936" s="40"/>
      <c r="R936" s="40"/>
      <c r="S936" s="40"/>
      <c r="T936" s="41"/>
      <c r="U936" s="41"/>
      <c r="V936" s="41"/>
      <c r="W936" s="36"/>
      <c r="X936" s="36"/>
      <c r="Y936" s="36"/>
      <c r="Z936" s="36"/>
      <c r="AA936" s="36"/>
    </row>
    <row r="937" spans="16:27" x14ac:dyDescent="0.2">
      <c r="P937" s="36"/>
      <c r="Q937" s="40"/>
      <c r="R937" s="40"/>
      <c r="S937" s="40"/>
      <c r="T937" s="41"/>
      <c r="U937" s="41"/>
      <c r="V937" s="41"/>
      <c r="W937" s="36"/>
      <c r="X937" s="36"/>
      <c r="Y937" s="36"/>
      <c r="Z937" s="36"/>
      <c r="AA937" s="36"/>
    </row>
    <row r="938" spans="16:27" x14ac:dyDescent="0.2">
      <c r="P938" s="36"/>
      <c r="Q938" s="40"/>
      <c r="R938" s="40"/>
      <c r="S938" s="40"/>
      <c r="T938" s="41"/>
      <c r="U938" s="41"/>
      <c r="V938" s="41"/>
      <c r="W938" s="36"/>
      <c r="X938" s="36"/>
      <c r="Y938" s="36"/>
      <c r="Z938" s="36"/>
      <c r="AA938" s="36"/>
    </row>
    <row r="939" spans="16:27" x14ac:dyDescent="0.2">
      <c r="P939" s="36"/>
      <c r="Q939" s="40"/>
      <c r="R939" s="40"/>
      <c r="S939" s="40"/>
      <c r="T939" s="41"/>
      <c r="U939" s="41"/>
      <c r="V939" s="41"/>
      <c r="W939" s="36"/>
      <c r="X939" s="36"/>
      <c r="Y939" s="36"/>
      <c r="Z939" s="36"/>
      <c r="AA939" s="36"/>
    </row>
    <row r="940" spans="16:27" x14ac:dyDescent="0.2">
      <c r="P940" s="36"/>
      <c r="Q940" s="40"/>
      <c r="R940" s="40"/>
      <c r="S940" s="40"/>
      <c r="T940" s="41"/>
      <c r="U940" s="41"/>
      <c r="V940" s="41"/>
      <c r="W940" s="36"/>
      <c r="X940" s="36"/>
      <c r="Y940" s="36"/>
      <c r="Z940" s="36"/>
      <c r="AA940" s="36"/>
    </row>
    <row r="941" spans="16:27" x14ac:dyDescent="0.2">
      <c r="P941" s="36"/>
      <c r="Q941" s="40"/>
      <c r="R941" s="40"/>
      <c r="S941" s="40"/>
      <c r="T941" s="41"/>
      <c r="U941" s="41"/>
      <c r="V941" s="41"/>
      <c r="W941" s="36"/>
      <c r="X941" s="36"/>
      <c r="Y941" s="36"/>
      <c r="Z941" s="36"/>
      <c r="AA941" s="36"/>
    </row>
    <row r="942" spans="16:27" x14ac:dyDescent="0.2">
      <c r="P942" s="36"/>
      <c r="Q942" s="40"/>
      <c r="R942" s="40"/>
      <c r="S942" s="40"/>
      <c r="T942" s="41"/>
      <c r="U942" s="41"/>
      <c r="V942" s="41"/>
      <c r="W942" s="36"/>
      <c r="X942" s="36"/>
      <c r="Y942" s="36"/>
      <c r="Z942" s="36"/>
      <c r="AA942" s="36"/>
    </row>
    <row r="943" spans="16:27" x14ac:dyDescent="0.2">
      <c r="P943" s="36"/>
      <c r="Q943" s="40"/>
      <c r="R943" s="40"/>
      <c r="S943" s="40"/>
      <c r="T943" s="41"/>
      <c r="U943" s="41"/>
      <c r="V943" s="41"/>
      <c r="W943" s="36"/>
      <c r="X943" s="36"/>
      <c r="Y943" s="36"/>
      <c r="Z943" s="36"/>
      <c r="AA943" s="36"/>
    </row>
    <row r="944" spans="16:27" x14ac:dyDescent="0.2">
      <c r="P944" s="36"/>
      <c r="Q944" s="40"/>
      <c r="R944" s="40"/>
      <c r="S944" s="40"/>
      <c r="T944" s="41"/>
      <c r="U944" s="41"/>
      <c r="V944" s="41"/>
      <c r="W944" s="36"/>
      <c r="X944" s="36"/>
      <c r="Y944" s="36"/>
      <c r="Z944" s="36"/>
      <c r="AA944" s="36"/>
    </row>
    <row r="945" spans="16:27" x14ac:dyDescent="0.2">
      <c r="P945" s="36"/>
      <c r="Q945" s="40"/>
      <c r="R945" s="40"/>
      <c r="S945" s="40"/>
      <c r="T945" s="41"/>
      <c r="U945" s="41"/>
      <c r="V945" s="41"/>
      <c r="W945" s="36"/>
      <c r="X945" s="36"/>
      <c r="Y945" s="36"/>
      <c r="Z945" s="36"/>
      <c r="AA945" s="36"/>
    </row>
    <row r="946" spans="16:27" x14ac:dyDescent="0.2">
      <c r="P946" s="36"/>
      <c r="Q946" s="40"/>
      <c r="R946" s="40"/>
      <c r="S946" s="40"/>
      <c r="T946" s="41"/>
      <c r="U946" s="41"/>
      <c r="V946" s="41"/>
      <c r="W946" s="36"/>
      <c r="X946" s="36"/>
      <c r="Y946" s="36"/>
      <c r="Z946" s="36"/>
      <c r="AA946" s="36"/>
    </row>
    <row r="947" spans="16:27" x14ac:dyDescent="0.2">
      <c r="P947" s="36"/>
      <c r="Q947" s="40"/>
      <c r="R947" s="40"/>
      <c r="S947" s="40"/>
      <c r="T947" s="41"/>
      <c r="U947" s="41"/>
      <c r="V947" s="41"/>
      <c r="W947" s="36"/>
      <c r="X947" s="36"/>
      <c r="Y947" s="36"/>
      <c r="Z947" s="36"/>
      <c r="AA947" s="36"/>
    </row>
    <row r="948" spans="16:27" x14ac:dyDescent="0.2">
      <c r="P948" s="36"/>
      <c r="Q948" s="40"/>
      <c r="R948" s="40"/>
      <c r="S948" s="40"/>
      <c r="T948" s="41"/>
      <c r="U948" s="41"/>
      <c r="V948" s="41"/>
      <c r="W948" s="36"/>
      <c r="X948" s="36"/>
      <c r="Y948" s="36"/>
      <c r="Z948" s="36"/>
      <c r="AA948" s="36"/>
    </row>
    <row r="949" spans="16:27" x14ac:dyDescent="0.2">
      <c r="P949" s="36"/>
      <c r="Q949" s="40"/>
      <c r="R949" s="40"/>
      <c r="S949" s="40"/>
      <c r="T949" s="41"/>
      <c r="U949" s="41"/>
      <c r="V949" s="41"/>
      <c r="W949" s="36"/>
      <c r="X949" s="36"/>
      <c r="Y949" s="36"/>
      <c r="Z949" s="36"/>
      <c r="AA949" s="36"/>
    </row>
    <row r="950" spans="16:27" x14ac:dyDescent="0.2">
      <c r="P950" s="36"/>
      <c r="Q950" s="40"/>
      <c r="R950" s="40"/>
      <c r="S950" s="40"/>
      <c r="T950" s="41"/>
      <c r="U950" s="41"/>
      <c r="V950" s="41"/>
      <c r="W950" s="36"/>
      <c r="X950" s="36"/>
      <c r="Y950" s="36"/>
      <c r="Z950" s="36"/>
      <c r="AA950" s="36"/>
    </row>
    <row r="951" spans="16:27" x14ac:dyDescent="0.2">
      <c r="P951" s="36"/>
      <c r="Q951" s="40"/>
      <c r="R951" s="40"/>
      <c r="S951" s="40"/>
      <c r="T951" s="41"/>
      <c r="U951" s="41"/>
      <c r="V951" s="41"/>
      <c r="W951" s="36"/>
      <c r="X951" s="36"/>
      <c r="Y951" s="36"/>
      <c r="Z951" s="36"/>
      <c r="AA951" s="36"/>
    </row>
    <row r="952" spans="16:27" x14ac:dyDescent="0.2">
      <c r="P952" s="36"/>
      <c r="Q952" s="40"/>
      <c r="R952" s="40"/>
      <c r="S952" s="40"/>
      <c r="T952" s="41"/>
      <c r="U952" s="41"/>
      <c r="V952" s="41"/>
      <c r="W952" s="36"/>
      <c r="X952" s="36"/>
      <c r="Y952" s="36"/>
      <c r="Z952" s="36"/>
      <c r="AA952" s="36"/>
    </row>
    <row r="953" spans="16:27" x14ac:dyDescent="0.2">
      <c r="P953" s="36"/>
      <c r="Q953" s="40"/>
      <c r="R953" s="40"/>
      <c r="S953" s="40"/>
      <c r="T953" s="41"/>
      <c r="U953" s="41"/>
      <c r="V953" s="41"/>
      <c r="W953" s="36"/>
      <c r="X953" s="36"/>
      <c r="Y953" s="36"/>
      <c r="Z953" s="36"/>
      <c r="AA953" s="36"/>
    </row>
    <row r="954" spans="16:27" x14ac:dyDescent="0.2">
      <c r="P954" s="36"/>
      <c r="Q954" s="40"/>
      <c r="R954" s="40"/>
      <c r="S954" s="40"/>
      <c r="T954" s="41"/>
      <c r="U954" s="41"/>
      <c r="V954" s="41"/>
      <c r="W954" s="36"/>
      <c r="X954" s="36"/>
      <c r="Y954" s="36"/>
      <c r="Z954" s="36"/>
      <c r="AA954" s="36"/>
    </row>
    <row r="955" spans="16:27" x14ac:dyDescent="0.2">
      <c r="P955" s="36"/>
      <c r="Q955" s="40"/>
      <c r="R955" s="40"/>
      <c r="S955" s="40"/>
      <c r="T955" s="41"/>
      <c r="U955" s="41"/>
      <c r="V955" s="41"/>
      <c r="W955" s="36"/>
      <c r="X955" s="36"/>
      <c r="Y955" s="36"/>
      <c r="Z955" s="36"/>
      <c r="AA955" s="36"/>
    </row>
    <row r="956" spans="16:27" x14ac:dyDescent="0.2">
      <c r="P956" s="36"/>
      <c r="Q956" s="40"/>
      <c r="R956" s="40"/>
      <c r="S956" s="40"/>
      <c r="T956" s="41"/>
      <c r="U956" s="41"/>
      <c r="V956" s="41"/>
      <c r="W956" s="36"/>
      <c r="X956" s="36"/>
      <c r="Y956" s="36"/>
      <c r="Z956" s="36"/>
      <c r="AA956" s="36"/>
    </row>
    <row r="957" spans="16:27" x14ac:dyDescent="0.2">
      <c r="P957" s="36"/>
      <c r="Q957" s="40"/>
      <c r="R957" s="40"/>
      <c r="S957" s="40"/>
      <c r="T957" s="41"/>
      <c r="U957" s="41"/>
      <c r="V957" s="41"/>
      <c r="W957" s="36"/>
      <c r="X957" s="36"/>
      <c r="Y957" s="36"/>
      <c r="Z957" s="36"/>
      <c r="AA957" s="36"/>
    </row>
    <row r="958" spans="16:27" x14ac:dyDescent="0.2">
      <c r="P958" s="36"/>
      <c r="Q958" s="40"/>
      <c r="R958" s="40"/>
      <c r="S958" s="40"/>
      <c r="T958" s="41"/>
      <c r="U958" s="41"/>
      <c r="V958" s="41"/>
      <c r="W958" s="36"/>
      <c r="X958" s="36"/>
      <c r="Y958" s="36"/>
      <c r="Z958" s="36"/>
      <c r="AA958" s="36"/>
    </row>
    <row r="959" spans="16:27" x14ac:dyDescent="0.2">
      <c r="P959" s="36"/>
      <c r="Q959" s="40"/>
      <c r="R959" s="40"/>
      <c r="S959" s="40"/>
      <c r="T959" s="41"/>
      <c r="U959" s="41"/>
      <c r="V959" s="41"/>
      <c r="W959" s="36"/>
      <c r="X959" s="36"/>
      <c r="Y959" s="36"/>
      <c r="Z959" s="36"/>
      <c r="AA959" s="36"/>
    </row>
    <row r="960" spans="16:27" x14ac:dyDescent="0.2">
      <c r="P960" s="36"/>
      <c r="Q960" s="40"/>
      <c r="R960" s="40"/>
      <c r="S960" s="40"/>
      <c r="T960" s="41"/>
      <c r="U960" s="41"/>
      <c r="V960" s="41"/>
      <c r="W960" s="36"/>
      <c r="X960" s="36"/>
      <c r="Y960" s="36"/>
      <c r="Z960" s="36"/>
      <c r="AA960" s="36"/>
    </row>
    <row r="961" spans="16:27" x14ac:dyDescent="0.2">
      <c r="P961" s="36"/>
      <c r="Q961" s="40"/>
      <c r="R961" s="40"/>
      <c r="S961" s="40"/>
      <c r="T961" s="41"/>
      <c r="U961" s="41"/>
      <c r="V961" s="41"/>
      <c r="W961" s="36"/>
      <c r="X961" s="36"/>
      <c r="Y961" s="36"/>
      <c r="Z961" s="36"/>
      <c r="AA961" s="36"/>
    </row>
    <row r="962" spans="16:27" x14ac:dyDescent="0.2">
      <c r="P962" s="36"/>
      <c r="Q962" s="40"/>
      <c r="R962" s="40"/>
      <c r="S962" s="40"/>
      <c r="T962" s="41"/>
      <c r="U962" s="41"/>
      <c r="V962" s="41"/>
      <c r="W962" s="36"/>
      <c r="X962" s="36"/>
      <c r="Y962" s="36"/>
      <c r="Z962" s="36"/>
      <c r="AA962" s="36"/>
    </row>
    <row r="963" spans="16:27" x14ac:dyDescent="0.2">
      <c r="P963" s="36"/>
      <c r="Q963" s="40"/>
      <c r="R963" s="40"/>
      <c r="S963" s="40"/>
      <c r="T963" s="41"/>
      <c r="U963" s="41"/>
      <c r="V963" s="41"/>
      <c r="W963" s="36"/>
      <c r="X963" s="36"/>
      <c r="Y963" s="36"/>
      <c r="Z963" s="36"/>
      <c r="AA963" s="36"/>
    </row>
    <row r="964" spans="16:27" x14ac:dyDescent="0.2">
      <c r="P964" s="36"/>
      <c r="Q964" s="40"/>
      <c r="R964" s="40"/>
      <c r="S964" s="40"/>
      <c r="T964" s="41"/>
      <c r="U964" s="41"/>
      <c r="V964" s="41"/>
      <c r="W964" s="36"/>
      <c r="X964" s="36"/>
      <c r="Y964" s="36"/>
      <c r="Z964" s="36"/>
      <c r="AA964" s="36"/>
    </row>
    <row r="965" spans="16:27" x14ac:dyDescent="0.2">
      <c r="P965" s="36"/>
      <c r="Q965" s="40"/>
      <c r="R965" s="40"/>
      <c r="S965" s="40"/>
      <c r="T965" s="41"/>
      <c r="U965" s="41"/>
      <c r="V965" s="41"/>
      <c r="W965" s="36"/>
      <c r="X965" s="36"/>
      <c r="Y965" s="36"/>
      <c r="Z965" s="36"/>
      <c r="AA965" s="36"/>
    </row>
    <row r="966" spans="16:27" x14ac:dyDescent="0.2">
      <c r="P966" s="36"/>
      <c r="Q966" s="40"/>
      <c r="R966" s="40"/>
      <c r="S966" s="40"/>
      <c r="T966" s="41"/>
      <c r="U966" s="41"/>
      <c r="V966" s="41"/>
      <c r="W966" s="36"/>
      <c r="X966" s="36"/>
      <c r="Y966" s="36"/>
      <c r="Z966" s="36"/>
      <c r="AA966" s="36"/>
    </row>
    <row r="967" spans="16:27" x14ac:dyDescent="0.2">
      <c r="P967" s="36"/>
      <c r="Q967" s="40"/>
      <c r="R967" s="40"/>
      <c r="S967" s="40"/>
      <c r="T967" s="41"/>
      <c r="U967" s="41"/>
      <c r="V967" s="41"/>
      <c r="W967" s="36"/>
      <c r="X967" s="36"/>
      <c r="Y967" s="36"/>
      <c r="Z967" s="36"/>
      <c r="AA967" s="36"/>
    </row>
    <row r="968" spans="16:27" x14ac:dyDescent="0.2">
      <c r="P968" s="36"/>
      <c r="Q968" s="40"/>
      <c r="R968" s="40"/>
      <c r="S968" s="40"/>
      <c r="T968" s="41"/>
      <c r="U968" s="41"/>
      <c r="V968" s="41"/>
      <c r="W968" s="36"/>
      <c r="X968" s="36"/>
      <c r="Y968" s="36"/>
      <c r="Z968" s="36"/>
      <c r="AA968" s="36"/>
    </row>
    <row r="969" spans="16:27" x14ac:dyDescent="0.2">
      <c r="P969" s="36"/>
      <c r="Q969" s="40"/>
      <c r="R969" s="40"/>
      <c r="S969" s="40"/>
      <c r="T969" s="41"/>
      <c r="U969" s="41"/>
      <c r="V969" s="41"/>
      <c r="W969" s="36"/>
      <c r="X969" s="36"/>
      <c r="Y969" s="36"/>
      <c r="Z969" s="36"/>
      <c r="AA969" s="36"/>
    </row>
    <row r="970" spans="16:27" x14ac:dyDescent="0.2">
      <c r="P970" s="36"/>
      <c r="Q970" s="40"/>
      <c r="R970" s="40"/>
      <c r="S970" s="40"/>
      <c r="T970" s="41"/>
      <c r="U970" s="41"/>
      <c r="V970" s="41"/>
      <c r="W970" s="36"/>
      <c r="X970" s="36"/>
      <c r="Y970" s="36"/>
      <c r="Z970" s="36"/>
      <c r="AA970" s="36"/>
    </row>
    <row r="971" spans="16:27" x14ac:dyDescent="0.2">
      <c r="P971" s="36"/>
      <c r="Q971" s="40"/>
      <c r="R971" s="40"/>
      <c r="S971" s="40"/>
      <c r="T971" s="41"/>
      <c r="U971" s="41"/>
      <c r="V971" s="41"/>
      <c r="W971" s="36"/>
      <c r="X971" s="36"/>
      <c r="Y971" s="36"/>
      <c r="Z971" s="36"/>
      <c r="AA971" s="36"/>
    </row>
    <row r="972" spans="16:27" x14ac:dyDescent="0.2">
      <c r="P972" s="36"/>
      <c r="Q972" s="40"/>
      <c r="R972" s="40"/>
      <c r="S972" s="40"/>
      <c r="T972" s="41"/>
      <c r="U972" s="41"/>
      <c r="V972" s="41"/>
      <c r="W972" s="36"/>
      <c r="X972" s="36"/>
      <c r="Y972" s="36"/>
      <c r="Z972" s="36"/>
      <c r="AA972" s="36"/>
    </row>
    <row r="973" spans="16:27" x14ac:dyDescent="0.2">
      <c r="P973" s="36"/>
      <c r="Q973" s="40"/>
      <c r="R973" s="40"/>
      <c r="S973" s="40"/>
      <c r="T973" s="41"/>
      <c r="U973" s="41"/>
      <c r="V973" s="41"/>
      <c r="W973" s="36"/>
      <c r="X973" s="36"/>
      <c r="Y973" s="36"/>
      <c r="Z973" s="36"/>
      <c r="AA973" s="36"/>
    </row>
    <row r="974" spans="16:27" x14ac:dyDescent="0.2">
      <c r="P974" s="36"/>
      <c r="Q974" s="40"/>
      <c r="R974" s="40"/>
      <c r="S974" s="40"/>
      <c r="T974" s="41"/>
      <c r="U974" s="41"/>
      <c r="V974" s="41"/>
      <c r="W974" s="36"/>
      <c r="X974" s="36"/>
      <c r="Y974" s="36"/>
      <c r="Z974" s="36"/>
      <c r="AA974" s="36"/>
    </row>
    <row r="975" spans="16:27" x14ac:dyDescent="0.2">
      <c r="P975" s="36"/>
      <c r="Q975" s="40"/>
      <c r="R975" s="40"/>
      <c r="S975" s="40"/>
      <c r="T975" s="41"/>
      <c r="U975" s="41"/>
      <c r="V975" s="41"/>
      <c r="W975" s="36"/>
      <c r="X975" s="36"/>
      <c r="Y975" s="36"/>
      <c r="Z975" s="36"/>
      <c r="AA975" s="36"/>
    </row>
    <row r="976" spans="16:27" x14ac:dyDescent="0.2">
      <c r="P976" s="36"/>
      <c r="Q976" s="40"/>
      <c r="R976" s="40"/>
      <c r="S976" s="40"/>
      <c r="T976" s="41"/>
      <c r="U976" s="41"/>
      <c r="V976" s="41"/>
      <c r="W976" s="36"/>
      <c r="X976" s="36"/>
      <c r="Y976" s="36"/>
      <c r="Z976" s="36"/>
      <c r="AA976" s="36"/>
    </row>
    <row r="977" spans="16:27" x14ac:dyDescent="0.2">
      <c r="P977" s="36"/>
      <c r="Q977" s="40"/>
      <c r="R977" s="40"/>
      <c r="S977" s="40"/>
      <c r="T977" s="41"/>
      <c r="U977" s="41"/>
      <c r="V977" s="41"/>
      <c r="W977" s="36"/>
      <c r="X977" s="36"/>
      <c r="Y977" s="36"/>
      <c r="Z977" s="36"/>
      <c r="AA977" s="36"/>
    </row>
    <row r="978" spans="16:27" x14ac:dyDescent="0.2">
      <c r="P978" s="36"/>
      <c r="Q978" s="40"/>
      <c r="R978" s="40"/>
      <c r="S978" s="40"/>
      <c r="T978" s="41"/>
      <c r="U978" s="41"/>
      <c r="V978" s="41"/>
      <c r="W978" s="36"/>
      <c r="X978" s="36"/>
      <c r="Y978" s="36"/>
      <c r="Z978" s="36"/>
      <c r="AA978" s="36"/>
    </row>
    <row r="979" spans="16:27" x14ac:dyDescent="0.2">
      <c r="P979" s="36"/>
      <c r="Q979" s="40"/>
      <c r="R979" s="40"/>
      <c r="S979" s="40"/>
      <c r="T979" s="41"/>
      <c r="U979" s="41"/>
      <c r="V979" s="41"/>
      <c r="W979" s="36"/>
      <c r="X979" s="36"/>
      <c r="Y979" s="36"/>
      <c r="Z979" s="36"/>
      <c r="AA979" s="36"/>
    </row>
    <row r="980" spans="16:27" x14ac:dyDescent="0.2">
      <c r="P980" s="36"/>
      <c r="Q980" s="40"/>
      <c r="R980" s="40"/>
      <c r="S980" s="40"/>
      <c r="T980" s="41"/>
      <c r="U980" s="41"/>
      <c r="V980" s="41"/>
      <c r="W980" s="36"/>
      <c r="X980" s="36"/>
      <c r="Y980" s="36"/>
      <c r="Z980" s="36"/>
      <c r="AA980" s="36"/>
    </row>
    <row r="981" spans="16:27" x14ac:dyDescent="0.2">
      <c r="P981" s="36"/>
      <c r="Q981" s="40"/>
      <c r="R981" s="40"/>
      <c r="S981" s="40"/>
      <c r="T981" s="41"/>
      <c r="U981" s="41"/>
      <c r="V981" s="41"/>
      <c r="W981" s="36"/>
      <c r="X981" s="36"/>
      <c r="Y981" s="36"/>
      <c r="Z981" s="36"/>
      <c r="AA981" s="36"/>
    </row>
    <row r="982" spans="16:27" x14ac:dyDescent="0.2">
      <c r="P982" s="36"/>
      <c r="Q982" s="40"/>
      <c r="R982" s="40"/>
      <c r="S982" s="40"/>
      <c r="T982" s="41"/>
      <c r="U982" s="41"/>
      <c r="V982" s="41"/>
      <c r="W982" s="36"/>
      <c r="X982" s="36"/>
      <c r="Y982" s="36"/>
      <c r="Z982" s="36"/>
      <c r="AA982" s="36"/>
    </row>
    <row r="983" spans="16:27" x14ac:dyDescent="0.2">
      <c r="P983" s="36"/>
      <c r="Q983" s="40"/>
      <c r="R983" s="40"/>
      <c r="S983" s="40"/>
      <c r="T983" s="41"/>
      <c r="U983" s="41"/>
      <c r="V983" s="41"/>
      <c r="W983" s="36"/>
      <c r="X983" s="36"/>
      <c r="Y983" s="36"/>
      <c r="Z983" s="36"/>
      <c r="AA983" s="36"/>
    </row>
    <row r="984" spans="16:27" x14ac:dyDescent="0.2">
      <c r="P984" s="36"/>
      <c r="Q984" s="40"/>
      <c r="R984" s="40"/>
      <c r="S984" s="40"/>
      <c r="T984" s="41"/>
      <c r="U984" s="41"/>
      <c r="V984" s="41"/>
      <c r="W984" s="36"/>
      <c r="X984" s="36"/>
      <c r="Y984" s="36"/>
      <c r="Z984" s="36"/>
      <c r="AA984" s="36"/>
    </row>
    <row r="985" spans="16:27" x14ac:dyDescent="0.2">
      <c r="P985" s="36"/>
      <c r="Q985" s="40"/>
      <c r="R985" s="40"/>
      <c r="S985" s="40"/>
      <c r="T985" s="41"/>
      <c r="U985" s="41"/>
      <c r="V985" s="41"/>
      <c r="W985" s="36"/>
      <c r="X985" s="36"/>
      <c r="Y985" s="36"/>
      <c r="Z985" s="36"/>
      <c r="AA985" s="36"/>
    </row>
    <row r="986" spans="16:27" x14ac:dyDescent="0.2">
      <c r="P986" s="36"/>
      <c r="Q986" s="40"/>
      <c r="R986" s="40"/>
      <c r="S986" s="40"/>
      <c r="T986" s="41"/>
      <c r="U986" s="41"/>
      <c r="V986" s="41"/>
      <c r="W986" s="36"/>
      <c r="X986" s="36"/>
      <c r="Y986" s="36"/>
      <c r="Z986" s="36"/>
      <c r="AA986" s="36"/>
    </row>
    <row r="987" spans="16:27" x14ac:dyDescent="0.2">
      <c r="P987" s="36"/>
      <c r="Q987" s="40"/>
      <c r="R987" s="40"/>
      <c r="S987" s="40"/>
      <c r="T987" s="41"/>
      <c r="U987" s="41"/>
      <c r="V987" s="41"/>
      <c r="W987" s="36"/>
      <c r="X987" s="36"/>
      <c r="Y987" s="36"/>
      <c r="Z987" s="36"/>
      <c r="AA987" s="36"/>
    </row>
    <row r="988" spans="16:27" x14ac:dyDescent="0.2">
      <c r="P988" s="36"/>
      <c r="Q988" s="40"/>
      <c r="R988" s="40"/>
      <c r="S988" s="40"/>
      <c r="T988" s="41"/>
      <c r="U988" s="41"/>
      <c r="V988" s="41"/>
      <c r="W988" s="36"/>
      <c r="X988" s="36"/>
      <c r="Y988" s="36"/>
      <c r="Z988" s="36"/>
      <c r="AA988" s="36"/>
    </row>
    <row r="989" spans="16:27" x14ac:dyDescent="0.2">
      <c r="P989" s="36"/>
      <c r="Q989" s="40"/>
      <c r="R989" s="40"/>
      <c r="S989" s="40"/>
      <c r="T989" s="41"/>
      <c r="U989" s="41"/>
      <c r="V989" s="41"/>
      <c r="W989" s="36"/>
      <c r="X989" s="36"/>
      <c r="Y989" s="36"/>
      <c r="Z989" s="36"/>
      <c r="AA989" s="36"/>
    </row>
    <row r="990" spans="16:27" x14ac:dyDescent="0.2">
      <c r="P990" s="36"/>
      <c r="Q990" s="40"/>
      <c r="R990" s="40"/>
      <c r="S990" s="40"/>
      <c r="T990" s="41"/>
      <c r="U990" s="41"/>
      <c r="V990" s="41"/>
      <c r="W990" s="36"/>
      <c r="X990" s="36"/>
      <c r="Y990" s="36"/>
      <c r="Z990" s="36"/>
      <c r="AA990" s="36"/>
    </row>
    <row r="991" spans="16:27" x14ac:dyDescent="0.2">
      <c r="P991" s="36"/>
      <c r="Q991" s="40"/>
      <c r="R991" s="40"/>
      <c r="S991" s="40"/>
      <c r="T991" s="41"/>
      <c r="U991" s="41"/>
      <c r="V991" s="41"/>
      <c r="W991" s="36"/>
      <c r="X991" s="36"/>
      <c r="Y991" s="36"/>
      <c r="Z991" s="36"/>
      <c r="AA991" s="36"/>
    </row>
    <row r="992" spans="16:27" x14ac:dyDescent="0.2">
      <c r="P992" s="36"/>
      <c r="Q992" s="40"/>
      <c r="R992" s="40"/>
      <c r="S992" s="40"/>
      <c r="T992" s="41"/>
      <c r="U992" s="41"/>
      <c r="V992" s="41"/>
      <c r="W992" s="36"/>
      <c r="X992" s="36"/>
      <c r="Y992" s="36"/>
      <c r="Z992" s="36"/>
      <c r="AA992" s="36"/>
    </row>
    <row r="993" spans="16:27" x14ac:dyDescent="0.2">
      <c r="P993" s="36"/>
      <c r="Q993" s="40"/>
      <c r="R993" s="40"/>
      <c r="S993" s="40"/>
      <c r="T993" s="41"/>
      <c r="U993" s="41"/>
      <c r="V993" s="41"/>
      <c r="W993" s="36"/>
      <c r="X993" s="36"/>
      <c r="Y993" s="36"/>
      <c r="Z993" s="36"/>
      <c r="AA993" s="36"/>
    </row>
    <row r="994" spans="16:27" x14ac:dyDescent="0.2">
      <c r="P994" s="36"/>
      <c r="Q994" s="40"/>
      <c r="R994" s="40"/>
      <c r="S994" s="40"/>
      <c r="T994" s="41"/>
      <c r="U994" s="41"/>
      <c r="V994" s="41"/>
      <c r="W994" s="36"/>
      <c r="X994" s="36"/>
      <c r="Y994" s="36"/>
      <c r="Z994" s="36"/>
      <c r="AA994" s="36"/>
    </row>
    <row r="995" spans="16:27" x14ac:dyDescent="0.2">
      <c r="P995" s="36"/>
      <c r="Q995" s="40"/>
      <c r="R995" s="40"/>
      <c r="S995" s="40"/>
      <c r="T995" s="41"/>
      <c r="U995" s="41"/>
      <c r="V995" s="41"/>
      <c r="W995" s="36"/>
      <c r="X995" s="36"/>
      <c r="Y995" s="36"/>
      <c r="Z995" s="36"/>
      <c r="AA995" s="36"/>
    </row>
    <row r="996" spans="16:27" x14ac:dyDescent="0.2">
      <c r="P996" s="36"/>
      <c r="Q996" s="40"/>
      <c r="R996" s="40"/>
      <c r="S996" s="40"/>
      <c r="T996" s="41"/>
      <c r="U996" s="41"/>
      <c r="V996" s="41"/>
      <c r="W996" s="36"/>
      <c r="X996" s="36"/>
      <c r="Y996" s="36"/>
      <c r="Z996" s="36"/>
      <c r="AA996" s="36"/>
    </row>
    <row r="997" spans="16:27" x14ac:dyDescent="0.2">
      <c r="P997" s="36"/>
      <c r="Q997" s="40"/>
      <c r="R997" s="40"/>
      <c r="S997" s="40"/>
      <c r="T997" s="41"/>
      <c r="U997" s="41"/>
      <c r="V997" s="41"/>
      <c r="W997" s="36"/>
      <c r="X997" s="36"/>
      <c r="Y997" s="36"/>
      <c r="Z997" s="36"/>
      <c r="AA997" s="36"/>
    </row>
    <row r="998" spans="16:27" x14ac:dyDescent="0.2">
      <c r="P998" s="36"/>
      <c r="Q998" s="40"/>
      <c r="R998" s="40"/>
      <c r="S998" s="40"/>
      <c r="T998" s="41"/>
      <c r="U998" s="41"/>
      <c r="V998" s="41"/>
      <c r="W998" s="36"/>
      <c r="X998" s="36"/>
      <c r="Y998" s="36"/>
      <c r="Z998" s="36"/>
      <c r="AA998" s="36"/>
    </row>
    <row r="999" spans="16:27" x14ac:dyDescent="0.2">
      <c r="P999" s="36"/>
      <c r="Q999" s="40"/>
      <c r="R999" s="40"/>
      <c r="S999" s="40"/>
      <c r="T999" s="41"/>
      <c r="U999" s="41"/>
      <c r="V999" s="41"/>
      <c r="W999" s="36"/>
      <c r="X999" s="36"/>
      <c r="Y999" s="36"/>
      <c r="Z999" s="36"/>
      <c r="AA999" s="36"/>
    </row>
    <row r="1000" spans="16:27" x14ac:dyDescent="0.2">
      <c r="P1000" s="36"/>
      <c r="Q1000" s="40"/>
      <c r="R1000" s="40"/>
      <c r="S1000" s="40"/>
      <c r="T1000" s="41"/>
      <c r="U1000" s="41"/>
      <c r="V1000" s="41"/>
      <c r="W1000" s="36"/>
      <c r="X1000" s="36"/>
      <c r="Y1000" s="36"/>
      <c r="Z1000" s="36"/>
      <c r="AA1000" s="36"/>
    </row>
    <row r="1001" spans="16:27" x14ac:dyDescent="0.2">
      <c r="P1001" s="36"/>
      <c r="Q1001" s="40"/>
      <c r="R1001" s="40"/>
      <c r="S1001" s="40"/>
      <c r="T1001" s="41"/>
      <c r="U1001" s="41"/>
      <c r="V1001" s="41"/>
      <c r="W1001" s="36"/>
      <c r="X1001" s="36"/>
      <c r="Y1001" s="36"/>
      <c r="Z1001" s="36"/>
      <c r="AA1001" s="36"/>
    </row>
    <row r="1002" spans="16:27" x14ac:dyDescent="0.2">
      <c r="P1002" s="36"/>
      <c r="Q1002" s="40"/>
      <c r="R1002" s="40"/>
      <c r="S1002" s="40"/>
      <c r="T1002" s="41"/>
      <c r="U1002" s="41"/>
      <c r="V1002" s="41"/>
      <c r="W1002" s="36"/>
      <c r="X1002" s="36"/>
      <c r="Y1002" s="36"/>
      <c r="Z1002" s="36"/>
      <c r="AA1002" s="36"/>
    </row>
    <row r="1003" spans="16:27" x14ac:dyDescent="0.2">
      <c r="P1003" s="36"/>
      <c r="Q1003" s="40"/>
      <c r="R1003" s="40"/>
      <c r="S1003" s="40"/>
      <c r="T1003" s="41"/>
      <c r="U1003" s="41"/>
      <c r="V1003" s="41"/>
      <c r="W1003" s="36"/>
      <c r="X1003" s="36"/>
      <c r="Y1003" s="36"/>
      <c r="Z1003" s="36"/>
      <c r="AA1003" s="36"/>
    </row>
    <row r="1004" spans="16:27" x14ac:dyDescent="0.2">
      <c r="P1004" s="36"/>
      <c r="Q1004" s="40"/>
      <c r="R1004" s="40"/>
      <c r="S1004" s="40"/>
      <c r="T1004" s="41"/>
      <c r="U1004" s="41"/>
      <c r="V1004" s="41"/>
      <c r="W1004" s="36"/>
      <c r="X1004" s="36"/>
      <c r="Y1004" s="36"/>
      <c r="Z1004" s="36"/>
      <c r="AA1004" s="36"/>
    </row>
    <row r="1005" spans="16:27" x14ac:dyDescent="0.2">
      <c r="P1005" s="36"/>
      <c r="Q1005" s="40"/>
      <c r="R1005" s="40"/>
      <c r="S1005" s="40"/>
      <c r="T1005" s="41"/>
      <c r="U1005" s="41"/>
      <c r="V1005" s="41"/>
      <c r="W1005" s="36"/>
      <c r="X1005" s="36"/>
      <c r="Y1005" s="36"/>
      <c r="Z1005" s="36"/>
      <c r="AA1005" s="36"/>
    </row>
    <row r="1006" spans="16:27" x14ac:dyDescent="0.2">
      <c r="P1006" s="36"/>
      <c r="Q1006" s="40"/>
      <c r="R1006" s="40"/>
      <c r="S1006" s="40"/>
      <c r="T1006" s="41"/>
      <c r="U1006" s="41"/>
      <c r="V1006" s="41"/>
      <c r="W1006" s="36"/>
      <c r="X1006" s="36"/>
      <c r="Y1006" s="36"/>
      <c r="Z1006" s="36"/>
      <c r="AA1006" s="36"/>
    </row>
    <row r="1007" spans="16:27" x14ac:dyDescent="0.2">
      <c r="P1007" s="36"/>
      <c r="Q1007" s="40"/>
      <c r="R1007" s="40"/>
      <c r="S1007" s="40"/>
      <c r="T1007" s="41"/>
      <c r="U1007" s="41"/>
      <c r="V1007" s="41"/>
      <c r="W1007" s="36"/>
      <c r="X1007" s="36"/>
      <c r="Y1007" s="36"/>
      <c r="Z1007" s="36"/>
      <c r="AA1007" s="36"/>
    </row>
    <row r="1008" spans="16:27" x14ac:dyDescent="0.2">
      <c r="P1008" s="36"/>
      <c r="Q1008" s="40"/>
      <c r="R1008" s="40"/>
      <c r="S1008" s="40"/>
      <c r="T1008" s="41"/>
      <c r="U1008" s="41"/>
      <c r="V1008" s="41"/>
      <c r="W1008" s="36"/>
      <c r="X1008" s="36"/>
      <c r="Y1008" s="36"/>
      <c r="Z1008" s="36"/>
      <c r="AA1008" s="36"/>
    </row>
    <row r="1009" spans="16:27" x14ac:dyDescent="0.2">
      <c r="P1009" s="36"/>
      <c r="Q1009" s="40"/>
      <c r="R1009" s="40"/>
      <c r="S1009" s="40"/>
      <c r="T1009" s="41"/>
      <c r="U1009" s="41"/>
      <c r="V1009" s="41"/>
      <c r="W1009" s="36"/>
      <c r="X1009" s="36"/>
      <c r="Y1009" s="36"/>
      <c r="Z1009" s="36"/>
      <c r="AA1009" s="36"/>
    </row>
    <row r="1010" spans="16:27" x14ac:dyDescent="0.2">
      <c r="P1010" s="36"/>
      <c r="Q1010" s="40"/>
      <c r="R1010" s="40"/>
      <c r="S1010" s="40"/>
      <c r="T1010" s="41"/>
      <c r="U1010" s="41"/>
      <c r="V1010" s="41"/>
      <c r="W1010" s="36"/>
      <c r="X1010" s="36"/>
      <c r="Y1010" s="36"/>
      <c r="Z1010" s="36"/>
      <c r="AA1010" s="36"/>
    </row>
    <row r="1011" spans="16:27" x14ac:dyDescent="0.2">
      <c r="P1011" s="36"/>
      <c r="Q1011" s="40"/>
      <c r="R1011" s="40"/>
      <c r="S1011" s="40"/>
      <c r="T1011" s="41"/>
      <c r="U1011" s="41"/>
      <c r="V1011" s="41"/>
      <c r="W1011" s="36"/>
      <c r="X1011" s="36"/>
      <c r="Y1011" s="36"/>
      <c r="Z1011" s="36"/>
      <c r="AA1011" s="36"/>
    </row>
    <row r="1012" spans="16:27" x14ac:dyDescent="0.2">
      <c r="P1012" s="36"/>
      <c r="Q1012" s="40"/>
      <c r="R1012" s="40"/>
      <c r="S1012" s="40"/>
      <c r="T1012" s="41"/>
      <c r="U1012" s="41"/>
      <c r="V1012" s="41"/>
      <c r="W1012" s="36"/>
      <c r="X1012" s="36"/>
      <c r="Y1012" s="36"/>
      <c r="Z1012" s="36"/>
      <c r="AA1012" s="36"/>
    </row>
    <row r="1013" spans="16:27" x14ac:dyDescent="0.2">
      <c r="P1013" s="36"/>
      <c r="Q1013" s="40"/>
      <c r="R1013" s="40"/>
      <c r="S1013" s="40"/>
      <c r="T1013" s="41"/>
      <c r="U1013" s="41"/>
      <c r="V1013" s="41"/>
      <c r="W1013" s="36"/>
      <c r="X1013" s="36"/>
      <c r="Y1013" s="36"/>
      <c r="Z1013" s="36"/>
      <c r="AA1013" s="36"/>
    </row>
    <row r="1014" spans="16:27" x14ac:dyDescent="0.2">
      <c r="P1014" s="36"/>
      <c r="Q1014" s="40"/>
      <c r="R1014" s="40"/>
      <c r="S1014" s="40"/>
      <c r="T1014" s="41"/>
      <c r="U1014" s="41"/>
      <c r="V1014" s="41"/>
      <c r="W1014" s="36"/>
      <c r="X1014" s="36"/>
      <c r="Y1014" s="36"/>
      <c r="Z1014" s="36"/>
      <c r="AA1014" s="36"/>
    </row>
    <row r="1015" spans="16:27" x14ac:dyDescent="0.2">
      <c r="P1015" s="36"/>
      <c r="Q1015" s="40"/>
      <c r="R1015" s="40"/>
      <c r="S1015" s="40"/>
      <c r="T1015" s="41"/>
      <c r="U1015" s="41"/>
      <c r="V1015" s="41"/>
      <c r="W1015" s="36"/>
      <c r="X1015" s="36"/>
      <c r="Y1015" s="36"/>
      <c r="Z1015" s="36"/>
      <c r="AA1015" s="36"/>
    </row>
    <row r="1016" spans="16:27" x14ac:dyDescent="0.2">
      <c r="P1016" s="36"/>
      <c r="Q1016" s="40"/>
      <c r="R1016" s="40"/>
      <c r="S1016" s="40"/>
      <c r="T1016" s="41"/>
      <c r="U1016" s="41"/>
      <c r="V1016" s="41"/>
      <c r="W1016" s="36"/>
      <c r="X1016" s="36"/>
      <c r="Y1016" s="36"/>
      <c r="Z1016" s="36"/>
      <c r="AA1016" s="36"/>
    </row>
    <row r="1017" spans="16:27" x14ac:dyDescent="0.2">
      <c r="P1017" s="36"/>
      <c r="Q1017" s="40"/>
      <c r="R1017" s="40"/>
      <c r="S1017" s="40"/>
      <c r="T1017" s="41"/>
      <c r="U1017" s="41"/>
      <c r="V1017" s="41"/>
      <c r="W1017" s="36"/>
      <c r="X1017" s="36"/>
      <c r="Y1017" s="36"/>
      <c r="Z1017" s="36"/>
      <c r="AA1017" s="36"/>
    </row>
    <row r="1018" spans="16:27" x14ac:dyDescent="0.2">
      <c r="P1018" s="36"/>
      <c r="Q1018" s="40"/>
      <c r="R1018" s="40"/>
      <c r="S1018" s="40"/>
      <c r="T1018" s="41"/>
      <c r="U1018" s="41"/>
      <c r="V1018" s="41"/>
      <c r="W1018" s="36"/>
      <c r="X1018" s="36"/>
      <c r="Y1018" s="36"/>
      <c r="Z1018" s="36"/>
      <c r="AA1018" s="36"/>
    </row>
    <row r="1019" spans="16:27" x14ac:dyDescent="0.2">
      <c r="P1019" s="36"/>
      <c r="Q1019" s="40"/>
      <c r="R1019" s="40"/>
      <c r="S1019" s="40"/>
      <c r="T1019" s="41"/>
      <c r="U1019" s="41"/>
      <c r="V1019" s="41"/>
      <c r="W1019" s="36"/>
      <c r="X1019" s="36"/>
      <c r="Y1019" s="36"/>
      <c r="Z1019" s="36"/>
      <c r="AA1019" s="36"/>
    </row>
    <row r="1020" spans="16:27" x14ac:dyDescent="0.2">
      <c r="P1020" s="36"/>
      <c r="Q1020" s="40"/>
      <c r="R1020" s="40"/>
      <c r="S1020" s="40"/>
      <c r="T1020" s="41"/>
      <c r="U1020" s="41"/>
      <c r="V1020" s="41"/>
      <c r="W1020" s="36"/>
      <c r="X1020" s="36"/>
      <c r="Y1020" s="36"/>
      <c r="Z1020" s="36"/>
      <c r="AA1020" s="36"/>
    </row>
    <row r="1021" spans="16:27" x14ac:dyDescent="0.2">
      <c r="P1021" s="36"/>
      <c r="Q1021" s="40"/>
      <c r="R1021" s="40"/>
      <c r="S1021" s="40"/>
      <c r="T1021" s="41"/>
      <c r="U1021" s="41"/>
      <c r="V1021" s="41"/>
      <c r="W1021" s="36"/>
      <c r="X1021" s="36"/>
      <c r="Y1021" s="36"/>
      <c r="Z1021" s="36"/>
      <c r="AA1021" s="36"/>
    </row>
    <row r="1022" spans="16:27" x14ac:dyDescent="0.2">
      <c r="P1022" s="36"/>
      <c r="Q1022" s="40"/>
      <c r="R1022" s="40"/>
      <c r="S1022" s="40"/>
      <c r="T1022" s="41"/>
      <c r="U1022" s="41"/>
      <c r="V1022" s="41"/>
      <c r="W1022" s="36"/>
      <c r="X1022" s="36"/>
      <c r="Y1022" s="36"/>
      <c r="Z1022" s="36"/>
      <c r="AA1022" s="36"/>
    </row>
    <row r="1023" spans="16:27" x14ac:dyDescent="0.2">
      <c r="P1023" s="36"/>
      <c r="Q1023" s="40"/>
      <c r="R1023" s="40"/>
      <c r="S1023" s="40"/>
      <c r="T1023" s="41"/>
      <c r="U1023" s="41"/>
      <c r="V1023" s="41"/>
      <c r="W1023" s="36"/>
      <c r="X1023" s="36"/>
      <c r="Y1023" s="36"/>
      <c r="Z1023" s="36"/>
      <c r="AA1023" s="36"/>
    </row>
    <row r="1024" spans="16:27" x14ac:dyDescent="0.2">
      <c r="P1024" s="36"/>
      <c r="Q1024" s="40"/>
      <c r="R1024" s="40"/>
      <c r="S1024" s="40"/>
      <c r="T1024" s="41"/>
      <c r="U1024" s="41"/>
      <c r="V1024" s="41"/>
      <c r="W1024" s="36"/>
      <c r="X1024" s="36"/>
      <c r="Y1024" s="36"/>
      <c r="Z1024" s="36"/>
      <c r="AA1024" s="36"/>
    </row>
    <row r="1025" spans="16:27" x14ac:dyDescent="0.2">
      <c r="P1025" s="36"/>
      <c r="Q1025" s="40"/>
      <c r="R1025" s="40"/>
      <c r="S1025" s="40"/>
      <c r="T1025" s="41"/>
      <c r="U1025" s="41"/>
      <c r="V1025" s="41"/>
      <c r="W1025" s="36"/>
      <c r="X1025" s="36"/>
      <c r="Y1025" s="36"/>
      <c r="Z1025" s="36"/>
      <c r="AA1025" s="36"/>
    </row>
    <row r="1026" spans="16:27" x14ac:dyDescent="0.2">
      <c r="P1026" s="36"/>
      <c r="Q1026" s="40"/>
      <c r="R1026" s="40"/>
      <c r="S1026" s="40"/>
      <c r="T1026" s="41"/>
      <c r="U1026" s="41"/>
      <c r="V1026" s="41"/>
      <c r="W1026" s="36"/>
      <c r="X1026" s="36"/>
      <c r="Y1026" s="36"/>
      <c r="Z1026" s="36"/>
      <c r="AA1026" s="36"/>
    </row>
    <row r="1027" spans="16:27" x14ac:dyDescent="0.2">
      <c r="P1027" s="36"/>
      <c r="Q1027" s="40"/>
      <c r="R1027" s="40"/>
      <c r="S1027" s="40"/>
      <c r="T1027" s="41"/>
      <c r="U1027" s="41"/>
      <c r="V1027" s="41"/>
      <c r="W1027" s="36"/>
      <c r="X1027" s="36"/>
      <c r="Y1027" s="36"/>
      <c r="Z1027" s="36"/>
      <c r="AA1027" s="36"/>
    </row>
    <row r="1028" spans="16:27" x14ac:dyDescent="0.2">
      <c r="P1028" s="36"/>
      <c r="Q1028" s="40"/>
      <c r="R1028" s="40"/>
      <c r="S1028" s="40"/>
      <c r="T1028" s="41"/>
      <c r="U1028" s="41"/>
      <c r="V1028" s="41"/>
      <c r="W1028" s="36"/>
      <c r="X1028" s="36"/>
      <c r="Y1028" s="36"/>
      <c r="Z1028" s="36"/>
      <c r="AA1028" s="36"/>
    </row>
    <row r="1029" spans="16:27" x14ac:dyDescent="0.2">
      <c r="P1029" s="36"/>
      <c r="Q1029" s="40"/>
      <c r="R1029" s="40"/>
      <c r="S1029" s="40"/>
      <c r="T1029" s="41"/>
      <c r="U1029" s="41"/>
      <c r="V1029" s="41"/>
      <c r="W1029" s="36"/>
      <c r="X1029" s="36"/>
      <c r="Y1029" s="36"/>
      <c r="Z1029" s="36"/>
      <c r="AA1029" s="36"/>
    </row>
    <row r="1030" spans="16:27" x14ac:dyDescent="0.2">
      <c r="P1030" s="36"/>
      <c r="Q1030" s="40"/>
      <c r="R1030" s="40"/>
      <c r="S1030" s="40"/>
      <c r="T1030" s="41"/>
      <c r="U1030" s="41"/>
      <c r="V1030" s="41"/>
      <c r="W1030" s="36"/>
      <c r="X1030" s="36"/>
      <c r="Y1030" s="36"/>
      <c r="Z1030" s="36"/>
      <c r="AA1030" s="36"/>
    </row>
    <row r="1031" spans="16:27" x14ac:dyDescent="0.2">
      <c r="P1031" s="36"/>
      <c r="Q1031" s="40"/>
      <c r="R1031" s="40"/>
      <c r="S1031" s="40"/>
      <c r="T1031" s="41"/>
      <c r="U1031" s="41"/>
      <c r="V1031" s="41"/>
      <c r="W1031" s="36"/>
      <c r="X1031" s="36"/>
      <c r="Y1031" s="36"/>
      <c r="Z1031" s="36"/>
      <c r="AA1031" s="36"/>
    </row>
    <row r="1032" spans="16:27" x14ac:dyDescent="0.2">
      <c r="P1032" s="36"/>
      <c r="Q1032" s="40"/>
      <c r="R1032" s="40"/>
      <c r="S1032" s="40"/>
      <c r="T1032" s="41"/>
      <c r="U1032" s="41"/>
      <c r="V1032" s="41"/>
      <c r="W1032" s="36"/>
      <c r="X1032" s="36"/>
      <c r="Y1032" s="36"/>
      <c r="Z1032" s="36"/>
      <c r="AA1032" s="36"/>
    </row>
    <row r="1033" spans="16:27" x14ac:dyDescent="0.2">
      <c r="P1033" s="36"/>
      <c r="Q1033" s="40"/>
      <c r="R1033" s="40"/>
      <c r="S1033" s="40"/>
      <c r="T1033" s="41"/>
      <c r="U1033" s="41"/>
      <c r="V1033" s="41"/>
      <c r="W1033" s="36"/>
      <c r="X1033" s="36"/>
      <c r="Y1033" s="36"/>
      <c r="Z1033" s="36"/>
      <c r="AA1033" s="36"/>
    </row>
    <row r="1034" spans="16:27" x14ac:dyDescent="0.2">
      <c r="P1034" s="36"/>
      <c r="Q1034" s="40"/>
      <c r="R1034" s="40"/>
      <c r="S1034" s="40"/>
      <c r="T1034" s="41"/>
      <c r="U1034" s="41"/>
      <c r="V1034" s="41"/>
      <c r="W1034" s="36"/>
      <c r="X1034" s="36"/>
      <c r="Y1034" s="36"/>
      <c r="Z1034" s="36"/>
      <c r="AA1034" s="36"/>
    </row>
    <row r="1035" spans="16:27" x14ac:dyDescent="0.2">
      <c r="P1035" s="36"/>
      <c r="Q1035" s="40"/>
      <c r="R1035" s="40"/>
      <c r="S1035" s="40"/>
      <c r="T1035" s="41"/>
      <c r="U1035" s="41"/>
      <c r="V1035" s="41"/>
      <c r="W1035" s="36"/>
      <c r="X1035" s="36"/>
      <c r="Y1035" s="36"/>
      <c r="Z1035" s="36"/>
      <c r="AA1035" s="36"/>
    </row>
    <row r="1036" spans="16:27" x14ac:dyDescent="0.2">
      <c r="P1036" s="36"/>
      <c r="Q1036" s="40"/>
      <c r="R1036" s="40"/>
      <c r="S1036" s="40"/>
      <c r="T1036" s="41"/>
      <c r="U1036" s="41"/>
      <c r="V1036" s="41"/>
      <c r="W1036" s="36"/>
      <c r="X1036" s="36"/>
      <c r="Y1036" s="36"/>
      <c r="Z1036" s="36"/>
      <c r="AA1036" s="36"/>
    </row>
    <row r="1037" spans="16:27" x14ac:dyDescent="0.2">
      <c r="P1037" s="36"/>
      <c r="Q1037" s="40"/>
      <c r="R1037" s="40"/>
      <c r="S1037" s="40"/>
      <c r="T1037" s="41"/>
      <c r="U1037" s="41"/>
      <c r="V1037" s="41"/>
      <c r="W1037" s="36"/>
      <c r="X1037" s="36"/>
      <c r="Y1037" s="36"/>
      <c r="Z1037" s="36"/>
      <c r="AA1037" s="36"/>
    </row>
    <row r="1038" spans="16:27" x14ac:dyDescent="0.2">
      <c r="P1038" s="36"/>
      <c r="Q1038" s="40"/>
      <c r="R1038" s="40"/>
      <c r="S1038" s="40"/>
      <c r="T1038" s="41"/>
      <c r="U1038" s="41"/>
      <c r="V1038" s="41"/>
      <c r="W1038" s="36"/>
      <c r="X1038" s="36"/>
      <c r="Y1038" s="36"/>
      <c r="Z1038" s="36"/>
      <c r="AA1038" s="36"/>
    </row>
    <row r="1039" spans="16:27" x14ac:dyDescent="0.2">
      <c r="P1039" s="36"/>
      <c r="Q1039" s="40"/>
      <c r="R1039" s="40"/>
      <c r="S1039" s="40"/>
      <c r="T1039" s="41"/>
      <c r="U1039" s="41"/>
      <c r="V1039" s="41"/>
      <c r="W1039" s="36"/>
      <c r="X1039" s="36"/>
      <c r="Y1039" s="36"/>
      <c r="Z1039" s="36"/>
      <c r="AA1039" s="36"/>
    </row>
    <row r="1040" spans="16:27" x14ac:dyDescent="0.2">
      <c r="P1040" s="36"/>
      <c r="Q1040" s="40"/>
      <c r="R1040" s="40"/>
      <c r="S1040" s="40"/>
      <c r="T1040" s="41"/>
      <c r="U1040" s="41"/>
      <c r="V1040" s="41"/>
      <c r="W1040" s="36"/>
      <c r="X1040" s="36"/>
      <c r="Y1040" s="36"/>
      <c r="Z1040" s="36"/>
      <c r="AA1040" s="36"/>
    </row>
    <row r="1041" spans="16:27" x14ac:dyDescent="0.2">
      <c r="P1041" s="36"/>
      <c r="Q1041" s="40"/>
      <c r="R1041" s="40"/>
      <c r="S1041" s="40"/>
      <c r="T1041" s="41"/>
      <c r="U1041" s="41"/>
      <c r="V1041" s="41"/>
      <c r="W1041" s="36"/>
      <c r="X1041" s="36"/>
      <c r="Y1041" s="36"/>
      <c r="Z1041" s="36"/>
      <c r="AA1041" s="36"/>
    </row>
    <row r="1042" spans="16:27" x14ac:dyDescent="0.2">
      <c r="P1042" s="36"/>
      <c r="Q1042" s="40"/>
      <c r="R1042" s="40"/>
      <c r="S1042" s="40"/>
      <c r="T1042" s="41"/>
      <c r="U1042" s="41"/>
      <c r="V1042" s="41"/>
      <c r="W1042" s="36"/>
      <c r="X1042" s="36"/>
      <c r="Y1042" s="36"/>
      <c r="Z1042" s="36"/>
      <c r="AA1042" s="36"/>
    </row>
    <row r="1043" spans="16:27" x14ac:dyDescent="0.2">
      <c r="P1043" s="36"/>
      <c r="Q1043" s="40"/>
      <c r="R1043" s="40"/>
      <c r="S1043" s="40"/>
      <c r="T1043" s="41"/>
      <c r="U1043" s="41"/>
      <c r="V1043" s="41"/>
      <c r="W1043" s="36"/>
      <c r="X1043" s="36"/>
      <c r="Y1043" s="36"/>
      <c r="Z1043" s="36"/>
      <c r="AA1043" s="36"/>
    </row>
    <row r="1044" spans="16:27" x14ac:dyDescent="0.2">
      <c r="P1044" s="36"/>
      <c r="Q1044" s="40"/>
      <c r="R1044" s="40"/>
      <c r="S1044" s="40"/>
      <c r="T1044" s="41"/>
      <c r="U1044" s="41"/>
      <c r="V1044" s="41"/>
      <c r="W1044" s="36"/>
      <c r="X1044" s="36"/>
      <c r="Y1044" s="36"/>
      <c r="Z1044" s="36"/>
      <c r="AA1044" s="36"/>
    </row>
    <row r="1045" spans="16:27" x14ac:dyDescent="0.2">
      <c r="P1045" s="36"/>
      <c r="Q1045" s="40"/>
      <c r="R1045" s="40"/>
      <c r="S1045" s="40"/>
      <c r="T1045" s="41"/>
      <c r="U1045" s="41"/>
      <c r="V1045" s="41"/>
      <c r="W1045" s="36"/>
      <c r="X1045" s="36"/>
      <c r="Y1045" s="36"/>
      <c r="Z1045" s="36"/>
      <c r="AA1045" s="36"/>
    </row>
    <row r="1046" spans="16:27" x14ac:dyDescent="0.2">
      <c r="P1046" s="36"/>
      <c r="Q1046" s="40"/>
      <c r="R1046" s="40"/>
      <c r="S1046" s="40"/>
      <c r="T1046" s="41"/>
      <c r="U1046" s="41"/>
      <c r="V1046" s="41"/>
      <c r="W1046" s="36"/>
      <c r="X1046" s="36"/>
      <c r="Y1046" s="36"/>
      <c r="Z1046" s="36"/>
      <c r="AA1046" s="36"/>
    </row>
    <row r="1047" spans="16:27" x14ac:dyDescent="0.2">
      <c r="P1047" s="36"/>
      <c r="Q1047" s="40"/>
      <c r="R1047" s="40"/>
      <c r="S1047" s="40"/>
      <c r="T1047" s="41"/>
      <c r="U1047" s="41"/>
      <c r="V1047" s="41"/>
      <c r="W1047" s="36"/>
      <c r="X1047" s="36"/>
      <c r="Y1047" s="36"/>
      <c r="Z1047" s="36"/>
      <c r="AA1047" s="36"/>
    </row>
    <row r="1048" spans="16:27" x14ac:dyDescent="0.2">
      <c r="P1048" s="36"/>
      <c r="Q1048" s="40"/>
      <c r="R1048" s="40"/>
      <c r="S1048" s="40"/>
      <c r="T1048" s="41"/>
      <c r="U1048" s="41"/>
      <c r="V1048" s="41"/>
      <c r="W1048" s="36"/>
      <c r="X1048" s="36"/>
      <c r="Y1048" s="36"/>
      <c r="Z1048" s="36"/>
      <c r="AA1048" s="36"/>
    </row>
    <row r="1049" spans="16:27" x14ac:dyDescent="0.2">
      <c r="P1049" s="36"/>
      <c r="Q1049" s="40"/>
      <c r="R1049" s="40"/>
      <c r="S1049" s="40"/>
      <c r="T1049" s="41"/>
      <c r="U1049" s="41"/>
      <c r="V1049" s="41"/>
      <c r="W1049" s="36"/>
      <c r="X1049" s="36"/>
      <c r="Y1049" s="36"/>
      <c r="Z1049" s="36"/>
      <c r="AA1049" s="36"/>
    </row>
    <row r="1050" spans="16:27" x14ac:dyDescent="0.2">
      <c r="P1050" s="36"/>
      <c r="Q1050" s="40"/>
      <c r="R1050" s="40"/>
      <c r="S1050" s="40"/>
      <c r="T1050" s="41"/>
      <c r="U1050" s="41"/>
      <c r="V1050" s="41"/>
      <c r="W1050" s="36"/>
      <c r="X1050" s="36"/>
      <c r="Y1050" s="36"/>
      <c r="Z1050" s="36"/>
      <c r="AA1050" s="36"/>
    </row>
    <row r="1051" spans="16:27" x14ac:dyDescent="0.2">
      <c r="P1051" s="36"/>
      <c r="Q1051" s="40"/>
      <c r="R1051" s="40"/>
      <c r="S1051" s="40"/>
      <c r="T1051" s="41"/>
      <c r="U1051" s="41"/>
      <c r="V1051" s="41"/>
      <c r="W1051" s="36"/>
      <c r="X1051" s="36"/>
      <c r="Y1051" s="36"/>
      <c r="Z1051" s="36"/>
      <c r="AA1051" s="36"/>
    </row>
    <row r="1052" spans="16:27" x14ac:dyDescent="0.2">
      <c r="P1052" s="36"/>
      <c r="Q1052" s="40"/>
      <c r="R1052" s="40"/>
      <c r="S1052" s="40"/>
      <c r="T1052" s="41"/>
      <c r="U1052" s="41"/>
      <c r="V1052" s="41"/>
      <c r="W1052" s="36"/>
      <c r="X1052" s="36"/>
      <c r="Y1052" s="36"/>
      <c r="Z1052" s="36"/>
      <c r="AA1052" s="36"/>
    </row>
    <row r="1053" spans="16:27" x14ac:dyDescent="0.2">
      <c r="P1053" s="36"/>
      <c r="Q1053" s="40"/>
      <c r="R1053" s="40"/>
      <c r="S1053" s="40"/>
      <c r="T1053" s="41"/>
      <c r="U1053" s="41"/>
      <c r="V1053" s="41"/>
      <c r="W1053" s="36"/>
      <c r="X1053" s="36"/>
      <c r="Y1053" s="36"/>
      <c r="Z1053" s="36"/>
      <c r="AA1053" s="36"/>
    </row>
    <row r="1054" spans="16:27" x14ac:dyDescent="0.2">
      <c r="P1054" s="36"/>
      <c r="Q1054" s="40"/>
      <c r="R1054" s="40"/>
      <c r="S1054" s="40"/>
      <c r="T1054" s="41"/>
      <c r="U1054" s="41"/>
      <c r="V1054" s="41"/>
      <c r="W1054" s="36"/>
      <c r="X1054" s="36"/>
      <c r="Y1054" s="36"/>
      <c r="Z1054" s="36"/>
      <c r="AA1054" s="36"/>
    </row>
    <row r="1055" spans="16:27" x14ac:dyDescent="0.2">
      <c r="P1055" s="36"/>
      <c r="Q1055" s="40"/>
      <c r="R1055" s="40"/>
      <c r="S1055" s="40"/>
      <c r="T1055" s="41"/>
      <c r="U1055" s="41"/>
      <c r="V1055" s="41"/>
      <c r="W1055" s="36"/>
      <c r="X1055" s="36"/>
      <c r="Y1055" s="36"/>
      <c r="Z1055" s="36"/>
      <c r="AA1055" s="36"/>
    </row>
    <row r="1056" spans="16:27" x14ac:dyDescent="0.2">
      <c r="P1056" s="36"/>
      <c r="Q1056" s="40"/>
      <c r="R1056" s="40"/>
      <c r="S1056" s="40"/>
      <c r="T1056" s="41"/>
      <c r="U1056" s="41"/>
      <c r="V1056" s="41"/>
      <c r="W1056" s="36"/>
      <c r="X1056" s="36"/>
      <c r="Y1056" s="36"/>
      <c r="Z1056" s="36"/>
      <c r="AA1056" s="36"/>
    </row>
    <row r="1057" spans="16:27" x14ac:dyDescent="0.2">
      <c r="P1057" s="36"/>
      <c r="Q1057" s="40"/>
      <c r="R1057" s="40"/>
      <c r="S1057" s="40"/>
      <c r="T1057" s="41"/>
      <c r="U1057" s="41"/>
      <c r="V1057" s="41"/>
      <c r="W1057" s="36"/>
      <c r="X1057" s="36"/>
      <c r="Y1057" s="36"/>
      <c r="Z1057" s="36"/>
      <c r="AA1057" s="36"/>
    </row>
    <row r="1058" spans="16:27" x14ac:dyDescent="0.2">
      <c r="P1058" s="36"/>
      <c r="Q1058" s="40"/>
      <c r="R1058" s="40"/>
      <c r="S1058" s="40"/>
      <c r="T1058" s="41"/>
      <c r="U1058" s="41"/>
      <c r="V1058" s="41"/>
      <c r="W1058" s="36"/>
      <c r="X1058" s="36"/>
      <c r="Y1058" s="36"/>
      <c r="Z1058" s="36"/>
      <c r="AA1058" s="36"/>
    </row>
    <row r="1059" spans="16:27" x14ac:dyDescent="0.2">
      <c r="P1059" s="36"/>
      <c r="Q1059" s="40"/>
      <c r="R1059" s="40"/>
      <c r="S1059" s="40"/>
      <c r="T1059" s="41"/>
      <c r="U1059" s="41"/>
      <c r="V1059" s="41"/>
      <c r="W1059" s="36"/>
      <c r="X1059" s="36"/>
      <c r="Y1059" s="36"/>
      <c r="Z1059" s="36"/>
      <c r="AA1059" s="36"/>
    </row>
    <row r="1060" spans="16:27" x14ac:dyDescent="0.2">
      <c r="P1060" s="36"/>
      <c r="Q1060" s="40"/>
      <c r="R1060" s="40"/>
      <c r="S1060" s="40"/>
      <c r="T1060" s="41"/>
      <c r="U1060" s="41"/>
      <c r="V1060" s="41"/>
      <c r="W1060" s="36"/>
      <c r="X1060" s="36"/>
      <c r="Y1060" s="36"/>
      <c r="Z1060" s="36"/>
      <c r="AA1060" s="36"/>
    </row>
    <row r="1061" spans="16:27" x14ac:dyDescent="0.2">
      <c r="P1061" s="36"/>
      <c r="Q1061" s="40"/>
      <c r="R1061" s="40"/>
      <c r="S1061" s="40"/>
      <c r="T1061" s="41"/>
      <c r="U1061" s="41"/>
      <c r="V1061" s="41"/>
      <c r="W1061" s="36"/>
      <c r="X1061" s="36"/>
      <c r="Y1061" s="36"/>
      <c r="Z1061" s="36"/>
      <c r="AA1061" s="36"/>
    </row>
    <row r="1062" spans="16:27" x14ac:dyDescent="0.2">
      <c r="P1062" s="36"/>
      <c r="Q1062" s="40"/>
      <c r="R1062" s="40"/>
      <c r="S1062" s="40"/>
      <c r="T1062" s="41"/>
      <c r="U1062" s="41"/>
      <c r="V1062" s="41"/>
      <c r="W1062" s="36"/>
      <c r="X1062" s="36"/>
      <c r="Y1062" s="36"/>
      <c r="Z1062" s="36"/>
      <c r="AA1062" s="36"/>
    </row>
    <row r="1063" spans="16:27" x14ac:dyDescent="0.2">
      <c r="P1063" s="36"/>
      <c r="Q1063" s="40"/>
      <c r="R1063" s="40"/>
      <c r="S1063" s="40"/>
      <c r="T1063" s="41"/>
      <c r="U1063" s="41"/>
      <c r="V1063" s="41"/>
      <c r="W1063" s="36"/>
      <c r="X1063" s="36"/>
      <c r="Y1063" s="36"/>
      <c r="Z1063" s="36"/>
      <c r="AA1063" s="36"/>
    </row>
    <row r="1064" spans="16:27" x14ac:dyDescent="0.2">
      <c r="P1064" s="36"/>
      <c r="Q1064" s="40"/>
      <c r="R1064" s="40"/>
      <c r="S1064" s="40"/>
      <c r="T1064" s="41"/>
      <c r="U1064" s="41"/>
      <c r="V1064" s="41"/>
      <c r="W1064" s="36"/>
      <c r="X1064" s="36"/>
      <c r="Y1064" s="36"/>
      <c r="Z1064" s="36"/>
      <c r="AA1064" s="36"/>
    </row>
    <row r="1065" spans="16:27" x14ac:dyDescent="0.2">
      <c r="P1065" s="36"/>
      <c r="Q1065" s="40"/>
      <c r="R1065" s="40"/>
      <c r="S1065" s="40"/>
      <c r="T1065" s="41"/>
      <c r="U1065" s="41"/>
      <c r="V1065" s="41"/>
      <c r="W1065" s="36"/>
      <c r="X1065" s="36"/>
      <c r="Y1065" s="36"/>
      <c r="Z1065" s="36"/>
      <c r="AA1065" s="36"/>
    </row>
    <row r="1066" spans="16:27" x14ac:dyDescent="0.2">
      <c r="P1066" s="36"/>
      <c r="Q1066" s="40"/>
      <c r="R1066" s="40"/>
      <c r="S1066" s="40"/>
      <c r="T1066" s="41"/>
      <c r="U1066" s="41"/>
      <c r="V1066" s="41"/>
      <c r="W1066" s="36"/>
      <c r="X1066" s="36"/>
      <c r="Y1066" s="36"/>
      <c r="Z1066" s="36"/>
      <c r="AA1066" s="36"/>
    </row>
    <row r="1067" spans="16:27" x14ac:dyDescent="0.2">
      <c r="P1067" s="36"/>
      <c r="Q1067" s="40"/>
      <c r="R1067" s="40"/>
      <c r="S1067" s="40"/>
      <c r="T1067" s="41"/>
      <c r="U1067" s="41"/>
      <c r="V1067" s="41"/>
      <c r="W1067" s="36"/>
      <c r="X1067" s="36"/>
      <c r="Y1067" s="36"/>
      <c r="Z1067" s="36"/>
      <c r="AA1067" s="36"/>
    </row>
    <row r="1068" spans="16:27" x14ac:dyDescent="0.2">
      <c r="P1068" s="36"/>
      <c r="Q1068" s="40"/>
      <c r="R1068" s="40"/>
      <c r="S1068" s="40"/>
      <c r="T1068" s="41"/>
      <c r="U1068" s="41"/>
      <c r="V1068" s="41"/>
      <c r="W1068" s="36"/>
      <c r="X1068" s="36"/>
      <c r="Y1068" s="36"/>
      <c r="Z1068" s="36"/>
      <c r="AA1068" s="36"/>
    </row>
    <row r="1069" spans="16:27" x14ac:dyDescent="0.2">
      <c r="P1069" s="36"/>
      <c r="Q1069" s="40"/>
      <c r="R1069" s="40"/>
      <c r="S1069" s="40"/>
      <c r="T1069" s="41"/>
      <c r="U1069" s="41"/>
      <c r="V1069" s="41"/>
      <c r="W1069" s="36"/>
      <c r="X1069" s="36"/>
      <c r="Y1069" s="36"/>
      <c r="Z1069" s="36"/>
      <c r="AA1069" s="36"/>
    </row>
    <row r="1070" spans="16:27" x14ac:dyDescent="0.2">
      <c r="P1070" s="36"/>
      <c r="Q1070" s="40"/>
      <c r="R1070" s="40"/>
      <c r="S1070" s="40"/>
      <c r="T1070" s="41"/>
      <c r="U1070" s="41"/>
      <c r="V1070" s="41"/>
      <c r="W1070" s="36"/>
      <c r="X1070" s="36"/>
      <c r="Y1070" s="36"/>
      <c r="Z1070" s="36"/>
      <c r="AA1070" s="36"/>
    </row>
    <row r="1071" spans="16:27" x14ac:dyDescent="0.2">
      <c r="P1071" s="36"/>
      <c r="Q1071" s="40"/>
      <c r="R1071" s="40"/>
      <c r="S1071" s="40"/>
      <c r="T1071" s="41"/>
      <c r="U1071" s="41"/>
      <c r="V1071" s="41"/>
      <c r="W1071" s="36"/>
      <c r="X1071" s="36"/>
      <c r="Y1071" s="36"/>
      <c r="Z1071" s="36"/>
      <c r="AA1071" s="36"/>
    </row>
    <row r="1072" spans="16:27" x14ac:dyDescent="0.2">
      <c r="P1072" s="36"/>
      <c r="Q1072" s="40"/>
      <c r="R1072" s="40"/>
      <c r="S1072" s="40"/>
      <c r="T1072" s="41"/>
      <c r="U1072" s="41"/>
      <c r="V1072" s="41"/>
      <c r="W1072" s="36"/>
      <c r="X1072" s="36"/>
      <c r="Y1072" s="36"/>
      <c r="Z1072" s="36"/>
      <c r="AA1072" s="36"/>
    </row>
    <row r="1073" spans="16:27" x14ac:dyDescent="0.2">
      <c r="P1073" s="36"/>
      <c r="Q1073" s="40"/>
      <c r="R1073" s="40"/>
      <c r="S1073" s="40"/>
      <c r="T1073" s="41"/>
      <c r="U1073" s="41"/>
      <c r="V1073" s="41"/>
      <c r="W1073" s="36"/>
      <c r="X1073" s="36"/>
      <c r="Y1073" s="36"/>
      <c r="Z1073" s="36"/>
      <c r="AA1073" s="36"/>
    </row>
    <row r="1074" spans="16:27" x14ac:dyDescent="0.2">
      <c r="P1074" s="36"/>
      <c r="Q1074" s="40"/>
      <c r="R1074" s="40"/>
      <c r="S1074" s="40"/>
      <c r="T1074" s="41"/>
      <c r="U1074" s="41"/>
      <c r="V1074" s="41"/>
      <c r="W1074" s="36"/>
      <c r="X1074" s="36"/>
      <c r="Y1074" s="36"/>
      <c r="Z1074" s="36"/>
      <c r="AA1074" s="36"/>
    </row>
    <row r="1075" spans="16:27" x14ac:dyDescent="0.2">
      <c r="P1075" s="36"/>
      <c r="Q1075" s="40"/>
      <c r="R1075" s="40"/>
      <c r="S1075" s="40"/>
      <c r="T1075" s="41"/>
      <c r="U1075" s="41"/>
      <c r="V1075" s="41"/>
      <c r="W1075" s="36"/>
      <c r="X1075" s="36"/>
      <c r="Y1075" s="36"/>
      <c r="Z1075" s="36"/>
      <c r="AA1075" s="36"/>
    </row>
    <row r="1076" spans="16:27" x14ac:dyDescent="0.2">
      <c r="P1076" s="36"/>
      <c r="Q1076" s="40"/>
      <c r="R1076" s="40"/>
      <c r="S1076" s="40"/>
      <c r="T1076" s="41"/>
      <c r="U1076" s="41"/>
      <c r="V1076" s="41"/>
      <c r="W1076" s="36"/>
      <c r="X1076" s="36"/>
      <c r="Y1076" s="36"/>
      <c r="Z1076" s="36"/>
      <c r="AA1076" s="36"/>
    </row>
    <row r="1077" spans="16:27" x14ac:dyDescent="0.2">
      <c r="P1077" s="36"/>
      <c r="Q1077" s="40"/>
      <c r="R1077" s="40"/>
      <c r="S1077" s="40"/>
      <c r="T1077" s="41"/>
      <c r="U1077" s="41"/>
      <c r="V1077" s="41"/>
      <c r="W1077" s="36"/>
      <c r="X1077" s="36"/>
      <c r="Y1077" s="36"/>
      <c r="Z1077" s="36"/>
      <c r="AA1077" s="36"/>
    </row>
    <row r="1078" spans="16:27" x14ac:dyDescent="0.2">
      <c r="P1078" s="36"/>
      <c r="Q1078" s="40"/>
      <c r="R1078" s="40"/>
      <c r="S1078" s="40"/>
      <c r="T1078" s="41"/>
      <c r="U1078" s="41"/>
      <c r="V1078" s="41"/>
      <c r="W1078" s="36"/>
      <c r="X1078" s="36"/>
      <c r="Y1078" s="36"/>
      <c r="Z1078" s="36"/>
      <c r="AA1078" s="36"/>
    </row>
    <row r="1079" spans="16:27" x14ac:dyDescent="0.2">
      <c r="P1079" s="36"/>
      <c r="Q1079" s="40"/>
      <c r="R1079" s="40"/>
      <c r="S1079" s="40"/>
      <c r="T1079" s="41"/>
      <c r="U1079" s="41"/>
      <c r="V1079" s="41"/>
      <c r="W1079" s="36"/>
      <c r="X1079" s="36"/>
      <c r="Y1079" s="36"/>
      <c r="Z1079" s="36"/>
      <c r="AA1079" s="36"/>
    </row>
    <row r="1080" spans="16:27" x14ac:dyDescent="0.2">
      <c r="P1080" s="36"/>
      <c r="Q1080" s="40"/>
      <c r="R1080" s="40"/>
      <c r="S1080" s="40"/>
      <c r="T1080" s="41"/>
      <c r="U1080" s="41"/>
      <c r="V1080" s="41"/>
      <c r="W1080" s="36"/>
      <c r="X1080" s="36"/>
      <c r="Y1080" s="36"/>
      <c r="Z1080" s="36"/>
      <c r="AA1080" s="36"/>
    </row>
    <row r="1081" spans="16:27" x14ac:dyDescent="0.2">
      <c r="P1081" s="36"/>
      <c r="Q1081" s="40"/>
      <c r="R1081" s="40"/>
      <c r="S1081" s="40"/>
      <c r="T1081" s="41"/>
      <c r="U1081" s="41"/>
      <c r="V1081" s="41"/>
      <c r="W1081" s="36"/>
      <c r="X1081" s="36"/>
      <c r="Y1081" s="36"/>
      <c r="Z1081" s="36"/>
      <c r="AA1081" s="36"/>
    </row>
    <row r="1082" spans="16:27" x14ac:dyDescent="0.2">
      <c r="P1082" s="36"/>
      <c r="Q1082" s="40"/>
      <c r="R1082" s="40"/>
      <c r="S1082" s="40"/>
      <c r="T1082" s="41"/>
      <c r="U1082" s="41"/>
      <c r="V1082" s="41"/>
      <c r="W1082" s="36"/>
      <c r="X1082" s="36"/>
      <c r="Y1082" s="36"/>
      <c r="Z1082" s="36"/>
      <c r="AA1082" s="36"/>
    </row>
    <row r="1083" spans="16:27" x14ac:dyDescent="0.2">
      <c r="P1083" s="36"/>
      <c r="Q1083" s="40"/>
      <c r="R1083" s="40"/>
      <c r="S1083" s="40"/>
      <c r="T1083" s="41"/>
      <c r="U1083" s="41"/>
      <c r="V1083" s="41"/>
      <c r="W1083" s="36"/>
      <c r="X1083" s="36"/>
      <c r="Y1083" s="36"/>
      <c r="Z1083" s="36"/>
      <c r="AA1083" s="36"/>
    </row>
    <row r="1084" spans="16:27" x14ac:dyDescent="0.2">
      <c r="P1084" s="36"/>
      <c r="Q1084" s="40"/>
      <c r="R1084" s="40"/>
      <c r="S1084" s="40"/>
      <c r="T1084" s="41"/>
      <c r="U1084" s="41"/>
      <c r="V1084" s="41"/>
      <c r="W1084" s="36"/>
      <c r="X1084" s="36"/>
      <c r="Y1084" s="36"/>
      <c r="Z1084" s="36"/>
      <c r="AA1084" s="36"/>
    </row>
    <row r="1085" spans="16:27" x14ac:dyDescent="0.2">
      <c r="P1085" s="36"/>
      <c r="Q1085" s="40"/>
      <c r="R1085" s="40"/>
      <c r="S1085" s="40"/>
      <c r="T1085" s="41"/>
      <c r="U1085" s="41"/>
      <c r="V1085" s="41"/>
      <c r="W1085" s="36"/>
      <c r="X1085" s="36"/>
      <c r="Y1085" s="36"/>
      <c r="Z1085" s="36"/>
      <c r="AA1085" s="36"/>
    </row>
    <row r="1086" spans="16:27" x14ac:dyDescent="0.2">
      <c r="P1086" s="36"/>
      <c r="Q1086" s="40"/>
      <c r="R1086" s="40"/>
      <c r="S1086" s="40"/>
      <c r="T1086" s="41"/>
      <c r="U1086" s="41"/>
      <c r="V1086" s="41"/>
      <c r="W1086" s="36"/>
      <c r="X1086" s="36"/>
      <c r="Y1086" s="36"/>
      <c r="Z1086" s="36"/>
      <c r="AA1086" s="36"/>
    </row>
    <row r="1087" spans="16:27" x14ac:dyDescent="0.2">
      <c r="P1087" s="36"/>
      <c r="Q1087" s="40"/>
      <c r="R1087" s="40"/>
      <c r="S1087" s="40"/>
      <c r="T1087" s="41"/>
      <c r="U1087" s="41"/>
      <c r="V1087" s="41"/>
      <c r="W1087" s="36"/>
      <c r="X1087" s="36"/>
      <c r="Y1087" s="36"/>
      <c r="Z1087" s="36"/>
      <c r="AA1087" s="36"/>
    </row>
    <row r="1088" spans="16:27" x14ac:dyDescent="0.2">
      <c r="P1088" s="36"/>
      <c r="Q1088" s="40"/>
      <c r="R1088" s="40"/>
      <c r="S1088" s="40"/>
      <c r="T1088" s="41"/>
      <c r="U1088" s="41"/>
      <c r="V1088" s="41"/>
      <c r="W1088" s="36"/>
      <c r="X1088" s="36"/>
      <c r="Y1088" s="36"/>
      <c r="Z1088" s="36"/>
      <c r="AA1088" s="36"/>
    </row>
    <row r="1089" spans="16:27" x14ac:dyDescent="0.2">
      <c r="P1089" s="36"/>
      <c r="Q1089" s="40"/>
      <c r="R1089" s="40"/>
      <c r="S1089" s="40"/>
      <c r="T1089" s="41"/>
      <c r="U1089" s="41"/>
      <c r="V1089" s="41"/>
      <c r="W1089" s="36"/>
      <c r="X1089" s="36"/>
      <c r="Y1089" s="36"/>
      <c r="Z1089" s="36"/>
      <c r="AA1089" s="36"/>
    </row>
    <row r="1090" spans="16:27" x14ac:dyDescent="0.2">
      <c r="P1090" s="36"/>
      <c r="Q1090" s="40"/>
      <c r="R1090" s="40"/>
      <c r="S1090" s="40"/>
      <c r="T1090" s="41"/>
      <c r="U1090" s="41"/>
      <c r="V1090" s="41"/>
      <c r="W1090" s="36"/>
      <c r="X1090" s="36"/>
      <c r="Y1090" s="36"/>
      <c r="Z1090" s="36"/>
      <c r="AA1090" s="36"/>
    </row>
    <row r="1091" spans="16:27" x14ac:dyDescent="0.2">
      <c r="P1091" s="36"/>
      <c r="Q1091" s="40"/>
      <c r="R1091" s="40"/>
      <c r="S1091" s="40"/>
      <c r="T1091" s="41"/>
      <c r="U1091" s="41"/>
      <c r="V1091" s="41"/>
      <c r="W1091" s="36"/>
      <c r="X1091" s="36"/>
      <c r="Y1091" s="36"/>
      <c r="Z1091" s="36"/>
      <c r="AA1091" s="36"/>
    </row>
    <row r="1092" spans="16:27" x14ac:dyDescent="0.2">
      <c r="P1092" s="36"/>
      <c r="Q1092" s="40"/>
      <c r="R1092" s="40"/>
      <c r="S1092" s="40"/>
      <c r="T1092" s="41"/>
      <c r="U1092" s="41"/>
      <c r="V1092" s="41"/>
      <c r="W1092" s="36"/>
      <c r="X1092" s="36"/>
      <c r="Y1092" s="36"/>
      <c r="Z1092" s="36"/>
      <c r="AA1092" s="36"/>
    </row>
    <row r="1093" spans="16:27" x14ac:dyDescent="0.2">
      <c r="P1093" s="36"/>
      <c r="Q1093" s="40"/>
      <c r="R1093" s="40"/>
      <c r="S1093" s="40"/>
      <c r="T1093" s="41"/>
      <c r="U1093" s="41"/>
      <c r="V1093" s="41"/>
      <c r="W1093" s="36"/>
      <c r="X1093" s="36"/>
      <c r="Y1093" s="36"/>
      <c r="Z1093" s="36"/>
      <c r="AA1093" s="36"/>
    </row>
    <row r="1094" spans="16:27" x14ac:dyDescent="0.2">
      <c r="P1094" s="36"/>
      <c r="Q1094" s="40"/>
      <c r="R1094" s="40"/>
      <c r="S1094" s="40"/>
      <c r="T1094" s="41"/>
      <c r="U1094" s="41"/>
      <c r="V1094" s="41"/>
      <c r="W1094" s="36"/>
      <c r="X1094" s="36"/>
      <c r="Y1094" s="36"/>
      <c r="Z1094" s="36"/>
      <c r="AA1094" s="36"/>
    </row>
    <row r="1095" spans="16:27" x14ac:dyDescent="0.2">
      <c r="P1095" s="36"/>
      <c r="Q1095" s="40"/>
      <c r="R1095" s="40"/>
      <c r="S1095" s="40"/>
      <c r="T1095" s="41"/>
      <c r="U1095" s="41"/>
      <c r="V1095" s="41"/>
      <c r="W1095" s="36"/>
      <c r="X1095" s="36"/>
      <c r="Y1095" s="36"/>
      <c r="Z1095" s="36"/>
      <c r="AA1095" s="36"/>
    </row>
    <row r="1096" spans="16:27" x14ac:dyDescent="0.2">
      <c r="P1096" s="36"/>
      <c r="Q1096" s="40"/>
      <c r="R1096" s="40"/>
      <c r="S1096" s="40"/>
      <c r="T1096" s="41"/>
      <c r="U1096" s="41"/>
      <c r="V1096" s="41"/>
      <c r="W1096" s="36"/>
      <c r="X1096" s="36"/>
      <c r="Y1096" s="36"/>
      <c r="Z1096" s="36"/>
      <c r="AA1096" s="36"/>
    </row>
    <row r="1097" spans="16:27" x14ac:dyDescent="0.2">
      <c r="P1097" s="36"/>
      <c r="Q1097" s="40"/>
      <c r="R1097" s="40"/>
      <c r="S1097" s="40"/>
      <c r="T1097" s="41"/>
      <c r="U1097" s="41"/>
      <c r="V1097" s="41"/>
      <c r="W1097" s="36"/>
      <c r="X1097" s="36"/>
      <c r="Y1097" s="36"/>
      <c r="Z1097" s="36"/>
      <c r="AA1097" s="36"/>
    </row>
    <row r="1098" spans="16:27" x14ac:dyDescent="0.2">
      <c r="P1098" s="36"/>
      <c r="Q1098" s="40"/>
      <c r="R1098" s="40"/>
      <c r="S1098" s="40"/>
      <c r="T1098" s="41"/>
      <c r="U1098" s="41"/>
      <c r="V1098" s="41"/>
      <c r="W1098" s="36"/>
      <c r="X1098" s="36"/>
      <c r="Y1098" s="36"/>
      <c r="Z1098" s="36"/>
      <c r="AA1098" s="36"/>
    </row>
    <row r="1099" spans="16:27" x14ac:dyDescent="0.2">
      <c r="P1099" s="36"/>
      <c r="Q1099" s="40"/>
      <c r="R1099" s="40"/>
      <c r="S1099" s="40"/>
      <c r="T1099" s="41"/>
      <c r="U1099" s="41"/>
      <c r="V1099" s="41"/>
      <c r="W1099" s="36"/>
      <c r="X1099" s="36"/>
      <c r="Y1099" s="36"/>
      <c r="Z1099" s="36"/>
      <c r="AA1099" s="36"/>
    </row>
    <row r="1100" spans="16:27" x14ac:dyDescent="0.2">
      <c r="P1100" s="36"/>
      <c r="Q1100" s="40"/>
      <c r="R1100" s="40"/>
      <c r="S1100" s="40"/>
      <c r="T1100" s="41"/>
      <c r="U1100" s="41"/>
      <c r="V1100" s="41"/>
      <c r="W1100" s="36"/>
      <c r="X1100" s="36"/>
      <c r="Y1100" s="36"/>
      <c r="Z1100" s="36"/>
      <c r="AA1100" s="36"/>
    </row>
    <row r="1101" spans="16:27" x14ac:dyDescent="0.2">
      <c r="P1101" s="36"/>
      <c r="Q1101" s="40"/>
      <c r="R1101" s="40"/>
      <c r="S1101" s="40"/>
      <c r="T1101" s="41"/>
      <c r="U1101" s="41"/>
      <c r="V1101" s="41"/>
      <c r="W1101" s="36"/>
      <c r="X1101" s="36"/>
      <c r="Y1101" s="36"/>
      <c r="Z1101" s="36"/>
      <c r="AA1101" s="36"/>
    </row>
    <row r="1102" spans="16:27" x14ac:dyDescent="0.2">
      <c r="P1102" s="36"/>
      <c r="Q1102" s="40"/>
      <c r="R1102" s="40"/>
      <c r="S1102" s="40"/>
      <c r="T1102" s="41"/>
      <c r="U1102" s="41"/>
      <c r="V1102" s="41"/>
      <c r="W1102" s="36"/>
      <c r="X1102" s="36"/>
      <c r="Y1102" s="36"/>
      <c r="Z1102" s="36"/>
      <c r="AA1102" s="36"/>
    </row>
    <row r="1103" spans="16:27" x14ac:dyDescent="0.2">
      <c r="P1103" s="36"/>
      <c r="Q1103" s="40"/>
      <c r="R1103" s="40"/>
      <c r="S1103" s="40"/>
      <c r="T1103" s="41"/>
      <c r="U1103" s="41"/>
      <c r="V1103" s="41"/>
      <c r="W1103" s="36"/>
      <c r="X1103" s="36"/>
      <c r="Y1103" s="36"/>
      <c r="Z1103" s="36"/>
      <c r="AA1103" s="36"/>
    </row>
    <row r="1104" spans="16:27" x14ac:dyDescent="0.2">
      <c r="P1104" s="36"/>
      <c r="Q1104" s="40"/>
      <c r="R1104" s="40"/>
      <c r="S1104" s="40"/>
      <c r="T1104" s="41"/>
      <c r="U1104" s="41"/>
      <c r="V1104" s="41"/>
      <c r="W1104" s="36"/>
      <c r="X1104" s="36"/>
      <c r="Y1104" s="36"/>
      <c r="Z1104" s="36"/>
      <c r="AA1104" s="36"/>
    </row>
    <row r="1105" spans="16:27" x14ac:dyDescent="0.2">
      <c r="P1105" s="36"/>
      <c r="Q1105" s="40"/>
      <c r="R1105" s="40"/>
      <c r="S1105" s="40"/>
      <c r="T1105" s="41"/>
      <c r="U1105" s="41"/>
      <c r="V1105" s="41"/>
      <c r="W1105" s="36"/>
      <c r="X1105" s="36"/>
      <c r="Y1105" s="36"/>
      <c r="Z1105" s="36"/>
      <c r="AA1105" s="36"/>
    </row>
    <row r="1106" spans="16:27" x14ac:dyDescent="0.2">
      <c r="P1106" s="36"/>
      <c r="Q1106" s="40"/>
      <c r="R1106" s="40"/>
      <c r="S1106" s="40"/>
      <c r="T1106" s="41"/>
      <c r="U1106" s="41"/>
      <c r="V1106" s="41"/>
      <c r="W1106" s="36"/>
      <c r="X1106" s="36"/>
      <c r="Y1106" s="36"/>
      <c r="Z1106" s="36"/>
      <c r="AA1106" s="36"/>
    </row>
    <row r="1107" spans="16:27" x14ac:dyDescent="0.2">
      <c r="P1107" s="36"/>
      <c r="Q1107" s="40"/>
      <c r="R1107" s="40"/>
      <c r="S1107" s="40"/>
      <c r="T1107" s="41"/>
      <c r="U1107" s="41"/>
      <c r="V1107" s="41"/>
      <c r="W1107" s="36"/>
      <c r="X1107" s="36"/>
      <c r="Y1107" s="36"/>
      <c r="Z1107" s="36"/>
      <c r="AA1107" s="36"/>
    </row>
    <row r="1108" spans="16:27" x14ac:dyDescent="0.2">
      <c r="P1108" s="36"/>
      <c r="Q1108" s="40"/>
      <c r="R1108" s="40"/>
      <c r="S1108" s="40"/>
      <c r="T1108" s="41"/>
      <c r="U1108" s="41"/>
      <c r="V1108" s="41"/>
      <c r="W1108" s="36"/>
      <c r="X1108" s="36"/>
      <c r="Y1108" s="36"/>
      <c r="Z1108" s="36"/>
      <c r="AA1108" s="36"/>
    </row>
    <row r="1109" spans="16:27" x14ac:dyDescent="0.2">
      <c r="P1109" s="36"/>
      <c r="Q1109" s="40"/>
      <c r="R1109" s="40"/>
      <c r="S1109" s="40"/>
      <c r="T1109" s="41"/>
      <c r="U1109" s="41"/>
      <c r="V1109" s="41"/>
      <c r="W1109" s="36"/>
      <c r="X1109" s="36"/>
      <c r="Y1109" s="36"/>
      <c r="Z1109" s="36"/>
      <c r="AA1109" s="36"/>
    </row>
    <row r="1110" spans="16:27" x14ac:dyDescent="0.2">
      <c r="P1110" s="36"/>
      <c r="Q1110" s="40"/>
      <c r="R1110" s="40"/>
      <c r="S1110" s="40"/>
      <c r="T1110" s="41"/>
      <c r="U1110" s="41"/>
      <c r="V1110" s="41"/>
      <c r="W1110" s="36"/>
      <c r="X1110" s="36"/>
      <c r="Y1110" s="36"/>
      <c r="Z1110" s="36"/>
      <c r="AA1110" s="36"/>
    </row>
    <row r="1111" spans="16:27" x14ac:dyDescent="0.2">
      <c r="P1111" s="36"/>
      <c r="Q1111" s="40"/>
      <c r="R1111" s="40"/>
      <c r="S1111" s="40"/>
      <c r="T1111" s="41"/>
      <c r="U1111" s="41"/>
      <c r="V1111" s="41"/>
      <c r="W1111" s="36"/>
      <c r="X1111" s="36"/>
      <c r="Y1111" s="36"/>
      <c r="Z1111" s="36"/>
      <c r="AA1111" s="36"/>
    </row>
    <row r="1112" spans="16:27" x14ac:dyDescent="0.2">
      <c r="P1112" s="36"/>
      <c r="Q1112" s="40"/>
      <c r="R1112" s="40"/>
      <c r="S1112" s="40"/>
      <c r="T1112" s="41"/>
      <c r="U1112" s="41"/>
      <c r="V1112" s="41"/>
      <c r="W1112" s="36"/>
      <c r="X1112" s="36"/>
      <c r="Y1112" s="36"/>
      <c r="Z1112" s="36"/>
      <c r="AA1112" s="36"/>
    </row>
    <row r="1113" spans="16:27" x14ac:dyDescent="0.2">
      <c r="P1113" s="36"/>
      <c r="Q1113" s="40"/>
      <c r="R1113" s="40"/>
      <c r="S1113" s="40"/>
      <c r="T1113" s="41"/>
      <c r="U1113" s="41"/>
      <c r="V1113" s="41"/>
      <c r="W1113" s="36"/>
      <c r="X1113" s="36"/>
      <c r="Y1113" s="36"/>
      <c r="Z1113" s="36"/>
      <c r="AA1113" s="36"/>
    </row>
    <row r="1114" spans="16:27" x14ac:dyDescent="0.2">
      <c r="P1114" s="36"/>
      <c r="Q1114" s="40"/>
      <c r="R1114" s="40"/>
      <c r="S1114" s="40"/>
      <c r="T1114" s="41"/>
      <c r="U1114" s="41"/>
      <c r="V1114" s="41"/>
      <c r="W1114" s="36"/>
      <c r="X1114" s="36"/>
      <c r="Y1114" s="36"/>
      <c r="Z1114" s="36"/>
      <c r="AA1114" s="36"/>
    </row>
    <row r="1115" spans="16:27" x14ac:dyDescent="0.2">
      <c r="P1115" s="36"/>
      <c r="Q1115" s="40"/>
      <c r="R1115" s="40"/>
      <c r="S1115" s="40"/>
      <c r="T1115" s="41"/>
      <c r="U1115" s="41"/>
      <c r="V1115" s="41"/>
      <c r="W1115" s="36"/>
      <c r="X1115" s="36"/>
      <c r="Y1115" s="36"/>
      <c r="Z1115" s="36"/>
      <c r="AA1115" s="36"/>
    </row>
    <row r="1116" spans="16:27" x14ac:dyDescent="0.2">
      <c r="P1116" s="36"/>
      <c r="Q1116" s="40"/>
      <c r="R1116" s="40"/>
      <c r="S1116" s="40"/>
      <c r="T1116" s="41"/>
      <c r="U1116" s="41"/>
      <c r="V1116" s="41"/>
      <c r="W1116" s="36"/>
      <c r="X1116" s="36"/>
      <c r="Y1116" s="36"/>
      <c r="Z1116" s="36"/>
      <c r="AA1116" s="36"/>
    </row>
    <row r="1117" spans="16:27" x14ac:dyDescent="0.2">
      <c r="P1117" s="36"/>
      <c r="Q1117" s="40"/>
      <c r="R1117" s="40"/>
      <c r="S1117" s="40"/>
      <c r="T1117" s="41"/>
      <c r="U1117" s="41"/>
      <c r="V1117" s="41"/>
      <c r="W1117" s="36"/>
      <c r="X1117" s="36"/>
      <c r="Y1117" s="36"/>
      <c r="Z1117" s="36"/>
      <c r="AA1117" s="36"/>
    </row>
    <row r="1118" spans="16:27" x14ac:dyDescent="0.2">
      <c r="P1118" s="36"/>
      <c r="Q1118" s="40"/>
      <c r="R1118" s="40"/>
      <c r="S1118" s="40"/>
      <c r="T1118" s="41"/>
      <c r="U1118" s="41"/>
      <c r="V1118" s="41"/>
      <c r="W1118" s="36"/>
      <c r="X1118" s="36"/>
      <c r="Y1118" s="36"/>
      <c r="Z1118" s="36"/>
      <c r="AA1118" s="36"/>
    </row>
    <row r="1119" spans="16:27" x14ac:dyDescent="0.2">
      <c r="P1119" s="36"/>
      <c r="Q1119" s="40"/>
      <c r="R1119" s="40"/>
      <c r="S1119" s="40"/>
      <c r="T1119" s="41"/>
      <c r="U1119" s="41"/>
      <c r="V1119" s="41"/>
      <c r="W1119" s="36"/>
      <c r="X1119" s="36"/>
      <c r="Y1119" s="36"/>
      <c r="Z1119" s="36"/>
      <c r="AA1119" s="36"/>
    </row>
    <row r="1120" spans="16:27" x14ac:dyDescent="0.2">
      <c r="P1120" s="36"/>
      <c r="Q1120" s="40"/>
      <c r="R1120" s="40"/>
      <c r="S1120" s="40"/>
      <c r="T1120" s="41"/>
      <c r="U1120" s="41"/>
      <c r="V1120" s="41"/>
      <c r="W1120" s="36"/>
      <c r="X1120" s="36"/>
      <c r="Y1120" s="36"/>
      <c r="Z1120" s="36"/>
      <c r="AA1120" s="36"/>
    </row>
    <row r="1121" spans="16:27" x14ac:dyDescent="0.2">
      <c r="P1121" s="36"/>
      <c r="Q1121" s="40"/>
      <c r="R1121" s="40"/>
      <c r="S1121" s="40"/>
      <c r="T1121" s="41"/>
      <c r="U1121" s="41"/>
      <c r="V1121" s="41"/>
      <c r="W1121" s="36"/>
      <c r="X1121" s="36"/>
      <c r="Y1121" s="36"/>
      <c r="Z1121" s="36"/>
      <c r="AA1121" s="36"/>
    </row>
    <row r="1122" spans="16:27" x14ac:dyDescent="0.2">
      <c r="P1122" s="36"/>
      <c r="Q1122" s="40"/>
      <c r="R1122" s="40"/>
      <c r="S1122" s="40"/>
      <c r="T1122" s="41"/>
      <c r="U1122" s="41"/>
      <c r="V1122" s="41"/>
      <c r="W1122" s="36"/>
      <c r="X1122" s="36"/>
      <c r="Y1122" s="36"/>
      <c r="Z1122" s="36"/>
      <c r="AA1122" s="36"/>
    </row>
    <row r="1123" spans="16:27" x14ac:dyDescent="0.2">
      <c r="P1123" s="36"/>
      <c r="Q1123" s="40"/>
      <c r="R1123" s="40"/>
      <c r="S1123" s="40"/>
      <c r="T1123" s="41"/>
      <c r="U1123" s="41"/>
      <c r="V1123" s="41"/>
      <c r="W1123" s="36"/>
      <c r="X1123" s="36"/>
      <c r="Y1123" s="36"/>
      <c r="Z1123" s="36"/>
      <c r="AA1123" s="36"/>
    </row>
    <row r="1124" spans="16:27" x14ac:dyDescent="0.2">
      <c r="P1124" s="36"/>
      <c r="Q1124" s="40"/>
      <c r="R1124" s="40"/>
      <c r="S1124" s="40"/>
      <c r="T1124" s="41"/>
      <c r="U1124" s="41"/>
      <c r="V1124" s="41"/>
      <c r="W1124" s="36"/>
      <c r="X1124" s="36"/>
      <c r="Y1124" s="36"/>
      <c r="Z1124" s="36"/>
      <c r="AA1124" s="36"/>
    </row>
    <row r="1125" spans="16:27" x14ac:dyDescent="0.2">
      <c r="P1125" s="36"/>
      <c r="Q1125" s="40"/>
      <c r="R1125" s="40"/>
      <c r="S1125" s="40"/>
      <c r="T1125" s="41"/>
      <c r="U1125" s="41"/>
      <c r="V1125" s="41"/>
      <c r="W1125" s="36"/>
      <c r="X1125" s="36"/>
      <c r="Y1125" s="36"/>
      <c r="Z1125" s="36"/>
      <c r="AA1125" s="36"/>
    </row>
    <row r="1126" spans="16:27" x14ac:dyDescent="0.2">
      <c r="P1126" s="36"/>
      <c r="Q1126" s="40"/>
      <c r="R1126" s="40"/>
      <c r="S1126" s="40"/>
      <c r="T1126" s="41"/>
      <c r="U1126" s="41"/>
      <c r="V1126" s="41"/>
      <c r="W1126" s="36"/>
      <c r="X1126" s="36"/>
      <c r="Y1126" s="36"/>
      <c r="Z1126" s="36"/>
      <c r="AA1126" s="36"/>
    </row>
    <row r="1127" spans="16:27" x14ac:dyDescent="0.2">
      <c r="P1127" s="36"/>
      <c r="Q1127" s="40"/>
      <c r="R1127" s="40"/>
      <c r="S1127" s="40"/>
      <c r="T1127" s="41"/>
      <c r="U1127" s="41"/>
      <c r="V1127" s="41"/>
      <c r="W1127" s="36"/>
      <c r="X1127" s="36"/>
      <c r="Y1127" s="36"/>
      <c r="Z1127" s="36"/>
      <c r="AA1127" s="36"/>
    </row>
    <row r="1128" spans="16:27" x14ac:dyDescent="0.2">
      <c r="P1128" s="36"/>
      <c r="Q1128" s="40"/>
      <c r="R1128" s="40"/>
      <c r="S1128" s="40"/>
      <c r="T1128" s="41"/>
      <c r="U1128" s="41"/>
      <c r="V1128" s="41"/>
      <c r="W1128" s="36"/>
      <c r="X1128" s="36"/>
      <c r="Y1128" s="36"/>
      <c r="Z1128" s="36"/>
      <c r="AA1128" s="36"/>
    </row>
    <row r="1129" spans="16:27" x14ac:dyDescent="0.2">
      <c r="P1129" s="36"/>
      <c r="Q1129" s="40"/>
      <c r="R1129" s="40"/>
      <c r="S1129" s="40"/>
      <c r="T1129" s="41"/>
      <c r="U1129" s="41"/>
      <c r="V1129" s="41"/>
      <c r="W1129" s="36"/>
      <c r="X1129" s="36"/>
      <c r="Y1129" s="36"/>
      <c r="Z1129" s="36"/>
      <c r="AA1129" s="36"/>
    </row>
    <row r="1130" spans="16:27" x14ac:dyDescent="0.2">
      <c r="P1130" s="36"/>
      <c r="Q1130" s="40"/>
      <c r="R1130" s="40"/>
      <c r="S1130" s="40"/>
      <c r="T1130" s="41"/>
      <c r="U1130" s="41"/>
      <c r="V1130" s="41"/>
      <c r="W1130" s="36"/>
      <c r="X1130" s="36"/>
      <c r="Y1130" s="36"/>
      <c r="Z1130" s="36"/>
      <c r="AA1130" s="36"/>
    </row>
    <row r="1131" spans="16:27" x14ac:dyDescent="0.2">
      <c r="P1131" s="36"/>
      <c r="Q1131" s="40"/>
      <c r="R1131" s="40"/>
      <c r="S1131" s="40"/>
      <c r="T1131" s="41"/>
      <c r="U1131" s="41"/>
      <c r="V1131" s="41"/>
      <c r="W1131" s="36"/>
      <c r="X1131" s="36"/>
      <c r="Y1131" s="36"/>
      <c r="Z1131" s="36"/>
      <c r="AA1131" s="36"/>
    </row>
    <row r="1132" spans="16:27" x14ac:dyDescent="0.2">
      <c r="P1132" s="36"/>
      <c r="Q1132" s="40"/>
      <c r="R1132" s="40"/>
      <c r="S1132" s="40"/>
      <c r="T1132" s="41"/>
      <c r="U1132" s="41"/>
      <c r="V1132" s="41"/>
      <c r="W1132" s="36"/>
      <c r="X1132" s="36"/>
      <c r="Y1132" s="36"/>
      <c r="Z1132" s="36"/>
      <c r="AA1132" s="36"/>
    </row>
    <row r="1133" spans="16:27" x14ac:dyDescent="0.2">
      <c r="P1133" s="36"/>
      <c r="Q1133" s="40"/>
      <c r="R1133" s="40"/>
      <c r="S1133" s="40"/>
      <c r="T1133" s="41"/>
      <c r="U1133" s="41"/>
      <c r="V1133" s="41"/>
      <c r="W1133" s="36"/>
      <c r="X1133" s="36"/>
      <c r="Y1133" s="36"/>
      <c r="Z1133" s="36"/>
      <c r="AA1133" s="36"/>
    </row>
    <row r="1134" spans="16:27" x14ac:dyDescent="0.2">
      <c r="P1134" s="36"/>
      <c r="Q1134" s="40"/>
      <c r="R1134" s="40"/>
      <c r="S1134" s="40"/>
      <c r="T1134" s="41"/>
      <c r="U1134" s="41"/>
      <c r="V1134" s="41"/>
      <c r="W1134" s="36"/>
      <c r="X1134" s="36"/>
      <c r="Y1134" s="36"/>
      <c r="Z1134" s="36"/>
      <c r="AA1134" s="36"/>
    </row>
    <row r="1135" spans="16:27" x14ac:dyDescent="0.2">
      <c r="P1135" s="36"/>
      <c r="Q1135" s="40"/>
      <c r="R1135" s="40"/>
      <c r="S1135" s="40"/>
      <c r="T1135" s="41"/>
      <c r="U1135" s="41"/>
      <c r="V1135" s="41"/>
      <c r="W1135" s="36"/>
      <c r="X1135" s="36"/>
      <c r="Y1135" s="36"/>
      <c r="Z1135" s="36"/>
      <c r="AA1135" s="36"/>
    </row>
    <row r="1136" spans="16:27" x14ac:dyDescent="0.2">
      <c r="P1136" s="36"/>
      <c r="Q1136" s="40"/>
      <c r="R1136" s="40"/>
      <c r="S1136" s="40"/>
      <c r="T1136" s="41"/>
      <c r="U1136" s="41"/>
      <c r="V1136" s="41"/>
      <c r="W1136" s="36"/>
      <c r="X1136" s="36"/>
      <c r="Y1136" s="36"/>
      <c r="Z1136" s="36"/>
      <c r="AA1136" s="36"/>
    </row>
    <row r="1137" spans="16:27" x14ac:dyDescent="0.2">
      <c r="P1137" s="36"/>
      <c r="Q1137" s="40"/>
      <c r="R1137" s="40"/>
      <c r="S1137" s="40"/>
      <c r="T1137" s="41"/>
      <c r="U1137" s="41"/>
      <c r="V1137" s="41"/>
      <c r="W1137" s="36"/>
      <c r="X1137" s="36"/>
      <c r="Y1137" s="36"/>
      <c r="Z1137" s="36"/>
      <c r="AA1137" s="36"/>
    </row>
    <row r="1138" spans="16:27" x14ac:dyDescent="0.2">
      <c r="P1138" s="36"/>
      <c r="Q1138" s="40"/>
      <c r="R1138" s="40"/>
      <c r="S1138" s="40"/>
      <c r="T1138" s="41"/>
      <c r="U1138" s="41"/>
      <c r="V1138" s="41"/>
      <c r="W1138" s="36"/>
      <c r="X1138" s="36"/>
      <c r="Y1138" s="36"/>
      <c r="Z1138" s="36"/>
      <c r="AA1138" s="36"/>
    </row>
    <row r="1139" spans="16:27" x14ac:dyDescent="0.2">
      <c r="P1139" s="36"/>
      <c r="Q1139" s="40"/>
      <c r="R1139" s="40"/>
      <c r="S1139" s="40"/>
      <c r="T1139" s="41"/>
      <c r="U1139" s="41"/>
      <c r="V1139" s="41"/>
      <c r="W1139" s="36"/>
      <c r="X1139" s="36"/>
      <c r="Y1139" s="36"/>
      <c r="Z1139" s="36"/>
      <c r="AA1139" s="36"/>
    </row>
    <row r="1140" spans="16:27" x14ac:dyDescent="0.2">
      <c r="P1140" s="36"/>
      <c r="Q1140" s="40"/>
      <c r="R1140" s="40"/>
      <c r="S1140" s="40"/>
      <c r="T1140" s="41"/>
      <c r="U1140" s="41"/>
      <c r="V1140" s="41"/>
      <c r="W1140" s="36"/>
      <c r="X1140" s="36"/>
      <c r="Y1140" s="36"/>
      <c r="Z1140" s="36"/>
      <c r="AA1140" s="36"/>
    </row>
    <row r="1141" spans="16:27" x14ac:dyDescent="0.2">
      <c r="P1141" s="36"/>
      <c r="Q1141" s="40"/>
      <c r="R1141" s="40"/>
      <c r="S1141" s="40"/>
      <c r="T1141" s="41"/>
      <c r="U1141" s="41"/>
      <c r="V1141" s="41"/>
      <c r="W1141" s="36"/>
      <c r="X1141" s="36"/>
      <c r="Y1141" s="36"/>
      <c r="Z1141" s="36"/>
      <c r="AA1141" s="36"/>
    </row>
    <row r="1142" spans="16:27" x14ac:dyDescent="0.2">
      <c r="P1142" s="36"/>
      <c r="Q1142" s="40"/>
      <c r="R1142" s="40"/>
      <c r="S1142" s="40"/>
      <c r="T1142" s="41"/>
      <c r="U1142" s="41"/>
      <c r="V1142" s="41"/>
      <c r="W1142" s="36"/>
      <c r="X1142" s="36"/>
      <c r="Y1142" s="36"/>
      <c r="Z1142" s="36"/>
      <c r="AA1142" s="36"/>
    </row>
    <row r="1143" spans="16:27" x14ac:dyDescent="0.2">
      <c r="P1143" s="36"/>
      <c r="Q1143" s="40"/>
      <c r="R1143" s="40"/>
      <c r="S1143" s="40"/>
      <c r="T1143" s="41"/>
      <c r="U1143" s="41"/>
      <c r="V1143" s="41"/>
      <c r="W1143" s="36"/>
      <c r="X1143" s="36"/>
      <c r="Y1143" s="36"/>
      <c r="Z1143" s="36"/>
      <c r="AA1143" s="36"/>
    </row>
    <row r="1144" spans="16:27" x14ac:dyDescent="0.2">
      <c r="P1144" s="36"/>
      <c r="Q1144" s="40"/>
      <c r="R1144" s="40"/>
      <c r="S1144" s="40"/>
      <c r="T1144" s="41"/>
      <c r="U1144" s="41"/>
      <c r="V1144" s="41"/>
      <c r="W1144" s="36"/>
      <c r="X1144" s="36"/>
      <c r="Y1144" s="36"/>
      <c r="Z1144" s="36"/>
      <c r="AA1144" s="36"/>
    </row>
    <row r="1145" spans="16:27" x14ac:dyDescent="0.2">
      <c r="P1145" s="36"/>
      <c r="Q1145" s="40"/>
      <c r="R1145" s="40"/>
      <c r="S1145" s="40"/>
      <c r="T1145" s="41"/>
      <c r="U1145" s="41"/>
      <c r="V1145" s="41"/>
      <c r="W1145" s="36"/>
      <c r="X1145" s="36"/>
      <c r="Y1145" s="36"/>
      <c r="Z1145" s="36"/>
      <c r="AA1145" s="36"/>
    </row>
    <row r="1146" spans="16:27" x14ac:dyDescent="0.2">
      <c r="P1146" s="36"/>
      <c r="Q1146" s="40"/>
      <c r="R1146" s="40"/>
      <c r="S1146" s="40"/>
      <c r="T1146" s="41"/>
      <c r="U1146" s="41"/>
      <c r="V1146" s="41"/>
      <c r="W1146" s="36"/>
      <c r="X1146" s="36"/>
      <c r="Y1146" s="36"/>
      <c r="Z1146" s="36"/>
      <c r="AA1146" s="36"/>
    </row>
    <row r="1147" spans="16:27" x14ac:dyDescent="0.2">
      <c r="P1147" s="36"/>
      <c r="Q1147" s="40"/>
      <c r="R1147" s="40"/>
      <c r="S1147" s="40"/>
      <c r="T1147" s="41"/>
      <c r="U1147" s="41"/>
      <c r="V1147" s="41"/>
      <c r="W1147" s="36"/>
      <c r="X1147" s="36"/>
      <c r="Y1147" s="36"/>
      <c r="Z1147" s="36"/>
      <c r="AA1147" s="36"/>
    </row>
    <row r="1148" spans="16:27" x14ac:dyDescent="0.2">
      <c r="P1148" s="36"/>
      <c r="Q1148" s="40"/>
      <c r="R1148" s="40"/>
      <c r="S1148" s="40"/>
      <c r="T1148" s="41"/>
      <c r="U1148" s="41"/>
      <c r="V1148" s="41"/>
      <c r="W1148" s="36"/>
      <c r="X1148" s="36"/>
      <c r="Y1148" s="36"/>
      <c r="Z1148" s="36"/>
      <c r="AA1148" s="36"/>
    </row>
    <row r="1149" spans="16:27" x14ac:dyDescent="0.2">
      <c r="P1149" s="36"/>
      <c r="Q1149" s="40"/>
      <c r="R1149" s="40"/>
      <c r="S1149" s="40"/>
      <c r="T1149" s="41"/>
      <c r="U1149" s="41"/>
      <c r="V1149" s="41"/>
      <c r="W1149" s="36"/>
      <c r="X1149" s="36"/>
      <c r="Y1149" s="36"/>
      <c r="Z1149" s="36"/>
      <c r="AA1149" s="36"/>
    </row>
    <row r="1150" spans="16:27" x14ac:dyDescent="0.2">
      <c r="P1150" s="36"/>
      <c r="Q1150" s="40"/>
      <c r="R1150" s="40"/>
      <c r="S1150" s="40"/>
      <c r="T1150" s="41"/>
      <c r="U1150" s="41"/>
      <c r="V1150" s="41"/>
      <c r="W1150" s="36"/>
      <c r="X1150" s="36"/>
      <c r="Y1150" s="36"/>
      <c r="Z1150" s="36"/>
      <c r="AA1150" s="36"/>
    </row>
    <row r="1151" spans="16:27" x14ac:dyDescent="0.2">
      <c r="P1151" s="36"/>
      <c r="Q1151" s="40"/>
      <c r="R1151" s="40"/>
      <c r="S1151" s="40"/>
      <c r="T1151" s="41"/>
      <c r="U1151" s="41"/>
      <c r="V1151" s="41"/>
      <c r="W1151" s="36"/>
      <c r="X1151" s="36"/>
      <c r="Y1151" s="36"/>
      <c r="Z1151" s="36"/>
      <c r="AA1151" s="36"/>
    </row>
    <row r="1152" spans="16:27" x14ac:dyDescent="0.2">
      <c r="P1152" s="36"/>
      <c r="Q1152" s="40"/>
      <c r="R1152" s="40"/>
      <c r="S1152" s="40"/>
      <c r="T1152" s="41"/>
      <c r="U1152" s="41"/>
      <c r="V1152" s="41"/>
      <c r="W1152" s="36"/>
      <c r="X1152" s="36"/>
      <c r="Y1152" s="36"/>
      <c r="Z1152" s="36"/>
      <c r="AA1152" s="36"/>
    </row>
    <row r="1153" spans="16:27" x14ac:dyDescent="0.2">
      <c r="P1153" s="36"/>
      <c r="Q1153" s="40"/>
      <c r="R1153" s="40"/>
      <c r="S1153" s="40"/>
      <c r="T1153" s="41"/>
      <c r="U1153" s="41"/>
      <c r="V1153" s="41"/>
      <c r="W1153" s="36"/>
      <c r="X1153" s="36"/>
      <c r="Y1153" s="36"/>
      <c r="Z1153" s="36"/>
      <c r="AA1153" s="36"/>
    </row>
    <row r="1154" spans="16:27" x14ac:dyDescent="0.2">
      <c r="P1154" s="36"/>
      <c r="Q1154" s="40"/>
      <c r="R1154" s="40"/>
      <c r="S1154" s="40"/>
      <c r="T1154" s="41"/>
      <c r="U1154" s="41"/>
      <c r="V1154" s="41"/>
      <c r="W1154" s="36"/>
      <c r="X1154" s="36"/>
      <c r="Y1154" s="36"/>
      <c r="Z1154" s="36"/>
      <c r="AA1154" s="36"/>
    </row>
    <row r="1155" spans="16:27" x14ac:dyDescent="0.2">
      <c r="P1155" s="36"/>
      <c r="Q1155" s="40"/>
      <c r="R1155" s="40"/>
      <c r="S1155" s="40"/>
      <c r="T1155" s="41"/>
      <c r="U1155" s="41"/>
      <c r="V1155" s="41"/>
      <c r="W1155" s="36"/>
      <c r="X1155" s="36"/>
      <c r="Y1155" s="36"/>
      <c r="Z1155" s="36"/>
      <c r="AA1155" s="36"/>
    </row>
    <row r="1156" spans="16:27" x14ac:dyDescent="0.2">
      <c r="P1156" s="36"/>
      <c r="Q1156" s="40"/>
      <c r="R1156" s="40"/>
      <c r="S1156" s="40"/>
      <c r="T1156" s="41"/>
      <c r="U1156" s="41"/>
      <c r="V1156" s="41"/>
      <c r="W1156" s="36"/>
      <c r="X1156" s="36"/>
      <c r="Y1156" s="36"/>
      <c r="Z1156" s="36"/>
      <c r="AA1156" s="36"/>
    </row>
    <row r="1157" spans="16:27" x14ac:dyDescent="0.2">
      <c r="P1157" s="36"/>
      <c r="Q1157" s="40"/>
      <c r="R1157" s="40"/>
      <c r="S1157" s="40"/>
      <c r="T1157" s="41"/>
      <c r="U1157" s="41"/>
      <c r="V1157" s="41"/>
      <c r="W1157" s="36"/>
      <c r="X1157" s="36"/>
      <c r="Y1157" s="36"/>
      <c r="Z1157" s="36"/>
      <c r="AA1157" s="36"/>
    </row>
    <row r="1158" spans="16:27" x14ac:dyDescent="0.2">
      <c r="P1158" s="36"/>
      <c r="Q1158" s="40"/>
      <c r="R1158" s="40"/>
      <c r="S1158" s="40"/>
      <c r="T1158" s="41"/>
      <c r="U1158" s="41"/>
      <c r="V1158" s="41"/>
      <c r="W1158" s="36"/>
      <c r="X1158" s="36"/>
      <c r="Y1158" s="36"/>
      <c r="Z1158" s="36"/>
      <c r="AA1158" s="36"/>
    </row>
    <row r="1159" spans="16:27" x14ac:dyDescent="0.2">
      <c r="P1159" s="36"/>
      <c r="Q1159" s="40"/>
      <c r="R1159" s="40"/>
      <c r="S1159" s="40"/>
      <c r="T1159" s="41"/>
      <c r="U1159" s="41"/>
      <c r="V1159" s="41"/>
      <c r="W1159" s="36"/>
      <c r="X1159" s="36"/>
      <c r="Y1159" s="36"/>
      <c r="Z1159" s="36"/>
      <c r="AA1159" s="36"/>
    </row>
    <row r="1160" spans="16:27" x14ac:dyDescent="0.2">
      <c r="P1160" s="36"/>
      <c r="Q1160" s="40"/>
      <c r="R1160" s="40"/>
      <c r="S1160" s="40"/>
      <c r="T1160" s="41"/>
      <c r="U1160" s="41"/>
      <c r="V1160" s="41"/>
      <c r="W1160" s="36"/>
      <c r="X1160" s="36"/>
      <c r="Y1160" s="36"/>
      <c r="Z1160" s="36"/>
      <c r="AA1160" s="36"/>
    </row>
    <row r="1161" spans="16:27" x14ac:dyDescent="0.2">
      <c r="P1161" s="36"/>
      <c r="Q1161" s="40"/>
      <c r="R1161" s="40"/>
      <c r="S1161" s="40"/>
      <c r="T1161" s="41"/>
      <c r="U1161" s="41"/>
      <c r="V1161" s="41"/>
      <c r="W1161" s="36"/>
      <c r="X1161" s="36"/>
      <c r="Y1161" s="36"/>
      <c r="Z1161" s="36"/>
      <c r="AA1161" s="36"/>
    </row>
    <row r="1162" spans="16:27" x14ac:dyDescent="0.2">
      <c r="P1162" s="36"/>
      <c r="Q1162" s="40"/>
      <c r="R1162" s="40"/>
      <c r="S1162" s="40"/>
      <c r="T1162" s="41"/>
      <c r="U1162" s="41"/>
      <c r="V1162" s="41"/>
      <c r="W1162" s="36"/>
      <c r="X1162" s="36"/>
      <c r="Y1162" s="36"/>
      <c r="Z1162" s="36"/>
      <c r="AA1162" s="36"/>
    </row>
    <row r="1163" spans="16:27" x14ac:dyDescent="0.2">
      <c r="P1163" s="36"/>
      <c r="Q1163" s="40"/>
      <c r="R1163" s="40"/>
      <c r="S1163" s="40"/>
      <c r="T1163" s="41"/>
      <c r="U1163" s="41"/>
      <c r="V1163" s="41"/>
      <c r="W1163" s="36"/>
      <c r="X1163" s="36"/>
      <c r="Y1163" s="36"/>
      <c r="Z1163" s="36"/>
      <c r="AA1163" s="36"/>
    </row>
    <row r="1164" spans="16:27" x14ac:dyDescent="0.2">
      <c r="P1164" s="36"/>
      <c r="Q1164" s="40"/>
      <c r="R1164" s="40"/>
      <c r="S1164" s="40"/>
      <c r="T1164" s="41"/>
      <c r="U1164" s="41"/>
      <c r="V1164" s="41"/>
      <c r="W1164" s="36"/>
      <c r="X1164" s="36"/>
      <c r="Y1164" s="36"/>
      <c r="Z1164" s="36"/>
      <c r="AA1164" s="36"/>
    </row>
    <row r="1165" spans="16:27" x14ac:dyDescent="0.2">
      <c r="P1165" s="36"/>
      <c r="Q1165" s="40"/>
      <c r="R1165" s="40"/>
      <c r="S1165" s="40"/>
      <c r="T1165" s="41"/>
      <c r="U1165" s="41"/>
      <c r="V1165" s="41"/>
      <c r="W1165" s="36"/>
      <c r="X1165" s="36"/>
      <c r="Y1165" s="36"/>
      <c r="Z1165" s="36"/>
      <c r="AA1165" s="36"/>
    </row>
    <row r="1166" spans="16:27" x14ac:dyDescent="0.2">
      <c r="P1166" s="36"/>
      <c r="Q1166" s="40"/>
      <c r="R1166" s="40"/>
      <c r="S1166" s="40"/>
      <c r="T1166" s="41"/>
      <c r="U1166" s="41"/>
      <c r="V1166" s="41"/>
      <c r="W1166" s="36"/>
      <c r="X1166" s="36"/>
      <c r="Y1166" s="36"/>
      <c r="Z1166" s="36"/>
      <c r="AA1166" s="36"/>
    </row>
    <row r="1167" spans="16:27" x14ac:dyDescent="0.2">
      <c r="P1167" s="36"/>
      <c r="Q1167" s="40"/>
      <c r="R1167" s="40"/>
      <c r="S1167" s="40"/>
      <c r="T1167" s="41"/>
      <c r="U1167" s="41"/>
      <c r="V1167" s="41"/>
      <c r="W1167" s="36"/>
      <c r="X1167" s="36"/>
      <c r="Y1167" s="36"/>
      <c r="Z1167" s="36"/>
      <c r="AA1167" s="36"/>
    </row>
    <row r="1168" spans="16:27" x14ac:dyDescent="0.2">
      <c r="P1168" s="36"/>
      <c r="Q1168" s="40"/>
      <c r="R1168" s="40"/>
      <c r="S1168" s="40"/>
      <c r="T1168" s="41"/>
      <c r="U1168" s="41"/>
      <c r="V1168" s="41"/>
      <c r="W1168" s="36"/>
      <c r="X1168" s="36"/>
      <c r="Y1168" s="36"/>
      <c r="Z1168" s="36"/>
      <c r="AA1168" s="36"/>
    </row>
    <row r="1169" spans="16:27" x14ac:dyDescent="0.2">
      <c r="P1169" s="36"/>
      <c r="Q1169" s="40"/>
      <c r="R1169" s="40"/>
      <c r="S1169" s="40"/>
      <c r="T1169" s="41"/>
      <c r="U1169" s="41"/>
      <c r="V1169" s="41"/>
      <c r="W1169" s="36"/>
      <c r="X1169" s="36"/>
      <c r="Y1169" s="36"/>
      <c r="Z1169" s="36"/>
      <c r="AA1169" s="36"/>
    </row>
    <row r="1170" spans="16:27" x14ac:dyDescent="0.2">
      <c r="P1170" s="36"/>
      <c r="Q1170" s="40"/>
      <c r="R1170" s="40"/>
      <c r="S1170" s="40"/>
      <c r="T1170" s="41"/>
      <c r="U1170" s="41"/>
      <c r="V1170" s="41"/>
      <c r="W1170" s="36"/>
      <c r="X1170" s="36"/>
      <c r="Y1170" s="36"/>
      <c r="Z1170" s="36"/>
      <c r="AA1170" s="36"/>
    </row>
    <row r="1171" spans="16:27" x14ac:dyDescent="0.2">
      <c r="P1171" s="36"/>
      <c r="Q1171" s="40"/>
      <c r="R1171" s="40"/>
      <c r="S1171" s="40"/>
      <c r="T1171" s="41"/>
      <c r="U1171" s="41"/>
      <c r="V1171" s="41"/>
      <c r="W1171" s="36"/>
      <c r="X1171" s="36"/>
      <c r="Y1171" s="36"/>
      <c r="Z1171" s="36"/>
      <c r="AA1171" s="36"/>
    </row>
    <row r="1172" spans="16:27" x14ac:dyDescent="0.2">
      <c r="P1172" s="36"/>
      <c r="Q1172" s="40"/>
      <c r="R1172" s="40"/>
      <c r="S1172" s="40"/>
      <c r="T1172" s="41"/>
      <c r="U1172" s="41"/>
      <c r="V1172" s="41"/>
      <c r="W1172" s="36"/>
      <c r="X1172" s="36"/>
      <c r="Y1172" s="36"/>
      <c r="Z1172" s="36"/>
      <c r="AA1172" s="36"/>
    </row>
    <row r="1173" spans="16:27" x14ac:dyDescent="0.2">
      <c r="P1173" s="36"/>
      <c r="Q1173" s="40"/>
      <c r="R1173" s="40"/>
      <c r="S1173" s="40"/>
      <c r="T1173" s="41"/>
      <c r="U1173" s="41"/>
      <c r="V1173" s="41"/>
      <c r="W1173" s="36"/>
      <c r="X1173" s="36"/>
      <c r="Y1173" s="36"/>
      <c r="Z1173" s="36"/>
      <c r="AA1173" s="36"/>
    </row>
    <row r="1174" spans="16:27" x14ac:dyDescent="0.2">
      <c r="P1174" s="36"/>
      <c r="Q1174" s="40"/>
      <c r="R1174" s="40"/>
      <c r="S1174" s="40"/>
      <c r="T1174" s="41"/>
      <c r="U1174" s="41"/>
      <c r="V1174" s="41"/>
      <c r="W1174" s="36"/>
      <c r="X1174" s="36"/>
      <c r="Y1174" s="36"/>
      <c r="Z1174" s="36"/>
      <c r="AA1174" s="36"/>
    </row>
    <row r="1175" spans="16:27" x14ac:dyDescent="0.2">
      <c r="P1175" s="36"/>
      <c r="Q1175" s="40"/>
      <c r="R1175" s="40"/>
      <c r="S1175" s="40"/>
      <c r="T1175" s="41"/>
      <c r="U1175" s="41"/>
      <c r="V1175" s="41"/>
      <c r="W1175" s="36"/>
      <c r="X1175" s="36"/>
      <c r="Y1175" s="36"/>
      <c r="Z1175" s="36"/>
      <c r="AA1175" s="36"/>
    </row>
    <row r="1176" spans="16:27" x14ac:dyDescent="0.2">
      <c r="P1176" s="36"/>
      <c r="Q1176" s="40"/>
      <c r="R1176" s="40"/>
      <c r="S1176" s="40"/>
      <c r="T1176" s="41"/>
      <c r="U1176" s="41"/>
      <c r="V1176" s="41"/>
      <c r="W1176" s="36"/>
      <c r="X1176" s="36"/>
      <c r="Y1176" s="36"/>
      <c r="Z1176" s="36"/>
      <c r="AA1176" s="36"/>
    </row>
    <row r="1177" spans="16:27" x14ac:dyDescent="0.2">
      <c r="P1177" s="36"/>
      <c r="Q1177" s="40"/>
      <c r="R1177" s="40"/>
      <c r="S1177" s="40"/>
      <c r="T1177" s="41"/>
      <c r="U1177" s="41"/>
      <c r="V1177" s="41"/>
      <c r="W1177" s="36"/>
      <c r="X1177" s="36"/>
      <c r="Y1177" s="36"/>
      <c r="Z1177" s="36"/>
      <c r="AA1177" s="36"/>
    </row>
    <row r="1178" spans="16:27" x14ac:dyDescent="0.2">
      <c r="P1178" s="36"/>
      <c r="Q1178" s="40"/>
      <c r="R1178" s="40"/>
      <c r="S1178" s="40"/>
      <c r="T1178" s="41"/>
      <c r="U1178" s="41"/>
      <c r="V1178" s="41"/>
      <c r="W1178" s="36"/>
      <c r="X1178" s="36"/>
      <c r="Y1178" s="36"/>
      <c r="Z1178" s="36"/>
      <c r="AA1178" s="36"/>
    </row>
    <row r="1179" spans="16:27" x14ac:dyDescent="0.2">
      <c r="P1179" s="36"/>
      <c r="Q1179" s="40"/>
      <c r="R1179" s="40"/>
      <c r="S1179" s="40"/>
      <c r="T1179" s="41"/>
      <c r="U1179" s="41"/>
      <c r="V1179" s="41"/>
      <c r="W1179" s="36"/>
      <c r="X1179" s="36"/>
      <c r="Y1179" s="36"/>
      <c r="Z1179" s="36"/>
      <c r="AA1179" s="36"/>
    </row>
    <row r="1180" spans="16:27" x14ac:dyDescent="0.2">
      <c r="P1180" s="36"/>
      <c r="Q1180" s="40"/>
      <c r="R1180" s="40"/>
      <c r="S1180" s="40"/>
      <c r="T1180" s="41"/>
      <c r="U1180" s="41"/>
      <c r="V1180" s="41"/>
      <c r="W1180" s="36"/>
      <c r="X1180" s="36"/>
      <c r="Y1180" s="36"/>
      <c r="Z1180" s="36"/>
      <c r="AA1180" s="36"/>
    </row>
    <row r="1181" spans="16:27" x14ac:dyDescent="0.2">
      <c r="P1181" s="36"/>
      <c r="Q1181" s="40"/>
      <c r="R1181" s="40"/>
      <c r="S1181" s="40"/>
      <c r="T1181" s="41"/>
      <c r="U1181" s="41"/>
      <c r="V1181" s="41"/>
      <c r="W1181" s="36"/>
      <c r="X1181" s="36"/>
      <c r="Y1181" s="36"/>
      <c r="Z1181" s="36"/>
      <c r="AA1181" s="36"/>
    </row>
    <row r="1182" spans="16:27" x14ac:dyDescent="0.2">
      <c r="P1182" s="36"/>
      <c r="Q1182" s="40"/>
      <c r="R1182" s="40"/>
      <c r="S1182" s="40"/>
      <c r="T1182" s="41"/>
      <c r="U1182" s="41"/>
      <c r="V1182" s="41"/>
      <c r="W1182" s="36"/>
      <c r="X1182" s="36"/>
      <c r="Y1182" s="36"/>
      <c r="Z1182" s="36"/>
      <c r="AA1182" s="36"/>
    </row>
    <row r="1183" spans="16:27" x14ac:dyDescent="0.2">
      <c r="P1183" s="36"/>
      <c r="Q1183" s="40"/>
      <c r="R1183" s="40"/>
      <c r="S1183" s="40"/>
      <c r="T1183" s="41"/>
      <c r="U1183" s="41"/>
      <c r="V1183" s="41"/>
      <c r="W1183" s="36"/>
      <c r="X1183" s="36"/>
      <c r="Y1183" s="36"/>
      <c r="Z1183" s="36"/>
      <c r="AA1183" s="36"/>
    </row>
    <row r="1184" spans="16:27" x14ac:dyDescent="0.2">
      <c r="P1184" s="36"/>
      <c r="Q1184" s="40"/>
      <c r="R1184" s="40"/>
      <c r="S1184" s="40"/>
      <c r="T1184" s="41"/>
      <c r="U1184" s="41"/>
      <c r="V1184" s="41"/>
      <c r="W1184" s="36"/>
      <c r="X1184" s="36"/>
      <c r="Y1184" s="36"/>
      <c r="Z1184" s="36"/>
      <c r="AA1184" s="36"/>
    </row>
    <row r="1185" spans="16:27" x14ac:dyDescent="0.2">
      <c r="P1185" s="36"/>
      <c r="Q1185" s="40"/>
      <c r="R1185" s="40"/>
      <c r="S1185" s="40"/>
      <c r="T1185" s="41"/>
      <c r="U1185" s="41"/>
      <c r="V1185" s="41"/>
      <c r="W1185" s="36"/>
      <c r="X1185" s="36"/>
      <c r="Y1185" s="36"/>
      <c r="Z1185" s="36"/>
      <c r="AA1185" s="36"/>
    </row>
    <row r="1186" spans="16:27" x14ac:dyDescent="0.2">
      <c r="P1186" s="36"/>
      <c r="Q1186" s="40"/>
      <c r="R1186" s="40"/>
      <c r="S1186" s="40"/>
      <c r="T1186" s="41"/>
      <c r="U1186" s="41"/>
      <c r="V1186" s="41"/>
      <c r="W1186" s="36"/>
      <c r="X1186" s="36"/>
      <c r="Y1186" s="36"/>
      <c r="Z1186" s="36"/>
      <c r="AA1186" s="36"/>
    </row>
    <row r="1187" spans="16:27" x14ac:dyDescent="0.2">
      <c r="P1187" s="36"/>
      <c r="Q1187" s="40"/>
      <c r="R1187" s="40"/>
      <c r="S1187" s="40"/>
      <c r="T1187" s="41"/>
      <c r="U1187" s="41"/>
      <c r="V1187" s="41"/>
      <c r="W1187" s="36"/>
      <c r="X1187" s="36"/>
      <c r="Y1187" s="36"/>
      <c r="Z1187" s="36"/>
      <c r="AA1187" s="36"/>
    </row>
    <row r="1188" spans="16:27" x14ac:dyDescent="0.2">
      <c r="P1188" s="36"/>
      <c r="Q1188" s="40"/>
      <c r="R1188" s="40"/>
      <c r="S1188" s="40"/>
      <c r="T1188" s="41"/>
      <c r="U1188" s="41"/>
      <c r="V1188" s="41"/>
      <c r="W1188" s="36"/>
      <c r="X1188" s="36"/>
      <c r="Y1188" s="36"/>
      <c r="Z1188" s="36"/>
      <c r="AA1188" s="36"/>
    </row>
    <row r="1189" spans="16:27" x14ac:dyDescent="0.2">
      <c r="P1189" s="36"/>
      <c r="Q1189" s="40"/>
      <c r="R1189" s="40"/>
      <c r="S1189" s="40"/>
      <c r="T1189" s="41"/>
      <c r="U1189" s="41"/>
      <c r="V1189" s="41"/>
      <c r="W1189" s="36"/>
      <c r="X1189" s="36"/>
      <c r="Y1189" s="36"/>
      <c r="Z1189" s="36"/>
      <c r="AA1189" s="36"/>
    </row>
    <row r="1190" spans="16:27" x14ac:dyDescent="0.2">
      <c r="P1190" s="36"/>
      <c r="Q1190" s="40"/>
      <c r="R1190" s="40"/>
      <c r="S1190" s="40"/>
      <c r="T1190" s="41"/>
      <c r="U1190" s="41"/>
      <c r="V1190" s="41"/>
      <c r="W1190" s="36"/>
      <c r="X1190" s="36"/>
      <c r="Y1190" s="36"/>
      <c r="Z1190" s="36"/>
      <c r="AA1190" s="36"/>
    </row>
    <row r="1191" spans="16:27" x14ac:dyDescent="0.2">
      <c r="P1191" s="36"/>
      <c r="Q1191" s="40"/>
      <c r="R1191" s="40"/>
      <c r="S1191" s="40"/>
      <c r="T1191" s="41"/>
      <c r="U1191" s="41"/>
      <c r="V1191" s="41"/>
      <c r="W1191" s="36"/>
      <c r="X1191" s="36"/>
      <c r="Y1191" s="36"/>
      <c r="Z1191" s="36"/>
      <c r="AA1191" s="36"/>
    </row>
    <row r="1192" spans="16:27" x14ac:dyDescent="0.2">
      <c r="P1192" s="36"/>
      <c r="Q1192" s="40"/>
      <c r="R1192" s="40"/>
      <c r="S1192" s="40"/>
      <c r="T1192" s="41"/>
      <c r="U1192" s="41"/>
      <c r="V1192" s="41"/>
      <c r="W1192" s="36"/>
      <c r="X1192" s="36"/>
      <c r="Y1192" s="36"/>
      <c r="Z1192" s="36"/>
      <c r="AA1192" s="36"/>
    </row>
    <row r="1193" spans="16:27" x14ac:dyDescent="0.2">
      <c r="P1193" s="36"/>
      <c r="Q1193" s="40"/>
      <c r="R1193" s="40"/>
      <c r="S1193" s="40"/>
      <c r="T1193" s="41"/>
      <c r="U1193" s="41"/>
      <c r="V1193" s="41"/>
      <c r="W1193" s="36"/>
      <c r="X1193" s="36"/>
      <c r="Y1193" s="36"/>
      <c r="Z1193" s="36"/>
      <c r="AA1193" s="36"/>
    </row>
    <row r="1194" spans="16:27" x14ac:dyDescent="0.2">
      <c r="P1194" s="36"/>
      <c r="Q1194" s="40"/>
      <c r="R1194" s="40"/>
      <c r="S1194" s="40"/>
      <c r="T1194" s="41"/>
      <c r="U1194" s="41"/>
      <c r="V1194" s="41"/>
      <c r="W1194" s="36"/>
      <c r="X1194" s="36"/>
      <c r="Y1194" s="36"/>
      <c r="Z1194" s="36"/>
      <c r="AA1194" s="36"/>
    </row>
    <row r="1195" spans="16:27" x14ac:dyDescent="0.2">
      <c r="P1195" s="36"/>
      <c r="Q1195" s="40"/>
      <c r="R1195" s="40"/>
      <c r="S1195" s="40"/>
      <c r="T1195" s="41"/>
      <c r="U1195" s="41"/>
      <c r="V1195" s="41"/>
      <c r="W1195" s="36"/>
      <c r="X1195" s="36"/>
      <c r="Y1195" s="36"/>
      <c r="Z1195" s="36"/>
      <c r="AA1195" s="36"/>
    </row>
    <row r="1196" spans="16:27" x14ac:dyDescent="0.2">
      <c r="P1196" s="36"/>
      <c r="Q1196" s="40"/>
      <c r="R1196" s="40"/>
      <c r="S1196" s="40"/>
      <c r="T1196" s="41"/>
      <c r="U1196" s="41"/>
      <c r="V1196" s="41"/>
      <c r="W1196" s="36"/>
      <c r="X1196" s="36"/>
      <c r="Y1196" s="36"/>
      <c r="Z1196" s="36"/>
      <c r="AA1196" s="36"/>
    </row>
    <row r="1197" spans="16:27" x14ac:dyDescent="0.2">
      <c r="P1197" s="36"/>
      <c r="Q1197" s="40"/>
      <c r="R1197" s="40"/>
      <c r="S1197" s="40"/>
      <c r="T1197" s="41"/>
      <c r="U1197" s="41"/>
      <c r="V1197" s="41"/>
      <c r="W1197" s="36"/>
      <c r="X1197" s="36"/>
      <c r="Y1197" s="36"/>
      <c r="Z1197" s="36"/>
      <c r="AA1197" s="36"/>
    </row>
    <row r="1198" spans="16:27" x14ac:dyDescent="0.2">
      <c r="P1198" s="36"/>
      <c r="Q1198" s="40"/>
      <c r="R1198" s="40"/>
      <c r="S1198" s="40"/>
      <c r="T1198" s="41"/>
      <c r="U1198" s="41"/>
      <c r="V1198" s="41"/>
      <c r="W1198" s="36"/>
      <c r="X1198" s="36"/>
      <c r="Y1198" s="36"/>
      <c r="Z1198" s="36"/>
      <c r="AA1198" s="36"/>
    </row>
    <row r="1199" spans="16:27" x14ac:dyDescent="0.2">
      <c r="P1199" s="36"/>
      <c r="Q1199" s="40"/>
      <c r="R1199" s="40"/>
      <c r="S1199" s="40"/>
      <c r="T1199" s="41"/>
      <c r="U1199" s="41"/>
      <c r="V1199" s="41"/>
      <c r="W1199" s="36"/>
      <c r="X1199" s="36"/>
      <c r="Y1199" s="36"/>
      <c r="Z1199" s="36"/>
      <c r="AA1199" s="36"/>
    </row>
    <row r="1200" spans="16:27" x14ac:dyDescent="0.2">
      <c r="P1200" s="36"/>
      <c r="Q1200" s="40"/>
      <c r="R1200" s="40"/>
      <c r="S1200" s="40"/>
      <c r="T1200" s="41"/>
      <c r="U1200" s="41"/>
      <c r="V1200" s="41"/>
      <c r="W1200" s="36"/>
      <c r="X1200" s="36"/>
      <c r="Y1200" s="36"/>
      <c r="Z1200" s="36"/>
      <c r="AA1200" s="36"/>
    </row>
    <row r="1201" spans="16:27" x14ac:dyDescent="0.2">
      <c r="P1201" s="36"/>
      <c r="Q1201" s="40"/>
      <c r="R1201" s="40"/>
      <c r="S1201" s="40"/>
      <c r="T1201" s="41"/>
      <c r="U1201" s="41"/>
      <c r="V1201" s="41"/>
      <c r="W1201" s="36"/>
      <c r="X1201" s="36"/>
      <c r="Y1201" s="36"/>
      <c r="Z1201" s="36"/>
      <c r="AA1201" s="36"/>
    </row>
    <row r="1202" spans="16:27" x14ac:dyDescent="0.2">
      <c r="P1202" s="36"/>
      <c r="Q1202" s="40"/>
      <c r="R1202" s="40"/>
      <c r="S1202" s="40"/>
      <c r="T1202" s="41"/>
      <c r="U1202" s="41"/>
      <c r="V1202" s="41"/>
      <c r="W1202" s="36"/>
      <c r="X1202" s="36"/>
      <c r="Y1202" s="36"/>
      <c r="Z1202" s="36"/>
      <c r="AA1202" s="36"/>
    </row>
    <row r="1203" spans="16:27" x14ac:dyDescent="0.2">
      <c r="P1203" s="36"/>
      <c r="Q1203" s="40"/>
      <c r="R1203" s="40"/>
      <c r="S1203" s="40"/>
      <c r="T1203" s="41"/>
      <c r="U1203" s="41"/>
      <c r="V1203" s="41"/>
      <c r="W1203" s="36"/>
      <c r="X1203" s="36"/>
      <c r="Y1203" s="36"/>
      <c r="Z1203" s="36"/>
      <c r="AA1203" s="36"/>
    </row>
    <row r="1204" spans="16:27" x14ac:dyDescent="0.2">
      <c r="P1204" s="36"/>
      <c r="Q1204" s="40"/>
      <c r="R1204" s="40"/>
      <c r="S1204" s="40"/>
      <c r="T1204" s="41"/>
      <c r="U1204" s="41"/>
      <c r="V1204" s="41"/>
      <c r="W1204" s="36"/>
      <c r="X1204" s="36"/>
      <c r="Y1204" s="36"/>
      <c r="Z1204" s="36"/>
      <c r="AA1204" s="36"/>
    </row>
    <row r="1205" spans="16:27" x14ac:dyDescent="0.2">
      <c r="P1205" s="36"/>
      <c r="Q1205" s="40"/>
      <c r="R1205" s="40"/>
      <c r="S1205" s="40"/>
      <c r="T1205" s="41"/>
      <c r="U1205" s="41"/>
      <c r="V1205" s="41"/>
      <c r="W1205" s="36"/>
      <c r="X1205" s="36"/>
      <c r="Y1205" s="36"/>
      <c r="Z1205" s="36"/>
      <c r="AA1205" s="36"/>
    </row>
    <row r="1206" spans="16:27" x14ac:dyDescent="0.2">
      <c r="P1206" s="36"/>
      <c r="Q1206" s="40"/>
      <c r="R1206" s="40"/>
      <c r="S1206" s="40"/>
      <c r="T1206" s="41"/>
      <c r="U1206" s="41"/>
      <c r="V1206" s="41"/>
      <c r="W1206" s="36"/>
      <c r="X1206" s="36"/>
      <c r="Y1206" s="36"/>
      <c r="Z1206" s="36"/>
      <c r="AA1206" s="36"/>
    </row>
    <row r="1207" spans="16:27" x14ac:dyDescent="0.2">
      <c r="P1207" s="36"/>
      <c r="Q1207" s="40"/>
      <c r="R1207" s="40"/>
      <c r="S1207" s="40"/>
      <c r="T1207" s="41"/>
      <c r="U1207" s="41"/>
      <c r="V1207" s="41"/>
      <c r="W1207" s="36"/>
      <c r="X1207" s="36"/>
      <c r="Y1207" s="36"/>
      <c r="Z1207" s="36"/>
      <c r="AA1207" s="36"/>
    </row>
    <row r="1208" spans="16:27" x14ac:dyDescent="0.2">
      <c r="P1208" s="36"/>
      <c r="Q1208" s="40"/>
      <c r="R1208" s="40"/>
      <c r="S1208" s="40"/>
      <c r="T1208" s="41"/>
      <c r="U1208" s="41"/>
      <c r="V1208" s="41"/>
      <c r="W1208" s="36"/>
      <c r="X1208" s="36"/>
      <c r="Y1208" s="36"/>
      <c r="Z1208" s="36"/>
      <c r="AA1208" s="36"/>
    </row>
    <row r="1209" spans="16:27" x14ac:dyDescent="0.2">
      <c r="P1209" s="36"/>
      <c r="Q1209" s="40"/>
      <c r="R1209" s="40"/>
      <c r="S1209" s="40"/>
      <c r="T1209" s="41"/>
      <c r="U1209" s="41"/>
      <c r="V1209" s="41"/>
      <c r="W1209" s="36"/>
      <c r="X1209" s="36"/>
      <c r="Y1209" s="36"/>
      <c r="Z1209" s="36"/>
      <c r="AA1209" s="36"/>
    </row>
    <row r="1210" spans="16:27" x14ac:dyDescent="0.2">
      <c r="P1210" s="36"/>
      <c r="Q1210" s="40"/>
      <c r="R1210" s="40"/>
      <c r="S1210" s="40"/>
      <c r="T1210" s="41"/>
      <c r="U1210" s="41"/>
      <c r="V1210" s="41"/>
      <c r="W1210" s="36"/>
      <c r="X1210" s="36"/>
      <c r="Y1210" s="36"/>
      <c r="Z1210" s="36"/>
      <c r="AA1210" s="36"/>
    </row>
    <row r="1211" spans="16:27" x14ac:dyDescent="0.2">
      <c r="P1211" s="36"/>
      <c r="Q1211" s="40"/>
      <c r="R1211" s="40"/>
      <c r="S1211" s="40"/>
      <c r="T1211" s="41"/>
      <c r="U1211" s="41"/>
      <c r="V1211" s="41"/>
      <c r="W1211" s="36"/>
      <c r="X1211" s="36"/>
      <c r="Y1211" s="36"/>
      <c r="Z1211" s="36"/>
      <c r="AA1211" s="36"/>
    </row>
    <row r="1212" spans="16:27" x14ac:dyDescent="0.2">
      <c r="P1212" s="36"/>
      <c r="Q1212" s="40"/>
      <c r="R1212" s="40"/>
      <c r="S1212" s="40"/>
      <c r="T1212" s="41"/>
      <c r="U1212" s="41"/>
      <c r="V1212" s="41"/>
      <c r="W1212" s="36"/>
      <c r="X1212" s="36"/>
      <c r="Y1212" s="36"/>
      <c r="Z1212" s="36"/>
      <c r="AA1212" s="36"/>
    </row>
    <row r="1213" spans="16:27" x14ac:dyDescent="0.2">
      <c r="P1213" s="36"/>
      <c r="Q1213" s="40"/>
      <c r="R1213" s="40"/>
      <c r="S1213" s="40"/>
      <c r="T1213" s="41"/>
      <c r="U1213" s="41"/>
      <c r="V1213" s="41"/>
      <c r="W1213" s="36"/>
      <c r="X1213" s="36"/>
      <c r="Y1213" s="36"/>
      <c r="Z1213" s="36"/>
      <c r="AA1213" s="36"/>
    </row>
    <row r="1214" spans="16:27" x14ac:dyDescent="0.2">
      <c r="P1214" s="36"/>
      <c r="Q1214" s="40"/>
      <c r="R1214" s="40"/>
      <c r="S1214" s="40"/>
      <c r="T1214" s="41"/>
      <c r="U1214" s="41"/>
      <c r="V1214" s="41"/>
      <c r="W1214" s="36"/>
      <c r="X1214" s="36"/>
      <c r="Y1214" s="36"/>
      <c r="Z1214" s="36"/>
      <c r="AA1214" s="36"/>
    </row>
    <row r="1215" spans="16:27" x14ac:dyDescent="0.2">
      <c r="P1215" s="36"/>
      <c r="Q1215" s="40"/>
      <c r="R1215" s="40"/>
      <c r="S1215" s="40"/>
      <c r="T1215" s="41"/>
      <c r="U1215" s="41"/>
      <c r="V1215" s="41"/>
      <c r="W1215" s="36"/>
      <c r="X1215" s="36"/>
      <c r="Y1215" s="36"/>
      <c r="Z1215" s="36"/>
      <c r="AA1215" s="36"/>
    </row>
    <row r="1216" spans="16:27" x14ac:dyDescent="0.2">
      <c r="P1216" s="36"/>
      <c r="Q1216" s="40"/>
      <c r="R1216" s="40"/>
      <c r="S1216" s="40"/>
      <c r="T1216" s="41"/>
      <c r="U1216" s="41"/>
      <c r="V1216" s="41"/>
      <c r="W1216" s="36"/>
      <c r="X1216" s="36"/>
      <c r="Y1216" s="36"/>
      <c r="Z1216" s="36"/>
      <c r="AA1216" s="36"/>
    </row>
    <row r="1217" spans="16:27" x14ac:dyDescent="0.2">
      <c r="P1217" s="36"/>
      <c r="Q1217" s="40"/>
      <c r="R1217" s="40"/>
      <c r="S1217" s="40"/>
      <c r="T1217" s="41"/>
      <c r="U1217" s="41"/>
      <c r="V1217" s="41"/>
      <c r="W1217" s="36"/>
      <c r="X1217" s="36"/>
      <c r="Y1217" s="36"/>
      <c r="Z1217" s="36"/>
      <c r="AA1217" s="36"/>
    </row>
    <row r="1218" spans="16:27" x14ac:dyDescent="0.2">
      <c r="P1218" s="36"/>
      <c r="Q1218" s="40"/>
      <c r="R1218" s="40"/>
      <c r="S1218" s="40"/>
      <c r="T1218" s="41"/>
      <c r="U1218" s="41"/>
      <c r="V1218" s="41"/>
      <c r="W1218" s="36"/>
      <c r="X1218" s="36"/>
      <c r="Y1218" s="36"/>
      <c r="Z1218" s="36"/>
      <c r="AA1218" s="36"/>
    </row>
    <row r="1219" spans="16:27" x14ac:dyDescent="0.2">
      <c r="P1219" s="36"/>
      <c r="Q1219" s="40"/>
      <c r="R1219" s="40"/>
      <c r="S1219" s="40"/>
      <c r="T1219" s="41"/>
      <c r="U1219" s="41"/>
      <c r="V1219" s="41"/>
      <c r="W1219" s="36"/>
      <c r="X1219" s="36"/>
      <c r="Y1219" s="36"/>
      <c r="Z1219" s="36"/>
      <c r="AA1219" s="36"/>
    </row>
    <row r="1220" spans="16:27" x14ac:dyDescent="0.2">
      <c r="P1220" s="36"/>
      <c r="Q1220" s="40"/>
      <c r="R1220" s="40"/>
      <c r="S1220" s="40"/>
      <c r="T1220" s="41"/>
      <c r="U1220" s="41"/>
      <c r="V1220" s="41"/>
      <c r="W1220" s="36"/>
      <c r="X1220" s="36"/>
      <c r="Y1220" s="36"/>
      <c r="Z1220" s="36"/>
      <c r="AA1220" s="36"/>
    </row>
    <row r="1221" spans="16:27" x14ac:dyDescent="0.2">
      <c r="P1221" s="36"/>
      <c r="Q1221" s="40"/>
      <c r="R1221" s="40"/>
      <c r="S1221" s="40"/>
      <c r="T1221" s="41"/>
      <c r="U1221" s="41"/>
      <c r="V1221" s="41"/>
      <c r="W1221" s="36"/>
      <c r="X1221" s="36"/>
      <c r="Y1221" s="36"/>
      <c r="Z1221" s="36"/>
      <c r="AA1221" s="36"/>
    </row>
    <row r="1222" spans="16:27" x14ac:dyDescent="0.2">
      <c r="P1222" s="36"/>
      <c r="Q1222" s="40"/>
      <c r="R1222" s="40"/>
      <c r="S1222" s="40"/>
      <c r="T1222" s="41"/>
      <c r="U1222" s="41"/>
      <c r="V1222" s="41"/>
      <c r="W1222" s="36"/>
      <c r="X1222" s="36"/>
      <c r="Y1222" s="36"/>
      <c r="Z1222" s="36"/>
      <c r="AA1222" s="36"/>
    </row>
    <row r="1223" spans="16:27" x14ac:dyDescent="0.2">
      <c r="P1223" s="36"/>
      <c r="Q1223" s="40"/>
      <c r="R1223" s="40"/>
      <c r="S1223" s="40"/>
      <c r="T1223" s="41"/>
      <c r="U1223" s="41"/>
      <c r="V1223" s="41"/>
      <c r="W1223" s="36"/>
      <c r="X1223" s="36"/>
      <c r="Y1223" s="36"/>
      <c r="Z1223" s="36"/>
      <c r="AA1223" s="36"/>
    </row>
    <row r="1224" spans="16:27" x14ac:dyDescent="0.2">
      <c r="P1224" s="36"/>
      <c r="Q1224" s="40"/>
      <c r="R1224" s="40"/>
      <c r="S1224" s="40"/>
      <c r="T1224" s="41"/>
      <c r="U1224" s="41"/>
      <c r="V1224" s="41"/>
      <c r="W1224" s="36"/>
      <c r="X1224" s="36"/>
      <c r="Y1224" s="36"/>
      <c r="Z1224" s="36"/>
      <c r="AA1224" s="36"/>
    </row>
    <row r="1225" spans="16:27" x14ac:dyDescent="0.2">
      <c r="P1225" s="36"/>
      <c r="Q1225" s="40"/>
      <c r="R1225" s="40"/>
      <c r="S1225" s="40"/>
      <c r="T1225" s="41"/>
      <c r="U1225" s="41"/>
      <c r="V1225" s="41"/>
      <c r="W1225" s="36"/>
      <c r="X1225" s="36"/>
      <c r="Y1225" s="36"/>
      <c r="Z1225" s="36"/>
      <c r="AA1225" s="36"/>
    </row>
    <row r="1226" spans="16:27" x14ac:dyDescent="0.2">
      <c r="P1226" s="36"/>
      <c r="Q1226" s="40"/>
      <c r="R1226" s="40"/>
      <c r="S1226" s="40"/>
      <c r="T1226" s="41"/>
      <c r="U1226" s="41"/>
      <c r="V1226" s="41"/>
      <c r="W1226" s="36"/>
      <c r="X1226" s="36"/>
      <c r="Y1226" s="36"/>
      <c r="Z1226" s="36"/>
      <c r="AA1226" s="36"/>
    </row>
    <row r="1227" spans="16:27" x14ac:dyDescent="0.2">
      <c r="P1227" s="36"/>
      <c r="Q1227" s="40"/>
      <c r="R1227" s="40"/>
      <c r="S1227" s="40"/>
      <c r="T1227" s="41"/>
      <c r="U1227" s="41"/>
      <c r="V1227" s="41"/>
      <c r="W1227" s="36"/>
      <c r="X1227" s="36"/>
      <c r="Y1227" s="36"/>
      <c r="Z1227" s="36"/>
      <c r="AA1227" s="36"/>
    </row>
    <row r="1228" spans="16:27" x14ac:dyDescent="0.2">
      <c r="P1228" s="36"/>
      <c r="Q1228" s="40"/>
      <c r="R1228" s="40"/>
      <c r="S1228" s="40"/>
      <c r="T1228" s="41"/>
      <c r="U1228" s="41"/>
      <c r="V1228" s="41"/>
      <c r="W1228" s="36"/>
      <c r="X1228" s="36"/>
      <c r="Y1228" s="36"/>
      <c r="Z1228" s="36"/>
      <c r="AA1228" s="36"/>
    </row>
    <row r="1229" spans="16:27" x14ac:dyDescent="0.2">
      <c r="P1229" s="36"/>
      <c r="Q1229" s="40"/>
      <c r="R1229" s="40"/>
      <c r="S1229" s="40"/>
      <c r="T1229" s="41"/>
      <c r="U1229" s="41"/>
      <c r="V1229" s="41"/>
      <c r="W1229" s="36"/>
      <c r="X1229" s="36"/>
      <c r="Y1229" s="36"/>
      <c r="Z1229" s="36"/>
      <c r="AA1229" s="36"/>
    </row>
    <row r="1230" spans="16:27" x14ac:dyDescent="0.2">
      <c r="P1230" s="36"/>
      <c r="Q1230" s="40"/>
      <c r="R1230" s="40"/>
      <c r="S1230" s="40"/>
      <c r="T1230" s="41"/>
      <c r="U1230" s="41"/>
      <c r="V1230" s="41"/>
      <c r="W1230" s="36"/>
      <c r="X1230" s="36"/>
      <c r="Y1230" s="36"/>
      <c r="Z1230" s="36"/>
      <c r="AA1230" s="36"/>
    </row>
    <row r="1231" spans="16:27" x14ac:dyDescent="0.2">
      <c r="P1231" s="36"/>
      <c r="Q1231" s="40"/>
      <c r="R1231" s="40"/>
      <c r="S1231" s="40"/>
      <c r="T1231" s="41"/>
      <c r="U1231" s="41"/>
      <c r="V1231" s="41"/>
      <c r="W1231" s="36"/>
      <c r="X1231" s="36"/>
      <c r="Y1231" s="36"/>
      <c r="Z1231" s="36"/>
      <c r="AA1231" s="36"/>
    </row>
    <row r="1232" spans="16:27" x14ac:dyDescent="0.2">
      <c r="P1232" s="36"/>
      <c r="Q1232" s="40"/>
      <c r="R1232" s="40"/>
      <c r="S1232" s="40"/>
      <c r="T1232" s="41"/>
      <c r="U1232" s="41"/>
      <c r="V1232" s="41"/>
      <c r="W1232" s="36"/>
      <c r="X1232" s="36"/>
      <c r="Y1232" s="36"/>
      <c r="Z1232" s="36"/>
      <c r="AA1232" s="36"/>
    </row>
    <row r="1233" spans="16:27" x14ac:dyDescent="0.2">
      <c r="P1233" s="36"/>
      <c r="Q1233" s="40"/>
      <c r="R1233" s="40"/>
      <c r="S1233" s="40"/>
      <c r="T1233" s="41"/>
      <c r="U1233" s="41"/>
      <c r="V1233" s="41"/>
      <c r="W1233" s="36"/>
      <c r="X1233" s="36"/>
      <c r="Y1233" s="36"/>
      <c r="Z1233" s="36"/>
      <c r="AA1233" s="36"/>
    </row>
    <row r="1234" spans="16:27" x14ac:dyDescent="0.2">
      <c r="P1234" s="36"/>
      <c r="Q1234" s="40"/>
      <c r="R1234" s="40"/>
      <c r="S1234" s="40"/>
      <c r="T1234" s="41"/>
      <c r="U1234" s="41"/>
      <c r="V1234" s="41"/>
      <c r="W1234" s="36"/>
      <c r="X1234" s="36"/>
      <c r="Y1234" s="36"/>
      <c r="Z1234" s="36"/>
      <c r="AA1234" s="36"/>
    </row>
    <row r="1235" spans="16:27" x14ac:dyDescent="0.2">
      <c r="P1235" s="36"/>
      <c r="Q1235" s="40"/>
      <c r="R1235" s="40"/>
      <c r="S1235" s="40"/>
      <c r="T1235" s="41"/>
      <c r="U1235" s="41"/>
      <c r="V1235" s="41"/>
      <c r="W1235" s="36"/>
      <c r="X1235" s="36"/>
      <c r="Y1235" s="36"/>
      <c r="Z1235" s="36"/>
      <c r="AA1235" s="36"/>
    </row>
    <row r="1236" spans="16:27" x14ac:dyDescent="0.2">
      <c r="P1236" s="36"/>
      <c r="Q1236" s="40"/>
      <c r="R1236" s="40"/>
      <c r="S1236" s="40"/>
      <c r="T1236" s="41"/>
      <c r="U1236" s="41"/>
      <c r="V1236" s="41"/>
      <c r="W1236" s="36"/>
      <c r="X1236" s="36"/>
      <c r="Y1236" s="36"/>
      <c r="Z1236" s="36"/>
      <c r="AA1236" s="36"/>
    </row>
    <row r="1237" spans="16:27" x14ac:dyDescent="0.2">
      <c r="P1237" s="36"/>
      <c r="Q1237" s="40"/>
      <c r="R1237" s="40"/>
      <c r="S1237" s="40"/>
      <c r="T1237" s="41"/>
      <c r="U1237" s="41"/>
      <c r="V1237" s="41"/>
      <c r="W1237" s="36"/>
      <c r="X1237" s="36"/>
      <c r="Y1237" s="36"/>
      <c r="Z1237" s="36"/>
      <c r="AA1237" s="36"/>
    </row>
    <row r="1238" spans="16:27" x14ac:dyDescent="0.2">
      <c r="P1238" s="36"/>
      <c r="Q1238" s="40"/>
      <c r="R1238" s="40"/>
      <c r="S1238" s="40"/>
      <c r="T1238" s="41"/>
      <c r="U1238" s="41"/>
      <c r="V1238" s="41"/>
      <c r="W1238" s="36"/>
      <c r="X1238" s="36"/>
      <c r="Y1238" s="36"/>
      <c r="Z1238" s="36"/>
      <c r="AA1238" s="36"/>
    </row>
    <row r="1239" spans="16:27" x14ac:dyDescent="0.2">
      <c r="P1239" s="36"/>
      <c r="Q1239" s="40"/>
      <c r="R1239" s="40"/>
      <c r="S1239" s="40"/>
      <c r="T1239" s="41"/>
      <c r="U1239" s="41"/>
      <c r="V1239" s="41"/>
      <c r="W1239" s="36"/>
      <c r="X1239" s="36"/>
      <c r="Y1239" s="36"/>
      <c r="Z1239" s="36"/>
      <c r="AA1239" s="36"/>
    </row>
    <row r="1240" spans="16:27" x14ac:dyDescent="0.2">
      <c r="P1240" s="36"/>
      <c r="Q1240" s="40"/>
      <c r="R1240" s="40"/>
      <c r="S1240" s="40"/>
      <c r="T1240" s="41"/>
      <c r="U1240" s="41"/>
      <c r="V1240" s="41"/>
      <c r="W1240" s="36"/>
      <c r="X1240" s="36"/>
      <c r="Y1240" s="36"/>
      <c r="Z1240" s="36"/>
      <c r="AA1240" s="36"/>
    </row>
    <row r="1241" spans="16:27" x14ac:dyDescent="0.2">
      <c r="P1241" s="36"/>
      <c r="Q1241" s="40"/>
      <c r="R1241" s="40"/>
      <c r="S1241" s="40"/>
      <c r="T1241" s="41"/>
      <c r="U1241" s="41"/>
      <c r="V1241" s="41"/>
      <c r="W1241" s="36"/>
      <c r="X1241" s="36"/>
      <c r="Y1241" s="36"/>
      <c r="Z1241" s="36"/>
      <c r="AA1241" s="36"/>
    </row>
    <row r="1242" spans="16:27" x14ac:dyDescent="0.2">
      <c r="P1242" s="36"/>
      <c r="Q1242" s="40"/>
      <c r="R1242" s="40"/>
      <c r="S1242" s="40"/>
      <c r="T1242" s="41"/>
      <c r="U1242" s="41"/>
      <c r="V1242" s="41"/>
      <c r="W1242" s="36"/>
      <c r="X1242" s="36"/>
      <c r="Y1242" s="36"/>
      <c r="Z1242" s="36"/>
      <c r="AA1242" s="36"/>
    </row>
    <row r="1243" spans="16:27" x14ac:dyDescent="0.2">
      <c r="P1243" s="36"/>
      <c r="Q1243" s="40"/>
      <c r="R1243" s="40"/>
      <c r="S1243" s="40"/>
      <c r="T1243" s="41"/>
      <c r="U1243" s="41"/>
      <c r="V1243" s="41"/>
      <c r="W1243" s="36"/>
      <c r="X1243" s="36"/>
      <c r="Y1243" s="36"/>
      <c r="Z1243" s="36"/>
      <c r="AA1243" s="36"/>
    </row>
    <row r="1244" spans="16:27" x14ac:dyDescent="0.2">
      <c r="P1244" s="36"/>
      <c r="Q1244" s="40"/>
      <c r="R1244" s="40"/>
      <c r="S1244" s="40"/>
      <c r="T1244" s="41"/>
      <c r="U1244" s="41"/>
      <c r="V1244" s="41"/>
      <c r="W1244" s="36"/>
      <c r="X1244" s="36"/>
      <c r="Y1244" s="36"/>
      <c r="Z1244" s="36"/>
      <c r="AA1244" s="36"/>
    </row>
    <row r="1245" spans="16:27" x14ac:dyDescent="0.2">
      <c r="P1245" s="36"/>
      <c r="Q1245" s="40"/>
      <c r="R1245" s="40"/>
      <c r="S1245" s="40"/>
      <c r="T1245" s="41"/>
      <c r="U1245" s="41"/>
      <c r="V1245" s="41"/>
      <c r="W1245" s="36"/>
      <c r="X1245" s="36"/>
      <c r="Y1245" s="36"/>
      <c r="Z1245" s="36"/>
      <c r="AA1245" s="36"/>
    </row>
    <row r="1246" spans="16:27" x14ac:dyDescent="0.2">
      <c r="P1246" s="36"/>
      <c r="Q1246" s="40"/>
      <c r="R1246" s="40"/>
      <c r="S1246" s="40"/>
      <c r="T1246" s="41"/>
      <c r="U1246" s="41"/>
      <c r="V1246" s="41"/>
      <c r="W1246" s="36"/>
      <c r="X1246" s="36"/>
      <c r="Y1246" s="36"/>
      <c r="Z1246" s="36"/>
      <c r="AA1246" s="36"/>
    </row>
    <row r="1247" spans="16:27" x14ac:dyDescent="0.2">
      <c r="P1247" s="36"/>
      <c r="Q1247" s="40"/>
      <c r="R1247" s="40"/>
      <c r="S1247" s="40"/>
      <c r="T1247" s="41"/>
      <c r="U1247" s="41"/>
      <c r="V1247" s="41"/>
      <c r="W1247" s="36"/>
      <c r="X1247" s="36"/>
      <c r="Y1247" s="36"/>
      <c r="Z1247" s="36"/>
      <c r="AA1247" s="36"/>
    </row>
    <row r="1248" spans="16:27" x14ac:dyDescent="0.2">
      <c r="P1248" s="36"/>
      <c r="Q1248" s="40"/>
      <c r="R1248" s="40"/>
      <c r="S1248" s="40"/>
      <c r="T1248" s="41"/>
      <c r="U1248" s="41"/>
      <c r="V1248" s="41"/>
      <c r="W1248" s="36"/>
      <c r="X1248" s="36"/>
      <c r="Y1248" s="36"/>
      <c r="Z1248" s="36"/>
      <c r="AA1248" s="36"/>
    </row>
    <row r="1249" spans="16:27" x14ac:dyDescent="0.2">
      <c r="P1249" s="36"/>
      <c r="Q1249" s="40"/>
      <c r="R1249" s="40"/>
      <c r="S1249" s="40"/>
      <c r="T1249" s="41"/>
      <c r="U1249" s="41"/>
      <c r="V1249" s="41"/>
      <c r="W1249" s="36"/>
      <c r="X1249" s="36"/>
      <c r="Y1249" s="36"/>
      <c r="Z1249" s="36"/>
      <c r="AA1249" s="36"/>
    </row>
    <row r="1250" spans="16:27" x14ac:dyDescent="0.2">
      <c r="P1250" s="36"/>
      <c r="Q1250" s="40"/>
      <c r="R1250" s="40"/>
      <c r="S1250" s="40"/>
      <c r="T1250" s="41"/>
      <c r="U1250" s="41"/>
      <c r="V1250" s="41"/>
      <c r="W1250" s="36"/>
      <c r="X1250" s="36"/>
      <c r="Y1250" s="36"/>
      <c r="Z1250" s="36"/>
      <c r="AA1250" s="36"/>
    </row>
    <row r="1251" spans="16:27" x14ac:dyDescent="0.2">
      <c r="P1251" s="36"/>
      <c r="Q1251" s="40"/>
      <c r="R1251" s="40"/>
      <c r="S1251" s="40"/>
      <c r="T1251" s="41"/>
      <c r="U1251" s="41"/>
      <c r="V1251" s="41"/>
      <c r="W1251" s="36"/>
      <c r="X1251" s="36"/>
      <c r="Y1251" s="36"/>
      <c r="Z1251" s="36"/>
      <c r="AA1251" s="36"/>
    </row>
    <row r="1252" spans="16:27" x14ac:dyDescent="0.2">
      <c r="P1252" s="36"/>
      <c r="Q1252" s="40"/>
      <c r="R1252" s="40"/>
      <c r="S1252" s="40"/>
      <c r="T1252" s="41"/>
      <c r="U1252" s="41"/>
      <c r="V1252" s="41"/>
      <c r="W1252" s="36"/>
      <c r="X1252" s="36"/>
      <c r="Y1252" s="36"/>
      <c r="Z1252" s="36"/>
      <c r="AA1252" s="36"/>
    </row>
    <row r="1253" spans="16:27" x14ac:dyDescent="0.2">
      <c r="P1253" s="36"/>
      <c r="Q1253" s="40"/>
      <c r="R1253" s="40"/>
      <c r="S1253" s="40"/>
      <c r="T1253" s="41"/>
      <c r="U1253" s="41"/>
      <c r="V1253" s="41"/>
      <c r="W1253" s="36"/>
      <c r="X1253" s="36"/>
      <c r="Y1253" s="36"/>
      <c r="Z1253" s="36"/>
      <c r="AA1253" s="36"/>
    </row>
    <row r="1254" spans="16:27" x14ac:dyDescent="0.2">
      <c r="P1254" s="36"/>
      <c r="Q1254" s="40"/>
      <c r="R1254" s="40"/>
      <c r="S1254" s="40"/>
      <c r="T1254" s="41"/>
      <c r="U1254" s="41"/>
      <c r="V1254" s="41"/>
      <c r="W1254" s="36"/>
      <c r="X1254" s="36"/>
      <c r="Y1254" s="36"/>
      <c r="Z1254" s="36"/>
      <c r="AA1254" s="36"/>
    </row>
    <row r="1255" spans="16:27" x14ac:dyDescent="0.2">
      <c r="P1255" s="36"/>
      <c r="Q1255" s="40"/>
      <c r="R1255" s="40"/>
      <c r="S1255" s="40"/>
      <c r="T1255" s="41"/>
      <c r="U1255" s="41"/>
      <c r="V1255" s="41"/>
      <c r="W1255" s="36"/>
      <c r="X1255" s="36"/>
      <c r="Y1255" s="36"/>
      <c r="Z1255" s="36"/>
      <c r="AA1255" s="36"/>
    </row>
    <row r="1256" spans="16:27" x14ac:dyDescent="0.2">
      <c r="P1256" s="36"/>
      <c r="Q1256" s="40"/>
      <c r="R1256" s="40"/>
      <c r="S1256" s="40"/>
      <c r="T1256" s="41"/>
      <c r="U1256" s="41"/>
      <c r="V1256" s="41"/>
      <c r="W1256" s="36"/>
      <c r="X1256" s="36"/>
      <c r="Y1256" s="36"/>
      <c r="Z1256" s="36"/>
      <c r="AA1256" s="36"/>
    </row>
    <row r="1257" spans="16:27" x14ac:dyDescent="0.2">
      <c r="P1257" s="36"/>
      <c r="Q1257" s="40"/>
      <c r="R1257" s="40"/>
      <c r="S1257" s="40"/>
      <c r="T1257" s="41"/>
      <c r="U1257" s="41"/>
      <c r="V1257" s="41"/>
      <c r="W1257" s="36"/>
      <c r="X1257" s="36"/>
      <c r="Y1257" s="36"/>
      <c r="Z1257" s="36"/>
      <c r="AA1257" s="36"/>
    </row>
    <row r="1258" spans="16:27" x14ac:dyDescent="0.2">
      <c r="P1258" s="36"/>
      <c r="Q1258" s="40"/>
      <c r="R1258" s="40"/>
      <c r="S1258" s="40"/>
      <c r="T1258" s="41"/>
      <c r="U1258" s="41"/>
      <c r="V1258" s="41"/>
      <c r="W1258" s="36"/>
      <c r="X1258" s="36"/>
      <c r="Y1258" s="36"/>
      <c r="Z1258" s="36"/>
      <c r="AA1258" s="36"/>
    </row>
    <row r="1259" spans="16:27" x14ac:dyDescent="0.2">
      <c r="P1259" s="36"/>
      <c r="Q1259" s="40"/>
      <c r="R1259" s="40"/>
      <c r="S1259" s="40"/>
      <c r="T1259" s="41"/>
      <c r="U1259" s="41"/>
      <c r="V1259" s="41"/>
      <c r="W1259" s="36"/>
      <c r="X1259" s="36"/>
      <c r="Y1259" s="36"/>
      <c r="Z1259" s="36"/>
      <c r="AA1259" s="36"/>
    </row>
    <row r="1260" spans="16:27" x14ac:dyDescent="0.2">
      <c r="P1260" s="36"/>
      <c r="Q1260" s="40"/>
      <c r="R1260" s="40"/>
      <c r="S1260" s="40"/>
      <c r="T1260" s="41"/>
      <c r="U1260" s="41"/>
      <c r="V1260" s="41"/>
      <c r="W1260" s="36"/>
      <c r="X1260" s="36"/>
      <c r="Y1260" s="36"/>
      <c r="Z1260" s="36"/>
      <c r="AA1260" s="36"/>
    </row>
    <row r="1261" spans="16:27" x14ac:dyDescent="0.2">
      <c r="P1261" s="36"/>
      <c r="Q1261" s="40"/>
      <c r="R1261" s="40"/>
      <c r="S1261" s="40"/>
      <c r="T1261" s="41"/>
      <c r="U1261" s="41"/>
      <c r="V1261" s="41"/>
      <c r="W1261" s="36"/>
      <c r="X1261" s="36"/>
      <c r="Y1261" s="36"/>
      <c r="Z1261" s="36"/>
      <c r="AA1261" s="36"/>
    </row>
    <row r="1262" spans="16:27" x14ac:dyDescent="0.2">
      <c r="P1262" s="36"/>
      <c r="Q1262" s="40"/>
      <c r="R1262" s="40"/>
      <c r="S1262" s="40"/>
      <c r="T1262" s="41"/>
      <c r="U1262" s="41"/>
      <c r="V1262" s="41"/>
      <c r="W1262" s="36"/>
      <c r="X1262" s="36"/>
      <c r="Y1262" s="36"/>
      <c r="Z1262" s="36"/>
      <c r="AA1262" s="36"/>
    </row>
    <row r="1263" spans="16:27" x14ac:dyDescent="0.2">
      <c r="P1263" s="36"/>
      <c r="Q1263" s="40"/>
      <c r="R1263" s="40"/>
      <c r="S1263" s="40"/>
      <c r="T1263" s="41"/>
      <c r="U1263" s="41"/>
      <c r="V1263" s="41"/>
      <c r="W1263" s="36"/>
      <c r="X1263" s="36"/>
      <c r="Y1263" s="36"/>
      <c r="Z1263" s="36"/>
      <c r="AA1263" s="36"/>
    </row>
    <row r="1264" spans="16:27" x14ac:dyDescent="0.2">
      <c r="P1264" s="36"/>
      <c r="Q1264" s="40"/>
      <c r="R1264" s="40"/>
      <c r="S1264" s="40"/>
      <c r="T1264" s="41"/>
      <c r="U1264" s="41"/>
      <c r="V1264" s="41"/>
      <c r="W1264" s="36"/>
      <c r="X1264" s="36"/>
      <c r="Y1264" s="36"/>
      <c r="Z1264" s="36"/>
      <c r="AA1264" s="36"/>
    </row>
    <row r="1265" spans="16:27" x14ac:dyDescent="0.2">
      <c r="P1265" s="36"/>
      <c r="Q1265" s="40"/>
      <c r="R1265" s="40"/>
      <c r="S1265" s="40"/>
      <c r="T1265" s="41"/>
      <c r="U1265" s="41"/>
      <c r="V1265" s="41"/>
      <c r="W1265" s="36"/>
      <c r="X1265" s="36"/>
      <c r="Y1265" s="36"/>
      <c r="Z1265" s="36"/>
      <c r="AA1265" s="36"/>
    </row>
    <row r="1266" spans="16:27" x14ac:dyDescent="0.2">
      <c r="P1266" s="36"/>
      <c r="Q1266" s="40"/>
      <c r="R1266" s="40"/>
      <c r="S1266" s="40"/>
      <c r="T1266" s="41"/>
      <c r="U1266" s="41"/>
      <c r="V1266" s="41"/>
      <c r="W1266" s="36"/>
      <c r="X1266" s="36"/>
      <c r="Y1266" s="36"/>
      <c r="Z1266" s="36"/>
      <c r="AA1266" s="36"/>
    </row>
    <row r="1267" spans="16:27" x14ac:dyDescent="0.2">
      <c r="P1267" s="36"/>
      <c r="Q1267" s="40"/>
      <c r="R1267" s="40"/>
      <c r="S1267" s="40"/>
      <c r="T1267" s="41"/>
      <c r="U1267" s="41"/>
      <c r="V1267" s="41"/>
      <c r="W1267" s="36"/>
      <c r="X1267" s="36"/>
      <c r="Y1267" s="36"/>
      <c r="Z1267" s="36"/>
      <c r="AA1267" s="36"/>
    </row>
    <row r="1268" spans="16:27" x14ac:dyDescent="0.2">
      <c r="P1268" s="36"/>
      <c r="Q1268" s="40"/>
      <c r="R1268" s="40"/>
      <c r="S1268" s="40"/>
      <c r="T1268" s="41"/>
      <c r="U1268" s="41"/>
      <c r="V1268" s="41"/>
      <c r="W1268" s="36"/>
      <c r="X1268" s="36"/>
      <c r="Y1268" s="36"/>
      <c r="Z1268" s="36"/>
      <c r="AA1268" s="36"/>
    </row>
    <row r="1269" spans="16:27" x14ac:dyDescent="0.2">
      <c r="P1269" s="36"/>
      <c r="Q1269" s="40"/>
      <c r="R1269" s="40"/>
      <c r="S1269" s="40"/>
      <c r="T1269" s="41"/>
      <c r="U1269" s="41"/>
      <c r="V1269" s="41"/>
      <c r="W1269" s="36"/>
      <c r="X1269" s="36"/>
      <c r="Y1269" s="36"/>
      <c r="Z1269" s="36"/>
      <c r="AA1269" s="36"/>
    </row>
    <row r="1270" spans="16:27" x14ac:dyDescent="0.2">
      <c r="P1270" s="36"/>
      <c r="Q1270" s="40"/>
      <c r="R1270" s="40"/>
      <c r="S1270" s="40"/>
      <c r="T1270" s="41"/>
      <c r="U1270" s="41"/>
      <c r="V1270" s="41"/>
      <c r="W1270" s="36"/>
      <c r="X1270" s="36"/>
      <c r="Y1270" s="36"/>
      <c r="Z1270" s="36"/>
      <c r="AA1270" s="36"/>
    </row>
    <row r="1271" spans="16:27" x14ac:dyDescent="0.2">
      <c r="P1271" s="36"/>
      <c r="Q1271" s="40"/>
      <c r="R1271" s="40"/>
      <c r="S1271" s="40"/>
      <c r="T1271" s="41"/>
      <c r="U1271" s="41"/>
      <c r="V1271" s="41"/>
      <c r="W1271" s="36"/>
      <c r="X1271" s="36"/>
      <c r="Y1271" s="36"/>
      <c r="Z1271" s="36"/>
      <c r="AA1271" s="36"/>
    </row>
    <row r="1272" spans="16:27" x14ac:dyDescent="0.2">
      <c r="P1272" s="36"/>
      <c r="Q1272" s="40"/>
      <c r="R1272" s="40"/>
      <c r="S1272" s="40"/>
      <c r="T1272" s="41"/>
      <c r="U1272" s="41"/>
      <c r="V1272" s="41"/>
      <c r="W1272" s="36"/>
      <c r="X1272" s="36"/>
      <c r="Y1272" s="36"/>
      <c r="Z1272" s="36"/>
      <c r="AA1272" s="36"/>
    </row>
    <row r="1273" spans="16:27" x14ac:dyDescent="0.2">
      <c r="P1273" s="36"/>
      <c r="Q1273" s="40"/>
      <c r="R1273" s="40"/>
      <c r="S1273" s="40"/>
      <c r="T1273" s="41"/>
      <c r="U1273" s="41"/>
      <c r="V1273" s="41"/>
      <c r="W1273" s="36"/>
      <c r="X1273" s="36"/>
      <c r="Y1273" s="36"/>
      <c r="Z1273" s="36"/>
      <c r="AA1273" s="36"/>
    </row>
    <row r="1274" spans="16:27" x14ac:dyDescent="0.2">
      <c r="P1274" s="36"/>
      <c r="Q1274" s="40"/>
      <c r="R1274" s="40"/>
      <c r="S1274" s="40"/>
      <c r="T1274" s="41"/>
      <c r="U1274" s="41"/>
      <c r="V1274" s="41"/>
      <c r="W1274" s="36"/>
      <c r="X1274" s="36"/>
      <c r="Y1274" s="36"/>
      <c r="Z1274" s="36"/>
      <c r="AA1274" s="36"/>
    </row>
    <row r="1275" spans="16:27" x14ac:dyDescent="0.2">
      <c r="P1275" s="36"/>
      <c r="Q1275" s="40"/>
      <c r="R1275" s="40"/>
      <c r="S1275" s="40"/>
      <c r="T1275" s="41"/>
      <c r="U1275" s="41"/>
      <c r="V1275" s="41"/>
      <c r="W1275" s="36"/>
      <c r="X1275" s="36"/>
      <c r="Y1275" s="36"/>
      <c r="Z1275" s="36"/>
      <c r="AA1275" s="36"/>
    </row>
    <row r="1276" spans="16:27" x14ac:dyDescent="0.2">
      <c r="P1276" s="36"/>
      <c r="Q1276" s="40"/>
      <c r="R1276" s="40"/>
      <c r="S1276" s="40"/>
      <c r="T1276" s="41"/>
      <c r="U1276" s="41"/>
      <c r="V1276" s="41"/>
      <c r="W1276" s="36"/>
      <c r="X1276" s="36"/>
      <c r="Y1276" s="36"/>
      <c r="Z1276" s="36"/>
      <c r="AA1276" s="36"/>
    </row>
    <row r="1277" spans="16:27" x14ac:dyDescent="0.2">
      <c r="P1277" s="36"/>
      <c r="Q1277" s="40"/>
      <c r="R1277" s="40"/>
      <c r="S1277" s="40"/>
      <c r="T1277" s="41"/>
      <c r="U1277" s="41"/>
      <c r="V1277" s="41"/>
      <c r="W1277" s="36"/>
      <c r="X1277" s="36"/>
      <c r="Y1277" s="36"/>
      <c r="Z1277" s="36"/>
      <c r="AA1277" s="36"/>
    </row>
    <row r="1278" spans="16:27" x14ac:dyDescent="0.2">
      <c r="P1278" s="36"/>
      <c r="Q1278" s="40"/>
      <c r="R1278" s="40"/>
      <c r="S1278" s="40"/>
      <c r="T1278" s="41"/>
      <c r="U1278" s="41"/>
      <c r="V1278" s="41"/>
      <c r="W1278" s="36"/>
      <c r="X1278" s="36"/>
      <c r="Y1278" s="36"/>
      <c r="Z1278" s="36"/>
      <c r="AA1278" s="36"/>
    </row>
    <row r="1279" spans="16:27" x14ac:dyDescent="0.2">
      <c r="P1279" s="36"/>
      <c r="Q1279" s="40"/>
      <c r="R1279" s="40"/>
      <c r="S1279" s="40"/>
      <c r="T1279" s="41"/>
      <c r="U1279" s="41"/>
      <c r="V1279" s="41"/>
      <c r="W1279" s="36"/>
      <c r="X1279" s="36"/>
      <c r="Y1279" s="36"/>
      <c r="Z1279" s="36"/>
      <c r="AA1279" s="36"/>
    </row>
    <row r="1280" spans="16:27" x14ac:dyDescent="0.2">
      <c r="P1280" s="36"/>
      <c r="Q1280" s="40"/>
      <c r="R1280" s="40"/>
      <c r="S1280" s="40"/>
      <c r="T1280" s="41"/>
      <c r="U1280" s="41"/>
      <c r="V1280" s="41"/>
      <c r="W1280" s="36"/>
      <c r="X1280" s="36"/>
      <c r="Y1280" s="36"/>
      <c r="Z1280" s="36"/>
      <c r="AA1280" s="36"/>
    </row>
    <row r="1281" spans="16:27" x14ac:dyDescent="0.2">
      <c r="P1281" s="36"/>
      <c r="Q1281" s="40"/>
      <c r="R1281" s="40"/>
      <c r="S1281" s="40"/>
      <c r="T1281" s="41"/>
      <c r="U1281" s="41"/>
      <c r="V1281" s="41"/>
      <c r="W1281" s="36"/>
      <c r="X1281" s="36"/>
      <c r="Y1281" s="36"/>
      <c r="Z1281" s="36"/>
      <c r="AA1281" s="36"/>
    </row>
    <row r="1282" spans="16:27" x14ac:dyDescent="0.2">
      <c r="P1282" s="36"/>
      <c r="Q1282" s="40"/>
      <c r="R1282" s="40"/>
      <c r="S1282" s="40"/>
      <c r="T1282" s="41"/>
      <c r="U1282" s="41"/>
      <c r="V1282" s="41"/>
      <c r="W1282" s="36"/>
      <c r="X1282" s="36"/>
      <c r="Y1282" s="36"/>
      <c r="Z1282" s="36"/>
      <c r="AA1282" s="36"/>
    </row>
    <row r="1283" spans="16:27" x14ac:dyDescent="0.2">
      <c r="P1283" s="36"/>
      <c r="Q1283" s="40"/>
      <c r="R1283" s="40"/>
      <c r="S1283" s="40"/>
      <c r="T1283" s="41"/>
      <c r="U1283" s="41"/>
      <c r="V1283" s="41"/>
      <c r="W1283" s="36"/>
      <c r="X1283" s="36"/>
      <c r="Y1283" s="36"/>
      <c r="Z1283" s="36"/>
      <c r="AA1283" s="36"/>
    </row>
    <row r="1284" spans="16:27" x14ac:dyDescent="0.2">
      <c r="P1284" s="36"/>
      <c r="Q1284" s="40"/>
      <c r="R1284" s="40"/>
      <c r="S1284" s="40"/>
      <c r="T1284" s="41"/>
      <c r="U1284" s="41"/>
      <c r="V1284" s="41"/>
      <c r="W1284" s="36"/>
      <c r="X1284" s="36"/>
      <c r="Y1284" s="36"/>
      <c r="Z1284" s="36"/>
      <c r="AA1284" s="36"/>
    </row>
    <row r="1285" spans="16:27" x14ac:dyDescent="0.2">
      <c r="P1285" s="36"/>
      <c r="Q1285" s="40"/>
      <c r="R1285" s="40"/>
      <c r="S1285" s="40"/>
      <c r="T1285" s="41"/>
      <c r="U1285" s="41"/>
      <c r="V1285" s="41"/>
      <c r="W1285" s="36"/>
      <c r="X1285" s="36"/>
      <c r="Y1285" s="36"/>
      <c r="Z1285" s="36"/>
      <c r="AA1285" s="36"/>
    </row>
    <row r="1286" spans="16:27" x14ac:dyDescent="0.2">
      <c r="P1286" s="36"/>
      <c r="Q1286" s="40"/>
      <c r="R1286" s="40"/>
      <c r="S1286" s="40"/>
      <c r="T1286" s="41"/>
      <c r="U1286" s="41"/>
      <c r="V1286" s="41"/>
      <c r="W1286" s="36"/>
      <c r="X1286" s="36"/>
      <c r="Y1286" s="36"/>
      <c r="Z1286" s="36"/>
      <c r="AA1286" s="36"/>
    </row>
    <row r="1287" spans="16:27" x14ac:dyDescent="0.2">
      <c r="P1287" s="36"/>
      <c r="Q1287" s="40"/>
      <c r="R1287" s="40"/>
      <c r="S1287" s="40"/>
      <c r="T1287" s="41"/>
      <c r="U1287" s="41"/>
      <c r="V1287" s="41"/>
      <c r="W1287" s="36"/>
      <c r="X1287" s="36"/>
      <c r="Y1287" s="36"/>
      <c r="Z1287" s="36"/>
      <c r="AA1287" s="36"/>
    </row>
    <row r="1288" spans="16:27" x14ac:dyDescent="0.2">
      <c r="P1288" s="36"/>
      <c r="Q1288" s="40"/>
      <c r="R1288" s="40"/>
      <c r="S1288" s="40"/>
      <c r="T1288" s="41"/>
      <c r="U1288" s="41"/>
      <c r="V1288" s="41"/>
      <c r="W1288" s="36"/>
      <c r="X1288" s="36"/>
      <c r="Y1288" s="36"/>
      <c r="Z1288" s="36"/>
      <c r="AA1288" s="36"/>
    </row>
    <row r="1289" spans="16:27" x14ac:dyDescent="0.2">
      <c r="P1289" s="36"/>
      <c r="Q1289" s="40"/>
      <c r="R1289" s="40"/>
      <c r="S1289" s="40"/>
      <c r="T1289" s="41"/>
      <c r="U1289" s="41"/>
      <c r="V1289" s="41"/>
      <c r="W1289" s="36"/>
      <c r="X1289" s="36"/>
      <c r="Y1289" s="36"/>
      <c r="Z1289" s="36"/>
      <c r="AA1289" s="36"/>
    </row>
    <row r="1290" spans="16:27" x14ac:dyDescent="0.2">
      <c r="P1290" s="36"/>
      <c r="Q1290" s="40"/>
      <c r="R1290" s="40"/>
      <c r="S1290" s="40"/>
      <c r="T1290" s="41"/>
      <c r="U1290" s="41"/>
      <c r="V1290" s="41"/>
      <c r="W1290" s="36"/>
      <c r="X1290" s="36"/>
      <c r="Y1290" s="36"/>
      <c r="Z1290" s="36"/>
      <c r="AA1290" s="36"/>
    </row>
    <row r="1291" spans="16:27" x14ac:dyDescent="0.2">
      <c r="P1291" s="36"/>
      <c r="Q1291" s="40"/>
      <c r="R1291" s="40"/>
      <c r="S1291" s="40"/>
      <c r="T1291" s="41"/>
      <c r="U1291" s="41"/>
      <c r="V1291" s="41"/>
      <c r="W1291" s="36"/>
      <c r="X1291" s="36"/>
      <c r="Y1291" s="36"/>
      <c r="Z1291" s="36"/>
      <c r="AA1291" s="36"/>
    </row>
    <row r="1292" spans="16:27" x14ac:dyDescent="0.2">
      <c r="P1292" s="36"/>
      <c r="Q1292" s="40"/>
      <c r="R1292" s="40"/>
      <c r="S1292" s="40"/>
      <c r="T1292" s="41"/>
      <c r="U1292" s="41"/>
      <c r="V1292" s="41"/>
      <c r="W1292" s="36"/>
      <c r="X1292" s="36"/>
      <c r="Y1292" s="36"/>
      <c r="Z1292" s="36"/>
      <c r="AA1292" s="36"/>
    </row>
    <row r="1293" spans="16:27" x14ac:dyDescent="0.2">
      <c r="P1293" s="36"/>
      <c r="Q1293" s="40"/>
      <c r="R1293" s="40"/>
      <c r="S1293" s="40"/>
      <c r="T1293" s="41"/>
      <c r="U1293" s="41"/>
      <c r="V1293" s="41"/>
      <c r="W1293" s="36"/>
      <c r="X1293" s="36"/>
      <c r="Y1293" s="36"/>
      <c r="Z1293" s="36"/>
      <c r="AA1293" s="36"/>
    </row>
    <row r="1294" spans="16:27" x14ac:dyDescent="0.2">
      <c r="P1294" s="36"/>
      <c r="Q1294" s="40"/>
      <c r="R1294" s="40"/>
      <c r="S1294" s="40"/>
      <c r="T1294" s="41"/>
      <c r="U1294" s="41"/>
      <c r="V1294" s="41"/>
      <c r="W1294" s="36"/>
      <c r="X1294" s="36"/>
      <c r="Y1294" s="36"/>
      <c r="Z1294" s="36"/>
      <c r="AA1294" s="36"/>
    </row>
    <row r="1295" spans="16:27" x14ac:dyDescent="0.2">
      <c r="P1295" s="36"/>
      <c r="Q1295" s="40"/>
      <c r="R1295" s="40"/>
      <c r="S1295" s="40"/>
      <c r="T1295" s="41"/>
      <c r="U1295" s="41"/>
      <c r="V1295" s="41"/>
      <c r="W1295" s="36"/>
      <c r="X1295" s="36"/>
      <c r="Y1295" s="36"/>
      <c r="Z1295" s="36"/>
      <c r="AA1295" s="36"/>
    </row>
    <row r="1296" spans="16:27" x14ac:dyDescent="0.2">
      <c r="P1296" s="36"/>
      <c r="Q1296" s="40"/>
      <c r="R1296" s="40"/>
      <c r="S1296" s="40"/>
      <c r="T1296" s="41"/>
      <c r="U1296" s="41"/>
      <c r="V1296" s="41"/>
      <c r="W1296" s="36"/>
      <c r="X1296" s="36"/>
      <c r="Y1296" s="36"/>
      <c r="Z1296" s="36"/>
      <c r="AA1296" s="36"/>
    </row>
    <row r="1297" spans="16:27" x14ac:dyDescent="0.2">
      <c r="P1297" s="36"/>
      <c r="Q1297" s="40"/>
      <c r="R1297" s="40"/>
      <c r="S1297" s="40"/>
      <c r="T1297" s="41"/>
      <c r="U1297" s="41"/>
      <c r="V1297" s="41"/>
      <c r="W1297" s="36"/>
      <c r="X1297" s="36"/>
      <c r="Y1297" s="36"/>
      <c r="Z1297" s="36"/>
      <c r="AA1297" s="36"/>
    </row>
    <row r="1298" spans="16:27" x14ac:dyDescent="0.2">
      <c r="P1298" s="36"/>
      <c r="Q1298" s="40"/>
      <c r="R1298" s="40"/>
      <c r="S1298" s="40"/>
      <c r="T1298" s="41"/>
      <c r="U1298" s="41"/>
      <c r="V1298" s="41"/>
      <c r="W1298" s="36"/>
      <c r="X1298" s="36"/>
      <c r="Y1298" s="36"/>
      <c r="Z1298" s="36"/>
      <c r="AA1298" s="36"/>
    </row>
    <row r="1299" spans="16:27" x14ac:dyDescent="0.2">
      <c r="P1299" s="36"/>
      <c r="Q1299" s="40"/>
      <c r="R1299" s="40"/>
      <c r="S1299" s="40"/>
      <c r="T1299" s="41"/>
      <c r="U1299" s="41"/>
      <c r="V1299" s="41"/>
      <c r="W1299" s="36"/>
      <c r="X1299" s="36"/>
      <c r="Y1299" s="36"/>
      <c r="Z1299" s="36"/>
      <c r="AA1299" s="36"/>
    </row>
    <row r="1300" spans="16:27" x14ac:dyDescent="0.2">
      <c r="P1300" s="36"/>
      <c r="Q1300" s="40"/>
      <c r="R1300" s="40"/>
      <c r="S1300" s="40"/>
      <c r="T1300" s="41"/>
      <c r="U1300" s="41"/>
      <c r="V1300" s="41"/>
      <c r="W1300" s="36"/>
      <c r="X1300" s="36"/>
      <c r="Y1300" s="36"/>
      <c r="Z1300" s="36"/>
      <c r="AA1300" s="36"/>
    </row>
    <row r="1301" spans="16:27" x14ac:dyDescent="0.2">
      <c r="P1301" s="36"/>
      <c r="Q1301" s="40"/>
      <c r="R1301" s="40"/>
      <c r="S1301" s="40"/>
      <c r="T1301" s="41"/>
      <c r="U1301" s="41"/>
      <c r="V1301" s="41"/>
      <c r="W1301" s="36"/>
      <c r="X1301" s="36"/>
      <c r="Y1301" s="36"/>
      <c r="Z1301" s="36"/>
      <c r="AA1301" s="36"/>
    </row>
    <row r="1302" spans="16:27" x14ac:dyDescent="0.2">
      <c r="P1302" s="36"/>
      <c r="Q1302" s="40"/>
      <c r="R1302" s="40"/>
      <c r="S1302" s="40"/>
      <c r="T1302" s="41"/>
      <c r="U1302" s="41"/>
      <c r="V1302" s="41"/>
      <c r="W1302" s="36"/>
      <c r="X1302" s="36"/>
      <c r="Y1302" s="36"/>
      <c r="Z1302" s="36"/>
      <c r="AA1302" s="36"/>
    </row>
    <row r="1303" spans="16:27" x14ac:dyDescent="0.2">
      <c r="P1303" s="36"/>
      <c r="Q1303" s="40"/>
      <c r="R1303" s="40"/>
      <c r="S1303" s="40"/>
      <c r="T1303" s="41"/>
      <c r="U1303" s="41"/>
      <c r="V1303" s="41"/>
      <c r="W1303" s="36"/>
      <c r="X1303" s="36"/>
      <c r="Y1303" s="36"/>
      <c r="Z1303" s="36"/>
      <c r="AA1303" s="36"/>
    </row>
    <row r="1304" spans="16:27" x14ac:dyDescent="0.2">
      <c r="P1304" s="36"/>
      <c r="Q1304" s="40"/>
      <c r="R1304" s="40"/>
      <c r="S1304" s="40"/>
      <c r="T1304" s="41"/>
      <c r="U1304" s="41"/>
      <c r="V1304" s="41"/>
      <c r="W1304" s="36"/>
      <c r="X1304" s="36"/>
      <c r="Y1304" s="36"/>
      <c r="Z1304" s="36"/>
      <c r="AA1304" s="36"/>
    </row>
    <row r="1305" spans="16:27" x14ac:dyDescent="0.2">
      <c r="P1305" s="36"/>
      <c r="Q1305" s="40"/>
      <c r="R1305" s="40"/>
      <c r="S1305" s="40"/>
      <c r="T1305" s="41"/>
      <c r="U1305" s="41"/>
      <c r="V1305" s="41"/>
      <c r="W1305" s="36"/>
      <c r="X1305" s="36"/>
      <c r="Y1305" s="36"/>
      <c r="Z1305" s="36"/>
      <c r="AA1305" s="36"/>
    </row>
    <row r="1306" spans="16:27" x14ac:dyDescent="0.2">
      <c r="P1306" s="36"/>
      <c r="Q1306" s="40"/>
      <c r="R1306" s="40"/>
      <c r="S1306" s="40"/>
      <c r="T1306" s="41"/>
      <c r="U1306" s="41"/>
      <c r="V1306" s="41"/>
      <c r="W1306" s="36"/>
      <c r="X1306" s="36"/>
      <c r="Y1306" s="36"/>
      <c r="Z1306" s="36"/>
      <c r="AA1306" s="36"/>
    </row>
    <row r="1307" spans="16:27" x14ac:dyDescent="0.2">
      <c r="P1307" s="36"/>
      <c r="Q1307" s="40"/>
      <c r="R1307" s="40"/>
      <c r="S1307" s="40"/>
      <c r="T1307" s="41"/>
      <c r="U1307" s="41"/>
      <c r="V1307" s="41"/>
      <c r="W1307" s="36"/>
      <c r="X1307" s="36"/>
      <c r="Y1307" s="36"/>
      <c r="Z1307" s="36"/>
      <c r="AA1307" s="36"/>
    </row>
    <row r="1308" spans="16:27" x14ac:dyDescent="0.2">
      <c r="P1308" s="36"/>
      <c r="Q1308" s="40"/>
      <c r="R1308" s="40"/>
      <c r="S1308" s="40"/>
      <c r="T1308" s="41"/>
      <c r="U1308" s="41"/>
      <c r="V1308" s="41"/>
      <c r="W1308" s="36"/>
      <c r="X1308" s="36"/>
      <c r="Y1308" s="36"/>
      <c r="Z1308" s="36"/>
      <c r="AA1308" s="36"/>
    </row>
    <row r="1309" spans="16:27" x14ac:dyDescent="0.2">
      <c r="P1309" s="36"/>
      <c r="Q1309" s="40"/>
      <c r="R1309" s="40"/>
      <c r="S1309" s="40"/>
      <c r="T1309" s="41"/>
      <c r="U1309" s="41"/>
      <c r="V1309" s="41"/>
      <c r="W1309" s="36"/>
      <c r="X1309" s="36"/>
      <c r="Y1309" s="36"/>
      <c r="Z1309" s="36"/>
      <c r="AA1309" s="36"/>
    </row>
    <row r="1310" spans="16:27" x14ac:dyDescent="0.2">
      <c r="P1310" s="36"/>
      <c r="Q1310" s="40"/>
      <c r="R1310" s="40"/>
      <c r="S1310" s="40"/>
      <c r="T1310" s="41"/>
      <c r="U1310" s="41"/>
      <c r="V1310" s="41"/>
      <c r="W1310" s="36"/>
      <c r="X1310" s="36"/>
      <c r="Y1310" s="36"/>
      <c r="Z1310" s="36"/>
      <c r="AA1310" s="36"/>
    </row>
    <row r="1311" spans="16:27" x14ac:dyDescent="0.2">
      <c r="P1311" s="36"/>
      <c r="Q1311" s="40"/>
      <c r="R1311" s="40"/>
      <c r="S1311" s="40"/>
      <c r="T1311" s="41"/>
      <c r="U1311" s="41"/>
      <c r="V1311" s="36"/>
      <c r="W1311" s="36"/>
      <c r="X1311" s="36"/>
      <c r="Y1311" s="36"/>
      <c r="Z1311" s="36"/>
      <c r="AA1311" s="36"/>
    </row>
    <row r="1312" spans="16:27" x14ac:dyDescent="0.2">
      <c r="P1312" s="36"/>
      <c r="Q1312" s="40"/>
      <c r="R1312" s="40"/>
      <c r="S1312" s="40"/>
      <c r="T1312" s="41"/>
      <c r="U1312" s="41"/>
      <c r="V1312" s="36"/>
      <c r="W1312" s="36"/>
      <c r="X1312" s="36"/>
      <c r="Y1312" s="36"/>
      <c r="Z1312" s="36"/>
      <c r="AA1312" s="36"/>
    </row>
    <row r="1313" spans="16:27" x14ac:dyDescent="0.2">
      <c r="P1313" s="36"/>
      <c r="Q1313" s="40"/>
      <c r="R1313" s="40"/>
      <c r="S1313" s="40"/>
      <c r="T1313" s="41"/>
      <c r="U1313" s="41"/>
      <c r="V1313" s="36"/>
      <c r="W1313" s="36"/>
      <c r="X1313" s="36"/>
      <c r="Y1313" s="36"/>
      <c r="Z1313" s="36"/>
      <c r="AA1313" s="36"/>
    </row>
    <row r="1314" spans="16:27" x14ac:dyDescent="0.2">
      <c r="P1314" s="36"/>
      <c r="Q1314" s="40"/>
      <c r="R1314" s="40"/>
      <c r="S1314" s="40"/>
      <c r="T1314" s="41"/>
      <c r="U1314" s="41"/>
      <c r="V1314" s="36"/>
      <c r="W1314" s="36"/>
      <c r="X1314" s="36"/>
      <c r="Y1314" s="36"/>
      <c r="Z1314" s="36"/>
      <c r="AA1314" s="36"/>
    </row>
    <row r="1315" spans="16:27" x14ac:dyDescent="0.2">
      <c r="P1315" s="36"/>
      <c r="Q1315" s="40"/>
      <c r="R1315" s="40"/>
      <c r="S1315" s="40"/>
      <c r="T1315" s="41"/>
      <c r="U1315" s="41"/>
      <c r="V1315" s="36"/>
      <c r="W1315" s="36"/>
      <c r="X1315" s="36"/>
      <c r="Y1315" s="36"/>
      <c r="Z1315" s="36"/>
      <c r="AA1315" s="36"/>
    </row>
    <row r="1316" spans="16:27" x14ac:dyDescent="0.2">
      <c r="P1316" s="36"/>
      <c r="Q1316" s="40"/>
      <c r="R1316" s="40"/>
      <c r="S1316" s="40"/>
      <c r="T1316" s="41"/>
      <c r="U1316" s="41"/>
      <c r="V1316" s="36"/>
      <c r="W1316" s="36"/>
      <c r="X1316" s="36"/>
      <c r="Y1316" s="36"/>
      <c r="Z1316" s="36"/>
      <c r="AA1316" s="36"/>
    </row>
    <row r="1317" spans="16:27" x14ac:dyDescent="0.2">
      <c r="P1317" s="36"/>
      <c r="Q1317" s="40"/>
      <c r="R1317" s="40"/>
      <c r="S1317" s="40"/>
      <c r="T1317" s="41"/>
      <c r="U1317" s="41"/>
      <c r="V1317" s="36"/>
      <c r="W1317" s="36"/>
      <c r="X1317" s="36"/>
      <c r="Y1317" s="36"/>
      <c r="Z1317" s="36"/>
      <c r="AA1317" s="36"/>
    </row>
    <row r="1318" spans="16:27" x14ac:dyDescent="0.2">
      <c r="P1318" s="36"/>
      <c r="Q1318" s="40"/>
      <c r="R1318" s="40"/>
      <c r="S1318" s="40"/>
      <c r="T1318" s="41"/>
      <c r="U1318" s="41"/>
      <c r="V1318" s="36"/>
      <c r="W1318" s="36"/>
      <c r="X1318" s="36"/>
      <c r="Y1318" s="36"/>
      <c r="Z1318" s="36"/>
      <c r="AA1318" s="36"/>
    </row>
    <row r="1319" spans="16:27" x14ac:dyDescent="0.2">
      <c r="P1319" s="36"/>
      <c r="Q1319" s="40"/>
      <c r="R1319" s="40"/>
      <c r="S1319" s="40"/>
      <c r="T1319" s="41"/>
      <c r="U1319" s="41"/>
      <c r="V1319" s="36"/>
      <c r="W1319" s="36"/>
      <c r="X1319" s="36"/>
      <c r="Y1319" s="36"/>
      <c r="Z1319" s="36"/>
      <c r="AA1319" s="36"/>
    </row>
    <row r="1320" spans="16:27" x14ac:dyDescent="0.2">
      <c r="P1320" s="36"/>
      <c r="Q1320" s="40"/>
      <c r="R1320" s="40"/>
      <c r="S1320" s="40"/>
      <c r="T1320" s="41"/>
      <c r="U1320" s="41"/>
      <c r="V1320" s="36"/>
      <c r="W1320" s="36"/>
      <c r="X1320" s="36"/>
      <c r="Y1320" s="36"/>
      <c r="Z1320" s="36"/>
      <c r="AA1320" s="36"/>
    </row>
    <row r="1321" spans="16:27" x14ac:dyDescent="0.2">
      <c r="P1321" s="36"/>
      <c r="Q1321" s="40"/>
      <c r="R1321" s="40"/>
      <c r="S1321" s="40"/>
      <c r="T1321" s="41"/>
      <c r="U1321" s="41"/>
      <c r="V1321" s="36"/>
      <c r="W1321" s="36"/>
      <c r="X1321" s="36"/>
      <c r="Y1321" s="36"/>
      <c r="Z1321" s="36"/>
      <c r="AA1321" s="36"/>
    </row>
    <row r="1322" spans="16:27" x14ac:dyDescent="0.2">
      <c r="P1322" s="36"/>
      <c r="Q1322" s="40"/>
      <c r="R1322" s="40"/>
      <c r="S1322" s="40"/>
      <c r="T1322" s="41"/>
      <c r="U1322" s="41"/>
      <c r="V1322" s="36"/>
      <c r="W1322" s="36"/>
      <c r="X1322" s="36"/>
      <c r="Y1322" s="36"/>
      <c r="Z1322" s="36"/>
      <c r="AA1322" s="36"/>
    </row>
    <row r="1323" spans="16:27" x14ac:dyDescent="0.2">
      <c r="P1323" s="36"/>
      <c r="Q1323" s="40"/>
      <c r="R1323" s="40"/>
      <c r="S1323" s="40"/>
      <c r="T1323" s="41"/>
      <c r="U1323" s="41"/>
      <c r="V1323" s="36"/>
      <c r="W1323" s="36"/>
      <c r="X1323" s="36"/>
      <c r="Y1323" s="36"/>
      <c r="Z1323" s="36"/>
      <c r="AA1323" s="36"/>
    </row>
    <row r="1324" spans="16:27" x14ac:dyDescent="0.2">
      <c r="P1324" s="36"/>
      <c r="Q1324" s="40"/>
      <c r="R1324" s="40"/>
      <c r="S1324" s="40"/>
      <c r="T1324" s="41"/>
      <c r="U1324" s="41"/>
      <c r="V1324" s="36"/>
      <c r="W1324" s="36"/>
      <c r="X1324" s="36"/>
      <c r="Y1324" s="36"/>
      <c r="Z1324" s="36"/>
      <c r="AA1324" s="36"/>
    </row>
    <row r="1325" spans="16:27" x14ac:dyDescent="0.2">
      <c r="P1325" s="36"/>
      <c r="Q1325" s="40"/>
      <c r="R1325" s="40"/>
      <c r="S1325" s="40"/>
      <c r="T1325" s="41"/>
      <c r="U1325" s="41"/>
      <c r="V1325" s="36"/>
      <c r="W1325" s="36"/>
      <c r="X1325" s="36"/>
      <c r="Y1325" s="36"/>
      <c r="Z1325" s="36"/>
      <c r="AA1325" s="36"/>
    </row>
    <row r="1326" spans="16:27" x14ac:dyDescent="0.2">
      <c r="P1326" s="36"/>
      <c r="Q1326" s="40"/>
      <c r="R1326" s="40"/>
      <c r="S1326" s="40"/>
      <c r="T1326" s="41"/>
      <c r="U1326" s="41"/>
      <c r="V1326" s="36"/>
      <c r="W1326" s="36"/>
      <c r="X1326" s="36"/>
      <c r="Y1326" s="36"/>
      <c r="Z1326" s="36"/>
      <c r="AA1326" s="36"/>
    </row>
    <row r="1327" spans="16:27" x14ac:dyDescent="0.2">
      <c r="P1327" s="36"/>
      <c r="Q1327" s="40"/>
      <c r="R1327" s="40"/>
      <c r="S1327" s="40"/>
      <c r="T1327" s="41"/>
      <c r="U1327" s="41"/>
      <c r="V1327" s="36"/>
      <c r="W1327" s="36"/>
      <c r="X1327" s="36"/>
      <c r="Y1327" s="36"/>
      <c r="Z1327" s="36"/>
      <c r="AA1327" s="36"/>
    </row>
    <row r="1328" spans="16:27" x14ac:dyDescent="0.2">
      <c r="P1328" s="36"/>
      <c r="Q1328" s="40"/>
      <c r="R1328" s="40"/>
      <c r="S1328" s="40"/>
      <c r="T1328" s="41"/>
      <c r="U1328" s="41"/>
      <c r="V1328" s="36"/>
      <c r="W1328" s="36"/>
      <c r="X1328" s="36"/>
      <c r="Y1328" s="36"/>
      <c r="Z1328" s="36"/>
      <c r="AA1328" s="36"/>
    </row>
    <row r="1329" spans="16:27" x14ac:dyDescent="0.2">
      <c r="P1329" s="36"/>
      <c r="Q1329" s="40"/>
      <c r="R1329" s="40"/>
      <c r="S1329" s="40"/>
      <c r="T1329" s="41"/>
      <c r="U1329" s="41"/>
      <c r="V1329" s="36"/>
      <c r="W1329" s="36"/>
      <c r="X1329" s="36"/>
      <c r="Y1329" s="36"/>
      <c r="Z1329" s="36"/>
      <c r="AA1329" s="36"/>
    </row>
    <row r="1330" spans="16:27" x14ac:dyDescent="0.2">
      <c r="P1330" s="36"/>
      <c r="Q1330" s="40"/>
      <c r="R1330" s="40"/>
      <c r="S1330" s="40"/>
      <c r="T1330" s="41"/>
      <c r="U1330" s="41"/>
      <c r="V1330" s="36"/>
      <c r="W1330" s="36"/>
      <c r="X1330" s="36"/>
      <c r="Y1330" s="36"/>
      <c r="Z1330" s="36"/>
      <c r="AA1330" s="36"/>
    </row>
    <row r="1331" spans="16:27" x14ac:dyDescent="0.2">
      <c r="P1331" s="36"/>
      <c r="Q1331" s="40"/>
      <c r="R1331" s="40"/>
      <c r="S1331" s="40"/>
      <c r="T1331" s="41"/>
      <c r="U1331" s="41"/>
      <c r="V1331" s="36"/>
      <c r="W1331" s="36"/>
      <c r="X1331" s="36"/>
      <c r="Y1331" s="36"/>
      <c r="Z1331" s="36"/>
      <c r="AA1331" s="36"/>
    </row>
    <row r="1332" spans="16:27" x14ac:dyDescent="0.2">
      <c r="P1332" s="36"/>
      <c r="Q1332" s="40"/>
      <c r="R1332" s="40"/>
      <c r="S1332" s="40"/>
      <c r="T1332" s="41"/>
      <c r="U1332" s="41"/>
      <c r="V1332" s="36"/>
      <c r="W1332" s="36"/>
      <c r="X1332" s="36"/>
      <c r="Y1332" s="36"/>
      <c r="Z1332" s="36"/>
      <c r="AA1332" s="36"/>
    </row>
    <row r="1333" spans="16:27" x14ac:dyDescent="0.2">
      <c r="P1333" s="36"/>
      <c r="Q1333" s="40"/>
      <c r="R1333" s="40"/>
      <c r="S1333" s="40"/>
      <c r="T1333" s="41"/>
      <c r="U1333" s="41"/>
      <c r="V1333" s="36"/>
      <c r="W1333" s="36"/>
      <c r="X1333" s="36"/>
      <c r="Y1333" s="36"/>
      <c r="Z1333" s="36"/>
      <c r="AA1333" s="36"/>
    </row>
    <row r="1334" spans="16:27" x14ac:dyDescent="0.2">
      <c r="P1334" s="36"/>
      <c r="Q1334" s="40"/>
      <c r="R1334" s="40"/>
      <c r="S1334" s="40"/>
      <c r="T1334" s="41"/>
      <c r="U1334" s="41"/>
      <c r="V1334" s="36"/>
      <c r="W1334" s="36"/>
      <c r="X1334" s="36"/>
      <c r="Y1334" s="36"/>
      <c r="Z1334" s="36"/>
      <c r="AA1334" s="36"/>
    </row>
    <row r="1335" spans="16:27" x14ac:dyDescent="0.2">
      <c r="P1335" s="36"/>
      <c r="Q1335" s="40"/>
      <c r="R1335" s="40"/>
      <c r="S1335" s="40"/>
      <c r="T1335" s="41"/>
      <c r="U1335" s="41"/>
      <c r="V1335" s="36"/>
      <c r="W1335" s="36"/>
      <c r="X1335" s="36"/>
      <c r="Y1335" s="36"/>
      <c r="Z1335" s="36"/>
      <c r="AA1335" s="36"/>
    </row>
    <row r="1336" spans="16:27" x14ac:dyDescent="0.2">
      <c r="P1336" s="36"/>
      <c r="Q1336" s="40"/>
      <c r="R1336" s="40"/>
      <c r="S1336" s="40"/>
      <c r="T1336" s="41"/>
      <c r="U1336" s="41"/>
      <c r="V1336" s="36"/>
      <c r="W1336" s="36"/>
      <c r="X1336" s="36"/>
      <c r="Y1336" s="36"/>
      <c r="Z1336" s="36"/>
      <c r="AA1336" s="36"/>
    </row>
    <row r="1337" spans="16:27" x14ac:dyDescent="0.2">
      <c r="P1337" s="36"/>
      <c r="Q1337" s="40"/>
      <c r="R1337" s="40"/>
      <c r="S1337" s="40"/>
      <c r="T1337" s="41"/>
      <c r="U1337" s="41"/>
      <c r="V1337" s="36"/>
      <c r="W1337" s="36"/>
      <c r="X1337" s="36"/>
      <c r="Y1337" s="36"/>
      <c r="Z1337" s="36"/>
      <c r="AA1337" s="36"/>
    </row>
    <row r="1338" spans="16:27" x14ac:dyDescent="0.2">
      <c r="P1338" s="36"/>
      <c r="Q1338" s="40"/>
      <c r="R1338" s="40"/>
      <c r="S1338" s="40"/>
      <c r="T1338" s="41"/>
      <c r="U1338" s="41"/>
      <c r="V1338" s="36"/>
      <c r="W1338" s="36"/>
      <c r="X1338" s="36"/>
      <c r="Y1338" s="36"/>
      <c r="Z1338" s="36"/>
      <c r="AA1338" s="36"/>
    </row>
    <row r="1339" spans="16:27" x14ac:dyDescent="0.2">
      <c r="P1339" s="36"/>
      <c r="Q1339" s="40"/>
      <c r="R1339" s="40"/>
      <c r="S1339" s="40"/>
      <c r="T1339" s="41"/>
      <c r="U1339" s="41"/>
      <c r="V1339" s="36"/>
      <c r="W1339" s="36"/>
      <c r="X1339" s="36"/>
      <c r="Y1339" s="36"/>
      <c r="Z1339" s="36"/>
      <c r="AA1339" s="36"/>
    </row>
    <row r="1340" spans="16:27" x14ac:dyDescent="0.2">
      <c r="P1340" s="36"/>
      <c r="Q1340" s="40"/>
      <c r="R1340" s="40"/>
      <c r="S1340" s="40"/>
      <c r="T1340" s="41"/>
      <c r="U1340" s="41"/>
      <c r="V1340" s="36"/>
      <c r="W1340" s="36"/>
      <c r="X1340" s="36"/>
      <c r="Y1340" s="36"/>
      <c r="Z1340" s="36"/>
      <c r="AA1340" s="36"/>
    </row>
    <row r="1341" spans="16:27" x14ac:dyDescent="0.2">
      <c r="P1341" s="36"/>
      <c r="Q1341" s="40"/>
      <c r="R1341" s="40"/>
      <c r="S1341" s="40"/>
      <c r="T1341" s="41"/>
      <c r="U1341" s="41"/>
      <c r="V1341" s="36"/>
      <c r="W1341" s="36"/>
      <c r="X1341" s="36"/>
      <c r="Y1341" s="36"/>
      <c r="Z1341" s="36"/>
      <c r="AA1341" s="36"/>
    </row>
    <row r="1342" spans="16:27" x14ac:dyDescent="0.2">
      <c r="P1342" s="36"/>
      <c r="Q1342" s="40"/>
      <c r="R1342" s="40"/>
      <c r="S1342" s="40"/>
      <c r="T1342" s="41"/>
      <c r="U1342" s="41"/>
      <c r="V1342" s="36"/>
      <c r="W1342" s="36"/>
      <c r="X1342" s="36"/>
      <c r="Y1342" s="36"/>
      <c r="Z1342" s="36"/>
      <c r="AA1342" s="36"/>
    </row>
    <row r="1343" spans="16:27" x14ac:dyDescent="0.2">
      <c r="P1343" s="36"/>
      <c r="Q1343" s="40"/>
      <c r="R1343" s="40"/>
      <c r="S1343" s="40"/>
      <c r="T1343" s="41"/>
      <c r="U1343" s="41"/>
      <c r="V1343" s="36"/>
      <c r="W1343" s="36"/>
      <c r="X1343" s="36"/>
      <c r="Y1343" s="36"/>
      <c r="Z1343" s="36"/>
      <c r="AA1343" s="36"/>
    </row>
    <row r="1344" spans="16:27" x14ac:dyDescent="0.2">
      <c r="P1344" s="36"/>
      <c r="Q1344" s="40"/>
      <c r="R1344" s="40"/>
      <c r="S1344" s="40"/>
      <c r="T1344" s="41"/>
      <c r="U1344" s="41"/>
      <c r="V1344" s="36"/>
      <c r="W1344" s="36"/>
      <c r="X1344" s="36"/>
      <c r="Y1344" s="36"/>
      <c r="Z1344" s="36"/>
      <c r="AA1344" s="36"/>
    </row>
    <row r="1345" spans="16:27" x14ac:dyDescent="0.2">
      <c r="P1345" s="36"/>
      <c r="Q1345" s="40"/>
      <c r="R1345" s="40"/>
      <c r="S1345" s="40"/>
      <c r="T1345" s="41"/>
      <c r="U1345" s="41"/>
      <c r="V1345" s="36"/>
      <c r="W1345" s="36"/>
      <c r="X1345" s="36"/>
      <c r="Y1345" s="36"/>
      <c r="Z1345" s="36"/>
      <c r="AA1345" s="36"/>
    </row>
    <row r="1346" spans="16:27" x14ac:dyDescent="0.2">
      <c r="P1346" s="36"/>
      <c r="Q1346" s="40"/>
      <c r="R1346" s="40"/>
      <c r="S1346" s="40"/>
      <c r="T1346" s="41"/>
      <c r="U1346" s="41"/>
      <c r="V1346" s="36"/>
      <c r="W1346" s="36"/>
      <c r="X1346" s="36"/>
      <c r="Y1346" s="36"/>
      <c r="Z1346" s="36"/>
      <c r="AA1346" s="36"/>
    </row>
    <row r="1347" spans="16:27" x14ac:dyDescent="0.2">
      <c r="P1347" s="36"/>
      <c r="Q1347" s="40"/>
      <c r="R1347" s="40"/>
      <c r="S1347" s="40"/>
      <c r="T1347" s="41"/>
      <c r="U1347" s="41"/>
      <c r="V1347" s="36"/>
      <c r="W1347" s="36"/>
      <c r="X1347" s="36"/>
      <c r="Y1347" s="36"/>
      <c r="Z1347" s="36"/>
      <c r="AA1347" s="36"/>
    </row>
    <row r="1348" spans="16:27" x14ac:dyDescent="0.2">
      <c r="P1348" s="36"/>
      <c r="Q1348" s="40"/>
      <c r="R1348" s="40"/>
      <c r="S1348" s="40"/>
      <c r="T1348" s="41"/>
      <c r="U1348" s="41"/>
      <c r="V1348" s="36"/>
      <c r="W1348" s="36"/>
      <c r="X1348" s="36"/>
      <c r="Y1348" s="36"/>
      <c r="Z1348" s="36"/>
      <c r="AA1348" s="36"/>
    </row>
    <row r="1349" spans="16:27" x14ac:dyDescent="0.2">
      <c r="P1349" s="36"/>
      <c r="Q1349" s="40"/>
      <c r="R1349" s="40"/>
      <c r="S1349" s="40"/>
      <c r="T1349" s="41"/>
      <c r="U1349" s="41"/>
      <c r="V1349" s="36"/>
      <c r="W1349" s="36"/>
      <c r="X1349" s="36"/>
      <c r="Y1349" s="36"/>
      <c r="Z1349" s="36"/>
      <c r="AA1349" s="36"/>
    </row>
    <row r="1350" spans="16:27" x14ac:dyDescent="0.2">
      <c r="P1350" s="36"/>
      <c r="Q1350" s="40"/>
      <c r="R1350" s="40"/>
      <c r="S1350" s="40"/>
      <c r="T1350" s="41"/>
      <c r="U1350" s="41"/>
      <c r="V1350" s="36"/>
      <c r="W1350" s="36"/>
      <c r="X1350" s="36"/>
      <c r="Y1350" s="36"/>
      <c r="Z1350" s="36"/>
      <c r="AA1350" s="36"/>
    </row>
    <row r="1351" spans="16:27" x14ac:dyDescent="0.2">
      <c r="P1351" s="36"/>
      <c r="Q1351" s="40"/>
      <c r="R1351" s="40"/>
      <c r="S1351" s="40"/>
      <c r="T1351" s="41"/>
      <c r="U1351" s="41"/>
      <c r="V1351" s="36"/>
      <c r="W1351" s="36"/>
      <c r="X1351" s="36"/>
      <c r="Y1351" s="36"/>
      <c r="Z1351" s="36"/>
      <c r="AA1351" s="36"/>
    </row>
    <row r="1352" spans="16:27" x14ac:dyDescent="0.2">
      <c r="P1352" s="36"/>
      <c r="Q1352" s="40"/>
      <c r="R1352" s="40"/>
      <c r="S1352" s="40"/>
      <c r="T1352" s="41"/>
      <c r="U1352" s="41"/>
      <c r="V1352" s="36"/>
      <c r="W1352" s="36"/>
      <c r="X1352" s="36"/>
      <c r="Y1352" s="36"/>
      <c r="Z1352" s="36"/>
      <c r="AA1352" s="36"/>
    </row>
    <row r="1353" spans="16:27" x14ac:dyDescent="0.2">
      <c r="P1353" s="36"/>
      <c r="Q1353" s="40"/>
      <c r="R1353" s="40"/>
      <c r="S1353" s="40"/>
      <c r="T1353" s="41"/>
      <c r="U1353" s="41"/>
      <c r="V1353" s="36"/>
      <c r="W1353" s="36"/>
      <c r="X1353" s="36"/>
      <c r="Y1353" s="36"/>
      <c r="Z1353" s="36"/>
      <c r="AA1353" s="36"/>
    </row>
    <row r="1354" spans="16:27" x14ac:dyDescent="0.2">
      <c r="P1354" s="36"/>
      <c r="Q1354" s="40"/>
      <c r="R1354" s="40"/>
      <c r="S1354" s="40"/>
      <c r="T1354" s="41"/>
      <c r="U1354" s="41"/>
      <c r="V1354" s="36"/>
      <c r="W1354" s="36"/>
      <c r="X1354" s="36"/>
      <c r="Y1354" s="36"/>
      <c r="Z1354" s="36"/>
      <c r="AA1354" s="36"/>
    </row>
    <row r="1355" spans="16:27" x14ac:dyDescent="0.2">
      <c r="P1355" s="36"/>
      <c r="Q1355" s="40"/>
      <c r="R1355" s="40"/>
      <c r="S1355" s="40"/>
      <c r="T1355" s="41"/>
      <c r="U1355" s="41"/>
      <c r="V1355" s="36"/>
      <c r="W1355" s="36"/>
      <c r="X1355" s="36"/>
      <c r="Y1355" s="36"/>
      <c r="Z1355" s="36"/>
      <c r="AA1355" s="36"/>
    </row>
    <row r="1356" spans="16:27" x14ac:dyDescent="0.2">
      <c r="P1356" s="36"/>
      <c r="Q1356" s="40"/>
      <c r="R1356" s="40"/>
      <c r="S1356" s="40"/>
      <c r="T1356" s="41"/>
      <c r="U1356" s="41"/>
      <c r="V1356" s="36"/>
      <c r="W1356" s="36"/>
      <c r="X1356" s="36"/>
      <c r="Y1356" s="36"/>
      <c r="Z1356" s="36"/>
      <c r="AA1356" s="36"/>
    </row>
    <row r="1357" spans="16:27" x14ac:dyDescent="0.2">
      <c r="P1357" s="36"/>
      <c r="Q1357" s="40"/>
      <c r="R1357" s="40"/>
      <c r="S1357" s="40"/>
      <c r="T1357" s="41"/>
      <c r="U1357" s="41"/>
      <c r="V1357" s="36"/>
      <c r="W1357" s="36"/>
      <c r="X1357" s="36"/>
      <c r="Y1357" s="36"/>
      <c r="Z1357" s="36"/>
      <c r="AA1357" s="36"/>
    </row>
    <row r="1358" spans="16:27" x14ac:dyDescent="0.2">
      <c r="P1358" s="36"/>
      <c r="Q1358" s="40"/>
      <c r="R1358" s="40"/>
      <c r="S1358" s="40"/>
      <c r="T1358" s="41"/>
      <c r="U1358" s="41"/>
      <c r="V1358" s="36"/>
      <c r="W1358" s="36"/>
      <c r="X1358" s="36"/>
      <c r="Y1358" s="36"/>
      <c r="Z1358" s="36"/>
      <c r="AA1358" s="36"/>
    </row>
    <row r="1359" spans="16:27" x14ac:dyDescent="0.2">
      <c r="P1359" s="36"/>
      <c r="Q1359" s="40"/>
      <c r="R1359" s="40"/>
      <c r="S1359" s="40"/>
      <c r="T1359" s="41"/>
      <c r="U1359" s="41"/>
      <c r="V1359" s="36"/>
      <c r="W1359" s="36"/>
      <c r="X1359" s="36"/>
      <c r="Y1359" s="36"/>
      <c r="Z1359" s="36"/>
      <c r="AA1359" s="36"/>
    </row>
    <row r="1360" spans="16:27" x14ac:dyDescent="0.2">
      <c r="P1360" s="36"/>
      <c r="Q1360" s="40"/>
      <c r="R1360" s="40"/>
      <c r="S1360" s="40"/>
      <c r="T1360" s="41"/>
      <c r="U1360" s="41"/>
      <c r="V1360" s="36"/>
      <c r="W1360" s="36"/>
      <c r="X1360" s="36"/>
      <c r="Y1360" s="36"/>
      <c r="Z1360" s="36"/>
      <c r="AA1360" s="36"/>
    </row>
    <row r="1361" spans="16:27" x14ac:dyDescent="0.2">
      <c r="P1361" s="36"/>
      <c r="Q1361" s="40"/>
      <c r="R1361" s="40"/>
      <c r="S1361" s="40"/>
      <c r="T1361" s="41"/>
      <c r="U1361" s="41"/>
      <c r="V1361" s="36"/>
      <c r="W1361" s="36"/>
      <c r="X1361" s="36"/>
      <c r="Y1361" s="36"/>
      <c r="Z1361" s="36"/>
      <c r="AA1361" s="36"/>
    </row>
    <row r="1362" spans="16:27" x14ac:dyDescent="0.2">
      <c r="P1362" s="36"/>
      <c r="Q1362" s="40"/>
      <c r="R1362" s="40"/>
      <c r="S1362" s="40"/>
      <c r="T1362" s="41"/>
      <c r="U1362" s="41"/>
      <c r="V1362" s="36"/>
      <c r="W1362" s="36"/>
      <c r="X1362" s="36"/>
      <c r="Y1362" s="36"/>
      <c r="Z1362" s="36"/>
      <c r="AA1362" s="36"/>
    </row>
    <row r="1363" spans="16:27" x14ac:dyDescent="0.2">
      <c r="P1363" s="36"/>
      <c r="Q1363" s="40"/>
      <c r="R1363" s="40"/>
      <c r="S1363" s="40"/>
      <c r="T1363" s="41"/>
      <c r="U1363" s="41"/>
      <c r="V1363" s="36"/>
      <c r="W1363" s="36"/>
      <c r="X1363" s="36"/>
      <c r="Y1363" s="36"/>
      <c r="Z1363" s="36"/>
      <c r="AA1363" s="36"/>
    </row>
    <row r="1364" spans="16:27" x14ac:dyDescent="0.2">
      <c r="P1364" s="36"/>
      <c r="Q1364" s="40"/>
      <c r="R1364" s="40"/>
      <c r="S1364" s="40"/>
      <c r="T1364" s="41"/>
      <c r="U1364" s="41"/>
      <c r="V1364" s="36"/>
      <c r="W1364" s="36"/>
      <c r="X1364" s="36"/>
      <c r="Y1364" s="36"/>
      <c r="Z1364" s="36"/>
      <c r="AA1364" s="36"/>
    </row>
    <row r="1365" spans="16:27" x14ac:dyDescent="0.2">
      <c r="P1365" s="36"/>
      <c r="Q1365" s="40"/>
      <c r="R1365" s="40"/>
      <c r="S1365" s="40"/>
      <c r="T1365" s="41"/>
      <c r="U1365" s="41"/>
      <c r="V1365" s="36"/>
      <c r="W1365" s="36"/>
      <c r="X1365" s="36"/>
      <c r="Y1365" s="36"/>
      <c r="Z1365" s="36"/>
      <c r="AA1365" s="36"/>
    </row>
    <row r="1366" spans="16:27" x14ac:dyDescent="0.2">
      <c r="P1366" s="36"/>
      <c r="Q1366" s="40"/>
      <c r="R1366" s="40"/>
      <c r="S1366" s="40"/>
      <c r="T1366" s="41"/>
      <c r="U1366" s="41"/>
      <c r="V1366" s="36"/>
      <c r="W1366" s="36"/>
      <c r="X1366" s="36"/>
      <c r="Y1366" s="36"/>
      <c r="Z1366" s="36"/>
      <c r="AA1366" s="36"/>
    </row>
    <row r="1367" spans="16:27" x14ac:dyDescent="0.2">
      <c r="P1367" s="36"/>
      <c r="Q1367" s="40"/>
      <c r="R1367" s="40"/>
      <c r="S1367" s="40"/>
      <c r="T1367" s="41"/>
      <c r="U1367" s="41"/>
      <c r="V1367" s="36"/>
      <c r="W1367" s="36"/>
      <c r="X1367" s="36"/>
      <c r="Y1367" s="36"/>
      <c r="Z1367" s="36"/>
      <c r="AA1367" s="36"/>
    </row>
    <row r="1368" spans="16:27" x14ac:dyDescent="0.2">
      <c r="P1368" s="36"/>
      <c r="Q1368" s="40"/>
      <c r="R1368" s="40"/>
      <c r="S1368" s="40"/>
      <c r="T1368" s="41"/>
      <c r="U1368" s="41"/>
      <c r="V1368" s="36"/>
      <c r="W1368" s="36"/>
      <c r="X1368" s="36"/>
      <c r="Y1368" s="36"/>
      <c r="Z1368" s="36"/>
      <c r="AA1368" s="36"/>
    </row>
    <row r="1369" spans="16:27" x14ac:dyDescent="0.2">
      <c r="P1369" s="36"/>
      <c r="Q1369" s="40"/>
      <c r="R1369" s="40"/>
      <c r="S1369" s="40"/>
      <c r="T1369" s="41"/>
      <c r="U1369" s="41"/>
      <c r="V1369" s="36"/>
      <c r="W1369" s="36"/>
      <c r="X1369" s="36"/>
      <c r="Y1369" s="36"/>
      <c r="Z1369" s="36"/>
      <c r="AA1369" s="36"/>
    </row>
    <row r="1370" spans="16:27" x14ac:dyDescent="0.2">
      <c r="P1370" s="36"/>
      <c r="Q1370" s="40"/>
      <c r="R1370" s="40"/>
      <c r="S1370" s="40"/>
      <c r="T1370" s="41"/>
      <c r="U1370" s="41"/>
      <c r="V1370" s="36"/>
      <c r="W1370" s="36"/>
      <c r="X1370" s="36"/>
      <c r="Y1370" s="36"/>
      <c r="Z1370" s="36"/>
      <c r="AA1370" s="36"/>
    </row>
    <row r="1371" spans="16:27" x14ac:dyDescent="0.2">
      <c r="P1371" s="36"/>
      <c r="Q1371" s="40"/>
      <c r="R1371" s="40"/>
      <c r="S1371" s="40"/>
      <c r="T1371" s="41"/>
      <c r="U1371" s="41"/>
      <c r="V1371" s="36"/>
      <c r="W1371" s="36"/>
      <c r="X1371" s="36"/>
      <c r="Y1371" s="36"/>
      <c r="Z1371" s="36"/>
      <c r="AA1371" s="36"/>
    </row>
    <row r="1372" spans="16:27" x14ac:dyDescent="0.2">
      <c r="P1372" s="36"/>
      <c r="Q1372" s="40"/>
      <c r="R1372" s="40"/>
      <c r="S1372" s="40"/>
      <c r="T1372" s="41"/>
      <c r="U1372" s="41"/>
      <c r="V1372" s="36"/>
      <c r="W1372" s="36"/>
      <c r="X1372" s="36"/>
      <c r="Y1372" s="36"/>
      <c r="Z1372" s="36"/>
      <c r="AA1372" s="36"/>
    </row>
    <row r="1373" spans="16:27" x14ac:dyDescent="0.2">
      <c r="P1373" s="36"/>
      <c r="Q1373" s="40"/>
      <c r="R1373" s="40"/>
      <c r="S1373" s="40"/>
      <c r="T1373" s="41"/>
      <c r="U1373" s="41"/>
      <c r="V1373" s="36"/>
      <c r="W1373" s="36"/>
      <c r="X1373" s="36"/>
      <c r="Y1373" s="36"/>
      <c r="Z1373" s="36"/>
      <c r="AA1373" s="36"/>
    </row>
    <row r="1374" spans="16:27" x14ac:dyDescent="0.2">
      <c r="P1374" s="36"/>
      <c r="Q1374" s="40"/>
      <c r="R1374" s="40"/>
      <c r="S1374" s="40"/>
      <c r="T1374" s="41"/>
      <c r="U1374" s="41"/>
      <c r="V1374" s="36"/>
      <c r="W1374" s="36"/>
      <c r="X1374" s="36"/>
      <c r="Y1374" s="36"/>
      <c r="Z1374" s="36"/>
      <c r="AA1374" s="36"/>
    </row>
    <row r="1375" spans="16:27" x14ac:dyDescent="0.2">
      <c r="P1375" s="36"/>
      <c r="Q1375" s="36"/>
      <c r="R1375" s="36"/>
      <c r="S1375" s="36"/>
      <c r="T1375" s="36"/>
      <c r="U1375" s="36"/>
      <c r="V1375" s="36"/>
      <c r="W1375" s="36"/>
      <c r="X1375" s="36"/>
      <c r="Y1375" s="36"/>
      <c r="Z1375" s="36"/>
      <c r="AA1375" s="36"/>
    </row>
    <row r="1376" spans="16:27" x14ac:dyDescent="0.2">
      <c r="P1376" s="36"/>
      <c r="Q1376" s="36"/>
      <c r="R1376" s="36"/>
      <c r="S1376" s="36"/>
      <c r="T1376" s="36"/>
      <c r="U1376" s="36"/>
      <c r="V1376" s="36"/>
      <c r="W1376" s="36"/>
      <c r="X1376" s="36"/>
      <c r="Y1376" s="36"/>
      <c r="Z1376" s="36"/>
      <c r="AA1376" s="36"/>
    </row>
    <row r="1377" spans="16:27" x14ac:dyDescent="0.2">
      <c r="P1377" s="36"/>
      <c r="Q1377" s="36"/>
      <c r="R1377" s="36"/>
      <c r="S1377" s="36"/>
      <c r="T1377" s="36"/>
      <c r="U1377" s="36"/>
      <c r="V1377" s="36"/>
      <c r="W1377" s="36"/>
      <c r="X1377" s="36"/>
      <c r="Y1377" s="36"/>
      <c r="Z1377" s="36"/>
      <c r="AA1377" s="36"/>
    </row>
    <row r="1378" spans="16:27" x14ac:dyDescent="0.2">
      <c r="P1378" s="36"/>
      <c r="Q1378" s="36"/>
      <c r="R1378" s="36"/>
      <c r="S1378" s="36"/>
      <c r="T1378" s="36"/>
      <c r="U1378" s="36"/>
      <c r="V1378" s="36"/>
      <c r="W1378" s="36"/>
      <c r="X1378" s="36"/>
      <c r="Y1378" s="36"/>
      <c r="Z1378" s="36"/>
      <c r="AA1378" s="36"/>
    </row>
    <row r="1379" spans="16:27" x14ac:dyDescent="0.2">
      <c r="P1379" s="36"/>
      <c r="Q1379" s="36"/>
      <c r="R1379" s="36"/>
      <c r="S1379" s="36"/>
      <c r="T1379" s="36"/>
      <c r="U1379" s="36"/>
      <c r="V1379" s="36"/>
      <c r="W1379" s="36"/>
      <c r="X1379" s="36"/>
      <c r="Y1379" s="36"/>
      <c r="Z1379" s="36"/>
      <c r="AA1379" s="36"/>
    </row>
    <row r="1380" spans="16:27" x14ac:dyDescent="0.2">
      <c r="P1380" s="36"/>
      <c r="Q1380" s="36"/>
      <c r="R1380" s="36"/>
      <c r="S1380" s="36"/>
      <c r="T1380" s="36"/>
      <c r="U1380" s="36"/>
      <c r="V1380" s="36"/>
      <c r="W1380" s="36"/>
      <c r="X1380" s="36"/>
      <c r="Y1380" s="36"/>
      <c r="Z1380" s="36"/>
      <c r="AA1380" s="36"/>
    </row>
    <row r="1381" spans="16:27" x14ac:dyDescent="0.2">
      <c r="P1381" s="36"/>
      <c r="Q1381" s="36"/>
      <c r="R1381" s="36"/>
      <c r="S1381" s="36"/>
      <c r="T1381" s="36"/>
      <c r="U1381" s="36"/>
      <c r="V1381" s="36"/>
      <c r="W1381" s="36"/>
      <c r="X1381" s="36"/>
      <c r="Y1381" s="36"/>
      <c r="Z1381" s="36"/>
      <c r="AA1381" s="36"/>
    </row>
    <row r="1382" spans="16:27" x14ac:dyDescent="0.2">
      <c r="P1382" s="36"/>
      <c r="Q1382" s="36"/>
      <c r="R1382" s="36"/>
      <c r="S1382" s="36"/>
      <c r="T1382" s="36"/>
      <c r="U1382" s="36"/>
      <c r="V1382" s="36"/>
      <c r="W1382" s="36"/>
      <c r="X1382" s="36"/>
      <c r="Y1382" s="36"/>
      <c r="Z1382" s="36"/>
      <c r="AA1382" s="36"/>
    </row>
    <row r="1383" spans="16:27" x14ac:dyDescent="0.2">
      <c r="P1383" s="36"/>
      <c r="Q1383" s="36"/>
      <c r="R1383" s="36"/>
      <c r="S1383" s="36"/>
      <c r="T1383" s="36"/>
      <c r="U1383" s="36"/>
      <c r="V1383" s="36"/>
      <c r="W1383" s="36"/>
      <c r="X1383" s="36"/>
      <c r="Y1383" s="36"/>
      <c r="Z1383" s="36"/>
      <c r="AA1383" s="36"/>
    </row>
    <row r="1384" spans="16:27" x14ac:dyDescent="0.2">
      <c r="P1384" s="36"/>
      <c r="Q1384" s="36"/>
      <c r="R1384" s="36"/>
      <c r="S1384" s="36"/>
      <c r="T1384" s="36"/>
      <c r="U1384" s="36"/>
      <c r="V1384" s="36"/>
      <c r="W1384" s="36"/>
      <c r="X1384" s="36"/>
      <c r="Y1384" s="36"/>
      <c r="Z1384" s="36"/>
      <c r="AA1384" s="36"/>
    </row>
    <row r="1385" spans="16:27" x14ac:dyDescent="0.2">
      <c r="P1385" s="36"/>
      <c r="Q1385" s="36"/>
      <c r="R1385" s="36"/>
      <c r="S1385" s="36"/>
      <c r="T1385" s="36"/>
      <c r="U1385" s="36"/>
      <c r="V1385" s="36"/>
      <c r="W1385" s="36"/>
      <c r="X1385" s="36"/>
      <c r="Y1385" s="36"/>
      <c r="Z1385" s="36"/>
      <c r="AA1385" s="36"/>
    </row>
    <row r="1386" spans="16:27" x14ac:dyDescent="0.2">
      <c r="P1386" s="36"/>
      <c r="Q1386" s="36"/>
      <c r="R1386" s="36"/>
      <c r="S1386" s="36"/>
      <c r="T1386" s="36"/>
      <c r="U1386" s="36"/>
      <c r="V1386" s="36"/>
      <c r="W1386" s="36"/>
      <c r="X1386" s="36"/>
      <c r="Y1386" s="36"/>
      <c r="Z1386" s="36"/>
      <c r="AA1386" s="36"/>
    </row>
    <row r="1387" spans="16:27" x14ac:dyDescent="0.2">
      <c r="P1387" s="36"/>
      <c r="Q1387" s="36"/>
      <c r="R1387" s="36"/>
      <c r="S1387" s="36"/>
      <c r="T1387" s="36"/>
      <c r="U1387" s="36"/>
      <c r="V1387" s="36"/>
      <c r="W1387" s="36"/>
      <c r="X1387" s="36"/>
      <c r="Y1387" s="36"/>
      <c r="Z1387" s="36"/>
      <c r="AA1387" s="36"/>
    </row>
    <row r="1388" spans="16:27" x14ac:dyDescent="0.2">
      <c r="P1388" s="36"/>
      <c r="Q1388" s="36"/>
      <c r="R1388" s="36"/>
      <c r="S1388" s="36"/>
      <c r="T1388" s="36"/>
      <c r="U1388" s="36"/>
      <c r="V1388" s="36"/>
      <c r="W1388" s="36"/>
      <c r="X1388" s="36"/>
      <c r="Y1388" s="36"/>
      <c r="Z1388" s="36"/>
      <c r="AA1388" s="36"/>
    </row>
    <row r="1389" spans="16:27" x14ac:dyDescent="0.2">
      <c r="P1389" s="36"/>
      <c r="Q1389" s="36"/>
      <c r="R1389" s="36"/>
      <c r="S1389" s="36"/>
      <c r="T1389" s="36"/>
      <c r="U1389" s="36"/>
      <c r="V1389" s="36"/>
      <c r="W1389" s="36"/>
      <c r="X1389" s="36"/>
      <c r="Y1389" s="36"/>
      <c r="Z1389" s="36"/>
      <c r="AA1389" s="36"/>
    </row>
    <row r="1390" spans="16:27" x14ac:dyDescent="0.2">
      <c r="P1390" s="36"/>
      <c r="Q1390" s="36"/>
      <c r="R1390" s="36"/>
      <c r="S1390" s="36"/>
      <c r="T1390" s="36"/>
      <c r="U1390" s="36"/>
      <c r="V1390" s="36"/>
      <c r="W1390" s="36"/>
      <c r="X1390" s="36"/>
      <c r="Y1390" s="36"/>
      <c r="Z1390" s="36"/>
      <c r="AA1390" s="36"/>
    </row>
    <row r="1391" spans="16:27" x14ac:dyDescent="0.2">
      <c r="P1391" s="36"/>
      <c r="Q1391" s="36"/>
      <c r="R1391" s="36"/>
      <c r="S1391" s="36"/>
      <c r="T1391" s="36"/>
      <c r="U1391" s="36"/>
      <c r="V1391" s="36"/>
      <c r="W1391" s="36"/>
      <c r="X1391" s="36"/>
      <c r="Y1391" s="36"/>
      <c r="Z1391" s="36"/>
      <c r="AA1391" s="36"/>
    </row>
    <row r="1392" spans="16:27" x14ac:dyDescent="0.2">
      <c r="P1392" s="36"/>
      <c r="Q1392" s="36"/>
      <c r="R1392" s="36"/>
      <c r="S1392" s="36"/>
      <c r="T1392" s="36"/>
      <c r="U1392" s="36"/>
      <c r="V1392" s="36"/>
      <c r="W1392" s="36"/>
      <c r="X1392" s="36"/>
      <c r="Y1392" s="36"/>
      <c r="Z1392" s="36"/>
      <c r="AA1392" s="36"/>
    </row>
    <row r="1393" spans="16:27" x14ac:dyDescent="0.2">
      <c r="P1393" s="36"/>
      <c r="Q1393" s="36"/>
      <c r="R1393" s="36"/>
      <c r="S1393" s="36"/>
      <c r="T1393" s="36"/>
      <c r="U1393" s="36"/>
      <c r="V1393" s="36"/>
      <c r="W1393" s="36"/>
      <c r="X1393" s="36"/>
      <c r="Y1393" s="36"/>
      <c r="Z1393" s="36"/>
      <c r="AA1393" s="36"/>
    </row>
    <row r="1394" spans="16:27" x14ac:dyDescent="0.2">
      <c r="P1394" s="36"/>
      <c r="Q1394" s="36"/>
      <c r="R1394" s="36"/>
      <c r="S1394" s="36"/>
      <c r="T1394" s="36"/>
      <c r="U1394" s="36"/>
      <c r="V1394" s="36"/>
      <c r="W1394" s="36"/>
      <c r="X1394" s="36"/>
      <c r="Y1394" s="36"/>
      <c r="Z1394" s="36"/>
      <c r="AA1394" s="36"/>
    </row>
    <row r="1395" spans="16:27" x14ac:dyDescent="0.2">
      <c r="P1395" s="36"/>
      <c r="Q1395" s="36"/>
      <c r="R1395" s="36"/>
      <c r="S1395" s="36"/>
      <c r="T1395" s="36"/>
      <c r="U1395" s="36"/>
      <c r="V1395" s="36"/>
      <c r="W1395" s="36"/>
      <c r="X1395" s="36"/>
      <c r="Y1395" s="36"/>
      <c r="Z1395" s="36"/>
      <c r="AA1395" s="36"/>
    </row>
    <row r="1396" spans="16:27" x14ac:dyDescent="0.2">
      <c r="P1396" s="36"/>
      <c r="Q1396" s="36"/>
      <c r="R1396" s="36"/>
      <c r="S1396" s="36"/>
      <c r="T1396" s="36"/>
      <c r="U1396" s="36"/>
      <c r="V1396" s="36"/>
      <c r="W1396" s="36"/>
      <c r="X1396" s="36"/>
      <c r="Y1396" s="36"/>
      <c r="Z1396" s="36"/>
      <c r="AA1396" s="36"/>
    </row>
    <row r="1397" spans="16:27" x14ac:dyDescent="0.2">
      <c r="P1397" s="36"/>
      <c r="Q1397" s="36"/>
      <c r="R1397" s="36"/>
      <c r="S1397" s="36"/>
      <c r="T1397" s="36"/>
      <c r="U1397" s="36"/>
      <c r="V1397" s="36"/>
      <c r="W1397" s="36"/>
      <c r="X1397" s="36"/>
      <c r="Y1397" s="36"/>
      <c r="Z1397" s="36"/>
      <c r="AA1397" s="36"/>
    </row>
    <row r="1398" spans="16:27" x14ac:dyDescent="0.2">
      <c r="P1398" s="36"/>
      <c r="Q1398" s="36"/>
      <c r="R1398" s="36"/>
      <c r="S1398" s="36"/>
      <c r="T1398" s="36"/>
      <c r="U1398" s="36"/>
      <c r="V1398" s="36"/>
      <c r="W1398" s="36"/>
      <c r="X1398" s="36"/>
      <c r="Y1398" s="36"/>
      <c r="Z1398" s="36"/>
      <c r="AA1398" s="36"/>
    </row>
    <row r="1399" spans="16:27" x14ac:dyDescent="0.2">
      <c r="P1399" s="36"/>
      <c r="Q1399" s="36"/>
      <c r="R1399" s="36"/>
      <c r="S1399" s="36"/>
      <c r="T1399" s="36"/>
      <c r="U1399" s="36"/>
      <c r="V1399" s="36"/>
      <c r="W1399" s="36"/>
      <c r="X1399" s="36"/>
      <c r="Y1399" s="36"/>
      <c r="Z1399" s="36"/>
      <c r="AA1399" s="36"/>
    </row>
    <row r="1400" spans="16:27" x14ac:dyDescent="0.2">
      <c r="P1400" s="36"/>
      <c r="Q1400" s="36"/>
      <c r="R1400" s="36"/>
      <c r="S1400" s="36"/>
      <c r="T1400" s="36"/>
      <c r="U1400" s="36"/>
      <c r="V1400" s="36"/>
      <c r="W1400" s="36"/>
      <c r="X1400" s="36"/>
      <c r="Y1400" s="36"/>
      <c r="Z1400" s="36"/>
      <c r="AA1400" s="36"/>
    </row>
    <row r="1401" spans="16:27" x14ac:dyDescent="0.2">
      <c r="P1401" s="36"/>
      <c r="Q1401" s="36"/>
      <c r="R1401" s="36"/>
      <c r="S1401" s="36"/>
      <c r="T1401" s="36"/>
      <c r="U1401" s="36"/>
      <c r="V1401" s="36"/>
      <c r="W1401" s="36"/>
      <c r="X1401" s="36"/>
      <c r="Y1401" s="36"/>
      <c r="Z1401" s="36"/>
      <c r="AA1401" s="36"/>
    </row>
    <row r="1402" spans="16:27" x14ac:dyDescent="0.2">
      <c r="P1402" s="36"/>
      <c r="Q1402" s="36"/>
      <c r="R1402" s="36"/>
      <c r="S1402" s="36"/>
      <c r="T1402" s="36"/>
      <c r="U1402" s="36"/>
      <c r="V1402" s="36"/>
      <c r="W1402" s="36"/>
      <c r="X1402" s="36"/>
      <c r="Y1402" s="36"/>
      <c r="Z1402" s="36"/>
      <c r="AA1402" s="36"/>
    </row>
    <row r="1403" spans="16:27" x14ac:dyDescent="0.2">
      <c r="P1403" s="36"/>
      <c r="Q1403" s="36"/>
      <c r="R1403" s="36"/>
      <c r="S1403" s="36"/>
      <c r="T1403" s="36"/>
      <c r="U1403" s="36"/>
      <c r="V1403" s="36"/>
      <c r="W1403" s="36"/>
      <c r="X1403" s="36"/>
      <c r="Y1403" s="36"/>
      <c r="Z1403" s="36"/>
      <c r="AA1403" s="36"/>
    </row>
    <row r="1404" spans="16:27" x14ac:dyDescent="0.2">
      <c r="P1404" s="36"/>
      <c r="Q1404" s="36"/>
      <c r="R1404" s="36"/>
      <c r="S1404" s="36"/>
      <c r="T1404" s="36"/>
      <c r="U1404" s="36"/>
      <c r="V1404" s="36"/>
      <c r="W1404" s="36"/>
      <c r="X1404" s="36"/>
      <c r="Y1404" s="36"/>
      <c r="Z1404" s="36"/>
      <c r="AA1404" s="36"/>
    </row>
    <row r="1405" spans="16:27" x14ac:dyDescent="0.2">
      <c r="P1405" s="36"/>
      <c r="Q1405" s="36"/>
      <c r="R1405" s="36"/>
      <c r="S1405" s="36"/>
      <c r="T1405" s="36"/>
      <c r="U1405" s="36"/>
      <c r="V1405" s="36"/>
      <c r="W1405" s="36"/>
      <c r="X1405" s="36"/>
      <c r="Y1405" s="36"/>
      <c r="Z1405" s="36"/>
      <c r="AA1405" s="36"/>
    </row>
    <row r="1406" spans="16:27" x14ac:dyDescent="0.2">
      <c r="P1406" s="36"/>
      <c r="Q1406" s="36"/>
      <c r="R1406" s="36"/>
      <c r="S1406" s="36"/>
      <c r="T1406" s="36"/>
      <c r="U1406" s="36"/>
      <c r="V1406" s="36"/>
      <c r="W1406" s="36"/>
      <c r="X1406" s="36"/>
      <c r="Y1406" s="36"/>
      <c r="Z1406" s="36"/>
      <c r="AA1406" s="36"/>
    </row>
    <row r="1407" spans="16:27" x14ac:dyDescent="0.2">
      <c r="P1407" s="36"/>
      <c r="Q1407" s="36"/>
      <c r="R1407" s="36"/>
      <c r="S1407" s="36"/>
      <c r="T1407" s="36"/>
      <c r="U1407" s="36"/>
      <c r="V1407" s="36"/>
      <c r="W1407" s="36"/>
      <c r="X1407" s="36"/>
      <c r="Y1407" s="36"/>
      <c r="Z1407" s="36"/>
      <c r="AA1407" s="36"/>
    </row>
    <row r="1408" spans="16:27" x14ac:dyDescent="0.2">
      <c r="P1408" s="36"/>
      <c r="Q1408" s="36"/>
      <c r="R1408" s="36"/>
      <c r="S1408" s="36"/>
      <c r="T1408" s="36"/>
      <c r="U1408" s="36"/>
      <c r="V1408" s="36"/>
      <c r="W1408" s="36"/>
      <c r="X1408" s="36"/>
      <c r="Y1408" s="36"/>
      <c r="Z1408" s="36"/>
      <c r="AA1408" s="36"/>
    </row>
    <row r="1409" spans="16:27" x14ac:dyDescent="0.2">
      <c r="P1409" s="36"/>
      <c r="Q1409" s="36"/>
      <c r="R1409" s="36"/>
      <c r="S1409" s="36"/>
      <c r="T1409" s="36"/>
      <c r="U1409" s="36"/>
      <c r="V1409" s="36"/>
      <c r="W1409" s="36"/>
      <c r="X1409" s="36"/>
      <c r="Y1409" s="36"/>
      <c r="Z1409" s="36"/>
      <c r="AA1409" s="36"/>
    </row>
    <row r="1410" spans="16:27" x14ac:dyDescent="0.2">
      <c r="P1410" s="36"/>
      <c r="Q1410" s="36"/>
      <c r="R1410" s="36"/>
      <c r="S1410" s="36"/>
      <c r="T1410" s="36"/>
      <c r="U1410" s="36"/>
      <c r="V1410" s="36"/>
      <c r="W1410" s="36"/>
      <c r="X1410" s="36"/>
      <c r="Y1410" s="36"/>
      <c r="Z1410" s="36"/>
      <c r="AA1410" s="36"/>
    </row>
    <row r="1411" spans="16:27" x14ac:dyDescent="0.2">
      <c r="P1411" s="36"/>
      <c r="Q1411" s="36"/>
      <c r="R1411" s="36"/>
      <c r="S1411" s="36"/>
      <c r="T1411" s="36"/>
      <c r="U1411" s="36"/>
      <c r="V1411" s="36"/>
      <c r="W1411" s="36"/>
      <c r="X1411" s="36"/>
      <c r="Y1411" s="36"/>
      <c r="Z1411" s="36"/>
      <c r="AA1411" s="36"/>
    </row>
    <row r="1412" spans="16:27" x14ac:dyDescent="0.2">
      <c r="P1412" s="36"/>
      <c r="Q1412" s="36"/>
      <c r="R1412" s="36"/>
      <c r="S1412" s="36"/>
      <c r="T1412" s="36"/>
      <c r="U1412" s="36"/>
      <c r="V1412" s="36"/>
      <c r="W1412" s="36"/>
      <c r="X1412" s="36"/>
      <c r="Y1412" s="36"/>
      <c r="Z1412" s="36"/>
      <c r="AA1412" s="36"/>
    </row>
    <row r="1413" spans="16:27" x14ac:dyDescent="0.2">
      <c r="P1413" s="36"/>
      <c r="Q1413" s="36"/>
      <c r="R1413" s="36"/>
      <c r="S1413" s="36"/>
      <c r="T1413" s="36"/>
      <c r="U1413" s="36"/>
      <c r="V1413" s="36"/>
      <c r="W1413" s="36"/>
      <c r="X1413" s="36"/>
      <c r="Y1413" s="36"/>
      <c r="Z1413" s="36"/>
      <c r="AA1413" s="36"/>
    </row>
    <row r="1414" spans="16:27" x14ac:dyDescent="0.2">
      <c r="P1414" s="36"/>
      <c r="Q1414" s="36"/>
      <c r="R1414" s="36"/>
      <c r="S1414" s="36"/>
      <c r="T1414" s="36"/>
      <c r="U1414" s="36"/>
      <c r="V1414" s="36"/>
      <c r="W1414" s="36"/>
      <c r="X1414" s="36"/>
      <c r="Y1414" s="36"/>
      <c r="Z1414" s="36"/>
      <c r="AA1414" s="36"/>
    </row>
    <row r="1415" spans="16:27" x14ac:dyDescent="0.2">
      <c r="P1415" s="36"/>
      <c r="Q1415" s="36"/>
      <c r="R1415" s="36"/>
      <c r="S1415" s="36"/>
      <c r="T1415" s="36"/>
      <c r="U1415" s="36"/>
      <c r="V1415" s="36"/>
      <c r="W1415" s="36"/>
      <c r="X1415" s="36"/>
      <c r="Y1415" s="36"/>
      <c r="Z1415" s="36"/>
      <c r="AA1415" s="36"/>
    </row>
    <row r="1416" spans="16:27" x14ac:dyDescent="0.2">
      <c r="P1416" s="36"/>
      <c r="Q1416" s="36"/>
      <c r="R1416" s="36"/>
      <c r="S1416" s="36"/>
      <c r="T1416" s="36"/>
      <c r="U1416" s="36"/>
      <c r="V1416" s="36"/>
      <c r="W1416" s="36"/>
      <c r="X1416" s="36"/>
      <c r="Y1416" s="36"/>
      <c r="Z1416" s="36"/>
      <c r="AA1416" s="36"/>
    </row>
    <row r="1417" spans="16:27" x14ac:dyDescent="0.2">
      <c r="P1417" s="36"/>
      <c r="Q1417" s="36"/>
      <c r="R1417" s="36"/>
      <c r="S1417" s="36"/>
      <c r="T1417" s="36"/>
      <c r="U1417" s="36"/>
      <c r="V1417" s="36"/>
      <c r="W1417" s="36"/>
      <c r="X1417" s="36"/>
      <c r="Y1417" s="36"/>
      <c r="Z1417" s="36"/>
      <c r="AA1417" s="36"/>
    </row>
    <row r="1418" spans="16:27" x14ac:dyDescent="0.2">
      <c r="P1418" s="36"/>
      <c r="Q1418" s="36"/>
      <c r="R1418" s="36"/>
      <c r="S1418" s="36"/>
      <c r="T1418" s="36"/>
      <c r="U1418" s="36"/>
      <c r="V1418" s="36"/>
      <c r="W1418" s="36"/>
      <c r="X1418" s="36"/>
      <c r="Y1418" s="36"/>
      <c r="Z1418" s="36"/>
      <c r="AA1418" s="36"/>
    </row>
    <row r="1419" spans="16:27" x14ac:dyDescent="0.2">
      <c r="P1419" s="36"/>
      <c r="Q1419" s="36"/>
      <c r="R1419" s="36"/>
      <c r="S1419" s="36"/>
      <c r="T1419" s="36"/>
      <c r="U1419" s="36"/>
      <c r="V1419" s="36"/>
      <c r="W1419" s="36"/>
      <c r="X1419" s="36"/>
      <c r="Y1419" s="36"/>
      <c r="Z1419" s="36"/>
      <c r="AA1419" s="36"/>
    </row>
    <row r="1420" spans="16:27" x14ac:dyDescent="0.2">
      <c r="P1420" s="36"/>
      <c r="Q1420" s="36"/>
      <c r="R1420" s="36"/>
      <c r="S1420" s="36"/>
      <c r="T1420" s="36"/>
      <c r="U1420" s="36"/>
      <c r="V1420" s="36"/>
      <c r="W1420" s="36"/>
      <c r="X1420" s="36"/>
      <c r="Y1420" s="36"/>
      <c r="Z1420" s="36"/>
      <c r="AA1420" s="36"/>
    </row>
    <row r="1421" spans="16:27" x14ac:dyDescent="0.2">
      <c r="P1421" s="36"/>
      <c r="Q1421" s="36"/>
      <c r="R1421" s="36"/>
      <c r="S1421" s="36"/>
      <c r="T1421" s="36"/>
      <c r="U1421" s="36"/>
      <c r="V1421" s="36"/>
      <c r="W1421" s="36"/>
      <c r="X1421" s="36"/>
      <c r="Y1421" s="36"/>
      <c r="Z1421" s="36"/>
      <c r="AA1421" s="36"/>
    </row>
    <row r="1422" spans="16:27" x14ac:dyDescent="0.2">
      <c r="P1422" s="36"/>
      <c r="Q1422" s="36"/>
      <c r="R1422" s="36"/>
      <c r="S1422" s="36"/>
      <c r="T1422" s="36"/>
      <c r="U1422" s="36"/>
      <c r="V1422" s="36"/>
      <c r="W1422" s="36"/>
      <c r="X1422" s="36"/>
      <c r="Y1422" s="36"/>
      <c r="Z1422" s="36"/>
      <c r="AA1422" s="36"/>
    </row>
    <row r="1423" spans="16:27" x14ac:dyDescent="0.2">
      <c r="P1423" s="36"/>
      <c r="Q1423" s="36"/>
      <c r="R1423" s="36"/>
      <c r="S1423" s="36"/>
      <c r="T1423" s="36"/>
      <c r="U1423" s="36"/>
      <c r="V1423" s="36"/>
      <c r="W1423" s="36"/>
      <c r="X1423" s="36"/>
      <c r="Y1423" s="36"/>
      <c r="Z1423" s="36"/>
      <c r="AA1423" s="36"/>
    </row>
    <row r="1424" spans="16:27" x14ac:dyDescent="0.2">
      <c r="P1424" s="36"/>
      <c r="Q1424" s="36"/>
      <c r="R1424" s="36"/>
      <c r="S1424" s="36"/>
      <c r="T1424" s="36"/>
      <c r="U1424" s="36"/>
      <c r="V1424" s="36"/>
      <c r="W1424" s="36"/>
      <c r="X1424" s="36"/>
      <c r="Y1424" s="36"/>
      <c r="Z1424" s="36"/>
      <c r="AA1424" s="36"/>
    </row>
    <row r="1425" spans="16:27" x14ac:dyDescent="0.2">
      <c r="P1425" s="36"/>
      <c r="Q1425" s="36"/>
      <c r="R1425" s="36"/>
      <c r="S1425" s="36"/>
      <c r="T1425" s="36"/>
      <c r="U1425" s="36"/>
      <c r="V1425" s="36"/>
      <c r="W1425" s="36"/>
      <c r="X1425" s="36"/>
      <c r="Y1425" s="36"/>
      <c r="Z1425" s="36"/>
      <c r="AA1425" s="36"/>
    </row>
    <row r="1426" spans="16:27" x14ac:dyDescent="0.2">
      <c r="P1426" s="36"/>
      <c r="Q1426" s="36"/>
      <c r="R1426" s="36"/>
      <c r="S1426" s="36"/>
      <c r="T1426" s="36"/>
      <c r="U1426" s="36"/>
      <c r="V1426" s="36"/>
      <c r="W1426" s="36"/>
      <c r="X1426" s="36"/>
      <c r="Y1426" s="36"/>
      <c r="Z1426" s="36"/>
      <c r="AA1426" s="36"/>
    </row>
    <row r="1427" spans="16:27" x14ac:dyDescent="0.2">
      <c r="P1427" s="36"/>
      <c r="Q1427" s="36"/>
      <c r="R1427" s="36"/>
      <c r="S1427" s="36"/>
      <c r="T1427" s="36"/>
      <c r="U1427" s="36"/>
      <c r="V1427" s="36"/>
      <c r="W1427" s="36"/>
      <c r="X1427" s="36"/>
      <c r="Y1427" s="36"/>
      <c r="Z1427" s="36"/>
      <c r="AA1427" s="36"/>
    </row>
    <row r="1428" spans="16:27" x14ac:dyDescent="0.2">
      <c r="P1428" s="36"/>
      <c r="Q1428" s="36"/>
      <c r="R1428" s="36"/>
      <c r="S1428" s="36"/>
      <c r="T1428" s="36"/>
      <c r="U1428" s="36"/>
      <c r="V1428" s="36"/>
      <c r="W1428" s="36"/>
      <c r="X1428" s="36"/>
      <c r="Y1428" s="36"/>
      <c r="Z1428" s="36"/>
      <c r="AA1428" s="36"/>
    </row>
    <row r="1429" spans="16:27" x14ac:dyDescent="0.2">
      <c r="P1429" s="36"/>
      <c r="Q1429" s="36"/>
      <c r="R1429" s="36"/>
      <c r="S1429" s="36"/>
      <c r="T1429" s="36"/>
      <c r="U1429" s="36"/>
      <c r="V1429" s="36"/>
      <c r="W1429" s="36"/>
      <c r="X1429" s="36"/>
      <c r="Y1429" s="36"/>
      <c r="Z1429" s="36"/>
      <c r="AA1429" s="36"/>
    </row>
    <row r="1430" spans="16:27" x14ac:dyDescent="0.2">
      <c r="P1430" s="36"/>
      <c r="Q1430" s="36"/>
      <c r="R1430" s="36"/>
      <c r="S1430" s="36"/>
      <c r="T1430" s="36"/>
      <c r="U1430" s="36"/>
      <c r="V1430" s="36"/>
      <c r="W1430" s="36"/>
      <c r="X1430" s="36"/>
      <c r="Y1430" s="36"/>
      <c r="Z1430" s="36"/>
      <c r="AA1430" s="36"/>
    </row>
    <row r="1431" spans="16:27" x14ac:dyDescent="0.2">
      <c r="P1431" s="36"/>
      <c r="Q1431" s="36"/>
      <c r="R1431" s="36"/>
      <c r="S1431" s="36"/>
      <c r="T1431" s="36"/>
      <c r="U1431" s="36"/>
      <c r="V1431" s="36"/>
      <c r="W1431" s="36"/>
      <c r="X1431" s="36"/>
      <c r="Y1431" s="36"/>
      <c r="Z1431" s="36"/>
      <c r="AA1431" s="36"/>
    </row>
    <row r="1432" spans="16:27" x14ac:dyDescent="0.2">
      <c r="P1432" s="36"/>
      <c r="Q1432" s="36"/>
      <c r="R1432" s="36"/>
      <c r="S1432" s="36"/>
      <c r="T1432" s="36"/>
      <c r="U1432" s="36"/>
      <c r="V1432" s="36"/>
      <c r="W1432" s="36"/>
      <c r="X1432" s="36"/>
      <c r="Y1432" s="36"/>
      <c r="Z1432" s="36"/>
      <c r="AA1432" s="36"/>
    </row>
    <row r="1433" spans="16:27" x14ac:dyDescent="0.2">
      <c r="P1433" s="36"/>
      <c r="Q1433" s="36"/>
      <c r="R1433" s="36"/>
      <c r="S1433" s="36"/>
      <c r="T1433" s="36"/>
      <c r="U1433" s="36"/>
      <c r="V1433" s="36"/>
      <c r="W1433" s="36"/>
      <c r="X1433" s="36"/>
      <c r="Y1433" s="36"/>
      <c r="Z1433" s="36"/>
      <c r="AA1433" s="36"/>
    </row>
    <row r="1434" spans="16:27" x14ac:dyDescent="0.2">
      <c r="P1434" s="36"/>
      <c r="Q1434" s="36"/>
      <c r="R1434" s="36"/>
      <c r="S1434" s="36"/>
      <c r="T1434" s="36"/>
      <c r="U1434" s="36"/>
      <c r="V1434" s="36"/>
      <c r="W1434" s="36"/>
      <c r="X1434" s="36"/>
      <c r="Y1434" s="36"/>
      <c r="Z1434" s="36"/>
      <c r="AA1434" s="36"/>
    </row>
    <row r="1435" spans="16:27" x14ac:dyDescent="0.2">
      <c r="P1435" s="36"/>
      <c r="Q1435" s="36"/>
      <c r="R1435" s="36"/>
      <c r="S1435" s="36"/>
      <c r="T1435" s="36"/>
      <c r="U1435" s="36"/>
      <c r="V1435" s="36"/>
      <c r="W1435" s="36"/>
      <c r="X1435" s="36"/>
      <c r="Y1435" s="36"/>
      <c r="Z1435" s="36"/>
      <c r="AA1435" s="36"/>
    </row>
    <row r="1436" spans="16:27" x14ac:dyDescent="0.2">
      <c r="P1436" s="36"/>
      <c r="Q1436" s="36"/>
      <c r="R1436" s="36"/>
      <c r="S1436" s="36"/>
      <c r="T1436" s="36"/>
      <c r="U1436" s="36"/>
      <c r="V1436" s="36"/>
      <c r="W1436" s="36"/>
      <c r="X1436" s="36"/>
      <c r="Y1436" s="36"/>
      <c r="Z1436" s="36"/>
      <c r="AA1436" s="36"/>
    </row>
    <row r="1437" spans="16:27" x14ac:dyDescent="0.2">
      <c r="P1437" s="36"/>
      <c r="Q1437" s="36"/>
      <c r="R1437" s="36"/>
      <c r="S1437" s="36"/>
      <c r="T1437" s="36"/>
      <c r="U1437" s="36"/>
      <c r="V1437" s="36"/>
      <c r="W1437" s="36"/>
      <c r="X1437" s="36"/>
      <c r="Y1437" s="36"/>
      <c r="Z1437" s="36"/>
      <c r="AA1437" s="36"/>
    </row>
    <row r="1438" spans="16:27" x14ac:dyDescent="0.2">
      <c r="P1438" s="36"/>
      <c r="Q1438" s="36"/>
      <c r="R1438" s="36"/>
      <c r="S1438" s="36"/>
      <c r="T1438" s="36"/>
      <c r="U1438" s="36"/>
      <c r="V1438" s="36"/>
      <c r="W1438" s="36"/>
      <c r="X1438" s="36"/>
      <c r="Y1438" s="36"/>
      <c r="Z1438" s="36"/>
      <c r="AA1438" s="36"/>
    </row>
    <row r="1439" spans="16:27" x14ac:dyDescent="0.2">
      <c r="P1439" s="36"/>
      <c r="Q1439" s="36"/>
      <c r="R1439" s="36"/>
      <c r="S1439" s="36"/>
      <c r="T1439" s="36"/>
      <c r="U1439" s="36"/>
      <c r="V1439" s="36"/>
      <c r="W1439" s="36"/>
      <c r="X1439" s="36"/>
      <c r="Y1439" s="36"/>
      <c r="Z1439" s="36"/>
      <c r="AA1439" s="36"/>
    </row>
    <row r="1440" spans="16:27" x14ac:dyDescent="0.2">
      <c r="P1440" s="36"/>
      <c r="Q1440" s="36"/>
      <c r="R1440" s="36"/>
      <c r="S1440" s="36"/>
      <c r="T1440" s="36"/>
      <c r="U1440" s="36"/>
      <c r="V1440" s="36"/>
      <c r="W1440" s="36"/>
      <c r="X1440" s="36"/>
      <c r="Y1440" s="36"/>
      <c r="Z1440" s="36"/>
      <c r="AA1440" s="36"/>
    </row>
    <row r="1441" spans="16:27" x14ac:dyDescent="0.2">
      <c r="P1441" s="36"/>
      <c r="Q1441" s="36"/>
      <c r="R1441" s="36"/>
      <c r="S1441" s="36"/>
      <c r="T1441" s="36"/>
      <c r="U1441" s="36"/>
      <c r="V1441" s="36"/>
      <c r="W1441" s="36"/>
      <c r="X1441" s="36"/>
      <c r="Y1441" s="36"/>
      <c r="Z1441" s="36"/>
      <c r="AA1441" s="36"/>
    </row>
    <row r="1442" spans="16:27" x14ac:dyDescent="0.2">
      <c r="P1442" s="36"/>
      <c r="Q1442" s="36"/>
      <c r="R1442" s="36"/>
      <c r="S1442" s="36"/>
      <c r="T1442" s="36"/>
      <c r="U1442" s="36"/>
      <c r="V1442" s="36"/>
      <c r="W1442" s="36"/>
      <c r="X1442" s="36"/>
      <c r="Y1442" s="36"/>
      <c r="Z1442" s="36"/>
      <c r="AA1442" s="36"/>
    </row>
    <row r="1443" spans="16:27" x14ac:dyDescent="0.2">
      <c r="P1443" s="36"/>
      <c r="Q1443" s="36"/>
      <c r="R1443" s="36"/>
      <c r="S1443" s="36"/>
      <c r="T1443" s="36"/>
      <c r="U1443" s="36"/>
      <c r="V1443" s="36"/>
      <c r="W1443" s="36"/>
      <c r="X1443" s="36"/>
      <c r="Y1443" s="36"/>
      <c r="Z1443" s="36"/>
      <c r="AA1443" s="36"/>
    </row>
    <row r="1444" spans="16:27" x14ac:dyDescent="0.2">
      <c r="P1444" s="36"/>
      <c r="Q1444" s="36"/>
      <c r="R1444" s="36"/>
      <c r="S1444" s="36"/>
      <c r="T1444" s="36"/>
      <c r="U1444" s="36"/>
      <c r="V1444" s="36"/>
      <c r="W1444" s="36"/>
      <c r="X1444" s="36"/>
      <c r="Y1444" s="36"/>
      <c r="Z1444" s="36"/>
      <c r="AA1444" s="36"/>
    </row>
    <row r="1445" spans="16:27" x14ac:dyDescent="0.2">
      <c r="P1445" s="36"/>
      <c r="Q1445" s="36"/>
      <c r="R1445" s="36"/>
      <c r="S1445" s="36"/>
      <c r="T1445" s="36"/>
      <c r="U1445" s="36"/>
      <c r="V1445" s="36"/>
      <c r="W1445" s="36"/>
      <c r="X1445" s="36"/>
      <c r="Y1445" s="36"/>
      <c r="Z1445" s="36"/>
      <c r="AA1445" s="36"/>
    </row>
    <row r="1446" spans="16:27" x14ac:dyDescent="0.2">
      <c r="P1446" s="36"/>
      <c r="Q1446" s="36"/>
      <c r="R1446" s="36"/>
      <c r="S1446" s="36"/>
      <c r="T1446" s="36"/>
      <c r="U1446" s="36"/>
      <c r="V1446" s="36"/>
      <c r="W1446" s="36"/>
      <c r="X1446" s="36"/>
      <c r="Y1446" s="36"/>
      <c r="Z1446" s="36"/>
      <c r="AA1446" s="36"/>
    </row>
    <row r="1447" spans="16:27" x14ac:dyDescent="0.2">
      <c r="P1447" s="36"/>
      <c r="Q1447" s="36"/>
      <c r="R1447" s="36"/>
      <c r="S1447" s="36"/>
      <c r="T1447" s="36"/>
      <c r="U1447" s="36"/>
      <c r="V1447" s="36"/>
      <c r="W1447" s="36"/>
      <c r="X1447" s="36"/>
      <c r="Y1447" s="36"/>
      <c r="Z1447" s="36"/>
      <c r="AA1447" s="36"/>
    </row>
    <row r="1448" spans="16:27" x14ac:dyDescent="0.2">
      <c r="P1448" s="36"/>
      <c r="Q1448" s="36"/>
      <c r="R1448" s="36"/>
      <c r="S1448" s="36"/>
      <c r="T1448" s="36"/>
      <c r="U1448" s="36"/>
      <c r="V1448" s="36"/>
      <c r="W1448" s="36"/>
      <c r="X1448" s="36"/>
      <c r="Y1448" s="36"/>
      <c r="Z1448" s="36"/>
      <c r="AA1448" s="36"/>
    </row>
    <row r="1449" spans="16:27" x14ac:dyDescent="0.2">
      <c r="P1449" s="36"/>
      <c r="Q1449" s="36"/>
      <c r="R1449" s="36"/>
      <c r="S1449" s="36"/>
      <c r="T1449" s="36"/>
      <c r="U1449" s="36"/>
      <c r="V1449" s="36"/>
      <c r="W1449" s="36"/>
      <c r="X1449" s="36"/>
      <c r="Y1449" s="36"/>
      <c r="Z1449" s="36"/>
      <c r="AA1449" s="36"/>
    </row>
    <row r="1450" spans="16:27" x14ac:dyDescent="0.2">
      <c r="P1450" s="36"/>
      <c r="Q1450" s="36"/>
      <c r="R1450" s="36"/>
      <c r="S1450" s="36"/>
      <c r="T1450" s="36"/>
      <c r="U1450" s="36"/>
      <c r="V1450" s="36"/>
      <c r="W1450" s="36"/>
      <c r="X1450" s="36"/>
      <c r="Y1450" s="36"/>
      <c r="Z1450" s="36"/>
      <c r="AA1450" s="36"/>
    </row>
    <row r="1451" spans="16:27" x14ac:dyDescent="0.2">
      <c r="P1451" s="36"/>
      <c r="Q1451" s="36"/>
      <c r="R1451" s="36"/>
      <c r="S1451" s="36"/>
      <c r="T1451" s="36"/>
      <c r="U1451" s="36"/>
      <c r="V1451" s="36"/>
      <c r="W1451" s="36"/>
      <c r="X1451" s="36"/>
      <c r="Y1451" s="36"/>
      <c r="Z1451" s="36"/>
      <c r="AA1451" s="36"/>
    </row>
    <row r="1452" spans="16:27" x14ac:dyDescent="0.2">
      <c r="P1452" s="36"/>
      <c r="Q1452" s="36"/>
      <c r="R1452" s="36"/>
      <c r="S1452" s="36"/>
      <c r="T1452" s="36"/>
      <c r="U1452" s="36"/>
      <c r="V1452" s="36"/>
      <c r="W1452" s="36"/>
      <c r="X1452" s="36"/>
      <c r="Y1452" s="36"/>
      <c r="Z1452" s="36"/>
      <c r="AA1452" s="36"/>
    </row>
    <row r="1453" spans="16:27" x14ac:dyDescent="0.2">
      <c r="P1453" s="36"/>
      <c r="Q1453" s="36"/>
      <c r="R1453" s="36"/>
      <c r="S1453" s="36"/>
      <c r="T1453" s="36"/>
      <c r="U1453" s="36"/>
      <c r="V1453" s="36"/>
      <c r="W1453" s="36"/>
      <c r="X1453" s="36"/>
      <c r="Y1453" s="36"/>
      <c r="Z1453" s="36"/>
      <c r="AA1453" s="36"/>
    </row>
    <row r="1454" spans="16:27" x14ac:dyDescent="0.2">
      <c r="P1454" s="36"/>
      <c r="Q1454" s="36"/>
      <c r="R1454" s="36"/>
      <c r="S1454" s="36"/>
      <c r="T1454" s="36"/>
      <c r="U1454" s="36"/>
      <c r="V1454" s="36"/>
      <c r="W1454" s="36"/>
      <c r="X1454" s="36"/>
      <c r="Y1454" s="36"/>
      <c r="Z1454" s="36"/>
      <c r="AA1454" s="36"/>
    </row>
    <row r="1455" spans="16:27" x14ac:dyDescent="0.2">
      <c r="P1455" s="36"/>
      <c r="Q1455" s="36"/>
      <c r="R1455" s="36"/>
      <c r="S1455" s="36"/>
      <c r="T1455" s="36"/>
      <c r="U1455" s="36"/>
      <c r="V1455" s="36"/>
      <c r="W1455" s="36"/>
      <c r="X1455" s="36"/>
      <c r="Y1455" s="36"/>
      <c r="Z1455" s="36"/>
      <c r="AA1455" s="36"/>
    </row>
    <row r="1456" spans="16:27" x14ac:dyDescent="0.2">
      <c r="P1456" s="36"/>
      <c r="Q1456" s="36"/>
      <c r="R1456" s="36"/>
      <c r="S1456" s="36"/>
      <c r="T1456" s="36"/>
      <c r="U1456" s="36"/>
      <c r="V1456" s="36"/>
      <c r="W1456" s="36"/>
      <c r="X1456" s="36"/>
      <c r="Y1456" s="36"/>
      <c r="Z1456" s="36"/>
      <c r="AA1456" s="36"/>
    </row>
    <row r="1457" spans="16:27" x14ac:dyDescent="0.2">
      <c r="P1457" s="36"/>
      <c r="Q1457" s="36"/>
      <c r="R1457" s="36"/>
      <c r="S1457" s="36"/>
      <c r="T1457" s="36"/>
      <c r="U1457" s="36"/>
      <c r="V1457" s="36"/>
      <c r="W1457" s="36"/>
      <c r="X1457" s="36"/>
      <c r="Y1457" s="36"/>
      <c r="Z1457" s="36"/>
      <c r="AA1457" s="36"/>
    </row>
    <row r="1458" spans="16:27" x14ac:dyDescent="0.2">
      <c r="P1458" s="36"/>
      <c r="Q1458" s="36"/>
      <c r="R1458" s="36"/>
      <c r="S1458" s="36"/>
      <c r="T1458" s="36"/>
      <c r="U1458" s="36"/>
      <c r="V1458" s="36"/>
      <c r="W1458" s="36"/>
      <c r="X1458" s="36"/>
      <c r="Y1458" s="36"/>
      <c r="Z1458" s="36"/>
      <c r="AA1458" s="36"/>
    </row>
    <row r="1459" spans="16:27" x14ac:dyDescent="0.2">
      <c r="P1459" s="36"/>
      <c r="Q1459" s="36"/>
      <c r="R1459" s="36"/>
      <c r="S1459" s="36"/>
      <c r="T1459" s="36"/>
      <c r="U1459" s="36"/>
      <c r="V1459" s="36"/>
      <c r="W1459" s="36"/>
      <c r="X1459" s="36"/>
      <c r="Y1459" s="36"/>
      <c r="Z1459" s="36"/>
      <c r="AA1459" s="36"/>
    </row>
    <row r="1460" spans="16:27" x14ac:dyDescent="0.2">
      <c r="P1460" s="36"/>
      <c r="Q1460" s="36"/>
      <c r="R1460" s="36"/>
      <c r="S1460" s="36"/>
      <c r="T1460" s="36"/>
      <c r="U1460" s="36"/>
      <c r="V1460" s="36"/>
      <c r="W1460" s="36"/>
      <c r="X1460" s="36"/>
      <c r="Y1460" s="36"/>
      <c r="Z1460" s="36"/>
      <c r="AA1460" s="36"/>
    </row>
    <row r="1461" spans="16:27" x14ac:dyDescent="0.2">
      <c r="P1461" s="36"/>
      <c r="Q1461" s="36"/>
      <c r="R1461" s="36"/>
      <c r="S1461" s="36"/>
      <c r="T1461" s="36"/>
      <c r="U1461" s="36"/>
      <c r="V1461" s="36"/>
      <c r="W1461" s="36"/>
      <c r="X1461" s="36"/>
      <c r="Y1461" s="36"/>
      <c r="Z1461" s="36"/>
      <c r="AA1461" s="36"/>
    </row>
    <row r="1462" spans="16:27" x14ac:dyDescent="0.2">
      <c r="P1462" s="36"/>
      <c r="Q1462" s="36"/>
      <c r="R1462" s="36"/>
      <c r="S1462" s="36"/>
      <c r="T1462" s="36"/>
      <c r="U1462" s="36"/>
      <c r="V1462" s="36"/>
      <c r="W1462" s="36"/>
      <c r="X1462" s="36"/>
      <c r="Y1462" s="36"/>
      <c r="Z1462" s="36"/>
      <c r="AA1462" s="36"/>
    </row>
    <row r="1463" spans="16:27" x14ac:dyDescent="0.2">
      <c r="P1463" s="36"/>
      <c r="Q1463" s="36"/>
      <c r="R1463" s="36"/>
      <c r="S1463" s="36"/>
      <c r="T1463" s="36"/>
      <c r="U1463" s="36"/>
      <c r="V1463" s="36"/>
      <c r="W1463" s="36"/>
      <c r="X1463" s="36"/>
      <c r="Y1463" s="36"/>
      <c r="Z1463" s="36"/>
      <c r="AA1463" s="36"/>
    </row>
    <row r="1464" spans="16:27" x14ac:dyDescent="0.2">
      <c r="P1464" s="36"/>
      <c r="Q1464" s="36"/>
      <c r="R1464" s="36"/>
      <c r="S1464" s="36"/>
      <c r="T1464" s="36"/>
      <c r="U1464" s="36"/>
      <c r="V1464" s="36"/>
      <c r="W1464" s="36"/>
      <c r="X1464" s="36"/>
      <c r="Y1464" s="36"/>
      <c r="Z1464" s="36"/>
      <c r="AA1464" s="36"/>
    </row>
    <row r="1465" spans="16:27" x14ac:dyDescent="0.2">
      <c r="P1465" s="36"/>
      <c r="Q1465" s="36"/>
      <c r="R1465" s="36"/>
      <c r="S1465" s="36"/>
      <c r="T1465" s="36"/>
      <c r="U1465" s="36"/>
      <c r="V1465" s="36"/>
      <c r="W1465" s="36"/>
      <c r="X1465" s="36"/>
      <c r="Y1465" s="36"/>
      <c r="Z1465" s="36"/>
      <c r="AA1465" s="36"/>
    </row>
    <row r="1466" spans="16:27" x14ac:dyDescent="0.2">
      <c r="P1466" s="36"/>
      <c r="Q1466" s="36"/>
      <c r="R1466" s="36"/>
      <c r="S1466" s="36"/>
      <c r="T1466" s="36"/>
      <c r="U1466" s="36"/>
      <c r="V1466" s="36"/>
      <c r="W1466" s="36"/>
      <c r="X1466" s="36"/>
      <c r="Y1466" s="36"/>
      <c r="Z1466" s="36"/>
      <c r="AA1466" s="36"/>
    </row>
    <row r="1467" spans="16:27" x14ac:dyDescent="0.2">
      <c r="P1467" s="36"/>
      <c r="Q1467" s="36"/>
      <c r="R1467" s="36"/>
      <c r="S1467" s="36"/>
      <c r="T1467" s="36"/>
      <c r="U1467" s="36"/>
      <c r="V1467" s="36"/>
      <c r="W1467" s="36"/>
      <c r="X1467" s="36"/>
      <c r="Y1467" s="36"/>
      <c r="Z1467" s="36"/>
      <c r="AA1467" s="36"/>
    </row>
    <row r="1468" spans="16:27" x14ac:dyDescent="0.2">
      <c r="P1468" s="36"/>
      <c r="Q1468" s="36"/>
      <c r="R1468" s="36"/>
      <c r="S1468" s="36"/>
      <c r="T1468" s="36"/>
      <c r="U1468" s="36"/>
      <c r="V1468" s="36"/>
      <c r="W1468" s="36"/>
      <c r="X1468" s="36"/>
      <c r="Y1468" s="36"/>
      <c r="Z1468" s="36"/>
      <c r="AA1468" s="36"/>
    </row>
    <row r="1469" spans="16:27" x14ac:dyDescent="0.2">
      <c r="P1469" s="36"/>
      <c r="Q1469" s="36"/>
      <c r="R1469" s="36"/>
      <c r="S1469" s="36"/>
      <c r="T1469" s="36"/>
      <c r="U1469" s="36"/>
      <c r="V1469" s="36"/>
      <c r="W1469" s="36"/>
      <c r="X1469" s="36"/>
      <c r="Y1469" s="36"/>
      <c r="Z1469" s="36"/>
      <c r="AA1469" s="36"/>
    </row>
    <row r="1470" spans="16:27" x14ac:dyDescent="0.2">
      <c r="P1470" s="36"/>
      <c r="Q1470" s="36"/>
      <c r="R1470" s="36"/>
      <c r="S1470" s="36"/>
      <c r="T1470" s="36"/>
      <c r="U1470" s="36"/>
      <c r="V1470" s="36"/>
      <c r="W1470" s="36"/>
      <c r="X1470" s="36"/>
      <c r="Y1470" s="36"/>
      <c r="Z1470" s="36"/>
      <c r="AA1470" s="36"/>
    </row>
    <row r="1471" spans="16:27" x14ac:dyDescent="0.2">
      <c r="P1471" s="36"/>
      <c r="Q1471" s="36"/>
      <c r="R1471" s="36"/>
      <c r="S1471" s="36"/>
      <c r="T1471" s="36"/>
      <c r="U1471" s="36"/>
      <c r="V1471" s="36"/>
      <c r="W1471" s="36"/>
      <c r="X1471" s="36"/>
      <c r="Y1471" s="36"/>
      <c r="Z1471" s="36"/>
      <c r="AA1471" s="36"/>
    </row>
    <row r="1472" spans="16:27" x14ac:dyDescent="0.2">
      <c r="P1472" s="36"/>
      <c r="Q1472" s="36"/>
      <c r="R1472" s="36"/>
      <c r="S1472" s="36"/>
      <c r="T1472" s="36"/>
      <c r="U1472" s="36"/>
      <c r="V1472" s="36"/>
      <c r="W1472" s="36"/>
      <c r="X1472" s="36"/>
      <c r="Y1472" s="36"/>
      <c r="Z1472" s="36"/>
      <c r="AA1472" s="36"/>
    </row>
    <row r="1473" spans="16:27" x14ac:dyDescent="0.2">
      <c r="P1473" s="36"/>
      <c r="Q1473" s="36"/>
      <c r="R1473" s="36"/>
      <c r="S1473" s="36"/>
      <c r="T1473" s="36"/>
      <c r="U1473" s="36"/>
      <c r="V1473" s="36"/>
      <c r="W1473" s="36"/>
      <c r="X1473" s="36"/>
      <c r="Y1473" s="36"/>
      <c r="Z1473" s="36"/>
      <c r="AA1473" s="36"/>
    </row>
    <row r="1474" spans="16:27" x14ac:dyDescent="0.2">
      <c r="P1474" s="36"/>
      <c r="Q1474" s="36"/>
      <c r="R1474" s="36"/>
      <c r="S1474" s="36"/>
      <c r="T1474" s="36"/>
      <c r="U1474" s="36"/>
      <c r="V1474" s="36"/>
      <c r="W1474" s="36"/>
      <c r="X1474" s="36"/>
      <c r="Y1474" s="36"/>
      <c r="Z1474" s="36"/>
      <c r="AA1474" s="36"/>
    </row>
    <row r="1475" spans="16:27" x14ac:dyDescent="0.2">
      <c r="P1475" s="36"/>
      <c r="Q1475" s="36"/>
      <c r="R1475" s="36"/>
      <c r="S1475" s="36"/>
      <c r="T1475" s="36"/>
      <c r="U1475" s="36"/>
      <c r="V1475" s="36"/>
      <c r="W1475" s="36"/>
      <c r="X1475" s="36"/>
      <c r="Y1475" s="36"/>
      <c r="Z1475" s="36"/>
      <c r="AA1475" s="36"/>
    </row>
    <row r="1476" spans="16:27" x14ac:dyDescent="0.2">
      <c r="P1476" s="36"/>
      <c r="Q1476" s="36"/>
      <c r="R1476" s="36"/>
      <c r="S1476" s="36"/>
      <c r="T1476" s="36"/>
      <c r="U1476" s="36"/>
      <c r="V1476" s="36"/>
      <c r="W1476" s="36"/>
      <c r="X1476" s="36"/>
      <c r="Y1476" s="36"/>
      <c r="Z1476" s="36"/>
      <c r="AA1476" s="36"/>
    </row>
    <row r="1477" spans="16:27" x14ac:dyDescent="0.2">
      <c r="P1477" s="36"/>
      <c r="Q1477" s="36"/>
      <c r="R1477" s="36"/>
      <c r="S1477" s="36"/>
      <c r="T1477" s="36"/>
      <c r="U1477" s="36"/>
      <c r="V1477" s="36"/>
      <c r="W1477" s="36"/>
      <c r="X1477" s="36"/>
      <c r="Y1477" s="36"/>
      <c r="Z1477" s="36"/>
      <c r="AA1477" s="36"/>
    </row>
    <row r="1478" spans="16:27" x14ac:dyDescent="0.2">
      <c r="P1478" s="36"/>
      <c r="Q1478" s="36"/>
      <c r="R1478" s="36"/>
      <c r="S1478" s="36"/>
      <c r="T1478" s="36"/>
      <c r="U1478" s="36"/>
      <c r="V1478" s="36"/>
      <c r="W1478" s="36"/>
      <c r="X1478" s="36"/>
      <c r="Y1478" s="36"/>
      <c r="Z1478" s="36"/>
      <c r="AA1478" s="36"/>
    </row>
    <row r="1479" spans="16:27" x14ac:dyDescent="0.2">
      <c r="P1479" s="36"/>
      <c r="Q1479" s="36"/>
      <c r="R1479" s="36"/>
      <c r="S1479" s="36"/>
      <c r="T1479" s="36"/>
      <c r="U1479" s="36"/>
      <c r="V1479" s="36"/>
      <c r="W1479" s="36"/>
      <c r="X1479" s="36"/>
      <c r="Y1479" s="36"/>
      <c r="Z1479" s="36"/>
      <c r="AA1479" s="36"/>
    </row>
    <row r="1480" spans="16:27" x14ac:dyDescent="0.2">
      <c r="P1480" s="36"/>
      <c r="Q1480" s="36"/>
      <c r="R1480" s="36"/>
      <c r="S1480" s="36"/>
      <c r="T1480" s="36"/>
      <c r="U1480" s="36"/>
      <c r="V1480" s="36"/>
      <c r="W1480" s="36"/>
      <c r="X1480" s="36"/>
      <c r="Y1480" s="36"/>
      <c r="Z1480" s="36"/>
      <c r="AA1480" s="36"/>
    </row>
    <row r="1481" spans="16:27" x14ac:dyDescent="0.2">
      <c r="P1481" s="36"/>
      <c r="Q1481" s="36"/>
      <c r="R1481" s="36"/>
      <c r="S1481" s="36"/>
      <c r="T1481" s="36"/>
      <c r="U1481" s="36"/>
      <c r="V1481" s="36"/>
      <c r="W1481" s="36"/>
      <c r="X1481" s="36"/>
      <c r="Y1481" s="36"/>
      <c r="Z1481" s="36"/>
      <c r="AA1481" s="36"/>
    </row>
    <row r="1482" spans="16:27" x14ac:dyDescent="0.2">
      <c r="P1482" s="36"/>
      <c r="Q1482" s="36"/>
      <c r="R1482" s="36"/>
      <c r="S1482" s="36"/>
      <c r="T1482" s="36"/>
      <c r="U1482" s="36"/>
      <c r="V1482" s="36"/>
      <c r="W1482" s="36"/>
      <c r="X1482" s="36"/>
      <c r="Y1482" s="36"/>
      <c r="Z1482" s="36"/>
      <c r="AA1482" s="36"/>
    </row>
    <row r="1483" spans="16:27" x14ac:dyDescent="0.2">
      <c r="P1483" s="36"/>
      <c r="Q1483" s="36"/>
      <c r="R1483" s="36"/>
      <c r="S1483" s="36"/>
      <c r="T1483" s="36"/>
      <c r="U1483" s="36"/>
      <c r="V1483" s="36"/>
      <c r="W1483" s="36"/>
      <c r="X1483" s="36"/>
      <c r="Y1483" s="36"/>
      <c r="Z1483" s="36"/>
      <c r="AA1483" s="36"/>
    </row>
    <row r="1484" spans="16:27" x14ac:dyDescent="0.2">
      <c r="P1484" s="36"/>
      <c r="Q1484" s="36"/>
      <c r="R1484" s="36"/>
      <c r="S1484" s="36"/>
      <c r="T1484" s="36"/>
      <c r="U1484" s="36"/>
      <c r="V1484" s="36"/>
      <c r="W1484" s="36"/>
      <c r="X1484" s="36"/>
      <c r="Y1484" s="36"/>
      <c r="Z1484" s="36"/>
      <c r="AA1484" s="36"/>
    </row>
    <row r="1485" spans="16:27" x14ac:dyDescent="0.2">
      <c r="P1485" s="36"/>
      <c r="Q1485" s="36"/>
      <c r="R1485" s="36"/>
      <c r="S1485" s="36"/>
      <c r="T1485" s="36"/>
      <c r="U1485" s="36"/>
      <c r="V1485" s="36"/>
      <c r="W1485" s="36"/>
      <c r="X1485" s="36"/>
      <c r="Y1485" s="36"/>
      <c r="Z1485" s="36"/>
      <c r="AA1485" s="36"/>
    </row>
    <row r="1486" spans="16:27" x14ac:dyDescent="0.2">
      <c r="P1486" s="36"/>
      <c r="Q1486" s="36"/>
      <c r="R1486" s="36"/>
      <c r="S1486" s="36"/>
      <c r="T1486" s="36"/>
      <c r="U1486" s="36"/>
      <c r="V1486" s="36"/>
      <c r="W1486" s="36"/>
      <c r="X1486" s="36"/>
      <c r="Y1486" s="36"/>
      <c r="Z1486" s="36"/>
      <c r="AA1486" s="36"/>
    </row>
    <row r="1487" spans="16:27" x14ac:dyDescent="0.2">
      <c r="P1487" s="36"/>
      <c r="Q1487" s="36"/>
      <c r="R1487" s="36"/>
      <c r="S1487" s="36"/>
      <c r="T1487" s="36"/>
      <c r="U1487" s="36"/>
      <c r="V1487" s="36"/>
      <c r="W1487" s="36"/>
      <c r="X1487" s="36"/>
      <c r="Y1487" s="36"/>
      <c r="Z1487" s="36"/>
      <c r="AA1487" s="36"/>
    </row>
    <row r="1488" spans="16:27" x14ac:dyDescent="0.2">
      <c r="P1488" s="36"/>
      <c r="Q1488" s="36"/>
      <c r="R1488" s="36"/>
      <c r="S1488" s="36"/>
      <c r="T1488" s="36"/>
      <c r="U1488" s="36"/>
      <c r="V1488" s="36"/>
      <c r="W1488" s="36"/>
      <c r="X1488" s="36"/>
      <c r="Y1488" s="36"/>
      <c r="Z1488" s="36"/>
      <c r="AA1488" s="36"/>
    </row>
    <row r="1489" spans="16:27" x14ac:dyDescent="0.2">
      <c r="P1489" s="36"/>
      <c r="Q1489" s="36"/>
      <c r="R1489" s="36"/>
      <c r="S1489" s="36"/>
      <c r="T1489" s="36"/>
      <c r="U1489" s="36"/>
      <c r="V1489" s="36"/>
      <c r="W1489" s="36"/>
      <c r="X1489" s="36"/>
      <c r="Y1489" s="36"/>
      <c r="Z1489" s="36"/>
      <c r="AA1489" s="36"/>
    </row>
    <row r="1490" spans="16:27" x14ac:dyDescent="0.2">
      <c r="P1490" s="36"/>
      <c r="Q1490" s="36"/>
      <c r="R1490" s="36"/>
      <c r="S1490" s="36"/>
      <c r="T1490" s="36"/>
      <c r="U1490" s="36"/>
      <c r="V1490" s="36"/>
      <c r="W1490" s="36"/>
      <c r="X1490" s="36"/>
      <c r="Y1490" s="36"/>
      <c r="Z1490" s="36"/>
      <c r="AA1490" s="36"/>
    </row>
    <row r="1491" spans="16:27" x14ac:dyDescent="0.2">
      <c r="P1491" s="36"/>
      <c r="Q1491" s="36"/>
      <c r="R1491" s="36"/>
      <c r="S1491" s="36"/>
      <c r="T1491" s="36"/>
      <c r="U1491" s="36"/>
      <c r="V1491" s="36"/>
      <c r="W1491" s="36"/>
      <c r="X1491" s="36"/>
      <c r="Y1491" s="36"/>
      <c r="Z1491" s="36"/>
      <c r="AA1491" s="36"/>
    </row>
    <row r="1492" spans="16:27" x14ac:dyDescent="0.2">
      <c r="P1492" s="36"/>
      <c r="Q1492" s="36"/>
      <c r="R1492" s="36"/>
      <c r="S1492" s="36"/>
      <c r="T1492" s="36"/>
      <c r="U1492" s="36"/>
      <c r="V1492" s="36"/>
      <c r="W1492" s="36"/>
      <c r="X1492" s="36"/>
      <c r="Y1492" s="36"/>
      <c r="Z1492" s="36"/>
      <c r="AA1492" s="36"/>
    </row>
    <row r="1493" spans="16:27" x14ac:dyDescent="0.2">
      <c r="P1493" s="36"/>
      <c r="Q1493" s="36"/>
      <c r="R1493" s="36"/>
      <c r="S1493" s="36"/>
      <c r="T1493" s="36"/>
      <c r="U1493" s="36"/>
      <c r="V1493" s="36"/>
      <c r="W1493" s="36"/>
      <c r="X1493" s="36"/>
      <c r="Y1493" s="36"/>
      <c r="Z1493" s="36"/>
      <c r="AA1493" s="36"/>
    </row>
    <row r="1494" spans="16:27" x14ac:dyDescent="0.2">
      <c r="P1494" s="36"/>
      <c r="Q1494" s="36"/>
      <c r="R1494" s="36"/>
      <c r="S1494" s="36"/>
      <c r="T1494" s="36"/>
      <c r="U1494" s="36"/>
      <c r="V1494" s="36"/>
      <c r="W1494" s="36"/>
      <c r="X1494" s="36"/>
      <c r="Y1494" s="36"/>
      <c r="Z1494" s="36"/>
      <c r="AA1494" s="36"/>
    </row>
    <row r="1495" spans="16:27" x14ac:dyDescent="0.2">
      <c r="P1495" s="36"/>
      <c r="Q1495" s="36"/>
      <c r="R1495" s="36"/>
      <c r="S1495" s="36"/>
      <c r="T1495" s="36"/>
      <c r="U1495" s="36"/>
      <c r="V1495" s="36"/>
      <c r="W1495" s="36"/>
      <c r="X1495" s="36"/>
      <c r="Y1495" s="36"/>
      <c r="Z1495" s="36"/>
      <c r="AA1495" s="36"/>
    </row>
    <row r="1496" spans="16:27" x14ac:dyDescent="0.2">
      <c r="P1496" s="36"/>
      <c r="Q1496" s="36"/>
      <c r="R1496" s="36"/>
      <c r="S1496" s="36"/>
      <c r="T1496" s="36"/>
      <c r="U1496" s="36"/>
      <c r="V1496" s="36"/>
      <c r="W1496" s="36"/>
      <c r="X1496" s="36"/>
      <c r="Y1496" s="36"/>
      <c r="Z1496" s="36"/>
      <c r="AA1496" s="36"/>
    </row>
    <row r="1497" spans="16:27" x14ac:dyDescent="0.2">
      <c r="P1497" s="36"/>
      <c r="Q1497" s="36"/>
      <c r="R1497" s="36"/>
      <c r="S1497" s="36"/>
      <c r="T1497" s="36"/>
      <c r="U1497" s="36"/>
      <c r="V1497" s="36"/>
      <c r="W1497" s="36"/>
      <c r="X1497" s="36"/>
      <c r="Y1497" s="36"/>
      <c r="Z1497" s="36"/>
      <c r="AA1497" s="36"/>
    </row>
    <row r="1498" spans="16:27" x14ac:dyDescent="0.2">
      <c r="P1498" s="36"/>
      <c r="Q1498" s="36"/>
      <c r="R1498" s="36"/>
      <c r="S1498" s="36"/>
      <c r="T1498" s="36"/>
      <c r="U1498" s="36"/>
      <c r="V1498" s="36"/>
      <c r="W1498" s="36"/>
      <c r="X1498" s="36"/>
      <c r="Y1498" s="36"/>
      <c r="Z1498" s="36"/>
      <c r="AA1498" s="36"/>
    </row>
    <row r="1499" spans="16:27" x14ac:dyDescent="0.2">
      <c r="P1499" s="36"/>
      <c r="Q1499" s="36"/>
      <c r="R1499" s="36"/>
      <c r="S1499" s="36"/>
      <c r="T1499" s="36"/>
      <c r="U1499" s="36"/>
      <c r="V1499" s="36"/>
      <c r="W1499" s="36"/>
      <c r="X1499" s="36"/>
      <c r="Y1499" s="36"/>
      <c r="Z1499" s="36"/>
      <c r="AA1499" s="36"/>
    </row>
    <row r="1500" spans="16:27" x14ac:dyDescent="0.2">
      <c r="P1500" s="36"/>
      <c r="Q1500" s="36"/>
      <c r="R1500" s="36"/>
      <c r="S1500" s="36"/>
      <c r="T1500" s="36"/>
      <c r="U1500" s="36"/>
      <c r="V1500" s="36"/>
      <c r="W1500" s="36"/>
      <c r="X1500" s="36"/>
      <c r="Y1500" s="36"/>
      <c r="Z1500" s="36"/>
      <c r="AA1500" s="36"/>
    </row>
    <row r="1501" spans="16:27" x14ac:dyDescent="0.2">
      <c r="P1501" s="36"/>
      <c r="Q1501" s="36"/>
      <c r="R1501" s="36"/>
      <c r="S1501" s="36"/>
      <c r="T1501" s="36"/>
      <c r="U1501" s="36"/>
      <c r="V1501" s="36"/>
      <c r="W1501" s="36"/>
      <c r="X1501" s="36"/>
      <c r="Y1501" s="36"/>
      <c r="Z1501" s="36"/>
      <c r="AA1501" s="36"/>
    </row>
    <row r="1502" spans="16:27" x14ac:dyDescent="0.2">
      <c r="P1502" s="36"/>
      <c r="Q1502" s="36"/>
      <c r="R1502" s="36"/>
      <c r="S1502" s="36"/>
      <c r="T1502" s="36"/>
      <c r="U1502" s="36"/>
      <c r="V1502" s="36"/>
      <c r="W1502" s="36"/>
      <c r="X1502" s="36"/>
      <c r="Y1502" s="36"/>
      <c r="Z1502" s="36"/>
      <c r="AA1502" s="36"/>
    </row>
    <row r="1503" spans="16:27" x14ac:dyDescent="0.2">
      <c r="P1503" s="36"/>
      <c r="Q1503" s="36"/>
      <c r="R1503" s="36"/>
      <c r="S1503" s="36"/>
      <c r="T1503" s="36"/>
      <c r="U1503" s="36"/>
      <c r="V1503" s="36"/>
      <c r="W1503" s="36"/>
      <c r="X1503" s="36"/>
      <c r="Y1503" s="36"/>
      <c r="Z1503" s="36"/>
      <c r="AA1503" s="36"/>
    </row>
    <row r="1504" spans="16:27" x14ac:dyDescent="0.2">
      <c r="P1504" s="36"/>
      <c r="Q1504" s="36"/>
      <c r="R1504" s="36"/>
      <c r="S1504" s="36"/>
      <c r="T1504" s="36"/>
      <c r="U1504" s="36"/>
      <c r="V1504" s="36"/>
      <c r="W1504" s="36"/>
      <c r="X1504" s="36"/>
      <c r="Y1504" s="36"/>
      <c r="Z1504" s="36"/>
      <c r="AA1504" s="36"/>
    </row>
    <row r="1505" spans="16:27" x14ac:dyDescent="0.2">
      <c r="P1505" s="36"/>
      <c r="Q1505" s="36"/>
      <c r="R1505" s="36"/>
      <c r="S1505" s="36"/>
      <c r="T1505" s="36"/>
      <c r="U1505" s="36"/>
      <c r="V1505" s="36"/>
      <c r="W1505" s="36"/>
      <c r="X1505" s="36"/>
      <c r="Y1505" s="36"/>
      <c r="Z1505" s="36"/>
      <c r="AA1505" s="36"/>
    </row>
    <row r="1506" spans="16:27" x14ac:dyDescent="0.2">
      <c r="P1506" s="36"/>
      <c r="Q1506" s="36"/>
      <c r="R1506" s="36"/>
      <c r="S1506" s="36"/>
      <c r="T1506" s="36"/>
      <c r="U1506" s="36"/>
      <c r="V1506" s="36"/>
      <c r="W1506" s="36"/>
      <c r="X1506" s="36"/>
      <c r="Y1506" s="36"/>
      <c r="Z1506" s="36"/>
      <c r="AA1506" s="36"/>
    </row>
    <row r="1507" spans="16:27" x14ac:dyDescent="0.2">
      <c r="P1507" s="36"/>
      <c r="Q1507" s="36"/>
      <c r="R1507" s="36"/>
      <c r="S1507" s="36"/>
      <c r="T1507" s="36"/>
      <c r="U1507" s="36"/>
      <c r="V1507" s="36"/>
      <c r="W1507" s="36"/>
      <c r="X1507" s="36"/>
      <c r="Y1507" s="36"/>
      <c r="Z1507" s="36"/>
      <c r="AA1507" s="36"/>
    </row>
    <row r="1508" spans="16:27" x14ac:dyDescent="0.2">
      <c r="P1508" s="36"/>
      <c r="Q1508" s="36"/>
      <c r="R1508" s="36"/>
      <c r="S1508" s="36"/>
      <c r="T1508" s="36"/>
      <c r="U1508" s="36"/>
      <c r="V1508" s="36"/>
      <c r="W1508" s="36"/>
      <c r="X1508" s="36"/>
      <c r="Y1508" s="36"/>
      <c r="Z1508" s="36"/>
      <c r="AA1508" s="36"/>
    </row>
    <row r="1509" spans="16:27" x14ac:dyDescent="0.2">
      <c r="P1509" s="36"/>
      <c r="Q1509" s="36"/>
      <c r="R1509" s="36"/>
      <c r="S1509" s="36"/>
      <c r="T1509" s="36"/>
      <c r="U1509" s="36"/>
      <c r="V1509" s="36"/>
      <c r="W1509" s="36"/>
      <c r="X1509" s="36"/>
      <c r="Y1509" s="36"/>
      <c r="Z1509" s="36"/>
      <c r="AA1509" s="36"/>
    </row>
    <row r="1510" spans="16:27" x14ac:dyDescent="0.2">
      <c r="P1510" s="36"/>
      <c r="Q1510" s="36"/>
      <c r="R1510" s="36"/>
      <c r="S1510" s="36"/>
      <c r="T1510" s="36"/>
      <c r="U1510" s="36"/>
      <c r="V1510" s="36"/>
      <c r="W1510" s="36"/>
      <c r="X1510" s="36"/>
      <c r="Y1510" s="36"/>
      <c r="Z1510" s="36"/>
      <c r="AA1510" s="36"/>
    </row>
    <row r="1511" spans="16:27" x14ac:dyDescent="0.2">
      <c r="P1511" s="36"/>
      <c r="Q1511" s="36"/>
      <c r="R1511" s="36"/>
      <c r="S1511" s="36"/>
      <c r="T1511" s="36"/>
      <c r="U1511" s="36"/>
      <c r="V1511" s="36"/>
      <c r="W1511" s="36"/>
      <c r="X1511" s="36"/>
      <c r="Y1511" s="36"/>
      <c r="Z1511" s="36"/>
      <c r="AA1511" s="36"/>
    </row>
    <row r="1512" spans="16:27" x14ac:dyDescent="0.2">
      <c r="P1512" s="36"/>
      <c r="Q1512" s="36"/>
      <c r="R1512" s="36"/>
      <c r="S1512" s="36"/>
      <c r="T1512" s="36"/>
      <c r="U1512" s="36"/>
      <c r="V1512" s="36"/>
      <c r="W1512" s="36"/>
      <c r="X1512" s="36"/>
      <c r="Y1512" s="36"/>
      <c r="Z1512" s="36"/>
      <c r="AA1512" s="36"/>
    </row>
    <row r="1513" spans="16:27" x14ac:dyDescent="0.2">
      <c r="P1513" s="36"/>
      <c r="Q1513" s="36"/>
      <c r="R1513" s="36"/>
      <c r="S1513" s="36"/>
      <c r="T1513" s="36"/>
      <c r="U1513" s="36"/>
      <c r="V1513" s="36"/>
      <c r="W1513" s="36"/>
      <c r="X1513" s="36"/>
      <c r="Y1513" s="36"/>
      <c r="Z1513" s="36"/>
      <c r="AA1513" s="36"/>
    </row>
    <row r="1514" spans="16:27" x14ac:dyDescent="0.2">
      <c r="P1514" s="36"/>
      <c r="Q1514" s="36"/>
      <c r="R1514" s="36"/>
      <c r="S1514" s="36"/>
      <c r="T1514" s="36"/>
      <c r="U1514" s="36"/>
      <c r="V1514" s="36"/>
      <c r="W1514" s="36"/>
      <c r="X1514" s="36"/>
      <c r="Y1514" s="36"/>
      <c r="Z1514" s="36"/>
      <c r="AA1514" s="36"/>
    </row>
    <row r="1515" spans="16:27" x14ac:dyDescent="0.2">
      <c r="P1515" s="36"/>
      <c r="Q1515" s="36"/>
      <c r="R1515" s="36"/>
      <c r="S1515" s="36"/>
      <c r="T1515" s="36"/>
      <c r="U1515" s="36"/>
      <c r="V1515" s="36"/>
      <c r="W1515" s="36"/>
      <c r="X1515" s="36"/>
      <c r="Y1515" s="36"/>
      <c r="Z1515" s="36"/>
      <c r="AA1515" s="36"/>
    </row>
    <row r="1516" spans="16:27" x14ac:dyDescent="0.2">
      <c r="P1516" s="36"/>
      <c r="Q1516" s="36"/>
      <c r="R1516" s="36"/>
      <c r="S1516" s="36"/>
      <c r="T1516" s="36"/>
      <c r="U1516" s="36"/>
      <c r="V1516" s="36"/>
      <c r="W1516" s="36"/>
      <c r="X1516" s="36"/>
      <c r="Y1516" s="36"/>
      <c r="Z1516" s="36"/>
      <c r="AA1516" s="36"/>
    </row>
    <row r="1517" spans="16:27" x14ac:dyDescent="0.2">
      <c r="P1517" s="36"/>
      <c r="Q1517" s="36"/>
      <c r="R1517" s="36"/>
      <c r="S1517" s="36"/>
      <c r="T1517" s="36"/>
      <c r="U1517" s="36"/>
      <c r="V1517" s="36"/>
      <c r="W1517" s="36"/>
      <c r="X1517" s="36"/>
      <c r="Y1517" s="36"/>
      <c r="Z1517" s="36"/>
      <c r="AA1517" s="36"/>
    </row>
    <row r="1518" spans="16:27" x14ac:dyDescent="0.2">
      <c r="P1518" s="36"/>
      <c r="Q1518" s="36"/>
      <c r="R1518" s="36"/>
      <c r="S1518" s="36"/>
      <c r="T1518" s="36"/>
      <c r="U1518" s="36"/>
      <c r="V1518" s="36"/>
      <c r="W1518" s="36"/>
      <c r="X1518" s="36"/>
      <c r="Y1518" s="36"/>
      <c r="Z1518" s="36"/>
      <c r="AA1518" s="36"/>
    </row>
    <row r="1519" spans="16:27" x14ac:dyDescent="0.2">
      <c r="P1519" s="36"/>
      <c r="Q1519" s="36"/>
      <c r="R1519" s="36"/>
      <c r="S1519" s="36"/>
      <c r="T1519" s="36"/>
      <c r="U1519" s="36"/>
      <c r="V1519" s="36"/>
      <c r="W1519" s="36"/>
      <c r="X1519" s="36"/>
      <c r="Y1519" s="36"/>
      <c r="Z1519" s="36"/>
      <c r="AA1519" s="36"/>
    </row>
    <row r="1520" spans="16:27" x14ac:dyDescent="0.2">
      <c r="P1520" s="36"/>
      <c r="Q1520" s="36"/>
      <c r="R1520" s="36"/>
      <c r="S1520" s="36"/>
      <c r="T1520" s="36"/>
      <c r="U1520" s="36"/>
      <c r="V1520" s="36"/>
      <c r="W1520" s="36"/>
      <c r="X1520" s="36"/>
      <c r="Y1520" s="36"/>
      <c r="Z1520" s="36"/>
      <c r="AA1520" s="36"/>
    </row>
    <row r="1521" spans="16:27" x14ac:dyDescent="0.2">
      <c r="P1521" s="36"/>
      <c r="Q1521" s="36"/>
      <c r="R1521" s="36"/>
      <c r="S1521" s="36"/>
      <c r="T1521" s="36"/>
      <c r="U1521" s="36"/>
      <c r="V1521" s="36"/>
      <c r="W1521" s="36"/>
      <c r="X1521" s="36"/>
      <c r="Y1521" s="36"/>
      <c r="Z1521" s="36"/>
      <c r="AA1521" s="36"/>
    </row>
    <row r="1522" spans="16:27" x14ac:dyDescent="0.2">
      <c r="P1522" s="36"/>
      <c r="Q1522" s="36"/>
      <c r="R1522" s="36"/>
      <c r="S1522" s="36"/>
      <c r="T1522" s="36"/>
      <c r="U1522" s="36"/>
      <c r="V1522" s="36"/>
      <c r="W1522" s="36"/>
      <c r="X1522" s="36"/>
      <c r="Y1522" s="36"/>
      <c r="Z1522" s="36"/>
      <c r="AA1522" s="36"/>
    </row>
    <row r="1523" spans="16:27" x14ac:dyDescent="0.2">
      <c r="P1523" s="36"/>
      <c r="Q1523" s="36"/>
      <c r="R1523" s="36"/>
      <c r="S1523" s="36"/>
      <c r="T1523" s="36"/>
      <c r="U1523" s="36"/>
      <c r="V1523" s="36"/>
      <c r="W1523" s="36"/>
      <c r="X1523" s="36"/>
      <c r="Y1523" s="36"/>
      <c r="Z1523" s="36"/>
      <c r="AA1523" s="36"/>
    </row>
    <row r="1524" spans="16:27" x14ac:dyDescent="0.2">
      <c r="P1524" s="36"/>
      <c r="Q1524" s="36"/>
      <c r="R1524" s="36"/>
      <c r="S1524" s="36"/>
      <c r="T1524" s="36"/>
      <c r="U1524" s="36"/>
      <c r="V1524" s="36"/>
      <c r="W1524" s="36"/>
      <c r="X1524" s="36"/>
      <c r="Y1524" s="36"/>
      <c r="Z1524" s="36"/>
      <c r="AA1524" s="36"/>
    </row>
    <row r="1525" spans="16:27" x14ac:dyDescent="0.2">
      <c r="P1525" s="36"/>
      <c r="Q1525" s="36"/>
      <c r="R1525" s="36"/>
      <c r="S1525" s="36"/>
      <c r="T1525" s="36"/>
      <c r="U1525" s="36"/>
      <c r="V1525" s="36"/>
      <c r="W1525" s="36"/>
      <c r="X1525" s="36"/>
      <c r="Y1525" s="36"/>
      <c r="Z1525" s="36"/>
      <c r="AA1525" s="36"/>
    </row>
    <row r="1526" spans="16:27" x14ac:dyDescent="0.2">
      <c r="P1526" s="36"/>
      <c r="Q1526" s="36"/>
      <c r="R1526" s="36"/>
      <c r="S1526" s="36"/>
      <c r="T1526" s="36"/>
      <c r="U1526" s="36"/>
      <c r="V1526" s="36"/>
      <c r="W1526" s="36"/>
      <c r="X1526" s="36"/>
      <c r="Y1526" s="36"/>
      <c r="Z1526" s="36"/>
      <c r="AA1526" s="36"/>
    </row>
    <row r="1527" spans="16:27" x14ac:dyDescent="0.2">
      <c r="P1527" s="36"/>
      <c r="Q1527" s="36"/>
      <c r="R1527" s="36"/>
      <c r="S1527" s="36"/>
      <c r="T1527" s="36"/>
      <c r="U1527" s="36"/>
      <c r="V1527" s="36"/>
      <c r="W1527" s="36"/>
      <c r="X1527" s="36"/>
      <c r="Y1527" s="36"/>
      <c r="Z1527" s="36"/>
      <c r="AA1527" s="36"/>
    </row>
    <row r="1528" spans="16:27" x14ac:dyDescent="0.2">
      <c r="P1528" s="36"/>
      <c r="Q1528" s="36"/>
      <c r="R1528" s="36"/>
      <c r="S1528" s="36"/>
      <c r="T1528" s="36"/>
      <c r="U1528" s="36"/>
      <c r="V1528" s="36"/>
      <c r="W1528" s="36"/>
      <c r="X1528" s="36"/>
      <c r="Y1528" s="36"/>
      <c r="Z1528" s="36"/>
      <c r="AA1528" s="36"/>
    </row>
    <row r="1529" spans="16:27" x14ac:dyDescent="0.2">
      <c r="P1529" s="36"/>
      <c r="Q1529" s="36"/>
      <c r="R1529" s="36"/>
      <c r="S1529" s="36"/>
      <c r="T1529" s="36"/>
      <c r="U1529" s="36"/>
      <c r="V1529" s="36"/>
      <c r="W1529" s="36"/>
      <c r="X1529" s="36"/>
      <c r="Y1529" s="36"/>
      <c r="Z1529" s="36"/>
      <c r="AA1529" s="36"/>
    </row>
    <row r="1530" spans="16:27" x14ac:dyDescent="0.2">
      <c r="P1530" s="36"/>
      <c r="Q1530" s="36"/>
      <c r="R1530" s="36"/>
      <c r="S1530" s="36"/>
      <c r="T1530" s="36"/>
      <c r="U1530" s="36"/>
      <c r="V1530" s="36"/>
      <c r="W1530" s="36"/>
      <c r="X1530" s="36"/>
      <c r="Y1530" s="36"/>
      <c r="Z1530" s="36"/>
      <c r="AA1530" s="36"/>
    </row>
    <row r="1531" spans="16:27" x14ac:dyDescent="0.2">
      <c r="P1531" s="36"/>
      <c r="Q1531" s="36"/>
      <c r="R1531" s="36"/>
      <c r="S1531" s="36"/>
      <c r="T1531" s="36"/>
      <c r="U1531" s="36"/>
      <c r="V1531" s="36"/>
      <c r="W1531" s="36"/>
      <c r="X1531" s="36"/>
      <c r="Y1531" s="36"/>
      <c r="Z1531" s="36"/>
      <c r="AA1531" s="36"/>
    </row>
    <row r="1532" spans="16:27" x14ac:dyDescent="0.2">
      <c r="P1532" s="36"/>
      <c r="Q1532" s="36"/>
      <c r="R1532" s="36"/>
      <c r="S1532" s="36"/>
      <c r="T1532" s="36"/>
      <c r="U1532" s="36"/>
      <c r="V1532" s="36"/>
      <c r="W1532" s="36"/>
      <c r="X1532" s="36"/>
      <c r="Y1532" s="36"/>
      <c r="Z1532" s="36"/>
      <c r="AA1532" s="36"/>
    </row>
    <row r="1533" spans="16:27" x14ac:dyDescent="0.2">
      <c r="P1533" s="36"/>
      <c r="Q1533" s="36"/>
      <c r="R1533" s="36"/>
      <c r="S1533" s="36"/>
      <c r="T1533" s="36"/>
      <c r="U1533" s="36"/>
      <c r="V1533" s="36"/>
      <c r="W1533" s="36"/>
      <c r="X1533" s="36"/>
      <c r="Y1533" s="36"/>
      <c r="Z1533" s="36"/>
      <c r="AA1533" s="36"/>
    </row>
    <row r="1534" spans="16:27" x14ac:dyDescent="0.2">
      <c r="P1534" s="36"/>
      <c r="Q1534" s="36"/>
      <c r="R1534" s="36"/>
      <c r="S1534" s="36"/>
      <c r="T1534" s="36"/>
      <c r="U1534" s="36"/>
      <c r="V1534" s="36"/>
      <c r="W1534" s="36"/>
      <c r="X1534" s="36"/>
      <c r="Y1534" s="36"/>
      <c r="Z1534" s="36"/>
      <c r="AA1534" s="36"/>
    </row>
    <row r="1535" spans="16:27" x14ac:dyDescent="0.2">
      <c r="P1535" s="36"/>
      <c r="Q1535" s="36"/>
      <c r="R1535" s="36"/>
      <c r="S1535" s="36"/>
      <c r="T1535" s="36"/>
      <c r="U1535" s="36"/>
      <c r="V1535" s="36"/>
      <c r="W1535" s="36"/>
      <c r="X1535" s="36"/>
      <c r="Y1535" s="36"/>
      <c r="Z1535" s="36"/>
      <c r="AA1535" s="36"/>
    </row>
    <row r="1536" spans="16:27" x14ac:dyDescent="0.2">
      <c r="P1536" s="36"/>
      <c r="Q1536" s="36"/>
      <c r="R1536" s="36"/>
      <c r="S1536" s="36"/>
      <c r="T1536" s="36"/>
      <c r="U1536" s="36"/>
      <c r="V1536" s="36"/>
      <c r="W1536" s="36"/>
      <c r="X1536" s="36"/>
      <c r="Y1536" s="36"/>
      <c r="Z1536" s="36"/>
      <c r="AA1536" s="36"/>
    </row>
    <row r="1537" spans="16:27" x14ac:dyDescent="0.2">
      <c r="P1537" s="36"/>
      <c r="Q1537" s="36"/>
      <c r="R1537" s="36"/>
      <c r="S1537" s="36"/>
      <c r="T1537" s="36"/>
      <c r="U1537" s="36"/>
      <c r="V1537" s="36"/>
      <c r="W1537" s="36"/>
      <c r="X1537" s="36"/>
      <c r="Y1537" s="36"/>
      <c r="Z1537" s="36"/>
      <c r="AA1537" s="36"/>
    </row>
    <row r="1538" spans="16:27" x14ac:dyDescent="0.2">
      <c r="P1538" s="36"/>
      <c r="Q1538" s="36"/>
      <c r="R1538" s="36"/>
      <c r="S1538" s="36"/>
      <c r="T1538" s="36"/>
      <c r="U1538" s="36"/>
      <c r="V1538" s="36"/>
      <c r="W1538" s="36"/>
      <c r="X1538" s="36"/>
      <c r="Y1538" s="36"/>
      <c r="Z1538" s="36"/>
      <c r="AA1538" s="36"/>
    </row>
    <row r="1539" spans="16:27" x14ac:dyDescent="0.2">
      <c r="P1539" s="36"/>
      <c r="Q1539" s="36"/>
      <c r="R1539" s="36"/>
      <c r="S1539" s="36"/>
      <c r="T1539" s="36"/>
      <c r="U1539" s="36"/>
      <c r="V1539" s="36"/>
      <c r="W1539" s="36"/>
      <c r="X1539" s="36"/>
      <c r="Y1539" s="36"/>
      <c r="Z1539" s="36"/>
      <c r="AA1539" s="36"/>
    </row>
    <row r="1540" spans="16:27" x14ac:dyDescent="0.2">
      <c r="P1540" s="36"/>
      <c r="Q1540" s="36"/>
      <c r="R1540" s="36"/>
      <c r="S1540" s="36"/>
      <c r="T1540" s="36"/>
      <c r="U1540" s="36"/>
      <c r="V1540" s="36"/>
      <c r="W1540" s="36"/>
      <c r="X1540" s="36"/>
      <c r="Y1540" s="36"/>
      <c r="Z1540" s="36"/>
      <c r="AA1540" s="36"/>
    </row>
    <row r="1541" spans="16:27" x14ac:dyDescent="0.2">
      <c r="P1541" s="36"/>
      <c r="Q1541" s="36"/>
      <c r="R1541" s="36"/>
      <c r="S1541" s="36"/>
      <c r="T1541" s="36"/>
      <c r="U1541" s="36"/>
      <c r="V1541" s="36"/>
      <c r="W1541" s="36"/>
      <c r="X1541" s="36"/>
      <c r="Y1541" s="36"/>
      <c r="Z1541" s="36"/>
      <c r="AA1541" s="36"/>
    </row>
    <row r="1542" spans="16:27" x14ac:dyDescent="0.2">
      <c r="P1542" s="36"/>
      <c r="Q1542" s="36"/>
      <c r="R1542" s="36"/>
      <c r="S1542" s="36"/>
      <c r="T1542" s="36"/>
      <c r="U1542" s="36"/>
      <c r="V1542" s="36"/>
      <c r="W1542" s="36"/>
      <c r="X1542" s="36"/>
      <c r="Y1542" s="36"/>
      <c r="Z1542" s="36"/>
      <c r="AA1542" s="36"/>
    </row>
    <row r="1543" spans="16:27" x14ac:dyDescent="0.2">
      <c r="P1543" s="36"/>
      <c r="Q1543" s="36"/>
      <c r="R1543" s="36"/>
      <c r="S1543" s="36"/>
      <c r="T1543" s="36"/>
      <c r="U1543" s="36"/>
      <c r="V1543" s="36"/>
      <c r="W1543" s="36"/>
      <c r="X1543" s="36"/>
      <c r="Y1543" s="36"/>
      <c r="Z1543" s="36"/>
      <c r="AA1543" s="36"/>
    </row>
    <row r="1544" spans="16:27" x14ac:dyDescent="0.2">
      <c r="P1544" s="36"/>
      <c r="Q1544" s="36"/>
      <c r="R1544" s="36"/>
      <c r="S1544" s="36"/>
      <c r="T1544" s="36"/>
      <c r="U1544" s="36"/>
      <c r="V1544" s="36"/>
      <c r="W1544" s="36"/>
      <c r="X1544" s="36"/>
      <c r="Y1544" s="36"/>
      <c r="Z1544" s="36"/>
      <c r="AA1544" s="36"/>
    </row>
    <row r="1545" spans="16:27" x14ac:dyDescent="0.2">
      <c r="P1545" s="36"/>
      <c r="Q1545" s="36"/>
      <c r="R1545" s="36"/>
      <c r="S1545" s="36"/>
      <c r="T1545" s="36"/>
      <c r="U1545" s="36"/>
      <c r="V1545" s="36"/>
      <c r="W1545" s="36"/>
      <c r="X1545" s="36"/>
      <c r="Y1545" s="36"/>
      <c r="Z1545" s="36"/>
      <c r="AA1545" s="36"/>
    </row>
    <row r="1546" spans="16:27" x14ac:dyDescent="0.2">
      <c r="P1546" s="36"/>
      <c r="Q1546" s="36"/>
      <c r="R1546" s="36"/>
      <c r="S1546" s="36"/>
      <c r="T1546" s="36"/>
      <c r="U1546" s="36"/>
      <c r="V1546" s="36"/>
      <c r="W1546" s="36"/>
      <c r="X1546" s="36"/>
      <c r="Y1546" s="36"/>
      <c r="Z1546" s="36"/>
      <c r="AA1546" s="36"/>
    </row>
    <row r="1547" spans="16:27" x14ac:dyDescent="0.2">
      <c r="P1547" s="36"/>
      <c r="Q1547" s="36"/>
      <c r="R1547" s="36"/>
      <c r="S1547" s="36"/>
      <c r="T1547" s="36"/>
      <c r="U1547" s="36"/>
      <c r="V1547" s="36"/>
      <c r="W1547" s="36"/>
      <c r="X1547" s="36"/>
      <c r="Y1547" s="36"/>
      <c r="Z1547" s="36"/>
      <c r="AA1547" s="36"/>
    </row>
    <row r="1548" spans="16:27" x14ac:dyDescent="0.2">
      <c r="P1548" s="36"/>
      <c r="Q1548" s="36"/>
      <c r="R1548" s="36"/>
      <c r="S1548" s="36"/>
      <c r="T1548" s="36"/>
      <c r="U1548" s="36"/>
      <c r="V1548" s="36"/>
      <c r="W1548" s="36"/>
      <c r="X1548" s="36"/>
      <c r="Y1548" s="36"/>
      <c r="Z1548" s="36"/>
      <c r="AA1548" s="36"/>
    </row>
    <row r="1549" spans="16:27" x14ac:dyDescent="0.2">
      <c r="P1549" s="36"/>
      <c r="Q1549" s="36"/>
      <c r="R1549" s="36"/>
      <c r="S1549" s="36"/>
      <c r="T1549" s="36"/>
      <c r="U1549" s="36"/>
      <c r="V1549" s="36"/>
      <c r="W1549" s="36"/>
      <c r="X1549" s="36"/>
      <c r="Y1549" s="36"/>
      <c r="Z1549" s="36"/>
      <c r="AA1549" s="36"/>
    </row>
    <row r="1550" spans="16:27" x14ac:dyDescent="0.2">
      <c r="P1550" s="36"/>
      <c r="Q1550" s="36"/>
      <c r="R1550" s="36"/>
      <c r="S1550" s="36"/>
      <c r="T1550" s="36"/>
      <c r="U1550" s="36"/>
      <c r="V1550" s="36"/>
      <c r="W1550" s="36"/>
      <c r="X1550" s="36"/>
      <c r="Y1550" s="36"/>
      <c r="Z1550" s="36"/>
      <c r="AA1550" s="36"/>
    </row>
    <row r="1551" spans="16:27" x14ac:dyDescent="0.2">
      <c r="P1551" s="36"/>
      <c r="Q1551" s="36"/>
      <c r="R1551" s="36"/>
      <c r="S1551" s="36"/>
      <c r="T1551" s="36"/>
      <c r="U1551" s="36"/>
      <c r="V1551" s="36"/>
      <c r="W1551" s="36"/>
      <c r="X1551" s="36"/>
      <c r="Y1551" s="36"/>
      <c r="Z1551" s="36"/>
      <c r="AA1551" s="36"/>
    </row>
    <row r="1552" spans="16:27" x14ac:dyDescent="0.2">
      <c r="P1552" s="36"/>
      <c r="Q1552" s="36"/>
      <c r="R1552" s="36"/>
      <c r="S1552" s="36"/>
      <c r="T1552" s="36"/>
      <c r="U1552" s="36"/>
      <c r="V1552" s="36"/>
      <c r="W1552" s="36"/>
      <c r="X1552" s="36"/>
      <c r="Y1552" s="36"/>
      <c r="Z1552" s="36"/>
      <c r="AA1552" s="36"/>
    </row>
    <row r="1553" spans="16:27" x14ac:dyDescent="0.2">
      <c r="P1553" s="36"/>
      <c r="Q1553" s="36"/>
      <c r="R1553" s="36"/>
      <c r="S1553" s="36"/>
      <c r="T1553" s="36"/>
      <c r="U1553" s="36"/>
      <c r="V1553" s="36"/>
      <c r="W1553" s="36"/>
      <c r="X1553" s="36"/>
      <c r="Y1553" s="36"/>
      <c r="Z1553" s="36"/>
      <c r="AA1553" s="36"/>
    </row>
    <row r="1554" spans="16:27" x14ac:dyDescent="0.2">
      <c r="P1554" s="36"/>
      <c r="Q1554" s="36"/>
      <c r="R1554" s="36"/>
      <c r="S1554" s="36"/>
      <c r="T1554" s="36"/>
      <c r="U1554" s="36"/>
      <c r="V1554" s="36"/>
      <c r="W1554" s="36"/>
      <c r="X1554" s="36"/>
      <c r="Y1554" s="36"/>
      <c r="Z1554" s="36"/>
      <c r="AA1554" s="36"/>
    </row>
    <row r="1555" spans="16:27" x14ac:dyDescent="0.2">
      <c r="P1555" s="36"/>
      <c r="Q1555" s="36"/>
      <c r="R1555" s="36"/>
      <c r="S1555" s="36"/>
      <c r="T1555" s="36"/>
      <c r="U1555" s="36"/>
      <c r="V1555" s="36"/>
      <c r="W1555" s="36"/>
      <c r="X1555" s="36"/>
      <c r="Y1555" s="36"/>
      <c r="Z1555" s="36"/>
      <c r="AA1555" s="36"/>
    </row>
    <row r="1556" spans="16:27" x14ac:dyDescent="0.2">
      <c r="P1556" s="36"/>
      <c r="Q1556" s="36"/>
      <c r="R1556" s="36"/>
      <c r="S1556" s="36"/>
      <c r="T1556" s="36"/>
      <c r="U1556" s="36"/>
      <c r="V1556" s="36"/>
      <c r="W1556" s="36"/>
      <c r="X1556" s="36"/>
      <c r="Y1556" s="36"/>
      <c r="Z1556" s="36"/>
      <c r="AA1556" s="36"/>
    </row>
    <row r="1557" spans="16:27" x14ac:dyDescent="0.2">
      <c r="P1557" s="36"/>
      <c r="Q1557" s="36"/>
      <c r="R1557" s="36"/>
      <c r="S1557" s="36"/>
      <c r="T1557" s="36"/>
      <c r="U1557" s="36"/>
      <c r="V1557" s="36"/>
      <c r="W1557" s="36"/>
      <c r="X1557" s="36"/>
      <c r="Y1557" s="36"/>
      <c r="Z1557" s="36"/>
      <c r="AA1557" s="36"/>
    </row>
    <row r="1558" spans="16:27" x14ac:dyDescent="0.2">
      <c r="P1558" s="36"/>
      <c r="Q1558" s="36"/>
      <c r="R1558" s="36"/>
      <c r="S1558" s="36"/>
      <c r="T1558" s="36"/>
      <c r="U1558" s="36"/>
      <c r="V1558" s="36"/>
      <c r="W1558" s="36"/>
      <c r="X1558" s="36"/>
      <c r="Y1558" s="36"/>
      <c r="Z1558" s="36"/>
      <c r="AA1558" s="36"/>
    </row>
    <row r="1559" spans="16:27" x14ac:dyDescent="0.2">
      <c r="P1559" s="36"/>
      <c r="Q1559" s="36"/>
      <c r="R1559" s="36"/>
      <c r="S1559" s="36"/>
      <c r="T1559" s="36"/>
      <c r="U1559" s="36"/>
      <c r="V1559" s="36"/>
      <c r="W1559" s="36"/>
      <c r="X1559" s="36"/>
      <c r="Y1559" s="36"/>
      <c r="Z1559" s="36"/>
      <c r="AA1559" s="36"/>
    </row>
    <row r="1560" spans="16:27" x14ac:dyDescent="0.2">
      <c r="P1560" s="36"/>
      <c r="Q1560" s="36"/>
      <c r="R1560" s="36"/>
      <c r="S1560" s="36"/>
      <c r="T1560" s="36"/>
      <c r="U1560" s="36"/>
      <c r="V1560" s="36"/>
      <c r="W1560" s="36"/>
      <c r="X1560" s="36"/>
      <c r="Y1560" s="36"/>
      <c r="Z1560" s="36"/>
      <c r="AA1560" s="36"/>
    </row>
    <row r="1561" spans="16:27" x14ac:dyDescent="0.2">
      <c r="P1561" s="36"/>
      <c r="Q1561" s="36"/>
      <c r="R1561" s="36"/>
      <c r="S1561" s="36"/>
      <c r="T1561" s="36"/>
      <c r="U1561" s="36"/>
      <c r="V1561" s="36"/>
      <c r="W1561" s="36"/>
      <c r="X1561" s="36"/>
      <c r="Y1561" s="36"/>
      <c r="Z1561" s="36"/>
      <c r="AA1561" s="36"/>
    </row>
    <row r="1562" spans="16:27" x14ac:dyDescent="0.2">
      <c r="P1562" s="36"/>
      <c r="Q1562" s="36"/>
      <c r="R1562" s="36"/>
      <c r="S1562" s="36"/>
      <c r="T1562" s="36"/>
      <c r="U1562" s="36"/>
      <c r="V1562" s="36"/>
      <c r="W1562" s="36"/>
      <c r="X1562" s="36"/>
      <c r="Y1562" s="36"/>
      <c r="Z1562" s="36"/>
      <c r="AA1562" s="36"/>
    </row>
    <row r="1563" spans="16:27" x14ac:dyDescent="0.2">
      <c r="P1563" s="36"/>
      <c r="Q1563" s="36"/>
      <c r="R1563" s="36"/>
      <c r="S1563" s="36"/>
      <c r="T1563" s="36"/>
      <c r="U1563" s="36"/>
      <c r="V1563" s="36"/>
      <c r="W1563" s="36"/>
      <c r="X1563" s="36"/>
      <c r="Y1563" s="36"/>
      <c r="Z1563" s="36"/>
      <c r="AA1563" s="36"/>
    </row>
    <row r="1564" spans="16:27" x14ac:dyDescent="0.2">
      <c r="P1564" s="36"/>
      <c r="Q1564" s="36"/>
      <c r="R1564" s="36"/>
      <c r="S1564" s="36"/>
      <c r="T1564" s="36"/>
      <c r="U1564" s="36"/>
      <c r="V1564" s="36"/>
      <c r="W1564" s="36"/>
      <c r="X1564" s="36"/>
      <c r="Y1564" s="36"/>
      <c r="Z1564" s="36"/>
      <c r="AA1564" s="36"/>
    </row>
    <row r="1565" spans="16:27" x14ac:dyDescent="0.2">
      <c r="P1565" s="36"/>
      <c r="Q1565" s="36"/>
      <c r="R1565" s="36"/>
      <c r="S1565" s="36"/>
      <c r="T1565" s="36"/>
      <c r="U1565" s="36"/>
      <c r="V1565" s="36"/>
      <c r="W1565" s="36"/>
      <c r="X1565" s="36"/>
      <c r="Y1565" s="36"/>
      <c r="Z1565" s="36"/>
      <c r="AA1565" s="36"/>
    </row>
    <row r="1566" spans="16:27" x14ac:dyDescent="0.2">
      <c r="P1566" s="36"/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</row>
    <row r="1567" spans="16:27" x14ac:dyDescent="0.2">
      <c r="P1567" s="36"/>
      <c r="Q1567" s="36"/>
      <c r="R1567" s="36"/>
      <c r="S1567" s="36"/>
      <c r="T1567" s="36"/>
      <c r="U1567" s="36"/>
      <c r="V1567" s="36"/>
      <c r="W1567" s="36"/>
      <c r="X1567" s="36"/>
      <c r="Y1567" s="36"/>
      <c r="Z1567" s="36"/>
      <c r="AA1567" s="36"/>
    </row>
    <row r="1568" spans="16:27" x14ac:dyDescent="0.2">
      <c r="P1568" s="36"/>
      <c r="Q1568" s="36"/>
      <c r="R1568" s="36"/>
      <c r="S1568" s="36"/>
      <c r="T1568" s="36"/>
      <c r="U1568" s="36"/>
      <c r="V1568" s="36"/>
      <c r="W1568" s="36"/>
      <c r="X1568" s="36"/>
      <c r="Y1568" s="36"/>
      <c r="Z1568" s="36"/>
      <c r="AA1568" s="36"/>
    </row>
    <row r="1569" spans="16:27" x14ac:dyDescent="0.2">
      <c r="P1569" s="36"/>
      <c r="Q1569" s="36"/>
      <c r="R1569" s="36"/>
      <c r="S1569" s="36"/>
      <c r="T1569" s="36"/>
      <c r="U1569" s="36"/>
      <c r="V1569" s="36"/>
      <c r="W1569" s="36"/>
      <c r="X1569" s="36"/>
      <c r="Y1569" s="36"/>
      <c r="Z1569" s="36"/>
      <c r="AA1569" s="36"/>
    </row>
    <row r="1570" spans="16:27" x14ac:dyDescent="0.2">
      <c r="P1570" s="36"/>
      <c r="Q1570" s="36"/>
      <c r="R1570" s="36"/>
      <c r="S1570" s="36"/>
      <c r="T1570" s="36"/>
      <c r="U1570" s="36"/>
      <c r="V1570" s="36"/>
      <c r="W1570" s="36"/>
      <c r="X1570" s="36"/>
      <c r="Y1570" s="36"/>
      <c r="Z1570" s="36"/>
      <c r="AA1570" s="36"/>
    </row>
    <row r="1571" spans="16:27" x14ac:dyDescent="0.2">
      <c r="P1571" s="36"/>
      <c r="Q1571" s="36"/>
      <c r="R1571" s="36"/>
      <c r="S1571" s="36"/>
      <c r="T1571" s="36"/>
      <c r="U1571" s="36"/>
      <c r="V1571" s="36"/>
      <c r="W1571" s="36"/>
      <c r="X1571" s="36"/>
      <c r="Y1571" s="36"/>
      <c r="Z1571" s="36"/>
      <c r="AA1571" s="36"/>
    </row>
    <row r="1572" spans="16:27" x14ac:dyDescent="0.2">
      <c r="P1572" s="36"/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</row>
    <row r="1573" spans="16:27" x14ac:dyDescent="0.2">
      <c r="P1573" s="36"/>
      <c r="Q1573" s="36"/>
      <c r="R1573" s="36"/>
      <c r="S1573" s="36"/>
      <c r="T1573" s="36"/>
      <c r="U1573" s="36"/>
      <c r="V1573" s="36"/>
      <c r="W1573" s="36"/>
      <c r="X1573" s="36"/>
      <c r="Y1573" s="36"/>
      <c r="Z1573" s="36"/>
      <c r="AA1573" s="36"/>
    </row>
    <row r="1574" spans="16:27" x14ac:dyDescent="0.2">
      <c r="P1574" s="36"/>
      <c r="Q1574" s="36"/>
      <c r="R1574" s="36"/>
      <c r="S1574" s="36"/>
      <c r="T1574" s="36"/>
      <c r="U1574" s="36"/>
      <c r="V1574" s="36"/>
      <c r="W1574" s="36"/>
      <c r="X1574" s="36"/>
      <c r="Y1574" s="36"/>
      <c r="Z1574" s="36"/>
      <c r="AA1574" s="36"/>
    </row>
    <row r="1575" spans="16:27" x14ac:dyDescent="0.2">
      <c r="P1575" s="36"/>
      <c r="Q1575" s="36"/>
      <c r="R1575" s="36"/>
      <c r="S1575" s="36"/>
      <c r="T1575" s="36"/>
      <c r="U1575" s="36"/>
      <c r="V1575" s="36"/>
      <c r="W1575" s="36"/>
      <c r="X1575" s="36"/>
      <c r="Y1575" s="36"/>
      <c r="Z1575" s="36"/>
      <c r="AA1575" s="36"/>
    </row>
    <row r="1576" spans="16:27" x14ac:dyDescent="0.2">
      <c r="P1576" s="36"/>
      <c r="Q1576" s="36"/>
      <c r="R1576" s="36"/>
      <c r="S1576" s="36"/>
      <c r="T1576" s="36"/>
      <c r="U1576" s="36"/>
      <c r="V1576" s="36"/>
      <c r="W1576" s="36"/>
      <c r="X1576" s="36"/>
      <c r="Y1576" s="36"/>
      <c r="Z1576" s="36"/>
      <c r="AA1576" s="36"/>
    </row>
    <row r="1577" spans="16:27" x14ac:dyDescent="0.2">
      <c r="P1577" s="36"/>
      <c r="Q1577" s="36"/>
      <c r="R1577" s="36"/>
      <c r="S1577" s="36"/>
      <c r="T1577" s="36"/>
      <c r="U1577" s="36"/>
      <c r="V1577" s="36"/>
      <c r="W1577" s="36"/>
      <c r="X1577" s="36"/>
      <c r="Y1577" s="36"/>
      <c r="Z1577" s="36"/>
      <c r="AA1577" s="36"/>
    </row>
    <row r="1578" spans="16:27" x14ac:dyDescent="0.2">
      <c r="P1578" s="36"/>
      <c r="Q1578" s="36"/>
      <c r="R1578" s="36"/>
      <c r="S1578" s="36"/>
      <c r="T1578" s="36"/>
      <c r="U1578" s="36"/>
      <c r="V1578" s="36"/>
      <c r="W1578" s="36"/>
      <c r="X1578" s="36"/>
      <c r="Y1578" s="36"/>
      <c r="Z1578" s="36"/>
      <c r="AA1578" s="36"/>
    </row>
    <row r="1579" spans="16:27" x14ac:dyDescent="0.2">
      <c r="P1579" s="36"/>
      <c r="Q1579" s="36"/>
      <c r="R1579" s="36"/>
      <c r="S1579" s="36"/>
      <c r="T1579" s="36"/>
      <c r="U1579" s="36"/>
      <c r="V1579" s="36"/>
      <c r="W1579" s="36"/>
      <c r="X1579" s="36"/>
      <c r="Y1579" s="36"/>
      <c r="Z1579" s="36"/>
      <c r="AA1579" s="36"/>
    </row>
    <row r="1580" spans="16:27" x14ac:dyDescent="0.2">
      <c r="P1580" s="36"/>
      <c r="Q1580" s="36"/>
      <c r="R1580" s="36"/>
      <c r="S1580" s="36"/>
      <c r="T1580" s="36"/>
      <c r="U1580" s="36"/>
      <c r="V1580" s="36"/>
      <c r="W1580" s="36"/>
      <c r="X1580" s="36"/>
      <c r="Y1580" s="36"/>
      <c r="Z1580" s="36"/>
      <c r="AA1580" s="36"/>
    </row>
    <row r="1581" spans="16:27" x14ac:dyDescent="0.2">
      <c r="P1581" s="36"/>
      <c r="Q1581" s="36"/>
      <c r="R1581" s="36"/>
      <c r="S1581" s="36"/>
      <c r="T1581" s="36"/>
      <c r="U1581" s="36"/>
      <c r="V1581" s="36"/>
      <c r="W1581" s="36"/>
      <c r="X1581" s="36"/>
      <c r="Y1581" s="36"/>
      <c r="Z1581" s="36"/>
      <c r="AA1581" s="36"/>
    </row>
    <row r="1582" spans="16:27" x14ac:dyDescent="0.2">
      <c r="P1582" s="36"/>
      <c r="Q1582" s="36"/>
      <c r="R1582" s="36"/>
      <c r="S1582" s="36"/>
      <c r="T1582" s="36"/>
      <c r="U1582" s="36"/>
      <c r="V1582" s="36"/>
      <c r="W1582" s="36"/>
      <c r="X1582" s="36"/>
      <c r="Y1582" s="36"/>
      <c r="Z1582" s="36"/>
      <c r="AA1582" s="36"/>
    </row>
    <row r="1583" spans="16:27" x14ac:dyDescent="0.2">
      <c r="P1583" s="36"/>
      <c r="Q1583" s="36"/>
      <c r="R1583" s="36"/>
      <c r="S1583" s="36"/>
      <c r="T1583" s="36"/>
      <c r="U1583" s="36"/>
      <c r="V1583" s="36"/>
      <c r="W1583" s="36"/>
      <c r="X1583" s="36"/>
      <c r="Y1583" s="36"/>
      <c r="Z1583" s="36"/>
      <c r="AA1583" s="36"/>
    </row>
    <row r="1584" spans="16:27" x14ac:dyDescent="0.2">
      <c r="P1584" s="36"/>
      <c r="Q1584" s="36"/>
      <c r="R1584" s="36"/>
      <c r="S1584" s="36"/>
      <c r="T1584" s="36"/>
      <c r="U1584" s="36"/>
      <c r="V1584" s="36"/>
      <c r="W1584" s="36"/>
      <c r="X1584" s="36"/>
      <c r="Y1584" s="36"/>
      <c r="Z1584" s="36"/>
      <c r="AA1584" s="36"/>
    </row>
    <row r="1585" spans="16:27" x14ac:dyDescent="0.2">
      <c r="P1585" s="36"/>
      <c r="Q1585" s="36"/>
      <c r="R1585" s="36"/>
      <c r="S1585" s="36"/>
      <c r="T1585" s="36"/>
      <c r="U1585" s="36"/>
      <c r="V1585" s="36"/>
      <c r="W1585" s="36"/>
      <c r="X1585" s="36"/>
      <c r="Y1585" s="36"/>
      <c r="Z1585" s="36"/>
      <c r="AA1585" s="36"/>
    </row>
    <row r="1586" spans="16:27" x14ac:dyDescent="0.2">
      <c r="P1586" s="36"/>
      <c r="Q1586" s="36"/>
      <c r="R1586" s="36"/>
      <c r="S1586" s="36"/>
      <c r="T1586" s="36"/>
      <c r="U1586" s="36"/>
      <c r="V1586" s="36"/>
      <c r="W1586" s="36"/>
      <c r="X1586" s="36"/>
      <c r="Y1586" s="36"/>
      <c r="Z1586" s="36"/>
      <c r="AA1586" s="36"/>
    </row>
    <row r="1587" spans="16:27" x14ac:dyDescent="0.2">
      <c r="P1587" s="36"/>
      <c r="Q1587" s="36"/>
      <c r="R1587" s="36"/>
      <c r="S1587" s="36"/>
      <c r="T1587" s="36"/>
      <c r="U1587" s="36"/>
      <c r="V1587" s="36"/>
      <c r="W1587" s="36"/>
      <c r="X1587" s="36"/>
      <c r="Y1587" s="36"/>
      <c r="Z1587" s="36"/>
      <c r="AA1587" s="36"/>
    </row>
    <row r="1588" spans="16:27" x14ac:dyDescent="0.2">
      <c r="P1588" s="36"/>
      <c r="Q1588" s="36"/>
      <c r="R1588" s="36"/>
      <c r="S1588" s="36"/>
      <c r="T1588" s="36"/>
      <c r="U1588" s="36"/>
      <c r="V1588" s="36"/>
      <c r="W1588" s="36"/>
      <c r="X1588" s="36"/>
      <c r="Y1588" s="36"/>
      <c r="Z1588" s="36"/>
      <c r="AA1588" s="36"/>
    </row>
    <row r="1589" spans="16:27" x14ac:dyDescent="0.2">
      <c r="P1589" s="36"/>
      <c r="Q1589" s="36"/>
      <c r="R1589" s="36"/>
      <c r="S1589" s="36"/>
      <c r="T1589" s="36"/>
      <c r="U1589" s="36"/>
      <c r="V1589" s="36"/>
      <c r="W1589" s="36"/>
      <c r="X1589" s="36"/>
      <c r="Y1589" s="36"/>
      <c r="Z1589" s="36"/>
      <c r="AA1589" s="36"/>
    </row>
    <row r="1590" spans="16:27" x14ac:dyDescent="0.2">
      <c r="P1590" s="36"/>
      <c r="Q1590" s="36"/>
      <c r="R1590" s="36"/>
      <c r="S1590" s="36"/>
      <c r="T1590" s="36"/>
      <c r="U1590" s="36"/>
      <c r="V1590" s="36"/>
      <c r="W1590" s="36"/>
      <c r="X1590" s="36"/>
      <c r="Y1590" s="36"/>
      <c r="Z1590" s="36"/>
      <c r="AA1590" s="36"/>
    </row>
    <row r="1591" spans="16:27" x14ac:dyDescent="0.2">
      <c r="P1591" s="36"/>
      <c r="Q1591" s="36"/>
      <c r="R1591" s="36"/>
      <c r="S1591" s="36"/>
      <c r="T1591" s="36"/>
      <c r="U1591" s="36"/>
      <c r="V1591" s="36"/>
      <c r="W1591" s="36"/>
      <c r="X1591" s="36"/>
      <c r="Y1591" s="36"/>
      <c r="Z1591" s="36"/>
      <c r="AA1591" s="36"/>
    </row>
    <row r="1592" spans="16:27" x14ac:dyDescent="0.2">
      <c r="P1592" s="36"/>
      <c r="Q1592" s="36"/>
      <c r="R1592" s="36"/>
      <c r="S1592" s="36"/>
      <c r="T1592" s="36"/>
      <c r="U1592" s="36"/>
      <c r="V1592" s="36"/>
      <c r="W1592" s="36"/>
      <c r="X1592" s="36"/>
      <c r="Y1592" s="36"/>
      <c r="Z1592" s="36"/>
      <c r="AA1592" s="36"/>
    </row>
    <row r="1593" spans="16:27" x14ac:dyDescent="0.2">
      <c r="P1593" s="36"/>
      <c r="Q1593" s="36"/>
      <c r="R1593" s="36"/>
      <c r="S1593" s="36"/>
      <c r="T1593" s="36"/>
      <c r="U1593" s="36"/>
      <c r="V1593" s="36"/>
      <c r="W1593" s="36"/>
      <c r="X1593" s="36"/>
      <c r="Y1593" s="36"/>
      <c r="Z1593" s="36"/>
      <c r="AA1593" s="36"/>
    </row>
    <row r="1594" spans="16:27" x14ac:dyDescent="0.2">
      <c r="P1594" s="36"/>
      <c r="Q1594" s="36"/>
      <c r="R1594" s="36"/>
      <c r="S1594" s="36"/>
      <c r="T1594" s="36"/>
      <c r="U1594" s="36"/>
      <c r="V1594" s="36"/>
      <c r="W1594" s="36"/>
      <c r="X1594" s="36"/>
      <c r="Y1594" s="36"/>
      <c r="Z1594" s="36"/>
      <c r="AA1594" s="36"/>
    </row>
    <row r="1595" spans="16:27" x14ac:dyDescent="0.2">
      <c r="P1595" s="36"/>
      <c r="Q1595" s="36"/>
      <c r="R1595" s="36"/>
      <c r="S1595" s="36"/>
      <c r="T1595" s="36"/>
      <c r="U1595" s="36"/>
      <c r="V1595" s="36"/>
      <c r="W1595" s="36"/>
      <c r="X1595" s="36"/>
      <c r="Y1595" s="36"/>
      <c r="Z1595" s="36"/>
      <c r="AA1595" s="36"/>
    </row>
    <row r="1596" spans="16:27" x14ac:dyDescent="0.2">
      <c r="P1596" s="36"/>
      <c r="Q1596" s="36"/>
      <c r="R1596" s="36"/>
      <c r="S1596" s="36"/>
      <c r="T1596" s="36"/>
      <c r="U1596" s="36"/>
      <c r="V1596" s="36"/>
      <c r="W1596" s="36"/>
      <c r="X1596" s="36"/>
      <c r="Y1596" s="36"/>
      <c r="Z1596" s="36"/>
      <c r="AA1596" s="36"/>
    </row>
    <row r="1597" spans="16:27" x14ac:dyDescent="0.2">
      <c r="P1597" s="36"/>
      <c r="Q1597" s="36"/>
      <c r="R1597" s="36"/>
      <c r="S1597" s="36"/>
      <c r="T1597" s="36"/>
      <c r="U1597" s="36"/>
      <c r="V1597" s="36"/>
      <c r="W1597" s="36"/>
      <c r="X1597" s="36"/>
      <c r="Y1597" s="36"/>
      <c r="Z1597" s="36"/>
      <c r="AA1597" s="36"/>
    </row>
    <row r="1598" spans="16:27" x14ac:dyDescent="0.2">
      <c r="P1598" s="36"/>
      <c r="Q1598" s="36"/>
      <c r="R1598" s="36"/>
      <c r="S1598" s="36"/>
      <c r="T1598" s="36"/>
      <c r="U1598" s="36"/>
      <c r="V1598" s="36"/>
      <c r="W1598" s="36"/>
      <c r="X1598" s="36"/>
      <c r="Y1598" s="36"/>
      <c r="Z1598" s="36"/>
      <c r="AA1598" s="36"/>
    </row>
    <row r="1599" spans="16:27" x14ac:dyDescent="0.2">
      <c r="P1599" s="36"/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</row>
    <row r="1600" spans="16:27" x14ac:dyDescent="0.2">
      <c r="P1600" s="36"/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</row>
    <row r="1601" spans="16:27" x14ac:dyDescent="0.2">
      <c r="P1601" s="36"/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</row>
    <row r="1602" spans="16:27" x14ac:dyDescent="0.2">
      <c r="P1602" s="36"/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</row>
    <row r="1603" spans="16:27" x14ac:dyDescent="0.2">
      <c r="P1603" s="36"/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</row>
    <row r="1604" spans="16:27" x14ac:dyDescent="0.2">
      <c r="P1604" s="36"/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</row>
    <row r="1605" spans="16:27" x14ac:dyDescent="0.2">
      <c r="P1605" s="36"/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</row>
    <row r="1606" spans="16:27" x14ac:dyDescent="0.2">
      <c r="P1606" s="36"/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</row>
    <row r="1607" spans="16:27" x14ac:dyDescent="0.2">
      <c r="P1607" s="36"/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</row>
    <row r="1608" spans="16:27" x14ac:dyDescent="0.2">
      <c r="P1608" s="36"/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</row>
    <row r="1609" spans="16:27" x14ac:dyDescent="0.2">
      <c r="P1609" s="36"/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</row>
    <row r="1610" spans="16:27" x14ac:dyDescent="0.2">
      <c r="P1610" s="36"/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</row>
    <row r="1611" spans="16:27" x14ac:dyDescent="0.2">
      <c r="P1611" s="36"/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</row>
    <row r="1612" spans="16:27" x14ac:dyDescent="0.2">
      <c r="P1612" s="36"/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</row>
    <row r="1613" spans="16:27" x14ac:dyDescent="0.2">
      <c r="P1613" s="36"/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</row>
    <row r="1614" spans="16:27" x14ac:dyDescent="0.2">
      <c r="P1614" s="36"/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</row>
    <row r="1615" spans="16:27" x14ac:dyDescent="0.2">
      <c r="P1615" s="36"/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</row>
    <row r="1616" spans="16:27" x14ac:dyDescent="0.2">
      <c r="P1616" s="36"/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</row>
    <row r="1617" spans="16:27" x14ac:dyDescent="0.2">
      <c r="P1617" s="36"/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</row>
    <row r="1618" spans="16:27" x14ac:dyDescent="0.2">
      <c r="P1618" s="36"/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Length4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9</xdr:row>
                    <xdr:rowOff>123825</xdr:rowOff>
                  </from>
                  <to>
                    <xdr:col>29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Length1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</xdr:row>
                    <xdr:rowOff>276225</xdr:rowOff>
                  </from>
                  <to>
                    <xdr:col>29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Length7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18</xdr:row>
                    <xdr:rowOff>0</xdr:rowOff>
                  </from>
                  <to>
                    <xdr:col>29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Length2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4</xdr:row>
                    <xdr:rowOff>38100</xdr:rowOff>
                  </from>
                  <to>
                    <xdr:col>29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Length3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7</xdr:row>
                    <xdr:rowOff>0</xdr:rowOff>
                  </from>
                  <to>
                    <xdr:col>29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Length5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12</xdr:row>
                    <xdr:rowOff>66675</xdr:rowOff>
                  </from>
                  <to>
                    <xdr:col>29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Length6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15</xdr:row>
                    <xdr:rowOff>19050</xdr:rowOff>
                  </from>
                  <to>
                    <xdr:col>29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A1618"/>
  <sheetViews>
    <sheetView showGridLines="0" tabSelected="1" topLeftCell="K1" workbookViewId="0">
      <selection activeCell="M12" sqref="M12"/>
    </sheetView>
  </sheetViews>
  <sheetFormatPr defaultRowHeight="11.25" outlineLevelCol="1" x14ac:dyDescent="0.2"/>
  <cols>
    <col min="1" max="1" width="10" style="33" hidden="1" customWidth="1" outlineLevel="1"/>
    <col min="2" max="2" width="17.28515625" style="33" hidden="1" customWidth="1" outlineLevel="1"/>
    <col min="3" max="3" width="7" style="33" hidden="1" customWidth="1" outlineLevel="1"/>
    <col min="4" max="4" width="17.28515625" style="33" hidden="1" customWidth="1" outlineLevel="1"/>
    <col min="5" max="5" width="6" style="33" hidden="1" customWidth="1" outlineLevel="1"/>
    <col min="6" max="6" width="10" style="33" hidden="1" customWidth="1" outlineLevel="1"/>
    <col min="7" max="7" width="6" style="33" hidden="1" customWidth="1" outlineLevel="1"/>
    <col min="8" max="8" width="8" style="33" hidden="1" customWidth="1" outlineLevel="1"/>
    <col min="9" max="10" width="12" style="33" hidden="1" customWidth="1" outlineLevel="1"/>
    <col min="11" max="11" width="2.7109375" style="33" customWidth="1" collapsed="1"/>
    <col min="12" max="12" width="12" style="33" bestFit="1" customWidth="1"/>
    <col min="13" max="13" width="15.140625" style="33" bestFit="1" customWidth="1"/>
    <col min="14" max="14" width="6" style="33" bestFit="1" customWidth="1"/>
    <col min="15" max="15" width="3" style="33" bestFit="1" customWidth="1"/>
    <col min="16" max="16" width="6" style="33" bestFit="1" customWidth="1"/>
    <col min="17" max="18" width="17.28515625" style="33" bestFit="1" customWidth="1"/>
    <col min="19" max="19" width="17.28515625" style="33" customWidth="1"/>
    <col min="20" max="22" width="9.7109375" style="33" customWidth="1"/>
    <col min="23" max="25" width="9" style="33" hidden="1" customWidth="1" outlineLevel="1"/>
    <col min="26" max="26" width="12" style="33" customWidth="1" collapsed="1"/>
    <col min="27" max="27" width="12" style="33" customWidth="1"/>
    <col min="28" max="32" width="9.140625" style="33"/>
    <col min="33" max="33" width="15.140625" style="33" bestFit="1" customWidth="1"/>
    <col min="34" max="35" width="9.140625" style="33"/>
    <col min="36" max="36" width="13.140625" style="33" bestFit="1" customWidth="1"/>
    <col min="37" max="16384" width="9.140625" style="33"/>
  </cols>
  <sheetData>
    <row r="1" spans="1:27" x14ac:dyDescent="0.2">
      <c r="A1" s="14" t="s">
        <v>25</v>
      </c>
      <c r="B1" s="14"/>
      <c r="C1" s="14"/>
      <c r="D1" s="14"/>
      <c r="E1" s="14"/>
      <c r="F1" s="14" t="s">
        <v>26</v>
      </c>
      <c r="G1" s="14"/>
      <c r="H1" s="14"/>
      <c r="I1" s="14"/>
      <c r="J1" s="14"/>
      <c r="T1" s="42"/>
      <c r="U1" s="42"/>
      <c r="V1" s="34"/>
      <c r="W1" s="34"/>
      <c r="X1" s="34"/>
      <c r="Y1" s="34"/>
    </row>
    <row r="2" spans="1:27" ht="22.5" customHeight="1" x14ac:dyDescent="0.2">
      <c r="A2" s="15" t="s">
        <v>27</v>
      </c>
      <c r="B2" s="15" t="s">
        <v>28</v>
      </c>
      <c r="C2" s="15" t="s">
        <v>29</v>
      </c>
      <c r="D2" s="15" t="s">
        <v>30</v>
      </c>
      <c r="E2" s="15" t="s">
        <v>31</v>
      </c>
      <c r="F2" s="15" t="s">
        <v>28</v>
      </c>
      <c r="G2" s="15" t="s">
        <v>30</v>
      </c>
      <c r="H2" s="15" t="s">
        <v>31</v>
      </c>
      <c r="I2" s="15" t="s">
        <v>32</v>
      </c>
      <c r="J2" s="15" t="s">
        <v>33</v>
      </c>
      <c r="Q2" s="45" t="s">
        <v>22</v>
      </c>
      <c r="R2" s="45" t="s">
        <v>23</v>
      </c>
      <c r="S2" s="45" t="s">
        <v>55</v>
      </c>
      <c r="T2" s="45" t="s">
        <v>24</v>
      </c>
      <c r="U2" s="45" t="str">
        <f>"F "&amp;$M$3</f>
        <v>F 6M</v>
      </c>
      <c r="V2" s="45" t="s">
        <v>36</v>
      </c>
      <c r="W2" s="45" t="s">
        <v>37</v>
      </c>
      <c r="X2" s="45" t="s">
        <v>56</v>
      </c>
      <c r="Y2" s="45" t="s">
        <v>44</v>
      </c>
      <c r="Z2" s="45" t="s">
        <v>43</v>
      </c>
      <c r="AA2" s="45" t="s">
        <v>52</v>
      </c>
    </row>
    <row r="3" spans="1:27" x14ac:dyDescent="0.2">
      <c r="A3" s="18" t="str">
        <f>_xll.qlPeriodEquivalent(C3&amp;"M")</f>
        <v>1Y</v>
      </c>
      <c r="B3" s="10">
        <f>_xll.qlDateEndOfMonth(EDATE(_xll.qlSettingsEvaluationDate(Trigger),-1))</f>
        <v>42155</v>
      </c>
      <c r="C3" s="11">
        <v>12</v>
      </c>
      <c r="D3" s="10">
        <f>EDATE($Q$3,C3)</f>
        <v>42525</v>
      </c>
      <c r="E3" s="12">
        <f>IF(C3&lt;=12,1,IF(C3&lt;=24,3,IF(C3&lt;=120,6,IF(C3&lt;=240,12,IF(C3&lt;=360,36,60)))))</f>
        <v>1</v>
      </c>
      <c r="F3" s="16">
        <f>ROUNDDOWN(I3*10,2)/10</f>
        <v>1E-3</v>
      </c>
      <c r="G3" s="17">
        <f>IF(J3-I3&gt;1%,(QUOTIENT(J3*10000,50)+1)*0.5%,(QUOTIENT(J3*10000,10)+1)*0.1%)</f>
        <v>3.0000000000000001E-3</v>
      </c>
      <c r="H3" s="12">
        <f>IF(G3-F3&lt;0.5%,0.025%,IF(G3-F3&lt;1%,0.1%,IF(G3-F3&lt;2%,0.25%,0.5%)))</f>
        <v>2.5000000000000001E-4</v>
      </c>
      <c r="I3" s="17">
        <f>MIN(_xll.ohPack($V$3:INDEX($V$3:$V$135,MATCH(D3+1,$R$3:$R$135,1),1)))</f>
        <v>1.7640849324521432E-3</v>
      </c>
      <c r="J3" s="17">
        <f>MAX(_xll.ohPack($V$3:INDEX($V$3:$V$135,MATCH(D3+1,$R$3:$R$135,1),1)))</f>
        <v>2.1790643884311606E-3</v>
      </c>
      <c r="L3" s="46" t="s">
        <v>21</v>
      </c>
      <c r="M3" s="35" t="s">
        <v>34</v>
      </c>
      <c r="N3" s="36"/>
      <c r="O3" s="33">
        <v>0</v>
      </c>
      <c r="P3" s="26" t="str">
        <f>O3&amp;"M"</f>
        <v>0M</v>
      </c>
      <c r="Q3" s="28">
        <f>EvaluationDate</f>
        <v>42159</v>
      </c>
      <c r="R3" s="28">
        <f>_xll.qlInterestRateIndexValueDate(Index,Q3,Trigger)</f>
        <v>42163</v>
      </c>
      <c r="S3" s="28">
        <f>_xll.qlInterestRateIndexMaturity(Index,R3,Trigger)</f>
        <v>42346</v>
      </c>
      <c r="T3" s="30">
        <f>_xll.qlIndexFixing($M$6,Q3,,InterestRatesTrigger)</f>
        <v>-1.2740849324521433E-3</v>
      </c>
      <c r="U3" s="30">
        <f>_xll.qlIndexFixing(Index,Q3,,InterestRatesTrigger)</f>
        <v>4.8999999999999998E-4</v>
      </c>
      <c r="V3" s="30">
        <f>U3-T3</f>
        <v>1.7640849324521432E-3</v>
      </c>
      <c r="W3" s="29">
        <f>_xll.qlDayCounterYearFraction(DayCounter,SettlementDate,R3,,,Trigger)</f>
        <v>0</v>
      </c>
      <c r="X3" s="29">
        <f>_xll.qlDayCounterYearFraction(DayCounter,R3,S3)</f>
        <v>0.5083333333333333</v>
      </c>
      <c r="Y3" s="29">
        <f>_xll.qlYieldTSDiscount(Currency&amp;"ON",R3)/(1+U3*X3)</f>
        <v>0.99976319799392743</v>
      </c>
      <c r="Z3" s="30">
        <f>_xll.qlTenorBasisValue(TenorBasis6M,R3,InterestRatesTrigger)</f>
        <v>1.8417228682253181E-3</v>
      </c>
      <c r="AA3" s="30">
        <f>V3-Z3</f>
        <v>-7.7637935773174852E-5</v>
      </c>
    </row>
    <row r="4" spans="1:27" x14ac:dyDescent="0.2">
      <c r="A4" s="18" t="str">
        <f>_xll.qlPeriodEquivalent(C4&amp;"M")</f>
        <v>2Y</v>
      </c>
      <c r="B4" s="10">
        <f>_xll.qlDateEndOfMonth(EDATE(_xll.qlIMMNextDate(_xll.qlSettingsEvaluationDate(Trigger)-1,TRUE),-3))</f>
        <v>42094</v>
      </c>
      <c r="C4" s="11">
        <v>24</v>
      </c>
      <c r="D4" s="10">
        <f t="shared" ref="D4:D9" si="0">EDATE($Q$3,C4)</f>
        <v>42890</v>
      </c>
      <c r="E4" s="12">
        <f t="shared" ref="E4:E9" si="1">IF(C4&lt;=12,1,IF(C4&lt;=24,3,IF(C4&lt;=120,6,IF(C4&lt;=240,12,IF(C4&lt;=360,36,60)))))</f>
        <v>3</v>
      </c>
      <c r="F4" s="16">
        <f t="shared" ref="F4:F9" si="2">ROUNDDOWN(I4*10,2)/10</f>
        <v>1E-3</v>
      </c>
      <c r="G4" s="17">
        <f t="shared" ref="G4:G9" si="3">IF(J4-I4&gt;1%,(QUOTIENT(J4*10000,50)+1)*0.5%,(QUOTIENT(J4*10000,10)+1)*0.1%)</f>
        <v>3.0000000000000001E-3</v>
      </c>
      <c r="H4" s="12">
        <f t="shared" ref="H4:H9" si="4">IF(G4-F4&lt;0.5%,0.025%,IF(G4-F4&lt;1%,0.1%,IF(G4-F4&lt;2%,0.25%,0.5%)))</f>
        <v>2.5000000000000001E-4</v>
      </c>
      <c r="I4" s="17">
        <f>MIN(_xll.ohPack($V$3:INDEX($V$3:$V$135,MATCH(D4+1,$R$3:$R$135,1),1)))</f>
        <v>1.7640849324521432E-3</v>
      </c>
      <c r="J4" s="17">
        <f>MAX(_xll.ohPack($V$3:INDEX($V$3:$V$135,MATCH(D4+1,$R$3:$R$135,1),1)))</f>
        <v>2.2771509913982009E-3</v>
      </c>
      <c r="N4" s="36"/>
      <c r="O4" s="33">
        <v>1</v>
      </c>
      <c r="P4" s="26" t="str">
        <f>_xll.qlPeriodEquivalent(P3&amp;"+"&amp;O4&amp;"M")</f>
        <v>1M</v>
      </c>
      <c r="Q4" s="28">
        <f>_xll.qlCalendarAdvance(Calendar,SettlementDate,P4,"f",,Trigger)</f>
        <v>42193</v>
      </c>
      <c r="R4" s="28">
        <f>_xll.qlInterestRateIndexValueDate(Index,Q4,Trigger)</f>
        <v>42195</v>
      </c>
      <c r="S4" s="28">
        <f>_xll.qlInterestRateIndexMaturity(Index,R4,Trigger)</f>
        <v>42380</v>
      </c>
      <c r="T4" s="30">
        <f>_xll.qlIndexFixing($M$6,Q4,,InterestRatesTrigger)</f>
        <v>-1.2622558249737821E-3</v>
      </c>
      <c r="U4" s="30">
        <f>_xll.qlIndexFixing(Index,Q4,,InterestRatesTrigger)</f>
        <v>5.9466444135821729E-4</v>
      </c>
      <c r="V4" s="30">
        <f t="shared" ref="V4:V67" si="5">U4-T4</f>
        <v>1.8569202663319994E-3</v>
      </c>
      <c r="W4" s="29">
        <f>_xll.qlDayCounterYearFraction(DayCounter,SettlementDate,R4,,,Trigger)</f>
        <v>8.8888888888888892E-2</v>
      </c>
      <c r="X4" s="29">
        <f>_xll.qlDayCounterYearFraction(DayCounter,R4,S4)</f>
        <v>0.51388888888888884</v>
      </c>
      <c r="Y4" s="29">
        <f>_xll.qlYieldTSDiscount(Currency&amp;"ON",R4)/(1+U4*X4)</f>
        <v>0.99981303926365928</v>
      </c>
      <c r="Z4" s="30">
        <f>_xll.qlTenorBasisValue(TenorBasis6M,R4,InterestRatesTrigger)</f>
        <v>1.8786635202421987E-3</v>
      </c>
      <c r="AA4" s="30">
        <f t="shared" ref="AA4:AA67" si="6">V4-Z4</f>
        <v>-2.1743253910199356E-5</v>
      </c>
    </row>
    <row r="5" spans="1:27" x14ac:dyDescent="0.2">
      <c r="A5" s="18" t="str">
        <f>_xll.qlPeriodEquivalent(C5&amp;"M")</f>
        <v>5Y</v>
      </c>
      <c r="B5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5" s="11">
        <v>60</v>
      </c>
      <c r="D5" s="10">
        <f t="shared" si="0"/>
        <v>43986</v>
      </c>
      <c r="E5" s="12">
        <f t="shared" si="1"/>
        <v>6</v>
      </c>
      <c r="F5" s="16">
        <f t="shared" si="2"/>
        <v>1E-3</v>
      </c>
      <c r="G5" s="17">
        <f t="shared" si="3"/>
        <v>3.0000000000000001E-3</v>
      </c>
      <c r="H5" s="12">
        <f t="shared" si="4"/>
        <v>2.5000000000000001E-4</v>
      </c>
      <c r="I5" s="17">
        <f>MIN(_xll.ohPack($V$3:INDEX($V$3:$V$135,MATCH(D5+1,$R$3:$R$135,1),1)))</f>
        <v>1.7640849324521432E-3</v>
      </c>
      <c r="J5" s="17">
        <f>MAX(_xll.ohPack($V$3:INDEX($V$3:$V$135,MATCH(D5+1,$R$3:$R$135,1),1)))</f>
        <v>2.6289570245578691E-3</v>
      </c>
      <c r="L5" s="46" t="s">
        <v>20</v>
      </c>
      <c r="M5" s="35" t="str">
        <f>PROPER(Currency)&amp;IborType&amp;M3</f>
        <v>Euribor6M</v>
      </c>
      <c r="O5" s="33">
        <v>1</v>
      </c>
      <c r="P5" s="27" t="str">
        <f>_xll.qlPeriodEquivalent(P4&amp;"+"&amp;O5&amp;"M")</f>
        <v>2M</v>
      </c>
      <c r="Q5" s="28">
        <f>_xll.qlCalendarAdvance(Calendar,SettlementDate,P5,"f",,Trigger)</f>
        <v>42226</v>
      </c>
      <c r="R5" s="28">
        <f>_xll.qlInterestRateIndexValueDate(Index,Q5,Trigger)</f>
        <v>42228</v>
      </c>
      <c r="S5" s="28">
        <f>_xll.qlInterestRateIndexMaturity(Index,R5,Trigger)</f>
        <v>42412</v>
      </c>
      <c r="T5" s="30">
        <f>_xll.qlIndexFixing($M$6,Q5,,InterestRatesTrigger)</f>
        <v>-1.2527372675288798E-3</v>
      </c>
      <c r="U5" s="30">
        <f>_xll.qlIndexFixing(Index,Q5,,InterestRatesTrigger)</f>
        <v>6.6396638993577832E-4</v>
      </c>
      <c r="V5" s="30">
        <f t="shared" si="5"/>
        <v>1.9167036574646581E-3</v>
      </c>
      <c r="W5" s="29">
        <f>_xll.qlDayCounterYearFraction(DayCounter,SettlementDate,R5,,,Trigger)</f>
        <v>0.18055555555555555</v>
      </c>
      <c r="X5" s="29">
        <f>_xll.qlDayCounterYearFraction(DayCounter,R5,S5)</f>
        <v>0.51111111111111107</v>
      </c>
      <c r="Y5" s="29">
        <f>_xll.qlYieldTSDiscount(Currency&amp;"ON",R5)/(1+U5*X5)</f>
        <v>0.99989533983893975</v>
      </c>
      <c r="Z5" s="30">
        <f>_xll.qlTenorBasisValue(TenorBasis6M,R5,InterestRatesTrigger)</f>
        <v>1.9152284639595038E-3</v>
      </c>
      <c r="AA5" s="30">
        <f t="shared" si="6"/>
        <v>1.4751935051543052E-6</v>
      </c>
    </row>
    <row r="6" spans="1:27" x14ac:dyDescent="0.2">
      <c r="A6" s="18" t="str">
        <f>_xll.qlPeriodEquivalent(C6&amp;"M")</f>
        <v>10Y</v>
      </c>
      <c r="B6" s="10">
        <f t="shared" ref="B6:B9" si="7">B5</f>
        <v>42004</v>
      </c>
      <c r="C6" s="11">
        <v>120</v>
      </c>
      <c r="D6" s="10">
        <f t="shared" si="0"/>
        <v>45812</v>
      </c>
      <c r="E6" s="12">
        <f t="shared" si="1"/>
        <v>6</v>
      </c>
      <c r="F6" s="16">
        <f t="shared" si="2"/>
        <v>1E-3</v>
      </c>
      <c r="G6" s="17">
        <f t="shared" si="3"/>
        <v>3.0000000000000001E-3</v>
      </c>
      <c r="H6" s="12">
        <f t="shared" si="4"/>
        <v>2.5000000000000001E-4</v>
      </c>
      <c r="I6" s="17">
        <f>MIN(_xll.ohPack($V$3:INDEX($V$3:$V$135,MATCH(D6+1,$R$3:$R$135,1),1)))</f>
        <v>1.7640849324521432E-3</v>
      </c>
      <c r="J6" s="17">
        <f>MAX(_xll.ohPack($V$3:INDEX($V$3:$V$135,MATCH(D6+1,$R$3:$R$135,1),1)))</f>
        <v>2.6289570245578691E-3</v>
      </c>
      <c r="L6" s="46" t="str">
        <f>"ON Index "&amp;$M$3</f>
        <v>ON Index 6M</v>
      </c>
      <c r="M6" s="35" t="str">
        <f>_xll.qlIborIndex(,,M3,2,Currency,Calendar,"mf",TRUE,DayCounter,Currency&amp;"ON",,Trigger)</f>
        <v>obj_00848#0001</v>
      </c>
      <c r="N6" s="34"/>
      <c r="O6" s="33">
        <v>1</v>
      </c>
      <c r="P6" s="27" t="str">
        <f>_xll.qlPeriodEquivalent(P5&amp;"+"&amp;O6&amp;"M")</f>
        <v>3M</v>
      </c>
      <c r="Q6" s="28">
        <f>_xll.qlCalendarAdvance(Calendar,SettlementDate,P6,"f",,Trigger)</f>
        <v>42255</v>
      </c>
      <c r="R6" s="28">
        <f>_xll.qlInterestRateIndexValueDate(Index,Q6,Trigger)</f>
        <v>42257</v>
      </c>
      <c r="S6" s="28">
        <f>_xll.qlInterestRateIndexMaturity(Index,R6,Trigger)</f>
        <v>42439</v>
      </c>
      <c r="T6" s="30">
        <f>_xll.qlIndexFixing($M$6,Q6,,InterestRatesTrigger)</f>
        <v>-1.2446530862412783E-3</v>
      </c>
      <c r="U6" s="30">
        <f>_xll.qlIndexFixing(Index,Q6,,InterestRatesTrigger)</f>
        <v>7.2414705387750539E-4</v>
      </c>
      <c r="V6" s="30">
        <f t="shared" si="5"/>
        <v>1.9688001401187835E-3</v>
      </c>
      <c r="W6" s="29">
        <f>_xll.qlDayCounterYearFraction(DayCounter,SettlementDate,R6,,,Trigger)</f>
        <v>0.26111111111111113</v>
      </c>
      <c r="X6" s="29">
        <f>_xll.qlDayCounterYearFraction(DayCounter,R6,S6)</f>
        <v>0.50555555555555554</v>
      </c>
      <c r="Y6" s="29">
        <f>_xll.qlYieldTSDiscount(Currency&amp;"ON",R6)/(1+U6*X6)</f>
        <v>0.99997291525071408</v>
      </c>
      <c r="Z6" s="30">
        <f>_xll.qlTenorBasisValue(TenorBasis6M,R6,InterestRatesTrigger)</f>
        <v>1.9461089385831147E-3</v>
      </c>
      <c r="AA6" s="30">
        <f t="shared" si="6"/>
        <v>2.2691201535668826E-5</v>
      </c>
    </row>
    <row r="7" spans="1:27" x14ac:dyDescent="0.2">
      <c r="A7" s="18" t="str">
        <f>_xll.qlPeriodEquivalent(C7&amp;"M")</f>
        <v>20Y</v>
      </c>
      <c r="B7" s="10">
        <f>IF(AND(MONTH(B6)=12),B6,_xll.qlDateEndOfMonth(EDATE(B6,-6)))</f>
        <v>42004</v>
      </c>
      <c r="C7" s="11">
        <v>240</v>
      </c>
      <c r="D7" s="10">
        <f t="shared" si="0"/>
        <v>49464</v>
      </c>
      <c r="E7" s="13">
        <f t="shared" si="1"/>
        <v>12</v>
      </c>
      <c r="F7" s="16">
        <f t="shared" si="2"/>
        <v>0</v>
      </c>
      <c r="G7" s="17">
        <f t="shared" si="3"/>
        <v>3.0000000000000001E-3</v>
      </c>
      <c r="H7" s="12">
        <f t="shared" si="4"/>
        <v>2.5000000000000001E-4</v>
      </c>
      <c r="I7" s="17">
        <f>MIN(_xll.ohPack($V$3:INDEX($V$3:$V$135,MATCH(D7+1,$R$3:$R$135,1),1)))</f>
        <v>6.8312614088582302E-4</v>
      </c>
      <c r="J7" s="17">
        <f>MAX(_xll.ohPack($V$3:INDEX($V$3:$V$135,MATCH(D7+1,$R$3:$R$135,1),1)))</f>
        <v>2.6289570245578691E-3</v>
      </c>
      <c r="O7" s="33">
        <v>1</v>
      </c>
      <c r="P7" s="27" t="str">
        <f>_xll.qlPeriodEquivalent(P6&amp;"+"&amp;O7&amp;"M")</f>
        <v>4M</v>
      </c>
      <c r="Q7" s="28">
        <f>_xll.qlCalendarAdvance(Calendar,SettlementDate,P7,"f",,Trigger)</f>
        <v>42285</v>
      </c>
      <c r="R7" s="28">
        <f>_xll.qlInterestRateIndexValueDate(Index,Q7,Trigger)</f>
        <v>42289</v>
      </c>
      <c r="S7" s="28">
        <f>_xll.qlInterestRateIndexMaturity(Index,R7,Trigger)</f>
        <v>42472</v>
      </c>
      <c r="T7" s="30">
        <f>_xll.qlIndexFixing($M$6,Q7,,InterestRatesTrigger)</f>
        <v>-1.2077586303537006E-3</v>
      </c>
      <c r="U7" s="30">
        <f>_xll.qlIndexFixing(Index,Q7,,InterestRatesTrigger)</f>
        <v>7.9698281949674532E-4</v>
      </c>
      <c r="V7" s="30">
        <f t="shared" si="5"/>
        <v>2.0047414498504459E-3</v>
      </c>
      <c r="W7" s="29">
        <f>_xll.qlDayCounterYearFraction(DayCounter,SettlementDate,R7,,,Trigger)</f>
        <v>0.35</v>
      </c>
      <c r="X7" s="29">
        <f>_xll.qlDayCounterYearFraction(DayCounter,R7,S7)</f>
        <v>0.5083333333333333</v>
      </c>
      <c r="Y7" s="29">
        <f>_xll.qlYieldTSDiscount(Currency&amp;"ON",R7)/(1+U7*X7)</f>
        <v>1.0000485367826051</v>
      </c>
      <c r="Z7" s="30">
        <f>_xll.qlTenorBasisValue(TenorBasis6M,R7,InterestRatesTrigger)</f>
        <v>1.978856473616938E-3</v>
      </c>
      <c r="AA7" s="30">
        <f t="shared" si="6"/>
        <v>2.5884976233507984E-5</v>
      </c>
    </row>
    <row r="8" spans="1:27" x14ac:dyDescent="0.2">
      <c r="A8" s="18" t="str">
        <f>_xll.qlPeriodEquivalent(C8&amp;"M")</f>
        <v>30Y</v>
      </c>
      <c r="B8" s="10">
        <f t="shared" si="7"/>
        <v>42004</v>
      </c>
      <c r="C8" s="11">
        <v>360</v>
      </c>
      <c r="D8" s="10">
        <f t="shared" si="0"/>
        <v>53117</v>
      </c>
      <c r="E8" s="13">
        <f t="shared" si="1"/>
        <v>36</v>
      </c>
      <c r="F8" s="16">
        <f t="shared" si="2"/>
        <v>0</v>
      </c>
      <c r="G8" s="17">
        <f t="shared" si="3"/>
        <v>3.0000000000000001E-3</v>
      </c>
      <c r="H8" s="12">
        <f t="shared" si="4"/>
        <v>2.5000000000000001E-4</v>
      </c>
      <c r="I8" s="17">
        <f>MIN(_xll.ohPack($V$3:INDEX($V$3:$V$135,MATCH(D8+1,$R$3:$R$135,1),1)))</f>
        <v>3.6288949033867757E-4</v>
      </c>
      <c r="J8" s="17">
        <f>MAX(_xll.ohPack($V$3:INDEX($V$3:$V$135,MATCH(D8+1,$R$3:$R$135,1),1)))</f>
        <v>2.6289570245578691E-3</v>
      </c>
      <c r="L8" s="46" t="s">
        <v>39</v>
      </c>
      <c r="M8" s="43">
        <v>1.6736647480045256E-3</v>
      </c>
      <c r="N8" s="33" t="b">
        <v>0</v>
      </c>
      <c r="O8" s="33">
        <v>1</v>
      </c>
      <c r="P8" s="27" t="str">
        <f>_xll.qlPeriodEquivalent(P7&amp;"+"&amp;O8&amp;"M")</f>
        <v>5M</v>
      </c>
      <c r="Q8" s="28">
        <f>_xll.qlCalendarAdvance(Calendar,SettlementDate,P8,"f",,Trigger)</f>
        <v>42317</v>
      </c>
      <c r="R8" s="28">
        <f>_xll.qlInterestRateIndexValueDate(Index,Q8,Trigger)</f>
        <v>42319</v>
      </c>
      <c r="S8" s="28">
        <f>_xll.qlInterestRateIndexMaturity(Index,R8,Trigger)</f>
        <v>42501</v>
      </c>
      <c r="T8" s="30">
        <f>_xll.qlIndexFixing($M$6,Q8,,InterestRatesTrigger)</f>
        <v>-1.164316770976501E-3</v>
      </c>
      <c r="U8" s="30">
        <f>_xll.qlIndexFixing(Index,Q8,,InterestRatesTrigger)</f>
        <v>8.6382807492255836E-4</v>
      </c>
      <c r="V8" s="30">
        <f t="shared" si="5"/>
        <v>2.0281448458990595E-3</v>
      </c>
      <c r="W8" s="29">
        <f>_xll.qlDayCounterYearFraction(DayCounter,SettlementDate,R8,,,Trigger)</f>
        <v>0.43333333333333335</v>
      </c>
      <c r="X8" s="29">
        <f>_xll.qlDayCounterYearFraction(DayCounter,R8,S8)</f>
        <v>0.50555555555555554</v>
      </c>
      <c r="Y8" s="29">
        <f>_xll.qlYieldTSDiscount(Currency&amp;"ON",R8)/(1+U8*X8)</f>
        <v>1.0001232956983817</v>
      </c>
      <c r="Z8" s="30">
        <f>_xll.qlTenorBasisValue(TenorBasis6M,R8,InterestRatesTrigger)</f>
        <v>2.008321447231082E-3</v>
      </c>
      <c r="AA8" s="30">
        <f t="shared" si="6"/>
        <v>1.9823398667977513E-5</v>
      </c>
    </row>
    <row r="9" spans="1:27" x14ac:dyDescent="0.2">
      <c r="A9" s="19" t="str">
        <f>_xll.qlPeriodEquivalent(C9&amp;"M")</f>
        <v>60Y</v>
      </c>
      <c r="B9" s="20">
        <f t="shared" si="7"/>
        <v>42004</v>
      </c>
      <c r="C9" s="21">
        <v>720</v>
      </c>
      <c r="D9" s="20">
        <f t="shared" si="0"/>
        <v>64074</v>
      </c>
      <c r="E9" s="22">
        <f t="shared" si="1"/>
        <v>60</v>
      </c>
      <c r="F9" s="23">
        <f t="shared" si="2"/>
        <v>-1E-3</v>
      </c>
      <c r="G9" s="24">
        <f t="shared" si="3"/>
        <v>3.0000000000000001E-3</v>
      </c>
      <c r="H9" s="25">
        <f t="shared" si="4"/>
        <v>2.5000000000000001E-4</v>
      </c>
      <c r="I9" s="24">
        <f>MIN(_xll.ohPack($V$3:INDEX($V$3:$V$135,MATCH(D9+1,$R$3:$R$135,1),1)))</f>
        <v>-1.4945925690633168E-3</v>
      </c>
      <c r="J9" s="24">
        <f>MAX(_xll.ohPack($V$3:INDEX($V$3:$V$135,MATCH(D9+1,$R$3:$R$135,1),1)))</f>
        <v>2.6289570245578691E-3</v>
      </c>
      <c r="L9" s="46" t="s">
        <v>40</v>
      </c>
      <c r="M9" s="44">
        <v>7.0449463523993081E-4</v>
      </c>
      <c r="N9" s="33" t="b">
        <v>0</v>
      </c>
      <c r="O9" s="33">
        <v>1</v>
      </c>
      <c r="P9" s="27" t="str">
        <f>_xll.qlPeriodEquivalent(P8&amp;"+"&amp;O9&amp;"M")</f>
        <v>6M</v>
      </c>
      <c r="Q9" s="28">
        <f>_xll.qlCalendarAdvance(Calendar,SettlementDate,P9,"f",,Trigger)</f>
        <v>42346</v>
      </c>
      <c r="R9" s="28">
        <f>_xll.qlInterestRateIndexValueDate(Index,Q9,Trigger)</f>
        <v>42348</v>
      </c>
      <c r="S9" s="28">
        <f>_xll.qlInterestRateIndexMaturity(Index,R9,Trigger)</f>
        <v>42531</v>
      </c>
      <c r="T9" s="30">
        <f>_xll.qlIndexFixing($M$6,Q9,,InterestRatesTrigger)</f>
        <v>-1.1280669059659076E-3</v>
      </c>
      <c r="U9" s="30">
        <f>_xll.qlIndexFixing(Index,Q9,,InterestRatesTrigger)</f>
        <v>9.3654455829490215E-4</v>
      </c>
      <c r="V9" s="30">
        <f t="shared" si="5"/>
        <v>2.0646114642608095E-3</v>
      </c>
      <c r="W9" s="29">
        <f>_xll.qlDayCounterYearFraction(DayCounter,SettlementDate,R9,,,Trigger)</f>
        <v>0.51388888888888884</v>
      </c>
      <c r="X9" s="29">
        <f>_xll.qlDayCounterYearFraction(DayCounter,R9,S9)</f>
        <v>0.5083333333333333</v>
      </c>
      <c r="Y9" s="29">
        <f>_xll.qlYieldTSDiscount(Currency&amp;"ON",R9)/(1+U9*X9)</f>
        <v>1.0001916159595379</v>
      </c>
      <c r="Z9" s="30">
        <f>_xll.qlTenorBasisValue(TenorBasis6M,R9,InterestRatesTrigger)</f>
        <v>2.0356936365021499E-3</v>
      </c>
      <c r="AA9" s="30">
        <f t="shared" si="6"/>
        <v>2.8917827758659625E-5</v>
      </c>
    </row>
    <row r="10" spans="1:27" x14ac:dyDescent="0.2">
      <c r="A10" s="18" t="str">
        <f>_xll.qlPeriodEquivalent(C10&amp;"M")</f>
        <v>1Y</v>
      </c>
      <c r="B10" s="10">
        <f>_xll.qlDateEndOfMonth(EDATE(_xll.qlSettingsEvaluationDate(Trigger),-1))</f>
        <v>42155</v>
      </c>
      <c r="C10" s="11">
        <v>12</v>
      </c>
      <c r="D10" s="10">
        <f>EDATE($Q$3,C10)</f>
        <v>42525</v>
      </c>
      <c r="E10" s="12">
        <f>IF(C10&lt;=12,1,IF(C10&lt;=24,3,IF(C10&lt;=120,6,IF(C10&lt;=240,12,IF(C10&lt;=360,36,60)))))</f>
        <v>1</v>
      </c>
      <c r="F10" s="16">
        <f>ROUNDDOWN(I10*10,2)/10</f>
        <v>1E-3</v>
      </c>
      <c r="G10" s="17">
        <f>IF(J10-I10&gt;1%,(QUOTIENT(J10*10000,50)+1)*0.5%,(QUOTIENT(J10*10000,10)+1)*0.1%)</f>
        <v>3.0000000000000001E-3</v>
      </c>
      <c r="H10" s="12">
        <f>IF(G10-F10&lt;0.5%,0.025%,IF(G10-F10&lt;1%,0.1%,IF(G10-F10&lt;2%,0.25%,0.5%)))</f>
        <v>2.5000000000000001E-4</v>
      </c>
      <c r="I10" s="17">
        <f>MIN(_xll.ohPack($V$3:INDEX($V$3:$V$135,MATCH(D10+1,$R$3:$R$135,1),1)))</f>
        <v>1.7640849324521432E-3</v>
      </c>
      <c r="J10" s="17">
        <f>MAX(_xll.ohPack($V$3:INDEX($V$3:$V$135,MATCH(D10+1,$R$3:$R$135,1),1)))</f>
        <v>2.1790643884311606E-3</v>
      </c>
      <c r="L10" s="46" t="s">
        <v>41</v>
      </c>
      <c r="M10" s="44">
        <v>0.17</v>
      </c>
      <c r="N10" s="33" t="b">
        <v>1</v>
      </c>
      <c r="O10" s="33">
        <v>1</v>
      </c>
      <c r="P10" s="27" t="str">
        <f>_xll.qlPeriodEquivalent(P9&amp;"+"&amp;O10&amp;"M")</f>
        <v>7M</v>
      </c>
      <c r="Q10" s="28">
        <f>_xll.qlCalendarAdvance(Calendar,SettlementDate,P10,"f",,Trigger)</f>
        <v>42377</v>
      </c>
      <c r="R10" s="28">
        <f>_xll.qlInterestRateIndexValueDate(Index,Q10,Trigger)</f>
        <v>42381</v>
      </c>
      <c r="S10" s="28">
        <f>_xll.qlInterestRateIndexMaturity(Index,R10,Trigger)</f>
        <v>42563</v>
      </c>
      <c r="T10" s="30">
        <f>_xll.qlIndexFixing($M$6,Q10,,InterestRatesTrigger)</f>
        <v>-1.1032182268043468E-3</v>
      </c>
      <c r="U10" s="30">
        <f>_xll.qlIndexFixing(Index,Q10,,InterestRatesTrigger)</f>
        <v>1.0132078302461645E-3</v>
      </c>
      <c r="V10" s="30">
        <f t="shared" si="5"/>
        <v>2.1164260570505113E-3</v>
      </c>
      <c r="W10" s="29">
        <f>_xll.qlDayCounterYearFraction(DayCounter,SettlementDate,R10,,,Trigger)</f>
        <v>0.60555555555555551</v>
      </c>
      <c r="X10" s="29">
        <f>_xll.qlDayCounterYearFraction(DayCounter,R10,S10)</f>
        <v>0.50555555555555554</v>
      </c>
      <c r="Y10" s="29">
        <f>_xll.qlYieldTSDiscount(Currency&amp;"ON",R10)/(1+U10*X10)</f>
        <v>1.0002591267344598</v>
      </c>
      <c r="Z10" s="30">
        <f>_xll.qlTenorBasisValue(TenorBasis6M,R10,InterestRatesTrigger)</f>
        <v>2.0655442994779948E-3</v>
      </c>
      <c r="AA10" s="30">
        <f t="shared" si="6"/>
        <v>5.0881757572516454E-5</v>
      </c>
    </row>
    <row r="11" spans="1:27" x14ac:dyDescent="0.2">
      <c r="A11" s="18" t="str">
        <f>_xll.qlPeriodEquivalent(C11&amp;"M")</f>
        <v>2Y</v>
      </c>
      <c r="B11" s="10">
        <f>_xll.qlDateEndOfMonth(EDATE(_xll.qlIMMNextDate(_xll.qlSettingsEvaluationDate(Trigger)-1,TRUE),-3))</f>
        <v>42094</v>
      </c>
      <c r="C11" s="11">
        <v>24</v>
      </c>
      <c r="D11" s="10">
        <f t="shared" ref="D11:D16" si="8">EDATE($Q$3,C11)</f>
        <v>42890</v>
      </c>
      <c r="E11" s="12">
        <f t="shared" ref="E11:E16" si="9">IF(C11&lt;=12,1,IF(C11&lt;=24,3,IF(C11&lt;=120,6,IF(C11&lt;=240,12,IF(C11&lt;=360,36,60)))))</f>
        <v>3</v>
      </c>
      <c r="F11" s="16">
        <f t="shared" ref="F11:F16" si="10">ROUNDDOWN(I11*10,2)/10</f>
        <v>1E-3</v>
      </c>
      <c r="G11" s="17">
        <f t="shared" ref="G11:G16" si="11">IF(J11-I11&gt;1%,(QUOTIENT(J11*10000,50)+1)*0.5%,(QUOTIENT(J11*10000,10)+1)*0.1%)</f>
        <v>3.0000000000000001E-3</v>
      </c>
      <c r="H11" s="12">
        <f t="shared" ref="H11:H16" si="12">IF(G11-F11&lt;0.5%,0.025%,IF(G11-F11&lt;1%,0.1%,IF(G11-F11&lt;2%,0.25%,0.5%)))</f>
        <v>2.5000000000000001E-4</v>
      </c>
      <c r="I11" s="17">
        <f>MIN(_xll.ohPack($V$3:INDEX($V$3:$V$135,MATCH(D11+1,$R$3:$R$135,1),1)))</f>
        <v>1.7640849324521432E-3</v>
      </c>
      <c r="J11" s="17">
        <f>MAX(_xll.ohPack($V$3:INDEX($V$3:$V$135,MATCH(D11+1,$R$3:$R$135,1),1)))</f>
        <v>2.2771509913982009E-3</v>
      </c>
      <c r="L11" s="46" t="s">
        <v>42</v>
      </c>
      <c r="M11" s="43">
        <v>1.6834132975430697E-4</v>
      </c>
      <c r="N11" s="33" t="b">
        <v>0</v>
      </c>
      <c r="O11" s="33">
        <v>1</v>
      </c>
      <c r="P11" s="27" t="str">
        <f>_xll.qlPeriodEquivalent(P10&amp;"+"&amp;O11&amp;"M")</f>
        <v>8M</v>
      </c>
      <c r="Q11" s="28">
        <f>_xll.qlCalendarAdvance(Calendar,SettlementDate,P11,"f",,Trigger)</f>
        <v>42408</v>
      </c>
      <c r="R11" s="28">
        <f>_xll.qlInterestRateIndexValueDate(Index,Q11,Trigger)</f>
        <v>42410</v>
      </c>
      <c r="S11" s="28">
        <f>_xll.qlInterestRateIndexMaturity(Index,R11,Trigger)</f>
        <v>42592</v>
      </c>
      <c r="T11" s="30">
        <f>_xll.qlIndexFixing($M$6,Q11,,InterestRatesTrigger)</f>
        <v>-1.0513662485938909E-3</v>
      </c>
      <c r="U11" s="30">
        <f>_xll.qlIndexFixing(Index,Q11,,InterestRatesTrigger)</f>
        <v>1.0745464240736369E-3</v>
      </c>
      <c r="V11" s="30">
        <f t="shared" si="5"/>
        <v>2.1259126726675278E-3</v>
      </c>
      <c r="W11" s="29">
        <f>_xll.qlDayCounterYearFraction(DayCounter,SettlementDate,R11,,,Trigger)</f>
        <v>0.68611111111111112</v>
      </c>
      <c r="X11" s="29">
        <f>_xll.qlDayCounterYearFraction(DayCounter,R11,S11)</f>
        <v>0.50555555555555554</v>
      </c>
      <c r="Y11" s="29">
        <f>_xll.qlYieldTSDiscount(Currency&amp;"ON",R11)/(1+U11*X11)</f>
        <v>1.0003251801894377</v>
      </c>
      <c r="Z11" s="30">
        <f>_xll.qlTenorBasisValue(TenorBasis6M,R11,InterestRatesTrigger)</f>
        <v>2.0906633906116611E-3</v>
      </c>
      <c r="AA11" s="30">
        <f t="shared" si="6"/>
        <v>3.5249282055866728E-5</v>
      </c>
    </row>
    <row r="12" spans="1:27" x14ac:dyDescent="0.2">
      <c r="A12" s="18" t="str">
        <f>_xll.qlPeriodEquivalent(C12&amp;"M")</f>
        <v>5Y</v>
      </c>
      <c r="B12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12" s="11">
        <v>60</v>
      </c>
      <c r="D12" s="10">
        <f t="shared" si="8"/>
        <v>43986</v>
      </c>
      <c r="E12" s="12">
        <f t="shared" si="9"/>
        <v>6</v>
      </c>
      <c r="F12" s="16">
        <f t="shared" si="10"/>
        <v>1E-3</v>
      </c>
      <c r="G12" s="17">
        <f t="shared" si="11"/>
        <v>3.0000000000000001E-3</v>
      </c>
      <c r="H12" s="12">
        <f t="shared" si="12"/>
        <v>2.5000000000000001E-4</v>
      </c>
      <c r="I12" s="17">
        <f>MIN(_xll.ohPack($V$3:INDEX($V$3:$V$135,MATCH(D12+1,$R$3:$R$135,1),1)))</f>
        <v>1.7640849324521432E-3</v>
      </c>
      <c r="J12" s="17">
        <f>MAX(_xll.ohPack($V$3:INDEX($V$3:$V$135,MATCH(D12+1,$R$3:$R$135,1),1)))</f>
        <v>2.6289570245578691E-3</v>
      </c>
      <c r="L12" s="46" t="s">
        <v>45</v>
      </c>
      <c r="M12" s="35" t="str">
        <f>_xll.qlAbcdCalibration2(,W3:W253,V3:V253,Y3:Y253,ContBasis,N8:N11,,,,Trigger)</f>
        <v>obj_00877#0001</v>
      </c>
      <c r="N12" s="34"/>
      <c r="O12" s="33">
        <v>1</v>
      </c>
      <c r="P12" s="27" t="str">
        <f>_xll.qlPeriodEquivalent(P11&amp;"+"&amp;O12&amp;"M")</f>
        <v>9M</v>
      </c>
      <c r="Q12" s="28">
        <f>_xll.qlCalendarAdvance(Calendar,SettlementDate,P12,"f",,Trigger)</f>
        <v>42437</v>
      </c>
      <c r="R12" s="28">
        <f>_xll.qlInterestRateIndexValueDate(Index,Q12,Trigger)</f>
        <v>42439</v>
      </c>
      <c r="S12" s="28">
        <f>_xll.qlInterestRateIndexMaturity(Index,R12,Trigger)</f>
        <v>42625</v>
      </c>
      <c r="T12" s="30">
        <f>_xll.qlIndexFixing($M$6,Q12,,InterestRatesTrigger)</f>
        <v>-9.7390952361343962E-4</v>
      </c>
      <c r="U12" s="30">
        <f>_xll.qlIndexFixing(Index,Q12,,InterestRatesTrigger)</f>
        <v>1.1483358084416902E-3</v>
      </c>
      <c r="V12" s="30">
        <f t="shared" si="5"/>
        <v>2.12224533205513E-3</v>
      </c>
      <c r="W12" s="29">
        <f>_xll.qlDayCounterYearFraction(DayCounter,SettlementDate,R12,,,Trigger)</f>
        <v>0.76666666666666672</v>
      </c>
      <c r="X12" s="29">
        <f>_xll.qlDayCounterYearFraction(DayCounter,R12,S12)</f>
        <v>0.51666666666666672</v>
      </c>
      <c r="Y12" s="29">
        <f>_xll.qlYieldTSDiscount(Currency&amp;"ON",R12)/(1+U12*X12)</f>
        <v>1.0003753233096444</v>
      </c>
      <c r="Z12" s="30">
        <f>_xll.qlTenorBasisValue(TenorBasis6M,R12,InterestRatesTrigger)</f>
        <v>2.1147652891185262E-3</v>
      </c>
      <c r="AA12" s="30">
        <f t="shared" si="6"/>
        <v>7.4800429366037383E-6</v>
      </c>
    </row>
    <row r="13" spans="1:27" x14ac:dyDescent="0.2">
      <c r="A13" s="18" t="str">
        <f>_xll.qlPeriodEquivalent(C13&amp;"M")</f>
        <v>10Y</v>
      </c>
      <c r="B13" s="10">
        <f t="shared" ref="B13:B16" si="13">B12</f>
        <v>42004</v>
      </c>
      <c r="C13" s="11">
        <v>120</v>
      </c>
      <c r="D13" s="10">
        <f t="shared" si="8"/>
        <v>45812</v>
      </c>
      <c r="E13" s="12">
        <f t="shared" si="9"/>
        <v>6</v>
      </c>
      <c r="F13" s="16">
        <f t="shared" si="10"/>
        <v>1E-3</v>
      </c>
      <c r="G13" s="17">
        <f t="shared" si="11"/>
        <v>3.0000000000000001E-3</v>
      </c>
      <c r="H13" s="12">
        <f t="shared" si="12"/>
        <v>2.5000000000000001E-4</v>
      </c>
      <c r="I13" s="17">
        <f>MIN(_xll.ohPack($V$3:INDEX($V$3:$V$135,MATCH(D13+1,$R$3:$R$135,1),1)))</f>
        <v>1.7640849324521432E-3</v>
      </c>
      <c r="J13" s="17">
        <f>MAX(_xll.ohPack($V$3:INDEX($V$3:$V$135,MATCH(D13+1,$R$3:$R$135,1),1)))</f>
        <v>2.6289570245578691E-3</v>
      </c>
      <c r="L13" s="46" t="s">
        <v>38</v>
      </c>
      <c r="M13" s="35" t="b">
        <f>_xll.qlAbcdCalibration2Compute(M12,AllTriggers)</f>
        <v>1</v>
      </c>
      <c r="O13" s="33">
        <v>1</v>
      </c>
      <c r="P13" s="27" t="str">
        <f>_xll.qlPeriodEquivalent(P12&amp;"+"&amp;O13&amp;"M")</f>
        <v>10M</v>
      </c>
      <c r="Q13" s="28">
        <f>_xll.qlCalendarAdvance(Calendar,SettlementDate,P13,"f",,Trigger)</f>
        <v>42468</v>
      </c>
      <c r="R13" s="28">
        <f>_xll.qlInterestRateIndexValueDate(Index,Q13,Trigger)</f>
        <v>42472</v>
      </c>
      <c r="S13" s="28">
        <f>_xll.qlInterestRateIndexMaturity(Index,R13,Trigger)</f>
        <v>42655</v>
      </c>
      <c r="T13" s="30">
        <f>_xll.qlIndexFixing($M$6,Q13,,InterestRatesTrigger)</f>
        <v>-9.0982082728276799E-4</v>
      </c>
      <c r="U13" s="30">
        <f>_xll.qlIndexFixing(Index,Q13,,InterestRatesTrigger)</f>
        <v>1.2409812061129927E-3</v>
      </c>
      <c r="V13" s="30">
        <f t="shared" si="5"/>
        <v>2.1508020333957608E-3</v>
      </c>
      <c r="W13" s="29">
        <f>_xll.qlDayCounterYearFraction(DayCounter,SettlementDate,R13,,,Trigger)</f>
        <v>0.85833333333333328</v>
      </c>
      <c r="X13" s="29">
        <f>_xll.qlDayCounterYearFraction(DayCounter,R13,S13)</f>
        <v>0.5083333333333333</v>
      </c>
      <c r="Y13" s="29">
        <f>_xll.qlYieldTSDiscount(Currency&amp;"ON",R13)/(1+U13*X13)</f>
        <v>1.0004371813187309</v>
      </c>
      <c r="Z13" s="30">
        <f>_xll.qlTenorBasisValue(TenorBasis6M,R13,InterestRatesTrigger)</f>
        <v>2.1409832201807555E-3</v>
      </c>
      <c r="AA13" s="30">
        <f t="shared" si="6"/>
        <v>9.8188132150052974E-6</v>
      </c>
    </row>
    <row r="14" spans="1:27" x14ac:dyDescent="0.2">
      <c r="A14" s="18" t="str">
        <f>_xll.qlPeriodEquivalent(C14&amp;"M")</f>
        <v>20Y</v>
      </c>
      <c r="B14" s="10">
        <f>IF(AND(MONTH(B13)=12),B13,_xll.qlDateEndOfMonth(EDATE(B13,-6)))</f>
        <v>42004</v>
      </c>
      <c r="C14" s="11">
        <v>240</v>
      </c>
      <c r="D14" s="10">
        <f t="shared" si="8"/>
        <v>49464</v>
      </c>
      <c r="E14" s="13">
        <f t="shared" si="9"/>
        <v>12</v>
      </c>
      <c r="F14" s="16">
        <f t="shared" si="10"/>
        <v>0</v>
      </c>
      <c r="G14" s="17">
        <f t="shared" si="11"/>
        <v>3.0000000000000001E-3</v>
      </c>
      <c r="H14" s="12">
        <f t="shared" si="12"/>
        <v>2.5000000000000001E-4</v>
      </c>
      <c r="I14" s="17">
        <f>MIN(_xll.ohPack($V$3:INDEX($V$3:$V$135,MATCH(D14+1,$R$3:$R$135,1),1)))</f>
        <v>6.8312614088582302E-4</v>
      </c>
      <c r="J14" s="17">
        <f>MAX(_xll.ohPack($V$3:INDEX($V$3:$V$135,MATCH(D14+1,$R$3:$R$135,1),1)))</f>
        <v>2.6289570245578691E-3</v>
      </c>
      <c r="L14" s="46" t="s">
        <v>35</v>
      </c>
      <c r="M14" s="43">
        <f>_xll.qlAbcdCalibration2Error(M12)</f>
        <v>4.6012438299305883E-4</v>
      </c>
      <c r="O14" s="33">
        <v>1</v>
      </c>
      <c r="P14" s="27" t="str">
        <f>_xll.qlPeriodEquivalent(P13&amp;"+"&amp;O14&amp;"M")</f>
        <v>11M</v>
      </c>
      <c r="Q14" s="28">
        <f>_xll.qlCalendarAdvance(Calendar,SettlementDate,P14,"f",,Trigger)</f>
        <v>42499</v>
      </c>
      <c r="R14" s="28">
        <f>_xll.qlInterestRateIndexValueDate(Index,Q14,Trigger)</f>
        <v>42501</v>
      </c>
      <c r="S14" s="28">
        <f>_xll.qlInterestRateIndexMaturity(Index,R14,Trigger)</f>
        <v>42685</v>
      </c>
      <c r="T14" s="30">
        <f>_xll.qlIndexFixing($M$6,Q14,,InterestRatesTrigger)</f>
        <v>-8.517130452353666E-4</v>
      </c>
      <c r="U14" s="30">
        <f>_xll.qlIndexFixing(Index,Q14,,InterestRatesTrigger)</f>
        <v>1.3273513431957939E-3</v>
      </c>
      <c r="V14" s="30">
        <f t="shared" si="5"/>
        <v>2.1790643884311606E-3</v>
      </c>
      <c r="W14" s="29">
        <f>_xll.qlDayCounterYearFraction(DayCounter,SettlementDate,R14,,,Trigger)</f>
        <v>0.93888888888888888</v>
      </c>
      <c r="X14" s="29">
        <f>_xll.qlDayCounterYearFraction(DayCounter,R14,S14)</f>
        <v>0.51111111111111107</v>
      </c>
      <c r="Y14" s="29">
        <f>_xll.qlYieldTSDiscount(Currency&amp;"ON",R14)/(1+U14*X14)</f>
        <v>1.0004706226835891</v>
      </c>
      <c r="Z14" s="30">
        <f>_xll.qlTenorBasisValue(TenorBasis6M,R14,InterestRatesTrigger)</f>
        <v>2.1629862725693312E-3</v>
      </c>
      <c r="AA14" s="30">
        <f t="shared" si="6"/>
        <v>1.6078115861829344E-5</v>
      </c>
    </row>
    <row r="15" spans="1:27" x14ac:dyDescent="0.2">
      <c r="A15" s="18" t="str">
        <f>_xll.qlPeriodEquivalent(C15&amp;"M")</f>
        <v>30Y</v>
      </c>
      <c r="B15" s="10">
        <f t="shared" si="13"/>
        <v>42004</v>
      </c>
      <c r="C15" s="11">
        <v>360</v>
      </c>
      <c r="D15" s="10">
        <f t="shared" si="8"/>
        <v>53117</v>
      </c>
      <c r="E15" s="13">
        <f t="shared" si="9"/>
        <v>36</v>
      </c>
      <c r="F15" s="16">
        <f t="shared" si="10"/>
        <v>0</v>
      </c>
      <c r="G15" s="17">
        <f t="shared" si="11"/>
        <v>3.0000000000000001E-3</v>
      </c>
      <c r="H15" s="12">
        <f t="shared" si="12"/>
        <v>2.5000000000000001E-4</v>
      </c>
      <c r="I15" s="17">
        <f>MIN(_xll.ohPack($V$3:INDEX($V$3:$V$135,MATCH(D15+1,$R$3:$R$135,1),1)))</f>
        <v>3.6288949033867757E-4</v>
      </c>
      <c r="J15" s="17">
        <f>MAX(_xll.ohPack($V$3:INDEX($V$3:$V$135,MATCH(D15+1,$R$3:$R$135,1),1)))</f>
        <v>2.6289570245578691E-3</v>
      </c>
      <c r="L15" s="46" t="s">
        <v>57</v>
      </c>
      <c r="M15" s="43">
        <f>_xll.qlAbcdCalibration2MaxError(M12)</f>
        <v>1.8420060777588326E-3</v>
      </c>
      <c r="O15" s="33">
        <v>1</v>
      </c>
      <c r="P15" s="27" t="str">
        <f>_xll.qlPeriodEquivalent(P14&amp;"+"&amp;O15&amp;"M")</f>
        <v>1Y</v>
      </c>
      <c r="Q15" s="28">
        <f>_xll.qlCalendarAdvance(Calendar,SettlementDate,P15,"f",,Trigger)</f>
        <v>42529</v>
      </c>
      <c r="R15" s="28">
        <f>_xll.qlInterestRateIndexValueDate(Index,Q15,Trigger)</f>
        <v>42531</v>
      </c>
      <c r="S15" s="28">
        <f>_xll.qlInterestRateIndexMaturity(Index,R15,Trigger)</f>
        <v>42716</v>
      </c>
      <c r="T15" s="30">
        <f>_xll.qlIndexFixing($M$6,Q15,,InterestRatesTrigger)</f>
        <v>-7.6866650272714723E-4</v>
      </c>
      <c r="U15" s="30">
        <f>_xll.qlIndexFixing(Index,Q15,,InterestRatesTrigger)</f>
        <v>1.4143544366988399E-3</v>
      </c>
      <c r="V15" s="30">
        <f t="shared" si="5"/>
        <v>2.183020939425987E-3</v>
      </c>
      <c r="W15" s="29">
        <f>_xll.qlDayCounterYearFraction(DayCounter,SettlementDate,R15,,,Trigger)</f>
        <v>1.0222222222222221</v>
      </c>
      <c r="X15" s="29">
        <f>_xll.qlDayCounterYearFraction(DayCounter,R15,S15)</f>
        <v>0.51388888888888884</v>
      </c>
      <c r="Y15" s="29">
        <f>_xll.qlYieldTSDiscount(Currency&amp;"ON",R15)/(1+U15*X15)</f>
        <v>1.0005147350259098</v>
      </c>
      <c r="Z15" s="30">
        <f>_xll.qlTenorBasisValue(TenorBasis6M,R15,InterestRatesTrigger)</f>
        <v>2.1847515963037412E-3</v>
      </c>
      <c r="AA15" s="30">
        <f t="shared" si="6"/>
        <v>-1.7306568777541477E-6</v>
      </c>
    </row>
    <row r="16" spans="1:27" x14ac:dyDescent="0.2">
      <c r="A16" s="19" t="str">
        <f>_xll.qlPeriodEquivalent(C16&amp;"M")</f>
        <v>60Y</v>
      </c>
      <c r="B16" s="20">
        <f t="shared" si="13"/>
        <v>42004</v>
      </c>
      <c r="C16" s="21">
        <v>720</v>
      </c>
      <c r="D16" s="20">
        <f t="shared" si="8"/>
        <v>64074</v>
      </c>
      <c r="E16" s="22">
        <f t="shared" si="9"/>
        <v>60</v>
      </c>
      <c r="F16" s="23">
        <f t="shared" si="10"/>
        <v>-1E-3</v>
      </c>
      <c r="G16" s="24">
        <f t="shared" si="11"/>
        <v>3.0000000000000001E-3</v>
      </c>
      <c r="H16" s="25">
        <f t="shared" si="12"/>
        <v>2.5000000000000001E-4</v>
      </c>
      <c r="I16" s="24">
        <f>MIN(_xll.ohPack($V$3:INDEX($V$3:$V$135,MATCH(D16+1,$R$3:$R$135,1),1)))</f>
        <v>-1.4945925690633168E-3</v>
      </c>
      <c r="J16" s="24">
        <f>MAX(_xll.ohPack($V$3:INDEX($V$3:$V$135,MATCH(D16+1,$R$3:$R$135,1),1)))</f>
        <v>2.6289570245578691E-3</v>
      </c>
      <c r="O16" s="33">
        <v>1</v>
      </c>
      <c r="P16" s="27" t="str">
        <f>_xll.qlPeriodEquivalent(P15&amp;"+"&amp;O16&amp;"M")</f>
        <v>1Y1M</v>
      </c>
      <c r="Q16" s="28">
        <f>_xll.qlCalendarAdvance(Calendar,SettlementDate,P16,"f",,Trigger)</f>
        <v>42559</v>
      </c>
      <c r="R16" s="28">
        <f>_xll.qlInterestRateIndexValueDate(Index,Q16,Trigger)</f>
        <v>42563</v>
      </c>
      <c r="S16" s="28">
        <f>_xll.qlInterestRateIndexMaturity(Index,R16,Trigger)</f>
        <v>42747</v>
      </c>
      <c r="T16" s="30">
        <f>_xll.qlIndexFixing($M$6,Q16,,InterestRatesTrigger)</f>
        <v>-5.883342275739158E-4</v>
      </c>
      <c r="U16" s="30">
        <f>_xll.qlIndexFixing(Index,Q16,,InterestRatesTrigger)</f>
        <v>1.55898329137963E-3</v>
      </c>
      <c r="V16" s="30">
        <f t="shared" si="5"/>
        <v>2.1473175189535457E-3</v>
      </c>
      <c r="W16" s="29">
        <f>_xll.qlDayCounterYearFraction(DayCounter,SettlementDate,R16,,,Trigger)</f>
        <v>1.1111111111111112</v>
      </c>
      <c r="X16" s="29">
        <f>_xll.qlDayCounterYearFraction(DayCounter,R16,S16)</f>
        <v>0.51111111111111107</v>
      </c>
      <c r="Y16" s="29">
        <f>_xll.qlYieldTSDiscount(Currency&amp;"ON",R16)/(1+U16*X16)</f>
        <v>1.0005327340229</v>
      </c>
      <c r="Z16" s="30">
        <f>_xll.qlTenorBasisValue(TenorBasis6M,R16,InterestRatesTrigger)</f>
        <v>2.206877459579688E-3</v>
      </c>
      <c r="AA16" s="30">
        <f t="shared" si="6"/>
        <v>-5.9559940626142342E-5</v>
      </c>
    </row>
    <row r="17" spans="12:27" x14ac:dyDescent="0.2">
      <c r="L17" s="72" t="s">
        <v>51</v>
      </c>
      <c r="M17" s="73"/>
      <c r="O17" s="33">
        <v>1</v>
      </c>
      <c r="P17" s="27" t="str">
        <f>_xll.qlPeriodEquivalent(P16&amp;"+"&amp;O17&amp;"M")</f>
        <v>1Y2M</v>
      </c>
      <c r="Q17" s="28">
        <f>_xll.qlCalendarAdvance(Calendar,SettlementDate,P17,"f",,Trigger)</f>
        <v>42590</v>
      </c>
      <c r="R17" s="28">
        <f>_xll.qlInterestRateIndexValueDate(Index,Q17,Trigger)</f>
        <v>42592</v>
      </c>
      <c r="S17" s="28">
        <f>_xll.qlInterestRateIndexMaturity(Index,R17,Trigger)</f>
        <v>42776</v>
      </c>
      <c r="T17" s="30">
        <f>_xll.qlIndexFixing($M$6,Q17,,InterestRatesTrigger)</f>
        <v>-5.1774918413202578E-4</v>
      </c>
      <c r="U17" s="30">
        <f>_xll.qlIndexFixing(Index,Q17,,InterestRatesTrigger)</f>
        <v>1.6785846331317427E-3</v>
      </c>
      <c r="V17" s="30">
        <f t="shared" si="5"/>
        <v>2.1963338172637683E-3</v>
      </c>
      <c r="W17" s="29">
        <f>_xll.qlDayCounterYearFraction(DayCounter,SettlementDate,R17,,,Trigger)</f>
        <v>1.1916666666666667</v>
      </c>
      <c r="X17" s="29">
        <f>_xll.qlDayCounterYearFraction(DayCounter,R17,S17)</f>
        <v>0.51111111111111107</v>
      </c>
      <c r="Y17" s="29">
        <f>_xll.qlYieldTSDiscount(Currency&amp;"ON",R17)/(1+U17*X17)</f>
        <v>1.0005424597421946</v>
      </c>
      <c r="Z17" s="30">
        <f>_xll.qlTenorBasisValue(TenorBasis6M,R17,InterestRatesTrigger)</f>
        <v>2.2259798345184729E-3</v>
      </c>
      <c r="AA17" s="30">
        <f t="shared" si="6"/>
        <v>-2.9646017254704535E-5</v>
      </c>
    </row>
    <row r="18" spans="12:27" x14ac:dyDescent="0.2">
      <c r="L18" s="46" t="s">
        <v>46</v>
      </c>
      <c r="M18" s="43">
        <f>_xll.qlAbcdCalibration2A($M$12,M13)</f>
        <v>1.6829222928855191E-3</v>
      </c>
      <c r="O18" s="33">
        <v>1</v>
      </c>
      <c r="P18" s="27" t="str">
        <f>_xll.qlPeriodEquivalent(P17&amp;"+"&amp;O18&amp;"M")</f>
        <v>1Y3M</v>
      </c>
      <c r="Q18" s="28">
        <f>_xll.qlCalendarAdvance(Calendar,SettlementDate,P18,"f",,Trigger)</f>
        <v>42621</v>
      </c>
      <c r="R18" s="28">
        <f>_xll.qlInterestRateIndexValueDate(Index,Q18,Trigger)</f>
        <v>42625</v>
      </c>
      <c r="S18" s="28">
        <f>_xll.qlInterestRateIndexMaturity(Index,R18,Trigger)</f>
        <v>42807</v>
      </c>
      <c r="T18" s="30">
        <f>_xll.qlIndexFixing($M$6,Q18,,InterestRatesTrigger)</f>
        <v>-4.1820056743909433E-4</v>
      </c>
      <c r="U18" s="30">
        <f>_xll.qlIndexFixing(Index,Q18,,InterestRatesTrigger)</f>
        <v>1.8090024554908934E-3</v>
      </c>
      <c r="V18" s="30">
        <f t="shared" si="5"/>
        <v>2.2272030229299879E-3</v>
      </c>
      <c r="W18" s="29">
        <f>_xll.qlDayCounterYearFraction(DayCounter,SettlementDate,R18,,,Trigger)</f>
        <v>1.2833333333333334</v>
      </c>
      <c r="X18" s="29">
        <f>_xll.qlDayCounterYearFraction(DayCounter,R18,S18)</f>
        <v>0.50555555555555554</v>
      </c>
      <c r="Y18" s="29">
        <f>_xll.qlYieldTSDiscount(Currency&amp;"ON",R18)/(1+U18*X18)</f>
        <v>1.0005577191923161</v>
      </c>
      <c r="Z18" s="30">
        <f>_xll.qlTenorBasisValue(TenorBasis6M,R18,InterestRatesTrigger)</f>
        <v>2.2466462668015155E-3</v>
      </c>
      <c r="AA18" s="30">
        <f t="shared" si="6"/>
        <v>-1.9443243871527637E-5</v>
      </c>
    </row>
    <row r="19" spans="12:27" x14ac:dyDescent="0.2">
      <c r="L19" s="46" t="s">
        <v>47</v>
      </c>
      <c r="M19" s="44">
        <f>_xll.qlAbcdCalibration2B($M$12,M13)</f>
        <v>7.1592068474095132E-4</v>
      </c>
      <c r="O19" s="33">
        <v>1</v>
      </c>
      <c r="P19" s="27" t="str">
        <f>_xll.qlPeriodEquivalent(P18&amp;"+"&amp;O19&amp;"M")</f>
        <v>1Y4M</v>
      </c>
      <c r="Q19" s="28">
        <f>_xll.qlCalendarAdvance(Calendar,SettlementDate,P19,"f",,Trigger)</f>
        <v>42653</v>
      </c>
      <c r="R19" s="28">
        <f>_xll.qlInterestRateIndexValueDate(Index,Q19,Trigger)</f>
        <v>42655</v>
      </c>
      <c r="S19" s="28">
        <f>_xll.qlInterestRateIndexMaturity(Index,R19,Trigger)</f>
        <v>42837</v>
      </c>
      <c r="T19" s="30">
        <f>_xll.qlIndexFixing($M$6,Q19,,InterestRatesTrigger)</f>
        <v>-2.9270604881892481E-4</v>
      </c>
      <c r="U19" s="30">
        <f>_xll.qlIndexFixing(Index,Q19,,InterestRatesTrigger)</f>
        <v>1.9616152730847097E-3</v>
      </c>
      <c r="V19" s="30">
        <f t="shared" si="5"/>
        <v>2.2543213219036345E-3</v>
      </c>
      <c r="W19" s="29">
        <f>_xll.qlDayCounterYearFraction(DayCounter,SettlementDate,R19,,,Trigger)</f>
        <v>1.3666666666666667</v>
      </c>
      <c r="X19" s="29">
        <f>_xll.qlDayCounterYearFraction(DayCounter,R19,S19)</f>
        <v>0.50555555555555554</v>
      </c>
      <c r="Y19" s="29">
        <f>_xll.qlYieldTSDiscount(Currency&amp;"ON",R19)/(1+U19*X19)</f>
        <v>1.0005392495000154</v>
      </c>
      <c r="Z19" s="30">
        <f>_xll.qlTenorBasisValue(TenorBasis6M,R19,InterestRatesTrigger)</f>
        <v>2.2644687945052458E-3</v>
      </c>
      <c r="AA19" s="30">
        <f t="shared" si="6"/>
        <v>-1.0147472601611338E-5</v>
      </c>
    </row>
    <row r="20" spans="12:27" x14ac:dyDescent="0.2">
      <c r="L20" s="46" t="s">
        <v>48</v>
      </c>
      <c r="M20" s="44">
        <f>_xll.qlAbcdCalibration2C($M$12,M13)</f>
        <v>0.17</v>
      </c>
      <c r="O20" s="33">
        <v>1</v>
      </c>
      <c r="P20" s="27" t="str">
        <f>_xll.qlPeriodEquivalent(P19&amp;"+"&amp;O20&amp;"M")</f>
        <v>1Y5M</v>
      </c>
      <c r="Q20" s="28">
        <f>_xll.qlCalendarAdvance(Calendar,SettlementDate,P20,"f",,Trigger)</f>
        <v>42682</v>
      </c>
      <c r="R20" s="28">
        <f>_xll.qlInterestRateIndexValueDate(Index,Q20,Trigger)</f>
        <v>42684</v>
      </c>
      <c r="S20" s="28">
        <f>_xll.qlInterestRateIndexMaturity(Index,R20,Trigger)</f>
        <v>42865</v>
      </c>
      <c r="T20" s="30">
        <f>_xll.qlIndexFixing($M$6,Q20,,InterestRatesTrigger)</f>
        <v>-1.4602903444869094E-4</v>
      </c>
      <c r="U20" s="30">
        <f>_xll.qlIndexFixing(Index,Q20,,InterestRatesTrigger)</f>
        <v>2.1311219569495098E-3</v>
      </c>
      <c r="V20" s="30">
        <f t="shared" si="5"/>
        <v>2.2771509913982009E-3</v>
      </c>
      <c r="W20" s="29">
        <f>_xll.qlDayCounterYearFraction(DayCounter,SettlementDate,R20,,,Trigger)</f>
        <v>1.4472222222222222</v>
      </c>
      <c r="X20" s="29">
        <f>_xll.qlDayCounterYearFraction(DayCounter,R20,S20)</f>
        <v>0.50277777777777777</v>
      </c>
      <c r="Y20" s="29">
        <f>_xll.qlYieldTSDiscount(Currency&amp;"ON",R20)/(1+U20*X20)</f>
        <v>1.0005116127921085</v>
      </c>
      <c r="Z20" s="30">
        <f>_xll.qlTenorBasisValue(TenorBasis6M,R20,InterestRatesTrigger)</f>
        <v>2.2808447809763805E-3</v>
      </c>
      <c r="AA20" s="30">
        <f t="shared" si="6"/>
        <v>-3.6937895781796737E-6</v>
      </c>
    </row>
    <row r="21" spans="12:27" x14ac:dyDescent="0.2">
      <c r="L21" s="46" t="s">
        <v>49</v>
      </c>
      <c r="M21" s="43">
        <f>_xll.qlAbcdCalibration2D($M$12,M13)</f>
        <v>1.5880057533979909E-4</v>
      </c>
      <c r="O21" s="33">
        <v>1</v>
      </c>
      <c r="P21" s="27" t="str">
        <f>_xll.qlPeriodEquivalent(P20&amp;"+"&amp;O21&amp;"M")</f>
        <v>1Y6M</v>
      </c>
      <c r="Q21" s="28">
        <f>_xll.qlCalendarAdvance(Calendar,SettlementDate,P21,"f",,Trigger)</f>
        <v>42712</v>
      </c>
      <c r="R21" s="28">
        <f>_xll.qlInterestRateIndexValueDate(Index,Q21,Trigger)</f>
        <v>42716</v>
      </c>
      <c r="S21" s="28">
        <f>_xll.qlInterestRateIndexMaturity(Index,R21,Trigger)</f>
        <v>42898</v>
      </c>
      <c r="T21" s="30">
        <f>_xll.qlIndexFixing($M$6,Q21,,InterestRatesTrigger)</f>
        <v>4.9546663093632333E-5</v>
      </c>
      <c r="U21" s="30">
        <f>_xll.qlIndexFixing(Index,Q21,,InterestRatesTrigger)</f>
        <v>2.3030015987450755E-3</v>
      </c>
      <c r="V21" s="30">
        <f t="shared" si="5"/>
        <v>2.2534549356514433E-3</v>
      </c>
      <c r="W21" s="29">
        <f>_xll.qlDayCounterYearFraction(DayCounter,SettlementDate,R21,,,Trigger)</f>
        <v>1.5361111111111112</v>
      </c>
      <c r="X21" s="29">
        <f>_xll.qlDayCounterYearFraction(DayCounter,R21,S21)</f>
        <v>0.50555555555555554</v>
      </c>
      <c r="Y21" s="29">
        <f>_xll.qlYieldTSDiscount(Currency&amp;"ON",R21)/(1+U21*X21)</f>
        <v>1.0004727405504357</v>
      </c>
      <c r="Z21" s="30">
        <f>_xll.qlTenorBasisValue(TenorBasis6M,R21,InterestRatesTrigger)</f>
        <v>2.2979658253367962E-3</v>
      </c>
      <c r="AA21" s="30">
        <f t="shared" si="6"/>
        <v>-4.4510889685352942E-5</v>
      </c>
    </row>
    <row r="22" spans="12:27" x14ac:dyDescent="0.2">
      <c r="L22" s="46" t="s">
        <v>50</v>
      </c>
      <c r="M22" s="35" t="str">
        <f>_xll.qlAbcdTenorBasis(,Index,Currency&amp;"ON",SettlementDate,TRUE,M18:M21,,Trigger)</f>
        <v>obj_00878#0001</v>
      </c>
      <c r="O22" s="33">
        <v>6</v>
      </c>
      <c r="P22" s="27" t="str">
        <f>_xll.qlPeriodEquivalent(P21&amp;"+"&amp;O22&amp;"M")</f>
        <v>2Y</v>
      </c>
      <c r="Q22" s="28">
        <f>_xll.qlCalendarAdvance(Calendar,SettlementDate,P22,"f",,Trigger)</f>
        <v>42894</v>
      </c>
      <c r="R22" s="28">
        <f>_xll.qlInterestRateIndexValueDate(Index,Q22,Trigger)</f>
        <v>42898</v>
      </c>
      <c r="S22" s="28">
        <f>_xll.qlInterestRateIndexMaturity(Index,R22,Trigger)</f>
        <v>43081</v>
      </c>
      <c r="T22" s="30">
        <f>_xll.qlIndexFixing($M$6,Q22,,InterestRatesTrigger)</f>
        <v>1.13530226134107E-3</v>
      </c>
      <c r="U22" s="30">
        <f>_xll.qlIndexFixing(Index,Q22,,InterestRatesTrigger)</f>
        <v>3.4901698440644052E-3</v>
      </c>
      <c r="V22" s="30">
        <f t="shared" si="5"/>
        <v>2.3548675827233349E-3</v>
      </c>
      <c r="W22" s="29">
        <f>_xll.qlDayCounterYearFraction(DayCounter,SettlementDate,R22,,,Trigger)</f>
        <v>2.0416666666666665</v>
      </c>
      <c r="X22" s="29">
        <f>_xll.qlDayCounterYearFraction(DayCounter,R22,S22)</f>
        <v>0.5083333333333333</v>
      </c>
      <c r="Y22" s="29">
        <f>_xll.qlYieldTSDiscount(Currency&amp;"ON",R22)/(1+U22*X22)</f>
        <v>0.99983861388675821</v>
      </c>
      <c r="Z22" s="30">
        <f>_xll.qlTenorBasisValue(TenorBasis6M,R22,InterestRatesTrigger)</f>
        <v>2.3776042404556235E-3</v>
      </c>
      <c r="AA22" s="30">
        <f t="shared" si="6"/>
        <v>-2.2736657732288536E-5</v>
      </c>
    </row>
    <row r="23" spans="12:27" x14ac:dyDescent="0.2">
      <c r="M23" s="42">
        <f>1/M20-M18/M19</f>
        <v>3.5316424103102366</v>
      </c>
      <c r="O23" s="33">
        <v>6</v>
      </c>
      <c r="P23" s="27" t="str">
        <f>_xll.qlPeriodEquivalent(P22&amp;"+"&amp;O23&amp;"M")</f>
        <v>2Y6M</v>
      </c>
      <c r="Q23" s="28">
        <f>_xll.qlCalendarAdvance(Calendar,SettlementDate,P23,"f",,Trigger)</f>
        <v>43077</v>
      </c>
      <c r="R23" s="28">
        <f>_xll.qlInterestRateIndexValueDate(Index,Q23,Trigger)</f>
        <v>43081</v>
      </c>
      <c r="S23" s="28">
        <f>_xll.qlInterestRateIndexMaturity(Index,R23,Trigger)</f>
        <v>43263</v>
      </c>
      <c r="T23" s="30">
        <f>_xll.qlIndexFixing($M$6,Q23,,InterestRatesTrigger)</f>
        <v>2.5808872853740018E-3</v>
      </c>
      <c r="U23" s="30">
        <f>_xll.qlIndexFixing(Index,Q23,,InterestRatesTrigger)</f>
        <v>5.2098443099318709E-3</v>
      </c>
      <c r="V23" s="30">
        <f t="shared" si="5"/>
        <v>2.6289570245578691E-3</v>
      </c>
      <c r="W23" s="29">
        <f>_xll.qlDayCounterYearFraction(DayCounter,SettlementDate,R23,,,Trigger)</f>
        <v>2.5499999999999998</v>
      </c>
      <c r="X23" s="29">
        <f>_xll.qlDayCounterYearFraction(DayCounter,R23,S23)</f>
        <v>0.50555555555555554</v>
      </c>
      <c r="Y23" s="29">
        <f>_xll.qlYieldTSDiscount(Currency&amp;"ON",R23)/(1+U23*X23)</f>
        <v>0.99840512301707662</v>
      </c>
      <c r="Z23" s="30">
        <f>_xll.qlTenorBasisValue(TenorBasis6M,R23,InterestRatesTrigger)</f>
        <v>2.4303889097260912E-3</v>
      </c>
      <c r="AA23" s="30">
        <f t="shared" si="6"/>
        <v>1.9856811483177786E-4</v>
      </c>
    </row>
    <row r="24" spans="12:27" x14ac:dyDescent="0.2">
      <c r="O24" s="33">
        <v>6</v>
      </c>
      <c r="P24" s="27" t="str">
        <f>_xll.qlPeriodEquivalent(P23&amp;"+"&amp;O24&amp;"M")</f>
        <v>3Y</v>
      </c>
      <c r="Q24" s="28">
        <f>_xll.qlCalendarAdvance(Calendar,SettlementDate,P24,"f",,Trigger)</f>
        <v>43259</v>
      </c>
      <c r="R24" s="28">
        <f>_xll.qlInterestRateIndexValueDate(Index,Q24,Trigger)</f>
        <v>43263</v>
      </c>
      <c r="S24" s="28">
        <f>_xll.qlInterestRateIndexMaturity(Index,R24,Trigger)</f>
        <v>43446</v>
      </c>
      <c r="T24" s="30">
        <f>_xll.qlIndexFixing($M$6,Q24,,InterestRatesTrigger)</f>
        <v>4.4351317111166327E-3</v>
      </c>
      <c r="U24" s="30">
        <f>_xll.qlIndexFixing(Index,Q24,,InterestRatesTrigger)</f>
        <v>6.9195346026991438E-3</v>
      </c>
      <c r="V24" s="30">
        <f t="shared" si="5"/>
        <v>2.4844028915825111E-3</v>
      </c>
      <c r="W24" s="29">
        <f>_xll.qlDayCounterYearFraction(DayCounter,SettlementDate,R24,,,Trigger)</f>
        <v>3.0555555555555554</v>
      </c>
      <c r="X24" s="29">
        <f>_xll.qlDayCounterYearFraction(DayCounter,R24,S24)</f>
        <v>0.5083333333333333</v>
      </c>
      <c r="Y24" s="29">
        <f>_xll.qlYieldTSDiscount(Currency&amp;"ON",R24)/(1+U24*X24)</f>
        <v>0.99622620195942835</v>
      </c>
      <c r="Z24" s="30">
        <f>_xll.qlTenorBasisValue(TenorBasis6M,R24,InterestRatesTrigger)</f>
        <v>2.4596343795556092E-3</v>
      </c>
      <c r="AA24" s="30">
        <f t="shared" si="6"/>
        <v>2.476851202690188E-5</v>
      </c>
    </row>
    <row r="25" spans="12:27" x14ac:dyDescent="0.2">
      <c r="L25" s="72" t="s">
        <v>54</v>
      </c>
      <c r="M25" s="73"/>
      <c r="O25" s="33">
        <v>6</v>
      </c>
      <c r="P25" s="27" t="str">
        <f>_xll.qlPeriodEquivalent(P24&amp;"+"&amp;O25&amp;"M")</f>
        <v>3Y6M</v>
      </c>
      <c r="Q25" s="28">
        <f>_xll.qlCalendarAdvance(Calendar,SettlementDate,P25,"f",,Trigger)</f>
        <v>43444</v>
      </c>
      <c r="R25" s="28">
        <f>_xll.qlInterestRateIndexValueDate(Index,Q25,Trigger)</f>
        <v>43446</v>
      </c>
      <c r="S25" s="28">
        <f>_xll.qlInterestRateIndexMaturity(Index,R25,Trigger)</f>
        <v>43628</v>
      </c>
      <c r="T25" s="30">
        <f>_xll.qlIndexFixing($M$6,Q25,,InterestRatesTrigger)</f>
        <v>6.3549832432085035E-3</v>
      </c>
      <c r="U25" s="30">
        <f>_xll.qlIndexFixing(Index,Q25,,InterestRatesTrigger)</f>
        <v>8.7555289413100666E-3</v>
      </c>
      <c r="V25" s="30">
        <f t="shared" si="5"/>
        <v>2.4005456981015631E-3</v>
      </c>
      <c r="W25" s="29">
        <f>_xll.qlDayCounterYearFraction(DayCounter,SettlementDate,R25,,,Trigger)</f>
        <v>3.5638888888888891</v>
      </c>
      <c r="X25" s="29">
        <f>_xll.qlDayCounterYearFraction(DayCounter,R25,S25)</f>
        <v>0.50555555555555554</v>
      </c>
      <c r="Y25" s="29">
        <f>_xll.qlYieldTSDiscount(Currency&amp;"ON",R25)/(1+U25*X25)</f>
        <v>0.9930857098490673</v>
      </c>
      <c r="Z25" s="30">
        <f>_xll.qlTenorBasisValue(TenorBasis6M,R25,InterestRatesTrigger)</f>
        <v>2.4691245459318692E-3</v>
      </c>
      <c r="AA25" s="30">
        <f t="shared" si="6"/>
        <v>-6.857884783030609E-5</v>
      </c>
    </row>
    <row r="26" spans="12:27" x14ac:dyDescent="0.2">
      <c r="L26" s="46" t="s">
        <v>46</v>
      </c>
      <c r="M26" s="43">
        <f t="array" ref="M26:M29">_xll.qlTenorInstCoefficients(M22)</f>
        <v>1.5694823262645053E-3</v>
      </c>
      <c r="O26" s="33">
        <v>6</v>
      </c>
      <c r="P26" s="27" t="str">
        <f>_xll.qlPeriodEquivalent(P25&amp;"+"&amp;O26&amp;"M")</f>
        <v>4Y</v>
      </c>
      <c r="Q26" s="28">
        <f>_xll.qlCalendarAdvance(Calendar,SettlementDate,P26,"f",,Trigger)</f>
        <v>43626</v>
      </c>
      <c r="R26" s="28">
        <f>_xll.qlInterestRateIndexValueDate(Index,Q26,Trigger)</f>
        <v>43628</v>
      </c>
      <c r="S26" s="28">
        <f>_xll.qlInterestRateIndexMaturity(Index,R26,Trigger)</f>
        <v>43811</v>
      </c>
      <c r="T26" s="30">
        <f>_xll.qlIndexFixing($M$6,Q26,,InterestRatesTrigger)</f>
        <v>8.2258895944979493E-3</v>
      </c>
      <c r="U26" s="30">
        <f>_xll.qlIndexFixing(Index,Q26,,InterestRatesTrigger)</f>
        <v>1.066946779159648E-2</v>
      </c>
      <c r="V26" s="30">
        <f t="shared" si="5"/>
        <v>2.4435781970985303E-3</v>
      </c>
      <c r="W26" s="29">
        <f>_xll.qlDayCounterYearFraction(DayCounter,SettlementDate,R26,,,Trigger)</f>
        <v>4.0694444444444446</v>
      </c>
      <c r="X26" s="29">
        <f>_xll.qlDayCounterYearFraction(DayCounter,R26,S26)</f>
        <v>0.5083333333333333</v>
      </c>
      <c r="Y26" s="29">
        <f>_xll.qlYieldTSDiscount(Currency&amp;"ON",R26)/(1+U26*X26)</f>
        <v>0.98892349700179361</v>
      </c>
      <c r="Z26" s="30">
        <f>_xll.qlTenorBasisValue(TenorBasis6M,R26,InterestRatesTrigger)</f>
        <v>2.4617870333784298E-3</v>
      </c>
      <c r="AA26" s="30">
        <f t="shared" si="6"/>
        <v>-1.8208836279899523E-5</v>
      </c>
    </row>
    <row r="27" spans="12:27" x14ac:dyDescent="0.2">
      <c r="L27" s="46" t="s">
        <v>47</v>
      </c>
      <c r="M27" s="44">
        <v>7.4729990066175534E-4</v>
      </c>
      <c r="O27" s="33">
        <v>6</v>
      </c>
      <c r="P27" s="27" t="str">
        <f>_xll.qlPeriodEquivalent(P26&amp;"+"&amp;O27&amp;"M")</f>
        <v>4Y6M</v>
      </c>
      <c r="Q27" s="28">
        <f>_xll.qlCalendarAdvance(Calendar,SettlementDate,P27,"f",,Trigger)</f>
        <v>43808</v>
      </c>
      <c r="R27" s="28">
        <f>_xll.qlInterestRateIndexValueDate(Index,Q27,Trigger)</f>
        <v>43810</v>
      </c>
      <c r="S27" s="28">
        <f>_xll.qlInterestRateIndexMaturity(Index,R27,Trigger)</f>
        <v>43993</v>
      </c>
      <c r="T27" s="30">
        <f>_xll.qlIndexFixing($M$6,Q27,,InterestRatesTrigger)</f>
        <v>9.9091849062908303E-3</v>
      </c>
      <c r="U27" s="30">
        <f>_xll.qlIndexFixing(Index,Q27,,InterestRatesTrigger)</f>
        <v>1.234422921540052E-2</v>
      </c>
      <c r="V27" s="30">
        <f t="shared" si="5"/>
        <v>2.43504430910969E-3</v>
      </c>
      <c r="W27" s="29">
        <f>_xll.qlDayCounterYearFraction(DayCounter,SettlementDate,R27,,,Trigger)</f>
        <v>4.5750000000000002</v>
      </c>
      <c r="X27" s="29">
        <f>_xll.qlDayCounterYearFraction(DayCounter,R27,S27)</f>
        <v>0.5083333333333333</v>
      </c>
      <c r="Y27" s="29">
        <f>_xll.qlYieldTSDiscount(Currency&amp;"ON",R27)/(1+U27*X27)</f>
        <v>0.98399719040926581</v>
      </c>
      <c r="Z27" s="30">
        <f>_xll.qlTenorBasisValue(TenorBasis6M,R27,InterestRatesTrigger)</f>
        <v>2.4403815347099418E-3</v>
      </c>
      <c r="AA27" s="30">
        <f t="shared" si="6"/>
        <v>-5.3372256002518111E-6</v>
      </c>
    </row>
    <row r="28" spans="12:27" x14ac:dyDescent="0.2">
      <c r="L28" s="46" t="s">
        <v>48</v>
      </c>
      <c r="M28" s="44">
        <v>0.17</v>
      </c>
      <c r="O28" s="33">
        <v>6</v>
      </c>
      <c r="P28" s="27" t="str">
        <f>_xll.qlPeriodEquivalent(P27&amp;"+"&amp;O28&amp;"M")</f>
        <v>5Y</v>
      </c>
      <c r="Q28" s="28">
        <f>_xll.qlCalendarAdvance(Calendar,SettlementDate,P28,"f",,Trigger)</f>
        <v>43990</v>
      </c>
      <c r="R28" s="28">
        <f>_xll.qlInterestRateIndexValueDate(Index,Q28,Trigger)</f>
        <v>43992</v>
      </c>
      <c r="S28" s="28">
        <f>_xll.qlInterestRateIndexMaturity(Index,R28,Trigger)</f>
        <v>44175</v>
      </c>
      <c r="T28" s="30">
        <f>_xll.qlIndexFixing($M$6,Q28,,InterestRatesTrigger)</f>
        <v>1.1379697703854105E-2</v>
      </c>
      <c r="U28" s="30">
        <f>_xll.qlIndexFixing(Index,Q28,,InterestRatesTrigger)</f>
        <v>1.3741001474287444E-2</v>
      </c>
      <c r="V28" s="30">
        <f t="shared" si="5"/>
        <v>2.361303770433339E-3</v>
      </c>
      <c r="W28" s="29">
        <f>_xll.qlDayCounterYearFraction(DayCounter,SettlementDate,R28,,,Trigger)</f>
        <v>5.0805555555555557</v>
      </c>
      <c r="X28" s="29">
        <f>_xll.qlDayCounterYearFraction(DayCounter,R28,S28)</f>
        <v>0.5083333333333333</v>
      </c>
      <c r="Y28" s="29">
        <f>_xll.qlYieldTSDiscount(Currency&amp;"ON",R28)/(1+U28*X28)</f>
        <v>0.97840407774609217</v>
      </c>
      <c r="Z28" s="30">
        <f>_xll.qlTenorBasisValue(TenorBasis6M,R28,InterestRatesTrigger)</f>
        <v>2.4072432344593563E-3</v>
      </c>
      <c r="AA28" s="30">
        <f t="shared" si="6"/>
        <v>-4.5939464026017313E-5</v>
      </c>
    </row>
    <row r="29" spans="12:27" x14ac:dyDescent="0.2">
      <c r="L29" s="46" t="s">
        <v>49</v>
      </c>
      <c r="M29" s="43">
        <v>1.5880057533979909E-4</v>
      </c>
      <c r="O29" s="33">
        <v>6</v>
      </c>
      <c r="P29" s="27" t="str">
        <f>_xll.qlPeriodEquivalent(P28&amp;"+"&amp;O29&amp;"M")</f>
        <v>5Y6M</v>
      </c>
      <c r="Q29" s="28">
        <f>_xll.qlCalendarAdvance(Calendar,SettlementDate,P29,"f",,Trigger)</f>
        <v>44173</v>
      </c>
      <c r="R29" s="28">
        <f>_xll.qlInterestRateIndexValueDate(Index,Q29,Trigger)</f>
        <v>44175</v>
      </c>
      <c r="S29" s="28">
        <f>_xll.qlInterestRateIndexMaturity(Index,R29,Trigger)</f>
        <v>44357</v>
      </c>
      <c r="T29" s="30">
        <f>_xll.qlIndexFixing($M$6,Q29,,InterestRatesTrigger)</f>
        <v>1.2648154229727196E-2</v>
      </c>
      <c r="U29" s="30">
        <f>_xll.qlIndexFixing(Index,Q29,,InterestRatesTrigger)</f>
        <v>1.4981747722538139E-2</v>
      </c>
      <c r="V29" s="30">
        <f t="shared" si="5"/>
        <v>2.3335934928109432E-3</v>
      </c>
      <c r="W29" s="29">
        <f>_xll.qlDayCounterYearFraction(DayCounter,SettlementDate,R29,,,Trigger)</f>
        <v>5.5888888888888886</v>
      </c>
      <c r="X29" s="29">
        <f>_xll.qlDayCounterYearFraction(DayCounter,R29,S29)</f>
        <v>0.50555555555555554</v>
      </c>
      <c r="Y29" s="29">
        <f>_xll.qlYieldTSDiscount(Currency&amp;"ON",R29)/(1+U29*X29)</f>
        <v>0.97220812326664818</v>
      </c>
      <c r="Z29" s="30">
        <f>_xll.qlTenorBasisValue(TenorBasis6M,R29,InterestRatesTrigger)</f>
        <v>2.3641620438563352E-3</v>
      </c>
      <c r="AA29" s="30">
        <f t="shared" si="6"/>
        <v>-3.0568551045391957E-5</v>
      </c>
    </row>
    <row r="30" spans="12:27" x14ac:dyDescent="0.2">
      <c r="M30" s="42">
        <f>1/M28-M26/M27</f>
        <v>3.7821488265035201</v>
      </c>
      <c r="O30" s="33">
        <v>6</v>
      </c>
      <c r="P30" s="27" t="str">
        <f>_xll.qlPeriodEquivalent(P29&amp;"+"&amp;O30&amp;"M")</f>
        <v>6Y</v>
      </c>
      <c r="Q30" s="28">
        <f>_xll.qlCalendarAdvance(Calendar,SettlementDate,P30,"f",,Trigger)</f>
        <v>44355</v>
      </c>
      <c r="R30" s="28">
        <f>_xll.qlInterestRateIndexValueDate(Index,Q30,Trigger)</f>
        <v>44357</v>
      </c>
      <c r="S30" s="28">
        <f>_xll.qlInterestRateIndexMaturity(Index,R30,Trigger)</f>
        <v>44540</v>
      </c>
      <c r="T30" s="30">
        <f>_xll.qlIndexFixing($M$6,Q30,,InterestRatesTrigger)</f>
        <v>1.3775415069207627E-2</v>
      </c>
      <c r="U30" s="30">
        <f>_xll.qlIndexFixing(Index,Q30,,InterestRatesTrigger)</f>
        <v>1.6120515297125351E-2</v>
      </c>
      <c r="V30" s="30">
        <f t="shared" si="5"/>
        <v>2.3451002279177239E-3</v>
      </c>
      <c r="W30" s="29">
        <f>_xll.qlDayCounterYearFraction(DayCounter,SettlementDate,R30,,,Trigger)</f>
        <v>6.0944444444444441</v>
      </c>
      <c r="X30" s="29">
        <f>_xll.qlDayCounterYearFraction(DayCounter,R30,S30)</f>
        <v>0.5083333333333333</v>
      </c>
      <c r="Y30" s="29">
        <f>_xll.qlYieldTSDiscount(Currency&amp;"ON",R30)/(1+U30*X30)</f>
        <v>0.96543644814348584</v>
      </c>
      <c r="Z30" s="30">
        <f>_xll.qlTenorBasisValue(TenorBasis6M,R30,InterestRatesTrigger)</f>
        <v>2.3134094124582401E-3</v>
      </c>
      <c r="AA30" s="30">
        <f t="shared" si="6"/>
        <v>3.1690815459483809E-5</v>
      </c>
    </row>
    <row r="31" spans="12:27" x14ac:dyDescent="0.2">
      <c r="O31" s="33">
        <v>6</v>
      </c>
      <c r="P31" s="27" t="str">
        <f>_xll.qlPeriodEquivalent(P30&amp;"+"&amp;O31&amp;"M")</f>
        <v>6Y6M</v>
      </c>
      <c r="Q31" s="28">
        <f>_xll.qlCalendarAdvance(Calendar,SettlementDate,P31,"f",,Trigger)</f>
        <v>44538</v>
      </c>
      <c r="R31" s="28">
        <f>_xll.qlInterestRateIndexValueDate(Index,Q31,Trigger)</f>
        <v>44540</v>
      </c>
      <c r="S31" s="28">
        <f>_xll.qlInterestRateIndexMaturity(Index,R31,Trigger)</f>
        <v>44722</v>
      </c>
      <c r="T31" s="30">
        <f>_xll.qlIndexFixing($M$6,Q31,,InterestRatesTrigger)</f>
        <v>1.5003848757057119E-2</v>
      </c>
      <c r="U31" s="30">
        <f>_xll.qlIndexFixing(Index,Q31,,InterestRatesTrigger)</f>
        <v>1.7266441669060429E-2</v>
      </c>
      <c r="V31" s="30">
        <f t="shared" si="5"/>
        <v>2.2625929120033104E-3</v>
      </c>
      <c r="W31" s="29">
        <f>_xll.qlDayCounterYearFraction(DayCounter,SettlementDate,R31,,,Trigger)</f>
        <v>6.6027777777777779</v>
      </c>
      <c r="X31" s="29">
        <f>_xll.qlDayCounterYearFraction(DayCounter,R31,S31)</f>
        <v>0.50555555555555554</v>
      </c>
      <c r="Y31" s="29">
        <f>_xll.qlYieldTSDiscount(Currency&amp;"ON",R31)/(1+U31*X31)</f>
        <v>0.95821493712154049</v>
      </c>
      <c r="Z31" s="30">
        <f>_xll.qlTenorBasisValue(TenorBasis6M,R31,InterestRatesTrigger)</f>
        <v>2.2560107172093576E-3</v>
      </c>
      <c r="AA31" s="30">
        <f t="shared" si="6"/>
        <v>6.5821947939528717E-6</v>
      </c>
    </row>
    <row r="32" spans="12:27" x14ac:dyDescent="0.2">
      <c r="O32" s="33">
        <v>6</v>
      </c>
      <c r="P32" s="27" t="str">
        <f>_xll.qlPeriodEquivalent(P31&amp;"+"&amp;O32&amp;"M")</f>
        <v>7Y</v>
      </c>
      <c r="Q32" s="28">
        <f>_xll.qlCalendarAdvance(Calendar,SettlementDate,P32,"f",,Trigger)</f>
        <v>44720</v>
      </c>
      <c r="R32" s="28">
        <f>_xll.qlInterestRateIndexValueDate(Index,Q32,Trigger)</f>
        <v>44722</v>
      </c>
      <c r="S32" s="28">
        <f>_xll.qlInterestRateIndexMaturity(Index,R32,Trigger)</f>
        <v>44907</v>
      </c>
      <c r="T32" s="30">
        <f>_xll.qlIndexFixing($M$6,Q32,,InterestRatesTrigger)</f>
        <v>1.6289566716932515E-2</v>
      </c>
      <c r="U32" s="30">
        <f>_xll.qlIndexFixing(Index,Q32,,InterestRatesTrigger)</f>
        <v>1.8389183369565409E-2</v>
      </c>
      <c r="V32" s="30">
        <f t="shared" si="5"/>
        <v>2.0996166526328942E-3</v>
      </c>
      <c r="W32" s="29">
        <f>_xll.qlDayCounterYearFraction(DayCounter,SettlementDate,R32,,,Trigger)</f>
        <v>7.1083333333333334</v>
      </c>
      <c r="X32" s="29">
        <f>_xll.qlDayCounterYearFraction(DayCounter,R32,S32)</f>
        <v>0.51388888888888884</v>
      </c>
      <c r="Y32" s="29">
        <f>_xll.qlYieldTSDiscount(Currency&amp;"ON",R32)/(1+U32*X32)</f>
        <v>0.95032221352550483</v>
      </c>
      <c r="Z32" s="30">
        <f>_xll.qlTenorBasisValue(TenorBasis6M,R32,InterestRatesTrigger)</f>
        <v>2.1939611569540053E-3</v>
      </c>
      <c r="AA32" s="30">
        <f t="shared" si="6"/>
        <v>-9.4344504321111026E-5</v>
      </c>
    </row>
    <row r="33" spans="15:27" x14ac:dyDescent="0.2">
      <c r="O33" s="33">
        <v>6</v>
      </c>
      <c r="P33" s="27" t="str">
        <f>_xll.qlPeriodEquivalent(P32&amp;"+"&amp;O33&amp;"M")</f>
        <v>7Y6M</v>
      </c>
      <c r="Q33" s="28">
        <f>_xll.qlCalendarAdvance(Calendar,SettlementDate,P33,"f",,Trigger)</f>
        <v>44903</v>
      </c>
      <c r="R33" s="28">
        <f>_xll.qlInterestRateIndexValueDate(Index,Q33,Trigger)</f>
        <v>44907</v>
      </c>
      <c r="S33" s="28">
        <f>_xll.qlInterestRateIndexMaturity(Index,R33,Trigger)</f>
        <v>45089</v>
      </c>
      <c r="T33" s="30">
        <f>_xll.qlIndexFixing($M$6,Q33,,InterestRatesTrigger)</f>
        <v>1.7192795837106752E-2</v>
      </c>
      <c r="U33" s="30">
        <f>_xll.qlIndexFixing(Index,Q33,,InterestRatesTrigger)</f>
        <v>1.9226838753452359E-2</v>
      </c>
      <c r="V33" s="30">
        <f t="shared" si="5"/>
        <v>2.0340429163456068E-3</v>
      </c>
      <c r="W33" s="29">
        <f>_xll.qlDayCounterYearFraction(DayCounter,SettlementDate,R33,,,Trigger)</f>
        <v>7.6222222222222218</v>
      </c>
      <c r="X33" s="29">
        <f>_xll.qlDayCounterYearFraction(DayCounter,R33,S33)</f>
        <v>0.50555555555555554</v>
      </c>
      <c r="Y33" s="29">
        <f>_xll.qlYieldTSDiscount(Currency&amp;"ON",R33)/(1+U33*X33)</f>
        <v>0.94218085081265024</v>
      </c>
      <c r="Z33" s="30">
        <f>_xll.qlTenorBasisValue(TenorBasis6M,R33,InterestRatesTrigger)</f>
        <v>2.1270341448466632E-3</v>
      </c>
      <c r="AA33" s="30">
        <f t="shared" si="6"/>
        <v>-9.2991228501056351E-5</v>
      </c>
    </row>
    <row r="34" spans="15:27" x14ac:dyDescent="0.2">
      <c r="O34" s="33">
        <v>6</v>
      </c>
      <c r="P34" s="27" t="str">
        <f>_xll.qlPeriodEquivalent(P33&amp;"+"&amp;O34&amp;"M")</f>
        <v>8Y</v>
      </c>
      <c r="Q34" s="28">
        <f>_xll.qlCalendarAdvance(Calendar,SettlementDate,P34,"f",,Trigger)</f>
        <v>45085</v>
      </c>
      <c r="R34" s="28">
        <f>_xll.qlInterestRateIndexValueDate(Index,Q34,Trigger)</f>
        <v>45089</v>
      </c>
      <c r="S34" s="28">
        <f>_xll.qlInterestRateIndexMaturity(Index,R34,Trigger)</f>
        <v>45272</v>
      </c>
      <c r="T34" s="30">
        <f>_xll.qlIndexFixing($M$6,Q34,,InterestRatesTrigger)</f>
        <v>1.7685209199224353E-2</v>
      </c>
      <c r="U34" s="30">
        <f>_xll.qlIndexFixing(Index,Q34,,InterestRatesTrigger)</f>
        <v>1.976379255553308E-2</v>
      </c>
      <c r="V34" s="30">
        <f t="shared" si="5"/>
        <v>2.0785833563087275E-3</v>
      </c>
      <c r="W34" s="29">
        <f>_xll.qlDayCounterYearFraction(DayCounter,SettlementDate,R34,,,Trigger)</f>
        <v>8.1277777777777782</v>
      </c>
      <c r="X34" s="29">
        <f>_xll.qlDayCounterYearFraction(DayCounter,R34,S34)</f>
        <v>0.5083333333333333</v>
      </c>
      <c r="Y34" s="29">
        <f>_xll.qlYieldTSDiscount(Currency&amp;"ON",R34)/(1+U34*X34)</f>
        <v>0.93376025639717675</v>
      </c>
      <c r="Z34" s="30">
        <f>_xll.qlTenorBasisValue(TenorBasis6M,R34,InterestRatesTrigger)</f>
        <v>2.0584353268816654E-3</v>
      </c>
      <c r="AA34" s="30">
        <f t="shared" si="6"/>
        <v>2.014802942706213E-5</v>
      </c>
    </row>
    <row r="35" spans="15:27" x14ac:dyDescent="0.2">
      <c r="O35" s="33">
        <v>6</v>
      </c>
      <c r="P35" s="27" t="str">
        <f>_xll.qlPeriodEquivalent(P34&amp;"+"&amp;O35&amp;"M")</f>
        <v>8Y6M</v>
      </c>
      <c r="Q35" s="28">
        <f>_xll.qlCalendarAdvance(Calendar,SettlementDate,P35,"f",,Trigger)</f>
        <v>45268</v>
      </c>
      <c r="R35" s="28">
        <f>_xll.qlInterestRateIndexValueDate(Index,Q35,Trigger)</f>
        <v>45272</v>
      </c>
      <c r="S35" s="28">
        <f>_xll.qlInterestRateIndexMaturity(Index,R35,Trigger)</f>
        <v>45455</v>
      </c>
      <c r="T35" s="30">
        <f>_xll.qlIndexFixing($M$6,Q35,,InterestRatesTrigger)</f>
        <v>1.8049137556186132E-2</v>
      </c>
      <c r="U35" s="30">
        <f>_xll.qlIndexFixing(Index,Q35,,InterestRatesTrigger)</f>
        <v>2.016578226176018E-2</v>
      </c>
      <c r="V35" s="30">
        <f t="shared" si="5"/>
        <v>2.116644705574048E-3</v>
      </c>
      <c r="W35" s="29">
        <f>_xll.qlDayCounterYearFraction(DayCounter,SettlementDate,R35,,,Trigger)</f>
        <v>8.6361111111111111</v>
      </c>
      <c r="X35" s="29">
        <f>_xll.qlDayCounterYearFraction(DayCounter,R35,S35)</f>
        <v>0.5083333333333333</v>
      </c>
      <c r="Y35" s="29">
        <f>_xll.qlYieldTSDiscount(Currency&amp;"ON",R35)/(1+U35*X35)</f>
        <v>0.92525337293923715</v>
      </c>
      <c r="Z35" s="30">
        <f>_xll.qlTenorBasisValue(TenorBasis6M,R35,InterestRatesTrigger)</f>
        <v>1.9875953035108831E-3</v>
      </c>
      <c r="AA35" s="30">
        <f t="shared" si="6"/>
        <v>1.2904940206316488E-4</v>
      </c>
    </row>
    <row r="36" spans="15:27" x14ac:dyDescent="0.2">
      <c r="O36" s="33">
        <v>6</v>
      </c>
      <c r="P36" s="27" t="str">
        <f>_xll.qlPeriodEquivalent(P35&amp;"+"&amp;O36&amp;"M")</f>
        <v>9Y</v>
      </c>
      <c r="Q36" s="28">
        <f>_xll.qlCalendarAdvance(Calendar,SettlementDate,P36,"f",,Trigger)</f>
        <v>45453</v>
      </c>
      <c r="R36" s="28">
        <f>_xll.qlInterestRateIndexValueDate(Index,Q36,Trigger)</f>
        <v>45455</v>
      </c>
      <c r="S36" s="28">
        <f>_xll.qlInterestRateIndexMaturity(Index,R36,Trigger)</f>
        <v>45638</v>
      </c>
      <c r="T36" s="30">
        <f>_xll.qlIndexFixing($M$6,Q36,,InterestRatesTrigger)</f>
        <v>1.8400572785685097E-2</v>
      </c>
      <c r="U36" s="30">
        <f>_xll.qlIndexFixing(Index,Q36,,InterestRatesTrigger)</f>
        <v>2.0495282165810653E-2</v>
      </c>
      <c r="V36" s="30">
        <f t="shared" si="5"/>
        <v>2.0947093801255562E-3</v>
      </c>
      <c r="W36" s="29">
        <f>_xll.qlDayCounterYearFraction(DayCounter,SettlementDate,R36,,,Trigger)</f>
        <v>9.1444444444444439</v>
      </c>
      <c r="X36" s="29">
        <f>_xll.qlDayCounterYearFraction(DayCounter,R36,S36)</f>
        <v>0.5083333333333333</v>
      </c>
      <c r="Y36" s="29">
        <f>_xll.qlYieldTSDiscount(Currency&amp;"ON",R36)/(1+U36*X36)</f>
        <v>0.91668938964015534</v>
      </c>
      <c r="Z36" s="30">
        <f>_xll.qlTenorBasisValue(TenorBasis6M,R36,InterestRatesTrigger)</f>
        <v>1.9156504185445663E-3</v>
      </c>
      <c r="AA36" s="30">
        <f t="shared" si="6"/>
        <v>1.7905896158098992E-4</v>
      </c>
    </row>
    <row r="37" spans="15:27" x14ac:dyDescent="0.2">
      <c r="O37" s="33">
        <v>6</v>
      </c>
      <c r="P37" s="27" t="str">
        <f>_xll.qlPeriodEquivalent(P36&amp;"+"&amp;O37&amp;"M")</f>
        <v>9Y6M</v>
      </c>
      <c r="Q37" s="28">
        <f>_xll.qlCalendarAdvance(Calendar,SettlementDate,P37,"f",,Trigger)</f>
        <v>45635</v>
      </c>
      <c r="R37" s="28">
        <f>_xll.qlInterestRateIndexValueDate(Index,Q37,Trigger)</f>
        <v>45637</v>
      </c>
      <c r="S37" s="28">
        <f>_xll.qlInterestRateIndexMaturity(Index,R37,Trigger)</f>
        <v>45819</v>
      </c>
      <c r="T37" s="30">
        <f>_xll.qlIndexFixing($M$6,Q37,,InterestRatesTrigger)</f>
        <v>1.89369703948984E-2</v>
      </c>
      <c r="U37" s="30">
        <f>_xll.qlIndexFixing(Index,Q37,,InterestRatesTrigger)</f>
        <v>2.0849271627157738E-2</v>
      </c>
      <c r="V37" s="30">
        <f t="shared" si="5"/>
        <v>1.9123012322593384E-3</v>
      </c>
      <c r="W37" s="29">
        <f>_xll.qlDayCounterYearFraction(DayCounter,SettlementDate,R37,,,Trigger)</f>
        <v>9.65</v>
      </c>
      <c r="X37" s="29">
        <f>_xll.qlDayCounterYearFraction(DayCounter,R37,S37)</f>
        <v>0.50555555555555554</v>
      </c>
      <c r="Y37" s="29">
        <f>_xll.qlYieldTSDiscount(Currency&amp;"ON",R37)/(1+U37*X37)</f>
        <v>0.90813158264575089</v>
      </c>
      <c r="Z37" s="30">
        <f>_xll.qlTenorBasisValue(TenorBasis6M,R37,InterestRatesTrigger)</f>
        <v>1.843649870169477E-3</v>
      </c>
      <c r="AA37" s="30">
        <f t="shared" si="6"/>
        <v>6.8651362089861435E-5</v>
      </c>
    </row>
    <row r="38" spans="15:27" x14ac:dyDescent="0.2">
      <c r="O38" s="33">
        <v>6</v>
      </c>
      <c r="P38" s="27" t="str">
        <f>_xll.qlPeriodEquivalent(P37&amp;"+"&amp;O38&amp;"M")</f>
        <v>10Y</v>
      </c>
      <c r="Q38" s="28">
        <f>_xll.qlCalendarAdvance(Calendar,SettlementDate,P38,"f",,Trigger)</f>
        <v>45817</v>
      </c>
      <c r="R38" s="28">
        <f>_xll.qlInterestRateIndexValueDate(Index,Q38,Trigger)</f>
        <v>45819</v>
      </c>
      <c r="S38" s="28">
        <f>_xll.qlInterestRateIndexMaturity(Index,R38,Trigger)</f>
        <v>46002</v>
      </c>
      <c r="T38" s="30">
        <f>_xll.qlIndexFixing($M$6,Q38,,InterestRatesTrigger)</f>
        <v>1.9596020981934126E-2</v>
      </c>
      <c r="U38" s="30">
        <f>_xll.qlIndexFixing(Index,Q38,,InterestRatesTrigger)</f>
        <v>2.1227583645366921E-2</v>
      </c>
      <c r="V38" s="30">
        <f t="shared" si="5"/>
        <v>1.6315626634327944E-3</v>
      </c>
      <c r="W38" s="29">
        <f>_xll.qlDayCounterYearFraction(DayCounter,SettlementDate,R38,,,Trigger)</f>
        <v>10.155555555555555</v>
      </c>
      <c r="X38" s="29">
        <f>_xll.qlDayCounterYearFraction(DayCounter,R38,S38)</f>
        <v>0.5083333333333333</v>
      </c>
      <c r="Y38" s="29">
        <f>_xll.qlYieldTSDiscount(Currency&amp;"ON",R38)/(1+U38*X38)</f>
        <v>0.89929717991201696</v>
      </c>
      <c r="Z38" s="30">
        <f>_xll.qlTenorBasisValue(TenorBasis6M,R38,InterestRatesTrigger)</f>
        <v>1.7717480898115866E-3</v>
      </c>
      <c r="AA38" s="30">
        <f t="shared" si="6"/>
        <v>-1.4018542637879222E-4</v>
      </c>
    </row>
    <row r="39" spans="15:27" x14ac:dyDescent="0.2">
      <c r="O39" s="33">
        <v>6</v>
      </c>
      <c r="P39" s="27" t="str">
        <f>_xll.qlPeriodEquivalent(P38&amp;"+"&amp;O39&amp;"M")</f>
        <v>10Y6M</v>
      </c>
      <c r="Q39" s="28">
        <f>_xll.qlCalendarAdvance(Calendar,SettlementDate,P39,"f",,Trigger)</f>
        <v>45999</v>
      </c>
      <c r="R39" s="28">
        <f>_xll.qlInterestRateIndexValueDate(Index,Q39,Trigger)</f>
        <v>46001</v>
      </c>
      <c r="S39" s="28">
        <f>_xll.qlInterestRateIndexMaturity(Index,R39,Trigger)</f>
        <v>46183</v>
      </c>
      <c r="T39" s="30">
        <f>_xll.qlIndexFixing($M$6,Q39,,InterestRatesTrigger)</f>
        <v>1.9911323941328295E-2</v>
      </c>
      <c r="U39" s="30">
        <f>_xll.qlIndexFixing(Index,Q39,,InterestRatesTrigger)</f>
        <v>2.1505048337042334E-2</v>
      </c>
      <c r="V39" s="30">
        <f t="shared" si="5"/>
        <v>1.5937243957140391E-3</v>
      </c>
      <c r="W39" s="29">
        <f>_xll.qlDayCounterYearFraction(DayCounter,SettlementDate,R39,,,Trigger)</f>
        <v>10.661111111111111</v>
      </c>
      <c r="X39" s="29">
        <f>_xll.qlDayCounterYearFraction(DayCounter,R39,S39)</f>
        <v>0.50555555555555554</v>
      </c>
      <c r="Y39" s="29">
        <f>_xll.qlYieldTSDiscount(Currency&amp;"ON",R39)/(1+U39*X39)</f>
        <v>0.89040453400498609</v>
      </c>
      <c r="Z39" s="30">
        <f>_xll.qlTenorBasisValue(TenorBasis6M,R39,InterestRatesTrigger)</f>
        <v>1.7004046174812736E-3</v>
      </c>
      <c r="AA39" s="30">
        <f t="shared" si="6"/>
        <v>-1.0668022176723441E-4</v>
      </c>
    </row>
    <row r="40" spans="15:27" x14ac:dyDescent="0.2">
      <c r="O40" s="33">
        <v>6</v>
      </c>
      <c r="P40" s="27" t="str">
        <f>_xll.qlPeriodEquivalent(P39&amp;"+"&amp;O40&amp;"M")</f>
        <v>11Y</v>
      </c>
      <c r="Q40" s="28">
        <f>_xll.qlCalendarAdvance(Calendar,SettlementDate,P40,"f",,Trigger)</f>
        <v>46181</v>
      </c>
      <c r="R40" s="28">
        <f>_xll.qlInterestRateIndexValueDate(Index,Q40,Trigger)</f>
        <v>46183</v>
      </c>
      <c r="S40" s="28">
        <f>_xll.qlInterestRateIndexMaturity(Index,R40,Trigger)</f>
        <v>46366</v>
      </c>
      <c r="T40" s="30">
        <f>_xll.qlIndexFixing($M$6,Q40,,InterestRatesTrigger)</f>
        <v>1.9876711834425669E-2</v>
      </c>
      <c r="U40" s="30">
        <f>_xll.qlIndexFixing(Index,Q40,,InterestRatesTrigger)</f>
        <v>2.1658151170555993E-2</v>
      </c>
      <c r="V40" s="30">
        <f t="shared" si="5"/>
        <v>1.7814393361303242E-3</v>
      </c>
      <c r="W40" s="29">
        <f>_xll.qlDayCounterYearFraction(DayCounter,SettlementDate,R40,,,Trigger)</f>
        <v>11.166666666666666</v>
      </c>
      <c r="X40" s="29">
        <f>_xll.qlDayCounterYearFraction(DayCounter,R40,S40)</f>
        <v>0.5083333333333333</v>
      </c>
      <c r="Y40" s="29">
        <f>_xll.qlYieldTSDiscount(Currency&amp;"ON",R40)/(1+U40*X40)</f>
        <v>0.8814108518538456</v>
      </c>
      <c r="Z40" s="30">
        <f>_xll.qlTenorBasisValue(TenorBasis6M,R40,InterestRatesTrigger)</f>
        <v>1.63000364366666E-3</v>
      </c>
      <c r="AA40" s="30">
        <f t="shared" si="6"/>
        <v>1.5143569246366421E-4</v>
      </c>
    </row>
    <row r="41" spans="15:27" x14ac:dyDescent="0.2">
      <c r="O41" s="33">
        <v>6</v>
      </c>
      <c r="P41" s="27" t="str">
        <f>_xll.qlPeriodEquivalent(P40&amp;"+"&amp;O41&amp;"M")</f>
        <v>11Y6M</v>
      </c>
      <c r="Q41" s="28">
        <f>_xll.qlCalendarAdvance(Calendar,SettlementDate,P41,"f",,Trigger)</f>
        <v>46364</v>
      </c>
      <c r="R41" s="28">
        <f>_xll.qlInterestRateIndexValueDate(Index,Q41,Trigger)</f>
        <v>46366</v>
      </c>
      <c r="S41" s="28">
        <f>_xll.qlInterestRateIndexMaturity(Index,R41,Trigger)</f>
        <v>46548</v>
      </c>
      <c r="T41" s="30">
        <f>_xll.qlIndexFixing($M$6,Q41,,InterestRatesTrigger)</f>
        <v>1.9873441331369444E-2</v>
      </c>
      <c r="U41" s="30">
        <f>_xll.qlIndexFixing(Index,Q41,,InterestRatesTrigger)</f>
        <v>2.168264405386815E-2</v>
      </c>
      <c r="V41" s="30">
        <f t="shared" si="5"/>
        <v>1.809202722498706E-3</v>
      </c>
      <c r="W41" s="29">
        <f>_xll.qlDayCounterYearFraction(DayCounter,SettlementDate,R41,,,Trigger)</f>
        <v>11.675000000000001</v>
      </c>
      <c r="X41" s="29">
        <f>_xll.qlDayCounterYearFraction(DayCounter,R41,S41)</f>
        <v>0.50555555555555554</v>
      </c>
      <c r="Y41" s="29">
        <f>_xll.qlYieldTSDiscount(Currency&amp;"ON",R41)/(1+U41*X41)</f>
        <v>0.87263540425056374</v>
      </c>
      <c r="Z41" s="30">
        <f>_xll.qlTenorBasisValue(TenorBasis6M,R41,InterestRatesTrigger)</f>
        <v>1.5604873162703217E-3</v>
      </c>
      <c r="AA41" s="30">
        <f t="shared" si="6"/>
        <v>2.4871540622838431E-4</v>
      </c>
    </row>
    <row r="42" spans="15:27" x14ac:dyDescent="0.2">
      <c r="O42" s="33">
        <v>6</v>
      </c>
      <c r="P42" s="27" t="str">
        <f>_xll.qlPeriodEquivalent(P41&amp;"+"&amp;O42&amp;"M")</f>
        <v>12Y</v>
      </c>
      <c r="Q42" s="28">
        <f>_xll.qlCalendarAdvance(Calendar,SettlementDate,P42,"f",,Trigger)</f>
        <v>46546</v>
      </c>
      <c r="R42" s="28">
        <f>_xll.qlInterestRateIndexValueDate(Index,Q42,Trigger)</f>
        <v>46548</v>
      </c>
      <c r="S42" s="28">
        <f>_xll.qlInterestRateIndexMaturity(Index,R42,Trigger)</f>
        <v>46731</v>
      </c>
      <c r="T42" s="30">
        <f>_xll.qlIndexFixing($M$6,Q42,,InterestRatesTrigger)</f>
        <v>1.9966557270820823E-2</v>
      </c>
      <c r="U42" s="30">
        <f>_xll.qlIndexFixing(Index,Q42,,InterestRatesTrigger)</f>
        <v>2.1599420864639986E-2</v>
      </c>
      <c r="V42" s="30">
        <f t="shared" si="5"/>
        <v>1.6328635938191623E-3</v>
      </c>
      <c r="W42" s="29">
        <f>_xll.qlDayCounterYearFraction(DayCounter,SettlementDate,R42,,,Trigger)</f>
        <v>12.180555555555555</v>
      </c>
      <c r="X42" s="29">
        <f>_xll.qlDayCounterYearFraction(DayCounter,R42,S42)</f>
        <v>0.5083333333333333</v>
      </c>
      <c r="Y42" s="29">
        <f>_xll.qlYieldTSDiscount(Currency&amp;"ON",R42)/(1+U42*X42)</f>
        <v>0.86393981810041964</v>
      </c>
      <c r="Z42" s="30">
        <f>_xll.qlTenorBasisValue(TenorBasis6M,R42,InterestRatesTrigger)</f>
        <v>1.492876552610432E-3</v>
      </c>
      <c r="AA42" s="30">
        <f t="shared" si="6"/>
        <v>1.3998704120873028E-4</v>
      </c>
    </row>
    <row r="43" spans="15:27" x14ac:dyDescent="0.2">
      <c r="O43" s="33">
        <v>6</v>
      </c>
      <c r="P43" s="27" t="str">
        <f>_xll.qlPeriodEquivalent(P42&amp;"+"&amp;O43&amp;"M")</f>
        <v>12Y6M</v>
      </c>
      <c r="Q43" s="28">
        <f>_xll.qlCalendarAdvance(Calendar,SettlementDate,P43,"f",,Trigger)</f>
        <v>46729</v>
      </c>
      <c r="R43" s="28">
        <f>_xll.qlInterestRateIndexValueDate(Index,Q43,Trigger)</f>
        <v>46731</v>
      </c>
      <c r="S43" s="28">
        <f>_xll.qlInterestRateIndexMaturity(Index,R43,Trigger)</f>
        <v>46916</v>
      </c>
      <c r="T43" s="30">
        <f>_xll.qlIndexFixing($M$6,Q43,,InterestRatesTrigger)</f>
        <v>2.0039224253670058E-2</v>
      </c>
      <c r="U43" s="30">
        <f>_xll.qlIndexFixing(Index,Q43,,InterestRatesTrigger)</f>
        <v>2.1478211560950682E-2</v>
      </c>
      <c r="V43" s="30">
        <f t="shared" si="5"/>
        <v>1.4389873072806238E-3</v>
      </c>
      <c r="W43" s="29">
        <f>_xll.qlDayCounterYearFraction(DayCounter,SettlementDate,R43,,,Trigger)</f>
        <v>12.688888888888888</v>
      </c>
      <c r="X43" s="29">
        <f>_xll.qlDayCounterYearFraction(DayCounter,R43,S43)</f>
        <v>0.51388888888888884</v>
      </c>
      <c r="Y43" s="29">
        <f>_xll.qlYieldTSDiscount(Currency&amp;"ON",R43)/(1+U43*X43)</f>
        <v>0.85521040507182211</v>
      </c>
      <c r="Z43" s="30">
        <f>_xll.qlTenorBasisValue(TenorBasis6M,R43,InterestRatesTrigger)</f>
        <v>1.4266401431180828E-3</v>
      </c>
      <c r="AA43" s="30">
        <f t="shared" si="6"/>
        <v>1.2347164162540992E-5</v>
      </c>
    </row>
    <row r="44" spans="15:27" x14ac:dyDescent="0.2">
      <c r="O44" s="33">
        <v>6</v>
      </c>
      <c r="P44" s="27" t="str">
        <f>_xll.qlPeriodEquivalent(P43&amp;"+"&amp;O44&amp;"M")</f>
        <v>13Y</v>
      </c>
      <c r="Q44" s="28">
        <f>_xll.qlCalendarAdvance(Calendar,SettlementDate,P44,"f",,Trigger)</f>
        <v>46912</v>
      </c>
      <c r="R44" s="28">
        <f>_xll.qlInterestRateIndexValueDate(Index,Q44,Trigger)</f>
        <v>46916</v>
      </c>
      <c r="S44" s="28">
        <f>_xll.qlInterestRateIndexMaturity(Index,R44,Trigger)</f>
        <v>47099</v>
      </c>
      <c r="T44" s="30">
        <f>_xll.qlIndexFixing($M$6,Q44,,InterestRatesTrigger)</f>
        <v>2.0059527005044955E-2</v>
      </c>
      <c r="U44" s="30">
        <f>_xll.qlIndexFixing(Index,Q44,,InterestRatesTrigger)</f>
        <v>2.1333805019939155E-2</v>
      </c>
      <c r="V44" s="30">
        <f t="shared" si="5"/>
        <v>1.2742780148942007E-3</v>
      </c>
      <c r="W44" s="29">
        <f>_xll.qlDayCounterYearFraction(DayCounter,SettlementDate,R44,,,Trigger)</f>
        <v>13.202777777777778</v>
      </c>
      <c r="X44" s="29">
        <f>_xll.qlDayCounterYearFraction(DayCounter,R44,S44)</f>
        <v>0.5083333333333333</v>
      </c>
      <c r="Y44" s="29">
        <f>_xll.qlYieldTSDiscount(Currency&amp;"ON",R44)/(1+U44*X44)</f>
        <v>0.84665466706232584</v>
      </c>
      <c r="Z44" s="30">
        <f>_xll.qlTenorBasisValue(TenorBasis6M,R44,InterestRatesTrigger)</f>
        <v>1.3616299892559632E-3</v>
      </c>
      <c r="AA44" s="30">
        <f t="shared" si="6"/>
        <v>-8.7351974361762549E-5</v>
      </c>
    </row>
    <row r="45" spans="15:27" x14ac:dyDescent="0.2">
      <c r="O45" s="33">
        <v>6</v>
      </c>
      <c r="P45" s="27" t="str">
        <f>_xll.qlPeriodEquivalent(P44&amp;"+"&amp;O45&amp;"M")</f>
        <v>13Y6M</v>
      </c>
      <c r="Q45" s="28">
        <f>_xll.qlCalendarAdvance(Calendar,SettlementDate,P45,"f",,Trigger)</f>
        <v>47095</v>
      </c>
      <c r="R45" s="28">
        <f>_xll.qlInterestRateIndexValueDate(Index,Q45,Trigger)</f>
        <v>47099</v>
      </c>
      <c r="S45" s="28">
        <f>_xll.qlInterestRateIndexMaturity(Index,R45,Trigger)</f>
        <v>47281</v>
      </c>
      <c r="T45" s="30">
        <f>_xll.qlIndexFixing($M$6,Q45,,InterestRatesTrigger)</f>
        <v>2.0030567835798103E-2</v>
      </c>
      <c r="U45" s="30">
        <f>_xll.qlIndexFixing(Index,Q45,,InterestRatesTrigger)</f>
        <v>2.1170787648014798E-2</v>
      </c>
      <c r="V45" s="30">
        <f t="shared" si="5"/>
        <v>1.1402198122166946E-3</v>
      </c>
      <c r="W45" s="29">
        <f>_xll.qlDayCounterYearFraction(DayCounter,SettlementDate,R45,,,Trigger)</f>
        <v>13.71111111111111</v>
      </c>
      <c r="X45" s="29">
        <f>_xll.qlDayCounterYearFraction(DayCounter,R45,S45)</f>
        <v>0.50555555555555554</v>
      </c>
      <c r="Y45" s="29">
        <f>_xll.qlYieldTSDiscount(Currency&amp;"ON",R45)/(1+U45*X45)</f>
        <v>0.83822601769183269</v>
      </c>
      <c r="Z45" s="30">
        <f>_xll.qlTenorBasisValue(TenorBasis6M,R45,InterestRatesTrigger)</f>
        <v>1.2993814133056042E-3</v>
      </c>
      <c r="AA45" s="30">
        <f t="shared" si="6"/>
        <v>-1.5916160108890966E-4</v>
      </c>
    </row>
    <row r="46" spans="15:27" x14ac:dyDescent="0.2">
      <c r="O46" s="33">
        <v>6</v>
      </c>
      <c r="P46" s="27" t="str">
        <f>_xll.qlPeriodEquivalent(P45&amp;"+"&amp;O46&amp;"M")</f>
        <v>14Y</v>
      </c>
      <c r="Q46" s="28">
        <f>_xll.qlCalendarAdvance(Calendar,SettlementDate,P46,"f",,Trigger)</f>
        <v>47277</v>
      </c>
      <c r="R46" s="28">
        <f>_xll.qlInterestRateIndexValueDate(Index,Q46,Trigger)</f>
        <v>47281</v>
      </c>
      <c r="S46" s="28">
        <f>_xll.qlInterestRateIndexMaturity(Index,R46,Trigger)</f>
        <v>47464</v>
      </c>
      <c r="T46" s="30">
        <f>_xll.qlIndexFixing($M$6,Q46,,InterestRatesTrigger)</f>
        <v>1.9953258519079028E-2</v>
      </c>
      <c r="U46" s="30">
        <f>_xll.qlIndexFixing(Index,Q46,,InterestRatesTrigger)</f>
        <v>2.098865615861855E-2</v>
      </c>
      <c r="V46" s="30">
        <f t="shared" si="5"/>
        <v>1.0353976395395224E-3</v>
      </c>
      <c r="W46" s="29">
        <f>_xll.qlDayCounterYearFraction(DayCounter,SettlementDate,R46,,,Trigger)</f>
        <v>14.216666666666667</v>
      </c>
      <c r="X46" s="29">
        <f>_xll.qlDayCounterYearFraction(DayCounter,R46,S46)</f>
        <v>0.5083333333333333</v>
      </c>
      <c r="Y46" s="29">
        <f>_xll.qlYieldTSDiscount(Currency&amp;"ON",R46)/(1+U46*X46)</f>
        <v>0.82985049567949687</v>
      </c>
      <c r="Z46" s="30">
        <f>_xll.qlTenorBasisValue(TenorBasis6M,R46,InterestRatesTrigger)</f>
        <v>1.2395978820515588E-3</v>
      </c>
      <c r="AA46" s="30">
        <f t="shared" si="6"/>
        <v>-2.0420024251203636E-4</v>
      </c>
    </row>
    <row r="47" spans="15:27" x14ac:dyDescent="0.2">
      <c r="O47" s="33">
        <v>6</v>
      </c>
      <c r="P47" s="27" t="str">
        <f>_xll.qlPeriodEquivalent(P46&amp;"+"&amp;O47&amp;"M")</f>
        <v>14Y6M</v>
      </c>
      <c r="Q47" s="28">
        <f>_xll.qlCalendarAdvance(Calendar,SettlementDate,P47,"f",,Trigger)</f>
        <v>47462</v>
      </c>
      <c r="R47" s="28">
        <f>_xll.qlInterestRateIndexValueDate(Index,Q47,Trigger)</f>
        <v>47464</v>
      </c>
      <c r="S47" s="28">
        <f>_xll.qlInterestRateIndexMaturity(Index,R47,Trigger)</f>
        <v>47646</v>
      </c>
      <c r="T47" s="30">
        <f>_xll.qlIndexFixing($M$6,Q47,,InterestRatesTrigger)</f>
        <v>1.982548484882788E-2</v>
      </c>
      <c r="U47" s="30">
        <f>_xll.qlIndexFixing(Index,Q47,,InterestRatesTrigger)</f>
        <v>2.0784994471726985E-2</v>
      </c>
      <c r="V47" s="30">
        <f t="shared" si="5"/>
        <v>9.5950962289910458E-4</v>
      </c>
      <c r="W47" s="29">
        <f>_xll.qlDayCounterYearFraction(DayCounter,SettlementDate,R47,,,Trigger)</f>
        <v>14.725</v>
      </c>
      <c r="X47" s="29">
        <f>_xll.qlDayCounterYearFraction(DayCounter,R47,S47)</f>
        <v>0.50555555555555554</v>
      </c>
      <c r="Y47" s="29">
        <f>_xll.qlYieldTSDiscount(Currency&amp;"ON",R47)/(1+U47*X47)</f>
        <v>0.82164902006657536</v>
      </c>
      <c r="Z47" s="30">
        <f>_xll.qlTenorBasisValue(TenorBasis6M,R47,InterestRatesTrigger)</f>
        <v>1.1816876264748211E-3</v>
      </c>
      <c r="AA47" s="30">
        <f t="shared" si="6"/>
        <v>-2.221780035757165E-4</v>
      </c>
    </row>
    <row r="48" spans="15:27" x14ac:dyDescent="0.2">
      <c r="O48" s="33">
        <v>6</v>
      </c>
      <c r="P48" s="27" t="str">
        <f>_xll.qlPeriodEquivalent(P47&amp;"+"&amp;O48&amp;"M")</f>
        <v>15Y</v>
      </c>
      <c r="Q48" s="28">
        <f>_xll.qlCalendarAdvance(Calendar,SettlementDate,P48,"f",,Trigger)</f>
        <v>47644</v>
      </c>
      <c r="R48" s="28">
        <f>_xll.qlInterestRateIndexValueDate(Index,Q48,Trigger)</f>
        <v>47646</v>
      </c>
      <c r="S48" s="28">
        <f>_xll.qlInterestRateIndexMaturity(Index,R48,Trigger)</f>
        <v>47829</v>
      </c>
      <c r="T48" s="30">
        <f>_xll.qlIndexFixing($M$6,Q48,,InterestRatesTrigger)</f>
        <v>1.9655644776086102E-2</v>
      </c>
      <c r="U48" s="30">
        <f>_xll.qlIndexFixing(Index,Q48,,InterestRatesTrigger)</f>
        <v>2.0564205848535525E-2</v>
      </c>
      <c r="V48" s="30">
        <f t="shared" si="5"/>
        <v>9.0856107244942363E-4</v>
      </c>
      <c r="W48" s="29">
        <f>_xll.qlDayCounterYearFraction(DayCounter,SettlementDate,R48,,,Trigger)</f>
        <v>15.230555555555556</v>
      </c>
      <c r="X48" s="29">
        <f>_xll.qlDayCounterYearFraction(DayCounter,R48,S48)</f>
        <v>0.5083333333333333</v>
      </c>
      <c r="Y48" s="29">
        <f>_xll.qlYieldTSDiscount(Currency&amp;"ON",R48)/(1+U48*X48)</f>
        <v>0.81353932485976044</v>
      </c>
      <c r="Z48" s="30">
        <f>_xll.qlTenorBasisValue(TenorBasis6M,R48,InterestRatesTrigger)</f>
        <v>1.1263236182580143E-3</v>
      </c>
      <c r="AA48" s="30">
        <f t="shared" si="6"/>
        <v>-2.1776254580859063E-4</v>
      </c>
    </row>
    <row r="49" spans="15:27" x14ac:dyDescent="0.2">
      <c r="O49" s="33">
        <v>6</v>
      </c>
      <c r="P49" s="27" t="str">
        <f>_xll.qlPeriodEquivalent(P48&amp;"+"&amp;O49&amp;"M")</f>
        <v>15Y6M</v>
      </c>
      <c r="Q49" s="28">
        <f>_xll.qlCalendarAdvance(Calendar,SettlementDate,P49,"f",,Trigger)</f>
        <v>47826</v>
      </c>
      <c r="R49" s="28">
        <f>_xll.qlInterestRateIndexValueDate(Index,Q49,Trigger)</f>
        <v>47828</v>
      </c>
      <c r="S49" s="28">
        <f>_xll.qlInterestRateIndexMaturity(Index,R49,Trigger)</f>
        <v>48010</v>
      </c>
      <c r="T49" s="30">
        <f>_xll.qlIndexFixing($M$6,Q49,,InterestRatesTrigger)</f>
        <v>1.9466938173671837E-2</v>
      </c>
      <c r="U49" s="30">
        <f>_xll.qlIndexFixing(Index,Q49,,InterestRatesTrigger)</f>
        <v>2.0333026767098208E-2</v>
      </c>
      <c r="V49" s="30">
        <f t="shared" si="5"/>
        <v>8.6608859342637151E-4</v>
      </c>
      <c r="W49" s="29">
        <f>_xll.qlDayCounterYearFraction(DayCounter,SettlementDate,R49,,,Trigger)</f>
        <v>15.736111111111111</v>
      </c>
      <c r="X49" s="29">
        <f>_xll.qlDayCounterYearFraction(DayCounter,R49,S49)</f>
        <v>0.50555555555555554</v>
      </c>
      <c r="Y49" s="29">
        <f>_xll.qlYieldTSDiscount(Currency&amp;"ON",R49)/(1+U49*X49)</f>
        <v>0.80567345563935</v>
      </c>
      <c r="Z49" s="30">
        <f>_xll.qlTenorBasisValue(TenorBasis6M,R49,InterestRatesTrigger)</f>
        <v>1.0732022878334208E-3</v>
      </c>
      <c r="AA49" s="30">
        <f t="shared" si="6"/>
        <v>-2.0711369440704931E-4</v>
      </c>
    </row>
    <row r="50" spans="15:27" x14ac:dyDescent="0.2">
      <c r="O50" s="33">
        <v>6</v>
      </c>
      <c r="P50" s="27" t="str">
        <f>_xll.qlPeriodEquivalent(P49&amp;"+"&amp;O50&amp;"M")</f>
        <v>16Y</v>
      </c>
      <c r="Q50" s="28">
        <f>_xll.qlCalendarAdvance(Calendar,SettlementDate,P50,"f",,Trigger)</f>
        <v>48008</v>
      </c>
      <c r="R50" s="28">
        <f>_xll.qlInterestRateIndexValueDate(Index,Q50,Trigger)</f>
        <v>48010</v>
      </c>
      <c r="S50" s="28">
        <f>_xll.qlInterestRateIndexMaturity(Index,R50,Trigger)</f>
        <v>48193</v>
      </c>
      <c r="T50" s="30">
        <f>_xll.qlIndexFixing($M$6,Q50,,InterestRatesTrigger)</f>
        <v>1.9265216153675619E-2</v>
      </c>
      <c r="U50" s="30">
        <f>_xll.qlIndexFixing(Index,Q50,,InterestRatesTrigger)</f>
        <v>2.0093089069257334E-2</v>
      </c>
      <c r="V50" s="30">
        <f t="shared" si="5"/>
        <v>8.2787291558171494E-4</v>
      </c>
      <c r="W50" s="29">
        <f>_xll.qlDayCounterYearFraction(DayCounter,SettlementDate,R50,,,Trigger)</f>
        <v>16.241666666666667</v>
      </c>
      <c r="X50" s="29">
        <f>_xll.qlDayCounterYearFraction(DayCounter,R50,S50)</f>
        <v>0.5083333333333333</v>
      </c>
      <c r="Y50" s="29">
        <f>_xll.qlYieldTSDiscount(Currency&amp;"ON",R50)/(1+U50*X50)</f>
        <v>0.79787331887234336</v>
      </c>
      <c r="Z50" s="30">
        <f>_xll.qlTenorBasisValue(TenorBasis6M,R50,InterestRatesTrigger)</f>
        <v>1.0223247963779291E-3</v>
      </c>
      <c r="AA50" s="30">
        <f t="shared" si="6"/>
        <v>-1.9445188079621418E-4</v>
      </c>
    </row>
    <row r="51" spans="15:27" x14ac:dyDescent="0.2">
      <c r="O51" s="33">
        <v>6</v>
      </c>
      <c r="P51" s="27" t="str">
        <f>_xll.qlPeriodEquivalent(P50&amp;"+"&amp;O51&amp;"M")</f>
        <v>16Y6M</v>
      </c>
      <c r="Q51" s="28">
        <f>_xll.qlCalendarAdvance(Calendar,SettlementDate,P51,"f",,Trigger)</f>
        <v>48190</v>
      </c>
      <c r="R51" s="28">
        <f>_xll.qlInterestRateIndexValueDate(Index,Q51,Trigger)</f>
        <v>48192</v>
      </c>
      <c r="S51" s="28">
        <f>_xll.qlInterestRateIndexMaturity(Index,R51,Trigger)</f>
        <v>48375</v>
      </c>
      <c r="T51" s="30">
        <f>_xll.qlIndexFixing($M$6,Q51,,InterestRatesTrigger)</f>
        <v>1.9050535465715904E-2</v>
      </c>
      <c r="U51" s="30">
        <f>_xll.qlIndexFixing(Index,Q51,,InterestRatesTrigger)</f>
        <v>1.9844632290202901E-2</v>
      </c>
      <c r="V51" s="30">
        <f t="shared" si="5"/>
        <v>7.9409682448699712E-4</v>
      </c>
      <c r="W51" s="29">
        <f>_xll.qlDayCounterYearFraction(DayCounter,SettlementDate,R51,,,Trigger)</f>
        <v>16.747222222222224</v>
      </c>
      <c r="X51" s="29">
        <f>_xll.qlDayCounterYearFraction(DayCounter,R51,S51)</f>
        <v>0.5083333333333333</v>
      </c>
      <c r="Y51" s="29">
        <f>_xll.qlYieldTSDiscount(Currency&amp;"ON",R51)/(1+U51*X51)</f>
        <v>0.79027605543372059</v>
      </c>
      <c r="Z51" s="30">
        <f>_xll.qlTenorBasisValue(TenorBasis6M,R51,InterestRatesTrigger)</f>
        <v>9.7367730247293271E-4</v>
      </c>
      <c r="AA51" s="30">
        <f t="shared" si="6"/>
        <v>-1.7958047798593559E-4</v>
      </c>
    </row>
    <row r="52" spans="15:27" x14ac:dyDescent="0.2">
      <c r="O52" s="33">
        <v>6</v>
      </c>
      <c r="P52" s="27" t="str">
        <f>_xll.qlPeriodEquivalent(P51&amp;"+"&amp;O52&amp;"M")</f>
        <v>17Y</v>
      </c>
      <c r="Q52" s="28">
        <f>_xll.qlCalendarAdvance(Calendar,SettlementDate,P52,"f",,Trigger)</f>
        <v>48373</v>
      </c>
      <c r="R52" s="28">
        <f>_xll.qlInterestRateIndexValueDate(Index,Q52,Trigger)</f>
        <v>48375</v>
      </c>
      <c r="S52" s="28">
        <f>_xll.qlInterestRateIndexMaturity(Index,R52,Trigger)</f>
        <v>48558</v>
      </c>
      <c r="T52" s="30">
        <f>_xll.qlIndexFixing($M$6,Q52,,InterestRatesTrigger)</f>
        <v>1.8821596059569696E-2</v>
      </c>
      <c r="U52" s="30">
        <f>_xll.qlIndexFixing(Index,Q52,,InterestRatesTrigger)</f>
        <v>1.9586144751379007E-2</v>
      </c>
      <c r="V52" s="30">
        <f t="shared" si="5"/>
        <v>7.6454869180931154E-4</v>
      </c>
      <c r="W52" s="29">
        <f>_xll.qlDayCounterYearFraction(DayCounter,SettlementDate,R52,,,Trigger)</f>
        <v>17.255555555555556</v>
      </c>
      <c r="X52" s="29">
        <f>_xll.qlDayCounterYearFraction(DayCounter,R52,S52)</f>
        <v>0.5083333333333333</v>
      </c>
      <c r="Y52" s="29">
        <f>_xll.qlYieldTSDiscount(Currency&amp;"ON",R52)/(1+U52*X52)</f>
        <v>0.78279823681988758</v>
      </c>
      <c r="Z52" s="30">
        <f>_xll.qlTenorBasisValue(TenorBasis6M,R52,InterestRatesTrigger)</f>
        <v>9.2698423002575349E-4</v>
      </c>
      <c r="AA52" s="30">
        <f t="shared" si="6"/>
        <v>-1.6243553821644195E-4</v>
      </c>
    </row>
    <row r="53" spans="15:27" x14ac:dyDescent="0.2">
      <c r="O53" s="33">
        <v>6</v>
      </c>
      <c r="P53" s="27" t="str">
        <f>_xll.qlPeriodEquivalent(P52&amp;"+"&amp;O53&amp;"M")</f>
        <v>17Y6M</v>
      </c>
      <c r="Q53" s="28">
        <f>_xll.qlCalendarAdvance(Calendar,SettlementDate,P53,"f",,Trigger)</f>
        <v>48556</v>
      </c>
      <c r="R53" s="28">
        <f>_xll.qlInterestRateIndexValueDate(Index,Q53,Trigger)</f>
        <v>48558</v>
      </c>
      <c r="S53" s="28">
        <f>_xll.qlInterestRateIndexMaturity(Index,R53,Trigger)</f>
        <v>48740</v>
      </c>
      <c r="T53" s="30">
        <f>_xll.qlIndexFixing($M$6,Q53,,InterestRatesTrigger)</f>
        <v>1.8579753391697314E-2</v>
      </c>
      <c r="U53" s="30">
        <f>_xll.qlIndexFixing(Index,Q53,,InterestRatesTrigger)</f>
        <v>1.9319200317572723E-2</v>
      </c>
      <c r="V53" s="30">
        <f t="shared" si="5"/>
        <v>7.3944692587540883E-4</v>
      </c>
      <c r="W53" s="29">
        <f>_xll.qlDayCounterYearFraction(DayCounter,SettlementDate,R53,,,Trigger)</f>
        <v>17.763888888888889</v>
      </c>
      <c r="X53" s="29">
        <f>_xll.qlDayCounterYearFraction(DayCounter,R53,S53)</f>
        <v>0.50555555555555554</v>
      </c>
      <c r="Y53" s="29">
        <f>_xll.qlYieldTSDiscount(Currency&amp;"ON",R53)/(1+U53*X53)</f>
        <v>0.77552508621592076</v>
      </c>
      <c r="Z53" s="30">
        <f>_xll.qlTenorBasisValue(TenorBasis6M,R53,InterestRatesTrigger)</f>
        <v>8.8248152983889472E-4</v>
      </c>
      <c r="AA53" s="30">
        <f t="shared" si="6"/>
        <v>-1.4303460396348589E-4</v>
      </c>
    </row>
    <row r="54" spans="15:27" x14ac:dyDescent="0.2">
      <c r="O54" s="33">
        <v>6</v>
      </c>
      <c r="P54" s="27" t="str">
        <f>_xll.qlPeriodEquivalent(P53&amp;"+"&amp;O54&amp;"M")</f>
        <v>18Y</v>
      </c>
      <c r="Q54" s="28">
        <f>_xll.qlCalendarAdvance(Calendar,SettlementDate,P54,"f",,Trigger)</f>
        <v>48738</v>
      </c>
      <c r="R54" s="28">
        <f>_xll.qlInterestRateIndexValueDate(Index,Q54,Trigger)</f>
        <v>48740</v>
      </c>
      <c r="S54" s="28">
        <f>_xll.qlInterestRateIndexMaturity(Index,R54,Trigger)</f>
        <v>48925</v>
      </c>
      <c r="T54" s="30">
        <f>_xll.qlIndexFixing($M$6,Q54,,InterestRatesTrigger)</f>
        <v>1.8325308534197206E-2</v>
      </c>
      <c r="U54" s="30">
        <f>_xll.qlIndexFixing(Index,Q54,,InterestRatesTrigger)</f>
        <v>1.904411145503402E-2</v>
      </c>
      <c r="V54" s="30">
        <f t="shared" si="5"/>
        <v>7.1880292083681407E-4</v>
      </c>
      <c r="W54" s="29">
        <f>_xll.qlDayCounterYearFraction(DayCounter,SettlementDate,R54,,,Trigger)</f>
        <v>18.269444444444446</v>
      </c>
      <c r="X54" s="29">
        <f>_xll.qlDayCounterYearFraction(DayCounter,R54,S54)</f>
        <v>0.51388888888888884</v>
      </c>
      <c r="Y54" s="29">
        <f>_xll.qlYieldTSDiscount(Currency&amp;"ON",R54)/(1+U54*X54)</f>
        <v>0.76829335711428892</v>
      </c>
      <c r="Z54" s="30">
        <f>_xll.qlTenorBasisValue(TenorBasis6M,R54,InterestRatesTrigger)</f>
        <v>8.4034870610408946E-4</v>
      </c>
      <c r="AA54" s="30">
        <f t="shared" si="6"/>
        <v>-1.2154578526727539E-4</v>
      </c>
    </row>
    <row r="55" spans="15:27" x14ac:dyDescent="0.2">
      <c r="O55" s="33">
        <v>6</v>
      </c>
      <c r="P55" s="27" t="str">
        <f>_xll.qlPeriodEquivalent(P54&amp;"+"&amp;O55&amp;"M")</f>
        <v>18Y6M</v>
      </c>
      <c r="Q55" s="28">
        <f>_xll.qlCalendarAdvance(Calendar,SettlementDate,P55,"f",,Trigger)</f>
        <v>48921</v>
      </c>
      <c r="R55" s="28">
        <f>_xll.qlInterestRateIndexValueDate(Index,Q55,Trigger)</f>
        <v>48925</v>
      </c>
      <c r="S55" s="28">
        <f>_xll.qlInterestRateIndexMaturity(Index,R55,Trigger)</f>
        <v>49107</v>
      </c>
      <c r="T55" s="30">
        <f>_xll.qlIndexFixing($M$6,Q55,,InterestRatesTrigger)</f>
        <v>1.8054938268836373E-2</v>
      </c>
      <c r="U55" s="30">
        <f>_xll.qlIndexFixing(Index,Q55,,InterestRatesTrigger)</f>
        <v>1.875730806082734E-2</v>
      </c>
      <c r="V55" s="30">
        <f t="shared" si="5"/>
        <v>7.0236979199096716E-4</v>
      </c>
      <c r="W55" s="29">
        <f>_xll.qlDayCounterYearFraction(DayCounter,SettlementDate,R55,,,Trigger)</f>
        <v>18.783333333333335</v>
      </c>
      <c r="X55" s="29">
        <f>_xll.qlDayCounterYearFraction(DayCounter,R55,S55)</f>
        <v>0.50555555555555554</v>
      </c>
      <c r="Y55" s="29">
        <f>_xll.qlYieldTSDiscount(Currency&amp;"ON",R55)/(1+U55*X55)</f>
        <v>0.76135468453517652</v>
      </c>
      <c r="Z55" s="30">
        <f>_xll.qlTenorBasisValue(TenorBasis6M,R55,InterestRatesTrigger)</f>
        <v>7.9964085303111136E-4</v>
      </c>
      <c r="AA55" s="30">
        <f t="shared" si="6"/>
        <v>-9.7271061040144196E-5</v>
      </c>
    </row>
    <row r="56" spans="15:27" x14ac:dyDescent="0.2">
      <c r="O56" s="33">
        <v>6</v>
      </c>
      <c r="P56" s="27" t="str">
        <f>_xll.qlPeriodEquivalent(P55&amp;"+"&amp;O56&amp;"M")</f>
        <v>19Y</v>
      </c>
      <c r="Q56" s="28">
        <f>_xll.qlCalendarAdvance(Calendar,SettlementDate,P56,"f",,Trigger)</f>
        <v>49103</v>
      </c>
      <c r="R56" s="28">
        <f>_xll.qlInterestRateIndexValueDate(Index,Q56,Trigger)</f>
        <v>49107</v>
      </c>
      <c r="S56" s="28">
        <f>_xll.qlInterestRateIndexMaturity(Index,R56,Trigger)</f>
        <v>49290</v>
      </c>
      <c r="T56" s="30">
        <f>_xll.qlIndexFixing($M$6,Q56,,InterestRatesTrigger)</f>
        <v>1.7774783187072374E-2</v>
      </c>
      <c r="U56" s="30">
        <f>_xll.qlIndexFixing(Index,Q56,,InterestRatesTrigger)</f>
        <v>1.8465370691435258E-2</v>
      </c>
      <c r="V56" s="30">
        <f t="shared" si="5"/>
        <v>6.9058750436288424E-4</v>
      </c>
      <c r="W56" s="29">
        <f>_xll.qlDayCounterYearFraction(DayCounter,SettlementDate,R56,,,Trigger)</f>
        <v>19.288888888888888</v>
      </c>
      <c r="X56" s="29">
        <f>_xll.qlDayCounterYearFraction(DayCounter,R56,S56)</f>
        <v>0.5083333333333333</v>
      </c>
      <c r="Y56" s="29">
        <f>_xll.qlYieldTSDiscount(Currency&amp;"ON",R56)/(1+U56*X56)</f>
        <v>0.75454004827417565</v>
      </c>
      <c r="Z56" s="30">
        <f>_xll.qlTenorBasisValue(TenorBasis6M,R56,InterestRatesTrigger)</f>
        <v>7.6161948658395135E-4</v>
      </c>
      <c r="AA56" s="30">
        <f t="shared" si="6"/>
        <v>-7.1031982221067113E-5</v>
      </c>
    </row>
    <row r="57" spans="15:27" x14ac:dyDescent="0.2">
      <c r="O57" s="33">
        <v>6</v>
      </c>
      <c r="P57" s="27" t="str">
        <f>_xll.qlPeriodEquivalent(P56&amp;"+"&amp;O57&amp;"M")</f>
        <v>19Y6M</v>
      </c>
      <c r="Q57" s="28">
        <f>_xll.qlCalendarAdvance(Calendar,SettlementDate,P57,"f",,Trigger)</f>
        <v>49286</v>
      </c>
      <c r="R57" s="28">
        <f>_xll.qlInterestRateIndexValueDate(Index,Q57,Trigger)</f>
        <v>49290</v>
      </c>
      <c r="S57" s="28">
        <f>_xll.qlInterestRateIndexMaturity(Index,R57,Trigger)</f>
        <v>49472</v>
      </c>
      <c r="T57" s="30">
        <f>_xll.qlIndexFixing($M$6,Q57,,InterestRatesTrigger)</f>
        <v>1.7480747282825216E-2</v>
      </c>
      <c r="U57" s="30">
        <f>_xll.qlIndexFixing(Index,Q57,,InterestRatesTrigger)</f>
        <v>1.8163873423711039E-2</v>
      </c>
      <c r="V57" s="30">
        <f t="shared" si="5"/>
        <v>6.8312614088582302E-4</v>
      </c>
      <c r="W57" s="29">
        <f>_xll.qlDayCounterYearFraction(DayCounter,SettlementDate,R57,,,Trigger)</f>
        <v>19.797222222222221</v>
      </c>
      <c r="X57" s="29">
        <f>_xll.qlDayCounterYearFraction(DayCounter,R57,S57)</f>
        <v>0.50555555555555554</v>
      </c>
      <c r="Y57" s="29">
        <f>_xll.qlYieldTSDiscount(Currency&amp;"ON",R57)/(1+U57*X57)</f>
        <v>0.74793438948554292</v>
      </c>
      <c r="Z57" s="30">
        <f>_xll.qlTenorBasisValue(TenorBasis6M,R57,InterestRatesTrigger)</f>
        <v>7.2535242637105507E-4</v>
      </c>
      <c r="AA57" s="30">
        <f t="shared" si="6"/>
        <v>-4.2226285485232051E-5</v>
      </c>
    </row>
    <row r="58" spans="15:27" x14ac:dyDescent="0.2">
      <c r="O58" s="33">
        <v>6</v>
      </c>
      <c r="P58" s="27" t="str">
        <f>_xll.qlPeriodEquivalent(P57&amp;"+"&amp;O58&amp;"M")</f>
        <v>20Y</v>
      </c>
      <c r="Q58" s="28">
        <f>_xll.qlCalendarAdvance(Calendar,SettlementDate,P58,"f",,Trigger)</f>
        <v>49468</v>
      </c>
      <c r="R58" s="28">
        <f>_xll.qlInterestRateIndexValueDate(Index,Q58,Trigger)</f>
        <v>49472</v>
      </c>
      <c r="S58" s="28">
        <f>_xll.qlInterestRateIndexMaturity(Index,R58,Trigger)</f>
        <v>49655</v>
      </c>
      <c r="T58" s="30">
        <f>_xll.qlIndexFixing($M$6,Q58,,InterestRatesTrigger)</f>
        <v>1.7182592472444178E-2</v>
      </c>
      <c r="U58" s="30">
        <f>_xll.qlIndexFixing(Index,Q58,,InterestRatesTrigger)</f>
        <v>1.7861434654066002E-2</v>
      </c>
      <c r="V58" s="30">
        <f t="shared" si="5"/>
        <v>6.7884218162182416E-4</v>
      </c>
      <c r="W58" s="29">
        <f>_xll.qlDayCounterYearFraction(DayCounter,SettlementDate,R58,,,Trigger)</f>
        <v>20.302777777777777</v>
      </c>
      <c r="X58" s="29">
        <f>_xll.qlDayCounterYearFraction(DayCounter,R58,S58)</f>
        <v>0.5083333333333333</v>
      </c>
      <c r="Y58" s="29">
        <f>_xll.qlYieldTSDiscount(Currency&amp;"ON",R58)/(1+U58*X58)</f>
        <v>0.74145831480259528</v>
      </c>
      <c r="Z58" s="30">
        <f>_xll.qlTenorBasisValue(TenorBasis6M,R58,InterestRatesTrigger)</f>
        <v>6.911703528310251E-4</v>
      </c>
      <c r="AA58" s="30">
        <f t="shared" si="6"/>
        <v>-1.2328171209200931E-5</v>
      </c>
    </row>
    <row r="59" spans="15:27" x14ac:dyDescent="0.2">
      <c r="O59" s="33">
        <v>6</v>
      </c>
      <c r="P59" s="27" t="str">
        <f>_xll.qlPeriodEquivalent(P58&amp;"+"&amp;O59&amp;"M")</f>
        <v>20Y6M</v>
      </c>
      <c r="Q59" s="28">
        <f>_xll.qlCalendarAdvance(Calendar,SettlementDate,P59,"f",,Trigger)</f>
        <v>49653</v>
      </c>
      <c r="R59" s="28">
        <f>_xll.qlInterestRateIndexValueDate(Index,Q59,Trigger)</f>
        <v>49655</v>
      </c>
      <c r="S59" s="28">
        <f>_xll.qlInterestRateIndexMaturity(Index,R59,Trigger)</f>
        <v>49838</v>
      </c>
      <c r="T59" s="30">
        <f>_xll.qlIndexFixing($M$6,Q59,,InterestRatesTrigger)</f>
        <v>1.6908362788065089E-2</v>
      </c>
      <c r="U59" s="30">
        <f>_xll.qlIndexFixing(Index,Q59,,InterestRatesTrigger)</f>
        <v>1.7581181065635922E-2</v>
      </c>
      <c r="V59" s="30">
        <f t="shared" si="5"/>
        <v>6.7281827757083301E-4</v>
      </c>
      <c r="W59" s="29">
        <f>_xll.qlDayCounterYearFraction(DayCounter,SettlementDate,R59,,,Trigger)</f>
        <v>20.81111111111111</v>
      </c>
      <c r="X59" s="29">
        <f>_xll.qlDayCounterYearFraction(DayCounter,R59,S59)</f>
        <v>0.5083333333333333</v>
      </c>
      <c r="Y59" s="29">
        <f>_xll.qlYieldTSDiscount(Currency&amp;"ON",R59)/(1+U59*X59)</f>
        <v>0.73514192321479843</v>
      </c>
      <c r="Z59" s="30">
        <f>_xll.qlTenorBasisValue(TenorBasis6M,R59,InterestRatesTrigger)</f>
        <v>6.5862921103342585E-4</v>
      </c>
      <c r="AA59" s="30">
        <f t="shared" si="6"/>
        <v>1.4189066537407158E-5</v>
      </c>
    </row>
    <row r="60" spans="15:27" x14ac:dyDescent="0.2">
      <c r="O60" s="33">
        <v>6</v>
      </c>
      <c r="P60" s="27" t="str">
        <f>_xll.qlPeriodEquivalent(P59&amp;"+"&amp;O60&amp;"M")</f>
        <v>21Y</v>
      </c>
      <c r="Q60" s="28">
        <f>_xll.qlCalendarAdvance(Calendar,SettlementDate,P60,"f",,Trigger)</f>
        <v>49835</v>
      </c>
      <c r="R60" s="28">
        <f>_xll.qlInterestRateIndexValueDate(Index,Q60,Trigger)</f>
        <v>49837</v>
      </c>
      <c r="S60" s="28">
        <f>_xll.qlInterestRateIndexMaturity(Index,R60,Trigger)</f>
        <v>50020</v>
      </c>
      <c r="T60" s="30">
        <f>_xll.qlIndexFixing($M$6,Q60,,InterestRatesTrigger)</f>
        <v>1.6667588963517565E-2</v>
      </c>
      <c r="U60" s="30">
        <f>_xll.qlIndexFixing(Index,Q60,,InterestRatesTrigger)</f>
        <v>1.7331621776412207E-2</v>
      </c>
      <c r="V60" s="30">
        <f t="shared" si="5"/>
        <v>6.6403281289464239E-4</v>
      </c>
      <c r="W60" s="29">
        <f>_xll.qlDayCounterYearFraction(DayCounter,SettlementDate,R60,,,Trigger)</f>
        <v>21.316666666666666</v>
      </c>
      <c r="X60" s="29">
        <f>_xll.qlDayCounterYearFraction(DayCounter,R60,S60)</f>
        <v>0.5083333333333333</v>
      </c>
      <c r="Y60" s="29">
        <f>_xll.qlYieldTSDiscount(Currency&amp;"ON",R60)/(1+U60*X60)</f>
        <v>0.72900265986272816</v>
      </c>
      <c r="Z60" s="30">
        <f>_xll.qlTenorBasisValue(TenorBasis6M,R60,InterestRatesTrigger)</f>
        <v>6.2801526569332986E-4</v>
      </c>
      <c r="AA60" s="30">
        <f t="shared" si="6"/>
        <v>3.6017547201312532E-5</v>
      </c>
    </row>
    <row r="61" spans="15:27" x14ac:dyDescent="0.2">
      <c r="O61" s="33">
        <v>6</v>
      </c>
      <c r="P61" s="27" t="str">
        <f>_xll.qlPeriodEquivalent(P60&amp;"+"&amp;O61&amp;"M")</f>
        <v>21Y6M</v>
      </c>
      <c r="Q61" s="28">
        <f>_xll.qlCalendarAdvance(Calendar,SettlementDate,P61,"f",,Trigger)</f>
        <v>50017</v>
      </c>
      <c r="R61" s="28">
        <f>_xll.qlInterestRateIndexValueDate(Index,Q61,Trigger)</f>
        <v>50019</v>
      </c>
      <c r="S61" s="28">
        <f>_xll.qlInterestRateIndexMaturity(Index,R61,Trigger)</f>
        <v>50201</v>
      </c>
      <c r="T61" s="30">
        <f>_xll.qlIndexFixing($M$6,Q61,,InterestRatesTrigger)</f>
        <v>1.6458813797187857E-2</v>
      </c>
      <c r="U61" s="30">
        <f>_xll.qlIndexFixing(Index,Q61,,InterestRatesTrigger)</f>
        <v>1.711128155062646E-2</v>
      </c>
      <c r="V61" s="30">
        <f t="shared" si="5"/>
        <v>6.524677534386035E-4</v>
      </c>
      <c r="W61" s="29">
        <f>_xll.qlDayCounterYearFraction(DayCounter,SettlementDate,R61,,,Trigger)</f>
        <v>21.822222222222223</v>
      </c>
      <c r="X61" s="29">
        <f>_xll.qlDayCounterYearFraction(DayCounter,R61,S61)</f>
        <v>0.50555555555555554</v>
      </c>
      <c r="Y61" s="29">
        <f>_xll.qlYieldTSDiscount(Currency&amp;"ON",R61)/(1+U61*X61)</f>
        <v>0.72302539038567282</v>
      </c>
      <c r="Z61" s="30">
        <f>_xll.qlTenorBasisValue(TenorBasis6M,R61,InterestRatesTrigger)</f>
        <v>5.9907596053538693E-4</v>
      </c>
      <c r="AA61" s="30">
        <f t="shared" si="6"/>
        <v>5.3391792903216572E-5</v>
      </c>
    </row>
    <row r="62" spans="15:27" x14ac:dyDescent="0.2">
      <c r="O62" s="33">
        <v>6</v>
      </c>
      <c r="P62" s="27" t="str">
        <f>_xll.qlPeriodEquivalent(P61&amp;"+"&amp;O62&amp;"M")</f>
        <v>22Y</v>
      </c>
      <c r="Q62" s="28">
        <f>_xll.qlCalendarAdvance(Calendar,SettlementDate,P62,"f",,Trigger)</f>
        <v>50199</v>
      </c>
      <c r="R62" s="28">
        <f>_xll.qlInterestRateIndexValueDate(Index,Q62,Trigger)</f>
        <v>50201</v>
      </c>
      <c r="S62" s="28">
        <f>_xll.qlInterestRateIndexMaturity(Index,R62,Trigger)</f>
        <v>50384</v>
      </c>
      <c r="T62" s="30">
        <f>_xll.qlIndexFixing($M$6,Q62,,InterestRatesTrigger)</f>
        <v>1.6281605752146142E-2</v>
      </c>
      <c r="U62" s="30">
        <f>_xll.qlIndexFixing(Index,Q62,,InterestRatesTrigger)</f>
        <v>1.6919709447826364E-2</v>
      </c>
      <c r="V62" s="30">
        <f t="shared" si="5"/>
        <v>6.3810369568022274E-4</v>
      </c>
      <c r="W62" s="29">
        <f>_xll.qlDayCounterYearFraction(DayCounter,SettlementDate,R62,,,Trigger)</f>
        <v>22.327777777777779</v>
      </c>
      <c r="X62" s="29">
        <f>_xll.qlDayCounterYearFraction(DayCounter,R62,S62)</f>
        <v>0.5083333333333333</v>
      </c>
      <c r="Y62" s="29">
        <f>_xll.qlYieldTSDiscount(Currency&amp;"ON",R62)/(1+U62*X62)</f>
        <v>0.71709429635563315</v>
      </c>
      <c r="Z62" s="30">
        <f>_xll.qlTenorBasisValue(TenorBasis6M,R62,InterestRatesTrigger)</f>
        <v>5.7174130509209022E-4</v>
      </c>
      <c r="AA62" s="30">
        <f t="shared" si="6"/>
        <v>6.6362390588132515E-5</v>
      </c>
    </row>
    <row r="63" spans="15:27" x14ac:dyDescent="0.2">
      <c r="O63" s="33">
        <v>6</v>
      </c>
      <c r="P63" s="27" t="str">
        <f>_xll.qlPeriodEquivalent(P62&amp;"+"&amp;O63&amp;"M")</f>
        <v>22Y6M</v>
      </c>
      <c r="Q63" s="28">
        <f>_xll.qlCalendarAdvance(Calendar,SettlementDate,P63,"f",,Trigger)</f>
        <v>50382</v>
      </c>
      <c r="R63" s="28">
        <f>_xll.qlInterestRateIndexValueDate(Index,Q63,Trigger)</f>
        <v>50384</v>
      </c>
      <c r="S63" s="28">
        <f>_xll.qlInterestRateIndexMaturity(Index,R63,Trigger)</f>
        <v>50566</v>
      </c>
      <c r="T63" s="30">
        <f>_xll.qlIndexFixing($M$6,Q63,,InterestRatesTrigger)</f>
        <v>1.6135647405126265E-2</v>
      </c>
      <c r="U63" s="30">
        <f>_xll.qlIndexFixing(Index,Q63,,InterestRatesTrigger)</f>
        <v>1.6756530041424224E-2</v>
      </c>
      <c r="V63" s="30">
        <f t="shared" si="5"/>
        <v>6.2088263629795845E-4</v>
      </c>
      <c r="W63" s="29">
        <f>_xll.qlDayCounterYearFraction(DayCounter,SettlementDate,R63,,,Trigger)</f>
        <v>22.836111111111112</v>
      </c>
      <c r="X63" s="29">
        <f>_xll.qlDayCounterYearFraction(DayCounter,R63,S63)</f>
        <v>0.50555555555555554</v>
      </c>
      <c r="Y63" s="29">
        <f>_xll.qlYieldTSDiscount(Currency&amp;"ON",R63)/(1+U63*X63)</f>
        <v>0.71129932008061714</v>
      </c>
      <c r="Z63" s="30">
        <f>_xll.qlTenorBasisValue(TenorBasis6M,R63,InterestRatesTrigger)</f>
        <v>5.4580397984600715E-4</v>
      </c>
      <c r="AA63" s="30">
        <f t="shared" si="6"/>
        <v>7.5078656451951298E-5</v>
      </c>
    </row>
    <row r="64" spans="15:27" x14ac:dyDescent="0.2">
      <c r="O64" s="33">
        <v>6</v>
      </c>
      <c r="P64" s="27" t="str">
        <f>_xll.qlPeriodEquivalent(P63&amp;"+"&amp;O64&amp;"M")</f>
        <v>23Y</v>
      </c>
      <c r="Q64" s="28">
        <f>_xll.qlCalendarAdvance(Calendar,SettlementDate,P64,"f",,Trigger)</f>
        <v>50564</v>
      </c>
      <c r="R64" s="28">
        <f>_xll.qlInterestRateIndexValueDate(Index,Q64,Trigger)</f>
        <v>50566</v>
      </c>
      <c r="S64" s="28">
        <f>_xll.qlInterestRateIndexMaturity(Index,R64,Trigger)</f>
        <v>50749</v>
      </c>
      <c r="T64" s="30">
        <f>_xll.qlIndexFixing($M$6,Q64,,InterestRatesTrigger)</f>
        <v>1.6022447271137812E-2</v>
      </c>
      <c r="U64" s="30">
        <f>_xll.qlIndexFixing(Index,Q64,,InterestRatesTrigger)</f>
        <v>1.6623361621738292E-2</v>
      </c>
      <c r="V64" s="30">
        <f t="shared" si="5"/>
        <v>6.0091435060048021E-4</v>
      </c>
      <c r="W64" s="29">
        <f>_xll.qlDayCounterYearFraction(DayCounter,SettlementDate,R64,,,Trigger)</f>
        <v>23.341666666666665</v>
      </c>
      <c r="X64" s="29">
        <f>_xll.qlDayCounterYearFraction(DayCounter,R64,S64)</f>
        <v>0.5083333333333333</v>
      </c>
      <c r="Y64" s="29">
        <f>_xll.qlYieldTSDiscount(Currency&amp;"ON",R64)/(1+U64*X64)</f>
        <v>0.70555866565327374</v>
      </c>
      <c r="Z64" s="30">
        <f>_xll.qlTenorBasisValue(TenorBasis6M,R64,InterestRatesTrigger)</f>
        <v>5.2147819024512643E-4</v>
      </c>
      <c r="AA64" s="30">
        <f t="shared" si="6"/>
        <v>7.9436160355353782E-5</v>
      </c>
    </row>
    <row r="65" spans="15:27" x14ac:dyDescent="0.2">
      <c r="O65" s="33">
        <v>6</v>
      </c>
      <c r="P65" s="27" t="str">
        <f>_xll.qlPeriodEquivalent(P64&amp;"+"&amp;O65&amp;"M")</f>
        <v>23Y6M</v>
      </c>
      <c r="Q65" s="28">
        <f>_xll.qlCalendarAdvance(Calendar,SettlementDate,P65,"f",,Trigger)</f>
        <v>50747</v>
      </c>
      <c r="R65" s="28">
        <f>_xll.qlInterestRateIndexValueDate(Index,Q65,Trigger)</f>
        <v>50749</v>
      </c>
      <c r="S65" s="28">
        <f>_xll.qlInterestRateIndexMaturity(Index,R65,Trigger)</f>
        <v>50931</v>
      </c>
      <c r="T65" s="30">
        <f>_xll.qlIndexFixing($M$6,Q65,,InterestRatesTrigger)</f>
        <v>1.5940507522850804E-2</v>
      </c>
      <c r="U65" s="30">
        <f>_xll.qlIndexFixing(Index,Q65,,InterestRatesTrigger)</f>
        <v>1.6518600384472268E-2</v>
      </c>
      <c r="V65" s="30">
        <f t="shared" si="5"/>
        <v>5.7809286162146395E-4</v>
      </c>
      <c r="W65" s="29">
        <f>_xll.qlDayCounterYearFraction(DayCounter,SettlementDate,R65,,,Trigger)</f>
        <v>23.85</v>
      </c>
      <c r="X65" s="29">
        <f>_xll.qlDayCounterYearFraction(DayCounter,R65,S65)</f>
        <v>0.50555555555555554</v>
      </c>
      <c r="Y65" s="29">
        <f>_xll.qlYieldTSDiscount(Currency&amp;"ON",R65)/(1+U65*X65)</f>
        <v>0.69992730572454986</v>
      </c>
      <c r="Z65" s="30">
        <f>_xll.qlTenorBasisValue(TenorBasis6M,R65,InterestRatesTrigger)</f>
        <v>4.9842793488451536E-4</v>
      </c>
      <c r="AA65" s="30">
        <f t="shared" si="6"/>
        <v>7.9664926736948589E-5</v>
      </c>
    </row>
    <row r="66" spans="15:27" x14ac:dyDescent="0.2">
      <c r="O66" s="33">
        <v>6</v>
      </c>
      <c r="P66" s="27" t="str">
        <f>_xll.qlPeriodEquivalent(P65&amp;"+"&amp;O66&amp;"M")</f>
        <v>24Y</v>
      </c>
      <c r="Q66" s="28">
        <f>_xll.qlCalendarAdvance(Calendar,SettlementDate,P66,"f",,Trigger)</f>
        <v>50929</v>
      </c>
      <c r="R66" s="28">
        <f>_xll.qlInterestRateIndexValueDate(Index,Q66,Trigger)</f>
        <v>50931</v>
      </c>
      <c r="S66" s="28">
        <f>_xll.qlInterestRateIndexMaturity(Index,R66,Trigger)</f>
        <v>51116</v>
      </c>
      <c r="T66" s="30">
        <f>_xll.qlIndexFixing($M$6,Q66,,InterestRatesTrigger)</f>
        <v>1.5891844786638121E-2</v>
      </c>
      <c r="U66" s="30">
        <f>_xll.qlIndexFixing(Index,Q66,,InterestRatesTrigger)</f>
        <v>1.6444262130669268E-2</v>
      </c>
      <c r="V66" s="30">
        <f t="shared" si="5"/>
        <v>5.5241734403114681E-4</v>
      </c>
      <c r="W66" s="29">
        <f>_xll.qlDayCounterYearFraction(DayCounter,SettlementDate,R66,,,Trigger)</f>
        <v>24.355555555555554</v>
      </c>
      <c r="X66" s="29">
        <f>_xll.qlDayCounterYearFraction(DayCounter,R66,S66)</f>
        <v>0.51388888888888884</v>
      </c>
      <c r="Y66" s="29">
        <f>_xll.qlYieldTSDiscount(Currency&amp;"ON",R66)/(1+U66*X66)</f>
        <v>0.6942633410479746</v>
      </c>
      <c r="Z66" s="30">
        <f>_xll.qlTenorBasisValue(TenorBasis6M,R66,InterestRatesTrigger)</f>
        <v>4.7683830576761678E-4</v>
      </c>
      <c r="AA66" s="30">
        <f t="shared" si="6"/>
        <v>7.5579038263530029E-5</v>
      </c>
    </row>
    <row r="67" spans="15:27" x14ac:dyDescent="0.2">
      <c r="O67" s="33">
        <v>6</v>
      </c>
      <c r="P67" s="27" t="str">
        <f>_xll.qlPeriodEquivalent(P66&amp;"+"&amp;O67&amp;"M")</f>
        <v>24Y6M</v>
      </c>
      <c r="Q67" s="28">
        <f>_xll.qlCalendarAdvance(Calendar,SettlementDate,P67,"f",,Trigger)</f>
        <v>51112</v>
      </c>
      <c r="R67" s="28">
        <f>_xll.qlInterestRateIndexValueDate(Index,Q67,Trigger)</f>
        <v>51116</v>
      </c>
      <c r="S67" s="28">
        <f>_xll.qlInterestRateIndexMaturity(Index,R67,Trigger)</f>
        <v>51299</v>
      </c>
      <c r="T67" s="30">
        <f>_xll.qlIndexFixing($M$6,Q67,,InterestRatesTrigger)</f>
        <v>1.5873701505853464E-2</v>
      </c>
      <c r="U67" s="30">
        <f>_xll.qlIndexFixing(Index,Q67,,InterestRatesTrigger)</f>
        <v>1.6397409308565057E-2</v>
      </c>
      <c r="V67" s="30">
        <f t="shared" si="5"/>
        <v>5.2370780271159337E-4</v>
      </c>
      <c r="W67" s="29">
        <f>_xll.qlDayCounterYearFraction(DayCounter,SettlementDate,R67,,,Trigger)</f>
        <v>24.869444444444444</v>
      </c>
      <c r="X67" s="29">
        <f>_xll.qlDayCounterYearFraction(DayCounter,R67,S67)</f>
        <v>0.5083333333333333</v>
      </c>
      <c r="Y67" s="29">
        <f>_xll.qlYieldTSDiscount(Currency&amp;"ON",R67)/(1+U67*X67)</f>
        <v>0.68871812635223606</v>
      </c>
      <c r="Z67" s="30">
        <f>_xll.qlTenorBasisValue(TenorBasis6M,R67,InterestRatesTrigger)</f>
        <v>4.5618987606023794E-4</v>
      </c>
      <c r="AA67" s="30">
        <f t="shared" si="6"/>
        <v>6.7517926651355432E-5</v>
      </c>
    </row>
    <row r="68" spans="15:27" x14ac:dyDescent="0.2">
      <c r="O68" s="33">
        <v>6</v>
      </c>
      <c r="P68" s="27" t="str">
        <f>_xll.qlPeriodEquivalent(P67&amp;"+"&amp;O68&amp;"M")</f>
        <v>25Y</v>
      </c>
      <c r="Q68" s="28">
        <f>_xll.qlCalendarAdvance(Calendar,SettlementDate,P68,"f",,Trigger)</f>
        <v>51295</v>
      </c>
      <c r="R68" s="28">
        <f>_xll.qlInterestRateIndexValueDate(Index,Q68,Trigger)</f>
        <v>51299</v>
      </c>
      <c r="S68" s="28">
        <f>_xll.qlInterestRateIndexMaturity(Index,R68,Trigger)</f>
        <v>51482</v>
      </c>
      <c r="T68" s="30">
        <f>_xll.qlIndexFixing($M$6,Q68,,InterestRatesTrigger)</f>
        <v>1.5884888907748827E-2</v>
      </c>
      <c r="U68" s="30">
        <f>_xll.qlIndexFixing(Index,Q68,,InterestRatesTrigger)</f>
        <v>1.6378357835717221E-2</v>
      </c>
      <c r="V68" s="30">
        <f t="shared" ref="V68:V131" si="14">U68-T68</f>
        <v>4.9346892796839348E-4</v>
      </c>
      <c r="W68" s="29">
        <f>_xll.qlDayCounterYearFraction(DayCounter,SettlementDate,R68,,,Trigger)</f>
        <v>25.377777777777776</v>
      </c>
      <c r="X68" s="29">
        <f>_xll.qlDayCounterYearFraction(DayCounter,R68,S68)</f>
        <v>0.5083333333333333</v>
      </c>
      <c r="Y68" s="29">
        <f>_xll.qlYieldTSDiscount(Currency&amp;"ON",R68)/(1+U68*X68)</f>
        <v>0.6832118151231914</v>
      </c>
      <c r="Z68" s="30">
        <f>_xll.qlTenorBasisValue(TenorBasis6M,R68,InterestRatesTrigger)</f>
        <v>4.3698655202666884E-4</v>
      </c>
      <c r="AA68" s="30">
        <f t="shared" ref="AA68:AA131" si="15">V68-Z68</f>
        <v>5.6482375941724642E-5</v>
      </c>
    </row>
    <row r="69" spans="15:27" x14ac:dyDescent="0.2">
      <c r="O69" s="33">
        <v>6</v>
      </c>
      <c r="P69" s="27" t="str">
        <f>_xll.qlPeriodEquivalent(P68&amp;"+"&amp;O69&amp;"M")</f>
        <v>25Y6M</v>
      </c>
      <c r="Q69" s="28">
        <f>_xll.qlCalendarAdvance(Calendar,SettlementDate,P69,"f",,Trigger)</f>
        <v>51480</v>
      </c>
      <c r="R69" s="28">
        <f>_xll.qlInterestRateIndexValueDate(Index,Q69,Trigger)</f>
        <v>51482</v>
      </c>
      <c r="S69" s="28">
        <f>_xll.qlInterestRateIndexMaturity(Index,R69,Trigger)</f>
        <v>51664</v>
      </c>
      <c r="T69" s="30">
        <f>_xll.qlIndexFixing($M$6,Q69,,InterestRatesTrigger)</f>
        <v>1.5910001130367016E-2</v>
      </c>
      <c r="U69" s="30">
        <f>_xll.qlIndexFixing(Index,Q69,,InterestRatesTrigger)</f>
        <v>1.6375659098530917E-2</v>
      </c>
      <c r="V69" s="30">
        <f t="shared" si="14"/>
        <v>4.6565796816390101E-4</v>
      </c>
      <c r="W69" s="29">
        <f>_xll.qlDayCounterYearFraction(DayCounter,SettlementDate,R69,,,Trigger)</f>
        <v>25.886111111111113</v>
      </c>
      <c r="X69" s="29">
        <f>_xll.qlDayCounterYearFraction(DayCounter,R69,S69)</f>
        <v>0.50555555555555554</v>
      </c>
      <c r="Y69" s="29">
        <f>_xll.qlYieldTSDiscount(Currency&amp;"ON",R69)/(1+U69*X69)</f>
        <v>0.67777069207891028</v>
      </c>
      <c r="Z69" s="30">
        <f>_xll.qlTenorBasisValue(TenorBasis6M,R69,InterestRatesTrigger)</f>
        <v>4.1893599406468641E-4</v>
      </c>
      <c r="AA69" s="30">
        <f t="shared" si="15"/>
        <v>4.6721974099214595E-5</v>
      </c>
    </row>
    <row r="70" spans="15:27" x14ac:dyDescent="0.2">
      <c r="O70" s="33">
        <v>6</v>
      </c>
      <c r="P70" s="27" t="str">
        <f>_xll.qlPeriodEquivalent(P69&amp;"+"&amp;O70&amp;"M")</f>
        <v>26Y</v>
      </c>
      <c r="Q70" s="28">
        <f>_xll.qlCalendarAdvance(Calendar,SettlementDate,P70,"f",,Trigger)</f>
        <v>51662</v>
      </c>
      <c r="R70" s="28">
        <f>_xll.qlInterestRateIndexValueDate(Index,Q70,Trigger)</f>
        <v>51664</v>
      </c>
      <c r="S70" s="28">
        <f>_xll.qlInterestRateIndexMaturity(Index,R70,Trigger)</f>
        <v>51847</v>
      </c>
      <c r="T70" s="30">
        <f>_xll.qlIndexFixing($M$6,Q70,,InterestRatesTrigger)</f>
        <v>1.5946839652623841E-2</v>
      </c>
      <c r="U70" s="30">
        <f>_xll.qlIndexFixing(Index,Q70,,InterestRatesTrigger)</f>
        <v>1.638805204747406E-2</v>
      </c>
      <c r="V70" s="30">
        <f t="shared" si="14"/>
        <v>4.4121239485021835E-4</v>
      </c>
      <c r="W70" s="29">
        <f>_xll.qlDayCounterYearFraction(DayCounter,SettlementDate,R70,,,Trigger)</f>
        <v>26.391666666666666</v>
      </c>
      <c r="X70" s="29">
        <f>_xll.qlDayCounterYearFraction(DayCounter,R70,S70)</f>
        <v>0.5083333333333333</v>
      </c>
      <c r="Y70" s="29">
        <f>_xll.qlYieldTSDiscount(Currency&amp;"ON",R70)/(1+U70*X70)</f>
        <v>0.67232808525444121</v>
      </c>
      <c r="Z70" s="30">
        <f>_xll.qlTenorBasisValue(TenorBasis6M,R70,InterestRatesTrigger)</f>
        <v>4.0206782506575604E-4</v>
      </c>
      <c r="AA70" s="30">
        <f t="shared" si="15"/>
        <v>3.9144569784462305E-5</v>
      </c>
    </row>
    <row r="71" spans="15:27" x14ac:dyDescent="0.2">
      <c r="O71" s="33">
        <v>6</v>
      </c>
      <c r="P71" s="27" t="str">
        <f>_xll.qlPeriodEquivalent(P70&amp;"+"&amp;O71&amp;"M")</f>
        <v>26Y6M</v>
      </c>
      <c r="Q71" s="28">
        <f>_xll.qlCalendarAdvance(Calendar,SettlementDate,P71,"f",,Trigger)</f>
        <v>51844</v>
      </c>
      <c r="R71" s="28">
        <f>_xll.qlInterestRateIndexValueDate(Index,Q71,Trigger)</f>
        <v>51846</v>
      </c>
      <c r="S71" s="28">
        <f>_xll.qlInterestRateIndexMaturity(Index,R71,Trigger)</f>
        <v>52028</v>
      </c>
      <c r="T71" s="30">
        <f>_xll.qlIndexFixing($M$6,Q71,,InterestRatesTrigger)</f>
        <v>1.5993688457178284E-2</v>
      </c>
      <c r="U71" s="30">
        <f>_xll.qlIndexFixing(Index,Q71,,InterestRatesTrigger)</f>
        <v>1.6413839857874511E-2</v>
      </c>
      <c r="V71" s="30">
        <f t="shared" si="14"/>
        <v>4.2015140069622675E-4</v>
      </c>
      <c r="W71" s="29">
        <f>_xll.qlDayCounterYearFraction(DayCounter,SettlementDate,R71,,,Trigger)</f>
        <v>26.897222222222222</v>
      </c>
      <c r="X71" s="29">
        <f>_xll.qlDayCounterYearFraction(DayCounter,R71,S71)</f>
        <v>0.50555555555555554</v>
      </c>
      <c r="Y71" s="29">
        <f>_xll.qlYieldTSDiscount(Currency&amp;"ON",R71)/(1+U71*X71)</f>
        <v>0.6669727621310797</v>
      </c>
      <c r="Z71" s="30">
        <f>_xll.qlTenorBasisValue(TenorBasis6M,R71,InterestRatesTrigger)</f>
        <v>3.8622323008835017E-4</v>
      </c>
      <c r="AA71" s="30">
        <f t="shared" si="15"/>
        <v>3.3928170607876586E-5</v>
      </c>
    </row>
    <row r="72" spans="15:27" x14ac:dyDescent="0.2">
      <c r="O72" s="33">
        <v>6</v>
      </c>
      <c r="P72" s="27" t="str">
        <f>_xll.qlPeriodEquivalent(P71&amp;"+"&amp;O72&amp;"M")</f>
        <v>27Y</v>
      </c>
      <c r="Q72" s="28">
        <f>_xll.qlCalendarAdvance(Calendar,SettlementDate,P72,"f",,Trigger)</f>
        <v>52026</v>
      </c>
      <c r="R72" s="28">
        <f>_xll.qlInterestRateIndexValueDate(Index,Q72,Trigger)</f>
        <v>52028</v>
      </c>
      <c r="S72" s="28">
        <f>_xll.qlInterestRateIndexMaturity(Index,R72,Trigger)</f>
        <v>52211</v>
      </c>
      <c r="T72" s="30">
        <f>_xll.qlIndexFixing($M$6,Q72,,InterestRatesTrigger)</f>
        <v>1.6052502262976918E-2</v>
      </c>
      <c r="U72" s="30">
        <f>_xll.qlIndexFixing(Index,Q72,,InterestRatesTrigger)</f>
        <v>1.6454828542416162E-2</v>
      </c>
      <c r="V72" s="30">
        <f t="shared" si="14"/>
        <v>4.0232627943924404E-4</v>
      </c>
      <c r="W72" s="29">
        <f>_xll.qlDayCounterYearFraction(DayCounter,SettlementDate,R72,,,Trigger)</f>
        <v>27.402777777777779</v>
      </c>
      <c r="X72" s="29">
        <f>_xll.qlDayCounterYearFraction(DayCounter,R72,S72)</f>
        <v>0.5083333333333333</v>
      </c>
      <c r="Y72" s="29">
        <f>_xll.qlYieldTSDiscount(Currency&amp;"ON",R72)/(1+U72*X72)</f>
        <v>0.66157949072029409</v>
      </c>
      <c r="Z72" s="30">
        <f>_xll.qlTenorBasisValue(TenorBasis6M,R72,InterestRatesTrigger)</f>
        <v>3.7134725114440151E-4</v>
      </c>
      <c r="AA72" s="30">
        <f t="shared" si="15"/>
        <v>3.0979028294842532E-5</v>
      </c>
    </row>
    <row r="73" spans="15:27" x14ac:dyDescent="0.2">
      <c r="O73" s="33">
        <v>6</v>
      </c>
      <c r="P73" s="27" t="str">
        <f>_xll.qlPeriodEquivalent(P72&amp;"+"&amp;O73&amp;"M")</f>
        <v>27Y6M</v>
      </c>
      <c r="Q73" s="28">
        <f>_xll.qlCalendarAdvance(Calendar,SettlementDate,P73,"f",,Trigger)</f>
        <v>52208</v>
      </c>
      <c r="R73" s="28">
        <f>_xll.qlInterestRateIndexValueDate(Index,Q73,Trigger)</f>
        <v>52210</v>
      </c>
      <c r="S73" s="28">
        <f>_xll.qlInterestRateIndexMaturity(Index,R73,Trigger)</f>
        <v>52392</v>
      </c>
      <c r="T73" s="30">
        <f>_xll.qlIndexFixing($M$6,Q73,,InterestRatesTrigger)</f>
        <v>1.6121198345755306E-2</v>
      </c>
      <c r="U73" s="30">
        <f>_xll.qlIndexFixing(Index,Q73,,InterestRatesTrigger)</f>
        <v>1.6509050775956879E-2</v>
      </c>
      <c r="V73" s="30">
        <f t="shared" si="14"/>
        <v>3.8785243020157331E-4</v>
      </c>
      <c r="W73" s="29">
        <f>_xll.qlDayCounterYearFraction(DayCounter,SettlementDate,R73,,,Trigger)</f>
        <v>27.908333333333335</v>
      </c>
      <c r="X73" s="29">
        <f>_xll.qlDayCounterYearFraction(DayCounter,R73,S73)</f>
        <v>0.50555555555555554</v>
      </c>
      <c r="Y73" s="29">
        <f>_xll.qlYieldTSDiscount(Currency&amp;"ON",R73)/(1+U73*X73)</f>
        <v>0.65626579246140626</v>
      </c>
      <c r="Z73" s="30">
        <f>_xll.qlTenorBasisValue(TenorBasis6M,R73,InterestRatesTrigger)</f>
        <v>3.5738710238830739E-4</v>
      </c>
      <c r="AA73" s="30">
        <f t="shared" si="15"/>
        <v>3.0465327813265926E-5</v>
      </c>
    </row>
    <row r="74" spans="15:27" x14ac:dyDescent="0.2">
      <c r="O74" s="33">
        <v>6</v>
      </c>
      <c r="P74" s="27" t="str">
        <f>_xll.qlPeriodEquivalent(P73&amp;"+"&amp;O74&amp;"M")</f>
        <v>28Y</v>
      </c>
      <c r="Q74" s="28">
        <f>_xll.qlCalendarAdvance(Calendar,SettlementDate,P74,"f",,Trigger)</f>
        <v>52390</v>
      </c>
      <c r="R74" s="28">
        <f>_xll.qlInterestRateIndexValueDate(Index,Q74,Trigger)</f>
        <v>52392</v>
      </c>
      <c r="S74" s="28">
        <f>_xll.qlInterestRateIndexMaturity(Index,R74,Trigger)</f>
        <v>52575</v>
      </c>
      <c r="T74" s="30">
        <f>_xll.qlIndexFixing($M$6,Q74,,InterestRatesTrigger)</f>
        <v>1.6201993281240598E-2</v>
      </c>
      <c r="U74" s="30">
        <f>_xll.qlIndexFixing(Index,Q74,,InterestRatesTrigger)</f>
        <v>1.6578641303030668E-2</v>
      </c>
      <c r="V74" s="30">
        <f t="shared" si="14"/>
        <v>3.7664802179007001E-4</v>
      </c>
      <c r="W74" s="29">
        <f>_xll.qlDayCounterYearFraction(DayCounter,SettlementDate,R74,,,Trigger)</f>
        <v>28.413888888888888</v>
      </c>
      <c r="X74" s="29">
        <f>_xll.qlDayCounterYearFraction(DayCounter,R74,S74)</f>
        <v>0.5083333333333333</v>
      </c>
      <c r="Y74" s="29">
        <f>_xll.qlYieldTSDiscount(Currency&amp;"ON",R74)/(1+U74*X74)</f>
        <v>0.65090792249558838</v>
      </c>
      <c r="Z74" s="30">
        <f>_xll.qlTenorBasisValue(TenorBasis6M,R74,InterestRatesTrigger)</f>
        <v>3.4429218006151664E-4</v>
      </c>
      <c r="AA74" s="30">
        <f t="shared" si="15"/>
        <v>3.2355841728553365E-5</v>
      </c>
    </row>
    <row r="75" spans="15:27" x14ac:dyDescent="0.2">
      <c r="O75" s="33">
        <v>6</v>
      </c>
      <c r="P75" s="27" t="str">
        <f>_xll.qlPeriodEquivalent(P74&amp;"+"&amp;O75&amp;"M")</f>
        <v>28Y6M</v>
      </c>
      <c r="Q75" s="28">
        <f>_xll.qlCalendarAdvance(Calendar,SettlementDate,P75,"f",,Trigger)</f>
        <v>52573</v>
      </c>
      <c r="R75" s="28">
        <f>_xll.qlInterestRateIndexValueDate(Index,Q75,Trigger)</f>
        <v>52575</v>
      </c>
      <c r="S75" s="28">
        <f>_xll.qlInterestRateIndexMaturity(Index,R75,Trigger)</f>
        <v>52758</v>
      </c>
      <c r="T75" s="30">
        <f>_xll.qlIndexFixing($M$6,Q75,,InterestRatesTrigger)</f>
        <v>1.6293708715187968E-2</v>
      </c>
      <c r="U75" s="30">
        <f>_xll.qlIndexFixing(Index,Q75,,InterestRatesTrigger)</f>
        <v>1.6662436508971923E-2</v>
      </c>
      <c r="V75" s="30">
        <f t="shared" si="14"/>
        <v>3.6872779378395448E-4</v>
      </c>
      <c r="W75" s="29">
        <f>_xll.qlDayCounterYearFraction(DayCounter,SettlementDate,R75,,,Trigger)</f>
        <v>28.922222222222221</v>
      </c>
      <c r="X75" s="29">
        <f>_xll.qlDayCounterYearFraction(DayCounter,R75,S75)</f>
        <v>0.5083333333333333</v>
      </c>
      <c r="Y75" s="29">
        <f>_xll.qlYieldTSDiscount(Currency&amp;"ON",R75)/(1+U75*X75)</f>
        <v>0.64556355932885057</v>
      </c>
      <c r="Z75" s="30">
        <f>_xll.qlTenorBasisValue(TenorBasis6M,R75,InterestRatesTrigger)</f>
        <v>3.3194876410928169E-4</v>
      </c>
      <c r="AA75" s="30">
        <f t="shared" si="15"/>
        <v>3.6779029674672789E-5</v>
      </c>
    </row>
    <row r="76" spans="15:27" x14ac:dyDescent="0.2">
      <c r="O76" s="33">
        <v>6</v>
      </c>
      <c r="P76" s="27" t="str">
        <f>_xll.qlPeriodEquivalent(P75&amp;"+"&amp;O76&amp;"M")</f>
        <v>29Y</v>
      </c>
      <c r="Q76" s="28">
        <f>_xll.qlCalendarAdvance(Calendar,SettlementDate,P76,"f",,Trigger)</f>
        <v>52756</v>
      </c>
      <c r="R76" s="28">
        <f>_xll.qlInterestRateIndexValueDate(Index,Q76,Trigger)</f>
        <v>52758</v>
      </c>
      <c r="S76" s="28">
        <f>_xll.qlInterestRateIndexMaturity(Index,R76,Trigger)</f>
        <v>52943</v>
      </c>
      <c r="T76" s="30">
        <f>_xll.qlIndexFixing($M$6,Q76,,InterestRatesTrigger)</f>
        <v>1.6397853113729363E-2</v>
      </c>
      <c r="U76" s="30">
        <f>_xll.qlIndexFixing(Index,Q76,,InterestRatesTrigger)</f>
        <v>1.6762020077958795E-2</v>
      </c>
      <c r="V76" s="30">
        <f t="shared" si="14"/>
        <v>3.6416696422943151E-4</v>
      </c>
      <c r="W76" s="29">
        <f>_xll.qlDayCounterYearFraction(DayCounter,SettlementDate,R76,,,Trigger)</f>
        <v>29.430555555555557</v>
      </c>
      <c r="X76" s="29">
        <f>_xll.qlDayCounterYearFraction(DayCounter,R76,S76)</f>
        <v>0.51388888888888884</v>
      </c>
      <c r="Y76" s="29">
        <f>_xll.qlYieldTSDiscount(Currency&amp;"ON",R76)/(1+U76*X76)</f>
        <v>0.64016926740392621</v>
      </c>
      <c r="Z76" s="30">
        <f>_xll.qlTenorBasisValue(TenorBasis6M,R76,InterestRatesTrigger)</f>
        <v>3.2038411732137842E-4</v>
      </c>
      <c r="AA76" s="30">
        <f t="shared" si="15"/>
        <v>4.3782846908053095E-5</v>
      </c>
    </row>
    <row r="77" spans="15:27" x14ac:dyDescent="0.2">
      <c r="O77" s="33">
        <v>6</v>
      </c>
      <c r="P77" s="27" t="str">
        <f>_xll.qlPeriodEquivalent(P76&amp;"+"&amp;O77&amp;"M")</f>
        <v>29Y6M</v>
      </c>
      <c r="Q77" s="28">
        <f>_xll.qlCalendarAdvance(Calendar,SettlementDate,P77,"f",,Trigger)</f>
        <v>52939</v>
      </c>
      <c r="R77" s="28">
        <f>_xll.qlInterestRateIndexValueDate(Index,Q77,Trigger)</f>
        <v>52943</v>
      </c>
      <c r="S77" s="28">
        <f>_xll.qlInterestRateIndexMaturity(Index,R77,Trigger)</f>
        <v>53125</v>
      </c>
      <c r="T77" s="30">
        <f>_xll.qlIndexFixing($M$6,Q77,,InterestRatesTrigger)</f>
        <v>1.6510983389041389E-2</v>
      </c>
      <c r="U77" s="30">
        <f>_xll.qlIndexFixing(Index,Q77,,InterestRatesTrigger)</f>
        <v>1.6873872879380067E-2</v>
      </c>
      <c r="V77" s="30">
        <f t="shared" si="14"/>
        <v>3.6288949033867757E-4</v>
      </c>
      <c r="W77" s="29">
        <f>_xll.qlDayCounterYearFraction(DayCounter,SettlementDate,R77,,,Trigger)</f>
        <v>29.944444444444443</v>
      </c>
      <c r="X77" s="29">
        <f>_xll.qlDayCounterYearFraction(DayCounter,R77,S77)</f>
        <v>0.50555555555555554</v>
      </c>
      <c r="Y77" s="29">
        <f>_xll.qlYieldTSDiscount(Currency&amp;"ON",R77)/(1+U77*X77)</f>
        <v>0.63487217695587117</v>
      </c>
      <c r="Z77" s="30">
        <f>_xll.qlTenorBasisValue(TenorBasis6M,R77,InterestRatesTrigger)</f>
        <v>3.0943890590637789E-4</v>
      </c>
      <c r="AA77" s="30">
        <f t="shared" si="15"/>
        <v>5.3450584432299672E-5</v>
      </c>
    </row>
    <row r="78" spans="15:27" x14ac:dyDescent="0.2">
      <c r="O78" s="33">
        <v>6</v>
      </c>
      <c r="P78" s="27" t="str">
        <f>_xll.qlPeriodEquivalent(P77&amp;"+"&amp;O78&amp;"M")</f>
        <v>30Y</v>
      </c>
      <c r="Q78" s="28">
        <f>_xll.qlCalendarAdvance(Calendar,SettlementDate,P78,"f",,Trigger)</f>
        <v>53121</v>
      </c>
      <c r="R78" s="28">
        <f>_xll.qlInterestRateIndexValueDate(Index,Q78,Trigger)</f>
        <v>53125</v>
      </c>
      <c r="S78" s="28">
        <f>_xll.qlInterestRateIndexMaturity(Index,R78,Trigger)</f>
        <v>53308</v>
      </c>
      <c r="T78" s="30">
        <f>_xll.qlIndexFixing($M$6,Q78,,InterestRatesTrigger)</f>
        <v>1.6629911143199859E-2</v>
      </c>
      <c r="U78" s="30">
        <f>_xll.qlIndexFixing(Index,Q78,,InterestRatesTrigger)</f>
        <v>1.6993132040711054E-2</v>
      </c>
      <c r="V78" s="30">
        <f t="shared" si="14"/>
        <v>3.6322089751119474E-4</v>
      </c>
      <c r="W78" s="29">
        <f>_xll.qlDayCounterYearFraction(DayCounter,SettlementDate,R78,,,Trigger)</f>
        <v>30.45</v>
      </c>
      <c r="X78" s="29">
        <f>_xll.qlDayCounterYearFraction(DayCounter,R78,S78)</f>
        <v>0.5083333333333333</v>
      </c>
      <c r="Y78" s="29">
        <f>_xll.qlYieldTSDiscount(Currency&amp;"ON",R78)/(1+U78*X78)</f>
        <v>0.62954952764813821</v>
      </c>
      <c r="Z78" s="30">
        <f>_xll.qlTenorBasisValue(TenorBasis6M,R78,InterestRatesTrigger)</f>
        <v>2.9936024196426322E-4</v>
      </c>
      <c r="AA78" s="30">
        <f t="shared" si="15"/>
        <v>6.3860655546931519E-5</v>
      </c>
    </row>
    <row r="79" spans="15:27" x14ac:dyDescent="0.2">
      <c r="O79" s="33">
        <v>6</v>
      </c>
      <c r="P79" s="27" t="str">
        <f>_xll.qlPeriodEquivalent(P78&amp;"+"&amp;O79&amp;"M")</f>
        <v>30Y6M</v>
      </c>
      <c r="Q79" s="28">
        <f>_xll.qlCalendarAdvance(Calendar,SettlementDate,P79,"f",,Trigger)</f>
        <v>53304</v>
      </c>
      <c r="R79" s="28">
        <f>_xll.qlInterestRateIndexValueDate(Index,Q79,Trigger)</f>
        <v>53308</v>
      </c>
      <c r="S79" s="28">
        <f>_xll.qlInterestRateIndexMaturity(Index,R79,Trigger)</f>
        <v>53490</v>
      </c>
      <c r="T79" s="30">
        <f>_xll.qlIndexFixing($M$6,Q79,,InterestRatesTrigger)</f>
        <v>1.6730033871131238E-2</v>
      </c>
      <c r="U79" s="30">
        <f>_xll.qlIndexFixing(Index,Q79,,InterestRatesTrigger)</f>
        <v>1.7088367800707008E-2</v>
      </c>
      <c r="V79" s="30">
        <f t="shared" si="14"/>
        <v>3.583339295757694E-4</v>
      </c>
      <c r="W79" s="29">
        <f>_xll.qlDayCounterYearFraction(DayCounter,SettlementDate,R79,,,Trigger)</f>
        <v>30.958333333333332</v>
      </c>
      <c r="X79" s="29">
        <f>_xll.qlDayCounterYearFraction(DayCounter,R79,S79)</f>
        <v>0.50555555555555554</v>
      </c>
      <c r="Y79" s="29">
        <f>_xll.qlYieldTSDiscount(Currency&amp;"ON",R79)/(1+U79*X79)</f>
        <v>0.6242716344671132</v>
      </c>
      <c r="Z79" s="30">
        <f>_xll.qlTenorBasisValue(TenorBasis6M,R79,InterestRatesTrigger)</f>
        <v>2.8987467242640446E-4</v>
      </c>
      <c r="AA79" s="30">
        <f t="shared" si="15"/>
        <v>6.8459257149364942E-5</v>
      </c>
    </row>
    <row r="80" spans="15:27" x14ac:dyDescent="0.2">
      <c r="O80" s="33">
        <v>6</v>
      </c>
      <c r="P80" s="27" t="str">
        <f>_xll.qlPeriodEquivalent(P79&amp;"+"&amp;O80&amp;"M")</f>
        <v>31Y</v>
      </c>
      <c r="Q80" s="28">
        <f>_xll.qlCalendarAdvance(Calendar,SettlementDate,P80,"f",,Trigger)</f>
        <v>53486</v>
      </c>
      <c r="R80" s="28">
        <f>_xll.qlInterestRateIndexValueDate(Index,Q80,Trigger)</f>
        <v>53490</v>
      </c>
      <c r="S80" s="28">
        <f>_xll.qlInterestRateIndexMaturity(Index,R80,Trigger)</f>
        <v>53673</v>
      </c>
      <c r="T80" s="30">
        <f>_xll.qlIndexFixing($M$6,Q80,,InterestRatesTrigger)</f>
        <v>1.6807508279405844E-2</v>
      </c>
      <c r="U80" s="30">
        <f>_xll.qlIndexFixing(Index,Q80,,InterestRatesTrigger)</f>
        <v>1.7154228634751634E-2</v>
      </c>
      <c r="V80" s="30">
        <f t="shared" si="14"/>
        <v>3.4672035534578927E-4</v>
      </c>
      <c r="W80" s="29">
        <f>_xll.qlDayCounterYearFraction(DayCounter,SettlementDate,R80,,,Trigger)</f>
        <v>31.463888888888889</v>
      </c>
      <c r="X80" s="29">
        <f>_xll.qlDayCounterYearFraction(DayCounter,R80,S80)</f>
        <v>0.5083333333333333</v>
      </c>
      <c r="Y80" s="29">
        <f>_xll.qlYieldTSDiscount(Currency&amp;"ON",R80)/(1+U80*X80)</f>
        <v>0.61898617712846093</v>
      </c>
      <c r="Z80" s="30">
        <f>_xll.qlTenorBasisValue(TenorBasis6M,R80,InterestRatesTrigger)</f>
        <v>2.8104771413331128E-4</v>
      </c>
      <c r="AA80" s="30">
        <f t="shared" si="15"/>
        <v>6.5672641212477989E-5</v>
      </c>
    </row>
    <row r="81" spans="15:27" x14ac:dyDescent="0.2">
      <c r="O81" s="33">
        <v>6</v>
      </c>
      <c r="P81" s="27" t="str">
        <f>_xll.qlPeriodEquivalent(P80&amp;"+"&amp;O81&amp;"M")</f>
        <v>31Y6M</v>
      </c>
      <c r="Q81" s="28">
        <f>_xll.qlCalendarAdvance(Calendar,SettlementDate,P81,"f",,Trigger)</f>
        <v>53671</v>
      </c>
      <c r="R81" s="28">
        <f>_xll.qlInterestRateIndexValueDate(Index,Q81,Trigger)</f>
        <v>53673</v>
      </c>
      <c r="S81" s="28">
        <f>_xll.qlInterestRateIndexMaturity(Index,R81,Trigger)</f>
        <v>53855</v>
      </c>
      <c r="T81" s="30">
        <f>_xll.qlIndexFixing($M$6,Q81,,InterestRatesTrigger)</f>
        <v>1.6860817690094395E-2</v>
      </c>
      <c r="U81" s="30">
        <f>_xll.qlIndexFixing(Index,Q81,,InterestRatesTrigger)</f>
        <v>1.7189144202734291E-2</v>
      </c>
      <c r="V81" s="30">
        <f t="shared" si="14"/>
        <v>3.2832651263989612E-4</v>
      </c>
      <c r="W81" s="29">
        <f>_xll.qlDayCounterYearFraction(DayCounter,SettlementDate,R81,,,Trigger)</f>
        <v>31.972222222222221</v>
      </c>
      <c r="X81" s="29">
        <f>_xll.qlDayCounterYearFraction(DayCounter,R81,S81)</f>
        <v>0.50555555555555554</v>
      </c>
      <c r="Y81" s="29">
        <f>_xll.qlYieldTSDiscount(Currency&amp;"ON",R81)/(1+U81*X81)</f>
        <v>0.61376072688961503</v>
      </c>
      <c r="Z81" s="30">
        <f>_xll.qlTenorBasisValue(TenorBasis6M,R81,InterestRatesTrigger)</f>
        <v>2.7274589033021956E-4</v>
      </c>
      <c r="AA81" s="30">
        <f t="shared" si="15"/>
        <v>5.5580622309676561E-5</v>
      </c>
    </row>
    <row r="82" spans="15:27" x14ac:dyDescent="0.2">
      <c r="O82" s="33">
        <v>6</v>
      </c>
      <c r="P82" s="27" t="str">
        <f>_xll.qlPeriodEquivalent(P81&amp;"+"&amp;O82&amp;"M")</f>
        <v>32Y</v>
      </c>
      <c r="Q82" s="28">
        <f>_xll.qlCalendarAdvance(Calendar,SettlementDate,P82,"f",,Trigger)</f>
        <v>53853</v>
      </c>
      <c r="R82" s="28">
        <f>_xll.qlInterestRateIndexValueDate(Index,Q82,Trigger)</f>
        <v>53855</v>
      </c>
      <c r="S82" s="28">
        <f>_xll.qlInterestRateIndexMaturity(Index,R82,Trigger)</f>
        <v>54038</v>
      </c>
      <c r="T82" s="30">
        <f>_xll.qlIndexFixing($M$6,Q82,,InterestRatesTrigger)</f>
        <v>1.6891486302708786E-2</v>
      </c>
      <c r="U82" s="30">
        <f>_xll.qlIndexFixing(Index,Q82,,InterestRatesTrigger)</f>
        <v>1.719468980248549E-2</v>
      </c>
      <c r="V82" s="30">
        <f t="shared" si="14"/>
        <v>3.0320349977670455E-4</v>
      </c>
      <c r="W82" s="29">
        <f>_xll.qlDayCounterYearFraction(DayCounter,SettlementDate,R82,,,Trigger)</f>
        <v>32.477777777777774</v>
      </c>
      <c r="X82" s="29">
        <f>_xll.qlDayCounterYearFraction(DayCounter,R82,S82)</f>
        <v>0.5083333333333333</v>
      </c>
      <c r="Y82" s="29">
        <f>_xll.qlYieldTSDiscount(Currency&amp;"ON",R82)/(1+U82*X82)</f>
        <v>0.60854269336174549</v>
      </c>
      <c r="Z82" s="30">
        <f>_xll.qlTenorBasisValue(TenorBasis6M,R82,InterestRatesTrigger)</f>
        <v>2.6502559591842182E-4</v>
      </c>
      <c r="AA82" s="30">
        <f t="shared" si="15"/>
        <v>3.8177903858282731E-5</v>
      </c>
    </row>
    <row r="83" spans="15:27" x14ac:dyDescent="0.2">
      <c r="O83" s="33">
        <v>6</v>
      </c>
      <c r="P83" s="27" t="str">
        <f>_xll.qlPeriodEquivalent(P82&amp;"+"&amp;O83&amp;"M")</f>
        <v>32Y6M</v>
      </c>
      <c r="Q83" s="28">
        <f>_xll.qlCalendarAdvance(Calendar,SettlementDate,P83,"f",,Trigger)</f>
        <v>54035</v>
      </c>
      <c r="R83" s="28">
        <f>_xll.qlInterestRateIndexValueDate(Index,Q83,Trigger)</f>
        <v>54037</v>
      </c>
      <c r="S83" s="28">
        <f>_xll.qlInterestRateIndexMaturity(Index,R83,Trigger)</f>
        <v>54220</v>
      </c>
      <c r="T83" s="30">
        <f>_xll.qlIndexFixing($M$6,Q83,,InterestRatesTrigger)</f>
        <v>1.6898377049511668E-2</v>
      </c>
      <c r="U83" s="30">
        <f>_xll.qlIndexFixing(Index,Q83,,InterestRatesTrigger)</f>
        <v>1.7169788661398459E-2</v>
      </c>
      <c r="V83" s="30">
        <f t="shared" si="14"/>
        <v>2.7141161188679042E-4</v>
      </c>
      <c r="W83" s="29">
        <f>_xll.qlDayCounterYearFraction(DayCounter,SettlementDate,R83,,,Trigger)</f>
        <v>32.983333333333334</v>
      </c>
      <c r="X83" s="29">
        <f>_xll.qlDayCounterYearFraction(DayCounter,R83,S83)</f>
        <v>0.5083333333333333</v>
      </c>
      <c r="Y83" s="29">
        <f>_xll.qlYieldTSDiscount(Currency&amp;"ON",R83)/(1+U83*X83)</f>
        <v>0.60339769676448851</v>
      </c>
      <c r="Z83" s="30">
        <f>_xll.qlTenorBasisValue(TenorBasis6M,R83,InterestRatesTrigger)</f>
        <v>2.578075589970698E-4</v>
      </c>
      <c r="AA83" s="30">
        <f t="shared" si="15"/>
        <v>1.3604052889720612E-5</v>
      </c>
    </row>
    <row r="84" spans="15:27" x14ac:dyDescent="0.2">
      <c r="O84" s="33">
        <v>6</v>
      </c>
      <c r="P84" s="27" t="str">
        <f>_xll.qlPeriodEquivalent(P83&amp;"+"&amp;O84&amp;"M")</f>
        <v>33Y</v>
      </c>
      <c r="Q84" s="28">
        <f>_xll.qlCalendarAdvance(Calendar,SettlementDate,P84,"f",,Trigger)</f>
        <v>54217</v>
      </c>
      <c r="R84" s="28">
        <f>_xll.qlInterestRateIndexValueDate(Index,Q84,Trigger)</f>
        <v>54219</v>
      </c>
      <c r="S84" s="28">
        <f>_xll.qlInterestRateIndexMaturity(Index,R84,Trigger)</f>
        <v>54402</v>
      </c>
      <c r="T84" s="30">
        <f>_xll.qlIndexFixing($M$6,Q84,,InterestRatesTrigger)</f>
        <v>1.688198768294133E-2</v>
      </c>
      <c r="U84" s="30">
        <f>_xll.qlIndexFixing(Index,Q84,,InterestRatesTrigger)</f>
        <v>1.7114892643249304E-2</v>
      </c>
      <c r="V84" s="30">
        <f t="shared" si="14"/>
        <v>2.3290496030797456E-4</v>
      </c>
      <c r="W84" s="29">
        <f>_xll.qlDayCounterYearFraction(DayCounter,SettlementDate,R84,,,Trigger)</f>
        <v>33.488888888888887</v>
      </c>
      <c r="X84" s="29">
        <f>_xll.qlDayCounterYearFraction(DayCounter,R84,S84)</f>
        <v>0.5083333333333333</v>
      </c>
      <c r="Y84" s="29">
        <f>_xll.qlYieldTSDiscount(Currency&amp;"ON",R84)/(1+U84*X84)</f>
        <v>0.59830315730650896</v>
      </c>
      <c r="Z84" s="30">
        <f>_xll.qlTenorBasisValue(TenorBasis6M,R84,InterestRatesTrigger)</f>
        <v>2.5106113468283814E-4</v>
      </c>
      <c r="AA84" s="30">
        <f t="shared" si="15"/>
        <v>-1.8156174374863582E-5</v>
      </c>
    </row>
    <row r="85" spans="15:27" x14ac:dyDescent="0.2">
      <c r="O85" s="33">
        <v>6</v>
      </c>
      <c r="P85" s="27" t="str">
        <f>_xll.qlPeriodEquivalent(P84&amp;"+"&amp;O85&amp;"M")</f>
        <v>33Y6M</v>
      </c>
      <c r="Q85" s="28">
        <f>_xll.qlCalendarAdvance(Calendar,SettlementDate,P85,"f",,Trigger)</f>
        <v>54400</v>
      </c>
      <c r="R85" s="28">
        <f>_xll.qlInterestRateIndexValueDate(Index,Q85,Trigger)</f>
        <v>54402</v>
      </c>
      <c r="S85" s="28">
        <f>_xll.qlInterestRateIndexMaturity(Index,R85,Trigger)</f>
        <v>54584</v>
      </c>
      <c r="T85" s="30">
        <f>_xll.qlIndexFixing($M$6,Q85,,InterestRatesTrigger)</f>
        <v>1.6841795578040532E-2</v>
      </c>
      <c r="U85" s="30">
        <f>_xll.qlIndexFixing(Index,Q85,,InterestRatesTrigger)</f>
        <v>1.7029341859226523E-2</v>
      </c>
      <c r="V85" s="30">
        <f t="shared" si="14"/>
        <v>1.875462811859914E-4</v>
      </c>
      <c r="W85" s="29">
        <f>_xll.qlDayCounterYearFraction(DayCounter,SettlementDate,R85,,,Trigger)</f>
        <v>33.99722222222222</v>
      </c>
      <c r="X85" s="29">
        <f>_xll.qlDayCounterYearFraction(DayCounter,R85,S85)</f>
        <v>0.50555555555555554</v>
      </c>
      <c r="Y85" s="29">
        <f>_xll.qlYieldTSDiscount(Currency&amp;"ON",R85)/(1+U85*X85)</f>
        <v>0.59326579929064516</v>
      </c>
      <c r="Z85" s="30">
        <f>_xll.qlTenorBasisValue(TenorBasis6M,R85,InterestRatesTrigger)</f>
        <v>2.4472387690961504E-4</v>
      </c>
      <c r="AA85" s="30">
        <f t="shared" si="15"/>
        <v>-5.7177595723623641E-5</v>
      </c>
    </row>
    <row r="86" spans="15:27" x14ac:dyDescent="0.2">
      <c r="O86" s="33">
        <v>6</v>
      </c>
      <c r="P86" s="27" t="str">
        <f>_xll.qlPeriodEquivalent(P85&amp;"+"&amp;O86&amp;"M")</f>
        <v>34Y</v>
      </c>
      <c r="Q86" s="28">
        <f>_xll.qlCalendarAdvance(Calendar,SettlementDate,P86,"f",,Trigger)</f>
        <v>54582</v>
      </c>
      <c r="R86" s="28">
        <f>_xll.qlInterestRateIndexValueDate(Index,Q86,Trigger)</f>
        <v>54584</v>
      </c>
      <c r="S86" s="28">
        <f>_xll.qlInterestRateIndexMaturity(Index,R86,Trigger)</f>
        <v>54767</v>
      </c>
      <c r="T86" s="30">
        <f>_xll.qlIndexFixing($M$6,Q86,,InterestRatesTrigger)</f>
        <v>1.6778961575231559E-2</v>
      </c>
      <c r="U86" s="30">
        <f>_xll.qlIndexFixing(Index,Q86,,InterestRatesTrigger)</f>
        <v>1.6914413271362855E-2</v>
      </c>
      <c r="V86" s="30">
        <f t="shared" si="14"/>
        <v>1.3545169613129668E-4</v>
      </c>
      <c r="W86" s="29">
        <f>_xll.qlDayCounterYearFraction(DayCounter,SettlementDate,R86,,,Trigger)</f>
        <v>34.50277777777778</v>
      </c>
      <c r="X86" s="29">
        <f>_xll.qlDayCounterYearFraction(DayCounter,R86,S86)</f>
        <v>0.5083333333333333</v>
      </c>
      <c r="Y86" s="29">
        <f>_xll.qlYieldTSDiscount(Currency&amp;"ON",R86)/(1+U86*X86)</f>
        <v>0.58826359040667409</v>
      </c>
      <c r="Z86" s="30">
        <f>_xll.qlTenorBasisValue(TenorBasis6M,R86,InterestRatesTrigger)</f>
        <v>2.3883753843919616E-4</v>
      </c>
      <c r="AA86" s="30">
        <f t="shared" si="15"/>
        <v>-1.0338584230789948E-4</v>
      </c>
    </row>
    <row r="87" spans="15:27" x14ac:dyDescent="0.2">
      <c r="O87" s="33">
        <v>6</v>
      </c>
      <c r="P87" s="27" t="str">
        <f>_xll.qlPeriodEquivalent(P86&amp;"+"&amp;O87&amp;"M")</f>
        <v>34Y6M</v>
      </c>
      <c r="Q87" s="28">
        <f>_xll.qlCalendarAdvance(Calendar,SettlementDate,P87,"f",,Trigger)</f>
        <v>54765</v>
      </c>
      <c r="R87" s="28">
        <f>_xll.qlInterestRateIndexValueDate(Index,Q87,Trigger)</f>
        <v>54767</v>
      </c>
      <c r="S87" s="28">
        <f>_xll.qlInterestRateIndexMaturity(Index,R87,Trigger)</f>
        <v>54949</v>
      </c>
      <c r="T87" s="30">
        <f>_xll.qlIndexFixing($M$6,Q87,,InterestRatesTrigger)</f>
        <v>1.669196623121268E-2</v>
      </c>
      <c r="U87" s="30">
        <f>_xll.qlIndexFixing(Index,Q87,,InterestRatesTrigger)</f>
        <v>1.6768572894193742E-2</v>
      </c>
      <c r="V87" s="30">
        <f t="shared" si="14"/>
        <v>7.6606662981062307E-5</v>
      </c>
      <c r="W87" s="29">
        <f>_xll.qlDayCounterYearFraction(DayCounter,SettlementDate,R87,,,Trigger)</f>
        <v>35.011111111111113</v>
      </c>
      <c r="X87" s="29">
        <f>_xll.qlDayCounterYearFraction(DayCounter,R87,S87)</f>
        <v>0.50555555555555554</v>
      </c>
      <c r="Y87" s="29">
        <f>_xll.qlYieldTSDiscount(Currency&amp;"ON",R87)/(1+U87*X87)</f>
        <v>0.58335836395928009</v>
      </c>
      <c r="Z87" s="30">
        <f>_xll.qlTenorBasisValue(TenorBasis6M,R87,InterestRatesTrigger)</f>
        <v>2.3331127554682016E-4</v>
      </c>
      <c r="AA87" s="30">
        <f t="shared" si="15"/>
        <v>-1.5670461256575785E-4</v>
      </c>
    </row>
    <row r="88" spans="15:27" x14ac:dyDescent="0.2">
      <c r="O88" s="33">
        <v>6</v>
      </c>
      <c r="P88" s="27" t="str">
        <f>_xll.qlPeriodEquivalent(P87&amp;"+"&amp;O88&amp;"M")</f>
        <v>35Y</v>
      </c>
      <c r="Q88" s="28">
        <f>_xll.qlCalendarAdvance(Calendar,SettlementDate,P88,"f",,Trigger)</f>
        <v>54947</v>
      </c>
      <c r="R88" s="28">
        <f>_xll.qlInterestRateIndexValueDate(Index,Q88,Trigger)</f>
        <v>54949</v>
      </c>
      <c r="S88" s="28">
        <f>_xll.qlInterestRateIndexMaturity(Index,R88,Trigger)</f>
        <v>55134</v>
      </c>
      <c r="T88" s="30">
        <f>_xll.qlIndexFixing($M$6,Q88,,InterestRatesTrigger)</f>
        <v>1.6582393172380649E-2</v>
      </c>
      <c r="U88" s="30">
        <f>_xll.qlIndexFixing(Index,Q88,,InterestRatesTrigger)</f>
        <v>1.6600538258847088E-2</v>
      </c>
      <c r="V88" s="30">
        <f t="shared" si="14"/>
        <v>1.8145086466438837E-5</v>
      </c>
      <c r="W88" s="29">
        <f>_xll.qlDayCounterYearFraction(DayCounter,SettlementDate,R88,,,Trigger)</f>
        <v>35.516666666666666</v>
      </c>
      <c r="X88" s="29">
        <f>_xll.qlDayCounterYearFraction(DayCounter,R88,S88)</f>
        <v>0.51388888888888884</v>
      </c>
      <c r="Y88" s="29">
        <f>_xll.qlYieldTSDiscount(Currency&amp;"ON",R88)/(1+U88*X88)</f>
        <v>0.57844614080066359</v>
      </c>
      <c r="Z88" s="30">
        <f>_xll.qlTenorBasisValue(TenorBasis6M,R88,InterestRatesTrigger)</f>
        <v>2.2818098682631405E-4</v>
      </c>
      <c r="AA88" s="30">
        <f t="shared" si="15"/>
        <v>-2.1003590035987521E-4</v>
      </c>
    </row>
    <row r="89" spans="15:27" x14ac:dyDescent="0.2">
      <c r="O89" s="33">
        <v>6</v>
      </c>
      <c r="P89" s="27" t="str">
        <f>_xll.qlPeriodEquivalent(P88&amp;"+"&amp;O89&amp;"M")</f>
        <v>35Y6M</v>
      </c>
      <c r="Q89" s="28">
        <f>_xll.qlCalendarAdvance(Calendar,SettlementDate,P89,"f",,Trigger)</f>
        <v>55130</v>
      </c>
      <c r="R89" s="28">
        <f>_xll.qlInterestRateIndexValueDate(Index,Q89,Trigger)</f>
        <v>55134</v>
      </c>
      <c r="S89" s="28">
        <f>_xll.qlInterestRateIndexMaturity(Index,R89,Trigger)</f>
        <v>55316</v>
      </c>
      <c r="T89" s="30">
        <f>_xll.qlIndexFixing($M$6,Q89,,InterestRatesTrigger)</f>
        <v>1.6446946649383641E-2</v>
      </c>
      <c r="U89" s="30">
        <f>_xll.qlIndexFixing(Index,Q89,,InterestRatesTrigger)</f>
        <v>1.6435806506446722E-2</v>
      </c>
      <c r="V89" s="30">
        <f t="shared" si="14"/>
        <v>-1.1140142936919006E-5</v>
      </c>
      <c r="W89" s="29">
        <f>_xll.qlDayCounterYearFraction(DayCounter,SettlementDate,R89,,,Trigger)</f>
        <v>36.030555555555559</v>
      </c>
      <c r="X89" s="29">
        <f>_xll.qlDayCounterYearFraction(DayCounter,R89,S89)</f>
        <v>0.50555555555555554</v>
      </c>
      <c r="Y89" s="29">
        <f>_xll.qlYieldTSDiscount(Currency&amp;"ON",R89)/(1+U89*X89)</f>
        <v>0.57368462110330287</v>
      </c>
      <c r="Z89" s="30">
        <f>_xll.qlTenorBasisValue(TenorBasis6M,R89,InterestRatesTrigger)</f>
        <v>2.2331624608851563E-4</v>
      </c>
      <c r="AA89" s="30">
        <f t="shared" si="15"/>
        <v>-2.3445638902543463E-4</v>
      </c>
    </row>
    <row r="90" spans="15:27" x14ac:dyDescent="0.2">
      <c r="O90" s="33">
        <v>6</v>
      </c>
      <c r="P90" s="27" t="str">
        <f>_xll.qlPeriodEquivalent(P89&amp;"+"&amp;O90&amp;"M")</f>
        <v>36Y</v>
      </c>
      <c r="Q90" s="28">
        <f>_xll.qlCalendarAdvance(Calendar,SettlementDate,P90,"f",,Trigger)</f>
        <v>55312</v>
      </c>
      <c r="R90" s="28">
        <f>_xll.qlInterestRateIndexValueDate(Index,Q90,Trigger)</f>
        <v>55316</v>
      </c>
      <c r="S90" s="28">
        <f>_xll.qlInterestRateIndexMaturity(Index,R90,Trigger)</f>
        <v>55499</v>
      </c>
      <c r="T90" s="30">
        <f>_xll.qlIndexFixing($M$6,Q90,,InterestRatesTrigger)</f>
        <v>1.629024395022604E-2</v>
      </c>
      <c r="U90" s="30">
        <f>_xll.qlIndexFixing(Index,Q90,,InterestRatesTrigger)</f>
        <v>1.6285827748672956E-2</v>
      </c>
      <c r="V90" s="30">
        <f t="shared" si="14"/>
        <v>-4.4162015530833931E-6</v>
      </c>
      <c r="W90" s="29">
        <f>_xll.qlDayCounterYearFraction(DayCounter,SettlementDate,R90,,,Trigger)</f>
        <v>36.536111111111111</v>
      </c>
      <c r="X90" s="29">
        <f>_xll.qlDayCounterYearFraction(DayCounter,R90,S90)</f>
        <v>0.5083333333333333</v>
      </c>
      <c r="Y90" s="29">
        <f>_xll.qlYieldTSDiscount(Currency&amp;"ON",R90)/(1+U90*X90)</f>
        <v>0.56897111593665373</v>
      </c>
      <c r="Z90" s="30">
        <f>_xll.qlTenorBasisValue(TenorBasis6M,R90,InterestRatesTrigger)</f>
        <v>2.1885287949968078E-4</v>
      </c>
      <c r="AA90" s="30">
        <f t="shared" si="15"/>
        <v>-2.2326908105276417E-4</v>
      </c>
    </row>
    <row r="91" spans="15:27" x14ac:dyDescent="0.2">
      <c r="O91" s="33">
        <v>6</v>
      </c>
      <c r="P91" s="27" t="str">
        <f>_xll.qlPeriodEquivalent(P90&amp;"+"&amp;O91&amp;"M")</f>
        <v>36Y6M</v>
      </c>
      <c r="Q91" s="28">
        <f>_xll.qlCalendarAdvance(Calendar,SettlementDate,P91,"f",,Trigger)</f>
        <v>55495</v>
      </c>
      <c r="R91" s="28">
        <f>_xll.qlInterestRateIndexValueDate(Index,Q91,Trigger)</f>
        <v>55499</v>
      </c>
      <c r="S91" s="28">
        <f>_xll.qlInterestRateIndexMaturity(Index,R91,Trigger)</f>
        <v>55682</v>
      </c>
      <c r="T91" s="30">
        <f>_xll.qlIndexFixing($M$6,Q91,,InterestRatesTrigger)</f>
        <v>1.6109264080233856E-2</v>
      </c>
      <c r="U91" s="30">
        <f>_xll.qlIndexFixing(Index,Q91,,InterestRatesTrigger)</f>
        <v>1.6147398774568649E-2</v>
      </c>
      <c r="V91" s="30">
        <f t="shared" si="14"/>
        <v>3.8134694334793218E-5</v>
      </c>
      <c r="W91" s="29">
        <f>_xll.qlDayCounterYearFraction(DayCounter,SettlementDate,R91,,,Trigger)</f>
        <v>37.044444444444444</v>
      </c>
      <c r="X91" s="29">
        <f>_xll.qlDayCounterYearFraction(DayCounter,R91,S91)</f>
        <v>0.5083333333333333</v>
      </c>
      <c r="Y91" s="29">
        <f>_xll.qlYieldTSDiscount(Currency&amp;"ON",R91)/(1+U91*X91)</f>
        <v>0.56433761865147036</v>
      </c>
      <c r="Z91" s="30">
        <f>_xll.qlTenorBasisValue(TenorBasis6M,R91,InterestRatesTrigger)</f>
        <v>2.1466678046604216E-4</v>
      </c>
      <c r="AA91" s="30">
        <f t="shared" si="15"/>
        <v>-1.7653208613124894E-4</v>
      </c>
    </row>
    <row r="92" spans="15:27" x14ac:dyDescent="0.2">
      <c r="O92" s="33">
        <v>6</v>
      </c>
      <c r="P92" s="27" t="str">
        <f>_xll.qlPeriodEquivalent(P91&amp;"+"&amp;O92&amp;"M")</f>
        <v>37Y</v>
      </c>
      <c r="Q92" s="28">
        <f>_xll.qlCalendarAdvance(Calendar,SettlementDate,P92,"f",,Trigger)</f>
        <v>55680</v>
      </c>
      <c r="R92" s="28">
        <f>_xll.qlInterestRateIndexValueDate(Index,Q92,Trigger)</f>
        <v>55682</v>
      </c>
      <c r="S92" s="28">
        <f>_xll.qlInterestRateIndexMaturity(Index,R92,Trigger)</f>
        <v>55865</v>
      </c>
      <c r="T92" s="30">
        <f>_xll.qlIndexFixing($M$6,Q92,,InterestRatesTrigger)</f>
        <v>1.5904775648320064E-2</v>
      </c>
      <c r="U92" s="30">
        <f>_xll.qlIndexFixing(Index,Q92,,InterestRatesTrigger)</f>
        <v>1.6021325592131524E-2</v>
      </c>
      <c r="V92" s="30">
        <f t="shared" si="14"/>
        <v>1.1654994381146005E-4</v>
      </c>
      <c r="W92" s="29">
        <f>_xll.qlDayCounterYearFraction(DayCounter,SettlementDate,R92,,,Trigger)</f>
        <v>37.552777777777777</v>
      </c>
      <c r="X92" s="29">
        <f>_xll.qlDayCounterYearFraction(DayCounter,R92,S92)</f>
        <v>0.5083333333333333</v>
      </c>
      <c r="Y92" s="29">
        <f>_xll.qlYieldTSDiscount(Currency&amp;"ON",R92)/(1+U92*X92)</f>
        <v>0.55978944698487065</v>
      </c>
      <c r="Z92" s="30">
        <f>_xll.qlTenorBasisValue(TenorBasis6M,R92,InterestRatesTrigger)</f>
        <v>2.1076384519850601E-4</v>
      </c>
      <c r="AA92" s="30">
        <f t="shared" si="15"/>
        <v>-9.4213901387045951E-5</v>
      </c>
    </row>
    <row r="93" spans="15:27" x14ac:dyDescent="0.2">
      <c r="O93" s="33">
        <v>6</v>
      </c>
      <c r="P93" s="27" t="str">
        <f>_xll.qlPeriodEquivalent(P92&amp;"+"&amp;O93&amp;"M")</f>
        <v>37Y6M</v>
      </c>
      <c r="Q93" s="28">
        <f>_xll.qlCalendarAdvance(Calendar,SettlementDate,P93,"f",,Trigger)</f>
        <v>55862</v>
      </c>
      <c r="R93" s="28">
        <f>_xll.qlInterestRateIndexValueDate(Index,Q93,Trigger)</f>
        <v>55864</v>
      </c>
      <c r="S93" s="28">
        <f>_xll.qlInterestRateIndexMaturity(Index,R93,Trigger)</f>
        <v>56046</v>
      </c>
      <c r="T93" s="30">
        <f>_xll.qlIndexFixing($M$6,Q93,,InterestRatesTrigger)</f>
        <v>1.5678420372628888E-2</v>
      </c>
      <c r="U93" s="30">
        <f>_xll.qlIndexFixing(Index,Q93,,InterestRatesTrigger)</f>
        <v>1.5908131610101826E-2</v>
      </c>
      <c r="V93" s="30">
        <f t="shared" si="14"/>
        <v>2.2971123747293765E-4</v>
      </c>
      <c r="W93" s="29">
        <f>_xll.qlDayCounterYearFraction(DayCounter,SettlementDate,R93,,,Trigger)</f>
        <v>38.05833333333333</v>
      </c>
      <c r="X93" s="29">
        <f>_xll.qlDayCounterYearFraction(DayCounter,R93,S93)</f>
        <v>0.50555555555555554</v>
      </c>
      <c r="Y93" s="29">
        <f>_xll.qlYieldTSDiscount(Currency&amp;"ON",R93)/(1+U93*X93)</f>
        <v>0.55538019724874732</v>
      </c>
      <c r="Z93" s="30">
        <f>_xll.qlTenorBasisValue(TenorBasis6M,R93,InterestRatesTrigger)</f>
        <v>2.0714493895127449E-4</v>
      </c>
      <c r="AA93" s="30">
        <f t="shared" si="15"/>
        <v>2.2566298521663159E-5</v>
      </c>
    </row>
    <row r="94" spans="15:27" x14ac:dyDescent="0.2">
      <c r="O94" s="33">
        <v>6</v>
      </c>
      <c r="P94" s="27" t="str">
        <f>_xll.qlPeriodEquivalent(P93&amp;"+"&amp;O94&amp;"M")</f>
        <v>38Y</v>
      </c>
      <c r="Q94" s="28">
        <f>_xll.qlCalendarAdvance(Calendar,SettlementDate,P94,"f",,Trigger)</f>
        <v>56044</v>
      </c>
      <c r="R94" s="28">
        <f>_xll.qlInterestRateIndexValueDate(Index,Q94,Trigger)</f>
        <v>56046</v>
      </c>
      <c r="S94" s="28">
        <f>_xll.qlInterestRateIndexMaturity(Index,R94,Trigger)</f>
        <v>56229</v>
      </c>
      <c r="T94" s="30">
        <f>_xll.qlIndexFixing($M$6,Q94,,InterestRatesTrigger)</f>
        <v>1.5428178425166545E-2</v>
      </c>
      <c r="U94" s="30">
        <f>_xll.qlIndexFixing(Index,Q94,,InterestRatesTrigger)</f>
        <v>1.5807278515806662E-2</v>
      </c>
      <c r="V94" s="30">
        <f t="shared" si="14"/>
        <v>3.7910009064011721E-4</v>
      </c>
      <c r="W94" s="29">
        <f>_xll.qlDayCounterYearFraction(DayCounter,SettlementDate,R94,,,Trigger)</f>
        <v>38.56388888888889</v>
      </c>
      <c r="X94" s="29">
        <f>_xll.qlDayCounterYearFraction(DayCounter,R94,S94)</f>
        <v>0.5083333333333333</v>
      </c>
      <c r="Y94" s="29">
        <f>_xll.qlYieldTSDiscount(Currency&amp;"ON",R94)/(1+U94*X94)</f>
        <v>0.55101656723223946</v>
      </c>
      <c r="Z94" s="30">
        <f>_xll.qlTenorBasisValue(TenorBasis6M,R94,InterestRatesTrigger)</f>
        <v>2.0377103746949726E-4</v>
      </c>
      <c r="AA94" s="30">
        <f t="shared" si="15"/>
        <v>1.7532905317061995E-4</v>
      </c>
    </row>
    <row r="95" spans="15:27" x14ac:dyDescent="0.2">
      <c r="O95" s="33">
        <v>6</v>
      </c>
      <c r="P95" s="27" t="str">
        <f>_xll.qlPeriodEquivalent(P94&amp;"+"&amp;O95&amp;"M")</f>
        <v>38Y6M</v>
      </c>
      <c r="Q95" s="28">
        <f>_xll.qlCalendarAdvance(Calendar,SettlementDate,P95,"f",,Trigger)</f>
        <v>56226</v>
      </c>
      <c r="R95" s="28">
        <f>_xll.qlInterestRateIndexValueDate(Index,Q95,Trigger)</f>
        <v>56228</v>
      </c>
      <c r="S95" s="28">
        <f>_xll.qlInterestRateIndexMaturity(Index,R95,Trigger)</f>
        <v>56410</v>
      </c>
      <c r="T95" s="30">
        <f>_xll.qlIndexFixing($M$6,Q95,,InterestRatesTrigger)</f>
        <v>1.5155507538013991E-2</v>
      </c>
      <c r="U95" s="30">
        <f>_xll.qlIndexFixing(Index,Q95,,InterestRatesTrigger)</f>
        <v>1.5718457263726712E-2</v>
      </c>
      <c r="V95" s="30">
        <f t="shared" si="14"/>
        <v>5.6294972571272091E-4</v>
      </c>
      <c r="W95" s="29">
        <f>_xll.qlDayCounterYearFraction(DayCounter,SettlementDate,R95,,,Trigger)</f>
        <v>39.069444444444443</v>
      </c>
      <c r="X95" s="29">
        <f>_xll.qlDayCounterYearFraction(DayCounter,R95,S95)</f>
        <v>0.50555555555555554</v>
      </c>
      <c r="Y95" s="29">
        <f>_xll.qlYieldTSDiscount(Currency&amp;"ON",R95)/(1+U95*X95)</f>
        <v>0.54680007660323859</v>
      </c>
      <c r="Z95" s="30">
        <f>_xll.qlTenorBasisValue(TenorBasis6M,R95,InterestRatesTrigger)</f>
        <v>2.0062622024957728E-4</v>
      </c>
      <c r="AA95" s="30">
        <f t="shared" si="15"/>
        <v>3.6232350546314362E-4</v>
      </c>
    </row>
    <row r="96" spans="15:27" x14ac:dyDescent="0.2">
      <c r="O96" s="33">
        <v>6</v>
      </c>
      <c r="P96" s="27" t="str">
        <f>_xll.qlPeriodEquivalent(P95&amp;"+"&amp;O96&amp;"M")</f>
        <v>39Y</v>
      </c>
      <c r="Q96" s="28">
        <f>_xll.qlCalendarAdvance(Calendar,SettlementDate,P96,"f",,Trigger)</f>
        <v>56408</v>
      </c>
      <c r="R96" s="28">
        <f>_xll.qlInterestRateIndexValueDate(Index,Q96,Trigger)</f>
        <v>56410</v>
      </c>
      <c r="S96" s="28">
        <f>_xll.qlInterestRateIndexMaturity(Index,R96,Trigger)</f>
        <v>56593</v>
      </c>
      <c r="T96" s="30">
        <f>_xll.qlIndexFixing($M$6,Q96,,InterestRatesTrigger)</f>
        <v>1.4858668516289465E-2</v>
      </c>
      <c r="U96" s="30">
        <f>_xll.qlIndexFixing(Index,Q96,,InterestRatesTrigger)</f>
        <v>1.5642091027172077E-2</v>
      </c>
      <c r="V96" s="30">
        <f t="shared" si="14"/>
        <v>7.8342251088261289E-4</v>
      </c>
      <c r="W96" s="29">
        <f>_xll.qlDayCounterYearFraction(DayCounter,SettlementDate,R96,,,Trigger)</f>
        <v>39.575000000000003</v>
      </c>
      <c r="X96" s="29">
        <f>_xll.qlDayCounterYearFraction(DayCounter,R96,S96)</f>
        <v>0.5083333333333333</v>
      </c>
      <c r="Y96" s="29">
        <f>_xll.qlYieldTSDiscount(Currency&amp;"ON",R96)/(1+U96*X96)</f>
        <v>0.54263977006039532</v>
      </c>
      <c r="Z96" s="30">
        <f>_xll.qlTenorBasisValue(TenorBasis6M,R96,InterestRatesTrigger)</f>
        <v>1.9769553626567671E-4</v>
      </c>
      <c r="AA96" s="30">
        <f t="shared" si="15"/>
        <v>5.8572697461693616E-4</v>
      </c>
    </row>
    <row r="97" spans="15:27" x14ac:dyDescent="0.2">
      <c r="O97" s="33">
        <v>6</v>
      </c>
      <c r="P97" s="27" t="str">
        <f>_xll.qlPeriodEquivalent(P96&amp;"+"&amp;O97&amp;"M")</f>
        <v>39Y6M</v>
      </c>
      <c r="Q97" s="28">
        <f>_xll.qlCalendarAdvance(Calendar,SettlementDate,P97,"f",,Trigger)</f>
        <v>56591</v>
      </c>
      <c r="R97" s="28">
        <f>_xll.qlInterestRateIndexValueDate(Index,Q97,Trigger)</f>
        <v>56593</v>
      </c>
      <c r="S97" s="28">
        <f>_xll.qlInterestRateIndexMaturity(Index,R97,Trigger)</f>
        <v>56775</v>
      </c>
      <c r="T97" s="30">
        <f>_xll.qlIndexFixing($M$6,Q97,,InterestRatesTrigger)</f>
        <v>1.4537903791159067E-2</v>
      </c>
      <c r="U97" s="30">
        <f>_xll.qlIndexFixing(Index,Q97,,InterestRatesTrigger)</f>
        <v>1.5577314150493678E-2</v>
      </c>
      <c r="V97" s="30">
        <f t="shared" si="14"/>
        <v>1.0394103593346117E-3</v>
      </c>
      <c r="W97" s="29">
        <f>_xll.qlDayCounterYearFraction(DayCounter,SettlementDate,R97,,,Trigger)</f>
        <v>40.083333333333336</v>
      </c>
      <c r="X97" s="29">
        <f>_xll.qlDayCounterYearFraction(DayCounter,R97,S97)</f>
        <v>0.50555555555555554</v>
      </c>
      <c r="Y97" s="29">
        <f>_xll.qlYieldTSDiscount(Currency&amp;"ON",R97)/(1+U97*X97)</f>
        <v>0.53861257031451715</v>
      </c>
      <c r="Z97" s="30">
        <f>_xll.qlTenorBasisValue(TenorBasis6M,R97,InterestRatesTrigger)</f>
        <v>1.9495047637680039E-4</v>
      </c>
      <c r="AA97" s="30">
        <f t="shared" si="15"/>
        <v>8.4445988295781134E-4</v>
      </c>
    </row>
    <row r="98" spans="15:27" x14ac:dyDescent="0.2">
      <c r="O98" s="33">
        <v>6</v>
      </c>
      <c r="P98" s="27" t="str">
        <f>_xll.qlPeriodEquivalent(P97&amp;"+"&amp;O98&amp;"M")</f>
        <v>40Y</v>
      </c>
      <c r="Q98" s="28">
        <f>_xll.qlCalendarAdvance(Calendar,SettlementDate,P98,"f",,Trigger)</f>
        <v>56773</v>
      </c>
      <c r="R98" s="28">
        <f>_xll.qlInterestRateIndexValueDate(Index,Q98,Trigger)</f>
        <v>56775</v>
      </c>
      <c r="S98" s="28">
        <f>_xll.qlInterestRateIndexMaturity(Index,R98,Trigger)</f>
        <v>56958</v>
      </c>
      <c r="T98" s="30">
        <f>_xll.qlIndexFixing($M$6,Q98,,InterestRatesTrigger)</f>
        <v>1.4203046532188913E-2</v>
      </c>
      <c r="U98" s="30">
        <f>_xll.qlIndexFixing(Index,Q98,,InterestRatesTrigger)</f>
        <v>1.5514452462912972E-2</v>
      </c>
      <c r="V98" s="30">
        <f t="shared" si="14"/>
        <v>1.3114059307240584E-3</v>
      </c>
      <c r="W98" s="29">
        <f>_xll.qlDayCounterYearFraction(DayCounter,SettlementDate,R98,,,Trigger)</f>
        <v>40.588888888888889</v>
      </c>
      <c r="X98" s="29">
        <f>_xll.qlDayCounterYearFraction(DayCounter,R98,S98)</f>
        <v>0.5083333333333333</v>
      </c>
      <c r="Y98" s="29">
        <f>_xll.qlYieldTSDiscount(Currency&amp;"ON",R98)/(1+U98*X98)</f>
        <v>0.53467679955359404</v>
      </c>
      <c r="Z98" s="30">
        <f>_xll.qlTenorBasisValue(TenorBasis6M,R98,InterestRatesTrigger)</f>
        <v>1.9240781595334419E-4</v>
      </c>
      <c r="AA98" s="30">
        <f t="shared" si="15"/>
        <v>1.1189981147707142E-3</v>
      </c>
    </row>
    <row r="99" spans="15:27" x14ac:dyDescent="0.2">
      <c r="O99" s="33">
        <v>6</v>
      </c>
      <c r="P99" s="27" t="str">
        <f>_xll.qlPeriodEquivalent(P98&amp;"+"&amp;O99&amp;"M")</f>
        <v>40Y6M</v>
      </c>
      <c r="Q99" s="28">
        <f>_xll.qlCalendarAdvance(Calendar,SettlementDate,P99,"f",,Trigger)</f>
        <v>56956</v>
      </c>
      <c r="R99" s="28">
        <f>_xll.qlInterestRateIndexValueDate(Index,Q99,Trigger)</f>
        <v>56958</v>
      </c>
      <c r="S99" s="28">
        <f>_xll.qlInterestRateIndexMaturity(Index,R99,Trigger)</f>
        <v>57143</v>
      </c>
      <c r="T99" s="30">
        <f>_xll.qlIndexFixing($M$6,Q99,,InterestRatesTrigger)</f>
        <v>1.3884666405430906E-2</v>
      </c>
      <c r="U99" s="30">
        <f>_xll.qlIndexFixing(Index,Q99,,InterestRatesTrigger)</f>
        <v>1.5409526114640677E-2</v>
      </c>
      <c r="V99" s="30">
        <f t="shared" si="14"/>
        <v>1.5248597092097707E-3</v>
      </c>
      <c r="W99" s="29">
        <f>_xll.qlDayCounterYearFraction(DayCounter,SettlementDate,R99,,,Trigger)</f>
        <v>41.097222222222221</v>
      </c>
      <c r="X99" s="29">
        <f>_xll.qlDayCounterYearFraction(DayCounter,R99,S99)</f>
        <v>0.51388888888888884</v>
      </c>
      <c r="Y99" s="29">
        <f>_xll.qlYieldTSDiscount(Currency&amp;"ON",R99)/(1+U99*X99)</f>
        <v>0.53082717107294342</v>
      </c>
      <c r="Z99" s="30">
        <f>_xll.qlTenorBasisValue(TenorBasis6M,R99,InterestRatesTrigger)</f>
        <v>1.9002712181933018E-4</v>
      </c>
      <c r="AA99" s="30">
        <f t="shared" si="15"/>
        <v>1.3348325873904405E-3</v>
      </c>
    </row>
    <row r="100" spans="15:27" x14ac:dyDescent="0.2">
      <c r="O100" s="33">
        <v>6</v>
      </c>
      <c r="P100" s="27" t="str">
        <f>_xll.qlPeriodEquivalent(P99&amp;"+"&amp;O100&amp;"M")</f>
        <v>41Y</v>
      </c>
      <c r="Q100" s="28">
        <f>_xll.qlCalendarAdvance(Calendar,SettlementDate,P100,"f",,Trigger)</f>
        <v>57139</v>
      </c>
      <c r="R100" s="28">
        <f>_xll.qlInterestRateIndexValueDate(Index,Q100,Trigger)</f>
        <v>57143</v>
      </c>
      <c r="S100" s="28">
        <f>_xll.qlInterestRateIndexMaturity(Index,R100,Trigger)</f>
        <v>57326</v>
      </c>
      <c r="T100" s="30">
        <f>_xll.qlIndexFixing($M$6,Q100,,InterestRatesTrigger)</f>
        <v>1.3592339695689987E-2</v>
      </c>
      <c r="U100" s="30">
        <f>_xll.qlIndexFixing(Index,Q100,,InterestRatesTrigger)</f>
        <v>1.5251015886401436E-2</v>
      </c>
      <c r="V100" s="30">
        <f t="shared" si="14"/>
        <v>1.6586761907114497E-3</v>
      </c>
      <c r="W100" s="29">
        <f>_xll.qlDayCounterYearFraction(DayCounter,SettlementDate,R100,,,Trigger)</f>
        <v>41.611111111111114</v>
      </c>
      <c r="X100" s="29">
        <f>_xll.qlDayCounterYearFraction(DayCounter,R100,S100)</f>
        <v>0.5083333333333333</v>
      </c>
      <c r="Y100" s="29">
        <f>_xll.qlYieldTSDiscount(Currency&amp;"ON",R100)/(1+U100*X100)</f>
        <v>0.52715337568579412</v>
      </c>
      <c r="Z100" s="30">
        <f>_xll.qlTenorBasisValue(TenorBasis6M,R100,InterestRatesTrigger)</f>
        <v>1.877877568419149E-4</v>
      </c>
      <c r="AA100" s="30">
        <f t="shared" si="15"/>
        <v>1.4708884338695348E-3</v>
      </c>
    </row>
    <row r="101" spans="15:27" x14ac:dyDescent="0.2">
      <c r="O101" s="33">
        <v>6</v>
      </c>
      <c r="P101" s="27" t="str">
        <f>_xll.qlPeriodEquivalent(P100&amp;"+"&amp;O101&amp;"M")</f>
        <v>41Y6M</v>
      </c>
      <c r="Q101" s="28">
        <f>_xll.qlCalendarAdvance(Calendar,SettlementDate,P101,"f",,Trigger)</f>
        <v>57322</v>
      </c>
      <c r="R101" s="28">
        <f>_xll.qlInterestRateIndexValueDate(Index,Q101,Trigger)</f>
        <v>57326</v>
      </c>
      <c r="S101" s="28">
        <f>_xll.qlInterestRateIndexMaturity(Index,R101,Trigger)</f>
        <v>57508</v>
      </c>
      <c r="T101" s="30">
        <f>_xll.qlIndexFixing($M$6,Q101,,InterestRatesTrigger)</f>
        <v>1.3329519766996277E-2</v>
      </c>
      <c r="U101" s="30">
        <f>_xll.qlIndexFixing(Index,Q101,,InterestRatesTrigger)</f>
        <v>1.5042401138187242E-2</v>
      </c>
      <c r="V101" s="30">
        <f t="shared" si="14"/>
        <v>1.7128813711909645E-3</v>
      </c>
      <c r="W101" s="29">
        <f>_xll.qlDayCounterYearFraction(DayCounter,SettlementDate,R101,,,Trigger)</f>
        <v>42.119444444444447</v>
      </c>
      <c r="X101" s="29">
        <f>_xll.qlDayCounterYearFraction(DayCounter,R101,S101)</f>
        <v>0.50555555555555554</v>
      </c>
      <c r="Y101" s="29">
        <f>_xll.qlYieldTSDiscount(Currency&amp;"ON",R101)/(1+U101*X101)</f>
        <v>0.523612845558035</v>
      </c>
      <c r="Z101" s="30">
        <f>_xll.qlTenorBasisValue(TenorBasis6M,R101,InterestRatesTrigger)</f>
        <v>1.8572702541078484E-4</v>
      </c>
      <c r="AA101" s="30">
        <f t="shared" si="15"/>
        <v>1.5271543457801796E-3</v>
      </c>
    </row>
    <row r="102" spans="15:27" x14ac:dyDescent="0.2">
      <c r="O102" s="33">
        <v>6</v>
      </c>
      <c r="P102" s="27" t="str">
        <f>_xll.qlPeriodEquivalent(P101&amp;"+"&amp;O102&amp;"M")</f>
        <v>42Y</v>
      </c>
      <c r="Q102" s="28">
        <f>_xll.qlCalendarAdvance(Calendar,SettlementDate,P102,"f",,Trigger)</f>
        <v>57504</v>
      </c>
      <c r="R102" s="28">
        <f>_xll.qlInterestRateIndexValueDate(Index,Q102,Trigger)</f>
        <v>57508</v>
      </c>
      <c r="S102" s="28">
        <f>_xll.qlInterestRateIndexMaturity(Index,R102,Trigger)</f>
        <v>57691</v>
      </c>
      <c r="T102" s="30">
        <f>_xll.qlIndexFixing($M$6,Q102,,InterestRatesTrigger)</f>
        <v>1.3093924045380118E-2</v>
      </c>
      <c r="U102" s="30">
        <f>_xll.qlIndexFixing(Index,Q102,,InterestRatesTrigger)</f>
        <v>1.4782882037443044E-2</v>
      </c>
      <c r="V102" s="30">
        <f t="shared" si="14"/>
        <v>1.6889579920629262E-3</v>
      </c>
      <c r="W102" s="29">
        <f>_xll.qlDayCounterYearFraction(DayCounter,SettlementDate,R102,,,Trigger)</f>
        <v>42.625</v>
      </c>
      <c r="X102" s="29">
        <f>_xll.qlDayCounterYearFraction(DayCounter,R102,S102)</f>
        <v>0.5083333333333333</v>
      </c>
      <c r="Y102" s="29">
        <f>_xll.qlYieldTSDiscount(Currency&amp;"ON",R102)/(1+U102*X102)</f>
        <v>0.52015446725625447</v>
      </c>
      <c r="Z102" s="30">
        <f>_xll.qlTenorBasisValue(TenorBasis6M,R102,InterestRatesTrigger)</f>
        <v>1.838196368887679E-4</v>
      </c>
      <c r="AA102" s="30">
        <f t="shared" si="15"/>
        <v>1.5051383551741584E-3</v>
      </c>
    </row>
    <row r="103" spans="15:27" x14ac:dyDescent="0.2">
      <c r="O103" s="33">
        <v>6</v>
      </c>
      <c r="P103" s="27" t="str">
        <f>_xll.qlPeriodEquivalent(P102&amp;"+"&amp;O103&amp;"M")</f>
        <v>42Y6M</v>
      </c>
      <c r="Q103" s="28">
        <f>_xll.qlCalendarAdvance(Calendar,SettlementDate,P103,"f",,Trigger)</f>
        <v>57689</v>
      </c>
      <c r="R103" s="28">
        <f>_xll.qlInterestRateIndexValueDate(Index,Q103,Trigger)</f>
        <v>57691</v>
      </c>
      <c r="S103" s="28">
        <f>_xll.qlInterestRateIndexMaturity(Index,R103,Trigger)</f>
        <v>57873</v>
      </c>
      <c r="T103" s="30">
        <f>_xll.qlIndexFixing($M$6,Q103,,InterestRatesTrigger)</f>
        <v>1.2884525533455548E-2</v>
      </c>
      <c r="U103" s="30">
        <f>_xll.qlIndexFixing(Index,Q103,,InterestRatesTrigger)</f>
        <v>1.4471342315983085E-2</v>
      </c>
      <c r="V103" s="30">
        <f t="shared" si="14"/>
        <v>1.5868167825275371E-3</v>
      </c>
      <c r="W103" s="29">
        <f>_xll.qlDayCounterYearFraction(DayCounter,SettlementDate,R103,,,Trigger)</f>
        <v>43.133333333333333</v>
      </c>
      <c r="X103" s="29">
        <f>_xll.qlDayCounterYearFraction(DayCounter,R103,S103)</f>
        <v>0.50555555555555554</v>
      </c>
      <c r="Y103" s="29">
        <f>_xll.qlYieldTSDiscount(Currency&amp;"ON",R103)/(1+U103*X103)</f>
        <v>0.51681702669540563</v>
      </c>
      <c r="Z103" s="30">
        <f>_xll.qlTenorBasisValue(TenorBasis6M,R103,InterestRatesTrigger)</f>
        <v>1.8203502356277249E-4</v>
      </c>
      <c r="AA103" s="30">
        <f t="shared" si="15"/>
        <v>1.4047817589647646E-3</v>
      </c>
    </row>
    <row r="104" spans="15:27" x14ac:dyDescent="0.2">
      <c r="O104" s="33">
        <v>6</v>
      </c>
      <c r="P104" s="27" t="str">
        <f>_xll.qlPeriodEquivalent(P103&amp;"+"&amp;O104&amp;"M")</f>
        <v>43Y</v>
      </c>
      <c r="Q104" s="28">
        <f>_xll.qlCalendarAdvance(Calendar,SettlementDate,P104,"f",,Trigger)</f>
        <v>57871</v>
      </c>
      <c r="R104" s="28">
        <f>_xll.qlInterestRateIndexValueDate(Index,Q104,Trigger)</f>
        <v>57873</v>
      </c>
      <c r="S104" s="28">
        <f>_xll.qlInterestRateIndexMaturity(Index,R104,Trigger)</f>
        <v>58056</v>
      </c>
      <c r="T104" s="30">
        <f>_xll.qlIndexFixing($M$6,Q104,,InterestRatesTrigger)</f>
        <v>1.2702300939042784E-2</v>
      </c>
      <c r="U104" s="30">
        <f>_xll.qlIndexFixing(Index,Q104,,InterestRatesTrigger)</f>
        <v>1.4108896120350092E-2</v>
      </c>
      <c r="V104" s="30">
        <f t="shared" si="14"/>
        <v>1.4065951813073078E-3</v>
      </c>
      <c r="W104" s="29">
        <f>_xll.qlDayCounterYearFraction(DayCounter,SettlementDate,R104,,,Trigger)</f>
        <v>43.638888888888886</v>
      </c>
      <c r="X104" s="29">
        <f>_xll.qlDayCounterYearFraction(DayCounter,R104,S104)</f>
        <v>0.5083333333333333</v>
      </c>
      <c r="Y104" s="29">
        <f>_xll.qlYieldTSDiscount(Currency&amp;"ON",R104)/(1+U104*X104)</f>
        <v>0.5135457847906163</v>
      </c>
      <c r="Z104" s="30">
        <f>_xll.qlTenorBasisValue(TenorBasis6M,R104,InterestRatesTrigger)</f>
        <v>1.8038376375230857E-4</v>
      </c>
      <c r="AA104" s="30">
        <f t="shared" si="15"/>
        <v>1.2262114175549993E-3</v>
      </c>
    </row>
    <row r="105" spans="15:27" x14ac:dyDescent="0.2">
      <c r="O105" s="33">
        <v>6</v>
      </c>
      <c r="P105" s="27" t="str">
        <f>_xll.qlPeriodEquivalent(P104&amp;"+"&amp;O105&amp;"M")</f>
        <v>43Y6M</v>
      </c>
      <c r="Q105" s="28">
        <f>_xll.qlCalendarAdvance(Calendar,SettlementDate,P105,"f",,Trigger)</f>
        <v>58053</v>
      </c>
      <c r="R105" s="28">
        <f>_xll.qlInterestRateIndexValueDate(Index,Q105,Trigger)</f>
        <v>58055</v>
      </c>
      <c r="S105" s="28">
        <f>_xll.qlInterestRateIndexMaturity(Index,R105,Trigger)</f>
        <v>58237</v>
      </c>
      <c r="T105" s="30">
        <f>_xll.qlIndexFixing($M$6,Q105,,InterestRatesTrigger)</f>
        <v>1.2547066687223014E-2</v>
      </c>
      <c r="U105" s="30">
        <f>_xll.qlIndexFixing(Index,Q105,,InterestRatesTrigger)</f>
        <v>1.3696944522616519E-2</v>
      </c>
      <c r="V105" s="30">
        <f t="shared" si="14"/>
        <v>1.1498778353935049E-3</v>
      </c>
      <c r="W105" s="29">
        <f>_xll.qlDayCounterYearFraction(DayCounter,SettlementDate,R105,,,Trigger)</f>
        <v>44.144444444444446</v>
      </c>
      <c r="X105" s="29">
        <f>_xll.qlDayCounterYearFraction(DayCounter,R105,S105)</f>
        <v>0.50555555555555554</v>
      </c>
      <c r="Y105" s="29">
        <f>_xll.qlYieldTSDiscount(Currency&amp;"ON",R105)/(1+U105*X105)</f>
        <v>0.51039432318440492</v>
      </c>
      <c r="Z105" s="30">
        <f>_xll.qlTenorBasisValue(TenorBasis6M,R105,InterestRatesTrigger)</f>
        <v>1.7884743873099743E-4</v>
      </c>
      <c r="AA105" s="30">
        <f t="shared" si="15"/>
        <v>9.7103039666250742E-4</v>
      </c>
    </row>
    <row r="106" spans="15:27" x14ac:dyDescent="0.2">
      <c r="O106" s="33">
        <v>6</v>
      </c>
      <c r="P106" s="27" t="str">
        <f>_xll.qlPeriodEquivalent(P105&amp;"+"&amp;O106&amp;"M")</f>
        <v>44Y</v>
      </c>
      <c r="Q106" s="28">
        <f>_xll.qlCalendarAdvance(Calendar,SettlementDate,P106,"f",,Trigger)</f>
        <v>58235</v>
      </c>
      <c r="R106" s="28">
        <f>_xll.qlInterestRateIndexValueDate(Index,Q106,Trigger)</f>
        <v>58237</v>
      </c>
      <c r="S106" s="28">
        <f>_xll.qlInterestRateIndexMaturity(Index,R106,Trigger)</f>
        <v>58420</v>
      </c>
      <c r="T106" s="30">
        <f>_xll.qlIndexFixing($M$6,Q106,,InterestRatesTrigger)</f>
        <v>1.241804183546822E-2</v>
      </c>
      <c r="U106" s="30">
        <f>_xll.qlIndexFixing(Index,Q106,,InterestRatesTrigger)</f>
        <v>1.3231958856383579E-2</v>
      </c>
      <c r="V106" s="30">
        <f t="shared" si="14"/>
        <v>8.1391702091535879E-4</v>
      </c>
      <c r="W106" s="29">
        <f>_xll.qlDayCounterYearFraction(DayCounter,SettlementDate,R106,,,Trigger)</f>
        <v>44.65</v>
      </c>
      <c r="X106" s="29">
        <f>_xll.qlDayCounterYearFraction(DayCounter,R106,S106)</f>
        <v>0.5083333333333333</v>
      </c>
      <c r="Y106" s="29">
        <f>_xll.qlYieldTSDiscount(Currency&amp;"ON",R106)/(1+U106*X106)</f>
        <v>0.5072770886732697</v>
      </c>
      <c r="Z106" s="30">
        <f>_xll.qlTenorBasisValue(TenorBasis6M,R106,InterestRatesTrigger)</f>
        <v>1.7741827340636755E-4</v>
      </c>
      <c r="AA106" s="30">
        <f t="shared" si="15"/>
        <v>6.3649874750899122E-4</v>
      </c>
    </row>
    <row r="107" spans="15:27" x14ac:dyDescent="0.2">
      <c r="O107" s="33">
        <v>6</v>
      </c>
      <c r="P107" s="27" t="str">
        <f>_xll.qlPeriodEquivalent(P106&amp;"+"&amp;O107&amp;"M")</f>
        <v>44Y6M</v>
      </c>
      <c r="Q107" s="28">
        <f>_xll.qlCalendarAdvance(Calendar,SettlementDate,P107,"f",,Trigger)</f>
        <v>58417</v>
      </c>
      <c r="R107" s="28">
        <f>_xll.qlInterestRateIndexValueDate(Index,Q107,Trigger)</f>
        <v>58419</v>
      </c>
      <c r="S107" s="28">
        <f>_xll.qlInterestRateIndexMaturity(Index,R107,Trigger)</f>
        <v>58602</v>
      </c>
      <c r="T107" s="30">
        <f>_xll.qlIndexFixing($M$6,Q107,,InterestRatesTrigger)</f>
        <v>1.2315701787902665E-2</v>
      </c>
      <c r="U107" s="30">
        <f>_xll.qlIndexFixing(Index,Q107,,InterestRatesTrigger)</f>
        <v>1.2716878905408209E-2</v>
      </c>
      <c r="V107" s="30">
        <f t="shared" si="14"/>
        <v>4.0117711750554431E-4</v>
      </c>
      <c r="W107" s="29">
        <f>_xll.qlDayCounterYearFraction(DayCounter,SettlementDate,R107,,,Trigger)</f>
        <v>45.155555555555559</v>
      </c>
      <c r="X107" s="29">
        <f>_xll.qlDayCounterYearFraction(DayCounter,R107,S107)</f>
        <v>0.5083333333333333</v>
      </c>
      <c r="Y107" s="29">
        <f>_xll.qlYieldTSDiscount(Currency&amp;"ON",R107)/(1+U107*X107)</f>
        <v>0.5042433886541362</v>
      </c>
      <c r="Z107" s="30">
        <f>_xll.qlTenorBasisValue(TenorBasis6M,R107,InterestRatesTrigger)</f>
        <v>1.7608899731482848E-4</v>
      </c>
      <c r="AA107" s="30">
        <f t="shared" si="15"/>
        <v>2.2508812019071583E-4</v>
      </c>
    </row>
    <row r="108" spans="15:27" x14ac:dyDescent="0.2">
      <c r="O108" s="33">
        <v>6</v>
      </c>
      <c r="P108" s="27" t="str">
        <f>_xll.qlPeriodEquivalent(P107&amp;"+"&amp;O108&amp;"M")</f>
        <v>45Y</v>
      </c>
      <c r="Q108" s="28">
        <f>_xll.qlCalendarAdvance(Calendar,SettlementDate,P108,"f",,Trigger)</f>
        <v>58600</v>
      </c>
      <c r="R108" s="28">
        <f>_xll.qlInterestRateIndexValueDate(Index,Q108,Trigger)</f>
        <v>58602</v>
      </c>
      <c r="S108" s="28">
        <f>_xll.qlInterestRateIndexMaturity(Index,R108,Trigger)</f>
        <v>58785</v>
      </c>
      <c r="T108" s="30">
        <f>_xll.qlIndexFixing($M$6,Q108,,InterestRatesTrigger)</f>
        <v>1.2239538898957089E-2</v>
      </c>
      <c r="U108" s="30">
        <f>_xll.qlIndexFixing(Index,Q108,,InterestRatesTrigger)</f>
        <v>1.2172758668202889E-2</v>
      </c>
      <c r="V108" s="30">
        <f t="shared" si="14"/>
        <v>-6.6780230754199393E-5</v>
      </c>
      <c r="W108" s="29">
        <f>_xll.qlDayCounterYearFraction(DayCounter,SettlementDate,R108,,,Trigger)</f>
        <v>45.663888888888891</v>
      </c>
      <c r="X108" s="29">
        <f>_xll.qlDayCounterYearFraction(DayCounter,R108,S108)</f>
        <v>0.5083333333333333</v>
      </c>
      <c r="Y108" s="29">
        <f>_xll.qlYieldTSDiscount(Currency&amp;"ON",R108)/(1+U108*X108)</f>
        <v>0.50124397312328117</v>
      </c>
      <c r="Z108" s="30">
        <f>_xll.qlTenorBasisValue(TenorBasis6M,R108,InterestRatesTrigger)</f>
        <v>1.7484626696597671E-4</v>
      </c>
      <c r="AA108" s="30">
        <f t="shared" si="15"/>
        <v>-2.416264977201761E-4</v>
      </c>
    </row>
    <row r="109" spans="15:27" x14ac:dyDescent="0.2">
      <c r="O109" s="33">
        <v>6</v>
      </c>
      <c r="P109" s="27" t="str">
        <f>_xll.qlPeriodEquivalent(P108&amp;"+"&amp;O109&amp;"M")</f>
        <v>45Y6M</v>
      </c>
      <c r="Q109" s="28">
        <f>_xll.qlCalendarAdvance(Calendar,SettlementDate,P109,"f",,Trigger)</f>
        <v>58783</v>
      </c>
      <c r="R109" s="28">
        <f>_xll.qlInterestRateIndexValueDate(Index,Q109,Trigger)</f>
        <v>58785</v>
      </c>
      <c r="S109" s="28">
        <f>_xll.qlInterestRateIndexMaturity(Index,R109,Trigger)</f>
        <v>58967</v>
      </c>
      <c r="T109" s="30">
        <f>_xll.qlIndexFixing($M$6,Q109,,InterestRatesTrigger)</f>
        <v>1.2190065830729055E-2</v>
      </c>
      <c r="U109" s="30">
        <f>_xll.qlIndexFixing(Index,Q109,,InterestRatesTrigger)</f>
        <v>1.1704128425897634E-2</v>
      </c>
      <c r="V109" s="30">
        <f t="shared" si="14"/>
        <v>-4.8593740483142064E-4</v>
      </c>
      <c r="W109" s="29">
        <f>_xll.qlDayCounterYearFraction(DayCounter,SettlementDate,R109,,,Trigger)</f>
        <v>46.172222222222224</v>
      </c>
      <c r="X109" s="29">
        <f>_xll.qlDayCounterYearFraction(DayCounter,R109,S109)</f>
        <v>0.50555555555555554</v>
      </c>
      <c r="Y109" s="29">
        <f>_xll.qlYieldTSDiscount(Currency&amp;"ON",R109)/(1+U109*X109)</f>
        <v>0.49827870428048848</v>
      </c>
      <c r="Z109" s="30">
        <f>_xll.qlTenorBasisValue(TenorBasis6M,R109,InterestRatesTrigger)</f>
        <v>1.7369119990109669E-4</v>
      </c>
      <c r="AA109" s="30">
        <f t="shared" si="15"/>
        <v>-6.5962860473251731E-4</v>
      </c>
    </row>
    <row r="110" spans="15:27" x14ac:dyDescent="0.2">
      <c r="O110" s="33">
        <v>6</v>
      </c>
      <c r="P110" s="27" t="str">
        <f>_xll.qlPeriodEquivalent(P109&amp;"+"&amp;O110&amp;"M")</f>
        <v>46Y</v>
      </c>
      <c r="Q110" s="28">
        <f>_xll.qlCalendarAdvance(Calendar,SettlementDate,P110,"f",,Trigger)</f>
        <v>58965</v>
      </c>
      <c r="R110" s="28">
        <f>_xll.qlInterestRateIndexValueDate(Index,Q110,Trigger)</f>
        <v>58967</v>
      </c>
      <c r="S110" s="28">
        <f>_xll.qlInterestRateIndexMaturity(Index,R110,Trigger)</f>
        <v>59152</v>
      </c>
      <c r="T110" s="30">
        <f>_xll.qlIndexFixing($M$6,Q110,,InterestRatesTrigger)</f>
        <v>1.2168074996849937E-2</v>
      </c>
      <c r="U110" s="30">
        <f>_xll.qlIndexFixing(Index,Q110,,InterestRatesTrigger)</f>
        <v>1.1333869694828157E-2</v>
      </c>
      <c r="V110" s="30">
        <f t="shared" si="14"/>
        <v>-8.3420530202178017E-4</v>
      </c>
      <c r="W110" s="29">
        <f>_xll.qlDayCounterYearFraction(DayCounter,SettlementDate,R110,,,Trigger)</f>
        <v>46.677777777777777</v>
      </c>
      <c r="X110" s="29">
        <f>_xll.qlDayCounterYearFraction(DayCounter,R110,S110)</f>
        <v>0.51388888888888884</v>
      </c>
      <c r="Y110" s="29">
        <f>_xll.qlYieldTSDiscount(Currency&amp;"ON",R110)/(1+U110*X110)</f>
        <v>0.49527240306701836</v>
      </c>
      <c r="Z110" s="30">
        <f>_xll.qlTenorBasisValue(TenorBasis6M,R110,InterestRatesTrigger)</f>
        <v>1.7262342134378343E-4</v>
      </c>
      <c r="AA110" s="30">
        <f t="shared" si="15"/>
        <v>-1.0068287233655636E-3</v>
      </c>
    </row>
    <row r="111" spans="15:27" x14ac:dyDescent="0.2">
      <c r="O111" s="33">
        <v>6</v>
      </c>
      <c r="P111" s="27" t="str">
        <f>_xll.qlPeriodEquivalent(P110&amp;"+"&amp;O111&amp;"M")</f>
        <v>46Y6M</v>
      </c>
      <c r="Q111" s="28">
        <f>_xll.qlCalendarAdvance(Calendar,SettlementDate,P111,"f",,Trigger)</f>
        <v>59148</v>
      </c>
      <c r="R111" s="28">
        <f>_xll.qlInterestRateIndexValueDate(Index,Q111,Trigger)</f>
        <v>59152</v>
      </c>
      <c r="S111" s="28">
        <f>_xll.qlInterestRateIndexMaturity(Index,R111,Trigger)</f>
        <v>59334</v>
      </c>
      <c r="T111" s="30">
        <f>_xll.qlIndexFixing($M$6,Q111,,InterestRatesTrigger)</f>
        <v>1.2171731971244413E-2</v>
      </c>
      <c r="U111" s="30">
        <f>_xll.qlIndexFixing(Index,Q111,,InterestRatesTrigger)</f>
        <v>1.1062503628663144E-2</v>
      </c>
      <c r="V111" s="30">
        <f t="shared" si="14"/>
        <v>-1.1092283425812692E-3</v>
      </c>
      <c r="W111" s="29">
        <f>_xll.qlDayCounterYearFraction(DayCounter,SettlementDate,R111,,,Trigger)</f>
        <v>47.19166666666667</v>
      </c>
      <c r="X111" s="29">
        <f>_xll.qlDayCounterYearFraction(DayCounter,R111,S111)</f>
        <v>0.50555555555555554</v>
      </c>
      <c r="Y111" s="29">
        <f>_xll.qlYieldTSDiscount(Currency&amp;"ON",R111)/(1+U111*X111)</f>
        <v>0.49230806835848534</v>
      </c>
      <c r="Z111" s="30">
        <f>_xll.qlTenorBasisValue(TenorBasis6M,R111,InterestRatesTrigger)</f>
        <v>1.7161508799233381E-4</v>
      </c>
      <c r="AA111" s="30">
        <f t="shared" si="15"/>
        <v>-1.2808434305736031E-3</v>
      </c>
    </row>
    <row r="112" spans="15:27" x14ac:dyDescent="0.2">
      <c r="O112" s="33">
        <v>6</v>
      </c>
      <c r="P112" s="27" t="str">
        <f>_xll.qlPeriodEquivalent(P111&amp;"+"&amp;O112&amp;"M")</f>
        <v>47Y</v>
      </c>
      <c r="Q112" s="28">
        <f>_xll.qlCalendarAdvance(Calendar,SettlementDate,P112,"f",,Trigger)</f>
        <v>59330</v>
      </c>
      <c r="R112" s="28">
        <f>_xll.qlInterestRateIndexValueDate(Index,Q112,Trigger)</f>
        <v>59334</v>
      </c>
      <c r="S112" s="28">
        <f>_xll.qlInterestRateIndexMaturity(Index,R112,Trigger)</f>
        <v>59517</v>
      </c>
      <c r="T112" s="30">
        <f>_xll.qlIndexFixing($M$6,Q112,,InterestRatesTrigger)</f>
        <v>1.2202969116743059E-2</v>
      </c>
      <c r="U112" s="30">
        <f>_xll.qlIndexFixing(Index,Q112,,InterestRatesTrigger)</f>
        <v>1.089286876759977E-2</v>
      </c>
      <c r="V112" s="30">
        <f t="shared" si="14"/>
        <v>-1.3101003491432887E-3</v>
      </c>
      <c r="W112" s="29">
        <f>_xll.qlDayCounterYearFraction(DayCounter,SettlementDate,R112,,,Trigger)</f>
        <v>47.697222222222223</v>
      </c>
      <c r="X112" s="29">
        <f>_xll.qlDayCounterYearFraction(DayCounter,R112,S112)</f>
        <v>0.5083333333333333</v>
      </c>
      <c r="Y112" s="29">
        <f>_xll.qlYieldTSDiscount(Currency&amp;"ON",R112)/(1+U112*X112)</f>
        <v>0.48932419199836064</v>
      </c>
      <c r="Z112" s="30">
        <f>_xll.qlTenorBasisValue(TenorBasis6M,R112,InterestRatesTrigger)</f>
        <v>1.7069366281320959E-4</v>
      </c>
      <c r="AA112" s="30">
        <f t="shared" si="15"/>
        <v>-1.4807940119564984E-3</v>
      </c>
    </row>
    <row r="113" spans="15:27" x14ac:dyDescent="0.2">
      <c r="O113" s="33">
        <v>6</v>
      </c>
      <c r="P113" s="27" t="str">
        <f>_xll.qlPeriodEquivalent(P112&amp;"+"&amp;O113&amp;"M")</f>
        <v>47Y6M</v>
      </c>
      <c r="Q113" s="28">
        <f>_xll.qlCalendarAdvance(Calendar,SettlementDate,P113,"f",,Trigger)</f>
        <v>59513</v>
      </c>
      <c r="R113" s="28">
        <f>_xll.qlInterestRateIndexValueDate(Index,Q113,Trigger)</f>
        <v>59517</v>
      </c>
      <c r="S113" s="28">
        <f>_xll.qlInterestRateIndexMaturity(Index,R113,Trigger)</f>
        <v>59699</v>
      </c>
      <c r="T113" s="30">
        <f>_xll.qlIndexFixing($M$6,Q113,,InterestRatesTrigger)</f>
        <v>1.2260430079040983E-2</v>
      </c>
      <c r="U113" s="30">
        <f>_xll.qlIndexFixing(Index,Q113,,InterestRatesTrigger)</f>
        <v>1.0821893104204734E-2</v>
      </c>
      <c r="V113" s="30">
        <f t="shared" si="14"/>
        <v>-1.4385369748362489E-3</v>
      </c>
      <c r="W113" s="29">
        <f>_xll.qlDayCounterYearFraction(DayCounter,SettlementDate,R113,,,Trigger)</f>
        <v>48.205555555555556</v>
      </c>
      <c r="X113" s="29">
        <f>_xll.qlDayCounterYearFraction(DayCounter,R113,S113)</f>
        <v>0.50555555555555554</v>
      </c>
      <c r="Y113" s="29">
        <f>_xll.qlYieldTSDiscount(Currency&amp;"ON",R113)/(1+U113*X113)</f>
        <v>0.48633953016651327</v>
      </c>
      <c r="Z113" s="30">
        <f>_xll.qlTenorBasisValue(TenorBasis6M,R113,InterestRatesTrigger)</f>
        <v>1.6983283425563411E-4</v>
      </c>
      <c r="AA113" s="30">
        <f t="shared" si="15"/>
        <v>-1.608369809091883E-3</v>
      </c>
    </row>
    <row r="114" spans="15:27" x14ac:dyDescent="0.2">
      <c r="O114" s="33">
        <v>6</v>
      </c>
      <c r="P114" s="27" t="str">
        <f>_xll.qlPeriodEquivalent(P113&amp;"+"&amp;O114&amp;"M")</f>
        <v>48Y</v>
      </c>
      <c r="Q114" s="28">
        <f>_xll.qlCalendarAdvance(Calendar,SettlementDate,P114,"f",,Trigger)</f>
        <v>59695</v>
      </c>
      <c r="R114" s="28">
        <f>_xll.qlInterestRateIndexValueDate(Index,Q114,Trigger)</f>
        <v>59699</v>
      </c>
      <c r="S114" s="28">
        <f>_xll.qlInterestRateIndexMaturity(Index,R114,Trigger)</f>
        <v>59882</v>
      </c>
      <c r="T114" s="30">
        <f>_xll.qlIndexFixing($M$6,Q114,,InterestRatesTrigger)</f>
        <v>1.2344996274823276E-2</v>
      </c>
      <c r="U114" s="30">
        <f>_xll.qlIndexFixing(Index,Q114,,InterestRatesTrigger)</f>
        <v>1.0850403705759959E-2</v>
      </c>
      <c r="V114" s="30">
        <f t="shared" si="14"/>
        <v>-1.4945925690633168E-3</v>
      </c>
      <c r="W114" s="29">
        <f>_xll.qlDayCounterYearFraction(DayCounter,SettlementDate,R114,,,Trigger)</f>
        <v>48.711111111111109</v>
      </c>
      <c r="X114" s="29">
        <f>_xll.qlDayCounterYearFraction(DayCounter,R114,S114)</f>
        <v>0.5083333333333333</v>
      </c>
      <c r="Y114" s="29">
        <f>_xll.qlYieldTSDiscount(Currency&amp;"ON",R114)/(1+U114*X114)</f>
        <v>0.48332219106666874</v>
      </c>
      <c r="Z114" s="30">
        <f>_xll.qlTenorBasisValue(TenorBasis6M,R114,InterestRatesTrigger)</f>
        <v>1.6903749017292016E-4</v>
      </c>
      <c r="AA114" s="30">
        <f t="shared" si="15"/>
        <v>-1.6636300592362369E-3</v>
      </c>
    </row>
    <row r="115" spans="15:27" x14ac:dyDescent="0.2">
      <c r="O115" s="33">
        <v>6</v>
      </c>
      <c r="P115" s="27" t="str">
        <f>_xll.qlPeriodEquivalent(P114&amp;"+"&amp;O115&amp;"M")</f>
        <v>48Y6M</v>
      </c>
      <c r="Q115" s="28">
        <f>_xll.qlCalendarAdvance(Calendar,SettlementDate,P115,"f",,Trigger)</f>
        <v>59880</v>
      </c>
      <c r="R115" s="28">
        <f>_xll.qlInterestRateIndexValueDate(Index,Q115,Trigger)</f>
        <v>59882</v>
      </c>
      <c r="S115" s="28">
        <f>_xll.qlInterestRateIndexMaturity(Index,R115,Trigger)</f>
        <v>60065</v>
      </c>
      <c r="T115" s="30">
        <f>_xll.qlIndexFixing($M$6,Q115,,InterestRatesTrigger)</f>
        <v>1.2456350327984979E-2</v>
      </c>
      <c r="U115" s="30">
        <f>_xll.qlIndexFixing(Index,Q115,,InterestRatesTrigger)</f>
        <v>1.0978267110781903E-2</v>
      </c>
      <c r="V115" s="30">
        <f t="shared" si="14"/>
        <v>-1.4780832172030765E-3</v>
      </c>
      <c r="W115" s="29">
        <f>_xll.qlDayCounterYearFraction(DayCounter,SettlementDate,R115,,,Trigger)</f>
        <v>49.219444444444441</v>
      </c>
      <c r="X115" s="29">
        <f>_xll.qlDayCounterYearFraction(DayCounter,R115,S115)</f>
        <v>0.5083333333333333</v>
      </c>
      <c r="Y115" s="29">
        <f>_xll.qlYieldTSDiscount(Currency&amp;"ON",R115)/(1+U115*X115)</f>
        <v>0.48027703322473325</v>
      </c>
      <c r="Z115" s="30">
        <f>_xll.qlTenorBasisValue(TenorBasis6M,R115,InterestRatesTrigger)</f>
        <v>1.6829464292280244E-4</v>
      </c>
      <c r="AA115" s="30">
        <f t="shared" si="15"/>
        <v>-1.646377860125879E-3</v>
      </c>
    </row>
    <row r="116" spans="15:27" x14ac:dyDescent="0.2">
      <c r="O116" s="33">
        <v>6</v>
      </c>
      <c r="P116" s="27" t="str">
        <f>_xll.qlPeriodEquivalent(P115&amp;"+"&amp;O116&amp;"M")</f>
        <v>49Y</v>
      </c>
      <c r="Q116" s="28">
        <f>_xll.qlCalendarAdvance(Calendar,SettlementDate,P116,"f",,Trigger)</f>
        <v>60062</v>
      </c>
      <c r="R116" s="28">
        <f>_xll.qlInterestRateIndexValueDate(Index,Q116,Trigger)</f>
        <v>60064</v>
      </c>
      <c r="S116" s="28">
        <f>_xll.qlInterestRateIndexMaturity(Index,R116,Trigger)</f>
        <v>60247</v>
      </c>
      <c r="T116" s="30">
        <f>_xll.qlIndexFixing($M$6,Q116,,InterestRatesTrigger)</f>
        <v>1.2593694903808827E-2</v>
      </c>
      <c r="U116" s="30">
        <f>_xll.qlIndexFixing(Index,Q116,,InterestRatesTrigger)</f>
        <v>1.1204254798103778E-2</v>
      </c>
      <c r="V116" s="30">
        <f t="shared" si="14"/>
        <v>-1.3894401057050493E-3</v>
      </c>
      <c r="W116" s="29">
        <f>_xll.qlDayCounterYearFraction(DayCounter,SettlementDate,R116,,,Trigger)</f>
        <v>49.725000000000001</v>
      </c>
      <c r="X116" s="29">
        <f>_xll.qlDayCounterYearFraction(DayCounter,R116,S116)</f>
        <v>0.5083333333333333</v>
      </c>
      <c r="Y116" s="29">
        <f>_xll.qlYieldTSDiscount(Currency&amp;"ON",R116)/(1+U116*X116)</f>
        <v>0.47721709389048234</v>
      </c>
      <c r="Z116" s="30">
        <f>_xll.qlTenorBasisValue(TenorBasis6M,R116,InterestRatesTrigger)</f>
        <v>1.6760847838060149E-4</v>
      </c>
      <c r="AA116" s="30">
        <f t="shared" si="15"/>
        <v>-1.5570485840856508E-3</v>
      </c>
    </row>
    <row r="117" spans="15:27" x14ac:dyDescent="0.2">
      <c r="O117" s="33">
        <v>6</v>
      </c>
      <c r="P117" s="27" t="str">
        <f>_xll.qlPeriodEquivalent(P116&amp;"+"&amp;O117&amp;"M")</f>
        <v>49Y6M</v>
      </c>
      <c r="Q117" s="28">
        <f>_xll.qlCalendarAdvance(Calendar,SettlementDate,P117,"f",,Trigger)</f>
        <v>60244</v>
      </c>
      <c r="R117" s="28">
        <f>_xll.qlInterestRateIndexValueDate(Index,Q117,Trigger)</f>
        <v>60246</v>
      </c>
      <c r="S117" s="28">
        <f>_xll.qlInterestRateIndexMaturity(Index,R117,Trigger)</f>
        <v>60428</v>
      </c>
      <c r="T117" s="30">
        <f>_xll.qlIndexFixing($M$6,Q117,,InterestRatesTrigger)</f>
        <v>1.2756846861962969E-2</v>
      </c>
      <c r="U117" s="30">
        <f>_xll.qlIndexFixing(Index,Q117,,InterestRatesTrigger)</f>
        <v>1.1527572279031164E-2</v>
      </c>
      <c r="V117" s="30">
        <f t="shared" si="14"/>
        <v>-1.2292745829318042E-3</v>
      </c>
      <c r="W117" s="29">
        <f>_xll.qlDayCounterYearFraction(DayCounter,SettlementDate,R117,,,Trigger)</f>
        <v>50.230555555555554</v>
      </c>
      <c r="X117" s="29">
        <f>_xll.qlDayCounterYearFraction(DayCounter,R117,S117)</f>
        <v>0.50555555555555554</v>
      </c>
      <c r="Y117" s="29">
        <f>_xll.qlYieldTSDiscount(Currency&amp;"ON",R117)/(1+U117*X117)</f>
        <v>0.47413573019216193</v>
      </c>
      <c r="Z117" s="30">
        <f>_xll.qlTenorBasisValue(TenorBasis6M,R117,InterestRatesTrigger)</f>
        <v>1.6697113583533956E-4</v>
      </c>
      <c r="AA117" s="30">
        <f t="shared" si="15"/>
        <v>-1.3962457187671438E-3</v>
      </c>
    </row>
    <row r="118" spans="15:27" x14ac:dyDescent="0.2">
      <c r="O118" s="33">
        <v>6</v>
      </c>
      <c r="P118" s="27" t="str">
        <f>_xll.qlPeriodEquivalent(P117&amp;"+"&amp;O118&amp;"M")</f>
        <v>50Y</v>
      </c>
      <c r="Q118" s="28">
        <f>_xll.qlCalendarAdvance(Calendar,SettlementDate,P118,"f",,Trigger)</f>
        <v>60426</v>
      </c>
      <c r="R118" s="28">
        <f>_xll.qlInterestRateIndexValueDate(Index,Q118,Trigger)</f>
        <v>60428</v>
      </c>
      <c r="S118" s="28">
        <f>_xll.qlInterestRateIndexMaturity(Index,R118,Trigger)</f>
        <v>60611</v>
      </c>
      <c r="T118" s="30">
        <f>_xll.qlIndexFixing($M$6,Q118,,InterestRatesTrigger)</f>
        <v>1.2941719975281664E-2</v>
      </c>
      <c r="U118" s="30">
        <f>_xll.qlIndexFixing(Index,Q118,,InterestRatesTrigger)</f>
        <v>1.1930352110287845E-2</v>
      </c>
      <c r="V118" s="30">
        <f t="shared" si="14"/>
        <v>-1.0113678649938188E-3</v>
      </c>
      <c r="W118" s="29">
        <f>_xll.qlDayCounterYearFraction(DayCounter,SettlementDate,R118,,,Trigger)</f>
        <v>50.736111111111114</v>
      </c>
      <c r="X118" s="29">
        <f>_xll.qlDayCounterYearFraction(DayCounter,R118,S118)</f>
        <v>0.5083333333333333</v>
      </c>
      <c r="Y118" s="29">
        <f>_xll.qlYieldTSDiscount(Currency&amp;"ON",R118)/(1+U118*X118)</f>
        <v>0.47098661546104181</v>
      </c>
      <c r="Z118" s="30">
        <f>_xll.qlTenorBasisValue(TenorBasis6M,R118,InterestRatesTrigger)</f>
        <v>1.6637921180069666E-4</v>
      </c>
      <c r="AA118" s="30">
        <f t="shared" si="15"/>
        <v>-1.1777470767945154E-3</v>
      </c>
    </row>
    <row r="119" spans="15:27" x14ac:dyDescent="0.2">
      <c r="O119" s="33">
        <v>6</v>
      </c>
      <c r="P119" s="27" t="str">
        <f>_xll.qlPeriodEquivalent(P118&amp;"+"&amp;O119&amp;"M")</f>
        <v>50Y6M</v>
      </c>
      <c r="Q119" s="28">
        <f>_xll.qlCalendarAdvance(Calendar,SettlementDate,P119,"f",,Trigger)</f>
        <v>60609</v>
      </c>
      <c r="R119" s="28">
        <f>_xll.qlInterestRateIndexValueDate(Index,Q119,Trigger)</f>
        <v>60611</v>
      </c>
      <c r="S119" s="28">
        <f>_xll.qlInterestRateIndexMaturity(Index,R119,Trigger)</f>
        <v>60793</v>
      </c>
      <c r="T119" s="30">
        <f>_xll.qlIndexFixing($M$6,Q119,,InterestRatesTrigger)</f>
        <v>1.3122438828359527E-2</v>
      </c>
      <c r="U119" s="30">
        <f>_xll.qlIndexFixing(Index,Q119,,InterestRatesTrigger)</f>
        <v>1.2326803621819407E-2</v>
      </c>
      <c r="V119" s="30">
        <f t="shared" si="14"/>
        <v>-7.9563520654011947E-4</v>
      </c>
      <c r="W119" s="29">
        <f>_xll.qlDayCounterYearFraction(DayCounter,SettlementDate,R119,,,Trigger)</f>
        <v>51.244444444444447</v>
      </c>
      <c r="X119" s="29">
        <f>_xll.qlDayCounterYearFraction(DayCounter,R119,S119)</f>
        <v>0.50555555555555554</v>
      </c>
      <c r="Y119" s="29">
        <f>_xll.qlYieldTSDiscount(Currency&amp;"ON",R119)/(1+U119*X119)</f>
        <v>0.46783059214057365</v>
      </c>
      <c r="Z119" s="30">
        <f>_xll.qlTenorBasisValue(TenorBasis6M,R119,InterestRatesTrigger)</f>
        <v>1.6582662446018237E-4</v>
      </c>
      <c r="AA119" s="30">
        <f t="shared" si="15"/>
        <v>-9.6146183100030182E-4</v>
      </c>
    </row>
    <row r="120" spans="15:27" x14ac:dyDescent="0.2">
      <c r="O120" s="33">
        <v>6</v>
      </c>
      <c r="P120" s="27" t="str">
        <f>_xll.qlPeriodEquivalent(P119&amp;"+"&amp;O120&amp;"M")</f>
        <v>51Y</v>
      </c>
      <c r="Q120" s="28">
        <f>_xll.qlCalendarAdvance(Calendar,SettlementDate,P120,"f",,Trigger)</f>
        <v>60791</v>
      </c>
      <c r="R120" s="28">
        <f>_xll.qlInterestRateIndexValueDate(Index,Q120,Trigger)</f>
        <v>60793</v>
      </c>
      <c r="S120" s="28">
        <f>_xll.qlInterestRateIndexMaturity(Index,R120,Trigger)</f>
        <v>60976</v>
      </c>
      <c r="T120" s="30">
        <f>_xll.qlIndexFixing($M$6,Q120,,InterestRatesTrigger)</f>
        <v>1.3294122476704386E-2</v>
      </c>
      <c r="U120" s="30">
        <f>_xll.qlIndexFixing(Index,Q120,,InterestRatesTrigger)</f>
        <v>1.2697600351131306E-2</v>
      </c>
      <c r="V120" s="30">
        <f t="shared" si="14"/>
        <v>-5.9652212557308008E-4</v>
      </c>
      <c r="W120" s="29">
        <f>_xll.qlDayCounterYearFraction(DayCounter,SettlementDate,R120,,,Trigger)</f>
        <v>51.75</v>
      </c>
      <c r="X120" s="29">
        <f>_xll.qlDayCounterYearFraction(DayCounter,R120,S120)</f>
        <v>0.5083333333333333</v>
      </c>
      <c r="Y120" s="29">
        <f>_xll.qlYieldTSDiscount(Currency&amp;"ON",R120)/(1+U120*X120)</f>
        <v>0.46464455216427247</v>
      </c>
      <c r="Z120" s="30">
        <f>_xll.qlTenorBasisValue(TenorBasis6M,R120,InterestRatesTrigger)</f>
        <v>1.6531644299859637E-4</v>
      </c>
      <c r="AA120" s="30">
        <f t="shared" si="15"/>
        <v>-7.6183856857167643E-4</v>
      </c>
    </row>
    <row r="121" spans="15:27" x14ac:dyDescent="0.2">
      <c r="O121" s="33">
        <v>6</v>
      </c>
      <c r="P121" s="27" t="str">
        <f>_xll.qlPeriodEquivalent(P120&amp;"+"&amp;O121&amp;"M")</f>
        <v>51Y6M</v>
      </c>
      <c r="Q121" s="28">
        <f>_xll.qlCalendarAdvance(Calendar,SettlementDate,P121,"f",,Trigger)</f>
        <v>60974</v>
      </c>
      <c r="R121" s="28">
        <f>_xll.qlInterestRateIndexValueDate(Index,Q121,Trigger)</f>
        <v>60976</v>
      </c>
      <c r="S121" s="28">
        <f>_xll.qlInterestRateIndexMaturity(Index,R121,Trigger)</f>
        <v>61158</v>
      </c>
      <c r="T121" s="30">
        <f>_xll.qlIndexFixing($M$6,Q121,,InterestRatesTrigger)</f>
        <v>1.3455819010689178E-2</v>
      </c>
      <c r="U121" s="30">
        <f>_xll.qlIndexFixing(Index,Q121,,InterestRatesTrigger)</f>
        <v>1.3041907816791713E-2</v>
      </c>
      <c r="V121" s="30">
        <f t="shared" si="14"/>
        <v>-4.1391119389746524E-4</v>
      </c>
      <c r="W121" s="29">
        <f>_xll.qlDayCounterYearFraction(DayCounter,SettlementDate,R121,,,Trigger)</f>
        <v>52.258333333333333</v>
      </c>
      <c r="X121" s="29">
        <f>_xll.qlDayCounterYearFraction(DayCounter,R121,S121)</f>
        <v>0.50555555555555554</v>
      </c>
      <c r="Y121" s="29">
        <f>_xll.qlYieldTSDiscount(Currency&amp;"ON",R121)/(1+U121*X121)</f>
        <v>0.46146199513665398</v>
      </c>
      <c r="Z121" s="30">
        <f>_xll.qlTenorBasisValue(TenorBasis6M,R121,InterestRatesTrigger)</f>
        <v>1.6484027374382752E-4</v>
      </c>
      <c r="AA121" s="30">
        <f t="shared" si="15"/>
        <v>-5.7875146764129273E-4</v>
      </c>
    </row>
    <row r="122" spans="15:27" x14ac:dyDescent="0.2">
      <c r="O122" s="33">
        <v>6</v>
      </c>
      <c r="P122" s="27" t="str">
        <f>_xll.qlPeriodEquivalent(P121&amp;"+"&amp;O122&amp;"M")</f>
        <v>52Y</v>
      </c>
      <c r="Q122" s="28">
        <f>_xll.qlCalendarAdvance(Calendar,SettlementDate,P122,"f",,Trigger)</f>
        <v>61156</v>
      </c>
      <c r="R122" s="28">
        <f>_xll.qlInterestRateIndexValueDate(Index,Q122,Trigger)</f>
        <v>61158</v>
      </c>
      <c r="S122" s="28">
        <f>_xll.qlInterestRateIndexMaturity(Index,R122,Trigger)</f>
        <v>61343</v>
      </c>
      <c r="T122" s="30">
        <f>_xll.qlIndexFixing($M$6,Q122,,InterestRatesTrigger)</f>
        <v>1.3609813667893112E-2</v>
      </c>
      <c r="U122" s="30">
        <f>_xll.qlIndexFixing(Index,Q122,,InterestRatesTrigger)</f>
        <v>1.3362726294288082E-2</v>
      </c>
      <c r="V122" s="30">
        <f t="shared" si="14"/>
        <v>-2.4708737360503059E-4</v>
      </c>
      <c r="W122" s="29">
        <f>_xll.qlDayCounterYearFraction(DayCounter,SettlementDate,R122,,,Trigger)</f>
        <v>52.763888888888886</v>
      </c>
      <c r="X122" s="29">
        <f>_xll.qlDayCounterYearFraction(DayCounter,R122,S122)</f>
        <v>0.51388888888888884</v>
      </c>
      <c r="Y122" s="29">
        <f>_xll.qlYieldTSDiscount(Currency&amp;"ON",R122)/(1+U122*X122)</f>
        <v>0.45821951082878315</v>
      </c>
      <c r="Z122" s="30">
        <f>_xll.qlTenorBasisValue(TenorBasis6M,R122,InterestRatesTrigger)</f>
        <v>1.6440074340657657E-4</v>
      </c>
      <c r="AA122" s="30">
        <f t="shared" si="15"/>
        <v>-4.1148811701160716E-4</v>
      </c>
    </row>
    <row r="123" spans="15:27" x14ac:dyDescent="0.2">
      <c r="O123" s="33">
        <v>6</v>
      </c>
      <c r="P123" s="27" t="str">
        <f>_xll.qlPeriodEquivalent(P122&amp;"+"&amp;O123&amp;"M")</f>
        <v>52Y6M</v>
      </c>
      <c r="Q123" s="28">
        <f>_xll.qlCalendarAdvance(Calendar,SettlementDate,P123,"f",,Trigger)</f>
        <v>61339</v>
      </c>
      <c r="R123" s="28">
        <f>_xll.qlInterestRateIndexValueDate(Index,Q123,Trigger)</f>
        <v>61343</v>
      </c>
      <c r="S123" s="28">
        <f>_xll.qlInterestRateIndexMaturity(Index,R123,Trigger)</f>
        <v>61526</v>
      </c>
      <c r="T123" s="30">
        <f>_xll.qlIndexFixing($M$6,Q123,,InterestRatesTrigger)</f>
        <v>1.3753315579264243E-2</v>
      </c>
      <c r="U123" s="30">
        <f>_xll.qlIndexFixing(Index,Q123,,InterestRatesTrigger)</f>
        <v>1.3656763907759996E-2</v>
      </c>
      <c r="V123" s="30">
        <f t="shared" si="14"/>
        <v>-9.6551671504246581E-5</v>
      </c>
      <c r="W123" s="29">
        <f>_xll.qlDayCounterYearFraction(DayCounter,SettlementDate,R123,,,Trigger)</f>
        <v>53.277777777777779</v>
      </c>
      <c r="X123" s="29">
        <f>_xll.qlDayCounterYearFraction(DayCounter,R123,S123)</f>
        <v>0.5083333333333333</v>
      </c>
      <c r="Y123" s="29">
        <f>_xll.qlYieldTSDiscount(Currency&amp;"ON",R123)/(1+U123*X123)</f>
        <v>0.45500301567574081</v>
      </c>
      <c r="Z123" s="30">
        <f>_xll.qlTenorBasisValue(TenorBasis6M,R123,InterestRatesTrigger)</f>
        <v>1.6398628947365007E-4</v>
      </c>
      <c r="AA123" s="30">
        <f t="shared" si="15"/>
        <v>-2.6053796097789668E-4</v>
      </c>
    </row>
    <row r="124" spans="15:27" x14ac:dyDescent="0.2">
      <c r="O124" s="33">
        <v>6</v>
      </c>
      <c r="P124" s="27" t="str">
        <f>_xll.qlPeriodEquivalent(P123&amp;"+"&amp;O124&amp;"M")</f>
        <v>53Y</v>
      </c>
      <c r="Q124" s="28">
        <f>_xll.qlCalendarAdvance(Calendar,SettlementDate,P124,"f",,Trigger)</f>
        <v>61522</v>
      </c>
      <c r="R124" s="28">
        <f>_xll.qlInterestRateIndexValueDate(Index,Q124,Trigger)</f>
        <v>61526</v>
      </c>
      <c r="S124" s="28">
        <f>_xll.qlInterestRateIndexMaturity(Index,R124,Trigger)</f>
        <v>61709</v>
      </c>
      <c r="T124" s="30">
        <f>_xll.qlIndexFixing($M$6,Q124,,InterestRatesTrigger)</f>
        <v>1.3886948181860499E-2</v>
      </c>
      <c r="U124" s="30">
        <f>_xll.qlIndexFixing(Index,Q124,,InterestRatesTrigger)</f>
        <v>1.3923352046449972E-2</v>
      </c>
      <c r="V124" s="30">
        <f t="shared" si="14"/>
        <v>3.6403864589473756E-5</v>
      </c>
      <c r="W124" s="29">
        <f>_xll.qlDayCounterYearFraction(DayCounter,SettlementDate,R124,,,Trigger)</f>
        <v>53.786111111111111</v>
      </c>
      <c r="X124" s="29">
        <f>_xll.qlDayCounterYearFraction(DayCounter,R124,S124)</f>
        <v>0.5083333333333333</v>
      </c>
      <c r="Y124" s="29">
        <f>_xll.qlYieldTSDiscount(Currency&amp;"ON",R124)/(1+U124*X124)</f>
        <v>0.45178325087161475</v>
      </c>
      <c r="Z124" s="30">
        <f>_xll.qlTenorBasisValue(TenorBasis6M,R124,InterestRatesTrigger)</f>
        <v>1.6360609833048823E-4</v>
      </c>
      <c r="AA124" s="30">
        <f t="shared" si="15"/>
        <v>-1.2720223374101448E-4</v>
      </c>
    </row>
    <row r="125" spans="15:27" x14ac:dyDescent="0.2">
      <c r="O125" s="33">
        <v>6</v>
      </c>
      <c r="P125" s="27" t="str">
        <f>_xll.qlPeriodEquivalent(P124&amp;"+"&amp;O125&amp;"M")</f>
        <v>53Y6M</v>
      </c>
      <c r="Q125" s="28">
        <f>_xll.qlCalendarAdvance(Calendar,SettlementDate,P125,"f",,Trigger)</f>
        <v>61707</v>
      </c>
      <c r="R125" s="28">
        <f>_xll.qlInterestRateIndexValueDate(Index,Q125,Trigger)</f>
        <v>61709</v>
      </c>
      <c r="S125" s="28">
        <f>_xll.qlInterestRateIndexMaturity(Index,R125,Trigger)</f>
        <v>61891</v>
      </c>
      <c r="T125" s="30">
        <f>_xll.qlIndexFixing($M$6,Q125,,InterestRatesTrigger)</f>
        <v>1.4010420186315927E-2</v>
      </c>
      <c r="U125" s="30">
        <f>_xll.qlIndexFixing(Index,Q125,,InterestRatesTrigger)</f>
        <v>1.416279474657676E-2</v>
      </c>
      <c r="V125" s="30">
        <f t="shared" si="14"/>
        <v>1.5237456026083278E-4</v>
      </c>
      <c r="W125" s="29">
        <f>_xll.qlDayCounterYearFraction(DayCounter,SettlementDate,R125,,,Trigger)</f>
        <v>54.294444444444444</v>
      </c>
      <c r="X125" s="29">
        <f>_xll.qlDayCounterYearFraction(DayCounter,R125,S125)</f>
        <v>0.50555555555555554</v>
      </c>
      <c r="Y125" s="29">
        <f>_xll.qlYieldTSDiscount(Currency&amp;"ON",R125)/(1+U125*X125)</f>
        <v>0.44857968640482038</v>
      </c>
      <c r="Z125" s="30">
        <f>_xll.qlTenorBasisValue(TenorBasis6M,R125,InterestRatesTrigger)</f>
        <v>1.6325341621034831E-4</v>
      </c>
      <c r="AA125" s="30">
        <f t="shared" si="15"/>
        <v>-1.087885594951553E-5</v>
      </c>
    </row>
    <row r="126" spans="15:27" x14ac:dyDescent="0.2">
      <c r="O126" s="33">
        <v>6</v>
      </c>
      <c r="P126" s="27" t="str">
        <f>_xll.qlPeriodEquivalent(P125&amp;"+"&amp;O126&amp;"M")</f>
        <v>54Y</v>
      </c>
      <c r="Q126" s="28">
        <f>_xll.qlCalendarAdvance(Calendar,SettlementDate,P126,"f",,Trigger)</f>
        <v>61889</v>
      </c>
      <c r="R126" s="28">
        <f>_xll.qlInterestRateIndexValueDate(Index,Q126,Trigger)</f>
        <v>61891</v>
      </c>
      <c r="S126" s="28">
        <f>_xll.qlInterestRateIndexMaturity(Index,R126,Trigger)</f>
        <v>62074</v>
      </c>
      <c r="T126" s="30">
        <f>_xll.qlIndexFixing($M$6,Q126,,InterestRatesTrigger)</f>
        <v>1.4124910880234213E-2</v>
      </c>
      <c r="U126" s="30">
        <f>_xll.qlIndexFixing(Index,Q126,,InterestRatesTrigger)</f>
        <v>1.4376644638445745E-2</v>
      </c>
      <c r="V126" s="30">
        <f t="shared" si="14"/>
        <v>2.5173375821153227E-4</v>
      </c>
      <c r="W126" s="29">
        <f>_xll.qlDayCounterYearFraction(DayCounter,SettlementDate,R126,,,Trigger)</f>
        <v>54.8</v>
      </c>
      <c r="X126" s="29">
        <f>_xll.qlDayCounterYearFraction(DayCounter,R126,S126)</f>
        <v>0.5083333333333333</v>
      </c>
      <c r="Y126" s="29">
        <f>_xll.qlYieldTSDiscount(Currency&amp;"ON",R126)/(1+U126*X126)</f>
        <v>0.44535925684874605</v>
      </c>
      <c r="Z126" s="30">
        <f>_xll.qlTenorBasisValue(TenorBasis6M,R126,InterestRatesTrigger)</f>
        <v>1.6292800739865559E-4</v>
      </c>
      <c r="AA126" s="30">
        <f t="shared" si="15"/>
        <v>8.8805750812876675E-5</v>
      </c>
    </row>
    <row r="127" spans="15:27" x14ac:dyDescent="0.2">
      <c r="O127" s="33">
        <v>6</v>
      </c>
      <c r="P127" s="27" t="str">
        <f>_xll.qlPeriodEquivalent(P126&amp;"+"&amp;O127&amp;"M")</f>
        <v>54Y6M</v>
      </c>
      <c r="Q127" s="28">
        <f>_xll.qlCalendarAdvance(Calendar,SettlementDate,P127,"f",,Trigger)</f>
        <v>62071</v>
      </c>
      <c r="R127" s="28">
        <f>_xll.qlInterestRateIndexValueDate(Index,Q127,Trigger)</f>
        <v>62073</v>
      </c>
      <c r="S127" s="28">
        <f>_xll.qlInterestRateIndexMaturity(Index,R127,Trigger)</f>
        <v>62255</v>
      </c>
      <c r="T127" s="30">
        <f>_xll.qlIndexFixing($M$6,Q127,,InterestRatesTrigger)</f>
        <v>1.4228791731139367E-2</v>
      </c>
      <c r="U127" s="30">
        <f>_xll.qlIndexFixing(Index,Q127,,InterestRatesTrigger)</f>
        <v>1.4562857501036836E-2</v>
      </c>
      <c r="V127" s="30">
        <f t="shared" si="14"/>
        <v>3.340657698974684E-4</v>
      </c>
      <c r="W127" s="29">
        <f>_xll.qlDayCounterYearFraction(DayCounter,SettlementDate,R127,,,Trigger)</f>
        <v>55.305555555555557</v>
      </c>
      <c r="X127" s="29">
        <f>_xll.qlDayCounterYearFraction(DayCounter,R127,S127)</f>
        <v>0.50555555555555554</v>
      </c>
      <c r="Y127" s="29">
        <f>_xll.qlYieldTSDiscount(Currency&amp;"ON",R127)/(1+U127*X127)</f>
        <v>0.44217786019576261</v>
      </c>
      <c r="Z127" s="30">
        <f>_xll.qlTenorBasisValue(TenorBasis6M,R127,InterestRatesTrigger)</f>
        <v>1.6262608007781677E-4</v>
      </c>
      <c r="AA127" s="30">
        <f t="shared" si="15"/>
        <v>1.7143968981965163E-4</v>
      </c>
    </row>
    <row r="128" spans="15:27" x14ac:dyDescent="0.2">
      <c r="O128" s="33">
        <v>6</v>
      </c>
      <c r="P128" s="27" t="str">
        <f>_xll.qlPeriodEquivalent(P127&amp;"+"&amp;O128&amp;"M")</f>
        <v>55Y</v>
      </c>
      <c r="Q128" s="28">
        <f>_xll.qlCalendarAdvance(Calendar,SettlementDate,P128,"f",,Trigger)</f>
        <v>62253</v>
      </c>
      <c r="R128" s="28">
        <f>_xll.qlInterestRateIndexValueDate(Index,Q128,Trigger)</f>
        <v>62255</v>
      </c>
      <c r="S128" s="28">
        <f>_xll.qlInterestRateIndexMaturity(Index,R128,Trigger)</f>
        <v>62438</v>
      </c>
      <c r="T128" s="30">
        <f>_xll.qlIndexFixing($M$6,Q128,,InterestRatesTrigger)</f>
        <v>1.4324305137711405E-2</v>
      </c>
      <c r="U128" s="30">
        <f>_xll.qlIndexFixing(Index,Q128,,InterestRatesTrigger)</f>
        <v>1.472632359882026E-2</v>
      </c>
      <c r="V128" s="30">
        <f t="shared" si="14"/>
        <v>4.0201846110885474E-4</v>
      </c>
      <c r="W128" s="29">
        <f>_xll.qlDayCounterYearFraction(DayCounter,SettlementDate,R128,,,Trigger)</f>
        <v>55.81111111111111</v>
      </c>
      <c r="X128" s="29">
        <f>_xll.qlDayCounterYearFraction(DayCounter,R128,S128)</f>
        <v>0.5083333333333333</v>
      </c>
      <c r="Y128" s="29">
        <f>_xll.qlYieldTSDiscount(Currency&amp;"ON",R128)/(1+U128*X128)</f>
        <v>0.43896595872331151</v>
      </c>
      <c r="Z128" s="30">
        <f>_xll.qlTenorBasisValue(TenorBasis6M,R128,InterestRatesTrigger)</f>
        <v>1.623459668531046E-4</v>
      </c>
      <c r="AA128" s="30">
        <f t="shared" si="15"/>
        <v>2.3967249425575014E-4</v>
      </c>
    </row>
    <row r="129" spans="15:27" x14ac:dyDescent="0.2">
      <c r="O129" s="33">
        <v>6</v>
      </c>
      <c r="P129" s="27" t="str">
        <f>_xll.qlPeriodEquivalent(P128&amp;"+"&amp;O129&amp;"M")</f>
        <v>55Y6M</v>
      </c>
      <c r="Q129" s="28">
        <f>_xll.qlCalendarAdvance(Calendar,SettlementDate,P129,"f",,Trigger)</f>
        <v>62435</v>
      </c>
      <c r="R129" s="28">
        <f>_xll.qlInterestRateIndexValueDate(Index,Q129,Trigger)</f>
        <v>62437</v>
      </c>
      <c r="S129" s="28">
        <f>_xll.qlInterestRateIndexMaturity(Index,R129,Trigger)</f>
        <v>62619</v>
      </c>
      <c r="T129" s="30">
        <f>_xll.qlIndexFixing($M$6,Q129,,InterestRatesTrigger)</f>
        <v>1.440929419387948E-2</v>
      </c>
      <c r="U129" s="30">
        <f>_xll.qlIndexFixing(Index,Q129,,InterestRatesTrigger)</f>
        <v>1.4870699773188275E-2</v>
      </c>
      <c r="V129" s="30">
        <f t="shared" si="14"/>
        <v>4.6140557930879518E-4</v>
      </c>
      <c r="W129" s="29">
        <f>_xll.qlDayCounterYearFraction(DayCounter,SettlementDate,R129,,,Trigger)</f>
        <v>56.31666666666667</v>
      </c>
      <c r="X129" s="29">
        <f>_xll.qlDayCounterYearFraction(DayCounter,R129,S129)</f>
        <v>0.50555555555555554</v>
      </c>
      <c r="Y129" s="29">
        <f>_xll.qlYieldTSDiscount(Currency&amp;"ON",R129)/(1+U129*X129)</f>
        <v>0.43579617730531045</v>
      </c>
      <c r="Z129" s="30">
        <f>_xll.qlTenorBasisValue(TenorBasis6M,R129,InterestRatesTrigger)</f>
        <v>1.6208611625545002E-4</v>
      </c>
      <c r="AA129" s="30">
        <f t="shared" si="15"/>
        <v>2.9931946305334516E-4</v>
      </c>
    </row>
    <row r="130" spans="15:27" x14ac:dyDescent="0.2">
      <c r="O130" s="33">
        <v>6</v>
      </c>
      <c r="P130" s="27" t="str">
        <f>_xll.qlPeriodEquivalent(P129&amp;"+"&amp;O130&amp;"M")</f>
        <v>56Y</v>
      </c>
      <c r="Q130" s="28">
        <f>_xll.qlCalendarAdvance(Calendar,SettlementDate,P130,"f",,Trigger)</f>
        <v>62617</v>
      </c>
      <c r="R130" s="28">
        <f>_xll.qlInterestRateIndexValueDate(Index,Q130,Trigger)</f>
        <v>62619</v>
      </c>
      <c r="S130" s="28">
        <f>_xll.qlInterestRateIndexMaturity(Index,R130,Trigger)</f>
        <v>62802</v>
      </c>
      <c r="T130" s="30">
        <f>_xll.qlIndexFixing($M$6,Q130,,InterestRatesTrigger)</f>
        <v>1.4485823469767423E-2</v>
      </c>
      <c r="U130" s="30">
        <f>_xll.qlIndexFixing(Index,Q130,,InterestRatesTrigger)</f>
        <v>1.5000363135826969E-2</v>
      </c>
      <c r="V130" s="30">
        <f t="shared" si="14"/>
        <v>5.1453966605954568E-4</v>
      </c>
      <c r="W130" s="29">
        <f>_xll.qlDayCounterYearFraction(DayCounter,SettlementDate,R130,,,Trigger)</f>
        <v>56.822222222222223</v>
      </c>
      <c r="X130" s="29">
        <f>_xll.qlDayCounterYearFraction(DayCounter,R130,S130)</f>
        <v>0.5083333333333333</v>
      </c>
      <c r="Y130" s="29">
        <f>_xll.qlYieldTSDiscount(Currency&amp;"ON",R130)/(1+U130*X130)</f>
        <v>0.43259845554350462</v>
      </c>
      <c r="Z130" s="30">
        <f>_xll.qlTenorBasisValue(TenorBasis6M,R130,InterestRatesTrigger)</f>
        <v>1.6184508491186447E-4</v>
      </c>
      <c r="AA130" s="30">
        <f t="shared" si="15"/>
        <v>3.5269458114768121E-4</v>
      </c>
    </row>
    <row r="131" spans="15:27" x14ac:dyDescent="0.2">
      <c r="O131" s="33">
        <v>6</v>
      </c>
      <c r="P131" s="27" t="str">
        <f>_xll.qlPeriodEquivalent(P130&amp;"+"&amp;O131&amp;"M")</f>
        <v>56Y6M</v>
      </c>
      <c r="Q131" s="28">
        <f>_xll.qlCalendarAdvance(Calendar,SettlementDate,P131,"f",,Trigger)</f>
        <v>62800</v>
      </c>
      <c r="R131" s="28">
        <f>_xll.qlInterestRateIndexValueDate(Index,Q131,Trigger)</f>
        <v>62802</v>
      </c>
      <c r="S131" s="28">
        <f>_xll.qlInterestRateIndexMaturity(Index,R131,Trigger)</f>
        <v>62985</v>
      </c>
      <c r="T131" s="30">
        <f>_xll.qlIndexFixing($M$6,Q131,,InterestRatesTrigger)</f>
        <v>1.4552715692937399E-2</v>
      </c>
      <c r="U131" s="30">
        <f>_xll.qlIndexFixing(Index,Q131,,InterestRatesTrigger)</f>
        <v>1.5113860156235387E-2</v>
      </c>
      <c r="V131" s="30">
        <f t="shared" si="14"/>
        <v>5.6114446329798805E-4</v>
      </c>
      <c r="W131" s="29">
        <f>_xll.qlDayCounterYearFraction(DayCounter,SettlementDate,R131,,,Trigger)</f>
        <v>57.330555555555556</v>
      </c>
      <c r="X131" s="29">
        <f>_xll.qlDayCounterYearFraction(DayCounter,R131,S131)</f>
        <v>0.5083333333333333</v>
      </c>
      <c r="Y131" s="29">
        <f>_xll.qlYieldTSDiscount(Currency&amp;"ON",R131)/(1+U131*X131)</f>
        <v>0.42941166009673887</v>
      </c>
      <c r="Z131" s="30">
        <f>_xll.qlTenorBasisValue(TenorBasis6M,R131,InterestRatesTrigger)</f>
        <v>1.6162034782978154E-4</v>
      </c>
      <c r="AA131" s="30">
        <f t="shared" si="15"/>
        <v>3.9952411546820651E-4</v>
      </c>
    </row>
    <row r="132" spans="15:27" x14ac:dyDescent="0.2">
      <c r="O132" s="33">
        <v>6</v>
      </c>
      <c r="P132" s="27" t="str">
        <f>_xll.qlPeriodEquivalent(P131&amp;"+"&amp;O132&amp;"M")</f>
        <v>57Y</v>
      </c>
      <c r="Q132" s="28">
        <f>_xll.qlCalendarAdvance(Calendar,SettlementDate,P132,"f",,Trigger)</f>
        <v>62983</v>
      </c>
      <c r="R132" s="28">
        <f>_xll.qlInterestRateIndexValueDate(Index,Q132,Trigger)</f>
        <v>62985</v>
      </c>
      <c r="S132" s="28">
        <f>_xll.qlInterestRateIndexMaturity(Index,R132,Trigger)</f>
        <v>63170</v>
      </c>
      <c r="T132" s="30">
        <f>_xll.qlIndexFixing($M$6,Q132,,InterestRatesTrigger)</f>
        <v>1.4610900867203652E-2</v>
      </c>
      <c r="U132" s="30">
        <f>_xll.qlIndexFixing(Index,Q132,,InterestRatesTrigger)</f>
        <v>1.5212223450758585E-2</v>
      </c>
      <c r="V132" s="30">
        <f t="shared" ref="V132:V135" si="16">U132-T132</f>
        <v>6.0132258355493316E-4</v>
      </c>
      <c r="W132" s="29">
        <f>_xll.qlDayCounterYearFraction(DayCounter,SettlementDate,R132,,,Trigger)</f>
        <v>57.838888888888889</v>
      </c>
      <c r="X132" s="29">
        <f>_xll.qlDayCounterYearFraction(DayCounter,R132,S132)</f>
        <v>0.51388888888888884</v>
      </c>
      <c r="Y132" s="29">
        <f>_xll.qlYieldTSDiscount(Currency&amp;"ON",R132)/(1+U132*X132)</f>
        <v>0.42620146544167675</v>
      </c>
      <c r="Z132" s="30">
        <f>_xll.qlTenorBasisValue(TenorBasis6M,R132,InterestRatesTrigger)</f>
        <v>1.6141201094404872E-4</v>
      </c>
      <c r="AA132" s="30">
        <f t="shared" ref="AA132:AA135" si="17">V132-Z132</f>
        <v>4.3991057261088444E-4</v>
      </c>
    </row>
    <row r="133" spans="15:27" x14ac:dyDescent="0.2">
      <c r="O133" s="33">
        <v>6</v>
      </c>
      <c r="P133" s="27" t="str">
        <f>_xll.qlPeriodEquivalent(P132&amp;"+"&amp;O133&amp;"M")</f>
        <v>57Y6M</v>
      </c>
      <c r="Q133" s="28">
        <f>_xll.qlCalendarAdvance(Calendar,SettlementDate,P133,"f",,Trigger)</f>
        <v>63166</v>
      </c>
      <c r="R133" s="28">
        <f>_xll.qlInterestRateIndexValueDate(Index,Q133,Trigger)</f>
        <v>63170</v>
      </c>
      <c r="S133" s="28">
        <f>_xll.qlInterestRateIndexMaturity(Index,R133,Trigger)</f>
        <v>63352</v>
      </c>
      <c r="T133" s="30">
        <f>_xll.qlIndexFixing($M$6,Q133,,InterestRatesTrigger)</f>
        <v>1.4657827699765744E-2</v>
      </c>
      <c r="U133" s="30">
        <f>_xll.qlIndexFixing(Index,Q133,,InterestRatesTrigger)</f>
        <v>1.5292391757171378E-2</v>
      </c>
      <c r="V133" s="30">
        <f t="shared" si="16"/>
        <v>6.3456405740563472E-4</v>
      </c>
      <c r="W133" s="29">
        <f>_xll.qlDayCounterYearFraction(DayCounter,SettlementDate,R133,,,Trigger)</f>
        <v>58.352777777777774</v>
      </c>
      <c r="X133" s="29">
        <f>_xll.qlDayCounterYearFraction(DayCounter,R133,S133)</f>
        <v>0.50555555555555554</v>
      </c>
      <c r="Y133" s="29">
        <f>_xll.qlYieldTSDiscount(Currency&amp;"ON",R133)/(1+U133*X133)</f>
        <v>0.4230614328113409</v>
      </c>
      <c r="Z133" s="30">
        <f>_xll.qlTenorBasisValue(TenorBasis6M,R133,InterestRatesTrigger)</f>
        <v>1.6121686395082884E-4</v>
      </c>
      <c r="AA133" s="30">
        <f t="shared" si="17"/>
        <v>4.7334719345480588E-4</v>
      </c>
    </row>
    <row r="134" spans="15:27" x14ac:dyDescent="0.2">
      <c r="O134" s="33">
        <v>6</v>
      </c>
      <c r="P134" s="27" t="str">
        <f>_xll.qlPeriodEquivalent(P133&amp;"+"&amp;O134&amp;"M")</f>
        <v>58Y</v>
      </c>
      <c r="Q134" s="28">
        <f>_xll.qlCalendarAdvance(Calendar,SettlementDate,P134,"f",,Trigger)</f>
        <v>63348</v>
      </c>
      <c r="R134" s="28">
        <f>_xll.qlInterestRateIndexValueDate(Index,Q134,Trigger)</f>
        <v>63352</v>
      </c>
      <c r="S134" s="28">
        <f>_xll.qlInterestRateIndexMaturity(Index,R134,Trigger)</f>
        <v>63535</v>
      </c>
      <c r="T134" s="30">
        <f>_xll.qlIndexFixing($M$6,Q134,,InterestRatesTrigger)</f>
        <v>1.4696111380394434E-2</v>
      </c>
      <c r="U134" s="30">
        <f>_xll.qlIndexFixing(Index,Q134,,InterestRatesTrigger)</f>
        <v>1.5357170719125792E-2</v>
      </c>
      <c r="V134" s="30">
        <f t="shared" si="16"/>
        <v>6.610593387313575E-4</v>
      </c>
      <c r="W134" s="29">
        <f>_xll.qlDayCounterYearFraction(DayCounter,SettlementDate,R134,,,Trigger)</f>
        <v>58.858333333333334</v>
      </c>
      <c r="X134" s="29">
        <f>_xll.qlDayCounterYearFraction(DayCounter,R134,S134)</f>
        <v>0.5083333333333333</v>
      </c>
      <c r="Y134" s="29">
        <f>_xll.qlYieldTSDiscount(Currency&amp;"ON",R134)/(1+U134*X134)</f>
        <v>0.4199180395804139</v>
      </c>
      <c r="Z134" s="30">
        <f>_xll.qlTenorBasisValue(TenorBasis6M,R134,InterestRatesTrigger)</f>
        <v>1.6103896108739469E-4</v>
      </c>
      <c r="AA134" s="30">
        <f t="shared" si="17"/>
        <v>5.0002037764396287E-4</v>
      </c>
    </row>
    <row r="135" spans="15:27" x14ac:dyDescent="0.2">
      <c r="O135" s="33">
        <v>6</v>
      </c>
      <c r="P135" s="27" t="str">
        <f>_xll.qlPeriodEquivalent(P134&amp;"+"&amp;O135&amp;"M")</f>
        <v>58Y6M</v>
      </c>
      <c r="Q135" s="31">
        <f>_xll.qlCalendarAdvance(Calendar,SettlementDate,P135,"f",,Trigger)</f>
        <v>63531</v>
      </c>
      <c r="R135" s="31">
        <f>_xll.qlInterestRateIndexValueDate(Index,Q135,Trigger)</f>
        <v>63535</v>
      </c>
      <c r="S135" s="31">
        <f>_xll.qlInterestRateIndexMaturity(Index,R135,Trigger)</f>
        <v>63717</v>
      </c>
      <c r="T135" s="32">
        <f>_xll.qlIndexFixing($M$6,Q135,,InterestRatesTrigger)</f>
        <v>1.4724279233885905E-2</v>
      </c>
      <c r="U135" s="32">
        <f>_xll.qlIndexFixing(Index,Q135,,InterestRatesTrigger)</f>
        <v>1.5405147666140252E-2</v>
      </c>
      <c r="V135" s="32">
        <f t="shared" si="16"/>
        <v>6.808684322543463E-4</v>
      </c>
      <c r="W135" s="74">
        <f>_xll.qlDayCounterYearFraction(DayCounter,SettlementDate,R135,,,Trigger)</f>
        <v>59.366666666666667</v>
      </c>
      <c r="X135" s="74">
        <f>_xll.qlDayCounterYearFraction(DayCounter,R135,S135)</f>
        <v>0.50555555555555554</v>
      </c>
      <c r="Y135" s="74">
        <f>_xll.qlYieldTSDiscount(Currency&amp;"ON",R135)/(1+U135*X135)</f>
        <v>0.41681190490264147</v>
      </c>
      <c r="Z135" s="32">
        <f>_xll.qlTenorBasisValue(TenorBasis6M,R135,InterestRatesTrigger)</f>
        <v>1.6087314302712336E-4</v>
      </c>
      <c r="AA135" s="32">
        <f t="shared" si="17"/>
        <v>5.1999528922722299E-4</v>
      </c>
    </row>
    <row r="136" spans="15:27" x14ac:dyDescent="0.2">
      <c r="P136" s="37"/>
      <c r="Q136" s="38"/>
      <c r="R136" s="38"/>
      <c r="S136" s="38"/>
      <c r="T136" s="39"/>
      <c r="U136" s="39"/>
      <c r="V136" s="39"/>
      <c r="W136" s="36"/>
      <c r="X136" s="36"/>
      <c r="Y136" s="36"/>
      <c r="Z136" s="36"/>
      <c r="AA136" s="36"/>
    </row>
    <row r="137" spans="15:27" x14ac:dyDescent="0.2">
      <c r="P137" s="36"/>
      <c r="Q137" s="40"/>
      <c r="R137" s="40"/>
      <c r="S137" s="40"/>
      <c r="T137" s="41"/>
      <c r="U137" s="41"/>
      <c r="V137" s="41"/>
      <c r="W137" s="36"/>
      <c r="X137" s="36"/>
      <c r="Y137" s="36"/>
      <c r="Z137" s="36"/>
      <c r="AA137" s="36"/>
    </row>
    <row r="138" spans="15:27" x14ac:dyDescent="0.2">
      <c r="P138" s="36"/>
      <c r="Q138" s="40"/>
      <c r="R138" s="40"/>
      <c r="S138" s="40"/>
      <c r="T138" s="41"/>
      <c r="U138" s="41"/>
      <c r="V138" s="41"/>
      <c r="W138" s="36"/>
      <c r="X138" s="36"/>
      <c r="Y138" s="36"/>
      <c r="Z138" s="36"/>
      <c r="AA138" s="36"/>
    </row>
    <row r="139" spans="15:27" x14ac:dyDescent="0.2">
      <c r="P139" s="36"/>
      <c r="Q139" s="40"/>
      <c r="R139" s="40"/>
      <c r="S139" s="40"/>
      <c r="T139" s="41"/>
      <c r="U139" s="41"/>
      <c r="V139" s="41"/>
      <c r="W139" s="36"/>
      <c r="X139" s="36"/>
      <c r="Y139" s="36"/>
      <c r="Z139" s="36"/>
      <c r="AA139" s="36"/>
    </row>
    <row r="140" spans="15:27" x14ac:dyDescent="0.2">
      <c r="P140" s="36"/>
      <c r="Q140" s="40"/>
      <c r="R140" s="40"/>
      <c r="S140" s="40"/>
      <c r="T140" s="41"/>
      <c r="U140" s="41"/>
      <c r="V140" s="41"/>
      <c r="W140" s="36"/>
      <c r="X140" s="36"/>
      <c r="Y140" s="36"/>
      <c r="Z140" s="36"/>
      <c r="AA140" s="36"/>
    </row>
    <row r="141" spans="15:27" x14ac:dyDescent="0.2">
      <c r="P141" s="36"/>
      <c r="Q141" s="40"/>
      <c r="R141" s="40"/>
      <c r="S141" s="40"/>
      <c r="T141" s="41"/>
      <c r="U141" s="41"/>
      <c r="V141" s="41"/>
      <c r="W141" s="36"/>
      <c r="X141" s="36"/>
      <c r="Y141" s="36"/>
      <c r="Z141" s="36"/>
      <c r="AA141" s="36"/>
    </row>
    <row r="142" spans="15:27" x14ac:dyDescent="0.2">
      <c r="P142" s="36"/>
      <c r="Q142" s="40"/>
      <c r="R142" s="40"/>
      <c r="S142" s="40"/>
      <c r="T142" s="41"/>
      <c r="U142" s="41"/>
      <c r="V142" s="41"/>
      <c r="W142" s="36"/>
      <c r="X142" s="36"/>
      <c r="Y142" s="36"/>
      <c r="Z142" s="36"/>
      <c r="AA142" s="36"/>
    </row>
    <row r="143" spans="15:27" x14ac:dyDescent="0.2">
      <c r="P143" s="36"/>
      <c r="Q143" s="40"/>
      <c r="R143" s="40"/>
      <c r="S143" s="40"/>
      <c r="T143" s="41"/>
      <c r="U143" s="41"/>
      <c r="V143" s="41"/>
      <c r="W143" s="36"/>
      <c r="X143" s="36"/>
      <c r="Y143" s="36"/>
      <c r="Z143" s="36"/>
      <c r="AA143" s="36"/>
    </row>
    <row r="144" spans="15:27" x14ac:dyDescent="0.2">
      <c r="P144" s="36"/>
      <c r="Q144" s="40"/>
      <c r="R144" s="40"/>
      <c r="S144" s="40"/>
      <c r="T144" s="41"/>
      <c r="U144" s="41"/>
      <c r="V144" s="41"/>
      <c r="W144" s="36"/>
      <c r="X144" s="36"/>
      <c r="Y144" s="36"/>
      <c r="Z144" s="36"/>
      <c r="AA144" s="36"/>
    </row>
    <row r="145" spans="16:27" x14ac:dyDescent="0.2">
      <c r="P145" s="36"/>
      <c r="Q145" s="40"/>
      <c r="R145" s="40"/>
      <c r="S145" s="40"/>
      <c r="T145" s="41"/>
      <c r="U145" s="41"/>
      <c r="V145" s="41"/>
      <c r="W145" s="36"/>
      <c r="X145" s="36"/>
      <c r="Y145" s="36"/>
      <c r="Z145" s="36"/>
      <c r="AA145" s="36"/>
    </row>
    <row r="146" spans="16:27" x14ac:dyDescent="0.2">
      <c r="P146" s="36"/>
      <c r="Q146" s="40"/>
      <c r="R146" s="40"/>
      <c r="S146" s="40"/>
      <c r="T146" s="41"/>
      <c r="U146" s="41"/>
      <c r="V146" s="41"/>
      <c r="W146" s="36"/>
      <c r="X146" s="36"/>
      <c r="Y146" s="36"/>
      <c r="Z146" s="36"/>
      <c r="AA146" s="36"/>
    </row>
    <row r="147" spans="16:27" x14ac:dyDescent="0.2">
      <c r="P147" s="36"/>
      <c r="Q147" s="40"/>
      <c r="R147" s="40"/>
      <c r="S147" s="40"/>
      <c r="T147" s="41"/>
      <c r="U147" s="41"/>
      <c r="V147" s="41"/>
      <c r="W147" s="36"/>
      <c r="X147" s="36"/>
      <c r="Y147" s="36"/>
      <c r="Z147" s="36"/>
      <c r="AA147" s="36"/>
    </row>
    <row r="148" spans="16:27" x14ac:dyDescent="0.2">
      <c r="P148" s="36"/>
      <c r="Q148" s="40"/>
      <c r="R148" s="40"/>
      <c r="S148" s="40"/>
      <c r="T148" s="41"/>
      <c r="U148" s="41"/>
      <c r="V148" s="41"/>
      <c r="W148" s="36"/>
      <c r="X148" s="36"/>
      <c r="Y148" s="36"/>
      <c r="Z148" s="36"/>
      <c r="AA148" s="36"/>
    </row>
    <row r="149" spans="16:27" x14ac:dyDescent="0.2">
      <c r="P149" s="36"/>
      <c r="Q149" s="40"/>
      <c r="R149" s="40"/>
      <c r="S149" s="40"/>
      <c r="T149" s="41"/>
      <c r="U149" s="41"/>
      <c r="V149" s="41"/>
      <c r="W149" s="36"/>
      <c r="X149" s="36"/>
      <c r="Y149" s="36"/>
      <c r="Z149" s="36"/>
      <c r="AA149" s="36"/>
    </row>
    <row r="150" spans="16:27" x14ac:dyDescent="0.2">
      <c r="P150" s="36"/>
      <c r="Q150" s="40"/>
      <c r="R150" s="40"/>
      <c r="S150" s="40"/>
      <c r="T150" s="41"/>
      <c r="U150" s="41"/>
      <c r="V150" s="41"/>
      <c r="W150" s="36"/>
      <c r="X150" s="36"/>
      <c r="Y150" s="36"/>
      <c r="Z150" s="36"/>
      <c r="AA150" s="36"/>
    </row>
    <row r="151" spans="16:27" x14ac:dyDescent="0.2">
      <c r="P151" s="36"/>
      <c r="Q151" s="40"/>
      <c r="R151" s="40"/>
      <c r="S151" s="40"/>
      <c r="T151" s="41"/>
      <c r="U151" s="41"/>
      <c r="V151" s="41"/>
      <c r="W151" s="36"/>
      <c r="X151" s="36"/>
      <c r="Y151" s="36"/>
      <c r="Z151" s="36"/>
      <c r="AA151" s="36"/>
    </row>
    <row r="152" spans="16:27" x14ac:dyDescent="0.2">
      <c r="P152" s="36"/>
      <c r="Q152" s="40"/>
      <c r="R152" s="40"/>
      <c r="S152" s="40"/>
      <c r="T152" s="41"/>
      <c r="U152" s="41"/>
      <c r="V152" s="41"/>
      <c r="W152" s="36"/>
      <c r="X152" s="36"/>
      <c r="Y152" s="36"/>
      <c r="Z152" s="36"/>
      <c r="AA152" s="36"/>
    </row>
    <row r="153" spans="16:27" x14ac:dyDescent="0.2">
      <c r="P153" s="36"/>
      <c r="Q153" s="40"/>
      <c r="R153" s="40"/>
      <c r="S153" s="40"/>
      <c r="T153" s="41"/>
      <c r="U153" s="41"/>
      <c r="V153" s="41"/>
      <c r="W153" s="36"/>
      <c r="X153" s="36"/>
      <c r="Y153" s="36"/>
      <c r="Z153" s="36"/>
      <c r="AA153" s="36"/>
    </row>
    <row r="154" spans="16:27" x14ac:dyDescent="0.2">
      <c r="P154" s="36"/>
      <c r="Q154" s="40"/>
      <c r="R154" s="40"/>
      <c r="S154" s="40"/>
      <c r="T154" s="41"/>
      <c r="U154" s="41"/>
      <c r="V154" s="41"/>
      <c r="W154" s="36"/>
      <c r="X154" s="36"/>
      <c r="Y154" s="36"/>
      <c r="Z154" s="36"/>
      <c r="AA154" s="36"/>
    </row>
    <row r="155" spans="16:27" x14ac:dyDescent="0.2">
      <c r="P155" s="36"/>
      <c r="Q155" s="40"/>
      <c r="R155" s="40"/>
      <c r="S155" s="40"/>
      <c r="T155" s="41"/>
      <c r="U155" s="41"/>
      <c r="V155" s="41"/>
      <c r="W155" s="36"/>
      <c r="X155" s="36"/>
      <c r="Y155" s="36"/>
      <c r="Z155" s="36"/>
      <c r="AA155" s="36"/>
    </row>
    <row r="156" spans="16:27" x14ac:dyDescent="0.2">
      <c r="P156" s="36"/>
      <c r="Q156" s="40"/>
      <c r="R156" s="40"/>
      <c r="S156" s="40"/>
      <c r="T156" s="41"/>
      <c r="U156" s="41"/>
      <c r="V156" s="41"/>
      <c r="W156" s="36"/>
      <c r="X156" s="36"/>
      <c r="Y156" s="36"/>
      <c r="Z156" s="36"/>
      <c r="AA156" s="36"/>
    </row>
    <row r="157" spans="16:27" x14ac:dyDescent="0.2">
      <c r="P157" s="36"/>
      <c r="Q157" s="40"/>
      <c r="R157" s="40"/>
      <c r="S157" s="40"/>
      <c r="T157" s="41"/>
      <c r="U157" s="41"/>
      <c r="V157" s="41"/>
      <c r="W157" s="36"/>
      <c r="X157" s="36"/>
      <c r="Y157" s="36"/>
      <c r="Z157" s="36"/>
      <c r="AA157" s="36"/>
    </row>
    <row r="158" spans="16:27" x14ac:dyDescent="0.2">
      <c r="P158" s="36"/>
      <c r="Q158" s="40"/>
      <c r="R158" s="40"/>
      <c r="S158" s="40"/>
      <c r="T158" s="41"/>
      <c r="U158" s="41"/>
      <c r="V158" s="41"/>
      <c r="W158" s="36"/>
      <c r="X158" s="36"/>
      <c r="Y158" s="36"/>
      <c r="Z158" s="36"/>
      <c r="AA158" s="36"/>
    </row>
    <row r="159" spans="16:27" x14ac:dyDescent="0.2">
      <c r="P159" s="36"/>
      <c r="Q159" s="40"/>
      <c r="R159" s="40"/>
      <c r="S159" s="40"/>
      <c r="T159" s="41"/>
      <c r="U159" s="41"/>
      <c r="V159" s="41"/>
      <c r="W159" s="36"/>
      <c r="X159" s="36"/>
      <c r="Y159" s="36"/>
      <c r="Z159" s="36"/>
      <c r="AA159" s="36"/>
    </row>
    <row r="160" spans="16:27" x14ac:dyDescent="0.2">
      <c r="P160" s="36"/>
      <c r="Q160" s="40"/>
      <c r="R160" s="40"/>
      <c r="S160" s="40"/>
      <c r="T160" s="41"/>
      <c r="U160" s="41"/>
      <c r="V160" s="41"/>
      <c r="W160" s="36"/>
      <c r="X160" s="36"/>
      <c r="Y160" s="36"/>
      <c r="Z160" s="36"/>
      <c r="AA160" s="36"/>
    </row>
    <row r="161" spans="16:27" x14ac:dyDescent="0.2">
      <c r="P161" s="36"/>
      <c r="Q161" s="40"/>
      <c r="R161" s="40"/>
      <c r="S161" s="40"/>
      <c r="T161" s="41"/>
      <c r="U161" s="41"/>
      <c r="V161" s="41"/>
      <c r="W161" s="36"/>
      <c r="X161" s="36"/>
      <c r="Y161" s="36"/>
      <c r="Z161" s="36"/>
      <c r="AA161" s="36"/>
    </row>
    <row r="162" spans="16:27" x14ac:dyDescent="0.2">
      <c r="P162" s="36"/>
      <c r="Q162" s="40"/>
      <c r="R162" s="40"/>
      <c r="S162" s="40"/>
      <c r="T162" s="41"/>
      <c r="U162" s="41"/>
      <c r="V162" s="41"/>
      <c r="W162" s="36"/>
      <c r="X162" s="36"/>
      <c r="Y162" s="36"/>
      <c r="Z162" s="36"/>
      <c r="AA162" s="36"/>
    </row>
    <row r="163" spans="16:27" x14ac:dyDescent="0.2">
      <c r="P163" s="36"/>
      <c r="Q163" s="40"/>
      <c r="R163" s="40"/>
      <c r="S163" s="40"/>
      <c r="T163" s="41"/>
      <c r="U163" s="41"/>
      <c r="V163" s="41"/>
      <c r="W163" s="36"/>
      <c r="X163" s="36"/>
      <c r="Y163" s="36"/>
      <c r="Z163" s="36"/>
      <c r="AA163" s="36"/>
    </row>
    <row r="164" spans="16:27" x14ac:dyDescent="0.2">
      <c r="P164" s="36"/>
      <c r="Q164" s="40"/>
      <c r="R164" s="40"/>
      <c r="S164" s="40"/>
      <c r="T164" s="41"/>
      <c r="U164" s="41"/>
      <c r="V164" s="41"/>
      <c r="W164" s="36"/>
      <c r="X164" s="36"/>
      <c r="Y164" s="36"/>
      <c r="Z164" s="36"/>
      <c r="AA164" s="36"/>
    </row>
    <row r="165" spans="16:27" x14ac:dyDescent="0.2">
      <c r="P165" s="36"/>
      <c r="Q165" s="40"/>
      <c r="R165" s="40"/>
      <c r="S165" s="40"/>
      <c r="T165" s="41"/>
      <c r="U165" s="41"/>
      <c r="V165" s="41"/>
      <c r="W165" s="36"/>
      <c r="X165" s="36"/>
      <c r="Y165" s="36"/>
      <c r="Z165" s="36"/>
      <c r="AA165" s="36"/>
    </row>
    <row r="166" spans="16:27" x14ac:dyDescent="0.2">
      <c r="P166" s="36"/>
      <c r="Q166" s="40"/>
      <c r="R166" s="40"/>
      <c r="S166" s="40"/>
      <c r="T166" s="41"/>
      <c r="U166" s="41"/>
      <c r="V166" s="41"/>
      <c r="W166" s="36"/>
      <c r="X166" s="36"/>
      <c r="Y166" s="36"/>
      <c r="Z166" s="36"/>
      <c r="AA166" s="36"/>
    </row>
    <row r="167" spans="16:27" x14ac:dyDescent="0.2">
      <c r="P167" s="36"/>
      <c r="Q167" s="40"/>
      <c r="R167" s="40"/>
      <c r="S167" s="40"/>
      <c r="T167" s="41"/>
      <c r="U167" s="41"/>
      <c r="V167" s="41"/>
      <c r="W167" s="36"/>
      <c r="X167" s="36"/>
      <c r="Y167" s="36"/>
      <c r="Z167" s="36"/>
      <c r="AA167" s="36"/>
    </row>
    <row r="168" spans="16:27" x14ac:dyDescent="0.2">
      <c r="P168" s="36"/>
      <c r="Q168" s="40"/>
      <c r="R168" s="40"/>
      <c r="S168" s="40"/>
      <c r="T168" s="41"/>
      <c r="U168" s="41"/>
      <c r="V168" s="41"/>
      <c r="W168" s="36"/>
      <c r="X168" s="36"/>
      <c r="Y168" s="36"/>
      <c r="Z168" s="36"/>
      <c r="AA168" s="36"/>
    </row>
    <row r="169" spans="16:27" x14ac:dyDescent="0.2">
      <c r="P169" s="36"/>
      <c r="Q169" s="40"/>
      <c r="R169" s="40"/>
      <c r="S169" s="40"/>
      <c r="T169" s="41"/>
      <c r="U169" s="41"/>
      <c r="V169" s="41"/>
      <c r="W169" s="36"/>
      <c r="X169" s="36"/>
      <c r="Y169" s="36"/>
      <c r="Z169" s="36"/>
      <c r="AA169" s="36"/>
    </row>
    <row r="170" spans="16:27" x14ac:dyDescent="0.2">
      <c r="P170" s="36"/>
      <c r="Q170" s="40"/>
      <c r="R170" s="40"/>
      <c r="S170" s="40"/>
      <c r="T170" s="41"/>
      <c r="U170" s="41"/>
      <c r="V170" s="41"/>
      <c r="W170" s="36"/>
      <c r="X170" s="36"/>
      <c r="Y170" s="36"/>
      <c r="Z170" s="36"/>
      <c r="AA170" s="36"/>
    </row>
    <row r="171" spans="16:27" x14ac:dyDescent="0.2">
      <c r="P171" s="36"/>
      <c r="Q171" s="40"/>
      <c r="R171" s="40"/>
      <c r="S171" s="40"/>
      <c r="T171" s="41"/>
      <c r="U171" s="41"/>
      <c r="V171" s="41"/>
      <c r="W171" s="36"/>
      <c r="X171" s="36"/>
      <c r="Y171" s="36"/>
      <c r="Z171" s="36"/>
      <c r="AA171" s="36"/>
    </row>
    <row r="172" spans="16:27" x14ac:dyDescent="0.2">
      <c r="P172" s="36"/>
      <c r="Q172" s="40"/>
      <c r="R172" s="40"/>
      <c r="S172" s="40"/>
      <c r="T172" s="41"/>
      <c r="U172" s="41"/>
      <c r="V172" s="41"/>
      <c r="W172" s="36"/>
      <c r="X172" s="36"/>
      <c r="Y172" s="36"/>
      <c r="Z172" s="36"/>
      <c r="AA172" s="36"/>
    </row>
    <row r="173" spans="16:27" x14ac:dyDescent="0.2">
      <c r="P173" s="36"/>
      <c r="Q173" s="40"/>
      <c r="R173" s="40"/>
      <c r="S173" s="40"/>
      <c r="T173" s="41"/>
      <c r="U173" s="41"/>
      <c r="V173" s="41"/>
      <c r="W173" s="36"/>
      <c r="X173" s="36"/>
      <c r="Y173" s="36"/>
      <c r="Z173" s="36"/>
      <c r="AA173" s="36"/>
    </row>
    <row r="174" spans="16:27" x14ac:dyDescent="0.2">
      <c r="P174" s="36"/>
      <c r="Q174" s="40"/>
      <c r="R174" s="40"/>
      <c r="S174" s="40"/>
      <c r="T174" s="41"/>
      <c r="U174" s="41"/>
      <c r="V174" s="41"/>
      <c r="W174" s="36"/>
      <c r="X174" s="36"/>
      <c r="Y174" s="36"/>
      <c r="Z174" s="36"/>
      <c r="AA174" s="36"/>
    </row>
    <row r="175" spans="16:27" x14ac:dyDescent="0.2">
      <c r="P175" s="36"/>
      <c r="Q175" s="40"/>
      <c r="R175" s="40"/>
      <c r="S175" s="40"/>
      <c r="T175" s="41"/>
      <c r="U175" s="41"/>
      <c r="V175" s="41"/>
      <c r="W175" s="36"/>
      <c r="X175" s="36"/>
      <c r="Y175" s="36"/>
      <c r="Z175" s="36"/>
      <c r="AA175" s="36"/>
    </row>
    <row r="176" spans="16:27" x14ac:dyDescent="0.2">
      <c r="P176" s="36"/>
      <c r="Q176" s="40"/>
      <c r="R176" s="40"/>
      <c r="S176" s="40"/>
      <c r="T176" s="41"/>
      <c r="U176" s="41"/>
      <c r="V176" s="41"/>
      <c r="W176" s="36"/>
      <c r="X176" s="36"/>
      <c r="Y176" s="36"/>
      <c r="Z176" s="36"/>
      <c r="AA176" s="36"/>
    </row>
    <row r="177" spans="16:27" x14ac:dyDescent="0.2">
      <c r="P177" s="36"/>
      <c r="Q177" s="40"/>
      <c r="R177" s="40"/>
      <c r="S177" s="40"/>
      <c r="T177" s="41"/>
      <c r="U177" s="41"/>
      <c r="V177" s="41"/>
      <c r="W177" s="36"/>
      <c r="X177" s="36"/>
      <c r="Y177" s="36"/>
      <c r="Z177" s="36"/>
      <c r="AA177" s="36"/>
    </row>
    <row r="178" spans="16:27" x14ac:dyDescent="0.2">
      <c r="P178" s="36"/>
      <c r="Q178" s="40"/>
      <c r="R178" s="40"/>
      <c r="S178" s="40"/>
      <c r="T178" s="41"/>
      <c r="U178" s="41"/>
      <c r="V178" s="41"/>
      <c r="W178" s="36"/>
      <c r="X178" s="36"/>
      <c r="Y178" s="36"/>
      <c r="Z178" s="36"/>
      <c r="AA178" s="36"/>
    </row>
    <row r="179" spans="16:27" x14ac:dyDescent="0.2">
      <c r="P179" s="36"/>
      <c r="Q179" s="40"/>
      <c r="R179" s="40"/>
      <c r="S179" s="40"/>
      <c r="T179" s="41"/>
      <c r="U179" s="41"/>
      <c r="V179" s="41"/>
      <c r="W179" s="36"/>
      <c r="X179" s="36"/>
      <c r="Y179" s="36"/>
      <c r="Z179" s="36"/>
      <c r="AA179" s="36"/>
    </row>
    <row r="180" spans="16:27" x14ac:dyDescent="0.2">
      <c r="P180" s="36"/>
      <c r="Q180" s="40"/>
      <c r="R180" s="40"/>
      <c r="S180" s="40"/>
      <c r="T180" s="41"/>
      <c r="U180" s="41"/>
      <c r="V180" s="41"/>
      <c r="W180" s="36"/>
      <c r="X180" s="36"/>
      <c r="Y180" s="36"/>
      <c r="Z180" s="36"/>
      <c r="AA180" s="36"/>
    </row>
    <row r="181" spans="16:27" x14ac:dyDescent="0.2">
      <c r="P181" s="36"/>
      <c r="Q181" s="40"/>
      <c r="R181" s="40"/>
      <c r="S181" s="40"/>
      <c r="T181" s="41"/>
      <c r="U181" s="41"/>
      <c r="V181" s="41"/>
      <c r="W181" s="36"/>
      <c r="X181" s="36"/>
      <c r="Y181" s="36"/>
      <c r="Z181" s="36"/>
      <c r="AA181" s="36"/>
    </row>
    <row r="182" spans="16:27" x14ac:dyDescent="0.2">
      <c r="P182" s="36"/>
      <c r="Q182" s="40"/>
      <c r="R182" s="40"/>
      <c r="S182" s="40"/>
      <c r="T182" s="41"/>
      <c r="U182" s="41"/>
      <c r="V182" s="41"/>
      <c r="W182" s="36"/>
      <c r="X182" s="36"/>
      <c r="Y182" s="36"/>
      <c r="Z182" s="36"/>
      <c r="AA182" s="36"/>
    </row>
    <row r="183" spans="16:27" x14ac:dyDescent="0.2">
      <c r="P183" s="36"/>
      <c r="Q183" s="40"/>
      <c r="R183" s="40"/>
      <c r="S183" s="40"/>
      <c r="T183" s="41"/>
      <c r="U183" s="41"/>
      <c r="V183" s="41"/>
      <c r="W183" s="36"/>
      <c r="X183" s="36"/>
      <c r="Y183" s="36"/>
      <c r="Z183" s="36"/>
      <c r="AA183" s="36"/>
    </row>
    <row r="184" spans="16:27" x14ac:dyDescent="0.2">
      <c r="P184" s="36"/>
      <c r="Q184" s="40"/>
      <c r="R184" s="40"/>
      <c r="S184" s="40"/>
      <c r="T184" s="41"/>
      <c r="U184" s="41"/>
      <c r="V184" s="41"/>
      <c r="W184" s="36"/>
      <c r="X184" s="36"/>
      <c r="Y184" s="36"/>
      <c r="Z184" s="36"/>
      <c r="AA184" s="36"/>
    </row>
    <row r="185" spans="16:27" x14ac:dyDescent="0.2">
      <c r="P185" s="36"/>
      <c r="Q185" s="40"/>
      <c r="R185" s="40"/>
      <c r="S185" s="40"/>
      <c r="T185" s="41"/>
      <c r="U185" s="41"/>
      <c r="V185" s="41"/>
      <c r="W185" s="36"/>
      <c r="X185" s="36"/>
      <c r="Y185" s="36"/>
      <c r="Z185" s="36"/>
      <c r="AA185" s="36"/>
    </row>
    <row r="186" spans="16:27" x14ac:dyDescent="0.2">
      <c r="P186" s="36"/>
      <c r="Q186" s="40"/>
      <c r="R186" s="40"/>
      <c r="S186" s="40"/>
      <c r="T186" s="41"/>
      <c r="U186" s="41"/>
      <c r="V186" s="41"/>
      <c r="W186" s="36"/>
      <c r="X186" s="36"/>
      <c r="Y186" s="36"/>
      <c r="Z186" s="36"/>
      <c r="AA186" s="36"/>
    </row>
    <row r="187" spans="16:27" x14ac:dyDescent="0.2">
      <c r="P187" s="36"/>
      <c r="Q187" s="40"/>
      <c r="R187" s="40"/>
      <c r="S187" s="40"/>
      <c r="T187" s="41"/>
      <c r="U187" s="41"/>
      <c r="V187" s="41"/>
      <c r="W187" s="36"/>
      <c r="X187" s="36"/>
      <c r="Y187" s="36"/>
      <c r="Z187" s="36"/>
      <c r="AA187" s="36"/>
    </row>
    <row r="188" spans="16:27" x14ac:dyDescent="0.2">
      <c r="P188" s="36"/>
      <c r="Q188" s="40"/>
      <c r="R188" s="40"/>
      <c r="S188" s="40"/>
      <c r="T188" s="41"/>
      <c r="U188" s="41"/>
      <c r="V188" s="41"/>
      <c r="W188" s="36"/>
      <c r="X188" s="36"/>
      <c r="Y188" s="36"/>
      <c r="Z188" s="36"/>
      <c r="AA188" s="36"/>
    </row>
    <row r="189" spans="16:27" x14ac:dyDescent="0.2">
      <c r="P189" s="36"/>
      <c r="Q189" s="40"/>
      <c r="R189" s="40"/>
      <c r="S189" s="40"/>
      <c r="T189" s="41"/>
      <c r="U189" s="41"/>
      <c r="V189" s="41"/>
      <c r="W189" s="36"/>
      <c r="X189" s="36"/>
      <c r="Y189" s="36"/>
      <c r="Z189" s="36"/>
      <c r="AA189" s="36"/>
    </row>
    <row r="190" spans="16:27" x14ac:dyDescent="0.2">
      <c r="P190" s="36"/>
      <c r="Q190" s="40"/>
      <c r="R190" s="40"/>
      <c r="S190" s="40"/>
      <c r="T190" s="41"/>
      <c r="U190" s="41"/>
      <c r="V190" s="41"/>
      <c r="W190" s="36"/>
      <c r="X190" s="36"/>
      <c r="Y190" s="36"/>
      <c r="Z190" s="36"/>
      <c r="AA190" s="36"/>
    </row>
    <row r="191" spans="16:27" x14ac:dyDescent="0.2">
      <c r="P191" s="36"/>
      <c r="Q191" s="40"/>
      <c r="R191" s="40"/>
      <c r="S191" s="40"/>
      <c r="T191" s="41"/>
      <c r="U191" s="41"/>
      <c r="V191" s="41"/>
      <c r="W191" s="36"/>
      <c r="X191" s="36"/>
      <c r="Y191" s="36"/>
      <c r="Z191" s="36"/>
      <c r="AA191" s="36"/>
    </row>
    <row r="192" spans="16:27" x14ac:dyDescent="0.2">
      <c r="P192" s="36"/>
      <c r="Q192" s="40"/>
      <c r="R192" s="40"/>
      <c r="S192" s="40"/>
      <c r="T192" s="41"/>
      <c r="U192" s="41"/>
      <c r="V192" s="41"/>
      <c r="W192" s="36"/>
      <c r="X192" s="36"/>
      <c r="Y192" s="36"/>
      <c r="Z192" s="36"/>
      <c r="AA192" s="36"/>
    </row>
    <row r="193" spans="16:27" x14ac:dyDescent="0.2">
      <c r="P193" s="36"/>
      <c r="Q193" s="40"/>
      <c r="R193" s="40"/>
      <c r="S193" s="40"/>
      <c r="T193" s="41"/>
      <c r="U193" s="41"/>
      <c r="V193" s="41"/>
      <c r="W193" s="36"/>
      <c r="X193" s="36"/>
      <c r="Y193" s="36"/>
      <c r="Z193" s="36"/>
      <c r="AA193" s="36"/>
    </row>
    <row r="194" spans="16:27" x14ac:dyDescent="0.2">
      <c r="P194" s="36"/>
      <c r="Q194" s="40"/>
      <c r="R194" s="40"/>
      <c r="S194" s="40"/>
      <c r="T194" s="41"/>
      <c r="U194" s="41"/>
      <c r="V194" s="41"/>
      <c r="W194" s="36"/>
      <c r="X194" s="36"/>
      <c r="Y194" s="36"/>
      <c r="Z194" s="36"/>
      <c r="AA194" s="36"/>
    </row>
    <row r="195" spans="16:27" x14ac:dyDescent="0.2">
      <c r="P195" s="36"/>
      <c r="Q195" s="40"/>
      <c r="R195" s="40"/>
      <c r="S195" s="40"/>
      <c r="T195" s="41"/>
      <c r="U195" s="41"/>
      <c r="V195" s="41"/>
      <c r="W195" s="36"/>
      <c r="X195" s="36"/>
      <c r="Y195" s="36"/>
      <c r="Z195" s="36"/>
      <c r="AA195" s="36"/>
    </row>
    <row r="196" spans="16:27" x14ac:dyDescent="0.2">
      <c r="P196" s="36"/>
      <c r="Q196" s="40"/>
      <c r="R196" s="40"/>
      <c r="S196" s="40"/>
      <c r="T196" s="41"/>
      <c r="U196" s="41"/>
      <c r="V196" s="41"/>
      <c r="W196" s="36"/>
      <c r="X196" s="36"/>
      <c r="Y196" s="36"/>
      <c r="Z196" s="36"/>
      <c r="AA196" s="36"/>
    </row>
    <row r="197" spans="16:27" x14ac:dyDescent="0.2">
      <c r="P197" s="36"/>
      <c r="Q197" s="40"/>
      <c r="R197" s="40"/>
      <c r="S197" s="40"/>
      <c r="T197" s="41"/>
      <c r="U197" s="41"/>
      <c r="V197" s="41"/>
      <c r="W197" s="36"/>
      <c r="X197" s="36"/>
      <c r="Y197" s="36"/>
      <c r="Z197" s="36"/>
      <c r="AA197" s="36"/>
    </row>
    <row r="198" spans="16:27" x14ac:dyDescent="0.2">
      <c r="P198" s="36"/>
      <c r="Q198" s="40"/>
      <c r="R198" s="40"/>
      <c r="S198" s="40"/>
      <c r="T198" s="41"/>
      <c r="U198" s="41"/>
      <c r="V198" s="41"/>
      <c r="W198" s="36"/>
      <c r="X198" s="36"/>
      <c r="Y198" s="36"/>
      <c r="Z198" s="36"/>
      <c r="AA198" s="36"/>
    </row>
    <row r="199" spans="16:27" x14ac:dyDescent="0.2">
      <c r="P199" s="36"/>
      <c r="Q199" s="40"/>
      <c r="R199" s="40"/>
      <c r="S199" s="40"/>
      <c r="T199" s="41"/>
      <c r="U199" s="41"/>
      <c r="V199" s="41"/>
      <c r="W199" s="36"/>
      <c r="X199" s="36"/>
      <c r="Y199" s="36"/>
      <c r="Z199" s="36"/>
      <c r="AA199" s="36"/>
    </row>
    <row r="200" spans="16:27" x14ac:dyDescent="0.2">
      <c r="P200" s="36"/>
      <c r="Q200" s="40"/>
      <c r="R200" s="40"/>
      <c r="S200" s="40"/>
      <c r="T200" s="41"/>
      <c r="U200" s="41"/>
      <c r="V200" s="41"/>
      <c r="W200" s="36"/>
      <c r="X200" s="36"/>
      <c r="Y200" s="36"/>
      <c r="Z200" s="36"/>
      <c r="AA200" s="36"/>
    </row>
    <row r="201" spans="16:27" x14ac:dyDescent="0.2">
      <c r="P201" s="36"/>
      <c r="Q201" s="40"/>
      <c r="R201" s="40"/>
      <c r="S201" s="40"/>
      <c r="T201" s="41"/>
      <c r="U201" s="41"/>
      <c r="V201" s="41"/>
      <c r="W201" s="36"/>
      <c r="X201" s="36"/>
      <c r="Y201" s="36"/>
      <c r="Z201" s="36"/>
      <c r="AA201" s="36"/>
    </row>
    <row r="202" spans="16:27" x14ac:dyDescent="0.2">
      <c r="P202" s="36"/>
      <c r="Q202" s="40"/>
      <c r="R202" s="40"/>
      <c r="S202" s="40"/>
      <c r="T202" s="41"/>
      <c r="U202" s="41"/>
      <c r="V202" s="41"/>
      <c r="W202" s="36"/>
      <c r="X202" s="36"/>
      <c r="Y202" s="36"/>
      <c r="Z202" s="36"/>
      <c r="AA202" s="36"/>
    </row>
    <row r="203" spans="16:27" x14ac:dyDescent="0.2">
      <c r="P203" s="36"/>
      <c r="Q203" s="40"/>
      <c r="R203" s="40"/>
      <c r="S203" s="40"/>
      <c r="T203" s="41"/>
      <c r="U203" s="41"/>
      <c r="V203" s="41"/>
      <c r="W203" s="36"/>
      <c r="X203" s="36"/>
      <c r="Y203" s="36"/>
      <c r="Z203" s="36"/>
      <c r="AA203" s="36"/>
    </row>
    <row r="204" spans="16:27" x14ac:dyDescent="0.2">
      <c r="P204" s="36"/>
      <c r="Q204" s="40"/>
      <c r="R204" s="40"/>
      <c r="S204" s="40"/>
      <c r="T204" s="41"/>
      <c r="U204" s="41"/>
      <c r="V204" s="41"/>
      <c r="W204" s="36"/>
      <c r="X204" s="36"/>
      <c r="Y204" s="36"/>
      <c r="Z204" s="36"/>
      <c r="AA204" s="36"/>
    </row>
    <row r="205" spans="16:27" x14ac:dyDescent="0.2">
      <c r="P205" s="36"/>
      <c r="Q205" s="40"/>
      <c r="R205" s="40"/>
      <c r="S205" s="40"/>
      <c r="T205" s="41"/>
      <c r="U205" s="41"/>
      <c r="V205" s="41"/>
      <c r="W205" s="36"/>
      <c r="X205" s="36"/>
      <c r="Y205" s="36"/>
      <c r="Z205" s="36"/>
      <c r="AA205" s="36"/>
    </row>
    <row r="206" spans="16:27" x14ac:dyDescent="0.2">
      <c r="P206" s="36"/>
      <c r="Q206" s="40"/>
      <c r="R206" s="40"/>
      <c r="S206" s="40"/>
      <c r="T206" s="41"/>
      <c r="U206" s="41"/>
      <c r="V206" s="41"/>
      <c r="W206" s="36"/>
      <c r="X206" s="36"/>
      <c r="Y206" s="36"/>
      <c r="Z206" s="36"/>
      <c r="AA206" s="36"/>
    </row>
    <row r="207" spans="16:27" x14ac:dyDescent="0.2">
      <c r="P207" s="36"/>
      <c r="Q207" s="40"/>
      <c r="R207" s="40"/>
      <c r="S207" s="40"/>
      <c r="T207" s="41"/>
      <c r="U207" s="41"/>
      <c r="V207" s="41"/>
      <c r="W207" s="36"/>
      <c r="X207" s="36"/>
      <c r="Y207" s="36"/>
      <c r="Z207" s="36"/>
      <c r="AA207" s="36"/>
    </row>
    <row r="208" spans="16:27" x14ac:dyDescent="0.2">
      <c r="P208" s="36"/>
      <c r="Q208" s="40"/>
      <c r="R208" s="40"/>
      <c r="S208" s="40"/>
      <c r="T208" s="41"/>
      <c r="U208" s="41"/>
      <c r="V208" s="41"/>
      <c r="W208" s="36"/>
      <c r="X208" s="36"/>
      <c r="Y208" s="36"/>
      <c r="Z208" s="36"/>
      <c r="AA208" s="36"/>
    </row>
    <row r="209" spans="16:27" x14ac:dyDescent="0.2">
      <c r="P209" s="36"/>
      <c r="Q209" s="40"/>
      <c r="R209" s="40"/>
      <c r="S209" s="40"/>
      <c r="T209" s="41"/>
      <c r="U209" s="41"/>
      <c r="V209" s="41"/>
      <c r="W209" s="36"/>
      <c r="X209" s="36"/>
      <c r="Y209" s="36"/>
      <c r="Z209" s="36"/>
      <c r="AA209" s="36"/>
    </row>
    <row r="210" spans="16:27" x14ac:dyDescent="0.2">
      <c r="P210" s="36"/>
      <c r="Q210" s="40"/>
      <c r="R210" s="40"/>
      <c r="S210" s="40"/>
      <c r="T210" s="41"/>
      <c r="U210" s="41"/>
      <c r="V210" s="41"/>
      <c r="W210" s="36"/>
      <c r="X210" s="36"/>
      <c r="Y210" s="36"/>
      <c r="Z210" s="36"/>
      <c r="AA210" s="36"/>
    </row>
    <row r="211" spans="16:27" x14ac:dyDescent="0.2">
      <c r="P211" s="36"/>
      <c r="Q211" s="40"/>
      <c r="R211" s="40"/>
      <c r="S211" s="40"/>
      <c r="T211" s="41"/>
      <c r="U211" s="41"/>
      <c r="V211" s="41"/>
      <c r="W211" s="36"/>
      <c r="X211" s="36"/>
      <c r="Y211" s="36"/>
      <c r="Z211" s="36"/>
      <c r="AA211" s="36"/>
    </row>
    <row r="212" spans="16:27" x14ac:dyDescent="0.2">
      <c r="P212" s="36"/>
      <c r="Q212" s="40"/>
      <c r="R212" s="40"/>
      <c r="S212" s="40"/>
      <c r="T212" s="41"/>
      <c r="U212" s="41"/>
      <c r="V212" s="41"/>
      <c r="W212" s="36"/>
      <c r="X212" s="36"/>
      <c r="Y212" s="36"/>
      <c r="Z212" s="36"/>
      <c r="AA212" s="36"/>
    </row>
    <row r="213" spans="16:27" x14ac:dyDescent="0.2">
      <c r="P213" s="36"/>
      <c r="Q213" s="40"/>
      <c r="R213" s="40"/>
      <c r="S213" s="40"/>
      <c r="T213" s="41"/>
      <c r="U213" s="41"/>
      <c r="V213" s="41"/>
      <c r="W213" s="36"/>
      <c r="X213" s="36"/>
      <c r="Y213" s="36"/>
      <c r="Z213" s="36"/>
      <c r="AA213" s="36"/>
    </row>
    <row r="214" spans="16:27" x14ac:dyDescent="0.2">
      <c r="P214" s="36"/>
      <c r="Q214" s="40"/>
      <c r="R214" s="40"/>
      <c r="S214" s="40"/>
      <c r="T214" s="41"/>
      <c r="U214" s="41"/>
      <c r="V214" s="41"/>
      <c r="W214" s="36"/>
      <c r="X214" s="36"/>
      <c r="Y214" s="36"/>
      <c r="Z214" s="36"/>
      <c r="AA214" s="36"/>
    </row>
    <row r="215" spans="16:27" x14ac:dyDescent="0.2">
      <c r="P215" s="36"/>
      <c r="Q215" s="40"/>
      <c r="R215" s="40"/>
      <c r="S215" s="40"/>
      <c r="T215" s="41"/>
      <c r="U215" s="41"/>
      <c r="V215" s="41"/>
      <c r="W215" s="36"/>
      <c r="X215" s="36"/>
      <c r="Y215" s="36"/>
      <c r="Z215" s="36"/>
      <c r="AA215" s="36"/>
    </row>
    <row r="216" spans="16:27" x14ac:dyDescent="0.2">
      <c r="P216" s="36"/>
      <c r="Q216" s="40"/>
      <c r="R216" s="40"/>
      <c r="S216" s="40"/>
      <c r="T216" s="41"/>
      <c r="U216" s="41"/>
      <c r="V216" s="41"/>
      <c r="W216" s="36"/>
      <c r="X216" s="36"/>
      <c r="Y216" s="36"/>
      <c r="Z216" s="36"/>
      <c r="AA216" s="36"/>
    </row>
    <row r="217" spans="16:27" x14ac:dyDescent="0.2">
      <c r="P217" s="36"/>
      <c r="Q217" s="40"/>
      <c r="R217" s="40"/>
      <c r="S217" s="40"/>
      <c r="T217" s="41"/>
      <c r="U217" s="41"/>
      <c r="V217" s="41"/>
      <c r="W217" s="36"/>
      <c r="X217" s="36"/>
      <c r="Y217" s="36"/>
      <c r="Z217" s="36"/>
      <c r="AA217" s="36"/>
    </row>
    <row r="218" spans="16:27" x14ac:dyDescent="0.2">
      <c r="P218" s="36"/>
      <c r="Q218" s="40"/>
      <c r="R218" s="40"/>
      <c r="S218" s="40"/>
      <c r="T218" s="41"/>
      <c r="U218" s="41"/>
      <c r="V218" s="41"/>
      <c r="W218" s="36"/>
      <c r="X218" s="36"/>
      <c r="Y218" s="36"/>
      <c r="Z218" s="36"/>
      <c r="AA218" s="36"/>
    </row>
    <row r="219" spans="16:27" x14ac:dyDescent="0.2">
      <c r="P219" s="36"/>
      <c r="Q219" s="40"/>
      <c r="R219" s="40"/>
      <c r="S219" s="40"/>
      <c r="T219" s="41"/>
      <c r="U219" s="41"/>
      <c r="V219" s="41"/>
      <c r="W219" s="36"/>
      <c r="X219" s="36"/>
      <c r="Y219" s="36"/>
      <c r="Z219" s="36"/>
      <c r="AA219" s="36"/>
    </row>
    <row r="220" spans="16:27" x14ac:dyDescent="0.2">
      <c r="P220" s="36"/>
      <c r="Q220" s="40"/>
      <c r="R220" s="40"/>
      <c r="S220" s="40"/>
      <c r="T220" s="41"/>
      <c r="U220" s="41"/>
      <c r="V220" s="41"/>
      <c r="W220" s="36"/>
      <c r="X220" s="36"/>
      <c r="Y220" s="36"/>
      <c r="Z220" s="36"/>
      <c r="AA220" s="36"/>
    </row>
    <row r="221" spans="16:27" x14ac:dyDescent="0.2">
      <c r="P221" s="36"/>
      <c r="Q221" s="40"/>
      <c r="R221" s="40"/>
      <c r="S221" s="40"/>
      <c r="T221" s="41"/>
      <c r="U221" s="41"/>
      <c r="V221" s="41"/>
      <c r="W221" s="36"/>
      <c r="X221" s="36"/>
      <c r="Y221" s="36"/>
      <c r="Z221" s="36"/>
      <c r="AA221" s="36"/>
    </row>
    <row r="222" spans="16:27" x14ac:dyDescent="0.2">
      <c r="P222" s="36"/>
      <c r="Q222" s="40"/>
      <c r="R222" s="40"/>
      <c r="S222" s="40"/>
      <c r="T222" s="41"/>
      <c r="U222" s="41"/>
      <c r="V222" s="41"/>
      <c r="W222" s="36"/>
      <c r="X222" s="36"/>
      <c r="Y222" s="36"/>
      <c r="Z222" s="36"/>
      <c r="AA222" s="36"/>
    </row>
    <row r="223" spans="16:27" x14ac:dyDescent="0.2">
      <c r="P223" s="36"/>
      <c r="Q223" s="40"/>
      <c r="R223" s="40"/>
      <c r="S223" s="40"/>
      <c r="T223" s="41"/>
      <c r="U223" s="41"/>
      <c r="V223" s="41"/>
      <c r="W223" s="36"/>
      <c r="X223" s="36"/>
      <c r="Y223" s="36"/>
      <c r="Z223" s="36"/>
      <c r="AA223" s="36"/>
    </row>
    <row r="224" spans="16:27" x14ac:dyDescent="0.2">
      <c r="P224" s="36"/>
      <c r="Q224" s="40"/>
      <c r="R224" s="40"/>
      <c r="S224" s="40"/>
      <c r="T224" s="41"/>
      <c r="U224" s="41"/>
      <c r="V224" s="41"/>
      <c r="W224" s="36"/>
      <c r="X224" s="36"/>
      <c r="Y224" s="36"/>
      <c r="Z224" s="36"/>
      <c r="AA224" s="36"/>
    </row>
    <row r="225" spans="16:27" x14ac:dyDescent="0.2">
      <c r="P225" s="36"/>
      <c r="Q225" s="40"/>
      <c r="R225" s="40"/>
      <c r="S225" s="40"/>
      <c r="T225" s="41"/>
      <c r="U225" s="41"/>
      <c r="V225" s="41"/>
      <c r="W225" s="36"/>
      <c r="X225" s="36"/>
      <c r="Y225" s="36"/>
      <c r="Z225" s="36"/>
      <c r="AA225" s="36"/>
    </row>
    <row r="226" spans="16:27" x14ac:dyDescent="0.2">
      <c r="P226" s="36"/>
      <c r="Q226" s="40"/>
      <c r="R226" s="40"/>
      <c r="S226" s="40"/>
      <c r="T226" s="41"/>
      <c r="U226" s="41"/>
      <c r="V226" s="41"/>
      <c r="W226" s="36"/>
      <c r="X226" s="36"/>
      <c r="Y226" s="36"/>
      <c r="Z226" s="36"/>
      <c r="AA226" s="36"/>
    </row>
    <row r="227" spans="16:27" x14ac:dyDescent="0.2">
      <c r="P227" s="36"/>
      <c r="Q227" s="40"/>
      <c r="R227" s="40"/>
      <c r="S227" s="40"/>
      <c r="T227" s="41"/>
      <c r="U227" s="41"/>
      <c r="V227" s="41"/>
      <c r="W227" s="36"/>
      <c r="X227" s="36"/>
      <c r="Y227" s="36"/>
      <c r="Z227" s="36"/>
      <c r="AA227" s="36"/>
    </row>
    <row r="228" spans="16:27" x14ac:dyDescent="0.2">
      <c r="P228" s="36"/>
      <c r="Q228" s="40"/>
      <c r="R228" s="40"/>
      <c r="S228" s="40"/>
      <c r="T228" s="41"/>
      <c r="U228" s="41"/>
      <c r="V228" s="41"/>
      <c r="W228" s="36"/>
      <c r="X228" s="36"/>
      <c r="Y228" s="36"/>
      <c r="Z228" s="36"/>
      <c r="AA228" s="36"/>
    </row>
    <row r="229" spans="16:27" x14ac:dyDescent="0.2">
      <c r="P229" s="36"/>
      <c r="Q229" s="40"/>
      <c r="R229" s="40"/>
      <c r="S229" s="40"/>
      <c r="T229" s="41"/>
      <c r="U229" s="41"/>
      <c r="V229" s="41"/>
      <c r="W229" s="36"/>
      <c r="X229" s="36"/>
      <c r="Y229" s="36"/>
      <c r="Z229" s="36"/>
      <c r="AA229" s="36"/>
    </row>
    <row r="230" spans="16:27" x14ac:dyDescent="0.2">
      <c r="P230" s="36"/>
      <c r="Q230" s="40"/>
      <c r="R230" s="40"/>
      <c r="S230" s="40"/>
      <c r="T230" s="41"/>
      <c r="U230" s="41"/>
      <c r="V230" s="41"/>
      <c r="W230" s="36"/>
      <c r="X230" s="36"/>
      <c r="Y230" s="36"/>
      <c r="Z230" s="36"/>
      <c r="AA230" s="36"/>
    </row>
    <row r="231" spans="16:27" x14ac:dyDescent="0.2">
      <c r="P231" s="36"/>
      <c r="Q231" s="40"/>
      <c r="R231" s="40"/>
      <c r="S231" s="40"/>
      <c r="T231" s="41"/>
      <c r="U231" s="41"/>
      <c r="V231" s="41"/>
      <c r="W231" s="36"/>
      <c r="X231" s="36"/>
      <c r="Y231" s="36"/>
      <c r="Z231" s="36"/>
      <c r="AA231" s="36"/>
    </row>
    <row r="232" spans="16:27" x14ac:dyDescent="0.2">
      <c r="P232" s="36"/>
      <c r="Q232" s="40"/>
      <c r="R232" s="40"/>
      <c r="S232" s="40"/>
      <c r="T232" s="41"/>
      <c r="U232" s="41"/>
      <c r="V232" s="41"/>
      <c r="W232" s="36"/>
      <c r="X232" s="36"/>
      <c r="Y232" s="36"/>
      <c r="Z232" s="36"/>
      <c r="AA232" s="36"/>
    </row>
    <row r="233" spans="16:27" x14ac:dyDescent="0.2">
      <c r="P233" s="36"/>
      <c r="Q233" s="40"/>
      <c r="R233" s="40"/>
      <c r="S233" s="40"/>
      <c r="T233" s="41"/>
      <c r="U233" s="41"/>
      <c r="V233" s="41"/>
      <c r="W233" s="36"/>
      <c r="X233" s="36"/>
      <c r="Y233" s="36"/>
      <c r="Z233" s="36"/>
      <c r="AA233" s="36"/>
    </row>
    <row r="234" spans="16:27" x14ac:dyDescent="0.2">
      <c r="P234" s="36"/>
      <c r="Q234" s="40"/>
      <c r="R234" s="40"/>
      <c r="S234" s="40"/>
      <c r="T234" s="41"/>
      <c r="U234" s="41"/>
      <c r="V234" s="41"/>
      <c r="W234" s="36"/>
      <c r="X234" s="36"/>
      <c r="Y234" s="36"/>
      <c r="Z234" s="36"/>
      <c r="AA234" s="36"/>
    </row>
    <row r="235" spans="16:27" x14ac:dyDescent="0.2">
      <c r="P235" s="36"/>
      <c r="Q235" s="40"/>
      <c r="R235" s="40"/>
      <c r="S235" s="40"/>
      <c r="T235" s="41"/>
      <c r="U235" s="41"/>
      <c r="V235" s="41"/>
      <c r="W235" s="36"/>
      <c r="X235" s="36"/>
      <c r="Y235" s="36"/>
      <c r="Z235" s="36"/>
      <c r="AA235" s="36"/>
    </row>
    <row r="236" spans="16:27" x14ac:dyDescent="0.2">
      <c r="P236" s="36"/>
      <c r="Q236" s="40"/>
      <c r="R236" s="40"/>
      <c r="S236" s="40"/>
      <c r="T236" s="41"/>
      <c r="U236" s="41"/>
      <c r="V236" s="41"/>
      <c r="W236" s="36"/>
      <c r="X236" s="36"/>
      <c r="Y236" s="36"/>
      <c r="Z236" s="36"/>
      <c r="AA236" s="36"/>
    </row>
    <row r="237" spans="16:27" x14ac:dyDescent="0.2">
      <c r="P237" s="36"/>
      <c r="Q237" s="40"/>
      <c r="R237" s="40"/>
      <c r="S237" s="40"/>
      <c r="T237" s="41"/>
      <c r="U237" s="41"/>
      <c r="V237" s="41"/>
      <c r="W237" s="36"/>
      <c r="X237" s="36"/>
      <c r="Y237" s="36"/>
      <c r="Z237" s="36"/>
      <c r="AA237" s="36"/>
    </row>
    <row r="238" spans="16:27" x14ac:dyDescent="0.2">
      <c r="P238" s="36"/>
      <c r="Q238" s="40"/>
      <c r="R238" s="40"/>
      <c r="S238" s="40"/>
      <c r="T238" s="41"/>
      <c r="U238" s="41"/>
      <c r="V238" s="41"/>
      <c r="W238" s="36"/>
      <c r="X238" s="36"/>
      <c r="Y238" s="36"/>
      <c r="Z238" s="36"/>
      <c r="AA238" s="36"/>
    </row>
    <row r="239" spans="16:27" x14ac:dyDescent="0.2">
      <c r="P239" s="36"/>
      <c r="Q239" s="40"/>
      <c r="R239" s="40"/>
      <c r="S239" s="40"/>
      <c r="T239" s="41"/>
      <c r="U239" s="41"/>
      <c r="V239" s="41"/>
      <c r="W239" s="36"/>
      <c r="X239" s="36"/>
      <c r="Y239" s="36"/>
      <c r="Z239" s="36"/>
      <c r="AA239" s="36"/>
    </row>
    <row r="240" spans="16:27" x14ac:dyDescent="0.2">
      <c r="P240" s="36"/>
      <c r="Q240" s="40"/>
      <c r="R240" s="40"/>
      <c r="S240" s="40"/>
      <c r="T240" s="41"/>
      <c r="U240" s="41"/>
      <c r="V240" s="41"/>
      <c r="W240" s="36"/>
      <c r="X240" s="36"/>
      <c r="Y240" s="36"/>
      <c r="Z240" s="36"/>
      <c r="AA240" s="36"/>
    </row>
    <row r="241" spans="16:27" x14ac:dyDescent="0.2">
      <c r="P241" s="36"/>
      <c r="Q241" s="40"/>
      <c r="R241" s="40"/>
      <c r="S241" s="40"/>
      <c r="T241" s="41"/>
      <c r="U241" s="41"/>
      <c r="V241" s="41"/>
      <c r="W241" s="36"/>
      <c r="X241" s="36"/>
      <c r="Y241" s="36"/>
      <c r="Z241" s="36"/>
      <c r="AA241" s="36"/>
    </row>
    <row r="242" spans="16:27" x14ac:dyDescent="0.2">
      <c r="P242" s="36"/>
      <c r="Q242" s="40"/>
      <c r="R242" s="40"/>
      <c r="S242" s="40"/>
      <c r="T242" s="41"/>
      <c r="U242" s="41"/>
      <c r="V242" s="41"/>
      <c r="W242" s="36"/>
      <c r="X242" s="36"/>
      <c r="Y242" s="36"/>
      <c r="Z242" s="36"/>
      <c r="AA242" s="36"/>
    </row>
    <row r="243" spans="16:27" x14ac:dyDescent="0.2">
      <c r="P243" s="36"/>
      <c r="Q243" s="40"/>
      <c r="R243" s="40"/>
      <c r="S243" s="40"/>
      <c r="T243" s="41"/>
      <c r="U243" s="41"/>
      <c r="V243" s="41"/>
      <c r="W243" s="36"/>
      <c r="X243" s="36"/>
      <c r="Y243" s="36"/>
      <c r="Z243" s="36"/>
      <c r="AA243" s="36"/>
    </row>
    <row r="244" spans="16:27" x14ac:dyDescent="0.2">
      <c r="P244" s="36"/>
      <c r="Q244" s="40"/>
      <c r="R244" s="40"/>
      <c r="S244" s="40"/>
      <c r="T244" s="41"/>
      <c r="U244" s="41"/>
      <c r="V244" s="41"/>
      <c r="W244" s="36"/>
      <c r="X244" s="36"/>
      <c r="Y244" s="36"/>
      <c r="Z244" s="36"/>
      <c r="AA244" s="36"/>
    </row>
    <row r="245" spans="16:27" x14ac:dyDescent="0.2">
      <c r="P245" s="36"/>
      <c r="Q245" s="40"/>
      <c r="R245" s="40"/>
      <c r="S245" s="40"/>
      <c r="T245" s="41"/>
      <c r="U245" s="41"/>
      <c r="V245" s="41"/>
      <c r="W245" s="36"/>
      <c r="X245" s="36"/>
      <c r="Y245" s="36"/>
      <c r="Z245" s="36"/>
      <c r="AA245" s="36"/>
    </row>
    <row r="246" spans="16:27" x14ac:dyDescent="0.2">
      <c r="P246" s="36"/>
      <c r="Q246" s="40"/>
      <c r="R246" s="40"/>
      <c r="S246" s="40"/>
      <c r="T246" s="41"/>
      <c r="U246" s="41"/>
      <c r="V246" s="41"/>
      <c r="W246" s="36"/>
      <c r="X246" s="36"/>
      <c r="Y246" s="36"/>
      <c r="Z246" s="36"/>
      <c r="AA246" s="36"/>
    </row>
    <row r="247" spans="16:27" x14ac:dyDescent="0.2">
      <c r="P247" s="36"/>
      <c r="Q247" s="40"/>
      <c r="R247" s="40"/>
      <c r="S247" s="40"/>
      <c r="T247" s="41"/>
      <c r="U247" s="41"/>
      <c r="V247" s="41"/>
      <c r="W247" s="36"/>
      <c r="X247" s="36"/>
      <c r="Y247" s="36"/>
      <c r="Z247" s="36"/>
      <c r="AA247" s="36"/>
    </row>
    <row r="248" spans="16:27" x14ac:dyDescent="0.2">
      <c r="P248" s="36"/>
      <c r="Q248" s="40"/>
      <c r="R248" s="40"/>
      <c r="S248" s="40"/>
      <c r="T248" s="41"/>
      <c r="U248" s="41"/>
      <c r="V248" s="41"/>
      <c r="W248" s="36"/>
      <c r="X248" s="36"/>
      <c r="Y248" s="36"/>
      <c r="Z248" s="36"/>
      <c r="AA248" s="36"/>
    </row>
    <row r="249" spans="16:27" x14ac:dyDescent="0.2">
      <c r="P249" s="36"/>
      <c r="Q249" s="40"/>
      <c r="R249" s="40"/>
      <c r="S249" s="40"/>
      <c r="T249" s="41"/>
      <c r="U249" s="41"/>
      <c r="V249" s="41"/>
      <c r="W249" s="36"/>
      <c r="X249" s="36"/>
      <c r="Y249" s="36"/>
      <c r="Z249" s="36"/>
      <c r="AA249" s="36"/>
    </row>
    <row r="250" spans="16:27" x14ac:dyDescent="0.2">
      <c r="P250" s="36"/>
      <c r="Q250" s="40"/>
      <c r="R250" s="40"/>
      <c r="S250" s="40"/>
      <c r="T250" s="41"/>
      <c r="U250" s="41"/>
      <c r="V250" s="41"/>
      <c r="W250" s="36"/>
      <c r="X250" s="36"/>
      <c r="Y250" s="36"/>
      <c r="Z250" s="36"/>
      <c r="AA250" s="36"/>
    </row>
    <row r="251" spans="16:27" x14ac:dyDescent="0.2">
      <c r="P251" s="36"/>
      <c r="Q251" s="40"/>
      <c r="R251" s="40"/>
      <c r="S251" s="40"/>
      <c r="T251" s="41"/>
      <c r="U251" s="41"/>
      <c r="V251" s="41"/>
      <c r="W251" s="36"/>
      <c r="X251" s="36"/>
      <c r="Y251" s="36"/>
      <c r="Z251" s="36"/>
      <c r="AA251" s="36"/>
    </row>
    <row r="252" spans="16:27" x14ac:dyDescent="0.2">
      <c r="P252" s="36"/>
      <c r="Q252" s="40"/>
      <c r="R252" s="40"/>
      <c r="S252" s="40"/>
      <c r="T252" s="41"/>
      <c r="U252" s="41"/>
      <c r="V252" s="41"/>
      <c r="W252" s="36"/>
      <c r="X252" s="36"/>
      <c r="Y252" s="36"/>
      <c r="Z252" s="36"/>
      <c r="AA252" s="36"/>
    </row>
    <row r="253" spans="16:27" x14ac:dyDescent="0.2">
      <c r="P253" s="36"/>
      <c r="Q253" s="40"/>
      <c r="R253" s="40"/>
      <c r="S253" s="40"/>
      <c r="T253" s="41"/>
      <c r="U253" s="41"/>
      <c r="V253" s="41"/>
      <c r="W253" s="36"/>
      <c r="X253" s="36"/>
      <c r="Y253" s="36"/>
      <c r="Z253" s="36"/>
      <c r="AA253" s="36"/>
    </row>
    <row r="254" spans="16:27" x14ac:dyDescent="0.2">
      <c r="P254" s="36"/>
      <c r="Q254" s="40"/>
      <c r="R254" s="40"/>
      <c r="S254" s="40"/>
      <c r="T254" s="41"/>
      <c r="U254" s="41"/>
      <c r="V254" s="41"/>
      <c r="W254" s="36"/>
      <c r="X254" s="36"/>
      <c r="Y254" s="36"/>
      <c r="Z254" s="36"/>
      <c r="AA254" s="36"/>
    </row>
    <row r="255" spans="16:27" x14ac:dyDescent="0.2">
      <c r="P255" s="36"/>
      <c r="Q255" s="40"/>
      <c r="R255" s="40"/>
      <c r="S255" s="40"/>
      <c r="T255" s="41"/>
      <c r="U255" s="41"/>
      <c r="V255" s="41"/>
      <c r="W255" s="36"/>
      <c r="X255" s="36"/>
      <c r="Y255" s="36"/>
      <c r="Z255" s="36"/>
      <c r="AA255" s="36"/>
    </row>
    <row r="256" spans="16:27" x14ac:dyDescent="0.2">
      <c r="P256" s="36"/>
      <c r="Q256" s="40"/>
      <c r="R256" s="40"/>
      <c r="S256" s="40"/>
      <c r="T256" s="41"/>
      <c r="U256" s="41"/>
      <c r="V256" s="41"/>
      <c r="W256" s="36"/>
      <c r="X256" s="36"/>
      <c r="Y256" s="36"/>
      <c r="Z256" s="36"/>
      <c r="AA256" s="36"/>
    </row>
    <row r="257" spans="16:27" x14ac:dyDescent="0.2">
      <c r="P257" s="36"/>
      <c r="Q257" s="40"/>
      <c r="R257" s="40"/>
      <c r="S257" s="40"/>
      <c r="T257" s="41"/>
      <c r="U257" s="41"/>
      <c r="V257" s="41"/>
      <c r="W257" s="36"/>
      <c r="X257" s="36"/>
      <c r="Y257" s="36"/>
      <c r="Z257" s="36"/>
      <c r="AA257" s="36"/>
    </row>
    <row r="258" spans="16:27" x14ac:dyDescent="0.2">
      <c r="P258" s="36"/>
      <c r="Q258" s="40"/>
      <c r="R258" s="40"/>
      <c r="S258" s="40"/>
      <c r="T258" s="41"/>
      <c r="U258" s="41"/>
      <c r="V258" s="41"/>
      <c r="W258" s="36"/>
      <c r="X258" s="36"/>
      <c r="Y258" s="36"/>
      <c r="Z258" s="36"/>
      <c r="AA258" s="36"/>
    </row>
    <row r="259" spans="16:27" x14ac:dyDescent="0.2">
      <c r="P259" s="36"/>
      <c r="Q259" s="40"/>
      <c r="R259" s="40"/>
      <c r="S259" s="40"/>
      <c r="T259" s="41"/>
      <c r="U259" s="41"/>
      <c r="V259" s="41"/>
      <c r="W259" s="36"/>
      <c r="X259" s="36"/>
      <c r="Y259" s="36"/>
      <c r="Z259" s="36"/>
      <c r="AA259" s="36"/>
    </row>
    <row r="260" spans="16:27" x14ac:dyDescent="0.2">
      <c r="P260" s="36"/>
      <c r="Q260" s="40"/>
      <c r="R260" s="40"/>
      <c r="S260" s="40"/>
      <c r="T260" s="41"/>
      <c r="U260" s="41"/>
      <c r="V260" s="41"/>
      <c r="W260" s="36"/>
      <c r="X260" s="36"/>
      <c r="Y260" s="36"/>
      <c r="Z260" s="36"/>
      <c r="AA260" s="36"/>
    </row>
    <row r="261" spans="16:27" x14ac:dyDescent="0.2">
      <c r="P261" s="36"/>
      <c r="Q261" s="40"/>
      <c r="R261" s="40"/>
      <c r="S261" s="40"/>
      <c r="T261" s="41"/>
      <c r="U261" s="41"/>
      <c r="V261" s="41"/>
      <c r="W261" s="36"/>
      <c r="X261" s="36"/>
      <c r="Y261" s="36"/>
      <c r="Z261" s="36"/>
      <c r="AA261" s="36"/>
    </row>
    <row r="262" spans="16:27" x14ac:dyDescent="0.2">
      <c r="P262" s="36"/>
      <c r="Q262" s="40"/>
      <c r="R262" s="40"/>
      <c r="S262" s="40"/>
      <c r="T262" s="41"/>
      <c r="U262" s="41"/>
      <c r="V262" s="41"/>
      <c r="W262" s="36"/>
      <c r="X262" s="36"/>
      <c r="Y262" s="36"/>
      <c r="Z262" s="36"/>
      <c r="AA262" s="36"/>
    </row>
    <row r="263" spans="16:27" x14ac:dyDescent="0.2">
      <c r="P263" s="36"/>
      <c r="Q263" s="40"/>
      <c r="R263" s="40"/>
      <c r="S263" s="40"/>
      <c r="T263" s="41"/>
      <c r="U263" s="41"/>
      <c r="V263" s="41"/>
      <c r="W263" s="36"/>
      <c r="X263" s="36"/>
      <c r="Y263" s="36"/>
      <c r="Z263" s="36"/>
      <c r="AA263" s="36"/>
    </row>
    <row r="264" spans="16:27" x14ac:dyDescent="0.2">
      <c r="P264" s="36"/>
      <c r="Q264" s="40"/>
      <c r="R264" s="40"/>
      <c r="S264" s="40"/>
      <c r="T264" s="41"/>
      <c r="U264" s="41"/>
      <c r="V264" s="41"/>
      <c r="W264" s="36"/>
      <c r="X264" s="36"/>
      <c r="Y264" s="36"/>
      <c r="Z264" s="36"/>
      <c r="AA264" s="36"/>
    </row>
    <row r="265" spans="16:27" x14ac:dyDescent="0.2">
      <c r="P265" s="36"/>
      <c r="Q265" s="40"/>
      <c r="R265" s="40"/>
      <c r="S265" s="40"/>
      <c r="T265" s="41"/>
      <c r="U265" s="41"/>
      <c r="V265" s="41"/>
      <c r="W265" s="36"/>
      <c r="X265" s="36"/>
      <c r="Y265" s="36"/>
      <c r="Z265" s="36"/>
      <c r="AA265" s="36"/>
    </row>
    <row r="266" spans="16:27" x14ac:dyDescent="0.2">
      <c r="P266" s="36"/>
      <c r="Q266" s="40"/>
      <c r="R266" s="40"/>
      <c r="S266" s="40"/>
      <c r="T266" s="41"/>
      <c r="U266" s="41"/>
      <c r="V266" s="41"/>
      <c r="W266" s="36"/>
      <c r="X266" s="36"/>
      <c r="Y266" s="36"/>
      <c r="Z266" s="36"/>
      <c r="AA266" s="36"/>
    </row>
    <row r="267" spans="16:27" x14ac:dyDescent="0.2">
      <c r="P267" s="36"/>
      <c r="Q267" s="40"/>
      <c r="R267" s="40"/>
      <c r="S267" s="40"/>
      <c r="T267" s="41"/>
      <c r="U267" s="41"/>
      <c r="V267" s="41"/>
      <c r="W267" s="36"/>
      <c r="X267" s="36"/>
      <c r="Y267" s="36"/>
      <c r="Z267" s="36"/>
      <c r="AA267" s="36"/>
    </row>
    <row r="268" spans="16:27" x14ac:dyDescent="0.2">
      <c r="P268" s="36"/>
      <c r="Q268" s="40"/>
      <c r="R268" s="40"/>
      <c r="S268" s="40"/>
      <c r="T268" s="41"/>
      <c r="U268" s="41"/>
      <c r="V268" s="41"/>
      <c r="W268" s="36"/>
      <c r="X268" s="36"/>
      <c r="Y268" s="36"/>
      <c r="Z268" s="36"/>
      <c r="AA268" s="36"/>
    </row>
    <row r="269" spans="16:27" x14ac:dyDescent="0.2">
      <c r="P269" s="36"/>
      <c r="Q269" s="40"/>
      <c r="R269" s="40"/>
      <c r="S269" s="40"/>
      <c r="T269" s="41"/>
      <c r="U269" s="41"/>
      <c r="V269" s="41"/>
      <c r="W269" s="36"/>
      <c r="X269" s="36"/>
      <c r="Y269" s="36"/>
      <c r="Z269" s="36"/>
      <c r="AA269" s="36"/>
    </row>
    <row r="270" spans="16:27" x14ac:dyDescent="0.2">
      <c r="P270" s="36"/>
      <c r="Q270" s="40"/>
      <c r="R270" s="40"/>
      <c r="S270" s="40"/>
      <c r="T270" s="41"/>
      <c r="U270" s="41"/>
      <c r="V270" s="41"/>
      <c r="W270" s="36"/>
      <c r="X270" s="36"/>
      <c r="Y270" s="36"/>
      <c r="Z270" s="36"/>
      <c r="AA270" s="36"/>
    </row>
    <row r="271" spans="16:27" x14ac:dyDescent="0.2">
      <c r="P271" s="36"/>
      <c r="Q271" s="40"/>
      <c r="R271" s="40"/>
      <c r="S271" s="40"/>
      <c r="T271" s="41"/>
      <c r="U271" s="41"/>
      <c r="V271" s="41"/>
      <c r="W271" s="36"/>
      <c r="X271" s="36"/>
      <c r="Y271" s="36"/>
      <c r="Z271" s="36"/>
      <c r="AA271" s="36"/>
    </row>
    <row r="272" spans="16:27" x14ac:dyDescent="0.2">
      <c r="P272" s="36"/>
      <c r="Q272" s="40"/>
      <c r="R272" s="40"/>
      <c r="S272" s="40"/>
      <c r="T272" s="41"/>
      <c r="U272" s="41"/>
      <c r="V272" s="41"/>
      <c r="W272" s="36"/>
      <c r="X272" s="36"/>
      <c r="Y272" s="36"/>
      <c r="Z272" s="36"/>
      <c r="AA272" s="36"/>
    </row>
    <row r="273" spans="16:27" x14ac:dyDescent="0.2">
      <c r="P273" s="36"/>
      <c r="Q273" s="40"/>
      <c r="R273" s="40"/>
      <c r="S273" s="40"/>
      <c r="T273" s="41"/>
      <c r="U273" s="41"/>
      <c r="V273" s="41"/>
      <c r="W273" s="36"/>
      <c r="X273" s="36"/>
      <c r="Y273" s="36"/>
      <c r="Z273" s="36"/>
      <c r="AA273" s="36"/>
    </row>
    <row r="274" spans="16:27" x14ac:dyDescent="0.2">
      <c r="P274" s="36"/>
      <c r="Q274" s="40"/>
      <c r="R274" s="40"/>
      <c r="S274" s="40"/>
      <c r="T274" s="41"/>
      <c r="U274" s="41"/>
      <c r="V274" s="41"/>
      <c r="W274" s="36"/>
      <c r="X274" s="36"/>
      <c r="Y274" s="36"/>
      <c r="Z274" s="36"/>
      <c r="AA274" s="36"/>
    </row>
    <row r="275" spans="16:27" x14ac:dyDescent="0.2">
      <c r="P275" s="36"/>
      <c r="Q275" s="40"/>
      <c r="R275" s="40"/>
      <c r="S275" s="40"/>
      <c r="T275" s="41"/>
      <c r="U275" s="41"/>
      <c r="V275" s="41"/>
      <c r="W275" s="36"/>
      <c r="X275" s="36"/>
      <c r="Y275" s="36"/>
      <c r="Z275" s="36"/>
      <c r="AA275" s="36"/>
    </row>
    <row r="276" spans="16:27" x14ac:dyDescent="0.2">
      <c r="P276" s="36"/>
      <c r="Q276" s="40"/>
      <c r="R276" s="40"/>
      <c r="S276" s="40"/>
      <c r="T276" s="41"/>
      <c r="U276" s="41"/>
      <c r="V276" s="41"/>
      <c r="W276" s="36"/>
      <c r="X276" s="36"/>
      <c r="Y276" s="36"/>
      <c r="Z276" s="36"/>
      <c r="AA276" s="36"/>
    </row>
    <row r="277" spans="16:27" x14ac:dyDescent="0.2">
      <c r="P277" s="36"/>
      <c r="Q277" s="40"/>
      <c r="R277" s="40"/>
      <c r="S277" s="40"/>
      <c r="T277" s="41"/>
      <c r="U277" s="41"/>
      <c r="V277" s="41"/>
      <c r="W277" s="36"/>
      <c r="X277" s="36"/>
      <c r="Y277" s="36"/>
      <c r="Z277" s="36"/>
      <c r="AA277" s="36"/>
    </row>
    <row r="278" spans="16:27" x14ac:dyDescent="0.2">
      <c r="P278" s="36"/>
      <c r="Q278" s="40"/>
      <c r="R278" s="40"/>
      <c r="S278" s="40"/>
      <c r="T278" s="41"/>
      <c r="U278" s="41"/>
      <c r="V278" s="41"/>
      <c r="W278" s="36"/>
      <c r="X278" s="36"/>
      <c r="Y278" s="36"/>
      <c r="Z278" s="36"/>
      <c r="AA278" s="36"/>
    </row>
    <row r="279" spans="16:27" x14ac:dyDescent="0.2">
      <c r="P279" s="36"/>
      <c r="Q279" s="40"/>
      <c r="R279" s="40"/>
      <c r="S279" s="40"/>
      <c r="T279" s="41"/>
      <c r="U279" s="41"/>
      <c r="V279" s="41"/>
      <c r="W279" s="36"/>
      <c r="X279" s="36"/>
      <c r="Y279" s="36"/>
      <c r="Z279" s="36"/>
      <c r="AA279" s="36"/>
    </row>
    <row r="280" spans="16:27" x14ac:dyDescent="0.2">
      <c r="P280" s="36"/>
      <c r="Q280" s="40"/>
      <c r="R280" s="40"/>
      <c r="S280" s="40"/>
      <c r="T280" s="41"/>
      <c r="U280" s="41"/>
      <c r="V280" s="41"/>
      <c r="W280" s="36"/>
      <c r="X280" s="36"/>
      <c r="Y280" s="36"/>
      <c r="Z280" s="36"/>
      <c r="AA280" s="36"/>
    </row>
    <row r="281" spans="16:27" x14ac:dyDescent="0.2">
      <c r="P281" s="36"/>
      <c r="Q281" s="40"/>
      <c r="R281" s="40"/>
      <c r="S281" s="40"/>
      <c r="T281" s="41"/>
      <c r="U281" s="41"/>
      <c r="V281" s="41"/>
      <c r="W281" s="36"/>
      <c r="X281" s="36"/>
      <c r="Y281" s="36"/>
      <c r="Z281" s="36"/>
      <c r="AA281" s="36"/>
    </row>
    <row r="282" spans="16:27" x14ac:dyDescent="0.2">
      <c r="P282" s="36"/>
      <c r="Q282" s="40"/>
      <c r="R282" s="40"/>
      <c r="S282" s="40"/>
      <c r="T282" s="41"/>
      <c r="U282" s="41"/>
      <c r="V282" s="41"/>
      <c r="W282" s="36"/>
      <c r="X282" s="36"/>
      <c r="Y282" s="36"/>
      <c r="Z282" s="36"/>
      <c r="AA282" s="36"/>
    </row>
    <row r="283" spans="16:27" x14ac:dyDescent="0.2">
      <c r="P283" s="36"/>
      <c r="Q283" s="40"/>
      <c r="R283" s="40"/>
      <c r="S283" s="40"/>
      <c r="T283" s="41"/>
      <c r="U283" s="41"/>
      <c r="V283" s="41"/>
      <c r="W283" s="36"/>
      <c r="X283" s="36"/>
      <c r="Y283" s="36"/>
      <c r="Z283" s="36"/>
      <c r="AA283" s="36"/>
    </row>
    <row r="284" spans="16:27" x14ac:dyDescent="0.2">
      <c r="P284" s="36"/>
      <c r="Q284" s="40"/>
      <c r="R284" s="40"/>
      <c r="S284" s="40"/>
      <c r="T284" s="41"/>
      <c r="U284" s="41"/>
      <c r="V284" s="41"/>
      <c r="W284" s="36"/>
      <c r="X284" s="36"/>
      <c r="Y284" s="36"/>
      <c r="Z284" s="36"/>
      <c r="AA284" s="36"/>
    </row>
    <row r="285" spans="16:27" x14ac:dyDescent="0.2">
      <c r="P285" s="36"/>
      <c r="Q285" s="40"/>
      <c r="R285" s="40"/>
      <c r="S285" s="40"/>
      <c r="T285" s="41"/>
      <c r="U285" s="41"/>
      <c r="V285" s="41"/>
      <c r="W285" s="36"/>
      <c r="X285" s="36"/>
      <c r="Y285" s="36"/>
      <c r="Z285" s="36"/>
      <c r="AA285" s="36"/>
    </row>
    <row r="286" spans="16:27" x14ac:dyDescent="0.2">
      <c r="P286" s="36"/>
      <c r="Q286" s="40"/>
      <c r="R286" s="40"/>
      <c r="S286" s="40"/>
      <c r="T286" s="41"/>
      <c r="U286" s="41"/>
      <c r="V286" s="41"/>
      <c r="W286" s="36"/>
      <c r="X286" s="36"/>
      <c r="Y286" s="36"/>
      <c r="Z286" s="36"/>
      <c r="AA286" s="36"/>
    </row>
    <row r="287" spans="16:27" x14ac:dyDescent="0.2">
      <c r="P287" s="36"/>
      <c r="Q287" s="40"/>
      <c r="R287" s="40"/>
      <c r="S287" s="40"/>
      <c r="T287" s="41"/>
      <c r="U287" s="41"/>
      <c r="V287" s="41"/>
      <c r="W287" s="36"/>
      <c r="X287" s="36"/>
      <c r="Y287" s="36"/>
      <c r="Z287" s="36"/>
      <c r="AA287" s="36"/>
    </row>
    <row r="288" spans="16:27" x14ac:dyDescent="0.2">
      <c r="P288" s="36"/>
      <c r="Q288" s="40"/>
      <c r="R288" s="40"/>
      <c r="S288" s="40"/>
      <c r="T288" s="41"/>
      <c r="U288" s="41"/>
      <c r="V288" s="41"/>
      <c r="W288" s="36"/>
      <c r="X288" s="36"/>
      <c r="Y288" s="36"/>
      <c r="Z288" s="36"/>
      <c r="AA288" s="36"/>
    </row>
    <row r="289" spans="16:27" x14ac:dyDescent="0.2">
      <c r="P289" s="36"/>
      <c r="Q289" s="40"/>
      <c r="R289" s="40"/>
      <c r="S289" s="40"/>
      <c r="T289" s="41"/>
      <c r="U289" s="41"/>
      <c r="V289" s="41"/>
      <c r="W289" s="36"/>
      <c r="X289" s="36"/>
      <c r="Y289" s="36"/>
      <c r="Z289" s="36"/>
      <c r="AA289" s="36"/>
    </row>
    <row r="290" spans="16:27" x14ac:dyDescent="0.2">
      <c r="P290" s="36"/>
      <c r="Q290" s="40"/>
      <c r="R290" s="40"/>
      <c r="S290" s="40"/>
      <c r="T290" s="41"/>
      <c r="U290" s="41"/>
      <c r="V290" s="41"/>
      <c r="W290" s="36"/>
      <c r="X290" s="36"/>
      <c r="Y290" s="36"/>
      <c r="Z290" s="36"/>
      <c r="AA290" s="36"/>
    </row>
    <row r="291" spans="16:27" x14ac:dyDescent="0.2">
      <c r="P291" s="36"/>
      <c r="Q291" s="40"/>
      <c r="R291" s="40"/>
      <c r="S291" s="40"/>
      <c r="T291" s="41"/>
      <c r="U291" s="41"/>
      <c r="V291" s="41"/>
      <c r="W291" s="36"/>
      <c r="X291" s="36"/>
      <c r="Y291" s="36"/>
      <c r="Z291" s="36"/>
      <c r="AA291" s="36"/>
    </row>
    <row r="292" spans="16:27" x14ac:dyDescent="0.2">
      <c r="P292" s="36"/>
      <c r="Q292" s="40"/>
      <c r="R292" s="40"/>
      <c r="S292" s="40"/>
      <c r="T292" s="41"/>
      <c r="U292" s="41"/>
      <c r="V292" s="41"/>
      <c r="W292" s="36"/>
      <c r="X292" s="36"/>
      <c r="Y292" s="36"/>
      <c r="Z292" s="36"/>
      <c r="AA292" s="36"/>
    </row>
    <row r="293" spans="16:27" x14ac:dyDescent="0.2">
      <c r="P293" s="36"/>
      <c r="Q293" s="40"/>
      <c r="R293" s="40"/>
      <c r="S293" s="40"/>
      <c r="T293" s="41"/>
      <c r="U293" s="41"/>
      <c r="V293" s="41"/>
      <c r="W293" s="36"/>
      <c r="X293" s="36"/>
      <c r="Y293" s="36"/>
      <c r="Z293" s="36"/>
      <c r="AA293" s="36"/>
    </row>
    <row r="294" spans="16:27" x14ac:dyDescent="0.2">
      <c r="P294" s="36"/>
      <c r="Q294" s="40"/>
      <c r="R294" s="40"/>
      <c r="S294" s="40"/>
      <c r="T294" s="41"/>
      <c r="U294" s="41"/>
      <c r="V294" s="41"/>
      <c r="W294" s="36"/>
      <c r="X294" s="36"/>
      <c r="Y294" s="36"/>
      <c r="Z294" s="36"/>
      <c r="AA294" s="36"/>
    </row>
    <row r="295" spans="16:27" x14ac:dyDescent="0.2">
      <c r="P295" s="36"/>
      <c r="Q295" s="40"/>
      <c r="R295" s="40"/>
      <c r="S295" s="40"/>
      <c r="T295" s="41"/>
      <c r="U295" s="41"/>
      <c r="V295" s="41"/>
      <c r="W295" s="36"/>
      <c r="X295" s="36"/>
      <c r="Y295" s="36"/>
      <c r="Z295" s="36"/>
      <c r="AA295" s="36"/>
    </row>
    <row r="296" spans="16:27" x14ac:dyDescent="0.2">
      <c r="P296" s="36"/>
      <c r="Q296" s="40"/>
      <c r="R296" s="40"/>
      <c r="S296" s="40"/>
      <c r="T296" s="41"/>
      <c r="U296" s="41"/>
      <c r="V296" s="41"/>
      <c r="W296" s="36"/>
      <c r="X296" s="36"/>
      <c r="Y296" s="36"/>
      <c r="Z296" s="36"/>
      <c r="AA296" s="36"/>
    </row>
    <row r="297" spans="16:27" x14ac:dyDescent="0.2">
      <c r="P297" s="36"/>
      <c r="Q297" s="40"/>
      <c r="R297" s="40"/>
      <c r="S297" s="40"/>
      <c r="T297" s="41"/>
      <c r="U297" s="41"/>
      <c r="V297" s="41"/>
      <c r="W297" s="36"/>
      <c r="X297" s="36"/>
      <c r="Y297" s="36"/>
      <c r="Z297" s="36"/>
      <c r="AA297" s="36"/>
    </row>
    <row r="298" spans="16:27" x14ac:dyDescent="0.2">
      <c r="P298" s="36"/>
      <c r="Q298" s="40"/>
      <c r="R298" s="40"/>
      <c r="S298" s="40"/>
      <c r="T298" s="41"/>
      <c r="U298" s="41"/>
      <c r="V298" s="41"/>
      <c r="W298" s="36"/>
      <c r="X298" s="36"/>
      <c r="Y298" s="36"/>
      <c r="Z298" s="36"/>
      <c r="AA298" s="36"/>
    </row>
    <row r="299" spans="16:27" x14ac:dyDescent="0.2">
      <c r="P299" s="36"/>
      <c r="Q299" s="40"/>
      <c r="R299" s="40"/>
      <c r="S299" s="40"/>
      <c r="T299" s="41"/>
      <c r="U299" s="41"/>
      <c r="V299" s="41"/>
      <c r="W299" s="36"/>
      <c r="X299" s="36"/>
      <c r="Y299" s="36"/>
      <c r="Z299" s="36"/>
      <c r="AA299" s="36"/>
    </row>
    <row r="300" spans="16:27" x14ac:dyDescent="0.2">
      <c r="P300" s="36"/>
      <c r="Q300" s="40"/>
      <c r="R300" s="40"/>
      <c r="S300" s="40"/>
      <c r="T300" s="41"/>
      <c r="U300" s="41"/>
      <c r="V300" s="41"/>
      <c r="W300" s="36"/>
      <c r="X300" s="36"/>
      <c r="Y300" s="36"/>
      <c r="Z300" s="36"/>
      <c r="AA300" s="36"/>
    </row>
    <row r="301" spans="16:27" x14ac:dyDescent="0.2">
      <c r="P301" s="36"/>
      <c r="Q301" s="40"/>
      <c r="R301" s="40"/>
      <c r="S301" s="40"/>
      <c r="T301" s="41"/>
      <c r="U301" s="41"/>
      <c r="V301" s="41"/>
      <c r="W301" s="36"/>
      <c r="X301" s="36"/>
      <c r="Y301" s="36"/>
      <c r="Z301" s="36"/>
      <c r="AA301" s="36"/>
    </row>
    <row r="302" spans="16:27" x14ac:dyDescent="0.2">
      <c r="P302" s="36"/>
      <c r="Q302" s="40"/>
      <c r="R302" s="40"/>
      <c r="S302" s="40"/>
      <c r="T302" s="41"/>
      <c r="U302" s="41"/>
      <c r="V302" s="41"/>
      <c r="W302" s="36"/>
      <c r="X302" s="36"/>
      <c r="Y302" s="36"/>
      <c r="Z302" s="36"/>
      <c r="AA302" s="36"/>
    </row>
    <row r="303" spans="16:27" x14ac:dyDescent="0.2">
      <c r="P303" s="36"/>
      <c r="Q303" s="40"/>
      <c r="R303" s="40"/>
      <c r="S303" s="40"/>
      <c r="T303" s="41"/>
      <c r="U303" s="41"/>
      <c r="V303" s="41"/>
      <c r="W303" s="36"/>
      <c r="X303" s="36"/>
      <c r="Y303" s="36"/>
      <c r="Z303" s="36"/>
      <c r="AA303" s="36"/>
    </row>
    <row r="304" spans="16:27" x14ac:dyDescent="0.2">
      <c r="P304" s="36"/>
      <c r="Q304" s="40"/>
      <c r="R304" s="40"/>
      <c r="S304" s="40"/>
      <c r="T304" s="41"/>
      <c r="U304" s="41"/>
      <c r="V304" s="41"/>
      <c r="W304" s="36"/>
      <c r="X304" s="36"/>
      <c r="Y304" s="36"/>
      <c r="Z304" s="36"/>
      <c r="AA304" s="36"/>
    </row>
    <row r="305" spans="16:27" x14ac:dyDescent="0.2">
      <c r="P305" s="36"/>
      <c r="Q305" s="40"/>
      <c r="R305" s="40"/>
      <c r="S305" s="40"/>
      <c r="T305" s="41"/>
      <c r="U305" s="41"/>
      <c r="V305" s="41"/>
      <c r="W305" s="36"/>
      <c r="X305" s="36"/>
      <c r="Y305" s="36"/>
      <c r="Z305" s="36"/>
      <c r="AA305" s="36"/>
    </row>
    <row r="306" spans="16:27" x14ac:dyDescent="0.2">
      <c r="P306" s="36"/>
      <c r="Q306" s="40"/>
      <c r="R306" s="40"/>
      <c r="S306" s="40"/>
      <c r="T306" s="41"/>
      <c r="U306" s="41"/>
      <c r="V306" s="41"/>
      <c r="W306" s="36"/>
      <c r="X306" s="36"/>
      <c r="Y306" s="36"/>
      <c r="Z306" s="36"/>
      <c r="AA306" s="36"/>
    </row>
    <row r="307" spans="16:27" x14ac:dyDescent="0.2">
      <c r="P307" s="36"/>
      <c r="Q307" s="40"/>
      <c r="R307" s="40"/>
      <c r="S307" s="40"/>
      <c r="T307" s="41"/>
      <c r="U307" s="41"/>
      <c r="V307" s="41"/>
      <c r="W307" s="36"/>
      <c r="X307" s="36"/>
      <c r="Y307" s="36"/>
      <c r="Z307" s="36"/>
      <c r="AA307" s="36"/>
    </row>
    <row r="308" spans="16:27" x14ac:dyDescent="0.2">
      <c r="P308" s="36"/>
      <c r="Q308" s="40"/>
      <c r="R308" s="40"/>
      <c r="S308" s="40"/>
      <c r="T308" s="41"/>
      <c r="U308" s="41"/>
      <c r="V308" s="41"/>
      <c r="W308" s="36"/>
      <c r="X308" s="36"/>
      <c r="Y308" s="36"/>
      <c r="Z308" s="36"/>
      <c r="AA308" s="36"/>
    </row>
    <row r="309" spans="16:27" x14ac:dyDescent="0.2">
      <c r="P309" s="36"/>
      <c r="Q309" s="40"/>
      <c r="R309" s="40"/>
      <c r="S309" s="40"/>
      <c r="T309" s="41"/>
      <c r="U309" s="41"/>
      <c r="V309" s="41"/>
      <c r="W309" s="36"/>
      <c r="X309" s="36"/>
      <c r="Y309" s="36"/>
      <c r="Z309" s="36"/>
      <c r="AA309" s="36"/>
    </row>
    <row r="310" spans="16:27" x14ac:dyDescent="0.2">
      <c r="P310" s="36"/>
      <c r="Q310" s="40"/>
      <c r="R310" s="40"/>
      <c r="S310" s="40"/>
      <c r="T310" s="41"/>
      <c r="U310" s="41"/>
      <c r="V310" s="41"/>
      <c r="W310" s="36"/>
      <c r="X310" s="36"/>
      <c r="Y310" s="36"/>
      <c r="Z310" s="36"/>
      <c r="AA310" s="36"/>
    </row>
    <row r="311" spans="16:27" x14ac:dyDescent="0.2">
      <c r="P311" s="36"/>
      <c r="Q311" s="40"/>
      <c r="R311" s="40"/>
      <c r="S311" s="40"/>
      <c r="T311" s="41"/>
      <c r="U311" s="41"/>
      <c r="V311" s="41"/>
      <c r="W311" s="36"/>
      <c r="X311" s="36"/>
      <c r="Y311" s="36"/>
      <c r="Z311" s="36"/>
      <c r="AA311" s="36"/>
    </row>
    <row r="312" spans="16:27" x14ac:dyDescent="0.2">
      <c r="P312" s="36"/>
      <c r="Q312" s="40"/>
      <c r="R312" s="40"/>
      <c r="S312" s="40"/>
      <c r="T312" s="41"/>
      <c r="U312" s="41"/>
      <c r="V312" s="41"/>
      <c r="W312" s="36"/>
      <c r="X312" s="36"/>
      <c r="Y312" s="36"/>
      <c r="Z312" s="36"/>
      <c r="AA312" s="36"/>
    </row>
    <row r="313" spans="16:27" x14ac:dyDescent="0.2">
      <c r="P313" s="36"/>
      <c r="Q313" s="40"/>
      <c r="R313" s="40"/>
      <c r="S313" s="40"/>
      <c r="T313" s="41"/>
      <c r="U313" s="41"/>
      <c r="V313" s="41"/>
      <c r="W313" s="36"/>
      <c r="X313" s="36"/>
      <c r="Y313" s="36"/>
      <c r="Z313" s="36"/>
      <c r="AA313" s="36"/>
    </row>
    <row r="314" spans="16:27" x14ac:dyDescent="0.2">
      <c r="P314" s="36"/>
      <c r="Q314" s="40"/>
      <c r="R314" s="40"/>
      <c r="S314" s="40"/>
      <c r="T314" s="41"/>
      <c r="U314" s="41"/>
      <c r="V314" s="41"/>
      <c r="W314" s="36"/>
      <c r="X314" s="36"/>
      <c r="Y314" s="36"/>
      <c r="Z314" s="36"/>
      <c r="AA314" s="36"/>
    </row>
    <row r="315" spans="16:27" x14ac:dyDescent="0.2">
      <c r="P315" s="36"/>
      <c r="Q315" s="40"/>
      <c r="R315" s="40"/>
      <c r="S315" s="40"/>
      <c r="T315" s="41"/>
      <c r="U315" s="41"/>
      <c r="V315" s="41"/>
      <c r="W315" s="36"/>
      <c r="X315" s="36"/>
      <c r="Y315" s="36"/>
      <c r="Z315" s="36"/>
      <c r="AA315" s="36"/>
    </row>
    <row r="316" spans="16:27" x14ac:dyDescent="0.2">
      <c r="P316" s="36"/>
      <c r="Q316" s="40"/>
      <c r="R316" s="40"/>
      <c r="S316" s="40"/>
      <c r="T316" s="41"/>
      <c r="U316" s="41"/>
      <c r="V316" s="41"/>
      <c r="W316" s="36"/>
      <c r="X316" s="36"/>
      <c r="Y316" s="36"/>
      <c r="Z316" s="36"/>
      <c r="AA316" s="36"/>
    </row>
    <row r="317" spans="16:27" x14ac:dyDescent="0.2">
      <c r="P317" s="36"/>
      <c r="Q317" s="40"/>
      <c r="R317" s="40"/>
      <c r="S317" s="40"/>
      <c r="T317" s="41"/>
      <c r="U317" s="41"/>
      <c r="V317" s="41"/>
      <c r="W317" s="36"/>
      <c r="X317" s="36"/>
      <c r="Y317" s="36"/>
      <c r="Z317" s="36"/>
      <c r="AA317" s="36"/>
    </row>
    <row r="318" spans="16:27" x14ac:dyDescent="0.2">
      <c r="P318" s="36"/>
      <c r="Q318" s="40"/>
      <c r="R318" s="40"/>
      <c r="S318" s="40"/>
      <c r="T318" s="41"/>
      <c r="U318" s="41"/>
      <c r="V318" s="41"/>
      <c r="W318" s="36"/>
      <c r="X318" s="36"/>
      <c r="Y318" s="36"/>
      <c r="Z318" s="36"/>
      <c r="AA318" s="36"/>
    </row>
    <row r="319" spans="16:27" x14ac:dyDescent="0.2">
      <c r="P319" s="36"/>
      <c r="Q319" s="40"/>
      <c r="R319" s="40"/>
      <c r="S319" s="40"/>
      <c r="T319" s="41"/>
      <c r="U319" s="41"/>
      <c r="V319" s="41"/>
      <c r="W319" s="36"/>
      <c r="X319" s="36"/>
      <c r="Y319" s="36"/>
      <c r="Z319" s="36"/>
      <c r="AA319" s="36"/>
    </row>
    <row r="320" spans="16:27" x14ac:dyDescent="0.2">
      <c r="P320" s="36"/>
      <c r="Q320" s="40"/>
      <c r="R320" s="40"/>
      <c r="S320" s="40"/>
      <c r="T320" s="41"/>
      <c r="U320" s="41"/>
      <c r="V320" s="41"/>
      <c r="W320" s="36"/>
      <c r="X320" s="36"/>
      <c r="Y320" s="36"/>
      <c r="Z320" s="36"/>
      <c r="AA320" s="36"/>
    </row>
    <row r="321" spans="16:27" x14ac:dyDescent="0.2">
      <c r="P321" s="36"/>
      <c r="Q321" s="40"/>
      <c r="R321" s="40"/>
      <c r="S321" s="40"/>
      <c r="T321" s="41"/>
      <c r="U321" s="41"/>
      <c r="V321" s="41"/>
      <c r="W321" s="36"/>
      <c r="X321" s="36"/>
      <c r="Y321" s="36"/>
      <c r="Z321" s="36"/>
      <c r="AA321" s="36"/>
    </row>
    <row r="322" spans="16:27" x14ac:dyDescent="0.2">
      <c r="P322" s="36"/>
      <c r="Q322" s="40"/>
      <c r="R322" s="40"/>
      <c r="S322" s="40"/>
      <c r="T322" s="41"/>
      <c r="U322" s="41"/>
      <c r="V322" s="41"/>
      <c r="W322" s="36"/>
      <c r="X322" s="36"/>
      <c r="Y322" s="36"/>
      <c r="Z322" s="36"/>
      <c r="AA322" s="36"/>
    </row>
    <row r="323" spans="16:27" x14ac:dyDescent="0.2">
      <c r="P323" s="36"/>
      <c r="Q323" s="40"/>
      <c r="R323" s="40"/>
      <c r="S323" s="40"/>
      <c r="T323" s="41"/>
      <c r="U323" s="41"/>
      <c r="V323" s="41"/>
      <c r="W323" s="36"/>
      <c r="X323" s="36"/>
      <c r="Y323" s="36"/>
      <c r="Z323" s="36"/>
      <c r="AA323" s="36"/>
    </row>
    <row r="324" spans="16:27" x14ac:dyDescent="0.2">
      <c r="P324" s="36"/>
      <c r="Q324" s="40"/>
      <c r="R324" s="40"/>
      <c r="S324" s="40"/>
      <c r="T324" s="41"/>
      <c r="U324" s="41"/>
      <c r="V324" s="41"/>
      <c r="W324" s="36"/>
      <c r="X324" s="36"/>
      <c r="Y324" s="36"/>
      <c r="Z324" s="36"/>
      <c r="AA324" s="36"/>
    </row>
    <row r="325" spans="16:27" x14ac:dyDescent="0.2">
      <c r="P325" s="36"/>
      <c r="Q325" s="40"/>
      <c r="R325" s="40"/>
      <c r="S325" s="40"/>
      <c r="T325" s="41"/>
      <c r="U325" s="41"/>
      <c r="V325" s="41"/>
      <c r="W325" s="36"/>
      <c r="X325" s="36"/>
      <c r="Y325" s="36"/>
      <c r="Z325" s="36"/>
      <c r="AA325" s="36"/>
    </row>
    <row r="326" spans="16:27" x14ac:dyDescent="0.2">
      <c r="P326" s="36"/>
      <c r="Q326" s="40"/>
      <c r="R326" s="40"/>
      <c r="S326" s="40"/>
      <c r="T326" s="41"/>
      <c r="U326" s="41"/>
      <c r="V326" s="41"/>
      <c r="W326" s="36"/>
      <c r="X326" s="36"/>
      <c r="Y326" s="36"/>
      <c r="Z326" s="36"/>
      <c r="AA326" s="36"/>
    </row>
    <row r="327" spans="16:27" x14ac:dyDescent="0.2">
      <c r="P327" s="36"/>
      <c r="Q327" s="40"/>
      <c r="R327" s="40"/>
      <c r="S327" s="40"/>
      <c r="T327" s="41"/>
      <c r="U327" s="41"/>
      <c r="V327" s="41"/>
      <c r="W327" s="36"/>
      <c r="X327" s="36"/>
      <c r="Y327" s="36"/>
      <c r="Z327" s="36"/>
      <c r="AA327" s="36"/>
    </row>
    <row r="328" spans="16:27" x14ac:dyDescent="0.2">
      <c r="P328" s="36"/>
      <c r="Q328" s="40"/>
      <c r="R328" s="40"/>
      <c r="S328" s="40"/>
      <c r="T328" s="41"/>
      <c r="U328" s="41"/>
      <c r="V328" s="41"/>
      <c r="W328" s="36"/>
      <c r="X328" s="36"/>
      <c r="Y328" s="36"/>
      <c r="Z328" s="36"/>
      <c r="AA328" s="36"/>
    </row>
    <row r="329" spans="16:27" x14ac:dyDescent="0.2">
      <c r="P329" s="36"/>
      <c r="Q329" s="40"/>
      <c r="R329" s="40"/>
      <c r="S329" s="40"/>
      <c r="T329" s="41"/>
      <c r="U329" s="41"/>
      <c r="V329" s="41"/>
      <c r="W329" s="36"/>
      <c r="X329" s="36"/>
      <c r="Y329" s="36"/>
      <c r="Z329" s="36"/>
      <c r="AA329" s="36"/>
    </row>
    <row r="330" spans="16:27" x14ac:dyDescent="0.2">
      <c r="P330" s="36"/>
      <c r="Q330" s="40"/>
      <c r="R330" s="40"/>
      <c r="S330" s="40"/>
      <c r="T330" s="41"/>
      <c r="U330" s="41"/>
      <c r="V330" s="41"/>
      <c r="W330" s="36"/>
      <c r="X330" s="36"/>
      <c r="Y330" s="36"/>
      <c r="Z330" s="36"/>
      <c r="AA330" s="36"/>
    </row>
    <row r="331" spans="16:27" x14ac:dyDescent="0.2">
      <c r="P331" s="36"/>
      <c r="Q331" s="40"/>
      <c r="R331" s="40"/>
      <c r="S331" s="40"/>
      <c r="T331" s="41"/>
      <c r="U331" s="41"/>
      <c r="V331" s="41"/>
      <c r="W331" s="36"/>
      <c r="X331" s="36"/>
      <c r="Y331" s="36"/>
      <c r="Z331" s="36"/>
      <c r="AA331" s="36"/>
    </row>
    <row r="332" spans="16:27" x14ac:dyDescent="0.2">
      <c r="P332" s="36"/>
      <c r="Q332" s="40"/>
      <c r="R332" s="40"/>
      <c r="S332" s="40"/>
      <c r="T332" s="41"/>
      <c r="U332" s="41"/>
      <c r="V332" s="41"/>
      <c r="W332" s="36"/>
      <c r="X332" s="36"/>
      <c r="Y332" s="36"/>
      <c r="Z332" s="36"/>
      <c r="AA332" s="36"/>
    </row>
    <row r="333" spans="16:27" x14ac:dyDescent="0.2">
      <c r="P333" s="36"/>
      <c r="Q333" s="40"/>
      <c r="R333" s="40"/>
      <c r="S333" s="40"/>
      <c r="T333" s="41"/>
      <c r="U333" s="41"/>
      <c r="V333" s="41"/>
      <c r="W333" s="36"/>
      <c r="X333" s="36"/>
      <c r="Y333" s="36"/>
      <c r="Z333" s="36"/>
      <c r="AA333" s="36"/>
    </row>
    <row r="334" spans="16:27" x14ac:dyDescent="0.2">
      <c r="P334" s="36"/>
      <c r="Q334" s="40"/>
      <c r="R334" s="40"/>
      <c r="S334" s="40"/>
      <c r="T334" s="41"/>
      <c r="U334" s="41"/>
      <c r="V334" s="41"/>
      <c r="W334" s="36"/>
      <c r="X334" s="36"/>
      <c r="Y334" s="36"/>
      <c r="Z334" s="36"/>
      <c r="AA334" s="36"/>
    </row>
    <row r="335" spans="16:27" x14ac:dyDescent="0.2">
      <c r="P335" s="36"/>
      <c r="Q335" s="40"/>
      <c r="R335" s="40"/>
      <c r="S335" s="40"/>
      <c r="T335" s="41"/>
      <c r="U335" s="41"/>
      <c r="V335" s="41"/>
      <c r="W335" s="36"/>
      <c r="X335" s="36"/>
      <c r="Y335" s="36"/>
      <c r="Z335" s="36"/>
      <c r="AA335" s="36"/>
    </row>
    <row r="336" spans="16:27" x14ac:dyDescent="0.2">
      <c r="P336" s="36"/>
      <c r="Q336" s="40"/>
      <c r="R336" s="40"/>
      <c r="S336" s="40"/>
      <c r="T336" s="41"/>
      <c r="U336" s="41"/>
      <c r="V336" s="41"/>
      <c r="W336" s="36"/>
      <c r="X336" s="36"/>
      <c r="Y336" s="36"/>
      <c r="Z336" s="36"/>
      <c r="AA336" s="36"/>
    </row>
    <row r="337" spans="16:27" x14ac:dyDescent="0.2">
      <c r="P337" s="36"/>
      <c r="Q337" s="40"/>
      <c r="R337" s="40"/>
      <c r="S337" s="40"/>
      <c r="T337" s="41"/>
      <c r="U337" s="41"/>
      <c r="V337" s="41"/>
      <c r="W337" s="36"/>
      <c r="X337" s="36"/>
      <c r="Y337" s="36"/>
      <c r="Z337" s="36"/>
      <c r="AA337" s="36"/>
    </row>
    <row r="338" spans="16:27" x14ac:dyDescent="0.2">
      <c r="P338" s="36"/>
      <c r="Q338" s="40"/>
      <c r="R338" s="40"/>
      <c r="S338" s="40"/>
      <c r="T338" s="41"/>
      <c r="U338" s="41"/>
      <c r="V338" s="41"/>
      <c r="W338" s="36"/>
      <c r="X338" s="36"/>
      <c r="Y338" s="36"/>
      <c r="Z338" s="36"/>
      <c r="AA338" s="36"/>
    </row>
    <row r="339" spans="16:27" x14ac:dyDescent="0.2">
      <c r="P339" s="36"/>
      <c r="Q339" s="40"/>
      <c r="R339" s="40"/>
      <c r="S339" s="40"/>
      <c r="T339" s="41"/>
      <c r="U339" s="41"/>
      <c r="V339" s="41"/>
      <c r="W339" s="36"/>
      <c r="X339" s="36"/>
      <c r="Y339" s="36"/>
      <c r="Z339" s="36"/>
      <c r="AA339" s="36"/>
    </row>
    <row r="340" spans="16:27" x14ac:dyDescent="0.2">
      <c r="P340" s="36"/>
      <c r="Q340" s="40"/>
      <c r="R340" s="40"/>
      <c r="S340" s="40"/>
      <c r="T340" s="41"/>
      <c r="U340" s="41"/>
      <c r="V340" s="41"/>
      <c r="W340" s="36"/>
      <c r="X340" s="36"/>
      <c r="Y340" s="36"/>
      <c r="Z340" s="36"/>
      <c r="AA340" s="36"/>
    </row>
    <row r="341" spans="16:27" x14ac:dyDescent="0.2">
      <c r="P341" s="36"/>
      <c r="Q341" s="40"/>
      <c r="R341" s="40"/>
      <c r="S341" s="40"/>
      <c r="T341" s="41"/>
      <c r="U341" s="41"/>
      <c r="V341" s="41"/>
      <c r="W341" s="36"/>
      <c r="X341" s="36"/>
      <c r="Y341" s="36"/>
      <c r="Z341" s="36"/>
      <c r="AA341" s="36"/>
    </row>
    <row r="342" spans="16:27" x14ac:dyDescent="0.2">
      <c r="P342" s="36"/>
      <c r="Q342" s="40"/>
      <c r="R342" s="40"/>
      <c r="S342" s="40"/>
      <c r="T342" s="41"/>
      <c r="U342" s="41"/>
      <c r="V342" s="41"/>
      <c r="W342" s="36"/>
      <c r="X342" s="36"/>
      <c r="Y342" s="36"/>
      <c r="Z342" s="36"/>
      <c r="AA342" s="36"/>
    </row>
    <row r="343" spans="16:27" x14ac:dyDescent="0.2">
      <c r="P343" s="36"/>
      <c r="Q343" s="40"/>
      <c r="R343" s="40"/>
      <c r="S343" s="40"/>
      <c r="T343" s="41"/>
      <c r="U343" s="41"/>
      <c r="V343" s="41"/>
      <c r="W343" s="36"/>
      <c r="X343" s="36"/>
      <c r="Y343" s="36"/>
      <c r="Z343" s="36"/>
      <c r="AA343" s="36"/>
    </row>
    <row r="344" spans="16:27" x14ac:dyDescent="0.2">
      <c r="P344" s="36"/>
      <c r="Q344" s="40"/>
      <c r="R344" s="40"/>
      <c r="S344" s="40"/>
      <c r="T344" s="41"/>
      <c r="U344" s="41"/>
      <c r="V344" s="41"/>
      <c r="W344" s="36"/>
      <c r="X344" s="36"/>
      <c r="Y344" s="36"/>
      <c r="Z344" s="36"/>
      <c r="AA344" s="36"/>
    </row>
    <row r="345" spans="16:27" x14ac:dyDescent="0.2">
      <c r="P345" s="36"/>
      <c r="Q345" s="40"/>
      <c r="R345" s="40"/>
      <c r="S345" s="40"/>
      <c r="T345" s="41"/>
      <c r="U345" s="41"/>
      <c r="V345" s="41"/>
      <c r="W345" s="36"/>
      <c r="X345" s="36"/>
      <c r="Y345" s="36"/>
      <c r="Z345" s="36"/>
      <c r="AA345" s="36"/>
    </row>
    <row r="346" spans="16:27" x14ac:dyDescent="0.2">
      <c r="P346" s="36"/>
      <c r="Q346" s="40"/>
      <c r="R346" s="40"/>
      <c r="S346" s="40"/>
      <c r="T346" s="41"/>
      <c r="U346" s="41"/>
      <c r="V346" s="41"/>
      <c r="W346" s="36"/>
      <c r="X346" s="36"/>
      <c r="Y346" s="36"/>
      <c r="Z346" s="36"/>
      <c r="AA346" s="36"/>
    </row>
    <row r="347" spans="16:27" x14ac:dyDescent="0.2">
      <c r="P347" s="36"/>
      <c r="Q347" s="40"/>
      <c r="R347" s="40"/>
      <c r="S347" s="40"/>
      <c r="T347" s="41"/>
      <c r="U347" s="41"/>
      <c r="V347" s="41"/>
      <c r="W347" s="36"/>
      <c r="X347" s="36"/>
      <c r="Y347" s="36"/>
      <c r="Z347" s="36"/>
      <c r="AA347" s="36"/>
    </row>
    <row r="348" spans="16:27" x14ac:dyDescent="0.2">
      <c r="P348" s="36"/>
      <c r="Q348" s="40"/>
      <c r="R348" s="40"/>
      <c r="S348" s="40"/>
      <c r="T348" s="41"/>
      <c r="U348" s="41"/>
      <c r="V348" s="41"/>
      <c r="W348" s="36"/>
      <c r="X348" s="36"/>
      <c r="Y348" s="36"/>
      <c r="Z348" s="36"/>
      <c r="AA348" s="36"/>
    </row>
    <row r="349" spans="16:27" x14ac:dyDescent="0.2">
      <c r="P349" s="36"/>
      <c r="Q349" s="40"/>
      <c r="R349" s="40"/>
      <c r="S349" s="40"/>
      <c r="T349" s="41"/>
      <c r="U349" s="41"/>
      <c r="V349" s="41"/>
      <c r="W349" s="36"/>
      <c r="X349" s="36"/>
      <c r="Y349" s="36"/>
      <c r="Z349" s="36"/>
      <c r="AA349" s="36"/>
    </row>
    <row r="350" spans="16:27" x14ac:dyDescent="0.2">
      <c r="P350" s="36"/>
      <c r="Q350" s="40"/>
      <c r="R350" s="40"/>
      <c r="S350" s="40"/>
      <c r="T350" s="41"/>
      <c r="U350" s="41"/>
      <c r="V350" s="41"/>
      <c r="W350" s="36"/>
      <c r="X350" s="36"/>
      <c r="Y350" s="36"/>
      <c r="Z350" s="36"/>
      <c r="AA350" s="36"/>
    </row>
    <row r="351" spans="16:27" x14ac:dyDescent="0.2">
      <c r="P351" s="36"/>
      <c r="Q351" s="40"/>
      <c r="R351" s="40"/>
      <c r="S351" s="40"/>
      <c r="T351" s="41"/>
      <c r="U351" s="41"/>
      <c r="V351" s="41"/>
      <c r="W351" s="36"/>
      <c r="X351" s="36"/>
      <c r="Y351" s="36"/>
      <c r="Z351" s="36"/>
      <c r="AA351" s="36"/>
    </row>
    <row r="352" spans="16:27" x14ac:dyDescent="0.2">
      <c r="P352" s="36"/>
      <c r="Q352" s="40"/>
      <c r="R352" s="40"/>
      <c r="S352" s="40"/>
      <c r="T352" s="41"/>
      <c r="U352" s="41"/>
      <c r="V352" s="41"/>
      <c r="W352" s="36"/>
      <c r="X352" s="36"/>
      <c r="Y352" s="36"/>
      <c r="Z352" s="36"/>
      <c r="AA352" s="36"/>
    </row>
    <row r="353" spans="16:27" x14ac:dyDescent="0.2">
      <c r="P353" s="36"/>
      <c r="Q353" s="40"/>
      <c r="R353" s="40"/>
      <c r="S353" s="40"/>
      <c r="T353" s="41"/>
      <c r="U353" s="41"/>
      <c r="V353" s="41"/>
      <c r="W353" s="36"/>
      <c r="X353" s="36"/>
      <c r="Y353" s="36"/>
      <c r="Z353" s="36"/>
      <c r="AA353" s="36"/>
    </row>
    <row r="354" spans="16:27" x14ac:dyDescent="0.2">
      <c r="P354" s="36"/>
      <c r="Q354" s="40"/>
      <c r="R354" s="40"/>
      <c r="S354" s="40"/>
      <c r="T354" s="41"/>
      <c r="U354" s="41"/>
      <c r="V354" s="41"/>
      <c r="W354" s="36"/>
      <c r="X354" s="36"/>
      <c r="Y354" s="36"/>
      <c r="Z354" s="36"/>
      <c r="AA354" s="36"/>
    </row>
    <row r="355" spans="16:27" x14ac:dyDescent="0.2">
      <c r="P355" s="36"/>
      <c r="Q355" s="40"/>
      <c r="R355" s="40"/>
      <c r="S355" s="40"/>
      <c r="T355" s="41"/>
      <c r="U355" s="41"/>
      <c r="V355" s="41"/>
      <c r="W355" s="36"/>
      <c r="X355" s="36"/>
      <c r="Y355" s="36"/>
      <c r="Z355" s="36"/>
      <c r="AA355" s="36"/>
    </row>
    <row r="356" spans="16:27" x14ac:dyDescent="0.2">
      <c r="P356" s="36"/>
      <c r="Q356" s="40"/>
      <c r="R356" s="40"/>
      <c r="S356" s="40"/>
      <c r="T356" s="41"/>
      <c r="U356" s="41"/>
      <c r="V356" s="41"/>
      <c r="W356" s="36"/>
      <c r="X356" s="36"/>
      <c r="Y356" s="36"/>
      <c r="Z356" s="36"/>
      <c r="AA356" s="36"/>
    </row>
    <row r="357" spans="16:27" x14ac:dyDescent="0.2">
      <c r="P357" s="36"/>
      <c r="Q357" s="40"/>
      <c r="R357" s="40"/>
      <c r="S357" s="40"/>
      <c r="T357" s="41"/>
      <c r="U357" s="41"/>
      <c r="V357" s="41"/>
      <c r="W357" s="36"/>
      <c r="X357" s="36"/>
      <c r="Y357" s="36"/>
      <c r="Z357" s="36"/>
      <c r="AA357" s="36"/>
    </row>
    <row r="358" spans="16:27" x14ac:dyDescent="0.2">
      <c r="P358" s="36"/>
      <c r="Q358" s="40"/>
      <c r="R358" s="40"/>
      <c r="S358" s="40"/>
      <c r="T358" s="41"/>
      <c r="U358" s="41"/>
      <c r="V358" s="41"/>
      <c r="W358" s="36"/>
      <c r="X358" s="36"/>
      <c r="Y358" s="36"/>
      <c r="Z358" s="36"/>
      <c r="AA358" s="36"/>
    </row>
    <row r="359" spans="16:27" x14ac:dyDescent="0.2">
      <c r="P359" s="36"/>
      <c r="Q359" s="40"/>
      <c r="R359" s="40"/>
      <c r="S359" s="40"/>
      <c r="T359" s="41"/>
      <c r="U359" s="41"/>
      <c r="V359" s="41"/>
      <c r="W359" s="36"/>
      <c r="X359" s="36"/>
      <c r="Y359" s="36"/>
      <c r="Z359" s="36"/>
      <c r="AA359" s="36"/>
    </row>
    <row r="360" spans="16:27" x14ac:dyDescent="0.2">
      <c r="P360" s="36"/>
      <c r="Q360" s="40"/>
      <c r="R360" s="40"/>
      <c r="S360" s="40"/>
      <c r="T360" s="41"/>
      <c r="U360" s="41"/>
      <c r="V360" s="41"/>
      <c r="W360" s="36"/>
      <c r="X360" s="36"/>
      <c r="Y360" s="36"/>
      <c r="Z360" s="36"/>
      <c r="AA360" s="36"/>
    </row>
    <row r="361" spans="16:27" x14ac:dyDescent="0.2">
      <c r="P361" s="36"/>
      <c r="Q361" s="40"/>
      <c r="R361" s="40"/>
      <c r="S361" s="40"/>
      <c r="T361" s="41"/>
      <c r="U361" s="41"/>
      <c r="V361" s="41"/>
      <c r="W361" s="36"/>
      <c r="X361" s="36"/>
      <c r="Y361" s="36"/>
      <c r="Z361" s="36"/>
      <c r="AA361" s="36"/>
    </row>
    <row r="362" spans="16:27" x14ac:dyDescent="0.2">
      <c r="P362" s="36"/>
      <c r="Q362" s="40"/>
      <c r="R362" s="40"/>
      <c r="S362" s="40"/>
      <c r="T362" s="41"/>
      <c r="U362" s="41"/>
      <c r="V362" s="41"/>
      <c r="W362" s="36"/>
      <c r="X362" s="36"/>
      <c r="Y362" s="36"/>
      <c r="Z362" s="36"/>
      <c r="AA362" s="36"/>
    </row>
    <row r="363" spans="16:27" x14ac:dyDescent="0.2">
      <c r="P363" s="36"/>
      <c r="Q363" s="40"/>
      <c r="R363" s="40"/>
      <c r="S363" s="40"/>
      <c r="T363" s="41"/>
      <c r="U363" s="41"/>
      <c r="V363" s="41"/>
      <c r="W363" s="36"/>
      <c r="X363" s="36"/>
      <c r="Y363" s="36"/>
      <c r="Z363" s="36"/>
      <c r="AA363" s="36"/>
    </row>
    <row r="364" spans="16:27" x14ac:dyDescent="0.2">
      <c r="P364" s="36"/>
      <c r="Q364" s="40"/>
      <c r="R364" s="40"/>
      <c r="S364" s="40"/>
      <c r="T364" s="41"/>
      <c r="U364" s="41"/>
      <c r="V364" s="41"/>
      <c r="W364" s="36"/>
      <c r="X364" s="36"/>
      <c r="Y364" s="36"/>
      <c r="Z364" s="36"/>
      <c r="AA364" s="36"/>
    </row>
    <row r="365" spans="16:27" x14ac:dyDescent="0.2">
      <c r="P365" s="36"/>
      <c r="Q365" s="40"/>
      <c r="R365" s="40"/>
      <c r="S365" s="40"/>
      <c r="T365" s="41"/>
      <c r="U365" s="41"/>
      <c r="V365" s="41"/>
      <c r="W365" s="36"/>
      <c r="X365" s="36"/>
      <c r="Y365" s="36"/>
      <c r="Z365" s="36"/>
      <c r="AA365" s="36"/>
    </row>
    <row r="366" spans="16:27" x14ac:dyDescent="0.2">
      <c r="P366" s="36"/>
      <c r="Q366" s="40"/>
      <c r="R366" s="40"/>
      <c r="S366" s="40"/>
      <c r="T366" s="41"/>
      <c r="U366" s="41"/>
      <c r="V366" s="41"/>
      <c r="W366" s="36"/>
      <c r="X366" s="36"/>
      <c r="Y366" s="36"/>
      <c r="Z366" s="36"/>
      <c r="AA366" s="36"/>
    </row>
    <row r="367" spans="16:27" x14ac:dyDescent="0.2">
      <c r="P367" s="36"/>
      <c r="Q367" s="40"/>
      <c r="R367" s="40"/>
      <c r="S367" s="40"/>
      <c r="T367" s="41"/>
      <c r="U367" s="41"/>
      <c r="V367" s="41"/>
      <c r="W367" s="36"/>
      <c r="X367" s="36"/>
      <c r="Y367" s="36"/>
      <c r="Z367" s="36"/>
      <c r="AA367" s="36"/>
    </row>
    <row r="368" spans="16:27" x14ac:dyDescent="0.2">
      <c r="P368" s="36"/>
      <c r="Q368" s="40"/>
      <c r="R368" s="40"/>
      <c r="S368" s="40"/>
      <c r="T368" s="41"/>
      <c r="U368" s="41"/>
      <c r="V368" s="41"/>
      <c r="W368" s="36"/>
      <c r="X368" s="36"/>
      <c r="Y368" s="36"/>
      <c r="Z368" s="36"/>
      <c r="AA368" s="36"/>
    </row>
    <row r="369" spans="16:27" x14ac:dyDescent="0.2">
      <c r="P369" s="36"/>
      <c r="Q369" s="40"/>
      <c r="R369" s="40"/>
      <c r="S369" s="40"/>
      <c r="T369" s="41"/>
      <c r="U369" s="41"/>
      <c r="V369" s="41"/>
      <c r="W369" s="36"/>
      <c r="X369" s="36"/>
      <c r="Y369" s="36"/>
      <c r="Z369" s="36"/>
      <c r="AA369" s="36"/>
    </row>
    <row r="370" spans="16:27" x14ac:dyDescent="0.2">
      <c r="P370" s="36"/>
      <c r="Q370" s="40"/>
      <c r="R370" s="40"/>
      <c r="S370" s="40"/>
      <c r="T370" s="41"/>
      <c r="U370" s="41"/>
      <c r="V370" s="41"/>
      <c r="W370" s="36"/>
      <c r="X370" s="36"/>
      <c r="Y370" s="36"/>
      <c r="Z370" s="36"/>
      <c r="AA370" s="36"/>
    </row>
    <row r="371" spans="16:27" x14ac:dyDescent="0.2">
      <c r="P371" s="36"/>
      <c r="Q371" s="40"/>
      <c r="R371" s="40"/>
      <c r="S371" s="40"/>
      <c r="T371" s="41"/>
      <c r="U371" s="41"/>
      <c r="V371" s="41"/>
      <c r="W371" s="36"/>
      <c r="X371" s="36"/>
      <c r="Y371" s="36"/>
      <c r="Z371" s="36"/>
      <c r="AA371" s="36"/>
    </row>
    <row r="372" spans="16:27" x14ac:dyDescent="0.2">
      <c r="P372" s="36"/>
      <c r="Q372" s="40"/>
      <c r="R372" s="40"/>
      <c r="S372" s="40"/>
      <c r="T372" s="41"/>
      <c r="U372" s="41"/>
      <c r="V372" s="41"/>
      <c r="W372" s="36"/>
      <c r="X372" s="36"/>
      <c r="Y372" s="36"/>
      <c r="Z372" s="36"/>
      <c r="AA372" s="36"/>
    </row>
    <row r="373" spans="16:27" x14ac:dyDescent="0.2">
      <c r="P373" s="36"/>
      <c r="Q373" s="40"/>
      <c r="R373" s="40"/>
      <c r="S373" s="40"/>
      <c r="T373" s="41"/>
      <c r="U373" s="41"/>
      <c r="V373" s="41"/>
      <c r="W373" s="36"/>
      <c r="X373" s="36"/>
      <c r="Y373" s="36"/>
      <c r="Z373" s="36"/>
      <c r="AA373" s="36"/>
    </row>
    <row r="374" spans="16:27" x14ac:dyDescent="0.2">
      <c r="P374" s="36"/>
      <c r="Q374" s="40"/>
      <c r="R374" s="40"/>
      <c r="S374" s="40"/>
      <c r="T374" s="41"/>
      <c r="U374" s="41"/>
      <c r="V374" s="41"/>
      <c r="W374" s="36"/>
      <c r="X374" s="36"/>
      <c r="Y374" s="36"/>
      <c r="Z374" s="36"/>
      <c r="AA374" s="36"/>
    </row>
    <row r="375" spans="16:27" x14ac:dyDescent="0.2">
      <c r="P375" s="36"/>
      <c r="Q375" s="40"/>
      <c r="R375" s="40"/>
      <c r="S375" s="40"/>
      <c r="T375" s="41"/>
      <c r="U375" s="41"/>
      <c r="V375" s="41"/>
      <c r="W375" s="36"/>
      <c r="X375" s="36"/>
      <c r="Y375" s="36"/>
      <c r="Z375" s="36"/>
      <c r="AA375" s="36"/>
    </row>
    <row r="376" spans="16:27" x14ac:dyDescent="0.2">
      <c r="P376" s="36"/>
      <c r="Q376" s="40"/>
      <c r="R376" s="40"/>
      <c r="S376" s="40"/>
      <c r="T376" s="41"/>
      <c r="U376" s="41"/>
      <c r="V376" s="41"/>
      <c r="W376" s="36"/>
      <c r="X376" s="36"/>
      <c r="Y376" s="36"/>
      <c r="Z376" s="36"/>
      <c r="AA376" s="36"/>
    </row>
    <row r="377" spans="16:27" x14ac:dyDescent="0.2">
      <c r="P377" s="36"/>
      <c r="Q377" s="40"/>
      <c r="R377" s="40"/>
      <c r="S377" s="40"/>
      <c r="T377" s="41"/>
      <c r="U377" s="41"/>
      <c r="V377" s="41"/>
      <c r="W377" s="36"/>
      <c r="X377" s="36"/>
      <c r="Y377" s="36"/>
      <c r="Z377" s="36"/>
      <c r="AA377" s="36"/>
    </row>
    <row r="378" spans="16:27" x14ac:dyDescent="0.2">
      <c r="P378" s="36"/>
      <c r="Q378" s="40"/>
      <c r="R378" s="40"/>
      <c r="S378" s="40"/>
      <c r="T378" s="41"/>
      <c r="U378" s="41"/>
      <c r="V378" s="41"/>
      <c r="W378" s="36"/>
      <c r="X378" s="36"/>
      <c r="Y378" s="36"/>
      <c r="Z378" s="36"/>
      <c r="AA378" s="36"/>
    </row>
    <row r="379" spans="16:27" x14ac:dyDescent="0.2">
      <c r="P379" s="36"/>
      <c r="Q379" s="40"/>
      <c r="R379" s="40"/>
      <c r="S379" s="40"/>
      <c r="T379" s="41"/>
      <c r="U379" s="41"/>
      <c r="V379" s="41"/>
      <c r="W379" s="36"/>
      <c r="X379" s="36"/>
      <c r="Y379" s="36"/>
      <c r="Z379" s="36"/>
      <c r="AA379" s="36"/>
    </row>
    <row r="380" spans="16:27" x14ac:dyDescent="0.2">
      <c r="P380" s="36"/>
      <c r="Q380" s="40"/>
      <c r="R380" s="40"/>
      <c r="S380" s="40"/>
      <c r="T380" s="41"/>
      <c r="U380" s="41"/>
      <c r="V380" s="41"/>
      <c r="W380" s="36"/>
      <c r="X380" s="36"/>
      <c r="Y380" s="36"/>
      <c r="Z380" s="36"/>
      <c r="AA380" s="36"/>
    </row>
    <row r="381" spans="16:27" x14ac:dyDescent="0.2">
      <c r="P381" s="36"/>
      <c r="Q381" s="40"/>
      <c r="R381" s="40"/>
      <c r="S381" s="40"/>
      <c r="T381" s="41"/>
      <c r="U381" s="41"/>
      <c r="V381" s="41"/>
      <c r="W381" s="36"/>
      <c r="X381" s="36"/>
      <c r="Y381" s="36"/>
      <c r="Z381" s="36"/>
      <c r="AA381" s="36"/>
    </row>
    <row r="382" spans="16:27" x14ac:dyDescent="0.2">
      <c r="P382" s="36"/>
      <c r="Q382" s="40"/>
      <c r="R382" s="40"/>
      <c r="S382" s="40"/>
      <c r="T382" s="41"/>
      <c r="U382" s="41"/>
      <c r="V382" s="41"/>
      <c r="W382" s="36"/>
      <c r="X382" s="36"/>
      <c r="Y382" s="36"/>
      <c r="Z382" s="36"/>
      <c r="AA382" s="36"/>
    </row>
    <row r="383" spans="16:27" x14ac:dyDescent="0.2">
      <c r="P383" s="36"/>
      <c r="Q383" s="40"/>
      <c r="R383" s="40"/>
      <c r="S383" s="40"/>
      <c r="T383" s="41"/>
      <c r="U383" s="41"/>
      <c r="V383" s="41"/>
      <c r="W383" s="36"/>
      <c r="X383" s="36"/>
      <c r="Y383" s="36"/>
      <c r="Z383" s="36"/>
      <c r="AA383" s="36"/>
    </row>
    <row r="384" spans="16:27" x14ac:dyDescent="0.2">
      <c r="P384" s="36"/>
      <c r="Q384" s="40"/>
      <c r="R384" s="40"/>
      <c r="S384" s="40"/>
      <c r="T384" s="41"/>
      <c r="U384" s="41"/>
      <c r="V384" s="41"/>
      <c r="W384" s="36"/>
      <c r="X384" s="36"/>
      <c r="Y384" s="36"/>
      <c r="Z384" s="36"/>
      <c r="AA384" s="36"/>
    </row>
    <row r="385" spans="16:27" x14ac:dyDescent="0.2">
      <c r="P385" s="36"/>
      <c r="Q385" s="40"/>
      <c r="R385" s="40"/>
      <c r="S385" s="40"/>
      <c r="T385" s="41"/>
      <c r="U385" s="41"/>
      <c r="V385" s="41"/>
      <c r="W385" s="36"/>
      <c r="X385" s="36"/>
      <c r="Y385" s="36"/>
      <c r="Z385" s="36"/>
      <c r="AA385" s="36"/>
    </row>
    <row r="386" spans="16:27" x14ac:dyDescent="0.2">
      <c r="P386" s="36"/>
      <c r="Q386" s="40"/>
      <c r="R386" s="40"/>
      <c r="S386" s="40"/>
      <c r="T386" s="41"/>
      <c r="U386" s="41"/>
      <c r="V386" s="41"/>
      <c r="W386" s="36"/>
      <c r="X386" s="36"/>
      <c r="Y386" s="36"/>
      <c r="Z386" s="36"/>
      <c r="AA386" s="36"/>
    </row>
    <row r="387" spans="16:27" x14ac:dyDescent="0.2">
      <c r="P387" s="36"/>
      <c r="Q387" s="40"/>
      <c r="R387" s="40"/>
      <c r="S387" s="40"/>
      <c r="T387" s="41"/>
      <c r="U387" s="41"/>
      <c r="V387" s="41"/>
      <c r="W387" s="36"/>
      <c r="X387" s="36"/>
      <c r="Y387" s="36"/>
      <c r="Z387" s="36"/>
      <c r="AA387" s="36"/>
    </row>
    <row r="388" spans="16:27" x14ac:dyDescent="0.2">
      <c r="P388" s="36"/>
      <c r="Q388" s="40"/>
      <c r="R388" s="40"/>
      <c r="S388" s="40"/>
      <c r="T388" s="41"/>
      <c r="U388" s="41"/>
      <c r="V388" s="41"/>
      <c r="W388" s="36"/>
      <c r="X388" s="36"/>
      <c r="Y388" s="36"/>
      <c r="Z388" s="36"/>
      <c r="AA388" s="36"/>
    </row>
    <row r="389" spans="16:27" x14ac:dyDescent="0.2">
      <c r="P389" s="36"/>
      <c r="Q389" s="40"/>
      <c r="R389" s="40"/>
      <c r="S389" s="40"/>
      <c r="T389" s="41"/>
      <c r="U389" s="41"/>
      <c r="V389" s="41"/>
      <c r="W389" s="36"/>
      <c r="X389" s="36"/>
      <c r="Y389" s="36"/>
      <c r="Z389" s="36"/>
      <c r="AA389" s="36"/>
    </row>
    <row r="390" spans="16:27" x14ac:dyDescent="0.2">
      <c r="P390" s="36"/>
      <c r="Q390" s="40"/>
      <c r="R390" s="40"/>
      <c r="S390" s="40"/>
      <c r="T390" s="41"/>
      <c r="U390" s="41"/>
      <c r="V390" s="41"/>
      <c r="W390" s="36"/>
      <c r="X390" s="36"/>
      <c r="Y390" s="36"/>
      <c r="Z390" s="36"/>
      <c r="AA390" s="36"/>
    </row>
    <row r="391" spans="16:27" x14ac:dyDescent="0.2">
      <c r="P391" s="36"/>
      <c r="Q391" s="40"/>
      <c r="R391" s="40"/>
      <c r="S391" s="40"/>
      <c r="T391" s="41"/>
      <c r="U391" s="41"/>
      <c r="V391" s="41"/>
      <c r="W391" s="36"/>
      <c r="X391" s="36"/>
      <c r="Y391" s="36"/>
      <c r="Z391" s="36"/>
      <c r="AA391" s="36"/>
    </row>
    <row r="392" spans="16:27" x14ac:dyDescent="0.2">
      <c r="P392" s="36"/>
      <c r="Q392" s="40"/>
      <c r="R392" s="40"/>
      <c r="S392" s="40"/>
      <c r="T392" s="41"/>
      <c r="U392" s="41"/>
      <c r="V392" s="41"/>
      <c r="W392" s="36"/>
      <c r="X392" s="36"/>
      <c r="Y392" s="36"/>
      <c r="Z392" s="36"/>
      <c r="AA392" s="36"/>
    </row>
    <row r="393" spans="16:27" x14ac:dyDescent="0.2">
      <c r="P393" s="36"/>
      <c r="Q393" s="40"/>
      <c r="R393" s="40"/>
      <c r="S393" s="40"/>
      <c r="T393" s="41"/>
      <c r="U393" s="41"/>
      <c r="V393" s="41"/>
      <c r="W393" s="36"/>
      <c r="X393" s="36"/>
      <c r="Y393" s="36"/>
      <c r="Z393" s="36"/>
      <c r="AA393" s="36"/>
    </row>
    <row r="394" spans="16:27" x14ac:dyDescent="0.2">
      <c r="P394" s="36"/>
      <c r="Q394" s="40"/>
      <c r="R394" s="40"/>
      <c r="S394" s="40"/>
      <c r="T394" s="41"/>
      <c r="U394" s="41"/>
      <c r="V394" s="41"/>
      <c r="W394" s="36"/>
      <c r="X394" s="36"/>
      <c r="Y394" s="36"/>
      <c r="Z394" s="36"/>
      <c r="AA394" s="36"/>
    </row>
    <row r="395" spans="16:27" x14ac:dyDescent="0.2">
      <c r="P395" s="36"/>
      <c r="Q395" s="40"/>
      <c r="R395" s="40"/>
      <c r="S395" s="40"/>
      <c r="T395" s="41"/>
      <c r="U395" s="41"/>
      <c r="V395" s="41"/>
      <c r="W395" s="36"/>
      <c r="X395" s="36"/>
      <c r="Y395" s="36"/>
      <c r="Z395" s="36"/>
      <c r="AA395" s="36"/>
    </row>
    <row r="396" spans="16:27" x14ac:dyDescent="0.2">
      <c r="P396" s="36"/>
      <c r="Q396" s="40"/>
      <c r="R396" s="40"/>
      <c r="S396" s="40"/>
      <c r="T396" s="41"/>
      <c r="U396" s="41"/>
      <c r="V396" s="41"/>
      <c r="W396" s="36"/>
      <c r="X396" s="36"/>
      <c r="Y396" s="36"/>
      <c r="Z396" s="36"/>
      <c r="AA396" s="36"/>
    </row>
    <row r="397" spans="16:27" x14ac:dyDescent="0.2">
      <c r="P397" s="36"/>
      <c r="Q397" s="40"/>
      <c r="R397" s="40"/>
      <c r="S397" s="40"/>
      <c r="T397" s="41"/>
      <c r="U397" s="41"/>
      <c r="V397" s="41"/>
      <c r="W397" s="36"/>
      <c r="X397" s="36"/>
      <c r="Y397" s="36"/>
      <c r="Z397" s="36"/>
      <c r="AA397" s="36"/>
    </row>
    <row r="398" spans="16:27" x14ac:dyDescent="0.2">
      <c r="P398" s="36"/>
      <c r="Q398" s="40"/>
      <c r="R398" s="40"/>
      <c r="S398" s="40"/>
      <c r="T398" s="41"/>
      <c r="U398" s="41"/>
      <c r="V398" s="41"/>
      <c r="W398" s="36"/>
      <c r="X398" s="36"/>
      <c r="Y398" s="36"/>
      <c r="Z398" s="36"/>
      <c r="AA398" s="36"/>
    </row>
    <row r="399" spans="16:27" x14ac:dyDescent="0.2">
      <c r="P399" s="36"/>
      <c r="Q399" s="40"/>
      <c r="R399" s="40"/>
      <c r="S399" s="40"/>
      <c r="T399" s="41"/>
      <c r="U399" s="41"/>
      <c r="V399" s="41"/>
      <c r="W399" s="36"/>
      <c r="X399" s="36"/>
      <c r="Y399" s="36"/>
      <c r="Z399" s="36"/>
      <c r="AA399" s="36"/>
    </row>
    <row r="400" spans="16:27" x14ac:dyDescent="0.2">
      <c r="P400" s="36"/>
      <c r="Q400" s="40"/>
      <c r="R400" s="40"/>
      <c r="S400" s="40"/>
      <c r="T400" s="41"/>
      <c r="U400" s="41"/>
      <c r="V400" s="41"/>
      <c r="W400" s="36"/>
      <c r="X400" s="36"/>
      <c r="Y400" s="36"/>
      <c r="Z400" s="36"/>
      <c r="AA400" s="36"/>
    </row>
    <row r="401" spans="16:27" x14ac:dyDescent="0.2">
      <c r="P401" s="36"/>
      <c r="Q401" s="40"/>
      <c r="R401" s="40"/>
      <c r="S401" s="40"/>
      <c r="T401" s="41"/>
      <c r="U401" s="41"/>
      <c r="V401" s="41"/>
      <c r="W401" s="36"/>
      <c r="X401" s="36"/>
      <c r="Y401" s="36"/>
      <c r="Z401" s="36"/>
      <c r="AA401" s="36"/>
    </row>
    <row r="402" spans="16:27" x14ac:dyDescent="0.2">
      <c r="P402" s="36"/>
      <c r="Q402" s="40"/>
      <c r="R402" s="40"/>
      <c r="S402" s="40"/>
      <c r="T402" s="41"/>
      <c r="U402" s="41"/>
      <c r="V402" s="41"/>
      <c r="W402" s="36"/>
      <c r="X402" s="36"/>
      <c r="Y402" s="36"/>
      <c r="Z402" s="36"/>
      <c r="AA402" s="36"/>
    </row>
    <row r="403" spans="16:27" x14ac:dyDescent="0.2">
      <c r="P403" s="36"/>
      <c r="Q403" s="40"/>
      <c r="R403" s="40"/>
      <c r="S403" s="40"/>
      <c r="T403" s="41"/>
      <c r="U403" s="41"/>
      <c r="V403" s="41"/>
      <c r="W403" s="36"/>
      <c r="X403" s="36"/>
      <c r="Y403" s="36"/>
      <c r="Z403" s="36"/>
      <c r="AA403" s="36"/>
    </row>
    <row r="404" spans="16:27" x14ac:dyDescent="0.2">
      <c r="P404" s="36"/>
      <c r="Q404" s="40"/>
      <c r="R404" s="40"/>
      <c r="S404" s="40"/>
      <c r="T404" s="41"/>
      <c r="U404" s="41"/>
      <c r="V404" s="41"/>
      <c r="W404" s="36"/>
      <c r="X404" s="36"/>
      <c r="Y404" s="36"/>
      <c r="Z404" s="36"/>
      <c r="AA404" s="36"/>
    </row>
    <row r="405" spans="16:27" x14ac:dyDescent="0.2">
      <c r="P405" s="36"/>
      <c r="Q405" s="40"/>
      <c r="R405" s="40"/>
      <c r="S405" s="40"/>
      <c r="T405" s="41"/>
      <c r="U405" s="41"/>
      <c r="V405" s="41"/>
      <c r="W405" s="36"/>
      <c r="X405" s="36"/>
      <c r="Y405" s="36"/>
      <c r="Z405" s="36"/>
      <c r="AA405" s="36"/>
    </row>
    <row r="406" spans="16:27" x14ac:dyDescent="0.2">
      <c r="P406" s="36"/>
      <c r="Q406" s="40"/>
      <c r="R406" s="40"/>
      <c r="S406" s="40"/>
      <c r="T406" s="41"/>
      <c r="U406" s="41"/>
      <c r="V406" s="41"/>
      <c r="W406" s="36"/>
      <c r="X406" s="36"/>
      <c r="Y406" s="36"/>
      <c r="Z406" s="36"/>
      <c r="AA406" s="36"/>
    </row>
    <row r="407" spans="16:27" x14ac:dyDescent="0.2">
      <c r="P407" s="36"/>
      <c r="Q407" s="40"/>
      <c r="R407" s="40"/>
      <c r="S407" s="40"/>
      <c r="T407" s="41"/>
      <c r="U407" s="41"/>
      <c r="V407" s="41"/>
      <c r="W407" s="36"/>
      <c r="X407" s="36"/>
      <c r="Y407" s="36"/>
      <c r="Z407" s="36"/>
      <c r="AA407" s="36"/>
    </row>
    <row r="408" spans="16:27" x14ac:dyDescent="0.2">
      <c r="P408" s="36"/>
      <c r="Q408" s="40"/>
      <c r="R408" s="40"/>
      <c r="S408" s="40"/>
      <c r="T408" s="41"/>
      <c r="U408" s="41"/>
      <c r="V408" s="41"/>
      <c r="W408" s="36"/>
      <c r="X408" s="36"/>
      <c r="Y408" s="36"/>
      <c r="Z408" s="36"/>
      <c r="AA408" s="36"/>
    </row>
    <row r="409" spans="16:27" x14ac:dyDescent="0.2">
      <c r="P409" s="36"/>
      <c r="Q409" s="40"/>
      <c r="R409" s="40"/>
      <c r="S409" s="40"/>
      <c r="T409" s="41"/>
      <c r="U409" s="41"/>
      <c r="V409" s="41"/>
      <c r="W409" s="36"/>
      <c r="X409" s="36"/>
      <c r="Y409" s="36"/>
      <c r="Z409" s="36"/>
      <c r="AA409" s="36"/>
    </row>
    <row r="410" spans="16:27" x14ac:dyDescent="0.2">
      <c r="P410" s="36"/>
      <c r="Q410" s="40"/>
      <c r="R410" s="40"/>
      <c r="S410" s="40"/>
      <c r="T410" s="41"/>
      <c r="U410" s="41"/>
      <c r="V410" s="41"/>
      <c r="W410" s="36"/>
      <c r="X410" s="36"/>
      <c r="Y410" s="36"/>
      <c r="Z410" s="36"/>
      <c r="AA410" s="36"/>
    </row>
    <row r="411" spans="16:27" x14ac:dyDescent="0.2">
      <c r="P411" s="36"/>
      <c r="Q411" s="40"/>
      <c r="R411" s="40"/>
      <c r="S411" s="40"/>
      <c r="T411" s="41"/>
      <c r="U411" s="41"/>
      <c r="V411" s="41"/>
      <c r="W411" s="36"/>
      <c r="X411" s="36"/>
      <c r="Y411" s="36"/>
      <c r="Z411" s="36"/>
      <c r="AA411" s="36"/>
    </row>
    <row r="412" spans="16:27" x14ac:dyDescent="0.2">
      <c r="P412" s="36"/>
      <c r="Q412" s="40"/>
      <c r="R412" s="40"/>
      <c r="S412" s="40"/>
      <c r="T412" s="41"/>
      <c r="U412" s="41"/>
      <c r="V412" s="41"/>
      <c r="W412" s="36"/>
      <c r="X412" s="36"/>
      <c r="Y412" s="36"/>
      <c r="Z412" s="36"/>
      <c r="AA412" s="36"/>
    </row>
    <row r="413" spans="16:27" x14ac:dyDescent="0.2">
      <c r="P413" s="36"/>
      <c r="Q413" s="40"/>
      <c r="R413" s="40"/>
      <c r="S413" s="40"/>
      <c r="T413" s="41"/>
      <c r="U413" s="41"/>
      <c r="V413" s="41"/>
      <c r="W413" s="36"/>
      <c r="X413" s="36"/>
      <c r="Y413" s="36"/>
      <c r="Z413" s="36"/>
      <c r="AA413" s="36"/>
    </row>
    <row r="414" spans="16:27" x14ac:dyDescent="0.2">
      <c r="P414" s="36"/>
      <c r="Q414" s="40"/>
      <c r="R414" s="40"/>
      <c r="S414" s="40"/>
      <c r="T414" s="41"/>
      <c r="U414" s="41"/>
      <c r="V414" s="41"/>
      <c r="W414" s="36"/>
      <c r="X414" s="36"/>
      <c r="Y414" s="36"/>
      <c r="Z414" s="36"/>
      <c r="AA414" s="36"/>
    </row>
    <row r="415" spans="16:27" x14ac:dyDescent="0.2">
      <c r="P415" s="36"/>
      <c r="Q415" s="40"/>
      <c r="R415" s="40"/>
      <c r="S415" s="40"/>
      <c r="T415" s="41"/>
      <c r="U415" s="41"/>
      <c r="V415" s="41"/>
      <c r="W415" s="36"/>
      <c r="X415" s="36"/>
      <c r="Y415" s="36"/>
      <c r="Z415" s="36"/>
      <c r="AA415" s="36"/>
    </row>
    <row r="416" spans="16:27" x14ac:dyDescent="0.2">
      <c r="P416" s="36"/>
      <c r="Q416" s="40"/>
      <c r="R416" s="40"/>
      <c r="S416" s="40"/>
      <c r="T416" s="41"/>
      <c r="U416" s="41"/>
      <c r="V416" s="41"/>
      <c r="W416" s="36"/>
      <c r="X416" s="36"/>
      <c r="Y416" s="36"/>
      <c r="Z416" s="36"/>
      <c r="AA416" s="36"/>
    </row>
    <row r="417" spans="16:27" x14ac:dyDescent="0.2">
      <c r="P417" s="36"/>
      <c r="Q417" s="40"/>
      <c r="R417" s="40"/>
      <c r="S417" s="40"/>
      <c r="T417" s="41"/>
      <c r="U417" s="41"/>
      <c r="V417" s="41"/>
      <c r="W417" s="36"/>
      <c r="X417" s="36"/>
      <c r="Y417" s="36"/>
      <c r="Z417" s="36"/>
      <c r="AA417" s="36"/>
    </row>
    <row r="418" spans="16:27" x14ac:dyDescent="0.2">
      <c r="P418" s="36"/>
      <c r="Q418" s="40"/>
      <c r="R418" s="40"/>
      <c r="S418" s="40"/>
      <c r="T418" s="41"/>
      <c r="U418" s="41"/>
      <c r="V418" s="41"/>
      <c r="W418" s="36"/>
      <c r="X418" s="36"/>
      <c r="Y418" s="36"/>
      <c r="Z418" s="36"/>
      <c r="AA418" s="36"/>
    </row>
    <row r="419" spans="16:27" x14ac:dyDescent="0.2">
      <c r="P419" s="36"/>
      <c r="Q419" s="40"/>
      <c r="R419" s="40"/>
      <c r="S419" s="40"/>
      <c r="T419" s="41"/>
      <c r="U419" s="41"/>
      <c r="V419" s="41"/>
      <c r="W419" s="36"/>
      <c r="X419" s="36"/>
      <c r="Y419" s="36"/>
      <c r="Z419" s="36"/>
      <c r="AA419" s="36"/>
    </row>
    <row r="420" spans="16:27" x14ac:dyDescent="0.2">
      <c r="P420" s="36"/>
      <c r="Q420" s="40"/>
      <c r="R420" s="40"/>
      <c r="S420" s="40"/>
      <c r="T420" s="41"/>
      <c r="U420" s="41"/>
      <c r="V420" s="41"/>
      <c r="W420" s="36"/>
      <c r="X420" s="36"/>
      <c r="Y420" s="36"/>
      <c r="Z420" s="36"/>
      <c r="AA420" s="36"/>
    </row>
    <row r="421" spans="16:27" x14ac:dyDescent="0.2">
      <c r="P421" s="36"/>
      <c r="Q421" s="40"/>
      <c r="R421" s="40"/>
      <c r="S421" s="40"/>
      <c r="T421" s="41"/>
      <c r="U421" s="41"/>
      <c r="V421" s="41"/>
      <c r="W421" s="36"/>
      <c r="X421" s="36"/>
      <c r="Y421" s="36"/>
      <c r="Z421" s="36"/>
      <c r="AA421" s="36"/>
    </row>
    <row r="422" spans="16:27" x14ac:dyDescent="0.2">
      <c r="P422" s="36"/>
      <c r="Q422" s="40"/>
      <c r="R422" s="40"/>
      <c r="S422" s="40"/>
      <c r="T422" s="41"/>
      <c r="U422" s="41"/>
      <c r="V422" s="41"/>
      <c r="W422" s="36"/>
      <c r="X422" s="36"/>
      <c r="Y422" s="36"/>
      <c r="Z422" s="36"/>
      <c r="AA422" s="36"/>
    </row>
    <row r="423" spans="16:27" x14ac:dyDescent="0.2">
      <c r="P423" s="36"/>
      <c r="Q423" s="40"/>
      <c r="R423" s="40"/>
      <c r="S423" s="40"/>
      <c r="T423" s="41"/>
      <c r="U423" s="41"/>
      <c r="V423" s="41"/>
      <c r="W423" s="36"/>
      <c r="X423" s="36"/>
      <c r="Y423" s="36"/>
      <c r="Z423" s="36"/>
      <c r="AA423" s="36"/>
    </row>
    <row r="424" spans="16:27" x14ac:dyDescent="0.2">
      <c r="P424" s="36"/>
      <c r="Q424" s="40"/>
      <c r="R424" s="40"/>
      <c r="S424" s="40"/>
      <c r="T424" s="41"/>
      <c r="U424" s="41"/>
      <c r="V424" s="41"/>
      <c r="W424" s="36"/>
      <c r="X424" s="36"/>
      <c r="Y424" s="36"/>
      <c r="Z424" s="36"/>
      <c r="AA424" s="36"/>
    </row>
    <row r="425" spans="16:27" x14ac:dyDescent="0.2">
      <c r="P425" s="36"/>
      <c r="Q425" s="40"/>
      <c r="R425" s="40"/>
      <c r="S425" s="40"/>
      <c r="T425" s="41"/>
      <c r="U425" s="41"/>
      <c r="V425" s="41"/>
      <c r="W425" s="36"/>
      <c r="X425" s="36"/>
      <c r="Y425" s="36"/>
      <c r="Z425" s="36"/>
      <c r="AA425" s="36"/>
    </row>
    <row r="426" spans="16:27" x14ac:dyDescent="0.2">
      <c r="P426" s="36"/>
      <c r="Q426" s="40"/>
      <c r="R426" s="40"/>
      <c r="S426" s="40"/>
      <c r="T426" s="41"/>
      <c r="U426" s="41"/>
      <c r="V426" s="41"/>
      <c r="W426" s="36"/>
      <c r="X426" s="36"/>
      <c r="Y426" s="36"/>
      <c r="Z426" s="36"/>
      <c r="AA426" s="36"/>
    </row>
    <row r="427" spans="16:27" x14ac:dyDescent="0.2">
      <c r="P427" s="36"/>
      <c r="Q427" s="40"/>
      <c r="R427" s="40"/>
      <c r="S427" s="40"/>
      <c r="T427" s="41"/>
      <c r="U427" s="41"/>
      <c r="V427" s="41"/>
      <c r="W427" s="36"/>
      <c r="X427" s="36"/>
      <c r="Y427" s="36"/>
      <c r="Z427" s="36"/>
      <c r="AA427" s="36"/>
    </row>
    <row r="428" spans="16:27" x14ac:dyDescent="0.2">
      <c r="P428" s="36"/>
      <c r="Q428" s="40"/>
      <c r="R428" s="40"/>
      <c r="S428" s="40"/>
      <c r="T428" s="41"/>
      <c r="U428" s="41"/>
      <c r="V428" s="41"/>
      <c r="W428" s="36"/>
      <c r="X428" s="36"/>
      <c r="Y428" s="36"/>
      <c r="Z428" s="36"/>
      <c r="AA428" s="36"/>
    </row>
    <row r="429" spans="16:27" x14ac:dyDescent="0.2">
      <c r="P429" s="36"/>
      <c r="Q429" s="40"/>
      <c r="R429" s="40"/>
      <c r="S429" s="40"/>
      <c r="T429" s="41"/>
      <c r="U429" s="41"/>
      <c r="V429" s="41"/>
      <c r="W429" s="36"/>
      <c r="X429" s="36"/>
      <c r="Y429" s="36"/>
      <c r="Z429" s="36"/>
      <c r="AA429" s="36"/>
    </row>
    <row r="430" spans="16:27" x14ac:dyDescent="0.2">
      <c r="P430" s="36"/>
      <c r="Q430" s="40"/>
      <c r="R430" s="40"/>
      <c r="S430" s="40"/>
      <c r="T430" s="41"/>
      <c r="U430" s="41"/>
      <c r="V430" s="41"/>
      <c r="W430" s="36"/>
      <c r="X430" s="36"/>
      <c r="Y430" s="36"/>
      <c r="Z430" s="36"/>
      <c r="AA430" s="36"/>
    </row>
    <row r="431" spans="16:27" x14ac:dyDescent="0.2">
      <c r="P431" s="36"/>
      <c r="Q431" s="40"/>
      <c r="R431" s="40"/>
      <c r="S431" s="40"/>
      <c r="T431" s="41"/>
      <c r="U431" s="41"/>
      <c r="V431" s="41"/>
      <c r="W431" s="36"/>
      <c r="X431" s="36"/>
      <c r="Y431" s="36"/>
      <c r="Z431" s="36"/>
      <c r="AA431" s="36"/>
    </row>
    <row r="432" spans="16:27" x14ac:dyDescent="0.2">
      <c r="P432" s="36"/>
      <c r="Q432" s="40"/>
      <c r="R432" s="40"/>
      <c r="S432" s="40"/>
      <c r="T432" s="41"/>
      <c r="U432" s="41"/>
      <c r="V432" s="41"/>
      <c r="W432" s="36"/>
      <c r="X432" s="36"/>
      <c r="Y432" s="36"/>
      <c r="Z432" s="36"/>
      <c r="AA432" s="36"/>
    </row>
    <row r="433" spans="16:27" x14ac:dyDescent="0.2">
      <c r="P433" s="36"/>
      <c r="Q433" s="40"/>
      <c r="R433" s="40"/>
      <c r="S433" s="40"/>
      <c r="T433" s="41"/>
      <c r="U433" s="41"/>
      <c r="V433" s="41"/>
      <c r="W433" s="36"/>
      <c r="X433" s="36"/>
      <c r="Y433" s="36"/>
      <c r="Z433" s="36"/>
      <c r="AA433" s="36"/>
    </row>
    <row r="434" spans="16:27" x14ac:dyDescent="0.2">
      <c r="P434" s="36"/>
      <c r="Q434" s="40"/>
      <c r="R434" s="40"/>
      <c r="S434" s="40"/>
      <c r="T434" s="41"/>
      <c r="U434" s="41"/>
      <c r="V434" s="41"/>
      <c r="W434" s="36"/>
      <c r="X434" s="36"/>
      <c r="Y434" s="36"/>
      <c r="Z434" s="36"/>
      <c r="AA434" s="36"/>
    </row>
    <row r="435" spans="16:27" x14ac:dyDescent="0.2">
      <c r="P435" s="36"/>
      <c r="Q435" s="40"/>
      <c r="R435" s="40"/>
      <c r="S435" s="40"/>
      <c r="T435" s="41"/>
      <c r="U435" s="41"/>
      <c r="V435" s="41"/>
      <c r="W435" s="36"/>
      <c r="X435" s="36"/>
      <c r="Y435" s="36"/>
      <c r="Z435" s="36"/>
      <c r="AA435" s="36"/>
    </row>
    <row r="436" spans="16:27" x14ac:dyDescent="0.2">
      <c r="P436" s="36"/>
      <c r="Q436" s="40"/>
      <c r="R436" s="40"/>
      <c r="S436" s="40"/>
      <c r="T436" s="41"/>
      <c r="U436" s="41"/>
      <c r="V436" s="41"/>
      <c r="W436" s="36"/>
      <c r="X436" s="36"/>
      <c r="Y436" s="36"/>
      <c r="Z436" s="36"/>
      <c r="AA436" s="36"/>
    </row>
    <row r="437" spans="16:27" x14ac:dyDescent="0.2">
      <c r="P437" s="36"/>
      <c r="Q437" s="40"/>
      <c r="R437" s="40"/>
      <c r="S437" s="40"/>
      <c r="T437" s="41"/>
      <c r="U437" s="41"/>
      <c r="V437" s="41"/>
      <c r="W437" s="36"/>
      <c r="X437" s="36"/>
      <c r="Y437" s="36"/>
      <c r="Z437" s="36"/>
      <c r="AA437" s="36"/>
    </row>
    <row r="438" spans="16:27" x14ac:dyDescent="0.2">
      <c r="P438" s="36"/>
      <c r="Q438" s="40"/>
      <c r="R438" s="40"/>
      <c r="S438" s="40"/>
      <c r="T438" s="41"/>
      <c r="U438" s="41"/>
      <c r="V438" s="41"/>
      <c r="W438" s="36"/>
      <c r="X438" s="36"/>
      <c r="Y438" s="36"/>
      <c r="Z438" s="36"/>
      <c r="AA438" s="36"/>
    </row>
    <row r="439" spans="16:27" x14ac:dyDescent="0.2">
      <c r="P439" s="36"/>
      <c r="Q439" s="40"/>
      <c r="R439" s="40"/>
      <c r="S439" s="40"/>
      <c r="T439" s="41"/>
      <c r="U439" s="41"/>
      <c r="V439" s="41"/>
      <c r="W439" s="36"/>
      <c r="X439" s="36"/>
      <c r="Y439" s="36"/>
      <c r="Z439" s="36"/>
      <c r="AA439" s="36"/>
    </row>
    <row r="440" spans="16:27" x14ac:dyDescent="0.2">
      <c r="P440" s="36"/>
      <c r="Q440" s="40"/>
      <c r="R440" s="40"/>
      <c r="S440" s="40"/>
      <c r="T440" s="41"/>
      <c r="U440" s="41"/>
      <c r="V440" s="41"/>
      <c r="W440" s="36"/>
      <c r="X440" s="36"/>
      <c r="Y440" s="36"/>
      <c r="Z440" s="36"/>
      <c r="AA440" s="36"/>
    </row>
    <row r="441" spans="16:27" x14ac:dyDescent="0.2">
      <c r="P441" s="36"/>
      <c r="Q441" s="40"/>
      <c r="R441" s="40"/>
      <c r="S441" s="40"/>
      <c r="T441" s="41"/>
      <c r="U441" s="41"/>
      <c r="V441" s="41"/>
      <c r="W441" s="36"/>
      <c r="X441" s="36"/>
      <c r="Y441" s="36"/>
      <c r="Z441" s="36"/>
      <c r="AA441" s="36"/>
    </row>
    <row r="442" spans="16:27" x14ac:dyDescent="0.2">
      <c r="P442" s="36"/>
      <c r="Q442" s="40"/>
      <c r="R442" s="40"/>
      <c r="S442" s="40"/>
      <c r="T442" s="41"/>
      <c r="U442" s="41"/>
      <c r="V442" s="41"/>
      <c r="W442" s="36"/>
      <c r="X442" s="36"/>
      <c r="Y442" s="36"/>
      <c r="Z442" s="36"/>
      <c r="AA442" s="36"/>
    </row>
    <row r="443" spans="16:27" x14ac:dyDescent="0.2">
      <c r="P443" s="36"/>
      <c r="Q443" s="40"/>
      <c r="R443" s="40"/>
      <c r="S443" s="40"/>
      <c r="T443" s="41"/>
      <c r="U443" s="41"/>
      <c r="V443" s="41"/>
      <c r="W443" s="36"/>
      <c r="X443" s="36"/>
      <c r="Y443" s="36"/>
      <c r="Z443" s="36"/>
      <c r="AA443" s="36"/>
    </row>
    <row r="444" spans="16:27" x14ac:dyDescent="0.2">
      <c r="P444" s="36"/>
      <c r="Q444" s="40"/>
      <c r="R444" s="40"/>
      <c r="S444" s="40"/>
      <c r="T444" s="41"/>
      <c r="U444" s="41"/>
      <c r="V444" s="41"/>
      <c r="W444" s="36"/>
      <c r="X444" s="36"/>
      <c r="Y444" s="36"/>
      <c r="Z444" s="36"/>
      <c r="AA444" s="36"/>
    </row>
    <row r="445" spans="16:27" x14ac:dyDescent="0.2">
      <c r="P445" s="36"/>
      <c r="Q445" s="40"/>
      <c r="R445" s="40"/>
      <c r="S445" s="40"/>
      <c r="T445" s="41"/>
      <c r="U445" s="41"/>
      <c r="V445" s="41"/>
      <c r="W445" s="36"/>
      <c r="X445" s="36"/>
      <c r="Y445" s="36"/>
      <c r="Z445" s="36"/>
      <c r="AA445" s="36"/>
    </row>
    <row r="446" spans="16:27" x14ac:dyDescent="0.2">
      <c r="P446" s="36"/>
      <c r="Q446" s="40"/>
      <c r="R446" s="40"/>
      <c r="S446" s="40"/>
      <c r="T446" s="41"/>
      <c r="U446" s="41"/>
      <c r="V446" s="41"/>
      <c r="W446" s="36"/>
      <c r="X446" s="36"/>
      <c r="Y446" s="36"/>
      <c r="Z446" s="36"/>
      <c r="AA446" s="36"/>
    </row>
    <row r="447" spans="16:27" x14ac:dyDescent="0.2">
      <c r="P447" s="36"/>
      <c r="Q447" s="40"/>
      <c r="R447" s="40"/>
      <c r="S447" s="40"/>
      <c r="T447" s="41"/>
      <c r="U447" s="41"/>
      <c r="V447" s="41"/>
      <c r="W447" s="36"/>
      <c r="X447" s="36"/>
      <c r="Y447" s="36"/>
      <c r="Z447" s="36"/>
      <c r="AA447" s="36"/>
    </row>
    <row r="448" spans="16:27" x14ac:dyDescent="0.2">
      <c r="P448" s="36"/>
      <c r="Q448" s="40"/>
      <c r="R448" s="40"/>
      <c r="S448" s="40"/>
      <c r="T448" s="41"/>
      <c r="U448" s="41"/>
      <c r="V448" s="41"/>
      <c r="W448" s="36"/>
      <c r="X448" s="36"/>
      <c r="Y448" s="36"/>
      <c r="Z448" s="36"/>
      <c r="AA448" s="36"/>
    </row>
    <row r="449" spans="16:27" x14ac:dyDescent="0.2">
      <c r="P449" s="36"/>
      <c r="Q449" s="40"/>
      <c r="R449" s="40"/>
      <c r="S449" s="40"/>
      <c r="T449" s="41"/>
      <c r="U449" s="41"/>
      <c r="V449" s="41"/>
      <c r="W449" s="36"/>
      <c r="X449" s="36"/>
      <c r="Y449" s="36"/>
      <c r="Z449" s="36"/>
      <c r="AA449" s="36"/>
    </row>
    <row r="450" spans="16:27" x14ac:dyDescent="0.2">
      <c r="P450" s="36"/>
      <c r="Q450" s="40"/>
      <c r="R450" s="40"/>
      <c r="S450" s="40"/>
      <c r="T450" s="41"/>
      <c r="U450" s="41"/>
      <c r="V450" s="41"/>
      <c r="W450" s="36"/>
      <c r="X450" s="36"/>
      <c r="Y450" s="36"/>
      <c r="Z450" s="36"/>
      <c r="AA450" s="36"/>
    </row>
    <row r="451" spans="16:27" x14ac:dyDescent="0.2">
      <c r="P451" s="36"/>
      <c r="Q451" s="40"/>
      <c r="R451" s="40"/>
      <c r="S451" s="40"/>
      <c r="T451" s="41"/>
      <c r="U451" s="41"/>
      <c r="V451" s="41"/>
      <c r="W451" s="36"/>
      <c r="X451" s="36"/>
      <c r="Y451" s="36"/>
      <c r="Z451" s="36"/>
      <c r="AA451" s="36"/>
    </row>
    <row r="452" spans="16:27" x14ac:dyDescent="0.2">
      <c r="P452" s="36"/>
      <c r="Q452" s="40"/>
      <c r="R452" s="40"/>
      <c r="S452" s="40"/>
      <c r="T452" s="41"/>
      <c r="U452" s="41"/>
      <c r="V452" s="41"/>
      <c r="W452" s="36"/>
      <c r="X452" s="36"/>
      <c r="Y452" s="36"/>
      <c r="Z452" s="36"/>
      <c r="AA452" s="36"/>
    </row>
    <row r="453" spans="16:27" x14ac:dyDescent="0.2">
      <c r="P453" s="36"/>
      <c r="Q453" s="40"/>
      <c r="R453" s="40"/>
      <c r="S453" s="40"/>
      <c r="T453" s="41"/>
      <c r="U453" s="41"/>
      <c r="V453" s="41"/>
      <c r="W453" s="36"/>
      <c r="X453" s="36"/>
      <c r="Y453" s="36"/>
      <c r="Z453" s="36"/>
      <c r="AA453" s="36"/>
    </row>
    <row r="454" spans="16:27" x14ac:dyDescent="0.2">
      <c r="P454" s="36"/>
      <c r="Q454" s="40"/>
      <c r="R454" s="40"/>
      <c r="S454" s="40"/>
      <c r="T454" s="41"/>
      <c r="U454" s="41"/>
      <c r="V454" s="41"/>
      <c r="W454" s="36"/>
      <c r="X454" s="36"/>
      <c r="Y454" s="36"/>
      <c r="Z454" s="36"/>
      <c r="AA454" s="36"/>
    </row>
    <row r="455" spans="16:27" x14ac:dyDescent="0.2">
      <c r="P455" s="36"/>
      <c r="Q455" s="40"/>
      <c r="R455" s="40"/>
      <c r="S455" s="40"/>
      <c r="T455" s="41"/>
      <c r="U455" s="41"/>
      <c r="V455" s="41"/>
      <c r="W455" s="36"/>
      <c r="X455" s="36"/>
      <c r="Y455" s="36"/>
      <c r="Z455" s="36"/>
      <c r="AA455" s="36"/>
    </row>
    <row r="456" spans="16:27" x14ac:dyDescent="0.2">
      <c r="P456" s="36"/>
      <c r="Q456" s="40"/>
      <c r="R456" s="40"/>
      <c r="S456" s="40"/>
      <c r="T456" s="41"/>
      <c r="U456" s="41"/>
      <c r="V456" s="41"/>
      <c r="W456" s="36"/>
      <c r="X456" s="36"/>
      <c r="Y456" s="36"/>
      <c r="Z456" s="36"/>
      <c r="AA456" s="36"/>
    </row>
    <row r="457" spans="16:27" x14ac:dyDescent="0.2">
      <c r="P457" s="36"/>
      <c r="Q457" s="40"/>
      <c r="R457" s="40"/>
      <c r="S457" s="40"/>
      <c r="T457" s="41"/>
      <c r="U457" s="41"/>
      <c r="V457" s="41"/>
      <c r="W457" s="36"/>
      <c r="X457" s="36"/>
      <c r="Y457" s="36"/>
      <c r="Z457" s="36"/>
      <c r="AA457" s="36"/>
    </row>
    <row r="458" spans="16:27" x14ac:dyDescent="0.2">
      <c r="P458" s="36"/>
      <c r="Q458" s="40"/>
      <c r="R458" s="40"/>
      <c r="S458" s="40"/>
      <c r="T458" s="41"/>
      <c r="U458" s="41"/>
      <c r="V458" s="41"/>
      <c r="W458" s="36"/>
      <c r="X458" s="36"/>
      <c r="Y458" s="36"/>
      <c r="Z458" s="36"/>
      <c r="AA458" s="36"/>
    </row>
    <row r="459" spans="16:27" x14ac:dyDescent="0.2">
      <c r="P459" s="36"/>
      <c r="Q459" s="40"/>
      <c r="R459" s="40"/>
      <c r="S459" s="40"/>
      <c r="T459" s="41"/>
      <c r="U459" s="41"/>
      <c r="V459" s="41"/>
      <c r="W459" s="36"/>
      <c r="X459" s="36"/>
      <c r="Y459" s="36"/>
      <c r="Z459" s="36"/>
      <c r="AA459" s="36"/>
    </row>
    <row r="460" spans="16:27" x14ac:dyDescent="0.2">
      <c r="P460" s="36"/>
      <c r="Q460" s="40"/>
      <c r="R460" s="40"/>
      <c r="S460" s="40"/>
      <c r="T460" s="41"/>
      <c r="U460" s="41"/>
      <c r="V460" s="41"/>
      <c r="W460" s="36"/>
      <c r="X460" s="36"/>
      <c r="Y460" s="36"/>
      <c r="Z460" s="36"/>
      <c r="AA460" s="36"/>
    </row>
    <row r="461" spans="16:27" x14ac:dyDescent="0.2">
      <c r="P461" s="36"/>
      <c r="Q461" s="40"/>
      <c r="R461" s="40"/>
      <c r="S461" s="40"/>
      <c r="T461" s="41"/>
      <c r="U461" s="41"/>
      <c r="V461" s="41"/>
      <c r="W461" s="36"/>
      <c r="X461" s="36"/>
      <c r="Y461" s="36"/>
      <c r="Z461" s="36"/>
      <c r="AA461" s="36"/>
    </row>
    <row r="462" spans="16:27" x14ac:dyDescent="0.2">
      <c r="P462" s="36"/>
      <c r="Q462" s="40"/>
      <c r="R462" s="40"/>
      <c r="S462" s="40"/>
      <c r="T462" s="41"/>
      <c r="U462" s="41"/>
      <c r="V462" s="41"/>
      <c r="W462" s="36"/>
      <c r="X462" s="36"/>
      <c r="Y462" s="36"/>
      <c r="Z462" s="36"/>
      <c r="AA462" s="36"/>
    </row>
    <row r="463" spans="16:27" x14ac:dyDescent="0.2">
      <c r="P463" s="36"/>
      <c r="Q463" s="40"/>
      <c r="R463" s="40"/>
      <c r="S463" s="40"/>
      <c r="T463" s="41"/>
      <c r="U463" s="41"/>
      <c r="V463" s="41"/>
      <c r="W463" s="36"/>
      <c r="X463" s="36"/>
      <c r="Y463" s="36"/>
      <c r="Z463" s="36"/>
      <c r="AA463" s="36"/>
    </row>
    <row r="464" spans="16:27" x14ac:dyDescent="0.2">
      <c r="P464" s="36"/>
      <c r="Q464" s="40"/>
      <c r="R464" s="40"/>
      <c r="S464" s="40"/>
      <c r="T464" s="41"/>
      <c r="U464" s="41"/>
      <c r="V464" s="41"/>
      <c r="W464" s="36"/>
      <c r="X464" s="36"/>
      <c r="Y464" s="36"/>
      <c r="Z464" s="36"/>
      <c r="AA464" s="36"/>
    </row>
    <row r="465" spans="16:27" x14ac:dyDescent="0.2">
      <c r="P465" s="36"/>
      <c r="Q465" s="40"/>
      <c r="R465" s="40"/>
      <c r="S465" s="40"/>
      <c r="T465" s="41"/>
      <c r="U465" s="41"/>
      <c r="V465" s="41"/>
      <c r="W465" s="36"/>
      <c r="X465" s="36"/>
      <c r="Y465" s="36"/>
      <c r="Z465" s="36"/>
      <c r="AA465" s="36"/>
    </row>
    <row r="466" spans="16:27" x14ac:dyDescent="0.2">
      <c r="P466" s="36"/>
      <c r="Q466" s="40"/>
      <c r="R466" s="40"/>
      <c r="S466" s="40"/>
      <c r="T466" s="41"/>
      <c r="U466" s="41"/>
      <c r="V466" s="41"/>
      <c r="W466" s="36"/>
      <c r="X466" s="36"/>
      <c r="Y466" s="36"/>
      <c r="Z466" s="36"/>
      <c r="AA466" s="36"/>
    </row>
    <row r="467" spans="16:27" x14ac:dyDescent="0.2">
      <c r="P467" s="36"/>
      <c r="Q467" s="40"/>
      <c r="R467" s="40"/>
      <c r="S467" s="40"/>
      <c r="T467" s="41"/>
      <c r="U467" s="41"/>
      <c r="V467" s="41"/>
      <c r="W467" s="36"/>
      <c r="X467" s="36"/>
      <c r="Y467" s="36"/>
      <c r="Z467" s="36"/>
      <c r="AA467" s="36"/>
    </row>
    <row r="468" spans="16:27" x14ac:dyDescent="0.2">
      <c r="P468" s="36"/>
      <c r="Q468" s="40"/>
      <c r="R468" s="40"/>
      <c r="S468" s="40"/>
      <c r="T468" s="41"/>
      <c r="U468" s="41"/>
      <c r="V468" s="41"/>
      <c r="W468" s="36"/>
      <c r="X468" s="36"/>
      <c r="Y468" s="36"/>
      <c r="Z468" s="36"/>
      <c r="AA468" s="36"/>
    </row>
    <row r="469" spans="16:27" x14ac:dyDescent="0.2">
      <c r="P469" s="36"/>
      <c r="Q469" s="40"/>
      <c r="R469" s="40"/>
      <c r="S469" s="40"/>
      <c r="T469" s="41"/>
      <c r="U469" s="41"/>
      <c r="V469" s="41"/>
      <c r="W469" s="36"/>
      <c r="X469" s="36"/>
      <c r="Y469" s="36"/>
      <c r="Z469" s="36"/>
      <c r="AA469" s="36"/>
    </row>
    <row r="470" spans="16:27" x14ac:dyDescent="0.2">
      <c r="P470" s="36"/>
      <c r="Q470" s="40"/>
      <c r="R470" s="40"/>
      <c r="S470" s="40"/>
      <c r="T470" s="41"/>
      <c r="U470" s="41"/>
      <c r="V470" s="41"/>
      <c r="W470" s="36"/>
      <c r="X470" s="36"/>
      <c r="Y470" s="36"/>
      <c r="Z470" s="36"/>
      <c r="AA470" s="36"/>
    </row>
    <row r="471" spans="16:27" x14ac:dyDescent="0.2">
      <c r="P471" s="36"/>
      <c r="Q471" s="40"/>
      <c r="R471" s="40"/>
      <c r="S471" s="40"/>
      <c r="T471" s="41"/>
      <c r="U471" s="41"/>
      <c r="V471" s="41"/>
      <c r="W471" s="36"/>
      <c r="X471" s="36"/>
      <c r="Y471" s="36"/>
      <c r="Z471" s="36"/>
      <c r="AA471" s="36"/>
    </row>
    <row r="472" spans="16:27" x14ac:dyDescent="0.2">
      <c r="P472" s="36"/>
      <c r="Q472" s="40"/>
      <c r="R472" s="40"/>
      <c r="S472" s="40"/>
      <c r="T472" s="41"/>
      <c r="U472" s="41"/>
      <c r="V472" s="41"/>
      <c r="W472" s="36"/>
      <c r="X472" s="36"/>
      <c r="Y472" s="36"/>
      <c r="Z472" s="36"/>
      <c r="AA472" s="36"/>
    </row>
    <row r="473" spans="16:27" x14ac:dyDescent="0.2">
      <c r="P473" s="36"/>
      <c r="Q473" s="40"/>
      <c r="R473" s="40"/>
      <c r="S473" s="40"/>
      <c r="T473" s="41"/>
      <c r="U473" s="41"/>
      <c r="V473" s="41"/>
      <c r="W473" s="36"/>
      <c r="X473" s="36"/>
      <c r="Y473" s="36"/>
      <c r="Z473" s="36"/>
      <c r="AA473" s="36"/>
    </row>
    <row r="474" spans="16:27" x14ac:dyDescent="0.2">
      <c r="P474" s="36"/>
      <c r="Q474" s="40"/>
      <c r="R474" s="40"/>
      <c r="S474" s="40"/>
      <c r="T474" s="41"/>
      <c r="U474" s="41"/>
      <c r="V474" s="41"/>
      <c r="W474" s="36"/>
      <c r="X474" s="36"/>
      <c r="Y474" s="36"/>
      <c r="Z474" s="36"/>
      <c r="AA474" s="36"/>
    </row>
    <row r="475" spans="16:27" x14ac:dyDescent="0.2">
      <c r="P475" s="36"/>
      <c r="Q475" s="40"/>
      <c r="R475" s="40"/>
      <c r="S475" s="40"/>
      <c r="T475" s="41"/>
      <c r="U475" s="41"/>
      <c r="V475" s="41"/>
      <c r="W475" s="36"/>
      <c r="X475" s="36"/>
      <c r="Y475" s="36"/>
      <c r="Z475" s="36"/>
      <c r="AA475" s="36"/>
    </row>
    <row r="476" spans="16:27" x14ac:dyDescent="0.2">
      <c r="P476" s="36"/>
      <c r="Q476" s="40"/>
      <c r="R476" s="40"/>
      <c r="S476" s="40"/>
      <c r="T476" s="41"/>
      <c r="U476" s="41"/>
      <c r="V476" s="41"/>
      <c r="W476" s="36"/>
      <c r="X476" s="36"/>
      <c r="Y476" s="36"/>
      <c r="Z476" s="36"/>
      <c r="AA476" s="36"/>
    </row>
    <row r="477" spans="16:27" x14ac:dyDescent="0.2">
      <c r="P477" s="36"/>
      <c r="Q477" s="40"/>
      <c r="R477" s="40"/>
      <c r="S477" s="40"/>
      <c r="T477" s="41"/>
      <c r="U477" s="41"/>
      <c r="V477" s="41"/>
      <c r="W477" s="36"/>
      <c r="X477" s="36"/>
      <c r="Y477" s="36"/>
      <c r="Z477" s="36"/>
      <c r="AA477" s="36"/>
    </row>
    <row r="478" spans="16:27" x14ac:dyDescent="0.2">
      <c r="P478" s="36"/>
      <c r="Q478" s="40"/>
      <c r="R478" s="40"/>
      <c r="S478" s="40"/>
      <c r="T478" s="41"/>
      <c r="U478" s="41"/>
      <c r="V478" s="41"/>
      <c r="W478" s="36"/>
      <c r="X478" s="36"/>
      <c r="Y478" s="36"/>
      <c r="Z478" s="36"/>
      <c r="AA478" s="36"/>
    </row>
    <row r="479" spans="16:27" x14ac:dyDescent="0.2">
      <c r="P479" s="36"/>
      <c r="Q479" s="40"/>
      <c r="R479" s="40"/>
      <c r="S479" s="40"/>
      <c r="T479" s="41"/>
      <c r="U479" s="41"/>
      <c r="V479" s="41"/>
      <c r="W479" s="36"/>
      <c r="X479" s="36"/>
      <c r="Y479" s="36"/>
      <c r="Z479" s="36"/>
      <c r="AA479" s="36"/>
    </row>
    <row r="480" spans="16:27" x14ac:dyDescent="0.2">
      <c r="P480" s="36"/>
      <c r="Q480" s="40"/>
      <c r="R480" s="40"/>
      <c r="S480" s="40"/>
      <c r="T480" s="41"/>
      <c r="U480" s="41"/>
      <c r="V480" s="41"/>
      <c r="W480" s="36"/>
      <c r="X480" s="36"/>
      <c r="Y480" s="36"/>
      <c r="Z480" s="36"/>
      <c r="AA480" s="36"/>
    </row>
    <row r="481" spans="16:27" x14ac:dyDescent="0.2">
      <c r="P481" s="36"/>
      <c r="Q481" s="40"/>
      <c r="R481" s="40"/>
      <c r="S481" s="40"/>
      <c r="T481" s="41"/>
      <c r="U481" s="41"/>
      <c r="V481" s="41"/>
      <c r="W481" s="36"/>
      <c r="X481" s="36"/>
      <c r="Y481" s="36"/>
      <c r="Z481" s="36"/>
      <c r="AA481" s="36"/>
    </row>
    <row r="482" spans="16:27" x14ac:dyDescent="0.2">
      <c r="P482" s="36"/>
      <c r="Q482" s="40"/>
      <c r="R482" s="40"/>
      <c r="S482" s="40"/>
      <c r="T482" s="41"/>
      <c r="U482" s="41"/>
      <c r="V482" s="41"/>
      <c r="W482" s="36"/>
      <c r="X482" s="36"/>
      <c r="Y482" s="36"/>
      <c r="Z482" s="36"/>
      <c r="AA482" s="36"/>
    </row>
    <row r="483" spans="16:27" x14ac:dyDescent="0.2">
      <c r="P483" s="36"/>
      <c r="Q483" s="40"/>
      <c r="R483" s="40"/>
      <c r="S483" s="40"/>
      <c r="T483" s="41"/>
      <c r="U483" s="41"/>
      <c r="V483" s="41"/>
      <c r="W483" s="36"/>
      <c r="X483" s="36"/>
      <c r="Y483" s="36"/>
      <c r="Z483" s="36"/>
      <c r="AA483" s="36"/>
    </row>
    <row r="484" spans="16:27" x14ac:dyDescent="0.2">
      <c r="P484" s="36"/>
      <c r="Q484" s="40"/>
      <c r="R484" s="40"/>
      <c r="S484" s="40"/>
      <c r="T484" s="41"/>
      <c r="U484" s="41"/>
      <c r="V484" s="41"/>
      <c r="W484" s="36"/>
      <c r="X484" s="36"/>
      <c r="Y484" s="36"/>
      <c r="Z484" s="36"/>
      <c r="AA484" s="36"/>
    </row>
    <row r="485" spans="16:27" x14ac:dyDescent="0.2">
      <c r="P485" s="36"/>
      <c r="Q485" s="40"/>
      <c r="R485" s="40"/>
      <c r="S485" s="40"/>
      <c r="T485" s="41"/>
      <c r="U485" s="41"/>
      <c r="V485" s="41"/>
      <c r="W485" s="36"/>
      <c r="X485" s="36"/>
      <c r="Y485" s="36"/>
      <c r="Z485" s="36"/>
      <c r="AA485" s="36"/>
    </row>
    <row r="486" spans="16:27" x14ac:dyDescent="0.2">
      <c r="P486" s="36"/>
      <c r="Q486" s="40"/>
      <c r="R486" s="40"/>
      <c r="S486" s="40"/>
      <c r="T486" s="41"/>
      <c r="U486" s="41"/>
      <c r="V486" s="41"/>
      <c r="W486" s="36"/>
      <c r="X486" s="36"/>
      <c r="Y486" s="36"/>
      <c r="Z486" s="36"/>
      <c r="AA486" s="36"/>
    </row>
    <row r="487" spans="16:27" x14ac:dyDescent="0.2">
      <c r="P487" s="36"/>
      <c r="Q487" s="40"/>
      <c r="R487" s="40"/>
      <c r="S487" s="40"/>
      <c r="T487" s="41"/>
      <c r="U487" s="41"/>
      <c r="V487" s="41"/>
      <c r="W487" s="36"/>
      <c r="X487" s="36"/>
      <c r="Y487" s="36"/>
      <c r="Z487" s="36"/>
      <c r="AA487" s="36"/>
    </row>
    <row r="488" spans="16:27" x14ac:dyDescent="0.2">
      <c r="P488" s="36"/>
      <c r="Q488" s="40"/>
      <c r="R488" s="40"/>
      <c r="S488" s="40"/>
      <c r="T488" s="41"/>
      <c r="U488" s="41"/>
      <c r="V488" s="41"/>
      <c r="W488" s="36"/>
      <c r="X488" s="36"/>
      <c r="Y488" s="36"/>
      <c r="Z488" s="36"/>
      <c r="AA488" s="36"/>
    </row>
    <row r="489" spans="16:27" x14ac:dyDescent="0.2">
      <c r="P489" s="36"/>
      <c r="Q489" s="40"/>
      <c r="R489" s="40"/>
      <c r="S489" s="40"/>
      <c r="T489" s="41"/>
      <c r="U489" s="41"/>
      <c r="V489" s="41"/>
      <c r="W489" s="36"/>
      <c r="X489" s="36"/>
      <c r="Y489" s="36"/>
      <c r="Z489" s="36"/>
      <c r="AA489" s="36"/>
    </row>
    <row r="490" spans="16:27" x14ac:dyDescent="0.2">
      <c r="P490" s="36"/>
      <c r="Q490" s="40"/>
      <c r="R490" s="40"/>
      <c r="S490" s="40"/>
      <c r="T490" s="41"/>
      <c r="U490" s="41"/>
      <c r="V490" s="41"/>
      <c r="W490" s="36"/>
      <c r="X490" s="36"/>
      <c r="Y490" s="36"/>
      <c r="Z490" s="36"/>
      <c r="AA490" s="36"/>
    </row>
    <row r="491" spans="16:27" x14ac:dyDescent="0.2">
      <c r="P491" s="36"/>
      <c r="Q491" s="40"/>
      <c r="R491" s="40"/>
      <c r="S491" s="40"/>
      <c r="T491" s="41"/>
      <c r="U491" s="41"/>
      <c r="V491" s="41"/>
      <c r="W491" s="36"/>
      <c r="X491" s="36"/>
      <c r="Y491" s="36"/>
      <c r="Z491" s="36"/>
      <c r="AA491" s="36"/>
    </row>
    <row r="492" spans="16:27" x14ac:dyDescent="0.2">
      <c r="P492" s="36"/>
      <c r="Q492" s="40"/>
      <c r="R492" s="40"/>
      <c r="S492" s="40"/>
      <c r="T492" s="41"/>
      <c r="U492" s="41"/>
      <c r="V492" s="41"/>
      <c r="W492" s="36"/>
      <c r="X492" s="36"/>
      <c r="Y492" s="36"/>
      <c r="Z492" s="36"/>
      <c r="AA492" s="36"/>
    </row>
    <row r="493" spans="16:27" x14ac:dyDescent="0.2">
      <c r="P493" s="36"/>
      <c r="Q493" s="40"/>
      <c r="R493" s="40"/>
      <c r="S493" s="40"/>
      <c r="T493" s="41"/>
      <c r="U493" s="41"/>
      <c r="V493" s="41"/>
      <c r="W493" s="36"/>
      <c r="X493" s="36"/>
      <c r="Y493" s="36"/>
      <c r="Z493" s="36"/>
      <c r="AA493" s="36"/>
    </row>
    <row r="494" spans="16:27" x14ac:dyDescent="0.2">
      <c r="P494" s="36"/>
      <c r="Q494" s="40"/>
      <c r="R494" s="40"/>
      <c r="S494" s="40"/>
      <c r="T494" s="41"/>
      <c r="U494" s="41"/>
      <c r="V494" s="41"/>
      <c r="W494" s="36"/>
      <c r="X494" s="36"/>
      <c r="Y494" s="36"/>
      <c r="Z494" s="36"/>
      <c r="AA494" s="36"/>
    </row>
    <row r="495" spans="16:27" x14ac:dyDescent="0.2">
      <c r="P495" s="36"/>
      <c r="Q495" s="40"/>
      <c r="R495" s="40"/>
      <c r="S495" s="40"/>
      <c r="T495" s="41"/>
      <c r="U495" s="41"/>
      <c r="V495" s="41"/>
      <c r="W495" s="36"/>
      <c r="X495" s="36"/>
      <c r="Y495" s="36"/>
      <c r="Z495" s="36"/>
      <c r="AA495" s="36"/>
    </row>
    <row r="496" spans="16:27" x14ac:dyDescent="0.2">
      <c r="P496" s="36"/>
      <c r="Q496" s="40"/>
      <c r="R496" s="40"/>
      <c r="S496" s="40"/>
      <c r="T496" s="41"/>
      <c r="U496" s="41"/>
      <c r="V496" s="41"/>
      <c r="W496" s="36"/>
      <c r="X496" s="36"/>
      <c r="Y496" s="36"/>
      <c r="Z496" s="36"/>
      <c r="AA496" s="36"/>
    </row>
    <row r="497" spans="16:27" x14ac:dyDescent="0.2">
      <c r="P497" s="36"/>
      <c r="Q497" s="40"/>
      <c r="R497" s="40"/>
      <c r="S497" s="40"/>
      <c r="T497" s="41"/>
      <c r="U497" s="41"/>
      <c r="V497" s="41"/>
      <c r="W497" s="36"/>
      <c r="X497" s="36"/>
      <c r="Y497" s="36"/>
      <c r="Z497" s="36"/>
      <c r="AA497" s="36"/>
    </row>
    <row r="498" spans="16:27" x14ac:dyDescent="0.2">
      <c r="P498" s="36"/>
      <c r="Q498" s="40"/>
      <c r="R498" s="40"/>
      <c r="S498" s="40"/>
      <c r="T498" s="41"/>
      <c r="U498" s="41"/>
      <c r="V498" s="41"/>
      <c r="W498" s="36"/>
      <c r="X498" s="36"/>
      <c r="Y498" s="36"/>
      <c r="Z498" s="36"/>
      <c r="AA498" s="36"/>
    </row>
    <row r="499" spans="16:27" x14ac:dyDescent="0.2">
      <c r="P499" s="36"/>
      <c r="Q499" s="40"/>
      <c r="R499" s="40"/>
      <c r="S499" s="40"/>
      <c r="T499" s="41"/>
      <c r="U499" s="41"/>
      <c r="V499" s="41"/>
      <c r="W499" s="36"/>
      <c r="X499" s="36"/>
      <c r="Y499" s="36"/>
      <c r="Z499" s="36"/>
      <c r="AA499" s="36"/>
    </row>
    <row r="500" spans="16:27" x14ac:dyDescent="0.2">
      <c r="P500" s="36"/>
      <c r="Q500" s="40"/>
      <c r="R500" s="40"/>
      <c r="S500" s="40"/>
      <c r="T500" s="41"/>
      <c r="U500" s="41"/>
      <c r="V500" s="41"/>
      <c r="W500" s="36"/>
      <c r="X500" s="36"/>
      <c r="Y500" s="36"/>
      <c r="Z500" s="36"/>
      <c r="AA500" s="36"/>
    </row>
    <row r="501" spans="16:27" x14ac:dyDescent="0.2">
      <c r="P501" s="36"/>
      <c r="Q501" s="40"/>
      <c r="R501" s="40"/>
      <c r="S501" s="40"/>
      <c r="T501" s="41"/>
      <c r="U501" s="41"/>
      <c r="V501" s="41"/>
      <c r="W501" s="36"/>
      <c r="X501" s="36"/>
      <c r="Y501" s="36"/>
      <c r="Z501" s="36"/>
      <c r="AA501" s="36"/>
    </row>
    <row r="502" spans="16:27" x14ac:dyDescent="0.2">
      <c r="P502" s="36"/>
      <c r="Q502" s="40"/>
      <c r="R502" s="40"/>
      <c r="S502" s="40"/>
      <c r="T502" s="41"/>
      <c r="U502" s="41"/>
      <c r="V502" s="41"/>
      <c r="W502" s="36"/>
      <c r="X502" s="36"/>
      <c r="Y502" s="36"/>
      <c r="Z502" s="36"/>
      <c r="AA502" s="36"/>
    </row>
    <row r="503" spans="16:27" x14ac:dyDescent="0.2">
      <c r="P503" s="36"/>
      <c r="Q503" s="40"/>
      <c r="R503" s="40"/>
      <c r="S503" s="40"/>
      <c r="T503" s="41"/>
      <c r="U503" s="41"/>
      <c r="V503" s="41"/>
      <c r="W503" s="36"/>
      <c r="X503" s="36"/>
      <c r="Y503" s="36"/>
      <c r="Z503" s="36"/>
      <c r="AA503" s="36"/>
    </row>
    <row r="504" spans="16:27" x14ac:dyDescent="0.2">
      <c r="P504" s="36"/>
      <c r="Q504" s="40"/>
      <c r="R504" s="40"/>
      <c r="S504" s="40"/>
      <c r="T504" s="41"/>
      <c r="U504" s="41"/>
      <c r="V504" s="41"/>
      <c r="W504" s="36"/>
      <c r="X504" s="36"/>
      <c r="Y504" s="36"/>
      <c r="Z504" s="36"/>
      <c r="AA504" s="36"/>
    </row>
    <row r="505" spans="16:27" x14ac:dyDescent="0.2">
      <c r="P505" s="36"/>
      <c r="Q505" s="40"/>
      <c r="R505" s="40"/>
      <c r="S505" s="40"/>
      <c r="T505" s="41"/>
      <c r="U505" s="41"/>
      <c r="V505" s="41"/>
      <c r="W505" s="36"/>
      <c r="X505" s="36"/>
      <c r="Y505" s="36"/>
      <c r="Z505" s="36"/>
      <c r="AA505" s="36"/>
    </row>
    <row r="506" spans="16:27" x14ac:dyDescent="0.2">
      <c r="P506" s="36"/>
      <c r="Q506" s="40"/>
      <c r="R506" s="40"/>
      <c r="S506" s="40"/>
      <c r="T506" s="41"/>
      <c r="U506" s="41"/>
      <c r="V506" s="41"/>
      <c r="W506" s="36"/>
      <c r="X506" s="36"/>
      <c r="Y506" s="36"/>
      <c r="Z506" s="36"/>
      <c r="AA506" s="36"/>
    </row>
    <row r="507" spans="16:27" x14ac:dyDescent="0.2">
      <c r="P507" s="36"/>
      <c r="Q507" s="40"/>
      <c r="R507" s="40"/>
      <c r="S507" s="40"/>
      <c r="T507" s="41"/>
      <c r="U507" s="41"/>
      <c r="V507" s="41"/>
      <c r="W507" s="36"/>
      <c r="X507" s="36"/>
      <c r="Y507" s="36"/>
      <c r="Z507" s="36"/>
      <c r="AA507" s="36"/>
    </row>
    <row r="508" spans="16:27" x14ac:dyDescent="0.2">
      <c r="P508" s="36"/>
      <c r="Q508" s="40"/>
      <c r="R508" s="40"/>
      <c r="S508" s="40"/>
      <c r="T508" s="41"/>
      <c r="U508" s="41"/>
      <c r="V508" s="41"/>
      <c r="W508" s="36"/>
      <c r="X508" s="36"/>
      <c r="Y508" s="36"/>
      <c r="Z508" s="36"/>
      <c r="AA508" s="36"/>
    </row>
    <row r="509" spans="16:27" x14ac:dyDescent="0.2">
      <c r="P509" s="36"/>
      <c r="Q509" s="40"/>
      <c r="R509" s="40"/>
      <c r="S509" s="40"/>
      <c r="T509" s="41"/>
      <c r="U509" s="41"/>
      <c r="V509" s="41"/>
      <c r="W509" s="36"/>
      <c r="X509" s="36"/>
      <c r="Y509" s="36"/>
      <c r="Z509" s="36"/>
      <c r="AA509" s="36"/>
    </row>
    <row r="510" spans="16:27" x14ac:dyDescent="0.2">
      <c r="P510" s="36"/>
      <c r="Q510" s="40"/>
      <c r="R510" s="40"/>
      <c r="S510" s="40"/>
      <c r="T510" s="41"/>
      <c r="U510" s="41"/>
      <c r="V510" s="41"/>
      <c r="W510" s="36"/>
      <c r="X510" s="36"/>
      <c r="Y510" s="36"/>
      <c r="Z510" s="36"/>
      <c r="AA510" s="36"/>
    </row>
    <row r="511" spans="16:27" x14ac:dyDescent="0.2">
      <c r="P511" s="36"/>
      <c r="Q511" s="40"/>
      <c r="R511" s="40"/>
      <c r="S511" s="40"/>
      <c r="T511" s="41"/>
      <c r="U511" s="41"/>
      <c r="V511" s="41"/>
      <c r="W511" s="36"/>
      <c r="X511" s="36"/>
      <c r="Y511" s="36"/>
      <c r="Z511" s="36"/>
      <c r="AA511" s="36"/>
    </row>
    <row r="512" spans="16:27" x14ac:dyDescent="0.2">
      <c r="P512" s="36"/>
      <c r="Q512" s="40"/>
      <c r="R512" s="40"/>
      <c r="S512" s="40"/>
      <c r="T512" s="41"/>
      <c r="U512" s="41"/>
      <c r="V512" s="41"/>
      <c r="W512" s="36"/>
      <c r="X512" s="36"/>
      <c r="Y512" s="36"/>
      <c r="Z512" s="36"/>
      <c r="AA512" s="36"/>
    </row>
    <row r="513" spans="16:27" x14ac:dyDescent="0.2">
      <c r="P513" s="36"/>
      <c r="Q513" s="40"/>
      <c r="R513" s="40"/>
      <c r="S513" s="40"/>
      <c r="T513" s="41"/>
      <c r="U513" s="41"/>
      <c r="V513" s="41"/>
      <c r="W513" s="36"/>
      <c r="X513" s="36"/>
      <c r="Y513" s="36"/>
      <c r="Z513" s="36"/>
      <c r="AA513" s="36"/>
    </row>
    <row r="514" spans="16:27" x14ac:dyDescent="0.2">
      <c r="P514" s="36"/>
      <c r="Q514" s="40"/>
      <c r="R514" s="40"/>
      <c r="S514" s="40"/>
      <c r="T514" s="41"/>
      <c r="U514" s="41"/>
      <c r="V514" s="41"/>
      <c r="W514" s="36"/>
      <c r="X514" s="36"/>
      <c r="Y514" s="36"/>
      <c r="Z514" s="36"/>
      <c r="AA514" s="36"/>
    </row>
    <row r="515" spans="16:27" x14ac:dyDescent="0.2">
      <c r="P515" s="36"/>
      <c r="Q515" s="40"/>
      <c r="R515" s="40"/>
      <c r="S515" s="40"/>
      <c r="T515" s="41"/>
      <c r="U515" s="41"/>
      <c r="V515" s="41"/>
      <c r="W515" s="36"/>
      <c r="X515" s="36"/>
      <c r="Y515" s="36"/>
      <c r="Z515" s="36"/>
      <c r="AA515" s="36"/>
    </row>
    <row r="516" spans="16:27" x14ac:dyDescent="0.2">
      <c r="P516" s="36"/>
      <c r="Q516" s="40"/>
      <c r="R516" s="40"/>
      <c r="S516" s="40"/>
      <c r="T516" s="41"/>
      <c r="U516" s="41"/>
      <c r="V516" s="41"/>
      <c r="W516" s="36"/>
      <c r="X516" s="36"/>
      <c r="Y516" s="36"/>
      <c r="Z516" s="36"/>
      <c r="AA516" s="36"/>
    </row>
    <row r="517" spans="16:27" x14ac:dyDescent="0.2">
      <c r="P517" s="36"/>
      <c r="Q517" s="40"/>
      <c r="R517" s="40"/>
      <c r="S517" s="40"/>
      <c r="T517" s="41"/>
      <c r="U517" s="41"/>
      <c r="V517" s="41"/>
      <c r="W517" s="36"/>
      <c r="X517" s="36"/>
      <c r="Y517" s="36"/>
      <c r="Z517" s="36"/>
      <c r="AA517" s="36"/>
    </row>
    <row r="518" spans="16:27" x14ac:dyDescent="0.2">
      <c r="P518" s="36"/>
      <c r="Q518" s="40"/>
      <c r="R518" s="40"/>
      <c r="S518" s="40"/>
      <c r="T518" s="41"/>
      <c r="U518" s="41"/>
      <c r="V518" s="41"/>
      <c r="W518" s="36"/>
      <c r="X518" s="36"/>
      <c r="Y518" s="36"/>
      <c r="Z518" s="36"/>
      <c r="AA518" s="36"/>
    </row>
    <row r="519" spans="16:27" x14ac:dyDescent="0.2">
      <c r="P519" s="36"/>
      <c r="Q519" s="40"/>
      <c r="R519" s="40"/>
      <c r="S519" s="40"/>
      <c r="T519" s="41"/>
      <c r="U519" s="41"/>
      <c r="V519" s="41"/>
      <c r="W519" s="36"/>
      <c r="X519" s="36"/>
      <c r="Y519" s="36"/>
      <c r="Z519" s="36"/>
      <c r="AA519" s="36"/>
    </row>
    <row r="520" spans="16:27" x14ac:dyDescent="0.2">
      <c r="P520" s="36"/>
      <c r="Q520" s="40"/>
      <c r="R520" s="40"/>
      <c r="S520" s="40"/>
      <c r="T520" s="41"/>
      <c r="U520" s="41"/>
      <c r="V520" s="41"/>
      <c r="W520" s="36"/>
      <c r="X520" s="36"/>
      <c r="Y520" s="36"/>
      <c r="Z520" s="36"/>
      <c r="AA520" s="36"/>
    </row>
    <row r="521" spans="16:27" x14ac:dyDescent="0.2">
      <c r="P521" s="36"/>
      <c r="Q521" s="40"/>
      <c r="R521" s="40"/>
      <c r="S521" s="40"/>
      <c r="T521" s="41"/>
      <c r="U521" s="41"/>
      <c r="V521" s="41"/>
      <c r="W521" s="36"/>
      <c r="X521" s="36"/>
      <c r="Y521" s="36"/>
      <c r="Z521" s="36"/>
      <c r="AA521" s="36"/>
    </row>
    <row r="522" spans="16:27" x14ac:dyDescent="0.2">
      <c r="P522" s="36"/>
      <c r="Q522" s="40"/>
      <c r="R522" s="40"/>
      <c r="S522" s="40"/>
      <c r="T522" s="41"/>
      <c r="U522" s="41"/>
      <c r="V522" s="41"/>
      <c r="W522" s="36"/>
      <c r="X522" s="36"/>
      <c r="Y522" s="36"/>
      <c r="Z522" s="36"/>
      <c r="AA522" s="36"/>
    </row>
    <row r="523" spans="16:27" x14ac:dyDescent="0.2">
      <c r="P523" s="36"/>
      <c r="Q523" s="40"/>
      <c r="R523" s="40"/>
      <c r="S523" s="40"/>
      <c r="T523" s="41"/>
      <c r="U523" s="41"/>
      <c r="V523" s="41"/>
      <c r="W523" s="36"/>
      <c r="X523" s="36"/>
      <c r="Y523" s="36"/>
      <c r="Z523" s="36"/>
      <c r="AA523" s="36"/>
    </row>
    <row r="524" spans="16:27" x14ac:dyDescent="0.2">
      <c r="P524" s="36"/>
      <c r="Q524" s="40"/>
      <c r="R524" s="40"/>
      <c r="S524" s="40"/>
      <c r="T524" s="41"/>
      <c r="U524" s="41"/>
      <c r="V524" s="41"/>
      <c r="W524" s="36"/>
      <c r="X524" s="36"/>
      <c r="Y524" s="36"/>
      <c r="Z524" s="36"/>
      <c r="AA524" s="36"/>
    </row>
    <row r="525" spans="16:27" x14ac:dyDescent="0.2">
      <c r="P525" s="36"/>
      <c r="Q525" s="40"/>
      <c r="R525" s="40"/>
      <c r="S525" s="40"/>
      <c r="T525" s="41"/>
      <c r="U525" s="41"/>
      <c r="V525" s="41"/>
      <c r="W525" s="36"/>
      <c r="X525" s="36"/>
      <c r="Y525" s="36"/>
      <c r="Z525" s="36"/>
      <c r="AA525" s="36"/>
    </row>
    <row r="526" spans="16:27" x14ac:dyDescent="0.2">
      <c r="P526" s="36"/>
      <c r="Q526" s="40"/>
      <c r="R526" s="40"/>
      <c r="S526" s="40"/>
      <c r="T526" s="41"/>
      <c r="U526" s="41"/>
      <c r="V526" s="41"/>
      <c r="W526" s="36"/>
      <c r="X526" s="36"/>
      <c r="Y526" s="36"/>
      <c r="Z526" s="36"/>
      <c r="AA526" s="36"/>
    </row>
    <row r="527" spans="16:27" x14ac:dyDescent="0.2">
      <c r="P527" s="36"/>
      <c r="Q527" s="40"/>
      <c r="R527" s="40"/>
      <c r="S527" s="40"/>
      <c r="T527" s="41"/>
      <c r="U527" s="41"/>
      <c r="V527" s="41"/>
      <c r="W527" s="36"/>
      <c r="X527" s="36"/>
      <c r="Y527" s="36"/>
      <c r="Z527" s="36"/>
      <c r="AA527" s="36"/>
    </row>
    <row r="528" spans="16:27" x14ac:dyDescent="0.2">
      <c r="P528" s="36"/>
      <c r="Q528" s="40"/>
      <c r="R528" s="40"/>
      <c r="S528" s="40"/>
      <c r="T528" s="41"/>
      <c r="U528" s="41"/>
      <c r="V528" s="41"/>
      <c r="W528" s="36"/>
      <c r="X528" s="36"/>
      <c r="Y528" s="36"/>
      <c r="Z528" s="36"/>
      <c r="AA528" s="36"/>
    </row>
    <row r="529" spans="16:27" x14ac:dyDescent="0.2">
      <c r="P529" s="36"/>
      <c r="Q529" s="40"/>
      <c r="R529" s="40"/>
      <c r="S529" s="40"/>
      <c r="T529" s="41"/>
      <c r="U529" s="41"/>
      <c r="V529" s="41"/>
      <c r="W529" s="36"/>
      <c r="X529" s="36"/>
      <c r="Y529" s="36"/>
      <c r="Z529" s="36"/>
      <c r="AA529" s="36"/>
    </row>
    <row r="530" spans="16:27" x14ac:dyDescent="0.2">
      <c r="P530" s="36"/>
      <c r="Q530" s="40"/>
      <c r="R530" s="40"/>
      <c r="S530" s="40"/>
      <c r="T530" s="41"/>
      <c r="U530" s="41"/>
      <c r="V530" s="41"/>
      <c r="W530" s="36"/>
      <c r="X530" s="36"/>
      <c r="Y530" s="36"/>
      <c r="Z530" s="36"/>
      <c r="AA530" s="36"/>
    </row>
    <row r="531" spans="16:27" x14ac:dyDescent="0.2">
      <c r="P531" s="36"/>
      <c r="Q531" s="40"/>
      <c r="R531" s="40"/>
      <c r="S531" s="40"/>
      <c r="T531" s="41"/>
      <c r="U531" s="41"/>
      <c r="V531" s="41"/>
      <c r="W531" s="36"/>
      <c r="X531" s="36"/>
      <c r="Y531" s="36"/>
      <c r="Z531" s="36"/>
      <c r="AA531" s="36"/>
    </row>
    <row r="532" spans="16:27" x14ac:dyDescent="0.2">
      <c r="P532" s="36"/>
      <c r="Q532" s="40"/>
      <c r="R532" s="40"/>
      <c r="S532" s="40"/>
      <c r="T532" s="41"/>
      <c r="U532" s="41"/>
      <c r="V532" s="41"/>
      <c r="W532" s="36"/>
      <c r="X532" s="36"/>
      <c r="Y532" s="36"/>
      <c r="Z532" s="36"/>
      <c r="AA532" s="36"/>
    </row>
    <row r="533" spans="16:27" x14ac:dyDescent="0.2">
      <c r="P533" s="36"/>
      <c r="Q533" s="40"/>
      <c r="R533" s="40"/>
      <c r="S533" s="40"/>
      <c r="T533" s="41"/>
      <c r="U533" s="41"/>
      <c r="V533" s="41"/>
      <c r="W533" s="36"/>
      <c r="X533" s="36"/>
      <c r="Y533" s="36"/>
      <c r="Z533" s="36"/>
      <c r="AA533" s="36"/>
    </row>
    <row r="534" spans="16:27" x14ac:dyDescent="0.2">
      <c r="P534" s="36"/>
      <c r="Q534" s="40"/>
      <c r="R534" s="40"/>
      <c r="S534" s="40"/>
      <c r="T534" s="41"/>
      <c r="U534" s="41"/>
      <c r="V534" s="41"/>
      <c r="W534" s="36"/>
      <c r="X534" s="36"/>
      <c r="Y534" s="36"/>
      <c r="Z534" s="36"/>
      <c r="AA534" s="36"/>
    </row>
    <row r="535" spans="16:27" x14ac:dyDescent="0.2">
      <c r="P535" s="36"/>
      <c r="Q535" s="40"/>
      <c r="R535" s="40"/>
      <c r="S535" s="40"/>
      <c r="T535" s="41"/>
      <c r="U535" s="41"/>
      <c r="V535" s="41"/>
      <c r="W535" s="36"/>
      <c r="X535" s="36"/>
      <c r="Y535" s="36"/>
      <c r="Z535" s="36"/>
      <c r="AA535" s="36"/>
    </row>
    <row r="536" spans="16:27" x14ac:dyDescent="0.2">
      <c r="P536" s="36"/>
      <c r="Q536" s="40"/>
      <c r="R536" s="40"/>
      <c r="S536" s="40"/>
      <c r="T536" s="41"/>
      <c r="U536" s="41"/>
      <c r="V536" s="41"/>
      <c r="W536" s="36"/>
      <c r="X536" s="36"/>
      <c r="Y536" s="36"/>
      <c r="Z536" s="36"/>
      <c r="AA536" s="36"/>
    </row>
    <row r="537" spans="16:27" x14ac:dyDescent="0.2">
      <c r="P537" s="36"/>
      <c r="Q537" s="40"/>
      <c r="R537" s="40"/>
      <c r="S537" s="40"/>
      <c r="T537" s="41"/>
      <c r="U537" s="41"/>
      <c r="V537" s="41"/>
      <c r="W537" s="36"/>
      <c r="X537" s="36"/>
      <c r="Y537" s="36"/>
      <c r="Z537" s="36"/>
      <c r="AA537" s="36"/>
    </row>
    <row r="538" spans="16:27" x14ac:dyDescent="0.2">
      <c r="P538" s="36"/>
      <c r="Q538" s="40"/>
      <c r="R538" s="40"/>
      <c r="S538" s="40"/>
      <c r="T538" s="41"/>
      <c r="U538" s="41"/>
      <c r="V538" s="41"/>
      <c r="W538" s="36"/>
      <c r="X538" s="36"/>
      <c r="Y538" s="36"/>
      <c r="Z538" s="36"/>
      <c r="AA538" s="36"/>
    </row>
    <row r="539" spans="16:27" x14ac:dyDescent="0.2">
      <c r="P539" s="36"/>
      <c r="Q539" s="40"/>
      <c r="R539" s="40"/>
      <c r="S539" s="40"/>
      <c r="T539" s="41"/>
      <c r="U539" s="41"/>
      <c r="V539" s="41"/>
      <c r="W539" s="36"/>
      <c r="X539" s="36"/>
      <c r="Y539" s="36"/>
      <c r="Z539" s="36"/>
      <c r="AA539" s="36"/>
    </row>
    <row r="540" spans="16:27" x14ac:dyDescent="0.2">
      <c r="P540" s="36"/>
      <c r="Q540" s="40"/>
      <c r="R540" s="40"/>
      <c r="S540" s="40"/>
      <c r="T540" s="41"/>
      <c r="U540" s="41"/>
      <c r="V540" s="41"/>
      <c r="W540" s="36"/>
      <c r="X540" s="36"/>
      <c r="Y540" s="36"/>
      <c r="Z540" s="36"/>
      <c r="AA540" s="36"/>
    </row>
    <row r="541" spans="16:27" x14ac:dyDescent="0.2">
      <c r="P541" s="36"/>
      <c r="Q541" s="40"/>
      <c r="R541" s="40"/>
      <c r="S541" s="40"/>
      <c r="T541" s="41"/>
      <c r="U541" s="41"/>
      <c r="V541" s="41"/>
      <c r="W541" s="36"/>
      <c r="X541" s="36"/>
      <c r="Y541" s="36"/>
      <c r="Z541" s="36"/>
      <c r="AA541" s="36"/>
    </row>
    <row r="542" spans="16:27" x14ac:dyDescent="0.2">
      <c r="P542" s="36"/>
      <c r="Q542" s="40"/>
      <c r="R542" s="40"/>
      <c r="S542" s="40"/>
      <c r="T542" s="41"/>
      <c r="U542" s="41"/>
      <c r="V542" s="41"/>
      <c r="W542" s="36"/>
      <c r="X542" s="36"/>
      <c r="Y542" s="36"/>
      <c r="Z542" s="36"/>
      <c r="AA542" s="36"/>
    </row>
    <row r="543" spans="16:27" x14ac:dyDescent="0.2">
      <c r="P543" s="36"/>
      <c r="Q543" s="40"/>
      <c r="R543" s="40"/>
      <c r="S543" s="40"/>
      <c r="T543" s="41"/>
      <c r="U543" s="41"/>
      <c r="V543" s="41"/>
      <c r="W543" s="36"/>
      <c r="X543" s="36"/>
      <c r="Y543" s="36"/>
      <c r="Z543" s="36"/>
      <c r="AA543" s="36"/>
    </row>
    <row r="544" spans="16:27" x14ac:dyDescent="0.2">
      <c r="P544" s="36"/>
      <c r="Q544" s="40"/>
      <c r="R544" s="40"/>
      <c r="S544" s="40"/>
      <c r="T544" s="41"/>
      <c r="U544" s="41"/>
      <c r="V544" s="41"/>
      <c r="W544" s="36"/>
      <c r="X544" s="36"/>
      <c r="Y544" s="36"/>
      <c r="Z544" s="36"/>
      <c r="AA544" s="36"/>
    </row>
    <row r="545" spans="16:27" x14ac:dyDescent="0.2">
      <c r="P545" s="36"/>
      <c r="Q545" s="40"/>
      <c r="R545" s="40"/>
      <c r="S545" s="40"/>
      <c r="T545" s="41"/>
      <c r="U545" s="41"/>
      <c r="V545" s="41"/>
      <c r="W545" s="36"/>
      <c r="X545" s="36"/>
      <c r="Y545" s="36"/>
      <c r="Z545" s="36"/>
      <c r="AA545" s="36"/>
    </row>
    <row r="546" spans="16:27" x14ac:dyDescent="0.2">
      <c r="P546" s="36"/>
      <c r="Q546" s="40"/>
      <c r="R546" s="40"/>
      <c r="S546" s="40"/>
      <c r="T546" s="41"/>
      <c r="U546" s="41"/>
      <c r="V546" s="41"/>
      <c r="W546" s="36"/>
      <c r="X546" s="36"/>
      <c r="Y546" s="36"/>
      <c r="Z546" s="36"/>
      <c r="AA546" s="36"/>
    </row>
    <row r="547" spans="16:27" x14ac:dyDescent="0.2">
      <c r="P547" s="36"/>
      <c r="Q547" s="40"/>
      <c r="R547" s="40"/>
      <c r="S547" s="40"/>
      <c r="T547" s="41"/>
      <c r="U547" s="41"/>
      <c r="V547" s="41"/>
      <c r="W547" s="36"/>
      <c r="X547" s="36"/>
      <c r="Y547" s="36"/>
      <c r="Z547" s="36"/>
      <c r="AA547" s="36"/>
    </row>
    <row r="548" spans="16:27" x14ac:dyDescent="0.2">
      <c r="P548" s="36"/>
      <c r="Q548" s="40"/>
      <c r="R548" s="40"/>
      <c r="S548" s="40"/>
      <c r="T548" s="41"/>
      <c r="U548" s="41"/>
      <c r="V548" s="41"/>
      <c r="W548" s="36"/>
      <c r="X548" s="36"/>
      <c r="Y548" s="36"/>
      <c r="Z548" s="36"/>
      <c r="AA548" s="36"/>
    </row>
    <row r="549" spans="16:27" x14ac:dyDescent="0.2">
      <c r="P549" s="36"/>
      <c r="Q549" s="40"/>
      <c r="R549" s="40"/>
      <c r="S549" s="40"/>
      <c r="T549" s="41"/>
      <c r="U549" s="41"/>
      <c r="V549" s="41"/>
      <c r="W549" s="36"/>
      <c r="X549" s="36"/>
      <c r="Y549" s="36"/>
      <c r="Z549" s="36"/>
      <c r="AA549" s="36"/>
    </row>
    <row r="550" spans="16:27" x14ac:dyDescent="0.2">
      <c r="P550" s="36"/>
      <c r="Q550" s="40"/>
      <c r="R550" s="40"/>
      <c r="S550" s="40"/>
      <c r="T550" s="41"/>
      <c r="U550" s="41"/>
      <c r="V550" s="41"/>
      <c r="W550" s="36"/>
      <c r="X550" s="36"/>
      <c r="Y550" s="36"/>
      <c r="Z550" s="36"/>
      <c r="AA550" s="36"/>
    </row>
    <row r="551" spans="16:27" x14ac:dyDescent="0.2">
      <c r="P551" s="36"/>
      <c r="Q551" s="40"/>
      <c r="R551" s="40"/>
      <c r="S551" s="40"/>
      <c r="T551" s="41"/>
      <c r="U551" s="41"/>
      <c r="V551" s="41"/>
      <c r="W551" s="36"/>
      <c r="X551" s="36"/>
      <c r="Y551" s="36"/>
      <c r="Z551" s="36"/>
      <c r="AA551" s="36"/>
    </row>
    <row r="552" spans="16:27" x14ac:dyDescent="0.2">
      <c r="P552" s="36"/>
      <c r="Q552" s="40"/>
      <c r="R552" s="40"/>
      <c r="S552" s="40"/>
      <c r="T552" s="41"/>
      <c r="U552" s="41"/>
      <c r="V552" s="41"/>
      <c r="W552" s="36"/>
      <c r="X552" s="36"/>
      <c r="Y552" s="36"/>
      <c r="Z552" s="36"/>
      <c r="AA552" s="36"/>
    </row>
    <row r="553" spans="16:27" x14ac:dyDescent="0.2">
      <c r="P553" s="36"/>
      <c r="Q553" s="40"/>
      <c r="R553" s="40"/>
      <c r="S553" s="40"/>
      <c r="T553" s="41"/>
      <c r="U553" s="41"/>
      <c r="V553" s="41"/>
      <c r="W553" s="36"/>
      <c r="X553" s="36"/>
      <c r="Y553" s="36"/>
      <c r="Z553" s="36"/>
      <c r="AA553" s="36"/>
    </row>
    <row r="554" spans="16:27" x14ac:dyDescent="0.2">
      <c r="P554" s="36"/>
      <c r="Q554" s="40"/>
      <c r="R554" s="40"/>
      <c r="S554" s="40"/>
      <c r="T554" s="41"/>
      <c r="U554" s="41"/>
      <c r="V554" s="41"/>
      <c r="W554" s="36"/>
      <c r="X554" s="36"/>
      <c r="Y554" s="36"/>
      <c r="Z554" s="36"/>
      <c r="AA554" s="36"/>
    </row>
    <row r="555" spans="16:27" x14ac:dyDescent="0.2">
      <c r="P555" s="36"/>
      <c r="Q555" s="40"/>
      <c r="R555" s="40"/>
      <c r="S555" s="40"/>
      <c r="T555" s="41"/>
      <c r="U555" s="41"/>
      <c r="V555" s="41"/>
      <c r="W555" s="36"/>
      <c r="X555" s="36"/>
      <c r="Y555" s="36"/>
      <c r="Z555" s="36"/>
      <c r="AA555" s="36"/>
    </row>
    <row r="556" spans="16:27" x14ac:dyDescent="0.2">
      <c r="P556" s="36"/>
      <c r="Q556" s="40"/>
      <c r="R556" s="40"/>
      <c r="S556" s="40"/>
      <c r="T556" s="41"/>
      <c r="U556" s="41"/>
      <c r="V556" s="41"/>
      <c r="W556" s="36"/>
      <c r="X556" s="36"/>
      <c r="Y556" s="36"/>
      <c r="Z556" s="36"/>
      <c r="AA556" s="36"/>
    </row>
    <row r="557" spans="16:27" x14ac:dyDescent="0.2">
      <c r="P557" s="36"/>
      <c r="Q557" s="40"/>
      <c r="R557" s="40"/>
      <c r="S557" s="40"/>
      <c r="T557" s="41"/>
      <c r="U557" s="41"/>
      <c r="V557" s="41"/>
      <c r="W557" s="36"/>
      <c r="X557" s="36"/>
      <c r="Y557" s="36"/>
      <c r="Z557" s="36"/>
      <c r="AA557" s="36"/>
    </row>
    <row r="558" spans="16:27" x14ac:dyDescent="0.2">
      <c r="P558" s="36"/>
      <c r="Q558" s="40"/>
      <c r="R558" s="40"/>
      <c r="S558" s="40"/>
      <c r="T558" s="41"/>
      <c r="U558" s="41"/>
      <c r="V558" s="41"/>
      <c r="W558" s="36"/>
      <c r="X558" s="36"/>
      <c r="Y558" s="36"/>
      <c r="Z558" s="36"/>
      <c r="AA558" s="36"/>
    </row>
    <row r="559" spans="16:27" x14ac:dyDescent="0.2">
      <c r="P559" s="36"/>
      <c r="Q559" s="40"/>
      <c r="R559" s="40"/>
      <c r="S559" s="40"/>
      <c r="T559" s="41"/>
      <c r="U559" s="41"/>
      <c r="V559" s="41"/>
      <c r="W559" s="36"/>
      <c r="X559" s="36"/>
      <c r="Y559" s="36"/>
      <c r="Z559" s="36"/>
      <c r="AA559" s="36"/>
    </row>
    <row r="560" spans="16:27" x14ac:dyDescent="0.2">
      <c r="P560" s="36"/>
      <c r="Q560" s="40"/>
      <c r="R560" s="40"/>
      <c r="S560" s="40"/>
      <c r="T560" s="41"/>
      <c r="U560" s="41"/>
      <c r="V560" s="41"/>
      <c r="W560" s="36"/>
      <c r="X560" s="36"/>
      <c r="Y560" s="36"/>
      <c r="Z560" s="36"/>
      <c r="AA560" s="36"/>
    </row>
    <row r="561" spans="16:27" x14ac:dyDescent="0.2">
      <c r="P561" s="36"/>
      <c r="Q561" s="40"/>
      <c r="R561" s="40"/>
      <c r="S561" s="40"/>
      <c r="T561" s="41"/>
      <c r="U561" s="41"/>
      <c r="V561" s="41"/>
      <c r="W561" s="36"/>
      <c r="X561" s="36"/>
      <c r="Y561" s="36"/>
      <c r="Z561" s="36"/>
      <c r="AA561" s="36"/>
    </row>
    <row r="562" spans="16:27" x14ac:dyDescent="0.2">
      <c r="P562" s="36"/>
      <c r="Q562" s="40"/>
      <c r="R562" s="40"/>
      <c r="S562" s="40"/>
      <c r="T562" s="41"/>
      <c r="U562" s="41"/>
      <c r="V562" s="41"/>
      <c r="W562" s="36"/>
      <c r="X562" s="36"/>
      <c r="Y562" s="36"/>
      <c r="Z562" s="36"/>
      <c r="AA562" s="36"/>
    </row>
    <row r="563" spans="16:27" x14ac:dyDescent="0.2">
      <c r="P563" s="36"/>
      <c r="Q563" s="40"/>
      <c r="R563" s="40"/>
      <c r="S563" s="40"/>
      <c r="T563" s="41"/>
      <c r="U563" s="41"/>
      <c r="V563" s="41"/>
      <c r="W563" s="36"/>
      <c r="X563" s="36"/>
      <c r="Y563" s="36"/>
      <c r="Z563" s="36"/>
      <c r="AA563" s="36"/>
    </row>
    <row r="564" spans="16:27" x14ac:dyDescent="0.2">
      <c r="P564" s="36"/>
      <c r="Q564" s="40"/>
      <c r="R564" s="40"/>
      <c r="S564" s="40"/>
      <c r="T564" s="41"/>
      <c r="U564" s="41"/>
      <c r="V564" s="41"/>
      <c r="W564" s="36"/>
      <c r="X564" s="36"/>
      <c r="Y564" s="36"/>
      <c r="Z564" s="36"/>
      <c r="AA564" s="36"/>
    </row>
    <row r="565" spans="16:27" x14ac:dyDescent="0.2">
      <c r="P565" s="36"/>
      <c r="Q565" s="40"/>
      <c r="R565" s="40"/>
      <c r="S565" s="40"/>
      <c r="T565" s="41"/>
      <c r="U565" s="41"/>
      <c r="V565" s="41"/>
      <c r="W565" s="36"/>
      <c r="X565" s="36"/>
      <c r="Y565" s="36"/>
      <c r="Z565" s="36"/>
      <c r="AA565" s="36"/>
    </row>
    <row r="566" spans="16:27" x14ac:dyDescent="0.2">
      <c r="P566" s="36"/>
      <c r="Q566" s="40"/>
      <c r="R566" s="40"/>
      <c r="S566" s="40"/>
      <c r="T566" s="41"/>
      <c r="U566" s="41"/>
      <c r="V566" s="41"/>
      <c r="W566" s="36"/>
      <c r="X566" s="36"/>
      <c r="Y566" s="36"/>
      <c r="Z566" s="36"/>
      <c r="AA566" s="36"/>
    </row>
    <row r="567" spans="16:27" x14ac:dyDescent="0.2">
      <c r="P567" s="36"/>
      <c r="Q567" s="40"/>
      <c r="R567" s="40"/>
      <c r="S567" s="40"/>
      <c r="T567" s="41"/>
      <c r="U567" s="41"/>
      <c r="V567" s="41"/>
      <c r="W567" s="36"/>
      <c r="X567" s="36"/>
      <c r="Y567" s="36"/>
      <c r="Z567" s="36"/>
      <c r="AA567" s="36"/>
    </row>
    <row r="568" spans="16:27" x14ac:dyDescent="0.2">
      <c r="P568" s="36"/>
      <c r="Q568" s="40"/>
      <c r="R568" s="40"/>
      <c r="S568" s="40"/>
      <c r="T568" s="41"/>
      <c r="U568" s="41"/>
      <c r="V568" s="41"/>
      <c r="W568" s="36"/>
      <c r="X568" s="36"/>
      <c r="Y568" s="36"/>
      <c r="Z568" s="36"/>
      <c r="AA568" s="36"/>
    </row>
    <row r="569" spans="16:27" x14ac:dyDescent="0.2">
      <c r="P569" s="36"/>
      <c r="Q569" s="40"/>
      <c r="R569" s="40"/>
      <c r="S569" s="40"/>
      <c r="T569" s="41"/>
      <c r="U569" s="41"/>
      <c r="V569" s="41"/>
      <c r="W569" s="36"/>
      <c r="X569" s="36"/>
      <c r="Y569" s="36"/>
      <c r="Z569" s="36"/>
      <c r="AA569" s="36"/>
    </row>
    <row r="570" spans="16:27" x14ac:dyDescent="0.2">
      <c r="P570" s="36"/>
      <c r="Q570" s="40"/>
      <c r="R570" s="40"/>
      <c r="S570" s="40"/>
      <c r="T570" s="41"/>
      <c r="U570" s="41"/>
      <c r="V570" s="41"/>
      <c r="W570" s="36"/>
      <c r="X570" s="36"/>
      <c r="Y570" s="36"/>
      <c r="Z570" s="36"/>
      <c r="AA570" s="36"/>
    </row>
    <row r="571" spans="16:27" x14ac:dyDescent="0.2">
      <c r="P571" s="36"/>
      <c r="Q571" s="40"/>
      <c r="R571" s="40"/>
      <c r="S571" s="40"/>
      <c r="T571" s="41"/>
      <c r="U571" s="41"/>
      <c r="V571" s="41"/>
      <c r="W571" s="36"/>
      <c r="X571" s="36"/>
      <c r="Y571" s="36"/>
      <c r="Z571" s="36"/>
      <c r="AA571" s="36"/>
    </row>
    <row r="572" spans="16:27" x14ac:dyDescent="0.2">
      <c r="P572" s="36"/>
      <c r="Q572" s="40"/>
      <c r="R572" s="40"/>
      <c r="S572" s="40"/>
      <c r="T572" s="41"/>
      <c r="U572" s="41"/>
      <c r="V572" s="41"/>
      <c r="W572" s="36"/>
      <c r="X572" s="36"/>
      <c r="Y572" s="36"/>
      <c r="Z572" s="36"/>
      <c r="AA572" s="36"/>
    </row>
    <row r="573" spans="16:27" x14ac:dyDescent="0.2">
      <c r="P573" s="36"/>
      <c r="Q573" s="40"/>
      <c r="R573" s="40"/>
      <c r="S573" s="40"/>
      <c r="T573" s="41"/>
      <c r="U573" s="41"/>
      <c r="V573" s="41"/>
      <c r="W573" s="36"/>
      <c r="X573" s="36"/>
      <c r="Y573" s="36"/>
      <c r="Z573" s="36"/>
      <c r="AA573" s="36"/>
    </row>
    <row r="574" spans="16:27" x14ac:dyDescent="0.2">
      <c r="P574" s="36"/>
      <c r="Q574" s="40"/>
      <c r="R574" s="40"/>
      <c r="S574" s="40"/>
      <c r="T574" s="41"/>
      <c r="U574" s="41"/>
      <c r="V574" s="41"/>
      <c r="W574" s="36"/>
      <c r="X574" s="36"/>
      <c r="Y574" s="36"/>
      <c r="Z574" s="36"/>
      <c r="AA574" s="36"/>
    </row>
    <row r="575" spans="16:27" x14ac:dyDescent="0.2">
      <c r="P575" s="36"/>
      <c r="Q575" s="40"/>
      <c r="R575" s="40"/>
      <c r="S575" s="40"/>
      <c r="T575" s="41"/>
      <c r="U575" s="41"/>
      <c r="V575" s="41"/>
      <c r="W575" s="36"/>
      <c r="X575" s="36"/>
      <c r="Y575" s="36"/>
      <c r="Z575" s="36"/>
      <c r="AA575" s="36"/>
    </row>
    <row r="576" spans="16:27" x14ac:dyDescent="0.2">
      <c r="P576" s="36"/>
      <c r="Q576" s="40"/>
      <c r="R576" s="40"/>
      <c r="S576" s="40"/>
      <c r="T576" s="41"/>
      <c r="U576" s="41"/>
      <c r="V576" s="41"/>
      <c r="W576" s="36"/>
      <c r="X576" s="36"/>
      <c r="Y576" s="36"/>
      <c r="Z576" s="36"/>
      <c r="AA576" s="36"/>
    </row>
    <row r="577" spans="16:27" x14ac:dyDescent="0.2">
      <c r="P577" s="36"/>
      <c r="Q577" s="40"/>
      <c r="R577" s="40"/>
      <c r="S577" s="40"/>
      <c r="T577" s="41"/>
      <c r="U577" s="41"/>
      <c r="V577" s="41"/>
      <c r="W577" s="36"/>
      <c r="X577" s="36"/>
      <c r="Y577" s="36"/>
      <c r="Z577" s="36"/>
      <c r="AA577" s="36"/>
    </row>
    <row r="578" spans="16:27" x14ac:dyDescent="0.2">
      <c r="P578" s="36"/>
      <c r="Q578" s="40"/>
      <c r="R578" s="40"/>
      <c r="S578" s="40"/>
      <c r="T578" s="41"/>
      <c r="U578" s="41"/>
      <c r="V578" s="41"/>
      <c r="W578" s="36"/>
      <c r="X578" s="36"/>
      <c r="Y578" s="36"/>
      <c r="Z578" s="36"/>
      <c r="AA578" s="36"/>
    </row>
    <row r="579" spans="16:27" x14ac:dyDescent="0.2">
      <c r="P579" s="36"/>
      <c r="Q579" s="40"/>
      <c r="R579" s="40"/>
      <c r="S579" s="40"/>
      <c r="T579" s="41"/>
      <c r="U579" s="41"/>
      <c r="V579" s="41"/>
      <c r="W579" s="36"/>
      <c r="X579" s="36"/>
      <c r="Y579" s="36"/>
      <c r="Z579" s="36"/>
      <c r="AA579" s="36"/>
    </row>
    <row r="580" spans="16:27" x14ac:dyDescent="0.2">
      <c r="P580" s="36"/>
      <c r="Q580" s="40"/>
      <c r="R580" s="40"/>
      <c r="S580" s="40"/>
      <c r="T580" s="41"/>
      <c r="U580" s="41"/>
      <c r="V580" s="41"/>
      <c r="W580" s="36"/>
      <c r="X580" s="36"/>
      <c r="Y580" s="36"/>
      <c r="Z580" s="36"/>
      <c r="AA580" s="36"/>
    </row>
    <row r="581" spans="16:27" x14ac:dyDescent="0.2">
      <c r="P581" s="36"/>
      <c r="Q581" s="40"/>
      <c r="R581" s="40"/>
      <c r="S581" s="40"/>
      <c r="T581" s="41"/>
      <c r="U581" s="41"/>
      <c r="V581" s="41"/>
      <c r="W581" s="36"/>
      <c r="X581" s="36"/>
      <c r="Y581" s="36"/>
      <c r="Z581" s="36"/>
      <c r="AA581" s="36"/>
    </row>
    <row r="582" spans="16:27" x14ac:dyDescent="0.2">
      <c r="P582" s="36"/>
      <c r="Q582" s="40"/>
      <c r="R582" s="40"/>
      <c r="S582" s="40"/>
      <c r="T582" s="41"/>
      <c r="U582" s="41"/>
      <c r="V582" s="41"/>
      <c r="W582" s="36"/>
      <c r="X582" s="36"/>
      <c r="Y582" s="36"/>
      <c r="Z582" s="36"/>
      <c r="AA582" s="36"/>
    </row>
    <row r="583" spans="16:27" x14ac:dyDescent="0.2">
      <c r="P583" s="36"/>
      <c r="Q583" s="40"/>
      <c r="R583" s="40"/>
      <c r="S583" s="40"/>
      <c r="T583" s="41"/>
      <c r="U583" s="41"/>
      <c r="V583" s="41"/>
      <c r="W583" s="36"/>
      <c r="X583" s="36"/>
      <c r="Y583" s="36"/>
      <c r="Z583" s="36"/>
      <c r="AA583" s="36"/>
    </row>
    <row r="584" spans="16:27" x14ac:dyDescent="0.2">
      <c r="P584" s="36"/>
      <c r="Q584" s="40"/>
      <c r="R584" s="40"/>
      <c r="S584" s="40"/>
      <c r="T584" s="41"/>
      <c r="U584" s="41"/>
      <c r="V584" s="41"/>
      <c r="W584" s="36"/>
      <c r="X584" s="36"/>
      <c r="Y584" s="36"/>
      <c r="Z584" s="36"/>
      <c r="AA584" s="36"/>
    </row>
    <row r="585" spans="16:27" x14ac:dyDescent="0.2">
      <c r="P585" s="36"/>
      <c r="Q585" s="40"/>
      <c r="R585" s="40"/>
      <c r="S585" s="40"/>
      <c r="T585" s="41"/>
      <c r="U585" s="41"/>
      <c r="V585" s="41"/>
      <c r="W585" s="36"/>
      <c r="X585" s="36"/>
      <c r="Y585" s="36"/>
      <c r="Z585" s="36"/>
      <c r="AA585" s="36"/>
    </row>
    <row r="586" spans="16:27" x14ac:dyDescent="0.2">
      <c r="P586" s="36"/>
      <c r="Q586" s="40"/>
      <c r="R586" s="40"/>
      <c r="S586" s="40"/>
      <c r="T586" s="41"/>
      <c r="U586" s="41"/>
      <c r="V586" s="41"/>
      <c r="W586" s="36"/>
      <c r="X586" s="36"/>
      <c r="Y586" s="36"/>
      <c r="Z586" s="36"/>
      <c r="AA586" s="36"/>
    </row>
    <row r="587" spans="16:27" x14ac:dyDescent="0.2">
      <c r="P587" s="36"/>
      <c r="Q587" s="40"/>
      <c r="R587" s="40"/>
      <c r="S587" s="40"/>
      <c r="T587" s="41"/>
      <c r="U587" s="41"/>
      <c r="V587" s="41"/>
      <c r="W587" s="36"/>
      <c r="X587" s="36"/>
      <c r="Y587" s="36"/>
      <c r="Z587" s="36"/>
      <c r="AA587" s="36"/>
    </row>
    <row r="588" spans="16:27" x14ac:dyDescent="0.2">
      <c r="P588" s="36"/>
      <c r="Q588" s="40"/>
      <c r="R588" s="40"/>
      <c r="S588" s="40"/>
      <c r="T588" s="41"/>
      <c r="U588" s="41"/>
      <c r="V588" s="41"/>
      <c r="W588" s="36"/>
      <c r="X588" s="36"/>
      <c r="Y588" s="36"/>
      <c r="Z588" s="36"/>
      <c r="AA588" s="36"/>
    </row>
    <row r="589" spans="16:27" x14ac:dyDescent="0.2">
      <c r="P589" s="36"/>
      <c r="Q589" s="40"/>
      <c r="R589" s="40"/>
      <c r="S589" s="40"/>
      <c r="T589" s="41"/>
      <c r="U589" s="41"/>
      <c r="V589" s="41"/>
      <c r="W589" s="36"/>
      <c r="X589" s="36"/>
      <c r="Y589" s="36"/>
      <c r="Z589" s="36"/>
      <c r="AA589" s="36"/>
    </row>
    <row r="590" spans="16:27" x14ac:dyDescent="0.2">
      <c r="P590" s="36"/>
      <c r="Q590" s="40"/>
      <c r="R590" s="40"/>
      <c r="S590" s="40"/>
      <c r="T590" s="41"/>
      <c r="U590" s="41"/>
      <c r="V590" s="41"/>
      <c r="W590" s="36"/>
      <c r="X590" s="36"/>
      <c r="Y590" s="36"/>
      <c r="Z590" s="36"/>
      <c r="AA590" s="36"/>
    </row>
    <row r="591" spans="16:27" x14ac:dyDescent="0.2">
      <c r="P591" s="36"/>
      <c r="Q591" s="40"/>
      <c r="R591" s="40"/>
      <c r="S591" s="40"/>
      <c r="T591" s="41"/>
      <c r="U591" s="41"/>
      <c r="V591" s="41"/>
      <c r="W591" s="36"/>
      <c r="X591" s="36"/>
      <c r="Y591" s="36"/>
      <c r="Z591" s="36"/>
      <c r="AA591" s="36"/>
    </row>
    <row r="592" spans="16:27" x14ac:dyDescent="0.2">
      <c r="P592" s="36"/>
      <c r="Q592" s="40"/>
      <c r="R592" s="40"/>
      <c r="S592" s="40"/>
      <c r="T592" s="41"/>
      <c r="U592" s="41"/>
      <c r="V592" s="41"/>
      <c r="W592" s="36"/>
      <c r="X592" s="36"/>
      <c r="Y592" s="36"/>
      <c r="Z592" s="36"/>
      <c r="AA592" s="36"/>
    </row>
    <row r="593" spans="16:27" x14ac:dyDescent="0.2">
      <c r="P593" s="36"/>
      <c r="Q593" s="40"/>
      <c r="R593" s="40"/>
      <c r="S593" s="40"/>
      <c r="T593" s="41"/>
      <c r="U593" s="41"/>
      <c r="V593" s="41"/>
      <c r="W593" s="36"/>
      <c r="X593" s="36"/>
      <c r="Y593" s="36"/>
      <c r="Z593" s="36"/>
      <c r="AA593" s="36"/>
    </row>
    <row r="594" spans="16:27" x14ac:dyDescent="0.2">
      <c r="P594" s="36"/>
      <c r="Q594" s="40"/>
      <c r="R594" s="40"/>
      <c r="S594" s="40"/>
      <c r="T594" s="41"/>
      <c r="U594" s="41"/>
      <c r="V594" s="41"/>
      <c r="W594" s="36"/>
      <c r="X594" s="36"/>
      <c r="Y594" s="36"/>
      <c r="Z594" s="36"/>
      <c r="AA594" s="36"/>
    </row>
    <row r="595" spans="16:27" x14ac:dyDescent="0.2">
      <c r="P595" s="36"/>
      <c r="Q595" s="40"/>
      <c r="R595" s="40"/>
      <c r="S595" s="40"/>
      <c r="T595" s="41"/>
      <c r="U595" s="41"/>
      <c r="V595" s="41"/>
      <c r="W595" s="36"/>
      <c r="X595" s="36"/>
      <c r="Y595" s="36"/>
      <c r="Z595" s="36"/>
      <c r="AA595" s="36"/>
    </row>
    <row r="596" spans="16:27" x14ac:dyDescent="0.2">
      <c r="P596" s="36"/>
      <c r="Q596" s="40"/>
      <c r="R596" s="40"/>
      <c r="S596" s="40"/>
      <c r="T596" s="41"/>
      <c r="U596" s="41"/>
      <c r="V596" s="41"/>
      <c r="W596" s="36"/>
      <c r="X596" s="36"/>
      <c r="Y596" s="36"/>
      <c r="Z596" s="36"/>
      <c r="AA596" s="36"/>
    </row>
    <row r="597" spans="16:27" x14ac:dyDescent="0.2">
      <c r="P597" s="36"/>
      <c r="Q597" s="40"/>
      <c r="R597" s="40"/>
      <c r="S597" s="40"/>
      <c r="T597" s="41"/>
      <c r="U597" s="41"/>
      <c r="V597" s="41"/>
      <c r="W597" s="36"/>
      <c r="X597" s="36"/>
      <c r="Y597" s="36"/>
      <c r="Z597" s="36"/>
      <c r="AA597" s="36"/>
    </row>
    <row r="598" spans="16:27" x14ac:dyDescent="0.2">
      <c r="P598" s="36"/>
      <c r="Q598" s="40"/>
      <c r="R598" s="40"/>
      <c r="S598" s="40"/>
      <c r="T598" s="41"/>
      <c r="U598" s="41"/>
      <c r="V598" s="41"/>
      <c r="W598" s="36"/>
      <c r="X598" s="36"/>
      <c r="Y598" s="36"/>
      <c r="Z598" s="36"/>
      <c r="AA598" s="36"/>
    </row>
    <row r="599" spans="16:27" x14ac:dyDescent="0.2">
      <c r="P599" s="36"/>
      <c r="Q599" s="40"/>
      <c r="R599" s="40"/>
      <c r="S599" s="40"/>
      <c r="T599" s="41"/>
      <c r="U599" s="41"/>
      <c r="V599" s="41"/>
      <c r="W599" s="36"/>
      <c r="X599" s="36"/>
      <c r="Y599" s="36"/>
      <c r="Z599" s="36"/>
      <c r="AA599" s="36"/>
    </row>
    <row r="600" spans="16:27" x14ac:dyDescent="0.2">
      <c r="P600" s="36"/>
      <c r="Q600" s="40"/>
      <c r="R600" s="40"/>
      <c r="S600" s="40"/>
      <c r="T600" s="41"/>
      <c r="U600" s="41"/>
      <c r="V600" s="41"/>
      <c r="W600" s="36"/>
      <c r="X600" s="36"/>
      <c r="Y600" s="36"/>
      <c r="Z600" s="36"/>
      <c r="AA600" s="36"/>
    </row>
    <row r="601" spans="16:27" x14ac:dyDescent="0.2">
      <c r="P601" s="36"/>
      <c r="Q601" s="40"/>
      <c r="R601" s="40"/>
      <c r="S601" s="40"/>
      <c r="T601" s="41"/>
      <c r="U601" s="41"/>
      <c r="V601" s="41"/>
      <c r="W601" s="36"/>
      <c r="X601" s="36"/>
      <c r="Y601" s="36"/>
      <c r="Z601" s="36"/>
      <c r="AA601" s="36"/>
    </row>
    <row r="602" spans="16:27" x14ac:dyDescent="0.2">
      <c r="P602" s="36"/>
      <c r="Q602" s="40"/>
      <c r="R602" s="40"/>
      <c r="S602" s="40"/>
      <c r="T602" s="41"/>
      <c r="U602" s="41"/>
      <c r="V602" s="41"/>
      <c r="W602" s="36"/>
      <c r="X602" s="36"/>
      <c r="Y602" s="36"/>
      <c r="Z602" s="36"/>
      <c r="AA602" s="36"/>
    </row>
    <row r="603" spans="16:27" x14ac:dyDescent="0.2">
      <c r="P603" s="36"/>
      <c r="Q603" s="40"/>
      <c r="R603" s="40"/>
      <c r="S603" s="40"/>
      <c r="T603" s="41"/>
      <c r="U603" s="41"/>
      <c r="V603" s="41"/>
      <c r="W603" s="36"/>
      <c r="X603" s="36"/>
      <c r="Y603" s="36"/>
      <c r="Z603" s="36"/>
      <c r="AA603" s="36"/>
    </row>
    <row r="604" spans="16:27" x14ac:dyDescent="0.2">
      <c r="P604" s="36"/>
      <c r="Q604" s="40"/>
      <c r="R604" s="40"/>
      <c r="S604" s="40"/>
      <c r="T604" s="41"/>
      <c r="U604" s="41"/>
      <c r="V604" s="41"/>
      <c r="W604" s="36"/>
      <c r="X604" s="36"/>
      <c r="Y604" s="36"/>
      <c r="Z604" s="36"/>
      <c r="AA604" s="36"/>
    </row>
    <row r="605" spans="16:27" x14ac:dyDescent="0.2">
      <c r="P605" s="36"/>
      <c r="Q605" s="40"/>
      <c r="R605" s="40"/>
      <c r="S605" s="40"/>
      <c r="T605" s="41"/>
      <c r="U605" s="41"/>
      <c r="V605" s="41"/>
      <c r="W605" s="36"/>
      <c r="X605" s="36"/>
      <c r="Y605" s="36"/>
      <c r="Z605" s="36"/>
      <c r="AA605" s="36"/>
    </row>
    <row r="606" spans="16:27" x14ac:dyDescent="0.2">
      <c r="P606" s="36"/>
      <c r="Q606" s="40"/>
      <c r="R606" s="40"/>
      <c r="S606" s="40"/>
      <c r="T606" s="41"/>
      <c r="U606" s="41"/>
      <c r="V606" s="41"/>
      <c r="W606" s="36"/>
      <c r="X606" s="36"/>
      <c r="Y606" s="36"/>
      <c r="Z606" s="36"/>
      <c r="AA606" s="36"/>
    </row>
    <row r="607" spans="16:27" x14ac:dyDescent="0.2">
      <c r="P607" s="36"/>
      <c r="Q607" s="40"/>
      <c r="R607" s="40"/>
      <c r="S607" s="40"/>
      <c r="T607" s="41"/>
      <c r="U607" s="41"/>
      <c r="V607" s="41"/>
      <c r="W607" s="36"/>
      <c r="X607" s="36"/>
      <c r="Y607" s="36"/>
      <c r="Z607" s="36"/>
      <c r="AA607" s="36"/>
    </row>
    <row r="608" spans="16:27" x14ac:dyDescent="0.2">
      <c r="P608" s="36"/>
      <c r="Q608" s="40"/>
      <c r="R608" s="40"/>
      <c r="S608" s="40"/>
      <c r="T608" s="41"/>
      <c r="U608" s="41"/>
      <c r="V608" s="41"/>
      <c r="W608" s="36"/>
      <c r="X608" s="36"/>
      <c r="Y608" s="36"/>
      <c r="Z608" s="36"/>
      <c r="AA608" s="36"/>
    </row>
    <row r="609" spans="16:27" x14ac:dyDescent="0.2">
      <c r="P609" s="36"/>
      <c r="Q609" s="40"/>
      <c r="R609" s="40"/>
      <c r="S609" s="40"/>
      <c r="T609" s="41"/>
      <c r="U609" s="41"/>
      <c r="V609" s="41"/>
      <c r="W609" s="36"/>
      <c r="X609" s="36"/>
      <c r="Y609" s="36"/>
      <c r="Z609" s="36"/>
      <c r="AA609" s="36"/>
    </row>
    <row r="610" spans="16:27" x14ac:dyDescent="0.2">
      <c r="P610" s="36"/>
      <c r="Q610" s="40"/>
      <c r="R610" s="40"/>
      <c r="S610" s="40"/>
      <c r="T610" s="41"/>
      <c r="U610" s="41"/>
      <c r="V610" s="41"/>
      <c r="W610" s="36"/>
      <c r="X610" s="36"/>
      <c r="Y610" s="36"/>
      <c r="Z610" s="36"/>
      <c r="AA610" s="36"/>
    </row>
    <row r="611" spans="16:27" x14ac:dyDescent="0.2">
      <c r="P611" s="36"/>
      <c r="Q611" s="40"/>
      <c r="R611" s="40"/>
      <c r="S611" s="40"/>
      <c r="T611" s="41"/>
      <c r="U611" s="41"/>
      <c r="V611" s="41"/>
      <c r="W611" s="36"/>
      <c r="X611" s="36"/>
      <c r="Y611" s="36"/>
      <c r="Z611" s="36"/>
      <c r="AA611" s="36"/>
    </row>
    <row r="612" spans="16:27" x14ac:dyDescent="0.2">
      <c r="P612" s="36"/>
      <c r="Q612" s="40"/>
      <c r="R612" s="40"/>
      <c r="S612" s="40"/>
      <c r="T612" s="41"/>
      <c r="U612" s="41"/>
      <c r="V612" s="41"/>
      <c r="W612" s="36"/>
      <c r="X612" s="36"/>
      <c r="Y612" s="36"/>
      <c r="Z612" s="36"/>
      <c r="AA612" s="36"/>
    </row>
    <row r="613" spans="16:27" x14ac:dyDescent="0.2">
      <c r="P613" s="36"/>
      <c r="Q613" s="40"/>
      <c r="R613" s="40"/>
      <c r="S613" s="40"/>
      <c r="T613" s="41"/>
      <c r="U613" s="41"/>
      <c r="V613" s="41"/>
      <c r="W613" s="36"/>
      <c r="X613" s="36"/>
      <c r="Y613" s="36"/>
      <c r="Z613" s="36"/>
      <c r="AA613" s="36"/>
    </row>
    <row r="614" spans="16:27" x14ac:dyDescent="0.2">
      <c r="P614" s="36"/>
      <c r="Q614" s="40"/>
      <c r="R614" s="40"/>
      <c r="S614" s="40"/>
      <c r="T614" s="41"/>
      <c r="U614" s="41"/>
      <c r="V614" s="41"/>
      <c r="W614" s="36"/>
      <c r="X614" s="36"/>
      <c r="Y614" s="36"/>
      <c r="Z614" s="36"/>
      <c r="AA614" s="36"/>
    </row>
    <row r="615" spans="16:27" x14ac:dyDescent="0.2">
      <c r="P615" s="36"/>
      <c r="Q615" s="40"/>
      <c r="R615" s="40"/>
      <c r="S615" s="40"/>
      <c r="T615" s="41"/>
      <c r="U615" s="41"/>
      <c r="V615" s="41"/>
      <c r="W615" s="36"/>
      <c r="X615" s="36"/>
      <c r="Y615" s="36"/>
      <c r="Z615" s="36"/>
      <c r="AA615" s="36"/>
    </row>
    <row r="616" spans="16:27" x14ac:dyDescent="0.2">
      <c r="P616" s="36"/>
      <c r="Q616" s="40"/>
      <c r="R616" s="40"/>
      <c r="S616" s="40"/>
      <c r="T616" s="41"/>
      <c r="U616" s="41"/>
      <c r="V616" s="41"/>
      <c r="W616" s="36"/>
      <c r="X616" s="36"/>
      <c r="Y616" s="36"/>
      <c r="Z616" s="36"/>
      <c r="AA616" s="36"/>
    </row>
    <row r="617" spans="16:27" x14ac:dyDescent="0.2">
      <c r="P617" s="36"/>
      <c r="Q617" s="40"/>
      <c r="R617" s="40"/>
      <c r="S617" s="40"/>
      <c r="T617" s="41"/>
      <c r="U617" s="41"/>
      <c r="V617" s="41"/>
      <c r="W617" s="36"/>
      <c r="X617" s="36"/>
      <c r="Y617" s="36"/>
      <c r="Z617" s="36"/>
      <c r="AA617" s="36"/>
    </row>
    <row r="618" spans="16:27" x14ac:dyDescent="0.2">
      <c r="P618" s="36"/>
      <c r="Q618" s="40"/>
      <c r="R618" s="40"/>
      <c r="S618" s="40"/>
      <c r="T618" s="41"/>
      <c r="U618" s="41"/>
      <c r="V618" s="41"/>
      <c r="W618" s="36"/>
      <c r="X618" s="36"/>
      <c r="Y618" s="36"/>
      <c r="Z618" s="36"/>
      <c r="AA618" s="36"/>
    </row>
    <row r="619" spans="16:27" x14ac:dyDescent="0.2">
      <c r="P619" s="36"/>
      <c r="Q619" s="40"/>
      <c r="R619" s="40"/>
      <c r="S619" s="40"/>
      <c r="T619" s="41"/>
      <c r="U619" s="41"/>
      <c r="V619" s="41"/>
      <c r="W619" s="36"/>
      <c r="X619" s="36"/>
      <c r="Y619" s="36"/>
      <c r="Z619" s="36"/>
      <c r="AA619" s="36"/>
    </row>
    <row r="620" spans="16:27" x14ac:dyDescent="0.2">
      <c r="P620" s="36"/>
      <c r="Q620" s="40"/>
      <c r="R620" s="40"/>
      <c r="S620" s="40"/>
      <c r="T620" s="41"/>
      <c r="U620" s="41"/>
      <c r="V620" s="41"/>
      <c r="W620" s="36"/>
      <c r="X620" s="36"/>
      <c r="Y620" s="36"/>
      <c r="Z620" s="36"/>
      <c r="AA620" s="36"/>
    </row>
    <row r="621" spans="16:27" x14ac:dyDescent="0.2">
      <c r="P621" s="36"/>
      <c r="Q621" s="40"/>
      <c r="R621" s="40"/>
      <c r="S621" s="40"/>
      <c r="T621" s="41"/>
      <c r="U621" s="41"/>
      <c r="V621" s="41"/>
      <c r="W621" s="36"/>
      <c r="X621" s="36"/>
      <c r="Y621" s="36"/>
      <c r="Z621" s="36"/>
      <c r="AA621" s="36"/>
    </row>
    <row r="622" spans="16:27" x14ac:dyDescent="0.2">
      <c r="P622" s="36"/>
      <c r="Q622" s="40"/>
      <c r="R622" s="40"/>
      <c r="S622" s="40"/>
      <c r="T622" s="41"/>
      <c r="U622" s="41"/>
      <c r="V622" s="41"/>
      <c r="W622" s="36"/>
      <c r="X622" s="36"/>
      <c r="Y622" s="36"/>
      <c r="Z622" s="36"/>
      <c r="AA622" s="36"/>
    </row>
    <row r="623" spans="16:27" x14ac:dyDescent="0.2">
      <c r="P623" s="36"/>
      <c r="Q623" s="40"/>
      <c r="R623" s="40"/>
      <c r="S623" s="40"/>
      <c r="T623" s="41"/>
      <c r="U623" s="41"/>
      <c r="V623" s="41"/>
      <c r="W623" s="36"/>
      <c r="X623" s="36"/>
      <c r="Y623" s="36"/>
      <c r="Z623" s="36"/>
      <c r="AA623" s="36"/>
    </row>
    <row r="624" spans="16:27" x14ac:dyDescent="0.2">
      <c r="P624" s="36"/>
      <c r="Q624" s="40"/>
      <c r="R624" s="40"/>
      <c r="S624" s="40"/>
      <c r="T624" s="41"/>
      <c r="U624" s="41"/>
      <c r="V624" s="41"/>
      <c r="W624" s="36"/>
      <c r="X624" s="36"/>
      <c r="Y624" s="36"/>
      <c r="Z624" s="36"/>
      <c r="AA624" s="36"/>
    </row>
    <row r="625" spans="16:27" x14ac:dyDescent="0.2">
      <c r="P625" s="36"/>
      <c r="Q625" s="40"/>
      <c r="R625" s="40"/>
      <c r="S625" s="40"/>
      <c r="T625" s="41"/>
      <c r="U625" s="41"/>
      <c r="V625" s="41"/>
      <c r="W625" s="36"/>
      <c r="X625" s="36"/>
      <c r="Y625" s="36"/>
      <c r="Z625" s="36"/>
      <c r="AA625" s="36"/>
    </row>
    <row r="626" spans="16:27" x14ac:dyDescent="0.2">
      <c r="P626" s="36"/>
      <c r="Q626" s="40"/>
      <c r="R626" s="40"/>
      <c r="S626" s="40"/>
      <c r="T626" s="41"/>
      <c r="U626" s="41"/>
      <c r="V626" s="41"/>
      <c r="W626" s="36"/>
      <c r="X626" s="36"/>
      <c r="Y626" s="36"/>
      <c r="Z626" s="36"/>
      <c r="AA626" s="36"/>
    </row>
    <row r="627" spans="16:27" x14ac:dyDescent="0.2">
      <c r="P627" s="36"/>
      <c r="Q627" s="40"/>
      <c r="R627" s="40"/>
      <c r="S627" s="40"/>
      <c r="T627" s="41"/>
      <c r="U627" s="41"/>
      <c r="V627" s="41"/>
      <c r="W627" s="36"/>
      <c r="X627" s="36"/>
      <c r="Y627" s="36"/>
      <c r="Z627" s="36"/>
      <c r="AA627" s="36"/>
    </row>
    <row r="628" spans="16:27" x14ac:dyDescent="0.2">
      <c r="P628" s="36"/>
      <c r="Q628" s="40"/>
      <c r="R628" s="40"/>
      <c r="S628" s="40"/>
      <c r="T628" s="41"/>
      <c r="U628" s="41"/>
      <c r="V628" s="41"/>
      <c r="W628" s="36"/>
      <c r="X628" s="36"/>
      <c r="Y628" s="36"/>
      <c r="Z628" s="36"/>
      <c r="AA628" s="36"/>
    </row>
    <row r="629" spans="16:27" x14ac:dyDescent="0.2">
      <c r="P629" s="36"/>
      <c r="Q629" s="40"/>
      <c r="R629" s="40"/>
      <c r="S629" s="40"/>
      <c r="T629" s="41"/>
      <c r="U629" s="41"/>
      <c r="V629" s="41"/>
      <c r="W629" s="36"/>
      <c r="X629" s="36"/>
      <c r="Y629" s="36"/>
      <c r="Z629" s="36"/>
      <c r="AA629" s="36"/>
    </row>
    <row r="630" spans="16:27" x14ac:dyDescent="0.2">
      <c r="P630" s="36"/>
      <c r="Q630" s="40"/>
      <c r="R630" s="40"/>
      <c r="S630" s="40"/>
      <c r="T630" s="41"/>
      <c r="U630" s="41"/>
      <c r="V630" s="41"/>
      <c r="W630" s="36"/>
      <c r="X630" s="36"/>
      <c r="Y630" s="36"/>
      <c r="Z630" s="36"/>
      <c r="AA630" s="36"/>
    </row>
    <row r="631" spans="16:27" x14ac:dyDescent="0.2">
      <c r="P631" s="36"/>
      <c r="Q631" s="40"/>
      <c r="R631" s="40"/>
      <c r="S631" s="40"/>
      <c r="T631" s="41"/>
      <c r="U631" s="41"/>
      <c r="V631" s="41"/>
      <c r="W631" s="36"/>
      <c r="X631" s="36"/>
      <c r="Y631" s="36"/>
      <c r="Z631" s="36"/>
      <c r="AA631" s="36"/>
    </row>
    <row r="632" spans="16:27" x14ac:dyDescent="0.2">
      <c r="P632" s="36"/>
      <c r="Q632" s="40"/>
      <c r="R632" s="40"/>
      <c r="S632" s="40"/>
      <c r="T632" s="41"/>
      <c r="U632" s="41"/>
      <c r="V632" s="41"/>
      <c r="W632" s="36"/>
      <c r="X632" s="36"/>
      <c r="Y632" s="36"/>
      <c r="Z632" s="36"/>
      <c r="AA632" s="36"/>
    </row>
    <row r="633" spans="16:27" x14ac:dyDescent="0.2">
      <c r="P633" s="36"/>
      <c r="Q633" s="40"/>
      <c r="R633" s="40"/>
      <c r="S633" s="40"/>
      <c r="T633" s="41"/>
      <c r="U633" s="41"/>
      <c r="V633" s="41"/>
      <c r="W633" s="36"/>
      <c r="X633" s="36"/>
      <c r="Y633" s="36"/>
      <c r="Z633" s="36"/>
      <c r="AA633" s="36"/>
    </row>
    <row r="634" spans="16:27" x14ac:dyDescent="0.2">
      <c r="P634" s="36"/>
      <c r="Q634" s="40"/>
      <c r="R634" s="40"/>
      <c r="S634" s="40"/>
      <c r="T634" s="41"/>
      <c r="U634" s="41"/>
      <c r="V634" s="41"/>
      <c r="W634" s="36"/>
      <c r="X634" s="36"/>
      <c r="Y634" s="36"/>
      <c r="Z634" s="36"/>
      <c r="AA634" s="36"/>
    </row>
    <row r="635" spans="16:27" x14ac:dyDescent="0.2">
      <c r="P635" s="36"/>
      <c r="Q635" s="40"/>
      <c r="R635" s="40"/>
      <c r="S635" s="40"/>
      <c r="T635" s="41"/>
      <c r="U635" s="41"/>
      <c r="V635" s="41"/>
      <c r="W635" s="36"/>
      <c r="X635" s="36"/>
      <c r="Y635" s="36"/>
      <c r="Z635" s="36"/>
      <c r="AA635" s="36"/>
    </row>
    <row r="636" spans="16:27" x14ac:dyDescent="0.2">
      <c r="P636" s="36"/>
      <c r="Q636" s="40"/>
      <c r="R636" s="40"/>
      <c r="S636" s="40"/>
      <c r="T636" s="41"/>
      <c r="U636" s="41"/>
      <c r="V636" s="41"/>
      <c r="W636" s="36"/>
      <c r="X636" s="36"/>
      <c r="Y636" s="36"/>
      <c r="Z636" s="36"/>
      <c r="AA636" s="36"/>
    </row>
    <row r="637" spans="16:27" x14ac:dyDescent="0.2">
      <c r="P637" s="36"/>
      <c r="Q637" s="40"/>
      <c r="R637" s="40"/>
      <c r="S637" s="40"/>
      <c r="T637" s="41"/>
      <c r="U637" s="41"/>
      <c r="V637" s="41"/>
      <c r="W637" s="36"/>
      <c r="X637" s="36"/>
      <c r="Y637" s="36"/>
      <c r="Z637" s="36"/>
      <c r="AA637" s="36"/>
    </row>
    <row r="638" spans="16:27" x14ac:dyDescent="0.2">
      <c r="P638" s="36"/>
      <c r="Q638" s="40"/>
      <c r="R638" s="40"/>
      <c r="S638" s="40"/>
      <c r="T638" s="41"/>
      <c r="U638" s="41"/>
      <c r="V638" s="41"/>
      <c r="W638" s="36"/>
      <c r="X638" s="36"/>
      <c r="Y638" s="36"/>
      <c r="Z638" s="36"/>
      <c r="AA638" s="36"/>
    </row>
    <row r="639" spans="16:27" x14ac:dyDescent="0.2">
      <c r="P639" s="36"/>
      <c r="Q639" s="40"/>
      <c r="R639" s="40"/>
      <c r="S639" s="40"/>
      <c r="T639" s="41"/>
      <c r="U639" s="41"/>
      <c r="V639" s="41"/>
      <c r="W639" s="36"/>
      <c r="X639" s="36"/>
      <c r="Y639" s="36"/>
      <c r="Z639" s="36"/>
      <c r="AA639" s="36"/>
    </row>
    <row r="640" spans="16:27" x14ac:dyDescent="0.2">
      <c r="P640" s="36"/>
      <c r="Q640" s="40"/>
      <c r="R640" s="40"/>
      <c r="S640" s="40"/>
      <c r="T640" s="41"/>
      <c r="U640" s="41"/>
      <c r="V640" s="41"/>
      <c r="W640" s="36"/>
      <c r="X640" s="36"/>
      <c r="Y640" s="36"/>
      <c r="Z640" s="36"/>
      <c r="AA640" s="36"/>
    </row>
    <row r="641" spans="16:27" x14ac:dyDescent="0.2">
      <c r="P641" s="36"/>
      <c r="Q641" s="40"/>
      <c r="R641" s="40"/>
      <c r="S641" s="40"/>
      <c r="T641" s="41"/>
      <c r="U641" s="41"/>
      <c r="V641" s="41"/>
      <c r="W641" s="36"/>
      <c r="X641" s="36"/>
      <c r="Y641" s="36"/>
      <c r="Z641" s="36"/>
      <c r="AA641" s="36"/>
    </row>
    <row r="642" spans="16:27" x14ac:dyDescent="0.2">
      <c r="P642" s="36"/>
      <c r="Q642" s="40"/>
      <c r="R642" s="40"/>
      <c r="S642" s="40"/>
      <c r="T642" s="41"/>
      <c r="U642" s="41"/>
      <c r="V642" s="41"/>
      <c r="W642" s="36"/>
      <c r="X642" s="36"/>
      <c r="Y642" s="36"/>
      <c r="Z642" s="36"/>
      <c r="AA642" s="36"/>
    </row>
    <row r="643" spans="16:27" x14ac:dyDescent="0.2">
      <c r="P643" s="36"/>
      <c r="Q643" s="40"/>
      <c r="R643" s="40"/>
      <c r="S643" s="40"/>
      <c r="T643" s="41"/>
      <c r="U643" s="41"/>
      <c r="V643" s="41"/>
      <c r="W643" s="36"/>
      <c r="X643" s="36"/>
      <c r="Y643" s="36"/>
      <c r="Z643" s="36"/>
      <c r="AA643" s="36"/>
    </row>
    <row r="644" spans="16:27" x14ac:dyDescent="0.2">
      <c r="P644" s="36"/>
      <c r="Q644" s="40"/>
      <c r="R644" s="40"/>
      <c r="S644" s="40"/>
      <c r="T644" s="41"/>
      <c r="U644" s="41"/>
      <c r="V644" s="41"/>
      <c r="W644" s="36"/>
      <c r="X644" s="36"/>
      <c r="Y644" s="36"/>
      <c r="Z644" s="36"/>
      <c r="AA644" s="36"/>
    </row>
    <row r="645" spans="16:27" x14ac:dyDescent="0.2">
      <c r="P645" s="36"/>
      <c r="Q645" s="40"/>
      <c r="R645" s="40"/>
      <c r="S645" s="40"/>
      <c r="T645" s="41"/>
      <c r="U645" s="41"/>
      <c r="V645" s="41"/>
      <c r="W645" s="36"/>
      <c r="X645" s="36"/>
      <c r="Y645" s="36"/>
      <c r="Z645" s="36"/>
      <c r="AA645" s="36"/>
    </row>
    <row r="646" spans="16:27" x14ac:dyDescent="0.2">
      <c r="P646" s="36"/>
      <c r="Q646" s="40"/>
      <c r="R646" s="40"/>
      <c r="S646" s="40"/>
      <c r="T646" s="41"/>
      <c r="U646" s="41"/>
      <c r="V646" s="41"/>
      <c r="W646" s="36"/>
      <c r="X646" s="36"/>
      <c r="Y646" s="36"/>
      <c r="Z646" s="36"/>
      <c r="AA646" s="36"/>
    </row>
    <row r="647" spans="16:27" x14ac:dyDescent="0.2">
      <c r="P647" s="36"/>
      <c r="Q647" s="40"/>
      <c r="R647" s="40"/>
      <c r="S647" s="40"/>
      <c r="T647" s="41"/>
      <c r="U647" s="41"/>
      <c r="V647" s="41"/>
      <c r="W647" s="36"/>
      <c r="X647" s="36"/>
      <c r="Y647" s="36"/>
      <c r="Z647" s="36"/>
      <c r="AA647" s="36"/>
    </row>
    <row r="648" spans="16:27" x14ac:dyDescent="0.2">
      <c r="P648" s="36"/>
      <c r="Q648" s="40"/>
      <c r="R648" s="40"/>
      <c r="S648" s="40"/>
      <c r="T648" s="41"/>
      <c r="U648" s="41"/>
      <c r="V648" s="41"/>
      <c r="W648" s="36"/>
      <c r="X648" s="36"/>
      <c r="Y648" s="36"/>
      <c r="Z648" s="36"/>
      <c r="AA648" s="36"/>
    </row>
    <row r="649" spans="16:27" x14ac:dyDescent="0.2">
      <c r="P649" s="36"/>
      <c r="Q649" s="40"/>
      <c r="R649" s="40"/>
      <c r="S649" s="40"/>
      <c r="T649" s="41"/>
      <c r="U649" s="41"/>
      <c r="V649" s="41"/>
      <c r="W649" s="36"/>
      <c r="X649" s="36"/>
      <c r="Y649" s="36"/>
      <c r="Z649" s="36"/>
      <c r="AA649" s="36"/>
    </row>
    <row r="650" spans="16:27" x14ac:dyDescent="0.2">
      <c r="P650" s="36"/>
      <c r="Q650" s="40"/>
      <c r="R650" s="40"/>
      <c r="S650" s="40"/>
      <c r="T650" s="41"/>
      <c r="U650" s="41"/>
      <c r="V650" s="41"/>
      <c r="W650" s="36"/>
      <c r="X650" s="36"/>
      <c r="Y650" s="36"/>
      <c r="Z650" s="36"/>
      <c r="AA650" s="36"/>
    </row>
    <row r="651" spans="16:27" x14ac:dyDescent="0.2">
      <c r="P651" s="36"/>
      <c r="Q651" s="40"/>
      <c r="R651" s="40"/>
      <c r="S651" s="40"/>
      <c r="T651" s="41"/>
      <c r="U651" s="41"/>
      <c r="V651" s="41"/>
      <c r="W651" s="36"/>
      <c r="X651" s="36"/>
      <c r="Y651" s="36"/>
      <c r="Z651" s="36"/>
      <c r="AA651" s="36"/>
    </row>
    <row r="652" spans="16:27" x14ac:dyDescent="0.2">
      <c r="P652" s="36"/>
      <c r="Q652" s="40"/>
      <c r="R652" s="40"/>
      <c r="S652" s="40"/>
      <c r="T652" s="41"/>
      <c r="U652" s="41"/>
      <c r="V652" s="41"/>
      <c r="W652" s="36"/>
      <c r="X652" s="36"/>
      <c r="Y652" s="36"/>
      <c r="Z652" s="36"/>
      <c r="AA652" s="36"/>
    </row>
    <row r="653" spans="16:27" x14ac:dyDescent="0.2">
      <c r="P653" s="36"/>
      <c r="Q653" s="40"/>
      <c r="R653" s="40"/>
      <c r="S653" s="40"/>
      <c r="T653" s="41"/>
      <c r="U653" s="41"/>
      <c r="V653" s="41"/>
      <c r="W653" s="36"/>
      <c r="X653" s="36"/>
      <c r="Y653" s="36"/>
      <c r="Z653" s="36"/>
      <c r="AA653" s="36"/>
    </row>
    <row r="654" spans="16:27" x14ac:dyDescent="0.2">
      <c r="P654" s="36"/>
      <c r="Q654" s="40"/>
      <c r="R654" s="40"/>
      <c r="S654" s="40"/>
      <c r="T654" s="41"/>
      <c r="U654" s="41"/>
      <c r="V654" s="41"/>
      <c r="W654" s="36"/>
      <c r="X654" s="36"/>
      <c r="Y654" s="36"/>
      <c r="Z654" s="36"/>
      <c r="AA654" s="36"/>
    </row>
    <row r="655" spans="16:27" x14ac:dyDescent="0.2">
      <c r="P655" s="36"/>
      <c r="Q655" s="40"/>
      <c r="R655" s="40"/>
      <c r="S655" s="40"/>
      <c r="T655" s="41"/>
      <c r="U655" s="41"/>
      <c r="V655" s="41"/>
      <c r="W655" s="36"/>
      <c r="X655" s="36"/>
      <c r="Y655" s="36"/>
      <c r="Z655" s="36"/>
      <c r="AA655" s="36"/>
    </row>
    <row r="656" spans="16:27" x14ac:dyDescent="0.2">
      <c r="P656" s="36"/>
      <c r="Q656" s="40"/>
      <c r="R656" s="40"/>
      <c r="S656" s="40"/>
      <c r="T656" s="41"/>
      <c r="U656" s="41"/>
      <c r="V656" s="41"/>
      <c r="W656" s="36"/>
      <c r="X656" s="36"/>
      <c r="Y656" s="36"/>
      <c r="Z656" s="36"/>
      <c r="AA656" s="36"/>
    </row>
    <row r="657" spans="16:27" x14ac:dyDescent="0.2">
      <c r="P657" s="36"/>
      <c r="Q657" s="40"/>
      <c r="R657" s="40"/>
      <c r="S657" s="40"/>
      <c r="T657" s="41"/>
      <c r="U657" s="41"/>
      <c r="V657" s="41"/>
      <c r="W657" s="36"/>
      <c r="X657" s="36"/>
      <c r="Y657" s="36"/>
      <c r="Z657" s="36"/>
      <c r="AA657" s="36"/>
    </row>
    <row r="658" spans="16:27" x14ac:dyDescent="0.2">
      <c r="P658" s="36"/>
      <c r="Q658" s="40"/>
      <c r="R658" s="40"/>
      <c r="S658" s="40"/>
      <c r="T658" s="41"/>
      <c r="U658" s="41"/>
      <c r="V658" s="41"/>
      <c r="W658" s="36"/>
      <c r="X658" s="36"/>
      <c r="Y658" s="36"/>
      <c r="Z658" s="36"/>
      <c r="AA658" s="36"/>
    </row>
    <row r="659" spans="16:27" x14ac:dyDescent="0.2">
      <c r="P659" s="36"/>
      <c r="Q659" s="40"/>
      <c r="R659" s="40"/>
      <c r="S659" s="40"/>
      <c r="T659" s="41"/>
      <c r="U659" s="41"/>
      <c r="V659" s="41"/>
      <c r="W659" s="36"/>
      <c r="X659" s="36"/>
      <c r="Y659" s="36"/>
      <c r="Z659" s="36"/>
      <c r="AA659" s="36"/>
    </row>
    <row r="660" spans="16:27" x14ac:dyDescent="0.2">
      <c r="P660" s="36"/>
      <c r="Q660" s="40"/>
      <c r="R660" s="40"/>
      <c r="S660" s="40"/>
      <c r="T660" s="41"/>
      <c r="U660" s="41"/>
      <c r="V660" s="41"/>
      <c r="W660" s="36"/>
      <c r="X660" s="36"/>
      <c r="Y660" s="36"/>
      <c r="Z660" s="36"/>
      <c r="AA660" s="36"/>
    </row>
    <row r="661" spans="16:27" x14ac:dyDescent="0.2">
      <c r="P661" s="36"/>
      <c r="Q661" s="40"/>
      <c r="R661" s="40"/>
      <c r="S661" s="40"/>
      <c r="T661" s="41"/>
      <c r="U661" s="41"/>
      <c r="V661" s="41"/>
      <c r="W661" s="36"/>
      <c r="X661" s="36"/>
      <c r="Y661" s="36"/>
      <c r="Z661" s="36"/>
      <c r="AA661" s="36"/>
    </row>
    <row r="662" spans="16:27" x14ac:dyDescent="0.2">
      <c r="P662" s="36"/>
      <c r="Q662" s="40"/>
      <c r="R662" s="40"/>
      <c r="S662" s="40"/>
      <c r="T662" s="41"/>
      <c r="U662" s="41"/>
      <c r="V662" s="41"/>
      <c r="W662" s="36"/>
      <c r="X662" s="36"/>
      <c r="Y662" s="36"/>
      <c r="Z662" s="36"/>
      <c r="AA662" s="36"/>
    </row>
    <row r="663" spans="16:27" x14ac:dyDescent="0.2">
      <c r="P663" s="36"/>
      <c r="Q663" s="40"/>
      <c r="R663" s="40"/>
      <c r="S663" s="40"/>
      <c r="T663" s="41"/>
      <c r="U663" s="41"/>
      <c r="V663" s="41"/>
      <c r="W663" s="36"/>
      <c r="X663" s="36"/>
      <c r="Y663" s="36"/>
      <c r="Z663" s="36"/>
      <c r="AA663" s="36"/>
    </row>
    <row r="664" spans="16:27" x14ac:dyDescent="0.2">
      <c r="P664" s="36"/>
      <c r="Q664" s="40"/>
      <c r="R664" s="40"/>
      <c r="S664" s="40"/>
      <c r="T664" s="41"/>
      <c r="U664" s="41"/>
      <c r="V664" s="41"/>
      <c r="W664" s="36"/>
      <c r="X664" s="36"/>
      <c r="Y664" s="36"/>
      <c r="Z664" s="36"/>
      <c r="AA664" s="36"/>
    </row>
    <row r="665" spans="16:27" x14ac:dyDescent="0.2">
      <c r="P665" s="36"/>
      <c r="Q665" s="40"/>
      <c r="R665" s="40"/>
      <c r="S665" s="40"/>
      <c r="T665" s="41"/>
      <c r="U665" s="41"/>
      <c r="V665" s="41"/>
      <c r="W665" s="36"/>
      <c r="X665" s="36"/>
      <c r="Y665" s="36"/>
      <c r="Z665" s="36"/>
      <c r="AA665" s="36"/>
    </row>
    <row r="666" spans="16:27" x14ac:dyDescent="0.2">
      <c r="P666" s="36"/>
      <c r="Q666" s="40"/>
      <c r="R666" s="40"/>
      <c r="S666" s="40"/>
      <c r="T666" s="41"/>
      <c r="U666" s="41"/>
      <c r="V666" s="41"/>
      <c r="W666" s="36"/>
      <c r="X666" s="36"/>
      <c r="Y666" s="36"/>
      <c r="Z666" s="36"/>
      <c r="AA666" s="36"/>
    </row>
    <row r="667" spans="16:27" x14ac:dyDescent="0.2">
      <c r="P667" s="36"/>
      <c r="Q667" s="40"/>
      <c r="R667" s="40"/>
      <c r="S667" s="40"/>
      <c r="T667" s="41"/>
      <c r="U667" s="41"/>
      <c r="V667" s="41"/>
      <c r="W667" s="36"/>
      <c r="X667" s="36"/>
      <c r="Y667" s="36"/>
      <c r="Z667" s="36"/>
      <c r="AA667" s="36"/>
    </row>
    <row r="668" spans="16:27" x14ac:dyDescent="0.2">
      <c r="P668" s="36"/>
      <c r="Q668" s="40"/>
      <c r="R668" s="40"/>
      <c r="S668" s="40"/>
      <c r="T668" s="41"/>
      <c r="U668" s="41"/>
      <c r="V668" s="41"/>
      <c r="W668" s="36"/>
      <c r="X668" s="36"/>
      <c r="Y668" s="36"/>
      <c r="Z668" s="36"/>
      <c r="AA668" s="36"/>
    </row>
    <row r="669" spans="16:27" x14ac:dyDescent="0.2">
      <c r="P669" s="36"/>
      <c r="Q669" s="40"/>
      <c r="R669" s="40"/>
      <c r="S669" s="40"/>
      <c r="T669" s="41"/>
      <c r="U669" s="41"/>
      <c r="V669" s="41"/>
      <c r="W669" s="36"/>
      <c r="X669" s="36"/>
      <c r="Y669" s="36"/>
      <c r="Z669" s="36"/>
      <c r="AA669" s="36"/>
    </row>
    <row r="670" spans="16:27" x14ac:dyDescent="0.2">
      <c r="P670" s="36"/>
      <c r="Q670" s="40"/>
      <c r="R670" s="40"/>
      <c r="S670" s="40"/>
      <c r="T670" s="41"/>
      <c r="U670" s="41"/>
      <c r="V670" s="41"/>
      <c r="W670" s="36"/>
      <c r="X670" s="36"/>
      <c r="Y670" s="36"/>
      <c r="Z670" s="36"/>
      <c r="AA670" s="36"/>
    </row>
    <row r="671" spans="16:27" x14ac:dyDescent="0.2">
      <c r="P671" s="36"/>
      <c r="Q671" s="40"/>
      <c r="R671" s="40"/>
      <c r="S671" s="40"/>
      <c r="T671" s="41"/>
      <c r="U671" s="41"/>
      <c r="V671" s="41"/>
      <c r="W671" s="36"/>
      <c r="X671" s="36"/>
      <c r="Y671" s="36"/>
      <c r="Z671" s="36"/>
      <c r="AA671" s="36"/>
    </row>
    <row r="672" spans="16:27" x14ac:dyDescent="0.2">
      <c r="P672" s="36"/>
      <c r="Q672" s="40"/>
      <c r="R672" s="40"/>
      <c r="S672" s="40"/>
      <c r="T672" s="41"/>
      <c r="U672" s="41"/>
      <c r="V672" s="41"/>
      <c r="W672" s="36"/>
      <c r="X672" s="36"/>
      <c r="Y672" s="36"/>
      <c r="Z672" s="36"/>
      <c r="AA672" s="36"/>
    </row>
    <row r="673" spans="16:27" x14ac:dyDescent="0.2">
      <c r="P673" s="36"/>
      <c r="Q673" s="40"/>
      <c r="R673" s="40"/>
      <c r="S673" s="40"/>
      <c r="T673" s="41"/>
      <c r="U673" s="41"/>
      <c r="V673" s="41"/>
      <c r="W673" s="36"/>
      <c r="X673" s="36"/>
      <c r="Y673" s="36"/>
      <c r="Z673" s="36"/>
      <c r="AA673" s="36"/>
    </row>
    <row r="674" spans="16:27" x14ac:dyDescent="0.2">
      <c r="P674" s="36"/>
      <c r="Q674" s="40"/>
      <c r="R674" s="40"/>
      <c r="S674" s="40"/>
      <c r="T674" s="41"/>
      <c r="U674" s="41"/>
      <c r="V674" s="41"/>
      <c r="W674" s="36"/>
      <c r="X674" s="36"/>
      <c r="Y674" s="36"/>
      <c r="Z674" s="36"/>
      <c r="AA674" s="36"/>
    </row>
    <row r="675" spans="16:27" x14ac:dyDescent="0.2">
      <c r="P675" s="36"/>
      <c r="Q675" s="40"/>
      <c r="R675" s="40"/>
      <c r="S675" s="40"/>
      <c r="T675" s="41"/>
      <c r="U675" s="41"/>
      <c r="V675" s="41"/>
      <c r="W675" s="36"/>
      <c r="X675" s="36"/>
      <c r="Y675" s="36"/>
      <c r="Z675" s="36"/>
      <c r="AA675" s="36"/>
    </row>
    <row r="676" spans="16:27" x14ac:dyDescent="0.2">
      <c r="P676" s="36"/>
      <c r="Q676" s="40"/>
      <c r="R676" s="40"/>
      <c r="S676" s="40"/>
      <c r="T676" s="41"/>
      <c r="U676" s="41"/>
      <c r="V676" s="41"/>
      <c r="W676" s="36"/>
      <c r="X676" s="36"/>
      <c r="Y676" s="36"/>
      <c r="Z676" s="36"/>
      <c r="AA676" s="36"/>
    </row>
    <row r="677" spans="16:27" x14ac:dyDescent="0.2">
      <c r="P677" s="36"/>
      <c r="Q677" s="40"/>
      <c r="R677" s="40"/>
      <c r="S677" s="40"/>
      <c r="T677" s="41"/>
      <c r="U677" s="41"/>
      <c r="V677" s="41"/>
      <c r="W677" s="36"/>
      <c r="X677" s="36"/>
      <c r="Y677" s="36"/>
      <c r="Z677" s="36"/>
      <c r="AA677" s="36"/>
    </row>
    <row r="678" spans="16:27" x14ac:dyDescent="0.2">
      <c r="P678" s="36"/>
      <c r="Q678" s="40"/>
      <c r="R678" s="40"/>
      <c r="S678" s="40"/>
      <c r="T678" s="41"/>
      <c r="U678" s="41"/>
      <c r="V678" s="41"/>
      <c r="W678" s="36"/>
      <c r="X678" s="36"/>
      <c r="Y678" s="36"/>
      <c r="Z678" s="36"/>
      <c r="AA678" s="36"/>
    </row>
    <row r="679" spans="16:27" x14ac:dyDescent="0.2">
      <c r="P679" s="36"/>
      <c r="Q679" s="40"/>
      <c r="R679" s="40"/>
      <c r="S679" s="40"/>
      <c r="T679" s="41"/>
      <c r="U679" s="41"/>
      <c r="V679" s="41"/>
      <c r="W679" s="36"/>
      <c r="X679" s="36"/>
      <c r="Y679" s="36"/>
      <c r="Z679" s="36"/>
      <c r="AA679" s="36"/>
    </row>
    <row r="680" spans="16:27" x14ac:dyDescent="0.2">
      <c r="P680" s="36"/>
      <c r="Q680" s="40"/>
      <c r="R680" s="40"/>
      <c r="S680" s="40"/>
      <c r="T680" s="41"/>
      <c r="U680" s="41"/>
      <c r="V680" s="41"/>
      <c r="W680" s="36"/>
      <c r="X680" s="36"/>
      <c r="Y680" s="36"/>
      <c r="Z680" s="36"/>
      <c r="AA680" s="36"/>
    </row>
    <row r="681" spans="16:27" x14ac:dyDescent="0.2">
      <c r="P681" s="36"/>
      <c r="Q681" s="40"/>
      <c r="R681" s="40"/>
      <c r="S681" s="40"/>
      <c r="T681" s="41"/>
      <c r="U681" s="41"/>
      <c r="V681" s="41"/>
      <c r="W681" s="36"/>
      <c r="X681" s="36"/>
      <c r="Y681" s="36"/>
      <c r="Z681" s="36"/>
      <c r="AA681" s="36"/>
    </row>
    <row r="682" spans="16:27" x14ac:dyDescent="0.2">
      <c r="P682" s="36"/>
      <c r="Q682" s="40"/>
      <c r="R682" s="40"/>
      <c r="S682" s="40"/>
      <c r="T682" s="41"/>
      <c r="U682" s="41"/>
      <c r="V682" s="41"/>
      <c r="W682" s="36"/>
      <c r="X682" s="36"/>
      <c r="Y682" s="36"/>
      <c r="Z682" s="36"/>
      <c r="AA682" s="36"/>
    </row>
    <row r="683" spans="16:27" x14ac:dyDescent="0.2">
      <c r="P683" s="36"/>
      <c r="Q683" s="40"/>
      <c r="R683" s="40"/>
      <c r="S683" s="40"/>
      <c r="T683" s="41"/>
      <c r="U683" s="41"/>
      <c r="V683" s="41"/>
      <c r="W683" s="36"/>
      <c r="X683" s="36"/>
      <c r="Y683" s="36"/>
      <c r="Z683" s="36"/>
      <c r="AA683" s="36"/>
    </row>
    <row r="684" spans="16:27" x14ac:dyDescent="0.2">
      <c r="P684" s="36"/>
      <c r="Q684" s="40"/>
      <c r="R684" s="40"/>
      <c r="S684" s="40"/>
      <c r="T684" s="41"/>
      <c r="U684" s="41"/>
      <c r="V684" s="41"/>
      <c r="W684" s="36"/>
      <c r="X684" s="36"/>
      <c r="Y684" s="36"/>
      <c r="Z684" s="36"/>
      <c r="AA684" s="36"/>
    </row>
    <row r="685" spans="16:27" x14ac:dyDescent="0.2">
      <c r="P685" s="36"/>
      <c r="Q685" s="40"/>
      <c r="R685" s="40"/>
      <c r="S685" s="40"/>
      <c r="T685" s="41"/>
      <c r="U685" s="41"/>
      <c r="V685" s="41"/>
      <c r="W685" s="36"/>
      <c r="X685" s="36"/>
      <c r="Y685" s="36"/>
      <c r="Z685" s="36"/>
      <c r="AA685" s="36"/>
    </row>
    <row r="686" spans="16:27" x14ac:dyDescent="0.2">
      <c r="P686" s="36"/>
      <c r="Q686" s="40"/>
      <c r="R686" s="40"/>
      <c r="S686" s="40"/>
      <c r="T686" s="41"/>
      <c r="U686" s="41"/>
      <c r="V686" s="41"/>
      <c r="W686" s="36"/>
      <c r="X686" s="36"/>
      <c r="Y686" s="36"/>
      <c r="Z686" s="36"/>
      <c r="AA686" s="36"/>
    </row>
    <row r="687" spans="16:27" x14ac:dyDescent="0.2">
      <c r="P687" s="36"/>
      <c r="Q687" s="40"/>
      <c r="R687" s="40"/>
      <c r="S687" s="40"/>
      <c r="T687" s="41"/>
      <c r="U687" s="41"/>
      <c r="V687" s="41"/>
      <c r="W687" s="36"/>
      <c r="X687" s="36"/>
      <c r="Y687" s="36"/>
      <c r="Z687" s="36"/>
      <c r="AA687" s="36"/>
    </row>
    <row r="688" spans="16:27" x14ac:dyDescent="0.2">
      <c r="P688" s="36"/>
      <c r="Q688" s="40"/>
      <c r="R688" s="40"/>
      <c r="S688" s="40"/>
      <c r="T688" s="41"/>
      <c r="U688" s="41"/>
      <c r="V688" s="41"/>
      <c r="W688" s="36"/>
      <c r="X688" s="36"/>
      <c r="Y688" s="36"/>
      <c r="Z688" s="36"/>
      <c r="AA688" s="36"/>
    </row>
    <row r="689" spans="16:27" x14ac:dyDescent="0.2">
      <c r="P689" s="36"/>
      <c r="Q689" s="40"/>
      <c r="R689" s="40"/>
      <c r="S689" s="40"/>
      <c r="T689" s="41"/>
      <c r="U689" s="41"/>
      <c r="V689" s="41"/>
      <c r="W689" s="36"/>
      <c r="X689" s="36"/>
      <c r="Y689" s="36"/>
      <c r="Z689" s="36"/>
      <c r="AA689" s="36"/>
    </row>
    <row r="690" spans="16:27" x14ac:dyDescent="0.2">
      <c r="P690" s="36"/>
      <c r="Q690" s="40"/>
      <c r="R690" s="40"/>
      <c r="S690" s="40"/>
      <c r="T690" s="41"/>
      <c r="U690" s="41"/>
      <c r="V690" s="41"/>
      <c r="W690" s="36"/>
      <c r="X690" s="36"/>
      <c r="Y690" s="36"/>
      <c r="Z690" s="36"/>
      <c r="AA690" s="36"/>
    </row>
    <row r="691" spans="16:27" x14ac:dyDescent="0.2">
      <c r="P691" s="36"/>
      <c r="Q691" s="40"/>
      <c r="R691" s="40"/>
      <c r="S691" s="40"/>
      <c r="T691" s="41"/>
      <c r="U691" s="41"/>
      <c r="V691" s="41"/>
      <c r="W691" s="36"/>
      <c r="X691" s="36"/>
      <c r="Y691" s="36"/>
      <c r="Z691" s="36"/>
      <c r="AA691" s="36"/>
    </row>
    <row r="692" spans="16:27" x14ac:dyDescent="0.2">
      <c r="P692" s="36"/>
      <c r="Q692" s="40"/>
      <c r="R692" s="40"/>
      <c r="S692" s="40"/>
      <c r="T692" s="41"/>
      <c r="U692" s="41"/>
      <c r="V692" s="41"/>
      <c r="W692" s="36"/>
      <c r="X692" s="36"/>
      <c r="Y692" s="36"/>
      <c r="Z692" s="36"/>
      <c r="AA692" s="36"/>
    </row>
    <row r="693" spans="16:27" x14ac:dyDescent="0.2">
      <c r="P693" s="36"/>
      <c r="Q693" s="40"/>
      <c r="R693" s="40"/>
      <c r="S693" s="40"/>
      <c r="T693" s="41"/>
      <c r="U693" s="41"/>
      <c r="V693" s="41"/>
      <c r="W693" s="36"/>
      <c r="X693" s="36"/>
      <c r="Y693" s="36"/>
      <c r="Z693" s="36"/>
      <c r="AA693" s="36"/>
    </row>
    <row r="694" spans="16:27" x14ac:dyDescent="0.2">
      <c r="P694" s="36"/>
      <c r="Q694" s="40"/>
      <c r="R694" s="40"/>
      <c r="S694" s="40"/>
      <c r="T694" s="41"/>
      <c r="U694" s="41"/>
      <c r="V694" s="41"/>
      <c r="W694" s="36"/>
      <c r="X694" s="36"/>
      <c r="Y694" s="36"/>
      <c r="Z694" s="36"/>
      <c r="AA694" s="36"/>
    </row>
    <row r="695" spans="16:27" x14ac:dyDescent="0.2">
      <c r="P695" s="36"/>
      <c r="Q695" s="40"/>
      <c r="R695" s="40"/>
      <c r="S695" s="40"/>
      <c r="T695" s="41"/>
      <c r="U695" s="41"/>
      <c r="V695" s="41"/>
      <c r="W695" s="36"/>
      <c r="X695" s="36"/>
      <c r="Y695" s="36"/>
      <c r="Z695" s="36"/>
      <c r="AA695" s="36"/>
    </row>
    <row r="696" spans="16:27" x14ac:dyDescent="0.2">
      <c r="P696" s="36"/>
      <c r="Q696" s="40"/>
      <c r="R696" s="40"/>
      <c r="S696" s="40"/>
      <c r="T696" s="41"/>
      <c r="U696" s="41"/>
      <c r="V696" s="41"/>
      <c r="W696" s="36"/>
      <c r="X696" s="36"/>
      <c r="Y696" s="36"/>
      <c r="Z696" s="36"/>
      <c r="AA696" s="36"/>
    </row>
    <row r="697" spans="16:27" x14ac:dyDescent="0.2">
      <c r="P697" s="36"/>
      <c r="Q697" s="40"/>
      <c r="R697" s="40"/>
      <c r="S697" s="40"/>
      <c r="T697" s="41"/>
      <c r="U697" s="41"/>
      <c r="V697" s="41"/>
      <c r="W697" s="36"/>
      <c r="X697" s="36"/>
      <c r="Y697" s="36"/>
      <c r="Z697" s="36"/>
      <c r="AA697" s="36"/>
    </row>
    <row r="698" spans="16:27" x14ac:dyDescent="0.2">
      <c r="P698" s="36"/>
      <c r="Q698" s="40"/>
      <c r="R698" s="40"/>
      <c r="S698" s="40"/>
      <c r="T698" s="41"/>
      <c r="U698" s="41"/>
      <c r="V698" s="41"/>
      <c r="W698" s="36"/>
      <c r="X698" s="36"/>
      <c r="Y698" s="36"/>
      <c r="Z698" s="36"/>
      <c r="AA698" s="36"/>
    </row>
    <row r="699" spans="16:27" x14ac:dyDescent="0.2">
      <c r="P699" s="36"/>
      <c r="Q699" s="40"/>
      <c r="R699" s="40"/>
      <c r="S699" s="40"/>
      <c r="T699" s="41"/>
      <c r="U699" s="41"/>
      <c r="V699" s="41"/>
      <c r="W699" s="36"/>
      <c r="X699" s="36"/>
      <c r="Y699" s="36"/>
      <c r="Z699" s="36"/>
      <c r="AA699" s="36"/>
    </row>
    <row r="700" spans="16:27" x14ac:dyDescent="0.2">
      <c r="P700" s="36"/>
      <c r="Q700" s="40"/>
      <c r="R700" s="40"/>
      <c r="S700" s="40"/>
      <c r="T700" s="41"/>
      <c r="U700" s="41"/>
      <c r="V700" s="41"/>
      <c r="W700" s="36"/>
      <c r="X700" s="36"/>
      <c r="Y700" s="36"/>
      <c r="Z700" s="36"/>
      <c r="AA700" s="36"/>
    </row>
    <row r="701" spans="16:27" x14ac:dyDescent="0.2">
      <c r="P701" s="36"/>
      <c r="Q701" s="40"/>
      <c r="R701" s="40"/>
      <c r="S701" s="40"/>
      <c r="T701" s="41"/>
      <c r="U701" s="41"/>
      <c r="V701" s="41"/>
      <c r="W701" s="36"/>
      <c r="X701" s="36"/>
      <c r="Y701" s="36"/>
      <c r="Z701" s="36"/>
      <c r="AA701" s="36"/>
    </row>
    <row r="702" spans="16:27" x14ac:dyDescent="0.2">
      <c r="P702" s="36"/>
      <c r="Q702" s="40"/>
      <c r="R702" s="40"/>
      <c r="S702" s="40"/>
      <c r="T702" s="41"/>
      <c r="U702" s="41"/>
      <c r="V702" s="41"/>
      <c r="W702" s="36"/>
      <c r="X702" s="36"/>
      <c r="Y702" s="36"/>
      <c r="Z702" s="36"/>
      <c r="AA702" s="36"/>
    </row>
    <row r="703" spans="16:27" x14ac:dyDescent="0.2">
      <c r="P703" s="36"/>
      <c r="Q703" s="40"/>
      <c r="R703" s="40"/>
      <c r="S703" s="40"/>
      <c r="T703" s="41"/>
      <c r="U703" s="41"/>
      <c r="V703" s="41"/>
      <c r="W703" s="36"/>
      <c r="X703" s="36"/>
      <c r="Y703" s="36"/>
      <c r="Z703" s="36"/>
      <c r="AA703" s="36"/>
    </row>
    <row r="704" spans="16:27" x14ac:dyDescent="0.2">
      <c r="P704" s="36"/>
      <c r="Q704" s="40"/>
      <c r="R704" s="40"/>
      <c r="S704" s="40"/>
      <c r="T704" s="41"/>
      <c r="U704" s="41"/>
      <c r="V704" s="41"/>
      <c r="W704" s="36"/>
      <c r="X704" s="36"/>
      <c r="Y704" s="36"/>
      <c r="Z704" s="36"/>
      <c r="AA704" s="36"/>
    </row>
    <row r="705" spans="16:27" x14ac:dyDescent="0.2">
      <c r="P705" s="36"/>
      <c r="Q705" s="40"/>
      <c r="R705" s="40"/>
      <c r="S705" s="40"/>
      <c r="T705" s="41"/>
      <c r="U705" s="41"/>
      <c r="V705" s="41"/>
      <c r="W705" s="36"/>
      <c r="X705" s="36"/>
      <c r="Y705" s="36"/>
      <c r="Z705" s="36"/>
      <c r="AA705" s="36"/>
    </row>
    <row r="706" spans="16:27" x14ac:dyDescent="0.2">
      <c r="P706" s="36"/>
      <c r="Q706" s="40"/>
      <c r="R706" s="40"/>
      <c r="S706" s="40"/>
      <c r="T706" s="41"/>
      <c r="U706" s="41"/>
      <c r="V706" s="41"/>
      <c r="W706" s="36"/>
      <c r="X706" s="36"/>
      <c r="Y706" s="36"/>
      <c r="Z706" s="36"/>
      <c r="AA706" s="36"/>
    </row>
    <row r="707" spans="16:27" x14ac:dyDescent="0.2">
      <c r="P707" s="36"/>
      <c r="Q707" s="40"/>
      <c r="R707" s="40"/>
      <c r="S707" s="40"/>
      <c r="T707" s="41"/>
      <c r="U707" s="41"/>
      <c r="V707" s="41"/>
      <c r="W707" s="36"/>
      <c r="X707" s="36"/>
      <c r="Y707" s="36"/>
      <c r="Z707" s="36"/>
      <c r="AA707" s="36"/>
    </row>
    <row r="708" spans="16:27" x14ac:dyDescent="0.2">
      <c r="P708" s="36"/>
      <c r="Q708" s="40"/>
      <c r="R708" s="40"/>
      <c r="S708" s="40"/>
      <c r="T708" s="41"/>
      <c r="U708" s="41"/>
      <c r="V708" s="41"/>
      <c r="W708" s="36"/>
      <c r="X708" s="36"/>
      <c r="Y708" s="36"/>
      <c r="Z708" s="36"/>
      <c r="AA708" s="36"/>
    </row>
    <row r="709" spans="16:27" x14ac:dyDescent="0.2">
      <c r="P709" s="36"/>
      <c r="Q709" s="40"/>
      <c r="R709" s="40"/>
      <c r="S709" s="40"/>
      <c r="T709" s="41"/>
      <c r="U709" s="41"/>
      <c r="V709" s="41"/>
      <c r="W709" s="36"/>
      <c r="X709" s="36"/>
      <c r="Y709" s="36"/>
      <c r="Z709" s="36"/>
      <c r="AA709" s="36"/>
    </row>
    <row r="710" spans="16:27" x14ac:dyDescent="0.2">
      <c r="P710" s="36"/>
      <c r="Q710" s="40"/>
      <c r="R710" s="40"/>
      <c r="S710" s="40"/>
      <c r="T710" s="41"/>
      <c r="U710" s="41"/>
      <c r="V710" s="41"/>
      <c r="W710" s="36"/>
      <c r="X710" s="36"/>
      <c r="Y710" s="36"/>
      <c r="Z710" s="36"/>
      <c r="AA710" s="36"/>
    </row>
    <row r="711" spans="16:27" x14ac:dyDescent="0.2">
      <c r="P711" s="36"/>
      <c r="Q711" s="40"/>
      <c r="R711" s="40"/>
      <c r="S711" s="40"/>
      <c r="T711" s="41"/>
      <c r="U711" s="41"/>
      <c r="V711" s="41"/>
      <c r="W711" s="36"/>
      <c r="X711" s="36"/>
      <c r="Y711" s="36"/>
      <c r="Z711" s="36"/>
      <c r="AA711" s="36"/>
    </row>
    <row r="712" spans="16:27" x14ac:dyDescent="0.2">
      <c r="P712" s="36"/>
      <c r="Q712" s="40"/>
      <c r="R712" s="40"/>
      <c r="S712" s="40"/>
      <c r="T712" s="41"/>
      <c r="U712" s="41"/>
      <c r="V712" s="41"/>
      <c r="W712" s="36"/>
      <c r="X712" s="36"/>
      <c r="Y712" s="36"/>
      <c r="Z712" s="36"/>
      <c r="AA712" s="36"/>
    </row>
    <row r="713" spans="16:27" x14ac:dyDescent="0.2">
      <c r="P713" s="36"/>
      <c r="Q713" s="40"/>
      <c r="R713" s="40"/>
      <c r="S713" s="40"/>
      <c r="T713" s="41"/>
      <c r="U713" s="41"/>
      <c r="V713" s="41"/>
      <c r="W713" s="36"/>
      <c r="X713" s="36"/>
      <c r="Y713" s="36"/>
      <c r="Z713" s="36"/>
      <c r="AA713" s="36"/>
    </row>
    <row r="714" spans="16:27" x14ac:dyDescent="0.2">
      <c r="P714" s="36"/>
      <c r="Q714" s="40"/>
      <c r="R714" s="40"/>
      <c r="S714" s="40"/>
      <c r="T714" s="41"/>
      <c r="U714" s="41"/>
      <c r="V714" s="41"/>
      <c r="W714" s="36"/>
      <c r="X714" s="36"/>
      <c r="Y714" s="36"/>
      <c r="Z714" s="36"/>
      <c r="AA714" s="36"/>
    </row>
    <row r="715" spans="16:27" x14ac:dyDescent="0.2">
      <c r="P715" s="36"/>
      <c r="Q715" s="40"/>
      <c r="R715" s="40"/>
      <c r="S715" s="40"/>
      <c r="T715" s="41"/>
      <c r="U715" s="41"/>
      <c r="V715" s="41"/>
      <c r="W715" s="36"/>
      <c r="X715" s="36"/>
      <c r="Y715" s="36"/>
      <c r="Z715" s="36"/>
      <c r="AA715" s="36"/>
    </row>
    <row r="716" spans="16:27" x14ac:dyDescent="0.2">
      <c r="P716" s="36"/>
      <c r="Q716" s="40"/>
      <c r="R716" s="40"/>
      <c r="S716" s="40"/>
      <c r="T716" s="41"/>
      <c r="U716" s="41"/>
      <c r="V716" s="41"/>
      <c r="W716" s="36"/>
      <c r="X716" s="36"/>
      <c r="Y716" s="36"/>
      <c r="Z716" s="36"/>
      <c r="AA716" s="36"/>
    </row>
    <row r="717" spans="16:27" x14ac:dyDescent="0.2">
      <c r="P717" s="36"/>
      <c r="Q717" s="40"/>
      <c r="R717" s="40"/>
      <c r="S717" s="40"/>
      <c r="T717" s="41"/>
      <c r="U717" s="41"/>
      <c r="V717" s="41"/>
      <c r="W717" s="36"/>
      <c r="X717" s="36"/>
      <c r="Y717" s="36"/>
      <c r="Z717" s="36"/>
      <c r="AA717" s="36"/>
    </row>
    <row r="718" spans="16:27" x14ac:dyDescent="0.2">
      <c r="P718" s="36"/>
      <c r="Q718" s="40"/>
      <c r="R718" s="40"/>
      <c r="S718" s="40"/>
      <c r="T718" s="41"/>
      <c r="U718" s="41"/>
      <c r="V718" s="41"/>
      <c r="W718" s="36"/>
      <c r="X718" s="36"/>
      <c r="Y718" s="36"/>
      <c r="Z718" s="36"/>
      <c r="AA718" s="36"/>
    </row>
    <row r="719" spans="16:27" x14ac:dyDescent="0.2">
      <c r="P719" s="36"/>
      <c r="Q719" s="40"/>
      <c r="R719" s="40"/>
      <c r="S719" s="40"/>
      <c r="T719" s="41"/>
      <c r="U719" s="41"/>
      <c r="V719" s="41"/>
      <c r="W719" s="36"/>
      <c r="X719" s="36"/>
      <c r="Y719" s="36"/>
      <c r="Z719" s="36"/>
      <c r="AA719" s="36"/>
    </row>
    <row r="720" spans="16:27" x14ac:dyDescent="0.2">
      <c r="P720" s="36"/>
      <c r="Q720" s="40"/>
      <c r="R720" s="40"/>
      <c r="S720" s="40"/>
      <c r="T720" s="41"/>
      <c r="U720" s="41"/>
      <c r="V720" s="41"/>
      <c r="W720" s="36"/>
      <c r="X720" s="36"/>
      <c r="Y720" s="36"/>
      <c r="Z720" s="36"/>
      <c r="AA720" s="36"/>
    </row>
    <row r="721" spans="16:27" x14ac:dyDescent="0.2">
      <c r="P721" s="36"/>
      <c r="Q721" s="40"/>
      <c r="R721" s="40"/>
      <c r="S721" s="40"/>
      <c r="T721" s="41"/>
      <c r="U721" s="41"/>
      <c r="V721" s="41"/>
      <c r="W721" s="36"/>
      <c r="X721" s="36"/>
      <c r="Y721" s="36"/>
      <c r="Z721" s="36"/>
      <c r="AA721" s="36"/>
    </row>
    <row r="722" spans="16:27" x14ac:dyDescent="0.2">
      <c r="P722" s="36"/>
      <c r="Q722" s="40"/>
      <c r="R722" s="40"/>
      <c r="S722" s="40"/>
      <c r="T722" s="41"/>
      <c r="U722" s="41"/>
      <c r="V722" s="41"/>
      <c r="W722" s="36"/>
      <c r="X722" s="36"/>
      <c r="Y722" s="36"/>
      <c r="Z722" s="36"/>
      <c r="AA722" s="36"/>
    </row>
    <row r="723" spans="16:27" x14ac:dyDescent="0.2">
      <c r="P723" s="36"/>
      <c r="Q723" s="40"/>
      <c r="R723" s="40"/>
      <c r="S723" s="40"/>
      <c r="T723" s="41"/>
      <c r="U723" s="41"/>
      <c r="V723" s="41"/>
      <c r="W723" s="36"/>
      <c r="X723" s="36"/>
      <c r="Y723" s="36"/>
      <c r="Z723" s="36"/>
      <c r="AA723" s="36"/>
    </row>
    <row r="724" spans="16:27" x14ac:dyDescent="0.2">
      <c r="P724" s="36"/>
      <c r="Q724" s="40"/>
      <c r="R724" s="40"/>
      <c r="S724" s="40"/>
      <c r="T724" s="41"/>
      <c r="U724" s="41"/>
      <c r="V724" s="41"/>
      <c r="W724" s="36"/>
      <c r="X724" s="36"/>
      <c r="Y724" s="36"/>
      <c r="Z724" s="36"/>
      <c r="AA724" s="36"/>
    </row>
    <row r="725" spans="16:27" x14ac:dyDescent="0.2">
      <c r="P725" s="36"/>
      <c r="Q725" s="40"/>
      <c r="R725" s="40"/>
      <c r="S725" s="40"/>
      <c r="T725" s="41"/>
      <c r="U725" s="41"/>
      <c r="V725" s="41"/>
      <c r="W725" s="36"/>
      <c r="X725" s="36"/>
      <c r="Y725" s="36"/>
      <c r="Z725" s="36"/>
      <c r="AA725" s="36"/>
    </row>
    <row r="726" spans="16:27" x14ac:dyDescent="0.2">
      <c r="P726" s="36"/>
      <c r="Q726" s="40"/>
      <c r="R726" s="40"/>
      <c r="S726" s="40"/>
      <c r="T726" s="41"/>
      <c r="U726" s="41"/>
      <c r="V726" s="41"/>
      <c r="W726" s="36"/>
      <c r="X726" s="36"/>
      <c r="Y726" s="36"/>
      <c r="Z726" s="36"/>
      <c r="AA726" s="36"/>
    </row>
    <row r="727" spans="16:27" x14ac:dyDescent="0.2">
      <c r="P727" s="36"/>
      <c r="Q727" s="40"/>
      <c r="R727" s="40"/>
      <c r="S727" s="40"/>
      <c r="T727" s="41"/>
      <c r="U727" s="41"/>
      <c r="V727" s="41"/>
      <c r="W727" s="36"/>
      <c r="X727" s="36"/>
      <c r="Y727" s="36"/>
      <c r="Z727" s="36"/>
      <c r="AA727" s="36"/>
    </row>
    <row r="728" spans="16:27" x14ac:dyDescent="0.2">
      <c r="P728" s="36"/>
      <c r="Q728" s="40"/>
      <c r="R728" s="40"/>
      <c r="S728" s="40"/>
      <c r="T728" s="41"/>
      <c r="U728" s="41"/>
      <c r="V728" s="41"/>
      <c r="W728" s="36"/>
      <c r="X728" s="36"/>
      <c r="Y728" s="36"/>
      <c r="Z728" s="36"/>
      <c r="AA728" s="36"/>
    </row>
    <row r="729" spans="16:27" x14ac:dyDescent="0.2">
      <c r="P729" s="36"/>
      <c r="Q729" s="40"/>
      <c r="R729" s="40"/>
      <c r="S729" s="40"/>
      <c r="T729" s="41"/>
      <c r="U729" s="41"/>
      <c r="V729" s="41"/>
      <c r="W729" s="36"/>
      <c r="X729" s="36"/>
      <c r="Y729" s="36"/>
      <c r="Z729" s="36"/>
      <c r="AA729" s="36"/>
    </row>
    <row r="730" spans="16:27" x14ac:dyDescent="0.2">
      <c r="P730" s="36"/>
      <c r="Q730" s="40"/>
      <c r="R730" s="40"/>
      <c r="S730" s="40"/>
      <c r="T730" s="41"/>
      <c r="U730" s="41"/>
      <c r="V730" s="41"/>
      <c r="W730" s="36"/>
      <c r="X730" s="36"/>
      <c r="Y730" s="36"/>
      <c r="Z730" s="36"/>
      <c r="AA730" s="36"/>
    </row>
    <row r="731" spans="16:27" x14ac:dyDescent="0.2">
      <c r="P731" s="36"/>
      <c r="Q731" s="40"/>
      <c r="R731" s="40"/>
      <c r="S731" s="40"/>
      <c r="T731" s="41"/>
      <c r="U731" s="41"/>
      <c r="V731" s="41"/>
      <c r="W731" s="36"/>
      <c r="X731" s="36"/>
      <c r="Y731" s="36"/>
      <c r="Z731" s="36"/>
      <c r="AA731" s="36"/>
    </row>
    <row r="732" spans="16:27" x14ac:dyDescent="0.2">
      <c r="P732" s="36"/>
      <c r="Q732" s="40"/>
      <c r="R732" s="40"/>
      <c r="S732" s="40"/>
      <c r="T732" s="41"/>
      <c r="U732" s="41"/>
      <c r="V732" s="41"/>
      <c r="W732" s="36"/>
      <c r="X732" s="36"/>
      <c r="Y732" s="36"/>
      <c r="Z732" s="36"/>
      <c r="AA732" s="36"/>
    </row>
    <row r="733" spans="16:27" x14ac:dyDescent="0.2">
      <c r="P733" s="36"/>
      <c r="Q733" s="40"/>
      <c r="R733" s="40"/>
      <c r="S733" s="40"/>
      <c r="T733" s="41"/>
      <c r="U733" s="41"/>
      <c r="V733" s="41"/>
      <c r="W733" s="36"/>
      <c r="X733" s="36"/>
      <c r="Y733" s="36"/>
      <c r="Z733" s="36"/>
      <c r="AA733" s="36"/>
    </row>
    <row r="734" spans="16:27" x14ac:dyDescent="0.2">
      <c r="P734" s="36"/>
      <c r="Q734" s="40"/>
      <c r="R734" s="40"/>
      <c r="S734" s="40"/>
      <c r="T734" s="41"/>
      <c r="U734" s="41"/>
      <c r="V734" s="41"/>
      <c r="W734" s="36"/>
      <c r="X734" s="36"/>
      <c r="Y734" s="36"/>
      <c r="Z734" s="36"/>
      <c r="AA734" s="36"/>
    </row>
    <row r="735" spans="16:27" x14ac:dyDescent="0.2">
      <c r="P735" s="36"/>
      <c r="Q735" s="40"/>
      <c r="R735" s="40"/>
      <c r="S735" s="40"/>
      <c r="T735" s="41"/>
      <c r="U735" s="41"/>
      <c r="V735" s="41"/>
      <c r="W735" s="36"/>
      <c r="X735" s="36"/>
      <c r="Y735" s="36"/>
      <c r="Z735" s="36"/>
      <c r="AA735" s="36"/>
    </row>
    <row r="736" spans="16:27" x14ac:dyDescent="0.2">
      <c r="P736" s="36"/>
      <c r="Q736" s="40"/>
      <c r="R736" s="40"/>
      <c r="S736" s="40"/>
      <c r="T736" s="41"/>
      <c r="U736" s="41"/>
      <c r="V736" s="41"/>
      <c r="W736" s="36"/>
      <c r="X736" s="36"/>
      <c r="Y736" s="36"/>
      <c r="Z736" s="36"/>
      <c r="AA736" s="36"/>
    </row>
    <row r="737" spans="16:27" x14ac:dyDescent="0.2">
      <c r="P737" s="36"/>
      <c r="Q737" s="40"/>
      <c r="R737" s="40"/>
      <c r="S737" s="40"/>
      <c r="T737" s="41"/>
      <c r="U737" s="41"/>
      <c r="V737" s="41"/>
      <c r="W737" s="36"/>
      <c r="X737" s="36"/>
      <c r="Y737" s="36"/>
      <c r="Z737" s="36"/>
      <c r="AA737" s="36"/>
    </row>
    <row r="738" spans="16:27" x14ac:dyDescent="0.2">
      <c r="P738" s="36"/>
      <c r="Q738" s="40"/>
      <c r="R738" s="40"/>
      <c r="S738" s="40"/>
      <c r="T738" s="41"/>
      <c r="U738" s="41"/>
      <c r="V738" s="41"/>
      <c r="W738" s="36"/>
      <c r="X738" s="36"/>
      <c r="Y738" s="36"/>
      <c r="Z738" s="36"/>
      <c r="AA738" s="36"/>
    </row>
    <row r="739" spans="16:27" x14ac:dyDescent="0.2">
      <c r="P739" s="36"/>
      <c r="Q739" s="40"/>
      <c r="R739" s="40"/>
      <c r="S739" s="40"/>
      <c r="T739" s="41"/>
      <c r="U739" s="41"/>
      <c r="V739" s="41"/>
      <c r="W739" s="36"/>
      <c r="X739" s="36"/>
      <c r="Y739" s="36"/>
      <c r="Z739" s="36"/>
      <c r="AA739" s="36"/>
    </row>
    <row r="740" spans="16:27" x14ac:dyDescent="0.2">
      <c r="P740" s="36"/>
      <c r="Q740" s="40"/>
      <c r="R740" s="40"/>
      <c r="S740" s="40"/>
      <c r="T740" s="41"/>
      <c r="U740" s="41"/>
      <c r="V740" s="41"/>
      <c r="W740" s="36"/>
      <c r="X740" s="36"/>
      <c r="Y740" s="36"/>
      <c r="Z740" s="36"/>
      <c r="AA740" s="36"/>
    </row>
    <row r="741" spans="16:27" x14ac:dyDescent="0.2">
      <c r="P741" s="36"/>
      <c r="Q741" s="40"/>
      <c r="R741" s="40"/>
      <c r="S741" s="40"/>
      <c r="T741" s="41"/>
      <c r="U741" s="41"/>
      <c r="V741" s="41"/>
      <c r="W741" s="36"/>
      <c r="X741" s="36"/>
      <c r="Y741" s="36"/>
      <c r="Z741" s="36"/>
      <c r="AA741" s="36"/>
    </row>
    <row r="742" spans="16:27" x14ac:dyDescent="0.2">
      <c r="P742" s="36"/>
      <c r="Q742" s="40"/>
      <c r="R742" s="40"/>
      <c r="S742" s="40"/>
      <c r="T742" s="41"/>
      <c r="U742" s="41"/>
      <c r="V742" s="41"/>
      <c r="W742" s="36"/>
      <c r="X742" s="36"/>
      <c r="Y742" s="36"/>
      <c r="Z742" s="36"/>
      <c r="AA742" s="36"/>
    </row>
    <row r="743" spans="16:27" x14ac:dyDescent="0.2">
      <c r="P743" s="36"/>
      <c r="Q743" s="40"/>
      <c r="R743" s="40"/>
      <c r="S743" s="40"/>
      <c r="T743" s="41"/>
      <c r="U743" s="41"/>
      <c r="V743" s="41"/>
      <c r="W743" s="36"/>
      <c r="X743" s="36"/>
      <c r="Y743" s="36"/>
      <c r="Z743" s="36"/>
      <c r="AA743" s="36"/>
    </row>
    <row r="744" spans="16:27" x14ac:dyDescent="0.2">
      <c r="P744" s="36"/>
      <c r="Q744" s="40"/>
      <c r="R744" s="40"/>
      <c r="S744" s="40"/>
      <c r="T744" s="41"/>
      <c r="U744" s="41"/>
      <c r="V744" s="41"/>
      <c r="W744" s="36"/>
      <c r="X744" s="36"/>
      <c r="Y744" s="36"/>
      <c r="Z744" s="36"/>
      <c r="AA744" s="36"/>
    </row>
    <row r="745" spans="16:27" x14ac:dyDescent="0.2">
      <c r="P745" s="36"/>
      <c r="Q745" s="40"/>
      <c r="R745" s="40"/>
      <c r="S745" s="40"/>
      <c r="T745" s="41"/>
      <c r="U745" s="41"/>
      <c r="V745" s="41"/>
      <c r="W745" s="36"/>
      <c r="X745" s="36"/>
      <c r="Y745" s="36"/>
      <c r="Z745" s="36"/>
      <c r="AA745" s="36"/>
    </row>
    <row r="746" spans="16:27" x14ac:dyDescent="0.2">
      <c r="P746" s="36"/>
      <c r="Q746" s="40"/>
      <c r="R746" s="40"/>
      <c r="S746" s="40"/>
      <c r="T746" s="41"/>
      <c r="U746" s="41"/>
      <c r="V746" s="41"/>
      <c r="W746" s="36"/>
      <c r="X746" s="36"/>
      <c r="Y746" s="36"/>
      <c r="Z746" s="36"/>
      <c r="AA746" s="36"/>
    </row>
    <row r="747" spans="16:27" x14ac:dyDescent="0.2">
      <c r="P747" s="36"/>
      <c r="Q747" s="40"/>
      <c r="R747" s="40"/>
      <c r="S747" s="40"/>
      <c r="T747" s="41"/>
      <c r="U747" s="41"/>
      <c r="V747" s="41"/>
      <c r="W747" s="36"/>
      <c r="X747" s="36"/>
      <c r="Y747" s="36"/>
      <c r="Z747" s="36"/>
      <c r="AA747" s="36"/>
    </row>
    <row r="748" spans="16:27" x14ac:dyDescent="0.2">
      <c r="P748" s="36"/>
      <c r="Q748" s="40"/>
      <c r="R748" s="40"/>
      <c r="S748" s="40"/>
      <c r="T748" s="41"/>
      <c r="U748" s="41"/>
      <c r="V748" s="41"/>
      <c r="W748" s="36"/>
      <c r="X748" s="36"/>
      <c r="Y748" s="36"/>
      <c r="Z748" s="36"/>
      <c r="AA748" s="36"/>
    </row>
    <row r="749" spans="16:27" x14ac:dyDescent="0.2">
      <c r="P749" s="36"/>
      <c r="Q749" s="40"/>
      <c r="R749" s="40"/>
      <c r="S749" s="40"/>
      <c r="T749" s="41"/>
      <c r="U749" s="41"/>
      <c r="V749" s="41"/>
      <c r="W749" s="36"/>
      <c r="X749" s="36"/>
      <c r="Y749" s="36"/>
      <c r="Z749" s="36"/>
      <c r="AA749" s="36"/>
    </row>
    <row r="750" spans="16:27" x14ac:dyDescent="0.2">
      <c r="P750" s="36"/>
      <c r="Q750" s="40"/>
      <c r="R750" s="40"/>
      <c r="S750" s="40"/>
      <c r="T750" s="41"/>
      <c r="U750" s="41"/>
      <c r="V750" s="41"/>
      <c r="W750" s="36"/>
      <c r="X750" s="36"/>
      <c r="Y750" s="36"/>
      <c r="Z750" s="36"/>
      <c r="AA750" s="36"/>
    </row>
    <row r="751" spans="16:27" x14ac:dyDescent="0.2">
      <c r="P751" s="36"/>
      <c r="Q751" s="40"/>
      <c r="R751" s="40"/>
      <c r="S751" s="40"/>
      <c r="T751" s="41"/>
      <c r="U751" s="41"/>
      <c r="V751" s="41"/>
      <c r="W751" s="36"/>
      <c r="X751" s="36"/>
      <c r="Y751" s="36"/>
      <c r="Z751" s="36"/>
      <c r="AA751" s="36"/>
    </row>
    <row r="752" spans="16:27" x14ac:dyDescent="0.2">
      <c r="P752" s="36"/>
      <c r="Q752" s="40"/>
      <c r="R752" s="40"/>
      <c r="S752" s="40"/>
      <c r="T752" s="41"/>
      <c r="U752" s="41"/>
      <c r="V752" s="41"/>
      <c r="W752" s="36"/>
      <c r="X752" s="36"/>
      <c r="Y752" s="36"/>
      <c r="Z752" s="36"/>
      <c r="AA752" s="36"/>
    </row>
    <row r="753" spans="16:27" x14ac:dyDescent="0.2">
      <c r="P753" s="36"/>
      <c r="Q753" s="40"/>
      <c r="R753" s="40"/>
      <c r="S753" s="40"/>
      <c r="T753" s="41"/>
      <c r="U753" s="41"/>
      <c r="V753" s="41"/>
      <c r="W753" s="36"/>
      <c r="X753" s="36"/>
      <c r="Y753" s="36"/>
      <c r="Z753" s="36"/>
      <c r="AA753" s="36"/>
    </row>
    <row r="754" spans="16:27" x14ac:dyDescent="0.2">
      <c r="P754" s="36"/>
      <c r="Q754" s="40"/>
      <c r="R754" s="40"/>
      <c r="S754" s="40"/>
      <c r="T754" s="41"/>
      <c r="U754" s="41"/>
      <c r="V754" s="41"/>
      <c r="W754" s="36"/>
      <c r="X754" s="36"/>
      <c r="Y754" s="36"/>
      <c r="Z754" s="36"/>
      <c r="AA754" s="36"/>
    </row>
    <row r="755" spans="16:27" x14ac:dyDescent="0.2">
      <c r="P755" s="36"/>
      <c r="Q755" s="40"/>
      <c r="R755" s="40"/>
      <c r="S755" s="40"/>
      <c r="T755" s="41"/>
      <c r="U755" s="41"/>
      <c r="V755" s="41"/>
      <c r="W755" s="36"/>
      <c r="X755" s="36"/>
      <c r="Y755" s="36"/>
      <c r="Z755" s="36"/>
      <c r="AA755" s="36"/>
    </row>
    <row r="756" spans="16:27" x14ac:dyDescent="0.2">
      <c r="P756" s="36"/>
      <c r="Q756" s="40"/>
      <c r="R756" s="40"/>
      <c r="S756" s="40"/>
      <c r="T756" s="41"/>
      <c r="U756" s="41"/>
      <c r="V756" s="41"/>
      <c r="W756" s="36"/>
      <c r="X756" s="36"/>
      <c r="Y756" s="36"/>
      <c r="Z756" s="36"/>
      <c r="AA756" s="36"/>
    </row>
    <row r="757" spans="16:27" x14ac:dyDescent="0.2">
      <c r="P757" s="36"/>
      <c r="Q757" s="40"/>
      <c r="R757" s="40"/>
      <c r="S757" s="40"/>
      <c r="T757" s="41"/>
      <c r="U757" s="41"/>
      <c r="V757" s="41"/>
      <c r="W757" s="36"/>
      <c r="X757" s="36"/>
      <c r="Y757" s="36"/>
      <c r="Z757" s="36"/>
      <c r="AA757" s="36"/>
    </row>
    <row r="758" spans="16:27" x14ac:dyDescent="0.2">
      <c r="P758" s="36"/>
      <c r="Q758" s="40"/>
      <c r="R758" s="40"/>
      <c r="S758" s="40"/>
      <c r="T758" s="41"/>
      <c r="U758" s="41"/>
      <c r="V758" s="41"/>
      <c r="W758" s="36"/>
      <c r="X758" s="36"/>
      <c r="Y758" s="36"/>
      <c r="Z758" s="36"/>
      <c r="AA758" s="36"/>
    </row>
    <row r="759" spans="16:27" x14ac:dyDescent="0.2">
      <c r="P759" s="36"/>
      <c r="Q759" s="40"/>
      <c r="R759" s="40"/>
      <c r="S759" s="40"/>
      <c r="T759" s="41"/>
      <c r="U759" s="41"/>
      <c r="V759" s="41"/>
      <c r="W759" s="36"/>
      <c r="X759" s="36"/>
      <c r="Y759" s="36"/>
      <c r="Z759" s="36"/>
      <c r="AA759" s="36"/>
    </row>
    <row r="760" spans="16:27" x14ac:dyDescent="0.2">
      <c r="P760" s="36"/>
      <c r="Q760" s="40"/>
      <c r="R760" s="40"/>
      <c r="S760" s="40"/>
      <c r="T760" s="41"/>
      <c r="U760" s="41"/>
      <c r="V760" s="41"/>
      <c r="W760" s="36"/>
      <c r="X760" s="36"/>
      <c r="Y760" s="36"/>
      <c r="Z760" s="36"/>
      <c r="AA760" s="36"/>
    </row>
    <row r="761" spans="16:27" x14ac:dyDescent="0.2">
      <c r="P761" s="36"/>
      <c r="Q761" s="40"/>
      <c r="R761" s="40"/>
      <c r="S761" s="40"/>
      <c r="T761" s="41"/>
      <c r="U761" s="41"/>
      <c r="V761" s="41"/>
      <c r="W761" s="36"/>
      <c r="X761" s="36"/>
      <c r="Y761" s="36"/>
      <c r="Z761" s="36"/>
      <c r="AA761" s="36"/>
    </row>
    <row r="762" spans="16:27" x14ac:dyDescent="0.2">
      <c r="P762" s="36"/>
      <c r="Q762" s="40"/>
      <c r="R762" s="40"/>
      <c r="S762" s="40"/>
      <c r="T762" s="41"/>
      <c r="U762" s="41"/>
      <c r="V762" s="41"/>
      <c r="W762" s="36"/>
      <c r="X762" s="36"/>
      <c r="Y762" s="36"/>
      <c r="Z762" s="36"/>
      <c r="AA762" s="36"/>
    </row>
    <row r="763" spans="16:27" x14ac:dyDescent="0.2">
      <c r="P763" s="36"/>
      <c r="Q763" s="40"/>
      <c r="R763" s="40"/>
      <c r="S763" s="40"/>
      <c r="T763" s="41"/>
      <c r="U763" s="41"/>
      <c r="V763" s="41"/>
      <c r="W763" s="36"/>
      <c r="X763" s="36"/>
      <c r="Y763" s="36"/>
      <c r="Z763" s="36"/>
      <c r="AA763" s="36"/>
    </row>
    <row r="764" spans="16:27" x14ac:dyDescent="0.2">
      <c r="P764" s="36"/>
      <c r="Q764" s="40"/>
      <c r="R764" s="40"/>
      <c r="S764" s="40"/>
      <c r="T764" s="41"/>
      <c r="U764" s="41"/>
      <c r="V764" s="41"/>
      <c r="W764" s="36"/>
      <c r="X764" s="36"/>
      <c r="Y764" s="36"/>
      <c r="Z764" s="36"/>
      <c r="AA764" s="36"/>
    </row>
    <row r="765" spans="16:27" x14ac:dyDescent="0.2">
      <c r="P765" s="36"/>
      <c r="Q765" s="40"/>
      <c r="R765" s="40"/>
      <c r="S765" s="40"/>
      <c r="T765" s="41"/>
      <c r="U765" s="41"/>
      <c r="V765" s="41"/>
      <c r="W765" s="36"/>
      <c r="X765" s="36"/>
      <c r="Y765" s="36"/>
      <c r="Z765" s="36"/>
      <c r="AA765" s="36"/>
    </row>
    <row r="766" spans="16:27" x14ac:dyDescent="0.2">
      <c r="P766" s="36"/>
      <c r="Q766" s="40"/>
      <c r="R766" s="40"/>
      <c r="S766" s="40"/>
      <c r="T766" s="41"/>
      <c r="U766" s="41"/>
      <c r="V766" s="41"/>
      <c r="W766" s="36"/>
      <c r="X766" s="36"/>
      <c r="Y766" s="36"/>
      <c r="Z766" s="36"/>
      <c r="AA766" s="36"/>
    </row>
    <row r="767" spans="16:27" x14ac:dyDescent="0.2">
      <c r="P767" s="36"/>
      <c r="Q767" s="40"/>
      <c r="R767" s="40"/>
      <c r="S767" s="40"/>
      <c r="T767" s="41"/>
      <c r="U767" s="41"/>
      <c r="V767" s="41"/>
      <c r="W767" s="36"/>
      <c r="X767" s="36"/>
      <c r="Y767" s="36"/>
      <c r="Z767" s="36"/>
      <c r="AA767" s="36"/>
    </row>
    <row r="768" spans="16:27" x14ac:dyDescent="0.2">
      <c r="P768" s="36"/>
      <c r="Q768" s="40"/>
      <c r="R768" s="40"/>
      <c r="S768" s="40"/>
      <c r="T768" s="41"/>
      <c r="U768" s="41"/>
      <c r="V768" s="41"/>
      <c r="W768" s="36"/>
      <c r="X768" s="36"/>
      <c r="Y768" s="36"/>
      <c r="Z768" s="36"/>
      <c r="AA768" s="36"/>
    </row>
    <row r="769" spans="16:27" x14ac:dyDescent="0.2">
      <c r="P769" s="36"/>
      <c r="Q769" s="40"/>
      <c r="R769" s="40"/>
      <c r="S769" s="40"/>
      <c r="T769" s="41"/>
      <c r="U769" s="41"/>
      <c r="V769" s="41"/>
      <c r="W769" s="36"/>
      <c r="X769" s="36"/>
      <c r="Y769" s="36"/>
      <c r="Z769" s="36"/>
      <c r="AA769" s="36"/>
    </row>
    <row r="770" spans="16:27" x14ac:dyDescent="0.2">
      <c r="P770" s="36"/>
      <c r="Q770" s="40"/>
      <c r="R770" s="40"/>
      <c r="S770" s="40"/>
      <c r="T770" s="41"/>
      <c r="U770" s="41"/>
      <c r="V770" s="41"/>
      <c r="W770" s="36"/>
      <c r="X770" s="36"/>
      <c r="Y770" s="36"/>
      <c r="Z770" s="36"/>
      <c r="AA770" s="36"/>
    </row>
    <row r="771" spans="16:27" x14ac:dyDescent="0.2">
      <c r="P771" s="36"/>
      <c r="Q771" s="40"/>
      <c r="R771" s="40"/>
      <c r="S771" s="40"/>
      <c r="T771" s="41"/>
      <c r="U771" s="41"/>
      <c r="V771" s="41"/>
      <c r="W771" s="36"/>
      <c r="X771" s="36"/>
      <c r="Y771" s="36"/>
      <c r="Z771" s="36"/>
      <c r="AA771" s="36"/>
    </row>
    <row r="772" spans="16:27" x14ac:dyDescent="0.2">
      <c r="P772" s="36"/>
      <c r="Q772" s="40"/>
      <c r="R772" s="40"/>
      <c r="S772" s="40"/>
      <c r="T772" s="41"/>
      <c r="U772" s="41"/>
      <c r="V772" s="41"/>
      <c r="W772" s="36"/>
      <c r="X772" s="36"/>
      <c r="Y772" s="36"/>
      <c r="Z772" s="36"/>
      <c r="AA772" s="36"/>
    </row>
    <row r="773" spans="16:27" x14ac:dyDescent="0.2">
      <c r="P773" s="36"/>
      <c r="Q773" s="40"/>
      <c r="R773" s="40"/>
      <c r="S773" s="40"/>
      <c r="T773" s="41"/>
      <c r="U773" s="41"/>
      <c r="V773" s="41"/>
      <c r="W773" s="36"/>
      <c r="X773" s="36"/>
      <c r="Y773" s="36"/>
      <c r="Z773" s="36"/>
      <c r="AA773" s="36"/>
    </row>
    <row r="774" spans="16:27" x14ac:dyDescent="0.2">
      <c r="P774" s="36"/>
      <c r="Q774" s="40"/>
      <c r="R774" s="40"/>
      <c r="S774" s="40"/>
      <c r="T774" s="41"/>
      <c r="U774" s="41"/>
      <c r="V774" s="41"/>
      <c r="W774" s="36"/>
      <c r="X774" s="36"/>
      <c r="Y774" s="36"/>
      <c r="Z774" s="36"/>
      <c r="AA774" s="36"/>
    </row>
    <row r="775" spans="16:27" x14ac:dyDescent="0.2">
      <c r="P775" s="36"/>
      <c r="Q775" s="40"/>
      <c r="R775" s="40"/>
      <c r="S775" s="40"/>
      <c r="T775" s="41"/>
      <c r="U775" s="41"/>
      <c r="V775" s="41"/>
      <c r="W775" s="36"/>
      <c r="X775" s="36"/>
      <c r="Y775" s="36"/>
      <c r="Z775" s="36"/>
      <c r="AA775" s="36"/>
    </row>
    <row r="776" spans="16:27" x14ac:dyDescent="0.2">
      <c r="P776" s="36"/>
      <c r="Q776" s="40"/>
      <c r="R776" s="40"/>
      <c r="S776" s="40"/>
      <c r="T776" s="41"/>
      <c r="U776" s="41"/>
      <c r="V776" s="41"/>
      <c r="W776" s="36"/>
      <c r="X776" s="36"/>
      <c r="Y776" s="36"/>
      <c r="Z776" s="36"/>
      <c r="AA776" s="36"/>
    </row>
    <row r="777" spans="16:27" x14ac:dyDescent="0.2">
      <c r="P777" s="36"/>
      <c r="Q777" s="40"/>
      <c r="R777" s="40"/>
      <c r="S777" s="40"/>
      <c r="T777" s="41"/>
      <c r="U777" s="41"/>
      <c r="V777" s="41"/>
      <c r="W777" s="36"/>
      <c r="X777" s="36"/>
      <c r="Y777" s="36"/>
      <c r="Z777" s="36"/>
      <c r="AA777" s="36"/>
    </row>
    <row r="778" spans="16:27" x14ac:dyDescent="0.2">
      <c r="P778" s="36"/>
      <c r="Q778" s="40"/>
      <c r="R778" s="40"/>
      <c r="S778" s="40"/>
      <c r="T778" s="41"/>
      <c r="U778" s="41"/>
      <c r="V778" s="41"/>
      <c r="W778" s="36"/>
      <c r="X778" s="36"/>
      <c r="Y778" s="36"/>
      <c r="Z778" s="36"/>
      <c r="AA778" s="36"/>
    </row>
    <row r="779" spans="16:27" x14ac:dyDescent="0.2">
      <c r="P779" s="36"/>
      <c r="Q779" s="40"/>
      <c r="R779" s="40"/>
      <c r="S779" s="40"/>
      <c r="T779" s="41"/>
      <c r="U779" s="41"/>
      <c r="V779" s="41"/>
      <c r="W779" s="36"/>
      <c r="X779" s="36"/>
      <c r="Y779" s="36"/>
      <c r="Z779" s="36"/>
      <c r="AA779" s="36"/>
    </row>
    <row r="780" spans="16:27" x14ac:dyDescent="0.2">
      <c r="P780" s="36"/>
      <c r="Q780" s="40"/>
      <c r="R780" s="40"/>
      <c r="S780" s="40"/>
      <c r="T780" s="41"/>
      <c r="U780" s="41"/>
      <c r="V780" s="41"/>
      <c r="W780" s="36"/>
      <c r="X780" s="36"/>
      <c r="Y780" s="36"/>
      <c r="Z780" s="36"/>
      <c r="AA780" s="36"/>
    </row>
    <row r="781" spans="16:27" x14ac:dyDescent="0.2">
      <c r="P781" s="36"/>
      <c r="Q781" s="40"/>
      <c r="R781" s="40"/>
      <c r="S781" s="40"/>
      <c r="T781" s="41"/>
      <c r="U781" s="41"/>
      <c r="V781" s="41"/>
      <c r="W781" s="36"/>
      <c r="X781" s="36"/>
      <c r="Y781" s="36"/>
      <c r="Z781" s="36"/>
      <c r="AA781" s="36"/>
    </row>
    <row r="782" spans="16:27" x14ac:dyDescent="0.2">
      <c r="P782" s="36"/>
      <c r="Q782" s="40"/>
      <c r="R782" s="40"/>
      <c r="S782" s="40"/>
      <c r="T782" s="41"/>
      <c r="U782" s="41"/>
      <c r="V782" s="41"/>
      <c r="W782" s="36"/>
      <c r="X782" s="36"/>
      <c r="Y782" s="36"/>
      <c r="Z782" s="36"/>
      <c r="AA782" s="36"/>
    </row>
    <row r="783" spans="16:27" x14ac:dyDescent="0.2">
      <c r="P783" s="36"/>
      <c r="Q783" s="40"/>
      <c r="R783" s="40"/>
      <c r="S783" s="40"/>
      <c r="T783" s="41"/>
      <c r="U783" s="41"/>
      <c r="V783" s="41"/>
      <c r="W783" s="36"/>
      <c r="X783" s="36"/>
      <c r="Y783" s="36"/>
      <c r="Z783" s="36"/>
      <c r="AA783" s="36"/>
    </row>
    <row r="784" spans="16:27" x14ac:dyDescent="0.2">
      <c r="P784" s="36"/>
      <c r="Q784" s="40"/>
      <c r="R784" s="40"/>
      <c r="S784" s="40"/>
      <c r="T784" s="41"/>
      <c r="U784" s="41"/>
      <c r="V784" s="41"/>
      <c r="W784" s="36"/>
      <c r="X784" s="36"/>
      <c r="Y784" s="36"/>
      <c r="Z784" s="36"/>
      <c r="AA784" s="36"/>
    </row>
    <row r="785" spans="16:27" x14ac:dyDescent="0.2">
      <c r="P785" s="36"/>
      <c r="Q785" s="40"/>
      <c r="R785" s="40"/>
      <c r="S785" s="40"/>
      <c r="T785" s="41"/>
      <c r="U785" s="41"/>
      <c r="V785" s="41"/>
      <c r="W785" s="36"/>
      <c r="X785" s="36"/>
      <c r="Y785" s="36"/>
      <c r="Z785" s="36"/>
      <c r="AA785" s="36"/>
    </row>
    <row r="786" spans="16:27" x14ac:dyDescent="0.2">
      <c r="P786" s="36"/>
      <c r="Q786" s="40"/>
      <c r="R786" s="40"/>
      <c r="S786" s="40"/>
      <c r="T786" s="41"/>
      <c r="U786" s="41"/>
      <c r="V786" s="41"/>
      <c r="W786" s="36"/>
      <c r="X786" s="36"/>
      <c r="Y786" s="36"/>
      <c r="Z786" s="36"/>
      <c r="AA786" s="36"/>
    </row>
    <row r="787" spans="16:27" x14ac:dyDescent="0.2">
      <c r="P787" s="36"/>
      <c r="Q787" s="40"/>
      <c r="R787" s="40"/>
      <c r="S787" s="40"/>
      <c r="T787" s="41"/>
      <c r="U787" s="41"/>
      <c r="V787" s="41"/>
      <c r="W787" s="36"/>
      <c r="X787" s="36"/>
      <c r="Y787" s="36"/>
      <c r="Z787" s="36"/>
      <c r="AA787" s="36"/>
    </row>
    <row r="788" spans="16:27" x14ac:dyDescent="0.2">
      <c r="P788" s="36"/>
      <c r="Q788" s="40"/>
      <c r="R788" s="40"/>
      <c r="S788" s="40"/>
      <c r="T788" s="41"/>
      <c r="U788" s="41"/>
      <c r="V788" s="41"/>
      <c r="W788" s="36"/>
      <c r="X788" s="36"/>
      <c r="Y788" s="36"/>
      <c r="Z788" s="36"/>
      <c r="AA788" s="36"/>
    </row>
    <row r="789" spans="16:27" x14ac:dyDescent="0.2">
      <c r="P789" s="36"/>
      <c r="Q789" s="40"/>
      <c r="R789" s="40"/>
      <c r="S789" s="40"/>
      <c r="T789" s="41"/>
      <c r="U789" s="41"/>
      <c r="V789" s="41"/>
      <c r="W789" s="36"/>
      <c r="X789" s="36"/>
      <c r="Y789" s="36"/>
      <c r="Z789" s="36"/>
      <c r="AA789" s="36"/>
    </row>
    <row r="790" spans="16:27" x14ac:dyDescent="0.2">
      <c r="P790" s="36"/>
      <c r="Q790" s="40"/>
      <c r="R790" s="40"/>
      <c r="S790" s="40"/>
      <c r="T790" s="41"/>
      <c r="U790" s="41"/>
      <c r="V790" s="41"/>
      <c r="W790" s="36"/>
      <c r="X790" s="36"/>
      <c r="Y790" s="36"/>
      <c r="Z790" s="36"/>
      <c r="AA790" s="36"/>
    </row>
    <row r="791" spans="16:27" x14ac:dyDescent="0.2">
      <c r="P791" s="36"/>
      <c r="Q791" s="40"/>
      <c r="R791" s="40"/>
      <c r="S791" s="40"/>
      <c r="T791" s="41"/>
      <c r="U791" s="41"/>
      <c r="V791" s="41"/>
      <c r="W791" s="36"/>
      <c r="X791" s="36"/>
      <c r="Y791" s="36"/>
      <c r="Z791" s="36"/>
      <c r="AA791" s="36"/>
    </row>
    <row r="792" spans="16:27" x14ac:dyDescent="0.2">
      <c r="P792" s="36"/>
      <c r="Q792" s="40"/>
      <c r="R792" s="40"/>
      <c r="S792" s="40"/>
      <c r="T792" s="41"/>
      <c r="U792" s="41"/>
      <c r="V792" s="41"/>
      <c r="W792" s="36"/>
      <c r="X792" s="36"/>
      <c r="Y792" s="36"/>
      <c r="Z792" s="36"/>
      <c r="AA792" s="36"/>
    </row>
    <row r="793" spans="16:27" x14ac:dyDescent="0.2">
      <c r="P793" s="36"/>
      <c r="Q793" s="40"/>
      <c r="R793" s="40"/>
      <c r="S793" s="40"/>
      <c r="T793" s="41"/>
      <c r="U793" s="41"/>
      <c r="V793" s="41"/>
      <c r="W793" s="36"/>
      <c r="X793" s="36"/>
      <c r="Y793" s="36"/>
      <c r="Z793" s="36"/>
      <c r="AA793" s="36"/>
    </row>
    <row r="794" spans="16:27" x14ac:dyDescent="0.2">
      <c r="P794" s="36"/>
      <c r="Q794" s="40"/>
      <c r="R794" s="40"/>
      <c r="S794" s="40"/>
      <c r="T794" s="41"/>
      <c r="U794" s="41"/>
      <c r="V794" s="41"/>
      <c r="W794" s="36"/>
      <c r="X794" s="36"/>
      <c r="Y794" s="36"/>
      <c r="Z794" s="36"/>
      <c r="AA794" s="36"/>
    </row>
    <row r="795" spans="16:27" x14ac:dyDescent="0.2">
      <c r="P795" s="36"/>
      <c r="Q795" s="40"/>
      <c r="R795" s="40"/>
      <c r="S795" s="40"/>
      <c r="T795" s="41"/>
      <c r="U795" s="41"/>
      <c r="V795" s="41"/>
      <c r="W795" s="36"/>
      <c r="X795" s="36"/>
      <c r="Y795" s="36"/>
      <c r="Z795" s="36"/>
      <c r="AA795" s="36"/>
    </row>
    <row r="796" spans="16:27" x14ac:dyDescent="0.2">
      <c r="P796" s="36"/>
      <c r="Q796" s="40"/>
      <c r="R796" s="40"/>
      <c r="S796" s="40"/>
      <c r="T796" s="41"/>
      <c r="U796" s="41"/>
      <c r="V796" s="41"/>
      <c r="W796" s="36"/>
      <c r="X796" s="36"/>
      <c r="Y796" s="36"/>
      <c r="Z796" s="36"/>
      <c r="AA796" s="36"/>
    </row>
    <row r="797" spans="16:27" x14ac:dyDescent="0.2">
      <c r="P797" s="36"/>
      <c r="Q797" s="40"/>
      <c r="R797" s="40"/>
      <c r="S797" s="40"/>
      <c r="T797" s="41"/>
      <c r="U797" s="41"/>
      <c r="V797" s="41"/>
      <c r="W797" s="36"/>
      <c r="X797" s="36"/>
      <c r="Y797" s="36"/>
      <c r="Z797" s="36"/>
      <c r="AA797" s="36"/>
    </row>
    <row r="798" spans="16:27" x14ac:dyDescent="0.2">
      <c r="P798" s="36"/>
      <c r="Q798" s="40"/>
      <c r="R798" s="40"/>
      <c r="S798" s="40"/>
      <c r="T798" s="41"/>
      <c r="U798" s="41"/>
      <c r="V798" s="41"/>
      <c r="W798" s="36"/>
      <c r="X798" s="36"/>
      <c r="Y798" s="36"/>
      <c r="Z798" s="36"/>
      <c r="AA798" s="36"/>
    </row>
    <row r="799" spans="16:27" x14ac:dyDescent="0.2">
      <c r="P799" s="36"/>
      <c r="Q799" s="40"/>
      <c r="R799" s="40"/>
      <c r="S799" s="40"/>
      <c r="T799" s="41"/>
      <c r="U799" s="41"/>
      <c r="V799" s="41"/>
      <c r="W799" s="36"/>
      <c r="X799" s="36"/>
      <c r="Y799" s="36"/>
      <c r="Z799" s="36"/>
      <c r="AA799" s="36"/>
    </row>
    <row r="800" spans="16:27" x14ac:dyDescent="0.2">
      <c r="P800" s="36"/>
      <c r="Q800" s="40"/>
      <c r="R800" s="40"/>
      <c r="S800" s="40"/>
      <c r="T800" s="41"/>
      <c r="U800" s="41"/>
      <c r="V800" s="41"/>
      <c r="W800" s="36"/>
      <c r="X800" s="36"/>
      <c r="Y800" s="36"/>
      <c r="Z800" s="36"/>
      <c r="AA800" s="36"/>
    </row>
    <row r="801" spans="16:27" x14ac:dyDescent="0.2">
      <c r="P801" s="36"/>
      <c r="Q801" s="40"/>
      <c r="R801" s="40"/>
      <c r="S801" s="40"/>
      <c r="T801" s="41"/>
      <c r="U801" s="41"/>
      <c r="V801" s="41"/>
      <c r="W801" s="36"/>
      <c r="X801" s="36"/>
      <c r="Y801" s="36"/>
      <c r="Z801" s="36"/>
      <c r="AA801" s="36"/>
    </row>
    <row r="802" spans="16:27" x14ac:dyDescent="0.2">
      <c r="P802" s="36"/>
      <c r="Q802" s="40"/>
      <c r="R802" s="40"/>
      <c r="S802" s="40"/>
      <c r="T802" s="41"/>
      <c r="U802" s="41"/>
      <c r="V802" s="41"/>
      <c r="W802" s="36"/>
      <c r="X802" s="36"/>
      <c r="Y802" s="36"/>
      <c r="Z802" s="36"/>
      <c r="AA802" s="36"/>
    </row>
    <row r="803" spans="16:27" x14ac:dyDescent="0.2">
      <c r="P803" s="36"/>
      <c r="Q803" s="40"/>
      <c r="R803" s="40"/>
      <c r="S803" s="40"/>
      <c r="T803" s="41"/>
      <c r="U803" s="41"/>
      <c r="V803" s="41"/>
      <c r="W803" s="36"/>
      <c r="X803" s="36"/>
      <c r="Y803" s="36"/>
      <c r="Z803" s="36"/>
      <c r="AA803" s="36"/>
    </row>
    <row r="804" spans="16:27" x14ac:dyDescent="0.2">
      <c r="P804" s="36"/>
      <c r="Q804" s="40"/>
      <c r="R804" s="40"/>
      <c r="S804" s="40"/>
      <c r="T804" s="41"/>
      <c r="U804" s="41"/>
      <c r="V804" s="41"/>
      <c r="W804" s="36"/>
      <c r="X804" s="36"/>
      <c r="Y804" s="36"/>
      <c r="Z804" s="36"/>
      <c r="AA804" s="36"/>
    </row>
    <row r="805" spans="16:27" x14ac:dyDescent="0.2">
      <c r="P805" s="36"/>
      <c r="Q805" s="40"/>
      <c r="R805" s="40"/>
      <c r="S805" s="40"/>
      <c r="T805" s="41"/>
      <c r="U805" s="41"/>
      <c r="V805" s="41"/>
      <c r="W805" s="36"/>
      <c r="X805" s="36"/>
      <c r="Y805" s="36"/>
      <c r="Z805" s="36"/>
      <c r="AA805" s="36"/>
    </row>
    <row r="806" spans="16:27" x14ac:dyDescent="0.2">
      <c r="P806" s="36"/>
      <c r="Q806" s="40"/>
      <c r="R806" s="40"/>
      <c r="S806" s="40"/>
      <c r="T806" s="41"/>
      <c r="U806" s="41"/>
      <c r="V806" s="41"/>
      <c r="W806" s="36"/>
      <c r="X806" s="36"/>
      <c r="Y806" s="36"/>
      <c r="Z806" s="36"/>
      <c r="AA806" s="36"/>
    </row>
    <row r="807" spans="16:27" x14ac:dyDescent="0.2">
      <c r="P807" s="36"/>
      <c r="Q807" s="40"/>
      <c r="R807" s="40"/>
      <c r="S807" s="40"/>
      <c r="T807" s="41"/>
      <c r="U807" s="41"/>
      <c r="V807" s="41"/>
      <c r="W807" s="36"/>
      <c r="X807" s="36"/>
      <c r="Y807" s="36"/>
      <c r="Z807" s="36"/>
      <c r="AA807" s="36"/>
    </row>
    <row r="808" spans="16:27" x14ac:dyDescent="0.2">
      <c r="P808" s="36"/>
      <c r="Q808" s="40"/>
      <c r="R808" s="40"/>
      <c r="S808" s="40"/>
      <c r="T808" s="41"/>
      <c r="U808" s="41"/>
      <c r="V808" s="41"/>
      <c r="W808" s="36"/>
      <c r="X808" s="36"/>
      <c r="Y808" s="36"/>
      <c r="Z808" s="36"/>
      <c r="AA808" s="36"/>
    </row>
    <row r="809" spans="16:27" x14ac:dyDescent="0.2">
      <c r="P809" s="36"/>
      <c r="Q809" s="40"/>
      <c r="R809" s="40"/>
      <c r="S809" s="40"/>
      <c r="T809" s="41"/>
      <c r="U809" s="41"/>
      <c r="V809" s="41"/>
      <c r="W809" s="36"/>
      <c r="X809" s="36"/>
      <c r="Y809" s="36"/>
      <c r="Z809" s="36"/>
      <c r="AA809" s="36"/>
    </row>
    <row r="810" spans="16:27" x14ac:dyDescent="0.2">
      <c r="P810" s="36"/>
      <c r="Q810" s="40"/>
      <c r="R810" s="40"/>
      <c r="S810" s="40"/>
      <c r="T810" s="41"/>
      <c r="U810" s="41"/>
      <c r="V810" s="41"/>
      <c r="W810" s="36"/>
      <c r="X810" s="36"/>
      <c r="Y810" s="36"/>
      <c r="Z810" s="36"/>
      <c r="AA810" s="36"/>
    </row>
    <row r="811" spans="16:27" x14ac:dyDescent="0.2">
      <c r="P811" s="36"/>
      <c r="Q811" s="40"/>
      <c r="R811" s="40"/>
      <c r="S811" s="40"/>
      <c r="T811" s="41"/>
      <c r="U811" s="41"/>
      <c r="V811" s="41"/>
      <c r="W811" s="36"/>
      <c r="X811" s="36"/>
      <c r="Y811" s="36"/>
      <c r="Z811" s="36"/>
      <c r="AA811" s="36"/>
    </row>
    <row r="812" spans="16:27" x14ac:dyDescent="0.2">
      <c r="P812" s="36"/>
      <c r="Q812" s="40"/>
      <c r="R812" s="40"/>
      <c r="S812" s="40"/>
      <c r="T812" s="41"/>
      <c r="U812" s="41"/>
      <c r="V812" s="41"/>
      <c r="W812" s="36"/>
      <c r="X812" s="36"/>
      <c r="Y812" s="36"/>
      <c r="Z812" s="36"/>
      <c r="AA812" s="36"/>
    </row>
    <row r="813" spans="16:27" x14ac:dyDescent="0.2">
      <c r="P813" s="36"/>
      <c r="Q813" s="40"/>
      <c r="R813" s="40"/>
      <c r="S813" s="40"/>
      <c r="T813" s="41"/>
      <c r="U813" s="41"/>
      <c r="V813" s="41"/>
      <c r="W813" s="36"/>
      <c r="X813" s="36"/>
      <c r="Y813" s="36"/>
      <c r="Z813" s="36"/>
      <c r="AA813" s="36"/>
    </row>
    <row r="814" spans="16:27" x14ac:dyDescent="0.2">
      <c r="P814" s="36"/>
      <c r="Q814" s="40"/>
      <c r="R814" s="40"/>
      <c r="S814" s="40"/>
      <c r="T814" s="41"/>
      <c r="U814" s="41"/>
      <c r="V814" s="41"/>
      <c r="W814" s="36"/>
      <c r="X814" s="36"/>
      <c r="Y814" s="36"/>
      <c r="Z814" s="36"/>
      <c r="AA814" s="36"/>
    </row>
    <row r="815" spans="16:27" x14ac:dyDescent="0.2">
      <c r="P815" s="36"/>
      <c r="Q815" s="40"/>
      <c r="R815" s="40"/>
      <c r="S815" s="40"/>
      <c r="T815" s="41"/>
      <c r="U815" s="41"/>
      <c r="V815" s="41"/>
      <c r="W815" s="36"/>
      <c r="X815" s="36"/>
      <c r="Y815" s="36"/>
      <c r="Z815" s="36"/>
      <c r="AA815" s="36"/>
    </row>
    <row r="816" spans="16:27" x14ac:dyDescent="0.2">
      <c r="P816" s="36"/>
      <c r="Q816" s="40"/>
      <c r="R816" s="40"/>
      <c r="S816" s="40"/>
      <c r="T816" s="41"/>
      <c r="U816" s="41"/>
      <c r="V816" s="41"/>
      <c r="W816" s="36"/>
      <c r="X816" s="36"/>
      <c r="Y816" s="36"/>
      <c r="Z816" s="36"/>
      <c r="AA816" s="36"/>
    </row>
    <row r="817" spans="16:27" x14ac:dyDescent="0.2">
      <c r="P817" s="36"/>
      <c r="Q817" s="40"/>
      <c r="R817" s="40"/>
      <c r="S817" s="40"/>
      <c r="T817" s="41"/>
      <c r="U817" s="41"/>
      <c r="V817" s="41"/>
      <c r="W817" s="36"/>
      <c r="X817" s="36"/>
      <c r="Y817" s="36"/>
      <c r="Z817" s="36"/>
      <c r="AA817" s="36"/>
    </row>
    <row r="818" spans="16:27" x14ac:dyDescent="0.2">
      <c r="P818" s="36"/>
      <c r="Q818" s="40"/>
      <c r="R818" s="40"/>
      <c r="S818" s="40"/>
      <c r="T818" s="41"/>
      <c r="U818" s="41"/>
      <c r="V818" s="41"/>
      <c r="W818" s="36"/>
      <c r="X818" s="36"/>
      <c r="Y818" s="36"/>
      <c r="Z818" s="36"/>
      <c r="AA818" s="36"/>
    </row>
    <row r="819" spans="16:27" x14ac:dyDescent="0.2">
      <c r="P819" s="36"/>
      <c r="Q819" s="40"/>
      <c r="R819" s="40"/>
      <c r="S819" s="40"/>
      <c r="T819" s="41"/>
      <c r="U819" s="41"/>
      <c r="V819" s="41"/>
      <c r="W819" s="36"/>
      <c r="X819" s="36"/>
      <c r="Y819" s="36"/>
      <c r="Z819" s="36"/>
      <c r="AA819" s="36"/>
    </row>
    <row r="820" spans="16:27" x14ac:dyDescent="0.2">
      <c r="P820" s="36"/>
      <c r="Q820" s="40"/>
      <c r="R820" s="40"/>
      <c r="S820" s="40"/>
      <c r="T820" s="41"/>
      <c r="U820" s="41"/>
      <c r="V820" s="41"/>
      <c r="W820" s="36"/>
      <c r="X820" s="36"/>
      <c r="Y820" s="36"/>
      <c r="Z820" s="36"/>
      <c r="AA820" s="36"/>
    </row>
    <row r="821" spans="16:27" x14ac:dyDescent="0.2">
      <c r="P821" s="36"/>
      <c r="Q821" s="40"/>
      <c r="R821" s="40"/>
      <c r="S821" s="40"/>
      <c r="T821" s="41"/>
      <c r="U821" s="41"/>
      <c r="V821" s="41"/>
      <c r="W821" s="36"/>
      <c r="X821" s="36"/>
      <c r="Y821" s="36"/>
      <c r="Z821" s="36"/>
      <c r="AA821" s="36"/>
    </row>
    <row r="822" spans="16:27" x14ac:dyDescent="0.2">
      <c r="P822" s="36"/>
      <c r="Q822" s="40"/>
      <c r="R822" s="40"/>
      <c r="S822" s="40"/>
      <c r="T822" s="41"/>
      <c r="U822" s="41"/>
      <c r="V822" s="41"/>
      <c r="W822" s="36"/>
      <c r="X822" s="36"/>
      <c r="Y822" s="36"/>
      <c r="Z822" s="36"/>
      <c r="AA822" s="36"/>
    </row>
    <row r="823" spans="16:27" x14ac:dyDescent="0.2">
      <c r="P823" s="36"/>
      <c r="Q823" s="40"/>
      <c r="R823" s="40"/>
      <c r="S823" s="40"/>
      <c r="T823" s="41"/>
      <c r="U823" s="41"/>
      <c r="V823" s="41"/>
      <c r="W823" s="36"/>
      <c r="X823" s="36"/>
      <c r="Y823" s="36"/>
      <c r="Z823" s="36"/>
      <c r="AA823" s="36"/>
    </row>
    <row r="824" spans="16:27" x14ac:dyDescent="0.2">
      <c r="P824" s="36"/>
      <c r="Q824" s="40"/>
      <c r="R824" s="40"/>
      <c r="S824" s="40"/>
      <c r="T824" s="41"/>
      <c r="U824" s="41"/>
      <c r="V824" s="41"/>
      <c r="W824" s="36"/>
      <c r="X824" s="36"/>
      <c r="Y824" s="36"/>
      <c r="Z824" s="36"/>
      <c r="AA824" s="36"/>
    </row>
    <row r="825" spans="16:27" x14ac:dyDescent="0.2">
      <c r="P825" s="36"/>
      <c r="Q825" s="40"/>
      <c r="R825" s="40"/>
      <c r="S825" s="40"/>
      <c r="T825" s="41"/>
      <c r="U825" s="41"/>
      <c r="V825" s="41"/>
      <c r="W825" s="36"/>
      <c r="X825" s="36"/>
      <c r="Y825" s="36"/>
      <c r="Z825" s="36"/>
      <c r="AA825" s="36"/>
    </row>
    <row r="826" spans="16:27" x14ac:dyDescent="0.2">
      <c r="P826" s="36"/>
      <c r="Q826" s="40"/>
      <c r="R826" s="40"/>
      <c r="S826" s="40"/>
      <c r="T826" s="41"/>
      <c r="U826" s="41"/>
      <c r="V826" s="41"/>
      <c r="W826" s="36"/>
      <c r="X826" s="36"/>
      <c r="Y826" s="36"/>
      <c r="Z826" s="36"/>
      <c r="AA826" s="36"/>
    </row>
    <row r="827" spans="16:27" x14ac:dyDescent="0.2">
      <c r="P827" s="36"/>
      <c r="Q827" s="40"/>
      <c r="R827" s="40"/>
      <c r="S827" s="40"/>
      <c r="T827" s="41"/>
      <c r="U827" s="41"/>
      <c r="V827" s="41"/>
      <c r="W827" s="36"/>
      <c r="X827" s="36"/>
      <c r="Y827" s="36"/>
      <c r="Z827" s="36"/>
      <c r="AA827" s="36"/>
    </row>
    <row r="828" spans="16:27" x14ac:dyDescent="0.2">
      <c r="P828" s="36"/>
      <c r="Q828" s="40"/>
      <c r="R828" s="40"/>
      <c r="S828" s="40"/>
      <c r="T828" s="41"/>
      <c r="U828" s="41"/>
      <c r="V828" s="41"/>
      <c r="W828" s="36"/>
      <c r="X828" s="36"/>
      <c r="Y828" s="36"/>
      <c r="Z828" s="36"/>
      <c r="AA828" s="36"/>
    </row>
    <row r="829" spans="16:27" x14ac:dyDescent="0.2">
      <c r="P829" s="36"/>
      <c r="Q829" s="40"/>
      <c r="R829" s="40"/>
      <c r="S829" s="40"/>
      <c r="T829" s="41"/>
      <c r="U829" s="41"/>
      <c r="V829" s="41"/>
      <c r="W829" s="36"/>
      <c r="X829" s="36"/>
      <c r="Y829" s="36"/>
      <c r="Z829" s="36"/>
      <c r="AA829" s="36"/>
    </row>
    <row r="830" spans="16:27" x14ac:dyDescent="0.2">
      <c r="P830" s="36"/>
      <c r="Q830" s="40"/>
      <c r="R830" s="40"/>
      <c r="S830" s="40"/>
      <c r="T830" s="41"/>
      <c r="U830" s="41"/>
      <c r="V830" s="41"/>
      <c r="W830" s="36"/>
      <c r="X830" s="36"/>
      <c r="Y830" s="36"/>
      <c r="Z830" s="36"/>
      <c r="AA830" s="36"/>
    </row>
    <row r="831" spans="16:27" x14ac:dyDescent="0.2">
      <c r="P831" s="36"/>
      <c r="Q831" s="40"/>
      <c r="R831" s="40"/>
      <c r="S831" s="40"/>
      <c r="T831" s="41"/>
      <c r="U831" s="41"/>
      <c r="V831" s="41"/>
      <c r="W831" s="36"/>
      <c r="X831" s="36"/>
      <c r="Y831" s="36"/>
      <c r="Z831" s="36"/>
      <c r="AA831" s="36"/>
    </row>
    <row r="832" spans="16:27" x14ac:dyDescent="0.2">
      <c r="P832" s="36"/>
      <c r="Q832" s="40"/>
      <c r="R832" s="40"/>
      <c r="S832" s="40"/>
      <c r="T832" s="41"/>
      <c r="U832" s="41"/>
      <c r="V832" s="41"/>
      <c r="W832" s="36"/>
      <c r="X832" s="36"/>
      <c r="Y832" s="36"/>
      <c r="Z832" s="36"/>
      <c r="AA832" s="36"/>
    </row>
    <row r="833" spans="16:27" x14ac:dyDescent="0.2">
      <c r="P833" s="36"/>
      <c r="Q833" s="40"/>
      <c r="R833" s="40"/>
      <c r="S833" s="40"/>
      <c r="T833" s="41"/>
      <c r="U833" s="41"/>
      <c r="V833" s="41"/>
      <c r="W833" s="36"/>
      <c r="X833" s="36"/>
      <c r="Y833" s="36"/>
      <c r="Z833" s="36"/>
      <c r="AA833" s="36"/>
    </row>
    <row r="834" spans="16:27" x14ac:dyDescent="0.2">
      <c r="P834" s="36"/>
      <c r="Q834" s="40"/>
      <c r="R834" s="40"/>
      <c r="S834" s="40"/>
      <c r="T834" s="41"/>
      <c r="U834" s="41"/>
      <c r="V834" s="41"/>
      <c r="W834" s="36"/>
      <c r="X834" s="36"/>
      <c r="Y834" s="36"/>
      <c r="Z834" s="36"/>
      <c r="AA834" s="36"/>
    </row>
    <row r="835" spans="16:27" x14ac:dyDescent="0.2">
      <c r="P835" s="36"/>
      <c r="Q835" s="40"/>
      <c r="R835" s="40"/>
      <c r="S835" s="40"/>
      <c r="T835" s="41"/>
      <c r="U835" s="41"/>
      <c r="V835" s="41"/>
      <c r="W835" s="36"/>
      <c r="X835" s="36"/>
      <c r="Y835" s="36"/>
      <c r="Z835" s="36"/>
      <c r="AA835" s="36"/>
    </row>
    <row r="836" spans="16:27" x14ac:dyDescent="0.2">
      <c r="P836" s="36"/>
      <c r="Q836" s="40"/>
      <c r="R836" s="40"/>
      <c r="S836" s="40"/>
      <c r="T836" s="41"/>
      <c r="U836" s="41"/>
      <c r="V836" s="41"/>
      <c r="W836" s="36"/>
      <c r="X836" s="36"/>
      <c r="Y836" s="36"/>
      <c r="Z836" s="36"/>
      <c r="AA836" s="36"/>
    </row>
    <row r="837" spans="16:27" x14ac:dyDescent="0.2">
      <c r="P837" s="36"/>
      <c r="Q837" s="40"/>
      <c r="R837" s="40"/>
      <c r="S837" s="40"/>
      <c r="T837" s="41"/>
      <c r="U837" s="41"/>
      <c r="V837" s="41"/>
      <c r="W837" s="36"/>
      <c r="X837" s="36"/>
      <c r="Y837" s="36"/>
      <c r="Z837" s="36"/>
      <c r="AA837" s="36"/>
    </row>
    <row r="838" spans="16:27" x14ac:dyDescent="0.2">
      <c r="P838" s="36"/>
      <c r="Q838" s="40"/>
      <c r="R838" s="40"/>
      <c r="S838" s="40"/>
      <c r="T838" s="41"/>
      <c r="U838" s="41"/>
      <c r="V838" s="41"/>
      <c r="W838" s="36"/>
      <c r="X838" s="36"/>
      <c r="Y838" s="36"/>
      <c r="Z838" s="36"/>
      <c r="AA838" s="36"/>
    </row>
    <row r="839" spans="16:27" x14ac:dyDescent="0.2">
      <c r="P839" s="36"/>
      <c r="Q839" s="40"/>
      <c r="R839" s="40"/>
      <c r="S839" s="40"/>
      <c r="T839" s="41"/>
      <c r="U839" s="41"/>
      <c r="V839" s="41"/>
      <c r="W839" s="36"/>
      <c r="X839" s="36"/>
      <c r="Y839" s="36"/>
      <c r="Z839" s="36"/>
      <c r="AA839" s="36"/>
    </row>
    <row r="840" spans="16:27" x14ac:dyDescent="0.2">
      <c r="P840" s="36"/>
      <c r="Q840" s="40"/>
      <c r="R840" s="40"/>
      <c r="S840" s="40"/>
      <c r="T840" s="41"/>
      <c r="U840" s="41"/>
      <c r="V840" s="41"/>
      <c r="W840" s="36"/>
      <c r="X840" s="36"/>
      <c r="Y840" s="36"/>
      <c r="Z840" s="36"/>
      <c r="AA840" s="36"/>
    </row>
    <row r="841" spans="16:27" x14ac:dyDescent="0.2">
      <c r="P841" s="36"/>
      <c r="Q841" s="40"/>
      <c r="R841" s="40"/>
      <c r="S841" s="40"/>
      <c r="T841" s="41"/>
      <c r="U841" s="41"/>
      <c r="V841" s="41"/>
      <c r="W841" s="36"/>
      <c r="X841" s="36"/>
      <c r="Y841" s="36"/>
      <c r="Z841" s="36"/>
      <c r="AA841" s="36"/>
    </row>
    <row r="842" spans="16:27" x14ac:dyDescent="0.2">
      <c r="P842" s="36"/>
      <c r="Q842" s="40"/>
      <c r="R842" s="40"/>
      <c r="S842" s="40"/>
      <c r="T842" s="41"/>
      <c r="U842" s="41"/>
      <c r="V842" s="41"/>
      <c r="W842" s="36"/>
      <c r="X842" s="36"/>
      <c r="Y842" s="36"/>
      <c r="Z842" s="36"/>
      <c r="AA842" s="36"/>
    </row>
    <row r="843" spans="16:27" x14ac:dyDescent="0.2">
      <c r="P843" s="36"/>
      <c r="Q843" s="40"/>
      <c r="R843" s="40"/>
      <c r="S843" s="40"/>
      <c r="T843" s="41"/>
      <c r="U843" s="41"/>
      <c r="V843" s="41"/>
      <c r="W843" s="36"/>
      <c r="X843" s="36"/>
      <c r="Y843" s="36"/>
      <c r="Z843" s="36"/>
      <c r="AA843" s="36"/>
    </row>
    <row r="844" spans="16:27" x14ac:dyDescent="0.2">
      <c r="P844" s="36"/>
      <c r="Q844" s="40"/>
      <c r="R844" s="40"/>
      <c r="S844" s="40"/>
      <c r="T844" s="41"/>
      <c r="U844" s="41"/>
      <c r="V844" s="41"/>
      <c r="W844" s="36"/>
      <c r="X844" s="36"/>
      <c r="Y844" s="36"/>
      <c r="Z844" s="36"/>
      <c r="AA844" s="36"/>
    </row>
    <row r="845" spans="16:27" x14ac:dyDescent="0.2">
      <c r="P845" s="36"/>
      <c r="Q845" s="40"/>
      <c r="R845" s="40"/>
      <c r="S845" s="40"/>
      <c r="T845" s="41"/>
      <c r="U845" s="41"/>
      <c r="V845" s="41"/>
      <c r="W845" s="36"/>
      <c r="X845" s="36"/>
      <c r="Y845" s="36"/>
      <c r="Z845" s="36"/>
      <c r="AA845" s="36"/>
    </row>
    <row r="846" spans="16:27" x14ac:dyDescent="0.2">
      <c r="P846" s="36"/>
      <c r="Q846" s="40"/>
      <c r="R846" s="40"/>
      <c r="S846" s="40"/>
      <c r="T846" s="41"/>
      <c r="U846" s="41"/>
      <c r="V846" s="41"/>
      <c r="W846" s="36"/>
      <c r="X846" s="36"/>
      <c r="Y846" s="36"/>
      <c r="Z846" s="36"/>
      <c r="AA846" s="36"/>
    </row>
    <row r="847" spans="16:27" x14ac:dyDescent="0.2">
      <c r="P847" s="36"/>
      <c r="Q847" s="40"/>
      <c r="R847" s="40"/>
      <c r="S847" s="40"/>
      <c r="T847" s="41"/>
      <c r="U847" s="41"/>
      <c r="V847" s="41"/>
      <c r="W847" s="36"/>
      <c r="X847" s="36"/>
      <c r="Y847" s="36"/>
      <c r="Z847" s="36"/>
      <c r="AA847" s="36"/>
    </row>
    <row r="848" spans="16:27" x14ac:dyDescent="0.2">
      <c r="P848" s="36"/>
      <c r="Q848" s="40"/>
      <c r="R848" s="40"/>
      <c r="S848" s="40"/>
      <c r="T848" s="41"/>
      <c r="U848" s="41"/>
      <c r="V848" s="41"/>
      <c r="W848" s="36"/>
      <c r="X848" s="36"/>
      <c r="Y848" s="36"/>
      <c r="Z848" s="36"/>
      <c r="AA848" s="36"/>
    </row>
    <row r="849" spans="16:27" x14ac:dyDescent="0.2">
      <c r="P849" s="36"/>
      <c r="Q849" s="40"/>
      <c r="R849" s="40"/>
      <c r="S849" s="40"/>
      <c r="T849" s="41"/>
      <c r="U849" s="41"/>
      <c r="V849" s="41"/>
      <c r="W849" s="36"/>
      <c r="X849" s="36"/>
      <c r="Y849" s="36"/>
      <c r="Z849" s="36"/>
      <c r="AA849" s="36"/>
    </row>
    <row r="850" spans="16:27" x14ac:dyDescent="0.2">
      <c r="P850" s="36"/>
      <c r="Q850" s="40"/>
      <c r="R850" s="40"/>
      <c r="S850" s="40"/>
      <c r="T850" s="41"/>
      <c r="U850" s="41"/>
      <c r="V850" s="41"/>
      <c r="W850" s="36"/>
      <c r="X850" s="36"/>
      <c r="Y850" s="36"/>
      <c r="Z850" s="36"/>
      <c r="AA850" s="36"/>
    </row>
    <row r="851" spans="16:27" x14ac:dyDescent="0.2">
      <c r="P851" s="36"/>
      <c r="Q851" s="40"/>
      <c r="R851" s="40"/>
      <c r="S851" s="40"/>
      <c r="T851" s="41"/>
      <c r="U851" s="41"/>
      <c r="V851" s="41"/>
      <c r="W851" s="36"/>
      <c r="X851" s="36"/>
      <c r="Y851" s="36"/>
      <c r="Z851" s="36"/>
      <c r="AA851" s="36"/>
    </row>
    <row r="852" spans="16:27" x14ac:dyDescent="0.2">
      <c r="P852" s="36"/>
      <c r="Q852" s="40"/>
      <c r="R852" s="40"/>
      <c r="S852" s="40"/>
      <c r="T852" s="41"/>
      <c r="U852" s="41"/>
      <c r="V852" s="41"/>
      <c r="W852" s="36"/>
      <c r="X852" s="36"/>
      <c r="Y852" s="36"/>
      <c r="Z852" s="36"/>
      <c r="AA852" s="36"/>
    </row>
    <row r="853" spans="16:27" x14ac:dyDescent="0.2">
      <c r="P853" s="36"/>
      <c r="Q853" s="40"/>
      <c r="R853" s="40"/>
      <c r="S853" s="40"/>
      <c r="T853" s="41"/>
      <c r="U853" s="41"/>
      <c r="V853" s="41"/>
      <c r="W853" s="36"/>
      <c r="X853" s="36"/>
      <c r="Y853" s="36"/>
      <c r="Z853" s="36"/>
      <c r="AA853" s="36"/>
    </row>
    <row r="854" spans="16:27" x14ac:dyDescent="0.2">
      <c r="P854" s="36"/>
      <c r="Q854" s="40"/>
      <c r="R854" s="40"/>
      <c r="S854" s="40"/>
      <c r="T854" s="41"/>
      <c r="U854" s="41"/>
      <c r="V854" s="41"/>
      <c r="W854" s="36"/>
      <c r="X854" s="36"/>
      <c r="Y854" s="36"/>
      <c r="Z854" s="36"/>
      <c r="AA854" s="36"/>
    </row>
    <row r="855" spans="16:27" x14ac:dyDescent="0.2">
      <c r="P855" s="36"/>
      <c r="Q855" s="40"/>
      <c r="R855" s="40"/>
      <c r="S855" s="40"/>
      <c r="T855" s="41"/>
      <c r="U855" s="41"/>
      <c r="V855" s="41"/>
      <c r="W855" s="36"/>
      <c r="X855" s="36"/>
      <c r="Y855" s="36"/>
      <c r="Z855" s="36"/>
      <c r="AA855" s="36"/>
    </row>
    <row r="856" spans="16:27" x14ac:dyDescent="0.2">
      <c r="P856" s="36"/>
      <c r="Q856" s="40"/>
      <c r="R856" s="40"/>
      <c r="S856" s="40"/>
      <c r="T856" s="41"/>
      <c r="U856" s="41"/>
      <c r="V856" s="41"/>
      <c r="W856" s="36"/>
      <c r="X856" s="36"/>
      <c r="Y856" s="36"/>
      <c r="Z856" s="36"/>
      <c r="AA856" s="36"/>
    </row>
    <row r="857" spans="16:27" x14ac:dyDescent="0.2">
      <c r="P857" s="36"/>
      <c r="Q857" s="40"/>
      <c r="R857" s="40"/>
      <c r="S857" s="40"/>
      <c r="T857" s="41"/>
      <c r="U857" s="41"/>
      <c r="V857" s="41"/>
      <c r="W857" s="36"/>
      <c r="X857" s="36"/>
      <c r="Y857" s="36"/>
      <c r="Z857" s="36"/>
      <c r="AA857" s="36"/>
    </row>
    <row r="858" spans="16:27" x14ac:dyDescent="0.2">
      <c r="P858" s="36"/>
      <c r="Q858" s="40"/>
      <c r="R858" s="40"/>
      <c r="S858" s="40"/>
      <c r="T858" s="41"/>
      <c r="U858" s="41"/>
      <c r="V858" s="41"/>
      <c r="W858" s="36"/>
      <c r="X858" s="36"/>
      <c r="Y858" s="36"/>
      <c r="Z858" s="36"/>
      <c r="AA858" s="36"/>
    </row>
    <row r="859" spans="16:27" x14ac:dyDescent="0.2">
      <c r="P859" s="36"/>
      <c r="Q859" s="40"/>
      <c r="R859" s="40"/>
      <c r="S859" s="40"/>
      <c r="T859" s="41"/>
      <c r="U859" s="41"/>
      <c r="V859" s="41"/>
      <c r="W859" s="36"/>
      <c r="X859" s="36"/>
      <c r="Y859" s="36"/>
      <c r="Z859" s="36"/>
      <c r="AA859" s="36"/>
    </row>
    <row r="860" spans="16:27" x14ac:dyDescent="0.2">
      <c r="P860" s="36"/>
      <c r="Q860" s="40"/>
      <c r="R860" s="40"/>
      <c r="S860" s="40"/>
      <c r="T860" s="41"/>
      <c r="U860" s="41"/>
      <c r="V860" s="41"/>
      <c r="W860" s="36"/>
      <c r="X860" s="36"/>
      <c r="Y860" s="36"/>
      <c r="Z860" s="36"/>
      <c r="AA860" s="36"/>
    </row>
    <row r="861" spans="16:27" x14ac:dyDescent="0.2">
      <c r="P861" s="36"/>
      <c r="Q861" s="40"/>
      <c r="R861" s="40"/>
      <c r="S861" s="40"/>
      <c r="T861" s="41"/>
      <c r="U861" s="41"/>
      <c r="V861" s="41"/>
      <c r="W861" s="36"/>
      <c r="X861" s="36"/>
      <c r="Y861" s="36"/>
      <c r="Z861" s="36"/>
      <c r="AA861" s="36"/>
    </row>
    <row r="862" spans="16:27" x14ac:dyDescent="0.2">
      <c r="P862" s="36"/>
      <c r="Q862" s="40"/>
      <c r="R862" s="40"/>
      <c r="S862" s="40"/>
      <c r="T862" s="41"/>
      <c r="U862" s="41"/>
      <c r="V862" s="41"/>
      <c r="W862" s="36"/>
      <c r="X862" s="36"/>
      <c r="Y862" s="36"/>
      <c r="Z862" s="36"/>
      <c r="AA862" s="36"/>
    </row>
    <row r="863" spans="16:27" x14ac:dyDescent="0.2">
      <c r="P863" s="36"/>
      <c r="Q863" s="40"/>
      <c r="R863" s="40"/>
      <c r="S863" s="40"/>
      <c r="T863" s="41"/>
      <c r="U863" s="41"/>
      <c r="V863" s="41"/>
      <c r="W863" s="36"/>
      <c r="X863" s="36"/>
      <c r="Y863" s="36"/>
      <c r="Z863" s="36"/>
      <c r="AA863" s="36"/>
    </row>
    <row r="864" spans="16:27" x14ac:dyDescent="0.2">
      <c r="P864" s="36"/>
      <c r="Q864" s="40"/>
      <c r="R864" s="40"/>
      <c r="S864" s="40"/>
      <c r="T864" s="41"/>
      <c r="U864" s="41"/>
      <c r="V864" s="41"/>
      <c r="W864" s="36"/>
      <c r="X864" s="36"/>
      <c r="Y864" s="36"/>
      <c r="Z864" s="36"/>
      <c r="AA864" s="36"/>
    </row>
    <row r="865" spans="16:27" x14ac:dyDescent="0.2">
      <c r="P865" s="36"/>
      <c r="Q865" s="40"/>
      <c r="R865" s="40"/>
      <c r="S865" s="40"/>
      <c r="T865" s="41"/>
      <c r="U865" s="41"/>
      <c r="V865" s="41"/>
      <c r="W865" s="36"/>
      <c r="X865" s="36"/>
      <c r="Y865" s="36"/>
      <c r="Z865" s="36"/>
      <c r="AA865" s="36"/>
    </row>
    <row r="866" spans="16:27" x14ac:dyDescent="0.2">
      <c r="P866" s="36"/>
      <c r="Q866" s="40"/>
      <c r="R866" s="40"/>
      <c r="S866" s="40"/>
      <c r="T866" s="41"/>
      <c r="U866" s="41"/>
      <c r="V866" s="41"/>
      <c r="W866" s="36"/>
      <c r="X866" s="36"/>
      <c r="Y866" s="36"/>
      <c r="Z866" s="36"/>
      <c r="AA866" s="36"/>
    </row>
    <row r="867" spans="16:27" x14ac:dyDescent="0.2">
      <c r="P867" s="36"/>
      <c r="Q867" s="40"/>
      <c r="R867" s="40"/>
      <c r="S867" s="40"/>
      <c r="T867" s="41"/>
      <c r="U867" s="41"/>
      <c r="V867" s="41"/>
      <c r="W867" s="36"/>
      <c r="X867" s="36"/>
      <c r="Y867" s="36"/>
      <c r="Z867" s="36"/>
      <c r="AA867" s="36"/>
    </row>
    <row r="868" spans="16:27" x14ac:dyDescent="0.2">
      <c r="P868" s="36"/>
      <c r="Q868" s="40"/>
      <c r="R868" s="40"/>
      <c r="S868" s="40"/>
      <c r="T868" s="41"/>
      <c r="U868" s="41"/>
      <c r="V868" s="41"/>
      <c r="W868" s="36"/>
      <c r="X868" s="36"/>
      <c r="Y868" s="36"/>
      <c r="Z868" s="36"/>
      <c r="AA868" s="36"/>
    </row>
    <row r="869" spans="16:27" x14ac:dyDescent="0.2">
      <c r="P869" s="36"/>
      <c r="Q869" s="40"/>
      <c r="R869" s="40"/>
      <c r="S869" s="40"/>
      <c r="T869" s="41"/>
      <c r="U869" s="41"/>
      <c r="V869" s="41"/>
      <c r="W869" s="36"/>
      <c r="X869" s="36"/>
      <c r="Y869" s="36"/>
      <c r="Z869" s="36"/>
      <c r="AA869" s="36"/>
    </row>
    <row r="870" spans="16:27" x14ac:dyDescent="0.2">
      <c r="P870" s="36"/>
      <c r="Q870" s="40"/>
      <c r="R870" s="40"/>
      <c r="S870" s="40"/>
      <c r="T870" s="41"/>
      <c r="U870" s="41"/>
      <c r="V870" s="41"/>
      <c r="W870" s="36"/>
      <c r="X870" s="36"/>
      <c r="Y870" s="36"/>
      <c r="Z870" s="36"/>
      <c r="AA870" s="36"/>
    </row>
    <row r="871" spans="16:27" x14ac:dyDescent="0.2">
      <c r="P871" s="36"/>
      <c r="Q871" s="40"/>
      <c r="R871" s="40"/>
      <c r="S871" s="40"/>
      <c r="T871" s="41"/>
      <c r="U871" s="41"/>
      <c r="V871" s="41"/>
      <c r="W871" s="36"/>
      <c r="X871" s="36"/>
      <c r="Y871" s="36"/>
      <c r="Z871" s="36"/>
      <c r="AA871" s="36"/>
    </row>
    <row r="872" spans="16:27" x14ac:dyDescent="0.2">
      <c r="P872" s="36"/>
      <c r="Q872" s="40"/>
      <c r="R872" s="40"/>
      <c r="S872" s="40"/>
      <c r="T872" s="41"/>
      <c r="U872" s="41"/>
      <c r="V872" s="41"/>
      <c r="W872" s="36"/>
      <c r="X872" s="36"/>
      <c r="Y872" s="36"/>
      <c r="Z872" s="36"/>
      <c r="AA872" s="36"/>
    </row>
    <row r="873" spans="16:27" x14ac:dyDescent="0.2">
      <c r="P873" s="36"/>
      <c r="Q873" s="40"/>
      <c r="R873" s="40"/>
      <c r="S873" s="40"/>
      <c r="T873" s="41"/>
      <c r="U873" s="41"/>
      <c r="V873" s="41"/>
      <c r="W873" s="36"/>
      <c r="X873" s="36"/>
      <c r="Y873" s="36"/>
      <c r="Z873" s="36"/>
      <c r="AA873" s="36"/>
    </row>
    <row r="874" spans="16:27" x14ac:dyDescent="0.2">
      <c r="P874" s="36"/>
      <c r="Q874" s="40"/>
      <c r="R874" s="40"/>
      <c r="S874" s="40"/>
      <c r="T874" s="41"/>
      <c r="U874" s="41"/>
      <c r="V874" s="41"/>
      <c r="W874" s="36"/>
      <c r="X874" s="36"/>
      <c r="Y874" s="36"/>
      <c r="Z874" s="36"/>
      <c r="AA874" s="36"/>
    </row>
    <row r="875" spans="16:27" x14ac:dyDescent="0.2">
      <c r="P875" s="36"/>
      <c r="Q875" s="40"/>
      <c r="R875" s="40"/>
      <c r="S875" s="40"/>
      <c r="T875" s="41"/>
      <c r="U875" s="41"/>
      <c r="V875" s="41"/>
      <c r="W875" s="36"/>
      <c r="X875" s="36"/>
      <c r="Y875" s="36"/>
      <c r="Z875" s="36"/>
      <c r="AA875" s="36"/>
    </row>
    <row r="876" spans="16:27" x14ac:dyDescent="0.2">
      <c r="P876" s="36"/>
      <c r="Q876" s="40"/>
      <c r="R876" s="40"/>
      <c r="S876" s="40"/>
      <c r="T876" s="41"/>
      <c r="U876" s="41"/>
      <c r="V876" s="41"/>
      <c r="W876" s="36"/>
      <c r="X876" s="36"/>
      <c r="Y876" s="36"/>
      <c r="Z876" s="36"/>
      <c r="AA876" s="36"/>
    </row>
    <row r="877" spans="16:27" x14ac:dyDescent="0.2">
      <c r="P877" s="36"/>
      <c r="Q877" s="40"/>
      <c r="R877" s="40"/>
      <c r="S877" s="40"/>
      <c r="T877" s="41"/>
      <c r="U877" s="41"/>
      <c r="V877" s="41"/>
      <c r="W877" s="36"/>
      <c r="X877" s="36"/>
      <c r="Y877" s="36"/>
      <c r="Z877" s="36"/>
      <c r="AA877" s="36"/>
    </row>
    <row r="878" spans="16:27" x14ac:dyDescent="0.2">
      <c r="P878" s="36"/>
      <c r="Q878" s="40"/>
      <c r="R878" s="40"/>
      <c r="S878" s="40"/>
      <c r="T878" s="41"/>
      <c r="U878" s="41"/>
      <c r="V878" s="41"/>
      <c r="W878" s="36"/>
      <c r="X878" s="36"/>
      <c r="Y878" s="36"/>
      <c r="Z878" s="36"/>
      <c r="AA878" s="36"/>
    </row>
    <row r="879" spans="16:27" x14ac:dyDescent="0.2">
      <c r="P879" s="36"/>
      <c r="Q879" s="40"/>
      <c r="R879" s="40"/>
      <c r="S879" s="40"/>
      <c r="T879" s="41"/>
      <c r="U879" s="41"/>
      <c r="V879" s="41"/>
      <c r="W879" s="36"/>
      <c r="X879" s="36"/>
      <c r="Y879" s="36"/>
      <c r="Z879" s="36"/>
      <c r="AA879" s="36"/>
    </row>
    <row r="880" spans="16:27" x14ac:dyDescent="0.2">
      <c r="P880" s="36"/>
      <c r="Q880" s="40"/>
      <c r="R880" s="40"/>
      <c r="S880" s="40"/>
      <c r="T880" s="41"/>
      <c r="U880" s="41"/>
      <c r="V880" s="41"/>
      <c r="W880" s="36"/>
      <c r="X880" s="36"/>
      <c r="Y880" s="36"/>
      <c r="Z880" s="36"/>
      <c r="AA880" s="36"/>
    </row>
    <row r="881" spans="16:27" x14ac:dyDescent="0.2">
      <c r="P881" s="36"/>
      <c r="Q881" s="40"/>
      <c r="R881" s="40"/>
      <c r="S881" s="40"/>
      <c r="T881" s="41"/>
      <c r="U881" s="41"/>
      <c r="V881" s="41"/>
      <c r="W881" s="36"/>
      <c r="X881" s="36"/>
      <c r="Y881" s="36"/>
      <c r="Z881" s="36"/>
      <c r="AA881" s="36"/>
    </row>
    <row r="882" spans="16:27" x14ac:dyDescent="0.2">
      <c r="P882" s="36"/>
      <c r="Q882" s="40"/>
      <c r="R882" s="40"/>
      <c r="S882" s="40"/>
      <c r="T882" s="41"/>
      <c r="U882" s="41"/>
      <c r="V882" s="41"/>
      <c r="W882" s="36"/>
      <c r="X882" s="36"/>
      <c r="Y882" s="36"/>
      <c r="Z882" s="36"/>
      <c r="AA882" s="36"/>
    </row>
    <row r="883" spans="16:27" x14ac:dyDescent="0.2">
      <c r="P883" s="36"/>
      <c r="Q883" s="40"/>
      <c r="R883" s="40"/>
      <c r="S883" s="40"/>
      <c r="T883" s="41"/>
      <c r="U883" s="41"/>
      <c r="V883" s="41"/>
      <c r="W883" s="36"/>
      <c r="X883" s="36"/>
      <c r="Y883" s="36"/>
      <c r="Z883" s="36"/>
      <c r="AA883" s="36"/>
    </row>
    <row r="884" spans="16:27" x14ac:dyDescent="0.2">
      <c r="P884" s="36"/>
      <c r="Q884" s="40"/>
      <c r="R884" s="40"/>
      <c r="S884" s="40"/>
      <c r="T884" s="41"/>
      <c r="U884" s="41"/>
      <c r="V884" s="41"/>
      <c r="W884" s="36"/>
      <c r="X884" s="36"/>
      <c r="Y884" s="36"/>
      <c r="Z884" s="36"/>
      <c r="AA884" s="36"/>
    </row>
    <row r="885" spans="16:27" x14ac:dyDescent="0.2">
      <c r="P885" s="36"/>
      <c r="Q885" s="40"/>
      <c r="R885" s="40"/>
      <c r="S885" s="40"/>
      <c r="T885" s="41"/>
      <c r="U885" s="41"/>
      <c r="V885" s="41"/>
      <c r="W885" s="36"/>
      <c r="X885" s="36"/>
      <c r="Y885" s="36"/>
      <c r="Z885" s="36"/>
      <c r="AA885" s="36"/>
    </row>
    <row r="886" spans="16:27" x14ac:dyDescent="0.2">
      <c r="P886" s="36"/>
      <c r="Q886" s="40"/>
      <c r="R886" s="40"/>
      <c r="S886" s="40"/>
      <c r="T886" s="41"/>
      <c r="U886" s="41"/>
      <c r="V886" s="41"/>
      <c r="W886" s="36"/>
      <c r="X886" s="36"/>
      <c r="Y886" s="36"/>
      <c r="Z886" s="36"/>
      <c r="AA886" s="36"/>
    </row>
    <row r="887" spans="16:27" x14ac:dyDescent="0.2">
      <c r="P887" s="36"/>
      <c r="Q887" s="40"/>
      <c r="R887" s="40"/>
      <c r="S887" s="40"/>
      <c r="T887" s="41"/>
      <c r="U887" s="41"/>
      <c r="V887" s="41"/>
      <c r="W887" s="36"/>
      <c r="X887" s="36"/>
      <c r="Y887" s="36"/>
      <c r="Z887" s="36"/>
      <c r="AA887" s="36"/>
    </row>
    <row r="888" spans="16:27" x14ac:dyDescent="0.2">
      <c r="P888" s="36"/>
      <c r="Q888" s="40"/>
      <c r="R888" s="40"/>
      <c r="S888" s="40"/>
      <c r="T888" s="41"/>
      <c r="U888" s="41"/>
      <c r="V888" s="41"/>
      <c r="W888" s="36"/>
      <c r="X888" s="36"/>
      <c r="Y888" s="36"/>
      <c r="Z888" s="36"/>
      <c r="AA888" s="36"/>
    </row>
    <row r="889" spans="16:27" x14ac:dyDescent="0.2">
      <c r="P889" s="36"/>
      <c r="Q889" s="40"/>
      <c r="R889" s="40"/>
      <c r="S889" s="40"/>
      <c r="T889" s="41"/>
      <c r="U889" s="41"/>
      <c r="V889" s="41"/>
      <c r="W889" s="36"/>
      <c r="X889" s="36"/>
      <c r="Y889" s="36"/>
      <c r="Z889" s="36"/>
      <c r="AA889" s="36"/>
    </row>
    <row r="890" spans="16:27" x14ac:dyDescent="0.2">
      <c r="P890" s="36"/>
      <c r="Q890" s="40"/>
      <c r="R890" s="40"/>
      <c r="S890" s="40"/>
      <c r="T890" s="41"/>
      <c r="U890" s="41"/>
      <c r="V890" s="41"/>
      <c r="W890" s="36"/>
      <c r="X890" s="36"/>
      <c r="Y890" s="36"/>
      <c r="Z890" s="36"/>
      <c r="AA890" s="36"/>
    </row>
    <row r="891" spans="16:27" x14ac:dyDescent="0.2">
      <c r="P891" s="36"/>
      <c r="Q891" s="40"/>
      <c r="R891" s="40"/>
      <c r="S891" s="40"/>
      <c r="T891" s="41"/>
      <c r="U891" s="41"/>
      <c r="V891" s="41"/>
      <c r="W891" s="36"/>
      <c r="X891" s="36"/>
      <c r="Y891" s="36"/>
      <c r="Z891" s="36"/>
      <c r="AA891" s="36"/>
    </row>
    <row r="892" spans="16:27" x14ac:dyDescent="0.2">
      <c r="P892" s="36"/>
      <c r="Q892" s="40"/>
      <c r="R892" s="40"/>
      <c r="S892" s="40"/>
      <c r="T892" s="41"/>
      <c r="U892" s="41"/>
      <c r="V892" s="41"/>
      <c r="W892" s="36"/>
      <c r="X892" s="36"/>
      <c r="Y892" s="36"/>
      <c r="Z892" s="36"/>
      <c r="AA892" s="36"/>
    </row>
    <row r="893" spans="16:27" x14ac:dyDescent="0.2">
      <c r="P893" s="36"/>
      <c r="Q893" s="40"/>
      <c r="R893" s="40"/>
      <c r="S893" s="40"/>
      <c r="T893" s="41"/>
      <c r="U893" s="41"/>
      <c r="V893" s="41"/>
      <c r="W893" s="36"/>
      <c r="X893" s="36"/>
      <c r="Y893" s="36"/>
      <c r="Z893" s="36"/>
      <c r="AA893" s="36"/>
    </row>
    <row r="894" spans="16:27" x14ac:dyDescent="0.2">
      <c r="P894" s="36"/>
      <c r="Q894" s="40"/>
      <c r="R894" s="40"/>
      <c r="S894" s="40"/>
      <c r="T894" s="41"/>
      <c r="U894" s="41"/>
      <c r="V894" s="41"/>
      <c r="W894" s="36"/>
      <c r="X894" s="36"/>
      <c r="Y894" s="36"/>
      <c r="Z894" s="36"/>
      <c r="AA894" s="36"/>
    </row>
    <row r="895" spans="16:27" x14ac:dyDescent="0.2">
      <c r="P895" s="36"/>
      <c r="Q895" s="40"/>
      <c r="R895" s="40"/>
      <c r="S895" s="40"/>
      <c r="T895" s="41"/>
      <c r="U895" s="41"/>
      <c r="V895" s="41"/>
      <c r="W895" s="36"/>
      <c r="X895" s="36"/>
      <c r="Y895" s="36"/>
      <c r="Z895" s="36"/>
      <c r="AA895" s="36"/>
    </row>
    <row r="896" spans="16:27" x14ac:dyDescent="0.2">
      <c r="P896" s="36"/>
      <c r="Q896" s="40"/>
      <c r="R896" s="40"/>
      <c r="S896" s="40"/>
      <c r="T896" s="41"/>
      <c r="U896" s="41"/>
      <c r="V896" s="41"/>
      <c r="W896" s="36"/>
      <c r="X896" s="36"/>
      <c r="Y896" s="36"/>
      <c r="Z896" s="36"/>
      <c r="AA896" s="36"/>
    </row>
    <row r="897" spans="16:27" x14ac:dyDescent="0.2">
      <c r="P897" s="36"/>
      <c r="Q897" s="40"/>
      <c r="R897" s="40"/>
      <c r="S897" s="40"/>
      <c r="T897" s="41"/>
      <c r="U897" s="41"/>
      <c r="V897" s="41"/>
      <c r="W897" s="36"/>
      <c r="X897" s="36"/>
      <c r="Y897" s="36"/>
      <c r="Z897" s="36"/>
      <c r="AA897" s="36"/>
    </row>
    <row r="898" spans="16:27" x14ac:dyDescent="0.2">
      <c r="P898" s="36"/>
      <c r="Q898" s="40"/>
      <c r="R898" s="40"/>
      <c r="S898" s="40"/>
      <c r="T898" s="41"/>
      <c r="U898" s="41"/>
      <c r="V898" s="41"/>
      <c r="W898" s="36"/>
      <c r="X898" s="36"/>
      <c r="Y898" s="36"/>
      <c r="Z898" s="36"/>
      <c r="AA898" s="36"/>
    </row>
    <row r="899" spans="16:27" x14ac:dyDescent="0.2">
      <c r="P899" s="36"/>
      <c r="Q899" s="40"/>
      <c r="R899" s="40"/>
      <c r="S899" s="40"/>
      <c r="T899" s="41"/>
      <c r="U899" s="41"/>
      <c r="V899" s="41"/>
      <c r="W899" s="36"/>
      <c r="X899" s="36"/>
      <c r="Y899" s="36"/>
      <c r="Z899" s="36"/>
      <c r="AA899" s="36"/>
    </row>
    <row r="900" spans="16:27" x14ac:dyDescent="0.2">
      <c r="P900" s="36"/>
      <c r="Q900" s="40"/>
      <c r="R900" s="40"/>
      <c r="S900" s="40"/>
      <c r="T900" s="41"/>
      <c r="U900" s="41"/>
      <c r="V900" s="41"/>
      <c r="W900" s="36"/>
      <c r="X900" s="36"/>
      <c r="Y900" s="36"/>
      <c r="Z900" s="36"/>
      <c r="AA900" s="36"/>
    </row>
    <row r="901" spans="16:27" x14ac:dyDescent="0.2">
      <c r="P901" s="36"/>
      <c r="Q901" s="40"/>
      <c r="R901" s="40"/>
      <c r="S901" s="40"/>
      <c r="T901" s="41"/>
      <c r="U901" s="41"/>
      <c r="V901" s="41"/>
      <c r="W901" s="36"/>
      <c r="X901" s="36"/>
      <c r="Y901" s="36"/>
      <c r="Z901" s="36"/>
      <c r="AA901" s="36"/>
    </row>
    <row r="902" spans="16:27" x14ac:dyDescent="0.2">
      <c r="P902" s="36"/>
      <c r="Q902" s="40"/>
      <c r="R902" s="40"/>
      <c r="S902" s="40"/>
      <c r="T902" s="41"/>
      <c r="U902" s="41"/>
      <c r="V902" s="41"/>
      <c r="W902" s="36"/>
      <c r="X902" s="36"/>
      <c r="Y902" s="36"/>
      <c r="Z902" s="36"/>
      <c r="AA902" s="36"/>
    </row>
    <row r="903" spans="16:27" x14ac:dyDescent="0.2">
      <c r="P903" s="36"/>
      <c r="Q903" s="40"/>
      <c r="R903" s="40"/>
      <c r="S903" s="40"/>
      <c r="T903" s="41"/>
      <c r="U903" s="41"/>
      <c r="V903" s="41"/>
      <c r="W903" s="36"/>
      <c r="X903" s="36"/>
      <c r="Y903" s="36"/>
      <c r="Z903" s="36"/>
      <c r="AA903" s="36"/>
    </row>
    <row r="904" spans="16:27" x14ac:dyDescent="0.2">
      <c r="P904" s="36"/>
      <c r="Q904" s="40"/>
      <c r="R904" s="40"/>
      <c r="S904" s="40"/>
      <c r="T904" s="41"/>
      <c r="U904" s="41"/>
      <c r="V904" s="41"/>
      <c r="W904" s="36"/>
      <c r="X904" s="36"/>
      <c r="Y904" s="36"/>
      <c r="Z904" s="36"/>
      <c r="AA904" s="36"/>
    </row>
    <row r="905" spans="16:27" x14ac:dyDescent="0.2">
      <c r="P905" s="36"/>
      <c r="Q905" s="40"/>
      <c r="R905" s="40"/>
      <c r="S905" s="40"/>
      <c r="T905" s="41"/>
      <c r="U905" s="41"/>
      <c r="V905" s="41"/>
      <c r="W905" s="36"/>
      <c r="X905" s="36"/>
      <c r="Y905" s="36"/>
      <c r="Z905" s="36"/>
      <c r="AA905" s="36"/>
    </row>
    <row r="906" spans="16:27" x14ac:dyDescent="0.2">
      <c r="P906" s="36"/>
      <c r="Q906" s="40"/>
      <c r="R906" s="40"/>
      <c r="S906" s="40"/>
      <c r="T906" s="41"/>
      <c r="U906" s="41"/>
      <c r="V906" s="41"/>
      <c r="W906" s="36"/>
      <c r="X906" s="36"/>
      <c r="Y906" s="36"/>
      <c r="Z906" s="36"/>
      <c r="AA906" s="36"/>
    </row>
    <row r="907" spans="16:27" x14ac:dyDescent="0.2">
      <c r="P907" s="36"/>
      <c r="Q907" s="40"/>
      <c r="R907" s="40"/>
      <c r="S907" s="40"/>
      <c r="T907" s="41"/>
      <c r="U907" s="41"/>
      <c r="V907" s="41"/>
      <c r="W907" s="36"/>
      <c r="X907" s="36"/>
      <c r="Y907" s="36"/>
      <c r="Z907" s="36"/>
      <c r="AA907" s="36"/>
    </row>
    <row r="908" spans="16:27" x14ac:dyDescent="0.2">
      <c r="P908" s="36"/>
      <c r="Q908" s="40"/>
      <c r="R908" s="40"/>
      <c r="S908" s="40"/>
      <c r="T908" s="41"/>
      <c r="U908" s="41"/>
      <c r="V908" s="41"/>
      <c r="W908" s="36"/>
      <c r="X908" s="36"/>
      <c r="Y908" s="36"/>
      <c r="Z908" s="36"/>
      <c r="AA908" s="36"/>
    </row>
    <row r="909" spans="16:27" x14ac:dyDescent="0.2">
      <c r="P909" s="36"/>
      <c r="Q909" s="40"/>
      <c r="R909" s="40"/>
      <c r="S909" s="40"/>
      <c r="T909" s="41"/>
      <c r="U909" s="41"/>
      <c r="V909" s="41"/>
      <c r="W909" s="36"/>
      <c r="X909" s="36"/>
      <c r="Y909" s="36"/>
      <c r="Z909" s="36"/>
      <c r="AA909" s="36"/>
    </row>
    <row r="910" spans="16:27" x14ac:dyDescent="0.2">
      <c r="P910" s="36"/>
      <c r="Q910" s="40"/>
      <c r="R910" s="40"/>
      <c r="S910" s="40"/>
      <c r="T910" s="41"/>
      <c r="U910" s="41"/>
      <c r="V910" s="41"/>
      <c r="W910" s="36"/>
      <c r="X910" s="36"/>
      <c r="Y910" s="36"/>
      <c r="Z910" s="36"/>
      <c r="AA910" s="36"/>
    </row>
    <row r="911" spans="16:27" x14ac:dyDescent="0.2">
      <c r="P911" s="36"/>
      <c r="Q911" s="40"/>
      <c r="R911" s="40"/>
      <c r="S911" s="40"/>
      <c r="T911" s="41"/>
      <c r="U911" s="41"/>
      <c r="V911" s="41"/>
      <c r="W911" s="36"/>
      <c r="X911" s="36"/>
      <c r="Y911" s="36"/>
      <c r="Z911" s="36"/>
      <c r="AA911" s="36"/>
    </row>
    <row r="912" spans="16:27" x14ac:dyDescent="0.2">
      <c r="P912" s="36"/>
      <c r="Q912" s="40"/>
      <c r="R912" s="40"/>
      <c r="S912" s="40"/>
      <c r="T912" s="41"/>
      <c r="U912" s="41"/>
      <c r="V912" s="41"/>
      <c r="W912" s="36"/>
      <c r="X912" s="36"/>
      <c r="Y912" s="36"/>
      <c r="Z912" s="36"/>
      <c r="AA912" s="36"/>
    </row>
    <row r="913" spans="16:27" x14ac:dyDescent="0.2">
      <c r="P913" s="36"/>
      <c r="Q913" s="40"/>
      <c r="R913" s="40"/>
      <c r="S913" s="40"/>
      <c r="T913" s="41"/>
      <c r="U913" s="41"/>
      <c r="V913" s="41"/>
      <c r="W913" s="36"/>
      <c r="X913" s="36"/>
      <c r="Y913" s="36"/>
      <c r="Z913" s="36"/>
      <c r="AA913" s="36"/>
    </row>
    <row r="914" spans="16:27" x14ac:dyDescent="0.2">
      <c r="P914" s="36"/>
      <c r="Q914" s="40"/>
      <c r="R914" s="40"/>
      <c r="S914" s="40"/>
      <c r="T914" s="41"/>
      <c r="U914" s="41"/>
      <c r="V914" s="41"/>
      <c r="W914" s="36"/>
      <c r="X914" s="36"/>
      <c r="Y914" s="36"/>
      <c r="Z914" s="36"/>
      <c r="AA914" s="36"/>
    </row>
    <row r="915" spans="16:27" x14ac:dyDescent="0.2">
      <c r="P915" s="36"/>
      <c r="Q915" s="40"/>
      <c r="R915" s="40"/>
      <c r="S915" s="40"/>
      <c r="T915" s="41"/>
      <c r="U915" s="41"/>
      <c r="V915" s="41"/>
      <c r="W915" s="36"/>
      <c r="X915" s="36"/>
      <c r="Y915" s="36"/>
      <c r="Z915" s="36"/>
      <c r="AA915" s="36"/>
    </row>
    <row r="916" spans="16:27" x14ac:dyDescent="0.2">
      <c r="P916" s="36"/>
      <c r="Q916" s="40"/>
      <c r="R916" s="40"/>
      <c r="S916" s="40"/>
      <c r="T916" s="41"/>
      <c r="U916" s="41"/>
      <c r="V916" s="41"/>
      <c r="W916" s="36"/>
      <c r="X916" s="36"/>
      <c r="Y916" s="36"/>
      <c r="Z916" s="36"/>
      <c r="AA916" s="36"/>
    </row>
    <row r="917" spans="16:27" x14ac:dyDescent="0.2">
      <c r="P917" s="36"/>
      <c r="Q917" s="40"/>
      <c r="R917" s="40"/>
      <c r="S917" s="40"/>
      <c r="T917" s="41"/>
      <c r="U917" s="41"/>
      <c r="V917" s="41"/>
      <c r="W917" s="36"/>
      <c r="X917" s="36"/>
      <c r="Y917" s="36"/>
      <c r="Z917" s="36"/>
      <c r="AA917" s="36"/>
    </row>
    <row r="918" spans="16:27" x14ac:dyDescent="0.2">
      <c r="P918" s="36"/>
      <c r="Q918" s="40"/>
      <c r="R918" s="40"/>
      <c r="S918" s="40"/>
      <c r="T918" s="41"/>
      <c r="U918" s="41"/>
      <c r="V918" s="41"/>
      <c r="W918" s="36"/>
      <c r="X918" s="36"/>
      <c r="Y918" s="36"/>
      <c r="Z918" s="36"/>
      <c r="AA918" s="36"/>
    </row>
    <row r="919" spans="16:27" x14ac:dyDescent="0.2">
      <c r="P919" s="36"/>
      <c r="Q919" s="40"/>
      <c r="R919" s="40"/>
      <c r="S919" s="40"/>
      <c r="T919" s="41"/>
      <c r="U919" s="41"/>
      <c r="V919" s="41"/>
      <c r="W919" s="36"/>
      <c r="X919" s="36"/>
      <c r="Y919" s="36"/>
      <c r="Z919" s="36"/>
      <c r="AA919" s="36"/>
    </row>
    <row r="920" spans="16:27" x14ac:dyDescent="0.2">
      <c r="P920" s="36"/>
      <c r="Q920" s="40"/>
      <c r="R920" s="40"/>
      <c r="S920" s="40"/>
      <c r="T920" s="41"/>
      <c r="U920" s="41"/>
      <c r="V920" s="41"/>
      <c r="W920" s="36"/>
      <c r="X920" s="36"/>
      <c r="Y920" s="36"/>
      <c r="Z920" s="36"/>
      <c r="AA920" s="36"/>
    </row>
    <row r="921" spans="16:27" x14ac:dyDescent="0.2">
      <c r="P921" s="36"/>
      <c r="Q921" s="40"/>
      <c r="R921" s="40"/>
      <c r="S921" s="40"/>
      <c r="T921" s="41"/>
      <c r="U921" s="41"/>
      <c r="V921" s="41"/>
      <c r="W921" s="36"/>
      <c r="X921" s="36"/>
      <c r="Y921" s="36"/>
      <c r="Z921" s="36"/>
      <c r="AA921" s="36"/>
    </row>
    <row r="922" spans="16:27" x14ac:dyDescent="0.2">
      <c r="P922" s="36"/>
      <c r="Q922" s="40"/>
      <c r="R922" s="40"/>
      <c r="S922" s="40"/>
      <c r="T922" s="41"/>
      <c r="U922" s="41"/>
      <c r="V922" s="41"/>
      <c r="W922" s="36"/>
      <c r="X922" s="36"/>
      <c r="Y922" s="36"/>
      <c r="Z922" s="36"/>
      <c r="AA922" s="36"/>
    </row>
    <row r="923" spans="16:27" x14ac:dyDescent="0.2">
      <c r="P923" s="36"/>
      <c r="Q923" s="40"/>
      <c r="R923" s="40"/>
      <c r="S923" s="40"/>
      <c r="T923" s="41"/>
      <c r="U923" s="41"/>
      <c r="V923" s="41"/>
      <c r="W923" s="36"/>
      <c r="X923" s="36"/>
      <c r="Y923" s="36"/>
      <c r="Z923" s="36"/>
      <c r="AA923" s="36"/>
    </row>
    <row r="924" spans="16:27" x14ac:dyDescent="0.2">
      <c r="P924" s="36"/>
      <c r="Q924" s="40"/>
      <c r="R924" s="40"/>
      <c r="S924" s="40"/>
      <c r="T924" s="41"/>
      <c r="U924" s="41"/>
      <c r="V924" s="41"/>
      <c r="W924" s="36"/>
      <c r="X924" s="36"/>
      <c r="Y924" s="36"/>
      <c r="Z924" s="36"/>
      <c r="AA924" s="36"/>
    </row>
    <row r="925" spans="16:27" x14ac:dyDescent="0.2">
      <c r="P925" s="36"/>
      <c r="Q925" s="40"/>
      <c r="R925" s="40"/>
      <c r="S925" s="40"/>
      <c r="T925" s="41"/>
      <c r="U925" s="41"/>
      <c r="V925" s="41"/>
      <c r="W925" s="36"/>
      <c r="X925" s="36"/>
      <c r="Y925" s="36"/>
      <c r="Z925" s="36"/>
      <c r="AA925" s="36"/>
    </row>
    <row r="926" spans="16:27" x14ac:dyDescent="0.2">
      <c r="P926" s="36"/>
      <c r="Q926" s="40"/>
      <c r="R926" s="40"/>
      <c r="S926" s="40"/>
      <c r="T926" s="41"/>
      <c r="U926" s="41"/>
      <c r="V926" s="41"/>
      <c r="W926" s="36"/>
      <c r="X926" s="36"/>
      <c r="Y926" s="36"/>
      <c r="Z926" s="36"/>
      <c r="AA926" s="36"/>
    </row>
    <row r="927" spans="16:27" x14ac:dyDescent="0.2">
      <c r="P927" s="36"/>
      <c r="Q927" s="40"/>
      <c r="R927" s="40"/>
      <c r="S927" s="40"/>
      <c r="T927" s="41"/>
      <c r="U927" s="41"/>
      <c r="V927" s="41"/>
      <c r="W927" s="36"/>
      <c r="X927" s="36"/>
      <c r="Y927" s="36"/>
      <c r="Z927" s="36"/>
      <c r="AA927" s="36"/>
    </row>
    <row r="928" spans="16:27" x14ac:dyDescent="0.2">
      <c r="P928" s="36"/>
      <c r="Q928" s="40"/>
      <c r="R928" s="40"/>
      <c r="S928" s="40"/>
      <c r="T928" s="41"/>
      <c r="U928" s="41"/>
      <c r="V928" s="41"/>
      <c r="W928" s="36"/>
      <c r="X928" s="36"/>
      <c r="Y928" s="36"/>
      <c r="Z928" s="36"/>
      <c r="AA928" s="36"/>
    </row>
    <row r="929" spans="16:27" x14ac:dyDescent="0.2">
      <c r="P929" s="36"/>
      <c r="Q929" s="40"/>
      <c r="R929" s="40"/>
      <c r="S929" s="40"/>
      <c r="T929" s="41"/>
      <c r="U929" s="41"/>
      <c r="V929" s="41"/>
      <c r="W929" s="36"/>
      <c r="X929" s="36"/>
      <c r="Y929" s="36"/>
      <c r="Z929" s="36"/>
      <c r="AA929" s="36"/>
    </row>
    <row r="930" spans="16:27" x14ac:dyDescent="0.2">
      <c r="P930" s="36"/>
      <c r="Q930" s="40"/>
      <c r="R930" s="40"/>
      <c r="S930" s="40"/>
      <c r="T930" s="41"/>
      <c r="U930" s="41"/>
      <c r="V930" s="41"/>
      <c r="W930" s="36"/>
      <c r="X930" s="36"/>
      <c r="Y930" s="36"/>
      <c r="Z930" s="36"/>
      <c r="AA930" s="36"/>
    </row>
    <row r="931" spans="16:27" x14ac:dyDescent="0.2">
      <c r="P931" s="36"/>
      <c r="Q931" s="40"/>
      <c r="R931" s="40"/>
      <c r="S931" s="40"/>
      <c r="T931" s="41"/>
      <c r="U931" s="41"/>
      <c r="V931" s="41"/>
      <c r="W931" s="36"/>
      <c r="X931" s="36"/>
      <c r="Y931" s="36"/>
      <c r="Z931" s="36"/>
      <c r="AA931" s="36"/>
    </row>
    <row r="932" spans="16:27" x14ac:dyDescent="0.2">
      <c r="P932" s="36"/>
      <c r="Q932" s="40"/>
      <c r="R932" s="40"/>
      <c r="S932" s="40"/>
      <c r="T932" s="41"/>
      <c r="U932" s="41"/>
      <c r="V932" s="41"/>
      <c r="W932" s="36"/>
      <c r="X932" s="36"/>
      <c r="Y932" s="36"/>
      <c r="Z932" s="36"/>
      <c r="AA932" s="36"/>
    </row>
    <row r="933" spans="16:27" x14ac:dyDescent="0.2">
      <c r="P933" s="36"/>
      <c r="Q933" s="40"/>
      <c r="R933" s="40"/>
      <c r="S933" s="40"/>
      <c r="T933" s="41"/>
      <c r="U933" s="41"/>
      <c r="V933" s="41"/>
      <c r="W933" s="36"/>
      <c r="X933" s="36"/>
      <c r="Y933" s="36"/>
      <c r="Z933" s="36"/>
      <c r="AA933" s="36"/>
    </row>
    <row r="934" spans="16:27" x14ac:dyDescent="0.2">
      <c r="P934" s="36"/>
      <c r="Q934" s="40"/>
      <c r="R934" s="40"/>
      <c r="S934" s="40"/>
      <c r="T934" s="41"/>
      <c r="U934" s="41"/>
      <c r="V934" s="41"/>
      <c r="W934" s="36"/>
      <c r="X934" s="36"/>
      <c r="Y934" s="36"/>
      <c r="Z934" s="36"/>
      <c r="AA934" s="36"/>
    </row>
    <row r="935" spans="16:27" x14ac:dyDescent="0.2">
      <c r="P935" s="36"/>
      <c r="Q935" s="40"/>
      <c r="R935" s="40"/>
      <c r="S935" s="40"/>
      <c r="T935" s="41"/>
      <c r="U935" s="41"/>
      <c r="V935" s="41"/>
      <c r="W935" s="36"/>
      <c r="X935" s="36"/>
      <c r="Y935" s="36"/>
      <c r="Z935" s="36"/>
      <c r="AA935" s="36"/>
    </row>
    <row r="936" spans="16:27" x14ac:dyDescent="0.2">
      <c r="P936" s="36"/>
      <c r="Q936" s="40"/>
      <c r="R936" s="40"/>
      <c r="S936" s="40"/>
      <c r="T936" s="41"/>
      <c r="U936" s="41"/>
      <c r="V936" s="41"/>
      <c r="W936" s="36"/>
      <c r="X936" s="36"/>
      <c r="Y936" s="36"/>
      <c r="Z936" s="36"/>
      <c r="AA936" s="36"/>
    </row>
    <row r="937" spans="16:27" x14ac:dyDescent="0.2">
      <c r="P937" s="36"/>
      <c r="Q937" s="40"/>
      <c r="R937" s="40"/>
      <c r="S937" s="40"/>
      <c r="T937" s="41"/>
      <c r="U937" s="41"/>
      <c r="V937" s="41"/>
      <c r="W937" s="36"/>
      <c r="X937" s="36"/>
      <c r="Y937" s="36"/>
      <c r="Z937" s="36"/>
      <c r="AA937" s="36"/>
    </row>
    <row r="938" spans="16:27" x14ac:dyDescent="0.2">
      <c r="P938" s="36"/>
      <c r="Q938" s="40"/>
      <c r="R938" s="40"/>
      <c r="S938" s="40"/>
      <c r="T938" s="41"/>
      <c r="U938" s="41"/>
      <c r="V938" s="41"/>
      <c r="W938" s="36"/>
      <c r="X938" s="36"/>
      <c r="Y938" s="36"/>
      <c r="Z938" s="36"/>
      <c r="AA938" s="36"/>
    </row>
    <row r="939" spans="16:27" x14ac:dyDescent="0.2">
      <c r="P939" s="36"/>
      <c r="Q939" s="40"/>
      <c r="R939" s="40"/>
      <c r="S939" s="40"/>
      <c r="T939" s="41"/>
      <c r="U939" s="41"/>
      <c r="V939" s="41"/>
      <c r="W939" s="36"/>
      <c r="X939" s="36"/>
      <c r="Y939" s="36"/>
      <c r="Z939" s="36"/>
      <c r="AA939" s="36"/>
    </row>
    <row r="940" spans="16:27" x14ac:dyDescent="0.2">
      <c r="P940" s="36"/>
      <c r="Q940" s="40"/>
      <c r="R940" s="40"/>
      <c r="S940" s="40"/>
      <c r="T940" s="41"/>
      <c r="U940" s="41"/>
      <c r="V940" s="41"/>
      <c r="W940" s="36"/>
      <c r="X940" s="36"/>
      <c r="Y940" s="36"/>
      <c r="Z940" s="36"/>
      <c r="AA940" s="36"/>
    </row>
    <row r="941" spans="16:27" x14ac:dyDescent="0.2">
      <c r="P941" s="36"/>
      <c r="Q941" s="40"/>
      <c r="R941" s="40"/>
      <c r="S941" s="40"/>
      <c r="T941" s="41"/>
      <c r="U941" s="41"/>
      <c r="V941" s="41"/>
      <c r="W941" s="36"/>
      <c r="X941" s="36"/>
      <c r="Y941" s="36"/>
      <c r="Z941" s="36"/>
      <c r="AA941" s="36"/>
    </row>
    <row r="942" spans="16:27" x14ac:dyDescent="0.2">
      <c r="P942" s="36"/>
      <c r="Q942" s="40"/>
      <c r="R942" s="40"/>
      <c r="S942" s="40"/>
      <c r="T942" s="41"/>
      <c r="U942" s="41"/>
      <c r="V942" s="41"/>
      <c r="W942" s="36"/>
      <c r="X942" s="36"/>
      <c r="Y942" s="36"/>
      <c r="Z942" s="36"/>
      <c r="AA942" s="36"/>
    </row>
    <row r="943" spans="16:27" x14ac:dyDescent="0.2">
      <c r="P943" s="36"/>
      <c r="Q943" s="40"/>
      <c r="R943" s="40"/>
      <c r="S943" s="40"/>
      <c r="T943" s="41"/>
      <c r="U943" s="41"/>
      <c r="V943" s="41"/>
      <c r="W943" s="36"/>
      <c r="X943" s="36"/>
      <c r="Y943" s="36"/>
      <c r="Z943" s="36"/>
      <c r="AA943" s="36"/>
    </row>
    <row r="944" spans="16:27" x14ac:dyDescent="0.2">
      <c r="P944" s="36"/>
      <c r="Q944" s="40"/>
      <c r="R944" s="40"/>
      <c r="S944" s="40"/>
      <c r="T944" s="41"/>
      <c r="U944" s="41"/>
      <c r="V944" s="41"/>
      <c r="W944" s="36"/>
      <c r="X944" s="36"/>
      <c r="Y944" s="36"/>
      <c r="Z944" s="36"/>
      <c r="AA944" s="36"/>
    </row>
    <row r="945" spans="16:27" x14ac:dyDescent="0.2">
      <c r="P945" s="36"/>
      <c r="Q945" s="40"/>
      <c r="R945" s="40"/>
      <c r="S945" s="40"/>
      <c r="T945" s="41"/>
      <c r="U945" s="41"/>
      <c r="V945" s="41"/>
      <c r="W945" s="36"/>
      <c r="X945" s="36"/>
      <c r="Y945" s="36"/>
      <c r="Z945" s="36"/>
      <c r="AA945" s="36"/>
    </row>
    <row r="946" spans="16:27" x14ac:dyDescent="0.2">
      <c r="P946" s="36"/>
      <c r="Q946" s="40"/>
      <c r="R946" s="40"/>
      <c r="S946" s="40"/>
      <c r="T946" s="41"/>
      <c r="U946" s="41"/>
      <c r="V946" s="41"/>
      <c r="W946" s="36"/>
      <c r="X946" s="36"/>
      <c r="Y946" s="36"/>
      <c r="Z946" s="36"/>
      <c r="AA946" s="36"/>
    </row>
    <row r="947" spans="16:27" x14ac:dyDescent="0.2">
      <c r="P947" s="36"/>
      <c r="Q947" s="40"/>
      <c r="R947" s="40"/>
      <c r="S947" s="40"/>
      <c r="T947" s="41"/>
      <c r="U947" s="41"/>
      <c r="V947" s="41"/>
      <c r="W947" s="36"/>
      <c r="X947" s="36"/>
      <c r="Y947" s="36"/>
      <c r="Z947" s="36"/>
      <c r="AA947" s="36"/>
    </row>
    <row r="948" spans="16:27" x14ac:dyDescent="0.2">
      <c r="P948" s="36"/>
      <c r="Q948" s="40"/>
      <c r="R948" s="40"/>
      <c r="S948" s="40"/>
      <c r="T948" s="41"/>
      <c r="U948" s="41"/>
      <c r="V948" s="41"/>
      <c r="W948" s="36"/>
      <c r="X948" s="36"/>
      <c r="Y948" s="36"/>
      <c r="Z948" s="36"/>
      <c r="AA948" s="36"/>
    </row>
    <row r="949" spans="16:27" x14ac:dyDescent="0.2">
      <c r="P949" s="36"/>
      <c r="Q949" s="40"/>
      <c r="R949" s="40"/>
      <c r="S949" s="40"/>
      <c r="T949" s="41"/>
      <c r="U949" s="41"/>
      <c r="V949" s="41"/>
      <c r="W949" s="36"/>
      <c r="X949" s="36"/>
      <c r="Y949" s="36"/>
      <c r="Z949" s="36"/>
      <c r="AA949" s="36"/>
    </row>
    <row r="950" spans="16:27" x14ac:dyDescent="0.2">
      <c r="P950" s="36"/>
      <c r="Q950" s="40"/>
      <c r="R950" s="40"/>
      <c r="S950" s="40"/>
      <c r="T950" s="41"/>
      <c r="U950" s="41"/>
      <c r="V950" s="41"/>
      <c r="W950" s="36"/>
      <c r="X950" s="36"/>
      <c r="Y950" s="36"/>
      <c r="Z950" s="36"/>
      <c r="AA950" s="36"/>
    </row>
    <row r="951" spans="16:27" x14ac:dyDescent="0.2">
      <c r="P951" s="36"/>
      <c r="Q951" s="40"/>
      <c r="R951" s="40"/>
      <c r="S951" s="40"/>
      <c r="T951" s="41"/>
      <c r="U951" s="41"/>
      <c r="V951" s="41"/>
      <c r="W951" s="36"/>
      <c r="X951" s="36"/>
      <c r="Y951" s="36"/>
      <c r="Z951" s="36"/>
      <c r="AA951" s="36"/>
    </row>
    <row r="952" spans="16:27" x14ac:dyDescent="0.2">
      <c r="P952" s="36"/>
      <c r="Q952" s="40"/>
      <c r="R952" s="40"/>
      <c r="S952" s="40"/>
      <c r="T952" s="41"/>
      <c r="U952" s="41"/>
      <c r="V952" s="41"/>
      <c r="W952" s="36"/>
      <c r="X952" s="36"/>
      <c r="Y952" s="36"/>
      <c r="Z952" s="36"/>
      <c r="AA952" s="36"/>
    </row>
    <row r="953" spans="16:27" x14ac:dyDescent="0.2">
      <c r="P953" s="36"/>
      <c r="Q953" s="40"/>
      <c r="R953" s="40"/>
      <c r="S953" s="40"/>
      <c r="T953" s="41"/>
      <c r="U953" s="41"/>
      <c r="V953" s="41"/>
      <c r="W953" s="36"/>
      <c r="X953" s="36"/>
      <c r="Y953" s="36"/>
      <c r="Z953" s="36"/>
      <c r="AA953" s="36"/>
    </row>
    <row r="954" spans="16:27" x14ac:dyDescent="0.2">
      <c r="P954" s="36"/>
      <c r="Q954" s="40"/>
      <c r="R954" s="40"/>
      <c r="S954" s="40"/>
      <c r="T954" s="41"/>
      <c r="U954" s="41"/>
      <c r="V954" s="41"/>
      <c r="W954" s="36"/>
      <c r="X954" s="36"/>
      <c r="Y954" s="36"/>
      <c r="Z954" s="36"/>
      <c r="AA954" s="36"/>
    </row>
    <row r="955" spans="16:27" x14ac:dyDescent="0.2">
      <c r="P955" s="36"/>
      <c r="Q955" s="40"/>
      <c r="R955" s="40"/>
      <c r="S955" s="40"/>
      <c r="T955" s="41"/>
      <c r="U955" s="41"/>
      <c r="V955" s="41"/>
      <c r="W955" s="36"/>
      <c r="X955" s="36"/>
      <c r="Y955" s="36"/>
      <c r="Z955" s="36"/>
      <c r="AA955" s="36"/>
    </row>
    <row r="956" spans="16:27" x14ac:dyDescent="0.2">
      <c r="P956" s="36"/>
      <c r="Q956" s="40"/>
      <c r="R956" s="40"/>
      <c r="S956" s="40"/>
      <c r="T956" s="41"/>
      <c r="U956" s="41"/>
      <c r="V956" s="41"/>
      <c r="W956" s="36"/>
      <c r="X956" s="36"/>
      <c r="Y956" s="36"/>
      <c r="Z956" s="36"/>
      <c r="AA956" s="36"/>
    </row>
    <row r="957" spans="16:27" x14ac:dyDescent="0.2">
      <c r="P957" s="36"/>
      <c r="Q957" s="40"/>
      <c r="R957" s="40"/>
      <c r="S957" s="40"/>
      <c r="T957" s="41"/>
      <c r="U957" s="41"/>
      <c r="V957" s="41"/>
      <c r="W957" s="36"/>
      <c r="X957" s="36"/>
      <c r="Y957" s="36"/>
      <c r="Z957" s="36"/>
      <c r="AA957" s="36"/>
    </row>
    <row r="958" spans="16:27" x14ac:dyDescent="0.2">
      <c r="P958" s="36"/>
      <c r="Q958" s="40"/>
      <c r="R958" s="40"/>
      <c r="S958" s="40"/>
      <c r="T958" s="41"/>
      <c r="U958" s="41"/>
      <c r="V958" s="41"/>
      <c r="W958" s="36"/>
      <c r="X958" s="36"/>
      <c r="Y958" s="36"/>
      <c r="Z958" s="36"/>
      <c r="AA958" s="36"/>
    </row>
    <row r="959" spans="16:27" x14ac:dyDescent="0.2">
      <c r="P959" s="36"/>
      <c r="Q959" s="40"/>
      <c r="R959" s="40"/>
      <c r="S959" s="40"/>
      <c r="T959" s="41"/>
      <c r="U959" s="41"/>
      <c r="V959" s="41"/>
      <c r="W959" s="36"/>
      <c r="X959" s="36"/>
      <c r="Y959" s="36"/>
      <c r="Z959" s="36"/>
      <c r="AA959" s="36"/>
    </row>
    <row r="960" spans="16:27" x14ac:dyDescent="0.2">
      <c r="P960" s="36"/>
      <c r="Q960" s="40"/>
      <c r="R960" s="40"/>
      <c r="S960" s="40"/>
      <c r="T960" s="41"/>
      <c r="U960" s="41"/>
      <c r="V960" s="41"/>
      <c r="W960" s="36"/>
      <c r="X960" s="36"/>
      <c r="Y960" s="36"/>
      <c r="Z960" s="36"/>
      <c r="AA960" s="36"/>
    </row>
    <row r="961" spans="16:27" x14ac:dyDescent="0.2">
      <c r="P961" s="36"/>
      <c r="Q961" s="40"/>
      <c r="R961" s="40"/>
      <c r="S961" s="40"/>
      <c r="T961" s="41"/>
      <c r="U961" s="41"/>
      <c r="V961" s="41"/>
      <c r="W961" s="36"/>
      <c r="X961" s="36"/>
      <c r="Y961" s="36"/>
      <c r="Z961" s="36"/>
      <c r="AA961" s="36"/>
    </row>
    <row r="962" spans="16:27" x14ac:dyDescent="0.2">
      <c r="P962" s="36"/>
      <c r="Q962" s="40"/>
      <c r="R962" s="40"/>
      <c r="S962" s="40"/>
      <c r="T962" s="41"/>
      <c r="U962" s="41"/>
      <c r="V962" s="41"/>
      <c r="W962" s="36"/>
      <c r="X962" s="36"/>
      <c r="Y962" s="36"/>
      <c r="Z962" s="36"/>
      <c r="AA962" s="36"/>
    </row>
    <row r="963" spans="16:27" x14ac:dyDescent="0.2">
      <c r="P963" s="36"/>
      <c r="Q963" s="40"/>
      <c r="R963" s="40"/>
      <c r="S963" s="40"/>
      <c r="T963" s="41"/>
      <c r="U963" s="41"/>
      <c r="V963" s="41"/>
      <c r="W963" s="36"/>
      <c r="X963" s="36"/>
      <c r="Y963" s="36"/>
      <c r="Z963" s="36"/>
      <c r="AA963" s="36"/>
    </row>
    <row r="964" spans="16:27" x14ac:dyDescent="0.2">
      <c r="P964" s="36"/>
      <c r="Q964" s="40"/>
      <c r="R964" s="40"/>
      <c r="S964" s="40"/>
      <c r="T964" s="41"/>
      <c r="U964" s="41"/>
      <c r="V964" s="41"/>
      <c r="W964" s="36"/>
      <c r="X964" s="36"/>
      <c r="Y964" s="36"/>
      <c r="Z964" s="36"/>
      <c r="AA964" s="36"/>
    </row>
    <row r="965" spans="16:27" x14ac:dyDescent="0.2">
      <c r="P965" s="36"/>
      <c r="Q965" s="40"/>
      <c r="R965" s="40"/>
      <c r="S965" s="40"/>
      <c r="T965" s="41"/>
      <c r="U965" s="41"/>
      <c r="V965" s="41"/>
      <c r="W965" s="36"/>
      <c r="X965" s="36"/>
      <c r="Y965" s="36"/>
      <c r="Z965" s="36"/>
      <c r="AA965" s="36"/>
    </row>
    <row r="966" spans="16:27" x14ac:dyDescent="0.2">
      <c r="P966" s="36"/>
      <c r="Q966" s="40"/>
      <c r="R966" s="40"/>
      <c r="S966" s="40"/>
      <c r="T966" s="41"/>
      <c r="U966" s="41"/>
      <c r="V966" s="41"/>
      <c r="W966" s="36"/>
      <c r="X966" s="36"/>
      <c r="Y966" s="36"/>
      <c r="Z966" s="36"/>
      <c r="AA966" s="36"/>
    </row>
    <row r="967" spans="16:27" x14ac:dyDescent="0.2">
      <c r="P967" s="36"/>
      <c r="Q967" s="40"/>
      <c r="R967" s="40"/>
      <c r="S967" s="40"/>
      <c r="T967" s="41"/>
      <c r="U967" s="41"/>
      <c r="V967" s="41"/>
      <c r="W967" s="36"/>
      <c r="X967" s="36"/>
      <c r="Y967" s="36"/>
      <c r="Z967" s="36"/>
      <c r="AA967" s="36"/>
    </row>
    <row r="968" spans="16:27" x14ac:dyDescent="0.2">
      <c r="P968" s="36"/>
      <c r="Q968" s="40"/>
      <c r="R968" s="40"/>
      <c r="S968" s="40"/>
      <c r="T968" s="41"/>
      <c r="U968" s="41"/>
      <c r="V968" s="41"/>
      <c r="W968" s="36"/>
      <c r="X968" s="36"/>
      <c r="Y968" s="36"/>
      <c r="Z968" s="36"/>
      <c r="AA968" s="36"/>
    </row>
    <row r="969" spans="16:27" x14ac:dyDescent="0.2">
      <c r="P969" s="36"/>
      <c r="Q969" s="40"/>
      <c r="R969" s="40"/>
      <c r="S969" s="40"/>
      <c r="T969" s="41"/>
      <c r="U969" s="41"/>
      <c r="V969" s="41"/>
      <c r="W969" s="36"/>
      <c r="X969" s="36"/>
      <c r="Y969" s="36"/>
      <c r="Z969" s="36"/>
      <c r="AA969" s="36"/>
    </row>
    <row r="970" spans="16:27" x14ac:dyDescent="0.2">
      <c r="P970" s="36"/>
      <c r="Q970" s="40"/>
      <c r="R970" s="40"/>
      <c r="S970" s="40"/>
      <c r="T970" s="41"/>
      <c r="U970" s="41"/>
      <c r="V970" s="41"/>
      <c r="W970" s="36"/>
      <c r="X970" s="36"/>
      <c r="Y970" s="36"/>
      <c r="Z970" s="36"/>
      <c r="AA970" s="36"/>
    </row>
    <row r="971" spans="16:27" x14ac:dyDescent="0.2">
      <c r="P971" s="36"/>
      <c r="Q971" s="40"/>
      <c r="R971" s="40"/>
      <c r="S971" s="40"/>
      <c r="T971" s="41"/>
      <c r="U971" s="41"/>
      <c r="V971" s="41"/>
      <c r="W971" s="36"/>
      <c r="X971" s="36"/>
      <c r="Y971" s="36"/>
      <c r="Z971" s="36"/>
      <c r="AA971" s="36"/>
    </row>
    <row r="972" spans="16:27" x14ac:dyDescent="0.2">
      <c r="P972" s="36"/>
      <c r="Q972" s="40"/>
      <c r="R972" s="40"/>
      <c r="S972" s="40"/>
      <c r="T972" s="41"/>
      <c r="U972" s="41"/>
      <c r="V972" s="41"/>
      <c r="W972" s="36"/>
      <c r="X972" s="36"/>
      <c r="Y972" s="36"/>
      <c r="Z972" s="36"/>
      <c r="AA972" s="36"/>
    </row>
    <row r="973" spans="16:27" x14ac:dyDescent="0.2">
      <c r="P973" s="36"/>
      <c r="Q973" s="40"/>
      <c r="R973" s="40"/>
      <c r="S973" s="40"/>
      <c r="T973" s="41"/>
      <c r="U973" s="41"/>
      <c r="V973" s="41"/>
      <c r="W973" s="36"/>
      <c r="X973" s="36"/>
      <c r="Y973" s="36"/>
      <c r="Z973" s="36"/>
      <c r="AA973" s="36"/>
    </row>
    <row r="974" spans="16:27" x14ac:dyDescent="0.2">
      <c r="P974" s="36"/>
      <c r="Q974" s="40"/>
      <c r="R974" s="40"/>
      <c r="S974" s="40"/>
      <c r="T974" s="41"/>
      <c r="U974" s="41"/>
      <c r="V974" s="41"/>
      <c r="W974" s="36"/>
      <c r="X974" s="36"/>
      <c r="Y974" s="36"/>
      <c r="Z974" s="36"/>
      <c r="AA974" s="36"/>
    </row>
    <row r="975" spans="16:27" x14ac:dyDescent="0.2">
      <c r="P975" s="36"/>
      <c r="Q975" s="40"/>
      <c r="R975" s="40"/>
      <c r="S975" s="40"/>
      <c r="T975" s="41"/>
      <c r="U975" s="41"/>
      <c r="V975" s="41"/>
      <c r="W975" s="36"/>
      <c r="X975" s="36"/>
      <c r="Y975" s="36"/>
      <c r="Z975" s="36"/>
      <c r="AA975" s="36"/>
    </row>
    <row r="976" spans="16:27" x14ac:dyDescent="0.2">
      <c r="P976" s="36"/>
      <c r="Q976" s="40"/>
      <c r="R976" s="40"/>
      <c r="S976" s="40"/>
      <c r="T976" s="41"/>
      <c r="U976" s="41"/>
      <c r="V976" s="41"/>
      <c r="W976" s="36"/>
      <c r="X976" s="36"/>
      <c r="Y976" s="36"/>
      <c r="Z976" s="36"/>
      <c r="AA976" s="36"/>
    </row>
    <row r="977" spans="16:27" x14ac:dyDescent="0.2">
      <c r="P977" s="36"/>
      <c r="Q977" s="40"/>
      <c r="R977" s="40"/>
      <c r="S977" s="40"/>
      <c r="T977" s="41"/>
      <c r="U977" s="41"/>
      <c r="V977" s="41"/>
      <c r="W977" s="36"/>
      <c r="X977" s="36"/>
      <c r="Y977" s="36"/>
      <c r="Z977" s="36"/>
      <c r="AA977" s="36"/>
    </row>
    <row r="978" spans="16:27" x14ac:dyDescent="0.2">
      <c r="P978" s="36"/>
      <c r="Q978" s="40"/>
      <c r="R978" s="40"/>
      <c r="S978" s="40"/>
      <c r="T978" s="41"/>
      <c r="U978" s="41"/>
      <c r="V978" s="41"/>
      <c r="W978" s="36"/>
      <c r="X978" s="36"/>
      <c r="Y978" s="36"/>
      <c r="Z978" s="36"/>
      <c r="AA978" s="36"/>
    </row>
    <row r="979" spans="16:27" x14ac:dyDescent="0.2">
      <c r="P979" s="36"/>
      <c r="Q979" s="40"/>
      <c r="R979" s="40"/>
      <c r="S979" s="40"/>
      <c r="T979" s="41"/>
      <c r="U979" s="41"/>
      <c r="V979" s="41"/>
      <c r="W979" s="36"/>
      <c r="X979" s="36"/>
      <c r="Y979" s="36"/>
      <c r="Z979" s="36"/>
      <c r="AA979" s="36"/>
    </row>
    <row r="980" spans="16:27" x14ac:dyDescent="0.2">
      <c r="P980" s="36"/>
      <c r="Q980" s="40"/>
      <c r="R980" s="40"/>
      <c r="S980" s="40"/>
      <c r="T980" s="41"/>
      <c r="U980" s="41"/>
      <c r="V980" s="41"/>
      <c r="W980" s="36"/>
      <c r="X980" s="36"/>
      <c r="Y980" s="36"/>
      <c r="Z980" s="36"/>
      <c r="AA980" s="36"/>
    </row>
    <row r="981" spans="16:27" x14ac:dyDescent="0.2">
      <c r="P981" s="36"/>
      <c r="Q981" s="40"/>
      <c r="R981" s="40"/>
      <c r="S981" s="40"/>
      <c r="T981" s="41"/>
      <c r="U981" s="41"/>
      <c r="V981" s="41"/>
      <c r="W981" s="36"/>
      <c r="X981" s="36"/>
      <c r="Y981" s="36"/>
      <c r="Z981" s="36"/>
      <c r="AA981" s="36"/>
    </row>
    <row r="982" spans="16:27" x14ac:dyDescent="0.2">
      <c r="P982" s="36"/>
      <c r="Q982" s="40"/>
      <c r="R982" s="40"/>
      <c r="S982" s="40"/>
      <c r="T982" s="41"/>
      <c r="U982" s="41"/>
      <c r="V982" s="41"/>
      <c r="W982" s="36"/>
      <c r="X982" s="36"/>
      <c r="Y982" s="36"/>
      <c r="Z982" s="36"/>
      <c r="AA982" s="36"/>
    </row>
    <row r="983" spans="16:27" x14ac:dyDescent="0.2">
      <c r="P983" s="36"/>
      <c r="Q983" s="40"/>
      <c r="R983" s="40"/>
      <c r="S983" s="40"/>
      <c r="T983" s="41"/>
      <c r="U983" s="41"/>
      <c r="V983" s="41"/>
      <c r="W983" s="36"/>
      <c r="X983" s="36"/>
      <c r="Y983" s="36"/>
      <c r="Z983" s="36"/>
      <c r="AA983" s="36"/>
    </row>
    <row r="984" spans="16:27" x14ac:dyDescent="0.2">
      <c r="P984" s="36"/>
      <c r="Q984" s="40"/>
      <c r="R984" s="40"/>
      <c r="S984" s="40"/>
      <c r="T984" s="41"/>
      <c r="U984" s="41"/>
      <c r="V984" s="41"/>
      <c r="W984" s="36"/>
      <c r="X984" s="36"/>
      <c r="Y984" s="36"/>
      <c r="Z984" s="36"/>
      <c r="AA984" s="36"/>
    </row>
    <row r="985" spans="16:27" x14ac:dyDescent="0.2">
      <c r="P985" s="36"/>
      <c r="Q985" s="40"/>
      <c r="R985" s="40"/>
      <c r="S985" s="40"/>
      <c r="T985" s="41"/>
      <c r="U985" s="41"/>
      <c r="V985" s="41"/>
      <c r="W985" s="36"/>
      <c r="X985" s="36"/>
      <c r="Y985" s="36"/>
      <c r="Z985" s="36"/>
      <c r="AA985" s="36"/>
    </row>
    <row r="986" spans="16:27" x14ac:dyDescent="0.2">
      <c r="P986" s="36"/>
      <c r="Q986" s="40"/>
      <c r="R986" s="40"/>
      <c r="S986" s="40"/>
      <c r="T986" s="41"/>
      <c r="U986" s="41"/>
      <c r="V986" s="41"/>
      <c r="W986" s="36"/>
      <c r="X986" s="36"/>
      <c r="Y986" s="36"/>
      <c r="Z986" s="36"/>
      <c r="AA986" s="36"/>
    </row>
    <row r="987" spans="16:27" x14ac:dyDescent="0.2">
      <c r="P987" s="36"/>
      <c r="Q987" s="40"/>
      <c r="R987" s="40"/>
      <c r="S987" s="40"/>
      <c r="T987" s="41"/>
      <c r="U987" s="41"/>
      <c r="V987" s="41"/>
      <c r="W987" s="36"/>
      <c r="X987" s="36"/>
      <c r="Y987" s="36"/>
      <c r="Z987" s="36"/>
      <c r="AA987" s="36"/>
    </row>
    <row r="988" spans="16:27" x14ac:dyDescent="0.2">
      <c r="P988" s="36"/>
      <c r="Q988" s="40"/>
      <c r="R988" s="40"/>
      <c r="S988" s="40"/>
      <c r="T988" s="41"/>
      <c r="U988" s="41"/>
      <c r="V988" s="41"/>
      <c r="W988" s="36"/>
      <c r="X988" s="36"/>
      <c r="Y988" s="36"/>
      <c r="Z988" s="36"/>
      <c r="AA988" s="36"/>
    </row>
    <row r="989" spans="16:27" x14ac:dyDescent="0.2">
      <c r="P989" s="36"/>
      <c r="Q989" s="40"/>
      <c r="R989" s="40"/>
      <c r="S989" s="40"/>
      <c r="T989" s="41"/>
      <c r="U989" s="41"/>
      <c r="V989" s="41"/>
      <c r="W989" s="36"/>
      <c r="X989" s="36"/>
      <c r="Y989" s="36"/>
      <c r="Z989" s="36"/>
      <c r="AA989" s="36"/>
    </row>
    <row r="990" spans="16:27" x14ac:dyDescent="0.2">
      <c r="P990" s="36"/>
      <c r="Q990" s="40"/>
      <c r="R990" s="40"/>
      <c r="S990" s="40"/>
      <c r="T990" s="41"/>
      <c r="U990" s="41"/>
      <c r="V990" s="41"/>
      <c r="W990" s="36"/>
      <c r="X990" s="36"/>
      <c r="Y990" s="36"/>
      <c r="Z990" s="36"/>
      <c r="AA990" s="36"/>
    </row>
    <row r="991" spans="16:27" x14ac:dyDescent="0.2">
      <c r="P991" s="36"/>
      <c r="Q991" s="40"/>
      <c r="R991" s="40"/>
      <c r="S991" s="40"/>
      <c r="T991" s="41"/>
      <c r="U991" s="41"/>
      <c r="V991" s="41"/>
      <c r="W991" s="36"/>
      <c r="X991" s="36"/>
      <c r="Y991" s="36"/>
      <c r="Z991" s="36"/>
      <c r="AA991" s="36"/>
    </row>
    <row r="992" spans="16:27" x14ac:dyDescent="0.2">
      <c r="P992" s="36"/>
      <c r="Q992" s="40"/>
      <c r="R992" s="40"/>
      <c r="S992" s="40"/>
      <c r="T992" s="41"/>
      <c r="U992" s="41"/>
      <c r="V992" s="41"/>
      <c r="W992" s="36"/>
      <c r="X992" s="36"/>
      <c r="Y992" s="36"/>
      <c r="Z992" s="36"/>
      <c r="AA992" s="36"/>
    </row>
    <row r="993" spans="16:27" x14ac:dyDescent="0.2">
      <c r="P993" s="36"/>
      <c r="Q993" s="40"/>
      <c r="R993" s="40"/>
      <c r="S993" s="40"/>
      <c r="T993" s="41"/>
      <c r="U993" s="41"/>
      <c r="V993" s="41"/>
      <c r="W993" s="36"/>
      <c r="X993" s="36"/>
      <c r="Y993" s="36"/>
      <c r="Z993" s="36"/>
      <c r="AA993" s="36"/>
    </row>
    <row r="994" spans="16:27" x14ac:dyDescent="0.2">
      <c r="P994" s="36"/>
      <c r="Q994" s="40"/>
      <c r="R994" s="40"/>
      <c r="S994" s="40"/>
      <c r="T994" s="41"/>
      <c r="U994" s="41"/>
      <c r="V994" s="41"/>
      <c r="W994" s="36"/>
      <c r="X994" s="36"/>
      <c r="Y994" s="36"/>
      <c r="Z994" s="36"/>
      <c r="AA994" s="36"/>
    </row>
    <row r="995" spans="16:27" x14ac:dyDescent="0.2">
      <c r="P995" s="36"/>
      <c r="Q995" s="40"/>
      <c r="R995" s="40"/>
      <c r="S995" s="40"/>
      <c r="T995" s="41"/>
      <c r="U995" s="41"/>
      <c r="V995" s="41"/>
      <c r="W995" s="36"/>
      <c r="X995" s="36"/>
      <c r="Y995" s="36"/>
      <c r="Z995" s="36"/>
      <c r="AA995" s="36"/>
    </row>
    <row r="996" spans="16:27" x14ac:dyDescent="0.2">
      <c r="P996" s="36"/>
      <c r="Q996" s="40"/>
      <c r="R996" s="40"/>
      <c r="S996" s="40"/>
      <c r="T996" s="41"/>
      <c r="U996" s="41"/>
      <c r="V996" s="41"/>
      <c r="W996" s="36"/>
      <c r="X996" s="36"/>
      <c r="Y996" s="36"/>
      <c r="Z996" s="36"/>
      <c r="AA996" s="36"/>
    </row>
    <row r="997" spans="16:27" x14ac:dyDescent="0.2">
      <c r="P997" s="36"/>
      <c r="Q997" s="40"/>
      <c r="R997" s="40"/>
      <c r="S997" s="40"/>
      <c r="T997" s="41"/>
      <c r="U997" s="41"/>
      <c r="V997" s="41"/>
      <c r="W997" s="36"/>
      <c r="X997" s="36"/>
      <c r="Y997" s="36"/>
      <c r="Z997" s="36"/>
      <c r="AA997" s="36"/>
    </row>
    <row r="998" spans="16:27" x14ac:dyDescent="0.2">
      <c r="P998" s="36"/>
      <c r="Q998" s="40"/>
      <c r="R998" s="40"/>
      <c r="S998" s="40"/>
      <c r="T998" s="41"/>
      <c r="U998" s="41"/>
      <c r="V998" s="41"/>
      <c r="W998" s="36"/>
      <c r="X998" s="36"/>
      <c r="Y998" s="36"/>
      <c r="Z998" s="36"/>
      <c r="AA998" s="36"/>
    </row>
    <row r="999" spans="16:27" x14ac:dyDescent="0.2">
      <c r="P999" s="36"/>
      <c r="Q999" s="40"/>
      <c r="R999" s="40"/>
      <c r="S999" s="40"/>
      <c r="T999" s="41"/>
      <c r="U999" s="41"/>
      <c r="V999" s="41"/>
      <c r="W999" s="36"/>
      <c r="X999" s="36"/>
      <c r="Y999" s="36"/>
      <c r="Z999" s="36"/>
      <c r="AA999" s="36"/>
    </row>
    <row r="1000" spans="16:27" x14ac:dyDescent="0.2">
      <c r="P1000" s="36"/>
      <c r="Q1000" s="40"/>
      <c r="R1000" s="40"/>
      <c r="S1000" s="40"/>
      <c r="T1000" s="41"/>
      <c r="U1000" s="41"/>
      <c r="V1000" s="41"/>
      <c r="W1000" s="36"/>
      <c r="X1000" s="36"/>
      <c r="Y1000" s="36"/>
      <c r="Z1000" s="36"/>
      <c r="AA1000" s="36"/>
    </row>
    <row r="1001" spans="16:27" x14ac:dyDescent="0.2">
      <c r="P1001" s="36"/>
      <c r="Q1001" s="40"/>
      <c r="R1001" s="40"/>
      <c r="S1001" s="40"/>
      <c r="T1001" s="41"/>
      <c r="U1001" s="41"/>
      <c r="V1001" s="41"/>
      <c r="W1001" s="36"/>
      <c r="X1001" s="36"/>
      <c r="Y1001" s="36"/>
      <c r="Z1001" s="36"/>
      <c r="AA1001" s="36"/>
    </row>
    <row r="1002" spans="16:27" x14ac:dyDescent="0.2">
      <c r="P1002" s="36"/>
      <c r="Q1002" s="40"/>
      <c r="R1002" s="40"/>
      <c r="S1002" s="40"/>
      <c r="T1002" s="41"/>
      <c r="U1002" s="41"/>
      <c r="V1002" s="41"/>
      <c r="W1002" s="36"/>
      <c r="X1002" s="36"/>
      <c r="Y1002" s="36"/>
      <c r="Z1002" s="36"/>
      <c r="AA1002" s="36"/>
    </row>
    <row r="1003" spans="16:27" x14ac:dyDescent="0.2">
      <c r="P1003" s="36"/>
      <c r="Q1003" s="40"/>
      <c r="R1003" s="40"/>
      <c r="S1003" s="40"/>
      <c r="T1003" s="41"/>
      <c r="U1003" s="41"/>
      <c r="V1003" s="41"/>
      <c r="W1003" s="36"/>
      <c r="X1003" s="36"/>
      <c r="Y1003" s="36"/>
      <c r="Z1003" s="36"/>
      <c r="AA1003" s="36"/>
    </row>
    <row r="1004" spans="16:27" x14ac:dyDescent="0.2">
      <c r="P1004" s="36"/>
      <c r="Q1004" s="40"/>
      <c r="R1004" s="40"/>
      <c r="S1004" s="40"/>
      <c r="T1004" s="41"/>
      <c r="U1004" s="41"/>
      <c r="V1004" s="41"/>
      <c r="W1004" s="36"/>
      <c r="X1004" s="36"/>
      <c r="Y1004" s="36"/>
      <c r="Z1004" s="36"/>
      <c r="AA1004" s="36"/>
    </row>
    <row r="1005" spans="16:27" x14ac:dyDescent="0.2">
      <c r="P1005" s="36"/>
      <c r="Q1005" s="40"/>
      <c r="R1005" s="40"/>
      <c r="S1005" s="40"/>
      <c r="T1005" s="41"/>
      <c r="U1005" s="41"/>
      <c r="V1005" s="41"/>
      <c r="W1005" s="36"/>
      <c r="X1005" s="36"/>
      <c r="Y1005" s="36"/>
      <c r="Z1005" s="36"/>
      <c r="AA1005" s="36"/>
    </row>
    <row r="1006" spans="16:27" x14ac:dyDescent="0.2">
      <c r="P1006" s="36"/>
      <c r="Q1006" s="40"/>
      <c r="R1006" s="40"/>
      <c r="S1006" s="40"/>
      <c r="T1006" s="41"/>
      <c r="U1006" s="41"/>
      <c r="V1006" s="41"/>
      <c r="W1006" s="36"/>
      <c r="X1006" s="36"/>
      <c r="Y1006" s="36"/>
      <c r="Z1006" s="36"/>
      <c r="AA1006" s="36"/>
    </row>
    <row r="1007" spans="16:27" x14ac:dyDescent="0.2">
      <c r="P1007" s="36"/>
      <c r="Q1007" s="40"/>
      <c r="R1007" s="40"/>
      <c r="S1007" s="40"/>
      <c r="T1007" s="41"/>
      <c r="U1007" s="41"/>
      <c r="V1007" s="41"/>
      <c r="W1007" s="36"/>
      <c r="X1007" s="36"/>
      <c r="Y1007" s="36"/>
      <c r="Z1007" s="36"/>
      <c r="AA1007" s="36"/>
    </row>
    <row r="1008" spans="16:27" x14ac:dyDescent="0.2">
      <c r="P1008" s="36"/>
      <c r="Q1008" s="40"/>
      <c r="R1008" s="40"/>
      <c r="S1008" s="40"/>
      <c r="T1008" s="41"/>
      <c r="U1008" s="41"/>
      <c r="V1008" s="41"/>
      <c r="W1008" s="36"/>
      <c r="X1008" s="36"/>
      <c r="Y1008" s="36"/>
      <c r="Z1008" s="36"/>
      <c r="AA1008" s="36"/>
    </row>
    <row r="1009" spans="16:27" x14ac:dyDescent="0.2">
      <c r="P1009" s="36"/>
      <c r="Q1009" s="40"/>
      <c r="R1009" s="40"/>
      <c r="S1009" s="40"/>
      <c r="T1009" s="41"/>
      <c r="U1009" s="41"/>
      <c r="V1009" s="41"/>
      <c r="W1009" s="36"/>
      <c r="X1009" s="36"/>
      <c r="Y1009" s="36"/>
      <c r="Z1009" s="36"/>
      <c r="AA1009" s="36"/>
    </row>
    <row r="1010" spans="16:27" x14ac:dyDescent="0.2">
      <c r="P1010" s="36"/>
      <c r="Q1010" s="40"/>
      <c r="R1010" s="40"/>
      <c r="S1010" s="40"/>
      <c r="T1010" s="41"/>
      <c r="U1010" s="41"/>
      <c r="V1010" s="41"/>
      <c r="W1010" s="36"/>
      <c r="X1010" s="36"/>
      <c r="Y1010" s="36"/>
      <c r="Z1010" s="36"/>
      <c r="AA1010" s="36"/>
    </row>
    <row r="1011" spans="16:27" x14ac:dyDescent="0.2">
      <c r="P1011" s="36"/>
      <c r="Q1011" s="40"/>
      <c r="R1011" s="40"/>
      <c r="S1011" s="40"/>
      <c r="T1011" s="41"/>
      <c r="U1011" s="41"/>
      <c r="V1011" s="41"/>
      <c r="W1011" s="36"/>
      <c r="X1011" s="36"/>
      <c r="Y1011" s="36"/>
      <c r="Z1011" s="36"/>
      <c r="AA1011" s="36"/>
    </row>
    <row r="1012" spans="16:27" x14ac:dyDescent="0.2">
      <c r="P1012" s="36"/>
      <c r="Q1012" s="40"/>
      <c r="R1012" s="40"/>
      <c r="S1012" s="40"/>
      <c r="T1012" s="41"/>
      <c r="U1012" s="41"/>
      <c r="V1012" s="41"/>
      <c r="W1012" s="36"/>
      <c r="X1012" s="36"/>
      <c r="Y1012" s="36"/>
      <c r="Z1012" s="36"/>
      <c r="AA1012" s="36"/>
    </row>
    <row r="1013" spans="16:27" x14ac:dyDescent="0.2">
      <c r="P1013" s="36"/>
      <c r="Q1013" s="40"/>
      <c r="R1013" s="40"/>
      <c r="S1013" s="40"/>
      <c r="T1013" s="41"/>
      <c r="U1013" s="41"/>
      <c r="V1013" s="41"/>
      <c r="W1013" s="36"/>
      <c r="X1013" s="36"/>
      <c r="Y1013" s="36"/>
      <c r="Z1013" s="36"/>
      <c r="AA1013" s="36"/>
    </row>
    <row r="1014" spans="16:27" x14ac:dyDescent="0.2">
      <c r="P1014" s="36"/>
      <c r="Q1014" s="40"/>
      <c r="R1014" s="40"/>
      <c r="S1014" s="40"/>
      <c r="T1014" s="41"/>
      <c r="U1014" s="41"/>
      <c r="V1014" s="41"/>
      <c r="W1014" s="36"/>
      <c r="X1014" s="36"/>
      <c r="Y1014" s="36"/>
      <c r="Z1014" s="36"/>
      <c r="AA1014" s="36"/>
    </row>
    <row r="1015" spans="16:27" x14ac:dyDescent="0.2">
      <c r="P1015" s="36"/>
      <c r="Q1015" s="40"/>
      <c r="R1015" s="40"/>
      <c r="S1015" s="40"/>
      <c r="T1015" s="41"/>
      <c r="U1015" s="41"/>
      <c r="V1015" s="41"/>
      <c r="W1015" s="36"/>
      <c r="X1015" s="36"/>
      <c r="Y1015" s="36"/>
      <c r="Z1015" s="36"/>
      <c r="AA1015" s="36"/>
    </row>
    <row r="1016" spans="16:27" x14ac:dyDescent="0.2">
      <c r="P1016" s="36"/>
      <c r="Q1016" s="40"/>
      <c r="R1016" s="40"/>
      <c r="S1016" s="40"/>
      <c r="T1016" s="41"/>
      <c r="U1016" s="41"/>
      <c r="V1016" s="41"/>
      <c r="W1016" s="36"/>
      <c r="X1016" s="36"/>
      <c r="Y1016" s="36"/>
      <c r="Z1016" s="36"/>
      <c r="AA1016" s="36"/>
    </row>
    <row r="1017" spans="16:27" x14ac:dyDescent="0.2">
      <c r="P1017" s="36"/>
      <c r="Q1017" s="40"/>
      <c r="R1017" s="40"/>
      <c r="S1017" s="40"/>
      <c r="T1017" s="41"/>
      <c r="U1017" s="41"/>
      <c r="V1017" s="41"/>
      <c r="W1017" s="36"/>
      <c r="X1017" s="36"/>
      <c r="Y1017" s="36"/>
      <c r="Z1017" s="36"/>
      <c r="AA1017" s="36"/>
    </row>
    <row r="1018" spans="16:27" x14ac:dyDescent="0.2">
      <c r="P1018" s="36"/>
      <c r="Q1018" s="40"/>
      <c r="R1018" s="40"/>
      <c r="S1018" s="40"/>
      <c r="T1018" s="41"/>
      <c r="U1018" s="41"/>
      <c r="V1018" s="41"/>
      <c r="W1018" s="36"/>
      <c r="X1018" s="36"/>
      <c r="Y1018" s="36"/>
      <c r="Z1018" s="36"/>
      <c r="AA1018" s="36"/>
    </row>
    <row r="1019" spans="16:27" x14ac:dyDescent="0.2">
      <c r="P1019" s="36"/>
      <c r="Q1019" s="40"/>
      <c r="R1019" s="40"/>
      <c r="S1019" s="40"/>
      <c r="T1019" s="41"/>
      <c r="U1019" s="41"/>
      <c r="V1019" s="41"/>
      <c r="W1019" s="36"/>
      <c r="X1019" s="36"/>
      <c r="Y1019" s="36"/>
      <c r="Z1019" s="36"/>
      <c r="AA1019" s="36"/>
    </row>
    <row r="1020" spans="16:27" x14ac:dyDescent="0.2">
      <c r="P1020" s="36"/>
      <c r="Q1020" s="40"/>
      <c r="R1020" s="40"/>
      <c r="S1020" s="40"/>
      <c r="T1020" s="41"/>
      <c r="U1020" s="41"/>
      <c r="V1020" s="41"/>
      <c r="W1020" s="36"/>
      <c r="X1020" s="36"/>
      <c r="Y1020" s="36"/>
      <c r="Z1020" s="36"/>
      <c r="AA1020" s="36"/>
    </row>
    <row r="1021" spans="16:27" x14ac:dyDescent="0.2">
      <c r="P1021" s="36"/>
      <c r="Q1021" s="40"/>
      <c r="R1021" s="40"/>
      <c r="S1021" s="40"/>
      <c r="T1021" s="41"/>
      <c r="U1021" s="41"/>
      <c r="V1021" s="41"/>
      <c r="W1021" s="36"/>
      <c r="X1021" s="36"/>
      <c r="Y1021" s="36"/>
      <c r="Z1021" s="36"/>
      <c r="AA1021" s="36"/>
    </row>
    <row r="1022" spans="16:27" x14ac:dyDescent="0.2">
      <c r="P1022" s="36"/>
      <c r="Q1022" s="40"/>
      <c r="R1022" s="40"/>
      <c r="S1022" s="40"/>
      <c r="T1022" s="41"/>
      <c r="U1022" s="41"/>
      <c r="V1022" s="41"/>
      <c r="W1022" s="36"/>
      <c r="X1022" s="36"/>
      <c r="Y1022" s="36"/>
      <c r="Z1022" s="36"/>
      <c r="AA1022" s="36"/>
    </row>
    <row r="1023" spans="16:27" x14ac:dyDescent="0.2">
      <c r="P1023" s="36"/>
      <c r="Q1023" s="40"/>
      <c r="R1023" s="40"/>
      <c r="S1023" s="40"/>
      <c r="T1023" s="41"/>
      <c r="U1023" s="41"/>
      <c r="V1023" s="41"/>
      <c r="W1023" s="36"/>
      <c r="X1023" s="36"/>
      <c r="Y1023" s="36"/>
      <c r="Z1023" s="36"/>
      <c r="AA1023" s="36"/>
    </row>
    <row r="1024" spans="16:27" x14ac:dyDescent="0.2">
      <c r="P1024" s="36"/>
      <c r="Q1024" s="40"/>
      <c r="R1024" s="40"/>
      <c r="S1024" s="40"/>
      <c r="T1024" s="41"/>
      <c r="U1024" s="41"/>
      <c r="V1024" s="41"/>
      <c r="W1024" s="36"/>
      <c r="X1024" s="36"/>
      <c r="Y1024" s="36"/>
      <c r="Z1024" s="36"/>
      <c r="AA1024" s="36"/>
    </row>
    <row r="1025" spans="16:27" x14ac:dyDescent="0.2">
      <c r="P1025" s="36"/>
      <c r="Q1025" s="40"/>
      <c r="R1025" s="40"/>
      <c r="S1025" s="40"/>
      <c r="T1025" s="41"/>
      <c r="U1025" s="41"/>
      <c r="V1025" s="41"/>
      <c r="W1025" s="36"/>
      <c r="X1025" s="36"/>
      <c r="Y1025" s="36"/>
      <c r="Z1025" s="36"/>
      <c r="AA1025" s="36"/>
    </row>
    <row r="1026" spans="16:27" x14ac:dyDescent="0.2">
      <c r="P1026" s="36"/>
      <c r="Q1026" s="40"/>
      <c r="R1026" s="40"/>
      <c r="S1026" s="40"/>
      <c r="T1026" s="41"/>
      <c r="U1026" s="41"/>
      <c r="V1026" s="41"/>
      <c r="W1026" s="36"/>
      <c r="X1026" s="36"/>
      <c r="Y1026" s="36"/>
      <c r="Z1026" s="36"/>
      <c r="AA1026" s="36"/>
    </row>
    <row r="1027" spans="16:27" x14ac:dyDescent="0.2">
      <c r="P1027" s="36"/>
      <c r="Q1027" s="40"/>
      <c r="R1027" s="40"/>
      <c r="S1027" s="40"/>
      <c r="T1027" s="41"/>
      <c r="U1027" s="41"/>
      <c r="V1027" s="41"/>
      <c r="W1027" s="36"/>
      <c r="X1027" s="36"/>
      <c r="Y1027" s="36"/>
      <c r="Z1027" s="36"/>
      <c r="AA1027" s="36"/>
    </row>
    <row r="1028" spans="16:27" x14ac:dyDescent="0.2">
      <c r="P1028" s="36"/>
      <c r="Q1028" s="40"/>
      <c r="R1028" s="40"/>
      <c r="S1028" s="40"/>
      <c r="T1028" s="41"/>
      <c r="U1028" s="41"/>
      <c r="V1028" s="41"/>
      <c r="W1028" s="36"/>
      <c r="X1028" s="36"/>
      <c r="Y1028" s="36"/>
      <c r="Z1028" s="36"/>
      <c r="AA1028" s="36"/>
    </row>
    <row r="1029" spans="16:27" x14ac:dyDescent="0.2">
      <c r="P1029" s="36"/>
      <c r="Q1029" s="40"/>
      <c r="R1029" s="40"/>
      <c r="S1029" s="40"/>
      <c r="T1029" s="41"/>
      <c r="U1029" s="41"/>
      <c r="V1029" s="41"/>
      <c r="W1029" s="36"/>
      <c r="X1029" s="36"/>
      <c r="Y1029" s="36"/>
      <c r="Z1029" s="36"/>
      <c r="AA1029" s="36"/>
    </row>
    <row r="1030" spans="16:27" x14ac:dyDescent="0.2">
      <c r="P1030" s="36"/>
      <c r="Q1030" s="40"/>
      <c r="R1030" s="40"/>
      <c r="S1030" s="40"/>
      <c r="T1030" s="41"/>
      <c r="U1030" s="41"/>
      <c r="V1030" s="41"/>
      <c r="W1030" s="36"/>
      <c r="X1030" s="36"/>
      <c r="Y1030" s="36"/>
      <c r="Z1030" s="36"/>
      <c r="AA1030" s="36"/>
    </row>
    <row r="1031" spans="16:27" x14ac:dyDescent="0.2">
      <c r="P1031" s="36"/>
      <c r="Q1031" s="40"/>
      <c r="R1031" s="40"/>
      <c r="S1031" s="40"/>
      <c r="T1031" s="41"/>
      <c r="U1031" s="41"/>
      <c r="V1031" s="41"/>
      <c r="W1031" s="36"/>
      <c r="X1031" s="36"/>
      <c r="Y1031" s="36"/>
      <c r="Z1031" s="36"/>
      <c r="AA1031" s="36"/>
    </row>
    <row r="1032" spans="16:27" x14ac:dyDescent="0.2">
      <c r="P1032" s="36"/>
      <c r="Q1032" s="40"/>
      <c r="R1032" s="40"/>
      <c r="S1032" s="40"/>
      <c r="T1032" s="41"/>
      <c r="U1032" s="41"/>
      <c r="V1032" s="41"/>
      <c r="W1032" s="36"/>
      <c r="X1032" s="36"/>
      <c r="Y1032" s="36"/>
      <c r="Z1032" s="36"/>
      <c r="AA1032" s="36"/>
    </row>
    <row r="1033" spans="16:27" x14ac:dyDescent="0.2">
      <c r="P1033" s="36"/>
      <c r="Q1033" s="40"/>
      <c r="R1033" s="40"/>
      <c r="S1033" s="40"/>
      <c r="T1033" s="41"/>
      <c r="U1033" s="41"/>
      <c r="V1033" s="41"/>
      <c r="W1033" s="36"/>
      <c r="X1033" s="36"/>
      <c r="Y1033" s="36"/>
      <c r="Z1033" s="36"/>
      <c r="AA1033" s="36"/>
    </row>
    <row r="1034" spans="16:27" x14ac:dyDescent="0.2">
      <c r="P1034" s="36"/>
      <c r="Q1034" s="40"/>
      <c r="R1034" s="40"/>
      <c r="S1034" s="40"/>
      <c r="T1034" s="41"/>
      <c r="U1034" s="41"/>
      <c r="V1034" s="41"/>
      <c r="W1034" s="36"/>
      <c r="X1034" s="36"/>
      <c r="Y1034" s="36"/>
      <c r="Z1034" s="36"/>
      <c r="AA1034" s="36"/>
    </row>
    <row r="1035" spans="16:27" x14ac:dyDescent="0.2">
      <c r="P1035" s="36"/>
      <c r="Q1035" s="40"/>
      <c r="R1035" s="40"/>
      <c r="S1035" s="40"/>
      <c r="T1035" s="41"/>
      <c r="U1035" s="41"/>
      <c r="V1035" s="41"/>
      <c r="W1035" s="36"/>
      <c r="X1035" s="36"/>
      <c r="Y1035" s="36"/>
      <c r="Z1035" s="36"/>
      <c r="AA1035" s="36"/>
    </row>
    <row r="1036" spans="16:27" x14ac:dyDescent="0.2">
      <c r="P1036" s="36"/>
      <c r="Q1036" s="40"/>
      <c r="R1036" s="40"/>
      <c r="S1036" s="40"/>
      <c r="T1036" s="41"/>
      <c r="U1036" s="41"/>
      <c r="V1036" s="41"/>
      <c r="W1036" s="36"/>
      <c r="X1036" s="36"/>
      <c r="Y1036" s="36"/>
      <c r="Z1036" s="36"/>
      <c r="AA1036" s="36"/>
    </row>
    <row r="1037" spans="16:27" x14ac:dyDescent="0.2">
      <c r="P1037" s="36"/>
      <c r="Q1037" s="40"/>
      <c r="R1037" s="40"/>
      <c r="S1037" s="40"/>
      <c r="T1037" s="41"/>
      <c r="U1037" s="41"/>
      <c r="V1037" s="41"/>
      <c r="W1037" s="36"/>
      <c r="X1037" s="36"/>
      <c r="Y1037" s="36"/>
      <c r="Z1037" s="36"/>
      <c r="AA1037" s="36"/>
    </row>
    <row r="1038" spans="16:27" x14ac:dyDescent="0.2">
      <c r="P1038" s="36"/>
      <c r="Q1038" s="40"/>
      <c r="R1038" s="40"/>
      <c r="S1038" s="40"/>
      <c r="T1038" s="41"/>
      <c r="U1038" s="41"/>
      <c r="V1038" s="41"/>
      <c r="W1038" s="36"/>
      <c r="X1038" s="36"/>
      <c r="Y1038" s="36"/>
      <c r="Z1038" s="36"/>
      <c r="AA1038" s="36"/>
    </row>
    <row r="1039" spans="16:27" x14ac:dyDescent="0.2">
      <c r="P1039" s="36"/>
      <c r="Q1039" s="40"/>
      <c r="R1039" s="40"/>
      <c r="S1039" s="40"/>
      <c r="T1039" s="41"/>
      <c r="U1039" s="41"/>
      <c r="V1039" s="41"/>
      <c r="W1039" s="36"/>
      <c r="X1039" s="36"/>
      <c r="Y1039" s="36"/>
      <c r="Z1039" s="36"/>
      <c r="AA1039" s="36"/>
    </row>
    <row r="1040" spans="16:27" x14ac:dyDescent="0.2">
      <c r="P1040" s="36"/>
      <c r="Q1040" s="40"/>
      <c r="R1040" s="40"/>
      <c r="S1040" s="40"/>
      <c r="T1040" s="41"/>
      <c r="U1040" s="41"/>
      <c r="V1040" s="41"/>
      <c r="W1040" s="36"/>
      <c r="X1040" s="36"/>
      <c r="Y1040" s="36"/>
      <c r="Z1040" s="36"/>
      <c r="AA1040" s="36"/>
    </row>
    <row r="1041" spans="16:27" x14ac:dyDescent="0.2">
      <c r="P1041" s="36"/>
      <c r="Q1041" s="40"/>
      <c r="R1041" s="40"/>
      <c r="S1041" s="40"/>
      <c r="T1041" s="41"/>
      <c r="U1041" s="41"/>
      <c r="V1041" s="41"/>
      <c r="W1041" s="36"/>
      <c r="X1041" s="36"/>
      <c r="Y1041" s="36"/>
      <c r="Z1041" s="36"/>
      <c r="AA1041" s="36"/>
    </row>
    <row r="1042" spans="16:27" x14ac:dyDescent="0.2">
      <c r="P1042" s="36"/>
      <c r="Q1042" s="40"/>
      <c r="R1042" s="40"/>
      <c r="S1042" s="40"/>
      <c r="T1042" s="41"/>
      <c r="U1042" s="41"/>
      <c r="V1042" s="41"/>
      <c r="W1042" s="36"/>
      <c r="X1042" s="36"/>
      <c r="Y1042" s="36"/>
      <c r="Z1042" s="36"/>
      <c r="AA1042" s="36"/>
    </row>
    <row r="1043" spans="16:27" x14ac:dyDescent="0.2">
      <c r="P1043" s="36"/>
      <c r="Q1043" s="40"/>
      <c r="R1043" s="40"/>
      <c r="S1043" s="40"/>
      <c r="T1043" s="41"/>
      <c r="U1043" s="41"/>
      <c r="V1043" s="41"/>
      <c r="W1043" s="36"/>
      <c r="X1043" s="36"/>
      <c r="Y1043" s="36"/>
      <c r="Z1043" s="36"/>
      <c r="AA1043" s="36"/>
    </row>
    <row r="1044" spans="16:27" x14ac:dyDescent="0.2">
      <c r="P1044" s="36"/>
      <c r="Q1044" s="40"/>
      <c r="R1044" s="40"/>
      <c r="S1044" s="40"/>
      <c r="T1044" s="41"/>
      <c r="U1044" s="41"/>
      <c r="V1044" s="41"/>
      <c r="W1044" s="36"/>
      <c r="X1044" s="36"/>
      <c r="Y1044" s="36"/>
      <c r="Z1044" s="36"/>
      <c r="AA1044" s="36"/>
    </row>
    <row r="1045" spans="16:27" x14ac:dyDescent="0.2">
      <c r="P1045" s="36"/>
      <c r="Q1045" s="40"/>
      <c r="R1045" s="40"/>
      <c r="S1045" s="40"/>
      <c r="T1045" s="41"/>
      <c r="U1045" s="41"/>
      <c r="V1045" s="41"/>
      <c r="W1045" s="36"/>
      <c r="X1045" s="36"/>
      <c r="Y1045" s="36"/>
      <c r="Z1045" s="36"/>
      <c r="AA1045" s="36"/>
    </row>
    <row r="1046" spans="16:27" x14ac:dyDescent="0.2">
      <c r="P1046" s="36"/>
      <c r="Q1046" s="40"/>
      <c r="R1046" s="40"/>
      <c r="S1046" s="40"/>
      <c r="T1046" s="41"/>
      <c r="U1046" s="41"/>
      <c r="V1046" s="41"/>
      <c r="W1046" s="36"/>
      <c r="X1046" s="36"/>
      <c r="Y1046" s="36"/>
      <c r="Z1046" s="36"/>
      <c r="AA1046" s="36"/>
    </row>
    <row r="1047" spans="16:27" x14ac:dyDescent="0.2">
      <c r="P1047" s="36"/>
      <c r="Q1047" s="40"/>
      <c r="R1047" s="40"/>
      <c r="S1047" s="40"/>
      <c r="T1047" s="41"/>
      <c r="U1047" s="41"/>
      <c r="V1047" s="41"/>
      <c r="W1047" s="36"/>
      <c r="X1047" s="36"/>
      <c r="Y1047" s="36"/>
      <c r="Z1047" s="36"/>
      <c r="AA1047" s="36"/>
    </row>
    <row r="1048" spans="16:27" x14ac:dyDescent="0.2">
      <c r="P1048" s="36"/>
      <c r="Q1048" s="40"/>
      <c r="R1048" s="40"/>
      <c r="S1048" s="40"/>
      <c r="T1048" s="41"/>
      <c r="U1048" s="41"/>
      <c r="V1048" s="41"/>
      <c r="W1048" s="36"/>
      <c r="X1048" s="36"/>
      <c r="Y1048" s="36"/>
      <c r="Z1048" s="36"/>
      <c r="AA1048" s="36"/>
    </row>
    <row r="1049" spans="16:27" x14ac:dyDescent="0.2">
      <c r="P1049" s="36"/>
      <c r="Q1049" s="40"/>
      <c r="R1049" s="40"/>
      <c r="S1049" s="40"/>
      <c r="T1049" s="41"/>
      <c r="U1049" s="41"/>
      <c r="V1049" s="41"/>
      <c r="W1049" s="36"/>
      <c r="X1049" s="36"/>
      <c r="Y1049" s="36"/>
      <c r="Z1049" s="36"/>
      <c r="AA1049" s="36"/>
    </row>
    <row r="1050" spans="16:27" x14ac:dyDescent="0.2">
      <c r="P1050" s="36"/>
      <c r="Q1050" s="40"/>
      <c r="R1050" s="40"/>
      <c r="S1050" s="40"/>
      <c r="T1050" s="41"/>
      <c r="U1050" s="41"/>
      <c r="V1050" s="41"/>
      <c r="W1050" s="36"/>
      <c r="X1050" s="36"/>
      <c r="Y1050" s="36"/>
      <c r="Z1050" s="36"/>
      <c r="AA1050" s="36"/>
    </row>
    <row r="1051" spans="16:27" x14ac:dyDescent="0.2">
      <c r="P1051" s="36"/>
      <c r="Q1051" s="40"/>
      <c r="R1051" s="40"/>
      <c r="S1051" s="40"/>
      <c r="T1051" s="41"/>
      <c r="U1051" s="41"/>
      <c r="V1051" s="41"/>
      <c r="W1051" s="36"/>
      <c r="X1051" s="36"/>
      <c r="Y1051" s="36"/>
      <c r="Z1051" s="36"/>
      <c r="AA1051" s="36"/>
    </row>
    <row r="1052" spans="16:27" x14ac:dyDescent="0.2">
      <c r="P1052" s="36"/>
      <c r="Q1052" s="40"/>
      <c r="R1052" s="40"/>
      <c r="S1052" s="40"/>
      <c r="T1052" s="41"/>
      <c r="U1052" s="41"/>
      <c r="V1052" s="41"/>
      <c r="W1052" s="36"/>
      <c r="X1052" s="36"/>
      <c r="Y1052" s="36"/>
      <c r="Z1052" s="36"/>
      <c r="AA1052" s="36"/>
    </row>
    <row r="1053" spans="16:27" x14ac:dyDescent="0.2">
      <c r="P1053" s="36"/>
      <c r="Q1053" s="40"/>
      <c r="R1053" s="40"/>
      <c r="S1053" s="40"/>
      <c r="T1053" s="41"/>
      <c r="U1053" s="41"/>
      <c r="V1053" s="41"/>
      <c r="W1053" s="36"/>
      <c r="X1053" s="36"/>
      <c r="Y1053" s="36"/>
      <c r="Z1053" s="36"/>
      <c r="AA1053" s="36"/>
    </row>
    <row r="1054" spans="16:27" x14ac:dyDescent="0.2">
      <c r="P1054" s="36"/>
      <c r="Q1054" s="40"/>
      <c r="R1054" s="40"/>
      <c r="S1054" s="40"/>
      <c r="T1054" s="41"/>
      <c r="U1054" s="41"/>
      <c r="V1054" s="41"/>
      <c r="W1054" s="36"/>
      <c r="X1054" s="36"/>
      <c r="Y1054" s="36"/>
      <c r="Z1054" s="36"/>
      <c r="AA1054" s="36"/>
    </row>
    <row r="1055" spans="16:27" x14ac:dyDescent="0.2">
      <c r="P1055" s="36"/>
      <c r="Q1055" s="40"/>
      <c r="R1055" s="40"/>
      <c r="S1055" s="40"/>
      <c r="T1055" s="41"/>
      <c r="U1055" s="41"/>
      <c r="V1055" s="41"/>
      <c r="W1055" s="36"/>
      <c r="X1055" s="36"/>
      <c r="Y1055" s="36"/>
      <c r="Z1055" s="36"/>
      <c r="AA1055" s="36"/>
    </row>
    <row r="1056" spans="16:27" x14ac:dyDescent="0.2">
      <c r="P1056" s="36"/>
      <c r="Q1056" s="40"/>
      <c r="R1056" s="40"/>
      <c r="S1056" s="40"/>
      <c r="T1056" s="41"/>
      <c r="U1056" s="41"/>
      <c r="V1056" s="41"/>
      <c r="W1056" s="36"/>
      <c r="X1056" s="36"/>
      <c r="Y1056" s="36"/>
      <c r="Z1056" s="36"/>
      <c r="AA1056" s="36"/>
    </row>
    <row r="1057" spans="16:27" x14ac:dyDescent="0.2">
      <c r="P1057" s="36"/>
      <c r="Q1057" s="40"/>
      <c r="R1057" s="40"/>
      <c r="S1057" s="40"/>
      <c r="T1057" s="41"/>
      <c r="U1057" s="41"/>
      <c r="V1057" s="41"/>
      <c r="W1057" s="36"/>
      <c r="X1057" s="36"/>
      <c r="Y1057" s="36"/>
      <c r="Z1057" s="36"/>
      <c r="AA1057" s="36"/>
    </row>
    <row r="1058" spans="16:27" x14ac:dyDescent="0.2">
      <c r="P1058" s="36"/>
      <c r="Q1058" s="40"/>
      <c r="R1058" s="40"/>
      <c r="S1058" s="40"/>
      <c r="T1058" s="41"/>
      <c r="U1058" s="41"/>
      <c r="V1058" s="41"/>
      <c r="W1058" s="36"/>
      <c r="X1058" s="36"/>
      <c r="Y1058" s="36"/>
      <c r="Z1058" s="36"/>
      <c r="AA1058" s="36"/>
    </row>
    <row r="1059" spans="16:27" x14ac:dyDescent="0.2">
      <c r="P1059" s="36"/>
      <c r="Q1059" s="40"/>
      <c r="R1059" s="40"/>
      <c r="S1059" s="40"/>
      <c r="T1059" s="41"/>
      <c r="U1059" s="41"/>
      <c r="V1059" s="41"/>
      <c r="W1059" s="36"/>
      <c r="X1059" s="36"/>
      <c r="Y1059" s="36"/>
      <c r="Z1059" s="36"/>
      <c r="AA1059" s="36"/>
    </row>
    <row r="1060" spans="16:27" x14ac:dyDescent="0.2">
      <c r="P1060" s="36"/>
      <c r="Q1060" s="40"/>
      <c r="R1060" s="40"/>
      <c r="S1060" s="40"/>
      <c r="T1060" s="41"/>
      <c r="U1060" s="41"/>
      <c r="V1060" s="41"/>
      <c r="W1060" s="36"/>
      <c r="X1060" s="36"/>
      <c r="Y1060" s="36"/>
      <c r="Z1060" s="36"/>
      <c r="AA1060" s="36"/>
    </row>
    <row r="1061" spans="16:27" x14ac:dyDescent="0.2">
      <c r="P1061" s="36"/>
      <c r="Q1061" s="40"/>
      <c r="R1061" s="40"/>
      <c r="S1061" s="40"/>
      <c r="T1061" s="41"/>
      <c r="U1061" s="41"/>
      <c r="V1061" s="41"/>
      <c r="W1061" s="36"/>
      <c r="X1061" s="36"/>
      <c r="Y1061" s="36"/>
      <c r="Z1061" s="36"/>
      <c r="AA1061" s="36"/>
    </row>
    <row r="1062" spans="16:27" x14ac:dyDescent="0.2">
      <c r="P1062" s="36"/>
      <c r="Q1062" s="40"/>
      <c r="R1062" s="40"/>
      <c r="S1062" s="40"/>
      <c r="T1062" s="41"/>
      <c r="U1062" s="41"/>
      <c r="V1062" s="41"/>
      <c r="W1062" s="36"/>
      <c r="X1062" s="36"/>
      <c r="Y1062" s="36"/>
      <c r="Z1062" s="36"/>
      <c r="AA1062" s="36"/>
    </row>
    <row r="1063" spans="16:27" x14ac:dyDescent="0.2">
      <c r="P1063" s="36"/>
      <c r="Q1063" s="40"/>
      <c r="R1063" s="40"/>
      <c r="S1063" s="40"/>
      <c r="T1063" s="41"/>
      <c r="U1063" s="41"/>
      <c r="V1063" s="41"/>
      <c r="W1063" s="36"/>
      <c r="X1063" s="36"/>
      <c r="Y1063" s="36"/>
      <c r="Z1063" s="36"/>
      <c r="AA1063" s="36"/>
    </row>
    <row r="1064" spans="16:27" x14ac:dyDescent="0.2">
      <c r="P1064" s="36"/>
      <c r="Q1064" s="40"/>
      <c r="R1064" s="40"/>
      <c r="S1064" s="40"/>
      <c r="T1064" s="41"/>
      <c r="U1064" s="41"/>
      <c r="V1064" s="41"/>
      <c r="W1064" s="36"/>
      <c r="X1064" s="36"/>
      <c r="Y1064" s="36"/>
      <c r="Z1064" s="36"/>
      <c r="AA1064" s="36"/>
    </row>
    <row r="1065" spans="16:27" x14ac:dyDescent="0.2">
      <c r="P1065" s="36"/>
      <c r="Q1065" s="40"/>
      <c r="R1065" s="40"/>
      <c r="S1065" s="40"/>
      <c r="T1065" s="41"/>
      <c r="U1065" s="41"/>
      <c r="V1065" s="41"/>
      <c r="W1065" s="36"/>
      <c r="X1065" s="36"/>
      <c r="Y1065" s="36"/>
      <c r="Z1065" s="36"/>
      <c r="AA1065" s="36"/>
    </row>
    <row r="1066" spans="16:27" x14ac:dyDescent="0.2">
      <c r="P1066" s="36"/>
      <c r="Q1066" s="40"/>
      <c r="R1066" s="40"/>
      <c r="S1066" s="40"/>
      <c r="T1066" s="41"/>
      <c r="U1066" s="41"/>
      <c r="V1066" s="41"/>
      <c r="W1066" s="36"/>
      <c r="X1066" s="36"/>
      <c r="Y1066" s="36"/>
      <c r="Z1066" s="36"/>
      <c r="AA1066" s="36"/>
    </row>
    <row r="1067" spans="16:27" x14ac:dyDescent="0.2">
      <c r="P1067" s="36"/>
      <c r="Q1067" s="40"/>
      <c r="R1067" s="40"/>
      <c r="S1067" s="40"/>
      <c r="T1067" s="41"/>
      <c r="U1067" s="41"/>
      <c r="V1067" s="41"/>
      <c r="W1067" s="36"/>
      <c r="X1067" s="36"/>
      <c r="Y1067" s="36"/>
      <c r="Z1067" s="36"/>
      <c r="AA1067" s="36"/>
    </row>
    <row r="1068" spans="16:27" x14ac:dyDescent="0.2">
      <c r="P1068" s="36"/>
      <c r="Q1068" s="40"/>
      <c r="R1068" s="40"/>
      <c r="S1068" s="40"/>
      <c r="T1068" s="41"/>
      <c r="U1068" s="41"/>
      <c r="V1068" s="41"/>
      <c r="W1068" s="36"/>
      <c r="X1068" s="36"/>
      <c r="Y1068" s="36"/>
      <c r="Z1068" s="36"/>
      <c r="AA1068" s="36"/>
    </row>
    <row r="1069" spans="16:27" x14ac:dyDescent="0.2">
      <c r="P1069" s="36"/>
      <c r="Q1069" s="40"/>
      <c r="R1069" s="40"/>
      <c r="S1069" s="40"/>
      <c r="T1069" s="41"/>
      <c r="U1069" s="41"/>
      <c r="V1069" s="41"/>
      <c r="W1069" s="36"/>
      <c r="X1069" s="36"/>
      <c r="Y1069" s="36"/>
      <c r="Z1069" s="36"/>
      <c r="AA1069" s="36"/>
    </row>
    <row r="1070" spans="16:27" x14ac:dyDescent="0.2">
      <c r="P1070" s="36"/>
      <c r="Q1070" s="40"/>
      <c r="R1070" s="40"/>
      <c r="S1070" s="40"/>
      <c r="T1070" s="41"/>
      <c r="U1070" s="41"/>
      <c r="V1070" s="41"/>
      <c r="W1070" s="36"/>
      <c r="X1070" s="36"/>
      <c r="Y1070" s="36"/>
      <c r="Z1070" s="36"/>
      <c r="AA1070" s="36"/>
    </row>
    <row r="1071" spans="16:27" x14ac:dyDescent="0.2">
      <c r="P1071" s="36"/>
      <c r="Q1071" s="40"/>
      <c r="R1071" s="40"/>
      <c r="S1071" s="40"/>
      <c r="T1071" s="41"/>
      <c r="U1071" s="41"/>
      <c r="V1071" s="41"/>
      <c r="W1071" s="36"/>
      <c r="X1071" s="36"/>
      <c r="Y1071" s="36"/>
      <c r="Z1071" s="36"/>
      <c r="AA1071" s="36"/>
    </row>
    <row r="1072" spans="16:27" x14ac:dyDescent="0.2">
      <c r="P1072" s="36"/>
      <c r="Q1072" s="40"/>
      <c r="R1072" s="40"/>
      <c r="S1072" s="40"/>
      <c r="T1072" s="41"/>
      <c r="U1072" s="41"/>
      <c r="V1072" s="41"/>
      <c r="W1072" s="36"/>
      <c r="X1072" s="36"/>
      <c r="Y1072" s="36"/>
      <c r="Z1072" s="36"/>
      <c r="AA1072" s="36"/>
    </row>
    <row r="1073" spans="16:27" x14ac:dyDescent="0.2">
      <c r="P1073" s="36"/>
      <c r="Q1073" s="40"/>
      <c r="R1073" s="40"/>
      <c r="S1073" s="40"/>
      <c r="T1073" s="41"/>
      <c r="U1073" s="41"/>
      <c r="V1073" s="41"/>
      <c r="W1073" s="36"/>
      <c r="X1073" s="36"/>
      <c r="Y1073" s="36"/>
      <c r="Z1073" s="36"/>
      <c r="AA1073" s="36"/>
    </row>
    <row r="1074" spans="16:27" x14ac:dyDescent="0.2">
      <c r="P1074" s="36"/>
      <c r="Q1074" s="40"/>
      <c r="R1074" s="40"/>
      <c r="S1074" s="40"/>
      <c r="T1074" s="41"/>
      <c r="U1074" s="41"/>
      <c r="V1074" s="41"/>
      <c r="W1074" s="36"/>
      <c r="X1074" s="36"/>
      <c r="Y1074" s="36"/>
      <c r="Z1074" s="36"/>
      <c r="AA1074" s="36"/>
    </row>
    <row r="1075" spans="16:27" x14ac:dyDescent="0.2">
      <c r="P1075" s="36"/>
      <c r="Q1075" s="40"/>
      <c r="R1075" s="40"/>
      <c r="S1075" s="40"/>
      <c r="T1075" s="41"/>
      <c r="U1075" s="41"/>
      <c r="V1075" s="41"/>
      <c r="W1075" s="36"/>
      <c r="X1075" s="36"/>
      <c r="Y1075" s="36"/>
      <c r="Z1075" s="36"/>
      <c r="AA1075" s="36"/>
    </row>
    <row r="1076" spans="16:27" x14ac:dyDescent="0.2">
      <c r="P1076" s="36"/>
      <c r="Q1076" s="40"/>
      <c r="R1076" s="40"/>
      <c r="S1076" s="40"/>
      <c r="T1076" s="41"/>
      <c r="U1076" s="41"/>
      <c r="V1076" s="41"/>
      <c r="W1076" s="36"/>
      <c r="X1076" s="36"/>
      <c r="Y1076" s="36"/>
      <c r="Z1076" s="36"/>
      <c r="AA1076" s="36"/>
    </row>
    <row r="1077" spans="16:27" x14ac:dyDescent="0.2">
      <c r="P1077" s="36"/>
      <c r="Q1077" s="40"/>
      <c r="R1077" s="40"/>
      <c r="S1077" s="40"/>
      <c r="T1077" s="41"/>
      <c r="U1077" s="41"/>
      <c r="V1077" s="41"/>
      <c r="W1077" s="36"/>
      <c r="X1077" s="36"/>
      <c r="Y1077" s="36"/>
      <c r="Z1077" s="36"/>
      <c r="AA1077" s="36"/>
    </row>
    <row r="1078" spans="16:27" x14ac:dyDescent="0.2">
      <c r="P1078" s="36"/>
      <c r="Q1078" s="40"/>
      <c r="R1078" s="40"/>
      <c r="S1078" s="40"/>
      <c r="T1078" s="41"/>
      <c r="U1078" s="41"/>
      <c r="V1078" s="41"/>
      <c r="W1078" s="36"/>
      <c r="X1078" s="36"/>
      <c r="Y1078" s="36"/>
      <c r="Z1078" s="36"/>
      <c r="AA1078" s="36"/>
    </row>
    <row r="1079" spans="16:27" x14ac:dyDescent="0.2">
      <c r="P1079" s="36"/>
      <c r="Q1079" s="40"/>
      <c r="R1079" s="40"/>
      <c r="S1079" s="40"/>
      <c r="T1079" s="41"/>
      <c r="U1079" s="41"/>
      <c r="V1079" s="41"/>
      <c r="W1079" s="36"/>
      <c r="X1079" s="36"/>
      <c r="Y1079" s="36"/>
      <c r="Z1079" s="36"/>
      <c r="AA1079" s="36"/>
    </row>
    <row r="1080" spans="16:27" x14ac:dyDescent="0.2">
      <c r="P1080" s="36"/>
      <c r="Q1080" s="40"/>
      <c r="R1080" s="40"/>
      <c r="S1080" s="40"/>
      <c r="T1080" s="41"/>
      <c r="U1080" s="41"/>
      <c r="V1080" s="41"/>
      <c r="W1080" s="36"/>
      <c r="X1080" s="36"/>
      <c r="Y1080" s="36"/>
      <c r="Z1080" s="36"/>
      <c r="AA1080" s="36"/>
    </row>
    <row r="1081" spans="16:27" x14ac:dyDescent="0.2">
      <c r="P1081" s="36"/>
      <c r="Q1081" s="40"/>
      <c r="R1081" s="40"/>
      <c r="S1081" s="40"/>
      <c r="T1081" s="41"/>
      <c r="U1081" s="41"/>
      <c r="V1081" s="41"/>
      <c r="W1081" s="36"/>
      <c r="X1081" s="36"/>
      <c r="Y1081" s="36"/>
      <c r="Z1081" s="36"/>
      <c r="AA1081" s="36"/>
    </row>
    <row r="1082" spans="16:27" x14ac:dyDescent="0.2">
      <c r="P1082" s="36"/>
      <c r="Q1082" s="40"/>
      <c r="R1082" s="40"/>
      <c r="S1082" s="40"/>
      <c r="T1082" s="41"/>
      <c r="U1082" s="41"/>
      <c r="V1082" s="41"/>
      <c r="W1082" s="36"/>
      <c r="X1082" s="36"/>
      <c r="Y1082" s="36"/>
      <c r="Z1082" s="36"/>
      <c r="AA1082" s="36"/>
    </row>
    <row r="1083" spans="16:27" x14ac:dyDescent="0.2">
      <c r="P1083" s="36"/>
      <c r="Q1083" s="40"/>
      <c r="R1083" s="40"/>
      <c r="S1083" s="40"/>
      <c r="T1083" s="41"/>
      <c r="U1083" s="41"/>
      <c r="V1083" s="41"/>
      <c r="W1083" s="36"/>
      <c r="X1083" s="36"/>
      <c r="Y1083" s="36"/>
      <c r="Z1083" s="36"/>
      <c r="AA1083" s="36"/>
    </row>
    <row r="1084" spans="16:27" x14ac:dyDescent="0.2">
      <c r="P1084" s="36"/>
      <c r="Q1084" s="40"/>
      <c r="R1084" s="40"/>
      <c r="S1084" s="40"/>
      <c r="T1084" s="41"/>
      <c r="U1084" s="41"/>
      <c r="V1084" s="41"/>
      <c r="W1084" s="36"/>
      <c r="X1084" s="36"/>
      <c r="Y1084" s="36"/>
      <c r="Z1084" s="36"/>
      <c r="AA1084" s="36"/>
    </row>
    <row r="1085" spans="16:27" x14ac:dyDescent="0.2">
      <c r="P1085" s="36"/>
      <c r="Q1085" s="40"/>
      <c r="R1085" s="40"/>
      <c r="S1085" s="40"/>
      <c r="T1085" s="41"/>
      <c r="U1085" s="41"/>
      <c r="V1085" s="41"/>
      <c r="W1085" s="36"/>
      <c r="X1085" s="36"/>
      <c r="Y1085" s="36"/>
      <c r="Z1085" s="36"/>
      <c r="AA1085" s="36"/>
    </row>
    <row r="1086" spans="16:27" x14ac:dyDescent="0.2">
      <c r="P1086" s="36"/>
      <c r="Q1086" s="40"/>
      <c r="R1086" s="40"/>
      <c r="S1086" s="40"/>
      <c r="T1086" s="41"/>
      <c r="U1086" s="41"/>
      <c r="V1086" s="41"/>
      <c r="W1086" s="36"/>
      <c r="X1086" s="36"/>
      <c r="Y1086" s="36"/>
      <c r="Z1086" s="36"/>
      <c r="AA1086" s="36"/>
    </row>
    <row r="1087" spans="16:27" x14ac:dyDescent="0.2">
      <c r="P1087" s="36"/>
      <c r="Q1087" s="40"/>
      <c r="R1087" s="40"/>
      <c r="S1087" s="40"/>
      <c r="T1087" s="41"/>
      <c r="U1087" s="41"/>
      <c r="V1087" s="41"/>
      <c r="W1087" s="36"/>
      <c r="X1087" s="36"/>
      <c r="Y1087" s="36"/>
      <c r="Z1087" s="36"/>
      <c r="AA1087" s="36"/>
    </row>
    <row r="1088" spans="16:27" x14ac:dyDescent="0.2">
      <c r="P1088" s="36"/>
      <c r="Q1088" s="40"/>
      <c r="R1088" s="40"/>
      <c r="S1088" s="40"/>
      <c r="T1088" s="41"/>
      <c r="U1088" s="41"/>
      <c r="V1088" s="41"/>
      <c r="W1088" s="36"/>
      <c r="X1088" s="36"/>
      <c r="Y1088" s="36"/>
      <c r="Z1088" s="36"/>
      <c r="AA1088" s="36"/>
    </row>
    <row r="1089" spans="16:27" x14ac:dyDescent="0.2">
      <c r="P1089" s="36"/>
      <c r="Q1089" s="40"/>
      <c r="R1089" s="40"/>
      <c r="S1089" s="40"/>
      <c r="T1089" s="41"/>
      <c r="U1089" s="41"/>
      <c r="V1089" s="41"/>
      <c r="W1089" s="36"/>
      <c r="X1089" s="36"/>
      <c r="Y1089" s="36"/>
      <c r="Z1089" s="36"/>
      <c r="AA1089" s="36"/>
    </row>
    <row r="1090" spans="16:27" x14ac:dyDescent="0.2">
      <c r="P1090" s="36"/>
      <c r="Q1090" s="40"/>
      <c r="R1090" s="40"/>
      <c r="S1090" s="40"/>
      <c r="T1090" s="41"/>
      <c r="U1090" s="41"/>
      <c r="V1090" s="41"/>
      <c r="W1090" s="36"/>
      <c r="X1090" s="36"/>
      <c r="Y1090" s="36"/>
      <c r="Z1090" s="36"/>
      <c r="AA1090" s="36"/>
    </row>
    <row r="1091" spans="16:27" x14ac:dyDescent="0.2">
      <c r="P1091" s="36"/>
      <c r="Q1091" s="40"/>
      <c r="R1091" s="40"/>
      <c r="S1091" s="40"/>
      <c r="T1091" s="41"/>
      <c r="U1091" s="41"/>
      <c r="V1091" s="41"/>
      <c r="W1091" s="36"/>
      <c r="X1091" s="36"/>
      <c r="Y1091" s="36"/>
      <c r="Z1091" s="36"/>
      <c r="AA1091" s="36"/>
    </row>
    <row r="1092" spans="16:27" x14ac:dyDescent="0.2">
      <c r="P1092" s="36"/>
      <c r="Q1092" s="40"/>
      <c r="R1092" s="40"/>
      <c r="S1092" s="40"/>
      <c r="T1092" s="41"/>
      <c r="U1092" s="41"/>
      <c r="V1092" s="41"/>
      <c r="W1092" s="36"/>
      <c r="X1092" s="36"/>
      <c r="Y1092" s="36"/>
      <c r="Z1092" s="36"/>
      <c r="AA1092" s="36"/>
    </row>
    <row r="1093" spans="16:27" x14ac:dyDescent="0.2">
      <c r="P1093" s="36"/>
      <c r="Q1093" s="40"/>
      <c r="R1093" s="40"/>
      <c r="S1093" s="40"/>
      <c r="T1093" s="41"/>
      <c r="U1093" s="41"/>
      <c r="V1093" s="41"/>
      <c r="W1093" s="36"/>
      <c r="X1093" s="36"/>
      <c r="Y1093" s="36"/>
      <c r="Z1093" s="36"/>
      <c r="AA1093" s="36"/>
    </row>
    <row r="1094" spans="16:27" x14ac:dyDescent="0.2">
      <c r="P1094" s="36"/>
      <c r="Q1094" s="40"/>
      <c r="R1094" s="40"/>
      <c r="S1094" s="40"/>
      <c r="T1094" s="41"/>
      <c r="U1094" s="41"/>
      <c r="V1094" s="41"/>
      <c r="W1094" s="36"/>
      <c r="X1094" s="36"/>
      <c r="Y1094" s="36"/>
      <c r="Z1094" s="36"/>
      <c r="AA1094" s="36"/>
    </row>
    <row r="1095" spans="16:27" x14ac:dyDescent="0.2">
      <c r="P1095" s="36"/>
      <c r="Q1095" s="40"/>
      <c r="R1095" s="40"/>
      <c r="S1095" s="40"/>
      <c r="T1095" s="41"/>
      <c r="U1095" s="41"/>
      <c r="V1095" s="41"/>
      <c r="W1095" s="36"/>
      <c r="X1095" s="36"/>
      <c r="Y1095" s="36"/>
      <c r="Z1095" s="36"/>
      <c r="AA1095" s="36"/>
    </row>
    <row r="1096" spans="16:27" x14ac:dyDescent="0.2">
      <c r="P1096" s="36"/>
      <c r="Q1096" s="40"/>
      <c r="R1096" s="40"/>
      <c r="S1096" s="40"/>
      <c r="T1096" s="41"/>
      <c r="U1096" s="41"/>
      <c r="V1096" s="41"/>
      <c r="W1096" s="36"/>
      <c r="X1096" s="36"/>
      <c r="Y1096" s="36"/>
      <c r="Z1096" s="36"/>
      <c r="AA1096" s="36"/>
    </row>
    <row r="1097" spans="16:27" x14ac:dyDescent="0.2">
      <c r="P1097" s="36"/>
      <c r="Q1097" s="40"/>
      <c r="R1097" s="40"/>
      <c r="S1097" s="40"/>
      <c r="T1097" s="41"/>
      <c r="U1097" s="41"/>
      <c r="V1097" s="41"/>
      <c r="W1097" s="36"/>
      <c r="X1097" s="36"/>
      <c r="Y1097" s="36"/>
      <c r="Z1097" s="36"/>
      <c r="AA1097" s="36"/>
    </row>
    <row r="1098" spans="16:27" x14ac:dyDescent="0.2">
      <c r="P1098" s="36"/>
      <c r="Q1098" s="40"/>
      <c r="R1098" s="40"/>
      <c r="S1098" s="40"/>
      <c r="T1098" s="41"/>
      <c r="U1098" s="41"/>
      <c r="V1098" s="41"/>
      <c r="W1098" s="36"/>
      <c r="X1098" s="36"/>
      <c r="Y1098" s="36"/>
      <c r="Z1098" s="36"/>
      <c r="AA1098" s="36"/>
    </row>
    <row r="1099" spans="16:27" x14ac:dyDescent="0.2">
      <c r="P1099" s="36"/>
      <c r="Q1099" s="40"/>
      <c r="R1099" s="40"/>
      <c r="S1099" s="40"/>
      <c r="T1099" s="41"/>
      <c r="U1099" s="41"/>
      <c r="V1099" s="41"/>
      <c r="W1099" s="36"/>
      <c r="X1099" s="36"/>
      <c r="Y1099" s="36"/>
      <c r="Z1099" s="36"/>
      <c r="AA1099" s="36"/>
    </row>
    <row r="1100" spans="16:27" x14ac:dyDescent="0.2">
      <c r="P1100" s="36"/>
      <c r="Q1100" s="40"/>
      <c r="R1100" s="40"/>
      <c r="S1100" s="40"/>
      <c r="T1100" s="41"/>
      <c r="U1100" s="41"/>
      <c r="V1100" s="41"/>
      <c r="W1100" s="36"/>
      <c r="X1100" s="36"/>
      <c r="Y1100" s="36"/>
      <c r="Z1100" s="36"/>
      <c r="AA1100" s="36"/>
    </row>
    <row r="1101" spans="16:27" x14ac:dyDescent="0.2">
      <c r="P1101" s="36"/>
      <c r="Q1101" s="40"/>
      <c r="R1101" s="40"/>
      <c r="S1101" s="40"/>
      <c r="T1101" s="41"/>
      <c r="U1101" s="41"/>
      <c r="V1101" s="41"/>
      <c r="W1101" s="36"/>
      <c r="X1101" s="36"/>
      <c r="Y1101" s="36"/>
      <c r="Z1101" s="36"/>
      <c r="AA1101" s="36"/>
    </row>
    <row r="1102" spans="16:27" x14ac:dyDescent="0.2">
      <c r="P1102" s="36"/>
      <c r="Q1102" s="40"/>
      <c r="R1102" s="40"/>
      <c r="S1102" s="40"/>
      <c r="T1102" s="41"/>
      <c r="U1102" s="41"/>
      <c r="V1102" s="41"/>
      <c r="W1102" s="36"/>
      <c r="X1102" s="36"/>
      <c r="Y1102" s="36"/>
      <c r="Z1102" s="36"/>
      <c r="AA1102" s="36"/>
    </row>
    <row r="1103" spans="16:27" x14ac:dyDescent="0.2">
      <c r="P1103" s="36"/>
      <c r="Q1103" s="40"/>
      <c r="R1103" s="40"/>
      <c r="S1103" s="40"/>
      <c r="T1103" s="41"/>
      <c r="U1103" s="41"/>
      <c r="V1103" s="41"/>
      <c r="W1103" s="36"/>
      <c r="X1103" s="36"/>
      <c r="Y1103" s="36"/>
      <c r="Z1103" s="36"/>
      <c r="AA1103" s="36"/>
    </row>
    <row r="1104" spans="16:27" x14ac:dyDescent="0.2">
      <c r="P1104" s="36"/>
      <c r="Q1104" s="40"/>
      <c r="R1104" s="40"/>
      <c r="S1104" s="40"/>
      <c r="T1104" s="41"/>
      <c r="U1104" s="41"/>
      <c r="V1104" s="41"/>
      <c r="W1104" s="36"/>
      <c r="X1104" s="36"/>
      <c r="Y1104" s="36"/>
      <c r="Z1104" s="36"/>
      <c r="AA1104" s="36"/>
    </row>
    <row r="1105" spans="16:27" x14ac:dyDescent="0.2">
      <c r="P1105" s="36"/>
      <c r="Q1105" s="40"/>
      <c r="R1105" s="40"/>
      <c r="S1105" s="40"/>
      <c r="T1105" s="41"/>
      <c r="U1105" s="41"/>
      <c r="V1105" s="41"/>
      <c r="W1105" s="36"/>
      <c r="X1105" s="36"/>
      <c r="Y1105" s="36"/>
      <c r="Z1105" s="36"/>
      <c r="AA1105" s="36"/>
    </row>
    <row r="1106" spans="16:27" x14ac:dyDescent="0.2">
      <c r="P1106" s="36"/>
      <c r="Q1106" s="40"/>
      <c r="R1106" s="40"/>
      <c r="S1106" s="40"/>
      <c r="T1106" s="41"/>
      <c r="U1106" s="41"/>
      <c r="V1106" s="41"/>
      <c r="W1106" s="36"/>
      <c r="X1106" s="36"/>
      <c r="Y1106" s="36"/>
      <c r="Z1106" s="36"/>
      <c r="AA1106" s="36"/>
    </row>
    <row r="1107" spans="16:27" x14ac:dyDescent="0.2">
      <c r="P1107" s="36"/>
      <c r="Q1107" s="40"/>
      <c r="R1107" s="40"/>
      <c r="S1107" s="40"/>
      <c r="T1107" s="41"/>
      <c r="U1107" s="41"/>
      <c r="V1107" s="41"/>
      <c r="W1107" s="36"/>
      <c r="X1107" s="36"/>
      <c r="Y1107" s="36"/>
      <c r="Z1107" s="36"/>
      <c r="AA1107" s="36"/>
    </row>
    <row r="1108" spans="16:27" x14ac:dyDescent="0.2">
      <c r="P1108" s="36"/>
      <c r="Q1108" s="40"/>
      <c r="R1108" s="40"/>
      <c r="S1108" s="40"/>
      <c r="T1108" s="41"/>
      <c r="U1108" s="41"/>
      <c r="V1108" s="41"/>
      <c r="W1108" s="36"/>
      <c r="X1108" s="36"/>
      <c r="Y1108" s="36"/>
      <c r="Z1108" s="36"/>
      <c r="AA1108" s="36"/>
    </row>
    <row r="1109" spans="16:27" x14ac:dyDescent="0.2">
      <c r="P1109" s="36"/>
      <c r="Q1109" s="40"/>
      <c r="R1109" s="40"/>
      <c r="S1109" s="40"/>
      <c r="T1109" s="41"/>
      <c r="U1109" s="41"/>
      <c r="V1109" s="41"/>
      <c r="W1109" s="36"/>
      <c r="X1109" s="36"/>
      <c r="Y1109" s="36"/>
      <c r="Z1109" s="36"/>
      <c r="AA1109" s="36"/>
    </row>
    <row r="1110" spans="16:27" x14ac:dyDescent="0.2">
      <c r="P1110" s="36"/>
      <c r="Q1110" s="40"/>
      <c r="R1110" s="40"/>
      <c r="S1110" s="40"/>
      <c r="T1110" s="41"/>
      <c r="U1110" s="41"/>
      <c r="V1110" s="41"/>
      <c r="W1110" s="36"/>
      <c r="X1110" s="36"/>
      <c r="Y1110" s="36"/>
      <c r="Z1110" s="36"/>
      <c r="AA1110" s="36"/>
    </row>
    <row r="1111" spans="16:27" x14ac:dyDescent="0.2">
      <c r="P1111" s="36"/>
      <c r="Q1111" s="40"/>
      <c r="R1111" s="40"/>
      <c r="S1111" s="40"/>
      <c r="T1111" s="41"/>
      <c r="U1111" s="41"/>
      <c r="V1111" s="41"/>
      <c r="W1111" s="36"/>
      <c r="X1111" s="36"/>
      <c r="Y1111" s="36"/>
      <c r="Z1111" s="36"/>
      <c r="AA1111" s="36"/>
    </row>
    <row r="1112" spans="16:27" x14ac:dyDescent="0.2">
      <c r="P1112" s="36"/>
      <c r="Q1112" s="40"/>
      <c r="R1112" s="40"/>
      <c r="S1112" s="40"/>
      <c r="T1112" s="41"/>
      <c r="U1112" s="41"/>
      <c r="V1112" s="41"/>
      <c r="W1112" s="36"/>
      <c r="X1112" s="36"/>
      <c r="Y1112" s="36"/>
      <c r="Z1112" s="36"/>
      <c r="AA1112" s="36"/>
    </row>
    <row r="1113" spans="16:27" x14ac:dyDescent="0.2">
      <c r="P1113" s="36"/>
      <c r="Q1113" s="40"/>
      <c r="R1113" s="40"/>
      <c r="S1113" s="40"/>
      <c r="T1113" s="41"/>
      <c r="U1113" s="41"/>
      <c r="V1113" s="41"/>
      <c r="W1113" s="36"/>
      <c r="X1113" s="36"/>
      <c r="Y1113" s="36"/>
      <c r="Z1113" s="36"/>
      <c r="AA1113" s="36"/>
    </row>
    <row r="1114" spans="16:27" x14ac:dyDescent="0.2">
      <c r="P1114" s="36"/>
      <c r="Q1114" s="40"/>
      <c r="R1114" s="40"/>
      <c r="S1114" s="40"/>
      <c r="T1114" s="41"/>
      <c r="U1114" s="41"/>
      <c r="V1114" s="41"/>
      <c r="W1114" s="36"/>
      <c r="X1114" s="36"/>
      <c r="Y1114" s="36"/>
      <c r="Z1114" s="36"/>
      <c r="AA1114" s="36"/>
    </row>
    <row r="1115" spans="16:27" x14ac:dyDescent="0.2">
      <c r="P1115" s="36"/>
      <c r="Q1115" s="40"/>
      <c r="R1115" s="40"/>
      <c r="S1115" s="40"/>
      <c r="T1115" s="41"/>
      <c r="U1115" s="41"/>
      <c r="V1115" s="41"/>
      <c r="W1115" s="36"/>
      <c r="X1115" s="36"/>
      <c r="Y1115" s="36"/>
      <c r="Z1115" s="36"/>
      <c r="AA1115" s="36"/>
    </row>
    <row r="1116" spans="16:27" x14ac:dyDescent="0.2">
      <c r="P1116" s="36"/>
      <c r="Q1116" s="40"/>
      <c r="R1116" s="40"/>
      <c r="S1116" s="40"/>
      <c r="T1116" s="41"/>
      <c r="U1116" s="41"/>
      <c r="V1116" s="41"/>
      <c r="W1116" s="36"/>
      <c r="X1116" s="36"/>
      <c r="Y1116" s="36"/>
      <c r="Z1116" s="36"/>
      <c r="AA1116" s="36"/>
    </row>
    <row r="1117" spans="16:27" x14ac:dyDescent="0.2">
      <c r="P1117" s="36"/>
      <c r="Q1117" s="40"/>
      <c r="R1117" s="40"/>
      <c r="S1117" s="40"/>
      <c r="T1117" s="41"/>
      <c r="U1117" s="41"/>
      <c r="V1117" s="41"/>
      <c r="W1117" s="36"/>
      <c r="X1117" s="36"/>
      <c r="Y1117" s="36"/>
      <c r="Z1117" s="36"/>
      <c r="AA1117" s="36"/>
    </row>
    <row r="1118" spans="16:27" x14ac:dyDescent="0.2">
      <c r="P1118" s="36"/>
      <c r="Q1118" s="40"/>
      <c r="R1118" s="40"/>
      <c r="S1118" s="40"/>
      <c r="T1118" s="41"/>
      <c r="U1118" s="41"/>
      <c r="V1118" s="41"/>
      <c r="W1118" s="36"/>
      <c r="X1118" s="36"/>
      <c r="Y1118" s="36"/>
      <c r="Z1118" s="36"/>
      <c r="AA1118" s="36"/>
    </row>
    <row r="1119" spans="16:27" x14ac:dyDescent="0.2">
      <c r="P1119" s="36"/>
      <c r="Q1119" s="40"/>
      <c r="R1119" s="40"/>
      <c r="S1119" s="40"/>
      <c r="T1119" s="41"/>
      <c r="U1119" s="41"/>
      <c r="V1119" s="41"/>
      <c r="W1119" s="36"/>
      <c r="X1119" s="36"/>
      <c r="Y1119" s="36"/>
      <c r="Z1119" s="36"/>
      <c r="AA1119" s="36"/>
    </row>
    <row r="1120" spans="16:27" x14ac:dyDescent="0.2">
      <c r="P1120" s="36"/>
      <c r="Q1120" s="40"/>
      <c r="R1120" s="40"/>
      <c r="S1120" s="40"/>
      <c r="T1120" s="41"/>
      <c r="U1120" s="41"/>
      <c r="V1120" s="41"/>
      <c r="W1120" s="36"/>
      <c r="X1120" s="36"/>
      <c r="Y1120" s="36"/>
      <c r="Z1120" s="36"/>
      <c r="AA1120" s="36"/>
    </row>
    <row r="1121" spans="16:27" x14ac:dyDescent="0.2">
      <c r="P1121" s="36"/>
      <c r="Q1121" s="40"/>
      <c r="R1121" s="40"/>
      <c r="S1121" s="40"/>
      <c r="T1121" s="41"/>
      <c r="U1121" s="41"/>
      <c r="V1121" s="41"/>
      <c r="W1121" s="36"/>
      <c r="X1121" s="36"/>
      <c r="Y1121" s="36"/>
      <c r="Z1121" s="36"/>
      <c r="AA1121" s="36"/>
    </row>
    <row r="1122" spans="16:27" x14ac:dyDescent="0.2">
      <c r="P1122" s="36"/>
      <c r="Q1122" s="40"/>
      <c r="R1122" s="40"/>
      <c r="S1122" s="40"/>
      <c r="T1122" s="41"/>
      <c r="U1122" s="41"/>
      <c r="V1122" s="41"/>
      <c r="W1122" s="36"/>
      <c r="X1122" s="36"/>
      <c r="Y1122" s="36"/>
      <c r="Z1122" s="36"/>
      <c r="AA1122" s="36"/>
    </row>
    <row r="1123" spans="16:27" x14ac:dyDescent="0.2">
      <c r="P1123" s="36"/>
      <c r="Q1123" s="40"/>
      <c r="R1123" s="40"/>
      <c r="S1123" s="40"/>
      <c r="T1123" s="41"/>
      <c r="U1123" s="41"/>
      <c r="V1123" s="41"/>
      <c r="W1123" s="36"/>
      <c r="X1123" s="36"/>
      <c r="Y1123" s="36"/>
      <c r="Z1123" s="36"/>
      <c r="AA1123" s="36"/>
    </row>
    <row r="1124" spans="16:27" x14ac:dyDescent="0.2">
      <c r="P1124" s="36"/>
      <c r="Q1124" s="40"/>
      <c r="R1124" s="40"/>
      <c r="S1124" s="40"/>
      <c r="T1124" s="41"/>
      <c r="U1124" s="41"/>
      <c r="V1124" s="41"/>
      <c r="W1124" s="36"/>
      <c r="X1124" s="36"/>
      <c r="Y1124" s="36"/>
      <c r="Z1124" s="36"/>
      <c r="AA1124" s="36"/>
    </row>
    <row r="1125" spans="16:27" x14ac:dyDescent="0.2">
      <c r="P1125" s="36"/>
      <c r="Q1125" s="40"/>
      <c r="R1125" s="40"/>
      <c r="S1125" s="40"/>
      <c r="T1125" s="41"/>
      <c r="U1125" s="41"/>
      <c r="V1125" s="41"/>
      <c r="W1125" s="36"/>
      <c r="X1125" s="36"/>
      <c r="Y1125" s="36"/>
      <c r="Z1125" s="36"/>
      <c r="AA1125" s="36"/>
    </row>
    <row r="1126" spans="16:27" x14ac:dyDescent="0.2">
      <c r="P1126" s="36"/>
      <c r="Q1126" s="40"/>
      <c r="R1126" s="40"/>
      <c r="S1126" s="40"/>
      <c r="T1126" s="41"/>
      <c r="U1126" s="41"/>
      <c r="V1126" s="41"/>
      <c r="W1126" s="36"/>
      <c r="X1126" s="36"/>
      <c r="Y1126" s="36"/>
      <c r="Z1126" s="36"/>
      <c r="AA1126" s="36"/>
    </row>
    <row r="1127" spans="16:27" x14ac:dyDescent="0.2">
      <c r="P1127" s="36"/>
      <c r="Q1127" s="40"/>
      <c r="R1127" s="40"/>
      <c r="S1127" s="40"/>
      <c r="T1127" s="41"/>
      <c r="U1127" s="41"/>
      <c r="V1127" s="41"/>
      <c r="W1127" s="36"/>
      <c r="X1127" s="36"/>
      <c r="Y1127" s="36"/>
      <c r="Z1127" s="36"/>
      <c r="AA1127" s="36"/>
    </row>
    <row r="1128" spans="16:27" x14ac:dyDescent="0.2">
      <c r="P1128" s="36"/>
      <c r="Q1128" s="40"/>
      <c r="R1128" s="40"/>
      <c r="S1128" s="40"/>
      <c r="T1128" s="41"/>
      <c r="U1128" s="41"/>
      <c r="V1128" s="41"/>
      <c r="W1128" s="36"/>
      <c r="X1128" s="36"/>
      <c r="Y1128" s="36"/>
      <c r="Z1128" s="36"/>
      <c r="AA1128" s="36"/>
    </row>
    <row r="1129" spans="16:27" x14ac:dyDescent="0.2">
      <c r="P1129" s="36"/>
      <c r="Q1129" s="40"/>
      <c r="R1129" s="40"/>
      <c r="S1129" s="40"/>
      <c r="T1129" s="41"/>
      <c r="U1129" s="41"/>
      <c r="V1129" s="41"/>
      <c r="W1129" s="36"/>
      <c r="X1129" s="36"/>
      <c r="Y1129" s="36"/>
      <c r="Z1129" s="36"/>
      <c r="AA1129" s="36"/>
    </row>
    <row r="1130" spans="16:27" x14ac:dyDescent="0.2">
      <c r="P1130" s="36"/>
      <c r="Q1130" s="40"/>
      <c r="R1130" s="40"/>
      <c r="S1130" s="40"/>
      <c r="T1130" s="41"/>
      <c r="U1130" s="41"/>
      <c r="V1130" s="41"/>
      <c r="W1130" s="36"/>
      <c r="X1130" s="36"/>
      <c r="Y1130" s="36"/>
      <c r="Z1130" s="36"/>
      <c r="AA1130" s="36"/>
    </row>
    <row r="1131" spans="16:27" x14ac:dyDescent="0.2">
      <c r="P1131" s="36"/>
      <c r="Q1131" s="40"/>
      <c r="R1131" s="40"/>
      <c r="S1131" s="40"/>
      <c r="T1131" s="41"/>
      <c r="U1131" s="41"/>
      <c r="V1131" s="41"/>
      <c r="W1131" s="36"/>
      <c r="X1131" s="36"/>
      <c r="Y1131" s="36"/>
      <c r="Z1131" s="36"/>
      <c r="AA1131" s="36"/>
    </row>
    <row r="1132" spans="16:27" x14ac:dyDescent="0.2">
      <c r="P1132" s="36"/>
      <c r="Q1132" s="40"/>
      <c r="R1132" s="40"/>
      <c r="S1132" s="40"/>
      <c r="T1132" s="41"/>
      <c r="U1132" s="41"/>
      <c r="V1132" s="41"/>
      <c r="W1132" s="36"/>
      <c r="X1132" s="36"/>
      <c r="Y1132" s="36"/>
      <c r="Z1132" s="36"/>
      <c r="AA1132" s="36"/>
    </row>
    <row r="1133" spans="16:27" x14ac:dyDescent="0.2">
      <c r="P1133" s="36"/>
      <c r="Q1133" s="40"/>
      <c r="R1133" s="40"/>
      <c r="S1133" s="40"/>
      <c r="T1133" s="41"/>
      <c r="U1133" s="41"/>
      <c r="V1133" s="41"/>
      <c r="W1133" s="36"/>
      <c r="X1133" s="36"/>
      <c r="Y1133" s="36"/>
      <c r="Z1133" s="36"/>
      <c r="AA1133" s="36"/>
    </row>
    <row r="1134" spans="16:27" x14ac:dyDescent="0.2">
      <c r="P1134" s="36"/>
      <c r="Q1134" s="40"/>
      <c r="R1134" s="40"/>
      <c r="S1134" s="40"/>
      <c r="T1134" s="41"/>
      <c r="U1134" s="41"/>
      <c r="V1134" s="41"/>
      <c r="W1134" s="36"/>
      <c r="X1134" s="36"/>
      <c r="Y1134" s="36"/>
      <c r="Z1134" s="36"/>
      <c r="AA1134" s="36"/>
    </row>
    <row r="1135" spans="16:27" x14ac:dyDescent="0.2">
      <c r="P1135" s="36"/>
      <c r="Q1135" s="40"/>
      <c r="R1135" s="40"/>
      <c r="S1135" s="40"/>
      <c r="T1135" s="41"/>
      <c r="U1135" s="41"/>
      <c r="V1135" s="41"/>
      <c r="W1135" s="36"/>
      <c r="X1135" s="36"/>
      <c r="Y1135" s="36"/>
      <c r="Z1135" s="36"/>
      <c r="AA1135" s="36"/>
    </row>
    <row r="1136" spans="16:27" x14ac:dyDescent="0.2">
      <c r="P1136" s="36"/>
      <c r="Q1136" s="40"/>
      <c r="R1136" s="40"/>
      <c r="S1136" s="40"/>
      <c r="T1136" s="41"/>
      <c r="U1136" s="41"/>
      <c r="V1136" s="41"/>
      <c r="W1136" s="36"/>
      <c r="X1136" s="36"/>
      <c r="Y1136" s="36"/>
      <c r="Z1136" s="36"/>
      <c r="AA1136" s="36"/>
    </row>
    <row r="1137" spans="16:27" x14ac:dyDescent="0.2">
      <c r="P1137" s="36"/>
      <c r="Q1137" s="40"/>
      <c r="R1137" s="40"/>
      <c r="S1137" s="40"/>
      <c r="T1137" s="41"/>
      <c r="U1137" s="41"/>
      <c r="V1137" s="41"/>
      <c r="W1137" s="36"/>
      <c r="X1137" s="36"/>
      <c r="Y1137" s="36"/>
      <c r="Z1137" s="36"/>
      <c r="AA1137" s="36"/>
    </row>
    <row r="1138" spans="16:27" x14ac:dyDescent="0.2">
      <c r="P1138" s="36"/>
      <c r="Q1138" s="40"/>
      <c r="R1138" s="40"/>
      <c r="S1138" s="40"/>
      <c r="T1138" s="41"/>
      <c r="U1138" s="41"/>
      <c r="V1138" s="41"/>
      <c r="W1138" s="36"/>
      <c r="X1138" s="36"/>
      <c r="Y1138" s="36"/>
      <c r="Z1138" s="36"/>
      <c r="AA1138" s="36"/>
    </row>
    <row r="1139" spans="16:27" x14ac:dyDescent="0.2">
      <c r="P1139" s="36"/>
      <c r="Q1139" s="40"/>
      <c r="R1139" s="40"/>
      <c r="S1139" s="40"/>
      <c r="T1139" s="41"/>
      <c r="U1139" s="41"/>
      <c r="V1139" s="41"/>
      <c r="W1139" s="36"/>
      <c r="X1139" s="36"/>
      <c r="Y1139" s="36"/>
      <c r="Z1139" s="36"/>
      <c r="AA1139" s="36"/>
    </row>
    <row r="1140" spans="16:27" x14ac:dyDescent="0.2">
      <c r="P1140" s="36"/>
      <c r="Q1140" s="40"/>
      <c r="R1140" s="40"/>
      <c r="S1140" s="40"/>
      <c r="T1140" s="41"/>
      <c r="U1140" s="41"/>
      <c r="V1140" s="41"/>
      <c r="W1140" s="36"/>
      <c r="X1140" s="36"/>
      <c r="Y1140" s="36"/>
      <c r="Z1140" s="36"/>
      <c r="AA1140" s="36"/>
    </row>
    <row r="1141" spans="16:27" x14ac:dyDescent="0.2">
      <c r="P1141" s="36"/>
      <c r="Q1141" s="40"/>
      <c r="R1141" s="40"/>
      <c r="S1141" s="40"/>
      <c r="T1141" s="41"/>
      <c r="U1141" s="41"/>
      <c r="V1141" s="41"/>
      <c r="W1141" s="36"/>
      <c r="X1141" s="36"/>
      <c r="Y1141" s="36"/>
      <c r="Z1141" s="36"/>
      <c r="AA1141" s="36"/>
    </row>
    <row r="1142" spans="16:27" x14ac:dyDescent="0.2">
      <c r="P1142" s="36"/>
      <c r="Q1142" s="40"/>
      <c r="R1142" s="40"/>
      <c r="S1142" s="40"/>
      <c r="T1142" s="41"/>
      <c r="U1142" s="41"/>
      <c r="V1142" s="41"/>
      <c r="W1142" s="36"/>
      <c r="X1142" s="36"/>
      <c r="Y1142" s="36"/>
      <c r="Z1142" s="36"/>
      <c r="AA1142" s="36"/>
    </row>
    <row r="1143" spans="16:27" x14ac:dyDescent="0.2">
      <c r="P1143" s="36"/>
      <c r="Q1143" s="40"/>
      <c r="R1143" s="40"/>
      <c r="S1143" s="40"/>
      <c r="T1143" s="41"/>
      <c r="U1143" s="41"/>
      <c r="V1143" s="41"/>
      <c r="W1143" s="36"/>
      <c r="X1143" s="36"/>
      <c r="Y1143" s="36"/>
      <c r="Z1143" s="36"/>
      <c r="AA1143" s="36"/>
    </row>
    <row r="1144" spans="16:27" x14ac:dyDescent="0.2">
      <c r="P1144" s="36"/>
      <c r="Q1144" s="40"/>
      <c r="R1144" s="40"/>
      <c r="S1144" s="40"/>
      <c r="T1144" s="41"/>
      <c r="U1144" s="41"/>
      <c r="V1144" s="41"/>
      <c r="W1144" s="36"/>
      <c r="X1144" s="36"/>
      <c r="Y1144" s="36"/>
      <c r="Z1144" s="36"/>
      <c r="AA1144" s="36"/>
    </row>
    <row r="1145" spans="16:27" x14ac:dyDescent="0.2">
      <c r="P1145" s="36"/>
      <c r="Q1145" s="40"/>
      <c r="R1145" s="40"/>
      <c r="S1145" s="40"/>
      <c r="T1145" s="41"/>
      <c r="U1145" s="41"/>
      <c r="V1145" s="41"/>
      <c r="W1145" s="36"/>
      <c r="X1145" s="36"/>
      <c r="Y1145" s="36"/>
      <c r="Z1145" s="36"/>
      <c r="AA1145" s="36"/>
    </row>
    <row r="1146" spans="16:27" x14ac:dyDescent="0.2">
      <c r="P1146" s="36"/>
      <c r="Q1146" s="40"/>
      <c r="R1146" s="40"/>
      <c r="S1146" s="40"/>
      <c r="T1146" s="41"/>
      <c r="U1146" s="41"/>
      <c r="V1146" s="41"/>
      <c r="W1146" s="36"/>
      <c r="X1146" s="36"/>
      <c r="Y1146" s="36"/>
      <c r="Z1146" s="36"/>
      <c r="AA1146" s="36"/>
    </row>
    <row r="1147" spans="16:27" x14ac:dyDescent="0.2">
      <c r="P1147" s="36"/>
      <c r="Q1147" s="40"/>
      <c r="R1147" s="40"/>
      <c r="S1147" s="40"/>
      <c r="T1147" s="41"/>
      <c r="U1147" s="41"/>
      <c r="V1147" s="41"/>
      <c r="W1147" s="36"/>
      <c r="X1147" s="36"/>
      <c r="Y1147" s="36"/>
      <c r="Z1147" s="36"/>
      <c r="AA1147" s="36"/>
    </row>
    <row r="1148" spans="16:27" x14ac:dyDescent="0.2">
      <c r="P1148" s="36"/>
      <c r="Q1148" s="40"/>
      <c r="R1148" s="40"/>
      <c r="S1148" s="40"/>
      <c r="T1148" s="41"/>
      <c r="U1148" s="41"/>
      <c r="V1148" s="41"/>
      <c r="W1148" s="36"/>
      <c r="X1148" s="36"/>
      <c r="Y1148" s="36"/>
      <c r="Z1148" s="36"/>
      <c r="AA1148" s="36"/>
    </row>
    <row r="1149" spans="16:27" x14ac:dyDescent="0.2">
      <c r="P1149" s="36"/>
      <c r="Q1149" s="40"/>
      <c r="R1149" s="40"/>
      <c r="S1149" s="40"/>
      <c r="T1149" s="41"/>
      <c r="U1149" s="41"/>
      <c r="V1149" s="41"/>
      <c r="W1149" s="36"/>
      <c r="X1149" s="36"/>
      <c r="Y1149" s="36"/>
      <c r="Z1149" s="36"/>
      <c r="AA1149" s="36"/>
    </row>
    <row r="1150" spans="16:27" x14ac:dyDescent="0.2">
      <c r="P1150" s="36"/>
      <c r="Q1150" s="40"/>
      <c r="R1150" s="40"/>
      <c r="S1150" s="40"/>
      <c r="T1150" s="41"/>
      <c r="U1150" s="41"/>
      <c r="V1150" s="41"/>
      <c r="W1150" s="36"/>
      <c r="X1150" s="36"/>
      <c r="Y1150" s="36"/>
      <c r="Z1150" s="36"/>
      <c r="AA1150" s="36"/>
    </row>
    <row r="1151" spans="16:27" x14ac:dyDescent="0.2">
      <c r="P1151" s="36"/>
      <c r="Q1151" s="40"/>
      <c r="R1151" s="40"/>
      <c r="S1151" s="40"/>
      <c r="T1151" s="41"/>
      <c r="U1151" s="41"/>
      <c r="V1151" s="41"/>
      <c r="W1151" s="36"/>
      <c r="X1151" s="36"/>
      <c r="Y1151" s="36"/>
      <c r="Z1151" s="36"/>
      <c r="AA1151" s="36"/>
    </row>
    <row r="1152" spans="16:27" x14ac:dyDescent="0.2">
      <c r="P1152" s="36"/>
      <c r="Q1152" s="40"/>
      <c r="R1152" s="40"/>
      <c r="S1152" s="40"/>
      <c r="T1152" s="41"/>
      <c r="U1152" s="41"/>
      <c r="V1152" s="41"/>
      <c r="W1152" s="36"/>
      <c r="X1152" s="36"/>
      <c r="Y1152" s="36"/>
      <c r="Z1152" s="36"/>
      <c r="AA1152" s="36"/>
    </row>
    <row r="1153" spans="16:27" x14ac:dyDescent="0.2">
      <c r="P1153" s="36"/>
      <c r="Q1153" s="40"/>
      <c r="R1153" s="40"/>
      <c r="S1153" s="40"/>
      <c r="T1153" s="41"/>
      <c r="U1153" s="41"/>
      <c r="V1153" s="41"/>
      <c r="W1153" s="36"/>
      <c r="X1153" s="36"/>
      <c r="Y1153" s="36"/>
      <c r="Z1153" s="36"/>
      <c r="AA1153" s="36"/>
    </row>
    <row r="1154" spans="16:27" x14ac:dyDescent="0.2">
      <c r="P1154" s="36"/>
      <c r="Q1154" s="40"/>
      <c r="R1154" s="40"/>
      <c r="S1154" s="40"/>
      <c r="T1154" s="41"/>
      <c r="U1154" s="41"/>
      <c r="V1154" s="41"/>
      <c r="W1154" s="36"/>
      <c r="X1154" s="36"/>
      <c r="Y1154" s="36"/>
      <c r="Z1154" s="36"/>
      <c r="AA1154" s="36"/>
    </row>
    <row r="1155" spans="16:27" x14ac:dyDescent="0.2">
      <c r="P1155" s="36"/>
      <c r="Q1155" s="40"/>
      <c r="R1155" s="40"/>
      <c r="S1155" s="40"/>
      <c r="T1155" s="41"/>
      <c r="U1155" s="41"/>
      <c r="V1155" s="41"/>
      <c r="W1155" s="36"/>
      <c r="X1155" s="36"/>
      <c r="Y1155" s="36"/>
      <c r="Z1155" s="36"/>
      <c r="AA1155" s="36"/>
    </row>
    <row r="1156" spans="16:27" x14ac:dyDescent="0.2">
      <c r="P1156" s="36"/>
      <c r="Q1156" s="40"/>
      <c r="R1156" s="40"/>
      <c r="S1156" s="40"/>
      <c r="T1156" s="41"/>
      <c r="U1156" s="41"/>
      <c r="V1156" s="41"/>
      <c r="W1156" s="36"/>
      <c r="X1156" s="36"/>
      <c r="Y1156" s="36"/>
      <c r="Z1156" s="36"/>
      <c r="AA1156" s="36"/>
    </row>
    <row r="1157" spans="16:27" x14ac:dyDescent="0.2">
      <c r="P1157" s="36"/>
      <c r="Q1157" s="40"/>
      <c r="R1157" s="40"/>
      <c r="S1157" s="40"/>
      <c r="T1157" s="41"/>
      <c r="U1157" s="41"/>
      <c r="V1157" s="41"/>
      <c r="W1157" s="36"/>
      <c r="X1157" s="36"/>
      <c r="Y1157" s="36"/>
      <c r="Z1157" s="36"/>
      <c r="AA1157" s="36"/>
    </row>
    <row r="1158" spans="16:27" x14ac:dyDescent="0.2">
      <c r="P1158" s="36"/>
      <c r="Q1158" s="40"/>
      <c r="R1158" s="40"/>
      <c r="S1158" s="40"/>
      <c r="T1158" s="41"/>
      <c r="U1158" s="41"/>
      <c r="V1158" s="41"/>
      <c r="W1158" s="36"/>
      <c r="X1158" s="36"/>
      <c r="Y1158" s="36"/>
      <c r="Z1158" s="36"/>
      <c r="AA1158" s="36"/>
    </row>
    <row r="1159" spans="16:27" x14ac:dyDescent="0.2">
      <c r="P1159" s="36"/>
      <c r="Q1159" s="40"/>
      <c r="R1159" s="40"/>
      <c r="S1159" s="40"/>
      <c r="T1159" s="41"/>
      <c r="U1159" s="41"/>
      <c r="V1159" s="41"/>
      <c r="W1159" s="36"/>
      <c r="X1159" s="36"/>
      <c r="Y1159" s="36"/>
      <c r="Z1159" s="36"/>
      <c r="AA1159" s="36"/>
    </row>
    <row r="1160" spans="16:27" x14ac:dyDescent="0.2">
      <c r="P1160" s="36"/>
      <c r="Q1160" s="40"/>
      <c r="R1160" s="40"/>
      <c r="S1160" s="40"/>
      <c r="T1160" s="41"/>
      <c r="U1160" s="41"/>
      <c r="V1160" s="41"/>
      <c r="W1160" s="36"/>
      <c r="X1160" s="36"/>
      <c r="Y1160" s="36"/>
      <c r="Z1160" s="36"/>
      <c r="AA1160" s="36"/>
    </row>
    <row r="1161" spans="16:27" x14ac:dyDescent="0.2">
      <c r="P1161" s="36"/>
      <c r="Q1161" s="40"/>
      <c r="R1161" s="40"/>
      <c r="S1161" s="40"/>
      <c r="T1161" s="41"/>
      <c r="U1161" s="41"/>
      <c r="V1161" s="41"/>
      <c r="W1161" s="36"/>
      <c r="X1161" s="36"/>
      <c r="Y1161" s="36"/>
      <c r="Z1161" s="36"/>
      <c r="AA1161" s="36"/>
    </row>
    <row r="1162" spans="16:27" x14ac:dyDescent="0.2">
      <c r="P1162" s="36"/>
      <c r="Q1162" s="40"/>
      <c r="R1162" s="40"/>
      <c r="S1162" s="40"/>
      <c r="T1162" s="41"/>
      <c r="U1162" s="41"/>
      <c r="V1162" s="41"/>
      <c r="W1162" s="36"/>
      <c r="X1162" s="36"/>
      <c r="Y1162" s="36"/>
      <c r="Z1162" s="36"/>
      <c r="AA1162" s="36"/>
    </row>
    <row r="1163" spans="16:27" x14ac:dyDescent="0.2">
      <c r="P1163" s="36"/>
      <c r="Q1163" s="40"/>
      <c r="R1163" s="40"/>
      <c r="S1163" s="40"/>
      <c r="T1163" s="41"/>
      <c r="U1163" s="41"/>
      <c r="V1163" s="41"/>
      <c r="W1163" s="36"/>
      <c r="X1163" s="36"/>
      <c r="Y1163" s="36"/>
      <c r="Z1163" s="36"/>
      <c r="AA1163" s="36"/>
    </row>
    <row r="1164" spans="16:27" x14ac:dyDescent="0.2">
      <c r="P1164" s="36"/>
      <c r="Q1164" s="40"/>
      <c r="R1164" s="40"/>
      <c r="S1164" s="40"/>
      <c r="T1164" s="41"/>
      <c r="U1164" s="41"/>
      <c r="V1164" s="41"/>
      <c r="W1164" s="36"/>
      <c r="X1164" s="36"/>
      <c r="Y1164" s="36"/>
      <c r="Z1164" s="36"/>
      <c r="AA1164" s="36"/>
    </row>
    <row r="1165" spans="16:27" x14ac:dyDescent="0.2">
      <c r="P1165" s="36"/>
      <c r="Q1165" s="40"/>
      <c r="R1165" s="40"/>
      <c r="S1165" s="40"/>
      <c r="T1165" s="41"/>
      <c r="U1165" s="41"/>
      <c r="V1165" s="41"/>
      <c r="W1165" s="36"/>
      <c r="X1165" s="36"/>
      <c r="Y1165" s="36"/>
      <c r="Z1165" s="36"/>
      <c r="AA1165" s="36"/>
    </row>
    <row r="1166" spans="16:27" x14ac:dyDescent="0.2">
      <c r="P1166" s="36"/>
      <c r="Q1166" s="40"/>
      <c r="R1166" s="40"/>
      <c r="S1166" s="40"/>
      <c r="T1166" s="41"/>
      <c r="U1166" s="41"/>
      <c r="V1166" s="41"/>
      <c r="W1166" s="36"/>
      <c r="X1166" s="36"/>
      <c r="Y1166" s="36"/>
      <c r="Z1166" s="36"/>
      <c r="AA1166" s="36"/>
    </row>
    <row r="1167" spans="16:27" x14ac:dyDescent="0.2">
      <c r="P1167" s="36"/>
      <c r="Q1167" s="40"/>
      <c r="R1167" s="40"/>
      <c r="S1167" s="40"/>
      <c r="T1167" s="41"/>
      <c r="U1167" s="41"/>
      <c r="V1167" s="41"/>
      <c r="W1167" s="36"/>
      <c r="X1167" s="36"/>
      <c r="Y1167" s="36"/>
      <c r="Z1167" s="36"/>
      <c r="AA1167" s="36"/>
    </row>
    <row r="1168" spans="16:27" x14ac:dyDescent="0.2">
      <c r="P1168" s="36"/>
      <c r="Q1168" s="40"/>
      <c r="R1168" s="40"/>
      <c r="S1168" s="40"/>
      <c r="T1168" s="41"/>
      <c r="U1168" s="41"/>
      <c r="V1168" s="41"/>
      <c r="W1168" s="36"/>
      <c r="X1168" s="36"/>
      <c r="Y1168" s="36"/>
      <c r="Z1168" s="36"/>
      <c r="AA1168" s="36"/>
    </row>
    <row r="1169" spans="16:27" x14ac:dyDescent="0.2">
      <c r="P1169" s="36"/>
      <c r="Q1169" s="40"/>
      <c r="R1169" s="40"/>
      <c r="S1169" s="40"/>
      <c r="T1169" s="41"/>
      <c r="U1169" s="41"/>
      <c r="V1169" s="41"/>
      <c r="W1169" s="36"/>
      <c r="X1169" s="36"/>
      <c r="Y1169" s="36"/>
      <c r="Z1169" s="36"/>
      <c r="AA1169" s="36"/>
    </row>
    <row r="1170" spans="16:27" x14ac:dyDescent="0.2">
      <c r="P1170" s="36"/>
      <c r="Q1170" s="40"/>
      <c r="R1170" s="40"/>
      <c r="S1170" s="40"/>
      <c r="T1170" s="41"/>
      <c r="U1170" s="41"/>
      <c r="V1170" s="41"/>
      <c r="W1170" s="36"/>
      <c r="X1170" s="36"/>
      <c r="Y1170" s="36"/>
      <c r="Z1170" s="36"/>
      <c r="AA1170" s="36"/>
    </row>
    <row r="1171" spans="16:27" x14ac:dyDescent="0.2">
      <c r="P1171" s="36"/>
      <c r="Q1171" s="40"/>
      <c r="R1171" s="40"/>
      <c r="S1171" s="40"/>
      <c r="T1171" s="41"/>
      <c r="U1171" s="41"/>
      <c r="V1171" s="41"/>
      <c r="W1171" s="36"/>
      <c r="X1171" s="36"/>
      <c r="Y1171" s="36"/>
      <c r="Z1171" s="36"/>
      <c r="AA1171" s="36"/>
    </row>
    <row r="1172" spans="16:27" x14ac:dyDescent="0.2">
      <c r="P1172" s="36"/>
      <c r="Q1172" s="40"/>
      <c r="R1172" s="40"/>
      <c r="S1172" s="40"/>
      <c r="T1172" s="41"/>
      <c r="U1172" s="41"/>
      <c r="V1172" s="41"/>
      <c r="W1172" s="36"/>
      <c r="X1172" s="36"/>
      <c r="Y1172" s="36"/>
      <c r="Z1172" s="36"/>
      <c r="AA1172" s="36"/>
    </row>
    <row r="1173" spans="16:27" x14ac:dyDescent="0.2">
      <c r="P1173" s="36"/>
      <c r="Q1173" s="40"/>
      <c r="R1173" s="40"/>
      <c r="S1173" s="40"/>
      <c r="T1173" s="41"/>
      <c r="U1173" s="41"/>
      <c r="V1173" s="41"/>
      <c r="W1173" s="36"/>
      <c r="X1173" s="36"/>
      <c r="Y1173" s="36"/>
      <c r="Z1173" s="36"/>
      <c r="AA1173" s="36"/>
    </row>
    <row r="1174" spans="16:27" x14ac:dyDescent="0.2">
      <c r="P1174" s="36"/>
      <c r="Q1174" s="40"/>
      <c r="R1174" s="40"/>
      <c r="S1174" s="40"/>
      <c r="T1174" s="41"/>
      <c r="U1174" s="41"/>
      <c r="V1174" s="41"/>
      <c r="W1174" s="36"/>
      <c r="X1174" s="36"/>
      <c r="Y1174" s="36"/>
      <c r="Z1174" s="36"/>
      <c r="AA1174" s="36"/>
    </row>
    <row r="1175" spans="16:27" x14ac:dyDescent="0.2">
      <c r="P1175" s="36"/>
      <c r="Q1175" s="40"/>
      <c r="R1175" s="40"/>
      <c r="S1175" s="40"/>
      <c r="T1175" s="41"/>
      <c r="U1175" s="41"/>
      <c r="V1175" s="41"/>
      <c r="W1175" s="36"/>
      <c r="X1175" s="36"/>
      <c r="Y1175" s="36"/>
      <c r="Z1175" s="36"/>
      <c r="AA1175" s="36"/>
    </row>
    <row r="1176" spans="16:27" x14ac:dyDescent="0.2">
      <c r="P1176" s="36"/>
      <c r="Q1176" s="40"/>
      <c r="R1176" s="40"/>
      <c r="S1176" s="40"/>
      <c r="T1176" s="41"/>
      <c r="U1176" s="41"/>
      <c r="V1176" s="41"/>
      <c r="W1176" s="36"/>
      <c r="X1176" s="36"/>
      <c r="Y1176" s="36"/>
      <c r="Z1176" s="36"/>
      <c r="AA1176" s="36"/>
    </row>
    <row r="1177" spans="16:27" x14ac:dyDescent="0.2">
      <c r="P1177" s="36"/>
      <c r="Q1177" s="40"/>
      <c r="R1177" s="40"/>
      <c r="S1177" s="40"/>
      <c r="T1177" s="41"/>
      <c r="U1177" s="41"/>
      <c r="V1177" s="41"/>
      <c r="W1177" s="36"/>
      <c r="X1177" s="36"/>
      <c r="Y1177" s="36"/>
      <c r="Z1177" s="36"/>
      <c r="AA1177" s="36"/>
    </row>
    <row r="1178" spans="16:27" x14ac:dyDescent="0.2">
      <c r="P1178" s="36"/>
      <c r="Q1178" s="40"/>
      <c r="R1178" s="40"/>
      <c r="S1178" s="40"/>
      <c r="T1178" s="41"/>
      <c r="U1178" s="41"/>
      <c r="V1178" s="41"/>
      <c r="W1178" s="36"/>
      <c r="X1178" s="36"/>
      <c r="Y1178" s="36"/>
      <c r="Z1178" s="36"/>
      <c r="AA1178" s="36"/>
    </row>
    <row r="1179" spans="16:27" x14ac:dyDescent="0.2">
      <c r="P1179" s="36"/>
      <c r="Q1179" s="40"/>
      <c r="R1179" s="40"/>
      <c r="S1179" s="40"/>
      <c r="T1179" s="41"/>
      <c r="U1179" s="41"/>
      <c r="V1179" s="41"/>
      <c r="W1179" s="36"/>
      <c r="X1179" s="36"/>
      <c r="Y1179" s="36"/>
      <c r="Z1179" s="36"/>
      <c r="AA1179" s="36"/>
    </row>
    <row r="1180" spans="16:27" x14ac:dyDescent="0.2">
      <c r="P1180" s="36"/>
      <c r="Q1180" s="40"/>
      <c r="R1180" s="40"/>
      <c r="S1180" s="40"/>
      <c r="T1180" s="41"/>
      <c r="U1180" s="41"/>
      <c r="V1180" s="41"/>
      <c r="W1180" s="36"/>
      <c r="X1180" s="36"/>
      <c r="Y1180" s="36"/>
      <c r="Z1180" s="36"/>
      <c r="AA1180" s="36"/>
    </row>
    <row r="1181" spans="16:27" x14ac:dyDescent="0.2">
      <c r="P1181" s="36"/>
      <c r="Q1181" s="40"/>
      <c r="R1181" s="40"/>
      <c r="S1181" s="40"/>
      <c r="T1181" s="41"/>
      <c r="U1181" s="41"/>
      <c r="V1181" s="41"/>
      <c r="W1181" s="36"/>
      <c r="X1181" s="36"/>
      <c r="Y1181" s="36"/>
      <c r="Z1181" s="36"/>
      <c r="AA1181" s="36"/>
    </row>
    <row r="1182" spans="16:27" x14ac:dyDescent="0.2">
      <c r="P1182" s="36"/>
      <c r="Q1182" s="40"/>
      <c r="R1182" s="40"/>
      <c r="S1182" s="40"/>
      <c r="T1182" s="41"/>
      <c r="U1182" s="41"/>
      <c r="V1182" s="41"/>
      <c r="W1182" s="36"/>
      <c r="X1182" s="36"/>
      <c r="Y1182" s="36"/>
      <c r="Z1182" s="36"/>
      <c r="AA1182" s="36"/>
    </row>
    <row r="1183" spans="16:27" x14ac:dyDescent="0.2">
      <c r="P1183" s="36"/>
      <c r="Q1183" s="40"/>
      <c r="R1183" s="40"/>
      <c r="S1183" s="40"/>
      <c r="T1183" s="41"/>
      <c r="U1183" s="41"/>
      <c r="V1183" s="41"/>
      <c r="W1183" s="36"/>
      <c r="X1183" s="36"/>
      <c r="Y1183" s="36"/>
      <c r="Z1183" s="36"/>
      <c r="AA1183" s="36"/>
    </row>
    <row r="1184" spans="16:27" x14ac:dyDescent="0.2">
      <c r="P1184" s="36"/>
      <c r="Q1184" s="40"/>
      <c r="R1184" s="40"/>
      <c r="S1184" s="40"/>
      <c r="T1184" s="41"/>
      <c r="U1184" s="41"/>
      <c r="V1184" s="41"/>
      <c r="W1184" s="36"/>
      <c r="X1184" s="36"/>
      <c r="Y1184" s="36"/>
      <c r="Z1184" s="36"/>
      <c r="AA1184" s="36"/>
    </row>
    <row r="1185" spans="16:27" x14ac:dyDescent="0.2">
      <c r="P1185" s="36"/>
      <c r="Q1185" s="40"/>
      <c r="R1185" s="40"/>
      <c r="S1185" s="40"/>
      <c r="T1185" s="41"/>
      <c r="U1185" s="41"/>
      <c r="V1185" s="41"/>
      <c r="W1185" s="36"/>
      <c r="X1185" s="36"/>
      <c r="Y1185" s="36"/>
      <c r="Z1185" s="36"/>
      <c r="AA1185" s="36"/>
    </row>
    <row r="1186" spans="16:27" x14ac:dyDescent="0.2">
      <c r="P1186" s="36"/>
      <c r="Q1186" s="40"/>
      <c r="R1186" s="40"/>
      <c r="S1186" s="40"/>
      <c r="T1186" s="41"/>
      <c r="U1186" s="41"/>
      <c r="V1186" s="41"/>
      <c r="W1186" s="36"/>
      <c r="X1186" s="36"/>
      <c r="Y1186" s="36"/>
      <c r="Z1186" s="36"/>
      <c r="AA1186" s="36"/>
    </row>
    <row r="1187" spans="16:27" x14ac:dyDescent="0.2">
      <c r="P1187" s="36"/>
      <c r="Q1187" s="40"/>
      <c r="R1187" s="40"/>
      <c r="S1187" s="40"/>
      <c r="T1187" s="41"/>
      <c r="U1187" s="41"/>
      <c r="V1187" s="41"/>
      <c r="W1187" s="36"/>
      <c r="X1187" s="36"/>
      <c r="Y1187" s="36"/>
      <c r="Z1187" s="36"/>
      <c r="AA1187" s="36"/>
    </row>
    <row r="1188" spans="16:27" x14ac:dyDescent="0.2">
      <c r="P1188" s="36"/>
      <c r="Q1188" s="40"/>
      <c r="R1188" s="40"/>
      <c r="S1188" s="40"/>
      <c r="T1188" s="41"/>
      <c r="U1188" s="41"/>
      <c r="V1188" s="41"/>
      <c r="W1188" s="36"/>
      <c r="X1188" s="36"/>
      <c r="Y1188" s="36"/>
      <c r="Z1188" s="36"/>
      <c r="AA1188" s="36"/>
    </row>
    <row r="1189" spans="16:27" x14ac:dyDescent="0.2">
      <c r="P1189" s="36"/>
      <c r="Q1189" s="40"/>
      <c r="R1189" s="40"/>
      <c r="S1189" s="40"/>
      <c r="T1189" s="41"/>
      <c r="U1189" s="41"/>
      <c r="V1189" s="41"/>
      <c r="W1189" s="36"/>
      <c r="X1189" s="36"/>
      <c r="Y1189" s="36"/>
      <c r="Z1189" s="36"/>
      <c r="AA1189" s="36"/>
    </row>
    <row r="1190" spans="16:27" x14ac:dyDescent="0.2">
      <c r="P1190" s="36"/>
      <c r="Q1190" s="40"/>
      <c r="R1190" s="40"/>
      <c r="S1190" s="40"/>
      <c r="T1190" s="41"/>
      <c r="U1190" s="41"/>
      <c r="V1190" s="41"/>
      <c r="W1190" s="36"/>
      <c r="X1190" s="36"/>
      <c r="Y1190" s="36"/>
      <c r="Z1190" s="36"/>
      <c r="AA1190" s="36"/>
    </row>
    <row r="1191" spans="16:27" x14ac:dyDescent="0.2">
      <c r="P1191" s="36"/>
      <c r="Q1191" s="40"/>
      <c r="R1191" s="40"/>
      <c r="S1191" s="40"/>
      <c r="T1191" s="41"/>
      <c r="U1191" s="41"/>
      <c r="V1191" s="41"/>
      <c r="W1191" s="36"/>
      <c r="X1191" s="36"/>
      <c r="Y1191" s="36"/>
      <c r="Z1191" s="36"/>
      <c r="AA1191" s="36"/>
    </row>
    <row r="1192" spans="16:27" x14ac:dyDescent="0.2">
      <c r="P1192" s="36"/>
      <c r="Q1192" s="40"/>
      <c r="R1192" s="40"/>
      <c r="S1192" s="40"/>
      <c r="T1192" s="41"/>
      <c r="U1192" s="41"/>
      <c r="V1192" s="41"/>
      <c r="W1192" s="36"/>
      <c r="X1192" s="36"/>
      <c r="Y1192" s="36"/>
      <c r="Z1192" s="36"/>
      <c r="AA1192" s="36"/>
    </row>
    <row r="1193" spans="16:27" x14ac:dyDescent="0.2">
      <c r="P1193" s="36"/>
      <c r="Q1193" s="40"/>
      <c r="R1193" s="40"/>
      <c r="S1193" s="40"/>
      <c r="T1193" s="41"/>
      <c r="U1193" s="41"/>
      <c r="V1193" s="41"/>
      <c r="W1193" s="36"/>
      <c r="X1193" s="36"/>
      <c r="Y1193" s="36"/>
      <c r="Z1193" s="36"/>
      <c r="AA1193" s="36"/>
    </row>
    <row r="1194" spans="16:27" x14ac:dyDescent="0.2">
      <c r="P1194" s="36"/>
      <c r="Q1194" s="40"/>
      <c r="R1194" s="40"/>
      <c r="S1194" s="40"/>
      <c r="T1194" s="41"/>
      <c r="U1194" s="41"/>
      <c r="V1194" s="41"/>
      <c r="W1194" s="36"/>
      <c r="X1194" s="36"/>
      <c r="Y1194" s="36"/>
      <c r="Z1194" s="36"/>
      <c r="AA1194" s="36"/>
    </row>
    <row r="1195" spans="16:27" x14ac:dyDescent="0.2">
      <c r="P1195" s="36"/>
      <c r="Q1195" s="40"/>
      <c r="R1195" s="40"/>
      <c r="S1195" s="40"/>
      <c r="T1195" s="41"/>
      <c r="U1195" s="41"/>
      <c r="V1195" s="41"/>
      <c r="W1195" s="36"/>
      <c r="X1195" s="36"/>
      <c r="Y1195" s="36"/>
      <c r="Z1195" s="36"/>
      <c r="AA1195" s="36"/>
    </row>
    <row r="1196" spans="16:27" x14ac:dyDescent="0.2">
      <c r="P1196" s="36"/>
      <c r="Q1196" s="40"/>
      <c r="R1196" s="40"/>
      <c r="S1196" s="40"/>
      <c r="T1196" s="41"/>
      <c r="U1196" s="41"/>
      <c r="V1196" s="41"/>
      <c r="W1196" s="36"/>
      <c r="X1196" s="36"/>
      <c r="Y1196" s="36"/>
      <c r="Z1196" s="36"/>
      <c r="AA1196" s="36"/>
    </row>
    <row r="1197" spans="16:27" x14ac:dyDescent="0.2">
      <c r="P1197" s="36"/>
      <c r="Q1197" s="40"/>
      <c r="R1197" s="40"/>
      <c r="S1197" s="40"/>
      <c r="T1197" s="41"/>
      <c r="U1197" s="41"/>
      <c r="V1197" s="41"/>
      <c r="W1197" s="36"/>
      <c r="X1197" s="36"/>
      <c r="Y1197" s="36"/>
      <c r="Z1197" s="36"/>
      <c r="AA1197" s="36"/>
    </row>
    <row r="1198" spans="16:27" x14ac:dyDescent="0.2">
      <c r="P1198" s="36"/>
      <c r="Q1198" s="40"/>
      <c r="R1198" s="40"/>
      <c r="S1198" s="40"/>
      <c r="T1198" s="41"/>
      <c r="U1198" s="41"/>
      <c r="V1198" s="41"/>
      <c r="W1198" s="36"/>
      <c r="X1198" s="36"/>
      <c r="Y1198" s="36"/>
      <c r="Z1198" s="36"/>
      <c r="AA1198" s="36"/>
    </row>
    <row r="1199" spans="16:27" x14ac:dyDescent="0.2">
      <c r="P1199" s="36"/>
      <c r="Q1199" s="40"/>
      <c r="R1199" s="40"/>
      <c r="S1199" s="40"/>
      <c r="T1199" s="41"/>
      <c r="U1199" s="41"/>
      <c r="V1199" s="41"/>
      <c r="W1199" s="36"/>
      <c r="X1199" s="36"/>
      <c r="Y1199" s="36"/>
      <c r="Z1199" s="36"/>
      <c r="AA1199" s="36"/>
    </row>
    <row r="1200" spans="16:27" x14ac:dyDescent="0.2">
      <c r="P1200" s="36"/>
      <c r="Q1200" s="40"/>
      <c r="R1200" s="40"/>
      <c r="S1200" s="40"/>
      <c r="T1200" s="41"/>
      <c r="U1200" s="41"/>
      <c r="V1200" s="41"/>
      <c r="W1200" s="36"/>
      <c r="X1200" s="36"/>
      <c r="Y1200" s="36"/>
      <c r="Z1200" s="36"/>
      <c r="AA1200" s="36"/>
    </row>
    <row r="1201" spans="16:27" x14ac:dyDescent="0.2">
      <c r="P1201" s="36"/>
      <c r="Q1201" s="40"/>
      <c r="R1201" s="40"/>
      <c r="S1201" s="40"/>
      <c r="T1201" s="41"/>
      <c r="U1201" s="41"/>
      <c r="V1201" s="41"/>
      <c r="W1201" s="36"/>
      <c r="X1201" s="36"/>
      <c r="Y1201" s="36"/>
      <c r="Z1201" s="36"/>
      <c r="AA1201" s="36"/>
    </row>
    <row r="1202" spans="16:27" x14ac:dyDescent="0.2">
      <c r="P1202" s="36"/>
      <c r="Q1202" s="40"/>
      <c r="R1202" s="40"/>
      <c r="S1202" s="40"/>
      <c r="T1202" s="41"/>
      <c r="U1202" s="41"/>
      <c r="V1202" s="41"/>
      <c r="W1202" s="36"/>
      <c r="X1202" s="36"/>
      <c r="Y1202" s="36"/>
      <c r="Z1202" s="36"/>
      <c r="AA1202" s="36"/>
    </row>
    <row r="1203" spans="16:27" x14ac:dyDescent="0.2">
      <c r="P1203" s="36"/>
      <c r="Q1203" s="40"/>
      <c r="R1203" s="40"/>
      <c r="S1203" s="40"/>
      <c r="T1203" s="41"/>
      <c r="U1203" s="41"/>
      <c r="V1203" s="41"/>
      <c r="W1203" s="36"/>
      <c r="X1203" s="36"/>
      <c r="Y1203" s="36"/>
      <c r="Z1203" s="36"/>
      <c r="AA1203" s="36"/>
    </row>
    <row r="1204" spans="16:27" x14ac:dyDescent="0.2">
      <c r="P1204" s="36"/>
      <c r="Q1204" s="40"/>
      <c r="R1204" s="40"/>
      <c r="S1204" s="40"/>
      <c r="T1204" s="41"/>
      <c r="U1204" s="41"/>
      <c r="V1204" s="41"/>
      <c r="W1204" s="36"/>
      <c r="X1204" s="36"/>
      <c r="Y1204" s="36"/>
      <c r="Z1204" s="36"/>
      <c r="AA1204" s="36"/>
    </row>
    <row r="1205" spans="16:27" x14ac:dyDescent="0.2">
      <c r="P1205" s="36"/>
      <c r="Q1205" s="40"/>
      <c r="R1205" s="40"/>
      <c r="S1205" s="40"/>
      <c r="T1205" s="41"/>
      <c r="U1205" s="41"/>
      <c r="V1205" s="41"/>
      <c r="W1205" s="36"/>
      <c r="X1205" s="36"/>
      <c r="Y1205" s="36"/>
      <c r="Z1205" s="36"/>
      <c r="AA1205" s="36"/>
    </row>
    <row r="1206" spans="16:27" x14ac:dyDescent="0.2">
      <c r="P1206" s="36"/>
      <c r="Q1206" s="40"/>
      <c r="R1206" s="40"/>
      <c r="S1206" s="40"/>
      <c r="T1206" s="41"/>
      <c r="U1206" s="41"/>
      <c r="V1206" s="41"/>
      <c r="W1206" s="36"/>
      <c r="X1206" s="36"/>
      <c r="Y1206" s="36"/>
      <c r="Z1206" s="36"/>
      <c r="AA1206" s="36"/>
    </row>
    <row r="1207" spans="16:27" x14ac:dyDescent="0.2">
      <c r="P1207" s="36"/>
      <c r="Q1207" s="40"/>
      <c r="R1207" s="40"/>
      <c r="S1207" s="40"/>
      <c r="T1207" s="41"/>
      <c r="U1207" s="41"/>
      <c r="V1207" s="41"/>
      <c r="W1207" s="36"/>
      <c r="X1207" s="36"/>
      <c r="Y1207" s="36"/>
      <c r="Z1207" s="36"/>
      <c r="AA1207" s="36"/>
    </row>
    <row r="1208" spans="16:27" x14ac:dyDescent="0.2">
      <c r="P1208" s="36"/>
      <c r="Q1208" s="40"/>
      <c r="R1208" s="40"/>
      <c r="S1208" s="40"/>
      <c r="T1208" s="41"/>
      <c r="U1208" s="41"/>
      <c r="V1208" s="41"/>
      <c r="W1208" s="36"/>
      <c r="X1208" s="36"/>
      <c r="Y1208" s="36"/>
      <c r="Z1208" s="36"/>
      <c r="AA1208" s="36"/>
    </row>
    <row r="1209" spans="16:27" x14ac:dyDescent="0.2">
      <c r="P1209" s="36"/>
      <c r="Q1209" s="40"/>
      <c r="R1209" s="40"/>
      <c r="S1209" s="40"/>
      <c r="T1209" s="41"/>
      <c r="U1209" s="41"/>
      <c r="V1209" s="41"/>
      <c r="W1209" s="36"/>
      <c r="X1209" s="36"/>
      <c r="Y1209" s="36"/>
      <c r="Z1209" s="36"/>
      <c r="AA1209" s="36"/>
    </row>
    <row r="1210" spans="16:27" x14ac:dyDescent="0.2">
      <c r="P1210" s="36"/>
      <c r="Q1210" s="40"/>
      <c r="R1210" s="40"/>
      <c r="S1210" s="40"/>
      <c r="T1210" s="41"/>
      <c r="U1210" s="41"/>
      <c r="V1210" s="41"/>
      <c r="W1210" s="36"/>
      <c r="X1210" s="36"/>
      <c r="Y1210" s="36"/>
      <c r="Z1210" s="36"/>
      <c r="AA1210" s="36"/>
    </row>
    <row r="1211" spans="16:27" x14ac:dyDescent="0.2">
      <c r="P1211" s="36"/>
      <c r="Q1211" s="40"/>
      <c r="R1211" s="40"/>
      <c r="S1211" s="40"/>
      <c r="T1211" s="41"/>
      <c r="U1211" s="41"/>
      <c r="V1211" s="41"/>
      <c r="W1211" s="36"/>
      <c r="X1211" s="36"/>
      <c r="Y1211" s="36"/>
      <c r="Z1211" s="36"/>
      <c r="AA1211" s="36"/>
    </row>
    <row r="1212" spans="16:27" x14ac:dyDescent="0.2">
      <c r="P1212" s="36"/>
      <c r="Q1212" s="40"/>
      <c r="R1212" s="40"/>
      <c r="S1212" s="40"/>
      <c r="T1212" s="41"/>
      <c r="U1212" s="41"/>
      <c r="V1212" s="41"/>
      <c r="W1212" s="36"/>
      <c r="X1212" s="36"/>
      <c r="Y1212" s="36"/>
      <c r="Z1212" s="36"/>
      <c r="AA1212" s="36"/>
    </row>
    <row r="1213" spans="16:27" x14ac:dyDescent="0.2">
      <c r="P1213" s="36"/>
      <c r="Q1213" s="40"/>
      <c r="R1213" s="40"/>
      <c r="S1213" s="40"/>
      <c r="T1213" s="41"/>
      <c r="U1213" s="41"/>
      <c r="V1213" s="41"/>
      <c r="W1213" s="36"/>
      <c r="X1213" s="36"/>
      <c r="Y1213" s="36"/>
      <c r="Z1213" s="36"/>
      <c r="AA1213" s="36"/>
    </row>
    <row r="1214" spans="16:27" x14ac:dyDescent="0.2">
      <c r="P1214" s="36"/>
      <c r="Q1214" s="40"/>
      <c r="R1214" s="40"/>
      <c r="S1214" s="40"/>
      <c r="T1214" s="41"/>
      <c r="U1214" s="41"/>
      <c r="V1214" s="41"/>
      <c r="W1214" s="36"/>
      <c r="X1214" s="36"/>
      <c r="Y1214" s="36"/>
      <c r="Z1214" s="36"/>
      <c r="AA1214" s="36"/>
    </row>
    <row r="1215" spans="16:27" x14ac:dyDescent="0.2">
      <c r="P1215" s="36"/>
      <c r="Q1215" s="40"/>
      <c r="R1215" s="40"/>
      <c r="S1215" s="40"/>
      <c r="T1215" s="41"/>
      <c r="U1215" s="41"/>
      <c r="V1215" s="41"/>
      <c r="W1215" s="36"/>
      <c r="X1215" s="36"/>
      <c r="Y1215" s="36"/>
      <c r="Z1215" s="36"/>
      <c r="AA1215" s="36"/>
    </row>
    <row r="1216" spans="16:27" x14ac:dyDescent="0.2">
      <c r="P1216" s="36"/>
      <c r="Q1216" s="40"/>
      <c r="R1216" s="40"/>
      <c r="S1216" s="40"/>
      <c r="T1216" s="41"/>
      <c r="U1216" s="41"/>
      <c r="V1216" s="41"/>
      <c r="W1216" s="36"/>
      <c r="X1216" s="36"/>
      <c r="Y1216" s="36"/>
      <c r="Z1216" s="36"/>
      <c r="AA1216" s="36"/>
    </row>
    <row r="1217" spans="16:27" x14ac:dyDescent="0.2">
      <c r="P1217" s="36"/>
      <c r="Q1217" s="40"/>
      <c r="R1217" s="40"/>
      <c r="S1217" s="40"/>
      <c r="T1217" s="41"/>
      <c r="U1217" s="41"/>
      <c r="V1217" s="41"/>
      <c r="W1217" s="36"/>
      <c r="X1217" s="36"/>
      <c r="Y1217" s="36"/>
      <c r="Z1217" s="36"/>
      <c r="AA1217" s="36"/>
    </row>
    <row r="1218" spans="16:27" x14ac:dyDescent="0.2">
      <c r="P1218" s="36"/>
      <c r="Q1218" s="40"/>
      <c r="R1218" s="40"/>
      <c r="S1218" s="40"/>
      <c r="T1218" s="41"/>
      <c r="U1218" s="41"/>
      <c r="V1218" s="41"/>
      <c r="W1218" s="36"/>
      <c r="X1218" s="36"/>
      <c r="Y1218" s="36"/>
      <c r="Z1218" s="36"/>
      <c r="AA1218" s="36"/>
    </row>
    <row r="1219" spans="16:27" x14ac:dyDescent="0.2">
      <c r="P1219" s="36"/>
      <c r="Q1219" s="40"/>
      <c r="R1219" s="40"/>
      <c r="S1219" s="40"/>
      <c r="T1219" s="41"/>
      <c r="U1219" s="41"/>
      <c r="V1219" s="41"/>
      <c r="W1219" s="36"/>
      <c r="X1219" s="36"/>
      <c r="Y1219" s="36"/>
      <c r="Z1219" s="36"/>
      <c r="AA1219" s="36"/>
    </row>
    <row r="1220" spans="16:27" x14ac:dyDescent="0.2">
      <c r="P1220" s="36"/>
      <c r="Q1220" s="40"/>
      <c r="R1220" s="40"/>
      <c r="S1220" s="40"/>
      <c r="T1220" s="41"/>
      <c r="U1220" s="41"/>
      <c r="V1220" s="41"/>
      <c r="W1220" s="36"/>
      <c r="X1220" s="36"/>
      <c r="Y1220" s="36"/>
      <c r="Z1220" s="36"/>
      <c r="AA1220" s="36"/>
    </row>
    <row r="1221" spans="16:27" x14ac:dyDescent="0.2">
      <c r="P1221" s="36"/>
      <c r="Q1221" s="40"/>
      <c r="R1221" s="40"/>
      <c r="S1221" s="40"/>
      <c r="T1221" s="41"/>
      <c r="U1221" s="41"/>
      <c r="V1221" s="41"/>
      <c r="W1221" s="36"/>
      <c r="X1221" s="36"/>
      <c r="Y1221" s="36"/>
      <c r="Z1221" s="36"/>
      <c r="AA1221" s="36"/>
    </row>
    <row r="1222" spans="16:27" x14ac:dyDescent="0.2">
      <c r="P1222" s="36"/>
      <c r="Q1222" s="40"/>
      <c r="R1222" s="40"/>
      <c r="S1222" s="40"/>
      <c r="T1222" s="41"/>
      <c r="U1222" s="41"/>
      <c r="V1222" s="41"/>
      <c r="W1222" s="36"/>
      <c r="X1222" s="36"/>
      <c r="Y1222" s="36"/>
      <c r="Z1222" s="36"/>
      <c r="AA1222" s="36"/>
    </row>
    <row r="1223" spans="16:27" x14ac:dyDescent="0.2">
      <c r="P1223" s="36"/>
      <c r="Q1223" s="40"/>
      <c r="R1223" s="40"/>
      <c r="S1223" s="40"/>
      <c r="T1223" s="41"/>
      <c r="U1223" s="41"/>
      <c r="V1223" s="41"/>
      <c r="W1223" s="36"/>
      <c r="X1223" s="36"/>
      <c r="Y1223" s="36"/>
      <c r="Z1223" s="36"/>
      <c r="AA1223" s="36"/>
    </row>
    <row r="1224" spans="16:27" x14ac:dyDescent="0.2">
      <c r="P1224" s="36"/>
      <c r="Q1224" s="40"/>
      <c r="R1224" s="40"/>
      <c r="S1224" s="40"/>
      <c r="T1224" s="41"/>
      <c r="U1224" s="41"/>
      <c r="V1224" s="41"/>
      <c r="W1224" s="36"/>
      <c r="X1224" s="36"/>
      <c r="Y1224" s="36"/>
      <c r="Z1224" s="36"/>
      <c r="AA1224" s="36"/>
    </row>
    <row r="1225" spans="16:27" x14ac:dyDescent="0.2">
      <c r="P1225" s="36"/>
      <c r="Q1225" s="40"/>
      <c r="R1225" s="40"/>
      <c r="S1225" s="40"/>
      <c r="T1225" s="41"/>
      <c r="U1225" s="41"/>
      <c r="V1225" s="41"/>
      <c r="W1225" s="36"/>
      <c r="X1225" s="36"/>
      <c r="Y1225" s="36"/>
      <c r="Z1225" s="36"/>
      <c r="AA1225" s="36"/>
    </row>
    <row r="1226" spans="16:27" x14ac:dyDescent="0.2">
      <c r="P1226" s="36"/>
      <c r="Q1226" s="40"/>
      <c r="R1226" s="40"/>
      <c r="S1226" s="40"/>
      <c r="T1226" s="41"/>
      <c r="U1226" s="41"/>
      <c r="V1226" s="41"/>
      <c r="W1226" s="36"/>
      <c r="X1226" s="36"/>
      <c r="Y1226" s="36"/>
      <c r="Z1226" s="36"/>
      <c r="AA1226" s="36"/>
    </row>
    <row r="1227" spans="16:27" x14ac:dyDescent="0.2">
      <c r="P1227" s="36"/>
      <c r="Q1227" s="40"/>
      <c r="R1227" s="40"/>
      <c r="S1227" s="40"/>
      <c r="T1227" s="41"/>
      <c r="U1227" s="41"/>
      <c r="V1227" s="41"/>
      <c r="W1227" s="36"/>
      <c r="X1227" s="36"/>
      <c r="Y1227" s="36"/>
      <c r="Z1227" s="36"/>
      <c r="AA1227" s="36"/>
    </row>
    <row r="1228" spans="16:27" x14ac:dyDescent="0.2">
      <c r="P1228" s="36"/>
      <c r="Q1228" s="40"/>
      <c r="R1228" s="40"/>
      <c r="S1228" s="40"/>
      <c r="T1228" s="41"/>
      <c r="U1228" s="41"/>
      <c r="V1228" s="41"/>
      <c r="W1228" s="36"/>
      <c r="X1228" s="36"/>
      <c r="Y1228" s="36"/>
      <c r="Z1228" s="36"/>
      <c r="AA1228" s="36"/>
    </row>
    <row r="1229" spans="16:27" x14ac:dyDescent="0.2">
      <c r="P1229" s="36"/>
      <c r="Q1229" s="40"/>
      <c r="R1229" s="40"/>
      <c r="S1229" s="40"/>
      <c r="T1229" s="41"/>
      <c r="U1229" s="41"/>
      <c r="V1229" s="41"/>
      <c r="W1229" s="36"/>
      <c r="X1229" s="36"/>
      <c r="Y1229" s="36"/>
      <c r="Z1229" s="36"/>
      <c r="AA1229" s="36"/>
    </row>
    <row r="1230" spans="16:27" x14ac:dyDescent="0.2">
      <c r="P1230" s="36"/>
      <c r="Q1230" s="40"/>
      <c r="R1230" s="40"/>
      <c r="S1230" s="40"/>
      <c r="T1230" s="41"/>
      <c r="U1230" s="41"/>
      <c r="V1230" s="41"/>
      <c r="W1230" s="36"/>
      <c r="X1230" s="36"/>
      <c r="Y1230" s="36"/>
      <c r="Z1230" s="36"/>
      <c r="AA1230" s="36"/>
    </row>
    <row r="1231" spans="16:27" x14ac:dyDescent="0.2">
      <c r="P1231" s="36"/>
      <c r="Q1231" s="40"/>
      <c r="R1231" s="40"/>
      <c r="S1231" s="40"/>
      <c r="T1231" s="41"/>
      <c r="U1231" s="41"/>
      <c r="V1231" s="41"/>
      <c r="W1231" s="36"/>
      <c r="X1231" s="36"/>
      <c r="Y1231" s="36"/>
      <c r="Z1231" s="36"/>
      <c r="AA1231" s="36"/>
    </row>
    <row r="1232" spans="16:27" x14ac:dyDescent="0.2">
      <c r="P1232" s="36"/>
      <c r="Q1232" s="40"/>
      <c r="R1232" s="40"/>
      <c r="S1232" s="40"/>
      <c r="T1232" s="41"/>
      <c r="U1232" s="41"/>
      <c r="V1232" s="41"/>
      <c r="W1232" s="36"/>
      <c r="X1232" s="36"/>
      <c r="Y1232" s="36"/>
      <c r="Z1232" s="36"/>
      <c r="AA1232" s="36"/>
    </row>
    <row r="1233" spans="16:27" x14ac:dyDescent="0.2">
      <c r="P1233" s="36"/>
      <c r="Q1233" s="40"/>
      <c r="R1233" s="40"/>
      <c r="S1233" s="40"/>
      <c r="T1233" s="41"/>
      <c r="U1233" s="41"/>
      <c r="V1233" s="41"/>
      <c r="W1233" s="36"/>
      <c r="X1233" s="36"/>
      <c r="Y1233" s="36"/>
      <c r="Z1233" s="36"/>
      <c r="AA1233" s="36"/>
    </row>
    <row r="1234" spans="16:27" x14ac:dyDescent="0.2">
      <c r="P1234" s="36"/>
      <c r="Q1234" s="40"/>
      <c r="R1234" s="40"/>
      <c r="S1234" s="40"/>
      <c r="T1234" s="41"/>
      <c r="U1234" s="41"/>
      <c r="V1234" s="41"/>
      <c r="W1234" s="36"/>
      <c r="X1234" s="36"/>
      <c r="Y1234" s="36"/>
      <c r="Z1234" s="36"/>
      <c r="AA1234" s="36"/>
    </row>
    <row r="1235" spans="16:27" x14ac:dyDescent="0.2">
      <c r="P1235" s="36"/>
      <c r="Q1235" s="40"/>
      <c r="R1235" s="40"/>
      <c r="S1235" s="40"/>
      <c r="T1235" s="41"/>
      <c r="U1235" s="41"/>
      <c r="V1235" s="41"/>
      <c r="W1235" s="36"/>
      <c r="X1235" s="36"/>
      <c r="Y1235" s="36"/>
      <c r="Z1235" s="36"/>
      <c r="AA1235" s="36"/>
    </row>
    <row r="1236" spans="16:27" x14ac:dyDescent="0.2">
      <c r="P1236" s="36"/>
      <c r="Q1236" s="40"/>
      <c r="R1236" s="40"/>
      <c r="S1236" s="40"/>
      <c r="T1236" s="41"/>
      <c r="U1236" s="41"/>
      <c r="V1236" s="41"/>
      <c r="W1236" s="36"/>
      <c r="X1236" s="36"/>
      <c r="Y1236" s="36"/>
      <c r="Z1236" s="36"/>
      <c r="AA1236" s="36"/>
    </row>
    <row r="1237" spans="16:27" x14ac:dyDescent="0.2">
      <c r="P1237" s="36"/>
      <c r="Q1237" s="40"/>
      <c r="R1237" s="40"/>
      <c r="S1237" s="40"/>
      <c r="T1237" s="41"/>
      <c r="U1237" s="41"/>
      <c r="V1237" s="41"/>
      <c r="W1237" s="36"/>
      <c r="X1237" s="36"/>
      <c r="Y1237" s="36"/>
      <c r="Z1237" s="36"/>
      <c r="AA1237" s="36"/>
    </row>
    <row r="1238" spans="16:27" x14ac:dyDescent="0.2">
      <c r="P1238" s="36"/>
      <c r="Q1238" s="40"/>
      <c r="R1238" s="40"/>
      <c r="S1238" s="40"/>
      <c r="T1238" s="41"/>
      <c r="U1238" s="41"/>
      <c r="V1238" s="41"/>
      <c r="W1238" s="36"/>
      <c r="X1238" s="36"/>
      <c r="Y1238" s="36"/>
      <c r="Z1238" s="36"/>
      <c r="AA1238" s="36"/>
    </row>
    <row r="1239" spans="16:27" x14ac:dyDescent="0.2">
      <c r="P1239" s="36"/>
      <c r="Q1239" s="40"/>
      <c r="R1239" s="40"/>
      <c r="S1239" s="40"/>
      <c r="T1239" s="41"/>
      <c r="U1239" s="41"/>
      <c r="V1239" s="41"/>
      <c r="W1239" s="36"/>
      <c r="X1239" s="36"/>
      <c r="Y1239" s="36"/>
      <c r="Z1239" s="36"/>
      <c r="AA1239" s="36"/>
    </row>
    <row r="1240" spans="16:27" x14ac:dyDescent="0.2">
      <c r="P1240" s="36"/>
      <c r="Q1240" s="40"/>
      <c r="R1240" s="40"/>
      <c r="S1240" s="40"/>
      <c r="T1240" s="41"/>
      <c r="U1240" s="41"/>
      <c r="V1240" s="41"/>
      <c r="W1240" s="36"/>
      <c r="X1240" s="36"/>
      <c r="Y1240" s="36"/>
      <c r="Z1240" s="36"/>
      <c r="AA1240" s="36"/>
    </row>
    <row r="1241" spans="16:27" x14ac:dyDescent="0.2">
      <c r="P1241" s="36"/>
      <c r="Q1241" s="40"/>
      <c r="R1241" s="40"/>
      <c r="S1241" s="40"/>
      <c r="T1241" s="41"/>
      <c r="U1241" s="41"/>
      <c r="V1241" s="41"/>
      <c r="W1241" s="36"/>
      <c r="X1241" s="36"/>
      <c r="Y1241" s="36"/>
      <c r="Z1241" s="36"/>
      <c r="AA1241" s="36"/>
    </row>
    <row r="1242" spans="16:27" x14ac:dyDescent="0.2">
      <c r="P1242" s="36"/>
      <c r="Q1242" s="40"/>
      <c r="R1242" s="40"/>
      <c r="S1242" s="40"/>
      <c r="T1242" s="41"/>
      <c r="U1242" s="41"/>
      <c r="V1242" s="41"/>
      <c r="W1242" s="36"/>
      <c r="X1242" s="36"/>
      <c r="Y1242" s="36"/>
      <c r="Z1242" s="36"/>
      <c r="AA1242" s="36"/>
    </row>
    <row r="1243" spans="16:27" x14ac:dyDescent="0.2">
      <c r="P1243" s="36"/>
      <c r="Q1243" s="40"/>
      <c r="R1243" s="40"/>
      <c r="S1243" s="40"/>
      <c r="T1243" s="41"/>
      <c r="U1243" s="41"/>
      <c r="V1243" s="41"/>
      <c r="W1243" s="36"/>
      <c r="X1243" s="36"/>
      <c r="Y1243" s="36"/>
      <c r="Z1243" s="36"/>
      <c r="AA1243" s="36"/>
    </row>
    <row r="1244" spans="16:27" x14ac:dyDescent="0.2">
      <c r="P1244" s="36"/>
      <c r="Q1244" s="40"/>
      <c r="R1244" s="40"/>
      <c r="S1244" s="40"/>
      <c r="T1244" s="41"/>
      <c r="U1244" s="41"/>
      <c r="V1244" s="41"/>
      <c r="W1244" s="36"/>
      <c r="X1244" s="36"/>
      <c r="Y1244" s="36"/>
      <c r="Z1244" s="36"/>
      <c r="AA1244" s="36"/>
    </row>
    <row r="1245" spans="16:27" x14ac:dyDescent="0.2">
      <c r="P1245" s="36"/>
      <c r="Q1245" s="40"/>
      <c r="R1245" s="40"/>
      <c r="S1245" s="40"/>
      <c r="T1245" s="41"/>
      <c r="U1245" s="41"/>
      <c r="V1245" s="41"/>
      <c r="W1245" s="36"/>
      <c r="X1245" s="36"/>
      <c r="Y1245" s="36"/>
      <c r="Z1245" s="36"/>
      <c r="AA1245" s="36"/>
    </row>
    <row r="1246" spans="16:27" x14ac:dyDescent="0.2">
      <c r="P1246" s="36"/>
      <c r="Q1246" s="40"/>
      <c r="R1246" s="40"/>
      <c r="S1246" s="40"/>
      <c r="T1246" s="41"/>
      <c r="U1246" s="41"/>
      <c r="V1246" s="41"/>
      <c r="W1246" s="36"/>
      <c r="X1246" s="36"/>
      <c r="Y1246" s="36"/>
      <c r="Z1246" s="36"/>
      <c r="AA1246" s="36"/>
    </row>
    <row r="1247" spans="16:27" x14ac:dyDescent="0.2">
      <c r="P1247" s="36"/>
      <c r="Q1247" s="40"/>
      <c r="R1247" s="40"/>
      <c r="S1247" s="40"/>
      <c r="T1247" s="41"/>
      <c r="U1247" s="41"/>
      <c r="V1247" s="41"/>
      <c r="W1247" s="36"/>
      <c r="X1247" s="36"/>
      <c r="Y1247" s="36"/>
      <c r="Z1247" s="36"/>
      <c r="AA1247" s="36"/>
    </row>
    <row r="1248" spans="16:27" x14ac:dyDescent="0.2">
      <c r="P1248" s="36"/>
      <c r="Q1248" s="40"/>
      <c r="R1248" s="40"/>
      <c r="S1248" s="40"/>
      <c r="T1248" s="41"/>
      <c r="U1248" s="41"/>
      <c r="V1248" s="41"/>
      <c r="W1248" s="36"/>
      <c r="X1248" s="36"/>
      <c r="Y1248" s="36"/>
      <c r="Z1248" s="36"/>
      <c r="AA1248" s="36"/>
    </row>
    <row r="1249" spans="16:27" x14ac:dyDescent="0.2">
      <c r="P1249" s="36"/>
      <c r="Q1249" s="40"/>
      <c r="R1249" s="40"/>
      <c r="S1249" s="40"/>
      <c r="T1249" s="41"/>
      <c r="U1249" s="41"/>
      <c r="V1249" s="41"/>
      <c r="W1249" s="36"/>
      <c r="X1249" s="36"/>
      <c r="Y1249" s="36"/>
      <c r="Z1249" s="36"/>
      <c r="AA1249" s="36"/>
    </row>
    <row r="1250" spans="16:27" x14ac:dyDescent="0.2">
      <c r="P1250" s="36"/>
      <c r="Q1250" s="40"/>
      <c r="R1250" s="40"/>
      <c r="S1250" s="40"/>
      <c r="T1250" s="41"/>
      <c r="U1250" s="41"/>
      <c r="V1250" s="41"/>
      <c r="W1250" s="36"/>
      <c r="X1250" s="36"/>
      <c r="Y1250" s="36"/>
      <c r="Z1250" s="36"/>
      <c r="AA1250" s="36"/>
    </row>
    <row r="1251" spans="16:27" x14ac:dyDescent="0.2">
      <c r="P1251" s="36"/>
      <c r="Q1251" s="40"/>
      <c r="R1251" s="40"/>
      <c r="S1251" s="40"/>
      <c r="T1251" s="41"/>
      <c r="U1251" s="41"/>
      <c r="V1251" s="41"/>
      <c r="W1251" s="36"/>
      <c r="X1251" s="36"/>
      <c r="Y1251" s="36"/>
      <c r="Z1251" s="36"/>
      <c r="AA1251" s="36"/>
    </row>
    <row r="1252" spans="16:27" x14ac:dyDescent="0.2">
      <c r="P1252" s="36"/>
      <c r="Q1252" s="40"/>
      <c r="R1252" s="40"/>
      <c r="S1252" s="40"/>
      <c r="T1252" s="41"/>
      <c r="U1252" s="41"/>
      <c r="V1252" s="41"/>
      <c r="W1252" s="36"/>
      <c r="X1252" s="36"/>
      <c r="Y1252" s="36"/>
      <c r="Z1252" s="36"/>
      <c r="AA1252" s="36"/>
    </row>
    <row r="1253" spans="16:27" x14ac:dyDescent="0.2">
      <c r="P1253" s="36"/>
      <c r="Q1253" s="40"/>
      <c r="R1253" s="40"/>
      <c r="S1253" s="40"/>
      <c r="T1253" s="41"/>
      <c r="U1253" s="41"/>
      <c r="V1253" s="41"/>
      <c r="W1253" s="36"/>
      <c r="X1253" s="36"/>
      <c r="Y1253" s="36"/>
      <c r="Z1253" s="36"/>
      <c r="AA1253" s="36"/>
    </row>
    <row r="1254" spans="16:27" x14ac:dyDescent="0.2">
      <c r="P1254" s="36"/>
      <c r="Q1254" s="40"/>
      <c r="R1254" s="40"/>
      <c r="S1254" s="40"/>
      <c r="T1254" s="41"/>
      <c r="U1254" s="41"/>
      <c r="V1254" s="41"/>
      <c r="W1254" s="36"/>
      <c r="X1254" s="36"/>
      <c r="Y1254" s="36"/>
      <c r="Z1254" s="36"/>
      <c r="AA1254" s="36"/>
    </row>
    <row r="1255" spans="16:27" x14ac:dyDescent="0.2">
      <c r="P1255" s="36"/>
      <c r="Q1255" s="40"/>
      <c r="R1255" s="40"/>
      <c r="S1255" s="40"/>
      <c r="T1255" s="41"/>
      <c r="U1255" s="41"/>
      <c r="V1255" s="41"/>
      <c r="W1255" s="36"/>
      <c r="X1255" s="36"/>
      <c r="Y1255" s="36"/>
      <c r="Z1255" s="36"/>
      <c r="AA1255" s="36"/>
    </row>
    <row r="1256" spans="16:27" x14ac:dyDescent="0.2">
      <c r="P1256" s="36"/>
      <c r="Q1256" s="40"/>
      <c r="R1256" s="40"/>
      <c r="S1256" s="40"/>
      <c r="T1256" s="41"/>
      <c r="U1256" s="41"/>
      <c r="V1256" s="41"/>
      <c r="W1256" s="36"/>
      <c r="X1256" s="36"/>
      <c r="Y1256" s="36"/>
      <c r="Z1256" s="36"/>
      <c r="AA1256" s="36"/>
    </row>
    <row r="1257" spans="16:27" x14ac:dyDescent="0.2">
      <c r="P1257" s="36"/>
      <c r="Q1257" s="40"/>
      <c r="R1257" s="40"/>
      <c r="S1257" s="40"/>
      <c r="T1257" s="41"/>
      <c r="U1257" s="41"/>
      <c r="V1257" s="41"/>
      <c r="W1257" s="36"/>
      <c r="X1257" s="36"/>
      <c r="Y1257" s="36"/>
      <c r="Z1257" s="36"/>
      <c r="AA1257" s="36"/>
    </row>
    <row r="1258" spans="16:27" x14ac:dyDescent="0.2">
      <c r="P1258" s="36"/>
      <c r="Q1258" s="40"/>
      <c r="R1258" s="40"/>
      <c r="S1258" s="40"/>
      <c r="T1258" s="41"/>
      <c r="U1258" s="41"/>
      <c r="V1258" s="41"/>
      <c r="W1258" s="36"/>
      <c r="X1258" s="36"/>
      <c r="Y1258" s="36"/>
      <c r="Z1258" s="36"/>
      <c r="AA1258" s="36"/>
    </row>
    <row r="1259" spans="16:27" x14ac:dyDescent="0.2">
      <c r="P1259" s="36"/>
      <c r="Q1259" s="40"/>
      <c r="R1259" s="40"/>
      <c r="S1259" s="40"/>
      <c r="T1259" s="41"/>
      <c r="U1259" s="41"/>
      <c r="V1259" s="41"/>
      <c r="W1259" s="36"/>
      <c r="X1259" s="36"/>
      <c r="Y1259" s="36"/>
      <c r="Z1259" s="36"/>
      <c r="AA1259" s="36"/>
    </row>
    <row r="1260" spans="16:27" x14ac:dyDescent="0.2">
      <c r="P1260" s="36"/>
      <c r="Q1260" s="40"/>
      <c r="R1260" s="40"/>
      <c r="S1260" s="40"/>
      <c r="T1260" s="41"/>
      <c r="U1260" s="41"/>
      <c r="V1260" s="41"/>
      <c r="W1260" s="36"/>
      <c r="X1260" s="36"/>
      <c r="Y1260" s="36"/>
      <c r="Z1260" s="36"/>
      <c r="AA1260" s="36"/>
    </row>
    <row r="1261" spans="16:27" x14ac:dyDescent="0.2">
      <c r="P1261" s="36"/>
      <c r="Q1261" s="40"/>
      <c r="R1261" s="40"/>
      <c r="S1261" s="40"/>
      <c r="T1261" s="41"/>
      <c r="U1261" s="41"/>
      <c r="V1261" s="41"/>
      <c r="W1261" s="36"/>
      <c r="X1261" s="36"/>
      <c r="Y1261" s="36"/>
      <c r="Z1261" s="36"/>
      <c r="AA1261" s="36"/>
    </row>
    <row r="1262" spans="16:27" x14ac:dyDescent="0.2">
      <c r="P1262" s="36"/>
      <c r="Q1262" s="40"/>
      <c r="R1262" s="40"/>
      <c r="S1262" s="40"/>
      <c r="T1262" s="41"/>
      <c r="U1262" s="41"/>
      <c r="V1262" s="41"/>
      <c r="W1262" s="36"/>
      <c r="X1262" s="36"/>
      <c r="Y1262" s="36"/>
      <c r="Z1262" s="36"/>
      <c r="AA1262" s="36"/>
    </row>
    <row r="1263" spans="16:27" x14ac:dyDescent="0.2">
      <c r="P1263" s="36"/>
      <c r="Q1263" s="40"/>
      <c r="R1263" s="40"/>
      <c r="S1263" s="40"/>
      <c r="T1263" s="41"/>
      <c r="U1263" s="41"/>
      <c r="V1263" s="41"/>
      <c r="W1263" s="36"/>
      <c r="X1263" s="36"/>
      <c r="Y1263" s="36"/>
      <c r="Z1263" s="36"/>
      <c r="AA1263" s="36"/>
    </row>
    <row r="1264" spans="16:27" x14ac:dyDescent="0.2">
      <c r="P1264" s="36"/>
      <c r="Q1264" s="40"/>
      <c r="R1264" s="40"/>
      <c r="S1264" s="40"/>
      <c r="T1264" s="41"/>
      <c r="U1264" s="41"/>
      <c r="V1264" s="41"/>
      <c r="W1264" s="36"/>
      <c r="X1264" s="36"/>
      <c r="Y1264" s="36"/>
      <c r="Z1264" s="36"/>
      <c r="AA1264" s="36"/>
    </row>
    <row r="1265" spans="16:27" x14ac:dyDescent="0.2">
      <c r="P1265" s="36"/>
      <c r="Q1265" s="40"/>
      <c r="R1265" s="40"/>
      <c r="S1265" s="40"/>
      <c r="T1265" s="41"/>
      <c r="U1265" s="41"/>
      <c r="V1265" s="41"/>
      <c r="W1265" s="36"/>
      <c r="X1265" s="36"/>
      <c r="Y1265" s="36"/>
      <c r="Z1265" s="36"/>
      <c r="AA1265" s="36"/>
    </row>
    <row r="1266" spans="16:27" x14ac:dyDescent="0.2">
      <c r="P1266" s="36"/>
      <c r="Q1266" s="40"/>
      <c r="R1266" s="40"/>
      <c r="S1266" s="40"/>
      <c r="T1266" s="41"/>
      <c r="U1266" s="41"/>
      <c r="V1266" s="41"/>
      <c r="W1266" s="36"/>
      <c r="X1266" s="36"/>
      <c r="Y1266" s="36"/>
      <c r="Z1266" s="36"/>
      <c r="AA1266" s="36"/>
    </row>
    <row r="1267" spans="16:27" x14ac:dyDescent="0.2">
      <c r="P1267" s="36"/>
      <c r="Q1267" s="40"/>
      <c r="R1267" s="40"/>
      <c r="S1267" s="40"/>
      <c r="T1267" s="41"/>
      <c r="U1267" s="41"/>
      <c r="V1267" s="41"/>
      <c r="W1267" s="36"/>
      <c r="X1267" s="36"/>
      <c r="Y1267" s="36"/>
      <c r="Z1267" s="36"/>
      <c r="AA1267" s="36"/>
    </row>
    <row r="1268" spans="16:27" x14ac:dyDescent="0.2">
      <c r="P1268" s="36"/>
      <c r="Q1268" s="40"/>
      <c r="R1268" s="40"/>
      <c r="S1268" s="40"/>
      <c r="T1268" s="41"/>
      <c r="U1268" s="41"/>
      <c r="V1268" s="41"/>
      <c r="W1268" s="36"/>
      <c r="X1268" s="36"/>
      <c r="Y1268" s="36"/>
      <c r="Z1268" s="36"/>
      <c r="AA1268" s="36"/>
    </row>
    <row r="1269" spans="16:27" x14ac:dyDescent="0.2">
      <c r="P1269" s="36"/>
      <c r="Q1269" s="40"/>
      <c r="R1269" s="40"/>
      <c r="S1269" s="40"/>
      <c r="T1269" s="41"/>
      <c r="U1269" s="41"/>
      <c r="V1269" s="41"/>
      <c r="W1269" s="36"/>
      <c r="X1269" s="36"/>
      <c r="Y1269" s="36"/>
      <c r="Z1269" s="36"/>
      <c r="AA1269" s="36"/>
    </row>
    <row r="1270" spans="16:27" x14ac:dyDescent="0.2">
      <c r="P1270" s="36"/>
      <c r="Q1270" s="40"/>
      <c r="R1270" s="40"/>
      <c r="S1270" s="40"/>
      <c r="T1270" s="41"/>
      <c r="U1270" s="41"/>
      <c r="V1270" s="41"/>
      <c r="W1270" s="36"/>
      <c r="X1270" s="36"/>
      <c r="Y1270" s="36"/>
      <c r="Z1270" s="36"/>
      <c r="AA1270" s="36"/>
    </row>
    <row r="1271" spans="16:27" x14ac:dyDescent="0.2">
      <c r="P1271" s="36"/>
      <c r="Q1271" s="40"/>
      <c r="R1271" s="40"/>
      <c r="S1271" s="40"/>
      <c r="T1271" s="41"/>
      <c r="U1271" s="41"/>
      <c r="V1271" s="41"/>
      <c r="W1271" s="36"/>
      <c r="X1271" s="36"/>
      <c r="Y1271" s="36"/>
      <c r="Z1271" s="36"/>
      <c r="AA1271" s="36"/>
    </row>
    <row r="1272" spans="16:27" x14ac:dyDescent="0.2">
      <c r="P1272" s="36"/>
      <c r="Q1272" s="40"/>
      <c r="R1272" s="40"/>
      <c r="S1272" s="40"/>
      <c r="T1272" s="41"/>
      <c r="U1272" s="41"/>
      <c r="V1272" s="41"/>
      <c r="W1272" s="36"/>
      <c r="X1272" s="36"/>
      <c r="Y1272" s="36"/>
      <c r="Z1272" s="36"/>
      <c r="AA1272" s="36"/>
    </row>
    <row r="1273" spans="16:27" x14ac:dyDescent="0.2">
      <c r="P1273" s="36"/>
      <c r="Q1273" s="40"/>
      <c r="R1273" s="40"/>
      <c r="S1273" s="40"/>
      <c r="T1273" s="41"/>
      <c r="U1273" s="41"/>
      <c r="V1273" s="41"/>
      <c r="W1273" s="36"/>
      <c r="X1273" s="36"/>
      <c r="Y1273" s="36"/>
      <c r="Z1273" s="36"/>
      <c r="AA1273" s="36"/>
    </row>
    <row r="1274" spans="16:27" x14ac:dyDescent="0.2">
      <c r="P1274" s="36"/>
      <c r="Q1274" s="40"/>
      <c r="R1274" s="40"/>
      <c r="S1274" s="40"/>
      <c r="T1274" s="41"/>
      <c r="U1274" s="41"/>
      <c r="V1274" s="41"/>
      <c r="W1274" s="36"/>
      <c r="X1274" s="36"/>
      <c r="Y1274" s="36"/>
      <c r="Z1274" s="36"/>
      <c r="AA1274" s="36"/>
    </row>
    <row r="1275" spans="16:27" x14ac:dyDescent="0.2">
      <c r="P1275" s="36"/>
      <c r="Q1275" s="40"/>
      <c r="R1275" s="40"/>
      <c r="S1275" s="40"/>
      <c r="T1275" s="41"/>
      <c r="U1275" s="41"/>
      <c r="V1275" s="41"/>
      <c r="W1275" s="36"/>
      <c r="X1275" s="36"/>
      <c r="Y1275" s="36"/>
      <c r="Z1275" s="36"/>
      <c r="AA1275" s="36"/>
    </row>
    <row r="1276" spans="16:27" x14ac:dyDescent="0.2">
      <c r="P1276" s="36"/>
      <c r="Q1276" s="40"/>
      <c r="R1276" s="40"/>
      <c r="S1276" s="40"/>
      <c r="T1276" s="41"/>
      <c r="U1276" s="41"/>
      <c r="V1276" s="41"/>
      <c r="W1276" s="36"/>
      <c r="X1276" s="36"/>
      <c r="Y1276" s="36"/>
      <c r="Z1276" s="36"/>
      <c r="AA1276" s="36"/>
    </row>
    <row r="1277" spans="16:27" x14ac:dyDescent="0.2">
      <c r="P1277" s="36"/>
      <c r="Q1277" s="40"/>
      <c r="R1277" s="40"/>
      <c r="S1277" s="40"/>
      <c r="T1277" s="41"/>
      <c r="U1277" s="41"/>
      <c r="V1277" s="41"/>
      <c r="W1277" s="36"/>
      <c r="X1277" s="36"/>
      <c r="Y1277" s="36"/>
      <c r="Z1277" s="36"/>
      <c r="AA1277" s="36"/>
    </row>
    <row r="1278" spans="16:27" x14ac:dyDescent="0.2">
      <c r="P1278" s="36"/>
      <c r="Q1278" s="40"/>
      <c r="R1278" s="40"/>
      <c r="S1278" s="40"/>
      <c r="T1278" s="41"/>
      <c r="U1278" s="41"/>
      <c r="V1278" s="41"/>
      <c r="W1278" s="36"/>
      <c r="X1278" s="36"/>
      <c r="Y1278" s="36"/>
      <c r="Z1278" s="36"/>
      <c r="AA1278" s="36"/>
    </row>
    <row r="1279" spans="16:27" x14ac:dyDescent="0.2">
      <c r="P1279" s="36"/>
      <c r="Q1279" s="40"/>
      <c r="R1279" s="40"/>
      <c r="S1279" s="40"/>
      <c r="T1279" s="41"/>
      <c r="U1279" s="41"/>
      <c r="V1279" s="41"/>
      <c r="W1279" s="36"/>
      <c r="X1279" s="36"/>
      <c r="Y1279" s="36"/>
      <c r="Z1279" s="36"/>
      <c r="AA1279" s="36"/>
    </row>
    <row r="1280" spans="16:27" x14ac:dyDescent="0.2">
      <c r="P1280" s="36"/>
      <c r="Q1280" s="40"/>
      <c r="R1280" s="40"/>
      <c r="S1280" s="40"/>
      <c r="T1280" s="41"/>
      <c r="U1280" s="41"/>
      <c r="V1280" s="41"/>
      <c r="W1280" s="36"/>
      <c r="X1280" s="36"/>
      <c r="Y1280" s="36"/>
      <c r="Z1280" s="36"/>
      <c r="AA1280" s="36"/>
    </row>
    <row r="1281" spans="16:27" x14ac:dyDescent="0.2">
      <c r="P1281" s="36"/>
      <c r="Q1281" s="40"/>
      <c r="R1281" s="40"/>
      <c r="S1281" s="40"/>
      <c r="T1281" s="41"/>
      <c r="U1281" s="41"/>
      <c r="V1281" s="41"/>
      <c r="W1281" s="36"/>
      <c r="X1281" s="36"/>
      <c r="Y1281" s="36"/>
      <c r="Z1281" s="36"/>
      <c r="AA1281" s="36"/>
    </row>
    <row r="1282" spans="16:27" x14ac:dyDescent="0.2">
      <c r="P1282" s="36"/>
      <c r="Q1282" s="40"/>
      <c r="R1282" s="40"/>
      <c r="S1282" s="40"/>
      <c r="T1282" s="41"/>
      <c r="U1282" s="41"/>
      <c r="V1282" s="41"/>
      <c r="W1282" s="36"/>
      <c r="X1282" s="36"/>
      <c r="Y1282" s="36"/>
      <c r="Z1282" s="36"/>
      <c r="AA1282" s="36"/>
    </row>
    <row r="1283" spans="16:27" x14ac:dyDescent="0.2">
      <c r="P1283" s="36"/>
      <c r="Q1283" s="40"/>
      <c r="R1283" s="40"/>
      <c r="S1283" s="40"/>
      <c r="T1283" s="41"/>
      <c r="U1283" s="41"/>
      <c r="V1283" s="41"/>
      <c r="W1283" s="36"/>
      <c r="X1283" s="36"/>
      <c r="Y1283" s="36"/>
      <c r="Z1283" s="36"/>
      <c r="AA1283" s="36"/>
    </row>
    <row r="1284" spans="16:27" x14ac:dyDescent="0.2">
      <c r="P1284" s="36"/>
      <c r="Q1284" s="40"/>
      <c r="R1284" s="40"/>
      <c r="S1284" s="40"/>
      <c r="T1284" s="41"/>
      <c r="U1284" s="41"/>
      <c r="V1284" s="41"/>
      <c r="W1284" s="36"/>
      <c r="X1284" s="36"/>
      <c r="Y1284" s="36"/>
      <c r="Z1284" s="36"/>
      <c r="AA1284" s="36"/>
    </row>
    <row r="1285" spans="16:27" x14ac:dyDescent="0.2">
      <c r="P1285" s="36"/>
      <c r="Q1285" s="40"/>
      <c r="R1285" s="40"/>
      <c r="S1285" s="40"/>
      <c r="T1285" s="41"/>
      <c r="U1285" s="41"/>
      <c r="V1285" s="41"/>
      <c r="W1285" s="36"/>
      <c r="X1285" s="36"/>
      <c r="Y1285" s="36"/>
      <c r="Z1285" s="36"/>
      <c r="AA1285" s="36"/>
    </row>
    <row r="1286" spans="16:27" x14ac:dyDescent="0.2">
      <c r="P1286" s="36"/>
      <c r="Q1286" s="40"/>
      <c r="R1286" s="40"/>
      <c r="S1286" s="40"/>
      <c r="T1286" s="41"/>
      <c r="U1286" s="41"/>
      <c r="V1286" s="41"/>
      <c r="W1286" s="36"/>
      <c r="X1286" s="36"/>
      <c r="Y1286" s="36"/>
      <c r="Z1286" s="36"/>
      <c r="AA1286" s="36"/>
    </row>
    <row r="1287" spans="16:27" x14ac:dyDescent="0.2">
      <c r="P1287" s="36"/>
      <c r="Q1287" s="40"/>
      <c r="R1287" s="40"/>
      <c r="S1287" s="40"/>
      <c r="T1287" s="41"/>
      <c r="U1287" s="41"/>
      <c r="V1287" s="41"/>
      <c r="W1287" s="36"/>
      <c r="X1287" s="36"/>
      <c r="Y1287" s="36"/>
      <c r="Z1287" s="36"/>
      <c r="AA1287" s="36"/>
    </row>
    <row r="1288" spans="16:27" x14ac:dyDescent="0.2">
      <c r="P1288" s="36"/>
      <c r="Q1288" s="40"/>
      <c r="R1288" s="40"/>
      <c r="S1288" s="40"/>
      <c r="T1288" s="41"/>
      <c r="U1288" s="41"/>
      <c r="V1288" s="41"/>
      <c r="W1288" s="36"/>
      <c r="X1288" s="36"/>
      <c r="Y1288" s="36"/>
      <c r="Z1288" s="36"/>
      <c r="AA1288" s="36"/>
    </row>
    <row r="1289" spans="16:27" x14ac:dyDescent="0.2">
      <c r="P1289" s="36"/>
      <c r="Q1289" s="40"/>
      <c r="R1289" s="40"/>
      <c r="S1289" s="40"/>
      <c r="T1289" s="41"/>
      <c r="U1289" s="41"/>
      <c r="V1289" s="41"/>
      <c r="W1289" s="36"/>
      <c r="X1289" s="36"/>
      <c r="Y1289" s="36"/>
      <c r="Z1289" s="36"/>
      <c r="AA1289" s="36"/>
    </row>
    <row r="1290" spans="16:27" x14ac:dyDescent="0.2">
      <c r="P1290" s="36"/>
      <c r="Q1290" s="40"/>
      <c r="R1290" s="40"/>
      <c r="S1290" s="40"/>
      <c r="T1290" s="41"/>
      <c r="U1290" s="41"/>
      <c r="V1290" s="41"/>
      <c r="W1290" s="36"/>
      <c r="X1290" s="36"/>
      <c r="Y1290" s="36"/>
      <c r="Z1290" s="36"/>
      <c r="AA1290" s="36"/>
    </row>
    <row r="1291" spans="16:27" x14ac:dyDescent="0.2">
      <c r="P1291" s="36"/>
      <c r="Q1291" s="40"/>
      <c r="R1291" s="40"/>
      <c r="S1291" s="40"/>
      <c r="T1291" s="41"/>
      <c r="U1291" s="41"/>
      <c r="V1291" s="41"/>
      <c r="W1291" s="36"/>
      <c r="X1291" s="36"/>
      <c r="Y1291" s="36"/>
      <c r="Z1291" s="36"/>
      <c r="AA1291" s="36"/>
    </row>
    <row r="1292" spans="16:27" x14ac:dyDescent="0.2">
      <c r="P1292" s="36"/>
      <c r="Q1292" s="40"/>
      <c r="R1292" s="40"/>
      <c r="S1292" s="40"/>
      <c r="T1292" s="41"/>
      <c r="U1292" s="41"/>
      <c r="V1292" s="41"/>
      <c r="W1292" s="36"/>
      <c r="X1292" s="36"/>
      <c r="Y1292" s="36"/>
      <c r="Z1292" s="36"/>
      <c r="AA1292" s="36"/>
    </row>
    <row r="1293" spans="16:27" x14ac:dyDescent="0.2">
      <c r="P1293" s="36"/>
      <c r="Q1293" s="40"/>
      <c r="R1293" s="40"/>
      <c r="S1293" s="40"/>
      <c r="T1293" s="41"/>
      <c r="U1293" s="41"/>
      <c r="V1293" s="41"/>
      <c r="W1293" s="36"/>
      <c r="X1293" s="36"/>
      <c r="Y1293" s="36"/>
      <c r="Z1293" s="36"/>
      <c r="AA1293" s="36"/>
    </row>
    <row r="1294" spans="16:27" x14ac:dyDescent="0.2">
      <c r="P1294" s="36"/>
      <c r="Q1294" s="40"/>
      <c r="R1294" s="40"/>
      <c r="S1294" s="40"/>
      <c r="T1294" s="41"/>
      <c r="U1294" s="41"/>
      <c r="V1294" s="41"/>
      <c r="W1294" s="36"/>
      <c r="X1294" s="36"/>
      <c r="Y1294" s="36"/>
      <c r="Z1294" s="36"/>
      <c r="AA1294" s="36"/>
    </row>
    <row r="1295" spans="16:27" x14ac:dyDescent="0.2">
      <c r="P1295" s="36"/>
      <c r="Q1295" s="40"/>
      <c r="R1295" s="40"/>
      <c r="S1295" s="40"/>
      <c r="T1295" s="41"/>
      <c r="U1295" s="41"/>
      <c r="V1295" s="41"/>
      <c r="W1295" s="36"/>
      <c r="X1295" s="36"/>
      <c r="Y1295" s="36"/>
      <c r="Z1295" s="36"/>
      <c r="AA1295" s="36"/>
    </row>
    <row r="1296" spans="16:27" x14ac:dyDescent="0.2">
      <c r="P1296" s="36"/>
      <c r="Q1296" s="40"/>
      <c r="R1296" s="40"/>
      <c r="S1296" s="40"/>
      <c r="T1296" s="41"/>
      <c r="U1296" s="41"/>
      <c r="V1296" s="41"/>
      <c r="W1296" s="36"/>
      <c r="X1296" s="36"/>
      <c r="Y1296" s="36"/>
      <c r="Z1296" s="36"/>
      <c r="AA1296" s="36"/>
    </row>
    <row r="1297" spans="16:27" x14ac:dyDescent="0.2">
      <c r="P1297" s="36"/>
      <c r="Q1297" s="40"/>
      <c r="R1297" s="40"/>
      <c r="S1297" s="40"/>
      <c r="T1297" s="41"/>
      <c r="U1297" s="41"/>
      <c r="V1297" s="41"/>
      <c r="W1297" s="36"/>
      <c r="X1297" s="36"/>
      <c r="Y1297" s="36"/>
      <c r="Z1297" s="36"/>
      <c r="AA1297" s="36"/>
    </row>
    <row r="1298" spans="16:27" x14ac:dyDescent="0.2">
      <c r="P1298" s="36"/>
      <c r="Q1298" s="40"/>
      <c r="R1298" s="40"/>
      <c r="S1298" s="40"/>
      <c r="T1298" s="41"/>
      <c r="U1298" s="41"/>
      <c r="V1298" s="41"/>
      <c r="W1298" s="36"/>
      <c r="X1298" s="36"/>
      <c r="Y1298" s="36"/>
      <c r="Z1298" s="36"/>
      <c r="AA1298" s="36"/>
    </row>
    <row r="1299" spans="16:27" x14ac:dyDescent="0.2">
      <c r="P1299" s="36"/>
      <c r="Q1299" s="40"/>
      <c r="R1299" s="40"/>
      <c r="S1299" s="40"/>
      <c r="T1299" s="41"/>
      <c r="U1299" s="41"/>
      <c r="V1299" s="41"/>
      <c r="W1299" s="36"/>
      <c r="X1299" s="36"/>
      <c r="Y1299" s="36"/>
      <c r="Z1299" s="36"/>
      <c r="AA1299" s="36"/>
    </row>
    <row r="1300" spans="16:27" x14ac:dyDescent="0.2">
      <c r="P1300" s="36"/>
      <c r="Q1300" s="40"/>
      <c r="R1300" s="40"/>
      <c r="S1300" s="40"/>
      <c r="T1300" s="41"/>
      <c r="U1300" s="41"/>
      <c r="V1300" s="41"/>
      <c r="W1300" s="36"/>
      <c r="X1300" s="36"/>
      <c r="Y1300" s="36"/>
      <c r="Z1300" s="36"/>
      <c r="AA1300" s="36"/>
    </row>
    <row r="1301" spans="16:27" x14ac:dyDescent="0.2">
      <c r="P1301" s="36"/>
      <c r="Q1301" s="40"/>
      <c r="R1301" s="40"/>
      <c r="S1301" s="40"/>
      <c r="T1301" s="41"/>
      <c r="U1301" s="41"/>
      <c r="V1301" s="41"/>
      <c r="W1301" s="36"/>
      <c r="X1301" s="36"/>
      <c r="Y1301" s="36"/>
      <c r="Z1301" s="36"/>
      <c r="AA1301" s="36"/>
    </row>
    <row r="1302" spans="16:27" x14ac:dyDescent="0.2">
      <c r="P1302" s="36"/>
      <c r="Q1302" s="40"/>
      <c r="R1302" s="40"/>
      <c r="S1302" s="40"/>
      <c r="T1302" s="41"/>
      <c r="U1302" s="41"/>
      <c r="V1302" s="41"/>
      <c r="W1302" s="36"/>
      <c r="X1302" s="36"/>
      <c r="Y1302" s="36"/>
      <c r="Z1302" s="36"/>
      <c r="AA1302" s="36"/>
    </row>
    <row r="1303" spans="16:27" x14ac:dyDescent="0.2">
      <c r="P1303" s="36"/>
      <c r="Q1303" s="40"/>
      <c r="R1303" s="40"/>
      <c r="S1303" s="40"/>
      <c r="T1303" s="41"/>
      <c r="U1303" s="41"/>
      <c r="V1303" s="41"/>
      <c r="W1303" s="36"/>
      <c r="X1303" s="36"/>
      <c r="Y1303" s="36"/>
      <c r="Z1303" s="36"/>
      <c r="AA1303" s="36"/>
    </row>
    <row r="1304" spans="16:27" x14ac:dyDescent="0.2">
      <c r="P1304" s="36"/>
      <c r="Q1304" s="40"/>
      <c r="R1304" s="40"/>
      <c r="S1304" s="40"/>
      <c r="T1304" s="41"/>
      <c r="U1304" s="41"/>
      <c r="V1304" s="41"/>
      <c r="W1304" s="36"/>
      <c r="X1304" s="36"/>
      <c r="Y1304" s="36"/>
      <c r="Z1304" s="36"/>
      <c r="AA1304" s="36"/>
    </row>
    <row r="1305" spans="16:27" x14ac:dyDescent="0.2">
      <c r="P1305" s="36"/>
      <c r="Q1305" s="40"/>
      <c r="R1305" s="40"/>
      <c r="S1305" s="40"/>
      <c r="T1305" s="41"/>
      <c r="U1305" s="41"/>
      <c r="V1305" s="41"/>
      <c r="W1305" s="36"/>
      <c r="X1305" s="36"/>
      <c r="Y1305" s="36"/>
      <c r="Z1305" s="36"/>
      <c r="AA1305" s="36"/>
    </row>
    <row r="1306" spans="16:27" x14ac:dyDescent="0.2">
      <c r="P1306" s="36"/>
      <c r="Q1306" s="40"/>
      <c r="R1306" s="40"/>
      <c r="S1306" s="40"/>
      <c r="T1306" s="41"/>
      <c r="U1306" s="41"/>
      <c r="V1306" s="41"/>
      <c r="W1306" s="36"/>
      <c r="X1306" s="36"/>
      <c r="Y1306" s="36"/>
      <c r="Z1306" s="36"/>
      <c r="AA1306" s="36"/>
    </row>
    <row r="1307" spans="16:27" x14ac:dyDescent="0.2">
      <c r="P1307" s="36"/>
      <c r="Q1307" s="40"/>
      <c r="R1307" s="40"/>
      <c r="S1307" s="40"/>
      <c r="T1307" s="41"/>
      <c r="U1307" s="41"/>
      <c r="V1307" s="41"/>
      <c r="W1307" s="36"/>
      <c r="X1307" s="36"/>
      <c r="Y1307" s="36"/>
      <c r="Z1307" s="36"/>
      <c r="AA1307" s="36"/>
    </row>
    <row r="1308" spans="16:27" x14ac:dyDescent="0.2">
      <c r="P1308" s="36"/>
      <c r="Q1308" s="40"/>
      <c r="R1308" s="40"/>
      <c r="S1308" s="40"/>
      <c r="T1308" s="41"/>
      <c r="U1308" s="41"/>
      <c r="V1308" s="41"/>
      <c r="W1308" s="36"/>
      <c r="X1308" s="36"/>
      <c r="Y1308" s="36"/>
      <c r="Z1308" s="36"/>
      <c r="AA1308" s="36"/>
    </row>
    <row r="1309" spans="16:27" x14ac:dyDescent="0.2">
      <c r="P1309" s="36"/>
      <c r="Q1309" s="40"/>
      <c r="R1309" s="40"/>
      <c r="S1309" s="40"/>
      <c r="T1309" s="41"/>
      <c r="U1309" s="41"/>
      <c r="V1309" s="41"/>
      <c r="W1309" s="36"/>
      <c r="X1309" s="36"/>
      <c r="Y1309" s="36"/>
      <c r="Z1309" s="36"/>
      <c r="AA1309" s="36"/>
    </row>
    <row r="1310" spans="16:27" x14ac:dyDescent="0.2">
      <c r="P1310" s="36"/>
      <c r="Q1310" s="40"/>
      <c r="R1310" s="40"/>
      <c r="S1310" s="40"/>
      <c r="T1310" s="41"/>
      <c r="U1310" s="41"/>
      <c r="V1310" s="41"/>
      <c r="W1310" s="36"/>
      <c r="X1310" s="36"/>
      <c r="Y1310" s="36"/>
      <c r="Z1310" s="36"/>
      <c r="AA1310" s="36"/>
    </row>
    <row r="1311" spans="16:27" x14ac:dyDescent="0.2">
      <c r="P1311" s="36"/>
      <c r="Q1311" s="40"/>
      <c r="R1311" s="40"/>
      <c r="S1311" s="40"/>
      <c r="T1311" s="41"/>
      <c r="U1311" s="41"/>
      <c r="V1311" s="36"/>
      <c r="W1311" s="36"/>
      <c r="X1311" s="36"/>
      <c r="Y1311" s="36"/>
      <c r="Z1311" s="36"/>
      <c r="AA1311" s="36"/>
    </row>
    <row r="1312" spans="16:27" x14ac:dyDescent="0.2">
      <c r="P1312" s="36"/>
      <c r="Q1312" s="40"/>
      <c r="R1312" s="40"/>
      <c r="S1312" s="40"/>
      <c r="T1312" s="41"/>
      <c r="U1312" s="41"/>
      <c r="V1312" s="36"/>
      <c r="W1312" s="36"/>
      <c r="X1312" s="36"/>
      <c r="Y1312" s="36"/>
      <c r="Z1312" s="36"/>
      <c r="AA1312" s="36"/>
    </row>
    <row r="1313" spans="16:27" x14ac:dyDescent="0.2">
      <c r="P1313" s="36"/>
      <c r="Q1313" s="40"/>
      <c r="R1313" s="40"/>
      <c r="S1313" s="40"/>
      <c r="T1313" s="41"/>
      <c r="U1313" s="41"/>
      <c r="V1313" s="36"/>
      <c r="W1313" s="36"/>
      <c r="X1313" s="36"/>
      <c r="Y1313" s="36"/>
      <c r="Z1313" s="36"/>
      <c r="AA1313" s="36"/>
    </row>
    <row r="1314" spans="16:27" x14ac:dyDescent="0.2">
      <c r="P1314" s="36"/>
      <c r="Q1314" s="40"/>
      <c r="R1314" s="40"/>
      <c r="S1314" s="40"/>
      <c r="T1314" s="41"/>
      <c r="U1314" s="41"/>
      <c r="V1314" s="36"/>
      <c r="W1314" s="36"/>
      <c r="X1314" s="36"/>
      <c r="Y1314" s="36"/>
      <c r="Z1314" s="36"/>
      <c r="AA1314" s="36"/>
    </row>
    <row r="1315" spans="16:27" x14ac:dyDescent="0.2">
      <c r="P1315" s="36"/>
      <c r="Q1315" s="40"/>
      <c r="R1315" s="40"/>
      <c r="S1315" s="40"/>
      <c r="T1315" s="41"/>
      <c r="U1315" s="41"/>
      <c r="V1315" s="36"/>
      <c r="W1315" s="36"/>
      <c r="X1315" s="36"/>
      <c r="Y1315" s="36"/>
      <c r="Z1315" s="36"/>
      <c r="AA1315" s="36"/>
    </row>
    <row r="1316" spans="16:27" x14ac:dyDescent="0.2">
      <c r="P1316" s="36"/>
      <c r="Q1316" s="40"/>
      <c r="R1316" s="40"/>
      <c r="S1316" s="40"/>
      <c r="T1316" s="41"/>
      <c r="U1316" s="41"/>
      <c r="V1316" s="36"/>
      <c r="W1316" s="36"/>
      <c r="X1316" s="36"/>
      <c r="Y1316" s="36"/>
      <c r="Z1316" s="36"/>
      <c r="AA1316" s="36"/>
    </row>
    <row r="1317" spans="16:27" x14ac:dyDescent="0.2">
      <c r="P1317" s="36"/>
      <c r="Q1317" s="40"/>
      <c r="R1317" s="40"/>
      <c r="S1317" s="40"/>
      <c r="T1317" s="41"/>
      <c r="U1317" s="41"/>
      <c r="V1317" s="36"/>
      <c r="W1317" s="36"/>
      <c r="X1317" s="36"/>
      <c r="Y1317" s="36"/>
      <c r="Z1317" s="36"/>
      <c r="AA1317" s="36"/>
    </row>
    <row r="1318" spans="16:27" x14ac:dyDescent="0.2">
      <c r="P1318" s="36"/>
      <c r="Q1318" s="40"/>
      <c r="R1318" s="40"/>
      <c r="S1318" s="40"/>
      <c r="T1318" s="41"/>
      <c r="U1318" s="41"/>
      <c r="V1318" s="36"/>
      <c r="W1318" s="36"/>
      <c r="X1318" s="36"/>
      <c r="Y1318" s="36"/>
      <c r="Z1318" s="36"/>
      <c r="AA1318" s="36"/>
    </row>
    <row r="1319" spans="16:27" x14ac:dyDescent="0.2">
      <c r="P1319" s="36"/>
      <c r="Q1319" s="40"/>
      <c r="R1319" s="40"/>
      <c r="S1319" s="40"/>
      <c r="T1319" s="41"/>
      <c r="U1319" s="41"/>
      <c r="V1319" s="36"/>
      <c r="W1319" s="36"/>
      <c r="X1319" s="36"/>
      <c r="Y1319" s="36"/>
      <c r="Z1319" s="36"/>
      <c r="AA1319" s="36"/>
    </row>
    <row r="1320" spans="16:27" x14ac:dyDescent="0.2">
      <c r="P1320" s="36"/>
      <c r="Q1320" s="40"/>
      <c r="R1320" s="40"/>
      <c r="S1320" s="40"/>
      <c r="T1320" s="41"/>
      <c r="U1320" s="41"/>
      <c r="V1320" s="36"/>
      <c r="W1320" s="36"/>
      <c r="X1320" s="36"/>
      <c r="Y1320" s="36"/>
      <c r="Z1320" s="36"/>
      <c r="AA1320" s="36"/>
    </row>
    <row r="1321" spans="16:27" x14ac:dyDescent="0.2">
      <c r="P1321" s="36"/>
      <c r="Q1321" s="40"/>
      <c r="R1321" s="40"/>
      <c r="S1321" s="40"/>
      <c r="T1321" s="41"/>
      <c r="U1321" s="41"/>
      <c r="V1321" s="36"/>
      <c r="W1321" s="36"/>
      <c r="X1321" s="36"/>
      <c r="Y1321" s="36"/>
      <c r="Z1321" s="36"/>
      <c r="AA1321" s="36"/>
    </row>
    <row r="1322" spans="16:27" x14ac:dyDescent="0.2">
      <c r="P1322" s="36"/>
      <c r="Q1322" s="40"/>
      <c r="R1322" s="40"/>
      <c r="S1322" s="40"/>
      <c r="T1322" s="41"/>
      <c r="U1322" s="41"/>
      <c r="V1322" s="36"/>
      <c r="W1322" s="36"/>
      <c r="X1322" s="36"/>
      <c r="Y1322" s="36"/>
      <c r="Z1322" s="36"/>
      <c r="AA1322" s="36"/>
    </row>
    <row r="1323" spans="16:27" x14ac:dyDescent="0.2">
      <c r="P1323" s="36"/>
      <c r="Q1323" s="40"/>
      <c r="R1323" s="40"/>
      <c r="S1323" s="40"/>
      <c r="T1323" s="41"/>
      <c r="U1323" s="41"/>
      <c r="V1323" s="36"/>
      <c r="W1323" s="36"/>
      <c r="X1323" s="36"/>
      <c r="Y1323" s="36"/>
      <c r="Z1323" s="36"/>
      <c r="AA1323" s="36"/>
    </row>
    <row r="1324" spans="16:27" x14ac:dyDescent="0.2">
      <c r="P1324" s="36"/>
      <c r="Q1324" s="40"/>
      <c r="R1324" s="40"/>
      <c r="S1324" s="40"/>
      <c r="T1324" s="41"/>
      <c r="U1324" s="41"/>
      <c r="V1324" s="36"/>
      <c r="W1324" s="36"/>
      <c r="X1324" s="36"/>
      <c r="Y1324" s="36"/>
      <c r="Z1324" s="36"/>
      <c r="AA1324" s="36"/>
    </row>
    <row r="1325" spans="16:27" x14ac:dyDescent="0.2">
      <c r="P1325" s="36"/>
      <c r="Q1325" s="40"/>
      <c r="R1325" s="40"/>
      <c r="S1325" s="40"/>
      <c r="T1325" s="41"/>
      <c r="U1325" s="41"/>
      <c r="V1325" s="36"/>
      <c r="W1325" s="36"/>
      <c r="X1325" s="36"/>
      <c r="Y1325" s="36"/>
      <c r="Z1325" s="36"/>
      <c r="AA1325" s="36"/>
    </row>
    <row r="1326" spans="16:27" x14ac:dyDescent="0.2">
      <c r="P1326" s="36"/>
      <c r="Q1326" s="40"/>
      <c r="R1326" s="40"/>
      <c r="S1326" s="40"/>
      <c r="T1326" s="41"/>
      <c r="U1326" s="41"/>
      <c r="V1326" s="36"/>
      <c r="W1326" s="36"/>
      <c r="X1326" s="36"/>
      <c r="Y1326" s="36"/>
      <c r="Z1326" s="36"/>
      <c r="AA1326" s="36"/>
    </row>
    <row r="1327" spans="16:27" x14ac:dyDescent="0.2">
      <c r="P1327" s="36"/>
      <c r="Q1327" s="40"/>
      <c r="R1327" s="40"/>
      <c r="S1327" s="40"/>
      <c r="T1327" s="41"/>
      <c r="U1327" s="41"/>
      <c r="V1327" s="36"/>
      <c r="W1327" s="36"/>
      <c r="X1327" s="36"/>
      <c r="Y1327" s="36"/>
      <c r="Z1327" s="36"/>
      <c r="AA1327" s="36"/>
    </row>
    <row r="1328" spans="16:27" x14ac:dyDescent="0.2">
      <c r="P1328" s="36"/>
      <c r="Q1328" s="40"/>
      <c r="R1328" s="40"/>
      <c r="S1328" s="40"/>
      <c r="T1328" s="41"/>
      <c r="U1328" s="41"/>
      <c r="V1328" s="36"/>
      <c r="W1328" s="36"/>
      <c r="X1328" s="36"/>
      <c r="Y1328" s="36"/>
      <c r="Z1328" s="36"/>
      <c r="AA1328" s="36"/>
    </row>
    <row r="1329" spans="16:27" x14ac:dyDescent="0.2">
      <c r="P1329" s="36"/>
      <c r="Q1329" s="40"/>
      <c r="R1329" s="40"/>
      <c r="S1329" s="40"/>
      <c r="T1329" s="41"/>
      <c r="U1329" s="41"/>
      <c r="V1329" s="36"/>
      <c r="W1329" s="36"/>
      <c r="X1329" s="36"/>
      <c r="Y1329" s="36"/>
      <c r="Z1329" s="36"/>
      <c r="AA1329" s="36"/>
    </row>
    <row r="1330" spans="16:27" x14ac:dyDescent="0.2">
      <c r="P1330" s="36"/>
      <c r="Q1330" s="40"/>
      <c r="R1330" s="40"/>
      <c r="S1330" s="40"/>
      <c r="T1330" s="41"/>
      <c r="U1330" s="41"/>
      <c r="V1330" s="36"/>
      <c r="W1330" s="36"/>
      <c r="X1330" s="36"/>
      <c r="Y1330" s="36"/>
      <c r="Z1330" s="36"/>
      <c r="AA1330" s="36"/>
    </row>
    <row r="1331" spans="16:27" x14ac:dyDescent="0.2">
      <c r="P1331" s="36"/>
      <c r="Q1331" s="40"/>
      <c r="R1331" s="40"/>
      <c r="S1331" s="40"/>
      <c r="T1331" s="41"/>
      <c r="U1331" s="41"/>
      <c r="V1331" s="36"/>
      <c r="W1331" s="36"/>
      <c r="X1331" s="36"/>
      <c r="Y1331" s="36"/>
      <c r="Z1331" s="36"/>
      <c r="AA1331" s="36"/>
    </row>
    <row r="1332" spans="16:27" x14ac:dyDescent="0.2">
      <c r="P1332" s="36"/>
      <c r="Q1332" s="40"/>
      <c r="R1332" s="40"/>
      <c r="S1332" s="40"/>
      <c r="T1332" s="41"/>
      <c r="U1332" s="41"/>
      <c r="V1332" s="36"/>
      <c r="W1332" s="36"/>
      <c r="X1332" s="36"/>
      <c r="Y1332" s="36"/>
      <c r="Z1332" s="36"/>
      <c r="AA1332" s="36"/>
    </row>
    <row r="1333" spans="16:27" x14ac:dyDescent="0.2">
      <c r="P1333" s="36"/>
      <c r="Q1333" s="40"/>
      <c r="R1333" s="40"/>
      <c r="S1333" s="40"/>
      <c r="T1333" s="41"/>
      <c r="U1333" s="41"/>
      <c r="V1333" s="36"/>
      <c r="W1333" s="36"/>
      <c r="X1333" s="36"/>
      <c r="Y1333" s="36"/>
      <c r="Z1333" s="36"/>
      <c r="AA1333" s="36"/>
    </row>
    <row r="1334" spans="16:27" x14ac:dyDescent="0.2">
      <c r="P1334" s="36"/>
      <c r="Q1334" s="40"/>
      <c r="R1334" s="40"/>
      <c r="S1334" s="40"/>
      <c r="T1334" s="41"/>
      <c r="U1334" s="41"/>
      <c r="V1334" s="36"/>
      <c r="W1334" s="36"/>
      <c r="X1334" s="36"/>
      <c r="Y1334" s="36"/>
      <c r="Z1334" s="36"/>
      <c r="AA1334" s="36"/>
    </row>
    <row r="1335" spans="16:27" x14ac:dyDescent="0.2">
      <c r="P1335" s="36"/>
      <c r="Q1335" s="40"/>
      <c r="R1335" s="40"/>
      <c r="S1335" s="40"/>
      <c r="T1335" s="41"/>
      <c r="U1335" s="41"/>
      <c r="V1335" s="36"/>
      <c r="W1335" s="36"/>
      <c r="X1335" s="36"/>
      <c r="Y1335" s="36"/>
      <c r="Z1335" s="36"/>
      <c r="AA1335" s="36"/>
    </row>
    <row r="1336" spans="16:27" x14ac:dyDescent="0.2">
      <c r="P1336" s="36"/>
      <c r="Q1336" s="40"/>
      <c r="R1336" s="40"/>
      <c r="S1336" s="40"/>
      <c r="T1336" s="41"/>
      <c r="U1336" s="41"/>
      <c r="V1336" s="36"/>
      <c r="W1336" s="36"/>
      <c r="X1336" s="36"/>
      <c r="Y1336" s="36"/>
      <c r="Z1336" s="36"/>
      <c r="AA1336" s="36"/>
    </row>
    <row r="1337" spans="16:27" x14ac:dyDescent="0.2">
      <c r="P1337" s="36"/>
      <c r="Q1337" s="40"/>
      <c r="R1337" s="40"/>
      <c r="S1337" s="40"/>
      <c r="T1337" s="41"/>
      <c r="U1337" s="41"/>
      <c r="V1337" s="36"/>
      <c r="W1337" s="36"/>
      <c r="X1337" s="36"/>
      <c r="Y1337" s="36"/>
      <c r="Z1337" s="36"/>
      <c r="AA1337" s="36"/>
    </row>
    <row r="1338" spans="16:27" x14ac:dyDescent="0.2">
      <c r="P1338" s="36"/>
      <c r="Q1338" s="40"/>
      <c r="R1338" s="40"/>
      <c r="S1338" s="40"/>
      <c r="T1338" s="41"/>
      <c r="U1338" s="41"/>
      <c r="V1338" s="36"/>
      <c r="W1338" s="36"/>
      <c r="X1338" s="36"/>
      <c r="Y1338" s="36"/>
      <c r="Z1338" s="36"/>
      <c r="AA1338" s="36"/>
    </row>
    <row r="1339" spans="16:27" x14ac:dyDescent="0.2">
      <c r="P1339" s="36"/>
      <c r="Q1339" s="40"/>
      <c r="R1339" s="40"/>
      <c r="S1339" s="40"/>
      <c r="T1339" s="41"/>
      <c r="U1339" s="41"/>
      <c r="V1339" s="36"/>
      <c r="W1339" s="36"/>
      <c r="X1339" s="36"/>
      <c r="Y1339" s="36"/>
      <c r="Z1339" s="36"/>
      <c r="AA1339" s="36"/>
    </row>
    <row r="1340" spans="16:27" x14ac:dyDescent="0.2">
      <c r="P1340" s="36"/>
      <c r="Q1340" s="40"/>
      <c r="R1340" s="40"/>
      <c r="S1340" s="40"/>
      <c r="T1340" s="41"/>
      <c r="U1340" s="41"/>
      <c r="V1340" s="36"/>
      <c r="W1340" s="36"/>
      <c r="X1340" s="36"/>
      <c r="Y1340" s="36"/>
      <c r="Z1340" s="36"/>
      <c r="AA1340" s="36"/>
    </row>
    <row r="1341" spans="16:27" x14ac:dyDescent="0.2">
      <c r="P1341" s="36"/>
      <c r="Q1341" s="40"/>
      <c r="R1341" s="40"/>
      <c r="S1341" s="40"/>
      <c r="T1341" s="41"/>
      <c r="U1341" s="41"/>
      <c r="V1341" s="36"/>
      <c r="W1341" s="36"/>
      <c r="X1341" s="36"/>
      <c r="Y1341" s="36"/>
      <c r="Z1341" s="36"/>
      <c r="AA1341" s="36"/>
    </row>
    <row r="1342" spans="16:27" x14ac:dyDescent="0.2">
      <c r="P1342" s="36"/>
      <c r="Q1342" s="40"/>
      <c r="R1342" s="40"/>
      <c r="S1342" s="40"/>
      <c r="T1342" s="41"/>
      <c r="U1342" s="41"/>
      <c r="V1342" s="36"/>
      <c r="W1342" s="36"/>
      <c r="X1342" s="36"/>
      <c r="Y1342" s="36"/>
      <c r="Z1342" s="36"/>
      <c r="AA1342" s="36"/>
    </row>
    <row r="1343" spans="16:27" x14ac:dyDescent="0.2">
      <c r="P1343" s="36"/>
      <c r="Q1343" s="40"/>
      <c r="R1343" s="40"/>
      <c r="S1343" s="40"/>
      <c r="T1343" s="41"/>
      <c r="U1343" s="41"/>
      <c r="V1343" s="36"/>
      <c r="W1343" s="36"/>
      <c r="X1343" s="36"/>
      <c r="Y1343" s="36"/>
      <c r="Z1343" s="36"/>
      <c r="AA1343" s="36"/>
    </row>
    <row r="1344" spans="16:27" x14ac:dyDescent="0.2">
      <c r="P1344" s="36"/>
      <c r="Q1344" s="40"/>
      <c r="R1344" s="40"/>
      <c r="S1344" s="40"/>
      <c r="T1344" s="41"/>
      <c r="U1344" s="41"/>
      <c r="V1344" s="36"/>
      <c r="W1344" s="36"/>
      <c r="X1344" s="36"/>
      <c r="Y1344" s="36"/>
      <c r="Z1344" s="36"/>
      <c r="AA1344" s="36"/>
    </row>
    <row r="1345" spans="16:27" x14ac:dyDescent="0.2">
      <c r="P1345" s="36"/>
      <c r="Q1345" s="40"/>
      <c r="R1345" s="40"/>
      <c r="S1345" s="40"/>
      <c r="T1345" s="41"/>
      <c r="U1345" s="41"/>
      <c r="V1345" s="36"/>
      <c r="W1345" s="36"/>
      <c r="X1345" s="36"/>
      <c r="Y1345" s="36"/>
      <c r="Z1345" s="36"/>
      <c r="AA1345" s="36"/>
    </row>
    <row r="1346" spans="16:27" x14ac:dyDescent="0.2">
      <c r="P1346" s="36"/>
      <c r="Q1346" s="40"/>
      <c r="R1346" s="40"/>
      <c r="S1346" s="40"/>
      <c r="T1346" s="41"/>
      <c r="U1346" s="41"/>
      <c r="V1346" s="36"/>
      <c r="W1346" s="36"/>
      <c r="X1346" s="36"/>
      <c r="Y1346" s="36"/>
      <c r="Z1346" s="36"/>
      <c r="AA1346" s="36"/>
    </row>
    <row r="1347" spans="16:27" x14ac:dyDescent="0.2">
      <c r="P1347" s="36"/>
      <c r="Q1347" s="40"/>
      <c r="R1347" s="40"/>
      <c r="S1347" s="40"/>
      <c r="T1347" s="41"/>
      <c r="U1347" s="41"/>
      <c r="V1347" s="36"/>
      <c r="W1347" s="36"/>
      <c r="X1347" s="36"/>
      <c r="Y1347" s="36"/>
      <c r="Z1347" s="36"/>
      <c r="AA1347" s="36"/>
    </row>
    <row r="1348" spans="16:27" x14ac:dyDescent="0.2">
      <c r="P1348" s="36"/>
      <c r="Q1348" s="40"/>
      <c r="R1348" s="40"/>
      <c r="S1348" s="40"/>
      <c r="T1348" s="41"/>
      <c r="U1348" s="41"/>
      <c r="V1348" s="36"/>
      <c r="W1348" s="36"/>
      <c r="X1348" s="36"/>
      <c r="Y1348" s="36"/>
      <c r="Z1348" s="36"/>
      <c r="AA1348" s="36"/>
    </row>
    <row r="1349" spans="16:27" x14ac:dyDescent="0.2">
      <c r="P1349" s="36"/>
      <c r="Q1349" s="40"/>
      <c r="R1349" s="40"/>
      <c r="S1349" s="40"/>
      <c r="T1349" s="41"/>
      <c r="U1349" s="41"/>
      <c r="V1349" s="36"/>
      <c r="W1349" s="36"/>
      <c r="X1349" s="36"/>
      <c r="Y1349" s="36"/>
      <c r="Z1349" s="36"/>
      <c r="AA1349" s="36"/>
    </row>
    <row r="1350" spans="16:27" x14ac:dyDescent="0.2">
      <c r="P1350" s="36"/>
      <c r="Q1350" s="40"/>
      <c r="R1350" s="40"/>
      <c r="S1350" s="40"/>
      <c r="T1350" s="41"/>
      <c r="U1350" s="41"/>
      <c r="V1350" s="36"/>
      <c r="W1350" s="36"/>
      <c r="X1350" s="36"/>
      <c r="Y1350" s="36"/>
      <c r="Z1350" s="36"/>
      <c r="AA1350" s="36"/>
    </row>
    <row r="1351" spans="16:27" x14ac:dyDescent="0.2">
      <c r="P1351" s="36"/>
      <c r="Q1351" s="40"/>
      <c r="R1351" s="40"/>
      <c r="S1351" s="40"/>
      <c r="T1351" s="41"/>
      <c r="U1351" s="41"/>
      <c r="V1351" s="36"/>
      <c r="W1351" s="36"/>
      <c r="X1351" s="36"/>
      <c r="Y1351" s="36"/>
      <c r="Z1351" s="36"/>
      <c r="AA1351" s="36"/>
    </row>
    <row r="1352" spans="16:27" x14ac:dyDescent="0.2">
      <c r="P1352" s="36"/>
      <c r="Q1352" s="40"/>
      <c r="R1352" s="40"/>
      <c r="S1352" s="40"/>
      <c r="T1352" s="41"/>
      <c r="U1352" s="41"/>
      <c r="V1352" s="36"/>
      <c r="W1352" s="36"/>
      <c r="X1352" s="36"/>
      <c r="Y1352" s="36"/>
      <c r="Z1352" s="36"/>
      <c r="AA1352" s="36"/>
    </row>
    <row r="1353" spans="16:27" x14ac:dyDescent="0.2">
      <c r="P1353" s="36"/>
      <c r="Q1353" s="40"/>
      <c r="R1353" s="40"/>
      <c r="S1353" s="40"/>
      <c r="T1353" s="41"/>
      <c r="U1353" s="41"/>
      <c r="V1353" s="36"/>
      <c r="W1353" s="36"/>
      <c r="X1353" s="36"/>
      <c r="Y1353" s="36"/>
      <c r="Z1353" s="36"/>
      <c r="AA1353" s="36"/>
    </row>
    <row r="1354" spans="16:27" x14ac:dyDescent="0.2">
      <c r="P1354" s="36"/>
      <c r="Q1354" s="40"/>
      <c r="R1354" s="40"/>
      <c r="S1354" s="40"/>
      <c r="T1354" s="41"/>
      <c r="U1354" s="41"/>
      <c r="V1354" s="36"/>
      <c r="W1354" s="36"/>
      <c r="X1354" s="36"/>
      <c r="Y1354" s="36"/>
      <c r="Z1354" s="36"/>
      <c r="AA1354" s="36"/>
    </row>
    <row r="1355" spans="16:27" x14ac:dyDescent="0.2">
      <c r="P1355" s="36"/>
      <c r="Q1355" s="40"/>
      <c r="R1355" s="40"/>
      <c r="S1355" s="40"/>
      <c r="T1355" s="41"/>
      <c r="U1355" s="41"/>
      <c r="V1355" s="36"/>
      <c r="W1355" s="36"/>
      <c r="X1355" s="36"/>
      <c r="Y1355" s="36"/>
      <c r="Z1355" s="36"/>
      <c r="AA1355" s="36"/>
    </row>
    <row r="1356" spans="16:27" x14ac:dyDescent="0.2">
      <c r="P1356" s="36"/>
      <c r="Q1356" s="40"/>
      <c r="R1356" s="40"/>
      <c r="S1356" s="40"/>
      <c r="T1356" s="41"/>
      <c r="U1356" s="41"/>
      <c r="V1356" s="36"/>
      <c r="W1356" s="36"/>
      <c r="X1356" s="36"/>
      <c r="Y1356" s="36"/>
      <c r="Z1356" s="36"/>
      <c r="AA1356" s="36"/>
    </row>
    <row r="1357" spans="16:27" x14ac:dyDescent="0.2">
      <c r="P1357" s="36"/>
      <c r="Q1357" s="40"/>
      <c r="R1357" s="40"/>
      <c r="S1357" s="40"/>
      <c r="T1357" s="41"/>
      <c r="U1357" s="41"/>
      <c r="V1357" s="36"/>
      <c r="W1357" s="36"/>
      <c r="X1357" s="36"/>
      <c r="Y1357" s="36"/>
      <c r="Z1357" s="36"/>
      <c r="AA1357" s="36"/>
    </row>
    <row r="1358" spans="16:27" x14ac:dyDescent="0.2">
      <c r="P1358" s="36"/>
      <c r="Q1358" s="40"/>
      <c r="R1358" s="40"/>
      <c r="S1358" s="40"/>
      <c r="T1358" s="41"/>
      <c r="U1358" s="41"/>
      <c r="V1358" s="36"/>
      <c r="W1358" s="36"/>
      <c r="X1358" s="36"/>
      <c r="Y1358" s="36"/>
      <c r="Z1358" s="36"/>
      <c r="AA1358" s="36"/>
    </row>
    <row r="1359" spans="16:27" x14ac:dyDescent="0.2">
      <c r="P1359" s="36"/>
      <c r="Q1359" s="40"/>
      <c r="R1359" s="40"/>
      <c r="S1359" s="40"/>
      <c r="T1359" s="41"/>
      <c r="U1359" s="41"/>
      <c r="V1359" s="36"/>
      <c r="W1359" s="36"/>
      <c r="X1359" s="36"/>
      <c r="Y1359" s="36"/>
      <c r="Z1359" s="36"/>
      <c r="AA1359" s="36"/>
    </row>
    <row r="1360" spans="16:27" x14ac:dyDescent="0.2">
      <c r="P1360" s="36"/>
      <c r="Q1360" s="40"/>
      <c r="R1360" s="40"/>
      <c r="S1360" s="40"/>
      <c r="T1360" s="41"/>
      <c r="U1360" s="41"/>
      <c r="V1360" s="36"/>
      <c r="W1360" s="36"/>
      <c r="X1360" s="36"/>
      <c r="Y1360" s="36"/>
      <c r="Z1360" s="36"/>
      <c r="AA1360" s="36"/>
    </row>
    <row r="1361" spans="16:27" x14ac:dyDescent="0.2">
      <c r="P1361" s="36"/>
      <c r="Q1361" s="40"/>
      <c r="R1361" s="40"/>
      <c r="S1361" s="40"/>
      <c r="T1361" s="41"/>
      <c r="U1361" s="41"/>
      <c r="V1361" s="36"/>
      <c r="W1361" s="36"/>
      <c r="X1361" s="36"/>
      <c r="Y1361" s="36"/>
      <c r="Z1361" s="36"/>
      <c r="AA1361" s="36"/>
    </row>
    <row r="1362" spans="16:27" x14ac:dyDescent="0.2">
      <c r="P1362" s="36"/>
      <c r="Q1362" s="40"/>
      <c r="R1362" s="40"/>
      <c r="S1362" s="40"/>
      <c r="T1362" s="41"/>
      <c r="U1362" s="41"/>
      <c r="V1362" s="36"/>
      <c r="W1362" s="36"/>
      <c r="X1362" s="36"/>
      <c r="Y1362" s="36"/>
      <c r="Z1362" s="36"/>
      <c r="AA1362" s="36"/>
    </row>
    <row r="1363" spans="16:27" x14ac:dyDescent="0.2">
      <c r="P1363" s="36"/>
      <c r="Q1363" s="40"/>
      <c r="R1363" s="40"/>
      <c r="S1363" s="40"/>
      <c r="T1363" s="41"/>
      <c r="U1363" s="41"/>
      <c r="V1363" s="36"/>
      <c r="W1363" s="36"/>
      <c r="X1363" s="36"/>
      <c r="Y1363" s="36"/>
      <c r="Z1363" s="36"/>
      <c r="AA1363" s="36"/>
    </row>
    <row r="1364" spans="16:27" x14ac:dyDescent="0.2">
      <c r="P1364" s="36"/>
      <c r="Q1364" s="40"/>
      <c r="R1364" s="40"/>
      <c r="S1364" s="40"/>
      <c r="T1364" s="41"/>
      <c r="U1364" s="41"/>
      <c r="V1364" s="36"/>
      <c r="W1364" s="36"/>
      <c r="X1364" s="36"/>
      <c r="Y1364" s="36"/>
      <c r="Z1364" s="36"/>
      <c r="AA1364" s="36"/>
    </row>
    <row r="1365" spans="16:27" x14ac:dyDescent="0.2">
      <c r="P1365" s="36"/>
      <c r="Q1365" s="40"/>
      <c r="R1365" s="40"/>
      <c r="S1365" s="40"/>
      <c r="T1365" s="41"/>
      <c r="U1365" s="41"/>
      <c r="V1365" s="36"/>
      <c r="W1365" s="36"/>
      <c r="X1365" s="36"/>
      <c r="Y1365" s="36"/>
      <c r="Z1365" s="36"/>
      <c r="AA1365" s="36"/>
    </row>
    <row r="1366" spans="16:27" x14ac:dyDescent="0.2">
      <c r="P1366" s="36"/>
      <c r="Q1366" s="40"/>
      <c r="R1366" s="40"/>
      <c r="S1366" s="40"/>
      <c r="T1366" s="41"/>
      <c r="U1366" s="41"/>
      <c r="V1366" s="36"/>
      <c r="W1366" s="36"/>
      <c r="X1366" s="36"/>
      <c r="Y1366" s="36"/>
      <c r="Z1366" s="36"/>
      <c r="AA1366" s="36"/>
    </row>
    <row r="1367" spans="16:27" x14ac:dyDescent="0.2">
      <c r="P1367" s="36"/>
      <c r="Q1367" s="40"/>
      <c r="R1367" s="40"/>
      <c r="S1367" s="40"/>
      <c r="T1367" s="41"/>
      <c r="U1367" s="41"/>
      <c r="V1367" s="36"/>
      <c r="W1367" s="36"/>
      <c r="X1367" s="36"/>
      <c r="Y1367" s="36"/>
      <c r="Z1367" s="36"/>
      <c r="AA1367" s="36"/>
    </row>
    <row r="1368" spans="16:27" x14ac:dyDescent="0.2">
      <c r="P1368" s="36"/>
      <c r="Q1368" s="40"/>
      <c r="R1368" s="40"/>
      <c r="S1368" s="40"/>
      <c r="T1368" s="41"/>
      <c r="U1368" s="41"/>
      <c r="V1368" s="36"/>
      <c r="W1368" s="36"/>
      <c r="X1368" s="36"/>
      <c r="Y1368" s="36"/>
      <c r="Z1368" s="36"/>
      <c r="AA1368" s="36"/>
    </row>
    <row r="1369" spans="16:27" x14ac:dyDescent="0.2">
      <c r="P1369" s="36"/>
      <c r="Q1369" s="40"/>
      <c r="R1369" s="40"/>
      <c r="S1369" s="40"/>
      <c r="T1369" s="41"/>
      <c r="U1369" s="41"/>
      <c r="V1369" s="36"/>
      <c r="W1369" s="36"/>
      <c r="X1369" s="36"/>
      <c r="Y1369" s="36"/>
      <c r="Z1369" s="36"/>
      <c r="AA1369" s="36"/>
    </row>
    <row r="1370" spans="16:27" x14ac:dyDescent="0.2">
      <c r="P1370" s="36"/>
      <c r="Q1370" s="40"/>
      <c r="R1370" s="40"/>
      <c r="S1370" s="40"/>
      <c r="T1370" s="41"/>
      <c r="U1370" s="41"/>
      <c r="V1370" s="36"/>
      <c r="W1370" s="36"/>
      <c r="X1370" s="36"/>
      <c r="Y1370" s="36"/>
      <c r="Z1370" s="36"/>
      <c r="AA1370" s="36"/>
    </row>
    <row r="1371" spans="16:27" x14ac:dyDescent="0.2">
      <c r="P1371" s="36"/>
      <c r="Q1371" s="40"/>
      <c r="R1371" s="40"/>
      <c r="S1371" s="40"/>
      <c r="T1371" s="41"/>
      <c r="U1371" s="41"/>
      <c r="V1371" s="36"/>
      <c r="W1371" s="36"/>
      <c r="X1371" s="36"/>
      <c r="Y1371" s="36"/>
      <c r="Z1371" s="36"/>
      <c r="AA1371" s="36"/>
    </row>
    <row r="1372" spans="16:27" x14ac:dyDescent="0.2">
      <c r="P1372" s="36"/>
      <c r="Q1372" s="40"/>
      <c r="R1372" s="40"/>
      <c r="S1372" s="40"/>
      <c r="T1372" s="41"/>
      <c r="U1372" s="41"/>
      <c r="V1372" s="36"/>
      <c r="W1372" s="36"/>
      <c r="X1372" s="36"/>
      <c r="Y1372" s="36"/>
      <c r="Z1372" s="36"/>
      <c r="AA1372" s="36"/>
    </row>
    <row r="1373" spans="16:27" x14ac:dyDescent="0.2">
      <c r="P1373" s="36"/>
      <c r="Q1373" s="40"/>
      <c r="R1373" s="40"/>
      <c r="S1373" s="40"/>
      <c r="T1373" s="41"/>
      <c r="U1373" s="41"/>
      <c r="V1373" s="36"/>
      <c r="W1373" s="36"/>
      <c r="X1373" s="36"/>
      <c r="Y1373" s="36"/>
      <c r="Z1373" s="36"/>
      <c r="AA1373" s="36"/>
    </row>
    <row r="1374" spans="16:27" x14ac:dyDescent="0.2">
      <c r="P1374" s="36"/>
      <c r="Q1374" s="40"/>
      <c r="R1374" s="40"/>
      <c r="S1374" s="40"/>
      <c r="T1374" s="41"/>
      <c r="U1374" s="41"/>
      <c r="V1374" s="36"/>
      <c r="W1374" s="36"/>
      <c r="X1374" s="36"/>
      <c r="Y1374" s="36"/>
      <c r="Z1374" s="36"/>
      <c r="AA1374" s="36"/>
    </row>
    <row r="1375" spans="16:27" x14ac:dyDescent="0.2">
      <c r="P1375" s="36"/>
      <c r="Q1375" s="36"/>
      <c r="R1375" s="36"/>
      <c r="S1375" s="36"/>
      <c r="T1375" s="36"/>
      <c r="U1375" s="36"/>
      <c r="V1375" s="36"/>
      <c r="W1375" s="36"/>
      <c r="X1375" s="36"/>
      <c r="Y1375" s="36"/>
      <c r="Z1375" s="36"/>
      <c r="AA1375" s="36"/>
    </row>
    <row r="1376" spans="16:27" x14ac:dyDescent="0.2">
      <c r="P1376" s="36"/>
      <c r="Q1376" s="36"/>
      <c r="R1376" s="36"/>
      <c r="S1376" s="36"/>
      <c r="T1376" s="36"/>
      <c r="U1376" s="36"/>
      <c r="V1376" s="36"/>
      <c r="W1376" s="36"/>
      <c r="X1376" s="36"/>
      <c r="Y1376" s="36"/>
      <c r="Z1376" s="36"/>
      <c r="AA1376" s="36"/>
    </row>
    <row r="1377" spans="16:27" x14ac:dyDescent="0.2">
      <c r="P1377" s="36"/>
      <c r="Q1377" s="36"/>
      <c r="R1377" s="36"/>
      <c r="S1377" s="36"/>
      <c r="T1377" s="36"/>
      <c r="U1377" s="36"/>
      <c r="V1377" s="36"/>
      <c r="W1377" s="36"/>
      <c r="X1377" s="36"/>
      <c r="Y1377" s="36"/>
      <c r="Z1377" s="36"/>
      <c r="AA1377" s="36"/>
    </row>
    <row r="1378" spans="16:27" x14ac:dyDescent="0.2">
      <c r="P1378" s="36"/>
      <c r="Q1378" s="36"/>
      <c r="R1378" s="36"/>
      <c r="S1378" s="36"/>
      <c r="T1378" s="36"/>
      <c r="U1378" s="36"/>
      <c r="V1378" s="36"/>
      <c r="W1378" s="36"/>
      <c r="X1378" s="36"/>
      <c r="Y1378" s="36"/>
      <c r="Z1378" s="36"/>
      <c r="AA1378" s="36"/>
    </row>
    <row r="1379" spans="16:27" x14ac:dyDescent="0.2">
      <c r="P1379" s="36"/>
      <c r="Q1379" s="36"/>
      <c r="R1379" s="36"/>
      <c r="S1379" s="36"/>
      <c r="T1379" s="36"/>
      <c r="U1379" s="36"/>
      <c r="V1379" s="36"/>
      <c r="W1379" s="36"/>
      <c r="X1379" s="36"/>
      <c r="Y1379" s="36"/>
      <c r="Z1379" s="36"/>
      <c r="AA1379" s="36"/>
    </row>
    <row r="1380" spans="16:27" x14ac:dyDescent="0.2">
      <c r="P1380" s="36"/>
      <c r="Q1380" s="36"/>
      <c r="R1380" s="36"/>
      <c r="S1380" s="36"/>
      <c r="T1380" s="36"/>
      <c r="U1380" s="36"/>
      <c r="V1380" s="36"/>
      <c r="W1380" s="36"/>
      <c r="X1380" s="36"/>
      <c r="Y1380" s="36"/>
      <c r="Z1380" s="36"/>
      <c r="AA1380" s="36"/>
    </row>
    <row r="1381" spans="16:27" x14ac:dyDescent="0.2">
      <c r="P1381" s="36"/>
      <c r="Q1381" s="36"/>
      <c r="R1381" s="36"/>
      <c r="S1381" s="36"/>
      <c r="T1381" s="36"/>
      <c r="U1381" s="36"/>
      <c r="V1381" s="36"/>
      <c r="W1381" s="36"/>
      <c r="X1381" s="36"/>
      <c r="Y1381" s="36"/>
      <c r="Z1381" s="36"/>
      <c r="AA1381" s="36"/>
    </row>
    <row r="1382" spans="16:27" x14ac:dyDescent="0.2">
      <c r="P1382" s="36"/>
      <c r="Q1382" s="36"/>
      <c r="R1382" s="36"/>
      <c r="S1382" s="36"/>
      <c r="T1382" s="36"/>
      <c r="U1382" s="36"/>
      <c r="V1382" s="36"/>
      <c r="W1382" s="36"/>
      <c r="X1382" s="36"/>
      <c r="Y1382" s="36"/>
      <c r="Z1382" s="36"/>
      <c r="AA1382" s="36"/>
    </row>
    <row r="1383" spans="16:27" x14ac:dyDescent="0.2">
      <c r="P1383" s="36"/>
      <c r="Q1383" s="36"/>
      <c r="R1383" s="36"/>
      <c r="S1383" s="36"/>
      <c r="T1383" s="36"/>
      <c r="U1383" s="36"/>
      <c r="V1383" s="36"/>
      <c r="W1383" s="36"/>
      <c r="X1383" s="36"/>
      <c r="Y1383" s="36"/>
      <c r="Z1383" s="36"/>
      <c r="AA1383" s="36"/>
    </row>
    <row r="1384" spans="16:27" x14ac:dyDescent="0.2">
      <c r="P1384" s="36"/>
      <c r="Q1384" s="36"/>
      <c r="R1384" s="36"/>
      <c r="S1384" s="36"/>
      <c r="T1384" s="36"/>
      <c r="U1384" s="36"/>
      <c r="V1384" s="36"/>
      <c r="W1384" s="36"/>
      <c r="X1384" s="36"/>
      <c r="Y1384" s="36"/>
      <c r="Z1384" s="36"/>
      <c r="AA1384" s="36"/>
    </row>
    <row r="1385" spans="16:27" x14ac:dyDescent="0.2">
      <c r="P1385" s="36"/>
      <c r="Q1385" s="36"/>
      <c r="R1385" s="36"/>
      <c r="S1385" s="36"/>
      <c r="T1385" s="36"/>
      <c r="U1385" s="36"/>
      <c r="V1385" s="36"/>
      <c r="W1385" s="36"/>
      <c r="X1385" s="36"/>
      <c r="Y1385" s="36"/>
      <c r="Z1385" s="36"/>
      <c r="AA1385" s="36"/>
    </row>
    <row r="1386" spans="16:27" x14ac:dyDescent="0.2">
      <c r="P1386" s="36"/>
      <c r="Q1386" s="36"/>
      <c r="R1386" s="36"/>
      <c r="S1386" s="36"/>
      <c r="T1386" s="36"/>
      <c r="U1386" s="36"/>
      <c r="V1386" s="36"/>
      <c r="W1386" s="36"/>
      <c r="X1386" s="36"/>
      <c r="Y1386" s="36"/>
      <c r="Z1386" s="36"/>
      <c r="AA1386" s="36"/>
    </row>
    <row r="1387" spans="16:27" x14ac:dyDescent="0.2">
      <c r="P1387" s="36"/>
      <c r="Q1387" s="36"/>
      <c r="R1387" s="36"/>
      <c r="S1387" s="36"/>
      <c r="T1387" s="36"/>
      <c r="U1387" s="36"/>
      <c r="V1387" s="36"/>
      <c r="W1387" s="36"/>
      <c r="X1387" s="36"/>
      <c r="Y1387" s="36"/>
      <c r="Z1387" s="36"/>
      <c r="AA1387" s="36"/>
    </row>
    <row r="1388" spans="16:27" x14ac:dyDescent="0.2">
      <c r="P1388" s="36"/>
      <c r="Q1388" s="36"/>
      <c r="R1388" s="36"/>
      <c r="S1388" s="36"/>
      <c r="T1388" s="36"/>
      <c r="U1388" s="36"/>
      <c r="V1388" s="36"/>
      <c r="W1388" s="36"/>
      <c r="X1388" s="36"/>
      <c r="Y1388" s="36"/>
      <c r="Z1388" s="36"/>
      <c r="AA1388" s="36"/>
    </row>
    <row r="1389" spans="16:27" x14ac:dyDescent="0.2">
      <c r="P1389" s="36"/>
      <c r="Q1389" s="36"/>
      <c r="R1389" s="36"/>
      <c r="S1389" s="36"/>
      <c r="T1389" s="36"/>
      <c r="U1389" s="36"/>
      <c r="V1389" s="36"/>
      <c r="W1389" s="36"/>
      <c r="X1389" s="36"/>
      <c r="Y1389" s="36"/>
      <c r="Z1389" s="36"/>
      <c r="AA1389" s="36"/>
    </row>
    <row r="1390" spans="16:27" x14ac:dyDescent="0.2">
      <c r="P1390" s="36"/>
      <c r="Q1390" s="36"/>
      <c r="R1390" s="36"/>
      <c r="S1390" s="36"/>
      <c r="T1390" s="36"/>
      <c r="U1390" s="36"/>
      <c r="V1390" s="36"/>
      <c r="W1390" s="36"/>
      <c r="X1390" s="36"/>
      <c r="Y1390" s="36"/>
      <c r="Z1390" s="36"/>
      <c r="AA1390" s="36"/>
    </row>
    <row r="1391" spans="16:27" x14ac:dyDescent="0.2">
      <c r="P1391" s="36"/>
      <c r="Q1391" s="36"/>
      <c r="R1391" s="36"/>
      <c r="S1391" s="36"/>
      <c r="T1391" s="36"/>
      <c r="U1391" s="36"/>
      <c r="V1391" s="36"/>
      <c r="W1391" s="36"/>
      <c r="X1391" s="36"/>
      <c r="Y1391" s="36"/>
      <c r="Z1391" s="36"/>
      <c r="AA1391" s="36"/>
    </row>
    <row r="1392" spans="16:27" x14ac:dyDescent="0.2">
      <c r="P1392" s="36"/>
      <c r="Q1392" s="36"/>
      <c r="R1392" s="36"/>
      <c r="S1392" s="36"/>
      <c r="T1392" s="36"/>
      <c r="U1392" s="36"/>
      <c r="V1392" s="36"/>
      <c r="W1392" s="36"/>
      <c r="X1392" s="36"/>
      <c r="Y1392" s="36"/>
      <c r="Z1392" s="36"/>
      <c r="AA1392" s="36"/>
    </row>
    <row r="1393" spans="16:27" x14ac:dyDescent="0.2">
      <c r="P1393" s="36"/>
      <c r="Q1393" s="36"/>
      <c r="R1393" s="36"/>
      <c r="S1393" s="36"/>
      <c r="T1393" s="36"/>
      <c r="U1393" s="36"/>
      <c r="V1393" s="36"/>
      <c r="W1393" s="36"/>
      <c r="X1393" s="36"/>
      <c r="Y1393" s="36"/>
      <c r="Z1393" s="36"/>
      <c r="AA1393" s="36"/>
    </row>
    <row r="1394" spans="16:27" x14ac:dyDescent="0.2">
      <c r="P1394" s="36"/>
      <c r="Q1394" s="36"/>
      <c r="R1394" s="36"/>
      <c r="S1394" s="36"/>
      <c r="T1394" s="36"/>
      <c r="U1394" s="36"/>
      <c r="V1394" s="36"/>
      <c r="W1394" s="36"/>
      <c r="X1394" s="36"/>
      <c r="Y1394" s="36"/>
      <c r="Z1394" s="36"/>
      <c r="AA1394" s="36"/>
    </row>
    <row r="1395" spans="16:27" x14ac:dyDescent="0.2">
      <c r="P1395" s="36"/>
      <c r="Q1395" s="36"/>
      <c r="R1395" s="36"/>
      <c r="S1395" s="36"/>
      <c r="T1395" s="36"/>
      <c r="U1395" s="36"/>
      <c r="V1395" s="36"/>
      <c r="W1395" s="36"/>
      <c r="X1395" s="36"/>
      <c r="Y1395" s="36"/>
      <c r="Z1395" s="36"/>
      <c r="AA1395" s="36"/>
    </row>
    <row r="1396" spans="16:27" x14ac:dyDescent="0.2">
      <c r="P1396" s="36"/>
      <c r="Q1396" s="36"/>
      <c r="R1396" s="36"/>
      <c r="S1396" s="36"/>
      <c r="T1396" s="36"/>
      <c r="U1396" s="36"/>
      <c r="V1396" s="36"/>
      <c r="W1396" s="36"/>
      <c r="X1396" s="36"/>
      <c r="Y1396" s="36"/>
      <c r="Z1396" s="36"/>
      <c r="AA1396" s="36"/>
    </row>
    <row r="1397" spans="16:27" x14ac:dyDescent="0.2">
      <c r="P1397" s="36"/>
      <c r="Q1397" s="36"/>
      <c r="R1397" s="36"/>
      <c r="S1397" s="36"/>
      <c r="T1397" s="36"/>
      <c r="U1397" s="36"/>
      <c r="V1397" s="36"/>
      <c r="W1397" s="36"/>
      <c r="X1397" s="36"/>
      <c r="Y1397" s="36"/>
      <c r="Z1397" s="36"/>
      <c r="AA1397" s="36"/>
    </row>
    <row r="1398" spans="16:27" x14ac:dyDescent="0.2">
      <c r="P1398" s="36"/>
      <c r="Q1398" s="36"/>
      <c r="R1398" s="36"/>
      <c r="S1398" s="36"/>
      <c r="T1398" s="36"/>
      <c r="U1398" s="36"/>
      <c r="V1398" s="36"/>
      <c r="W1398" s="36"/>
      <c r="X1398" s="36"/>
      <c r="Y1398" s="36"/>
      <c r="Z1398" s="36"/>
      <c r="AA1398" s="36"/>
    </row>
    <row r="1399" spans="16:27" x14ac:dyDescent="0.2">
      <c r="P1399" s="36"/>
      <c r="Q1399" s="36"/>
      <c r="R1399" s="36"/>
      <c r="S1399" s="36"/>
      <c r="T1399" s="36"/>
      <c r="U1399" s="36"/>
      <c r="V1399" s="36"/>
      <c r="W1399" s="36"/>
      <c r="X1399" s="36"/>
      <c r="Y1399" s="36"/>
      <c r="Z1399" s="36"/>
      <c r="AA1399" s="36"/>
    </row>
    <row r="1400" spans="16:27" x14ac:dyDescent="0.2">
      <c r="P1400" s="36"/>
      <c r="Q1400" s="36"/>
      <c r="R1400" s="36"/>
      <c r="S1400" s="36"/>
      <c r="T1400" s="36"/>
      <c r="U1400" s="36"/>
      <c r="V1400" s="36"/>
      <c r="W1400" s="36"/>
      <c r="X1400" s="36"/>
      <c r="Y1400" s="36"/>
      <c r="Z1400" s="36"/>
      <c r="AA1400" s="36"/>
    </row>
    <row r="1401" spans="16:27" x14ac:dyDescent="0.2">
      <c r="P1401" s="36"/>
      <c r="Q1401" s="36"/>
      <c r="R1401" s="36"/>
      <c r="S1401" s="36"/>
      <c r="T1401" s="36"/>
      <c r="U1401" s="36"/>
      <c r="V1401" s="36"/>
      <c r="W1401" s="36"/>
      <c r="X1401" s="36"/>
      <c r="Y1401" s="36"/>
      <c r="Z1401" s="36"/>
      <c r="AA1401" s="36"/>
    </row>
    <row r="1402" spans="16:27" x14ac:dyDescent="0.2">
      <c r="P1402" s="36"/>
      <c r="Q1402" s="36"/>
      <c r="R1402" s="36"/>
      <c r="S1402" s="36"/>
      <c r="T1402" s="36"/>
      <c r="U1402" s="36"/>
      <c r="V1402" s="36"/>
      <c r="W1402" s="36"/>
      <c r="X1402" s="36"/>
      <c r="Y1402" s="36"/>
      <c r="Z1402" s="36"/>
      <c r="AA1402" s="36"/>
    </row>
    <row r="1403" spans="16:27" x14ac:dyDescent="0.2">
      <c r="P1403" s="36"/>
      <c r="Q1403" s="36"/>
      <c r="R1403" s="36"/>
      <c r="S1403" s="36"/>
      <c r="T1403" s="36"/>
      <c r="U1403" s="36"/>
      <c r="V1403" s="36"/>
      <c r="W1403" s="36"/>
      <c r="X1403" s="36"/>
      <c r="Y1403" s="36"/>
      <c r="Z1403" s="36"/>
      <c r="AA1403" s="36"/>
    </row>
    <row r="1404" spans="16:27" x14ac:dyDescent="0.2">
      <c r="P1404" s="36"/>
      <c r="Q1404" s="36"/>
      <c r="R1404" s="36"/>
      <c r="S1404" s="36"/>
      <c r="T1404" s="36"/>
      <c r="U1404" s="36"/>
      <c r="V1404" s="36"/>
      <c r="W1404" s="36"/>
      <c r="X1404" s="36"/>
      <c r="Y1404" s="36"/>
      <c r="Z1404" s="36"/>
      <c r="AA1404" s="36"/>
    </row>
    <row r="1405" spans="16:27" x14ac:dyDescent="0.2">
      <c r="P1405" s="36"/>
      <c r="Q1405" s="36"/>
      <c r="R1405" s="36"/>
      <c r="S1405" s="36"/>
      <c r="T1405" s="36"/>
      <c r="U1405" s="36"/>
      <c r="V1405" s="36"/>
      <c r="W1405" s="36"/>
      <c r="X1405" s="36"/>
      <c r="Y1405" s="36"/>
      <c r="Z1405" s="36"/>
      <c r="AA1405" s="36"/>
    </row>
    <row r="1406" spans="16:27" x14ac:dyDescent="0.2">
      <c r="P1406" s="36"/>
      <c r="Q1406" s="36"/>
      <c r="R1406" s="36"/>
      <c r="S1406" s="36"/>
      <c r="T1406" s="36"/>
      <c r="U1406" s="36"/>
      <c r="V1406" s="36"/>
      <c r="W1406" s="36"/>
      <c r="X1406" s="36"/>
      <c r="Y1406" s="36"/>
      <c r="Z1406" s="36"/>
      <c r="AA1406" s="36"/>
    </row>
    <row r="1407" spans="16:27" x14ac:dyDescent="0.2">
      <c r="P1407" s="36"/>
      <c r="Q1407" s="36"/>
      <c r="R1407" s="36"/>
      <c r="S1407" s="36"/>
      <c r="T1407" s="36"/>
      <c r="U1407" s="36"/>
      <c r="V1407" s="36"/>
      <c r="W1407" s="36"/>
      <c r="X1407" s="36"/>
      <c r="Y1407" s="36"/>
      <c r="Z1407" s="36"/>
      <c r="AA1407" s="36"/>
    </row>
    <row r="1408" spans="16:27" x14ac:dyDescent="0.2">
      <c r="P1408" s="36"/>
      <c r="Q1408" s="36"/>
      <c r="R1408" s="36"/>
      <c r="S1408" s="36"/>
      <c r="T1408" s="36"/>
      <c r="U1408" s="36"/>
      <c r="V1408" s="36"/>
      <c r="W1408" s="36"/>
      <c r="X1408" s="36"/>
      <c r="Y1408" s="36"/>
      <c r="Z1408" s="36"/>
      <c r="AA1408" s="36"/>
    </row>
    <row r="1409" spans="16:27" x14ac:dyDescent="0.2">
      <c r="P1409" s="36"/>
      <c r="Q1409" s="36"/>
      <c r="R1409" s="36"/>
      <c r="S1409" s="36"/>
      <c r="T1409" s="36"/>
      <c r="U1409" s="36"/>
      <c r="V1409" s="36"/>
      <c r="W1409" s="36"/>
      <c r="X1409" s="36"/>
      <c r="Y1409" s="36"/>
      <c r="Z1409" s="36"/>
      <c r="AA1409" s="36"/>
    </row>
    <row r="1410" spans="16:27" x14ac:dyDescent="0.2">
      <c r="P1410" s="36"/>
      <c r="Q1410" s="36"/>
      <c r="R1410" s="36"/>
      <c r="S1410" s="36"/>
      <c r="T1410" s="36"/>
      <c r="U1410" s="36"/>
      <c r="V1410" s="36"/>
      <c r="W1410" s="36"/>
      <c r="X1410" s="36"/>
      <c r="Y1410" s="36"/>
      <c r="Z1410" s="36"/>
      <c r="AA1410" s="36"/>
    </row>
    <row r="1411" spans="16:27" x14ac:dyDescent="0.2">
      <c r="P1411" s="36"/>
      <c r="Q1411" s="36"/>
      <c r="R1411" s="36"/>
      <c r="S1411" s="36"/>
      <c r="T1411" s="36"/>
      <c r="U1411" s="36"/>
      <c r="V1411" s="36"/>
      <c r="W1411" s="36"/>
      <c r="X1411" s="36"/>
      <c r="Y1411" s="36"/>
      <c r="Z1411" s="36"/>
      <c r="AA1411" s="36"/>
    </row>
    <row r="1412" spans="16:27" x14ac:dyDescent="0.2">
      <c r="P1412" s="36"/>
      <c r="Q1412" s="36"/>
      <c r="R1412" s="36"/>
      <c r="S1412" s="36"/>
      <c r="T1412" s="36"/>
      <c r="U1412" s="36"/>
      <c r="V1412" s="36"/>
      <c r="W1412" s="36"/>
      <c r="X1412" s="36"/>
      <c r="Y1412" s="36"/>
      <c r="Z1412" s="36"/>
      <c r="AA1412" s="36"/>
    </row>
    <row r="1413" spans="16:27" x14ac:dyDescent="0.2">
      <c r="P1413" s="36"/>
      <c r="Q1413" s="36"/>
      <c r="R1413" s="36"/>
      <c r="S1413" s="36"/>
      <c r="T1413" s="36"/>
      <c r="U1413" s="36"/>
      <c r="V1413" s="36"/>
      <c r="W1413" s="36"/>
      <c r="X1413" s="36"/>
      <c r="Y1413" s="36"/>
      <c r="Z1413" s="36"/>
      <c r="AA1413" s="36"/>
    </row>
    <row r="1414" spans="16:27" x14ac:dyDescent="0.2">
      <c r="P1414" s="36"/>
      <c r="Q1414" s="36"/>
      <c r="R1414" s="36"/>
      <c r="S1414" s="36"/>
      <c r="T1414" s="36"/>
      <c r="U1414" s="36"/>
      <c r="V1414" s="36"/>
      <c r="W1414" s="36"/>
      <c r="X1414" s="36"/>
      <c r="Y1414" s="36"/>
      <c r="Z1414" s="36"/>
      <c r="AA1414" s="36"/>
    </row>
    <row r="1415" spans="16:27" x14ac:dyDescent="0.2">
      <c r="P1415" s="36"/>
      <c r="Q1415" s="36"/>
      <c r="R1415" s="36"/>
      <c r="S1415" s="36"/>
      <c r="T1415" s="36"/>
      <c r="U1415" s="36"/>
      <c r="V1415" s="36"/>
      <c r="W1415" s="36"/>
      <c r="X1415" s="36"/>
      <c r="Y1415" s="36"/>
      <c r="Z1415" s="36"/>
      <c r="AA1415" s="36"/>
    </row>
    <row r="1416" spans="16:27" x14ac:dyDescent="0.2">
      <c r="P1416" s="36"/>
      <c r="Q1416" s="36"/>
      <c r="R1416" s="36"/>
      <c r="S1416" s="36"/>
      <c r="T1416" s="36"/>
      <c r="U1416" s="36"/>
      <c r="V1416" s="36"/>
      <c r="W1416" s="36"/>
      <c r="X1416" s="36"/>
      <c r="Y1416" s="36"/>
      <c r="Z1416" s="36"/>
      <c r="AA1416" s="36"/>
    </row>
    <row r="1417" spans="16:27" x14ac:dyDescent="0.2">
      <c r="P1417" s="36"/>
      <c r="Q1417" s="36"/>
      <c r="R1417" s="36"/>
      <c r="S1417" s="36"/>
      <c r="T1417" s="36"/>
      <c r="U1417" s="36"/>
      <c r="V1417" s="36"/>
      <c r="W1417" s="36"/>
      <c r="X1417" s="36"/>
      <c r="Y1417" s="36"/>
      <c r="Z1417" s="36"/>
      <c r="AA1417" s="36"/>
    </row>
    <row r="1418" spans="16:27" x14ac:dyDescent="0.2">
      <c r="P1418" s="36"/>
      <c r="Q1418" s="36"/>
      <c r="R1418" s="36"/>
      <c r="S1418" s="36"/>
      <c r="T1418" s="36"/>
      <c r="U1418" s="36"/>
      <c r="V1418" s="36"/>
      <c r="W1418" s="36"/>
      <c r="X1418" s="36"/>
      <c r="Y1418" s="36"/>
      <c r="Z1418" s="36"/>
      <c r="AA1418" s="36"/>
    </row>
    <row r="1419" spans="16:27" x14ac:dyDescent="0.2">
      <c r="P1419" s="36"/>
      <c r="Q1419" s="36"/>
      <c r="R1419" s="36"/>
      <c r="S1419" s="36"/>
      <c r="T1419" s="36"/>
      <c r="U1419" s="36"/>
      <c r="V1419" s="36"/>
      <c r="W1419" s="36"/>
      <c r="X1419" s="36"/>
      <c r="Y1419" s="36"/>
      <c r="Z1419" s="36"/>
      <c r="AA1419" s="36"/>
    </row>
    <row r="1420" spans="16:27" x14ac:dyDescent="0.2">
      <c r="P1420" s="36"/>
      <c r="Q1420" s="36"/>
      <c r="R1420" s="36"/>
      <c r="S1420" s="36"/>
      <c r="T1420" s="36"/>
      <c r="U1420" s="36"/>
      <c r="V1420" s="36"/>
      <c r="W1420" s="36"/>
      <c r="X1420" s="36"/>
      <c r="Y1420" s="36"/>
      <c r="Z1420" s="36"/>
      <c r="AA1420" s="36"/>
    </row>
    <row r="1421" spans="16:27" x14ac:dyDescent="0.2">
      <c r="P1421" s="36"/>
      <c r="Q1421" s="36"/>
      <c r="R1421" s="36"/>
      <c r="S1421" s="36"/>
      <c r="T1421" s="36"/>
      <c r="U1421" s="36"/>
      <c r="V1421" s="36"/>
      <c r="W1421" s="36"/>
      <c r="X1421" s="36"/>
      <c r="Y1421" s="36"/>
      <c r="Z1421" s="36"/>
      <c r="AA1421" s="36"/>
    </row>
    <row r="1422" spans="16:27" x14ac:dyDescent="0.2">
      <c r="P1422" s="36"/>
      <c r="Q1422" s="36"/>
      <c r="R1422" s="36"/>
      <c r="S1422" s="36"/>
      <c r="T1422" s="36"/>
      <c r="U1422" s="36"/>
      <c r="V1422" s="36"/>
      <c r="W1422" s="36"/>
      <c r="X1422" s="36"/>
      <c r="Y1422" s="36"/>
      <c r="Z1422" s="36"/>
      <c r="AA1422" s="36"/>
    </row>
    <row r="1423" spans="16:27" x14ac:dyDescent="0.2">
      <c r="P1423" s="36"/>
      <c r="Q1423" s="36"/>
      <c r="R1423" s="36"/>
      <c r="S1423" s="36"/>
      <c r="T1423" s="36"/>
      <c r="U1423" s="36"/>
      <c r="V1423" s="36"/>
      <c r="W1423" s="36"/>
      <c r="X1423" s="36"/>
      <c r="Y1423" s="36"/>
      <c r="Z1423" s="36"/>
      <c r="AA1423" s="36"/>
    </row>
    <row r="1424" spans="16:27" x14ac:dyDescent="0.2">
      <c r="P1424" s="36"/>
      <c r="Q1424" s="36"/>
      <c r="R1424" s="36"/>
      <c r="S1424" s="36"/>
      <c r="T1424" s="36"/>
      <c r="U1424" s="36"/>
      <c r="V1424" s="36"/>
      <c r="W1424" s="36"/>
      <c r="X1424" s="36"/>
      <c r="Y1424" s="36"/>
      <c r="Z1424" s="36"/>
      <c r="AA1424" s="36"/>
    </row>
    <row r="1425" spans="16:27" x14ac:dyDescent="0.2">
      <c r="P1425" s="36"/>
      <c r="Q1425" s="36"/>
      <c r="R1425" s="36"/>
      <c r="S1425" s="36"/>
      <c r="T1425" s="36"/>
      <c r="U1425" s="36"/>
      <c r="V1425" s="36"/>
      <c r="W1425" s="36"/>
      <c r="X1425" s="36"/>
      <c r="Y1425" s="36"/>
      <c r="Z1425" s="36"/>
      <c r="AA1425" s="36"/>
    </row>
    <row r="1426" spans="16:27" x14ac:dyDescent="0.2">
      <c r="P1426" s="36"/>
      <c r="Q1426" s="36"/>
      <c r="R1426" s="36"/>
      <c r="S1426" s="36"/>
      <c r="T1426" s="36"/>
      <c r="U1426" s="36"/>
      <c r="V1426" s="36"/>
      <c r="W1426" s="36"/>
      <c r="X1426" s="36"/>
      <c r="Y1426" s="36"/>
      <c r="Z1426" s="36"/>
      <c r="AA1426" s="36"/>
    </row>
    <row r="1427" spans="16:27" x14ac:dyDescent="0.2">
      <c r="P1427" s="36"/>
      <c r="Q1427" s="36"/>
      <c r="R1427" s="36"/>
      <c r="S1427" s="36"/>
      <c r="T1427" s="36"/>
      <c r="U1427" s="36"/>
      <c r="V1427" s="36"/>
      <c r="W1427" s="36"/>
      <c r="X1427" s="36"/>
      <c r="Y1427" s="36"/>
      <c r="Z1427" s="36"/>
      <c r="AA1427" s="36"/>
    </row>
    <row r="1428" spans="16:27" x14ac:dyDescent="0.2">
      <c r="P1428" s="36"/>
      <c r="Q1428" s="36"/>
      <c r="R1428" s="36"/>
      <c r="S1428" s="36"/>
      <c r="T1428" s="36"/>
      <c r="U1428" s="36"/>
      <c r="V1428" s="36"/>
      <c r="W1428" s="36"/>
      <c r="X1428" s="36"/>
      <c r="Y1428" s="36"/>
      <c r="Z1428" s="36"/>
      <c r="AA1428" s="36"/>
    </row>
    <row r="1429" spans="16:27" x14ac:dyDescent="0.2">
      <c r="P1429" s="36"/>
      <c r="Q1429" s="36"/>
      <c r="R1429" s="36"/>
      <c r="S1429" s="36"/>
      <c r="T1429" s="36"/>
      <c r="U1429" s="36"/>
      <c r="V1429" s="36"/>
      <c r="W1429" s="36"/>
      <c r="X1429" s="36"/>
      <c r="Y1429" s="36"/>
      <c r="Z1429" s="36"/>
      <c r="AA1429" s="36"/>
    </row>
    <row r="1430" spans="16:27" x14ac:dyDescent="0.2">
      <c r="P1430" s="36"/>
      <c r="Q1430" s="36"/>
      <c r="R1430" s="36"/>
      <c r="S1430" s="36"/>
      <c r="T1430" s="36"/>
      <c r="U1430" s="36"/>
      <c r="V1430" s="36"/>
      <c r="W1430" s="36"/>
      <c r="X1430" s="36"/>
      <c r="Y1430" s="36"/>
      <c r="Z1430" s="36"/>
      <c r="AA1430" s="36"/>
    </row>
    <row r="1431" spans="16:27" x14ac:dyDescent="0.2">
      <c r="P1431" s="36"/>
      <c r="Q1431" s="36"/>
      <c r="R1431" s="36"/>
      <c r="S1431" s="36"/>
      <c r="T1431" s="36"/>
      <c r="U1431" s="36"/>
      <c r="V1431" s="36"/>
      <c r="W1431" s="36"/>
      <c r="X1431" s="36"/>
      <c r="Y1431" s="36"/>
      <c r="Z1431" s="36"/>
      <c r="AA1431" s="36"/>
    </row>
    <row r="1432" spans="16:27" x14ac:dyDescent="0.2">
      <c r="P1432" s="36"/>
      <c r="Q1432" s="36"/>
      <c r="R1432" s="36"/>
      <c r="S1432" s="36"/>
      <c r="T1432" s="36"/>
      <c r="U1432" s="36"/>
      <c r="V1432" s="36"/>
      <c r="W1432" s="36"/>
      <c r="X1432" s="36"/>
      <c r="Y1432" s="36"/>
      <c r="Z1432" s="36"/>
      <c r="AA1432" s="36"/>
    </row>
    <row r="1433" spans="16:27" x14ac:dyDescent="0.2">
      <c r="P1433" s="36"/>
      <c r="Q1433" s="36"/>
      <c r="R1433" s="36"/>
      <c r="S1433" s="36"/>
      <c r="T1433" s="36"/>
      <c r="U1433" s="36"/>
      <c r="V1433" s="36"/>
      <c r="W1433" s="36"/>
      <c r="X1433" s="36"/>
      <c r="Y1433" s="36"/>
      <c r="Z1433" s="36"/>
      <c r="AA1433" s="36"/>
    </row>
    <row r="1434" spans="16:27" x14ac:dyDescent="0.2">
      <c r="P1434" s="36"/>
      <c r="Q1434" s="36"/>
      <c r="R1434" s="36"/>
      <c r="S1434" s="36"/>
      <c r="T1434" s="36"/>
      <c r="U1434" s="36"/>
      <c r="V1434" s="36"/>
      <c r="W1434" s="36"/>
      <c r="X1434" s="36"/>
      <c r="Y1434" s="36"/>
      <c r="Z1434" s="36"/>
      <c r="AA1434" s="36"/>
    </row>
    <row r="1435" spans="16:27" x14ac:dyDescent="0.2">
      <c r="P1435" s="36"/>
      <c r="Q1435" s="36"/>
      <c r="R1435" s="36"/>
      <c r="S1435" s="36"/>
      <c r="T1435" s="36"/>
      <c r="U1435" s="36"/>
      <c r="V1435" s="36"/>
      <c r="W1435" s="36"/>
      <c r="X1435" s="36"/>
      <c r="Y1435" s="36"/>
      <c r="Z1435" s="36"/>
      <c r="AA1435" s="36"/>
    </row>
    <row r="1436" spans="16:27" x14ac:dyDescent="0.2">
      <c r="P1436" s="36"/>
      <c r="Q1436" s="36"/>
      <c r="R1436" s="36"/>
      <c r="S1436" s="36"/>
      <c r="T1436" s="36"/>
      <c r="U1436" s="36"/>
      <c r="V1436" s="36"/>
      <c r="W1436" s="36"/>
      <c r="X1436" s="36"/>
      <c r="Y1436" s="36"/>
      <c r="Z1436" s="36"/>
      <c r="AA1436" s="36"/>
    </row>
    <row r="1437" spans="16:27" x14ac:dyDescent="0.2">
      <c r="P1437" s="36"/>
      <c r="Q1437" s="36"/>
      <c r="R1437" s="36"/>
      <c r="S1437" s="36"/>
      <c r="T1437" s="36"/>
      <c r="U1437" s="36"/>
      <c r="V1437" s="36"/>
      <c r="W1437" s="36"/>
      <c r="X1437" s="36"/>
      <c r="Y1437" s="36"/>
      <c r="Z1437" s="36"/>
      <c r="AA1437" s="36"/>
    </row>
    <row r="1438" spans="16:27" x14ac:dyDescent="0.2">
      <c r="P1438" s="36"/>
      <c r="Q1438" s="36"/>
      <c r="R1438" s="36"/>
      <c r="S1438" s="36"/>
      <c r="T1438" s="36"/>
      <c r="U1438" s="36"/>
      <c r="V1438" s="36"/>
      <c r="W1438" s="36"/>
      <c r="X1438" s="36"/>
      <c r="Y1438" s="36"/>
      <c r="Z1438" s="36"/>
      <c r="AA1438" s="36"/>
    </row>
    <row r="1439" spans="16:27" x14ac:dyDescent="0.2">
      <c r="P1439" s="36"/>
      <c r="Q1439" s="36"/>
      <c r="R1439" s="36"/>
      <c r="S1439" s="36"/>
      <c r="T1439" s="36"/>
      <c r="U1439" s="36"/>
      <c r="V1439" s="36"/>
      <c r="W1439" s="36"/>
      <c r="X1439" s="36"/>
      <c r="Y1439" s="36"/>
      <c r="Z1439" s="36"/>
      <c r="AA1439" s="36"/>
    </row>
    <row r="1440" spans="16:27" x14ac:dyDescent="0.2">
      <c r="P1440" s="36"/>
      <c r="Q1440" s="36"/>
      <c r="R1440" s="36"/>
      <c r="S1440" s="36"/>
      <c r="T1440" s="36"/>
      <c r="U1440" s="36"/>
      <c r="V1440" s="36"/>
      <c r="W1440" s="36"/>
      <c r="X1440" s="36"/>
      <c r="Y1440" s="36"/>
      <c r="Z1440" s="36"/>
      <c r="AA1440" s="36"/>
    </row>
    <row r="1441" spans="16:27" x14ac:dyDescent="0.2">
      <c r="P1441" s="36"/>
      <c r="Q1441" s="36"/>
      <c r="R1441" s="36"/>
      <c r="S1441" s="36"/>
      <c r="T1441" s="36"/>
      <c r="U1441" s="36"/>
      <c r="V1441" s="36"/>
      <c r="W1441" s="36"/>
      <c r="X1441" s="36"/>
      <c r="Y1441" s="36"/>
      <c r="Z1441" s="36"/>
      <c r="AA1441" s="36"/>
    </row>
    <row r="1442" spans="16:27" x14ac:dyDescent="0.2">
      <c r="P1442" s="36"/>
      <c r="Q1442" s="36"/>
      <c r="R1442" s="36"/>
      <c r="S1442" s="36"/>
      <c r="T1442" s="36"/>
      <c r="U1442" s="36"/>
      <c r="V1442" s="36"/>
      <c r="W1442" s="36"/>
      <c r="X1442" s="36"/>
      <c r="Y1442" s="36"/>
      <c r="Z1442" s="36"/>
      <c r="AA1442" s="36"/>
    </row>
    <row r="1443" spans="16:27" x14ac:dyDescent="0.2">
      <c r="P1443" s="36"/>
      <c r="Q1443" s="36"/>
      <c r="R1443" s="36"/>
      <c r="S1443" s="36"/>
      <c r="T1443" s="36"/>
      <c r="U1443" s="36"/>
      <c r="V1443" s="36"/>
      <c r="W1443" s="36"/>
      <c r="X1443" s="36"/>
      <c r="Y1443" s="36"/>
      <c r="Z1443" s="36"/>
      <c r="AA1443" s="36"/>
    </row>
    <row r="1444" spans="16:27" x14ac:dyDescent="0.2">
      <c r="P1444" s="36"/>
      <c r="Q1444" s="36"/>
      <c r="R1444" s="36"/>
      <c r="S1444" s="36"/>
      <c r="T1444" s="36"/>
      <c r="U1444" s="36"/>
      <c r="V1444" s="36"/>
      <c r="W1444" s="36"/>
      <c r="X1444" s="36"/>
      <c r="Y1444" s="36"/>
      <c r="Z1444" s="36"/>
      <c r="AA1444" s="36"/>
    </row>
    <row r="1445" spans="16:27" x14ac:dyDescent="0.2">
      <c r="P1445" s="36"/>
      <c r="Q1445" s="36"/>
      <c r="R1445" s="36"/>
      <c r="S1445" s="36"/>
      <c r="T1445" s="36"/>
      <c r="U1445" s="36"/>
      <c r="V1445" s="36"/>
      <c r="W1445" s="36"/>
      <c r="X1445" s="36"/>
      <c r="Y1445" s="36"/>
      <c r="Z1445" s="36"/>
      <c r="AA1445" s="36"/>
    </row>
    <row r="1446" spans="16:27" x14ac:dyDescent="0.2">
      <c r="P1446" s="36"/>
      <c r="Q1446" s="36"/>
      <c r="R1446" s="36"/>
      <c r="S1446" s="36"/>
      <c r="T1446" s="36"/>
      <c r="U1446" s="36"/>
      <c r="V1446" s="36"/>
      <c r="W1446" s="36"/>
      <c r="X1446" s="36"/>
      <c r="Y1446" s="36"/>
      <c r="Z1446" s="36"/>
      <c r="AA1446" s="36"/>
    </row>
    <row r="1447" spans="16:27" x14ac:dyDescent="0.2">
      <c r="P1447" s="36"/>
      <c r="Q1447" s="36"/>
      <c r="R1447" s="36"/>
      <c r="S1447" s="36"/>
      <c r="T1447" s="36"/>
      <c r="U1447" s="36"/>
      <c r="V1447" s="36"/>
      <c r="W1447" s="36"/>
      <c r="X1447" s="36"/>
      <c r="Y1447" s="36"/>
      <c r="Z1447" s="36"/>
      <c r="AA1447" s="36"/>
    </row>
    <row r="1448" spans="16:27" x14ac:dyDescent="0.2">
      <c r="P1448" s="36"/>
      <c r="Q1448" s="36"/>
      <c r="R1448" s="36"/>
      <c r="S1448" s="36"/>
      <c r="T1448" s="36"/>
      <c r="U1448" s="36"/>
      <c r="V1448" s="36"/>
      <c r="W1448" s="36"/>
      <c r="X1448" s="36"/>
      <c r="Y1448" s="36"/>
      <c r="Z1448" s="36"/>
      <c r="AA1448" s="36"/>
    </row>
    <row r="1449" spans="16:27" x14ac:dyDescent="0.2">
      <c r="P1449" s="36"/>
      <c r="Q1449" s="36"/>
      <c r="R1449" s="36"/>
      <c r="S1449" s="36"/>
      <c r="T1449" s="36"/>
      <c r="U1449" s="36"/>
      <c r="V1449" s="36"/>
      <c r="W1449" s="36"/>
      <c r="X1449" s="36"/>
      <c r="Y1449" s="36"/>
      <c r="Z1449" s="36"/>
      <c r="AA1449" s="36"/>
    </row>
    <row r="1450" spans="16:27" x14ac:dyDescent="0.2">
      <c r="P1450" s="36"/>
      <c r="Q1450" s="36"/>
      <c r="R1450" s="36"/>
      <c r="S1450" s="36"/>
      <c r="T1450" s="36"/>
      <c r="U1450" s="36"/>
      <c r="V1450" s="36"/>
      <c r="W1450" s="36"/>
      <c r="X1450" s="36"/>
      <c r="Y1450" s="36"/>
      <c r="Z1450" s="36"/>
      <c r="AA1450" s="36"/>
    </row>
    <row r="1451" spans="16:27" x14ac:dyDescent="0.2">
      <c r="P1451" s="36"/>
      <c r="Q1451" s="36"/>
      <c r="R1451" s="36"/>
      <c r="S1451" s="36"/>
      <c r="T1451" s="36"/>
      <c r="U1451" s="36"/>
      <c r="V1451" s="36"/>
      <c r="W1451" s="36"/>
      <c r="X1451" s="36"/>
      <c r="Y1451" s="36"/>
      <c r="Z1451" s="36"/>
      <c r="AA1451" s="36"/>
    </row>
    <row r="1452" spans="16:27" x14ac:dyDescent="0.2">
      <c r="P1452" s="36"/>
      <c r="Q1452" s="36"/>
      <c r="R1452" s="36"/>
      <c r="S1452" s="36"/>
      <c r="T1452" s="36"/>
      <c r="U1452" s="36"/>
      <c r="V1452" s="36"/>
      <c r="W1452" s="36"/>
      <c r="X1452" s="36"/>
      <c r="Y1452" s="36"/>
      <c r="Z1452" s="36"/>
      <c r="AA1452" s="36"/>
    </row>
    <row r="1453" spans="16:27" x14ac:dyDescent="0.2">
      <c r="P1453" s="36"/>
      <c r="Q1453" s="36"/>
      <c r="R1453" s="36"/>
      <c r="S1453" s="36"/>
      <c r="T1453" s="36"/>
      <c r="U1453" s="36"/>
      <c r="V1453" s="36"/>
      <c r="W1453" s="36"/>
      <c r="X1453" s="36"/>
      <c r="Y1453" s="36"/>
      <c r="Z1453" s="36"/>
      <c r="AA1453" s="36"/>
    </row>
    <row r="1454" spans="16:27" x14ac:dyDescent="0.2">
      <c r="P1454" s="36"/>
      <c r="Q1454" s="36"/>
      <c r="R1454" s="36"/>
      <c r="S1454" s="36"/>
      <c r="T1454" s="36"/>
      <c r="U1454" s="36"/>
      <c r="V1454" s="36"/>
      <c r="W1454" s="36"/>
      <c r="X1454" s="36"/>
      <c r="Y1454" s="36"/>
      <c r="Z1454" s="36"/>
      <c r="AA1454" s="36"/>
    </row>
    <row r="1455" spans="16:27" x14ac:dyDescent="0.2">
      <c r="P1455" s="36"/>
      <c r="Q1455" s="36"/>
      <c r="R1455" s="36"/>
      <c r="S1455" s="36"/>
      <c r="T1455" s="36"/>
      <c r="U1455" s="36"/>
      <c r="V1455" s="36"/>
      <c r="W1455" s="36"/>
      <c r="X1455" s="36"/>
      <c r="Y1455" s="36"/>
      <c r="Z1455" s="36"/>
      <c r="AA1455" s="36"/>
    </row>
    <row r="1456" spans="16:27" x14ac:dyDescent="0.2">
      <c r="P1456" s="36"/>
      <c r="Q1456" s="36"/>
      <c r="R1456" s="36"/>
      <c r="S1456" s="36"/>
      <c r="T1456" s="36"/>
      <c r="U1456" s="36"/>
      <c r="V1456" s="36"/>
      <c r="W1456" s="36"/>
      <c r="X1456" s="36"/>
      <c r="Y1456" s="36"/>
      <c r="Z1456" s="36"/>
      <c r="AA1456" s="36"/>
    </row>
    <row r="1457" spans="16:27" x14ac:dyDescent="0.2">
      <c r="P1457" s="36"/>
      <c r="Q1457" s="36"/>
      <c r="R1457" s="36"/>
      <c r="S1457" s="36"/>
      <c r="T1457" s="36"/>
      <c r="U1457" s="36"/>
      <c r="V1457" s="36"/>
      <c r="W1457" s="36"/>
      <c r="X1457" s="36"/>
      <c r="Y1457" s="36"/>
      <c r="Z1457" s="36"/>
      <c r="AA1457" s="36"/>
    </row>
    <row r="1458" spans="16:27" x14ac:dyDescent="0.2">
      <c r="P1458" s="36"/>
      <c r="Q1458" s="36"/>
      <c r="R1458" s="36"/>
      <c r="S1458" s="36"/>
      <c r="T1458" s="36"/>
      <c r="U1458" s="36"/>
      <c r="V1458" s="36"/>
      <c r="W1458" s="36"/>
      <c r="X1458" s="36"/>
      <c r="Y1458" s="36"/>
      <c r="Z1458" s="36"/>
      <c r="AA1458" s="36"/>
    </row>
    <row r="1459" spans="16:27" x14ac:dyDescent="0.2">
      <c r="P1459" s="36"/>
      <c r="Q1459" s="36"/>
      <c r="R1459" s="36"/>
      <c r="S1459" s="36"/>
      <c r="T1459" s="36"/>
      <c r="U1459" s="36"/>
      <c r="V1459" s="36"/>
      <c r="W1459" s="36"/>
      <c r="X1459" s="36"/>
      <c r="Y1459" s="36"/>
      <c r="Z1459" s="36"/>
      <c r="AA1459" s="36"/>
    </row>
    <row r="1460" spans="16:27" x14ac:dyDescent="0.2">
      <c r="P1460" s="36"/>
      <c r="Q1460" s="36"/>
      <c r="R1460" s="36"/>
      <c r="S1460" s="36"/>
      <c r="T1460" s="36"/>
      <c r="U1460" s="36"/>
      <c r="V1460" s="36"/>
      <c r="W1460" s="36"/>
      <c r="X1460" s="36"/>
      <c r="Y1460" s="36"/>
      <c r="Z1460" s="36"/>
      <c r="AA1460" s="36"/>
    </row>
    <row r="1461" spans="16:27" x14ac:dyDescent="0.2">
      <c r="P1461" s="36"/>
      <c r="Q1461" s="36"/>
      <c r="R1461" s="36"/>
      <c r="S1461" s="36"/>
      <c r="T1461" s="36"/>
      <c r="U1461" s="36"/>
      <c r="V1461" s="36"/>
      <c r="W1461" s="36"/>
      <c r="X1461" s="36"/>
      <c r="Y1461" s="36"/>
      <c r="Z1461" s="36"/>
      <c r="AA1461" s="36"/>
    </row>
    <row r="1462" spans="16:27" x14ac:dyDescent="0.2">
      <c r="P1462" s="36"/>
      <c r="Q1462" s="36"/>
      <c r="R1462" s="36"/>
      <c r="S1462" s="36"/>
      <c r="T1462" s="36"/>
      <c r="U1462" s="36"/>
      <c r="V1462" s="36"/>
      <c r="W1462" s="36"/>
      <c r="X1462" s="36"/>
      <c r="Y1462" s="36"/>
      <c r="Z1462" s="36"/>
      <c r="AA1462" s="36"/>
    </row>
    <row r="1463" spans="16:27" x14ac:dyDescent="0.2">
      <c r="P1463" s="36"/>
      <c r="Q1463" s="36"/>
      <c r="R1463" s="36"/>
      <c r="S1463" s="36"/>
      <c r="T1463" s="36"/>
      <c r="U1463" s="36"/>
      <c r="V1463" s="36"/>
      <c r="W1463" s="36"/>
      <c r="X1463" s="36"/>
      <c r="Y1463" s="36"/>
      <c r="Z1463" s="36"/>
      <c r="AA1463" s="36"/>
    </row>
    <row r="1464" spans="16:27" x14ac:dyDescent="0.2">
      <c r="P1464" s="36"/>
      <c r="Q1464" s="36"/>
      <c r="R1464" s="36"/>
      <c r="S1464" s="36"/>
      <c r="T1464" s="36"/>
      <c r="U1464" s="36"/>
      <c r="V1464" s="36"/>
      <c r="W1464" s="36"/>
      <c r="X1464" s="36"/>
      <c r="Y1464" s="36"/>
      <c r="Z1464" s="36"/>
      <c r="AA1464" s="36"/>
    </row>
    <row r="1465" spans="16:27" x14ac:dyDescent="0.2">
      <c r="P1465" s="36"/>
      <c r="Q1465" s="36"/>
      <c r="R1465" s="36"/>
      <c r="S1465" s="36"/>
      <c r="T1465" s="36"/>
      <c r="U1465" s="36"/>
      <c r="V1465" s="36"/>
      <c r="W1465" s="36"/>
      <c r="X1465" s="36"/>
      <c r="Y1465" s="36"/>
      <c r="Z1465" s="36"/>
      <c r="AA1465" s="36"/>
    </row>
    <row r="1466" spans="16:27" x14ac:dyDescent="0.2">
      <c r="P1466" s="36"/>
      <c r="Q1466" s="36"/>
      <c r="R1466" s="36"/>
      <c r="S1466" s="36"/>
      <c r="T1466" s="36"/>
      <c r="U1466" s="36"/>
      <c r="V1466" s="36"/>
      <c r="W1466" s="36"/>
      <c r="X1466" s="36"/>
      <c r="Y1466" s="36"/>
      <c r="Z1466" s="36"/>
      <c r="AA1466" s="36"/>
    </row>
    <row r="1467" spans="16:27" x14ac:dyDescent="0.2">
      <c r="P1467" s="36"/>
      <c r="Q1467" s="36"/>
      <c r="R1467" s="36"/>
      <c r="S1467" s="36"/>
      <c r="T1467" s="36"/>
      <c r="U1467" s="36"/>
      <c r="V1467" s="36"/>
      <c r="W1467" s="36"/>
      <c r="X1467" s="36"/>
      <c r="Y1467" s="36"/>
      <c r="Z1467" s="36"/>
      <c r="AA1467" s="36"/>
    </row>
    <row r="1468" spans="16:27" x14ac:dyDescent="0.2">
      <c r="P1468" s="36"/>
      <c r="Q1468" s="36"/>
      <c r="R1468" s="36"/>
      <c r="S1468" s="36"/>
      <c r="T1468" s="36"/>
      <c r="U1468" s="36"/>
      <c r="V1468" s="36"/>
      <c r="W1468" s="36"/>
      <c r="X1468" s="36"/>
      <c r="Y1468" s="36"/>
      <c r="Z1468" s="36"/>
      <c r="AA1468" s="36"/>
    </row>
    <row r="1469" spans="16:27" x14ac:dyDescent="0.2">
      <c r="P1469" s="36"/>
      <c r="Q1469" s="36"/>
      <c r="R1469" s="36"/>
      <c r="S1469" s="36"/>
      <c r="T1469" s="36"/>
      <c r="U1469" s="36"/>
      <c r="V1469" s="36"/>
      <c r="W1469" s="36"/>
      <c r="X1469" s="36"/>
      <c r="Y1469" s="36"/>
      <c r="Z1469" s="36"/>
      <c r="AA1469" s="36"/>
    </row>
    <row r="1470" spans="16:27" x14ac:dyDescent="0.2">
      <c r="P1470" s="36"/>
      <c r="Q1470" s="36"/>
      <c r="R1470" s="36"/>
      <c r="S1470" s="36"/>
      <c r="T1470" s="36"/>
      <c r="U1470" s="36"/>
      <c r="V1470" s="36"/>
      <c r="W1470" s="36"/>
      <c r="X1470" s="36"/>
      <c r="Y1470" s="36"/>
      <c r="Z1470" s="36"/>
      <c r="AA1470" s="36"/>
    </row>
    <row r="1471" spans="16:27" x14ac:dyDescent="0.2">
      <c r="P1471" s="36"/>
      <c r="Q1471" s="36"/>
      <c r="R1471" s="36"/>
      <c r="S1471" s="36"/>
      <c r="T1471" s="36"/>
      <c r="U1471" s="36"/>
      <c r="V1471" s="36"/>
      <c r="W1471" s="36"/>
      <c r="X1471" s="36"/>
      <c r="Y1471" s="36"/>
      <c r="Z1471" s="36"/>
      <c r="AA1471" s="36"/>
    </row>
    <row r="1472" spans="16:27" x14ac:dyDescent="0.2">
      <c r="P1472" s="36"/>
      <c r="Q1472" s="36"/>
      <c r="R1472" s="36"/>
      <c r="S1472" s="36"/>
      <c r="T1472" s="36"/>
      <c r="U1472" s="36"/>
      <c r="V1472" s="36"/>
      <c r="W1472" s="36"/>
      <c r="X1472" s="36"/>
      <c r="Y1472" s="36"/>
      <c r="Z1472" s="36"/>
      <c r="AA1472" s="36"/>
    </row>
    <row r="1473" spans="16:27" x14ac:dyDescent="0.2">
      <c r="P1473" s="36"/>
      <c r="Q1473" s="36"/>
      <c r="R1473" s="36"/>
      <c r="S1473" s="36"/>
      <c r="T1473" s="36"/>
      <c r="U1473" s="36"/>
      <c r="V1473" s="36"/>
      <c r="W1473" s="36"/>
      <c r="X1473" s="36"/>
      <c r="Y1473" s="36"/>
      <c r="Z1473" s="36"/>
      <c r="AA1473" s="36"/>
    </row>
    <row r="1474" spans="16:27" x14ac:dyDescent="0.2">
      <c r="P1474" s="36"/>
      <c r="Q1474" s="36"/>
      <c r="R1474" s="36"/>
      <c r="S1474" s="36"/>
      <c r="T1474" s="36"/>
      <c r="U1474" s="36"/>
      <c r="V1474" s="36"/>
      <c r="W1474" s="36"/>
      <c r="X1474" s="36"/>
      <c r="Y1474" s="36"/>
      <c r="Z1474" s="36"/>
      <c r="AA1474" s="36"/>
    </row>
    <row r="1475" spans="16:27" x14ac:dyDescent="0.2">
      <c r="P1475" s="36"/>
      <c r="Q1475" s="36"/>
      <c r="R1475" s="36"/>
      <c r="S1475" s="36"/>
      <c r="T1475" s="36"/>
      <c r="U1475" s="36"/>
      <c r="V1475" s="36"/>
      <c r="W1475" s="36"/>
      <c r="X1475" s="36"/>
      <c r="Y1475" s="36"/>
      <c r="Z1475" s="36"/>
      <c r="AA1475" s="36"/>
    </row>
    <row r="1476" spans="16:27" x14ac:dyDescent="0.2">
      <c r="P1476" s="36"/>
      <c r="Q1476" s="36"/>
      <c r="R1476" s="36"/>
      <c r="S1476" s="36"/>
      <c r="T1476" s="36"/>
      <c r="U1476" s="36"/>
      <c r="V1476" s="36"/>
      <c r="W1476" s="36"/>
      <c r="X1476" s="36"/>
      <c r="Y1476" s="36"/>
      <c r="Z1476" s="36"/>
      <c r="AA1476" s="36"/>
    </row>
    <row r="1477" spans="16:27" x14ac:dyDescent="0.2">
      <c r="P1477" s="36"/>
      <c r="Q1477" s="36"/>
      <c r="R1477" s="36"/>
      <c r="S1477" s="36"/>
      <c r="T1477" s="36"/>
      <c r="U1477" s="36"/>
      <c r="V1477" s="36"/>
      <c r="W1477" s="36"/>
      <c r="X1477" s="36"/>
      <c r="Y1477" s="36"/>
      <c r="Z1477" s="36"/>
      <c r="AA1477" s="36"/>
    </row>
    <row r="1478" spans="16:27" x14ac:dyDescent="0.2">
      <c r="P1478" s="36"/>
      <c r="Q1478" s="36"/>
      <c r="R1478" s="36"/>
      <c r="S1478" s="36"/>
      <c r="T1478" s="36"/>
      <c r="U1478" s="36"/>
      <c r="V1478" s="36"/>
      <c r="W1478" s="36"/>
      <c r="X1478" s="36"/>
      <c r="Y1478" s="36"/>
      <c r="Z1478" s="36"/>
      <c r="AA1478" s="36"/>
    </row>
    <row r="1479" spans="16:27" x14ac:dyDescent="0.2">
      <c r="P1479" s="36"/>
      <c r="Q1479" s="36"/>
      <c r="R1479" s="36"/>
      <c r="S1479" s="36"/>
      <c r="T1479" s="36"/>
      <c r="U1479" s="36"/>
      <c r="V1479" s="36"/>
      <c r="W1479" s="36"/>
      <c r="X1479" s="36"/>
      <c r="Y1479" s="36"/>
      <c r="Z1479" s="36"/>
      <c r="AA1479" s="36"/>
    </row>
    <row r="1480" spans="16:27" x14ac:dyDescent="0.2">
      <c r="P1480" s="36"/>
      <c r="Q1480" s="36"/>
      <c r="R1480" s="36"/>
      <c r="S1480" s="36"/>
      <c r="T1480" s="36"/>
      <c r="U1480" s="36"/>
      <c r="V1480" s="36"/>
      <c r="W1480" s="36"/>
      <c r="X1480" s="36"/>
      <c r="Y1480" s="36"/>
      <c r="Z1480" s="36"/>
      <c r="AA1480" s="36"/>
    </row>
    <row r="1481" spans="16:27" x14ac:dyDescent="0.2">
      <c r="P1481" s="36"/>
      <c r="Q1481" s="36"/>
      <c r="R1481" s="36"/>
      <c r="S1481" s="36"/>
      <c r="T1481" s="36"/>
      <c r="U1481" s="36"/>
      <c r="V1481" s="36"/>
      <c r="W1481" s="36"/>
      <c r="X1481" s="36"/>
      <c r="Y1481" s="36"/>
      <c r="Z1481" s="36"/>
      <c r="AA1481" s="36"/>
    </row>
    <row r="1482" spans="16:27" x14ac:dyDescent="0.2">
      <c r="P1482" s="36"/>
      <c r="Q1482" s="36"/>
      <c r="R1482" s="36"/>
      <c r="S1482" s="36"/>
      <c r="T1482" s="36"/>
      <c r="U1482" s="36"/>
      <c r="V1482" s="36"/>
      <c r="W1482" s="36"/>
      <c r="X1482" s="36"/>
      <c r="Y1482" s="36"/>
      <c r="Z1482" s="36"/>
      <c r="AA1482" s="36"/>
    </row>
    <row r="1483" spans="16:27" x14ac:dyDescent="0.2">
      <c r="P1483" s="36"/>
      <c r="Q1483" s="36"/>
      <c r="R1483" s="36"/>
      <c r="S1483" s="36"/>
      <c r="T1483" s="36"/>
      <c r="U1483" s="36"/>
      <c r="V1483" s="36"/>
      <c r="W1483" s="36"/>
      <c r="X1483" s="36"/>
      <c r="Y1483" s="36"/>
      <c r="Z1483" s="36"/>
      <c r="AA1483" s="36"/>
    </row>
    <row r="1484" spans="16:27" x14ac:dyDescent="0.2">
      <c r="P1484" s="36"/>
      <c r="Q1484" s="36"/>
      <c r="R1484" s="36"/>
      <c r="S1484" s="36"/>
      <c r="T1484" s="36"/>
      <c r="U1484" s="36"/>
      <c r="V1484" s="36"/>
      <c r="W1484" s="36"/>
      <c r="X1484" s="36"/>
      <c r="Y1484" s="36"/>
      <c r="Z1484" s="36"/>
      <c r="AA1484" s="36"/>
    </row>
    <row r="1485" spans="16:27" x14ac:dyDescent="0.2">
      <c r="P1485" s="36"/>
      <c r="Q1485" s="36"/>
      <c r="R1485" s="36"/>
      <c r="S1485" s="36"/>
      <c r="T1485" s="36"/>
      <c r="U1485" s="36"/>
      <c r="V1485" s="36"/>
      <c r="W1485" s="36"/>
      <c r="X1485" s="36"/>
      <c r="Y1485" s="36"/>
      <c r="Z1485" s="36"/>
      <c r="AA1485" s="36"/>
    </row>
    <row r="1486" spans="16:27" x14ac:dyDescent="0.2">
      <c r="P1486" s="36"/>
      <c r="Q1486" s="36"/>
      <c r="R1486" s="36"/>
      <c r="S1486" s="36"/>
      <c r="T1486" s="36"/>
      <c r="U1486" s="36"/>
      <c r="V1486" s="36"/>
      <c r="W1486" s="36"/>
      <c r="X1486" s="36"/>
      <c r="Y1486" s="36"/>
      <c r="Z1486" s="36"/>
      <c r="AA1486" s="36"/>
    </row>
    <row r="1487" spans="16:27" x14ac:dyDescent="0.2">
      <c r="P1487" s="36"/>
      <c r="Q1487" s="36"/>
      <c r="R1487" s="36"/>
      <c r="S1487" s="36"/>
      <c r="T1487" s="36"/>
      <c r="U1487" s="36"/>
      <c r="V1487" s="36"/>
      <c r="W1487" s="36"/>
      <c r="X1487" s="36"/>
      <c r="Y1487" s="36"/>
      <c r="Z1487" s="36"/>
      <c r="AA1487" s="36"/>
    </row>
    <row r="1488" spans="16:27" x14ac:dyDescent="0.2">
      <c r="P1488" s="36"/>
      <c r="Q1488" s="36"/>
      <c r="R1488" s="36"/>
      <c r="S1488" s="36"/>
      <c r="T1488" s="36"/>
      <c r="U1488" s="36"/>
      <c r="V1488" s="36"/>
      <c r="W1488" s="36"/>
      <c r="X1488" s="36"/>
      <c r="Y1488" s="36"/>
      <c r="Z1488" s="36"/>
      <c r="AA1488" s="36"/>
    </row>
    <row r="1489" spans="16:27" x14ac:dyDescent="0.2">
      <c r="P1489" s="36"/>
      <c r="Q1489" s="36"/>
      <c r="R1489" s="36"/>
      <c r="S1489" s="36"/>
      <c r="T1489" s="36"/>
      <c r="U1489" s="36"/>
      <c r="V1489" s="36"/>
      <c r="W1489" s="36"/>
      <c r="X1489" s="36"/>
      <c r="Y1489" s="36"/>
      <c r="Z1489" s="36"/>
      <c r="AA1489" s="36"/>
    </row>
    <row r="1490" spans="16:27" x14ac:dyDescent="0.2">
      <c r="P1490" s="36"/>
      <c r="Q1490" s="36"/>
      <c r="R1490" s="36"/>
      <c r="S1490" s="36"/>
      <c r="T1490" s="36"/>
      <c r="U1490" s="36"/>
      <c r="V1490" s="36"/>
      <c r="W1490" s="36"/>
      <c r="X1490" s="36"/>
      <c r="Y1490" s="36"/>
      <c r="Z1490" s="36"/>
      <c r="AA1490" s="36"/>
    </row>
    <row r="1491" spans="16:27" x14ac:dyDescent="0.2">
      <c r="P1491" s="36"/>
      <c r="Q1491" s="36"/>
      <c r="R1491" s="36"/>
      <c r="S1491" s="36"/>
      <c r="T1491" s="36"/>
      <c r="U1491" s="36"/>
      <c r="V1491" s="36"/>
      <c r="W1491" s="36"/>
      <c r="X1491" s="36"/>
      <c r="Y1491" s="36"/>
      <c r="Z1491" s="36"/>
      <c r="AA1491" s="36"/>
    </row>
    <row r="1492" spans="16:27" x14ac:dyDescent="0.2">
      <c r="P1492" s="36"/>
      <c r="Q1492" s="36"/>
      <c r="R1492" s="36"/>
      <c r="S1492" s="36"/>
      <c r="T1492" s="36"/>
      <c r="U1492" s="36"/>
      <c r="V1492" s="36"/>
      <c r="W1492" s="36"/>
      <c r="X1492" s="36"/>
      <c r="Y1492" s="36"/>
      <c r="Z1492" s="36"/>
      <c r="AA1492" s="36"/>
    </row>
    <row r="1493" spans="16:27" x14ac:dyDescent="0.2">
      <c r="P1493" s="36"/>
      <c r="Q1493" s="36"/>
      <c r="R1493" s="36"/>
      <c r="S1493" s="36"/>
      <c r="T1493" s="36"/>
      <c r="U1493" s="36"/>
      <c r="V1493" s="36"/>
      <c r="W1493" s="36"/>
      <c r="X1493" s="36"/>
      <c r="Y1493" s="36"/>
      <c r="Z1493" s="36"/>
      <c r="AA1493" s="36"/>
    </row>
    <row r="1494" spans="16:27" x14ac:dyDescent="0.2">
      <c r="P1494" s="36"/>
      <c r="Q1494" s="36"/>
      <c r="R1494" s="36"/>
      <c r="S1494" s="36"/>
      <c r="T1494" s="36"/>
      <c r="U1494" s="36"/>
      <c r="V1494" s="36"/>
      <c r="W1494" s="36"/>
      <c r="X1494" s="36"/>
      <c r="Y1494" s="36"/>
      <c r="Z1494" s="36"/>
      <c r="AA1494" s="36"/>
    </row>
    <row r="1495" spans="16:27" x14ac:dyDescent="0.2">
      <c r="P1495" s="36"/>
      <c r="Q1495" s="36"/>
      <c r="R1495" s="36"/>
      <c r="S1495" s="36"/>
      <c r="T1495" s="36"/>
      <c r="U1495" s="36"/>
      <c r="V1495" s="36"/>
      <c r="W1495" s="36"/>
      <c r="X1495" s="36"/>
      <c r="Y1495" s="36"/>
      <c r="Z1495" s="36"/>
      <c r="AA1495" s="36"/>
    </row>
    <row r="1496" spans="16:27" x14ac:dyDescent="0.2">
      <c r="P1496" s="36"/>
      <c r="Q1496" s="36"/>
      <c r="R1496" s="36"/>
      <c r="S1496" s="36"/>
      <c r="T1496" s="36"/>
      <c r="U1496" s="36"/>
      <c r="V1496" s="36"/>
      <c r="W1496" s="36"/>
      <c r="X1496" s="36"/>
      <c r="Y1496" s="36"/>
      <c r="Z1496" s="36"/>
      <c r="AA1496" s="36"/>
    </row>
    <row r="1497" spans="16:27" x14ac:dyDescent="0.2">
      <c r="P1497" s="36"/>
      <c r="Q1497" s="36"/>
      <c r="R1497" s="36"/>
      <c r="S1497" s="36"/>
      <c r="T1497" s="36"/>
      <c r="U1497" s="36"/>
      <c r="V1497" s="36"/>
      <c r="W1497" s="36"/>
      <c r="X1497" s="36"/>
      <c r="Y1497" s="36"/>
      <c r="Z1497" s="36"/>
      <c r="AA1497" s="36"/>
    </row>
    <row r="1498" spans="16:27" x14ac:dyDescent="0.2">
      <c r="P1498" s="36"/>
      <c r="Q1498" s="36"/>
      <c r="R1498" s="36"/>
      <c r="S1498" s="36"/>
      <c r="T1498" s="36"/>
      <c r="U1498" s="36"/>
      <c r="V1498" s="36"/>
      <c r="W1498" s="36"/>
      <c r="X1498" s="36"/>
      <c r="Y1498" s="36"/>
      <c r="Z1498" s="36"/>
      <c r="AA1498" s="36"/>
    </row>
    <row r="1499" spans="16:27" x14ac:dyDescent="0.2">
      <c r="P1499" s="36"/>
      <c r="Q1499" s="36"/>
      <c r="R1499" s="36"/>
      <c r="S1499" s="36"/>
      <c r="T1499" s="36"/>
      <c r="U1499" s="36"/>
      <c r="V1499" s="36"/>
      <c r="W1499" s="36"/>
      <c r="X1499" s="36"/>
      <c r="Y1499" s="36"/>
      <c r="Z1499" s="36"/>
      <c r="AA1499" s="36"/>
    </row>
    <row r="1500" spans="16:27" x14ac:dyDescent="0.2">
      <c r="P1500" s="36"/>
      <c r="Q1500" s="36"/>
      <c r="R1500" s="36"/>
      <c r="S1500" s="36"/>
      <c r="T1500" s="36"/>
      <c r="U1500" s="36"/>
      <c r="V1500" s="36"/>
      <c r="W1500" s="36"/>
      <c r="X1500" s="36"/>
      <c r="Y1500" s="36"/>
      <c r="Z1500" s="36"/>
      <c r="AA1500" s="36"/>
    </row>
    <row r="1501" spans="16:27" x14ac:dyDescent="0.2">
      <c r="P1501" s="36"/>
      <c r="Q1501" s="36"/>
      <c r="R1501" s="36"/>
      <c r="S1501" s="36"/>
      <c r="T1501" s="36"/>
      <c r="U1501" s="36"/>
      <c r="V1501" s="36"/>
      <c r="W1501" s="36"/>
      <c r="X1501" s="36"/>
      <c r="Y1501" s="36"/>
      <c r="Z1501" s="36"/>
      <c r="AA1501" s="36"/>
    </row>
    <row r="1502" spans="16:27" x14ac:dyDescent="0.2">
      <c r="P1502" s="36"/>
      <c r="Q1502" s="36"/>
      <c r="R1502" s="36"/>
      <c r="S1502" s="36"/>
      <c r="T1502" s="36"/>
      <c r="U1502" s="36"/>
      <c r="V1502" s="36"/>
      <c r="W1502" s="36"/>
      <c r="X1502" s="36"/>
      <c r="Y1502" s="36"/>
      <c r="Z1502" s="36"/>
      <c r="AA1502" s="36"/>
    </row>
    <row r="1503" spans="16:27" x14ac:dyDescent="0.2">
      <c r="P1503" s="36"/>
      <c r="Q1503" s="36"/>
      <c r="R1503" s="36"/>
      <c r="S1503" s="36"/>
      <c r="T1503" s="36"/>
      <c r="U1503" s="36"/>
      <c r="V1503" s="36"/>
      <c r="W1503" s="36"/>
      <c r="X1503" s="36"/>
      <c r="Y1503" s="36"/>
      <c r="Z1503" s="36"/>
      <c r="AA1503" s="36"/>
    </row>
    <row r="1504" spans="16:27" x14ac:dyDescent="0.2">
      <c r="P1504" s="36"/>
      <c r="Q1504" s="36"/>
      <c r="R1504" s="36"/>
      <c r="S1504" s="36"/>
      <c r="T1504" s="36"/>
      <c r="U1504" s="36"/>
      <c r="V1504" s="36"/>
      <c r="W1504" s="36"/>
      <c r="X1504" s="36"/>
      <c r="Y1504" s="36"/>
      <c r="Z1504" s="36"/>
      <c r="AA1504" s="36"/>
    </row>
    <row r="1505" spans="16:27" x14ac:dyDescent="0.2">
      <c r="P1505" s="36"/>
      <c r="Q1505" s="36"/>
      <c r="R1505" s="36"/>
      <c r="S1505" s="36"/>
      <c r="T1505" s="36"/>
      <c r="U1505" s="36"/>
      <c r="V1505" s="36"/>
      <c r="W1505" s="36"/>
      <c r="X1505" s="36"/>
      <c r="Y1505" s="36"/>
      <c r="Z1505" s="36"/>
      <c r="AA1505" s="36"/>
    </row>
    <row r="1506" spans="16:27" x14ac:dyDescent="0.2">
      <c r="P1506" s="36"/>
      <c r="Q1506" s="36"/>
      <c r="R1506" s="36"/>
      <c r="S1506" s="36"/>
      <c r="T1506" s="36"/>
      <c r="U1506" s="36"/>
      <c r="V1506" s="36"/>
      <c r="W1506" s="36"/>
      <c r="X1506" s="36"/>
      <c r="Y1506" s="36"/>
      <c r="Z1506" s="36"/>
      <c r="AA1506" s="36"/>
    </row>
    <row r="1507" spans="16:27" x14ac:dyDescent="0.2">
      <c r="P1507" s="36"/>
      <c r="Q1507" s="36"/>
      <c r="R1507" s="36"/>
      <c r="S1507" s="36"/>
      <c r="T1507" s="36"/>
      <c r="U1507" s="36"/>
      <c r="V1507" s="36"/>
      <c r="W1507" s="36"/>
      <c r="X1507" s="36"/>
      <c r="Y1507" s="36"/>
      <c r="Z1507" s="36"/>
      <c r="AA1507" s="36"/>
    </row>
    <row r="1508" spans="16:27" x14ac:dyDescent="0.2">
      <c r="P1508" s="36"/>
      <c r="Q1508" s="36"/>
      <c r="R1508" s="36"/>
      <c r="S1508" s="36"/>
      <c r="T1508" s="36"/>
      <c r="U1508" s="36"/>
      <c r="V1508" s="36"/>
      <c r="W1508" s="36"/>
      <c r="X1508" s="36"/>
      <c r="Y1508" s="36"/>
      <c r="Z1508" s="36"/>
      <c r="AA1508" s="36"/>
    </row>
    <row r="1509" spans="16:27" x14ac:dyDescent="0.2">
      <c r="P1509" s="36"/>
      <c r="Q1509" s="36"/>
      <c r="R1509" s="36"/>
      <c r="S1509" s="36"/>
      <c r="T1509" s="36"/>
      <c r="U1509" s="36"/>
      <c r="V1509" s="36"/>
      <c r="W1509" s="36"/>
      <c r="X1509" s="36"/>
      <c r="Y1509" s="36"/>
      <c r="Z1509" s="36"/>
      <c r="AA1509" s="36"/>
    </row>
    <row r="1510" spans="16:27" x14ac:dyDescent="0.2">
      <c r="P1510" s="36"/>
      <c r="Q1510" s="36"/>
      <c r="R1510" s="36"/>
      <c r="S1510" s="36"/>
      <c r="T1510" s="36"/>
      <c r="U1510" s="36"/>
      <c r="V1510" s="36"/>
      <c r="W1510" s="36"/>
      <c r="X1510" s="36"/>
      <c r="Y1510" s="36"/>
      <c r="Z1510" s="36"/>
      <c r="AA1510" s="36"/>
    </row>
    <row r="1511" spans="16:27" x14ac:dyDescent="0.2">
      <c r="P1511" s="36"/>
      <c r="Q1511" s="36"/>
      <c r="R1511" s="36"/>
      <c r="S1511" s="36"/>
      <c r="T1511" s="36"/>
      <c r="U1511" s="36"/>
      <c r="V1511" s="36"/>
      <c r="W1511" s="36"/>
      <c r="X1511" s="36"/>
      <c r="Y1511" s="36"/>
      <c r="Z1511" s="36"/>
      <c r="AA1511" s="36"/>
    </row>
    <row r="1512" spans="16:27" x14ac:dyDescent="0.2">
      <c r="P1512" s="36"/>
      <c r="Q1512" s="36"/>
      <c r="R1512" s="36"/>
      <c r="S1512" s="36"/>
      <c r="T1512" s="36"/>
      <c r="U1512" s="36"/>
      <c r="V1512" s="36"/>
      <c r="W1512" s="36"/>
      <c r="X1512" s="36"/>
      <c r="Y1512" s="36"/>
      <c r="Z1512" s="36"/>
      <c r="AA1512" s="36"/>
    </row>
    <row r="1513" spans="16:27" x14ac:dyDescent="0.2">
      <c r="P1513" s="36"/>
      <c r="Q1513" s="36"/>
      <c r="R1513" s="36"/>
      <c r="S1513" s="36"/>
      <c r="T1513" s="36"/>
      <c r="U1513" s="36"/>
      <c r="V1513" s="36"/>
      <c r="W1513" s="36"/>
      <c r="X1513" s="36"/>
      <c r="Y1513" s="36"/>
      <c r="Z1513" s="36"/>
      <c r="AA1513" s="36"/>
    </row>
    <row r="1514" spans="16:27" x14ac:dyDescent="0.2">
      <c r="P1514" s="36"/>
      <c r="Q1514" s="36"/>
      <c r="R1514" s="36"/>
      <c r="S1514" s="36"/>
      <c r="T1514" s="36"/>
      <c r="U1514" s="36"/>
      <c r="V1514" s="36"/>
      <c r="W1514" s="36"/>
      <c r="X1514" s="36"/>
      <c r="Y1514" s="36"/>
      <c r="Z1514" s="36"/>
      <c r="AA1514" s="36"/>
    </row>
    <row r="1515" spans="16:27" x14ac:dyDescent="0.2">
      <c r="P1515" s="36"/>
      <c r="Q1515" s="36"/>
      <c r="R1515" s="36"/>
      <c r="S1515" s="36"/>
      <c r="T1515" s="36"/>
      <c r="U1515" s="36"/>
      <c r="V1515" s="36"/>
      <c r="W1515" s="36"/>
      <c r="X1515" s="36"/>
      <c r="Y1515" s="36"/>
      <c r="Z1515" s="36"/>
      <c r="AA1515" s="36"/>
    </row>
    <row r="1516" spans="16:27" x14ac:dyDescent="0.2">
      <c r="P1516" s="36"/>
      <c r="Q1516" s="36"/>
      <c r="R1516" s="36"/>
      <c r="S1516" s="36"/>
      <c r="T1516" s="36"/>
      <c r="U1516" s="36"/>
      <c r="V1516" s="36"/>
      <c r="W1516" s="36"/>
      <c r="X1516" s="36"/>
      <c r="Y1516" s="36"/>
      <c r="Z1516" s="36"/>
      <c r="AA1516" s="36"/>
    </row>
    <row r="1517" spans="16:27" x14ac:dyDescent="0.2">
      <c r="P1517" s="36"/>
      <c r="Q1517" s="36"/>
      <c r="R1517" s="36"/>
      <c r="S1517" s="36"/>
      <c r="T1517" s="36"/>
      <c r="U1517" s="36"/>
      <c r="V1517" s="36"/>
      <c r="W1517" s="36"/>
      <c r="X1517" s="36"/>
      <c r="Y1517" s="36"/>
      <c r="Z1517" s="36"/>
      <c r="AA1517" s="36"/>
    </row>
    <row r="1518" spans="16:27" x14ac:dyDescent="0.2">
      <c r="P1518" s="36"/>
      <c r="Q1518" s="36"/>
      <c r="R1518" s="36"/>
      <c r="S1518" s="36"/>
      <c r="T1518" s="36"/>
      <c r="U1518" s="36"/>
      <c r="V1518" s="36"/>
      <c r="W1518" s="36"/>
      <c r="X1518" s="36"/>
      <c r="Y1518" s="36"/>
      <c r="Z1518" s="36"/>
      <c r="AA1518" s="36"/>
    </row>
    <row r="1519" spans="16:27" x14ac:dyDescent="0.2">
      <c r="P1519" s="36"/>
      <c r="Q1519" s="36"/>
      <c r="R1519" s="36"/>
      <c r="S1519" s="36"/>
      <c r="T1519" s="36"/>
      <c r="U1519" s="36"/>
      <c r="V1519" s="36"/>
      <c r="W1519" s="36"/>
      <c r="X1519" s="36"/>
      <c r="Y1519" s="36"/>
      <c r="Z1519" s="36"/>
      <c r="AA1519" s="36"/>
    </row>
    <row r="1520" spans="16:27" x14ac:dyDescent="0.2">
      <c r="P1520" s="36"/>
      <c r="Q1520" s="36"/>
      <c r="R1520" s="36"/>
      <c r="S1520" s="36"/>
      <c r="T1520" s="36"/>
      <c r="U1520" s="36"/>
      <c r="V1520" s="36"/>
      <c r="W1520" s="36"/>
      <c r="X1520" s="36"/>
      <c r="Y1520" s="36"/>
      <c r="Z1520" s="36"/>
      <c r="AA1520" s="36"/>
    </row>
    <row r="1521" spans="16:27" x14ac:dyDescent="0.2">
      <c r="P1521" s="36"/>
      <c r="Q1521" s="36"/>
      <c r="R1521" s="36"/>
      <c r="S1521" s="36"/>
      <c r="T1521" s="36"/>
      <c r="U1521" s="36"/>
      <c r="V1521" s="36"/>
      <c r="W1521" s="36"/>
      <c r="X1521" s="36"/>
      <c r="Y1521" s="36"/>
      <c r="Z1521" s="36"/>
      <c r="AA1521" s="36"/>
    </row>
    <row r="1522" spans="16:27" x14ac:dyDescent="0.2">
      <c r="P1522" s="36"/>
      <c r="Q1522" s="36"/>
      <c r="R1522" s="36"/>
      <c r="S1522" s="36"/>
      <c r="T1522" s="36"/>
      <c r="U1522" s="36"/>
      <c r="V1522" s="36"/>
      <c r="W1522" s="36"/>
      <c r="X1522" s="36"/>
      <c r="Y1522" s="36"/>
      <c r="Z1522" s="36"/>
      <c r="AA1522" s="36"/>
    </row>
    <row r="1523" spans="16:27" x14ac:dyDescent="0.2">
      <c r="P1523" s="36"/>
      <c r="Q1523" s="36"/>
      <c r="R1523" s="36"/>
      <c r="S1523" s="36"/>
      <c r="T1523" s="36"/>
      <c r="U1523" s="36"/>
      <c r="V1523" s="36"/>
      <c r="W1523" s="36"/>
      <c r="X1523" s="36"/>
      <c r="Y1523" s="36"/>
      <c r="Z1523" s="36"/>
      <c r="AA1523" s="36"/>
    </row>
    <row r="1524" spans="16:27" x14ac:dyDescent="0.2">
      <c r="P1524" s="36"/>
      <c r="Q1524" s="36"/>
      <c r="R1524" s="36"/>
      <c r="S1524" s="36"/>
      <c r="T1524" s="36"/>
      <c r="U1524" s="36"/>
      <c r="V1524" s="36"/>
      <c r="W1524" s="36"/>
      <c r="X1524" s="36"/>
      <c r="Y1524" s="36"/>
      <c r="Z1524" s="36"/>
      <c r="AA1524" s="36"/>
    </row>
    <row r="1525" spans="16:27" x14ac:dyDescent="0.2">
      <c r="P1525" s="36"/>
      <c r="Q1525" s="36"/>
      <c r="R1525" s="36"/>
      <c r="S1525" s="36"/>
      <c r="T1525" s="36"/>
      <c r="U1525" s="36"/>
      <c r="V1525" s="36"/>
      <c r="W1525" s="36"/>
      <c r="X1525" s="36"/>
      <c r="Y1525" s="36"/>
      <c r="Z1525" s="36"/>
      <c r="AA1525" s="36"/>
    </row>
    <row r="1526" spans="16:27" x14ac:dyDescent="0.2">
      <c r="P1526" s="36"/>
      <c r="Q1526" s="36"/>
      <c r="R1526" s="36"/>
      <c r="S1526" s="36"/>
      <c r="T1526" s="36"/>
      <c r="U1526" s="36"/>
      <c r="V1526" s="36"/>
      <c r="W1526" s="36"/>
      <c r="X1526" s="36"/>
      <c r="Y1526" s="36"/>
      <c r="Z1526" s="36"/>
      <c r="AA1526" s="36"/>
    </row>
    <row r="1527" spans="16:27" x14ac:dyDescent="0.2">
      <c r="P1527" s="36"/>
      <c r="Q1527" s="36"/>
      <c r="R1527" s="36"/>
      <c r="S1527" s="36"/>
      <c r="T1527" s="36"/>
      <c r="U1527" s="36"/>
      <c r="V1527" s="36"/>
      <c r="W1527" s="36"/>
      <c r="X1527" s="36"/>
      <c r="Y1527" s="36"/>
      <c r="Z1527" s="36"/>
      <c r="AA1527" s="36"/>
    </row>
    <row r="1528" spans="16:27" x14ac:dyDescent="0.2">
      <c r="P1528" s="36"/>
      <c r="Q1528" s="36"/>
      <c r="R1528" s="36"/>
      <c r="S1528" s="36"/>
      <c r="T1528" s="36"/>
      <c r="U1528" s="36"/>
      <c r="V1528" s="36"/>
      <c r="W1528" s="36"/>
      <c r="X1528" s="36"/>
      <c r="Y1528" s="36"/>
      <c r="Z1528" s="36"/>
      <c r="AA1528" s="36"/>
    </row>
    <row r="1529" spans="16:27" x14ac:dyDescent="0.2">
      <c r="P1529" s="36"/>
      <c r="Q1529" s="36"/>
      <c r="R1529" s="36"/>
      <c r="S1529" s="36"/>
      <c r="T1529" s="36"/>
      <c r="U1529" s="36"/>
      <c r="V1529" s="36"/>
      <c r="W1529" s="36"/>
      <c r="X1529" s="36"/>
      <c r="Y1529" s="36"/>
      <c r="Z1529" s="36"/>
      <c r="AA1529" s="36"/>
    </row>
    <row r="1530" spans="16:27" x14ac:dyDescent="0.2">
      <c r="P1530" s="36"/>
      <c r="Q1530" s="36"/>
      <c r="R1530" s="36"/>
      <c r="S1530" s="36"/>
      <c r="T1530" s="36"/>
      <c r="U1530" s="36"/>
      <c r="V1530" s="36"/>
      <c r="W1530" s="36"/>
      <c r="X1530" s="36"/>
      <c r="Y1530" s="36"/>
      <c r="Z1530" s="36"/>
      <c r="AA1530" s="36"/>
    </row>
    <row r="1531" spans="16:27" x14ac:dyDescent="0.2">
      <c r="P1531" s="36"/>
      <c r="Q1531" s="36"/>
      <c r="R1531" s="36"/>
      <c r="S1531" s="36"/>
      <c r="T1531" s="36"/>
      <c r="U1531" s="36"/>
      <c r="V1531" s="36"/>
      <c r="W1531" s="36"/>
      <c r="X1531" s="36"/>
      <c r="Y1531" s="36"/>
      <c r="Z1531" s="36"/>
      <c r="AA1531" s="36"/>
    </row>
    <row r="1532" spans="16:27" x14ac:dyDescent="0.2">
      <c r="P1532" s="36"/>
      <c r="Q1532" s="36"/>
      <c r="R1532" s="36"/>
      <c r="S1532" s="36"/>
      <c r="T1532" s="36"/>
      <c r="U1532" s="36"/>
      <c r="V1532" s="36"/>
      <c r="W1532" s="36"/>
      <c r="X1532" s="36"/>
      <c r="Y1532" s="36"/>
      <c r="Z1532" s="36"/>
      <c r="AA1532" s="36"/>
    </row>
    <row r="1533" spans="16:27" x14ac:dyDescent="0.2">
      <c r="P1533" s="36"/>
      <c r="Q1533" s="36"/>
      <c r="R1533" s="36"/>
      <c r="S1533" s="36"/>
      <c r="T1533" s="36"/>
      <c r="U1533" s="36"/>
      <c r="V1533" s="36"/>
      <c r="W1533" s="36"/>
      <c r="X1533" s="36"/>
      <c r="Y1533" s="36"/>
      <c r="Z1533" s="36"/>
      <c r="AA1533" s="36"/>
    </row>
    <row r="1534" spans="16:27" x14ac:dyDescent="0.2">
      <c r="P1534" s="36"/>
      <c r="Q1534" s="36"/>
      <c r="R1534" s="36"/>
      <c r="S1534" s="36"/>
      <c r="T1534" s="36"/>
      <c r="U1534" s="36"/>
      <c r="V1534" s="36"/>
      <c r="W1534" s="36"/>
      <c r="X1534" s="36"/>
      <c r="Y1534" s="36"/>
      <c r="Z1534" s="36"/>
      <c r="AA1534" s="36"/>
    </row>
    <row r="1535" spans="16:27" x14ac:dyDescent="0.2">
      <c r="P1535" s="36"/>
      <c r="Q1535" s="36"/>
      <c r="R1535" s="36"/>
      <c r="S1535" s="36"/>
      <c r="T1535" s="36"/>
      <c r="U1535" s="36"/>
      <c r="V1535" s="36"/>
      <c r="W1535" s="36"/>
      <c r="X1535" s="36"/>
      <c r="Y1535" s="36"/>
      <c r="Z1535" s="36"/>
      <c r="AA1535" s="36"/>
    </row>
    <row r="1536" spans="16:27" x14ac:dyDescent="0.2">
      <c r="P1536" s="36"/>
      <c r="Q1536" s="36"/>
      <c r="R1536" s="36"/>
      <c r="S1536" s="36"/>
      <c r="T1536" s="36"/>
      <c r="U1536" s="36"/>
      <c r="V1536" s="36"/>
      <c r="W1536" s="36"/>
      <c r="X1536" s="36"/>
      <c r="Y1536" s="36"/>
      <c r="Z1536" s="36"/>
      <c r="AA1536" s="36"/>
    </row>
    <row r="1537" spans="16:27" x14ac:dyDescent="0.2">
      <c r="P1537" s="36"/>
      <c r="Q1537" s="36"/>
      <c r="R1537" s="36"/>
      <c r="S1537" s="36"/>
      <c r="T1537" s="36"/>
      <c r="U1537" s="36"/>
      <c r="V1537" s="36"/>
      <c r="W1537" s="36"/>
      <c r="X1537" s="36"/>
      <c r="Y1537" s="36"/>
      <c r="Z1537" s="36"/>
      <c r="AA1537" s="36"/>
    </row>
    <row r="1538" spans="16:27" x14ac:dyDescent="0.2">
      <c r="P1538" s="36"/>
      <c r="Q1538" s="36"/>
      <c r="R1538" s="36"/>
      <c r="S1538" s="36"/>
      <c r="T1538" s="36"/>
      <c r="U1538" s="36"/>
      <c r="V1538" s="36"/>
      <c r="W1538" s="36"/>
      <c r="X1538" s="36"/>
      <c r="Y1538" s="36"/>
      <c r="Z1538" s="36"/>
      <c r="AA1538" s="36"/>
    </row>
    <row r="1539" spans="16:27" x14ac:dyDescent="0.2">
      <c r="P1539" s="36"/>
      <c r="Q1539" s="36"/>
      <c r="R1539" s="36"/>
      <c r="S1539" s="36"/>
      <c r="T1539" s="36"/>
      <c r="U1539" s="36"/>
      <c r="V1539" s="36"/>
      <c r="W1539" s="36"/>
      <c r="X1539" s="36"/>
      <c r="Y1539" s="36"/>
      <c r="Z1539" s="36"/>
      <c r="AA1539" s="36"/>
    </row>
    <row r="1540" spans="16:27" x14ac:dyDescent="0.2">
      <c r="P1540" s="36"/>
      <c r="Q1540" s="36"/>
      <c r="R1540" s="36"/>
      <c r="S1540" s="36"/>
      <c r="T1540" s="36"/>
      <c r="U1540" s="36"/>
      <c r="V1540" s="36"/>
      <c r="W1540" s="36"/>
      <c r="X1540" s="36"/>
      <c r="Y1540" s="36"/>
      <c r="Z1540" s="36"/>
      <c r="AA1540" s="36"/>
    </row>
    <row r="1541" spans="16:27" x14ac:dyDescent="0.2">
      <c r="P1541" s="36"/>
      <c r="Q1541" s="36"/>
      <c r="R1541" s="36"/>
      <c r="S1541" s="36"/>
      <c r="T1541" s="36"/>
      <c r="U1541" s="36"/>
      <c r="V1541" s="36"/>
      <c r="W1541" s="36"/>
      <c r="X1541" s="36"/>
      <c r="Y1541" s="36"/>
      <c r="Z1541" s="36"/>
      <c r="AA1541" s="36"/>
    </row>
    <row r="1542" spans="16:27" x14ac:dyDescent="0.2">
      <c r="P1542" s="36"/>
      <c r="Q1542" s="36"/>
      <c r="R1542" s="36"/>
      <c r="S1542" s="36"/>
      <c r="T1542" s="36"/>
      <c r="U1542" s="36"/>
      <c r="V1542" s="36"/>
      <c r="W1542" s="36"/>
      <c r="X1542" s="36"/>
      <c r="Y1542" s="36"/>
      <c r="Z1542" s="36"/>
      <c r="AA1542" s="36"/>
    </row>
    <row r="1543" spans="16:27" x14ac:dyDescent="0.2">
      <c r="P1543" s="36"/>
      <c r="Q1543" s="36"/>
      <c r="R1543" s="36"/>
      <c r="S1543" s="36"/>
      <c r="T1543" s="36"/>
      <c r="U1543" s="36"/>
      <c r="V1543" s="36"/>
      <c r="W1543" s="36"/>
      <c r="X1543" s="36"/>
      <c r="Y1543" s="36"/>
      <c r="Z1543" s="36"/>
      <c r="AA1543" s="36"/>
    </row>
    <row r="1544" spans="16:27" x14ac:dyDescent="0.2">
      <c r="P1544" s="36"/>
      <c r="Q1544" s="36"/>
      <c r="R1544" s="36"/>
      <c r="S1544" s="36"/>
      <c r="T1544" s="36"/>
      <c r="U1544" s="36"/>
      <c r="V1544" s="36"/>
      <c r="W1544" s="36"/>
      <c r="X1544" s="36"/>
      <c r="Y1544" s="36"/>
      <c r="Z1544" s="36"/>
      <c r="AA1544" s="36"/>
    </row>
    <row r="1545" spans="16:27" x14ac:dyDescent="0.2">
      <c r="P1545" s="36"/>
      <c r="Q1545" s="36"/>
      <c r="R1545" s="36"/>
      <c r="S1545" s="36"/>
      <c r="T1545" s="36"/>
      <c r="U1545" s="36"/>
      <c r="V1545" s="36"/>
      <c r="W1545" s="36"/>
      <c r="X1545" s="36"/>
      <c r="Y1545" s="36"/>
      <c r="Z1545" s="36"/>
      <c r="AA1545" s="36"/>
    </row>
    <row r="1546" spans="16:27" x14ac:dyDescent="0.2">
      <c r="P1546" s="36"/>
      <c r="Q1546" s="36"/>
      <c r="R1546" s="36"/>
      <c r="S1546" s="36"/>
      <c r="T1546" s="36"/>
      <c r="U1546" s="36"/>
      <c r="V1546" s="36"/>
      <c r="W1546" s="36"/>
      <c r="X1546" s="36"/>
      <c r="Y1546" s="36"/>
      <c r="Z1546" s="36"/>
      <c r="AA1546" s="36"/>
    </row>
    <row r="1547" spans="16:27" x14ac:dyDescent="0.2">
      <c r="P1547" s="36"/>
      <c r="Q1547" s="36"/>
      <c r="R1547" s="36"/>
      <c r="S1547" s="36"/>
      <c r="T1547" s="36"/>
      <c r="U1547" s="36"/>
      <c r="V1547" s="36"/>
      <c r="W1547" s="36"/>
      <c r="X1547" s="36"/>
      <c r="Y1547" s="36"/>
      <c r="Z1547" s="36"/>
      <c r="AA1547" s="36"/>
    </row>
    <row r="1548" spans="16:27" x14ac:dyDescent="0.2">
      <c r="P1548" s="36"/>
      <c r="Q1548" s="36"/>
      <c r="R1548" s="36"/>
      <c r="S1548" s="36"/>
      <c r="T1548" s="36"/>
      <c r="U1548" s="36"/>
      <c r="V1548" s="36"/>
      <c r="W1548" s="36"/>
      <c r="X1548" s="36"/>
      <c r="Y1548" s="36"/>
      <c r="Z1548" s="36"/>
      <c r="AA1548" s="36"/>
    </row>
    <row r="1549" spans="16:27" x14ac:dyDescent="0.2">
      <c r="P1549" s="36"/>
      <c r="Q1549" s="36"/>
      <c r="R1549" s="36"/>
      <c r="S1549" s="36"/>
      <c r="T1549" s="36"/>
      <c r="U1549" s="36"/>
      <c r="V1549" s="36"/>
      <c r="W1549" s="36"/>
      <c r="X1549" s="36"/>
      <c r="Y1549" s="36"/>
      <c r="Z1549" s="36"/>
      <c r="AA1549" s="36"/>
    </row>
    <row r="1550" spans="16:27" x14ac:dyDescent="0.2">
      <c r="P1550" s="36"/>
      <c r="Q1550" s="36"/>
      <c r="R1550" s="36"/>
      <c r="S1550" s="36"/>
      <c r="T1550" s="36"/>
      <c r="U1550" s="36"/>
      <c r="V1550" s="36"/>
      <c r="W1550" s="36"/>
      <c r="X1550" s="36"/>
      <c r="Y1550" s="36"/>
      <c r="Z1550" s="36"/>
      <c r="AA1550" s="36"/>
    </row>
    <row r="1551" spans="16:27" x14ac:dyDescent="0.2">
      <c r="P1551" s="36"/>
      <c r="Q1551" s="36"/>
      <c r="R1551" s="36"/>
      <c r="S1551" s="36"/>
      <c r="T1551" s="36"/>
      <c r="U1551" s="36"/>
      <c r="V1551" s="36"/>
      <c r="W1551" s="36"/>
      <c r="X1551" s="36"/>
      <c r="Y1551" s="36"/>
      <c r="Z1551" s="36"/>
      <c r="AA1551" s="36"/>
    </row>
    <row r="1552" spans="16:27" x14ac:dyDescent="0.2">
      <c r="P1552" s="36"/>
      <c r="Q1552" s="36"/>
      <c r="R1552" s="36"/>
      <c r="S1552" s="36"/>
      <c r="T1552" s="36"/>
      <c r="U1552" s="36"/>
      <c r="V1552" s="36"/>
      <c r="W1552" s="36"/>
      <c r="X1552" s="36"/>
      <c r="Y1552" s="36"/>
      <c r="Z1552" s="36"/>
      <c r="AA1552" s="36"/>
    </row>
    <row r="1553" spans="16:27" x14ac:dyDescent="0.2">
      <c r="P1553" s="36"/>
      <c r="Q1553" s="36"/>
      <c r="R1553" s="36"/>
      <c r="S1553" s="36"/>
      <c r="T1553" s="36"/>
      <c r="U1553" s="36"/>
      <c r="V1553" s="36"/>
      <c r="W1553" s="36"/>
      <c r="X1553" s="36"/>
      <c r="Y1553" s="36"/>
      <c r="Z1553" s="36"/>
      <c r="AA1553" s="36"/>
    </row>
    <row r="1554" spans="16:27" x14ac:dyDescent="0.2">
      <c r="P1554" s="36"/>
      <c r="Q1554" s="36"/>
      <c r="R1554" s="36"/>
      <c r="S1554" s="36"/>
      <c r="T1554" s="36"/>
      <c r="U1554" s="36"/>
      <c r="V1554" s="36"/>
      <c r="W1554" s="36"/>
      <c r="X1554" s="36"/>
      <c r="Y1554" s="36"/>
      <c r="Z1554" s="36"/>
      <c r="AA1554" s="36"/>
    </row>
    <row r="1555" spans="16:27" x14ac:dyDescent="0.2">
      <c r="P1555" s="36"/>
      <c r="Q1555" s="36"/>
      <c r="R1555" s="36"/>
      <c r="S1555" s="36"/>
      <c r="T1555" s="36"/>
      <c r="U1555" s="36"/>
      <c r="V1555" s="36"/>
      <c r="W1555" s="36"/>
      <c r="X1555" s="36"/>
      <c r="Y1555" s="36"/>
      <c r="Z1555" s="36"/>
      <c r="AA1555" s="36"/>
    </row>
    <row r="1556" spans="16:27" x14ac:dyDescent="0.2">
      <c r="P1556" s="36"/>
      <c r="Q1556" s="36"/>
      <c r="R1556" s="36"/>
      <c r="S1556" s="36"/>
      <c r="T1556" s="36"/>
      <c r="U1556" s="36"/>
      <c r="V1556" s="36"/>
      <c r="W1556" s="36"/>
      <c r="X1556" s="36"/>
      <c r="Y1556" s="36"/>
      <c r="Z1556" s="36"/>
      <c r="AA1556" s="36"/>
    </row>
    <row r="1557" spans="16:27" x14ac:dyDescent="0.2">
      <c r="P1557" s="36"/>
      <c r="Q1557" s="36"/>
      <c r="R1557" s="36"/>
      <c r="S1557" s="36"/>
      <c r="T1557" s="36"/>
      <c r="U1557" s="36"/>
      <c r="V1557" s="36"/>
      <c r="W1557" s="36"/>
      <c r="X1557" s="36"/>
      <c r="Y1557" s="36"/>
      <c r="Z1557" s="36"/>
      <c r="AA1557" s="36"/>
    </row>
    <row r="1558" spans="16:27" x14ac:dyDescent="0.2">
      <c r="P1558" s="36"/>
      <c r="Q1558" s="36"/>
      <c r="R1558" s="36"/>
      <c r="S1558" s="36"/>
      <c r="T1558" s="36"/>
      <c r="U1558" s="36"/>
      <c r="V1558" s="36"/>
      <c r="W1558" s="36"/>
      <c r="X1558" s="36"/>
      <c r="Y1558" s="36"/>
      <c r="Z1558" s="36"/>
      <c r="AA1558" s="36"/>
    </row>
    <row r="1559" spans="16:27" x14ac:dyDescent="0.2">
      <c r="P1559" s="36"/>
      <c r="Q1559" s="36"/>
      <c r="R1559" s="36"/>
      <c r="S1559" s="36"/>
      <c r="T1559" s="36"/>
      <c r="U1559" s="36"/>
      <c r="V1559" s="36"/>
      <c r="W1559" s="36"/>
      <c r="X1559" s="36"/>
      <c r="Y1559" s="36"/>
      <c r="Z1559" s="36"/>
      <c r="AA1559" s="36"/>
    </row>
    <row r="1560" spans="16:27" x14ac:dyDescent="0.2">
      <c r="P1560" s="36"/>
      <c r="Q1560" s="36"/>
      <c r="R1560" s="36"/>
      <c r="S1560" s="36"/>
      <c r="T1560" s="36"/>
      <c r="U1560" s="36"/>
      <c r="V1560" s="36"/>
      <c r="W1560" s="36"/>
      <c r="X1560" s="36"/>
      <c r="Y1560" s="36"/>
      <c r="Z1560" s="36"/>
      <c r="AA1560" s="36"/>
    </row>
    <row r="1561" spans="16:27" x14ac:dyDescent="0.2">
      <c r="P1561" s="36"/>
      <c r="Q1561" s="36"/>
      <c r="R1561" s="36"/>
      <c r="S1561" s="36"/>
      <c r="T1561" s="36"/>
      <c r="U1561" s="36"/>
      <c r="V1561" s="36"/>
      <c r="W1561" s="36"/>
      <c r="X1561" s="36"/>
      <c r="Y1561" s="36"/>
      <c r="Z1561" s="36"/>
      <c r="AA1561" s="36"/>
    </row>
    <row r="1562" spans="16:27" x14ac:dyDescent="0.2">
      <c r="P1562" s="36"/>
      <c r="Q1562" s="36"/>
      <c r="R1562" s="36"/>
      <c r="S1562" s="36"/>
      <c r="T1562" s="36"/>
      <c r="U1562" s="36"/>
      <c r="V1562" s="36"/>
      <c r="W1562" s="36"/>
      <c r="X1562" s="36"/>
      <c r="Y1562" s="36"/>
      <c r="Z1562" s="36"/>
      <c r="AA1562" s="36"/>
    </row>
    <row r="1563" spans="16:27" x14ac:dyDescent="0.2">
      <c r="P1563" s="36"/>
      <c r="Q1563" s="36"/>
      <c r="R1563" s="36"/>
      <c r="S1563" s="36"/>
      <c r="T1563" s="36"/>
      <c r="U1563" s="36"/>
      <c r="V1563" s="36"/>
      <c r="W1563" s="36"/>
      <c r="X1563" s="36"/>
      <c r="Y1563" s="36"/>
      <c r="Z1563" s="36"/>
      <c r="AA1563" s="36"/>
    </row>
    <row r="1564" spans="16:27" x14ac:dyDescent="0.2">
      <c r="P1564" s="36"/>
      <c r="Q1564" s="36"/>
      <c r="R1564" s="36"/>
      <c r="S1564" s="36"/>
      <c r="T1564" s="36"/>
      <c r="U1564" s="36"/>
      <c r="V1564" s="36"/>
      <c r="W1564" s="36"/>
      <c r="X1564" s="36"/>
      <c r="Y1564" s="36"/>
      <c r="Z1564" s="36"/>
      <c r="AA1564" s="36"/>
    </row>
    <row r="1565" spans="16:27" x14ac:dyDescent="0.2">
      <c r="P1565" s="36"/>
      <c r="Q1565" s="36"/>
      <c r="R1565" s="36"/>
      <c r="S1565" s="36"/>
      <c r="T1565" s="36"/>
      <c r="U1565" s="36"/>
      <c r="V1565" s="36"/>
      <c r="W1565" s="36"/>
      <c r="X1565" s="36"/>
      <c r="Y1565" s="36"/>
      <c r="Z1565" s="36"/>
      <c r="AA1565" s="36"/>
    </row>
    <row r="1566" spans="16:27" x14ac:dyDescent="0.2">
      <c r="P1566" s="36"/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</row>
    <row r="1567" spans="16:27" x14ac:dyDescent="0.2">
      <c r="P1567" s="36"/>
      <c r="Q1567" s="36"/>
      <c r="R1567" s="36"/>
      <c r="S1567" s="36"/>
      <c r="T1567" s="36"/>
      <c r="U1567" s="36"/>
      <c r="V1567" s="36"/>
      <c r="W1567" s="36"/>
      <c r="X1567" s="36"/>
      <c r="Y1567" s="36"/>
      <c r="Z1567" s="36"/>
      <c r="AA1567" s="36"/>
    </row>
    <row r="1568" spans="16:27" x14ac:dyDescent="0.2">
      <c r="P1568" s="36"/>
      <c r="Q1568" s="36"/>
      <c r="R1568" s="36"/>
      <c r="S1568" s="36"/>
      <c r="T1568" s="36"/>
      <c r="U1568" s="36"/>
      <c r="V1568" s="36"/>
      <c r="W1568" s="36"/>
      <c r="X1568" s="36"/>
      <c r="Y1568" s="36"/>
      <c r="Z1568" s="36"/>
      <c r="AA1568" s="36"/>
    </row>
    <row r="1569" spans="16:27" x14ac:dyDescent="0.2">
      <c r="P1569" s="36"/>
      <c r="Q1569" s="36"/>
      <c r="R1569" s="36"/>
      <c r="S1569" s="36"/>
      <c r="T1569" s="36"/>
      <c r="U1569" s="36"/>
      <c r="V1569" s="36"/>
      <c r="W1569" s="36"/>
      <c r="X1569" s="36"/>
      <c r="Y1569" s="36"/>
      <c r="Z1569" s="36"/>
      <c r="AA1569" s="36"/>
    </row>
    <row r="1570" spans="16:27" x14ac:dyDescent="0.2">
      <c r="P1570" s="36"/>
      <c r="Q1570" s="36"/>
      <c r="R1570" s="36"/>
      <c r="S1570" s="36"/>
      <c r="T1570" s="36"/>
      <c r="U1570" s="36"/>
      <c r="V1570" s="36"/>
      <c r="W1570" s="36"/>
      <c r="X1570" s="36"/>
      <c r="Y1570" s="36"/>
      <c r="Z1570" s="36"/>
      <c r="AA1570" s="36"/>
    </row>
    <row r="1571" spans="16:27" x14ac:dyDescent="0.2">
      <c r="P1571" s="36"/>
      <c r="Q1571" s="36"/>
      <c r="R1571" s="36"/>
      <c r="S1571" s="36"/>
      <c r="T1571" s="36"/>
      <c r="U1571" s="36"/>
      <c r="V1571" s="36"/>
      <c r="W1571" s="36"/>
      <c r="X1571" s="36"/>
      <c r="Y1571" s="36"/>
      <c r="Z1571" s="36"/>
      <c r="AA1571" s="36"/>
    </row>
    <row r="1572" spans="16:27" x14ac:dyDescent="0.2">
      <c r="P1572" s="36"/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</row>
    <row r="1573" spans="16:27" x14ac:dyDescent="0.2">
      <c r="P1573" s="36"/>
      <c r="Q1573" s="36"/>
      <c r="R1573" s="36"/>
      <c r="S1573" s="36"/>
      <c r="T1573" s="36"/>
      <c r="U1573" s="36"/>
      <c r="V1573" s="36"/>
      <c r="W1573" s="36"/>
      <c r="X1573" s="36"/>
      <c r="Y1573" s="36"/>
      <c r="Z1573" s="36"/>
      <c r="AA1573" s="36"/>
    </row>
    <row r="1574" spans="16:27" x14ac:dyDescent="0.2">
      <c r="P1574" s="36"/>
      <c r="Q1574" s="36"/>
      <c r="R1574" s="36"/>
      <c r="S1574" s="36"/>
      <c r="T1574" s="36"/>
      <c r="U1574" s="36"/>
      <c r="V1574" s="36"/>
      <c r="W1574" s="36"/>
      <c r="X1574" s="36"/>
      <c r="Y1574" s="36"/>
      <c r="Z1574" s="36"/>
      <c r="AA1574" s="36"/>
    </row>
    <row r="1575" spans="16:27" x14ac:dyDescent="0.2">
      <c r="P1575" s="36"/>
      <c r="Q1575" s="36"/>
      <c r="R1575" s="36"/>
      <c r="S1575" s="36"/>
      <c r="T1575" s="36"/>
      <c r="U1575" s="36"/>
      <c r="V1575" s="36"/>
      <c r="W1575" s="36"/>
      <c r="X1575" s="36"/>
      <c r="Y1575" s="36"/>
      <c r="Z1575" s="36"/>
      <c r="AA1575" s="36"/>
    </row>
    <row r="1576" spans="16:27" x14ac:dyDescent="0.2">
      <c r="P1576" s="36"/>
      <c r="Q1576" s="36"/>
      <c r="R1576" s="36"/>
      <c r="S1576" s="36"/>
      <c r="T1576" s="36"/>
      <c r="U1576" s="36"/>
      <c r="V1576" s="36"/>
      <c r="W1576" s="36"/>
      <c r="X1576" s="36"/>
      <c r="Y1576" s="36"/>
      <c r="Z1576" s="36"/>
      <c r="AA1576" s="36"/>
    </row>
    <row r="1577" spans="16:27" x14ac:dyDescent="0.2">
      <c r="P1577" s="36"/>
      <c r="Q1577" s="36"/>
      <c r="R1577" s="36"/>
      <c r="S1577" s="36"/>
      <c r="T1577" s="36"/>
      <c r="U1577" s="36"/>
      <c r="V1577" s="36"/>
      <c r="W1577" s="36"/>
      <c r="X1577" s="36"/>
      <c r="Y1577" s="36"/>
      <c r="Z1577" s="36"/>
      <c r="AA1577" s="36"/>
    </row>
    <row r="1578" spans="16:27" x14ac:dyDescent="0.2">
      <c r="P1578" s="36"/>
      <c r="Q1578" s="36"/>
      <c r="R1578" s="36"/>
      <c r="S1578" s="36"/>
      <c r="T1578" s="36"/>
      <c r="U1578" s="36"/>
      <c r="V1578" s="36"/>
      <c r="W1578" s="36"/>
      <c r="X1578" s="36"/>
      <c r="Y1578" s="36"/>
      <c r="Z1578" s="36"/>
      <c r="AA1578" s="36"/>
    </row>
    <row r="1579" spans="16:27" x14ac:dyDescent="0.2">
      <c r="P1579" s="36"/>
      <c r="Q1579" s="36"/>
      <c r="R1579" s="36"/>
      <c r="S1579" s="36"/>
      <c r="T1579" s="36"/>
      <c r="U1579" s="36"/>
      <c r="V1579" s="36"/>
      <c r="W1579" s="36"/>
      <c r="X1579" s="36"/>
      <c r="Y1579" s="36"/>
      <c r="Z1579" s="36"/>
      <c r="AA1579" s="36"/>
    </row>
    <row r="1580" spans="16:27" x14ac:dyDescent="0.2">
      <c r="P1580" s="36"/>
      <c r="Q1580" s="36"/>
      <c r="R1580" s="36"/>
      <c r="S1580" s="36"/>
      <c r="T1580" s="36"/>
      <c r="U1580" s="36"/>
      <c r="V1580" s="36"/>
      <c r="W1580" s="36"/>
      <c r="X1580" s="36"/>
      <c r="Y1580" s="36"/>
      <c r="Z1580" s="36"/>
      <c r="AA1580" s="36"/>
    </row>
    <row r="1581" spans="16:27" x14ac:dyDescent="0.2">
      <c r="P1581" s="36"/>
      <c r="Q1581" s="36"/>
      <c r="R1581" s="36"/>
      <c r="S1581" s="36"/>
      <c r="T1581" s="36"/>
      <c r="U1581" s="36"/>
      <c r="V1581" s="36"/>
      <c r="W1581" s="36"/>
      <c r="X1581" s="36"/>
      <c r="Y1581" s="36"/>
      <c r="Z1581" s="36"/>
      <c r="AA1581" s="36"/>
    </row>
    <row r="1582" spans="16:27" x14ac:dyDescent="0.2">
      <c r="P1582" s="36"/>
      <c r="Q1582" s="36"/>
      <c r="R1582" s="36"/>
      <c r="S1582" s="36"/>
      <c r="T1582" s="36"/>
      <c r="U1582" s="36"/>
      <c r="V1582" s="36"/>
      <c r="W1582" s="36"/>
      <c r="X1582" s="36"/>
      <c r="Y1582" s="36"/>
      <c r="Z1582" s="36"/>
      <c r="AA1582" s="36"/>
    </row>
    <row r="1583" spans="16:27" x14ac:dyDescent="0.2">
      <c r="P1583" s="36"/>
      <c r="Q1583" s="36"/>
      <c r="R1583" s="36"/>
      <c r="S1583" s="36"/>
      <c r="T1583" s="36"/>
      <c r="U1583" s="36"/>
      <c r="V1583" s="36"/>
      <c r="W1583" s="36"/>
      <c r="X1583" s="36"/>
      <c r="Y1583" s="36"/>
      <c r="Z1583" s="36"/>
      <c r="AA1583" s="36"/>
    </row>
    <row r="1584" spans="16:27" x14ac:dyDescent="0.2">
      <c r="P1584" s="36"/>
      <c r="Q1584" s="36"/>
      <c r="R1584" s="36"/>
      <c r="S1584" s="36"/>
      <c r="T1584" s="36"/>
      <c r="U1584" s="36"/>
      <c r="V1584" s="36"/>
      <c r="W1584" s="36"/>
      <c r="X1584" s="36"/>
      <c r="Y1584" s="36"/>
      <c r="Z1584" s="36"/>
      <c r="AA1584" s="36"/>
    </row>
    <row r="1585" spans="16:27" x14ac:dyDescent="0.2">
      <c r="P1585" s="36"/>
      <c r="Q1585" s="36"/>
      <c r="R1585" s="36"/>
      <c r="S1585" s="36"/>
      <c r="T1585" s="36"/>
      <c r="U1585" s="36"/>
      <c r="V1585" s="36"/>
      <c r="W1585" s="36"/>
      <c r="X1585" s="36"/>
      <c r="Y1585" s="36"/>
      <c r="Z1585" s="36"/>
      <c r="AA1585" s="36"/>
    </row>
    <row r="1586" spans="16:27" x14ac:dyDescent="0.2">
      <c r="P1586" s="36"/>
      <c r="Q1586" s="36"/>
      <c r="R1586" s="36"/>
      <c r="S1586" s="36"/>
      <c r="T1586" s="36"/>
      <c r="U1586" s="36"/>
      <c r="V1586" s="36"/>
      <c r="W1586" s="36"/>
      <c r="X1586" s="36"/>
      <c r="Y1586" s="36"/>
      <c r="Z1586" s="36"/>
      <c r="AA1586" s="36"/>
    </row>
    <row r="1587" spans="16:27" x14ac:dyDescent="0.2">
      <c r="P1587" s="36"/>
      <c r="Q1587" s="36"/>
      <c r="R1587" s="36"/>
      <c r="S1587" s="36"/>
      <c r="T1587" s="36"/>
      <c r="U1587" s="36"/>
      <c r="V1587" s="36"/>
      <c r="W1587" s="36"/>
      <c r="X1587" s="36"/>
      <c r="Y1587" s="36"/>
      <c r="Z1587" s="36"/>
      <c r="AA1587" s="36"/>
    </row>
    <row r="1588" spans="16:27" x14ac:dyDescent="0.2">
      <c r="P1588" s="36"/>
      <c r="Q1588" s="36"/>
      <c r="R1588" s="36"/>
      <c r="S1588" s="36"/>
      <c r="T1588" s="36"/>
      <c r="U1588" s="36"/>
      <c r="V1588" s="36"/>
      <c r="W1588" s="36"/>
      <c r="X1588" s="36"/>
      <c r="Y1588" s="36"/>
      <c r="Z1588" s="36"/>
      <c r="AA1588" s="36"/>
    </row>
    <row r="1589" spans="16:27" x14ac:dyDescent="0.2">
      <c r="P1589" s="36"/>
      <c r="Q1589" s="36"/>
      <c r="R1589" s="36"/>
      <c r="S1589" s="36"/>
      <c r="T1589" s="36"/>
      <c r="U1589" s="36"/>
      <c r="V1589" s="36"/>
      <c r="W1589" s="36"/>
      <c r="X1589" s="36"/>
      <c r="Y1589" s="36"/>
      <c r="Z1589" s="36"/>
      <c r="AA1589" s="36"/>
    </row>
    <row r="1590" spans="16:27" x14ac:dyDescent="0.2">
      <c r="P1590" s="36"/>
      <c r="Q1590" s="36"/>
      <c r="R1590" s="36"/>
      <c r="S1590" s="36"/>
      <c r="T1590" s="36"/>
      <c r="U1590" s="36"/>
      <c r="V1590" s="36"/>
      <c r="W1590" s="36"/>
      <c r="X1590" s="36"/>
      <c r="Y1590" s="36"/>
      <c r="Z1590" s="36"/>
      <c r="AA1590" s="36"/>
    </row>
    <row r="1591" spans="16:27" x14ac:dyDescent="0.2">
      <c r="P1591" s="36"/>
      <c r="Q1591" s="36"/>
      <c r="R1591" s="36"/>
      <c r="S1591" s="36"/>
      <c r="T1591" s="36"/>
      <c r="U1591" s="36"/>
      <c r="V1591" s="36"/>
      <c r="W1591" s="36"/>
      <c r="X1591" s="36"/>
      <c r="Y1591" s="36"/>
      <c r="Z1591" s="36"/>
      <c r="AA1591" s="36"/>
    </row>
    <row r="1592" spans="16:27" x14ac:dyDescent="0.2">
      <c r="P1592" s="36"/>
      <c r="Q1592" s="36"/>
      <c r="R1592" s="36"/>
      <c r="S1592" s="36"/>
      <c r="T1592" s="36"/>
      <c r="U1592" s="36"/>
      <c r="V1592" s="36"/>
      <c r="W1592" s="36"/>
      <c r="X1592" s="36"/>
      <c r="Y1592" s="36"/>
      <c r="Z1592" s="36"/>
      <c r="AA1592" s="36"/>
    </row>
    <row r="1593" spans="16:27" x14ac:dyDescent="0.2">
      <c r="P1593" s="36"/>
      <c r="Q1593" s="36"/>
      <c r="R1593" s="36"/>
      <c r="S1593" s="36"/>
      <c r="T1593" s="36"/>
      <c r="U1593" s="36"/>
      <c r="V1593" s="36"/>
      <c r="W1593" s="36"/>
      <c r="X1593" s="36"/>
      <c r="Y1593" s="36"/>
      <c r="Z1593" s="36"/>
      <c r="AA1593" s="36"/>
    </row>
    <row r="1594" spans="16:27" x14ac:dyDescent="0.2">
      <c r="P1594" s="36"/>
      <c r="Q1594" s="36"/>
      <c r="R1594" s="36"/>
      <c r="S1594" s="36"/>
      <c r="T1594" s="36"/>
      <c r="U1594" s="36"/>
      <c r="V1594" s="36"/>
      <c r="W1594" s="36"/>
      <c r="X1594" s="36"/>
      <c r="Y1594" s="36"/>
      <c r="Z1594" s="36"/>
      <c r="AA1594" s="36"/>
    </row>
    <row r="1595" spans="16:27" x14ac:dyDescent="0.2">
      <c r="P1595" s="36"/>
      <c r="Q1595" s="36"/>
      <c r="R1595" s="36"/>
      <c r="S1595" s="36"/>
      <c r="T1595" s="36"/>
      <c r="U1595" s="36"/>
      <c r="V1595" s="36"/>
      <c r="W1595" s="36"/>
      <c r="X1595" s="36"/>
      <c r="Y1595" s="36"/>
      <c r="Z1595" s="36"/>
      <c r="AA1595" s="36"/>
    </row>
    <row r="1596" spans="16:27" x14ac:dyDescent="0.2">
      <c r="P1596" s="36"/>
      <c r="Q1596" s="36"/>
      <c r="R1596" s="36"/>
      <c r="S1596" s="36"/>
      <c r="T1596" s="36"/>
      <c r="U1596" s="36"/>
      <c r="V1596" s="36"/>
      <c r="W1596" s="36"/>
      <c r="X1596" s="36"/>
      <c r="Y1596" s="36"/>
      <c r="Z1596" s="36"/>
      <c r="AA1596" s="36"/>
    </row>
    <row r="1597" spans="16:27" x14ac:dyDescent="0.2">
      <c r="P1597" s="36"/>
      <c r="Q1597" s="36"/>
      <c r="R1597" s="36"/>
      <c r="S1597" s="36"/>
      <c r="T1597" s="36"/>
      <c r="U1597" s="36"/>
      <c r="V1597" s="36"/>
      <c r="W1597" s="36"/>
      <c r="X1597" s="36"/>
      <c r="Y1597" s="36"/>
      <c r="Z1597" s="36"/>
      <c r="AA1597" s="36"/>
    </row>
    <row r="1598" spans="16:27" x14ac:dyDescent="0.2">
      <c r="P1598" s="36"/>
      <c r="Q1598" s="36"/>
      <c r="R1598" s="36"/>
      <c r="S1598" s="36"/>
      <c r="T1598" s="36"/>
      <c r="U1598" s="36"/>
      <c r="V1598" s="36"/>
      <c r="W1598" s="36"/>
      <c r="X1598" s="36"/>
      <c r="Y1598" s="36"/>
      <c r="Z1598" s="36"/>
      <c r="AA1598" s="36"/>
    </row>
    <row r="1599" spans="16:27" x14ac:dyDescent="0.2">
      <c r="P1599" s="36"/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</row>
    <row r="1600" spans="16:27" x14ac:dyDescent="0.2">
      <c r="P1600" s="36"/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</row>
    <row r="1601" spans="16:27" x14ac:dyDescent="0.2">
      <c r="P1601" s="36"/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</row>
    <row r="1602" spans="16:27" x14ac:dyDescent="0.2">
      <c r="P1602" s="36"/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</row>
    <row r="1603" spans="16:27" x14ac:dyDescent="0.2">
      <c r="P1603" s="36"/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</row>
    <row r="1604" spans="16:27" x14ac:dyDescent="0.2">
      <c r="P1604" s="36"/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</row>
    <row r="1605" spans="16:27" x14ac:dyDescent="0.2">
      <c r="P1605" s="36"/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</row>
    <row r="1606" spans="16:27" x14ac:dyDescent="0.2">
      <c r="P1606" s="36"/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</row>
    <row r="1607" spans="16:27" x14ac:dyDescent="0.2">
      <c r="P1607" s="36"/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</row>
    <row r="1608" spans="16:27" x14ac:dyDescent="0.2">
      <c r="P1608" s="36"/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</row>
    <row r="1609" spans="16:27" x14ac:dyDescent="0.2">
      <c r="P1609" s="36"/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</row>
    <row r="1610" spans="16:27" x14ac:dyDescent="0.2">
      <c r="P1610" s="36"/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</row>
    <row r="1611" spans="16:27" x14ac:dyDescent="0.2">
      <c r="P1611" s="36"/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</row>
    <row r="1612" spans="16:27" x14ac:dyDescent="0.2">
      <c r="P1612" s="36"/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</row>
    <row r="1613" spans="16:27" x14ac:dyDescent="0.2">
      <c r="P1613" s="36"/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</row>
    <row r="1614" spans="16:27" x14ac:dyDescent="0.2">
      <c r="P1614" s="36"/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</row>
    <row r="1615" spans="16:27" x14ac:dyDescent="0.2">
      <c r="P1615" s="36"/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</row>
    <row r="1616" spans="16:27" x14ac:dyDescent="0.2">
      <c r="P1616" s="36"/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</row>
    <row r="1617" spans="16:27" x14ac:dyDescent="0.2">
      <c r="P1617" s="36"/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</row>
    <row r="1618" spans="16:27" x14ac:dyDescent="0.2">
      <c r="P1618" s="36"/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</row>
  </sheetData>
  <dataValidations count="1">
    <dataValidation type="list" allowBlank="1" showInputMessage="1" showErrorMessage="1" sqref="X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Length4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9</xdr:row>
                    <xdr:rowOff>123825</xdr:rowOff>
                  </from>
                  <to>
                    <xdr:col>29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Length1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</xdr:row>
                    <xdr:rowOff>276225</xdr:rowOff>
                  </from>
                  <to>
                    <xdr:col>29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Length7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18</xdr:row>
                    <xdr:rowOff>0</xdr:rowOff>
                  </from>
                  <to>
                    <xdr:col>29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Length2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4</xdr:row>
                    <xdr:rowOff>38100</xdr:rowOff>
                  </from>
                  <to>
                    <xdr:col>29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3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7</xdr:row>
                    <xdr:rowOff>0</xdr:rowOff>
                  </from>
                  <to>
                    <xdr:col>29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5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12</xdr:row>
                    <xdr:rowOff>66675</xdr:rowOff>
                  </from>
                  <to>
                    <xdr:col>29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6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15</xdr:row>
                    <xdr:rowOff>19050</xdr:rowOff>
                  </from>
                  <to>
                    <xdr:col>29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B1618"/>
  <sheetViews>
    <sheetView showGridLines="0" topLeftCell="K1" workbookViewId="0">
      <selection activeCell="M3" sqref="M3"/>
    </sheetView>
  </sheetViews>
  <sheetFormatPr defaultRowHeight="11.25" outlineLevelCol="1" x14ac:dyDescent="0.2"/>
  <cols>
    <col min="1" max="1" width="10" style="33" hidden="1" customWidth="1" outlineLevel="1"/>
    <col min="2" max="2" width="17.28515625" style="33" hidden="1" customWidth="1" outlineLevel="1"/>
    <col min="3" max="3" width="7" style="33" hidden="1" customWidth="1" outlineLevel="1"/>
    <col min="4" max="4" width="17.28515625" style="33" hidden="1" customWidth="1" outlineLevel="1"/>
    <col min="5" max="5" width="6" style="33" hidden="1" customWidth="1" outlineLevel="1"/>
    <col min="6" max="6" width="10" style="33" hidden="1" customWidth="1" outlineLevel="1"/>
    <col min="7" max="7" width="6" style="33" hidden="1" customWidth="1" outlineLevel="1"/>
    <col min="8" max="8" width="8" style="33" hidden="1" customWidth="1" outlineLevel="1"/>
    <col min="9" max="10" width="12" style="33" hidden="1" customWidth="1" outlineLevel="1"/>
    <col min="11" max="11" width="2.7109375" style="33" customWidth="1" collapsed="1"/>
    <col min="12" max="12" width="12" style="33" bestFit="1" customWidth="1"/>
    <col min="13" max="13" width="15.140625" style="33" bestFit="1" customWidth="1"/>
    <col min="14" max="14" width="6" style="33" bestFit="1" customWidth="1"/>
    <col min="15" max="15" width="3" style="33" bestFit="1" customWidth="1"/>
    <col min="16" max="16" width="6" style="33" bestFit="1" customWidth="1"/>
    <col min="17" max="18" width="17.28515625" style="33" bestFit="1" customWidth="1"/>
    <col min="19" max="19" width="17.28515625" style="33" customWidth="1"/>
    <col min="20" max="22" width="9.7109375" style="33" customWidth="1"/>
    <col min="23" max="25" width="9" style="33" hidden="1" customWidth="1" outlineLevel="1"/>
    <col min="26" max="26" width="12" style="33" customWidth="1" collapsed="1"/>
    <col min="27" max="27" width="12" style="33" customWidth="1"/>
    <col min="28" max="32" width="9.140625" style="33"/>
    <col min="33" max="33" width="15.140625" style="33" bestFit="1" customWidth="1"/>
    <col min="34" max="35" width="9.140625" style="33"/>
    <col min="36" max="36" width="13.140625" style="33" bestFit="1" customWidth="1"/>
    <col min="37" max="16384" width="9.140625" style="33"/>
  </cols>
  <sheetData>
    <row r="1" spans="1:27" x14ac:dyDescent="0.2">
      <c r="A1" s="14" t="s">
        <v>25</v>
      </c>
      <c r="B1" s="14"/>
      <c r="C1" s="14"/>
      <c r="D1" s="14"/>
      <c r="E1" s="14"/>
      <c r="F1" s="14" t="s">
        <v>26</v>
      </c>
      <c r="G1" s="14"/>
      <c r="H1" s="14"/>
      <c r="I1" s="14"/>
      <c r="J1" s="14"/>
      <c r="T1" s="42"/>
      <c r="U1" s="42"/>
      <c r="V1" s="34"/>
      <c r="W1" s="34"/>
      <c r="X1" s="34"/>
      <c r="Y1" s="34"/>
    </row>
    <row r="2" spans="1:27" ht="22.5" customHeight="1" x14ac:dyDescent="0.2">
      <c r="A2" s="15" t="s">
        <v>27</v>
      </c>
      <c r="B2" s="15" t="s">
        <v>28</v>
      </c>
      <c r="C2" s="15" t="s">
        <v>29</v>
      </c>
      <c r="D2" s="15" t="s">
        <v>30</v>
      </c>
      <c r="E2" s="15" t="s">
        <v>31</v>
      </c>
      <c r="F2" s="15" t="s">
        <v>28</v>
      </c>
      <c r="G2" s="15" t="s">
        <v>30</v>
      </c>
      <c r="H2" s="15" t="s">
        <v>31</v>
      </c>
      <c r="I2" s="15" t="s">
        <v>32</v>
      </c>
      <c r="J2" s="15" t="s">
        <v>33</v>
      </c>
      <c r="Q2" s="45" t="s">
        <v>22</v>
      </c>
      <c r="R2" s="45" t="s">
        <v>23</v>
      </c>
      <c r="S2" s="45" t="s">
        <v>55</v>
      </c>
      <c r="T2" s="45" t="s">
        <v>24</v>
      </c>
      <c r="U2" s="45" t="str">
        <f>"F "&amp;$M$3</f>
        <v>F 1Y</v>
      </c>
      <c r="V2" s="45" t="s">
        <v>36</v>
      </c>
      <c r="W2" s="45" t="s">
        <v>37</v>
      </c>
      <c r="X2" s="45" t="s">
        <v>56</v>
      </c>
      <c r="Y2" s="45" t="s">
        <v>44</v>
      </c>
      <c r="Z2" s="45" t="s">
        <v>43</v>
      </c>
      <c r="AA2" s="45" t="s">
        <v>52</v>
      </c>
    </row>
    <row r="3" spans="1:27" x14ac:dyDescent="0.2">
      <c r="A3" s="18" t="str">
        <f>_xll.qlPeriodEquivalent(C3&amp;"M")</f>
        <v>1Y</v>
      </c>
      <c r="B3" s="10">
        <f>_xll.qlDateEndOfMonth(EDATE(_xll.qlSettingsEvaluationDate(Trigger),-1))</f>
        <v>42155</v>
      </c>
      <c r="C3" s="11">
        <v>12</v>
      </c>
      <c r="D3" s="10">
        <f>EDATE($Q$3,C3)</f>
        <v>42525</v>
      </c>
      <c r="E3" s="12">
        <f>IF(C3&lt;=12,1,IF(C3&lt;=24,3,IF(C3&lt;=120,6,IF(C3&lt;=240,12,IF(C3&lt;=360,36,60)))))</f>
        <v>1</v>
      </c>
      <c r="F3" s="16" t="e">
        <f>ROUNDDOWN(I3*10,2)/10</f>
        <v>#NUM!</v>
      </c>
      <c r="G3" s="17" t="e">
        <f>IF(J3-I3&gt;1%,(QUOTIENT(J3*10000,50)+1)*0.5%,(QUOTIENT(J3*10000,10)+1)*0.1%)</f>
        <v>#NUM!</v>
      </c>
      <c r="H3" s="12" t="e">
        <f>IF(G3-F3&lt;0.5%,0.025%,IF(G3-F3&lt;1%,0.1%,IF(G3-F3&lt;2%,0.25%,0.5%)))</f>
        <v>#NUM!</v>
      </c>
      <c r="I3" s="17" t="e">
        <f>MIN(_xll.ohPack($V$3:INDEX($V$3:$V$135,MATCH(D3+1,$R$3:$R$135,1),1)))</f>
        <v>#NUM!</v>
      </c>
      <c r="J3" s="17" t="e">
        <f>MAX(_xll.ohPack($V$3:INDEX($V$3:$V$135,MATCH(D3+1,$R$3:$R$135,1),1)))</f>
        <v>#NUM!</v>
      </c>
      <c r="L3" s="46" t="s">
        <v>21</v>
      </c>
      <c r="M3" s="35" t="s">
        <v>53</v>
      </c>
      <c r="N3" s="36"/>
      <c r="O3" s="33">
        <v>0</v>
      </c>
      <c r="P3" s="26" t="str">
        <f>O3&amp;"M"</f>
        <v>0M</v>
      </c>
      <c r="Q3" s="75">
        <f>EvaluationDate</f>
        <v>42159</v>
      </c>
      <c r="R3" s="75">
        <f>_xll.qlInterestRateIndexValueDate(Index,Q3,Trigger)</f>
        <v>42163</v>
      </c>
      <c r="S3" s="28">
        <f>_xll.qlInterestRateIndexMaturity(Index,R3,Trigger)</f>
        <v>42529</v>
      </c>
      <c r="T3" s="76">
        <f>_xll.qlIndexFixing($M$6,Q3,,InterestRatesTrigger)</f>
        <v>-1.2022806715398183E-3</v>
      </c>
      <c r="U3" s="76" t="e">
        <f>_xll.qlIndexFixing(Index,Q3,,InterestRatesTrigger)</f>
        <v>#NUM!</v>
      </c>
      <c r="V3" s="76" t="e">
        <f>U3-T3</f>
        <v>#NUM!</v>
      </c>
      <c r="W3" s="77">
        <f>_xll.qlDayCounterYearFraction(DayCounter,SettlementDate,R3,,,Trigger)</f>
        <v>0</v>
      </c>
      <c r="X3" s="77">
        <f>_xll.qlDayCounterYearFraction(DayCounter,R3,S3)</f>
        <v>1.0166666666666666</v>
      </c>
      <c r="Y3" s="77" t="e">
        <f>_xll.qlYieldTSDiscount(Currency&amp;"ON",R3)/(1+U3*X3)</f>
        <v>#NUM!</v>
      </c>
      <c r="Z3" s="76" t="e">
        <f>_xll.qlTenorBasisValue(TenorBasis6M,R3,InterestRatesTrigger)</f>
        <v>#VALUE!</v>
      </c>
      <c r="AA3" s="76" t="e">
        <f>V3-Z3</f>
        <v>#NUM!</v>
      </c>
    </row>
    <row r="4" spans="1:27" x14ac:dyDescent="0.2">
      <c r="A4" s="18" t="str">
        <f>_xll.qlPeriodEquivalent(C4&amp;"M")</f>
        <v>2Y</v>
      </c>
      <c r="B4" s="10">
        <f>_xll.qlDateEndOfMonth(EDATE(_xll.qlIMMNextDate(_xll.qlSettingsEvaluationDate(Trigger)-1,TRUE),-3))</f>
        <v>42094</v>
      </c>
      <c r="C4" s="11">
        <v>24</v>
      </c>
      <c r="D4" s="10">
        <f t="shared" ref="D4:D9" si="0">EDATE($Q$3,C4)</f>
        <v>42890</v>
      </c>
      <c r="E4" s="12">
        <f t="shared" ref="E4:E9" si="1">IF(C4&lt;=12,1,IF(C4&lt;=24,3,IF(C4&lt;=120,6,IF(C4&lt;=240,12,IF(C4&lt;=360,36,60)))))</f>
        <v>3</v>
      </c>
      <c r="F4" s="16" t="e">
        <f t="shared" ref="F4:F9" si="2">ROUNDDOWN(I4*10,2)/10</f>
        <v>#NUM!</v>
      </c>
      <c r="G4" s="17" t="e">
        <f t="shared" ref="G4:G9" si="3">IF(J4-I4&gt;1%,(QUOTIENT(J4*10000,50)+1)*0.5%,(QUOTIENT(J4*10000,10)+1)*0.1%)</f>
        <v>#NUM!</v>
      </c>
      <c r="H4" s="12" t="e">
        <f t="shared" ref="H4:H9" si="4">IF(G4-F4&lt;0.5%,0.025%,IF(G4-F4&lt;1%,0.1%,IF(G4-F4&lt;2%,0.25%,0.5%)))</f>
        <v>#NUM!</v>
      </c>
      <c r="I4" s="17" t="e">
        <f>MIN(_xll.ohPack($V$3:INDEX($V$3:$V$135,MATCH(D4+1,$R$3:$R$135,1),1)))</f>
        <v>#NUM!</v>
      </c>
      <c r="J4" s="17" t="e">
        <f>MAX(_xll.ohPack($V$3:INDEX($V$3:$V$135,MATCH(D4+1,$R$3:$R$135,1),1)))</f>
        <v>#NUM!</v>
      </c>
      <c r="N4" s="36"/>
      <c r="O4" s="33">
        <v>1</v>
      </c>
      <c r="P4" s="26" t="str">
        <f>_xll.qlPeriodEquivalent(P3&amp;"+"&amp;O4&amp;"M")</f>
        <v>1M</v>
      </c>
      <c r="Q4" s="28">
        <f>_xll.qlCalendarAdvance(Calendar,SettlementDate,P4,"f",,Trigger)</f>
        <v>42193</v>
      </c>
      <c r="R4" s="28">
        <f>_xll.qlInterestRateIndexValueDate(Index,Q4,Trigger)</f>
        <v>42195</v>
      </c>
      <c r="S4" s="28">
        <f>_xll.qlInterestRateIndexMaturity(Index,R4,Trigger)</f>
        <v>42562</v>
      </c>
      <c r="T4" s="30">
        <f>_xll.qlIndexFixing($M$6,Q4,,InterestRatesTrigger)</f>
        <v>-1.1841822831247454E-3</v>
      </c>
      <c r="U4" s="30" t="e">
        <f>_xll.qlIndexFixing(Index,Q4,,InterestRatesTrigger)</f>
        <v>#NUM!</v>
      </c>
      <c r="V4" s="30" t="e">
        <f t="shared" ref="V4:V67" si="5">U4-T4</f>
        <v>#NUM!</v>
      </c>
      <c r="W4" s="29">
        <f>_xll.qlDayCounterYearFraction(DayCounter,SettlementDate,R4,,,Trigger)</f>
        <v>8.8888888888888892E-2</v>
      </c>
      <c r="X4" s="29">
        <f>_xll.qlDayCounterYearFraction(DayCounter,R4,S4)</f>
        <v>1.0194444444444444</v>
      </c>
      <c r="Y4" s="29" t="e">
        <f>_xll.qlYieldTSDiscount(Currency&amp;"ON",R4)/(1+U4*X4)</f>
        <v>#NUM!</v>
      </c>
      <c r="Z4" s="30" t="e">
        <f>_xll.qlTenorBasisValue(TenorBasis6M,R4,InterestRatesTrigger)</f>
        <v>#VALUE!</v>
      </c>
      <c r="AA4" s="30" t="e">
        <f t="shared" ref="AA4:AA67" si="6">V4-Z4</f>
        <v>#NUM!</v>
      </c>
    </row>
    <row r="5" spans="1:27" x14ac:dyDescent="0.2">
      <c r="A5" s="18" t="str">
        <f>_xll.qlPeriodEquivalent(C5&amp;"M")</f>
        <v>5Y</v>
      </c>
      <c r="B5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5" s="11">
        <v>60</v>
      </c>
      <c r="D5" s="10">
        <f t="shared" si="0"/>
        <v>43986</v>
      </c>
      <c r="E5" s="12">
        <f t="shared" si="1"/>
        <v>6</v>
      </c>
      <c r="F5" s="16" t="e">
        <f t="shared" si="2"/>
        <v>#NUM!</v>
      </c>
      <c r="G5" s="17" t="e">
        <f t="shared" si="3"/>
        <v>#NUM!</v>
      </c>
      <c r="H5" s="12" t="e">
        <f t="shared" si="4"/>
        <v>#NUM!</v>
      </c>
      <c r="I5" s="17" t="e">
        <f>MIN(_xll.ohPack($V$3:INDEX($V$3:$V$135,MATCH(D5+1,$R$3:$R$135,1),1)))</f>
        <v>#NUM!</v>
      </c>
      <c r="J5" s="17" t="e">
        <f>MAX(_xll.ohPack($V$3:INDEX($V$3:$V$135,MATCH(D5+1,$R$3:$R$135,1),1)))</f>
        <v>#NUM!</v>
      </c>
      <c r="L5" s="46" t="s">
        <v>20</v>
      </c>
      <c r="M5" s="35" t="str">
        <f>PROPER(Currency)&amp;IborType&amp;M3</f>
        <v>Euribor1Y</v>
      </c>
      <c r="O5" s="33">
        <v>1</v>
      </c>
      <c r="P5" s="27" t="str">
        <f>_xll.qlPeriodEquivalent(P4&amp;"+"&amp;O5&amp;"M")</f>
        <v>2M</v>
      </c>
      <c r="Q5" s="28">
        <f>_xll.qlCalendarAdvance(Calendar,SettlementDate,P5,"f",,Trigger)</f>
        <v>42226</v>
      </c>
      <c r="R5" s="28">
        <f>_xll.qlInterestRateIndexValueDate(Index,Q5,Trigger)</f>
        <v>42228</v>
      </c>
      <c r="S5" s="28">
        <f>_xll.qlInterestRateIndexMaturity(Index,R5,Trigger)</f>
        <v>42594</v>
      </c>
      <c r="T5" s="30">
        <f>_xll.qlIndexFixing($M$6,Q5,,InterestRatesTrigger)</f>
        <v>-1.150002177505388E-3</v>
      </c>
      <c r="U5" s="30" t="e">
        <f>_xll.qlIndexFixing(Index,Q5,,InterestRatesTrigger)</f>
        <v>#NUM!</v>
      </c>
      <c r="V5" s="30" t="e">
        <f t="shared" si="5"/>
        <v>#NUM!</v>
      </c>
      <c r="W5" s="29">
        <f>_xll.qlDayCounterYearFraction(DayCounter,SettlementDate,R5,,,Trigger)</f>
        <v>0.18055555555555555</v>
      </c>
      <c r="X5" s="29">
        <f>_xll.qlDayCounterYearFraction(DayCounter,R5,S5)</f>
        <v>1.0166666666666666</v>
      </c>
      <c r="Y5" s="29" t="e">
        <f>_xll.qlYieldTSDiscount(Currency&amp;"ON",R5)/(1+U5*X5)</f>
        <v>#NUM!</v>
      </c>
      <c r="Z5" s="30" t="e">
        <f>_xll.qlTenorBasisValue(TenorBasis6M,R5,InterestRatesTrigger)</f>
        <v>#VALUE!</v>
      </c>
      <c r="AA5" s="30" t="e">
        <f t="shared" si="6"/>
        <v>#NUM!</v>
      </c>
    </row>
    <row r="6" spans="1:27" x14ac:dyDescent="0.2">
      <c r="A6" s="18" t="str">
        <f>_xll.qlPeriodEquivalent(C6&amp;"M")</f>
        <v>10Y</v>
      </c>
      <c r="B6" s="10">
        <f t="shared" ref="B6:B9" si="7">B5</f>
        <v>42004</v>
      </c>
      <c r="C6" s="11">
        <v>120</v>
      </c>
      <c r="D6" s="10">
        <f t="shared" si="0"/>
        <v>45812</v>
      </c>
      <c r="E6" s="12">
        <f t="shared" si="1"/>
        <v>6</v>
      </c>
      <c r="F6" s="16" t="e">
        <f t="shared" si="2"/>
        <v>#NUM!</v>
      </c>
      <c r="G6" s="17" t="e">
        <f t="shared" si="3"/>
        <v>#NUM!</v>
      </c>
      <c r="H6" s="12" t="e">
        <f t="shared" si="4"/>
        <v>#NUM!</v>
      </c>
      <c r="I6" s="17" t="e">
        <f>MIN(_xll.ohPack($V$3:INDEX($V$3:$V$135,MATCH(D6+1,$R$3:$R$135,1),1)))</f>
        <v>#NUM!</v>
      </c>
      <c r="J6" s="17" t="e">
        <f>MAX(_xll.ohPack($V$3:INDEX($V$3:$V$135,MATCH(D6+1,$R$3:$R$135,1),1)))</f>
        <v>#NUM!</v>
      </c>
      <c r="L6" s="46" t="str">
        <f>"ON Index "&amp;$M$3</f>
        <v>ON Index 1Y</v>
      </c>
      <c r="M6" s="35" t="str">
        <f>_xll.qlIborIndex(,,M3,2,Currency,Calendar,"mf",TRUE,DayCounter,Currency&amp;"ON",,Trigger)</f>
        <v>obj_00847#0001</v>
      </c>
      <c r="N6" s="34"/>
      <c r="O6" s="33">
        <v>1</v>
      </c>
      <c r="P6" s="27" t="str">
        <f>_xll.qlPeriodEquivalent(P5&amp;"+"&amp;O6&amp;"M")</f>
        <v>3M</v>
      </c>
      <c r="Q6" s="28">
        <f>_xll.qlCalendarAdvance(Calendar,SettlementDate,P6,"f",,Trigger)</f>
        <v>42255</v>
      </c>
      <c r="R6" s="28">
        <f>_xll.qlInterestRateIndexValueDate(Index,Q6,Trigger)</f>
        <v>42257</v>
      </c>
      <c r="S6" s="28">
        <f>_xll.qlInterestRateIndexMaturity(Index,R6,Trigger)</f>
        <v>42625</v>
      </c>
      <c r="T6" s="30">
        <f>_xll.qlIndexFixing($M$6,Q6,,InterestRatesTrigger)</f>
        <v>-1.1075001299173817E-3</v>
      </c>
      <c r="U6" s="30" t="e">
        <f>_xll.qlIndexFixing(Index,Q6,,InterestRatesTrigger)</f>
        <v>#NUM!</v>
      </c>
      <c r="V6" s="30" t="e">
        <f t="shared" si="5"/>
        <v>#NUM!</v>
      </c>
      <c r="W6" s="29">
        <f>_xll.qlDayCounterYearFraction(DayCounter,SettlementDate,R6,,,Trigger)</f>
        <v>0.26111111111111113</v>
      </c>
      <c r="X6" s="29">
        <f>_xll.qlDayCounterYearFraction(DayCounter,R6,S6)</f>
        <v>1.0222222222222221</v>
      </c>
      <c r="Y6" s="29" t="e">
        <f>_xll.qlYieldTSDiscount(Currency&amp;"ON",R6)/(1+U6*X6)</f>
        <v>#NUM!</v>
      </c>
      <c r="Z6" s="30" t="e">
        <f>_xll.qlTenorBasisValue(TenorBasis6M,R6,InterestRatesTrigger)</f>
        <v>#VALUE!</v>
      </c>
      <c r="AA6" s="30" t="e">
        <f t="shared" si="6"/>
        <v>#NUM!</v>
      </c>
    </row>
    <row r="7" spans="1:27" x14ac:dyDescent="0.2">
      <c r="A7" s="18" t="str">
        <f>_xll.qlPeriodEquivalent(C7&amp;"M")</f>
        <v>20Y</v>
      </c>
      <c r="B7" s="10">
        <f>IF(AND(MONTH(B6)=12),B6,_xll.qlDateEndOfMonth(EDATE(B6,-6)))</f>
        <v>42004</v>
      </c>
      <c r="C7" s="11">
        <v>240</v>
      </c>
      <c r="D7" s="10">
        <f t="shared" si="0"/>
        <v>49464</v>
      </c>
      <c r="E7" s="13">
        <f t="shared" si="1"/>
        <v>12</v>
      </c>
      <c r="F7" s="16" t="e">
        <f t="shared" si="2"/>
        <v>#NUM!</v>
      </c>
      <c r="G7" s="17" t="e">
        <f t="shared" si="3"/>
        <v>#NUM!</v>
      </c>
      <c r="H7" s="12" t="e">
        <f t="shared" si="4"/>
        <v>#NUM!</v>
      </c>
      <c r="I7" s="17" t="e">
        <f>MIN(_xll.ohPack($V$3:INDEX($V$3:$V$135,MATCH(D7+1,$R$3:$R$135,1),1)))</f>
        <v>#NUM!</v>
      </c>
      <c r="J7" s="17" t="e">
        <f>MAX(_xll.ohPack($V$3:INDEX($V$3:$V$135,MATCH(D7+1,$R$3:$R$135,1),1)))</f>
        <v>#NUM!</v>
      </c>
      <c r="O7" s="33">
        <v>1</v>
      </c>
      <c r="P7" s="27" t="str">
        <f>_xll.qlPeriodEquivalent(P6&amp;"+"&amp;O7&amp;"M")</f>
        <v>4M</v>
      </c>
      <c r="Q7" s="28">
        <f>_xll.qlCalendarAdvance(Calendar,SettlementDate,P7,"f",,Trigger)</f>
        <v>42285</v>
      </c>
      <c r="R7" s="28">
        <f>_xll.qlInterestRateIndexValueDate(Index,Q7,Trigger)</f>
        <v>42289</v>
      </c>
      <c r="S7" s="28">
        <f>_xll.qlInterestRateIndexMaturity(Index,R7,Trigger)</f>
        <v>42655</v>
      </c>
      <c r="T7" s="30">
        <f>_xll.qlIndexFixing($M$6,Q7,,InterestRatesTrigger)</f>
        <v>-1.0585104393127226E-3</v>
      </c>
      <c r="U7" s="30" t="e">
        <f>_xll.qlIndexFixing(Index,Q7,,InterestRatesTrigger)</f>
        <v>#NUM!</v>
      </c>
      <c r="V7" s="30" t="e">
        <f t="shared" si="5"/>
        <v>#NUM!</v>
      </c>
      <c r="W7" s="29">
        <f>_xll.qlDayCounterYearFraction(DayCounter,SettlementDate,R7,,,Trigger)</f>
        <v>0.35</v>
      </c>
      <c r="X7" s="29">
        <f>_xll.qlDayCounterYearFraction(DayCounter,R7,S7)</f>
        <v>1.0166666666666666</v>
      </c>
      <c r="Y7" s="29" t="e">
        <f>_xll.qlYieldTSDiscount(Currency&amp;"ON",R7)/(1+U7*X7)</f>
        <v>#NUM!</v>
      </c>
      <c r="Z7" s="30" t="e">
        <f>_xll.qlTenorBasisValue(TenorBasis6M,R7,InterestRatesTrigger)</f>
        <v>#VALUE!</v>
      </c>
      <c r="AA7" s="30" t="e">
        <f t="shared" si="6"/>
        <v>#NUM!</v>
      </c>
    </row>
    <row r="8" spans="1:27" x14ac:dyDescent="0.2">
      <c r="A8" s="18" t="str">
        <f>_xll.qlPeriodEquivalent(C8&amp;"M")</f>
        <v>30Y</v>
      </c>
      <c r="B8" s="10">
        <f t="shared" si="7"/>
        <v>42004</v>
      </c>
      <c r="C8" s="11">
        <v>360</v>
      </c>
      <c r="D8" s="10">
        <f t="shared" si="0"/>
        <v>53117</v>
      </c>
      <c r="E8" s="13">
        <f t="shared" si="1"/>
        <v>36</v>
      </c>
      <c r="F8" s="16" t="e">
        <f t="shared" si="2"/>
        <v>#NUM!</v>
      </c>
      <c r="G8" s="17" t="e">
        <f t="shared" si="3"/>
        <v>#NUM!</v>
      </c>
      <c r="H8" s="12" t="e">
        <f t="shared" si="4"/>
        <v>#NUM!</v>
      </c>
      <c r="I8" s="17" t="e">
        <f>MIN(_xll.ohPack($V$3:INDEX($V$3:$V$135,MATCH(D8+1,$R$3:$R$135,1),1)))</f>
        <v>#NUM!</v>
      </c>
      <c r="J8" s="17" t="e">
        <f>MAX(_xll.ohPack($V$3:INDEX($V$3:$V$135,MATCH(D8+1,$R$3:$R$135,1),1)))</f>
        <v>#NUM!</v>
      </c>
      <c r="L8" s="46" t="s">
        <v>39</v>
      </c>
      <c r="M8" s="43">
        <v>2.2963781703447999E-3</v>
      </c>
      <c r="N8" s="33" t="b">
        <v>0</v>
      </c>
      <c r="O8" s="33">
        <v>1</v>
      </c>
      <c r="P8" s="27" t="str">
        <f>_xll.qlPeriodEquivalent(P7&amp;"+"&amp;O8&amp;"M")</f>
        <v>5M</v>
      </c>
      <c r="Q8" s="28">
        <f>_xll.qlCalendarAdvance(Calendar,SettlementDate,P8,"f",,Trigger)</f>
        <v>42317</v>
      </c>
      <c r="R8" s="28">
        <f>_xll.qlInterestRateIndexValueDate(Index,Q8,Trigger)</f>
        <v>42319</v>
      </c>
      <c r="S8" s="28">
        <f>_xll.qlInterestRateIndexMaturity(Index,R8,Trigger)</f>
        <v>42685</v>
      </c>
      <c r="T8" s="30">
        <f>_xll.qlIndexFixing($M$6,Q8,,InterestRatesTrigger)</f>
        <v>-1.0069087592138989E-3</v>
      </c>
      <c r="U8" s="30" t="e">
        <f>_xll.qlIndexFixing(Index,Q8,,InterestRatesTrigger)</f>
        <v>#NUM!</v>
      </c>
      <c r="V8" s="30" t="e">
        <f t="shared" si="5"/>
        <v>#NUM!</v>
      </c>
      <c r="W8" s="29">
        <f>_xll.qlDayCounterYearFraction(DayCounter,SettlementDate,R8,,,Trigger)</f>
        <v>0.43333333333333335</v>
      </c>
      <c r="X8" s="29">
        <f>_xll.qlDayCounterYearFraction(DayCounter,R8,S8)</f>
        <v>1.0166666666666666</v>
      </c>
      <c r="Y8" s="29" t="e">
        <f>_xll.qlYieldTSDiscount(Currency&amp;"ON",R8)/(1+U8*X8)</f>
        <v>#NUM!</v>
      </c>
      <c r="Z8" s="30" t="e">
        <f>_xll.qlTenorBasisValue(TenorBasis6M,R8,InterestRatesTrigger)</f>
        <v>#VALUE!</v>
      </c>
      <c r="AA8" s="30" t="e">
        <f t="shared" si="6"/>
        <v>#NUM!</v>
      </c>
    </row>
    <row r="9" spans="1:27" x14ac:dyDescent="0.2">
      <c r="A9" s="19" t="str">
        <f>_xll.qlPeriodEquivalent(C9&amp;"M")</f>
        <v>60Y</v>
      </c>
      <c r="B9" s="20">
        <f t="shared" si="7"/>
        <v>42004</v>
      </c>
      <c r="C9" s="21">
        <v>720</v>
      </c>
      <c r="D9" s="20">
        <f t="shared" si="0"/>
        <v>64074</v>
      </c>
      <c r="E9" s="22">
        <f t="shared" si="1"/>
        <v>60</v>
      </c>
      <c r="F9" s="23" t="e">
        <f t="shared" si="2"/>
        <v>#NUM!</v>
      </c>
      <c r="G9" s="24" t="e">
        <f t="shared" si="3"/>
        <v>#NUM!</v>
      </c>
      <c r="H9" s="25" t="e">
        <f t="shared" si="4"/>
        <v>#NUM!</v>
      </c>
      <c r="I9" s="24" t="e">
        <f>MIN(_xll.ohPack($V$3:INDEX($V$3:$V$135,MATCH(D9+1,$R$3:$R$135,1),1)))</f>
        <v>#NUM!</v>
      </c>
      <c r="J9" s="24" t="e">
        <f>MAX(_xll.ohPack($V$3:INDEX($V$3:$V$135,MATCH(D9+1,$R$3:$R$135,1),1)))</f>
        <v>#NUM!</v>
      </c>
      <c r="L9" s="46" t="s">
        <v>40</v>
      </c>
      <c r="M9" s="44">
        <v>9.7107146829970598E-4</v>
      </c>
      <c r="N9" s="33" t="b">
        <v>0</v>
      </c>
      <c r="O9" s="33">
        <v>1</v>
      </c>
      <c r="P9" s="27" t="str">
        <f>_xll.qlPeriodEquivalent(P8&amp;"+"&amp;O9&amp;"M")</f>
        <v>6M</v>
      </c>
      <c r="Q9" s="28">
        <f>_xll.qlCalendarAdvance(Calendar,SettlementDate,P9,"f",,Trigger)</f>
        <v>42346</v>
      </c>
      <c r="R9" s="28">
        <f>_xll.qlInterestRateIndexValueDate(Index,Q9,Trigger)</f>
        <v>42348</v>
      </c>
      <c r="S9" s="28">
        <f>_xll.qlInterestRateIndexMaturity(Index,R9,Trigger)</f>
        <v>42716</v>
      </c>
      <c r="T9" s="30">
        <f>_xll.qlIndexFixing($M$6,Q9,,InterestRatesTrigger)</f>
        <v>-9.4716848528787821E-4</v>
      </c>
      <c r="U9" s="30" t="e">
        <f>_xll.qlIndexFixing(Index,Q9,,InterestRatesTrigger)</f>
        <v>#NUM!</v>
      </c>
      <c r="V9" s="30" t="e">
        <f t="shared" si="5"/>
        <v>#NUM!</v>
      </c>
      <c r="W9" s="29">
        <f>_xll.qlDayCounterYearFraction(DayCounter,SettlementDate,R9,,,Trigger)</f>
        <v>0.51388888888888884</v>
      </c>
      <c r="X9" s="29">
        <f>_xll.qlDayCounterYearFraction(DayCounter,R9,S9)</f>
        <v>1.0222222222222221</v>
      </c>
      <c r="Y9" s="29" t="e">
        <f>_xll.qlYieldTSDiscount(Currency&amp;"ON",R9)/(1+U9*X9)</f>
        <v>#NUM!</v>
      </c>
      <c r="Z9" s="30" t="e">
        <f>_xll.qlTenorBasisValue(TenorBasis6M,R9,InterestRatesTrigger)</f>
        <v>#VALUE!</v>
      </c>
      <c r="AA9" s="30" t="e">
        <f t="shared" si="6"/>
        <v>#NUM!</v>
      </c>
    </row>
    <row r="10" spans="1:27" x14ac:dyDescent="0.2">
      <c r="A10" s="18" t="str">
        <f>_xll.qlPeriodEquivalent(C10&amp;"M")</f>
        <v>1Y</v>
      </c>
      <c r="B10" s="10">
        <f>_xll.qlDateEndOfMonth(EDATE(_xll.qlSettingsEvaluationDate(Trigger),-1))</f>
        <v>42155</v>
      </c>
      <c r="C10" s="11">
        <v>12</v>
      </c>
      <c r="D10" s="10">
        <f>EDATE($Q$3,C10)</f>
        <v>42525</v>
      </c>
      <c r="E10" s="12">
        <f>IF(C10&lt;=12,1,IF(C10&lt;=24,3,IF(C10&lt;=120,6,IF(C10&lt;=240,12,IF(C10&lt;=360,36,60)))))</f>
        <v>1</v>
      </c>
      <c r="F10" s="16" t="e">
        <f>ROUNDDOWN(I10*10,2)/10</f>
        <v>#NUM!</v>
      </c>
      <c r="G10" s="17" t="e">
        <f>IF(J10-I10&gt;1%,(QUOTIENT(J10*10000,50)+1)*0.5%,(QUOTIENT(J10*10000,10)+1)*0.1%)</f>
        <v>#NUM!</v>
      </c>
      <c r="H10" s="12" t="e">
        <f>IF(G10-F10&lt;0.5%,0.025%,IF(G10-F10&lt;1%,0.1%,IF(G10-F10&lt;2%,0.25%,0.5%)))</f>
        <v>#NUM!</v>
      </c>
      <c r="I10" s="17" t="e">
        <f>MIN(_xll.ohPack($V$3:INDEX($V$3:$V$135,MATCH(D10+1,$R$3:$R$135,1),1)))</f>
        <v>#NUM!</v>
      </c>
      <c r="J10" s="17" t="e">
        <f>MAX(_xll.ohPack($V$3:INDEX($V$3:$V$135,MATCH(D10+1,$R$3:$R$135,1),1)))</f>
        <v>#NUM!</v>
      </c>
      <c r="L10" s="46" t="s">
        <v>41</v>
      </c>
      <c r="M10" s="44">
        <v>0.17</v>
      </c>
      <c r="N10" s="33" t="b">
        <v>1</v>
      </c>
      <c r="O10" s="33">
        <v>1</v>
      </c>
      <c r="P10" s="27" t="str">
        <f>_xll.qlPeriodEquivalent(P9&amp;"+"&amp;O10&amp;"M")</f>
        <v>7M</v>
      </c>
      <c r="Q10" s="28">
        <f>_xll.qlCalendarAdvance(Calendar,SettlementDate,P10,"f",,Trigger)</f>
        <v>42377</v>
      </c>
      <c r="R10" s="28">
        <f>_xll.qlInterestRateIndexValueDate(Index,Q10,Trigger)</f>
        <v>42381</v>
      </c>
      <c r="S10" s="28">
        <f>_xll.qlInterestRateIndexMaturity(Index,R10,Trigger)</f>
        <v>42747</v>
      </c>
      <c r="T10" s="30">
        <f>_xll.qlIndexFixing($M$6,Q10,,InterestRatesTrigger)</f>
        <v>-8.4420447555036188E-4</v>
      </c>
      <c r="U10" s="30" t="e">
        <f>_xll.qlIndexFixing(Index,Q10,,InterestRatesTrigger)</f>
        <v>#NUM!</v>
      </c>
      <c r="V10" s="30" t="e">
        <f t="shared" si="5"/>
        <v>#NUM!</v>
      </c>
      <c r="W10" s="29">
        <f>_xll.qlDayCounterYearFraction(DayCounter,SettlementDate,R10,,,Trigger)</f>
        <v>0.60555555555555551</v>
      </c>
      <c r="X10" s="29">
        <f>_xll.qlDayCounterYearFraction(DayCounter,R10,S10)</f>
        <v>1.0166666666666666</v>
      </c>
      <c r="Y10" s="29" t="e">
        <f>_xll.qlYieldTSDiscount(Currency&amp;"ON",R10)/(1+U10*X10)</f>
        <v>#NUM!</v>
      </c>
      <c r="Z10" s="30" t="e">
        <f>_xll.qlTenorBasisValue(TenorBasis6M,R10,InterestRatesTrigger)</f>
        <v>#VALUE!</v>
      </c>
      <c r="AA10" s="30" t="e">
        <f t="shared" si="6"/>
        <v>#NUM!</v>
      </c>
    </row>
    <row r="11" spans="1:27" x14ac:dyDescent="0.2">
      <c r="A11" s="18" t="str">
        <f>_xll.qlPeriodEquivalent(C11&amp;"M")</f>
        <v>2Y</v>
      </c>
      <c r="B11" s="10">
        <f>_xll.qlDateEndOfMonth(EDATE(_xll.qlIMMNextDate(_xll.qlSettingsEvaluationDate(Trigger)-1,TRUE),-3))</f>
        <v>42094</v>
      </c>
      <c r="C11" s="11">
        <v>24</v>
      </c>
      <c r="D11" s="10">
        <f t="shared" ref="D11:D16" si="8">EDATE($Q$3,C11)</f>
        <v>42890</v>
      </c>
      <c r="E11" s="12">
        <f t="shared" ref="E11:E16" si="9">IF(C11&lt;=12,1,IF(C11&lt;=24,3,IF(C11&lt;=120,6,IF(C11&lt;=240,12,IF(C11&lt;=360,36,60)))))</f>
        <v>3</v>
      </c>
      <c r="F11" s="16" t="e">
        <f t="shared" ref="F11:F16" si="10">ROUNDDOWN(I11*10,2)/10</f>
        <v>#NUM!</v>
      </c>
      <c r="G11" s="17" t="e">
        <f t="shared" ref="G11:G16" si="11">IF(J11-I11&gt;1%,(QUOTIENT(J11*10000,50)+1)*0.5%,(QUOTIENT(J11*10000,10)+1)*0.1%)</f>
        <v>#NUM!</v>
      </c>
      <c r="H11" s="12" t="e">
        <f t="shared" ref="H11:H16" si="12">IF(G11-F11&lt;0.5%,0.025%,IF(G11-F11&lt;1%,0.1%,IF(G11-F11&lt;2%,0.25%,0.5%)))</f>
        <v>#NUM!</v>
      </c>
      <c r="I11" s="17" t="e">
        <f>MIN(_xll.ohPack($V$3:INDEX($V$3:$V$135,MATCH(D11+1,$R$3:$R$135,1),1)))</f>
        <v>#NUM!</v>
      </c>
      <c r="J11" s="17" t="e">
        <f>MAX(_xll.ohPack($V$3:INDEX($V$3:$V$135,MATCH(D11+1,$R$3:$R$135,1),1)))</f>
        <v>#NUM!</v>
      </c>
      <c r="L11" s="46" t="s">
        <v>42</v>
      </c>
      <c r="M11" s="43">
        <v>5.3341833138634699E-4</v>
      </c>
      <c r="N11" s="33" t="b">
        <v>0</v>
      </c>
      <c r="O11" s="33">
        <v>1</v>
      </c>
      <c r="P11" s="27" t="str">
        <f>_xll.qlPeriodEquivalent(P10&amp;"+"&amp;O11&amp;"M")</f>
        <v>8M</v>
      </c>
      <c r="Q11" s="28">
        <f>_xll.qlCalendarAdvance(Calendar,SettlementDate,P11,"f",,Trigger)</f>
        <v>42408</v>
      </c>
      <c r="R11" s="28">
        <f>_xll.qlInterestRateIndexValueDate(Index,Q11,Trigger)</f>
        <v>42410</v>
      </c>
      <c r="S11" s="28">
        <f>_xll.qlInterestRateIndexMaturity(Index,R11,Trigger)</f>
        <v>42776</v>
      </c>
      <c r="T11" s="30">
        <f>_xll.qlIndexFixing($M$6,Q11,,InterestRatesTrigger)</f>
        <v>-7.8296139626846985E-4</v>
      </c>
      <c r="U11" s="30" t="e">
        <f>_xll.qlIndexFixing(Index,Q11,,InterestRatesTrigger)</f>
        <v>#NUM!</v>
      </c>
      <c r="V11" s="30" t="e">
        <f t="shared" si="5"/>
        <v>#NUM!</v>
      </c>
      <c r="W11" s="29">
        <f>_xll.qlDayCounterYearFraction(DayCounter,SettlementDate,R11,,,Trigger)</f>
        <v>0.68611111111111112</v>
      </c>
      <c r="X11" s="29">
        <f>_xll.qlDayCounterYearFraction(DayCounter,R11,S11)</f>
        <v>1.0166666666666666</v>
      </c>
      <c r="Y11" s="29" t="e">
        <f>_xll.qlYieldTSDiscount(Currency&amp;"ON",R11)/(1+U11*X11)</f>
        <v>#NUM!</v>
      </c>
      <c r="Z11" s="30" t="e">
        <f>_xll.qlTenorBasisValue(TenorBasis6M,R11,InterestRatesTrigger)</f>
        <v>#VALUE!</v>
      </c>
      <c r="AA11" s="30" t="e">
        <f t="shared" si="6"/>
        <v>#NUM!</v>
      </c>
    </row>
    <row r="12" spans="1:27" x14ac:dyDescent="0.2">
      <c r="A12" s="18" t="str">
        <f>_xll.qlPeriodEquivalent(C12&amp;"M")</f>
        <v>5Y</v>
      </c>
      <c r="B12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12" s="11">
        <v>60</v>
      </c>
      <c r="D12" s="10">
        <f t="shared" si="8"/>
        <v>43986</v>
      </c>
      <c r="E12" s="12">
        <f t="shared" si="9"/>
        <v>6</v>
      </c>
      <c r="F12" s="16" t="e">
        <f t="shared" si="10"/>
        <v>#NUM!</v>
      </c>
      <c r="G12" s="17" t="e">
        <f t="shared" si="11"/>
        <v>#NUM!</v>
      </c>
      <c r="H12" s="12" t="e">
        <f t="shared" si="12"/>
        <v>#NUM!</v>
      </c>
      <c r="I12" s="17" t="e">
        <f>MIN(_xll.ohPack($V$3:INDEX($V$3:$V$135,MATCH(D12+1,$R$3:$R$135,1),1)))</f>
        <v>#NUM!</v>
      </c>
      <c r="J12" s="17" t="e">
        <f>MAX(_xll.ohPack($V$3:INDEX($V$3:$V$135,MATCH(D12+1,$R$3:$R$135,1),1)))</f>
        <v>#NUM!</v>
      </c>
      <c r="L12" s="46" t="s">
        <v>45</v>
      </c>
      <c r="M12" s="35" t="e">
        <f>_xll.qlAbcdCalibration2(,W3:W253,V3:V253,Y3:Y253,ContBasis,N8:N11,,,,Trigger)</f>
        <v>#NUM!</v>
      </c>
      <c r="N12" s="34"/>
      <c r="O12" s="33">
        <v>1</v>
      </c>
      <c r="P12" s="27" t="str">
        <f>_xll.qlPeriodEquivalent(P11&amp;"+"&amp;O12&amp;"M")</f>
        <v>9M</v>
      </c>
      <c r="Q12" s="28">
        <f>_xll.qlCalendarAdvance(Calendar,SettlementDate,P12,"f",,Trigger)</f>
        <v>42437</v>
      </c>
      <c r="R12" s="28">
        <f>_xll.qlInterestRateIndexValueDate(Index,Q12,Trigger)</f>
        <v>42439</v>
      </c>
      <c r="S12" s="28">
        <f>_xll.qlInterestRateIndexMaturity(Index,R12,Trigger)</f>
        <v>42804</v>
      </c>
      <c r="T12" s="30">
        <f>_xll.qlIndexFixing($M$6,Q12,,InterestRatesTrigger)</f>
        <v>-7.0397579539601524E-4</v>
      </c>
      <c r="U12" s="30" t="e">
        <f>_xll.qlIndexFixing(Index,Q12,,InterestRatesTrigger)</f>
        <v>#NUM!</v>
      </c>
      <c r="V12" s="30" t="e">
        <f t="shared" si="5"/>
        <v>#NUM!</v>
      </c>
      <c r="W12" s="29">
        <f>_xll.qlDayCounterYearFraction(DayCounter,SettlementDate,R12,,,Trigger)</f>
        <v>0.76666666666666672</v>
      </c>
      <c r="X12" s="29">
        <f>_xll.qlDayCounterYearFraction(DayCounter,R12,S12)</f>
        <v>1.0138888888888888</v>
      </c>
      <c r="Y12" s="29" t="e">
        <f>_xll.qlYieldTSDiscount(Currency&amp;"ON",R12)/(1+U12*X12)</f>
        <v>#NUM!</v>
      </c>
      <c r="Z12" s="30" t="e">
        <f>_xll.qlTenorBasisValue(TenorBasis6M,R12,InterestRatesTrigger)</f>
        <v>#VALUE!</v>
      </c>
      <c r="AA12" s="30" t="e">
        <f t="shared" si="6"/>
        <v>#NUM!</v>
      </c>
    </row>
    <row r="13" spans="1:27" x14ac:dyDescent="0.2">
      <c r="A13" s="18" t="str">
        <f>_xll.qlPeriodEquivalent(C13&amp;"M")</f>
        <v>10Y</v>
      </c>
      <c r="B13" s="10">
        <f t="shared" ref="B13:B16" si="13">B12</f>
        <v>42004</v>
      </c>
      <c r="C13" s="11">
        <v>120</v>
      </c>
      <c r="D13" s="10">
        <f t="shared" si="8"/>
        <v>45812</v>
      </c>
      <c r="E13" s="12">
        <f t="shared" si="9"/>
        <v>6</v>
      </c>
      <c r="F13" s="16" t="e">
        <f t="shared" si="10"/>
        <v>#NUM!</v>
      </c>
      <c r="G13" s="17" t="e">
        <f t="shared" si="11"/>
        <v>#NUM!</v>
      </c>
      <c r="H13" s="12" t="e">
        <f t="shared" si="12"/>
        <v>#NUM!</v>
      </c>
      <c r="I13" s="17" t="e">
        <f>MIN(_xll.ohPack($V$3:INDEX($V$3:$V$135,MATCH(D13+1,$R$3:$R$135,1),1)))</f>
        <v>#NUM!</v>
      </c>
      <c r="J13" s="17" t="e">
        <f>MAX(_xll.ohPack($V$3:INDEX($V$3:$V$135,MATCH(D13+1,$R$3:$R$135,1),1)))</f>
        <v>#NUM!</v>
      </c>
      <c r="L13" s="46" t="s">
        <v>38</v>
      </c>
      <c r="M13" s="35" t="e">
        <f>_xll.qlAbcdCalibration2Compute(M12,AllTriggers)</f>
        <v>#VALUE!</v>
      </c>
      <c r="O13" s="33">
        <v>1</v>
      </c>
      <c r="P13" s="27" t="str">
        <f>_xll.qlPeriodEquivalent(P12&amp;"+"&amp;O13&amp;"M")</f>
        <v>10M</v>
      </c>
      <c r="Q13" s="28">
        <f>_xll.qlCalendarAdvance(Calendar,SettlementDate,P13,"f",,Trigger)</f>
        <v>42468</v>
      </c>
      <c r="R13" s="28">
        <f>_xll.qlInterestRateIndexValueDate(Index,Q13,Trigger)</f>
        <v>42472</v>
      </c>
      <c r="S13" s="28">
        <f>_xll.qlInterestRateIndexMaturity(Index,R13,Trigger)</f>
        <v>42837</v>
      </c>
      <c r="T13" s="30">
        <f>_xll.qlIndexFixing($M$6,Q13,,InterestRatesTrigger)</f>
        <v>-6.0204129906522147E-4</v>
      </c>
      <c r="U13" s="30" t="e">
        <f>_xll.qlIndexFixing(Index,Q13,,InterestRatesTrigger)</f>
        <v>#NUM!</v>
      </c>
      <c r="V13" s="30" t="e">
        <f t="shared" si="5"/>
        <v>#NUM!</v>
      </c>
      <c r="W13" s="29">
        <f>_xll.qlDayCounterYearFraction(DayCounter,SettlementDate,R13,,,Trigger)</f>
        <v>0.85833333333333328</v>
      </c>
      <c r="X13" s="29">
        <f>_xll.qlDayCounterYearFraction(DayCounter,R13,S13)</f>
        <v>1.0138888888888888</v>
      </c>
      <c r="Y13" s="29" t="e">
        <f>_xll.qlYieldTSDiscount(Currency&amp;"ON",R13)/(1+U13*X13)</f>
        <v>#NUM!</v>
      </c>
      <c r="Z13" s="30" t="e">
        <f>_xll.qlTenorBasisValue(TenorBasis6M,R13,InterestRatesTrigger)</f>
        <v>#VALUE!</v>
      </c>
      <c r="AA13" s="30" t="e">
        <f t="shared" si="6"/>
        <v>#NUM!</v>
      </c>
    </row>
    <row r="14" spans="1:27" x14ac:dyDescent="0.2">
      <c r="A14" s="18" t="str">
        <f>_xll.qlPeriodEquivalent(C14&amp;"M")</f>
        <v>20Y</v>
      </c>
      <c r="B14" s="10">
        <f>IF(AND(MONTH(B13)=12),B13,_xll.qlDateEndOfMonth(EDATE(B13,-6)))</f>
        <v>42004</v>
      </c>
      <c r="C14" s="11">
        <v>240</v>
      </c>
      <c r="D14" s="10">
        <f t="shared" si="8"/>
        <v>49464</v>
      </c>
      <c r="E14" s="13">
        <f t="shared" si="9"/>
        <v>12</v>
      </c>
      <c r="F14" s="16" t="e">
        <f t="shared" si="10"/>
        <v>#NUM!</v>
      </c>
      <c r="G14" s="17" t="e">
        <f t="shared" si="11"/>
        <v>#NUM!</v>
      </c>
      <c r="H14" s="12" t="e">
        <f t="shared" si="12"/>
        <v>#NUM!</v>
      </c>
      <c r="I14" s="17" t="e">
        <f>MIN(_xll.ohPack($V$3:INDEX($V$3:$V$135,MATCH(D14+1,$R$3:$R$135,1),1)))</f>
        <v>#NUM!</v>
      </c>
      <c r="J14" s="17" t="e">
        <f>MAX(_xll.ohPack($V$3:INDEX($V$3:$V$135,MATCH(D14+1,$R$3:$R$135,1),1)))</f>
        <v>#NUM!</v>
      </c>
      <c r="L14" s="46" t="s">
        <v>35</v>
      </c>
      <c r="M14" s="43" t="e">
        <f>_xll.qlAbcdCalibration2Error(M12)</f>
        <v>#VALUE!</v>
      </c>
      <c r="O14" s="33">
        <v>1</v>
      </c>
      <c r="P14" s="27" t="str">
        <f>_xll.qlPeriodEquivalent(P13&amp;"+"&amp;O14&amp;"M")</f>
        <v>11M</v>
      </c>
      <c r="Q14" s="28">
        <f>_xll.qlCalendarAdvance(Calendar,SettlementDate,P14,"f",,Trigger)</f>
        <v>42499</v>
      </c>
      <c r="R14" s="28">
        <f>_xll.qlInterestRateIndexValueDate(Index,Q14,Trigger)</f>
        <v>42501</v>
      </c>
      <c r="S14" s="28">
        <f>_xll.qlInterestRateIndexMaturity(Index,R14,Trigger)</f>
        <v>42866</v>
      </c>
      <c r="T14" s="30">
        <f>_xll.qlIndexFixing($M$6,Q14,,InterestRatesTrigger)</f>
        <v>-4.9896252179582198E-4</v>
      </c>
      <c r="U14" s="30" t="e">
        <f>_xll.qlIndexFixing(Index,Q14,,InterestRatesTrigger)</f>
        <v>#NUM!</v>
      </c>
      <c r="V14" s="30" t="e">
        <f t="shared" si="5"/>
        <v>#NUM!</v>
      </c>
      <c r="W14" s="29">
        <f>_xll.qlDayCounterYearFraction(DayCounter,SettlementDate,R14,,,Trigger)</f>
        <v>0.93888888888888888</v>
      </c>
      <c r="X14" s="29">
        <f>_xll.qlDayCounterYearFraction(DayCounter,R14,S14)</f>
        <v>1.0138888888888888</v>
      </c>
      <c r="Y14" s="29" t="e">
        <f>_xll.qlYieldTSDiscount(Currency&amp;"ON",R14)/(1+U14*X14)</f>
        <v>#NUM!</v>
      </c>
      <c r="Z14" s="30" t="e">
        <f>_xll.qlTenorBasisValue(TenorBasis6M,R14,InterestRatesTrigger)</f>
        <v>#VALUE!</v>
      </c>
      <c r="AA14" s="30" t="e">
        <f t="shared" si="6"/>
        <v>#NUM!</v>
      </c>
    </row>
    <row r="15" spans="1:27" x14ac:dyDescent="0.2">
      <c r="A15" s="18" t="str">
        <f>_xll.qlPeriodEquivalent(C15&amp;"M")</f>
        <v>30Y</v>
      </c>
      <c r="B15" s="10">
        <f t="shared" si="13"/>
        <v>42004</v>
      </c>
      <c r="C15" s="11">
        <v>360</v>
      </c>
      <c r="D15" s="10">
        <f t="shared" si="8"/>
        <v>53117</v>
      </c>
      <c r="E15" s="13">
        <f t="shared" si="9"/>
        <v>36</v>
      </c>
      <c r="F15" s="16" t="e">
        <f t="shared" si="10"/>
        <v>#NUM!</v>
      </c>
      <c r="G15" s="17" t="e">
        <f t="shared" si="11"/>
        <v>#NUM!</v>
      </c>
      <c r="H15" s="12" t="e">
        <f t="shared" si="12"/>
        <v>#NUM!</v>
      </c>
      <c r="I15" s="17" t="e">
        <f>MIN(_xll.ohPack($V$3:INDEX($V$3:$V$135,MATCH(D15+1,$R$3:$R$135,1),1)))</f>
        <v>#NUM!</v>
      </c>
      <c r="J15" s="17" t="e">
        <f>MAX(_xll.ohPack($V$3:INDEX($V$3:$V$135,MATCH(D15+1,$R$3:$R$135,1),1)))</f>
        <v>#NUM!</v>
      </c>
      <c r="L15" s="46" t="s">
        <v>57</v>
      </c>
      <c r="M15" s="43" t="e">
        <f>_xll.qlAbcdCalibration2MaxError(M12)</f>
        <v>#VALUE!</v>
      </c>
      <c r="O15" s="33">
        <v>1</v>
      </c>
      <c r="P15" s="27" t="str">
        <f>_xll.qlPeriodEquivalent(P14&amp;"+"&amp;O15&amp;"M")</f>
        <v>1Y</v>
      </c>
      <c r="Q15" s="28">
        <f>_xll.qlCalendarAdvance(Calendar,SettlementDate,P15,"f",,Trigger)</f>
        <v>42529</v>
      </c>
      <c r="R15" s="28">
        <f>_xll.qlInterestRateIndexValueDate(Index,Q15,Trigger)</f>
        <v>42531</v>
      </c>
      <c r="S15" s="28">
        <f>_xll.qlInterestRateIndexMaturity(Index,R15,Trigger)</f>
        <v>42898</v>
      </c>
      <c r="T15" s="30">
        <f>_xll.qlIndexFixing($M$6,Q15,,InterestRatesTrigger)</f>
        <v>-3.6291382101848028E-4</v>
      </c>
      <c r="U15" s="30" t="e">
        <f>_xll.qlIndexFixing(Index,Q15,,InterestRatesTrigger)</f>
        <v>#NUM!</v>
      </c>
      <c r="V15" s="30" t="e">
        <f t="shared" si="5"/>
        <v>#NUM!</v>
      </c>
      <c r="W15" s="29">
        <f>_xll.qlDayCounterYearFraction(DayCounter,SettlementDate,R15,,,Trigger)</f>
        <v>1.0222222222222221</v>
      </c>
      <c r="X15" s="29">
        <f>_xll.qlDayCounterYearFraction(DayCounter,R15,S15)</f>
        <v>1.0194444444444444</v>
      </c>
      <c r="Y15" s="29" t="e">
        <f>_xll.qlYieldTSDiscount(Currency&amp;"ON",R15)/(1+U15*X15)</f>
        <v>#NUM!</v>
      </c>
      <c r="Z15" s="30" t="e">
        <f>_xll.qlTenorBasisValue(TenorBasis6M,R15,InterestRatesTrigger)</f>
        <v>#VALUE!</v>
      </c>
      <c r="AA15" s="30" t="e">
        <f t="shared" si="6"/>
        <v>#NUM!</v>
      </c>
    </row>
    <row r="16" spans="1:27" x14ac:dyDescent="0.2">
      <c r="A16" s="19" t="str">
        <f>_xll.qlPeriodEquivalent(C16&amp;"M")</f>
        <v>60Y</v>
      </c>
      <c r="B16" s="20">
        <f t="shared" si="13"/>
        <v>42004</v>
      </c>
      <c r="C16" s="21">
        <v>720</v>
      </c>
      <c r="D16" s="20">
        <f t="shared" si="8"/>
        <v>64074</v>
      </c>
      <c r="E16" s="22">
        <f t="shared" si="9"/>
        <v>60</v>
      </c>
      <c r="F16" s="23" t="e">
        <f t="shared" si="10"/>
        <v>#NUM!</v>
      </c>
      <c r="G16" s="24" t="e">
        <f t="shared" si="11"/>
        <v>#NUM!</v>
      </c>
      <c r="H16" s="25" t="e">
        <f t="shared" si="12"/>
        <v>#NUM!</v>
      </c>
      <c r="I16" s="24" t="e">
        <f>MIN(_xll.ohPack($V$3:INDEX($V$3:$V$135,MATCH(D16+1,$R$3:$R$135,1),1)))</f>
        <v>#NUM!</v>
      </c>
      <c r="J16" s="24" t="e">
        <f>MAX(_xll.ohPack($V$3:INDEX($V$3:$V$135,MATCH(D16+1,$R$3:$R$135,1),1)))</f>
        <v>#NUM!</v>
      </c>
      <c r="O16" s="33">
        <v>1</v>
      </c>
      <c r="P16" s="27" t="str">
        <f>_xll.qlPeriodEquivalent(P15&amp;"+"&amp;O16&amp;"M")</f>
        <v>1Y1M</v>
      </c>
      <c r="Q16" s="28">
        <f>_xll.qlCalendarAdvance(Calendar,SettlementDate,P16,"f",,Trigger)</f>
        <v>42559</v>
      </c>
      <c r="R16" s="28">
        <f>_xll.qlInterestRateIndexValueDate(Index,Q16,Trigger)</f>
        <v>42563</v>
      </c>
      <c r="S16" s="28">
        <f>_xll.qlInterestRateIndexMaturity(Index,R16,Trigger)</f>
        <v>42928</v>
      </c>
      <c r="T16" s="30">
        <f>_xll.qlIndexFixing($M$6,Q16,,InterestRatesTrigger)</f>
        <v>-2.2419006827187224E-4</v>
      </c>
      <c r="U16" s="30" t="e">
        <f>_xll.qlIndexFixing(Index,Q16,,InterestRatesTrigger)</f>
        <v>#NUM!</v>
      </c>
      <c r="V16" s="30" t="e">
        <f t="shared" si="5"/>
        <v>#NUM!</v>
      </c>
      <c r="W16" s="29">
        <f>_xll.qlDayCounterYearFraction(DayCounter,SettlementDate,R16,,,Trigger)</f>
        <v>1.1111111111111112</v>
      </c>
      <c r="X16" s="29">
        <f>_xll.qlDayCounterYearFraction(DayCounter,R16,S16)</f>
        <v>1.0138888888888888</v>
      </c>
      <c r="Y16" s="29" t="e">
        <f>_xll.qlYieldTSDiscount(Currency&amp;"ON",R16)/(1+U16*X16)</f>
        <v>#NUM!</v>
      </c>
      <c r="Z16" s="30" t="e">
        <f>_xll.qlTenorBasisValue(TenorBasis6M,R16,InterestRatesTrigger)</f>
        <v>#VALUE!</v>
      </c>
      <c r="AA16" s="30" t="e">
        <f t="shared" si="6"/>
        <v>#NUM!</v>
      </c>
    </row>
    <row r="17" spans="12:27" x14ac:dyDescent="0.2">
      <c r="L17" s="72" t="s">
        <v>51</v>
      </c>
      <c r="M17" s="73"/>
      <c r="O17" s="33">
        <v>1</v>
      </c>
      <c r="P17" s="27" t="str">
        <f>_xll.qlPeriodEquivalent(P16&amp;"+"&amp;O17&amp;"M")</f>
        <v>1Y2M</v>
      </c>
      <c r="Q17" s="28">
        <f>_xll.qlCalendarAdvance(Calendar,SettlementDate,P17,"f",,Trigger)</f>
        <v>42590</v>
      </c>
      <c r="R17" s="28">
        <f>_xll.qlInterestRateIndexValueDate(Index,Q17,Trigger)</f>
        <v>42592</v>
      </c>
      <c r="S17" s="28">
        <f>_xll.qlInterestRateIndexMaturity(Index,R17,Trigger)</f>
        <v>42957</v>
      </c>
      <c r="T17" s="30">
        <f>_xll.qlIndexFixing($M$6,Q17,,InterestRatesTrigger)</f>
        <v>-8.8968840074759911E-5</v>
      </c>
      <c r="U17" s="30" t="e">
        <f>_xll.qlIndexFixing(Index,Q17,,InterestRatesTrigger)</f>
        <v>#NUM!</v>
      </c>
      <c r="V17" s="30" t="e">
        <f t="shared" si="5"/>
        <v>#NUM!</v>
      </c>
      <c r="W17" s="29">
        <f>_xll.qlDayCounterYearFraction(DayCounter,SettlementDate,R17,,,Trigger)</f>
        <v>1.1916666666666667</v>
      </c>
      <c r="X17" s="29">
        <f>_xll.qlDayCounterYearFraction(DayCounter,R17,S17)</f>
        <v>1.0138888888888888</v>
      </c>
      <c r="Y17" s="29" t="e">
        <f>_xll.qlYieldTSDiscount(Currency&amp;"ON",R17)/(1+U17*X17)</f>
        <v>#NUM!</v>
      </c>
      <c r="Z17" s="30" t="e">
        <f>_xll.qlTenorBasisValue(TenorBasis6M,R17,InterestRatesTrigger)</f>
        <v>#VALUE!</v>
      </c>
      <c r="AA17" s="30" t="e">
        <f t="shared" si="6"/>
        <v>#NUM!</v>
      </c>
    </row>
    <row r="18" spans="12:27" x14ac:dyDescent="0.2">
      <c r="L18" s="46" t="s">
        <v>46</v>
      </c>
      <c r="M18" s="43" t="e">
        <f>_xll.qlAbcdCalibration2A($M$12,M13)</f>
        <v>#VALUE!</v>
      </c>
      <c r="O18" s="33">
        <v>1</v>
      </c>
      <c r="P18" s="27" t="str">
        <f>_xll.qlPeriodEquivalent(P17&amp;"+"&amp;O18&amp;"M")</f>
        <v>1Y3M</v>
      </c>
      <c r="Q18" s="28">
        <f>_xll.qlCalendarAdvance(Calendar,SettlementDate,P18,"f",,Trigger)</f>
        <v>42621</v>
      </c>
      <c r="R18" s="28">
        <f>_xll.qlInterestRateIndexValueDate(Index,Q18,Trigger)</f>
        <v>42625</v>
      </c>
      <c r="S18" s="28">
        <f>_xll.qlInterestRateIndexMaturity(Index,R18,Trigger)</f>
        <v>42990</v>
      </c>
      <c r="T18" s="30">
        <f>_xll.qlIndexFixing($M$6,Q18,,InterestRatesTrigger)</f>
        <v>7.3341719617371756E-5</v>
      </c>
      <c r="U18" s="30" t="e">
        <f>_xll.qlIndexFixing(Index,Q18,,InterestRatesTrigger)</f>
        <v>#NUM!</v>
      </c>
      <c r="V18" s="30" t="e">
        <f t="shared" si="5"/>
        <v>#NUM!</v>
      </c>
      <c r="W18" s="29">
        <f>_xll.qlDayCounterYearFraction(DayCounter,SettlementDate,R18,,,Trigger)</f>
        <v>1.2833333333333334</v>
      </c>
      <c r="X18" s="29">
        <f>_xll.qlDayCounterYearFraction(DayCounter,R18,S18)</f>
        <v>1.0138888888888888</v>
      </c>
      <c r="Y18" s="29" t="e">
        <f>_xll.qlYieldTSDiscount(Currency&amp;"ON",R18)/(1+U18*X18)</f>
        <v>#NUM!</v>
      </c>
      <c r="Z18" s="30" t="e">
        <f>_xll.qlTenorBasisValue(TenorBasis6M,R18,InterestRatesTrigger)</f>
        <v>#VALUE!</v>
      </c>
      <c r="AA18" s="30" t="e">
        <f t="shared" si="6"/>
        <v>#NUM!</v>
      </c>
    </row>
    <row r="19" spans="12:27" x14ac:dyDescent="0.2">
      <c r="L19" s="46" t="s">
        <v>47</v>
      </c>
      <c r="M19" s="44" t="e">
        <f>_xll.qlAbcdCalibration2B($M$12,M13)</f>
        <v>#VALUE!</v>
      </c>
      <c r="O19" s="33">
        <v>1</v>
      </c>
      <c r="P19" s="27" t="str">
        <f>_xll.qlPeriodEquivalent(P18&amp;"+"&amp;O19&amp;"M")</f>
        <v>1Y4M</v>
      </c>
      <c r="Q19" s="28">
        <f>_xll.qlCalendarAdvance(Calendar,SettlementDate,P19,"f",,Trigger)</f>
        <v>42653</v>
      </c>
      <c r="R19" s="28">
        <f>_xll.qlInterestRateIndexValueDate(Index,Q19,Trigger)</f>
        <v>42655</v>
      </c>
      <c r="S19" s="28">
        <f>_xll.qlInterestRateIndexMaturity(Index,R19,Trigger)</f>
        <v>43020</v>
      </c>
      <c r="T19" s="30">
        <f>_xll.qlIndexFixing($M$6,Q19,,InterestRatesTrigger)</f>
        <v>2.3129259009241419E-4</v>
      </c>
      <c r="U19" s="30" t="e">
        <f>_xll.qlIndexFixing(Index,Q19,,InterestRatesTrigger)</f>
        <v>#NUM!</v>
      </c>
      <c r="V19" s="30" t="e">
        <f t="shared" si="5"/>
        <v>#NUM!</v>
      </c>
      <c r="W19" s="29">
        <f>_xll.qlDayCounterYearFraction(DayCounter,SettlementDate,R19,,,Trigger)</f>
        <v>1.3666666666666667</v>
      </c>
      <c r="X19" s="29">
        <f>_xll.qlDayCounterYearFraction(DayCounter,R19,S19)</f>
        <v>1.0138888888888888</v>
      </c>
      <c r="Y19" s="29" t="e">
        <f>_xll.qlYieldTSDiscount(Currency&amp;"ON",R19)/(1+U19*X19)</f>
        <v>#NUM!</v>
      </c>
      <c r="Z19" s="30" t="e">
        <f>_xll.qlTenorBasisValue(TenorBasis6M,R19,InterestRatesTrigger)</f>
        <v>#VALUE!</v>
      </c>
      <c r="AA19" s="30" t="e">
        <f t="shared" si="6"/>
        <v>#NUM!</v>
      </c>
    </row>
    <row r="20" spans="12:27" x14ac:dyDescent="0.2">
      <c r="L20" s="46" t="s">
        <v>48</v>
      </c>
      <c r="M20" s="44" t="e">
        <f>_xll.qlAbcdCalibration2C($M$12,M13)</f>
        <v>#VALUE!</v>
      </c>
      <c r="O20" s="33">
        <v>1</v>
      </c>
      <c r="P20" s="27" t="str">
        <f>_xll.qlPeriodEquivalent(P19&amp;"+"&amp;O20&amp;"M")</f>
        <v>1Y5M</v>
      </c>
      <c r="Q20" s="28">
        <f>_xll.qlCalendarAdvance(Calendar,SettlementDate,P20,"f",,Trigger)</f>
        <v>42682</v>
      </c>
      <c r="R20" s="28">
        <f>_xll.qlInterestRateIndexValueDate(Index,Q20,Trigger)</f>
        <v>42684</v>
      </c>
      <c r="S20" s="28">
        <f>_xll.qlInterestRateIndexMaturity(Index,R20,Trigger)</f>
        <v>43049</v>
      </c>
      <c r="T20" s="30">
        <f>_xll.qlIndexFixing($M$6,Q20,,InterestRatesTrigger)</f>
        <v>3.9588336154017706E-4</v>
      </c>
      <c r="U20" s="30" t="e">
        <f>_xll.qlIndexFixing(Index,Q20,,InterestRatesTrigger)</f>
        <v>#NUM!</v>
      </c>
      <c r="V20" s="30" t="e">
        <f t="shared" si="5"/>
        <v>#NUM!</v>
      </c>
      <c r="W20" s="29">
        <f>_xll.qlDayCounterYearFraction(DayCounter,SettlementDate,R20,,,Trigger)</f>
        <v>1.4472222222222222</v>
      </c>
      <c r="X20" s="29">
        <f>_xll.qlDayCounterYearFraction(DayCounter,R20,S20)</f>
        <v>1.0138888888888888</v>
      </c>
      <c r="Y20" s="29" t="e">
        <f>_xll.qlYieldTSDiscount(Currency&amp;"ON",R20)/(1+U20*X20)</f>
        <v>#NUM!</v>
      </c>
      <c r="Z20" s="30" t="e">
        <f>_xll.qlTenorBasisValue(TenorBasis6M,R20,InterestRatesTrigger)</f>
        <v>#VALUE!</v>
      </c>
      <c r="AA20" s="30" t="e">
        <f t="shared" si="6"/>
        <v>#NUM!</v>
      </c>
    </row>
    <row r="21" spans="12:27" x14ac:dyDescent="0.2">
      <c r="L21" s="46" t="s">
        <v>49</v>
      </c>
      <c r="M21" s="43" t="e">
        <f>_xll.qlAbcdCalibration2D($M$12,M13)</f>
        <v>#VALUE!</v>
      </c>
      <c r="O21" s="33">
        <v>1</v>
      </c>
      <c r="P21" s="27" t="str">
        <f>_xll.qlPeriodEquivalent(P20&amp;"+"&amp;O21&amp;"M")</f>
        <v>1Y6M</v>
      </c>
      <c r="Q21" s="28">
        <f>_xll.qlCalendarAdvance(Calendar,SettlementDate,P21,"f",,Trigger)</f>
        <v>42712</v>
      </c>
      <c r="R21" s="28">
        <f>_xll.qlInterestRateIndexValueDate(Index,Q21,Trigger)</f>
        <v>42716</v>
      </c>
      <c r="S21" s="28">
        <f>_xll.qlInterestRateIndexMaturity(Index,R21,Trigger)</f>
        <v>43081</v>
      </c>
      <c r="T21" s="30">
        <f>_xll.qlIndexFixing($M$6,Q21,,InterestRatesTrigger)</f>
        <v>5.9392605647015163E-4</v>
      </c>
      <c r="U21" s="30" t="e">
        <f>_xll.qlIndexFixing(Index,Q21,,InterestRatesTrigger)</f>
        <v>#NUM!</v>
      </c>
      <c r="V21" s="30" t="e">
        <f t="shared" si="5"/>
        <v>#NUM!</v>
      </c>
      <c r="W21" s="29">
        <f>_xll.qlDayCounterYearFraction(DayCounter,SettlementDate,R21,,,Trigger)</f>
        <v>1.5361111111111112</v>
      </c>
      <c r="X21" s="29">
        <f>_xll.qlDayCounterYearFraction(DayCounter,R21,S21)</f>
        <v>1.0138888888888888</v>
      </c>
      <c r="Y21" s="29" t="e">
        <f>_xll.qlYieldTSDiscount(Currency&amp;"ON",R21)/(1+U21*X21)</f>
        <v>#NUM!</v>
      </c>
      <c r="Z21" s="30" t="e">
        <f>_xll.qlTenorBasisValue(TenorBasis6M,R21,InterestRatesTrigger)</f>
        <v>#VALUE!</v>
      </c>
      <c r="AA21" s="30" t="e">
        <f t="shared" si="6"/>
        <v>#NUM!</v>
      </c>
    </row>
    <row r="22" spans="12:27" x14ac:dyDescent="0.2">
      <c r="L22" s="46" t="s">
        <v>50</v>
      </c>
      <c r="M22" s="35" t="e">
        <f>_xll.qlAbcdTenorBasis(,Index,Currency&amp;"ON",SettlementDate,TRUE,M18:M21,,Trigger)</f>
        <v>#NUM!</v>
      </c>
      <c r="O22" s="33">
        <v>6</v>
      </c>
      <c r="P22" s="27" t="str">
        <f>_xll.qlPeriodEquivalent(P21&amp;"+"&amp;O22&amp;"M")</f>
        <v>2Y</v>
      </c>
      <c r="Q22" s="28">
        <f>_xll.qlCalendarAdvance(Calendar,SettlementDate,P22,"f",,Trigger)</f>
        <v>42894</v>
      </c>
      <c r="R22" s="28">
        <f>_xll.qlInterestRateIndexValueDate(Index,Q22,Trigger)</f>
        <v>42898</v>
      </c>
      <c r="S22" s="28">
        <f>_xll.qlInterestRateIndexMaturity(Index,R22,Trigger)</f>
        <v>43263</v>
      </c>
      <c r="T22" s="30">
        <f>_xll.qlIndexFixing($M$6,Q22,,InterestRatesTrigger)</f>
        <v>1.8568572100318163E-3</v>
      </c>
      <c r="U22" s="30" t="e">
        <f>_xll.qlIndexFixing(Index,Q22,,InterestRatesTrigger)</f>
        <v>#NUM!</v>
      </c>
      <c r="V22" s="30" t="e">
        <f t="shared" si="5"/>
        <v>#NUM!</v>
      </c>
      <c r="W22" s="29">
        <f>_xll.qlDayCounterYearFraction(DayCounter,SettlementDate,R22,,,Trigger)</f>
        <v>2.0416666666666665</v>
      </c>
      <c r="X22" s="29">
        <f>_xll.qlDayCounterYearFraction(DayCounter,R22,S22)</f>
        <v>1.0138888888888888</v>
      </c>
      <c r="Y22" s="29" t="e">
        <f>_xll.qlYieldTSDiscount(Currency&amp;"ON",R22)/(1+U22*X22)</f>
        <v>#NUM!</v>
      </c>
      <c r="Z22" s="30" t="e">
        <f>_xll.qlTenorBasisValue(TenorBasis6M,R22,InterestRatesTrigger)</f>
        <v>#VALUE!</v>
      </c>
      <c r="AA22" s="30" t="e">
        <f t="shared" si="6"/>
        <v>#NUM!</v>
      </c>
    </row>
    <row r="23" spans="12:27" x14ac:dyDescent="0.2">
      <c r="M23" s="42" t="e">
        <f>1/M20-M18/M19</f>
        <v>#VALUE!</v>
      </c>
      <c r="O23" s="33">
        <v>12</v>
      </c>
      <c r="P23" s="27" t="str">
        <f>_xll.qlPeriodEquivalent(P22&amp;"+"&amp;O23&amp;"M")</f>
        <v>3Y</v>
      </c>
      <c r="Q23" s="28">
        <f>_xll.qlCalendarAdvance(Calendar,SettlementDate,P23,"f",,Trigger)</f>
        <v>43259</v>
      </c>
      <c r="R23" s="28">
        <f>_xll.qlInterestRateIndexValueDate(Index,Q23,Trigger)</f>
        <v>43263</v>
      </c>
      <c r="S23" s="28">
        <f>_xll.qlInterestRateIndexMaturity(Index,R23,Trigger)</f>
        <v>43628</v>
      </c>
      <c r="T23" s="30">
        <f>_xll.qlIndexFixing($M$6,Q23,,InterestRatesTrigger)</f>
        <v>5.3995716520937121E-3</v>
      </c>
      <c r="U23" s="30" t="e">
        <f>_xll.qlIndexFixing(Index,Q23,,InterestRatesTrigger)</f>
        <v>#NUM!</v>
      </c>
      <c r="V23" s="30" t="e">
        <f t="shared" si="5"/>
        <v>#NUM!</v>
      </c>
      <c r="W23" s="29">
        <f>_xll.qlDayCounterYearFraction(DayCounter,SettlementDate,R23,,,Trigger)</f>
        <v>3.0555555555555554</v>
      </c>
      <c r="X23" s="29">
        <f>_xll.qlDayCounterYearFraction(DayCounter,R23,S23)</f>
        <v>1.0138888888888888</v>
      </c>
      <c r="Y23" s="29" t="e">
        <f>_xll.qlYieldTSDiscount(Currency&amp;"ON",R23)/(1+U23*X23)</f>
        <v>#NUM!</v>
      </c>
      <c r="Z23" s="30" t="e">
        <f>_xll.qlTenorBasisValue(TenorBasis6M,R23,InterestRatesTrigger)</f>
        <v>#VALUE!</v>
      </c>
      <c r="AA23" s="30" t="e">
        <f t="shared" si="6"/>
        <v>#NUM!</v>
      </c>
    </row>
    <row r="24" spans="12:27" x14ac:dyDescent="0.2">
      <c r="O24" s="33">
        <v>12</v>
      </c>
      <c r="P24" s="27" t="str">
        <f>_xll.qlPeriodEquivalent(P23&amp;"+"&amp;O24&amp;"M")</f>
        <v>4Y</v>
      </c>
      <c r="Q24" s="28">
        <f>_xll.qlCalendarAdvance(Calendar,SettlementDate,P24,"f",,Trigger)</f>
        <v>43626</v>
      </c>
      <c r="R24" s="28">
        <f>_xll.qlInterestRateIndexValueDate(Index,Q24,Trigger)</f>
        <v>43628</v>
      </c>
      <c r="S24" s="28">
        <f>_xll.qlInterestRateIndexMaturity(Index,R24,Trigger)</f>
        <v>43994</v>
      </c>
      <c r="T24" s="30">
        <f>_xll.qlIndexFixing($M$6,Q24,,InterestRatesTrigger)</f>
        <v>9.0926007987657629E-3</v>
      </c>
      <c r="U24" s="30" t="e">
        <f>_xll.qlIndexFixing(Index,Q24,,InterestRatesTrigger)</f>
        <v>#NUM!</v>
      </c>
      <c r="V24" s="30" t="e">
        <f t="shared" si="5"/>
        <v>#NUM!</v>
      </c>
      <c r="W24" s="29">
        <f>_xll.qlDayCounterYearFraction(DayCounter,SettlementDate,R24,,,Trigger)</f>
        <v>4.0694444444444446</v>
      </c>
      <c r="X24" s="29">
        <f>_xll.qlDayCounterYearFraction(DayCounter,R24,S24)</f>
        <v>1.0166666666666666</v>
      </c>
      <c r="Y24" s="29" t="e">
        <f>_xll.qlYieldTSDiscount(Currency&amp;"ON",R24)/(1+U24*X24)</f>
        <v>#NUM!</v>
      </c>
      <c r="Z24" s="30" t="e">
        <f>_xll.qlTenorBasisValue(TenorBasis6M,R24,InterestRatesTrigger)</f>
        <v>#VALUE!</v>
      </c>
      <c r="AA24" s="30" t="e">
        <f t="shared" si="6"/>
        <v>#NUM!</v>
      </c>
    </row>
    <row r="25" spans="12:27" x14ac:dyDescent="0.2">
      <c r="L25" s="72" t="s">
        <v>54</v>
      </c>
      <c r="M25" s="73"/>
      <c r="O25" s="33">
        <v>12</v>
      </c>
      <c r="P25" s="27" t="str">
        <f>_xll.qlPeriodEquivalent(P24&amp;"+"&amp;O25&amp;"M")</f>
        <v>5Y</v>
      </c>
      <c r="Q25" s="28">
        <f>_xll.qlCalendarAdvance(Calendar,SettlementDate,P25,"f",,Trigger)</f>
        <v>43990</v>
      </c>
      <c r="R25" s="28">
        <f>_xll.qlInterestRateIndexValueDate(Index,Q25,Trigger)</f>
        <v>43992</v>
      </c>
      <c r="S25" s="28">
        <f>_xll.qlInterestRateIndexMaturity(Index,R25,Trigger)</f>
        <v>44357</v>
      </c>
      <c r="T25" s="30">
        <f>_xll.qlIndexFixing($M$6,Q25,,InterestRatesTrigger)</f>
        <v>1.2048670888664426E-2</v>
      </c>
      <c r="U25" s="30" t="e">
        <f>_xll.qlIndexFixing(Index,Q25,,InterestRatesTrigger)</f>
        <v>#NUM!</v>
      </c>
      <c r="V25" s="30" t="e">
        <f t="shared" si="5"/>
        <v>#NUM!</v>
      </c>
      <c r="W25" s="29">
        <f>_xll.qlDayCounterYearFraction(DayCounter,SettlementDate,R25,,,Trigger)</f>
        <v>5.0805555555555557</v>
      </c>
      <c r="X25" s="29">
        <f>_xll.qlDayCounterYearFraction(DayCounter,R25,S25)</f>
        <v>1.0138888888888888</v>
      </c>
      <c r="Y25" s="29" t="e">
        <f>_xll.qlYieldTSDiscount(Currency&amp;"ON",R25)/(1+U25*X25)</f>
        <v>#NUM!</v>
      </c>
      <c r="Z25" s="30" t="e">
        <f>_xll.qlTenorBasisValue(TenorBasis6M,R25,InterestRatesTrigger)</f>
        <v>#VALUE!</v>
      </c>
      <c r="AA25" s="30" t="e">
        <f t="shared" si="6"/>
        <v>#NUM!</v>
      </c>
    </row>
    <row r="26" spans="12:27" x14ac:dyDescent="0.2">
      <c r="L26" s="46" t="s">
        <v>46</v>
      </c>
      <c r="M26" s="43" t="e">
        <f t="array" ref="M26:M29">_xll.qlTenorInstCoefficients(M22)</f>
        <v>#VALUE!</v>
      </c>
      <c r="O26" s="33">
        <v>12</v>
      </c>
      <c r="P26" s="27" t="str">
        <f>_xll.qlPeriodEquivalent(P25&amp;"+"&amp;O26&amp;"M")</f>
        <v>6Y</v>
      </c>
      <c r="Q26" s="28">
        <f>_xll.qlCalendarAdvance(Calendar,SettlementDate,P26,"f",,Trigger)</f>
        <v>44355</v>
      </c>
      <c r="R26" s="28">
        <f>_xll.qlInterestRateIndexValueDate(Index,Q26,Trigger)</f>
        <v>44357</v>
      </c>
      <c r="S26" s="28">
        <f>_xll.qlInterestRateIndexMaturity(Index,R26,Trigger)</f>
        <v>44722</v>
      </c>
      <c r="T26" s="30">
        <f>_xll.qlIndexFixing($M$6,Q26,,InterestRatesTrigger)</f>
        <v>1.4440337448715757E-2</v>
      </c>
      <c r="U26" s="30" t="e">
        <f>_xll.qlIndexFixing(Index,Q26,,InterestRatesTrigger)</f>
        <v>#NUM!</v>
      </c>
      <c r="V26" s="30" t="e">
        <f t="shared" si="5"/>
        <v>#NUM!</v>
      </c>
      <c r="W26" s="29">
        <f>_xll.qlDayCounterYearFraction(DayCounter,SettlementDate,R26,,,Trigger)</f>
        <v>6.0944444444444441</v>
      </c>
      <c r="X26" s="29">
        <f>_xll.qlDayCounterYearFraction(DayCounter,R26,S26)</f>
        <v>1.0138888888888888</v>
      </c>
      <c r="Y26" s="29" t="e">
        <f>_xll.qlYieldTSDiscount(Currency&amp;"ON",R26)/(1+U26*X26)</f>
        <v>#NUM!</v>
      </c>
      <c r="Z26" s="30" t="e">
        <f>_xll.qlTenorBasisValue(TenorBasis6M,R26,InterestRatesTrigger)</f>
        <v>#VALUE!</v>
      </c>
      <c r="AA26" s="30" t="e">
        <f t="shared" si="6"/>
        <v>#NUM!</v>
      </c>
    </row>
    <row r="27" spans="12:27" x14ac:dyDescent="0.2">
      <c r="L27" s="46" t="s">
        <v>47</v>
      </c>
      <c r="M27" s="44" t="e">
        <v>#VALUE!</v>
      </c>
      <c r="O27" s="33">
        <v>12</v>
      </c>
      <c r="P27" s="27" t="str">
        <f>_xll.qlPeriodEquivalent(P26&amp;"+"&amp;O27&amp;"M")</f>
        <v>7Y</v>
      </c>
      <c r="Q27" s="28">
        <f>_xll.qlCalendarAdvance(Calendar,SettlementDate,P27,"f",,Trigger)</f>
        <v>44720</v>
      </c>
      <c r="R27" s="28">
        <f>_xll.qlInterestRateIndexValueDate(Index,Q27,Trigger)</f>
        <v>44722</v>
      </c>
      <c r="S27" s="28">
        <f>_xll.qlInterestRateIndexMaturity(Index,R27,Trigger)</f>
        <v>45089</v>
      </c>
      <c r="T27" s="30">
        <f>_xll.qlIndexFixing($M$6,Q27,,InterestRatesTrigger)</f>
        <v>1.6808862052415784E-2</v>
      </c>
      <c r="U27" s="30" t="e">
        <f>_xll.qlIndexFixing(Index,Q27,,InterestRatesTrigger)</f>
        <v>#NUM!</v>
      </c>
      <c r="V27" s="30" t="e">
        <f t="shared" si="5"/>
        <v>#NUM!</v>
      </c>
      <c r="W27" s="29">
        <f>_xll.qlDayCounterYearFraction(DayCounter,SettlementDate,R27,,,Trigger)</f>
        <v>7.1083333333333334</v>
      </c>
      <c r="X27" s="29">
        <f>_xll.qlDayCounterYearFraction(DayCounter,R27,S27)</f>
        <v>1.0194444444444444</v>
      </c>
      <c r="Y27" s="29" t="e">
        <f>_xll.qlYieldTSDiscount(Currency&amp;"ON",R27)/(1+U27*X27)</f>
        <v>#NUM!</v>
      </c>
      <c r="Z27" s="30" t="e">
        <f>_xll.qlTenorBasisValue(TenorBasis6M,R27,InterestRatesTrigger)</f>
        <v>#VALUE!</v>
      </c>
      <c r="AA27" s="30" t="e">
        <f t="shared" si="6"/>
        <v>#NUM!</v>
      </c>
    </row>
    <row r="28" spans="12:27" x14ac:dyDescent="0.2">
      <c r="L28" s="46" t="s">
        <v>48</v>
      </c>
      <c r="M28" s="44" t="e">
        <v>#VALUE!</v>
      </c>
      <c r="O28" s="33">
        <v>12</v>
      </c>
      <c r="P28" s="27" t="str">
        <f>_xll.qlPeriodEquivalent(P27&amp;"+"&amp;O28&amp;"M")</f>
        <v>8Y</v>
      </c>
      <c r="Q28" s="28">
        <f>_xll.qlCalendarAdvance(Calendar,SettlementDate,P28,"f",,Trigger)</f>
        <v>45085</v>
      </c>
      <c r="R28" s="28">
        <f>_xll.qlInterestRateIndexValueDate(Index,Q28,Trigger)</f>
        <v>45089</v>
      </c>
      <c r="S28" s="28">
        <f>_xll.qlInterestRateIndexMaturity(Index,R28,Trigger)</f>
        <v>45455</v>
      </c>
      <c r="T28" s="30">
        <f>_xll.qlIndexFixing($M$6,Q28,,InterestRatesTrigger)</f>
        <v>1.7948304082648515E-2</v>
      </c>
      <c r="U28" s="30" t="e">
        <f>_xll.qlIndexFixing(Index,Q28,,InterestRatesTrigger)</f>
        <v>#NUM!</v>
      </c>
      <c r="V28" s="30" t="e">
        <f t="shared" si="5"/>
        <v>#NUM!</v>
      </c>
      <c r="W28" s="29">
        <f>_xll.qlDayCounterYearFraction(DayCounter,SettlementDate,R28,,,Trigger)</f>
        <v>8.1277777777777782</v>
      </c>
      <c r="X28" s="29">
        <f>_xll.qlDayCounterYearFraction(DayCounter,R28,S28)</f>
        <v>1.0166666666666666</v>
      </c>
      <c r="Y28" s="29" t="e">
        <f>_xll.qlYieldTSDiscount(Currency&amp;"ON",R28)/(1+U28*X28)</f>
        <v>#NUM!</v>
      </c>
      <c r="Z28" s="30" t="e">
        <f>_xll.qlTenorBasisValue(TenorBasis6M,R28,InterestRatesTrigger)</f>
        <v>#VALUE!</v>
      </c>
      <c r="AA28" s="30" t="e">
        <f t="shared" si="6"/>
        <v>#NUM!</v>
      </c>
    </row>
    <row r="29" spans="12:27" x14ac:dyDescent="0.2">
      <c r="L29" s="46" t="s">
        <v>49</v>
      </c>
      <c r="M29" s="43" t="e">
        <v>#VALUE!</v>
      </c>
      <c r="O29" s="33">
        <v>12</v>
      </c>
      <c r="P29" s="27" t="str">
        <f>_xll.qlPeriodEquivalent(P28&amp;"+"&amp;O29&amp;"M")</f>
        <v>9Y</v>
      </c>
      <c r="Q29" s="28">
        <f>_xll.qlCalendarAdvance(Calendar,SettlementDate,P29,"f",,Trigger)</f>
        <v>45453</v>
      </c>
      <c r="R29" s="28">
        <f>_xll.qlInterestRateIndexValueDate(Index,Q29,Trigger)</f>
        <v>45455</v>
      </c>
      <c r="S29" s="28">
        <f>_xll.qlInterestRateIndexMaturity(Index,R29,Trigger)</f>
        <v>45820</v>
      </c>
      <c r="T29" s="30">
        <f>_xll.qlIndexFixing($M$6,Q29,,InterestRatesTrigger)</f>
        <v>1.8758177193738384E-2</v>
      </c>
      <c r="U29" s="30" t="e">
        <f>_xll.qlIndexFixing(Index,Q29,,InterestRatesTrigger)</f>
        <v>#NUM!</v>
      </c>
      <c r="V29" s="30" t="e">
        <f t="shared" si="5"/>
        <v>#NUM!</v>
      </c>
      <c r="W29" s="29">
        <f>_xll.qlDayCounterYearFraction(DayCounter,SettlementDate,R29,,,Trigger)</f>
        <v>9.1444444444444439</v>
      </c>
      <c r="X29" s="29">
        <f>_xll.qlDayCounterYearFraction(DayCounter,R29,S29)</f>
        <v>1.0138888888888888</v>
      </c>
      <c r="Y29" s="29" t="e">
        <f>_xll.qlYieldTSDiscount(Currency&amp;"ON",R29)/(1+U29*X29)</f>
        <v>#NUM!</v>
      </c>
      <c r="Z29" s="30" t="e">
        <f>_xll.qlTenorBasisValue(TenorBasis6M,R29,InterestRatesTrigger)</f>
        <v>#VALUE!</v>
      </c>
      <c r="AA29" s="30" t="e">
        <f t="shared" si="6"/>
        <v>#NUM!</v>
      </c>
    </row>
    <row r="30" spans="12:27" x14ac:dyDescent="0.2">
      <c r="M30" s="42" t="e">
        <f>1/M28-M26/M27</f>
        <v>#VALUE!</v>
      </c>
      <c r="O30" s="33">
        <v>12</v>
      </c>
      <c r="P30" s="27" t="str">
        <f>_xll.qlPeriodEquivalent(P29&amp;"+"&amp;O30&amp;"M")</f>
        <v>10Y</v>
      </c>
      <c r="Q30" s="28">
        <f>_xll.qlCalendarAdvance(Calendar,SettlementDate,P30,"f",,Trigger)</f>
        <v>45817</v>
      </c>
      <c r="R30" s="28">
        <f>_xll.qlInterestRateIndexValueDate(Index,Q30,Trigger)</f>
        <v>45819</v>
      </c>
      <c r="S30" s="28">
        <f>_xll.qlInterestRateIndexMaturity(Index,R30,Trigger)</f>
        <v>46184</v>
      </c>
      <c r="T30" s="30">
        <f>_xll.qlIndexFixing($M$6,Q30,,InterestRatesTrigger)</f>
        <v>1.9852390011048805E-2</v>
      </c>
      <c r="U30" s="30" t="e">
        <f>_xll.qlIndexFixing(Index,Q30,,InterestRatesTrigger)</f>
        <v>#NUM!</v>
      </c>
      <c r="V30" s="30" t="e">
        <f t="shared" si="5"/>
        <v>#NUM!</v>
      </c>
      <c r="W30" s="29">
        <f>_xll.qlDayCounterYearFraction(DayCounter,SettlementDate,R30,,,Trigger)</f>
        <v>10.155555555555555</v>
      </c>
      <c r="X30" s="29">
        <f>_xll.qlDayCounterYearFraction(DayCounter,R30,S30)</f>
        <v>1.0138888888888888</v>
      </c>
      <c r="Y30" s="29" t="e">
        <f>_xll.qlYieldTSDiscount(Currency&amp;"ON",R30)/(1+U30*X30)</f>
        <v>#NUM!</v>
      </c>
      <c r="Z30" s="30" t="e">
        <f>_xll.qlTenorBasisValue(TenorBasis6M,R30,InterestRatesTrigger)</f>
        <v>#VALUE!</v>
      </c>
      <c r="AA30" s="30" t="e">
        <f t="shared" si="6"/>
        <v>#NUM!</v>
      </c>
    </row>
    <row r="31" spans="12:27" x14ac:dyDescent="0.2">
      <c r="O31" s="33">
        <v>12</v>
      </c>
      <c r="P31" s="27" t="str">
        <f>_xll.qlPeriodEquivalent(P30&amp;"+"&amp;O31&amp;"M")</f>
        <v>11Y</v>
      </c>
      <c r="Q31" s="28">
        <f>_xll.qlCalendarAdvance(Calendar,SettlementDate,P31,"f",,Trigger)</f>
        <v>46181</v>
      </c>
      <c r="R31" s="28">
        <f>_xll.qlInterestRateIndexValueDate(Index,Q31,Trigger)</f>
        <v>46183</v>
      </c>
      <c r="S31" s="28">
        <f>_xll.qlInterestRateIndexMaturity(Index,R31,Trigger)</f>
        <v>46548</v>
      </c>
      <c r="T31" s="30">
        <f>_xll.qlIndexFixing($M$6,Q31,,InterestRatesTrigger)</f>
        <v>1.9975206570698553E-2</v>
      </c>
      <c r="U31" s="30" t="e">
        <f>_xll.qlIndexFixing(Index,Q31,,InterestRatesTrigger)</f>
        <v>#NUM!</v>
      </c>
      <c r="V31" s="30" t="e">
        <f t="shared" si="5"/>
        <v>#NUM!</v>
      </c>
      <c r="W31" s="29">
        <f>_xll.qlDayCounterYearFraction(DayCounter,SettlementDate,R31,,,Trigger)</f>
        <v>11.166666666666666</v>
      </c>
      <c r="X31" s="29">
        <f>_xll.qlDayCounterYearFraction(DayCounter,R31,S31)</f>
        <v>1.0138888888888888</v>
      </c>
      <c r="Y31" s="29" t="e">
        <f>_xll.qlYieldTSDiscount(Currency&amp;"ON",R31)/(1+U31*X31)</f>
        <v>#NUM!</v>
      </c>
      <c r="Z31" s="30" t="e">
        <f>_xll.qlTenorBasisValue(TenorBasis6M,R31,InterestRatesTrigger)</f>
        <v>#VALUE!</v>
      </c>
      <c r="AA31" s="30" t="e">
        <f t="shared" si="6"/>
        <v>#NUM!</v>
      </c>
    </row>
    <row r="32" spans="12:27" x14ac:dyDescent="0.2">
      <c r="O32" s="33">
        <v>12</v>
      </c>
      <c r="P32" s="27" t="str">
        <f>_xll.qlPeriodEquivalent(P31&amp;"+"&amp;O32&amp;"M")</f>
        <v>12Y</v>
      </c>
      <c r="Q32" s="28">
        <f>_xll.qlCalendarAdvance(Calendar,SettlementDate,P32,"f",,Trigger)</f>
        <v>46546</v>
      </c>
      <c r="R32" s="28">
        <f>_xll.qlInterestRateIndexValueDate(Index,Q32,Trigger)</f>
        <v>46548</v>
      </c>
      <c r="S32" s="28">
        <f>_xll.qlInterestRateIndexMaturity(Index,R32,Trigger)</f>
        <v>46916</v>
      </c>
      <c r="T32" s="30">
        <f>_xll.qlIndexFixing($M$6,Q32,,InterestRatesTrigger)</f>
        <v>2.0105336643693305E-2</v>
      </c>
      <c r="U32" s="30" t="e">
        <f>_xll.qlIndexFixing(Index,Q32,,InterestRatesTrigger)</f>
        <v>#NUM!</v>
      </c>
      <c r="V32" s="30" t="e">
        <f t="shared" si="5"/>
        <v>#NUM!</v>
      </c>
      <c r="W32" s="29">
        <f>_xll.qlDayCounterYearFraction(DayCounter,SettlementDate,R32,,,Trigger)</f>
        <v>12.180555555555555</v>
      </c>
      <c r="X32" s="29">
        <f>_xll.qlDayCounterYearFraction(DayCounter,R32,S32)</f>
        <v>1.0222222222222221</v>
      </c>
      <c r="Y32" s="29" t="e">
        <f>_xll.qlYieldTSDiscount(Currency&amp;"ON",R32)/(1+U32*X32)</f>
        <v>#NUM!</v>
      </c>
      <c r="Z32" s="30" t="e">
        <f>_xll.qlTenorBasisValue(TenorBasis6M,R32,InterestRatesTrigger)</f>
        <v>#VALUE!</v>
      </c>
      <c r="AA32" s="30" t="e">
        <f t="shared" si="6"/>
        <v>#NUM!</v>
      </c>
    </row>
    <row r="33" spans="15:27" x14ac:dyDescent="0.2">
      <c r="O33" s="33">
        <v>12</v>
      </c>
      <c r="P33" s="27" t="str">
        <f>_xll.qlPeriodEquivalent(P32&amp;"+"&amp;O33&amp;"M")</f>
        <v>13Y</v>
      </c>
      <c r="Q33" s="28">
        <f>_xll.qlCalendarAdvance(Calendar,SettlementDate,P33,"f",,Trigger)</f>
        <v>46912</v>
      </c>
      <c r="R33" s="28">
        <f>_xll.qlInterestRateIndexValueDate(Index,Q33,Trigger)</f>
        <v>46916</v>
      </c>
      <c r="S33" s="28">
        <f>_xll.qlInterestRateIndexMaturity(Index,R33,Trigger)</f>
        <v>47281</v>
      </c>
      <c r="T33" s="30">
        <f>_xll.qlIndexFixing($M$6,Q33,,InterestRatesTrigger)</f>
        <v>2.014693240695007E-2</v>
      </c>
      <c r="U33" s="30" t="e">
        <f>_xll.qlIndexFixing(Index,Q33,,InterestRatesTrigger)</f>
        <v>#NUM!</v>
      </c>
      <c r="V33" s="30" t="e">
        <f t="shared" si="5"/>
        <v>#NUM!</v>
      </c>
      <c r="W33" s="29">
        <f>_xll.qlDayCounterYearFraction(DayCounter,SettlementDate,R33,,,Trigger)</f>
        <v>13.202777777777778</v>
      </c>
      <c r="X33" s="29">
        <f>_xll.qlDayCounterYearFraction(DayCounter,R33,S33)</f>
        <v>1.0138888888888888</v>
      </c>
      <c r="Y33" s="29" t="e">
        <f>_xll.qlYieldTSDiscount(Currency&amp;"ON",R33)/(1+U33*X33)</f>
        <v>#NUM!</v>
      </c>
      <c r="Z33" s="30" t="e">
        <f>_xll.qlTenorBasisValue(TenorBasis6M,R33,InterestRatesTrigger)</f>
        <v>#VALUE!</v>
      </c>
      <c r="AA33" s="30" t="e">
        <f t="shared" si="6"/>
        <v>#NUM!</v>
      </c>
    </row>
    <row r="34" spans="15:27" x14ac:dyDescent="0.2">
      <c r="O34" s="33">
        <v>12</v>
      </c>
      <c r="P34" s="27" t="str">
        <f>_xll.qlPeriodEquivalent(P33&amp;"+"&amp;O34&amp;"M")</f>
        <v>14Y</v>
      </c>
      <c r="Q34" s="28">
        <f>_xll.qlCalendarAdvance(Calendar,SettlementDate,P34,"f",,Trigger)</f>
        <v>47277</v>
      </c>
      <c r="R34" s="28">
        <f>_xll.qlInterestRateIndexValueDate(Index,Q34,Trigger)</f>
        <v>47281</v>
      </c>
      <c r="S34" s="28">
        <f>_xll.qlInterestRateIndexMaturity(Index,R34,Trigger)</f>
        <v>47646</v>
      </c>
      <c r="T34" s="30">
        <f>_xll.qlIndexFixing($M$6,Q34,,InterestRatesTrigger)</f>
        <v>1.998981527202905E-2</v>
      </c>
      <c r="U34" s="30" t="e">
        <f>_xll.qlIndexFixing(Index,Q34,,InterestRatesTrigger)</f>
        <v>#NUM!</v>
      </c>
      <c r="V34" s="30" t="e">
        <f t="shared" si="5"/>
        <v>#NUM!</v>
      </c>
      <c r="W34" s="29">
        <f>_xll.qlDayCounterYearFraction(DayCounter,SettlementDate,R34,,,Trigger)</f>
        <v>14.216666666666667</v>
      </c>
      <c r="X34" s="29">
        <f>_xll.qlDayCounterYearFraction(DayCounter,R34,S34)</f>
        <v>1.0138888888888888</v>
      </c>
      <c r="Y34" s="29" t="e">
        <f>_xll.qlYieldTSDiscount(Currency&amp;"ON",R34)/(1+U34*X34)</f>
        <v>#NUM!</v>
      </c>
      <c r="Z34" s="30" t="e">
        <f>_xll.qlTenorBasisValue(TenorBasis6M,R34,InterestRatesTrigger)</f>
        <v>#VALUE!</v>
      </c>
      <c r="AA34" s="30" t="e">
        <f t="shared" si="6"/>
        <v>#NUM!</v>
      </c>
    </row>
    <row r="35" spans="15:27" x14ac:dyDescent="0.2">
      <c r="O35" s="33">
        <v>12</v>
      </c>
      <c r="P35" s="27" t="str">
        <f>_xll.qlPeriodEquivalent(P34&amp;"+"&amp;O35&amp;"M")</f>
        <v>15Y</v>
      </c>
      <c r="Q35" s="28">
        <f>_xll.qlCalendarAdvance(Calendar,SettlementDate,P35,"f",,Trigger)</f>
        <v>47644</v>
      </c>
      <c r="R35" s="28">
        <f>_xll.qlInterestRateIndexValueDate(Index,Q35,Trigger)</f>
        <v>47646</v>
      </c>
      <c r="S35" s="28">
        <f>_xll.qlInterestRateIndexMaturity(Index,R35,Trigger)</f>
        <v>48011</v>
      </c>
      <c r="T35" s="30">
        <f>_xll.qlIndexFixing($M$6,Q35,,InterestRatesTrigger)</f>
        <v>1.9657996498715039E-2</v>
      </c>
      <c r="U35" s="30" t="e">
        <f>_xll.qlIndexFixing(Index,Q35,,InterestRatesTrigger)</f>
        <v>#NUM!</v>
      </c>
      <c r="V35" s="30" t="e">
        <f t="shared" si="5"/>
        <v>#NUM!</v>
      </c>
      <c r="W35" s="29">
        <f>_xll.qlDayCounterYearFraction(DayCounter,SettlementDate,R35,,,Trigger)</f>
        <v>15.230555555555556</v>
      </c>
      <c r="X35" s="29">
        <f>_xll.qlDayCounterYearFraction(DayCounter,R35,S35)</f>
        <v>1.0138888888888888</v>
      </c>
      <c r="Y35" s="29" t="e">
        <f>_xll.qlYieldTSDiscount(Currency&amp;"ON",R35)/(1+U35*X35)</f>
        <v>#NUM!</v>
      </c>
      <c r="Z35" s="30" t="e">
        <f>_xll.qlTenorBasisValue(TenorBasis6M,R35,InterestRatesTrigger)</f>
        <v>#VALUE!</v>
      </c>
      <c r="AA35" s="30" t="e">
        <f t="shared" si="6"/>
        <v>#NUM!</v>
      </c>
    </row>
    <row r="36" spans="15:27" x14ac:dyDescent="0.2">
      <c r="O36" s="33">
        <v>12</v>
      </c>
      <c r="P36" s="27" t="str">
        <f>_xll.qlPeriodEquivalent(P35&amp;"+"&amp;O36&amp;"M")</f>
        <v>16Y</v>
      </c>
      <c r="Q36" s="28">
        <f>_xll.qlCalendarAdvance(Calendar,SettlementDate,P36,"f",,Trigger)</f>
        <v>48008</v>
      </c>
      <c r="R36" s="28">
        <f>_xll.qlInterestRateIndexValueDate(Index,Q36,Trigger)</f>
        <v>48010</v>
      </c>
      <c r="S36" s="28">
        <f>_xll.qlInterestRateIndexMaturity(Index,R36,Trigger)</f>
        <v>48376</v>
      </c>
      <c r="T36" s="30">
        <f>_xll.qlIndexFixing($M$6,Q36,,InterestRatesTrigger)</f>
        <v>1.92505445480462E-2</v>
      </c>
      <c r="U36" s="30" t="e">
        <f>_xll.qlIndexFixing(Index,Q36,,InterestRatesTrigger)</f>
        <v>#NUM!</v>
      </c>
      <c r="V36" s="30" t="e">
        <f t="shared" si="5"/>
        <v>#NUM!</v>
      </c>
      <c r="W36" s="29">
        <f>_xll.qlDayCounterYearFraction(DayCounter,SettlementDate,R36,,,Trigger)</f>
        <v>16.241666666666667</v>
      </c>
      <c r="X36" s="29">
        <f>_xll.qlDayCounterYearFraction(DayCounter,R36,S36)</f>
        <v>1.0166666666666666</v>
      </c>
      <c r="Y36" s="29" t="e">
        <f>_xll.qlYieldTSDiscount(Currency&amp;"ON",R36)/(1+U36*X36)</f>
        <v>#NUM!</v>
      </c>
      <c r="Z36" s="30" t="e">
        <f>_xll.qlTenorBasisValue(TenorBasis6M,R36,InterestRatesTrigger)</f>
        <v>#VALUE!</v>
      </c>
      <c r="AA36" s="30" t="e">
        <f t="shared" si="6"/>
        <v>#NUM!</v>
      </c>
    </row>
    <row r="37" spans="15:27" x14ac:dyDescent="0.2">
      <c r="O37" s="33">
        <v>12</v>
      </c>
      <c r="P37" s="27" t="str">
        <f>_xll.qlPeriodEquivalent(P36&amp;"+"&amp;O37&amp;"M")</f>
        <v>17Y</v>
      </c>
      <c r="Q37" s="28">
        <f>_xll.qlCalendarAdvance(Calendar,SettlementDate,P37,"f",,Trigger)</f>
        <v>48373</v>
      </c>
      <c r="R37" s="28">
        <f>_xll.qlInterestRateIndexValueDate(Index,Q37,Trigger)</f>
        <v>48375</v>
      </c>
      <c r="S37" s="28">
        <f>_xll.qlInterestRateIndexMaturity(Index,R37,Trigger)</f>
        <v>48740</v>
      </c>
      <c r="T37" s="30">
        <f>_xll.qlIndexFixing($M$6,Q37,,InterestRatesTrigger)</f>
        <v>1.8789644743169874E-2</v>
      </c>
      <c r="U37" s="30" t="e">
        <f>_xll.qlIndexFixing(Index,Q37,,InterestRatesTrigger)</f>
        <v>#NUM!</v>
      </c>
      <c r="V37" s="30" t="e">
        <f t="shared" si="5"/>
        <v>#NUM!</v>
      </c>
      <c r="W37" s="29">
        <f>_xll.qlDayCounterYearFraction(DayCounter,SettlementDate,R37,,,Trigger)</f>
        <v>17.255555555555556</v>
      </c>
      <c r="X37" s="29">
        <f>_xll.qlDayCounterYearFraction(DayCounter,R37,S37)</f>
        <v>1.0138888888888888</v>
      </c>
      <c r="Y37" s="29" t="e">
        <f>_xll.qlYieldTSDiscount(Currency&amp;"ON",R37)/(1+U37*X37)</f>
        <v>#NUM!</v>
      </c>
      <c r="Z37" s="30" t="e">
        <f>_xll.qlTenorBasisValue(TenorBasis6M,R37,InterestRatesTrigger)</f>
        <v>#VALUE!</v>
      </c>
      <c r="AA37" s="30" t="e">
        <f t="shared" si="6"/>
        <v>#NUM!</v>
      </c>
    </row>
    <row r="38" spans="15:27" x14ac:dyDescent="0.2">
      <c r="O38" s="33">
        <v>12</v>
      </c>
      <c r="P38" s="27" t="str">
        <f>_xll.qlPeriodEquivalent(P37&amp;"+"&amp;O38&amp;"M")</f>
        <v>18Y</v>
      </c>
      <c r="Q38" s="28">
        <f>_xll.qlCalendarAdvance(Calendar,SettlementDate,P38,"f",,Trigger)</f>
        <v>48738</v>
      </c>
      <c r="R38" s="28">
        <f>_xll.qlInterestRateIndexValueDate(Index,Q38,Trigger)</f>
        <v>48740</v>
      </c>
      <c r="S38" s="28">
        <f>_xll.qlInterestRateIndexMaturity(Index,R38,Trigger)</f>
        <v>49107</v>
      </c>
      <c r="T38" s="30">
        <f>_xll.qlIndexFixing($M$6,Q38,,InterestRatesTrigger)</f>
        <v>1.8275546759579094E-2</v>
      </c>
      <c r="U38" s="30" t="e">
        <f>_xll.qlIndexFixing(Index,Q38,,InterestRatesTrigger)</f>
        <v>#NUM!</v>
      </c>
      <c r="V38" s="30" t="e">
        <f t="shared" si="5"/>
        <v>#NUM!</v>
      </c>
      <c r="W38" s="29">
        <f>_xll.qlDayCounterYearFraction(DayCounter,SettlementDate,R38,,,Trigger)</f>
        <v>18.269444444444446</v>
      </c>
      <c r="X38" s="29">
        <f>_xll.qlDayCounterYearFraction(DayCounter,R38,S38)</f>
        <v>1.0194444444444444</v>
      </c>
      <c r="Y38" s="29" t="e">
        <f>_xll.qlYieldTSDiscount(Currency&amp;"ON",R38)/(1+U38*X38)</f>
        <v>#NUM!</v>
      </c>
      <c r="Z38" s="30" t="e">
        <f>_xll.qlTenorBasisValue(TenorBasis6M,R38,InterestRatesTrigger)</f>
        <v>#VALUE!</v>
      </c>
      <c r="AA38" s="30" t="e">
        <f t="shared" si="6"/>
        <v>#NUM!</v>
      </c>
    </row>
    <row r="39" spans="15:27" x14ac:dyDescent="0.2">
      <c r="O39" s="33">
        <v>12</v>
      </c>
      <c r="P39" s="27" t="str">
        <f>_xll.qlPeriodEquivalent(P38&amp;"+"&amp;O39&amp;"M")</f>
        <v>19Y</v>
      </c>
      <c r="Q39" s="28">
        <f>_xll.qlCalendarAdvance(Calendar,SettlementDate,P39,"f",,Trigger)</f>
        <v>49103</v>
      </c>
      <c r="R39" s="28">
        <f>_xll.qlInterestRateIndexValueDate(Index,Q39,Trigger)</f>
        <v>49107</v>
      </c>
      <c r="S39" s="28">
        <f>_xll.qlInterestRateIndexMaturity(Index,R39,Trigger)</f>
        <v>49472</v>
      </c>
      <c r="T39" s="30">
        <f>_xll.qlIndexFixing($M$6,Q39,,InterestRatesTrigger)</f>
        <v>1.7706925432629993E-2</v>
      </c>
      <c r="U39" s="30" t="e">
        <f>_xll.qlIndexFixing(Index,Q39,,InterestRatesTrigger)</f>
        <v>#NUM!</v>
      </c>
      <c r="V39" s="30" t="e">
        <f t="shared" si="5"/>
        <v>#NUM!</v>
      </c>
      <c r="W39" s="29">
        <f>_xll.qlDayCounterYearFraction(DayCounter,SettlementDate,R39,,,Trigger)</f>
        <v>19.288888888888888</v>
      </c>
      <c r="X39" s="29">
        <f>_xll.qlDayCounterYearFraction(DayCounter,R39,S39)</f>
        <v>1.0138888888888888</v>
      </c>
      <c r="Y39" s="29" t="e">
        <f>_xll.qlYieldTSDiscount(Currency&amp;"ON",R39)/(1+U39*X39)</f>
        <v>#NUM!</v>
      </c>
      <c r="Z39" s="30" t="e">
        <f>_xll.qlTenorBasisValue(TenorBasis6M,R39,InterestRatesTrigger)</f>
        <v>#VALUE!</v>
      </c>
      <c r="AA39" s="30" t="e">
        <f t="shared" si="6"/>
        <v>#NUM!</v>
      </c>
    </row>
    <row r="40" spans="15:27" x14ac:dyDescent="0.2">
      <c r="O40" s="33">
        <v>12</v>
      </c>
      <c r="P40" s="27" t="str">
        <f>_xll.qlPeriodEquivalent(P39&amp;"+"&amp;O40&amp;"M")</f>
        <v>20Y</v>
      </c>
      <c r="Q40" s="28">
        <f>_xll.qlCalendarAdvance(Calendar,SettlementDate,P40,"f",,Trigger)</f>
        <v>49468</v>
      </c>
      <c r="R40" s="28">
        <f>_xll.qlInterestRateIndexValueDate(Index,Q40,Trigger)</f>
        <v>49472</v>
      </c>
      <c r="S40" s="28">
        <f>_xll.qlInterestRateIndexMaturity(Index,R40,Trigger)</f>
        <v>49838</v>
      </c>
      <c r="T40" s="30">
        <f>_xll.qlIndexFixing($M$6,Q40,,InterestRatesTrigger)</f>
        <v>1.7119320546658701E-2</v>
      </c>
      <c r="U40" s="30" t="e">
        <f>_xll.qlIndexFixing(Index,Q40,,InterestRatesTrigger)</f>
        <v>#NUM!</v>
      </c>
      <c r="V40" s="30" t="e">
        <f t="shared" si="5"/>
        <v>#NUM!</v>
      </c>
      <c r="W40" s="29">
        <f>_xll.qlDayCounterYearFraction(DayCounter,SettlementDate,R40,,,Trigger)</f>
        <v>20.302777777777777</v>
      </c>
      <c r="X40" s="29">
        <f>_xll.qlDayCounterYearFraction(DayCounter,R40,S40)</f>
        <v>1.0166666666666666</v>
      </c>
      <c r="Y40" s="29" t="e">
        <f>_xll.qlYieldTSDiscount(Currency&amp;"ON",R40)/(1+U40*X40)</f>
        <v>#NUM!</v>
      </c>
      <c r="Z40" s="30" t="e">
        <f>_xll.qlTenorBasisValue(TenorBasis6M,R40,InterestRatesTrigger)</f>
        <v>#VALUE!</v>
      </c>
      <c r="AA40" s="30" t="e">
        <f t="shared" si="6"/>
        <v>#NUM!</v>
      </c>
    </row>
    <row r="41" spans="15:27" x14ac:dyDescent="0.2">
      <c r="O41" s="33">
        <v>12</v>
      </c>
      <c r="P41" s="27" t="str">
        <f>_xll.qlPeriodEquivalent(P40&amp;"+"&amp;O41&amp;"M")</f>
        <v>21Y</v>
      </c>
      <c r="Q41" s="28">
        <f>_xll.qlCalendarAdvance(Calendar,SettlementDate,P41,"f",,Trigger)</f>
        <v>49835</v>
      </c>
      <c r="R41" s="28">
        <f>_xll.qlInterestRateIndexValueDate(Index,Q41,Trigger)</f>
        <v>49837</v>
      </c>
      <c r="S41" s="28">
        <f>_xll.qlInterestRateIndexMaturity(Index,R41,Trigger)</f>
        <v>50202</v>
      </c>
      <c r="T41" s="30">
        <f>_xll.qlIndexFixing($M$6,Q41,,InterestRatesTrigger)</f>
        <v>1.6632488372502401E-2</v>
      </c>
      <c r="U41" s="30" t="e">
        <f>_xll.qlIndexFixing(Index,Q41,,InterestRatesTrigger)</f>
        <v>#NUM!</v>
      </c>
      <c r="V41" s="30" t="e">
        <f t="shared" si="5"/>
        <v>#NUM!</v>
      </c>
      <c r="W41" s="29">
        <f>_xll.qlDayCounterYearFraction(DayCounter,SettlementDate,R41,,,Trigger)</f>
        <v>21.316666666666666</v>
      </c>
      <c r="X41" s="29">
        <f>_xll.qlDayCounterYearFraction(DayCounter,R41,S41)</f>
        <v>1.0138888888888888</v>
      </c>
      <c r="Y41" s="29" t="e">
        <f>_xll.qlYieldTSDiscount(Currency&amp;"ON",R41)/(1+U41*X41)</f>
        <v>#NUM!</v>
      </c>
      <c r="Z41" s="30" t="e">
        <f>_xll.qlTenorBasisValue(TenorBasis6M,R41,InterestRatesTrigger)</f>
        <v>#VALUE!</v>
      </c>
      <c r="AA41" s="30" t="e">
        <f t="shared" si="6"/>
        <v>#NUM!</v>
      </c>
    </row>
    <row r="42" spans="15:27" x14ac:dyDescent="0.2">
      <c r="O42" s="33">
        <v>12</v>
      </c>
      <c r="P42" s="27" t="str">
        <f>_xll.qlPeriodEquivalent(P41&amp;"+"&amp;O42&amp;"M")</f>
        <v>22Y</v>
      </c>
      <c r="Q42" s="28">
        <f>_xll.qlCalendarAdvance(Calendar,SettlementDate,P42,"f",,Trigger)</f>
        <v>50199</v>
      </c>
      <c r="R42" s="28">
        <f>_xll.qlInterestRateIndexValueDate(Index,Q42,Trigger)</f>
        <v>50201</v>
      </c>
      <c r="S42" s="28">
        <f>_xll.qlInterestRateIndexMaturity(Index,R42,Trigger)</f>
        <v>50566</v>
      </c>
      <c r="T42" s="30">
        <f>_xll.qlIndexFixing($M$6,Q42,,InterestRatesTrigger)</f>
        <v>1.6275416786397389E-2</v>
      </c>
      <c r="U42" s="30" t="e">
        <f>_xll.qlIndexFixing(Index,Q42,,InterestRatesTrigger)</f>
        <v>#NUM!</v>
      </c>
      <c r="V42" s="30" t="e">
        <f t="shared" si="5"/>
        <v>#NUM!</v>
      </c>
      <c r="W42" s="29">
        <f>_xll.qlDayCounterYearFraction(DayCounter,SettlementDate,R42,,,Trigger)</f>
        <v>22.327777777777779</v>
      </c>
      <c r="X42" s="29">
        <f>_xll.qlDayCounterYearFraction(DayCounter,R42,S42)</f>
        <v>1.0138888888888888</v>
      </c>
      <c r="Y42" s="29" t="e">
        <f>_xll.qlYieldTSDiscount(Currency&amp;"ON",R42)/(1+U42*X42)</f>
        <v>#NUM!</v>
      </c>
      <c r="Z42" s="30" t="e">
        <f>_xll.qlTenorBasisValue(TenorBasis6M,R42,InterestRatesTrigger)</f>
        <v>#VALUE!</v>
      </c>
      <c r="AA42" s="30" t="e">
        <f t="shared" si="6"/>
        <v>#NUM!</v>
      </c>
    </row>
    <row r="43" spans="15:27" x14ac:dyDescent="0.2">
      <c r="O43" s="33">
        <v>12</v>
      </c>
      <c r="P43" s="27" t="str">
        <f>_xll.qlPeriodEquivalent(P42&amp;"+"&amp;O43&amp;"M")</f>
        <v>23Y</v>
      </c>
      <c r="Q43" s="28">
        <f>_xll.qlCalendarAdvance(Calendar,SettlementDate,P43,"f",,Trigger)</f>
        <v>50564</v>
      </c>
      <c r="R43" s="28">
        <f>_xll.qlInterestRateIndexValueDate(Index,Q43,Trigger)</f>
        <v>50566</v>
      </c>
      <c r="S43" s="28">
        <f>_xll.qlInterestRateIndexMaturity(Index,R43,Trigger)</f>
        <v>50931</v>
      </c>
      <c r="T43" s="30">
        <f>_xll.qlIndexFixing($M$6,Q43,,InterestRatesTrigger)</f>
        <v>1.6046327468792827E-2</v>
      </c>
      <c r="U43" s="30" t="e">
        <f>_xll.qlIndexFixing(Index,Q43,,InterestRatesTrigger)</f>
        <v>#NUM!</v>
      </c>
      <c r="V43" s="30" t="e">
        <f t="shared" si="5"/>
        <v>#NUM!</v>
      </c>
      <c r="W43" s="29">
        <f>_xll.qlDayCounterYearFraction(DayCounter,SettlementDate,R43,,,Trigger)</f>
        <v>23.341666666666665</v>
      </c>
      <c r="X43" s="29">
        <f>_xll.qlDayCounterYearFraction(DayCounter,R43,S43)</f>
        <v>1.0138888888888888</v>
      </c>
      <c r="Y43" s="29" t="e">
        <f>_xll.qlYieldTSDiscount(Currency&amp;"ON",R43)/(1+U43*X43)</f>
        <v>#NUM!</v>
      </c>
      <c r="Z43" s="30" t="e">
        <f>_xll.qlTenorBasisValue(TenorBasis6M,R43,InterestRatesTrigger)</f>
        <v>#VALUE!</v>
      </c>
      <c r="AA43" s="30" t="e">
        <f t="shared" si="6"/>
        <v>#NUM!</v>
      </c>
    </row>
    <row r="44" spans="15:27" x14ac:dyDescent="0.2">
      <c r="O44" s="33">
        <v>12</v>
      </c>
      <c r="P44" s="27" t="str">
        <f>_xll.qlPeriodEquivalent(P43&amp;"+"&amp;O44&amp;"M")</f>
        <v>24Y</v>
      </c>
      <c r="Q44" s="28">
        <f>_xll.qlCalendarAdvance(Calendar,SettlementDate,P44,"f",,Trigger)</f>
        <v>50929</v>
      </c>
      <c r="R44" s="28">
        <f>_xll.qlInterestRateIndexValueDate(Index,Q44,Trigger)</f>
        <v>50931</v>
      </c>
      <c r="S44" s="28">
        <f>_xll.qlInterestRateIndexMaturity(Index,R44,Trigger)</f>
        <v>51298</v>
      </c>
      <c r="T44" s="30">
        <f>_xll.qlIndexFixing($M$6,Q44,,InterestRatesTrigger)</f>
        <v>1.5946954715656721E-2</v>
      </c>
      <c r="U44" s="30" t="e">
        <f>_xll.qlIndexFixing(Index,Q44,,InterestRatesTrigger)</f>
        <v>#NUM!</v>
      </c>
      <c r="V44" s="30" t="e">
        <f t="shared" si="5"/>
        <v>#NUM!</v>
      </c>
      <c r="W44" s="29">
        <f>_xll.qlDayCounterYearFraction(DayCounter,SettlementDate,R44,,,Trigger)</f>
        <v>24.355555555555554</v>
      </c>
      <c r="X44" s="29">
        <f>_xll.qlDayCounterYearFraction(DayCounter,R44,S44)</f>
        <v>1.0194444444444444</v>
      </c>
      <c r="Y44" s="29" t="e">
        <f>_xll.qlYieldTSDiscount(Currency&amp;"ON",R44)/(1+U44*X44)</f>
        <v>#NUM!</v>
      </c>
      <c r="Z44" s="30" t="e">
        <f>_xll.qlTenorBasisValue(TenorBasis6M,R44,InterestRatesTrigger)</f>
        <v>#VALUE!</v>
      </c>
      <c r="AA44" s="30" t="e">
        <f t="shared" si="6"/>
        <v>#NUM!</v>
      </c>
    </row>
    <row r="45" spans="15:27" x14ac:dyDescent="0.2">
      <c r="O45" s="33">
        <v>12</v>
      </c>
      <c r="P45" s="27" t="str">
        <f>_xll.qlPeriodEquivalent(P44&amp;"+"&amp;O45&amp;"M")</f>
        <v>25Y</v>
      </c>
      <c r="Q45" s="28">
        <f>_xll.qlCalendarAdvance(Calendar,SettlementDate,P45,"f",,Trigger)</f>
        <v>51295</v>
      </c>
      <c r="R45" s="28">
        <f>_xll.qlInterestRateIndexValueDate(Index,Q45,Trigger)</f>
        <v>51299</v>
      </c>
      <c r="S45" s="28">
        <f>_xll.qlInterestRateIndexMaturity(Index,R45,Trigger)</f>
        <v>51664</v>
      </c>
      <c r="T45" s="30">
        <f>_xll.qlIndexFixing($M$6,Q45,,InterestRatesTrigger)</f>
        <v>1.5961469817897075E-2</v>
      </c>
      <c r="U45" s="30" t="e">
        <f>_xll.qlIndexFixing(Index,Q45,,InterestRatesTrigger)</f>
        <v>#NUM!</v>
      </c>
      <c r="V45" s="30" t="e">
        <f t="shared" si="5"/>
        <v>#NUM!</v>
      </c>
      <c r="W45" s="29">
        <f>_xll.qlDayCounterYearFraction(DayCounter,SettlementDate,R45,,,Trigger)</f>
        <v>25.377777777777776</v>
      </c>
      <c r="X45" s="29">
        <f>_xll.qlDayCounterYearFraction(DayCounter,R45,S45)</f>
        <v>1.0138888888888888</v>
      </c>
      <c r="Y45" s="29" t="e">
        <f>_xll.qlYieldTSDiscount(Currency&amp;"ON",R45)/(1+U45*X45)</f>
        <v>#NUM!</v>
      </c>
      <c r="Z45" s="30" t="e">
        <f>_xll.qlTenorBasisValue(TenorBasis6M,R45,InterestRatesTrigger)</f>
        <v>#VALUE!</v>
      </c>
      <c r="AA45" s="30" t="e">
        <f t="shared" si="6"/>
        <v>#NUM!</v>
      </c>
    </row>
    <row r="46" spans="15:27" x14ac:dyDescent="0.2">
      <c r="O46" s="33">
        <v>12</v>
      </c>
      <c r="P46" s="27" t="str">
        <f>_xll.qlPeriodEquivalent(P45&amp;"+"&amp;O46&amp;"M")</f>
        <v>26Y</v>
      </c>
      <c r="Q46" s="28">
        <f>_xll.qlCalendarAdvance(Calendar,SettlementDate,P46,"f",,Trigger)</f>
        <v>51662</v>
      </c>
      <c r="R46" s="28">
        <f>_xll.qlInterestRateIndexValueDate(Index,Q46,Trigger)</f>
        <v>51664</v>
      </c>
      <c r="S46" s="28">
        <f>_xll.qlInterestRateIndexMaturity(Index,R46,Trigger)</f>
        <v>52029</v>
      </c>
      <c r="T46" s="30">
        <f>_xll.qlIndexFixing($M$6,Q46,,InterestRatesTrigger)</f>
        <v>1.6034993085360136E-2</v>
      </c>
      <c r="U46" s="30" t="e">
        <f>_xll.qlIndexFixing(Index,Q46,,InterestRatesTrigger)</f>
        <v>#NUM!</v>
      </c>
      <c r="V46" s="30" t="e">
        <f t="shared" si="5"/>
        <v>#NUM!</v>
      </c>
      <c r="W46" s="29">
        <f>_xll.qlDayCounterYearFraction(DayCounter,SettlementDate,R46,,,Trigger)</f>
        <v>26.391666666666666</v>
      </c>
      <c r="X46" s="29">
        <f>_xll.qlDayCounterYearFraction(DayCounter,R46,S46)</f>
        <v>1.0138888888888888</v>
      </c>
      <c r="Y46" s="29" t="e">
        <f>_xll.qlYieldTSDiscount(Currency&amp;"ON",R46)/(1+U46*X46)</f>
        <v>#NUM!</v>
      </c>
      <c r="Z46" s="30" t="e">
        <f>_xll.qlTenorBasisValue(TenorBasis6M,R46,InterestRatesTrigger)</f>
        <v>#VALUE!</v>
      </c>
      <c r="AA46" s="30" t="e">
        <f t="shared" si="6"/>
        <v>#NUM!</v>
      </c>
    </row>
    <row r="47" spans="15:27" x14ac:dyDescent="0.2">
      <c r="O47" s="33">
        <v>12</v>
      </c>
      <c r="P47" s="27" t="str">
        <f>_xll.qlPeriodEquivalent(P46&amp;"+"&amp;O47&amp;"M")</f>
        <v>27Y</v>
      </c>
      <c r="Q47" s="28">
        <f>_xll.qlCalendarAdvance(Calendar,SettlementDate,P47,"f",,Trigger)</f>
        <v>52026</v>
      </c>
      <c r="R47" s="28">
        <f>_xll.qlInterestRateIndexValueDate(Index,Q47,Trigger)</f>
        <v>52028</v>
      </c>
      <c r="S47" s="28">
        <f>_xll.qlInterestRateIndexMaturity(Index,R47,Trigger)</f>
        <v>52393</v>
      </c>
      <c r="T47" s="30">
        <f>_xll.qlIndexFixing($M$6,Q47,,InterestRatesTrigger)</f>
        <v>1.6152557105495537E-2</v>
      </c>
      <c r="U47" s="30" t="e">
        <f>_xll.qlIndexFixing(Index,Q47,,InterestRatesTrigger)</f>
        <v>#NUM!</v>
      </c>
      <c r="V47" s="30" t="e">
        <f t="shared" si="5"/>
        <v>#NUM!</v>
      </c>
      <c r="W47" s="29">
        <f>_xll.qlDayCounterYearFraction(DayCounter,SettlementDate,R47,,,Trigger)</f>
        <v>27.402777777777779</v>
      </c>
      <c r="X47" s="29">
        <f>_xll.qlDayCounterYearFraction(DayCounter,R47,S47)</f>
        <v>1.0138888888888888</v>
      </c>
      <c r="Y47" s="29" t="e">
        <f>_xll.qlYieldTSDiscount(Currency&amp;"ON",R47)/(1+U47*X47)</f>
        <v>#NUM!</v>
      </c>
      <c r="Z47" s="30" t="e">
        <f>_xll.qlTenorBasisValue(TenorBasis6M,R47,InterestRatesTrigger)</f>
        <v>#VALUE!</v>
      </c>
      <c r="AA47" s="30" t="e">
        <f t="shared" si="6"/>
        <v>#NUM!</v>
      </c>
    </row>
    <row r="48" spans="15:27" x14ac:dyDescent="0.2">
      <c r="O48" s="33">
        <v>12</v>
      </c>
      <c r="P48" s="27" t="str">
        <f>_xll.qlPeriodEquivalent(P47&amp;"+"&amp;O48&amp;"M")</f>
        <v>28Y</v>
      </c>
      <c r="Q48" s="28">
        <f>_xll.qlCalendarAdvance(Calendar,SettlementDate,P48,"f",,Trigger)</f>
        <v>52390</v>
      </c>
      <c r="R48" s="28">
        <f>_xll.qlInterestRateIndexValueDate(Index,Q48,Trigger)</f>
        <v>52392</v>
      </c>
      <c r="S48" s="28">
        <f>_xll.qlInterestRateIndexMaturity(Index,R48,Trigger)</f>
        <v>52758</v>
      </c>
      <c r="T48" s="30">
        <f>_xll.qlIndexFixing($M$6,Q48,,InterestRatesTrigger)</f>
        <v>1.6314948598659666E-2</v>
      </c>
      <c r="U48" s="30" t="e">
        <f>_xll.qlIndexFixing(Index,Q48,,InterestRatesTrigger)</f>
        <v>#NUM!</v>
      </c>
      <c r="V48" s="30" t="e">
        <f t="shared" si="5"/>
        <v>#NUM!</v>
      </c>
      <c r="W48" s="29">
        <f>_xll.qlDayCounterYearFraction(DayCounter,SettlementDate,R48,,,Trigger)</f>
        <v>28.413888888888888</v>
      </c>
      <c r="X48" s="29">
        <f>_xll.qlDayCounterYearFraction(DayCounter,R48,S48)</f>
        <v>1.0166666666666666</v>
      </c>
      <c r="Y48" s="29" t="e">
        <f>_xll.qlYieldTSDiscount(Currency&amp;"ON",R48)/(1+U48*X48)</f>
        <v>#NUM!</v>
      </c>
      <c r="Z48" s="30" t="e">
        <f>_xll.qlTenorBasisValue(TenorBasis6M,R48,InterestRatesTrigger)</f>
        <v>#VALUE!</v>
      </c>
      <c r="AA48" s="30" t="e">
        <f t="shared" si="6"/>
        <v>#NUM!</v>
      </c>
    </row>
    <row r="49" spans="15:27" x14ac:dyDescent="0.2">
      <c r="O49" s="33">
        <v>12</v>
      </c>
      <c r="P49" s="27" t="str">
        <f>_xll.qlPeriodEquivalent(P48&amp;"+"&amp;O49&amp;"M")</f>
        <v>29Y</v>
      </c>
      <c r="Q49" s="28">
        <f>_xll.qlCalendarAdvance(Calendar,SettlementDate,P49,"f",,Trigger)</f>
        <v>52756</v>
      </c>
      <c r="R49" s="28">
        <f>_xll.qlInterestRateIndexValueDate(Index,Q49,Trigger)</f>
        <v>52758</v>
      </c>
      <c r="S49" s="28">
        <f>_xll.qlInterestRateIndexMaturity(Index,R49,Trigger)</f>
        <v>53125</v>
      </c>
      <c r="T49" s="30">
        <f>_xll.qlIndexFixing($M$6,Q49,,InterestRatesTrigger)</f>
        <v>1.6522953545357561E-2</v>
      </c>
      <c r="U49" s="30" t="e">
        <f>_xll.qlIndexFixing(Index,Q49,,InterestRatesTrigger)</f>
        <v>#NUM!</v>
      </c>
      <c r="V49" s="30" t="e">
        <f t="shared" si="5"/>
        <v>#NUM!</v>
      </c>
      <c r="W49" s="29">
        <f>_xll.qlDayCounterYearFraction(DayCounter,SettlementDate,R49,,,Trigger)</f>
        <v>29.430555555555557</v>
      </c>
      <c r="X49" s="29">
        <f>_xll.qlDayCounterYearFraction(DayCounter,R49,S49)</f>
        <v>1.0194444444444444</v>
      </c>
      <c r="Y49" s="29" t="e">
        <f>_xll.qlYieldTSDiscount(Currency&amp;"ON",R49)/(1+U49*X49)</f>
        <v>#NUM!</v>
      </c>
      <c r="Z49" s="30" t="e">
        <f>_xll.qlTenorBasisValue(TenorBasis6M,R49,InterestRatesTrigger)</f>
        <v>#VALUE!</v>
      </c>
      <c r="AA49" s="30" t="e">
        <f t="shared" si="6"/>
        <v>#NUM!</v>
      </c>
    </row>
    <row r="50" spans="15:27" x14ac:dyDescent="0.2">
      <c r="O50" s="33">
        <v>12</v>
      </c>
      <c r="P50" s="27" t="str">
        <f>_xll.qlPeriodEquivalent(P49&amp;"+"&amp;O50&amp;"M")</f>
        <v>30Y</v>
      </c>
      <c r="Q50" s="28">
        <f>_xll.qlCalendarAdvance(Calendar,SettlementDate,P50,"f",,Trigger)</f>
        <v>53121</v>
      </c>
      <c r="R50" s="28">
        <f>_xll.qlInterestRateIndexValueDate(Index,Q50,Trigger)</f>
        <v>53125</v>
      </c>
      <c r="S50" s="28">
        <f>_xll.qlInterestRateIndexMaturity(Index,R50,Trigger)</f>
        <v>53490</v>
      </c>
      <c r="T50" s="30">
        <f>_xll.qlIndexFixing($M$6,Q50,,InterestRatesTrigger)</f>
        <v>1.6750355605696189E-2</v>
      </c>
      <c r="U50" s="30" t="e">
        <f>_xll.qlIndexFixing(Index,Q50,,InterestRatesTrigger)</f>
        <v>#NUM!</v>
      </c>
      <c r="V50" s="30" t="e">
        <f t="shared" si="5"/>
        <v>#NUM!</v>
      </c>
      <c r="W50" s="29">
        <f>_xll.qlDayCounterYearFraction(DayCounter,SettlementDate,R50,,,Trigger)</f>
        <v>30.45</v>
      </c>
      <c r="X50" s="29">
        <f>_xll.qlDayCounterYearFraction(DayCounter,R50,S50)</f>
        <v>1.0138888888888888</v>
      </c>
      <c r="Y50" s="29" t="e">
        <f>_xll.qlYieldTSDiscount(Currency&amp;"ON",R50)/(1+U50*X50)</f>
        <v>#NUM!</v>
      </c>
      <c r="Z50" s="30" t="e">
        <f>_xll.qlTenorBasisValue(TenorBasis6M,R50,InterestRatesTrigger)</f>
        <v>#VALUE!</v>
      </c>
      <c r="AA50" s="30" t="e">
        <f t="shared" si="6"/>
        <v>#NUM!</v>
      </c>
    </row>
    <row r="51" spans="15:27" x14ac:dyDescent="0.2">
      <c r="O51" s="33">
        <v>12</v>
      </c>
      <c r="P51" s="27" t="str">
        <f>_xll.qlPeriodEquivalent(P50&amp;"+"&amp;O51&amp;"M")</f>
        <v>31Y</v>
      </c>
      <c r="Q51" s="28">
        <f>_xll.qlCalendarAdvance(Calendar,SettlementDate,P51,"f",,Trigger)</f>
        <v>53486</v>
      </c>
      <c r="R51" s="28">
        <f>_xll.qlInterestRateIndexValueDate(Index,Q51,Trigger)</f>
        <v>53490</v>
      </c>
      <c r="S51" s="28">
        <f>_xll.qlInterestRateIndexMaturity(Index,R51,Trigger)</f>
        <v>53855</v>
      </c>
      <c r="T51" s="30">
        <f>_xll.qlIndexFixing($M$6,Q51,,InterestRatesTrigger)</f>
        <v>1.6905920489487167E-2</v>
      </c>
      <c r="U51" s="30" t="e">
        <f>_xll.qlIndexFixing(Index,Q51,,InterestRatesTrigger)</f>
        <v>#NUM!</v>
      </c>
      <c r="V51" s="30" t="e">
        <f t="shared" si="5"/>
        <v>#NUM!</v>
      </c>
      <c r="W51" s="29">
        <f>_xll.qlDayCounterYearFraction(DayCounter,SettlementDate,R51,,,Trigger)</f>
        <v>31.463888888888889</v>
      </c>
      <c r="X51" s="29">
        <f>_xll.qlDayCounterYearFraction(DayCounter,R51,S51)</f>
        <v>1.0138888888888888</v>
      </c>
      <c r="Y51" s="29" t="e">
        <f>_xll.qlYieldTSDiscount(Currency&amp;"ON",R51)/(1+U51*X51)</f>
        <v>#NUM!</v>
      </c>
      <c r="Z51" s="30" t="e">
        <f>_xll.qlTenorBasisValue(TenorBasis6M,R51,InterestRatesTrigger)</f>
        <v>#VALUE!</v>
      </c>
      <c r="AA51" s="30" t="e">
        <f t="shared" si="6"/>
        <v>#NUM!</v>
      </c>
    </row>
    <row r="52" spans="15:27" x14ac:dyDescent="0.2">
      <c r="O52" s="33">
        <v>12</v>
      </c>
      <c r="P52" s="27" t="str">
        <f>_xll.qlPeriodEquivalent(P51&amp;"+"&amp;O52&amp;"M")</f>
        <v>32Y</v>
      </c>
      <c r="Q52" s="28">
        <f>_xll.qlCalendarAdvance(Calendar,SettlementDate,P52,"f",,Trigger)</f>
        <v>53853</v>
      </c>
      <c r="R52" s="28">
        <f>_xll.qlInterestRateIndexValueDate(Index,Q52,Trigger)</f>
        <v>53855</v>
      </c>
      <c r="S52" s="28">
        <f>_xll.qlInterestRateIndexMaturity(Index,R52,Trigger)</f>
        <v>54221</v>
      </c>
      <c r="T52" s="30">
        <f>_xll.qlIndexFixing($M$6,Q52,,InterestRatesTrigger)</f>
        <v>1.6967467343284772E-2</v>
      </c>
      <c r="U52" s="30" t="e">
        <f>_xll.qlIndexFixing(Index,Q52,,InterestRatesTrigger)</f>
        <v>#NUM!</v>
      </c>
      <c r="V52" s="30" t="e">
        <f t="shared" si="5"/>
        <v>#NUM!</v>
      </c>
      <c r="W52" s="29">
        <f>_xll.qlDayCounterYearFraction(DayCounter,SettlementDate,R52,,,Trigger)</f>
        <v>32.477777777777774</v>
      </c>
      <c r="X52" s="29">
        <f>_xll.qlDayCounterYearFraction(DayCounter,R52,S52)</f>
        <v>1.0166666666666666</v>
      </c>
      <c r="Y52" s="29" t="e">
        <f>_xll.qlYieldTSDiscount(Currency&amp;"ON",R52)/(1+U52*X52)</f>
        <v>#NUM!</v>
      </c>
      <c r="Z52" s="30" t="e">
        <f>_xll.qlTenorBasisValue(TenorBasis6M,R52,InterestRatesTrigger)</f>
        <v>#VALUE!</v>
      </c>
      <c r="AA52" s="30" t="e">
        <f t="shared" si="6"/>
        <v>#NUM!</v>
      </c>
    </row>
    <row r="53" spans="15:27" x14ac:dyDescent="0.2">
      <c r="O53" s="33">
        <v>12</v>
      </c>
      <c r="P53" s="27" t="str">
        <f>_xll.qlPeriodEquivalent(P52&amp;"+"&amp;O53&amp;"M")</f>
        <v>33Y</v>
      </c>
      <c r="Q53" s="28">
        <f>_xll.qlCalendarAdvance(Calendar,SettlementDate,P53,"f",,Trigger)</f>
        <v>54217</v>
      </c>
      <c r="R53" s="28">
        <f>_xll.qlInterestRateIndexValueDate(Index,Q53,Trigger)</f>
        <v>54219</v>
      </c>
      <c r="S53" s="28">
        <f>_xll.qlInterestRateIndexMaturity(Index,R53,Trigger)</f>
        <v>54584</v>
      </c>
      <c r="T53" s="30">
        <f>_xll.qlIndexFixing($M$6,Q53,,InterestRatesTrigger)</f>
        <v>1.6934014126185025E-2</v>
      </c>
      <c r="U53" s="30" t="e">
        <f>_xll.qlIndexFixing(Index,Q53,,InterestRatesTrigger)</f>
        <v>#NUM!</v>
      </c>
      <c r="V53" s="30" t="e">
        <f t="shared" si="5"/>
        <v>#NUM!</v>
      </c>
      <c r="W53" s="29">
        <f>_xll.qlDayCounterYearFraction(DayCounter,SettlementDate,R53,,,Trigger)</f>
        <v>33.488888888888887</v>
      </c>
      <c r="X53" s="29">
        <f>_xll.qlDayCounterYearFraction(DayCounter,R53,S53)</f>
        <v>1.0138888888888888</v>
      </c>
      <c r="Y53" s="29" t="e">
        <f>_xll.qlYieldTSDiscount(Currency&amp;"ON",R53)/(1+U53*X53)</f>
        <v>#NUM!</v>
      </c>
      <c r="Z53" s="30" t="e">
        <f>_xll.qlTenorBasisValue(TenorBasis6M,R53,InterestRatesTrigger)</f>
        <v>#VALUE!</v>
      </c>
      <c r="AA53" s="30" t="e">
        <f t="shared" si="6"/>
        <v>#NUM!</v>
      </c>
    </row>
    <row r="54" spans="15:27" x14ac:dyDescent="0.2">
      <c r="O54" s="33">
        <v>12</v>
      </c>
      <c r="P54" s="27" t="str">
        <f>_xll.qlPeriodEquivalent(P53&amp;"+"&amp;O54&amp;"M")</f>
        <v>34Y</v>
      </c>
      <c r="Q54" s="28">
        <f>_xll.qlCalendarAdvance(Calendar,SettlementDate,P54,"f",,Trigger)</f>
        <v>54582</v>
      </c>
      <c r="R54" s="28">
        <f>_xll.qlInterestRateIndexValueDate(Index,Q54,Trigger)</f>
        <v>54584</v>
      </c>
      <c r="S54" s="28">
        <f>_xll.qlInterestRateIndexMaturity(Index,R54,Trigger)</f>
        <v>54949</v>
      </c>
      <c r="T54" s="30">
        <f>_xll.qlIndexFixing($M$6,Q54,,InterestRatesTrigger)</f>
        <v>1.6806573485743801E-2</v>
      </c>
      <c r="U54" s="30" t="e">
        <f>_xll.qlIndexFixing(Index,Q54,,InterestRatesTrigger)</f>
        <v>#NUM!</v>
      </c>
      <c r="V54" s="30" t="e">
        <f t="shared" si="5"/>
        <v>#NUM!</v>
      </c>
      <c r="W54" s="29">
        <f>_xll.qlDayCounterYearFraction(DayCounter,SettlementDate,R54,,,Trigger)</f>
        <v>34.50277777777778</v>
      </c>
      <c r="X54" s="29">
        <f>_xll.qlDayCounterYearFraction(DayCounter,R54,S54)</f>
        <v>1.0138888888888888</v>
      </c>
      <c r="Y54" s="29" t="e">
        <f>_xll.qlYieldTSDiscount(Currency&amp;"ON",R54)/(1+U54*X54)</f>
        <v>#NUM!</v>
      </c>
      <c r="Z54" s="30" t="e">
        <f>_xll.qlTenorBasisValue(TenorBasis6M,R54,InterestRatesTrigger)</f>
        <v>#VALUE!</v>
      </c>
      <c r="AA54" s="30" t="e">
        <f t="shared" si="6"/>
        <v>#NUM!</v>
      </c>
    </row>
    <row r="55" spans="15:27" x14ac:dyDescent="0.2">
      <c r="O55" s="33">
        <v>12</v>
      </c>
      <c r="P55" s="27" t="str">
        <f>_xll.qlPeriodEquivalent(P54&amp;"+"&amp;O55&amp;"M")</f>
        <v>35Y</v>
      </c>
      <c r="Q55" s="28">
        <f>_xll.qlCalendarAdvance(Calendar,SettlementDate,P55,"f",,Trigger)</f>
        <v>54947</v>
      </c>
      <c r="R55" s="28">
        <f>_xll.qlInterestRateIndexValueDate(Index,Q55,Trigger)</f>
        <v>54949</v>
      </c>
      <c r="S55" s="28">
        <f>_xll.qlInterestRateIndexMaturity(Index,R55,Trigger)</f>
        <v>55316</v>
      </c>
      <c r="T55" s="30">
        <f>_xll.qlIndexFixing($M$6,Q55,,InterestRatesTrigger)</f>
        <v>1.6584727065950832E-2</v>
      </c>
      <c r="U55" s="30" t="e">
        <f>_xll.qlIndexFixing(Index,Q55,,InterestRatesTrigger)</f>
        <v>#NUM!</v>
      </c>
      <c r="V55" s="30" t="e">
        <f t="shared" si="5"/>
        <v>#NUM!</v>
      </c>
      <c r="W55" s="29">
        <f>_xll.qlDayCounterYearFraction(DayCounter,SettlementDate,R55,,,Trigger)</f>
        <v>35.516666666666666</v>
      </c>
      <c r="X55" s="29">
        <f>_xll.qlDayCounterYearFraction(DayCounter,R55,S55)</f>
        <v>1.0194444444444444</v>
      </c>
      <c r="Y55" s="29" t="e">
        <f>_xll.qlYieldTSDiscount(Currency&amp;"ON",R55)/(1+U55*X55)</f>
        <v>#NUM!</v>
      </c>
      <c r="Z55" s="30" t="e">
        <f>_xll.qlTenorBasisValue(TenorBasis6M,R55,InterestRatesTrigger)</f>
        <v>#VALUE!</v>
      </c>
      <c r="AA55" s="30" t="e">
        <f t="shared" si="6"/>
        <v>#NUM!</v>
      </c>
    </row>
    <row r="56" spans="15:27" x14ac:dyDescent="0.2">
      <c r="O56" s="33">
        <v>12</v>
      </c>
      <c r="P56" s="27" t="str">
        <f>_xll.qlPeriodEquivalent(P55&amp;"+"&amp;O56&amp;"M")</f>
        <v>36Y</v>
      </c>
      <c r="Q56" s="28">
        <f>_xll.qlCalendarAdvance(Calendar,SettlementDate,P56,"f",,Trigger)</f>
        <v>55312</v>
      </c>
      <c r="R56" s="28">
        <f>_xll.qlInterestRateIndexValueDate(Index,Q56,Trigger)</f>
        <v>55316</v>
      </c>
      <c r="S56" s="28">
        <f>_xll.qlInterestRateIndexMaturity(Index,R56,Trigger)</f>
        <v>55682</v>
      </c>
      <c r="T56" s="30">
        <f>_xll.qlIndexFixing($M$6,Q56,,InterestRatesTrigger)</f>
        <v>1.6266453408335001E-2</v>
      </c>
      <c r="U56" s="30" t="e">
        <f>_xll.qlIndexFixing(Index,Q56,,InterestRatesTrigger)</f>
        <v>#NUM!</v>
      </c>
      <c r="V56" s="30" t="e">
        <f t="shared" si="5"/>
        <v>#NUM!</v>
      </c>
      <c r="W56" s="29">
        <f>_xll.qlDayCounterYearFraction(DayCounter,SettlementDate,R56,,,Trigger)</f>
        <v>36.536111111111111</v>
      </c>
      <c r="X56" s="29">
        <f>_xll.qlDayCounterYearFraction(DayCounter,R56,S56)</f>
        <v>1.0166666666666666</v>
      </c>
      <c r="Y56" s="29" t="e">
        <f>_xll.qlYieldTSDiscount(Currency&amp;"ON",R56)/(1+U56*X56)</f>
        <v>#NUM!</v>
      </c>
      <c r="Z56" s="30" t="e">
        <f>_xll.qlTenorBasisValue(TenorBasis6M,R56,InterestRatesTrigger)</f>
        <v>#VALUE!</v>
      </c>
      <c r="AA56" s="30" t="e">
        <f t="shared" si="6"/>
        <v>#NUM!</v>
      </c>
    </row>
    <row r="57" spans="15:27" x14ac:dyDescent="0.2">
      <c r="O57" s="33">
        <v>12</v>
      </c>
      <c r="P57" s="27" t="str">
        <f>_xll.qlPeriodEquivalent(P56&amp;"+"&amp;O57&amp;"M")</f>
        <v>37Y</v>
      </c>
      <c r="Q57" s="28">
        <f>_xll.qlCalendarAdvance(Calendar,SettlementDate,P57,"f",,Trigger)</f>
        <v>55680</v>
      </c>
      <c r="R57" s="28">
        <f>_xll.qlInterestRateIndexValueDate(Index,Q57,Trigger)</f>
        <v>55682</v>
      </c>
      <c r="S57" s="28">
        <f>_xll.qlInterestRateIndexMaturity(Index,R57,Trigger)</f>
        <v>56047</v>
      </c>
      <c r="T57" s="30">
        <f>_xll.qlIndexFixing($M$6,Q57,,InterestRatesTrigger)</f>
        <v>1.5854455764185212E-2</v>
      </c>
      <c r="U57" s="30" t="e">
        <f>_xll.qlIndexFixing(Index,Q57,,InterestRatesTrigger)</f>
        <v>#NUM!</v>
      </c>
      <c r="V57" s="30" t="e">
        <f t="shared" si="5"/>
        <v>#NUM!</v>
      </c>
      <c r="W57" s="29">
        <f>_xll.qlDayCounterYearFraction(DayCounter,SettlementDate,R57,,,Trigger)</f>
        <v>37.552777777777777</v>
      </c>
      <c r="X57" s="29">
        <f>_xll.qlDayCounterYearFraction(DayCounter,R57,S57)</f>
        <v>1.0138888888888888</v>
      </c>
      <c r="Y57" s="29" t="e">
        <f>_xll.qlYieldTSDiscount(Currency&amp;"ON",R57)/(1+U57*X57)</f>
        <v>#NUM!</v>
      </c>
      <c r="Z57" s="30" t="e">
        <f>_xll.qlTenorBasisValue(TenorBasis6M,R57,InterestRatesTrigger)</f>
        <v>#VALUE!</v>
      </c>
      <c r="AA57" s="30" t="e">
        <f t="shared" si="6"/>
        <v>#NUM!</v>
      </c>
    </row>
    <row r="58" spans="15:27" x14ac:dyDescent="0.2">
      <c r="O58" s="33">
        <v>12</v>
      </c>
      <c r="P58" s="27" t="str">
        <f>_xll.qlPeriodEquivalent(P57&amp;"+"&amp;O58&amp;"M")</f>
        <v>38Y</v>
      </c>
      <c r="Q58" s="28">
        <f>_xll.qlCalendarAdvance(Calendar,SettlementDate,P58,"f",,Trigger)</f>
        <v>56044</v>
      </c>
      <c r="R58" s="28">
        <f>_xll.qlInterestRateIndexValueDate(Index,Q58,Trigger)</f>
        <v>56046</v>
      </c>
      <c r="S58" s="28">
        <f>_xll.qlInterestRateIndexMaturity(Index,R58,Trigger)</f>
        <v>56411</v>
      </c>
      <c r="T58" s="30">
        <f>_xll.qlIndexFixing($M$6,Q58,,InterestRatesTrigger)</f>
        <v>1.5350697167944729E-2</v>
      </c>
      <c r="U58" s="30" t="e">
        <f>_xll.qlIndexFixing(Index,Q58,,InterestRatesTrigger)</f>
        <v>#NUM!</v>
      </c>
      <c r="V58" s="30" t="e">
        <f t="shared" si="5"/>
        <v>#NUM!</v>
      </c>
      <c r="W58" s="29">
        <f>_xll.qlDayCounterYearFraction(DayCounter,SettlementDate,R58,,,Trigger)</f>
        <v>38.56388888888889</v>
      </c>
      <c r="X58" s="29">
        <f>_xll.qlDayCounterYearFraction(DayCounter,R58,S58)</f>
        <v>1.0138888888888888</v>
      </c>
      <c r="Y58" s="29" t="e">
        <f>_xll.qlYieldTSDiscount(Currency&amp;"ON",R58)/(1+U58*X58)</f>
        <v>#NUM!</v>
      </c>
      <c r="Z58" s="30" t="e">
        <f>_xll.qlTenorBasisValue(TenorBasis6M,R58,InterestRatesTrigger)</f>
        <v>#VALUE!</v>
      </c>
      <c r="AA58" s="30" t="e">
        <f t="shared" si="6"/>
        <v>#NUM!</v>
      </c>
    </row>
    <row r="59" spans="15:27" x14ac:dyDescent="0.2">
      <c r="O59" s="33">
        <v>12</v>
      </c>
      <c r="P59" s="27" t="str">
        <f>_xll.qlPeriodEquivalent(P58&amp;"+"&amp;O59&amp;"M")</f>
        <v>39Y</v>
      </c>
      <c r="Q59" s="28">
        <f>_xll.qlCalendarAdvance(Calendar,SettlementDate,P59,"f",,Trigger)</f>
        <v>56408</v>
      </c>
      <c r="R59" s="28">
        <f>_xll.qlInterestRateIndexValueDate(Index,Q59,Trigger)</f>
        <v>56410</v>
      </c>
      <c r="S59" s="28">
        <f>_xll.qlInterestRateIndexMaturity(Index,R59,Trigger)</f>
        <v>56775</v>
      </c>
      <c r="T59" s="30">
        <f>_xll.qlIndexFixing($M$6,Q59,,InterestRatesTrigger)</f>
        <v>1.4753478668051365E-2</v>
      </c>
      <c r="U59" s="30" t="e">
        <f>_xll.qlIndexFixing(Index,Q59,,InterestRatesTrigger)</f>
        <v>#NUM!</v>
      </c>
      <c r="V59" s="30" t="e">
        <f t="shared" si="5"/>
        <v>#NUM!</v>
      </c>
      <c r="W59" s="29">
        <f>_xll.qlDayCounterYearFraction(DayCounter,SettlementDate,R59,,,Trigger)</f>
        <v>39.575000000000003</v>
      </c>
      <c r="X59" s="29">
        <f>_xll.qlDayCounterYearFraction(DayCounter,R59,S59)</f>
        <v>1.0138888888888888</v>
      </c>
      <c r="Y59" s="29" t="e">
        <f>_xll.qlYieldTSDiscount(Currency&amp;"ON",R59)/(1+U59*X59)</f>
        <v>#NUM!</v>
      </c>
      <c r="Z59" s="30" t="e">
        <f>_xll.qlTenorBasisValue(TenorBasis6M,R59,InterestRatesTrigger)</f>
        <v>#VALUE!</v>
      </c>
      <c r="AA59" s="30" t="e">
        <f t="shared" si="6"/>
        <v>#NUM!</v>
      </c>
    </row>
    <row r="60" spans="15:27" x14ac:dyDescent="0.2">
      <c r="O60" s="33">
        <v>12</v>
      </c>
      <c r="P60" s="27" t="str">
        <f>_xll.qlPeriodEquivalent(P59&amp;"+"&amp;O60&amp;"M")</f>
        <v>40Y</v>
      </c>
      <c r="Q60" s="28">
        <f>_xll.qlCalendarAdvance(Calendar,SettlementDate,P60,"f",,Trigger)</f>
        <v>56773</v>
      </c>
      <c r="R60" s="28">
        <f>_xll.qlInterestRateIndexValueDate(Index,Q60,Trigger)</f>
        <v>56775</v>
      </c>
      <c r="S60" s="28">
        <f>_xll.qlInterestRateIndexMaturity(Index,R60,Trigger)</f>
        <v>57143</v>
      </c>
      <c r="T60" s="30">
        <f>_xll.qlIndexFixing($M$6,Q60,,InterestRatesTrigger)</f>
        <v>1.4093386538526813E-2</v>
      </c>
      <c r="U60" s="30" t="e">
        <f>_xll.qlIndexFixing(Index,Q60,,InterestRatesTrigger)</f>
        <v>#NUM!</v>
      </c>
      <c r="V60" s="30" t="e">
        <f t="shared" si="5"/>
        <v>#NUM!</v>
      </c>
      <c r="W60" s="29">
        <f>_xll.qlDayCounterYearFraction(DayCounter,SettlementDate,R60,,,Trigger)</f>
        <v>40.588888888888889</v>
      </c>
      <c r="X60" s="29">
        <f>_xll.qlDayCounterYearFraction(DayCounter,R60,S60)</f>
        <v>1.0222222222222221</v>
      </c>
      <c r="Y60" s="29" t="e">
        <f>_xll.qlYieldTSDiscount(Currency&amp;"ON",R60)/(1+U60*X60)</f>
        <v>#NUM!</v>
      </c>
      <c r="Z60" s="30" t="e">
        <f>_xll.qlTenorBasisValue(TenorBasis6M,R60,InterestRatesTrigger)</f>
        <v>#VALUE!</v>
      </c>
      <c r="AA60" s="30" t="e">
        <f t="shared" si="6"/>
        <v>#NUM!</v>
      </c>
    </row>
    <row r="61" spans="15:27" x14ac:dyDescent="0.2">
      <c r="O61" s="33">
        <v>12</v>
      </c>
      <c r="P61" s="27" t="str">
        <f>_xll.qlPeriodEquivalent(P60&amp;"+"&amp;O61&amp;"M")</f>
        <v>41Y</v>
      </c>
      <c r="Q61" s="28">
        <f>_xll.qlCalendarAdvance(Calendar,SettlementDate,P61,"f",,Trigger)</f>
        <v>57139</v>
      </c>
      <c r="R61" s="28">
        <f>_xll.qlInterestRateIndexValueDate(Index,Q61,Trigger)</f>
        <v>57143</v>
      </c>
      <c r="S61" s="28">
        <f>_xll.qlInterestRateIndexMaturity(Index,R61,Trigger)</f>
        <v>57508</v>
      </c>
      <c r="T61" s="30">
        <f>_xll.qlIndexFixing($M$6,Q61,,InterestRatesTrigger)</f>
        <v>1.3507213349098601E-2</v>
      </c>
      <c r="U61" s="30" t="e">
        <f>_xll.qlIndexFixing(Index,Q61,,InterestRatesTrigger)</f>
        <v>#NUM!</v>
      </c>
      <c r="V61" s="30" t="e">
        <f t="shared" si="5"/>
        <v>#NUM!</v>
      </c>
      <c r="W61" s="29">
        <f>_xll.qlDayCounterYearFraction(DayCounter,SettlementDate,R61,,,Trigger)</f>
        <v>41.611111111111114</v>
      </c>
      <c r="X61" s="29">
        <f>_xll.qlDayCounterYearFraction(DayCounter,R61,S61)</f>
        <v>1.0138888888888888</v>
      </c>
      <c r="Y61" s="29" t="e">
        <f>_xll.qlYieldTSDiscount(Currency&amp;"ON",R61)/(1+U61*X61)</f>
        <v>#NUM!</v>
      </c>
      <c r="Z61" s="30" t="e">
        <f>_xll.qlTenorBasisValue(TenorBasis6M,R61,InterestRatesTrigger)</f>
        <v>#VALUE!</v>
      </c>
      <c r="AA61" s="30" t="e">
        <f t="shared" si="6"/>
        <v>#NUM!</v>
      </c>
    </row>
    <row r="62" spans="15:27" x14ac:dyDescent="0.2">
      <c r="O62" s="33">
        <v>12</v>
      </c>
      <c r="P62" s="27" t="str">
        <f>_xll.qlPeriodEquivalent(P61&amp;"+"&amp;O62&amp;"M")</f>
        <v>42Y</v>
      </c>
      <c r="Q62" s="28">
        <f>_xll.qlCalendarAdvance(Calendar,SettlementDate,P62,"f",,Trigger)</f>
        <v>57504</v>
      </c>
      <c r="R62" s="28">
        <f>_xll.qlInterestRateIndexValueDate(Index,Q62,Trigger)</f>
        <v>57508</v>
      </c>
      <c r="S62" s="28">
        <f>_xll.qlInterestRateIndexMaturity(Index,R62,Trigger)</f>
        <v>57873</v>
      </c>
      <c r="T62" s="30">
        <f>_xll.qlIndexFixing($M$6,Q62,,InterestRatesTrigger)</f>
        <v>1.3032274360519101E-2</v>
      </c>
      <c r="U62" s="30" t="e">
        <f>_xll.qlIndexFixing(Index,Q62,,InterestRatesTrigger)</f>
        <v>#NUM!</v>
      </c>
      <c r="V62" s="30" t="e">
        <f t="shared" si="5"/>
        <v>#NUM!</v>
      </c>
      <c r="W62" s="29">
        <f>_xll.qlDayCounterYearFraction(DayCounter,SettlementDate,R62,,,Trigger)</f>
        <v>42.625</v>
      </c>
      <c r="X62" s="29">
        <f>_xll.qlDayCounterYearFraction(DayCounter,R62,S62)</f>
        <v>1.0138888888888888</v>
      </c>
      <c r="Y62" s="29" t="e">
        <f>_xll.qlYieldTSDiscount(Currency&amp;"ON",R62)/(1+U62*X62)</f>
        <v>#NUM!</v>
      </c>
      <c r="Z62" s="30" t="e">
        <f>_xll.qlTenorBasisValue(TenorBasis6M,R62,InterestRatesTrigger)</f>
        <v>#VALUE!</v>
      </c>
      <c r="AA62" s="30" t="e">
        <f t="shared" si="6"/>
        <v>#NUM!</v>
      </c>
    </row>
    <row r="63" spans="15:27" x14ac:dyDescent="0.2">
      <c r="O63" s="33">
        <v>12</v>
      </c>
      <c r="P63" s="27" t="str">
        <f>_xll.qlPeriodEquivalent(P62&amp;"+"&amp;O63&amp;"M")</f>
        <v>43Y</v>
      </c>
      <c r="Q63" s="28">
        <f>_xll.qlCalendarAdvance(Calendar,SettlementDate,P63,"f",,Trigger)</f>
        <v>57871</v>
      </c>
      <c r="R63" s="28">
        <f>_xll.qlInterestRateIndexValueDate(Index,Q63,Trigger)</f>
        <v>57873</v>
      </c>
      <c r="S63" s="28">
        <f>_xll.qlInterestRateIndexMaturity(Index,R63,Trigger)</f>
        <v>58238</v>
      </c>
      <c r="T63" s="30">
        <f>_xll.qlIndexFixing($M$6,Q63,,InterestRatesTrigger)</f>
        <v>1.2664901810716061E-2</v>
      </c>
      <c r="U63" s="30" t="e">
        <f>_xll.qlIndexFixing(Index,Q63,,InterestRatesTrigger)</f>
        <v>#NUM!</v>
      </c>
      <c r="V63" s="30" t="e">
        <f t="shared" si="5"/>
        <v>#NUM!</v>
      </c>
      <c r="W63" s="29">
        <f>_xll.qlDayCounterYearFraction(DayCounter,SettlementDate,R63,,,Trigger)</f>
        <v>43.638888888888886</v>
      </c>
      <c r="X63" s="29">
        <f>_xll.qlDayCounterYearFraction(DayCounter,R63,S63)</f>
        <v>1.0138888888888888</v>
      </c>
      <c r="Y63" s="29" t="e">
        <f>_xll.qlYieldTSDiscount(Currency&amp;"ON",R63)/(1+U63*X63)</f>
        <v>#NUM!</v>
      </c>
      <c r="Z63" s="30" t="e">
        <f>_xll.qlTenorBasisValue(TenorBasis6M,R63,InterestRatesTrigger)</f>
        <v>#VALUE!</v>
      </c>
      <c r="AA63" s="30" t="e">
        <f t="shared" si="6"/>
        <v>#NUM!</v>
      </c>
    </row>
    <row r="64" spans="15:27" x14ac:dyDescent="0.2">
      <c r="O64" s="33">
        <v>12</v>
      </c>
      <c r="P64" s="27" t="str">
        <f>_xll.qlPeriodEquivalent(P63&amp;"+"&amp;O64&amp;"M")</f>
        <v>44Y</v>
      </c>
      <c r="Q64" s="28">
        <f>_xll.qlCalendarAdvance(Calendar,SettlementDate,P64,"f",,Trigger)</f>
        <v>58235</v>
      </c>
      <c r="R64" s="28">
        <f>_xll.qlInterestRateIndexValueDate(Index,Q64,Trigger)</f>
        <v>58237</v>
      </c>
      <c r="S64" s="28">
        <f>_xll.qlInterestRateIndexMaturity(Index,R64,Trigger)</f>
        <v>58603</v>
      </c>
      <c r="T64" s="30">
        <f>_xll.qlIndexFixing($M$6,Q64,,InterestRatesTrigger)</f>
        <v>1.2405497207301592E-2</v>
      </c>
      <c r="U64" s="30" t="e">
        <f>_xll.qlIndexFixing(Index,Q64,,InterestRatesTrigger)</f>
        <v>#NUM!</v>
      </c>
      <c r="V64" s="30" t="e">
        <f t="shared" si="5"/>
        <v>#NUM!</v>
      </c>
      <c r="W64" s="29">
        <f>_xll.qlDayCounterYearFraction(DayCounter,SettlementDate,R64,,,Trigger)</f>
        <v>44.65</v>
      </c>
      <c r="X64" s="29">
        <f>_xll.qlDayCounterYearFraction(DayCounter,R64,S64)</f>
        <v>1.0166666666666666</v>
      </c>
      <c r="Y64" s="29" t="e">
        <f>_xll.qlYieldTSDiscount(Currency&amp;"ON",R64)/(1+U64*X64)</f>
        <v>#NUM!</v>
      </c>
      <c r="Z64" s="30" t="e">
        <f>_xll.qlTenorBasisValue(TenorBasis6M,R64,InterestRatesTrigger)</f>
        <v>#VALUE!</v>
      </c>
      <c r="AA64" s="30" t="e">
        <f t="shared" si="6"/>
        <v>#NUM!</v>
      </c>
    </row>
    <row r="65" spans="15:28" x14ac:dyDescent="0.2">
      <c r="O65" s="33">
        <v>12</v>
      </c>
      <c r="P65" s="27" t="str">
        <f>_xll.qlPeriodEquivalent(P64&amp;"+"&amp;O65&amp;"M")</f>
        <v>45Y</v>
      </c>
      <c r="Q65" s="28">
        <f>_xll.qlCalendarAdvance(Calendar,SettlementDate,P65,"f",,Trigger)</f>
        <v>58600</v>
      </c>
      <c r="R65" s="28">
        <f>_xll.qlInterestRateIndexValueDate(Index,Q65,Trigger)</f>
        <v>58602</v>
      </c>
      <c r="S65" s="28">
        <f>_xll.qlInterestRateIndexMaturity(Index,R65,Trigger)</f>
        <v>58967</v>
      </c>
      <c r="T65" s="30">
        <f>_xll.qlIndexFixing($M$6,Q65,,InterestRatesTrigger)</f>
        <v>1.2252688106811816E-2</v>
      </c>
      <c r="U65" s="30" t="e">
        <f>_xll.qlIndexFixing(Index,Q65,,InterestRatesTrigger)</f>
        <v>#NUM!</v>
      </c>
      <c r="V65" s="30" t="e">
        <f t="shared" si="5"/>
        <v>#NUM!</v>
      </c>
      <c r="W65" s="29">
        <f>_xll.qlDayCounterYearFraction(DayCounter,SettlementDate,R65,,,Trigger)</f>
        <v>45.663888888888891</v>
      </c>
      <c r="X65" s="29">
        <f>_xll.qlDayCounterYearFraction(DayCounter,R65,S65)</f>
        <v>1.0138888888888888</v>
      </c>
      <c r="Y65" s="29" t="e">
        <f>_xll.qlYieldTSDiscount(Currency&amp;"ON",R65)/(1+U65*X65)</f>
        <v>#NUM!</v>
      </c>
      <c r="Z65" s="30" t="e">
        <f>_xll.qlTenorBasisValue(TenorBasis6M,R65,InterestRatesTrigger)</f>
        <v>#VALUE!</v>
      </c>
      <c r="AA65" s="30" t="e">
        <f t="shared" si="6"/>
        <v>#NUM!</v>
      </c>
    </row>
    <row r="66" spans="15:28" x14ac:dyDescent="0.2">
      <c r="O66" s="33">
        <v>12</v>
      </c>
      <c r="P66" s="27" t="str">
        <f>_xll.qlPeriodEquivalent(P65&amp;"+"&amp;O66&amp;"M")</f>
        <v>46Y</v>
      </c>
      <c r="Q66" s="28">
        <f>_xll.qlCalendarAdvance(Calendar,SettlementDate,P66,"f",,Trigger)</f>
        <v>58965</v>
      </c>
      <c r="R66" s="28">
        <f>_xll.qlInterestRateIndexValueDate(Index,Q66,Trigger)</f>
        <v>58967</v>
      </c>
      <c r="S66" s="28">
        <f>_xll.qlInterestRateIndexMaturity(Index,R66,Trigger)</f>
        <v>59334</v>
      </c>
      <c r="T66" s="30">
        <f>_xll.qlIndexFixing($M$6,Q66,,InterestRatesTrigger)</f>
        <v>1.2207632614285115E-2</v>
      </c>
      <c r="U66" s="30" t="e">
        <f>_xll.qlIndexFixing(Index,Q66,,InterestRatesTrigger)</f>
        <v>#NUM!</v>
      </c>
      <c r="V66" s="30" t="e">
        <f t="shared" si="5"/>
        <v>#NUM!</v>
      </c>
      <c r="W66" s="29">
        <f>_xll.qlDayCounterYearFraction(DayCounter,SettlementDate,R66,,,Trigger)</f>
        <v>46.677777777777777</v>
      </c>
      <c r="X66" s="29">
        <f>_xll.qlDayCounterYearFraction(DayCounter,R66,S66)</f>
        <v>1.0194444444444444</v>
      </c>
      <c r="Y66" s="29" t="e">
        <f>_xll.qlYieldTSDiscount(Currency&amp;"ON",R66)/(1+U66*X66)</f>
        <v>#NUM!</v>
      </c>
      <c r="Z66" s="30" t="e">
        <f>_xll.qlTenorBasisValue(TenorBasis6M,R66,InterestRatesTrigger)</f>
        <v>#VALUE!</v>
      </c>
      <c r="AA66" s="30" t="e">
        <f t="shared" si="6"/>
        <v>#NUM!</v>
      </c>
    </row>
    <row r="67" spans="15:28" x14ac:dyDescent="0.2">
      <c r="O67" s="33">
        <v>12</v>
      </c>
      <c r="P67" s="27" t="str">
        <f>_xll.qlPeriodEquivalent(P66&amp;"+"&amp;O67&amp;"M")</f>
        <v>47Y</v>
      </c>
      <c r="Q67" s="28">
        <f>_xll.qlCalendarAdvance(Calendar,SettlementDate,P67,"f",,Trigger)</f>
        <v>59330</v>
      </c>
      <c r="R67" s="28">
        <f>_xll.qlInterestRateIndexValueDate(Index,Q67,Trigger)</f>
        <v>59334</v>
      </c>
      <c r="S67" s="28">
        <f>_xll.qlInterestRateIndexMaturity(Index,R67,Trigger)</f>
        <v>59699</v>
      </c>
      <c r="T67" s="30">
        <f>_xll.qlIndexFixing($M$6,Q67,,InterestRatesTrigger)</f>
        <v>1.2269543503834046E-2</v>
      </c>
      <c r="U67" s="30" t="e">
        <f>_xll.qlIndexFixing(Index,Q67,,InterestRatesTrigger)</f>
        <v>#NUM!</v>
      </c>
      <c r="V67" s="30" t="e">
        <f t="shared" si="5"/>
        <v>#NUM!</v>
      </c>
      <c r="W67" s="29">
        <f>_xll.qlDayCounterYearFraction(DayCounter,SettlementDate,R67,,,Trigger)</f>
        <v>47.697222222222223</v>
      </c>
      <c r="X67" s="29">
        <f>_xll.qlDayCounterYearFraction(DayCounter,R67,S67)</f>
        <v>1.0138888888888888</v>
      </c>
      <c r="Y67" s="29" t="e">
        <f>_xll.qlYieldTSDiscount(Currency&amp;"ON",R67)/(1+U67*X67)</f>
        <v>#NUM!</v>
      </c>
      <c r="Z67" s="30" t="e">
        <f>_xll.qlTenorBasisValue(TenorBasis6M,R67,InterestRatesTrigger)</f>
        <v>#VALUE!</v>
      </c>
      <c r="AA67" s="30" t="e">
        <f t="shared" si="6"/>
        <v>#NUM!</v>
      </c>
    </row>
    <row r="68" spans="15:28" x14ac:dyDescent="0.2">
      <c r="O68" s="33">
        <v>12</v>
      </c>
      <c r="P68" s="27" t="str">
        <f>_xll.qlPeriodEquivalent(P67&amp;"+"&amp;O68&amp;"M")</f>
        <v>48Y</v>
      </c>
      <c r="Q68" s="28">
        <f>_xll.qlCalendarAdvance(Calendar,SettlementDate,P68,"f",,Trigger)</f>
        <v>59695</v>
      </c>
      <c r="R68" s="28">
        <f>_xll.qlInterestRateIndexValueDate(Index,Q68,Trigger)</f>
        <v>59699</v>
      </c>
      <c r="S68" s="28">
        <f>_xll.qlInterestRateIndexMaturity(Index,R68,Trigger)</f>
        <v>60065</v>
      </c>
      <c r="T68" s="30">
        <f>_xll.qlIndexFixing($M$6,Q68,,InterestRatesTrigger)</f>
        <v>1.2439757424330187E-2</v>
      </c>
      <c r="U68" s="30" t="e">
        <f>_xll.qlIndexFixing(Index,Q68,,InterestRatesTrigger)</f>
        <v>#NUM!</v>
      </c>
      <c r="V68" s="30" t="e">
        <f t="shared" ref="V68:V78" si="14">U68-T68</f>
        <v>#NUM!</v>
      </c>
      <c r="W68" s="29">
        <f>_xll.qlDayCounterYearFraction(DayCounter,SettlementDate,R68,,,Trigger)</f>
        <v>48.711111111111109</v>
      </c>
      <c r="X68" s="29">
        <f>_xll.qlDayCounterYearFraction(DayCounter,R68,S68)</f>
        <v>1.0166666666666666</v>
      </c>
      <c r="Y68" s="29" t="e">
        <f>_xll.qlYieldTSDiscount(Currency&amp;"ON",R68)/(1+U68*X68)</f>
        <v>#NUM!</v>
      </c>
      <c r="Z68" s="30" t="e">
        <f>_xll.qlTenorBasisValue(TenorBasis6M,R68,InterestRatesTrigger)</f>
        <v>#VALUE!</v>
      </c>
      <c r="AA68" s="30" t="e">
        <f t="shared" ref="AA68:AA78" si="15">V68-Z68</f>
        <v>#NUM!</v>
      </c>
    </row>
    <row r="69" spans="15:28" x14ac:dyDescent="0.2">
      <c r="O69" s="33">
        <v>12</v>
      </c>
      <c r="P69" s="27" t="str">
        <f>_xll.qlPeriodEquivalent(P68&amp;"+"&amp;O69&amp;"M")</f>
        <v>49Y</v>
      </c>
      <c r="Q69" s="28">
        <f>_xll.qlCalendarAdvance(Calendar,SettlementDate,P69,"f",,Trigger)</f>
        <v>60062</v>
      </c>
      <c r="R69" s="28">
        <f>_xll.qlInterestRateIndexValueDate(Index,Q69,Trigger)</f>
        <v>60064</v>
      </c>
      <c r="S69" s="28">
        <f>_xll.qlInterestRateIndexMaturity(Index,R69,Trigger)</f>
        <v>60429</v>
      </c>
      <c r="T69" s="30">
        <f>_xll.qlIndexFixing($M$6,Q69,,InterestRatesTrigger)</f>
        <v>1.2716257280245828E-2</v>
      </c>
      <c r="U69" s="30" t="e">
        <f>_xll.qlIndexFixing(Index,Q69,,InterestRatesTrigger)</f>
        <v>#NUM!</v>
      </c>
      <c r="V69" s="30" t="e">
        <f t="shared" si="14"/>
        <v>#NUM!</v>
      </c>
      <c r="W69" s="29">
        <f>_xll.qlDayCounterYearFraction(DayCounter,SettlementDate,R69,,,Trigger)</f>
        <v>49.725000000000001</v>
      </c>
      <c r="X69" s="29">
        <f>_xll.qlDayCounterYearFraction(DayCounter,R69,S69)</f>
        <v>1.0138888888888888</v>
      </c>
      <c r="Y69" s="29" t="e">
        <f>_xll.qlYieldTSDiscount(Currency&amp;"ON",R69)/(1+U69*X69)</f>
        <v>#NUM!</v>
      </c>
      <c r="Z69" s="30" t="e">
        <f>_xll.qlTenorBasisValue(TenorBasis6M,R69,InterestRatesTrigger)</f>
        <v>#VALUE!</v>
      </c>
      <c r="AA69" s="30" t="e">
        <f t="shared" si="15"/>
        <v>#NUM!</v>
      </c>
    </row>
    <row r="70" spans="15:28" x14ac:dyDescent="0.2">
      <c r="O70" s="33">
        <v>12</v>
      </c>
      <c r="P70" s="27" t="str">
        <f>_xll.qlPeriodEquivalent(P69&amp;"+"&amp;O70&amp;"M")</f>
        <v>50Y</v>
      </c>
      <c r="Q70" s="28">
        <f>_xll.qlCalendarAdvance(Calendar,SettlementDate,P70,"f",,Trigger)</f>
        <v>60426</v>
      </c>
      <c r="R70" s="28">
        <f>_xll.qlInterestRateIndexValueDate(Index,Q70,Trigger)</f>
        <v>60428</v>
      </c>
      <c r="S70" s="28">
        <f>_xll.qlInterestRateIndexMaturity(Index,R70,Trigger)</f>
        <v>60793</v>
      </c>
      <c r="T70" s="30">
        <f>_xll.qlIndexFixing($M$6,Q70,,InterestRatesTrigger)</f>
        <v>1.3074877927650457E-2</v>
      </c>
      <c r="U70" s="30" t="e">
        <f>_xll.qlIndexFixing(Index,Q70,,InterestRatesTrigger)</f>
        <v>#NUM!</v>
      </c>
      <c r="V70" s="30" t="e">
        <f t="shared" si="14"/>
        <v>#NUM!</v>
      </c>
      <c r="W70" s="29">
        <f>_xll.qlDayCounterYearFraction(DayCounter,SettlementDate,R70,,,Trigger)</f>
        <v>50.736111111111114</v>
      </c>
      <c r="X70" s="29">
        <f>_xll.qlDayCounterYearFraction(DayCounter,R70,S70)</f>
        <v>1.0138888888888888</v>
      </c>
      <c r="Y70" s="29" t="e">
        <f>_xll.qlYieldTSDiscount(Currency&amp;"ON",R70)/(1+U70*X70)</f>
        <v>#NUM!</v>
      </c>
      <c r="Z70" s="30" t="e">
        <f>_xll.qlTenorBasisValue(TenorBasis6M,R70,InterestRatesTrigger)</f>
        <v>#VALUE!</v>
      </c>
      <c r="AA70" s="30" t="e">
        <f t="shared" si="15"/>
        <v>#NUM!</v>
      </c>
    </row>
    <row r="71" spans="15:28" x14ac:dyDescent="0.2">
      <c r="O71" s="33">
        <v>12</v>
      </c>
      <c r="P71" s="27" t="str">
        <f>_xll.qlPeriodEquivalent(P70&amp;"+"&amp;O71&amp;"M")</f>
        <v>51Y</v>
      </c>
      <c r="Q71" s="28">
        <f>_xll.qlCalendarAdvance(Calendar,SettlementDate,P71,"f",,Trigger)</f>
        <v>60791</v>
      </c>
      <c r="R71" s="28">
        <f>_xll.qlInterestRateIndexValueDate(Index,Q71,Trigger)</f>
        <v>60793</v>
      </c>
      <c r="S71" s="28">
        <f>_xll.qlInterestRateIndexMaturity(Index,R71,Trigger)</f>
        <v>61158</v>
      </c>
      <c r="T71" s="30">
        <f>_xll.qlIndexFixing($M$6,Q71,,InterestRatesTrigger)</f>
        <v>1.3420090850332614E-2</v>
      </c>
      <c r="U71" s="30" t="e">
        <f>_xll.qlIndexFixing(Index,Q71,,InterestRatesTrigger)</f>
        <v>#NUM!</v>
      </c>
      <c r="V71" s="30" t="e">
        <f t="shared" si="14"/>
        <v>#NUM!</v>
      </c>
      <c r="W71" s="29">
        <f>_xll.qlDayCounterYearFraction(DayCounter,SettlementDate,R71,,,Trigger)</f>
        <v>51.75</v>
      </c>
      <c r="X71" s="29">
        <f>_xll.qlDayCounterYearFraction(DayCounter,R71,S71)</f>
        <v>1.0138888888888888</v>
      </c>
      <c r="Y71" s="29" t="e">
        <f>_xll.qlYieldTSDiscount(Currency&amp;"ON",R71)/(1+U71*X71)</f>
        <v>#NUM!</v>
      </c>
      <c r="Z71" s="30" t="e">
        <f>_xll.qlTenorBasisValue(TenorBasis6M,R71,InterestRatesTrigger)</f>
        <v>#VALUE!</v>
      </c>
      <c r="AA71" s="30" t="e">
        <f t="shared" si="15"/>
        <v>#NUM!</v>
      </c>
    </row>
    <row r="72" spans="15:28" x14ac:dyDescent="0.2">
      <c r="O72" s="33">
        <v>12</v>
      </c>
      <c r="P72" s="27" t="str">
        <f>_xll.qlPeriodEquivalent(P71&amp;"+"&amp;O72&amp;"M")</f>
        <v>52Y</v>
      </c>
      <c r="Q72" s="28">
        <f>_xll.qlCalendarAdvance(Calendar,SettlementDate,P72,"f",,Trigger)</f>
        <v>61156</v>
      </c>
      <c r="R72" s="28">
        <f>_xll.qlInterestRateIndexValueDate(Index,Q72,Trigger)</f>
        <v>61158</v>
      </c>
      <c r="S72" s="28">
        <f>_xll.qlInterestRateIndexMaturity(Index,R72,Trigger)</f>
        <v>61525</v>
      </c>
      <c r="T72" s="30">
        <f>_xll.qlIndexFixing($M$6,Q72,,InterestRatesTrigger)</f>
        <v>1.3728362249200897E-2</v>
      </c>
      <c r="U72" s="30" t="e">
        <f>_xll.qlIndexFixing(Index,Q72,,InterestRatesTrigger)</f>
        <v>#NUM!</v>
      </c>
      <c r="V72" s="30" t="e">
        <f t="shared" si="14"/>
        <v>#NUM!</v>
      </c>
      <c r="W72" s="29">
        <f>_xll.qlDayCounterYearFraction(DayCounter,SettlementDate,R72,,,Trigger)</f>
        <v>52.763888888888886</v>
      </c>
      <c r="X72" s="29">
        <f>_xll.qlDayCounterYearFraction(DayCounter,R72,S72)</f>
        <v>1.0194444444444444</v>
      </c>
      <c r="Y72" s="29" t="e">
        <f>_xll.qlYieldTSDiscount(Currency&amp;"ON",R72)/(1+U72*X72)</f>
        <v>#NUM!</v>
      </c>
      <c r="Z72" s="30" t="e">
        <f>_xll.qlTenorBasisValue(TenorBasis6M,R72,InterestRatesTrigger)</f>
        <v>#VALUE!</v>
      </c>
      <c r="AA72" s="30" t="e">
        <f t="shared" si="15"/>
        <v>#NUM!</v>
      </c>
    </row>
    <row r="73" spans="15:28" x14ac:dyDescent="0.2">
      <c r="O73" s="33">
        <v>12</v>
      </c>
      <c r="P73" s="27" t="str">
        <f>_xll.qlPeriodEquivalent(P72&amp;"+"&amp;O73&amp;"M")</f>
        <v>53Y</v>
      </c>
      <c r="Q73" s="28">
        <f>_xll.qlCalendarAdvance(Calendar,SettlementDate,P73,"f",,Trigger)</f>
        <v>61522</v>
      </c>
      <c r="R73" s="28">
        <f>_xll.qlInterestRateIndexValueDate(Index,Q73,Trigger)</f>
        <v>61526</v>
      </c>
      <c r="S73" s="28">
        <f>_xll.qlInterestRateIndexMaturity(Index,R73,Trigger)</f>
        <v>61891</v>
      </c>
      <c r="T73" s="30">
        <f>_xll.qlIndexFixing($M$6,Q73,,InterestRatesTrigger)</f>
        <v>1.3997830731395867E-2</v>
      </c>
      <c r="U73" s="30" t="e">
        <f>_xll.qlIndexFixing(Index,Q73,,InterestRatesTrigger)</f>
        <v>#NUM!</v>
      </c>
      <c r="V73" s="30" t="e">
        <f t="shared" si="14"/>
        <v>#NUM!</v>
      </c>
      <c r="W73" s="29">
        <f>_xll.qlDayCounterYearFraction(DayCounter,SettlementDate,R73,,,Trigger)</f>
        <v>53.786111111111111</v>
      </c>
      <c r="X73" s="29">
        <f>_xll.qlDayCounterYearFraction(DayCounter,R73,S73)</f>
        <v>1.0138888888888888</v>
      </c>
      <c r="Y73" s="29" t="e">
        <f>_xll.qlYieldTSDiscount(Currency&amp;"ON",R73)/(1+U73*X73)</f>
        <v>#NUM!</v>
      </c>
      <c r="Z73" s="30" t="e">
        <f>_xll.qlTenorBasisValue(TenorBasis6M,R73,InterestRatesTrigger)</f>
        <v>#VALUE!</v>
      </c>
      <c r="AA73" s="30" t="e">
        <f t="shared" si="15"/>
        <v>#NUM!</v>
      </c>
    </row>
    <row r="74" spans="15:28" x14ac:dyDescent="0.2">
      <c r="O74" s="33">
        <v>12</v>
      </c>
      <c r="P74" s="27" t="str">
        <f>_xll.qlPeriodEquivalent(P73&amp;"+"&amp;O74&amp;"M")</f>
        <v>54Y</v>
      </c>
      <c r="Q74" s="28">
        <f>_xll.qlCalendarAdvance(Calendar,SettlementDate,P74,"f",,Trigger)</f>
        <v>61889</v>
      </c>
      <c r="R74" s="28">
        <f>_xll.qlInterestRateIndexValueDate(Index,Q74,Trigger)</f>
        <v>61891</v>
      </c>
      <c r="S74" s="28">
        <f>_xll.qlInterestRateIndexMaturity(Index,R74,Trigger)</f>
        <v>62256</v>
      </c>
      <c r="T74" s="30">
        <f>_xll.qlIndexFixing($M$6,Q74,,InterestRatesTrigger)</f>
        <v>1.4227926667068232E-2</v>
      </c>
      <c r="U74" s="30" t="e">
        <f>_xll.qlIndexFixing(Index,Q74,,InterestRatesTrigger)</f>
        <v>#NUM!</v>
      </c>
      <c r="V74" s="30" t="e">
        <f t="shared" si="14"/>
        <v>#NUM!</v>
      </c>
      <c r="W74" s="29">
        <f>_xll.qlDayCounterYearFraction(DayCounter,SettlementDate,R74,,,Trigger)</f>
        <v>54.8</v>
      </c>
      <c r="X74" s="29">
        <f>_xll.qlDayCounterYearFraction(DayCounter,R74,S74)</f>
        <v>1.0138888888888888</v>
      </c>
      <c r="Y74" s="29" t="e">
        <f>_xll.qlYieldTSDiscount(Currency&amp;"ON",R74)/(1+U74*X74)</f>
        <v>#NUM!</v>
      </c>
      <c r="Z74" s="30" t="e">
        <f>_xll.qlTenorBasisValue(TenorBasis6M,R74,InterestRatesTrigger)</f>
        <v>#VALUE!</v>
      </c>
      <c r="AA74" s="30" t="e">
        <f t="shared" si="15"/>
        <v>#NUM!</v>
      </c>
    </row>
    <row r="75" spans="15:28" x14ac:dyDescent="0.2">
      <c r="O75" s="33">
        <v>12</v>
      </c>
      <c r="P75" s="27" t="str">
        <f>_xll.qlPeriodEquivalent(P74&amp;"+"&amp;O75&amp;"M")</f>
        <v>55Y</v>
      </c>
      <c r="Q75" s="28">
        <f>_xll.qlCalendarAdvance(Calendar,SettlementDate,P75,"f",,Trigger)</f>
        <v>62253</v>
      </c>
      <c r="R75" s="28">
        <f>_xll.qlInterestRateIndexValueDate(Index,Q75,Trigger)</f>
        <v>62255</v>
      </c>
      <c r="S75" s="28">
        <f>_xll.qlInterestRateIndexMaturity(Index,R75,Trigger)</f>
        <v>62620</v>
      </c>
      <c r="T75" s="30">
        <f>_xll.qlIndexFixing($M$6,Q75,,InterestRatesTrigger)</f>
        <v>1.4419223169696434E-2</v>
      </c>
      <c r="U75" s="30" t="e">
        <f>_xll.qlIndexFixing(Index,Q75,,InterestRatesTrigger)</f>
        <v>#NUM!</v>
      </c>
      <c r="V75" s="30" t="e">
        <f t="shared" si="14"/>
        <v>#NUM!</v>
      </c>
      <c r="W75" s="29">
        <f>_xll.qlDayCounterYearFraction(DayCounter,SettlementDate,R75,,,Trigger)</f>
        <v>55.81111111111111</v>
      </c>
      <c r="X75" s="29">
        <f>_xll.qlDayCounterYearFraction(DayCounter,R75,S75)</f>
        <v>1.0138888888888888</v>
      </c>
      <c r="Y75" s="29" t="e">
        <f>_xll.qlYieldTSDiscount(Currency&amp;"ON",R75)/(1+U75*X75)</f>
        <v>#NUM!</v>
      </c>
      <c r="Z75" s="30" t="e">
        <f>_xll.qlTenorBasisValue(TenorBasis6M,R75,InterestRatesTrigger)</f>
        <v>#VALUE!</v>
      </c>
      <c r="AA75" s="30" t="e">
        <f t="shared" si="15"/>
        <v>#NUM!</v>
      </c>
    </row>
    <row r="76" spans="15:28" x14ac:dyDescent="0.2">
      <c r="O76" s="33">
        <v>12</v>
      </c>
      <c r="P76" s="27" t="str">
        <f>_xll.qlPeriodEquivalent(P75&amp;"+"&amp;O76&amp;"M")</f>
        <v>56Y</v>
      </c>
      <c r="Q76" s="28">
        <f>_xll.qlCalendarAdvance(Calendar,SettlementDate,P76,"f",,Trigger)</f>
        <v>62617</v>
      </c>
      <c r="R76" s="28">
        <f>_xll.qlInterestRateIndexValueDate(Index,Q76,Trigger)</f>
        <v>62619</v>
      </c>
      <c r="S76" s="28">
        <f>_xll.qlInterestRateIndexMaturity(Index,R76,Trigger)</f>
        <v>62985</v>
      </c>
      <c r="T76" s="30">
        <f>_xll.qlIndexFixing($M$6,Q76,,InterestRatesTrigger)</f>
        <v>1.4572849965946461E-2</v>
      </c>
      <c r="U76" s="30" t="e">
        <f>_xll.qlIndexFixing(Index,Q76,,InterestRatesTrigger)</f>
        <v>#NUM!</v>
      </c>
      <c r="V76" s="30" t="e">
        <f t="shared" si="14"/>
        <v>#NUM!</v>
      </c>
      <c r="W76" s="29">
        <f>_xll.qlDayCounterYearFraction(DayCounter,SettlementDate,R76,,,Trigger)</f>
        <v>56.822222222222223</v>
      </c>
      <c r="X76" s="29">
        <f>_xll.qlDayCounterYearFraction(DayCounter,R76,S76)</f>
        <v>1.0166666666666666</v>
      </c>
      <c r="Y76" s="29" t="e">
        <f>_xll.qlYieldTSDiscount(Currency&amp;"ON",R76)/(1+U76*X76)</f>
        <v>#NUM!</v>
      </c>
      <c r="Z76" s="30" t="e">
        <f>_xll.qlTenorBasisValue(TenorBasis6M,R76,InterestRatesTrigger)</f>
        <v>#VALUE!</v>
      </c>
      <c r="AA76" s="30" t="e">
        <f t="shared" si="15"/>
        <v>#NUM!</v>
      </c>
    </row>
    <row r="77" spans="15:28" x14ac:dyDescent="0.2">
      <c r="O77" s="33">
        <v>12</v>
      </c>
      <c r="P77" s="27" t="str">
        <f>_xll.qlPeriodEquivalent(P76&amp;"+"&amp;O77&amp;"M")</f>
        <v>57Y</v>
      </c>
      <c r="Q77" s="28">
        <f>_xll.qlCalendarAdvance(Calendar,SettlementDate,P77,"f",,Trigger)</f>
        <v>62983</v>
      </c>
      <c r="R77" s="28">
        <f>_xll.qlInterestRateIndexValueDate(Index,Q77,Trigger)</f>
        <v>62985</v>
      </c>
      <c r="S77" s="28">
        <f>_xll.qlInterestRateIndexMaturity(Index,R77,Trigger)</f>
        <v>63352</v>
      </c>
      <c r="T77" s="30">
        <f>_xll.qlIndexFixing($M$6,Q77,,InterestRatesTrigger)</f>
        <v>1.4688750929423743E-2</v>
      </c>
      <c r="U77" s="30" t="e">
        <f>_xll.qlIndexFixing(Index,Q77,,InterestRatesTrigger)</f>
        <v>#NUM!</v>
      </c>
      <c r="V77" s="30" t="e">
        <f t="shared" si="14"/>
        <v>#NUM!</v>
      </c>
      <c r="W77" s="29">
        <f>_xll.qlDayCounterYearFraction(DayCounter,SettlementDate,R77,,,Trigger)</f>
        <v>57.838888888888889</v>
      </c>
      <c r="X77" s="29">
        <f>_xll.qlDayCounterYearFraction(DayCounter,R77,S77)</f>
        <v>1.0194444444444444</v>
      </c>
      <c r="Y77" s="29" t="e">
        <f>_xll.qlYieldTSDiscount(Currency&amp;"ON",R77)/(1+U77*X77)</f>
        <v>#NUM!</v>
      </c>
      <c r="Z77" s="30" t="e">
        <f>_xll.qlTenorBasisValue(TenorBasis6M,R77,InterestRatesTrigger)</f>
        <v>#VALUE!</v>
      </c>
      <c r="AA77" s="30" t="e">
        <f t="shared" si="15"/>
        <v>#NUM!</v>
      </c>
    </row>
    <row r="78" spans="15:28" x14ac:dyDescent="0.2">
      <c r="O78" s="33">
        <v>12</v>
      </c>
      <c r="P78" s="27" t="str">
        <f>_xll.qlPeriodEquivalent(P77&amp;"+"&amp;O78&amp;"M")</f>
        <v>58Y</v>
      </c>
      <c r="Q78" s="31">
        <f>_xll.qlCalendarAdvance(Calendar,SettlementDate,P78,"f",,Trigger)</f>
        <v>63348</v>
      </c>
      <c r="R78" s="31">
        <f>_xll.qlInterestRateIndexValueDate(Index,Q78,Trigger)</f>
        <v>63352</v>
      </c>
      <c r="S78" s="31">
        <f>_xll.qlInterestRateIndexMaturity(Index,R78,Trigger)</f>
        <v>63717</v>
      </c>
      <c r="T78" s="32">
        <f>_xll.qlIndexFixing($M$6,Q78,,InterestRatesTrigger)</f>
        <v>1.4765005074186672E-2</v>
      </c>
      <c r="U78" s="32" t="e">
        <f>_xll.qlIndexFixing(Index,Q78,,InterestRatesTrigger)</f>
        <v>#NUM!</v>
      </c>
      <c r="V78" s="32" t="e">
        <f t="shared" si="14"/>
        <v>#NUM!</v>
      </c>
      <c r="W78" s="74">
        <f>_xll.qlDayCounterYearFraction(DayCounter,SettlementDate,R78,,,Trigger)</f>
        <v>58.858333333333334</v>
      </c>
      <c r="X78" s="74">
        <f>_xll.qlDayCounterYearFraction(DayCounter,R78,S78)</f>
        <v>1.0138888888888888</v>
      </c>
      <c r="Y78" s="74" t="e">
        <f>_xll.qlYieldTSDiscount(Currency&amp;"ON",R78)/(1+U78*X78)</f>
        <v>#NUM!</v>
      </c>
      <c r="Z78" s="32" t="e">
        <f>_xll.qlTenorBasisValue(TenorBasis6M,R78,InterestRatesTrigger)</f>
        <v>#VALUE!</v>
      </c>
      <c r="AA78" s="32" t="e">
        <f t="shared" si="15"/>
        <v>#NUM!</v>
      </c>
    </row>
    <row r="79" spans="15:28" x14ac:dyDescent="0.2">
      <c r="Q79" s="36"/>
      <c r="R79" s="40"/>
      <c r="S79" s="40"/>
      <c r="T79" s="40"/>
      <c r="U79" s="41"/>
      <c r="V79" s="41"/>
      <c r="W79" s="41"/>
      <c r="X79" s="41"/>
      <c r="Y79" s="36"/>
      <c r="Z79" s="36"/>
      <c r="AA79" s="36"/>
      <c r="AB79" s="36"/>
    </row>
    <row r="80" spans="15:28" x14ac:dyDescent="0.2">
      <c r="Q80" s="36"/>
      <c r="R80" s="40"/>
      <c r="S80" s="40"/>
      <c r="T80" s="40"/>
      <c r="U80" s="41"/>
      <c r="V80" s="41"/>
      <c r="W80" s="41"/>
      <c r="X80" s="41"/>
      <c r="Y80" s="36"/>
      <c r="Z80" s="36"/>
      <c r="AA80" s="36"/>
      <c r="AB80" s="36"/>
    </row>
    <row r="81" spans="17:28" x14ac:dyDescent="0.2">
      <c r="Q81" s="36"/>
      <c r="R81" s="40"/>
      <c r="S81" s="40"/>
      <c r="T81" s="40"/>
      <c r="U81" s="41"/>
      <c r="V81" s="41"/>
      <c r="W81" s="41"/>
      <c r="X81" s="41"/>
      <c r="Y81" s="36"/>
      <c r="Z81" s="36"/>
      <c r="AA81" s="36"/>
      <c r="AB81" s="36"/>
    </row>
    <row r="82" spans="17:28" x14ac:dyDescent="0.2">
      <c r="Q82" s="36"/>
      <c r="R82" s="40"/>
      <c r="S82" s="40"/>
      <c r="T82" s="40"/>
      <c r="U82" s="41"/>
      <c r="V82" s="41"/>
      <c r="W82" s="41"/>
      <c r="X82" s="41"/>
      <c r="Y82" s="36"/>
      <c r="Z82" s="36"/>
      <c r="AA82" s="36"/>
      <c r="AB82" s="36"/>
    </row>
    <row r="83" spans="17:28" x14ac:dyDescent="0.2">
      <c r="Q83" s="36"/>
      <c r="R83" s="40"/>
      <c r="S83" s="40"/>
      <c r="T83" s="40"/>
      <c r="U83" s="41"/>
      <c r="V83" s="41"/>
      <c r="W83" s="41"/>
      <c r="X83" s="41"/>
      <c r="Y83" s="36"/>
      <c r="Z83" s="36"/>
      <c r="AA83" s="36"/>
      <c r="AB83" s="36"/>
    </row>
    <row r="84" spans="17:28" x14ac:dyDescent="0.2">
      <c r="Q84" s="36"/>
      <c r="R84" s="40"/>
      <c r="S84" s="40"/>
      <c r="T84" s="40"/>
      <c r="U84" s="41"/>
      <c r="V84" s="41"/>
      <c r="W84" s="41"/>
      <c r="X84" s="41"/>
      <c r="Y84" s="36"/>
      <c r="Z84" s="36"/>
      <c r="AA84" s="36"/>
      <c r="AB84" s="36"/>
    </row>
    <row r="85" spans="17:28" x14ac:dyDescent="0.2">
      <c r="Q85" s="36"/>
      <c r="R85" s="40"/>
      <c r="S85" s="40"/>
      <c r="T85" s="40"/>
      <c r="U85" s="41"/>
      <c r="V85" s="41"/>
      <c r="W85" s="41"/>
      <c r="X85" s="41"/>
      <c r="Y85" s="36"/>
      <c r="Z85" s="36"/>
      <c r="AA85" s="36"/>
      <c r="AB85" s="36"/>
    </row>
    <row r="86" spans="17:28" x14ac:dyDescent="0.2">
      <c r="Q86" s="36"/>
      <c r="R86" s="40"/>
      <c r="S86" s="40"/>
      <c r="T86" s="40"/>
      <c r="U86" s="41"/>
      <c r="V86" s="41"/>
      <c r="W86" s="41"/>
      <c r="X86" s="41"/>
      <c r="Y86" s="36"/>
      <c r="Z86" s="36"/>
      <c r="AA86" s="36"/>
      <c r="AB86" s="36"/>
    </row>
    <row r="87" spans="17:28" x14ac:dyDescent="0.2">
      <c r="Q87" s="36"/>
      <c r="R87" s="40"/>
      <c r="S87" s="40"/>
      <c r="T87" s="40"/>
      <c r="U87" s="41"/>
      <c r="V87" s="41"/>
      <c r="W87" s="41"/>
      <c r="X87" s="41"/>
      <c r="Y87" s="36"/>
      <c r="Z87" s="36"/>
      <c r="AA87" s="36"/>
      <c r="AB87" s="36"/>
    </row>
    <row r="88" spans="17:28" x14ac:dyDescent="0.2">
      <c r="Q88" s="36"/>
      <c r="R88" s="40"/>
      <c r="S88" s="40"/>
      <c r="T88" s="40"/>
      <c r="U88" s="41"/>
      <c r="V88" s="41"/>
      <c r="W88" s="41"/>
      <c r="X88" s="41"/>
      <c r="Y88" s="36"/>
      <c r="Z88" s="36"/>
      <c r="AA88" s="36"/>
      <c r="AB88" s="36"/>
    </row>
    <row r="89" spans="17:28" x14ac:dyDescent="0.2">
      <c r="Q89" s="36"/>
      <c r="R89" s="40"/>
      <c r="S89" s="40"/>
      <c r="T89" s="40"/>
      <c r="U89" s="41"/>
      <c r="V89" s="41"/>
      <c r="W89" s="41"/>
      <c r="X89" s="41"/>
      <c r="Y89" s="36"/>
      <c r="Z89" s="36"/>
      <c r="AA89" s="36"/>
      <c r="AB89" s="36"/>
    </row>
    <row r="90" spans="17:28" x14ac:dyDescent="0.2">
      <c r="Q90" s="36"/>
      <c r="R90" s="40"/>
      <c r="S90" s="40"/>
      <c r="T90" s="40"/>
      <c r="U90" s="41"/>
      <c r="V90" s="41"/>
      <c r="W90" s="41"/>
      <c r="X90" s="41"/>
      <c r="Y90" s="36"/>
      <c r="Z90" s="36"/>
      <c r="AA90" s="36"/>
      <c r="AB90" s="36"/>
    </row>
    <row r="91" spans="17:28" x14ac:dyDescent="0.2">
      <c r="Q91" s="36"/>
      <c r="R91" s="40"/>
      <c r="S91" s="40"/>
      <c r="T91" s="40"/>
      <c r="U91" s="41"/>
      <c r="V91" s="41"/>
      <c r="W91" s="41"/>
      <c r="X91" s="41"/>
      <c r="Y91" s="36"/>
      <c r="Z91" s="36"/>
      <c r="AA91" s="36"/>
      <c r="AB91" s="36"/>
    </row>
    <row r="92" spans="17:28" x14ac:dyDescent="0.2">
      <c r="Q92" s="36"/>
      <c r="R92" s="40"/>
      <c r="S92" s="40"/>
      <c r="T92" s="40"/>
      <c r="U92" s="41"/>
      <c r="V92" s="41"/>
      <c r="W92" s="41"/>
      <c r="X92" s="41"/>
      <c r="Y92" s="36"/>
      <c r="Z92" s="36"/>
      <c r="AA92" s="36"/>
      <c r="AB92" s="36"/>
    </row>
    <row r="93" spans="17:28" x14ac:dyDescent="0.2">
      <c r="Q93" s="36"/>
      <c r="R93" s="40"/>
      <c r="S93" s="40"/>
      <c r="T93" s="40"/>
      <c r="U93" s="41"/>
      <c r="V93" s="41"/>
      <c r="W93" s="41"/>
      <c r="X93" s="41"/>
      <c r="Y93" s="36"/>
      <c r="Z93" s="36"/>
      <c r="AA93" s="36"/>
      <c r="AB93" s="36"/>
    </row>
    <row r="94" spans="17:28" x14ac:dyDescent="0.2">
      <c r="Q94" s="36"/>
      <c r="R94" s="40"/>
      <c r="S94" s="40"/>
      <c r="T94" s="40"/>
      <c r="U94" s="41"/>
      <c r="V94" s="41"/>
      <c r="W94" s="41"/>
      <c r="X94" s="41"/>
      <c r="Y94" s="36"/>
      <c r="Z94" s="36"/>
      <c r="AA94" s="36"/>
      <c r="AB94" s="36"/>
    </row>
    <row r="95" spans="17:28" x14ac:dyDescent="0.2">
      <c r="Q95" s="36"/>
      <c r="R95" s="40"/>
      <c r="S95" s="40"/>
      <c r="T95" s="40"/>
      <c r="U95" s="41"/>
      <c r="V95" s="41"/>
      <c r="W95" s="41"/>
      <c r="X95" s="41"/>
      <c r="Y95" s="36"/>
      <c r="Z95" s="36"/>
      <c r="AA95" s="36"/>
      <c r="AB95" s="36"/>
    </row>
    <row r="96" spans="17:28" x14ac:dyDescent="0.2">
      <c r="Q96" s="36"/>
      <c r="R96" s="40"/>
      <c r="S96" s="40"/>
      <c r="T96" s="40"/>
      <c r="U96" s="41"/>
      <c r="V96" s="41"/>
      <c r="W96" s="41"/>
      <c r="X96" s="41"/>
      <c r="Y96" s="36"/>
      <c r="Z96" s="36"/>
      <c r="AA96" s="36"/>
      <c r="AB96" s="36"/>
    </row>
    <row r="97" spans="17:28" x14ac:dyDescent="0.2">
      <c r="Q97" s="36"/>
      <c r="R97" s="40"/>
      <c r="S97" s="40"/>
      <c r="T97" s="40"/>
      <c r="U97" s="41"/>
      <c r="V97" s="41"/>
      <c r="W97" s="41"/>
      <c r="X97" s="41"/>
      <c r="Y97" s="36"/>
      <c r="Z97" s="36"/>
      <c r="AA97" s="36"/>
      <c r="AB97" s="36"/>
    </row>
    <row r="98" spans="17:28" x14ac:dyDescent="0.2">
      <c r="Q98" s="36"/>
      <c r="R98" s="40"/>
      <c r="S98" s="40"/>
      <c r="T98" s="40"/>
      <c r="U98" s="41"/>
      <c r="V98" s="41"/>
      <c r="W98" s="41"/>
      <c r="X98" s="41"/>
      <c r="Y98" s="36"/>
      <c r="Z98" s="36"/>
      <c r="AA98" s="36"/>
      <c r="AB98" s="36"/>
    </row>
    <row r="99" spans="17:28" x14ac:dyDescent="0.2">
      <c r="Q99" s="36"/>
      <c r="R99" s="40"/>
      <c r="S99" s="40"/>
      <c r="T99" s="40"/>
      <c r="U99" s="41"/>
      <c r="V99" s="41"/>
      <c r="W99" s="41"/>
      <c r="X99" s="41"/>
      <c r="Y99" s="36"/>
      <c r="Z99" s="36"/>
      <c r="AA99" s="36"/>
      <c r="AB99" s="36"/>
    </row>
    <row r="100" spans="17:28" x14ac:dyDescent="0.2">
      <c r="Q100" s="36"/>
      <c r="R100" s="40"/>
      <c r="S100" s="40"/>
      <c r="T100" s="40"/>
      <c r="U100" s="41"/>
      <c r="V100" s="41"/>
      <c r="W100" s="41"/>
      <c r="X100" s="41"/>
      <c r="Y100" s="36"/>
      <c r="Z100" s="36"/>
      <c r="AA100" s="36"/>
      <c r="AB100" s="36"/>
    </row>
    <row r="101" spans="17:28" x14ac:dyDescent="0.2">
      <c r="Q101" s="36"/>
      <c r="R101" s="40"/>
      <c r="S101" s="40"/>
      <c r="T101" s="40"/>
      <c r="U101" s="41"/>
      <c r="V101" s="41"/>
      <c r="W101" s="41"/>
      <c r="X101" s="41"/>
      <c r="Y101" s="36"/>
      <c r="Z101" s="36"/>
      <c r="AA101" s="36"/>
      <c r="AB101" s="36"/>
    </row>
    <row r="102" spans="17:28" x14ac:dyDescent="0.2">
      <c r="Q102" s="36"/>
      <c r="R102" s="40"/>
      <c r="S102" s="40"/>
      <c r="T102" s="40"/>
      <c r="U102" s="41"/>
      <c r="V102" s="41"/>
      <c r="W102" s="41"/>
      <c r="X102" s="41"/>
      <c r="Y102" s="36"/>
      <c r="Z102" s="36"/>
      <c r="AA102" s="36"/>
      <c r="AB102" s="36"/>
    </row>
    <row r="103" spans="17:28" x14ac:dyDescent="0.2">
      <c r="Q103" s="36"/>
      <c r="R103" s="40"/>
      <c r="S103" s="40"/>
      <c r="T103" s="40"/>
      <c r="U103" s="41"/>
      <c r="V103" s="41"/>
      <c r="W103" s="41"/>
      <c r="X103" s="41"/>
      <c r="Y103" s="36"/>
      <c r="Z103" s="36"/>
      <c r="AA103" s="36"/>
      <c r="AB103" s="36"/>
    </row>
    <row r="104" spans="17:28" x14ac:dyDescent="0.2">
      <c r="Q104" s="36"/>
      <c r="R104" s="40"/>
      <c r="S104" s="40"/>
      <c r="T104" s="40"/>
      <c r="U104" s="41"/>
      <c r="V104" s="41"/>
      <c r="W104" s="41"/>
      <c r="X104" s="41"/>
      <c r="Y104" s="36"/>
      <c r="Z104" s="36"/>
      <c r="AA104" s="36"/>
      <c r="AB104" s="36"/>
    </row>
    <row r="105" spans="17:28" x14ac:dyDescent="0.2">
      <c r="Q105" s="36"/>
      <c r="R105" s="40"/>
      <c r="S105" s="40"/>
      <c r="T105" s="40"/>
      <c r="U105" s="41"/>
      <c r="V105" s="41"/>
      <c r="W105" s="41"/>
      <c r="X105" s="41"/>
      <c r="Y105" s="36"/>
      <c r="Z105" s="36"/>
      <c r="AA105" s="36"/>
      <c r="AB105" s="36"/>
    </row>
    <row r="106" spans="17:28" x14ac:dyDescent="0.2">
      <c r="Q106" s="36"/>
      <c r="R106" s="40"/>
      <c r="S106" s="40"/>
      <c r="T106" s="40"/>
      <c r="U106" s="41"/>
      <c r="V106" s="41"/>
      <c r="W106" s="41"/>
      <c r="X106" s="41"/>
      <c r="Y106" s="36"/>
      <c r="Z106" s="36"/>
      <c r="AA106" s="36"/>
      <c r="AB106" s="36"/>
    </row>
    <row r="107" spans="17:28" x14ac:dyDescent="0.2">
      <c r="Q107" s="36"/>
      <c r="R107" s="40"/>
      <c r="S107" s="40"/>
      <c r="T107" s="40"/>
      <c r="U107" s="41"/>
      <c r="V107" s="41"/>
      <c r="W107" s="41"/>
      <c r="X107" s="41"/>
      <c r="Y107" s="36"/>
      <c r="Z107" s="36"/>
      <c r="AA107" s="36"/>
      <c r="AB107" s="36"/>
    </row>
    <row r="108" spans="17:28" x14ac:dyDescent="0.2">
      <c r="Q108" s="36"/>
      <c r="R108" s="40"/>
      <c r="S108" s="40"/>
      <c r="T108" s="40"/>
      <c r="U108" s="41"/>
      <c r="V108" s="41"/>
      <c r="W108" s="41"/>
      <c r="X108" s="41"/>
      <c r="Y108" s="36"/>
      <c r="Z108" s="36"/>
      <c r="AA108" s="36"/>
      <c r="AB108" s="36"/>
    </row>
    <row r="109" spans="17:28" x14ac:dyDescent="0.2">
      <c r="Q109" s="36"/>
      <c r="R109" s="40"/>
      <c r="S109" s="40"/>
      <c r="T109" s="40"/>
      <c r="U109" s="41"/>
      <c r="V109" s="41"/>
      <c r="W109" s="41"/>
      <c r="X109" s="41"/>
      <c r="Y109" s="36"/>
      <c r="Z109" s="36"/>
      <c r="AA109" s="36"/>
      <c r="AB109" s="36"/>
    </row>
    <row r="110" spans="17:28" x14ac:dyDescent="0.2">
      <c r="Q110" s="36"/>
      <c r="R110" s="40"/>
      <c r="S110" s="40"/>
      <c r="T110" s="40"/>
      <c r="U110" s="41"/>
      <c r="V110" s="41"/>
      <c r="W110" s="41"/>
      <c r="X110" s="41"/>
      <c r="Y110" s="36"/>
      <c r="Z110" s="36"/>
      <c r="AA110" s="36"/>
      <c r="AB110" s="36"/>
    </row>
    <row r="111" spans="17:28" x14ac:dyDescent="0.2">
      <c r="Q111" s="36"/>
      <c r="R111" s="40"/>
      <c r="S111" s="40"/>
      <c r="T111" s="40"/>
      <c r="U111" s="41"/>
      <c r="V111" s="41"/>
      <c r="W111" s="41"/>
      <c r="X111" s="41"/>
      <c r="Y111" s="36"/>
      <c r="Z111" s="36"/>
      <c r="AA111" s="36"/>
      <c r="AB111" s="36"/>
    </row>
    <row r="112" spans="17:28" x14ac:dyDescent="0.2">
      <c r="Q112" s="36"/>
      <c r="R112" s="40"/>
      <c r="S112" s="40"/>
      <c r="T112" s="40"/>
      <c r="U112" s="41"/>
      <c r="V112" s="41"/>
      <c r="W112" s="41"/>
      <c r="X112" s="41"/>
      <c r="Y112" s="36"/>
      <c r="Z112" s="36"/>
      <c r="AA112" s="36"/>
      <c r="AB112" s="36"/>
    </row>
    <row r="113" spans="17:28" x14ac:dyDescent="0.2">
      <c r="Q113" s="36"/>
      <c r="R113" s="40"/>
      <c r="S113" s="40"/>
      <c r="T113" s="40"/>
      <c r="U113" s="41"/>
      <c r="V113" s="41"/>
      <c r="W113" s="41"/>
      <c r="X113" s="41"/>
      <c r="Y113" s="36"/>
      <c r="Z113" s="36"/>
      <c r="AA113" s="36"/>
      <c r="AB113" s="36"/>
    </row>
    <row r="114" spans="17:28" x14ac:dyDescent="0.2">
      <c r="Q114" s="36"/>
      <c r="R114" s="40"/>
      <c r="S114" s="40"/>
      <c r="T114" s="40"/>
      <c r="U114" s="41"/>
      <c r="V114" s="41"/>
      <c r="W114" s="41"/>
      <c r="X114" s="41"/>
      <c r="Y114" s="36"/>
      <c r="Z114" s="36"/>
      <c r="AA114" s="36"/>
      <c r="AB114" s="36"/>
    </row>
    <row r="115" spans="17:28" x14ac:dyDescent="0.2">
      <c r="Q115" s="36"/>
      <c r="R115" s="40"/>
      <c r="S115" s="40"/>
      <c r="T115" s="40"/>
      <c r="U115" s="41"/>
      <c r="V115" s="41"/>
      <c r="W115" s="41"/>
      <c r="X115" s="41"/>
      <c r="Y115" s="36"/>
      <c r="Z115" s="36"/>
      <c r="AA115" s="36"/>
      <c r="AB115" s="36"/>
    </row>
    <row r="116" spans="17:28" x14ac:dyDescent="0.2">
      <c r="Q116" s="36"/>
      <c r="R116" s="40"/>
      <c r="S116" s="40"/>
      <c r="T116" s="40"/>
      <c r="U116" s="41"/>
      <c r="V116" s="41"/>
      <c r="W116" s="41"/>
      <c r="X116" s="41"/>
      <c r="Y116" s="36"/>
      <c r="Z116" s="36"/>
      <c r="AA116" s="36"/>
      <c r="AB116" s="36"/>
    </row>
    <row r="117" spans="17:28" x14ac:dyDescent="0.2">
      <c r="Q117" s="36"/>
      <c r="R117" s="40"/>
      <c r="S117" s="40"/>
      <c r="T117" s="40"/>
      <c r="U117" s="41"/>
      <c r="V117" s="41"/>
      <c r="W117" s="41"/>
      <c r="X117" s="41"/>
      <c r="Y117" s="36"/>
      <c r="Z117" s="36"/>
      <c r="AA117" s="36"/>
      <c r="AB117" s="36"/>
    </row>
    <row r="118" spans="17:28" x14ac:dyDescent="0.2">
      <c r="Q118" s="36"/>
      <c r="R118" s="40"/>
      <c r="S118" s="40"/>
      <c r="T118" s="40"/>
      <c r="U118" s="41"/>
      <c r="V118" s="41"/>
      <c r="W118" s="41"/>
      <c r="X118" s="41"/>
      <c r="Y118" s="36"/>
      <c r="Z118" s="36"/>
      <c r="AA118" s="36"/>
      <c r="AB118" s="36"/>
    </row>
    <row r="119" spans="17:28" x14ac:dyDescent="0.2">
      <c r="Q119" s="36"/>
      <c r="R119" s="40"/>
      <c r="S119" s="40"/>
      <c r="T119" s="40"/>
      <c r="U119" s="41"/>
      <c r="V119" s="41"/>
      <c r="W119" s="41"/>
      <c r="X119" s="41"/>
      <c r="Y119" s="36"/>
      <c r="Z119" s="36"/>
      <c r="AA119" s="36"/>
      <c r="AB119" s="36"/>
    </row>
    <row r="120" spans="17:28" x14ac:dyDescent="0.2">
      <c r="Q120" s="36"/>
      <c r="R120" s="40"/>
      <c r="S120" s="40"/>
      <c r="T120" s="40"/>
      <c r="U120" s="41"/>
      <c r="V120" s="41"/>
      <c r="W120" s="41"/>
      <c r="X120" s="41"/>
      <c r="Y120" s="36"/>
      <c r="Z120" s="36"/>
      <c r="AA120" s="36"/>
      <c r="AB120" s="36"/>
    </row>
    <row r="121" spans="17:28" x14ac:dyDescent="0.2">
      <c r="Q121" s="36"/>
      <c r="R121" s="40"/>
      <c r="S121" s="40"/>
      <c r="T121" s="40"/>
      <c r="U121" s="41"/>
      <c r="V121" s="41"/>
      <c r="W121" s="41"/>
      <c r="X121" s="41"/>
      <c r="Y121" s="36"/>
      <c r="Z121" s="36"/>
      <c r="AA121" s="36"/>
      <c r="AB121" s="36"/>
    </row>
    <row r="122" spans="17:28" x14ac:dyDescent="0.2">
      <c r="Q122" s="36"/>
      <c r="R122" s="40"/>
      <c r="S122" s="40"/>
      <c r="T122" s="40"/>
      <c r="U122" s="41"/>
      <c r="V122" s="41"/>
      <c r="W122" s="41"/>
      <c r="X122" s="41"/>
      <c r="Y122" s="36"/>
      <c r="Z122" s="36"/>
      <c r="AA122" s="36"/>
      <c r="AB122" s="36"/>
    </row>
    <row r="123" spans="17:28" x14ac:dyDescent="0.2">
      <c r="Q123" s="36"/>
      <c r="R123" s="40"/>
      <c r="S123" s="40"/>
      <c r="T123" s="40"/>
      <c r="U123" s="41"/>
      <c r="V123" s="41"/>
      <c r="W123" s="41"/>
      <c r="X123" s="41"/>
      <c r="Y123" s="36"/>
      <c r="Z123" s="36"/>
      <c r="AA123" s="36"/>
      <c r="AB123" s="36"/>
    </row>
    <row r="124" spans="17:28" x14ac:dyDescent="0.2">
      <c r="Q124" s="36"/>
      <c r="R124" s="40"/>
      <c r="S124" s="40"/>
      <c r="T124" s="40"/>
      <c r="U124" s="41"/>
      <c r="V124" s="41"/>
      <c r="W124" s="41"/>
      <c r="X124" s="41"/>
      <c r="Y124" s="36"/>
      <c r="Z124" s="36"/>
      <c r="AA124" s="36"/>
      <c r="AB124" s="36"/>
    </row>
    <row r="125" spans="17:28" x14ac:dyDescent="0.2">
      <c r="Q125" s="36"/>
      <c r="R125" s="40"/>
      <c r="S125" s="40"/>
      <c r="T125" s="40"/>
      <c r="U125" s="41"/>
      <c r="V125" s="41"/>
      <c r="W125" s="41"/>
      <c r="X125" s="41"/>
      <c r="Y125" s="36"/>
      <c r="Z125" s="36"/>
      <c r="AA125" s="36"/>
      <c r="AB125" s="36"/>
    </row>
    <row r="126" spans="17:28" x14ac:dyDescent="0.2">
      <c r="Q126" s="36"/>
      <c r="R126" s="40"/>
      <c r="S126" s="40"/>
      <c r="T126" s="40"/>
      <c r="U126" s="41"/>
      <c r="V126" s="41"/>
      <c r="W126" s="41"/>
      <c r="X126" s="41"/>
      <c r="Y126" s="36"/>
      <c r="Z126" s="36"/>
      <c r="AA126" s="36"/>
      <c r="AB126" s="36"/>
    </row>
    <row r="127" spans="17:28" x14ac:dyDescent="0.2">
      <c r="Q127" s="36"/>
      <c r="R127" s="40"/>
      <c r="S127" s="40"/>
      <c r="T127" s="40"/>
      <c r="U127" s="41"/>
      <c r="V127" s="41"/>
      <c r="W127" s="41"/>
      <c r="X127" s="41"/>
      <c r="Y127" s="36"/>
      <c r="Z127" s="36"/>
      <c r="AA127" s="36"/>
      <c r="AB127" s="36"/>
    </row>
    <row r="128" spans="17:28" x14ac:dyDescent="0.2">
      <c r="Q128" s="36"/>
      <c r="R128" s="40"/>
      <c r="S128" s="40"/>
      <c r="T128" s="40"/>
      <c r="U128" s="41"/>
      <c r="V128" s="41"/>
      <c r="W128" s="41"/>
      <c r="X128" s="41"/>
      <c r="Y128" s="36"/>
      <c r="Z128" s="36"/>
      <c r="AA128" s="36"/>
      <c r="AB128" s="36"/>
    </row>
    <row r="129" spans="16:28" x14ac:dyDescent="0.2">
      <c r="Q129" s="36"/>
      <c r="R129" s="40"/>
      <c r="S129" s="40"/>
      <c r="T129" s="40"/>
      <c r="U129" s="41"/>
      <c r="V129" s="41"/>
      <c r="W129" s="41"/>
      <c r="X129" s="41"/>
      <c r="Y129" s="36"/>
      <c r="Z129" s="36"/>
      <c r="AA129" s="36"/>
      <c r="AB129" s="36"/>
    </row>
    <row r="130" spans="16:28" x14ac:dyDescent="0.2">
      <c r="Q130" s="36"/>
      <c r="R130" s="40"/>
      <c r="S130" s="40"/>
      <c r="T130" s="40"/>
      <c r="U130" s="41"/>
      <c r="V130" s="41"/>
      <c r="W130" s="41"/>
      <c r="X130" s="41"/>
      <c r="Y130" s="36"/>
      <c r="Z130" s="36"/>
      <c r="AA130" s="36"/>
      <c r="AB130" s="36"/>
    </row>
    <row r="131" spans="16:28" x14ac:dyDescent="0.2">
      <c r="Q131" s="36"/>
      <c r="R131" s="40"/>
      <c r="S131" s="40"/>
      <c r="T131" s="40"/>
      <c r="U131" s="41"/>
      <c r="V131" s="41"/>
      <c r="W131" s="41"/>
      <c r="X131" s="41"/>
      <c r="Y131" s="36"/>
      <c r="Z131" s="36"/>
      <c r="AA131" s="36"/>
      <c r="AB131" s="36"/>
    </row>
    <row r="132" spans="16:28" x14ac:dyDescent="0.2">
      <c r="Q132" s="36"/>
      <c r="R132" s="40"/>
      <c r="S132" s="40"/>
      <c r="T132" s="40"/>
      <c r="U132" s="41"/>
      <c r="V132" s="41"/>
      <c r="W132" s="41"/>
      <c r="X132" s="41"/>
      <c r="Y132" s="36"/>
      <c r="Z132" s="36"/>
      <c r="AA132" s="36"/>
      <c r="AB132" s="36"/>
    </row>
    <row r="133" spans="16:28" x14ac:dyDescent="0.2">
      <c r="Q133" s="36"/>
      <c r="R133" s="40"/>
      <c r="S133" s="40"/>
      <c r="T133" s="40"/>
      <c r="U133" s="41"/>
      <c r="V133" s="41"/>
      <c r="W133" s="41"/>
      <c r="X133" s="41"/>
      <c r="Y133" s="36"/>
      <c r="Z133" s="36"/>
      <c r="AA133" s="36"/>
      <c r="AB133" s="36"/>
    </row>
    <row r="134" spans="16:28" x14ac:dyDescent="0.2">
      <c r="Q134" s="36"/>
      <c r="R134" s="40"/>
      <c r="S134" s="40"/>
      <c r="T134" s="40"/>
      <c r="U134" s="41"/>
      <c r="V134" s="41"/>
      <c r="W134" s="41"/>
      <c r="X134" s="41"/>
      <c r="Y134" s="36"/>
      <c r="Z134" s="36"/>
      <c r="AA134" s="36"/>
      <c r="AB134" s="36"/>
    </row>
    <row r="135" spans="16:28" x14ac:dyDescent="0.2">
      <c r="Q135" s="36"/>
      <c r="R135" s="40"/>
      <c r="S135" s="40"/>
      <c r="T135" s="40"/>
      <c r="U135" s="41"/>
      <c r="V135" s="41"/>
      <c r="W135" s="41"/>
      <c r="X135" s="41"/>
      <c r="Y135" s="36"/>
      <c r="Z135" s="36"/>
      <c r="AA135" s="36"/>
      <c r="AB135" s="36"/>
    </row>
    <row r="136" spans="16:28" x14ac:dyDescent="0.2">
      <c r="Q136" s="36"/>
      <c r="R136" s="40"/>
      <c r="S136" s="40"/>
      <c r="T136" s="40"/>
      <c r="U136" s="41"/>
      <c r="V136" s="41"/>
      <c r="W136" s="41"/>
      <c r="X136" s="41"/>
      <c r="Y136" s="36"/>
      <c r="Z136" s="36"/>
      <c r="AA136" s="36"/>
      <c r="AB136" s="36"/>
    </row>
    <row r="137" spans="16:28" x14ac:dyDescent="0.2">
      <c r="Q137" s="36"/>
      <c r="R137" s="40"/>
      <c r="S137" s="40"/>
      <c r="T137" s="40"/>
      <c r="U137" s="41"/>
      <c r="V137" s="41"/>
      <c r="W137" s="41"/>
      <c r="X137" s="41"/>
      <c r="Y137" s="36"/>
      <c r="Z137" s="36"/>
      <c r="AA137" s="36"/>
      <c r="AB137" s="36"/>
    </row>
    <row r="138" spans="16:28" x14ac:dyDescent="0.2">
      <c r="Q138" s="36"/>
      <c r="R138" s="40"/>
      <c r="S138" s="40"/>
      <c r="T138" s="40"/>
      <c r="U138" s="41"/>
      <c r="V138" s="41"/>
      <c r="W138" s="41"/>
      <c r="X138" s="41"/>
      <c r="Y138" s="36"/>
      <c r="Z138" s="36"/>
      <c r="AA138" s="36"/>
      <c r="AB138" s="36"/>
    </row>
    <row r="139" spans="16:28" x14ac:dyDescent="0.2">
      <c r="Q139" s="36"/>
      <c r="R139" s="40"/>
      <c r="S139" s="40"/>
      <c r="T139" s="40"/>
      <c r="U139" s="41"/>
      <c r="V139" s="41"/>
      <c r="W139" s="41"/>
      <c r="X139" s="41"/>
      <c r="Y139" s="36"/>
      <c r="Z139" s="36"/>
      <c r="AA139" s="36"/>
      <c r="AB139" s="36"/>
    </row>
    <row r="140" spans="16:28" x14ac:dyDescent="0.2">
      <c r="Q140" s="36"/>
      <c r="R140" s="40"/>
      <c r="S140" s="40"/>
      <c r="T140" s="40"/>
      <c r="U140" s="41"/>
      <c r="V140" s="41"/>
      <c r="W140" s="41"/>
      <c r="X140" s="41"/>
      <c r="Y140" s="36"/>
      <c r="Z140" s="36"/>
      <c r="AA140" s="36"/>
      <c r="AB140" s="36"/>
    </row>
    <row r="141" spans="16:28" x14ac:dyDescent="0.2">
      <c r="Q141" s="36"/>
      <c r="R141" s="40"/>
      <c r="S141" s="40"/>
      <c r="T141" s="40"/>
      <c r="U141" s="41"/>
      <c r="V141" s="41"/>
      <c r="W141" s="41"/>
      <c r="X141" s="41"/>
      <c r="Y141" s="36"/>
      <c r="Z141" s="36"/>
      <c r="AA141" s="36"/>
      <c r="AB141" s="36"/>
    </row>
    <row r="142" spans="16:28" x14ac:dyDescent="0.2">
      <c r="P142" s="36"/>
      <c r="Q142" s="40"/>
      <c r="R142" s="40"/>
      <c r="S142" s="40"/>
      <c r="T142" s="41"/>
      <c r="U142" s="41"/>
      <c r="V142" s="41"/>
      <c r="W142" s="36"/>
      <c r="X142" s="36"/>
      <c r="Y142" s="36"/>
      <c r="Z142" s="36"/>
      <c r="AA142" s="36"/>
    </row>
    <row r="143" spans="16:28" x14ac:dyDescent="0.2">
      <c r="P143" s="36"/>
      <c r="Q143" s="40"/>
      <c r="R143" s="40"/>
      <c r="S143" s="40"/>
      <c r="T143" s="41"/>
      <c r="U143" s="41"/>
      <c r="V143" s="41"/>
      <c r="W143" s="36"/>
      <c r="X143" s="36"/>
      <c r="Y143" s="36"/>
      <c r="Z143" s="36"/>
      <c r="AA143" s="36"/>
    </row>
    <row r="144" spans="16:28" x14ac:dyDescent="0.2">
      <c r="P144" s="36"/>
      <c r="Q144" s="40"/>
      <c r="R144" s="40"/>
      <c r="S144" s="40"/>
      <c r="T144" s="41"/>
      <c r="U144" s="41"/>
      <c r="V144" s="41"/>
      <c r="W144" s="36"/>
      <c r="X144" s="36"/>
      <c r="Y144" s="36"/>
      <c r="Z144" s="36"/>
      <c r="AA144" s="36"/>
    </row>
    <row r="145" spans="16:27" x14ac:dyDescent="0.2">
      <c r="P145" s="36"/>
      <c r="Q145" s="40"/>
      <c r="R145" s="40"/>
      <c r="S145" s="40"/>
      <c r="T145" s="41"/>
      <c r="U145" s="41"/>
      <c r="V145" s="41"/>
      <c r="W145" s="36"/>
      <c r="X145" s="36"/>
      <c r="Y145" s="36"/>
      <c r="Z145" s="36"/>
      <c r="AA145" s="36"/>
    </row>
    <row r="146" spans="16:27" x14ac:dyDescent="0.2">
      <c r="P146" s="36"/>
      <c r="Q146" s="40"/>
      <c r="R146" s="40"/>
      <c r="S146" s="40"/>
      <c r="T146" s="41"/>
      <c r="U146" s="41"/>
      <c r="V146" s="41"/>
      <c r="W146" s="36"/>
      <c r="X146" s="36"/>
      <c r="Y146" s="36"/>
      <c r="Z146" s="36"/>
      <c r="AA146" s="36"/>
    </row>
    <row r="147" spans="16:27" x14ac:dyDescent="0.2">
      <c r="P147" s="36"/>
      <c r="Q147" s="40"/>
      <c r="R147" s="40"/>
      <c r="S147" s="40"/>
      <c r="T147" s="41"/>
      <c r="U147" s="41"/>
      <c r="V147" s="41"/>
      <c r="W147" s="36"/>
      <c r="X147" s="36"/>
      <c r="Y147" s="36"/>
      <c r="Z147" s="36"/>
      <c r="AA147" s="36"/>
    </row>
    <row r="148" spans="16:27" x14ac:dyDescent="0.2">
      <c r="P148" s="36"/>
      <c r="Q148" s="40"/>
      <c r="R148" s="40"/>
      <c r="S148" s="40"/>
      <c r="T148" s="41"/>
      <c r="U148" s="41"/>
      <c r="V148" s="41"/>
      <c r="W148" s="36"/>
      <c r="X148" s="36"/>
      <c r="Y148" s="36"/>
      <c r="Z148" s="36"/>
      <c r="AA148" s="36"/>
    </row>
    <row r="149" spans="16:27" x14ac:dyDescent="0.2">
      <c r="P149" s="36"/>
      <c r="Q149" s="40"/>
      <c r="R149" s="40"/>
      <c r="S149" s="40"/>
      <c r="T149" s="41"/>
      <c r="U149" s="41"/>
      <c r="V149" s="41"/>
      <c r="W149" s="36"/>
      <c r="X149" s="36"/>
      <c r="Y149" s="36"/>
      <c r="Z149" s="36"/>
      <c r="AA149" s="36"/>
    </row>
    <row r="150" spans="16:27" x14ac:dyDescent="0.2">
      <c r="P150" s="36"/>
      <c r="Q150" s="40"/>
      <c r="R150" s="40"/>
      <c r="S150" s="40"/>
      <c r="T150" s="41"/>
      <c r="U150" s="41"/>
      <c r="V150" s="41"/>
      <c r="W150" s="36"/>
      <c r="X150" s="36"/>
      <c r="Y150" s="36"/>
      <c r="Z150" s="36"/>
      <c r="AA150" s="36"/>
    </row>
    <row r="151" spans="16:27" x14ac:dyDescent="0.2">
      <c r="P151" s="36"/>
      <c r="Q151" s="40"/>
      <c r="R151" s="40"/>
      <c r="S151" s="40"/>
      <c r="T151" s="41"/>
      <c r="U151" s="41"/>
      <c r="V151" s="41"/>
      <c r="W151" s="36"/>
      <c r="X151" s="36"/>
      <c r="Y151" s="36"/>
      <c r="Z151" s="36"/>
      <c r="AA151" s="36"/>
    </row>
    <row r="152" spans="16:27" x14ac:dyDescent="0.2">
      <c r="P152" s="36"/>
      <c r="Q152" s="40"/>
      <c r="R152" s="40"/>
      <c r="S152" s="40"/>
      <c r="T152" s="41"/>
      <c r="U152" s="41"/>
      <c r="V152" s="41"/>
      <c r="W152" s="36"/>
      <c r="X152" s="36"/>
      <c r="Y152" s="36"/>
      <c r="Z152" s="36"/>
      <c r="AA152" s="36"/>
    </row>
    <row r="153" spans="16:27" x14ac:dyDescent="0.2">
      <c r="P153" s="36"/>
      <c r="Q153" s="40"/>
      <c r="R153" s="40"/>
      <c r="S153" s="40"/>
      <c r="T153" s="41"/>
      <c r="U153" s="41"/>
      <c r="V153" s="41"/>
      <c r="W153" s="36"/>
      <c r="X153" s="36"/>
      <c r="Y153" s="36"/>
      <c r="Z153" s="36"/>
      <c r="AA153" s="36"/>
    </row>
    <row r="154" spans="16:27" x14ac:dyDescent="0.2">
      <c r="P154" s="36"/>
      <c r="Q154" s="40"/>
      <c r="R154" s="40"/>
      <c r="S154" s="40"/>
      <c r="T154" s="41"/>
      <c r="U154" s="41"/>
      <c r="V154" s="41"/>
      <c r="W154" s="36"/>
      <c r="X154" s="36"/>
      <c r="Y154" s="36"/>
      <c r="Z154" s="36"/>
      <c r="AA154" s="36"/>
    </row>
    <row r="155" spans="16:27" x14ac:dyDescent="0.2">
      <c r="P155" s="36"/>
      <c r="Q155" s="40"/>
      <c r="R155" s="40"/>
      <c r="S155" s="40"/>
      <c r="T155" s="41"/>
      <c r="U155" s="41"/>
      <c r="V155" s="41"/>
      <c r="W155" s="36"/>
      <c r="X155" s="36"/>
      <c r="Y155" s="36"/>
      <c r="Z155" s="36"/>
      <c r="AA155" s="36"/>
    </row>
    <row r="156" spans="16:27" x14ac:dyDescent="0.2">
      <c r="P156" s="36"/>
      <c r="Q156" s="40"/>
      <c r="R156" s="40"/>
      <c r="S156" s="40"/>
      <c r="T156" s="41"/>
      <c r="U156" s="41"/>
      <c r="V156" s="41"/>
      <c r="W156" s="36"/>
      <c r="X156" s="36"/>
      <c r="Y156" s="36"/>
      <c r="Z156" s="36"/>
      <c r="AA156" s="36"/>
    </row>
    <row r="157" spans="16:27" x14ac:dyDescent="0.2">
      <c r="P157" s="36"/>
      <c r="Q157" s="40"/>
      <c r="R157" s="40"/>
      <c r="S157" s="40"/>
      <c r="T157" s="41"/>
      <c r="U157" s="41"/>
      <c r="V157" s="41"/>
      <c r="W157" s="36"/>
      <c r="X157" s="36"/>
      <c r="Y157" s="36"/>
      <c r="Z157" s="36"/>
      <c r="AA157" s="36"/>
    </row>
    <row r="158" spans="16:27" x14ac:dyDescent="0.2">
      <c r="P158" s="36"/>
      <c r="Q158" s="40"/>
      <c r="R158" s="40"/>
      <c r="S158" s="40"/>
      <c r="T158" s="41"/>
      <c r="U158" s="41"/>
      <c r="V158" s="41"/>
      <c r="W158" s="36"/>
      <c r="X158" s="36"/>
      <c r="Y158" s="36"/>
      <c r="Z158" s="36"/>
      <c r="AA158" s="36"/>
    </row>
    <row r="159" spans="16:27" x14ac:dyDescent="0.2">
      <c r="P159" s="36"/>
      <c r="Q159" s="40"/>
      <c r="R159" s="40"/>
      <c r="S159" s="40"/>
      <c r="T159" s="41"/>
      <c r="U159" s="41"/>
      <c r="V159" s="41"/>
      <c r="W159" s="36"/>
      <c r="X159" s="36"/>
      <c r="Y159" s="36"/>
      <c r="Z159" s="36"/>
      <c r="AA159" s="36"/>
    </row>
    <row r="160" spans="16:27" x14ac:dyDescent="0.2">
      <c r="P160" s="36"/>
      <c r="Q160" s="40"/>
      <c r="R160" s="40"/>
      <c r="S160" s="40"/>
      <c r="T160" s="41"/>
      <c r="U160" s="41"/>
      <c r="V160" s="41"/>
      <c r="W160" s="36"/>
      <c r="X160" s="36"/>
      <c r="Y160" s="36"/>
      <c r="Z160" s="36"/>
      <c r="AA160" s="36"/>
    </row>
    <row r="161" spans="16:27" x14ac:dyDescent="0.2">
      <c r="P161" s="36"/>
      <c r="Q161" s="40"/>
      <c r="R161" s="40"/>
      <c r="S161" s="40"/>
      <c r="T161" s="41"/>
      <c r="U161" s="41"/>
      <c r="V161" s="41"/>
      <c r="W161" s="36"/>
      <c r="X161" s="36"/>
      <c r="Y161" s="36"/>
      <c r="Z161" s="36"/>
      <c r="AA161" s="36"/>
    </row>
    <row r="162" spans="16:27" x14ac:dyDescent="0.2">
      <c r="P162" s="36"/>
      <c r="Q162" s="40"/>
      <c r="R162" s="40"/>
      <c r="S162" s="40"/>
      <c r="T162" s="41"/>
      <c r="U162" s="41"/>
      <c r="V162" s="41"/>
      <c r="W162" s="36"/>
      <c r="X162" s="36"/>
      <c r="Y162" s="36"/>
      <c r="Z162" s="36"/>
      <c r="AA162" s="36"/>
    </row>
    <row r="163" spans="16:27" x14ac:dyDescent="0.2">
      <c r="P163" s="36"/>
      <c r="Q163" s="40"/>
      <c r="R163" s="40"/>
      <c r="S163" s="40"/>
      <c r="T163" s="41"/>
      <c r="U163" s="41"/>
      <c r="V163" s="41"/>
      <c r="W163" s="36"/>
      <c r="X163" s="36"/>
      <c r="Y163" s="36"/>
      <c r="Z163" s="36"/>
      <c r="AA163" s="36"/>
    </row>
    <row r="164" spans="16:27" x14ac:dyDescent="0.2">
      <c r="P164" s="36"/>
      <c r="Q164" s="40"/>
      <c r="R164" s="40"/>
      <c r="S164" s="40"/>
      <c r="T164" s="41"/>
      <c r="U164" s="41"/>
      <c r="V164" s="41"/>
      <c r="W164" s="36"/>
      <c r="X164" s="36"/>
      <c r="Y164" s="36"/>
      <c r="Z164" s="36"/>
      <c r="AA164" s="36"/>
    </row>
    <row r="165" spans="16:27" x14ac:dyDescent="0.2">
      <c r="P165" s="36"/>
      <c r="Q165" s="40"/>
      <c r="R165" s="40"/>
      <c r="S165" s="40"/>
      <c r="T165" s="41"/>
      <c r="U165" s="41"/>
      <c r="V165" s="41"/>
      <c r="W165" s="36"/>
      <c r="X165" s="36"/>
      <c r="Y165" s="36"/>
      <c r="Z165" s="36"/>
      <c r="AA165" s="36"/>
    </row>
    <row r="166" spans="16:27" x14ac:dyDescent="0.2">
      <c r="P166" s="36"/>
      <c r="Q166" s="40"/>
      <c r="R166" s="40"/>
      <c r="S166" s="40"/>
      <c r="T166" s="41"/>
      <c r="U166" s="41"/>
      <c r="V166" s="41"/>
      <c r="W166" s="36"/>
      <c r="X166" s="36"/>
      <c r="Y166" s="36"/>
      <c r="Z166" s="36"/>
      <c r="AA166" s="36"/>
    </row>
    <row r="167" spans="16:27" x14ac:dyDescent="0.2">
      <c r="P167" s="36"/>
      <c r="Q167" s="40"/>
      <c r="R167" s="40"/>
      <c r="S167" s="40"/>
      <c r="T167" s="41"/>
      <c r="U167" s="41"/>
      <c r="V167" s="41"/>
      <c r="W167" s="36"/>
      <c r="X167" s="36"/>
      <c r="Y167" s="36"/>
      <c r="Z167" s="36"/>
      <c r="AA167" s="36"/>
    </row>
    <row r="168" spans="16:27" x14ac:dyDescent="0.2">
      <c r="P168" s="36"/>
      <c r="Q168" s="40"/>
      <c r="R168" s="40"/>
      <c r="S168" s="40"/>
      <c r="T168" s="41"/>
      <c r="U168" s="41"/>
      <c r="V168" s="41"/>
      <c r="W168" s="36"/>
      <c r="X168" s="36"/>
      <c r="Y168" s="36"/>
      <c r="Z168" s="36"/>
      <c r="AA168" s="36"/>
    </row>
    <row r="169" spans="16:27" x14ac:dyDescent="0.2">
      <c r="P169" s="36"/>
      <c r="Q169" s="40"/>
      <c r="R169" s="40"/>
      <c r="S169" s="40"/>
      <c r="T169" s="41"/>
      <c r="U169" s="41"/>
      <c r="V169" s="41"/>
      <c r="W169" s="36"/>
      <c r="X169" s="36"/>
      <c r="Y169" s="36"/>
      <c r="Z169" s="36"/>
      <c r="AA169" s="36"/>
    </row>
    <row r="170" spans="16:27" x14ac:dyDescent="0.2">
      <c r="P170" s="36"/>
      <c r="Q170" s="40"/>
      <c r="R170" s="40"/>
      <c r="S170" s="40"/>
      <c r="T170" s="41"/>
      <c r="U170" s="41"/>
      <c r="V170" s="41"/>
      <c r="W170" s="36"/>
      <c r="X170" s="36"/>
      <c r="Y170" s="36"/>
      <c r="Z170" s="36"/>
      <c r="AA170" s="36"/>
    </row>
    <row r="171" spans="16:27" x14ac:dyDescent="0.2">
      <c r="P171" s="36"/>
      <c r="Q171" s="40"/>
      <c r="R171" s="40"/>
      <c r="S171" s="40"/>
      <c r="T171" s="41"/>
      <c r="U171" s="41"/>
      <c r="V171" s="41"/>
      <c r="W171" s="36"/>
      <c r="X171" s="36"/>
      <c r="Y171" s="36"/>
      <c r="Z171" s="36"/>
      <c r="AA171" s="36"/>
    </row>
    <row r="172" spans="16:27" x14ac:dyDescent="0.2">
      <c r="P172" s="36"/>
      <c r="Q172" s="40"/>
      <c r="R172" s="40"/>
      <c r="S172" s="40"/>
      <c r="T172" s="41"/>
      <c r="U172" s="41"/>
      <c r="V172" s="41"/>
      <c r="W172" s="36"/>
      <c r="X172" s="36"/>
      <c r="Y172" s="36"/>
      <c r="Z172" s="36"/>
      <c r="AA172" s="36"/>
    </row>
    <row r="173" spans="16:27" x14ac:dyDescent="0.2">
      <c r="P173" s="36"/>
      <c r="Q173" s="40"/>
      <c r="R173" s="40"/>
      <c r="S173" s="40"/>
      <c r="T173" s="41"/>
      <c r="U173" s="41"/>
      <c r="V173" s="41"/>
      <c r="W173" s="36"/>
      <c r="X173" s="36"/>
      <c r="Y173" s="36"/>
      <c r="Z173" s="36"/>
      <c r="AA173" s="36"/>
    </row>
    <row r="174" spans="16:27" x14ac:dyDescent="0.2">
      <c r="P174" s="36"/>
      <c r="Q174" s="40"/>
      <c r="R174" s="40"/>
      <c r="S174" s="40"/>
      <c r="T174" s="41"/>
      <c r="U174" s="41"/>
      <c r="V174" s="41"/>
      <c r="W174" s="36"/>
      <c r="X174" s="36"/>
      <c r="Y174" s="36"/>
      <c r="Z174" s="36"/>
      <c r="AA174" s="36"/>
    </row>
    <row r="175" spans="16:27" x14ac:dyDescent="0.2">
      <c r="P175" s="36"/>
      <c r="Q175" s="40"/>
      <c r="R175" s="40"/>
      <c r="S175" s="40"/>
      <c r="T175" s="41"/>
      <c r="U175" s="41"/>
      <c r="V175" s="41"/>
      <c r="W175" s="36"/>
      <c r="X175" s="36"/>
      <c r="Y175" s="36"/>
      <c r="Z175" s="36"/>
      <c r="AA175" s="36"/>
    </row>
    <row r="176" spans="16:27" x14ac:dyDescent="0.2">
      <c r="P176" s="36"/>
      <c r="Q176" s="40"/>
      <c r="R176" s="40"/>
      <c r="S176" s="40"/>
      <c r="T176" s="41"/>
      <c r="U176" s="41"/>
      <c r="V176" s="41"/>
      <c r="W176" s="36"/>
      <c r="X176" s="36"/>
      <c r="Y176" s="36"/>
      <c r="Z176" s="36"/>
      <c r="AA176" s="36"/>
    </row>
    <row r="177" spans="16:27" x14ac:dyDescent="0.2">
      <c r="P177" s="36"/>
      <c r="Q177" s="40"/>
      <c r="R177" s="40"/>
      <c r="S177" s="40"/>
      <c r="T177" s="41"/>
      <c r="U177" s="41"/>
      <c r="V177" s="41"/>
      <c r="W177" s="36"/>
      <c r="X177" s="36"/>
      <c r="Y177" s="36"/>
      <c r="Z177" s="36"/>
      <c r="AA177" s="36"/>
    </row>
    <row r="178" spans="16:27" x14ac:dyDescent="0.2">
      <c r="P178" s="36"/>
      <c r="Q178" s="40"/>
      <c r="R178" s="40"/>
      <c r="S178" s="40"/>
      <c r="T178" s="41"/>
      <c r="U178" s="41"/>
      <c r="V178" s="41"/>
      <c r="W178" s="36"/>
      <c r="X178" s="36"/>
      <c r="Y178" s="36"/>
      <c r="Z178" s="36"/>
      <c r="AA178" s="36"/>
    </row>
    <row r="179" spans="16:27" x14ac:dyDescent="0.2">
      <c r="P179" s="36"/>
      <c r="Q179" s="40"/>
      <c r="R179" s="40"/>
      <c r="S179" s="40"/>
      <c r="T179" s="41"/>
      <c r="U179" s="41"/>
      <c r="V179" s="41"/>
      <c r="W179" s="36"/>
      <c r="X179" s="36"/>
      <c r="Y179" s="36"/>
      <c r="Z179" s="36"/>
      <c r="AA179" s="36"/>
    </row>
    <row r="180" spans="16:27" x14ac:dyDescent="0.2">
      <c r="P180" s="36"/>
      <c r="Q180" s="40"/>
      <c r="R180" s="40"/>
      <c r="S180" s="40"/>
      <c r="T180" s="41"/>
      <c r="U180" s="41"/>
      <c r="V180" s="41"/>
      <c r="W180" s="36"/>
      <c r="X180" s="36"/>
      <c r="Y180" s="36"/>
      <c r="Z180" s="36"/>
      <c r="AA180" s="36"/>
    </row>
    <row r="181" spans="16:27" x14ac:dyDescent="0.2">
      <c r="P181" s="36"/>
      <c r="Q181" s="40"/>
      <c r="R181" s="40"/>
      <c r="S181" s="40"/>
      <c r="T181" s="41"/>
      <c r="U181" s="41"/>
      <c r="V181" s="41"/>
      <c r="W181" s="36"/>
      <c r="X181" s="36"/>
      <c r="Y181" s="36"/>
      <c r="Z181" s="36"/>
      <c r="AA181" s="36"/>
    </row>
    <row r="182" spans="16:27" x14ac:dyDescent="0.2">
      <c r="P182" s="36"/>
      <c r="Q182" s="40"/>
      <c r="R182" s="40"/>
      <c r="S182" s="40"/>
      <c r="T182" s="41"/>
      <c r="U182" s="41"/>
      <c r="V182" s="41"/>
      <c r="W182" s="36"/>
      <c r="X182" s="36"/>
      <c r="Y182" s="36"/>
      <c r="Z182" s="36"/>
      <c r="AA182" s="36"/>
    </row>
    <row r="183" spans="16:27" x14ac:dyDescent="0.2">
      <c r="P183" s="36"/>
      <c r="Q183" s="40"/>
      <c r="R183" s="40"/>
      <c r="S183" s="40"/>
      <c r="T183" s="41"/>
      <c r="U183" s="41"/>
      <c r="V183" s="41"/>
      <c r="W183" s="36"/>
      <c r="X183" s="36"/>
      <c r="Y183" s="36"/>
      <c r="Z183" s="36"/>
      <c r="AA183" s="36"/>
    </row>
    <row r="184" spans="16:27" x14ac:dyDescent="0.2">
      <c r="P184" s="36"/>
      <c r="Q184" s="40"/>
      <c r="R184" s="40"/>
      <c r="S184" s="40"/>
      <c r="T184" s="41"/>
      <c r="U184" s="41"/>
      <c r="V184" s="41"/>
      <c r="W184" s="36"/>
      <c r="X184" s="36"/>
      <c r="Y184" s="36"/>
      <c r="Z184" s="36"/>
      <c r="AA184" s="36"/>
    </row>
    <row r="185" spans="16:27" x14ac:dyDescent="0.2">
      <c r="P185" s="36"/>
      <c r="Q185" s="40"/>
      <c r="R185" s="40"/>
      <c r="S185" s="40"/>
      <c r="T185" s="41"/>
      <c r="U185" s="41"/>
      <c r="V185" s="41"/>
      <c r="W185" s="36"/>
      <c r="X185" s="36"/>
      <c r="Y185" s="36"/>
      <c r="Z185" s="36"/>
      <c r="AA185" s="36"/>
    </row>
    <row r="186" spans="16:27" x14ac:dyDescent="0.2">
      <c r="P186" s="36"/>
      <c r="Q186" s="40"/>
      <c r="R186" s="40"/>
      <c r="S186" s="40"/>
      <c r="T186" s="41"/>
      <c r="U186" s="41"/>
      <c r="V186" s="41"/>
      <c r="W186" s="36"/>
      <c r="X186" s="36"/>
      <c r="Y186" s="36"/>
      <c r="Z186" s="36"/>
      <c r="AA186" s="36"/>
    </row>
    <row r="187" spans="16:27" x14ac:dyDescent="0.2">
      <c r="P187" s="36"/>
      <c r="Q187" s="40"/>
      <c r="R187" s="40"/>
      <c r="S187" s="40"/>
      <c r="T187" s="41"/>
      <c r="U187" s="41"/>
      <c r="V187" s="41"/>
      <c r="W187" s="36"/>
      <c r="X187" s="36"/>
      <c r="Y187" s="36"/>
      <c r="Z187" s="36"/>
      <c r="AA187" s="36"/>
    </row>
    <row r="188" spans="16:27" x14ac:dyDescent="0.2">
      <c r="P188" s="36"/>
      <c r="Q188" s="40"/>
      <c r="R188" s="40"/>
      <c r="S188" s="40"/>
      <c r="T188" s="41"/>
      <c r="U188" s="41"/>
      <c r="V188" s="41"/>
      <c r="W188" s="36"/>
      <c r="X188" s="36"/>
      <c r="Y188" s="36"/>
      <c r="Z188" s="36"/>
      <c r="AA188" s="36"/>
    </row>
    <row r="189" spans="16:27" x14ac:dyDescent="0.2">
      <c r="P189" s="36"/>
      <c r="Q189" s="40"/>
      <c r="R189" s="40"/>
      <c r="S189" s="40"/>
      <c r="T189" s="41"/>
      <c r="U189" s="41"/>
      <c r="V189" s="41"/>
      <c r="W189" s="36"/>
      <c r="X189" s="36"/>
      <c r="Y189" s="36"/>
      <c r="Z189" s="36"/>
      <c r="AA189" s="36"/>
    </row>
    <row r="190" spans="16:27" x14ac:dyDescent="0.2">
      <c r="P190" s="36"/>
      <c r="Q190" s="40"/>
      <c r="R190" s="40"/>
      <c r="S190" s="40"/>
      <c r="T190" s="41"/>
      <c r="U190" s="41"/>
      <c r="V190" s="41"/>
      <c r="W190" s="36"/>
      <c r="X190" s="36"/>
      <c r="Y190" s="36"/>
      <c r="Z190" s="36"/>
      <c r="AA190" s="36"/>
    </row>
    <row r="191" spans="16:27" x14ac:dyDescent="0.2">
      <c r="P191" s="36"/>
      <c r="Q191" s="40"/>
      <c r="R191" s="40"/>
      <c r="S191" s="40"/>
      <c r="T191" s="41"/>
      <c r="U191" s="41"/>
      <c r="V191" s="41"/>
      <c r="W191" s="36"/>
      <c r="X191" s="36"/>
      <c r="Y191" s="36"/>
      <c r="Z191" s="36"/>
      <c r="AA191" s="36"/>
    </row>
    <row r="192" spans="16:27" x14ac:dyDescent="0.2">
      <c r="P192" s="36"/>
      <c r="Q192" s="40"/>
      <c r="R192" s="40"/>
      <c r="S192" s="40"/>
      <c r="T192" s="41"/>
      <c r="U192" s="41"/>
      <c r="V192" s="41"/>
      <c r="W192" s="36"/>
      <c r="X192" s="36"/>
      <c r="Y192" s="36"/>
      <c r="Z192" s="36"/>
      <c r="AA192" s="36"/>
    </row>
    <row r="193" spans="16:27" x14ac:dyDescent="0.2">
      <c r="P193" s="36"/>
      <c r="Q193" s="40"/>
      <c r="R193" s="40"/>
      <c r="S193" s="40"/>
      <c r="T193" s="41"/>
      <c r="U193" s="41"/>
      <c r="V193" s="41"/>
      <c r="W193" s="36"/>
      <c r="X193" s="36"/>
      <c r="Y193" s="36"/>
      <c r="Z193" s="36"/>
      <c r="AA193" s="36"/>
    </row>
    <row r="194" spans="16:27" x14ac:dyDescent="0.2">
      <c r="P194" s="36"/>
      <c r="Q194" s="40"/>
      <c r="R194" s="40"/>
      <c r="S194" s="40"/>
      <c r="T194" s="41"/>
      <c r="U194" s="41"/>
      <c r="V194" s="41"/>
      <c r="W194" s="36"/>
      <c r="X194" s="36"/>
      <c r="Y194" s="36"/>
      <c r="Z194" s="36"/>
      <c r="AA194" s="36"/>
    </row>
    <row r="195" spans="16:27" x14ac:dyDescent="0.2">
      <c r="P195" s="36"/>
      <c r="Q195" s="40"/>
      <c r="R195" s="40"/>
      <c r="S195" s="40"/>
      <c r="T195" s="41"/>
      <c r="U195" s="41"/>
      <c r="V195" s="41"/>
      <c r="W195" s="36"/>
      <c r="X195" s="36"/>
      <c r="Y195" s="36"/>
      <c r="Z195" s="36"/>
      <c r="AA195" s="36"/>
    </row>
    <row r="196" spans="16:27" x14ac:dyDescent="0.2">
      <c r="P196" s="36"/>
      <c r="Q196" s="40"/>
      <c r="R196" s="40"/>
      <c r="S196" s="40"/>
      <c r="T196" s="41"/>
      <c r="U196" s="41"/>
      <c r="V196" s="41"/>
      <c r="W196" s="36"/>
      <c r="X196" s="36"/>
      <c r="Y196" s="36"/>
      <c r="Z196" s="36"/>
      <c r="AA196" s="36"/>
    </row>
    <row r="197" spans="16:27" x14ac:dyDescent="0.2">
      <c r="P197" s="36"/>
      <c r="Q197" s="40"/>
      <c r="R197" s="40"/>
      <c r="S197" s="40"/>
      <c r="T197" s="41"/>
      <c r="U197" s="41"/>
      <c r="V197" s="41"/>
      <c r="W197" s="36"/>
      <c r="X197" s="36"/>
      <c r="Y197" s="36"/>
      <c r="Z197" s="36"/>
      <c r="AA197" s="36"/>
    </row>
    <row r="198" spans="16:27" x14ac:dyDescent="0.2">
      <c r="P198" s="36"/>
      <c r="Q198" s="40"/>
      <c r="R198" s="40"/>
      <c r="S198" s="40"/>
      <c r="T198" s="41"/>
      <c r="U198" s="41"/>
      <c r="V198" s="41"/>
      <c r="W198" s="36"/>
      <c r="X198" s="36"/>
      <c r="Y198" s="36"/>
      <c r="Z198" s="36"/>
      <c r="AA198" s="36"/>
    </row>
    <row r="199" spans="16:27" x14ac:dyDescent="0.2">
      <c r="P199" s="36"/>
      <c r="Q199" s="40"/>
      <c r="R199" s="40"/>
      <c r="S199" s="40"/>
      <c r="T199" s="41"/>
      <c r="U199" s="41"/>
      <c r="V199" s="41"/>
      <c r="W199" s="36"/>
      <c r="X199" s="36"/>
      <c r="Y199" s="36"/>
      <c r="Z199" s="36"/>
      <c r="AA199" s="36"/>
    </row>
    <row r="200" spans="16:27" x14ac:dyDescent="0.2">
      <c r="P200" s="36"/>
      <c r="Q200" s="40"/>
      <c r="R200" s="40"/>
      <c r="S200" s="40"/>
      <c r="T200" s="41"/>
      <c r="U200" s="41"/>
      <c r="V200" s="41"/>
      <c r="W200" s="36"/>
      <c r="X200" s="36"/>
      <c r="Y200" s="36"/>
      <c r="Z200" s="36"/>
      <c r="AA200" s="36"/>
    </row>
    <row r="201" spans="16:27" x14ac:dyDescent="0.2">
      <c r="P201" s="36"/>
      <c r="Q201" s="40"/>
      <c r="R201" s="40"/>
      <c r="S201" s="40"/>
      <c r="T201" s="41"/>
      <c r="U201" s="41"/>
      <c r="V201" s="41"/>
      <c r="W201" s="36"/>
      <c r="X201" s="36"/>
      <c r="Y201" s="36"/>
      <c r="Z201" s="36"/>
      <c r="AA201" s="36"/>
    </row>
    <row r="202" spans="16:27" x14ac:dyDescent="0.2">
      <c r="P202" s="36"/>
      <c r="Q202" s="40"/>
      <c r="R202" s="40"/>
      <c r="S202" s="40"/>
      <c r="T202" s="41"/>
      <c r="U202" s="41"/>
      <c r="V202" s="41"/>
      <c r="W202" s="36"/>
      <c r="X202" s="36"/>
      <c r="Y202" s="36"/>
      <c r="Z202" s="36"/>
      <c r="AA202" s="36"/>
    </row>
    <row r="203" spans="16:27" x14ac:dyDescent="0.2">
      <c r="P203" s="36"/>
      <c r="Q203" s="40"/>
      <c r="R203" s="40"/>
      <c r="S203" s="40"/>
      <c r="T203" s="41"/>
      <c r="U203" s="41"/>
      <c r="V203" s="41"/>
      <c r="W203" s="36"/>
      <c r="X203" s="36"/>
      <c r="Y203" s="36"/>
      <c r="Z203" s="36"/>
      <c r="AA203" s="36"/>
    </row>
    <row r="204" spans="16:27" x14ac:dyDescent="0.2">
      <c r="P204" s="36"/>
      <c r="Q204" s="40"/>
      <c r="R204" s="40"/>
      <c r="S204" s="40"/>
      <c r="T204" s="41"/>
      <c r="U204" s="41"/>
      <c r="V204" s="41"/>
      <c r="W204" s="36"/>
      <c r="X204" s="36"/>
      <c r="Y204" s="36"/>
      <c r="Z204" s="36"/>
      <c r="AA204" s="36"/>
    </row>
    <row r="205" spans="16:27" x14ac:dyDescent="0.2">
      <c r="P205" s="36"/>
      <c r="Q205" s="40"/>
      <c r="R205" s="40"/>
      <c r="S205" s="40"/>
      <c r="T205" s="41"/>
      <c r="U205" s="41"/>
      <c r="V205" s="41"/>
      <c r="W205" s="36"/>
      <c r="X205" s="36"/>
      <c r="Y205" s="36"/>
      <c r="Z205" s="36"/>
      <c r="AA205" s="36"/>
    </row>
    <row r="206" spans="16:27" x14ac:dyDescent="0.2">
      <c r="P206" s="36"/>
      <c r="Q206" s="40"/>
      <c r="R206" s="40"/>
      <c r="S206" s="40"/>
      <c r="T206" s="41"/>
      <c r="U206" s="41"/>
      <c r="V206" s="41"/>
      <c r="W206" s="36"/>
      <c r="X206" s="36"/>
      <c r="Y206" s="36"/>
      <c r="Z206" s="36"/>
      <c r="AA206" s="36"/>
    </row>
    <row r="207" spans="16:27" x14ac:dyDescent="0.2">
      <c r="P207" s="36"/>
      <c r="Q207" s="40"/>
      <c r="R207" s="40"/>
      <c r="S207" s="40"/>
      <c r="T207" s="41"/>
      <c r="U207" s="41"/>
      <c r="V207" s="41"/>
      <c r="W207" s="36"/>
      <c r="X207" s="36"/>
      <c r="Y207" s="36"/>
      <c r="Z207" s="36"/>
      <c r="AA207" s="36"/>
    </row>
    <row r="208" spans="16:27" x14ac:dyDescent="0.2">
      <c r="P208" s="36"/>
      <c r="Q208" s="40"/>
      <c r="R208" s="40"/>
      <c r="S208" s="40"/>
      <c r="T208" s="41"/>
      <c r="U208" s="41"/>
      <c r="V208" s="41"/>
      <c r="W208" s="36"/>
      <c r="X208" s="36"/>
      <c r="Y208" s="36"/>
      <c r="Z208" s="36"/>
      <c r="AA208" s="36"/>
    </row>
    <row r="209" spans="16:27" x14ac:dyDescent="0.2">
      <c r="P209" s="36"/>
      <c r="Q209" s="40"/>
      <c r="R209" s="40"/>
      <c r="S209" s="40"/>
      <c r="T209" s="41"/>
      <c r="U209" s="41"/>
      <c r="V209" s="41"/>
      <c r="W209" s="36"/>
      <c r="X209" s="36"/>
      <c r="Y209" s="36"/>
      <c r="Z209" s="36"/>
      <c r="AA209" s="36"/>
    </row>
    <row r="210" spans="16:27" x14ac:dyDescent="0.2">
      <c r="P210" s="36"/>
      <c r="Q210" s="40"/>
      <c r="R210" s="40"/>
      <c r="S210" s="40"/>
      <c r="T210" s="41"/>
      <c r="U210" s="41"/>
      <c r="V210" s="41"/>
      <c r="W210" s="36"/>
      <c r="X210" s="36"/>
      <c r="Y210" s="36"/>
      <c r="Z210" s="36"/>
      <c r="AA210" s="36"/>
    </row>
    <row r="211" spans="16:27" x14ac:dyDescent="0.2">
      <c r="P211" s="36"/>
      <c r="Q211" s="40"/>
      <c r="R211" s="40"/>
      <c r="S211" s="40"/>
      <c r="T211" s="41"/>
      <c r="U211" s="41"/>
      <c r="V211" s="41"/>
      <c r="W211" s="36"/>
      <c r="X211" s="36"/>
      <c r="Y211" s="36"/>
      <c r="Z211" s="36"/>
      <c r="AA211" s="36"/>
    </row>
    <row r="212" spans="16:27" x14ac:dyDescent="0.2">
      <c r="P212" s="36"/>
      <c r="Q212" s="40"/>
      <c r="R212" s="40"/>
      <c r="S212" s="40"/>
      <c r="T212" s="41"/>
      <c r="U212" s="41"/>
      <c r="V212" s="41"/>
      <c r="W212" s="36"/>
      <c r="X212" s="36"/>
      <c r="Y212" s="36"/>
      <c r="Z212" s="36"/>
      <c r="AA212" s="36"/>
    </row>
    <row r="213" spans="16:27" x14ac:dyDescent="0.2">
      <c r="P213" s="36"/>
      <c r="Q213" s="40"/>
      <c r="R213" s="40"/>
      <c r="S213" s="40"/>
      <c r="T213" s="41"/>
      <c r="U213" s="41"/>
      <c r="V213" s="41"/>
      <c r="W213" s="36"/>
      <c r="X213" s="36"/>
      <c r="Y213" s="36"/>
      <c r="Z213" s="36"/>
      <c r="AA213" s="36"/>
    </row>
    <row r="214" spans="16:27" x14ac:dyDescent="0.2">
      <c r="P214" s="36"/>
      <c r="Q214" s="40"/>
      <c r="R214" s="40"/>
      <c r="S214" s="40"/>
      <c r="T214" s="41"/>
      <c r="U214" s="41"/>
      <c r="V214" s="41"/>
      <c r="W214" s="36"/>
      <c r="X214" s="36"/>
      <c r="Y214" s="36"/>
      <c r="Z214" s="36"/>
      <c r="AA214" s="36"/>
    </row>
    <row r="215" spans="16:27" x14ac:dyDescent="0.2">
      <c r="P215" s="36"/>
      <c r="Q215" s="40"/>
      <c r="R215" s="40"/>
      <c r="S215" s="40"/>
      <c r="T215" s="41"/>
      <c r="U215" s="41"/>
      <c r="V215" s="41"/>
      <c r="W215" s="36"/>
      <c r="X215" s="36"/>
      <c r="Y215" s="36"/>
      <c r="Z215" s="36"/>
      <c r="AA215" s="36"/>
    </row>
    <row r="216" spans="16:27" x14ac:dyDescent="0.2">
      <c r="P216" s="36"/>
      <c r="Q216" s="40"/>
      <c r="R216" s="40"/>
      <c r="S216" s="40"/>
      <c r="T216" s="41"/>
      <c r="U216" s="41"/>
      <c r="V216" s="41"/>
      <c r="W216" s="36"/>
      <c r="X216" s="36"/>
      <c r="Y216" s="36"/>
      <c r="Z216" s="36"/>
      <c r="AA216" s="36"/>
    </row>
    <row r="217" spans="16:27" x14ac:dyDescent="0.2">
      <c r="P217" s="36"/>
      <c r="Q217" s="40"/>
      <c r="R217" s="40"/>
      <c r="S217" s="40"/>
      <c r="T217" s="41"/>
      <c r="U217" s="41"/>
      <c r="V217" s="41"/>
      <c r="W217" s="36"/>
      <c r="X217" s="36"/>
      <c r="Y217" s="36"/>
      <c r="Z217" s="36"/>
      <c r="AA217" s="36"/>
    </row>
    <row r="218" spans="16:27" x14ac:dyDescent="0.2">
      <c r="P218" s="36"/>
      <c r="Q218" s="40"/>
      <c r="R218" s="40"/>
      <c r="S218" s="40"/>
      <c r="T218" s="41"/>
      <c r="U218" s="41"/>
      <c r="V218" s="41"/>
      <c r="W218" s="36"/>
      <c r="X218" s="36"/>
      <c r="Y218" s="36"/>
      <c r="Z218" s="36"/>
      <c r="AA218" s="36"/>
    </row>
    <row r="219" spans="16:27" x14ac:dyDescent="0.2">
      <c r="P219" s="36"/>
      <c r="Q219" s="40"/>
      <c r="R219" s="40"/>
      <c r="S219" s="40"/>
      <c r="T219" s="41"/>
      <c r="U219" s="41"/>
      <c r="V219" s="41"/>
      <c r="W219" s="36"/>
      <c r="X219" s="36"/>
      <c r="Y219" s="36"/>
      <c r="Z219" s="36"/>
      <c r="AA219" s="36"/>
    </row>
    <row r="220" spans="16:27" x14ac:dyDescent="0.2">
      <c r="P220" s="36"/>
      <c r="Q220" s="40"/>
      <c r="R220" s="40"/>
      <c r="S220" s="40"/>
      <c r="T220" s="41"/>
      <c r="U220" s="41"/>
      <c r="V220" s="41"/>
      <c r="W220" s="36"/>
      <c r="X220" s="36"/>
      <c r="Y220" s="36"/>
      <c r="Z220" s="36"/>
      <c r="AA220" s="36"/>
    </row>
    <row r="221" spans="16:27" x14ac:dyDescent="0.2">
      <c r="P221" s="36"/>
      <c r="Q221" s="40"/>
      <c r="R221" s="40"/>
      <c r="S221" s="40"/>
      <c r="T221" s="41"/>
      <c r="U221" s="41"/>
      <c r="V221" s="41"/>
      <c r="W221" s="36"/>
      <c r="X221" s="36"/>
      <c r="Y221" s="36"/>
      <c r="Z221" s="36"/>
      <c r="AA221" s="36"/>
    </row>
    <row r="222" spans="16:27" x14ac:dyDescent="0.2">
      <c r="P222" s="36"/>
      <c r="Q222" s="40"/>
      <c r="R222" s="40"/>
      <c r="S222" s="40"/>
      <c r="T222" s="41"/>
      <c r="U222" s="41"/>
      <c r="V222" s="41"/>
      <c r="W222" s="36"/>
      <c r="X222" s="36"/>
      <c r="Y222" s="36"/>
      <c r="Z222" s="36"/>
      <c r="AA222" s="36"/>
    </row>
    <row r="223" spans="16:27" x14ac:dyDescent="0.2">
      <c r="P223" s="36"/>
      <c r="Q223" s="40"/>
      <c r="R223" s="40"/>
      <c r="S223" s="40"/>
      <c r="T223" s="41"/>
      <c r="U223" s="41"/>
      <c r="V223" s="41"/>
      <c r="W223" s="36"/>
      <c r="X223" s="36"/>
      <c r="Y223" s="36"/>
      <c r="Z223" s="36"/>
      <c r="AA223" s="36"/>
    </row>
    <row r="224" spans="16:27" x14ac:dyDescent="0.2">
      <c r="P224" s="36"/>
      <c r="Q224" s="40"/>
      <c r="R224" s="40"/>
      <c r="S224" s="40"/>
      <c r="T224" s="41"/>
      <c r="U224" s="41"/>
      <c r="V224" s="41"/>
      <c r="W224" s="36"/>
      <c r="X224" s="36"/>
      <c r="Y224" s="36"/>
      <c r="Z224" s="36"/>
      <c r="AA224" s="36"/>
    </row>
    <row r="225" spans="16:27" x14ac:dyDescent="0.2">
      <c r="P225" s="36"/>
      <c r="Q225" s="40"/>
      <c r="R225" s="40"/>
      <c r="S225" s="40"/>
      <c r="T225" s="41"/>
      <c r="U225" s="41"/>
      <c r="V225" s="41"/>
      <c r="W225" s="36"/>
      <c r="X225" s="36"/>
      <c r="Y225" s="36"/>
      <c r="Z225" s="36"/>
      <c r="AA225" s="36"/>
    </row>
    <row r="226" spans="16:27" x14ac:dyDescent="0.2">
      <c r="P226" s="36"/>
      <c r="Q226" s="40"/>
      <c r="R226" s="40"/>
      <c r="S226" s="40"/>
      <c r="T226" s="41"/>
      <c r="U226" s="41"/>
      <c r="V226" s="41"/>
      <c r="W226" s="36"/>
      <c r="X226" s="36"/>
      <c r="Y226" s="36"/>
      <c r="Z226" s="36"/>
      <c r="AA226" s="36"/>
    </row>
    <row r="227" spans="16:27" x14ac:dyDescent="0.2">
      <c r="P227" s="36"/>
      <c r="Q227" s="40"/>
      <c r="R227" s="40"/>
      <c r="S227" s="40"/>
      <c r="T227" s="41"/>
      <c r="U227" s="41"/>
      <c r="V227" s="41"/>
      <c r="W227" s="36"/>
      <c r="X227" s="36"/>
      <c r="Y227" s="36"/>
      <c r="Z227" s="36"/>
      <c r="AA227" s="36"/>
    </row>
    <row r="228" spans="16:27" x14ac:dyDescent="0.2">
      <c r="P228" s="36"/>
      <c r="Q228" s="40"/>
      <c r="R228" s="40"/>
      <c r="S228" s="40"/>
      <c r="T228" s="41"/>
      <c r="U228" s="41"/>
      <c r="V228" s="41"/>
      <c r="W228" s="36"/>
      <c r="X228" s="36"/>
      <c r="Y228" s="36"/>
      <c r="Z228" s="36"/>
      <c r="AA228" s="36"/>
    </row>
    <row r="229" spans="16:27" x14ac:dyDescent="0.2">
      <c r="P229" s="36"/>
      <c r="Q229" s="40"/>
      <c r="R229" s="40"/>
      <c r="S229" s="40"/>
      <c r="T229" s="41"/>
      <c r="U229" s="41"/>
      <c r="V229" s="41"/>
      <c r="W229" s="36"/>
      <c r="X229" s="36"/>
      <c r="Y229" s="36"/>
      <c r="Z229" s="36"/>
      <c r="AA229" s="36"/>
    </row>
    <row r="230" spans="16:27" x14ac:dyDescent="0.2">
      <c r="P230" s="36"/>
      <c r="Q230" s="40"/>
      <c r="R230" s="40"/>
      <c r="S230" s="40"/>
      <c r="T230" s="41"/>
      <c r="U230" s="41"/>
      <c r="V230" s="41"/>
      <c r="W230" s="36"/>
      <c r="X230" s="36"/>
      <c r="Y230" s="36"/>
      <c r="Z230" s="36"/>
      <c r="AA230" s="36"/>
    </row>
    <row r="231" spans="16:27" x14ac:dyDescent="0.2">
      <c r="P231" s="36"/>
      <c r="Q231" s="40"/>
      <c r="R231" s="40"/>
      <c r="S231" s="40"/>
      <c r="T231" s="41"/>
      <c r="U231" s="41"/>
      <c r="V231" s="41"/>
      <c r="W231" s="36"/>
      <c r="X231" s="36"/>
      <c r="Y231" s="36"/>
      <c r="Z231" s="36"/>
      <c r="AA231" s="36"/>
    </row>
    <row r="232" spans="16:27" x14ac:dyDescent="0.2">
      <c r="P232" s="36"/>
      <c r="Q232" s="40"/>
      <c r="R232" s="40"/>
      <c r="S232" s="40"/>
      <c r="T232" s="41"/>
      <c r="U232" s="41"/>
      <c r="V232" s="41"/>
      <c r="W232" s="36"/>
      <c r="X232" s="36"/>
      <c r="Y232" s="36"/>
      <c r="Z232" s="36"/>
      <c r="AA232" s="36"/>
    </row>
    <row r="233" spans="16:27" x14ac:dyDescent="0.2">
      <c r="P233" s="36"/>
      <c r="Q233" s="40"/>
      <c r="R233" s="40"/>
      <c r="S233" s="40"/>
      <c r="T233" s="41"/>
      <c r="U233" s="41"/>
      <c r="V233" s="41"/>
      <c r="W233" s="36"/>
      <c r="X233" s="36"/>
      <c r="Y233" s="36"/>
      <c r="Z233" s="36"/>
      <c r="AA233" s="36"/>
    </row>
    <row r="234" spans="16:27" x14ac:dyDescent="0.2">
      <c r="P234" s="36"/>
      <c r="Q234" s="40"/>
      <c r="R234" s="40"/>
      <c r="S234" s="40"/>
      <c r="T234" s="41"/>
      <c r="U234" s="41"/>
      <c r="V234" s="41"/>
      <c r="W234" s="36"/>
      <c r="X234" s="36"/>
      <c r="Y234" s="36"/>
      <c r="Z234" s="36"/>
      <c r="AA234" s="36"/>
    </row>
    <row r="235" spans="16:27" x14ac:dyDescent="0.2">
      <c r="P235" s="36"/>
      <c r="Q235" s="40"/>
      <c r="R235" s="40"/>
      <c r="S235" s="40"/>
      <c r="T235" s="41"/>
      <c r="U235" s="41"/>
      <c r="V235" s="41"/>
      <c r="W235" s="36"/>
      <c r="X235" s="36"/>
      <c r="Y235" s="36"/>
      <c r="Z235" s="36"/>
      <c r="AA235" s="36"/>
    </row>
    <row r="236" spans="16:27" x14ac:dyDescent="0.2">
      <c r="P236" s="36"/>
      <c r="Q236" s="40"/>
      <c r="R236" s="40"/>
      <c r="S236" s="40"/>
      <c r="T236" s="41"/>
      <c r="U236" s="41"/>
      <c r="V236" s="41"/>
      <c r="W236" s="36"/>
      <c r="X236" s="36"/>
      <c r="Y236" s="36"/>
      <c r="Z236" s="36"/>
      <c r="AA236" s="36"/>
    </row>
    <row r="237" spans="16:27" x14ac:dyDescent="0.2">
      <c r="P237" s="36"/>
      <c r="Q237" s="40"/>
      <c r="R237" s="40"/>
      <c r="S237" s="40"/>
      <c r="T237" s="41"/>
      <c r="U237" s="41"/>
      <c r="V237" s="41"/>
      <c r="W237" s="36"/>
      <c r="X237" s="36"/>
      <c r="Y237" s="36"/>
      <c r="Z237" s="36"/>
      <c r="AA237" s="36"/>
    </row>
    <row r="238" spans="16:27" x14ac:dyDescent="0.2">
      <c r="P238" s="36"/>
      <c r="Q238" s="40"/>
      <c r="R238" s="40"/>
      <c r="S238" s="40"/>
      <c r="T238" s="41"/>
      <c r="U238" s="41"/>
      <c r="V238" s="41"/>
      <c r="W238" s="36"/>
      <c r="X238" s="36"/>
      <c r="Y238" s="36"/>
      <c r="Z238" s="36"/>
      <c r="AA238" s="36"/>
    </row>
    <row r="239" spans="16:27" x14ac:dyDescent="0.2">
      <c r="P239" s="36"/>
      <c r="Q239" s="40"/>
      <c r="R239" s="40"/>
      <c r="S239" s="40"/>
      <c r="T239" s="41"/>
      <c r="U239" s="41"/>
      <c r="V239" s="41"/>
      <c r="W239" s="36"/>
      <c r="X239" s="36"/>
      <c r="Y239" s="36"/>
      <c r="Z239" s="36"/>
      <c r="AA239" s="36"/>
    </row>
    <row r="240" spans="16:27" x14ac:dyDescent="0.2">
      <c r="P240" s="36"/>
      <c r="Q240" s="40"/>
      <c r="R240" s="40"/>
      <c r="S240" s="40"/>
      <c r="T240" s="41"/>
      <c r="U240" s="41"/>
      <c r="V240" s="41"/>
      <c r="W240" s="36"/>
      <c r="X240" s="36"/>
      <c r="Y240" s="36"/>
      <c r="Z240" s="36"/>
      <c r="AA240" s="36"/>
    </row>
    <row r="241" spans="16:27" x14ac:dyDescent="0.2">
      <c r="P241" s="36"/>
      <c r="Q241" s="40"/>
      <c r="R241" s="40"/>
      <c r="S241" s="40"/>
      <c r="T241" s="41"/>
      <c r="U241" s="41"/>
      <c r="V241" s="41"/>
      <c r="W241" s="36"/>
      <c r="X241" s="36"/>
      <c r="Y241" s="36"/>
      <c r="Z241" s="36"/>
      <c r="AA241" s="36"/>
    </row>
    <row r="242" spans="16:27" x14ac:dyDescent="0.2">
      <c r="P242" s="36"/>
      <c r="Q242" s="40"/>
      <c r="R242" s="40"/>
      <c r="S242" s="40"/>
      <c r="T242" s="41"/>
      <c r="U242" s="41"/>
      <c r="V242" s="41"/>
      <c r="W242" s="36"/>
      <c r="X242" s="36"/>
      <c r="Y242" s="36"/>
      <c r="Z242" s="36"/>
      <c r="AA242" s="36"/>
    </row>
    <row r="243" spans="16:27" x14ac:dyDescent="0.2">
      <c r="P243" s="36"/>
      <c r="Q243" s="40"/>
      <c r="R243" s="40"/>
      <c r="S243" s="40"/>
      <c r="T243" s="41"/>
      <c r="U243" s="41"/>
      <c r="V243" s="41"/>
      <c r="W243" s="36"/>
      <c r="X243" s="36"/>
      <c r="Y243" s="36"/>
      <c r="Z243" s="36"/>
      <c r="AA243" s="36"/>
    </row>
    <row r="244" spans="16:27" x14ac:dyDescent="0.2">
      <c r="P244" s="36"/>
      <c r="Q244" s="40"/>
      <c r="R244" s="40"/>
      <c r="S244" s="40"/>
      <c r="T244" s="41"/>
      <c r="U244" s="41"/>
      <c r="V244" s="41"/>
      <c r="W244" s="36"/>
      <c r="X244" s="36"/>
      <c r="Y244" s="36"/>
      <c r="Z244" s="36"/>
      <c r="AA244" s="36"/>
    </row>
    <row r="245" spans="16:27" x14ac:dyDescent="0.2">
      <c r="P245" s="36"/>
      <c r="Q245" s="40"/>
      <c r="R245" s="40"/>
      <c r="S245" s="40"/>
      <c r="T245" s="41"/>
      <c r="U245" s="41"/>
      <c r="V245" s="41"/>
      <c r="W245" s="36"/>
      <c r="X245" s="36"/>
      <c r="Y245" s="36"/>
      <c r="Z245" s="36"/>
      <c r="AA245" s="36"/>
    </row>
    <row r="246" spans="16:27" x14ac:dyDescent="0.2">
      <c r="P246" s="36"/>
      <c r="Q246" s="40"/>
      <c r="R246" s="40"/>
      <c r="S246" s="40"/>
      <c r="T246" s="41"/>
      <c r="U246" s="41"/>
      <c r="V246" s="41"/>
      <c r="W246" s="36"/>
      <c r="X246" s="36"/>
      <c r="Y246" s="36"/>
      <c r="Z246" s="36"/>
      <c r="AA246" s="36"/>
    </row>
    <row r="247" spans="16:27" x14ac:dyDescent="0.2">
      <c r="P247" s="36"/>
      <c r="Q247" s="40"/>
      <c r="R247" s="40"/>
      <c r="S247" s="40"/>
      <c r="T247" s="41"/>
      <c r="U247" s="41"/>
      <c r="V247" s="41"/>
      <c r="W247" s="36"/>
      <c r="X247" s="36"/>
      <c r="Y247" s="36"/>
      <c r="Z247" s="36"/>
      <c r="AA247" s="36"/>
    </row>
    <row r="248" spans="16:27" x14ac:dyDescent="0.2">
      <c r="P248" s="36"/>
      <c r="Q248" s="40"/>
      <c r="R248" s="40"/>
      <c r="S248" s="40"/>
      <c r="T248" s="41"/>
      <c r="U248" s="41"/>
      <c r="V248" s="41"/>
      <c r="W248" s="36"/>
      <c r="X248" s="36"/>
      <c r="Y248" s="36"/>
      <c r="Z248" s="36"/>
      <c r="AA248" s="36"/>
    </row>
    <row r="249" spans="16:27" x14ac:dyDescent="0.2">
      <c r="P249" s="36"/>
      <c r="Q249" s="40"/>
      <c r="R249" s="40"/>
      <c r="S249" s="40"/>
      <c r="T249" s="41"/>
      <c r="U249" s="41"/>
      <c r="V249" s="41"/>
      <c r="W249" s="36"/>
      <c r="X249" s="36"/>
      <c r="Y249" s="36"/>
      <c r="Z249" s="36"/>
      <c r="AA249" s="36"/>
    </row>
    <row r="250" spans="16:27" x14ac:dyDescent="0.2">
      <c r="P250" s="36"/>
      <c r="Q250" s="40"/>
      <c r="R250" s="40"/>
      <c r="S250" s="40"/>
      <c r="T250" s="41"/>
      <c r="U250" s="41"/>
      <c r="V250" s="41"/>
      <c r="W250" s="36"/>
      <c r="X250" s="36"/>
      <c r="Y250" s="36"/>
      <c r="Z250" s="36"/>
      <c r="AA250" s="36"/>
    </row>
    <row r="251" spans="16:27" x14ac:dyDescent="0.2">
      <c r="P251" s="36"/>
      <c r="Q251" s="40"/>
      <c r="R251" s="40"/>
      <c r="S251" s="40"/>
      <c r="T251" s="41"/>
      <c r="U251" s="41"/>
      <c r="V251" s="41"/>
      <c r="W251" s="36"/>
      <c r="X251" s="36"/>
      <c r="Y251" s="36"/>
      <c r="Z251" s="36"/>
      <c r="AA251" s="36"/>
    </row>
    <row r="252" spans="16:27" x14ac:dyDescent="0.2">
      <c r="P252" s="36"/>
      <c r="Q252" s="40"/>
      <c r="R252" s="40"/>
      <c r="S252" s="40"/>
      <c r="T252" s="41"/>
      <c r="U252" s="41"/>
      <c r="V252" s="41"/>
      <c r="W252" s="36"/>
      <c r="X252" s="36"/>
      <c r="Y252" s="36"/>
      <c r="Z252" s="36"/>
      <c r="AA252" s="36"/>
    </row>
    <row r="253" spans="16:27" x14ac:dyDescent="0.2">
      <c r="P253" s="36"/>
      <c r="Q253" s="40"/>
      <c r="R253" s="40"/>
      <c r="S253" s="40"/>
      <c r="T253" s="41"/>
      <c r="U253" s="41"/>
      <c r="V253" s="41"/>
      <c r="W253" s="36"/>
      <c r="X253" s="36"/>
      <c r="Y253" s="36"/>
      <c r="Z253" s="36"/>
      <c r="AA253" s="36"/>
    </row>
    <row r="254" spans="16:27" x14ac:dyDescent="0.2">
      <c r="P254" s="36"/>
      <c r="Q254" s="40"/>
      <c r="R254" s="40"/>
      <c r="S254" s="40"/>
      <c r="T254" s="41"/>
      <c r="U254" s="41"/>
      <c r="V254" s="41"/>
      <c r="W254" s="36"/>
      <c r="X254" s="36"/>
      <c r="Y254" s="36"/>
      <c r="Z254" s="36"/>
      <c r="AA254" s="36"/>
    </row>
    <row r="255" spans="16:27" x14ac:dyDescent="0.2">
      <c r="P255" s="36"/>
      <c r="Q255" s="40"/>
      <c r="R255" s="40"/>
      <c r="S255" s="40"/>
      <c r="T255" s="41"/>
      <c r="U255" s="41"/>
      <c r="V255" s="41"/>
      <c r="W255" s="36"/>
      <c r="X255" s="36"/>
      <c r="Y255" s="36"/>
      <c r="Z255" s="36"/>
      <c r="AA255" s="36"/>
    </row>
    <row r="256" spans="16:27" x14ac:dyDescent="0.2">
      <c r="P256" s="36"/>
      <c r="Q256" s="40"/>
      <c r="R256" s="40"/>
      <c r="S256" s="40"/>
      <c r="T256" s="41"/>
      <c r="U256" s="41"/>
      <c r="V256" s="41"/>
      <c r="W256" s="36"/>
      <c r="X256" s="36"/>
      <c r="Y256" s="36"/>
      <c r="Z256" s="36"/>
      <c r="AA256" s="36"/>
    </row>
    <row r="257" spans="16:27" x14ac:dyDescent="0.2">
      <c r="P257" s="36"/>
      <c r="Q257" s="40"/>
      <c r="R257" s="40"/>
      <c r="S257" s="40"/>
      <c r="T257" s="41"/>
      <c r="U257" s="41"/>
      <c r="V257" s="41"/>
      <c r="W257" s="36"/>
      <c r="X257" s="36"/>
      <c r="Y257" s="36"/>
      <c r="Z257" s="36"/>
      <c r="AA257" s="36"/>
    </row>
    <row r="258" spans="16:27" x14ac:dyDescent="0.2">
      <c r="P258" s="36"/>
      <c r="Q258" s="40"/>
      <c r="R258" s="40"/>
      <c r="S258" s="40"/>
      <c r="T258" s="41"/>
      <c r="U258" s="41"/>
      <c r="V258" s="41"/>
      <c r="W258" s="36"/>
      <c r="X258" s="36"/>
      <c r="Y258" s="36"/>
      <c r="Z258" s="36"/>
      <c r="AA258" s="36"/>
    </row>
    <row r="259" spans="16:27" x14ac:dyDescent="0.2">
      <c r="P259" s="36"/>
      <c r="Q259" s="40"/>
      <c r="R259" s="40"/>
      <c r="S259" s="40"/>
      <c r="T259" s="41"/>
      <c r="U259" s="41"/>
      <c r="V259" s="41"/>
      <c r="W259" s="36"/>
      <c r="X259" s="36"/>
      <c r="Y259" s="36"/>
      <c r="Z259" s="36"/>
      <c r="AA259" s="36"/>
    </row>
    <row r="260" spans="16:27" x14ac:dyDescent="0.2">
      <c r="P260" s="36"/>
      <c r="Q260" s="40"/>
      <c r="R260" s="40"/>
      <c r="S260" s="40"/>
      <c r="T260" s="41"/>
      <c r="U260" s="41"/>
      <c r="V260" s="41"/>
      <c r="W260" s="36"/>
      <c r="X260" s="36"/>
      <c r="Y260" s="36"/>
      <c r="Z260" s="36"/>
      <c r="AA260" s="36"/>
    </row>
    <row r="261" spans="16:27" x14ac:dyDescent="0.2">
      <c r="P261" s="36"/>
      <c r="Q261" s="40"/>
      <c r="R261" s="40"/>
      <c r="S261" s="40"/>
      <c r="T261" s="41"/>
      <c r="U261" s="41"/>
      <c r="V261" s="41"/>
      <c r="W261" s="36"/>
      <c r="X261" s="36"/>
      <c r="Y261" s="36"/>
      <c r="Z261" s="36"/>
      <c r="AA261" s="36"/>
    </row>
    <row r="262" spans="16:27" x14ac:dyDescent="0.2">
      <c r="P262" s="36"/>
      <c r="Q262" s="40"/>
      <c r="R262" s="40"/>
      <c r="S262" s="40"/>
      <c r="T262" s="41"/>
      <c r="U262" s="41"/>
      <c r="V262" s="41"/>
      <c r="W262" s="36"/>
      <c r="X262" s="36"/>
      <c r="Y262" s="36"/>
      <c r="Z262" s="36"/>
      <c r="AA262" s="36"/>
    </row>
    <row r="263" spans="16:27" x14ac:dyDescent="0.2">
      <c r="P263" s="36"/>
      <c r="Q263" s="40"/>
      <c r="R263" s="40"/>
      <c r="S263" s="40"/>
      <c r="T263" s="41"/>
      <c r="U263" s="41"/>
      <c r="V263" s="41"/>
      <c r="W263" s="36"/>
      <c r="X263" s="36"/>
      <c r="Y263" s="36"/>
      <c r="Z263" s="36"/>
      <c r="AA263" s="36"/>
    </row>
    <row r="264" spans="16:27" x14ac:dyDescent="0.2">
      <c r="P264" s="36"/>
      <c r="Q264" s="40"/>
      <c r="R264" s="40"/>
      <c r="S264" s="40"/>
      <c r="T264" s="41"/>
      <c r="U264" s="41"/>
      <c r="V264" s="41"/>
      <c r="W264" s="36"/>
      <c r="X264" s="36"/>
      <c r="Y264" s="36"/>
      <c r="Z264" s="36"/>
      <c r="AA264" s="36"/>
    </row>
    <row r="265" spans="16:27" x14ac:dyDescent="0.2">
      <c r="P265" s="36"/>
      <c r="Q265" s="40"/>
      <c r="R265" s="40"/>
      <c r="S265" s="40"/>
      <c r="T265" s="41"/>
      <c r="U265" s="41"/>
      <c r="V265" s="41"/>
      <c r="W265" s="36"/>
      <c r="X265" s="36"/>
      <c r="Y265" s="36"/>
      <c r="Z265" s="36"/>
      <c r="AA265" s="36"/>
    </row>
    <row r="266" spans="16:27" x14ac:dyDescent="0.2">
      <c r="P266" s="36"/>
      <c r="Q266" s="40"/>
      <c r="R266" s="40"/>
      <c r="S266" s="40"/>
      <c r="T266" s="41"/>
      <c r="U266" s="41"/>
      <c r="V266" s="41"/>
      <c r="W266" s="36"/>
      <c r="X266" s="36"/>
      <c r="Y266" s="36"/>
      <c r="Z266" s="36"/>
      <c r="AA266" s="36"/>
    </row>
    <row r="267" spans="16:27" x14ac:dyDescent="0.2">
      <c r="P267" s="36"/>
      <c r="Q267" s="40"/>
      <c r="R267" s="40"/>
      <c r="S267" s="40"/>
      <c r="T267" s="41"/>
      <c r="U267" s="41"/>
      <c r="V267" s="41"/>
      <c r="W267" s="36"/>
      <c r="X267" s="36"/>
      <c r="Y267" s="36"/>
      <c r="Z267" s="36"/>
      <c r="AA267" s="36"/>
    </row>
    <row r="268" spans="16:27" x14ac:dyDescent="0.2">
      <c r="P268" s="36"/>
      <c r="Q268" s="40"/>
      <c r="R268" s="40"/>
      <c r="S268" s="40"/>
      <c r="T268" s="41"/>
      <c r="U268" s="41"/>
      <c r="V268" s="41"/>
      <c r="W268" s="36"/>
      <c r="X268" s="36"/>
      <c r="Y268" s="36"/>
      <c r="Z268" s="36"/>
      <c r="AA268" s="36"/>
    </row>
    <row r="269" spans="16:27" x14ac:dyDescent="0.2">
      <c r="P269" s="36"/>
      <c r="Q269" s="40"/>
      <c r="R269" s="40"/>
      <c r="S269" s="40"/>
      <c r="T269" s="41"/>
      <c r="U269" s="41"/>
      <c r="V269" s="41"/>
      <c r="W269" s="36"/>
      <c r="X269" s="36"/>
      <c r="Y269" s="36"/>
      <c r="Z269" s="36"/>
      <c r="AA269" s="36"/>
    </row>
    <row r="270" spans="16:27" x14ac:dyDescent="0.2">
      <c r="P270" s="36"/>
      <c r="Q270" s="40"/>
      <c r="R270" s="40"/>
      <c r="S270" s="40"/>
      <c r="T270" s="41"/>
      <c r="U270" s="41"/>
      <c r="V270" s="41"/>
      <c r="W270" s="36"/>
      <c r="X270" s="36"/>
      <c r="Y270" s="36"/>
      <c r="Z270" s="36"/>
      <c r="AA270" s="36"/>
    </row>
    <row r="271" spans="16:27" x14ac:dyDescent="0.2">
      <c r="P271" s="36"/>
      <c r="Q271" s="40"/>
      <c r="R271" s="40"/>
      <c r="S271" s="40"/>
      <c r="T271" s="41"/>
      <c r="U271" s="41"/>
      <c r="V271" s="41"/>
      <c r="W271" s="36"/>
      <c r="X271" s="36"/>
      <c r="Y271" s="36"/>
      <c r="Z271" s="36"/>
      <c r="AA271" s="36"/>
    </row>
    <row r="272" spans="16:27" x14ac:dyDescent="0.2">
      <c r="P272" s="36"/>
      <c r="Q272" s="40"/>
      <c r="R272" s="40"/>
      <c r="S272" s="40"/>
      <c r="T272" s="41"/>
      <c r="U272" s="41"/>
      <c r="V272" s="41"/>
      <c r="W272" s="36"/>
      <c r="X272" s="36"/>
      <c r="Y272" s="36"/>
      <c r="Z272" s="36"/>
      <c r="AA272" s="36"/>
    </row>
    <row r="273" spans="16:27" x14ac:dyDescent="0.2">
      <c r="P273" s="36"/>
      <c r="Q273" s="40"/>
      <c r="R273" s="40"/>
      <c r="S273" s="40"/>
      <c r="T273" s="41"/>
      <c r="U273" s="41"/>
      <c r="V273" s="41"/>
      <c r="W273" s="36"/>
      <c r="X273" s="36"/>
      <c r="Y273" s="36"/>
      <c r="Z273" s="36"/>
      <c r="AA273" s="36"/>
    </row>
    <row r="274" spans="16:27" x14ac:dyDescent="0.2">
      <c r="P274" s="36"/>
      <c r="Q274" s="40"/>
      <c r="R274" s="40"/>
      <c r="S274" s="40"/>
      <c r="T274" s="41"/>
      <c r="U274" s="41"/>
      <c r="V274" s="41"/>
      <c r="W274" s="36"/>
      <c r="X274" s="36"/>
      <c r="Y274" s="36"/>
      <c r="Z274" s="36"/>
      <c r="AA274" s="36"/>
    </row>
    <row r="275" spans="16:27" x14ac:dyDescent="0.2">
      <c r="P275" s="36"/>
      <c r="Q275" s="40"/>
      <c r="R275" s="40"/>
      <c r="S275" s="40"/>
      <c r="T275" s="41"/>
      <c r="U275" s="41"/>
      <c r="V275" s="41"/>
      <c r="W275" s="36"/>
      <c r="X275" s="36"/>
      <c r="Y275" s="36"/>
      <c r="Z275" s="36"/>
      <c r="AA275" s="36"/>
    </row>
    <row r="276" spans="16:27" x14ac:dyDescent="0.2">
      <c r="P276" s="36"/>
      <c r="Q276" s="40"/>
      <c r="R276" s="40"/>
      <c r="S276" s="40"/>
      <c r="T276" s="41"/>
      <c r="U276" s="41"/>
      <c r="V276" s="41"/>
      <c r="W276" s="36"/>
      <c r="X276" s="36"/>
      <c r="Y276" s="36"/>
      <c r="Z276" s="36"/>
      <c r="AA276" s="36"/>
    </row>
    <row r="277" spans="16:27" x14ac:dyDescent="0.2">
      <c r="P277" s="36"/>
      <c r="Q277" s="40"/>
      <c r="R277" s="40"/>
      <c r="S277" s="40"/>
      <c r="T277" s="41"/>
      <c r="U277" s="41"/>
      <c r="V277" s="41"/>
      <c r="W277" s="36"/>
      <c r="X277" s="36"/>
      <c r="Y277" s="36"/>
      <c r="Z277" s="36"/>
      <c r="AA277" s="36"/>
    </row>
    <row r="278" spans="16:27" x14ac:dyDescent="0.2">
      <c r="P278" s="36"/>
      <c r="Q278" s="40"/>
      <c r="R278" s="40"/>
      <c r="S278" s="40"/>
      <c r="T278" s="41"/>
      <c r="U278" s="41"/>
      <c r="V278" s="41"/>
      <c r="W278" s="36"/>
      <c r="X278" s="36"/>
      <c r="Y278" s="36"/>
      <c r="Z278" s="36"/>
      <c r="AA278" s="36"/>
    </row>
    <row r="279" spans="16:27" x14ac:dyDescent="0.2">
      <c r="P279" s="36"/>
      <c r="Q279" s="40"/>
      <c r="R279" s="40"/>
      <c r="S279" s="40"/>
      <c r="T279" s="41"/>
      <c r="U279" s="41"/>
      <c r="V279" s="41"/>
      <c r="W279" s="36"/>
      <c r="X279" s="36"/>
      <c r="Y279" s="36"/>
      <c r="Z279" s="36"/>
      <c r="AA279" s="36"/>
    </row>
    <row r="280" spans="16:27" x14ac:dyDescent="0.2">
      <c r="P280" s="36"/>
      <c r="Q280" s="40"/>
      <c r="R280" s="40"/>
      <c r="S280" s="40"/>
      <c r="T280" s="41"/>
      <c r="U280" s="41"/>
      <c r="V280" s="41"/>
      <c r="W280" s="36"/>
      <c r="X280" s="36"/>
      <c r="Y280" s="36"/>
      <c r="Z280" s="36"/>
      <c r="AA280" s="36"/>
    </row>
    <row r="281" spans="16:27" x14ac:dyDescent="0.2">
      <c r="P281" s="36"/>
      <c r="Q281" s="40"/>
      <c r="R281" s="40"/>
      <c r="S281" s="40"/>
      <c r="T281" s="41"/>
      <c r="U281" s="41"/>
      <c r="V281" s="41"/>
      <c r="W281" s="36"/>
      <c r="X281" s="36"/>
      <c r="Y281" s="36"/>
      <c r="Z281" s="36"/>
      <c r="AA281" s="36"/>
    </row>
    <row r="282" spans="16:27" x14ac:dyDescent="0.2">
      <c r="P282" s="36"/>
      <c r="Q282" s="40"/>
      <c r="R282" s="40"/>
      <c r="S282" s="40"/>
      <c r="T282" s="41"/>
      <c r="U282" s="41"/>
      <c r="V282" s="41"/>
      <c r="W282" s="36"/>
      <c r="X282" s="36"/>
      <c r="Y282" s="36"/>
      <c r="Z282" s="36"/>
      <c r="AA282" s="36"/>
    </row>
    <row r="283" spans="16:27" x14ac:dyDescent="0.2">
      <c r="P283" s="36"/>
      <c r="Q283" s="40"/>
      <c r="R283" s="40"/>
      <c r="S283" s="40"/>
      <c r="T283" s="41"/>
      <c r="U283" s="41"/>
      <c r="V283" s="41"/>
      <c r="W283" s="36"/>
      <c r="X283" s="36"/>
      <c r="Y283" s="36"/>
      <c r="Z283" s="36"/>
      <c r="AA283" s="36"/>
    </row>
    <row r="284" spans="16:27" x14ac:dyDescent="0.2">
      <c r="P284" s="36"/>
      <c r="Q284" s="40"/>
      <c r="R284" s="40"/>
      <c r="S284" s="40"/>
      <c r="T284" s="41"/>
      <c r="U284" s="41"/>
      <c r="V284" s="41"/>
      <c r="W284" s="36"/>
      <c r="X284" s="36"/>
      <c r="Y284" s="36"/>
      <c r="Z284" s="36"/>
      <c r="AA284" s="36"/>
    </row>
    <row r="285" spans="16:27" x14ac:dyDescent="0.2">
      <c r="P285" s="36"/>
      <c r="Q285" s="40"/>
      <c r="R285" s="40"/>
      <c r="S285" s="40"/>
      <c r="T285" s="41"/>
      <c r="U285" s="41"/>
      <c r="V285" s="41"/>
      <c r="W285" s="36"/>
      <c r="X285" s="36"/>
      <c r="Y285" s="36"/>
      <c r="Z285" s="36"/>
      <c r="AA285" s="36"/>
    </row>
    <row r="286" spans="16:27" x14ac:dyDescent="0.2">
      <c r="P286" s="36"/>
      <c r="Q286" s="40"/>
      <c r="R286" s="40"/>
      <c r="S286" s="40"/>
      <c r="T286" s="41"/>
      <c r="U286" s="41"/>
      <c r="V286" s="41"/>
      <c r="W286" s="36"/>
      <c r="X286" s="36"/>
      <c r="Y286" s="36"/>
      <c r="Z286" s="36"/>
      <c r="AA286" s="36"/>
    </row>
    <row r="287" spans="16:27" x14ac:dyDescent="0.2">
      <c r="P287" s="36"/>
      <c r="Q287" s="40"/>
      <c r="R287" s="40"/>
      <c r="S287" s="40"/>
      <c r="T287" s="41"/>
      <c r="U287" s="41"/>
      <c r="V287" s="41"/>
      <c r="W287" s="36"/>
      <c r="X287" s="36"/>
      <c r="Y287" s="36"/>
      <c r="Z287" s="36"/>
      <c r="AA287" s="36"/>
    </row>
    <row r="288" spans="16:27" x14ac:dyDescent="0.2">
      <c r="P288" s="36"/>
      <c r="Q288" s="40"/>
      <c r="R288" s="40"/>
      <c r="S288" s="40"/>
      <c r="T288" s="41"/>
      <c r="U288" s="41"/>
      <c r="V288" s="41"/>
      <c r="W288" s="36"/>
      <c r="X288" s="36"/>
      <c r="Y288" s="36"/>
      <c r="Z288" s="36"/>
      <c r="AA288" s="36"/>
    </row>
    <row r="289" spans="16:27" x14ac:dyDescent="0.2">
      <c r="P289" s="36"/>
      <c r="Q289" s="40"/>
      <c r="R289" s="40"/>
      <c r="S289" s="40"/>
      <c r="T289" s="41"/>
      <c r="U289" s="41"/>
      <c r="V289" s="41"/>
      <c r="W289" s="36"/>
      <c r="X289" s="36"/>
      <c r="Y289" s="36"/>
      <c r="Z289" s="36"/>
      <c r="AA289" s="36"/>
    </row>
    <row r="290" spans="16:27" x14ac:dyDescent="0.2">
      <c r="P290" s="36"/>
      <c r="Q290" s="40"/>
      <c r="R290" s="40"/>
      <c r="S290" s="40"/>
      <c r="T290" s="41"/>
      <c r="U290" s="41"/>
      <c r="V290" s="41"/>
      <c r="W290" s="36"/>
      <c r="X290" s="36"/>
      <c r="Y290" s="36"/>
      <c r="Z290" s="36"/>
      <c r="AA290" s="36"/>
    </row>
    <row r="291" spans="16:27" x14ac:dyDescent="0.2">
      <c r="P291" s="36"/>
      <c r="Q291" s="40"/>
      <c r="R291" s="40"/>
      <c r="S291" s="40"/>
      <c r="T291" s="41"/>
      <c r="U291" s="41"/>
      <c r="V291" s="41"/>
      <c r="W291" s="36"/>
      <c r="X291" s="36"/>
      <c r="Y291" s="36"/>
      <c r="Z291" s="36"/>
      <c r="AA291" s="36"/>
    </row>
    <row r="292" spans="16:27" x14ac:dyDescent="0.2">
      <c r="P292" s="36"/>
      <c r="Q292" s="40"/>
      <c r="R292" s="40"/>
      <c r="S292" s="40"/>
      <c r="T292" s="41"/>
      <c r="U292" s="41"/>
      <c r="V292" s="41"/>
      <c r="W292" s="36"/>
      <c r="X292" s="36"/>
      <c r="Y292" s="36"/>
      <c r="Z292" s="36"/>
      <c r="AA292" s="36"/>
    </row>
    <row r="293" spans="16:27" x14ac:dyDescent="0.2">
      <c r="P293" s="36"/>
      <c r="Q293" s="40"/>
      <c r="R293" s="40"/>
      <c r="S293" s="40"/>
      <c r="T293" s="41"/>
      <c r="U293" s="41"/>
      <c r="V293" s="41"/>
      <c r="W293" s="36"/>
      <c r="X293" s="36"/>
      <c r="Y293" s="36"/>
      <c r="Z293" s="36"/>
      <c r="AA293" s="36"/>
    </row>
    <row r="294" spans="16:27" x14ac:dyDescent="0.2">
      <c r="P294" s="36"/>
      <c r="Q294" s="40"/>
      <c r="R294" s="40"/>
      <c r="S294" s="40"/>
      <c r="T294" s="41"/>
      <c r="U294" s="41"/>
      <c r="V294" s="41"/>
      <c r="W294" s="36"/>
      <c r="X294" s="36"/>
      <c r="Y294" s="36"/>
      <c r="Z294" s="36"/>
      <c r="AA294" s="36"/>
    </row>
    <row r="295" spans="16:27" x14ac:dyDescent="0.2">
      <c r="P295" s="36"/>
      <c r="Q295" s="40"/>
      <c r="R295" s="40"/>
      <c r="S295" s="40"/>
      <c r="T295" s="41"/>
      <c r="U295" s="41"/>
      <c r="V295" s="41"/>
      <c r="W295" s="36"/>
      <c r="X295" s="36"/>
      <c r="Y295" s="36"/>
      <c r="Z295" s="36"/>
      <c r="AA295" s="36"/>
    </row>
    <row r="296" spans="16:27" x14ac:dyDescent="0.2">
      <c r="P296" s="36"/>
      <c r="Q296" s="40"/>
      <c r="R296" s="40"/>
      <c r="S296" s="40"/>
      <c r="T296" s="41"/>
      <c r="U296" s="41"/>
      <c r="V296" s="41"/>
      <c r="W296" s="36"/>
      <c r="X296" s="36"/>
      <c r="Y296" s="36"/>
      <c r="Z296" s="36"/>
      <c r="AA296" s="36"/>
    </row>
    <row r="297" spans="16:27" x14ac:dyDescent="0.2">
      <c r="P297" s="36"/>
      <c r="Q297" s="40"/>
      <c r="R297" s="40"/>
      <c r="S297" s="40"/>
      <c r="T297" s="41"/>
      <c r="U297" s="41"/>
      <c r="V297" s="41"/>
      <c r="W297" s="36"/>
      <c r="X297" s="36"/>
      <c r="Y297" s="36"/>
      <c r="Z297" s="36"/>
      <c r="AA297" s="36"/>
    </row>
    <row r="298" spans="16:27" x14ac:dyDescent="0.2">
      <c r="P298" s="36"/>
      <c r="Q298" s="40"/>
      <c r="R298" s="40"/>
      <c r="S298" s="40"/>
      <c r="T298" s="41"/>
      <c r="U298" s="41"/>
      <c r="V298" s="41"/>
      <c r="W298" s="36"/>
      <c r="X298" s="36"/>
      <c r="Y298" s="36"/>
      <c r="Z298" s="36"/>
      <c r="AA298" s="36"/>
    </row>
    <row r="299" spans="16:27" x14ac:dyDescent="0.2">
      <c r="P299" s="36"/>
      <c r="Q299" s="40"/>
      <c r="R299" s="40"/>
      <c r="S299" s="40"/>
      <c r="T299" s="41"/>
      <c r="U299" s="41"/>
      <c r="V299" s="41"/>
      <c r="W299" s="36"/>
      <c r="X299" s="36"/>
      <c r="Y299" s="36"/>
      <c r="Z299" s="36"/>
      <c r="AA299" s="36"/>
    </row>
    <row r="300" spans="16:27" x14ac:dyDescent="0.2">
      <c r="P300" s="36"/>
      <c r="Q300" s="40"/>
      <c r="R300" s="40"/>
      <c r="S300" s="40"/>
      <c r="T300" s="41"/>
      <c r="U300" s="41"/>
      <c r="V300" s="41"/>
      <c r="W300" s="36"/>
      <c r="X300" s="36"/>
      <c r="Y300" s="36"/>
      <c r="Z300" s="36"/>
      <c r="AA300" s="36"/>
    </row>
    <row r="301" spans="16:27" x14ac:dyDescent="0.2">
      <c r="P301" s="36"/>
      <c r="Q301" s="40"/>
      <c r="R301" s="40"/>
      <c r="S301" s="40"/>
      <c r="T301" s="41"/>
      <c r="U301" s="41"/>
      <c r="V301" s="41"/>
      <c r="W301" s="36"/>
      <c r="X301" s="36"/>
      <c r="Y301" s="36"/>
      <c r="Z301" s="36"/>
      <c r="AA301" s="36"/>
    </row>
    <row r="302" spans="16:27" x14ac:dyDescent="0.2">
      <c r="P302" s="36"/>
      <c r="Q302" s="40"/>
      <c r="R302" s="40"/>
      <c r="S302" s="40"/>
      <c r="T302" s="41"/>
      <c r="U302" s="41"/>
      <c r="V302" s="41"/>
      <c r="W302" s="36"/>
      <c r="X302" s="36"/>
      <c r="Y302" s="36"/>
      <c r="Z302" s="36"/>
      <c r="AA302" s="36"/>
    </row>
    <row r="303" spans="16:27" x14ac:dyDescent="0.2">
      <c r="P303" s="36"/>
      <c r="Q303" s="40"/>
      <c r="R303" s="40"/>
      <c r="S303" s="40"/>
      <c r="T303" s="41"/>
      <c r="U303" s="41"/>
      <c r="V303" s="41"/>
      <c r="W303" s="36"/>
      <c r="X303" s="36"/>
      <c r="Y303" s="36"/>
      <c r="Z303" s="36"/>
      <c r="AA303" s="36"/>
    </row>
    <row r="304" spans="16:27" x14ac:dyDescent="0.2">
      <c r="P304" s="36"/>
      <c r="Q304" s="40"/>
      <c r="R304" s="40"/>
      <c r="S304" s="40"/>
      <c r="T304" s="41"/>
      <c r="U304" s="41"/>
      <c r="V304" s="41"/>
      <c r="W304" s="36"/>
      <c r="X304" s="36"/>
      <c r="Y304" s="36"/>
      <c r="Z304" s="36"/>
      <c r="AA304" s="36"/>
    </row>
    <row r="305" spans="16:27" x14ac:dyDescent="0.2">
      <c r="P305" s="36"/>
      <c r="Q305" s="40"/>
      <c r="R305" s="40"/>
      <c r="S305" s="40"/>
      <c r="T305" s="41"/>
      <c r="U305" s="41"/>
      <c r="V305" s="41"/>
      <c r="W305" s="36"/>
      <c r="X305" s="36"/>
      <c r="Y305" s="36"/>
      <c r="Z305" s="36"/>
      <c r="AA305" s="36"/>
    </row>
    <row r="306" spans="16:27" x14ac:dyDescent="0.2">
      <c r="P306" s="36"/>
      <c r="Q306" s="40"/>
      <c r="R306" s="40"/>
      <c r="S306" s="40"/>
      <c r="T306" s="41"/>
      <c r="U306" s="41"/>
      <c r="V306" s="41"/>
      <c r="W306" s="36"/>
      <c r="X306" s="36"/>
      <c r="Y306" s="36"/>
      <c r="Z306" s="36"/>
      <c r="AA306" s="36"/>
    </row>
    <row r="307" spans="16:27" x14ac:dyDescent="0.2">
      <c r="P307" s="36"/>
      <c r="Q307" s="40"/>
      <c r="R307" s="40"/>
      <c r="S307" s="40"/>
      <c r="T307" s="41"/>
      <c r="U307" s="41"/>
      <c r="V307" s="41"/>
      <c r="W307" s="36"/>
      <c r="X307" s="36"/>
      <c r="Y307" s="36"/>
      <c r="Z307" s="36"/>
      <c r="AA307" s="36"/>
    </row>
    <row r="308" spans="16:27" x14ac:dyDescent="0.2">
      <c r="P308" s="36"/>
      <c r="Q308" s="40"/>
      <c r="R308" s="40"/>
      <c r="S308" s="40"/>
      <c r="T308" s="41"/>
      <c r="U308" s="41"/>
      <c r="V308" s="41"/>
      <c r="W308" s="36"/>
      <c r="X308" s="36"/>
      <c r="Y308" s="36"/>
      <c r="Z308" s="36"/>
      <c r="AA308" s="36"/>
    </row>
    <row r="309" spans="16:27" x14ac:dyDescent="0.2">
      <c r="P309" s="36"/>
      <c r="Q309" s="40"/>
      <c r="R309" s="40"/>
      <c r="S309" s="40"/>
      <c r="T309" s="41"/>
      <c r="U309" s="41"/>
      <c r="V309" s="41"/>
      <c r="W309" s="36"/>
      <c r="X309" s="36"/>
      <c r="Y309" s="36"/>
      <c r="Z309" s="36"/>
      <c r="AA309" s="36"/>
    </row>
    <row r="310" spans="16:27" x14ac:dyDescent="0.2">
      <c r="P310" s="36"/>
      <c r="Q310" s="40"/>
      <c r="R310" s="40"/>
      <c r="S310" s="40"/>
      <c r="T310" s="41"/>
      <c r="U310" s="41"/>
      <c r="V310" s="41"/>
      <c r="W310" s="36"/>
      <c r="X310" s="36"/>
      <c r="Y310" s="36"/>
      <c r="Z310" s="36"/>
      <c r="AA310" s="36"/>
    </row>
    <row r="311" spans="16:27" x14ac:dyDescent="0.2">
      <c r="P311" s="36"/>
      <c r="Q311" s="40"/>
      <c r="R311" s="40"/>
      <c r="S311" s="40"/>
      <c r="T311" s="41"/>
      <c r="U311" s="41"/>
      <c r="V311" s="41"/>
      <c r="W311" s="36"/>
      <c r="X311" s="36"/>
      <c r="Y311" s="36"/>
      <c r="Z311" s="36"/>
      <c r="AA311" s="36"/>
    </row>
    <row r="312" spans="16:27" x14ac:dyDescent="0.2">
      <c r="P312" s="36"/>
      <c r="Q312" s="40"/>
      <c r="R312" s="40"/>
      <c r="S312" s="40"/>
      <c r="T312" s="41"/>
      <c r="U312" s="41"/>
      <c r="V312" s="41"/>
      <c r="W312" s="36"/>
      <c r="X312" s="36"/>
      <c r="Y312" s="36"/>
      <c r="Z312" s="36"/>
      <c r="AA312" s="36"/>
    </row>
    <row r="313" spans="16:27" x14ac:dyDescent="0.2">
      <c r="P313" s="36"/>
      <c r="Q313" s="40"/>
      <c r="R313" s="40"/>
      <c r="S313" s="40"/>
      <c r="T313" s="41"/>
      <c r="U313" s="41"/>
      <c r="V313" s="41"/>
      <c r="W313" s="36"/>
      <c r="X313" s="36"/>
      <c r="Y313" s="36"/>
      <c r="Z313" s="36"/>
      <c r="AA313" s="36"/>
    </row>
    <row r="314" spans="16:27" x14ac:dyDescent="0.2">
      <c r="P314" s="36"/>
      <c r="Q314" s="40"/>
      <c r="R314" s="40"/>
      <c r="S314" s="40"/>
      <c r="T314" s="41"/>
      <c r="U314" s="41"/>
      <c r="V314" s="41"/>
      <c r="W314" s="36"/>
      <c r="X314" s="36"/>
      <c r="Y314" s="36"/>
      <c r="Z314" s="36"/>
      <c r="AA314" s="36"/>
    </row>
    <row r="315" spans="16:27" x14ac:dyDescent="0.2">
      <c r="P315" s="36"/>
      <c r="Q315" s="40"/>
      <c r="R315" s="40"/>
      <c r="S315" s="40"/>
      <c r="T315" s="41"/>
      <c r="U315" s="41"/>
      <c r="V315" s="41"/>
      <c r="W315" s="36"/>
      <c r="X315" s="36"/>
      <c r="Y315" s="36"/>
      <c r="Z315" s="36"/>
      <c r="AA315" s="36"/>
    </row>
    <row r="316" spans="16:27" x14ac:dyDescent="0.2">
      <c r="P316" s="36"/>
      <c r="Q316" s="40"/>
      <c r="R316" s="40"/>
      <c r="S316" s="40"/>
      <c r="T316" s="41"/>
      <c r="U316" s="41"/>
      <c r="V316" s="41"/>
      <c r="W316" s="36"/>
      <c r="X316" s="36"/>
      <c r="Y316" s="36"/>
      <c r="Z316" s="36"/>
      <c r="AA316" s="36"/>
    </row>
    <row r="317" spans="16:27" x14ac:dyDescent="0.2">
      <c r="P317" s="36"/>
      <c r="Q317" s="40"/>
      <c r="R317" s="40"/>
      <c r="S317" s="40"/>
      <c r="T317" s="41"/>
      <c r="U317" s="41"/>
      <c r="V317" s="41"/>
      <c r="W317" s="36"/>
      <c r="X317" s="36"/>
      <c r="Y317" s="36"/>
      <c r="Z317" s="36"/>
      <c r="AA317" s="36"/>
    </row>
    <row r="318" spans="16:27" x14ac:dyDescent="0.2">
      <c r="P318" s="36"/>
      <c r="Q318" s="40"/>
      <c r="R318" s="40"/>
      <c r="S318" s="40"/>
      <c r="T318" s="41"/>
      <c r="U318" s="41"/>
      <c r="V318" s="41"/>
      <c r="W318" s="36"/>
      <c r="X318" s="36"/>
      <c r="Y318" s="36"/>
      <c r="Z318" s="36"/>
      <c r="AA318" s="36"/>
    </row>
    <row r="319" spans="16:27" x14ac:dyDescent="0.2">
      <c r="P319" s="36"/>
      <c r="Q319" s="40"/>
      <c r="R319" s="40"/>
      <c r="S319" s="40"/>
      <c r="T319" s="41"/>
      <c r="U319" s="41"/>
      <c r="V319" s="41"/>
      <c r="W319" s="36"/>
      <c r="X319" s="36"/>
      <c r="Y319" s="36"/>
      <c r="Z319" s="36"/>
      <c r="AA319" s="36"/>
    </row>
    <row r="320" spans="16:27" x14ac:dyDescent="0.2">
      <c r="P320" s="36"/>
      <c r="Q320" s="40"/>
      <c r="R320" s="40"/>
      <c r="S320" s="40"/>
      <c r="T320" s="41"/>
      <c r="U320" s="41"/>
      <c r="V320" s="41"/>
      <c r="W320" s="36"/>
      <c r="X320" s="36"/>
      <c r="Y320" s="36"/>
      <c r="Z320" s="36"/>
      <c r="AA320" s="36"/>
    </row>
    <row r="321" spans="16:27" x14ac:dyDescent="0.2">
      <c r="P321" s="36"/>
      <c r="Q321" s="40"/>
      <c r="R321" s="40"/>
      <c r="S321" s="40"/>
      <c r="T321" s="41"/>
      <c r="U321" s="41"/>
      <c r="V321" s="41"/>
      <c r="W321" s="36"/>
      <c r="X321" s="36"/>
      <c r="Y321" s="36"/>
      <c r="Z321" s="36"/>
      <c r="AA321" s="36"/>
    </row>
    <row r="322" spans="16:27" x14ac:dyDescent="0.2">
      <c r="P322" s="36"/>
      <c r="Q322" s="40"/>
      <c r="R322" s="40"/>
      <c r="S322" s="40"/>
      <c r="T322" s="41"/>
      <c r="U322" s="41"/>
      <c r="V322" s="41"/>
      <c r="W322" s="36"/>
      <c r="X322" s="36"/>
      <c r="Y322" s="36"/>
      <c r="Z322" s="36"/>
      <c r="AA322" s="36"/>
    </row>
    <row r="323" spans="16:27" x14ac:dyDescent="0.2">
      <c r="P323" s="36"/>
      <c r="Q323" s="40"/>
      <c r="R323" s="40"/>
      <c r="S323" s="40"/>
      <c r="T323" s="41"/>
      <c r="U323" s="41"/>
      <c r="V323" s="41"/>
      <c r="W323" s="36"/>
      <c r="X323" s="36"/>
      <c r="Y323" s="36"/>
      <c r="Z323" s="36"/>
      <c r="AA323" s="36"/>
    </row>
    <row r="324" spans="16:27" x14ac:dyDescent="0.2">
      <c r="P324" s="36"/>
      <c r="Q324" s="40"/>
      <c r="R324" s="40"/>
      <c r="S324" s="40"/>
      <c r="T324" s="41"/>
      <c r="U324" s="41"/>
      <c r="V324" s="41"/>
      <c r="W324" s="36"/>
      <c r="X324" s="36"/>
      <c r="Y324" s="36"/>
      <c r="Z324" s="36"/>
      <c r="AA324" s="36"/>
    </row>
    <row r="325" spans="16:27" x14ac:dyDescent="0.2">
      <c r="P325" s="36"/>
      <c r="Q325" s="40"/>
      <c r="R325" s="40"/>
      <c r="S325" s="40"/>
      <c r="T325" s="41"/>
      <c r="U325" s="41"/>
      <c r="V325" s="41"/>
      <c r="W325" s="36"/>
      <c r="X325" s="36"/>
      <c r="Y325" s="36"/>
      <c r="Z325" s="36"/>
      <c r="AA325" s="36"/>
    </row>
    <row r="326" spans="16:27" x14ac:dyDescent="0.2">
      <c r="P326" s="36"/>
      <c r="Q326" s="40"/>
      <c r="R326" s="40"/>
      <c r="S326" s="40"/>
      <c r="T326" s="41"/>
      <c r="U326" s="41"/>
      <c r="V326" s="41"/>
      <c r="W326" s="36"/>
      <c r="X326" s="36"/>
      <c r="Y326" s="36"/>
      <c r="Z326" s="36"/>
      <c r="AA326" s="36"/>
    </row>
    <row r="327" spans="16:27" x14ac:dyDescent="0.2">
      <c r="P327" s="36"/>
      <c r="Q327" s="40"/>
      <c r="R327" s="40"/>
      <c r="S327" s="40"/>
      <c r="T327" s="41"/>
      <c r="U327" s="41"/>
      <c r="V327" s="41"/>
      <c r="W327" s="36"/>
      <c r="X327" s="36"/>
      <c r="Y327" s="36"/>
      <c r="Z327" s="36"/>
      <c r="AA327" s="36"/>
    </row>
    <row r="328" spans="16:27" x14ac:dyDescent="0.2">
      <c r="P328" s="36"/>
      <c r="Q328" s="40"/>
      <c r="R328" s="40"/>
      <c r="S328" s="40"/>
      <c r="T328" s="41"/>
      <c r="U328" s="41"/>
      <c r="V328" s="41"/>
      <c r="W328" s="36"/>
      <c r="X328" s="36"/>
      <c r="Y328" s="36"/>
      <c r="Z328" s="36"/>
      <c r="AA328" s="36"/>
    </row>
    <row r="329" spans="16:27" x14ac:dyDescent="0.2">
      <c r="P329" s="36"/>
      <c r="Q329" s="40"/>
      <c r="R329" s="40"/>
      <c r="S329" s="40"/>
      <c r="T329" s="41"/>
      <c r="U329" s="41"/>
      <c r="V329" s="41"/>
      <c r="W329" s="36"/>
      <c r="X329" s="36"/>
      <c r="Y329" s="36"/>
      <c r="Z329" s="36"/>
      <c r="AA329" s="36"/>
    </row>
    <row r="330" spans="16:27" x14ac:dyDescent="0.2">
      <c r="P330" s="36"/>
      <c r="Q330" s="40"/>
      <c r="R330" s="40"/>
      <c r="S330" s="40"/>
      <c r="T330" s="41"/>
      <c r="U330" s="41"/>
      <c r="V330" s="41"/>
      <c r="W330" s="36"/>
      <c r="X330" s="36"/>
      <c r="Y330" s="36"/>
      <c r="Z330" s="36"/>
      <c r="AA330" s="36"/>
    </row>
    <row r="331" spans="16:27" x14ac:dyDescent="0.2">
      <c r="P331" s="36"/>
      <c r="Q331" s="40"/>
      <c r="R331" s="40"/>
      <c r="S331" s="40"/>
      <c r="T331" s="41"/>
      <c r="U331" s="41"/>
      <c r="V331" s="41"/>
      <c r="W331" s="36"/>
      <c r="X331" s="36"/>
      <c r="Y331" s="36"/>
      <c r="Z331" s="36"/>
      <c r="AA331" s="36"/>
    </row>
    <row r="332" spans="16:27" x14ac:dyDescent="0.2">
      <c r="P332" s="36"/>
      <c r="Q332" s="40"/>
      <c r="R332" s="40"/>
      <c r="S332" s="40"/>
      <c r="T332" s="41"/>
      <c r="U332" s="41"/>
      <c r="V332" s="41"/>
      <c r="W332" s="36"/>
      <c r="X332" s="36"/>
      <c r="Y332" s="36"/>
      <c r="Z332" s="36"/>
      <c r="AA332" s="36"/>
    </row>
    <row r="333" spans="16:27" x14ac:dyDescent="0.2">
      <c r="P333" s="36"/>
      <c r="Q333" s="40"/>
      <c r="R333" s="40"/>
      <c r="S333" s="40"/>
      <c r="T333" s="41"/>
      <c r="U333" s="41"/>
      <c r="V333" s="41"/>
      <c r="W333" s="36"/>
      <c r="X333" s="36"/>
      <c r="Y333" s="36"/>
      <c r="Z333" s="36"/>
      <c r="AA333" s="36"/>
    </row>
    <row r="334" spans="16:27" x14ac:dyDescent="0.2">
      <c r="P334" s="36"/>
      <c r="Q334" s="40"/>
      <c r="R334" s="40"/>
      <c r="S334" s="40"/>
      <c r="T334" s="41"/>
      <c r="U334" s="41"/>
      <c r="V334" s="41"/>
      <c r="W334" s="36"/>
      <c r="X334" s="36"/>
      <c r="Y334" s="36"/>
      <c r="Z334" s="36"/>
      <c r="AA334" s="36"/>
    </row>
    <row r="335" spans="16:27" x14ac:dyDescent="0.2">
      <c r="P335" s="36"/>
      <c r="Q335" s="40"/>
      <c r="R335" s="40"/>
      <c r="S335" s="40"/>
      <c r="T335" s="41"/>
      <c r="U335" s="41"/>
      <c r="V335" s="41"/>
      <c r="W335" s="36"/>
      <c r="X335" s="36"/>
      <c r="Y335" s="36"/>
      <c r="Z335" s="36"/>
      <c r="AA335" s="36"/>
    </row>
    <row r="336" spans="16:27" x14ac:dyDescent="0.2">
      <c r="P336" s="36"/>
      <c r="Q336" s="40"/>
      <c r="R336" s="40"/>
      <c r="S336" s="40"/>
      <c r="T336" s="41"/>
      <c r="U336" s="41"/>
      <c r="V336" s="41"/>
      <c r="W336" s="36"/>
      <c r="X336" s="36"/>
      <c r="Y336" s="36"/>
      <c r="Z336" s="36"/>
      <c r="AA336" s="36"/>
    </row>
    <row r="337" spans="16:27" x14ac:dyDescent="0.2">
      <c r="P337" s="36"/>
      <c r="Q337" s="40"/>
      <c r="R337" s="40"/>
      <c r="S337" s="40"/>
      <c r="T337" s="41"/>
      <c r="U337" s="41"/>
      <c r="V337" s="41"/>
      <c r="W337" s="36"/>
      <c r="X337" s="36"/>
      <c r="Y337" s="36"/>
      <c r="Z337" s="36"/>
      <c r="AA337" s="36"/>
    </row>
    <row r="338" spans="16:27" x14ac:dyDescent="0.2">
      <c r="P338" s="36"/>
      <c r="Q338" s="40"/>
      <c r="R338" s="40"/>
      <c r="S338" s="40"/>
      <c r="T338" s="41"/>
      <c r="U338" s="41"/>
      <c r="V338" s="41"/>
      <c r="W338" s="36"/>
      <c r="X338" s="36"/>
      <c r="Y338" s="36"/>
      <c r="Z338" s="36"/>
      <c r="AA338" s="36"/>
    </row>
    <row r="339" spans="16:27" x14ac:dyDescent="0.2">
      <c r="P339" s="36"/>
      <c r="Q339" s="40"/>
      <c r="R339" s="40"/>
      <c r="S339" s="40"/>
      <c r="T339" s="41"/>
      <c r="U339" s="41"/>
      <c r="V339" s="41"/>
      <c r="W339" s="36"/>
      <c r="X339" s="36"/>
      <c r="Y339" s="36"/>
      <c r="Z339" s="36"/>
      <c r="AA339" s="36"/>
    </row>
    <row r="340" spans="16:27" x14ac:dyDescent="0.2">
      <c r="P340" s="36"/>
      <c r="Q340" s="40"/>
      <c r="R340" s="40"/>
      <c r="S340" s="40"/>
      <c r="T340" s="41"/>
      <c r="U340" s="41"/>
      <c r="V340" s="41"/>
      <c r="W340" s="36"/>
      <c r="X340" s="36"/>
      <c r="Y340" s="36"/>
      <c r="Z340" s="36"/>
      <c r="AA340" s="36"/>
    </row>
    <row r="341" spans="16:27" x14ac:dyDescent="0.2">
      <c r="P341" s="36"/>
      <c r="Q341" s="40"/>
      <c r="R341" s="40"/>
      <c r="S341" s="40"/>
      <c r="T341" s="41"/>
      <c r="U341" s="41"/>
      <c r="V341" s="41"/>
      <c r="W341" s="36"/>
      <c r="X341" s="36"/>
      <c r="Y341" s="36"/>
      <c r="Z341" s="36"/>
      <c r="AA341" s="36"/>
    </row>
    <row r="342" spans="16:27" x14ac:dyDescent="0.2">
      <c r="P342" s="36"/>
      <c r="Q342" s="40"/>
      <c r="R342" s="40"/>
      <c r="S342" s="40"/>
      <c r="T342" s="41"/>
      <c r="U342" s="41"/>
      <c r="V342" s="41"/>
      <c r="W342" s="36"/>
      <c r="X342" s="36"/>
      <c r="Y342" s="36"/>
      <c r="Z342" s="36"/>
      <c r="AA342" s="36"/>
    </row>
    <row r="343" spans="16:27" x14ac:dyDescent="0.2">
      <c r="P343" s="36"/>
      <c r="Q343" s="40"/>
      <c r="R343" s="40"/>
      <c r="S343" s="40"/>
      <c r="T343" s="41"/>
      <c r="U343" s="41"/>
      <c r="V343" s="41"/>
      <c r="W343" s="36"/>
      <c r="X343" s="36"/>
      <c r="Y343" s="36"/>
      <c r="Z343" s="36"/>
      <c r="AA343" s="36"/>
    </row>
    <row r="344" spans="16:27" x14ac:dyDescent="0.2">
      <c r="P344" s="36"/>
      <c r="Q344" s="40"/>
      <c r="R344" s="40"/>
      <c r="S344" s="40"/>
      <c r="T344" s="41"/>
      <c r="U344" s="41"/>
      <c r="V344" s="41"/>
      <c r="W344" s="36"/>
      <c r="X344" s="36"/>
      <c r="Y344" s="36"/>
      <c r="Z344" s="36"/>
      <c r="AA344" s="36"/>
    </row>
    <row r="345" spans="16:27" x14ac:dyDescent="0.2">
      <c r="P345" s="36"/>
      <c r="Q345" s="40"/>
      <c r="R345" s="40"/>
      <c r="S345" s="40"/>
      <c r="T345" s="41"/>
      <c r="U345" s="41"/>
      <c r="V345" s="41"/>
      <c r="W345" s="36"/>
      <c r="X345" s="36"/>
      <c r="Y345" s="36"/>
      <c r="Z345" s="36"/>
      <c r="AA345" s="36"/>
    </row>
    <row r="346" spans="16:27" x14ac:dyDescent="0.2">
      <c r="P346" s="36"/>
      <c r="Q346" s="40"/>
      <c r="R346" s="40"/>
      <c r="S346" s="40"/>
      <c r="T346" s="41"/>
      <c r="U346" s="41"/>
      <c r="V346" s="41"/>
      <c r="W346" s="36"/>
      <c r="X346" s="36"/>
      <c r="Y346" s="36"/>
      <c r="Z346" s="36"/>
      <c r="AA346" s="36"/>
    </row>
    <row r="347" spans="16:27" x14ac:dyDescent="0.2">
      <c r="P347" s="36"/>
      <c r="Q347" s="40"/>
      <c r="R347" s="40"/>
      <c r="S347" s="40"/>
      <c r="T347" s="41"/>
      <c r="U347" s="41"/>
      <c r="V347" s="41"/>
      <c r="W347" s="36"/>
      <c r="X347" s="36"/>
      <c r="Y347" s="36"/>
      <c r="Z347" s="36"/>
      <c r="AA347" s="36"/>
    </row>
    <row r="348" spans="16:27" x14ac:dyDescent="0.2">
      <c r="P348" s="36"/>
      <c r="Q348" s="40"/>
      <c r="R348" s="40"/>
      <c r="S348" s="40"/>
      <c r="T348" s="41"/>
      <c r="U348" s="41"/>
      <c r="V348" s="41"/>
      <c r="W348" s="36"/>
      <c r="X348" s="36"/>
      <c r="Y348" s="36"/>
      <c r="Z348" s="36"/>
      <c r="AA348" s="36"/>
    </row>
    <row r="349" spans="16:27" x14ac:dyDescent="0.2">
      <c r="P349" s="36"/>
      <c r="Q349" s="40"/>
      <c r="R349" s="40"/>
      <c r="S349" s="40"/>
      <c r="T349" s="41"/>
      <c r="U349" s="41"/>
      <c r="V349" s="41"/>
      <c r="W349" s="36"/>
      <c r="X349" s="36"/>
      <c r="Y349" s="36"/>
      <c r="Z349" s="36"/>
      <c r="AA349" s="36"/>
    </row>
    <row r="350" spans="16:27" x14ac:dyDescent="0.2">
      <c r="P350" s="36"/>
      <c r="Q350" s="40"/>
      <c r="R350" s="40"/>
      <c r="S350" s="40"/>
      <c r="T350" s="41"/>
      <c r="U350" s="41"/>
      <c r="V350" s="41"/>
      <c r="W350" s="36"/>
      <c r="X350" s="36"/>
      <c r="Y350" s="36"/>
      <c r="Z350" s="36"/>
      <c r="AA350" s="36"/>
    </row>
    <row r="351" spans="16:27" x14ac:dyDescent="0.2">
      <c r="P351" s="36"/>
      <c r="Q351" s="40"/>
      <c r="R351" s="40"/>
      <c r="S351" s="40"/>
      <c r="T351" s="41"/>
      <c r="U351" s="41"/>
      <c r="V351" s="41"/>
      <c r="W351" s="36"/>
      <c r="X351" s="36"/>
      <c r="Y351" s="36"/>
      <c r="Z351" s="36"/>
      <c r="AA351" s="36"/>
    </row>
    <row r="352" spans="16:27" x14ac:dyDescent="0.2">
      <c r="P352" s="36"/>
      <c r="Q352" s="40"/>
      <c r="R352" s="40"/>
      <c r="S352" s="40"/>
      <c r="T352" s="41"/>
      <c r="U352" s="41"/>
      <c r="V352" s="41"/>
      <c r="W352" s="36"/>
      <c r="X352" s="36"/>
      <c r="Y352" s="36"/>
      <c r="Z352" s="36"/>
      <c r="AA352" s="36"/>
    </row>
    <row r="353" spans="16:27" x14ac:dyDescent="0.2">
      <c r="P353" s="36"/>
      <c r="Q353" s="40"/>
      <c r="R353" s="40"/>
      <c r="S353" s="40"/>
      <c r="T353" s="41"/>
      <c r="U353" s="41"/>
      <c r="V353" s="41"/>
      <c r="W353" s="36"/>
      <c r="X353" s="36"/>
      <c r="Y353" s="36"/>
      <c r="Z353" s="36"/>
      <c r="AA353" s="36"/>
    </row>
    <row r="354" spans="16:27" x14ac:dyDescent="0.2">
      <c r="P354" s="36"/>
      <c r="Q354" s="40"/>
      <c r="R354" s="40"/>
      <c r="S354" s="40"/>
      <c r="T354" s="41"/>
      <c r="U354" s="41"/>
      <c r="V354" s="41"/>
      <c r="W354" s="36"/>
      <c r="X354" s="36"/>
      <c r="Y354" s="36"/>
      <c r="Z354" s="36"/>
      <c r="AA354" s="36"/>
    </row>
    <row r="355" spans="16:27" x14ac:dyDescent="0.2">
      <c r="P355" s="36"/>
      <c r="Q355" s="40"/>
      <c r="R355" s="40"/>
      <c r="S355" s="40"/>
      <c r="T355" s="41"/>
      <c r="U355" s="41"/>
      <c r="V355" s="41"/>
      <c r="W355" s="36"/>
      <c r="X355" s="36"/>
      <c r="Y355" s="36"/>
      <c r="Z355" s="36"/>
      <c r="AA355" s="36"/>
    </row>
    <row r="356" spans="16:27" x14ac:dyDescent="0.2">
      <c r="P356" s="36"/>
      <c r="Q356" s="40"/>
      <c r="R356" s="40"/>
      <c r="S356" s="40"/>
      <c r="T356" s="41"/>
      <c r="U356" s="41"/>
      <c r="V356" s="41"/>
      <c r="W356" s="36"/>
      <c r="X356" s="36"/>
      <c r="Y356" s="36"/>
      <c r="Z356" s="36"/>
      <c r="AA356" s="36"/>
    </row>
    <row r="357" spans="16:27" x14ac:dyDescent="0.2">
      <c r="P357" s="36"/>
      <c r="Q357" s="40"/>
      <c r="R357" s="40"/>
      <c r="S357" s="40"/>
      <c r="T357" s="41"/>
      <c r="U357" s="41"/>
      <c r="V357" s="41"/>
      <c r="W357" s="36"/>
      <c r="X357" s="36"/>
      <c r="Y357" s="36"/>
      <c r="Z357" s="36"/>
      <c r="AA357" s="36"/>
    </row>
    <row r="358" spans="16:27" x14ac:dyDescent="0.2">
      <c r="P358" s="36"/>
      <c r="Q358" s="40"/>
      <c r="R358" s="40"/>
      <c r="S358" s="40"/>
      <c r="T358" s="41"/>
      <c r="U358" s="41"/>
      <c r="V358" s="41"/>
      <c r="W358" s="36"/>
      <c r="X358" s="36"/>
      <c r="Y358" s="36"/>
      <c r="Z358" s="36"/>
      <c r="AA358" s="36"/>
    </row>
    <row r="359" spans="16:27" x14ac:dyDescent="0.2">
      <c r="P359" s="36"/>
      <c r="Q359" s="40"/>
      <c r="R359" s="40"/>
      <c r="S359" s="40"/>
      <c r="T359" s="41"/>
      <c r="U359" s="41"/>
      <c r="V359" s="41"/>
      <c r="W359" s="36"/>
      <c r="X359" s="36"/>
      <c r="Y359" s="36"/>
      <c r="Z359" s="36"/>
      <c r="AA359" s="36"/>
    </row>
    <row r="360" spans="16:27" x14ac:dyDescent="0.2">
      <c r="P360" s="36"/>
      <c r="Q360" s="40"/>
      <c r="R360" s="40"/>
      <c r="S360" s="40"/>
      <c r="T360" s="41"/>
      <c r="U360" s="41"/>
      <c r="V360" s="41"/>
      <c r="W360" s="36"/>
      <c r="X360" s="36"/>
      <c r="Y360" s="36"/>
      <c r="Z360" s="36"/>
      <c r="AA360" s="36"/>
    </row>
    <row r="361" spans="16:27" x14ac:dyDescent="0.2">
      <c r="P361" s="36"/>
      <c r="Q361" s="40"/>
      <c r="R361" s="40"/>
      <c r="S361" s="40"/>
      <c r="T361" s="41"/>
      <c r="U361" s="41"/>
      <c r="V361" s="41"/>
      <c r="W361" s="36"/>
      <c r="X361" s="36"/>
      <c r="Y361" s="36"/>
      <c r="Z361" s="36"/>
      <c r="AA361" s="36"/>
    </row>
    <row r="362" spans="16:27" x14ac:dyDescent="0.2">
      <c r="P362" s="36"/>
      <c r="Q362" s="40"/>
      <c r="R362" s="40"/>
      <c r="S362" s="40"/>
      <c r="T362" s="41"/>
      <c r="U362" s="41"/>
      <c r="V362" s="41"/>
      <c r="W362" s="36"/>
      <c r="X362" s="36"/>
      <c r="Y362" s="36"/>
      <c r="Z362" s="36"/>
      <c r="AA362" s="36"/>
    </row>
    <row r="363" spans="16:27" x14ac:dyDescent="0.2">
      <c r="P363" s="36"/>
      <c r="Q363" s="40"/>
      <c r="R363" s="40"/>
      <c r="S363" s="40"/>
      <c r="T363" s="41"/>
      <c r="U363" s="41"/>
      <c r="V363" s="41"/>
      <c r="W363" s="36"/>
      <c r="X363" s="36"/>
      <c r="Y363" s="36"/>
      <c r="Z363" s="36"/>
      <c r="AA363" s="36"/>
    </row>
    <row r="364" spans="16:27" x14ac:dyDescent="0.2">
      <c r="P364" s="36"/>
      <c r="Q364" s="40"/>
      <c r="R364" s="40"/>
      <c r="S364" s="40"/>
      <c r="T364" s="41"/>
      <c r="U364" s="41"/>
      <c r="V364" s="41"/>
      <c r="W364" s="36"/>
      <c r="X364" s="36"/>
      <c r="Y364" s="36"/>
      <c r="Z364" s="36"/>
      <c r="AA364" s="36"/>
    </row>
    <row r="365" spans="16:27" x14ac:dyDescent="0.2">
      <c r="P365" s="36"/>
      <c r="Q365" s="40"/>
      <c r="R365" s="40"/>
      <c r="S365" s="40"/>
      <c r="T365" s="41"/>
      <c r="U365" s="41"/>
      <c r="V365" s="41"/>
      <c r="W365" s="36"/>
      <c r="X365" s="36"/>
      <c r="Y365" s="36"/>
      <c r="Z365" s="36"/>
      <c r="AA365" s="36"/>
    </row>
    <row r="366" spans="16:27" x14ac:dyDescent="0.2">
      <c r="P366" s="36"/>
      <c r="Q366" s="40"/>
      <c r="R366" s="40"/>
      <c r="S366" s="40"/>
      <c r="T366" s="41"/>
      <c r="U366" s="41"/>
      <c r="V366" s="41"/>
      <c r="W366" s="36"/>
      <c r="X366" s="36"/>
      <c r="Y366" s="36"/>
      <c r="Z366" s="36"/>
      <c r="AA366" s="36"/>
    </row>
    <row r="367" spans="16:27" x14ac:dyDescent="0.2">
      <c r="P367" s="36"/>
      <c r="Q367" s="40"/>
      <c r="R367" s="40"/>
      <c r="S367" s="40"/>
      <c r="T367" s="41"/>
      <c r="U367" s="41"/>
      <c r="V367" s="41"/>
      <c r="W367" s="36"/>
      <c r="X367" s="36"/>
      <c r="Y367" s="36"/>
      <c r="Z367" s="36"/>
      <c r="AA367" s="36"/>
    </row>
    <row r="368" spans="16:27" x14ac:dyDescent="0.2">
      <c r="P368" s="36"/>
      <c r="Q368" s="40"/>
      <c r="R368" s="40"/>
      <c r="S368" s="40"/>
      <c r="T368" s="41"/>
      <c r="U368" s="41"/>
      <c r="V368" s="41"/>
      <c r="W368" s="36"/>
      <c r="X368" s="36"/>
      <c r="Y368" s="36"/>
      <c r="Z368" s="36"/>
      <c r="AA368" s="36"/>
    </row>
    <row r="369" spans="16:27" x14ac:dyDescent="0.2">
      <c r="P369" s="36"/>
      <c r="Q369" s="40"/>
      <c r="R369" s="40"/>
      <c r="S369" s="40"/>
      <c r="T369" s="41"/>
      <c r="U369" s="41"/>
      <c r="V369" s="41"/>
      <c r="W369" s="36"/>
      <c r="X369" s="36"/>
      <c r="Y369" s="36"/>
      <c r="Z369" s="36"/>
      <c r="AA369" s="36"/>
    </row>
    <row r="370" spans="16:27" x14ac:dyDescent="0.2">
      <c r="P370" s="36"/>
      <c r="Q370" s="40"/>
      <c r="R370" s="40"/>
      <c r="S370" s="40"/>
      <c r="T370" s="41"/>
      <c r="U370" s="41"/>
      <c r="V370" s="41"/>
      <c r="W370" s="36"/>
      <c r="X370" s="36"/>
      <c r="Y370" s="36"/>
      <c r="Z370" s="36"/>
      <c r="AA370" s="36"/>
    </row>
    <row r="371" spans="16:27" x14ac:dyDescent="0.2">
      <c r="P371" s="36"/>
      <c r="Q371" s="40"/>
      <c r="R371" s="40"/>
      <c r="S371" s="40"/>
      <c r="T371" s="41"/>
      <c r="U371" s="41"/>
      <c r="V371" s="41"/>
      <c r="W371" s="36"/>
      <c r="X371" s="36"/>
      <c r="Y371" s="36"/>
      <c r="Z371" s="36"/>
      <c r="AA371" s="36"/>
    </row>
    <row r="372" spans="16:27" x14ac:dyDescent="0.2">
      <c r="P372" s="36"/>
      <c r="Q372" s="40"/>
      <c r="R372" s="40"/>
      <c r="S372" s="40"/>
      <c r="T372" s="41"/>
      <c r="U372" s="41"/>
      <c r="V372" s="41"/>
      <c r="W372" s="36"/>
      <c r="X372" s="36"/>
      <c r="Y372" s="36"/>
      <c r="Z372" s="36"/>
      <c r="AA372" s="36"/>
    </row>
    <row r="373" spans="16:27" x14ac:dyDescent="0.2">
      <c r="P373" s="36"/>
      <c r="Q373" s="40"/>
      <c r="R373" s="40"/>
      <c r="S373" s="40"/>
      <c r="T373" s="41"/>
      <c r="U373" s="41"/>
      <c r="V373" s="41"/>
      <c r="W373" s="36"/>
      <c r="X373" s="36"/>
      <c r="Y373" s="36"/>
      <c r="Z373" s="36"/>
      <c r="AA373" s="36"/>
    </row>
    <row r="374" spans="16:27" x14ac:dyDescent="0.2">
      <c r="P374" s="36"/>
      <c r="Q374" s="40"/>
      <c r="R374" s="40"/>
      <c r="S374" s="40"/>
      <c r="T374" s="41"/>
      <c r="U374" s="41"/>
      <c r="V374" s="41"/>
      <c r="W374" s="36"/>
      <c r="X374" s="36"/>
      <c r="Y374" s="36"/>
      <c r="Z374" s="36"/>
      <c r="AA374" s="36"/>
    </row>
    <row r="375" spans="16:27" x14ac:dyDescent="0.2">
      <c r="P375" s="36"/>
      <c r="Q375" s="40"/>
      <c r="R375" s="40"/>
      <c r="S375" s="40"/>
      <c r="T375" s="41"/>
      <c r="U375" s="41"/>
      <c r="V375" s="41"/>
      <c r="W375" s="36"/>
      <c r="X375" s="36"/>
      <c r="Y375" s="36"/>
      <c r="Z375" s="36"/>
      <c r="AA375" s="36"/>
    </row>
    <row r="376" spans="16:27" x14ac:dyDescent="0.2">
      <c r="P376" s="36"/>
      <c r="Q376" s="40"/>
      <c r="R376" s="40"/>
      <c r="S376" s="40"/>
      <c r="T376" s="41"/>
      <c r="U376" s="41"/>
      <c r="V376" s="41"/>
      <c r="W376" s="36"/>
      <c r="X376" s="36"/>
      <c r="Y376" s="36"/>
      <c r="Z376" s="36"/>
      <c r="AA376" s="36"/>
    </row>
    <row r="377" spans="16:27" x14ac:dyDescent="0.2">
      <c r="P377" s="36"/>
      <c r="Q377" s="40"/>
      <c r="R377" s="40"/>
      <c r="S377" s="40"/>
      <c r="T377" s="41"/>
      <c r="U377" s="41"/>
      <c r="V377" s="41"/>
      <c r="W377" s="36"/>
      <c r="X377" s="36"/>
      <c r="Y377" s="36"/>
      <c r="Z377" s="36"/>
      <c r="AA377" s="36"/>
    </row>
    <row r="378" spans="16:27" x14ac:dyDescent="0.2">
      <c r="P378" s="36"/>
      <c r="Q378" s="40"/>
      <c r="R378" s="40"/>
      <c r="S378" s="40"/>
      <c r="T378" s="41"/>
      <c r="U378" s="41"/>
      <c r="V378" s="41"/>
      <c r="W378" s="36"/>
      <c r="X378" s="36"/>
      <c r="Y378" s="36"/>
      <c r="Z378" s="36"/>
      <c r="AA378" s="36"/>
    </row>
    <row r="379" spans="16:27" x14ac:dyDescent="0.2">
      <c r="P379" s="36"/>
      <c r="Q379" s="40"/>
      <c r="R379" s="40"/>
      <c r="S379" s="40"/>
      <c r="T379" s="41"/>
      <c r="U379" s="41"/>
      <c r="V379" s="41"/>
      <c r="W379" s="36"/>
      <c r="X379" s="36"/>
      <c r="Y379" s="36"/>
      <c r="Z379" s="36"/>
      <c r="AA379" s="36"/>
    </row>
    <row r="380" spans="16:27" x14ac:dyDescent="0.2">
      <c r="P380" s="36"/>
      <c r="Q380" s="40"/>
      <c r="R380" s="40"/>
      <c r="S380" s="40"/>
      <c r="T380" s="41"/>
      <c r="U380" s="41"/>
      <c r="V380" s="41"/>
      <c r="W380" s="36"/>
      <c r="X380" s="36"/>
      <c r="Y380" s="36"/>
      <c r="Z380" s="36"/>
      <c r="AA380" s="36"/>
    </row>
    <row r="381" spans="16:27" x14ac:dyDescent="0.2">
      <c r="P381" s="36"/>
      <c r="Q381" s="40"/>
      <c r="R381" s="40"/>
      <c r="S381" s="40"/>
      <c r="T381" s="41"/>
      <c r="U381" s="41"/>
      <c r="V381" s="41"/>
      <c r="W381" s="36"/>
      <c r="X381" s="36"/>
      <c r="Y381" s="36"/>
      <c r="Z381" s="36"/>
      <c r="AA381" s="36"/>
    </row>
    <row r="382" spans="16:27" x14ac:dyDescent="0.2">
      <c r="P382" s="36"/>
      <c r="Q382" s="40"/>
      <c r="R382" s="40"/>
      <c r="S382" s="40"/>
      <c r="T382" s="41"/>
      <c r="U382" s="41"/>
      <c r="V382" s="41"/>
      <c r="W382" s="36"/>
      <c r="X382" s="36"/>
      <c r="Y382" s="36"/>
      <c r="Z382" s="36"/>
      <c r="AA382" s="36"/>
    </row>
    <row r="383" spans="16:27" x14ac:dyDescent="0.2">
      <c r="P383" s="36"/>
      <c r="Q383" s="40"/>
      <c r="R383" s="40"/>
      <c r="S383" s="40"/>
      <c r="T383" s="41"/>
      <c r="U383" s="41"/>
      <c r="V383" s="41"/>
      <c r="W383" s="36"/>
      <c r="X383" s="36"/>
      <c r="Y383" s="36"/>
      <c r="Z383" s="36"/>
      <c r="AA383" s="36"/>
    </row>
    <row r="384" spans="16:27" x14ac:dyDescent="0.2">
      <c r="P384" s="36"/>
      <c r="Q384" s="40"/>
      <c r="R384" s="40"/>
      <c r="S384" s="40"/>
      <c r="T384" s="41"/>
      <c r="U384" s="41"/>
      <c r="V384" s="41"/>
      <c r="W384" s="36"/>
      <c r="X384" s="36"/>
      <c r="Y384" s="36"/>
      <c r="Z384" s="36"/>
      <c r="AA384" s="36"/>
    </row>
    <row r="385" spans="16:27" x14ac:dyDescent="0.2">
      <c r="P385" s="36"/>
      <c r="Q385" s="40"/>
      <c r="R385" s="40"/>
      <c r="S385" s="40"/>
      <c r="T385" s="41"/>
      <c r="U385" s="41"/>
      <c r="V385" s="41"/>
      <c r="W385" s="36"/>
      <c r="X385" s="36"/>
      <c r="Y385" s="36"/>
      <c r="Z385" s="36"/>
      <c r="AA385" s="36"/>
    </row>
    <row r="386" spans="16:27" x14ac:dyDescent="0.2">
      <c r="P386" s="36"/>
      <c r="Q386" s="40"/>
      <c r="R386" s="40"/>
      <c r="S386" s="40"/>
      <c r="T386" s="41"/>
      <c r="U386" s="41"/>
      <c r="V386" s="41"/>
      <c r="W386" s="36"/>
      <c r="X386" s="36"/>
      <c r="Y386" s="36"/>
      <c r="Z386" s="36"/>
      <c r="AA386" s="36"/>
    </row>
    <row r="387" spans="16:27" x14ac:dyDescent="0.2">
      <c r="P387" s="36"/>
      <c r="Q387" s="40"/>
      <c r="R387" s="40"/>
      <c r="S387" s="40"/>
      <c r="T387" s="41"/>
      <c r="U387" s="41"/>
      <c r="V387" s="41"/>
      <c r="W387" s="36"/>
      <c r="X387" s="36"/>
      <c r="Y387" s="36"/>
      <c r="Z387" s="36"/>
      <c r="AA387" s="36"/>
    </row>
    <row r="388" spans="16:27" x14ac:dyDescent="0.2">
      <c r="P388" s="36"/>
      <c r="Q388" s="40"/>
      <c r="R388" s="40"/>
      <c r="S388" s="40"/>
      <c r="T388" s="41"/>
      <c r="U388" s="41"/>
      <c r="V388" s="41"/>
      <c r="W388" s="36"/>
      <c r="X388" s="36"/>
      <c r="Y388" s="36"/>
      <c r="Z388" s="36"/>
      <c r="AA388" s="36"/>
    </row>
    <row r="389" spans="16:27" x14ac:dyDescent="0.2">
      <c r="P389" s="36"/>
      <c r="Q389" s="40"/>
      <c r="R389" s="40"/>
      <c r="S389" s="40"/>
      <c r="T389" s="41"/>
      <c r="U389" s="41"/>
      <c r="V389" s="41"/>
      <c r="W389" s="36"/>
      <c r="X389" s="36"/>
      <c r="Y389" s="36"/>
      <c r="Z389" s="36"/>
      <c r="AA389" s="36"/>
    </row>
    <row r="390" spans="16:27" x14ac:dyDescent="0.2">
      <c r="P390" s="36"/>
      <c r="Q390" s="40"/>
      <c r="R390" s="40"/>
      <c r="S390" s="40"/>
      <c r="T390" s="41"/>
      <c r="U390" s="41"/>
      <c r="V390" s="41"/>
      <c r="W390" s="36"/>
      <c r="X390" s="36"/>
      <c r="Y390" s="36"/>
      <c r="Z390" s="36"/>
      <c r="AA390" s="36"/>
    </row>
    <row r="391" spans="16:27" x14ac:dyDescent="0.2">
      <c r="P391" s="36"/>
      <c r="Q391" s="40"/>
      <c r="R391" s="40"/>
      <c r="S391" s="40"/>
      <c r="T391" s="41"/>
      <c r="U391" s="41"/>
      <c r="V391" s="41"/>
      <c r="W391" s="36"/>
      <c r="X391" s="36"/>
      <c r="Y391" s="36"/>
      <c r="Z391" s="36"/>
      <c r="AA391" s="36"/>
    </row>
    <row r="392" spans="16:27" x14ac:dyDescent="0.2">
      <c r="P392" s="36"/>
      <c r="Q392" s="40"/>
      <c r="R392" s="40"/>
      <c r="S392" s="40"/>
      <c r="T392" s="41"/>
      <c r="U392" s="41"/>
      <c r="V392" s="41"/>
      <c r="W392" s="36"/>
      <c r="X392" s="36"/>
      <c r="Y392" s="36"/>
      <c r="Z392" s="36"/>
      <c r="AA392" s="36"/>
    </row>
    <row r="393" spans="16:27" x14ac:dyDescent="0.2">
      <c r="P393" s="36"/>
      <c r="Q393" s="40"/>
      <c r="R393" s="40"/>
      <c r="S393" s="40"/>
      <c r="T393" s="41"/>
      <c r="U393" s="41"/>
      <c r="V393" s="41"/>
      <c r="W393" s="36"/>
      <c r="X393" s="36"/>
      <c r="Y393" s="36"/>
      <c r="Z393" s="36"/>
      <c r="AA393" s="36"/>
    </row>
    <row r="394" spans="16:27" x14ac:dyDescent="0.2">
      <c r="P394" s="36"/>
      <c r="Q394" s="40"/>
      <c r="R394" s="40"/>
      <c r="S394" s="40"/>
      <c r="T394" s="41"/>
      <c r="U394" s="41"/>
      <c r="V394" s="41"/>
      <c r="W394" s="36"/>
      <c r="X394" s="36"/>
      <c r="Y394" s="36"/>
      <c r="Z394" s="36"/>
      <c r="AA394" s="36"/>
    </row>
    <row r="395" spans="16:27" x14ac:dyDescent="0.2">
      <c r="P395" s="36"/>
      <c r="Q395" s="40"/>
      <c r="R395" s="40"/>
      <c r="S395" s="40"/>
      <c r="T395" s="41"/>
      <c r="U395" s="41"/>
      <c r="V395" s="41"/>
      <c r="W395" s="36"/>
      <c r="X395" s="36"/>
      <c r="Y395" s="36"/>
      <c r="Z395" s="36"/>
      <c r="AA395" s="36"/>
    </row>
    <row r="396" spans="16:27" x14ac:dyDescent="0.2">
      <c r="P396" s="36"/>
      <c r="Q396" s="40"/>
      <c r="R396" s="40"/>
      <c r="S396" s="40"/>
      <c r="T396" s="41"/>
      <c r="U396" s="41"/>
      <c r="V396" s="41"/>
      <c r="W396" s="36"/>
      <c r="X396" s="36"/>
      <c r="Y396" s="36"/>
      <c r="Z396" s="36"/>
      <c r="AA396" s="36"/>
    </row>
    <row r="397" spans="16:27" x14ac:dyDescent="0.2">
      <c r="P397" s="36"/>
      <c r="Q397" s="40"/>
      <c r="R397" s="40"/>
      <c r="S397" s="40"/>
      <c r="T397" s="41"/>
      <c r="U397" s="41"/>
      <c r="V397" s="41"/>
      <c r="W397" s="36"/>
      <c r="X397" s="36"/>
      <c r="Y397" s="36"/>
      <c r="Z397" s="36"/>
      <c r="AA397" s="36"/>
    </row>
    <row r="398" spans="16:27" x14ac:dyDescent="0.2">
      <c r="P398" s="36"/>
      <c r="Q398" s="40"/>
      <c r="R398" s="40"/>
      <c r="S398" s="40"/>
      <c r="T398" s="41"/>
      <c r="U398" s="41"/>
      <c r="V398" s="41"/>
      <c r="W398" s="36"/>
      <c r="X398" s="36"/>
      <c r="Y398" s="36"/>
      <c r="Z398" s="36"/>
      <c r="AA398" s="36"/>
    </row>
    <row r="399" spans="16:27" x14ac:dyDescent="0.2">
      <c r="P399" s="36"/>
      <c r="Q399" s="40"/>
      <c r="R399" s="40"/>
      <c r="S399" s="40"/>
      <c r="T399" s="41"/>
      <c r="U399" s="41"/>
      <c r="V399" s="41"/>
      <c r="W399" s="36"/>
      <c r="X399" s="36"/>
      <c r="Y399" s="36"/>
      <c r="Z399" s="36"/>
      <c r="AA399" s="36"/>
    </row>
    <row r="400" spans="16:27" x14ac:dyDescent="0.2">
      <c r="P400" s="36"/>
      <c r="Q400" s="40"/>
      <c r="R400" s="40"/>
      <c r="S400" s="40"/>
      <c r="T400" s="41"/>
      <c r="U400" s="41"/>
      <c r="V400" s="41"/>
      <c r="W400" s="36"/>
      <c r="X400" s="36"/>
      <c r="Y400" s="36"/>
      <c r="Z400" s="36"/>
      <c r="AA400" s="36"/>
    </row>
    <row r="401" spans="16:27" x14ac:dyDescent="0.2">
      <c r="P401" s="36"/>
      <c r="Q401" s="40"/>
      <c r="R401" s="40"/>
      <c r="S401" s="40"/>
      <c r="T401" s="41"/>
      <c r="U401" s="41"/>
      <c r="V401" s="41"/>
      <c r="W401" s="36"/>
      <c r="X401" s="36"/>
      <c r="Y401" s="36"/>
      <c r="Z401" s="36"/>
      <c r="AA401" s="36"/>
    </row>
    <row r="402" spans="16:27" x14ac:dyDescent="0.2">
      <c r="P402" s="36"/>
      <c r="Q402" s="40"/>
      <c r="R402" s="40"/>
      <c r="S402" s="40"/>
      <c r="T402" s="41"/>
      <c r="U402" s="41"/>
      <c r="V402" s="41"/>
      <c r="W402" s="36"/>
      <c r="X402" s="36"/>
      <c r="Y402" s="36"/>
      <c r="Z402" s="36"/>
      <c r="AA402" s="36"/>
    </row>
    <row r="403" spans="16:27" x14ac:dyDescent="0.2">
      <c r="P403" s="36"/>
      <c r="Q403" s="40"/>
      <c r="R403" s="40"/>
      <c r="S403" s="40"/>
      <c r="T403" s="41"/>
      <c r="U403" s="41"/>
      <c r="V403" s="41"/>
      <c r="W403" s="36"/>
      <c r="X403" s="36"/>
      <c r="Y403" s="36"/>
      <c r="Z403" s="36"/>
      <c r="AA403" s="36"/>
    </row>
    <row r="404" spans="16:27" x14ac:dyDescent="0.2">
      <c r="P404" s="36"/>
      <c r="Q404" s="40"/>
      <c r="R404" s="40"/>
      <c r="S404" s="40"/>
      <c r="T404" s="41"/>
      <c r="U404" s="41"/>
      <c r="V404" s="41"/>
      <c r="W404" s="36"/>
      <c r="X404" s="36"/>
      <c r="Y404" s="36"/>
      <c r="Z404" s="36"/>
      <c r="AA404" s="36"/>
    </row>
    <row r="405" spans="16:27" x14ac:dyDescent="0.2">
      <c r="P405" s="36"/>
      <c r="Q405" s="40"/>
      <c r="R405" s="40"/>
      <c r="S405" s="40"/>
      <c r="T405" s="41"/>
      <c r="U405" s="41"/>
      <c r="V405" s="41"/>
      <c r="W405" s="36"/>
      <c r="X405" s="36"/>
      <c r="Y405" s="36"/>
      <c r="Z405" s="36"/>
      <c r="AA405" s="36"/>
    </row>
    <row r="406" spans="16:27" x14ac:dyDescent="0.2">
      <c r="P406" s="36"/>
      <c r="Q406" s="40"/>
      <c r="R406" s="40"/>
      <c r="S406" s="40"/>
      <c r="T406" s="41"/>
      <c r="U406" s="41"/>
      <c r="V406" s="41"/>
      <c r="W406" s="36"/>
      <c r="X406" s="36"/>
      <c r="Y406" s="36"/>
      <c r="Z406" s="36"/>
      <c r="AA406" s="36"/>
    </row>
    <row r="407" spans="16:27" x14ac:dyDescent="0.2">
      <c r="P407" s="36"/>
      <c r="Q407" s="40"/>
      <c r="R407" s="40"/>
      <c r="S407" s="40"/>
      <c r="T407" s="41"/>
      <c r="U407" s="41"/>
      <c r="V407" s="41"/>
      <c r="W407" s="36"/>
      <c r="X407" s="36"/>
      <c r="Y407" s="36"/>
      <c r="Z407" s="36"/>
      <c r="AA407" s="36"/>
    </row>
    <row r="408" spans="16:27" x14ac:dyDescent="0.2">
      <c r="P408" s="36"/>
      <c r="Q408" s="40"/>
      <c r="R408" s="40"/>
      <c r="S408" s="40"/>
      <c r="T408" s="41"/>
      <c r="U408" s="41"/>
      <c r="V408" s="41"/>
      <c r="W408" s="36"/>
      <c r="X408" s="36"/>
      <c r="Y408" s="36"/>
      <c r="Z408" s="36"/>
      <c r="AA408" s="36"/>
    </row>
    <row r="409" spans="16:27" x14ac:dyDescent="0.2">
      <c r="P409" s="36"/>
      <c r="Q409" s="40"/>
      <c r="R409" s="40"/>
      <c r="S409" s="40"/>
      <c r="T409" s="41"/>
      <c r="U409" s="41"/>
      <c r="V409" s="41"/>
      <c r="W409" s="36"/>
      <c r="X409" s="36"/>
      <c r="Y409" s="36"/>
      <c r="Z409" s="36"/>
      <c r="AA409" s="36"/>
    </row>
    <row r="410" spans="16:27" x14ac:dyDescent="0.2">
      <c r="P410" s="36"/>
      <c r="Q410" s="40"/>
      <c r="R410" s="40"/>
      <c r="S410" s="40"/>
      <c r="T410" s="41"/>
      <c r="U410" s="41"/>
      <c r="V410" s="41"/>
      <c r="W410" s="36"/>
      <c r="X410" s="36"/>
      <c r="Y410" s="36"/>
      <c r="Z410" s="36"/>
      <c r="AA410" s="36"/>
    </row>
    <row r="411" spans="16:27" x14ac:dyDescent="0.2">
      <c r="P411" s="36"/>
      <c r="Q411" s="40"/>
      <c r="R411" s="40"/>
      <c r="S411" s="40"/>
      <c r="T411" s="41"/>
      <c r="U411" s="41"/>
      <c r="V411" s="41"/>
      <c r="W411" s="36"/>
      <c r="X411" s="36"/>
      <c r="Y411" s="36"/>
      <c r="Z411" s="36"/>
      <c r="AA411" s="36"/>
    </row>
    <row r="412" spans="16:27" x14ac:dyDescent="0.2">
      <c r="P412" s="36"/>
      <c r="Q412" s="40"/>
      <c r="R412" s="40"/>
      <c r="S412" s="40"/>
      <c r="T412" s="41"/>
      <c r="U412" s="41"/>
      <c r="V412" s="41"/>
      <c r="W412" s="36"/>
      <c r="X412" s="36"/>
      <c r="Y412" s="36"/>
      <c r="Z412" s="36"/>
      <c r="AA412" s="36"/>
    </row>
    <row r="413" spans="16:27" x14ac:dyDescent="0.2">
      <c r="P413" s="36"/>
      <c r="Q413" s="40"/>
      <c r="R413" s="40"/>
      <c r="S413" s="40"/>
      <c r="T413" s="41"/>
      <c r="U413" s="41"/>
      <c r="V413" s="41"/>
      <c r="W413" s="36"/>
      <c r="X413" s="36"/>
      <c r="Y413" s="36"/>
      <c r="Z413" s="36"/>
      <c r="AA413" s="36"/>
    </row>
    <row r="414" spans="16:27" x14ac:dyDescent="0.2">
      <c r="P414" s="36"/>
      <c r="Q414" s="40"/>
      <c r="R414" s="40"/>
      <c r="S414" s="40"/>
      <c r="T414" s="41"/>
      <c r="U414" s="41"/>
      <c r="V414" s="41"/>
      <c r="W414" s="36"/>
      <c r="X414" s="36"/>
      <c r="Y414" s="36"/>
      <c r="Z414" s="36"/>
      <c r="AA414" s="36"/>
    </row>
    <row r="415" spans="16:27" x14ac:dyDescent="0.2">
      <c r="P415" s="36"/>
      <c r="Q415" s="40"/>
      <c r="R415" s="40"/>
      <c r="S415" s="40"/>
      <c r="T415" s="41"/>
      <c r="U415" s="41"/>
      <c r="V415" s="41"/>
      <c r="W415" s="36"/>
      <c r="X415" s="36"/>
      <c r="Y415" s="36"/>
      <c r="Z415" s="36"/>
      <c r="AA415" s="36"/>
    </row>
    <row r="416" spans="16:27" x14ac:dyDescent="0.2">
      <c r="P416" s="36"/>
      <c r="Q416" s="40"/>
      <c r="R416" s="40"/>
      <c r="S416" s="40"/>
      <c r="T416" s="41"/>
      <c r="U416" s="41"/>
      <c r="V416" s="41"/>
      <c r="W416" s="36"/>
      <c r="X416" s="36"/>
      <c r="Y416" s="36"/>
      <c r="Z416" s="36"/>
      <c r="AA416" s="36"/>
    </row>
    <row r="417" spans="16:27" x14ac:dyDescent="0.2">
      <c r="P417" s="36"/>
      <c r="Q417" s="40"/>
      <c r="R417" s="40"/>
      <c r="S417" s="40"/>
      <c r="T417" s="41"/>
      <c r="U417" s="41"/>
      <c r="V417" s="41"/>
      <c r="W417" s="36"/>
      <c r="X417" s="36"/>
      <c r="Y417" s="36"/>
      <c r="Z417" s="36"/>
      <c r="AA417" s="36"/>
    </row>
    <row r="418" spans="16:27" x14ac:dyDescent="0.2">
      <c r="P418" s="36"/>
      <c r="Q418" s="40"/>
      <c r="R418" s="40"/>
      <c r="S418" s="40"/>
      <c r="T418" s="41"/>
      <c r="U418" s="41"/>
      <c r="V418" s="41"/>
      <c r="W418" s="36"/>
      <c r="X418" s="36"/>
      <c r="Y418" s="36"/>
      <c r="Z418" s="36"/>
      <c r="AA418" s="36"/>
    </row>
    <row r="419" spans="16:27" x14ac:dyDescent="0.2">
      <c r="P419" s="36"/>
      <c r="Q419" s="40"/>
      <c r="R419" s="40"/>
      <c r="S419" s="40"/>
      <c r="T419" s="41"/>
      <c r="U419" s="41"/>
      <c r="V419" s="41"/>
      <c r="W419" s="36"/>
      <c r="X419" s="36"/>
      <c r="Y419" s="36"/>
      <c r="Z419" s="36"/>
      <c r="AA419" s="36"/>
    </row>
    <row r="420" spans="16:27" x14ac:dyDescent="0.2">
      <c r="P420" s="36"/>
      <c r="Q420" s="40"/>
      <c r="R420" s="40"/>
      <c r="S420" s="40"/>
      <c r="T420" s="41"/>
      <c r="U420" s="41"/>
      <c r="V420" s="41"/>
      <c r="W420" s="36"/>
      <c r="X420" s="36"/>
      <c r="Y420" s="36"/>
      <c r="Z420" s="36"/>
      <c r="AA420" s="36"/>
    </row>
    <row r="421" spans="16:27" x14ac:dyDescent="0.2">
      <c r="P421" s="36"/>
      <c r="Q421" s="40"/>
      <c r="R421" s="40"/>
      <c r="S421" s="40"/>
      <c r="T421" s="41"/>
      <c r="U421" s="41"/>
      <c r="V421" s="41"/>
      <c r="W421" s="36"/>
      <c r="X421" s="36"/>
      <c r="Y421" s="36"/>
      <c r="Z421" s="36"/>
      <c r="AA421" s="36"/>
    </row>
    <row r="422" spans="16:27" x14ac:dyDescent="0.2">
      <c r="P422" s="36"/>
      <c r="Q422" s="40"/>
      <c r="R422" s="40"/>
      <c r="S422" s="40"/>
      <c r="T422" s="41"/>
      <c r="U422" s="41"/>
      <c r="V422" s="41"/>
      <c r="W422" s="36"/>
      <c r="X422" s="36"/>
      <c r="Y422" s="36"/>
      <c r="Z422" s="36"/>
      <c r="AA422" s="36"/>
    </row>
    <row r="423" spans="16:27" x14ac:dyDescent="0.2">
      <c r="P423" s="36"/>
      <c r="Q423" s="40"/>
      <c r="R423" s="40"/>
      <c r="S423" s="40"/>
      <c r="T423" s="41"/>
      <c r="U423" s="41"/>
      <c r="V423" s="41"/>
      <c r="W423" s="36"/>
      <c r="X423" s="36"/>
      <c r="Y423" s="36"/>
      <c r="Z423" s="36"/>
      <c r="AA423" s="36"/>
    </row>
    <row r="424" spans="16:27" x14ac:dyDescent="0.2">
      <c r="P424" s="36"/>
      <c r="Q424" s="40"/>
      <c r="R424" s="40"/>
      <c r="S424" s="40"/>
      <c r="T424" s="41"/>
      <c r="U424" s="41"/>
      <c r="V424" s="41"/>
      <c r="W424" s="36"/>
      <c r="X424" s="36"/>
      <c r="Y424" s="36"/>
      <c r="Z424" s="36"/>
      <c r="AA424" s="36"/>
    </row>
    <row r="425" spans="16:27" x14ac:dyDescent="0.2">
      <c r="P425" s="36"/>
      <c r="Q425" s="40"/>
      <c r="R425" s="40"/>
      <c r="S425" s="40"/>
      <c r="T425" s="41"/>
      <c r="U425" s="41"/>
      <c r="V425" s="41"/>
      <c r="W425" s="36"/>
      <c r="X425" s="36"/>
      <c r="Y425" s="36"/>
      <c r="Z425" s="36"/>
      <c r="AA425" s="36"/>
    </row>
    <row r="426" spans="16:27" x14ac:dyDescent="0.2">
      <c r="P426" s="36"/>
      <c r="Q426" s="40"/>
      <c r="R426" s="40"/>
      <c r="S426" s="40"/>
      <c r="T426" s="41"/>
      <c r="U426" s="41"/>
      <c r="V426" s="41"/>
      <c r="W426" s="36"/>
      <c r="X426" s="36"/>
      <c r="Y426" s="36"/>
      <c r="Z426" s="36"/>
      <c r="AA426" s="36"/>
    </row>
    <row r="427" spans="16:27" x14ac:dyDescent="0.2">
      <c r="P427" s="36"/>
      <c r="Q427" s="40"/>
      <c r="R427" s="40"/>
      <c r="S427" s="40"/>
      <c r="T427" s="41"/>
      <c r="U427" s="41"/>
      <c r="V427" s="41"/>
      <c r="W427" s="36"/>
      <c r="X427" s="36"/>
      <c r="Y427" s="36"/>
      <c r="Z427" s="36"/>
      <c r="AA427" s="36"/>
    </row>
    <row r="428" spans="16:27" x14ac:dyDescent="0.2">
      <c r="P428" s="36"/>
      <c r="Q428" s="40"/>
      <c r="R428" s="40"/>
      <c r="S428" s="40"/>
      <c r="T428" s="41"/>
      <c r="U428" s="41"/>
      <c r="V428" s="41"/>
      <c r="W428" s="36"/>
      <c r="X428" s="36"/>
      <c r="Y428" s="36"/>
      <c r="Z428" s="36"/>
      <c r="AA428" s="36"/>
    </row>
    <row r="429" spans="16:27" x14ac:dyDescent="0.2">
      <c r="P429" s="36"/>
      <c r="Q429" s="40"/>
      <c r="R429" s="40"/>
      <c r="S429" s="40"/>
      <c r="T429" s="41"/>
      <c r="U429" s="41"/>
      <c r="V429" s="41"/>
      <c r="W429" s="36"/>
      <c r="X429" s="36"/>
      <c r="Y429" s="36"/>
      <c r="Z429" s="36"/>
      <c r="AA429" s="36"/>
    </row>
    <row r="430" spans="16:27" x14ac:dyDescent="0.2">
      <c r="P430" s="36"/>
      <c r="Q430" s="40"/>
      <c r="R430" s="40"/>
      <c r="S430" s="40"/>
      <c r="T430" s="41"/>
      <c r="U430" s="41"/>
      <c r="V430" s="41"/>
      <c r="W430" s="36"/>
      <c r="X430" s="36"/>
      <c r="Y430" s="36"/>
      <c r="Z430" s="36"/>
      <c r="AA430" s="36"/>
    </row>
    <row r="431" spans="16:27" x14ac:dyDescent="0.2">
      <c r="P431" s="36"/>
      <c r="Q431" s="40"/>
      <c r="R431" s="40"/>
      <c r="S431" s="40"/>
      <c r="T431" s="41"/>
      <c r="U431" s="41"/>
      <c r="V431" s="41"/>
      <c r="W431" s="36"/>
      <c r="X431" s="36"/>
      <c r="Y431" s="36"/>
      <c r="Z431" s="36"/>
      <c r="AA431" s="36"/>
    </row>
    <row r="432" spans="16:27" x14ac:dyDescent="0.2">
      <c r="P432" s="36"/>
      <c r="Q432" s="40"/>
      <c r="R432" s="40"/>
      <c r="S432" s="40"/>
      <c r="T432" s="41"/>
      <c r="U432" s="41"/>
      <c r="V432" s="41"/>
      <c r="W432" s="36"/>
      <c r="X432" s="36"/>
      <c r="Y432" s="36"/>
      <c r="Z432" s="36"/>
      <c r="AA432" s="36"/>
    </row>
    <row r="433" spans="16:27" x14ac:dyDescent="0.2">
      <c r="P433" s="36"/>
      <c r="Q433" s="40"/>
      <c r="R433" s="40"/>
      <c r="S433" s="40"/>
      <c r="T433" s="41"/>
      <c r="U433" s="41"/>
      <c r="V433" s="41"/>
      <c r="W433" s="36"/>
      <c r="X433" s="36"/>
      <c r="Y433" s="36"/>
      <c r="Z433" s="36"/>
      <c r="AA433" s="36"/>
    </row>
    <row r="434" spans="16:27" x14ac:dyDescent="0.2">
      <c r="P434" s="36"/>
      <c r="Q434" s="40"/>
      <c r="R434" s="40"/>
      <c r="S434" s="40"/>
      <c r="T434" s="41"/>
      <c r="U434" s="41"/>
      <c r="V434" s="41"/>
      <c r="W434" s="36"/>
      <c r="X434" s="36"/>
      <c r="Y434" s="36"/>
      <c r="Z434" s="36"/>
      <c r="AA434" s="36"/>
    </row>
    <row r="435" spans="16:27" x14ac:dyDescent="0.2">
      <c r="P435" s="36"/>
      <c r="Q435" s="40"/>
      <c r="R435" s="40"/>
      <c r="S435" s="40"/>
      <c r="T435" s="41"/>
      <c r="U435" s="41"/>
      <c r="V435" s="41"/>
      <c r="W435" s="36"/>
      <c r="X435" s="36"/>
      <c r="Y435" s="36"/>
      <c r="Z435" s="36"/>
      <c r="AA435" s="36"/>
    </row>
    <row r="436" spans="16:27" x14ac:dyDescent="0.2">
      <c r="P436" s="36"/>
      <c r="Q436" s="40"/>
      <c r="R436" s="40"/>
      <c r="S436" s="40"/>
      <c r="T436" s="41"/>
      <c r="U436" s="41"/>
      <c r="V436" s="41"/>
      <c r="W436" s="36"/>
      <c r="X436" s="36"/>
      <c r="Y436" s="36"/>
      <c r="Z436" s="36"/>
      <c r="AA436" s="36"/>
    </row>
    <row r="437" spans="16:27" x14ac:dyDescent="0.2">
      <c r="P437" s="36"/>
      <c r="Q437" s="40"/>
      <c r="R437" s="40"/>
      <c r="S437" s="40"/>
      <c r="T437" s="41"/>
      <c r="U437" s="41"/>
      <c r="V437" s="41"/>
      <c r="W437" s="36"/>
      <c r="X437" s="36"/>
      <c r="Y437" s="36"/>
      <c r="Z437" s="36"/>
      <c r="AA437" s="36"/>
    </row>
    <row r="438" spans="16:27" x14ac:dyDescent="0.2">
      <c r="P438" s="36"/>
      <c r="Q438" s="40"/>
      <c r="R438" s="40"/>
      <c r="S438" s="40"/>
      <c r="T438" s="41"/>
      <c r="U438" s="41"/>
      <c r="V438" s="41"/>
      <c r="W438" s="36"/>
      <c r="X438" s="36"/>
      <c r="Y438" s="36"/>
      <c r="Z438" s="36"/>
      <c r="AA438" s="36"/>
    </row>
    <row r="439" spans="16:27" x14ac:dyDescent="0.2">
      <c r="P439" s="36"/>
      <c r="Q439" s="40"/>
      <c r="R439" s="40"/>
      <c r="S439" s="40"/>
      <c r="T439" s="41"/>
      <c r="U439" s="41"/>
      <c r="V439" s="41"/>
      <c r="W439" s="36"/>
      <c r="X439" s="36"/>
      <c r="Y439" s="36"/>
      <c r="Z439" s="36"/>
      <c r="AA439" s="36"/>
    </row>
    <row r="440" spans="16:27" x14ac:dyDescent="0.2">
      <c r="P440" s="36"/>
      <c r="Q440" s="40"/>
      <c r="R440" s="40"/>
      <c r="S440" s="40"/>
      <c r="T440" s="41"/>
      <c r="U440" s="41"/>
      <c r="V440" s="41"/>
      <c r="W440" s="36"/>
      <c r="X440" s="36"/>
      <c r="Y440" s="36"/>
      <c r="Z440" s="36"/>
      <c r="AA440" s="36"/>
    </row>
    <row r="441" spans="16:27" x14ac:dyDescent="0.2">
      <c r="P441" s="36"/>
      <c r="Q441" s="40"/>
      <c r="R441" s="40"/>
      <c r="S441" s="40"/>
      <c r="T441" s="41"/>
      <c r="U441" s="41"/>
      <c r="V441" s="41"/>
      <c r="W441" s="36"/>
      <c r="X441" s="36"/>
      <c r="Y441" s="36"/>
      <c r="Z441" s="36"/>
      <c r="AA441" s="36"/>
    </row>
    <row r="442" spans="16:27" x14ac:dyDescent="0.2">
      <c r="P442" s="36"/>
      <c r="Q442" s="40"/>
      <c r="R442" s="40"/>
      <c r="S442" s="40"/>
      <c r="T442" s="41"/>
      <c r="U442" s="41"/>
      <c r="V442" s="41"/>
      <c r="W442" s="36"/>
      <c r="X442" s="36"/>
      <c r="Y442" s="36"/>
      <c r="Z442" s="36"/>
      <c r="AA442" s="36"/>
    </row>
    <row r="443" spans="16:27" x14ac:dyDescent="0.2">
      <c r="P443" s="36"/>
      <c r="Q443" s="40"/>
      <c r="R443" s="40"/>
      <c r="S443" s="40"/>
      <c r="T443" s="41"/>
      <c r="U443" s="41"/>
      <c r="V443" s="41"/>
      <c r="W443" s="36"/>
      <c r="X443" s="36"/>
      <c r="Y443" s="36"/>
      <c r="Z443" s="36"/>
      <c r="AA443" s="36"/>
    </row>
    <row r="444" spans="16:27" x14ac:dyDescent="0.2">
      <c r="P444" s="36"/>
      <c r="Q444" s="40"/>
      <c r="R444" s="40"/>
      <c r="S444" s="40"/>
      <c r="T444" s="41"/>
      <c r="U444" s="41"/>
      <c r="V444" s="41"/>
      <c r="W444" s="36"/>
      <c r="X444" s="36"/>
      <c r="Y444" s="36"/>
      <c r="Z444" s="36"/>
      <c r="AA444" s="36"/>
    </row>
    <row r="445" spans="16:27" x14ac:dyDescent="0.2">
      <c r="P445" s="36"/>
      <c r="Q445" s="40"/>
      <c r="R445" s="40"/>
      <c r="S445" s="40"/>
      <c r="T445" s="41"/>
      <c r="U445" s="41"/>
      <c r="V445" s="41"/>
      <c r="W445" s="36"/>
      <c r="X445" s="36"/>
      <c r="Y445" s="36"/>
      <c r="Z445" s="36"/>
      <c r="AA445" s="36"/>
    </row>
    <row r="446" spans="16:27" x14ac:dyDescent="0.2">
      <c r="P446" s="36"/>
      <c r="Q446" s="40"/>
      <c r="R446" s="40"/>
      <c r="S446" s="40"/>
      <c r="T446" s="41"/>
      <c r="U446" s="41"/>
      <c r="V446" s="41"/>
      <c r="W446" s="36"/>
      <c r="X446" s="36"/>
      <c r="Y446" s="36"/>
      <c r="Z446" s="36"/>
      <c r="AA446" s="36"/>
    </row>
    <row r="447" spans="16:27" x14ac:dyDescent="0.2">
      <c r="P447" s="36"/>
      <c r="Q447" s="40"/>
      <c r="R447" s="40"/>
      <c r="S447" s="40"/>
      <c r="T447" s="41"/>
      <c r="U447" s="41"/>
      <c r="V447" s="41"/>
      <c r="W447" s="36"/>
      <c r="X447" s="36"/>
      <c r="Y447" s="36"/>
      <c r="Z447" s="36"/>
      <c r="AA447" s="36"/>
    </row>
    <row r="448" spans="16:27" x14ac:dyDescent="0.2">
      <c r="P448" s="36"/>
      <c r="Q448" s="40"/>
      <c r="R448" s="40"/>
      <c r="S448" s="40"/>
      <c r="T448" s="41"/>
      <c r="U448" s="41"/>
      <c r="V448" s="41"/>
      <c r="W448" s="36"/>
      <c r="X448" s="36"/>
      <c r="Y448" s="36"/>
      <c r="Z448" s="36"/>
      <c r="AA448" s="36"/>
    </row>
    <row r="449" spans="16:27" x14ac:dyDescent="0.2">
      <c r="P449" s="36"/>
      <c r="Q449" s="40"/>
      <c r="R449" s="40"/>
      <c r="S449" s="40"/>
      <c r="T449" s="41"/>
      <c r="U449" s="41"/>
      <c r="V449" s="41"/>
      <c r="W449" s="36"/>
      <c r="X449" s="36"/>
      <c r="Y449" s="36"/>
      <c r="Z449" s="36"/>
      <c r="AA449" s="36"/>
    </row>
    <row r="450" spans="16:27" x14ac:dyDescent="0.2">
      <c r="P450" s="36"/>
      <c r="Q450" s="40"/>
      <c r="R450" s="40"/>
      <c r="S450" s="40"/>
      <c r="T450" s="41"/>
      <c r="U450" s="41"/>
      <c r="V450" s="41"/>
      <c r="W450" s="36"/>
      <c r="X450" s="36"/>
      <c r="Y450" s="36"/>
      <c r="Z450" s="36"/>
      <c r="AA450" s="36"/>
    </row>
    <row r="451" spans="16:27" x14ac:dyDescent="0.2">
      <c r="P451" s="36"/>
      <c r="Q451" s="40"/>
      <c r="R451" s="40"/>
      <c r="S451" s="40"/>
      <c r="T451" s="41"/>
      <c r="U451" s="41"/>
      <c r="V451" s="41"/>
      <c r="W451" s="36"/>
      <c r="X451" s="36"/>
      <c r="Y451" s="36"/>
      <c r="Z451" s="36"/>
      <c r="AA451" s="36"/>
    </row>
    <row r="452" spans="16:27" x14ac:dyDescent="0.2">
      <c r="P452" s="36"/>
      <c r="Q452" s="40"/>
      <c r="R452" s="40"/>
      <c r="S452" s="40"/>
      <c r="T452" s="41"/>
      <c r="U452" s="41"/>
      <c r="V452" s="41"/>
      <c r="W452" s="36"/>
      <c r="X452" s="36"/>
      <c r="Y452" s="36"/>
      <c r="Z452" s="36"/>
      <c r="AA452" s="36"/>
    </row>
    <row r="453" spans="16:27" x14ac:dyDescent="0.2">
      <c r="P453" s="36"/>
      <c r="Q453" s="40"/>
      <c r="R453" s="40"/>
      <c r="S453" s="40"/>
      <c r="T453" s="41"/>
      <c r="U453" s="41"/>
      <c r="V453" s="41"/>
      <c r="W453" s="36"/>
      <c r="X453" s="36"/>
      <c r="Y453" s="36"/>
      <c r="Z453" s="36"/>
      <c r="AA453" s="36"/>
    </row>
    <row r="454" spans="16:27" x14ac:dyDescent="0.2">
      <c r="P454" s="36"/>
      <c r="Q454" s="40"/>
      <c r="R454" s="40"/>
      <c r="S454" s="40"/>
      <c r="T454" s="41"/>
      <c r="U454" s="41"/>
      <c r="V454" s="41"/>
      <c r="W454" s="36"/>
      <c r="X454" s="36"/>
      <c r="Y454" s="36"/>
      <c r="Z454" s="36"/>
      <c r="AA454" s="36"/>
    </row>
    <row r="455" spans="16:27" x14ac:dyDescent="0.2">
      <c r="P455" s="36"/>
      <c r="Q455" s="40"/>
      <c r="R455" s="40"/>
      <c r="S455" s="40"/>
      <c r="T455" s="41"/>
      <c r="U455" s="41"/>
      <c r="V455" s="41"/>
      <c r="W455" s="36"/>
      <c r="X455" s="36"/>
      <c r="Y455" s="36"/>
      <c r="Z455" s="36"/>
      <c r="AA455" s="36"/>
    </row>
    <row r="456" spans="16:27" x14ac:dyDescent="0.2">
      <c r="P456" s="36"/>
      <c r="Q456" s="40"/>
      <c r="R456" s="40"/>
      <c r="S456" s="40"/>
      <c r="T456" s="41"/>
      <c r="U456" s="41"/>
      <c r="V456" s="41"/>
      <c r="W456" s="36"/>
      <c r="X456" s="36"/>
      <c r="Y456" s="36"/>
      <c r="Z456" s="36"/>
      <c r="AA456" s="36"/>
    </row>
    <row r="457" spans="16:27" x14ac:dyDescent="0.2">
      <c r="P457" s="36"/>
      <c r="Q457" s="40"/>
      <c r="R457" s="40"/>
      <c r="S457" s="40"/>
      <c r="T457" s="41"/>
      <c r="U457" s="41"/>
      <c r="V457" s="41"/>
      <c r="W457" s="36"/>
      <c r="X457" s="36"/>
      <c r="Y457" s="36"/>
      <c r="Z457" s="36"/>
      <c r="AA457" s="36"/>
    </row>
    <row r="458" spans="16:27" x14ac:dyDescent="0.2">
      <c r="P458" s="36"/>
      <c r="Q458" s="40"/>
      <c r="R458" s="40"/>
      <c r="S458" s="40"/>
      <c r="T458" s="41"/>
      <c r="U458" s="41"/>
      <c r="V458" s="41"/>
      <c r="W458" s="36"/>
      <c r="X458" s="36"/>
      <c r="Y458" s="36"/>
      <c r="Z458" s="36"/>
      <c r="AA458" s="36"/>
    </row>
    <row r="459" spans="16:27" x14ac:dyDescent="0.2">
      <c r="P459" s="36"/>
      <c r="Q459" s="40"/>
      <c r="R459" s="40"/>
      <c r="S459" s="40"/>
      <c r="T459" s="41"/>
      <c r="U459" s="41"/>
      <c r="V459" s="41"/>
      <c r="W459" s="36"/>
      <c r="X459" s="36"/>
      <c r="Y459" s="36"/>
      <c r="Z459" s="36"/>
      <c r="AA459" s="36"/>
    </row>
    <row r="460" spans="16:27" x14ac:dyDescent="0.2">
      <c r="P460" s="36"/>
      <c r="Q460" s="40"/>
      <c r="R460" s="40"/>
      <c r="S460" s="40"/>
      <c r="T460" s="41"/>
      <c r="U460" s="41"/>
      <c r="V460" s="41"/>
      <c r="W460" s="36"/>
      <c r="X460" s="36"/>
      <c r="Y460" s="36"/>
      <c r="Z460" s="36"/>
      <c r="AA460" s="36"/>
    </row>
    <row r="461" spans="16:27" x14ac:dyDescent="0.2">
      <c r="P461" s="36"/>
      <c r="Q461" s="40"/>
      <c r="R461" s="40"/>
      <c r="S461" s="40"/>
      <c r="T461" s="41"/>
      <c r="U461" s="41"/>
      <c r="V461" s="41"/>
      <c r="W461" s="36"/>
      <c r="X461" s="36"/>
      <c r="Y461" s="36"/>
      <c r="Z461" s="36"/>
      <c r="AA461" s="36"/>
    </row>
    <row r="462" spans="16:27" x14ac:dyDescent="0.2">
      <c r="P462" s="36"/>
      <c r="Q462" s="40"/>
      <c r="R462" s="40"/>
      <c r="S462" s="40"/>
      <c r="T462" s="41"/>
      <c r="U462" s="41"/>
      <c r="V462" s="41"/>
      <c r="W462" s="36"/>
      <c r="X462" s="36"/>
      <c r="Y462" s="36"/>
      <c r="Z462" s="36"/>
      <c r="AA462" s="36"/>
    </row>
    <row r="463" spans="16:27" x14ac:dyDescent="0.2">
      <c r="P463" s="36"/>
      <c r="Q463" s="40"/>
      <c r="R463" s="40"/>
      <c r="S463" s="40"/>
      <c r="T463" s="41"/>
      <c r="U463" s="41"/>
      <c r="V463" s="41"/>
      <c r="W463" s="36"/>
      <c r="X463" s="36"/>
      <c r="Y463" s="36"/>
      <c r="Z463" s="36"/>
      <c r="AA463" s="36"/>
    </row>
    <row r="464" spans="16:27" x14ac:dyDescent="0.2">
      <c r="P464" s="36"/>
      <c r="Q464" s="40"/>
      <c r="R464" s="40"/>
      <c r="S464" s="40"/>
      <c r="T464" s="41"/>
      <c r="U464" s="41"/>
      <c r="V464" s="41"/>
      <c r="W464" s="36"/>
      <c r="X464" s="36"/>
      <c r="Y464" s="36"/>
      <c r="Z464" s="36"/>
      <c r="AA464" s="36"/>
    </row>
    <row r="465" spans="16:27" x14ac:dyDescent="0.2">
      <c r="P465" s="36"/>
      <c r="Q465" s="40"/>
      <c r="R465" s="40"/>
      <c r="S465" s="40"/>
      <c r="T465" s="41"/>
      <c r="U465" s="41"/>
      <c r="V465" s="41"/>
      <c r="W465" s="36"/>
      <c r="X465" s="36"/>
      <c r="Y465" s="36"/>
      <c r="Z465" s="36"/>
      <c r="AA465" s="36"/>
    </row>
    <row r="466" spans="16:27" x14ac:dyDescent="0.2">
      <c r="P466" s="36"/>
      <c r="Q466" s="40"/>
      <c r="R466" s="40"/>
      <c r="S466" s="40"/>
      <c r="T466" s="41"/>
      <c r="U466" s="41"/>
      <c r="V466" s="41"/>
      <c r="W466" s="36"/>
      <c r="X466" s="36"/>
      <c r="Y466" s="36"/>
      <c r="Z466" s="36"/>
      <c r="AA466" s="36"/>
    </row>
    <row r="467" spans="16:27" x14ac:dyDescent="0.2">
      <c r="P467" s="36"/>
      <c r="Q467" s="40"/>
      <c r="R467" s="40"/>
      <c r="S467" s="40"/>
      <c r="T467" s="41"/>
      <c r="U467" s="41"/>
      <c r="V467" s="41"/>
      <c r="W467" s="36"/>
      <c r="X467" s="36"/>
      <c r="Y467" s="36"/>
      <c r="Z467" s="36"/>
      <c r="AA467" s="36"/>
    </row>
    <row r="468" spans="16:27" x14ac:dyDescent="0.2">
      <c r="P468" s="36"/>
      <c r="Q468" s="40"/>
      <c r="R468" s="40"/>
      <c r="S468" s="40"/>
      <c r="T468" s="41"/>
      <c r="U468" s="41"/>
      <c r="V468" s="41"/>
      <c r="W468" s="36"/>
      <c r="X468" s="36"/>
      <c r="Y468" s="36"/>
      <c r="Z468" s="36"/>
      <c r="AA468" s="36"/>
    </row>
    <row r="469" spans="16:27" x14ac:dyDescent="0.2">
      <c r="P469" s="36"/>
      <c r="Q469" s="40"/>
      <c r="R469" s="40"/>
      <c r="S469" s="40"/>
      <c r="T469" s="41"/>
      <c r="U469" s="41"/>
      <c r="V469" s="41"/>
      <c r="W469" s="36"/>
      <c r="X469" s="36"/>
      <c r="Y469" s="36"/>
      <c r="Z469" s="36"/>
      <c r="AA469" s="36"/>
    </row>
    <row r="470" spans="16:27" x14ac:dyDescent="0.2">
      <c r="P470" s="36"/>
      <c r="Q470" s="40"/>
      <c r="R470" s="40"/>
      <c r="S470" s="40"/>
      <c r="T470" s="41"/>
      <c r="U470" s="41"/>
      <c r="V470" s="41"/>
      <c r="W470" s="36"/>
      <c r="X470" s="36"/>
      <c r="Y470" s="36"/>
      <c r="Z470" s="36"/>
      <c r="AA470" s="36"/>
    </row>
    <row r="471" spans="16:27" x14ac:dyDescent="0.2">
      <c r="P471" s="36"/>
      <c r="Q471" s="40"/>
      <c r="R471" s="40"/>
      <c r="S471" s="40"/>
      <c r="T471" s="41"/>
      <c r="U471" s="41"/>
      <c r="V471" s="41"/>
      <c r="W471" s="36"/>
      <c r="X471" s="36"/>
      <c r="Y471" s="36"/>
      <c r="Z471" s="36"/>
      <c r="AA471" s="36"/>
    </row>
    <row r="472" spans="16:27" x14ac:dyDescent="0.2">
      <c r="P472" s="36"/>
      <c r="Q472" s="40"/>
      <c r="R472" s="40"/>
      <c r="S472" s="40"/>
      <c r="T472" s="41"/>
      <c r="U472" s="41"/>
      <c r="V472" s="41"/>
      <c r="W472" s="36"/>
      <c r="X472" s="36"/>
      <c r="Y472" s="36"/>
      <c r="Z472" s="36"/>
      <c r="AA472" s="36"/>
    </row>
    <row r="473" spans="16:27" x14ac:dyDescent="0.2">
      <c r="P473" s="36"/>
      <c r="Q473" s="40"/>
      <c r="R473" s="40"/>
      <c r="S473" s="40"/>
      <c r="T473" s="41"/>
      <c r="U473" s="41"/>
      <c r="V473" s="41"/>
      <c r="W473" s="36"/>
      <c r="X473" s="36"/>
      <c r="Y473" s="36"/>
      <c r="Z473" s="36"/>
      <c r="AA473" s="36"/>
    </row>
    <row r="474" spans="16:27" x14ac:dyDescent="0.2">
      <c r="P474" s="36"/>
      <c r="Q474" s="40"/>
      <c r="R474" s="40"/>
      <c r="S474" s="40"/>
      <c r="T474" s="41"/>
      <c r="U474" s="41"/>
      <c r="V474" s="41"/>
      <c r="W474" s="36"/>
      <c r="X474" s="36"/>
      <c r="Y474" s="36"/>
      <c r="Z474" s="36"/>
      <c r="AA474" s="36"/>
    </row>
    <row r="475" spans="16:27" x14ac:dyDescent="0.2">
      <c r="P475" s="36"/>
      <c r="Q475" s="40"/>
      <c r="R475" s="40"/>
      <c r="S475" s="40"/>
      <c r="T475" s="41"/>
      <c r="U475" s="41"/>
      <c r="V475" s="41"/>
      <c r="W475" s="36"/>
      <c r="X475" s="36"/>
      <c r="Y475" s="36"/>
      <c r="Z475" s="36"/>
      <c r="AA475" s="36"/>
    </row>
    <row r="476" spans="16:27" x14ac:dyDescent="0.2">
      <c r="P476" s="36"/>
      <c r="Q476" s="40"/>
      <c r="R476" s="40"/>
      <c r="S476" s="40"/>
      <c r="T476" s="41"/>
      <c r="U476" s="41"/>
      <c r="V476" s="41"/>
      <c r="W476" s="36"/>
      <c r="X476" s="36"/>
      <c r="Y476" s="36"/>
      <c r="Z476" s="36"/>
      <c r="AA476" s="36"/>
    </row>
    <row r="477" spans="16:27" x14ac:dyDescent="0.2">
      <c r="P477" s="36"/>
      <c r="Q477" s="40"/>
      <c r="R477" s="40"/>
      <c r="S477" s="40"/>
      <c r="T477" s="41"/>
      <c r="U477" s="41"/>
      <c r="V477" s="41"/>
      <c r="W477" s="36"/>
      <c r="X477" s="36"/>
      <c r="Y477" s="36"/>
      <c r="Z477" s="36"/>
      <c r="AA477" s="36"/>
    </row>
    <row r="478" spans="16:27" x14ac:dyDescent="0.2">
      <c r="P478" s="36"/>
      <c r="Q478" s="40"/>
      <c r="R478" s="40"/>
      <c r="S478" s="40"/>
      <c r="T478" s="41"/>
      <c r="U478" s="41"/>
      <c r="V478" s="41"/>
      <c r="W478" s="36"/>
      <c r="X478" s="36"/>
      <c r="Y478" s="36"/>
      <c r="Z478" s="36"/>
      <c r="AA478" s="36"/>
    </row>
    <row r="479" spans="16:27" x14ac:dyDescent="0.2">
      <c r="P479" s="36"/>
      <c r="Q479" s="40"/>
      <c r="R479" s="40"/>
      <c r="S479" s="40"/>
      <c r="T479" s="41"/>
      <c r="U479" s="41"/>
      <c r="V479" s="41"/>
      <c r="W479" s="36"/>
      <c r="X479" s="36"/>
      <c r="Y479" s="36"/>
      <c r="Z479" s="36"/>
      <c r="AA479" s="36"/>
    </row>
    <row r="480" spans="16:27" x14ac:dyDescent="0.2">
      <c r="P480" s="36"/>
      <c r="Q480" s="40"/>
      <c r="R480" s="40"/>
      <c r="S480" s="40"/>
      <c r="T480" s="41"/>
      <c r="U480" s="41"/>
      <c r="V480" s="41"/>
      <c r="W480" s="36"/>
      <c r="X480" s="36"/>
      <c r="Y480" s="36"/>
      <c r="Z480" s="36"/>
      <c r="AA480" s="36"/>
    </row>
    <row r="481" spans="16:27" x14ac:dyDescent="0.2">
      <c r="P481" s="36"/>
      <c r="Q481" s="40"/>
      <c r="R481" s="40"/>
      <c r="S481" s="40"/>
      <c r="T481" s="41"/>
      <c r="U481" s="41"/>
      <c r="V481" s="41"/>
      <c r="W481" s="36"/>
      <c r="X481" s="36"/>
      <c r="Y481" s="36"/>
      <c r="Z481" s="36"/>
      <c r="AA481" s="36"/>
    </row>
    <row r="482" spans="16:27" x14ac:dyDescent="0.2">
      <c r="P482" s="36"/>
      <c r="Q482" s="40"/>
      <c r="R482" s="40"/>
      <c r="S482" s="40"/>
      <c r="T482" s="41"/>
      <c r="U482" s="41"/>
      <c r="V482" s="41"/>
      <c r="W482" s="36"/>
      <c r="X482" s="36"/>
      <c r="Y482" s="36"/>
      <c r="Z482" s="36"/>
      <c r="AA482" s="36"/>
    </row>
    <row r="483" spans="16:27" x14ac:dyDescent="0.2">
      <c r="P483" s="36"/>
      <c r="Q483" s="40"/>
      <c r="R483" s="40"/>
      <c r="S483" s="40"/>
      <c r="T483" s="41"/>
      <c r="U483" s="41"/>
      <c r="V483" s="41"/>
      <c r="W483" s="36"/>
      <c r="X483" s="36"/>
      <c r="Y483" s="36"/>
      <c r="Z483" s="36"/>
      <c r="AA483" s="36"/>
    </row>
    <row r="484" spans="16:27" x14ac:dyDescent="0.2">
      <c r="P484" s="36"/>
      <c r="Q484" s="40"/>
      <c r="R484" s="40"/>
      <c r="S484" s="40"/>
      <c r="T484" s="41"/>
      <c r="U484" s="41"/>
      <c r="V484" s="41"/>
      <c r="W484" s="36"/>
      <c r="X484" s="36"/>
      <c r="Y484" s="36"/>
      <c r="Z484" s="36"/>
      <c r="AA484" s="36"/>
    </row>
    <row r="485" spans="16:27" x14ac:dyDescent="0.2">
      <c r="P485" s="36"/>
      <c r="Q485" s="40"/>
      <c r="R485" s="40"/>
      <c r="S485" s="40"/>
      <c r="T485" s="41"/>
      <c r="U485" s="41"/>
      <c r="V485" s="41"/>
      <c r="W485" s="36"/>
      <c r="X485" s="36"/>
      <c r="Y485" s="36"/>
      <c r="Z485" s="36"/>
      <c r="AA485" s="36"/>
    </row>
    <row r="486" spans="16:27" x14ac:dyDescent="0.2">
      <c r="P486" s="36"/>
      <c r="Q486" s="40"/>
      <c r="R486" s="40"/>
      <c r="S486" s="40"/>
      <c r="T486" s="41"/>
      <c r="U486" s="41"/>
      <c r="V486" s="41"/>
      <c r="W486" s="36"/>
      <c r="X486" s="36"/>
      <c r="Y486" s="36"/>
      <c r="Z486" s="36"/>
      <c r="AA486" s="36"/>
    </row>
    <row r="487" spans="16:27" x14ac:dyDescent="0.2">
      <c r="P487" s="36"/>
      <c r="Q487" s="40"/>
      <c r="R487" s="40"/>
      <c r="S487" s="40"/>
      <c r="T487" s="41"/>
      <c r="U487" s="41"/>
      <c r="V487" s="41"/>
      <c r="W487" s="36"/>
      <c r="X487" s="36"/>
      <c r="Y487" s="36"/>
      <c r="Z487" s="36"/>
      <c r="AA487" s="36"/>
    </row>
    <row r="488" spans="16:27" x14ac:dyDescent="0.2">
      <c r="P488" s="36"/>
      <c r="Q488" s="40"/>
      <c r="R488" s="40"/>
      <c r="S488" s="40"/>
      <c r="T488" s="41"/>
      <c r="U488" s="41"/>
      <c r="V488" s="41"/>
      <c r="W488" s="36"/>
      <c r="X488" s="36"/>
      <c r="Y488" s="36"/>
      <c r="Z488" s="36"/>
      <c r="AA488" s="36"/>
    </row>
    <row r="489" spans="16:27" x14ac:dyDescent="0.2">
      <c r="P489" s="36"/>
      <c r="Q489" s="40"/>
      <c r="R489" s="40"/>
      <c r="S489" s="40"/>
      <c r="T489" s="41"/>
      <c r="U489" s="41"/>
      <c r="V489" s="41"/>
      <c r="W489" s="36"/>
      <c r="X489" s="36"/>
      <c r="Y489" s="36"/>
      <c r="Z489" s="36"/>
      <c r="AA489" s="36"/>
    </row>
    <row r="490" spans="16:27" x14ac:dyDescent="0.2">
      <c r="P490" s="36"/>
      <c r="Q490" s="40"/>
      <c r="R490" s="40"/>
      <c r="S490" s="40"/>
      <c r="T490" s="41"/>
      <c r="U490" s="41"/>
      <c r="V490" s="41"/>
      <c r="W490" s="36"/>
      <c r="X490" s="36"/>
      <c r="Y490" s="36"/>
      <c r="Z490" s="36"/>
      <c r="AA490" s="36"/>
    </row>
    <row r="491" spans="16:27" x14ac:dyDescent="0.2">
      <c r="P491" s="36"/>
      <c r="Q491" s="40"/>
      <c r="R491" s="40"/>
      <c r="S491" s="40"/>
      <c r="T491" s="41"/>
      <c r="U491" s="41"/>
      <c r="V491" s="41"/>
      <c r="W491" s="36"/>
      <c r="X491" s="36"/>
      <c r="Y491" s="36"/>
      <c r="Z491" s="36"/>
      <c r="AA491" s="36"/>
    </row>
    <row r="492" spans="16:27" x14ac:dyDescent="0.2">
      <c r="P492" s="36"/>
      <c r="Q492" s="40"/>
      <c r="R492" s="40"/>
      <c r="S492" s="40"/>
      <c r="T492" s="41"/>
      <c r="U492" s="41"/>
      <c r="V492" s="41"/>
      <c r="W492" s="36"/>
      <c r="X492" s="36"/>
      <c r="Y492" s="36"/>
      <c r="Z492" s="36"/>
      <c r="AA492" s="36"/>
    </row>
    <row r="493" spans="16:27" x14ac:dyDescent="0.2">
      <c r="P493" s="36"/>
      <c r="Q493" s="40"/>
      <c r="R493" s="40"/>
      <c r="S493" s="40"/>
      <c r="T493" s="41"/>
      <c r="U493" s="41"/>
      <c r="V493" s="41"/>
      <c r="W493" s="36"/>
      <c r="X493" s="36"/>
      <c r="Y493" s="36"/>
      <c r="Z493" s="36"/>
      <c r="AA493" s="36"/>
    </row>
    <row r="494" spans="16:27" x14ac:dyDescent="0.2">
      <c r="P494" s="36"/>
      <c r="Q494" s="40"/>
      <c r="R494" s="40"/>
      <c r="S494" s="40"/>
      <c r="T494" s="41"/>
      <c r="U494" s="41"/>
      <c r="V494" s="41"/>
      <c r="W494" s="36"/>
      <c r="X494" s="36"/>
      <c r="Y494" s="36"/>
      <c r="Z494" s="36"/>
      <c r="AA494" s="36"/>
    </row>
    <row r="495" spans="16:27" x14ac:dyDescent="0.2">
      <c r="P495" s="36"/>
      <c r="Q495" s="40"/>
      <c r="R495" s="40"/>
      <c r="S495" s="40"/>
      <c r="T495" s="41"/>
      <c r="U495" s="41"/>
      <c r="V495" s="41"/>
      <c r="W495" s="36"/>
      <c r="X495" s="36"/>
      <c r="Y495" s="36"/>
      <c r="Z495" s="36"/>
      <c r="AA495" s="36"/>
    </row>
    <row r="496" spans="16:27" x14ac:dyDescent="0.2">
      <c r="P496" s="36"/>
      <c r="Q496" s="40"/>
      <c r="R496" s="40"/>
      <c r="S496" s="40"/>
      <c r="T496" s="41"/>
      <c r="U496" s="41"/>
      <c r="V496" s="41"/>
      <c r="W496" s="36"/>
      <c r="X496" s="36"/>
      <c r="Y496" s="36"/>
      <c r="Z496" s="36"/>
      <c r="AA496" s="36"/>
    </row>
    <row r="497" spans="16:27" x14ac:dyDescent="0.2">
      <c r="P497" s="36"/>
      <c r="Q497" s="40"/>
      <c r="R497" s="40"/>
      <c r="S497" s="40"/>
      <c r="T497" s="41"/>
      <c r="U497" s="41"/>
      <c r="V497" s="41"/>
      <c r="W497" s="36"/>
      <c r="X497" s="36"/>
      <c r="Y497" s="36"/>
      <c r="Z497" s="36"/>
      <c r="AA497" s="36"/>
    </row>
    <row r="498" spans="16:27" x14ac:dyDescent="0.2">
      <c r="P498" s="36"/>
      <c r="Q498" s="40"/>
      <c r="R498" s="40"/>
      <c r="S498" s="40"/>
      <c r="T498" s="41"/>
      <c r="U498" s="41"/>
      <c r="V498" s="41"/>
      <c r="W498" s="36"/>
      <c r="X498" s="36"/>
      <c r="Y498" s="36"/>
      <c r="Z498" s="36"/>
      <c r="AA498" s="36"/>
    </row>
    <row r="499" spans="16:27" x14ac:dyDescent="0.2">
      <c r="P499" s="36"/>
      <c r="Q499" s="40"/>
      <c r="R499" s="40"/>
      <c r="S499" s="40"/>
      <c r="T499" s="41"/>
      <c r="U499" s="41"/>
      <c r="V499" s="41"/>
      <c r="W499" s="36"/>
      <c r="X499" s="36"/>
      <c r="Y499" s="36"/>
      <c r="Z499" s="36"/>
      <c r="AA499" s="36"/>
    </row>
    <row r="500" spans="16:27" x14ac:dyDescent="0.2">
      <c r="P500" s="36"/>
      <c r="Q500" s="40"/>
      <c r="R500" s="40"/>
      <c r="S500" s="40"/>
      <c r="T500" s="41"/>
      <c r="U500" s="41"/>
      <c r="V500" s="41"/>
      <c r="W500" s="36"/>
      <c r="X500" s="36"/>
      <c r="Y500" s="36"/>
      <c r="Z500" s="36"/>
      <c r="AA500" s="36"/>
    </row>
    <row r="501" spans="16:27" x14ac:dyDescent="0.2">
      <c r="P501" s="36"/>
      <c r="Q501" s="40"/>
      <c r="R501" s="40"/>
      <c r="S501" s="40"/>
      <c r="T501" s="41"/>
      <c r="U501" s="41"/>
      <c r="V501" s="41"/>
      <c r="W501" s="36"/>
      <c r="X501" s="36"/>
      <c r="Y501" s="36"/>
      <c r="Z501" s="36"/>
      <c r="AA501" s="36"/>
    </row>
    <row r="502" spans="16:27" x14ac:dyDescent="0.2">
      <c r="P502" s="36"/>
      <c r="Q502" s="40"/>
      <c r="R502" s="40"/>
      <c r="S502" s="40"/>
      <c r="T502" s="41"/>
      <c r="U502" s="41"/>
      <c r="V502" s="41"/>
      <c r="W502" s="36"/>
      <c r="X502" s="36"/>
      <c r="Y502" s="36"/>
      <c r="Z502" s="36"/>
      <c r="AA502" s="36"/>
    </row>
    <row r="503" spans="16:27" x14ac:dyDescent="0.2">
      <c r="P503" s="36"/>
      <c r="Q503" s="40"/>
      <c r="R503" s="40"/>
      <c r="S503" s="40"/>
      <c r="T503" s="41"/>
      <c r="U503" s="41"/>
      <c r="V503" s="41"/>
      <c r="W503" s="36"/>
      <c r="X503" s="36"/>
      <c r="Y503" s="36"/>
      <c r="Z503" s="36"/>
      <c r="AA503" s="36"/>
    </row>
    <row r="504" spans="16:27" x14ac:dyDescent="0.2">
      <c r="P504" s="36"/>
      <c r="Q504" s="40"/>
      <c r="R504" s="40"/>
      <c r="S504" s="40"/>
      <c r="T504" s="41"/>
      <c r="U504" s="41"/>
      <c r="V504" s="41"/>
      <c r="W504" s="36"/>
      <c r="X504" s="36"/>
      <c r="Y504" s="36"/>
      <c r="Z504" s="36"/>
      <c r="AA504" s="36"/>
    </row>
    <row r="505" spans="16:27" x14ac:dyDescent="0.2">
      <c r="P505" s="36"/>
      <c r="Q505" s="40"/>
      <c r="R505" s="40"/>
      <c r="S505" s="40"/>
      <c r="T505" s="41"/>
      <c r="U505" s="41"/>
      <c r="V505" s="41"/>
      <c r="W505" s="36"/>
      <c r="X505" s="36"/>
      <c r="Y505" s="36"/>
      <c r="Z505" s="36"/>
      <c r="AA505" s="36"/>
    </row>
    <row r="506" spans="16:27" x14ac:dyDescent="0.2">
      <c r="P506" s="36"/>
      <c r="Q506" s="40"/>
      <c r="R506" s="40"/>
      <c r="S506" s="40"/>
      <c r="T506" s="41"/>
      <c r="U506" s="41"/>
      <c r="V506" s="41"/>
      <c r="W506" s="36"/>
      <c r="X506" s="36"/>
      <c r="Y506" s="36"/>
      <c r="Z506" s="36"/>
      <c r="AA506" s="36"/>
    </row>
    <row r="507" spans="16:27" x14ac:dyDescent="0.2">
      <c r="P507" s="36"/>
      <c r="Q507" s="40"/>
      <c r="R507" s="40"/>
      <c r="S507" s="40"/>
      <c r="T507" s="41"/>
      <c r="U507" s="41"/>
      <c r="V507" s="41"/>
      <c r="W507" s="36"/>
      <c r="X507" s="36"/>
      <c r="Y507" s="36"/>
      <c r="Z507" s="36"/>
      <c r="AA507" s="36"/>
    </row>
    <row r="508" spans="16:27" x14ac:dyDescent="0.2">
      <c r="P508" s="36"/>
      <c r="Q508" s="40"/>
      <c r="R508" s="40"/>
      <c r="S508" s="40"/>
      <c r="T508" s="41"/>
      <c r="U508" s="41"/>
      <c r="V508" s="41"/>
      <c r="W508" s="36"/>
      <c r="X508" s="36"/>
      <c r="Y508" s="36"/>
      <c r="Z508" s="36"/>
      <c r="AA508" s="36"/>
    </row>
    <row r="509" spans="16:27" x14ac:dyDescent="0.2">
      <c r="P509" s="36"/>
      <c r="Q509" s="40"/>
      <c r="R509" s="40"/>
      <c r="S509" s="40"/>
      <c r="T509" s="41"/>
      <c r="U509" s="41"/>
      <c r="V509" s="41"/>
      <c r="W509" s="36"/>
      <c r="X509" s="36"/>
      <c r="Y509" s="36"/>
      <c r="Z509" s="36"/>
      <c r="AA509" s="36"/>
    </row>
    <row r="510" spans="16:27" x14ac:dyDescent="0.2">
      <c r="P510" s="36"/>
      <c r="Q510" s="40"/>
      <c r="R510" s="40"/>
      <c r="S510" s="40"/>
      <c r="T510" s="41"/>
      <c r="U510" s="41"/>
      <c r="V510" s="41"/>
      <c r="W510" s="36"/>
      <c r="X510" s="36"/>
      <c r="Y510" s="36"/>
      <c r="Z510" s="36"/>
      <c r="AA510" s="36"/>
    </row>
    <row r="511" spans="16:27" x14ac:dyDescent="0.2">
      <c r="P511" s="36"/>
      <c r="Q511" s="40"/>
      <c r="R511" s="40"/>
      <c r="S511" s="40"/>
      <c r="T511" s="41"/>
      <c r="U511" s="41"/>
      <c r="V511" s="41"/>
      <c r="W511" s="36"/>
      <c r="X511" s="36"/>
      <c r="Y511" s="36"/>
      <c r="Z511" s="36"/>
      <c r="AA511" s="36"/>
    </row>
    <row r="512" spans="16:27" x14ac:dyDescent="0.2">
      <c r="P512" s="36"/>
      <c r="Q512" s="40"/>
      <c r="R512" s="40"/>
      <c r="S512" s="40"/>
      <c r="T512" s="41"/>
      <c r="U512" s="41"/>
      <c r="V512" s="41"/>
      <c r="W512" s="36"/>
      <c r="X512" s="36"/>
      <c r="Y512" s="36"/>
      <c r="Z512" s="36"/>
      <c r="AA512" s="36"/>
    </row>
    <row r="513" spans="16:27" x14ac:dyDescent="0.2">
      <c r="P513" s="36"/>
      <c r="Q513" s="40"/>
      <c r="R513" s="40"/>
      <c r="S513" s="40"/>
      <c r="T513" s="41"/>
      <c r="U513" s="41"/>
      <c r="V513" s="41"/>
      <c r="W513" s="36"/>
      <c r="X513" s="36"/>
      <c r="Y513" s="36"/>
      <c r="Z513" s="36"/>
      <c r="AA513" s="36"/>
    </row>
    <row r="514" spans="16:27" x14ac:dyDescent="0.2">
      <c r="P514" s="36"/>
      <c r="Q514" s="40"/>
      <c r="R514" s="40"/>
      <c r="S514" s="40"/>
      <c r="T514" s="41"/>
      <c r="U514" s="41"/>
      <c r="V514" s="41"/>
      <c r="W514" s="36"/>
      <c r="X514" s="36"/>
      <c r="Y514" s="36"/>
      <c r="Z514" s="36"/>
      <c r="AA514" s="36"/>
    </row>
    <row r="515" spans="16:27" x14ac:dyDescent="0.2">
      <c r="P515" s="36"/>
      <c r="Q515" s="40"/>
      <c r="R515" s="40"/>
      <c r="S515" s="40"/>
      <c r="T515" s="41"/>
      <c r="U515" s="41"/>
      <c r="V515" s="41"/>
      <c r="W515" s="36"/>
      <c r="X515" s="36"/>
      <c r="Y515" s="36"/>
      <c r="Z515" s="36"/>
      <c r="AA515" s="36"/>
    </row>
    <row r="516" spans="16:27" x14ac:dyDescent="0.2">
      <c r="P516" s="36"/>
      <c r="Q516" s="40"/>
      <c r="R516" s="40"/>
      <c r="S516" s="40"/>
      <c r="T516" s="41"/>
      <c r="U516" s="41"/>
      <c r="V516" s="41"/>
      <c r="W516" s="36"/>
      <c r="X516" s="36"/>
      <c r="Y516" s="36"/>
      <c r="Z516" s="36"/>
      <c r="AA516" s="36"/>
    </row>
    <row r="517" spans="16:27" x14ac:dyDescent="0.2">
      <c r="P517" s="36"/>
      <c r="Q517" s="40"/>
      <c r="R517" s="40"/>
      <c r="S517" s="40"/>
      <c r="T517" s="41"/>
      <c r="U517" s="41"/>
      <c r="V517" s="41"/>
      <c r="W517" s="36"/>
      <c r="X517" s="36"/>
      <c r="Y517" s="36"/>
      <c r="Z517" s="36"/>
      <c r="AA517" s="36"/>
    </row>
    <row r="518" spans="16:27" x14ac:dyDescent="0.2">
      <c r="P518" s="36"/>
      <c r="Q518" s="40"/>
      <c r="R518" s="40"/>
      <c r="S518" s="40"/>
      <c r="T518" s="41"/>
      <c r="U518" s="41"/>
      <c r="V518" s="41"/>
      <c r="W518" s="36"/>
      <c r="X518" s="36"/>
      <c r="Y518" s="36"/>
      <c r="Z518" s="36"/>
      <c r="AA518" s="36"/>
    </row>
    <row r="519" spans="16:27" x14ac:dyDescent="0.2">
      <c r="P519" s="36"/>
      <c r="Q519" s="40"/>
      <c r="R519" s="40"/>
      <c r="S519" s="40"/>
      <c r="T519" s="41"/>
      <c r="U519" s="41"/>
      <c r="V519" s="41"/>
      <c r="W519" s="36"/>
      <c r="X519" s="36"/>
      <c r="Y519" s="36"/>
      <c r="Z519" s="36"/>
      <c r="AA519" s="36"/>
    </row>
    <row r="520" spans="16:27" x14ac:dyDescent="0.2">
      <c r="P520" s="36"/>
      <c r="Q520" s="40"/>
      <c r="R520" s="40"/>
      <c r="S520" s="40"/>
      <c r="T520" s="41"/>
      <c r="U520" s="41"/>
      <c r="V520" s="41"/>
      <c r="W520" s="36"/>
      <c r="X520" s="36"/>
      <c r="Y520" s="36"/>
      <c r="Z520" s="36"/>
      <c r="AA520" s="36"/>
    </row>
    <row r="521" spans="16:27" x14ac:dyDescent="0.2">
      <c r="P521" s="36"/>
      <c r="Q521" s="40"/>
      <c r="R521" s="40"/>
      <c r="S521" s="40"/>
      <c r="T521" s="41"/>
      <c r="U521" s="41"/>
      <c r="V521" s="41"/>
      <c r="W521" s="36"/>
      <c r="X521" s="36"/>
      <c r="Y521" s="36"/>
      <c r="Z521" s="36"/>
      <c r="AA521" s="36"/>
    </row>
    <row r="522" spans="16:27" x14ac:dyDescent="0.2">
      <c r="P522" s="36"/>
      <c r="Q522" s="40"/>
      <c r="R522" s="40"/>
      <c r="S522" s="40"/>
      <c r="T522" s="41"/>
      <c r="U522" s="41"/>
      <c r="V522" s="41"/>
      <c r="W522" s="36"/>
      <c r="X522" s="36"/>
      <c r="Y522" s="36"/>
      <c r="Z522" s="36"/>
      <c r="AA522" s="36"/>
    </row>
    <row r="523" spans="16:27" x14ac:dyDescent="0.2">
      <c r="P523" s="36"/>
      <c r="Q523" s="40"/>
      <c r="R523" s="40"/>
      <c r="S523" s="40"/>
      <c r="T523" s="41"/>
      <c r="U523" s="41"/>
      <c r="V523" s="41"/>
      <c r="W523" s="36"/>
      <c r="X523" s="36"/>
      <c r="Y523" s="36"/>
      <c r="Z523" s="36"/>
      <c r="AA523" s="36"/>
    </row>
    <row r="524" spans="16:27" x14ac:dyDescent="0.2">
      <c r="P524" s="36"/>
      <c r="Q524" s="40"/>
      <c r="R524" s="40"/>
      <c r="S524" s="40"/>
      <c r="T524" s="41"/>
      <c r="U524" s="41"/>
      <c r="V524" s="41"/>
      <c r="W524" s="36"/>
      <c r="X524" s="36"/>
      <c r="Y524" s="36"/>
      <c r="Z524" s="36"/>
      <c r="AA524" s="36"/>
    </row>
    <row r="525" spans="16:27" x14ac:dyDescent="0.2">
      <c r="P525" s="36"/>
      <c r="Q525" s="40"/>
      <c r="R525" s="40"/>
      <c r="S525" s="40"/>
      <c r="T525" s="41"/>
      <c r="U525" s="41"/>
      <c r="V525" s="41"/>
      <c r="W525" s="36"/>
      <c r="X525" s="36"/>
      <c r="Y525" s="36"/>
      <c r="Z525" s="36"/>
      <c r="AA525" s="36"/>
    </row>
    <row r="526" spans="16:27" x14ac:dyDescent="0.2">
      <c r="P526" s="36"/>
      <c r="Q526" s="40"/>
      <c r="R526" s="40"/>
      <c r="S526" s="40"/>
      <c r="T526" s="41"/>
      <c r="U526" s="41"/>
      <c r="V526" s="41"/>
      <c r="W526" s="36"/>
      <c r="X526" s="36"/>
      <c r="Y526" s="36"/>
      <c r="Z526" s="36"/>
      <c r="AA526" s="36"/>
    </row>
    <row r="527" spans="16:27" x14ac:dyDescent="0.2">
      <c r="P527" s="36"/>
      <c r="Q527" s="40"/>
      <c r="R527" s="40"/>
      <c r="S527" s="40"/>
      <c r="T527" s="41"/>
      <c r="U527" s="41"/>
      <c r="V527" s="41"/>
      <c r="W527" s="36"/>
      <c r="X527" s="36"/>
      <c r="Y527" s="36"/>
      <c r="Z527" s="36"/>
      <c r="AA527" s="36"/>
    </row>
    <row r="528" spans="16:27" x14ac:dyDescent="0.2">
      <c r="P528" s="36"/>
      <c r="Q528" s="40"/>
      <c r="R528" s="40"/>
      <c r="S528" s="40"/>
      <c r="T528" s="41"/>
      <c r="U528" s="41"/>
      <c r="V528" s="41"/>
      <c r="W528" s="36"/>
      <c r="X528" s="36"/>
      <c r="Y528" s="36"/>
      <c r="Z528" s="36"/>
      <c r="AA528" s="36"/>
    </row>
    <row r="529" spans="16:27" x14ac:dyDescent="0.2">
      <c r="P529" s="36"/>
      <c r="Q529" s="40"/>
      <c r="R529" s="40"/>
      <c r="S529" s="40"/>
      <c r="T529" s="41"/>
      <c r="U529" s="41"/>
      <c r="V529" s="41"/>
      <c r="W529" s="36"/>
      <c r="X529" s="36"/>
      <c r="Y529" s="36"/>
      <c r="Z529" s="36"/>
      <c r="AA529" s="36"/>
    </row>
    <row r="530" spans="16:27" x14ac:dyDescent="0.2">
      <c r="P530" s="36"/>
      <c r="Q530" s="40"/>
      <c r="R530" s="40"/>
      <c r="S530" s="40"/>
      <c r="T530" s="41"/>
      <c r="U530" s="41"/>
      <c r="V530" s="41"/>
      <c r="W530" s="36"/>
      <c r="X530" s="36"/>
      <c r="Y530" s="36"/>
      <c r="Z530" s="36"/>
      <c r="AA530" s="36"/>
    </row>
    <row r="531" spans="16:27" x14ac:dyDescent="0.2">
      <c r="P531" s="36"/>
      <c r="Q531" s="40"/>
      <c r="R531" s="40"/>
      <c r="S531" s="40"/>
      <c r="T531" s="41"/>
      <c r="U531" s="41"/>
      <c r="V531" s="41"/>
      <c r="W531" s="36"/>
      <c r="X531" s="36"/>
      <c r="Y531" s="36"/>
      <c r="Z531" s="36"/>
      <c r="AA531" s="36"/>
    </row>
    <row r="532" spans="16:27" x14ac:dyDescent="0.2">
      <c r="P532" s="36"/>
      <c r="Q532" s="40"/>
      <c r="R532" s="40"/>
      <c r="S532" s="40"/>
      <c r="T532" s="41"/>
      <c r="U532" s="41"/>
      <c r="V532" s="41"/>
      <c r="W532" s="36"/>
      <c r="X532" s="36"/>
      <c r="Y532" s="36"/>
      <c r="Z532" s="36"/>
      <c r="AA532" s="36"/>
    </row>
    <row r="533" spans="16:27" x14ac:dyDescent="0.2">
      <c r="P533" s="36"/>
      <c r="Q533" s="40"/>
      <c r="R533" s="40"/>
      <c r="S533" s="40"/>
      <c r="T533" s="41"/>
      <c r="U533" s="41"/>
      <c r="V533" s="41"/>
      <c r="W533" s="36"/>
      <c r="X533" s="36"/>
      <c r="Y533" s="36"/>
      <c r="Z533" s="36"/>
      <c r="AA533" s="36"/>
    </row>
    <row r="534" spans="16:27" x14ac:dyDescent="0.2">
      <c r="P534" s="36"/>
      <c r="Q534" s="40"/>
      <c r="R534" s="40"/>
      <c r="S534" s="40"/>
      <c r="T534" s="41"/>
      <c r="U534" s="41"/>
      <c r="V534" s="41"/>
      <c r="W534" s="36"/>
      <c r="X534" s="36"/>
      <c r="Y534" s="36"/>
      <c r="Z534" s="36"/>
      <c r="AA534" s="36"/>
    </row>
    <row r="535" spans="16:27" x14ac:dyDescent="0.2">
      <c r="P535" s="36"/>
      <c r="Q535" s="40"/>
      <c r="R535" s="40"/>
      <c r="S535" s="40"/>
      <c r="T535" s="41"/>
      <c r="U535" s="41"/>
      <c r="V535" s="41"/>
      <c r="W535" s="36"/>
      <c r="X535" s="36"/>
      <c r="Y535" s="36"/>
      <c r="Z535" s="36"/>
      <c r="AA535" s="36"/>
    </row>
    <row r="536" spans="16:27" x14ac:dyDescent="0.2">
      <c r="P536" s="36"/>
      <c r="Q536" s="40"/>
      <c r="R536" s="40"/>
      <c r="S536" s="40"/>
      <c r="T536" s="41"/>
      <c r="U536" s="41"/>
      <c r="V536" s="41"/>
      <c r="W536" s="36"/>
      <c r="X536" s="36"/>
      <c r="Y536" s="36"/>
      <c r="Z536" s="36"/>
      <c r="AA536" s="36"/>
    </row>
    <row r="537" spans="16:27" x14ac:dyDescent="0.2">
      <c r="P537" s="36"/>
      <c r="Q537" s="40"/>
      <c r="R537" s="40"/>
      <c r="S537" s="40"/>
      <c r="T537" s="41"/>
      <c r="U537" s="41"/>
      <c r="V537" s="41"/>
      <c r="W537" s="36"/>
      <c r="X537" s="36"/>
      <c r="Y537" s="36"/>
      <c r="Z537" s="36"/>
      <c r="AA537" s="36"/>
    </row>
    <row r="538" spans="16:27" x14ac:dyDescent="0.2">
      <c r="P538" s="36"/>
      <c r="Q538" s="40"/>
      <c r="R538" s="40"/>
      <c r="S538" s="40"/>
      <c r="T538" s="41"/>
      <c r="U538" s="41"/>
      <c r="V538" s="41"/>
      <c r="W538" s="36"/>
      <c r="X538" s="36"/>
      <c r="Y538" s="36"/>
      <c r="Z538" s="36"/>
      <c r="AA538" s="36"/>
    </row>
    <row r="539" spans="16:27" x14ac:dyDescent="0.2">
      <c r="P539" s="36"/>
      <c r="Q539" s="40"/>
      <c r="R539" s="40"/>
      <c r="S539" s="40"/>
      <c r="T539" s="41"/>
      <c r="U539" s="41"/>
      <c r="V539" s="41"/>
      <c r="W539" s="36"/>
      <c r="X539" s="36"/>
      <c r="Y539" s="36"/>
      <c r="Z539" s="36"/>
      <c r="AA539" s="36"/>
    </row>
    <row r="540" spans="16:27" x14ac:dyDescent="0.2">
      <c r="P540" s="36"/>
      <c r="Q540" s="40"/>
      <c r="R540" s="40"/>
      <c r="S540" s="40"/>
      <c r="T540" s="41"/>
      <c r="U540" s="41"/>
      <c r="V540" s="41"/>
      <c r="W540" s="36"/>
      <c r="X540" s="36"/>
      <c r="Y540" s="36"/>
      <c r="Z540" s="36"/>
      <c r="AA540" s="36"/>
    </row>
    <row r="541" spans="16:27" x14ac:dyDescent="0.2">
      <c r="P541" s="36"/>
      <c r="Q541" s="40"/>
      <c r="R541" s="40"/>
      <c r="S541" s="40"/>
      <c r="T541" s="41"/>
      <c r="U541" s="41"/>
      <c r="V541" s="41"/>
      <c r="W541" s="36"/>
      <c r="X541" s="36"/>
      <c r="Y541" s="36"/>
      <c r="Z541" s="36"/>
      <c r="AA541" s="36"/>
    </row>
    <row r="542" spans="16:27" x14ac:dyDescent="0.2">
      <c r="P542" s="36"/>
      <c r="Q542" s="40"/>
      <c r="R542" s="40"/>
      <c r="S542" s="40"/>
      <c r="T542" s="41"/>
      <c r="U542" s="41"/>
      <c r="V542" s="41"/>
      <c r="W542" s="36"/>
      <c r="X542" s="36"/>
      <c r="Y542" s="36"/>
      <c r="Z542" s="36"/>
      <c r="AA542" s="36"/>
    </row>
    <row r="543" spans="16:27" x14ac:dyDescent="0.2">
      <c r="P543" s="36"/>
      <c r="Q543" s="40"/>
      <c r="R543" s="40"/>
      <c r="S543" s="40"/>
      <c r="T543" s="41"/>
      <c r="U543" s="41"/>
      <c r="V543" s="41"/>
      <c r="W543" s="36"/>
      <c r="X543" s="36"/>
      <c r="Y543" s="36"/>
      <c r="Z543" s="36"/>
      <c r="AA543" s="36"/>
    </row>
    <row r="544" spans="16:27" x14ac:dyDescent="0.2">
      <c r="P544" s="36"/>
      <c r="Q544" s="40"/>
      <c r="R544" s="40"/>
      <c r="S544" s="40"/>
      <c r="T544" s="41"/>
      <c r="U544" s="41"/>
      <c r="V544" s="41"/>
      <c r="W544" s="36"/>
      <c r="X544" s="36"/>
      <c r="Y544" s="36"/>
      <c r="Z544" s="36"/>
      <c r="AA544" s="36"/>
    </row>
    <row r="545" spans="16:27" x14ac:dyDescent="0.2">
      <c r="P545" s="36"/>
      <c r="Q545" s="40"/>
      <c r="R545" s="40"/>
      <c r="S545" s="40"/>
      <c r="T545" s="41"/>
      <c r="U545" s="41"/>
      <c r="V545" s="41"/>
      <c r="W545" s="36"/>
      <c r="X545" s="36"/>
      <c r="Y545" s="36"/>
      <c r="Z545" s="36"/>
      <c r="AA545" s="36"/>
    </row>
    <row r="546" spans="16:27" x14ac:dyDescent="0.2">
      <c r="P546" s="36"/>
      <c r="Q546" s="40"/>
      <c r="R546" s="40"/>
      <c r="S546" s="40"/>
      <c r="T546" s="41"/>
      <c r="U546" s="41"/>
      <c r="V546" s="41"/>
      <c r="W546" s="36"/>
      <c r="X546" s="36"/>
      <c r="Y546" s="36"/>
      <c r="Z546" s="36"/>
      <c r="AA546" s="36"/>
    </row>
    <row r="547" spans="16:27" x14ac:dyDescent="0.2">
      <c r="P547" s="36"/>
      <c r="Q547" s="40"/>
      <c r="R547" s="40"/>
      <c r="S547" s="40"/>
      <c r="T547" s="41"/>
      <c r="U547" s="41"/>
      <c r="V547" s="41"/>
      <c r="W547" s="36"/>
      <c r="X547" s="36"/>
      <c r="Y547" s="36"/>
      <c r="Z547" s="36"/>
      <c r="AA547" s="36"/>
    </row>
    <row r="548" spans="16:27" x14ac:dyDescent="0.2">
      <c r="P548" s="36"/>
      <c r="Q548" s="40"/>
      <c r="R548" s="40"/>
      <c r="S548" s="40"/>
      <c r="T548" s="41"/>
      <c r="U548" s="41"/>
      <c r="V548" s="41"/>
      <c r="W548" s="36"/>
      <c r="X548" s="36"/>
      <c r="Y548" s="36"/>
      <c r="Z548" s="36"/>
      <c r="AA548" s="36"/>
    </row>
    <row r="549" spans="16:27" x14ac:dyDescent="0.2">
      <c r="P549" s="36"/>
      <c r="Q549" s="40"/>
      <c r="R549" s="40"/>
      <c r="S549" s="40"/>
      <c r="T549" s="41"/>
      <c r="U549" s="41"/>
      <c r="V549" s="41"/>
      <c r="W549" s="36"/>
      <c r="X549" s="36"/>
      <c r="Y549" s="36"/>
      <c r="Z549" s="36"/>
      <c r="AA549" s="36"/>
    </row>
    <row r="550" spans="16:27" x14ac:dyDescent="0.2">
      <c r="P550" s="36"/>
      <c r="Q550" s="40"/>
      <c r="R550" s="40"/>
      <c r="S550" s="40"/>
      <c r="T550" s="41"/>
      <c r="U550" s="41"/>
      <c r="V550" s="41"/>
      <c r="W550" s="36"/>
      <c r="X550" s="36"/>
      <c r="Y550" s="36"/>
      <c r="Z550" s="36"/>
      <c r="AA550" s="36"/>
    </row>
    <row r="551" spans="16:27" x14ac:dyDescent="0.2">
      <c r="P551" s="36"/>
      <c r="Q551" s="40"/>
      <c r="R551" s="40"/>
      <c r="S551" s="40"/>
      <c r="T551" s="41"/>
      <c r="U551" s="41"/>
      <c r="V551" s="41"/>
      <c r="W551" s="36"/>
      <c r="X551" s="36"/>
      <c r="Y551" s="36"/>
      <c r="Z551" s="36"/>
      <c r="AA551" s="36"/>
    </row>
    <row r="552" spans="16:27" x14ac:dyDescent="0.2">
      <c r="P552" s="36"/>
      <c r="Q552" s="40"/>
      <c r="R552" s="40"/>
      <c r="S552" s="40"/>
      <c r="T552" s="41"/>
      <c r="U552" s="41"/>
      <c r="V552" s="41"/>
      <c r="W552" s="36"/>
      <c r="X552" s="36"/>
      <c r="Y552" s="36"/>
      <c r="Z552" s="36"/>
      <c r="AA552" s="36"/>
    </row>
    <row r="553" spans="16:27" x14ac:dyDescent="0.2">
      <c r="P553" s="36"/>
      <c r="Q553" s="40"/>
      <c r="R553" s="40"/>
      <c r="S553" s="40"/>
      <c r="T553" s="41"/>
      <c r="U553" s="41"/>
      <c r="V553" s="41"/>
      <c r="W553" s="36"/>
      <c r="X553" s="36"/>
      <c r="Y553" s="36"/>
      <c r="Z553" s="36"/>
      <c r="AA553" s="36"/>
    </row>
    <row r="554" spans="16:27" x14ac:dyDescent="0.2">
      <c r="P554" s="36"/>
      <c r="Q554" s="40"/>
      <c r="R554" s="40"/>
      <c r="S554" s="40"/>
      <c r="T554" s="41"/>
      <c r="U554" s="41"/>
      <c r="V554" s="41"/>
      <c r="W554" s="36"/>
      <c r="X554" s="36"/>
      <c r="Y554" s="36"/>
      <c r="Z554" s="36"/>
      <c r="AA554" s="36"/>
    </row>
    <row r="555" spans="16:27" x14ac:dyDescent="0.2">
      <c r="P555" s="36"/>
      <c r="Q555" s="40"/>
      <c r="R555" s="40"/>
      <c r="S555" s="40"/>
      <c r="T555" s="41"/>
      <c r="U555" s="41"/>
      <c r="V555" s="41"/>
      <c r="W555" s="36"/>
      <c r="X555" s="36"/>
      <c r="Y555" s="36"/>
      <c r="Z555" s="36"/>
      <c r="AA555" s="36"/>
    </row>
    <row r="556" spans="16:27" x14ac:dyDescent="0.2">
      <c r="P556" s="36"/>
      <c r="Q556" s="40"/>
      <c r="R556" s="40"/>
      <c r="S556" s="40"/>
      <c r="T556" s="41"/>
      <c r="U556" s="41"/>
      <c r="V556" s="41"/>
      <c r="W556" s="36"/>
      <c r="X556" s="36"/>
      <c r="Y556" s="36"/>
      <c r="Z556" s="36"/>
      <c r="AA556" s="36"/>
    </row>
    <row r="557" spans="16:27" x14ac:dyDescent="0.2">
      <c r="P557" s="36"/>
      <c r="Q557" s="40"/>
      <c r="R557" s="40"/>
      <c r="S557" s="40"/>
      <c r="T557" s="41"/>
      <c r="U557" s="41"/>
      <c r="V557" s="41"/>
      <c r="W557" s="36"/>
      <c r="X557" s="36"/>
      <c r="Y557" s="36"/>
      <c r="Z557" s="36"/>
      <c r="AA557" s="36"/>
    </row>
    <row r="558" spans="16:27" x14ac:dyDescent="0.2">
      <c r="P558" s="36"/>
      <c r="Q558" s="40"/>
      <c r="R558" s="40"/>
      <c r="S558" s="40"/>
      <c r="T558" s="41"/>
      <c r="U558" s="41"/>
      <c r="V558" s="41"/>
      <c r="W558" s="36"/>
      <c r="X558" s="36"/>
      <c r="Y558" s="36"/>
      <c r="Z558" s="36"/>
      <c r="AA558" s="36"/>
    </row>
    <row r="559" spans="16:27" x14ac:dyDescent="0.2">
      <c r="P559" s="36"/>
      <c r="Q559" s="40"/>
      <c r="R559" s="40"/>
      <c r="S559" s="40"/>
      <c r="T559" s="41"/>
      <c r="U559" s="41"/>
      <c r="V559" s="41"/>
      <c r="W559" s="36"/>
      <c r="X559" s="36"/>
      <c r="Y559" s="36"/>
      <c r="Z559" s="36"/>
      <c r="AA559" s="36"/>
    </row>
    <row r="560" spans="16:27" x14ac:dyDescent="0.2">
      <c r="P560" s="36"/>
      <c r="Q560" s="40"/>
      <c r="R560" s="40"/>
      <c r="S560" s="40"/>
      <c r="T560" s="41"/>
      <c r="U560" s="41"/>
      <c r="V560" s="41"/>
      <c r="W560" s="36"/>
      <c r="X560" s="36"/>
      <c r="Y560" s="36"/>
      <c r="Z560" s="36"/>
      <c r="AA560" s="36"/>
    </row>
    <row r="561" spans="16:27" x14ac:dyDescent="0.2">
      <c r="P561" s="36"/>
      <c r="Q561" s="40"/>
      <c r="R561" s="40"/>
      <c r="S561" s="40"/>
      <c r="T561" s="41"/>
      <c r="U561" s="41"/>
      <c r="V561" s="41"/>
      <c r="W561" s="36"/>
      <c r="X561" s="36"/>
      <c r="Y561" s="36"/>
      <c r="Z561" s="36"/>
      <c r="AA561" s="36"/>
    </row>
    <row r="562" spans="16:27" x14ac:dyDescent="0.2">
      <c r="P562" s="36"/>
      <c r="Q562" s="40"/>
      <c r="R562" s="40"/>
      <c r="S562" s="40"/>
      <c r="T562" s="41"/>
      <c r="U562" s="41"/>
      <c r="V562" s="41"/>
      <c r="W562" s="36"/>
      <c r="X562" s="36"/>
      <c r="Y562" s="36"/>
      <c r="Z562" s="36"/>
      <c r="AA562" s="36"/>
    </row>
    <row r="563" spans="16:27" x14ac:dyDescent="0.2">
      <c r="P563" s="36"/>
      <c r="Q563" s="40"/>
      <c r="R563" s="40"/>
      <c r="S563" s="40"/>
      <c r="T563" s="41"/>
      <c r="U563" s="41"/>
      <c r="V563" s="41"/>
      <c r="W563" s="36"/>
      <c r="X563" s="36"/>
      <c r="Y563" s="36"/>
      <c r="Z563" s="36"/>
      <c r="AA563" s="36"/>
    </row>
    <row r="564" spans="16:27" x14ac:dyDescent="0.2">
      <c r="P564" s="36"/>
      <c r="Q564" s="40"/>
      <c r="R564" s="40"/>
      <c r="S564" s="40"/>
      <c r="T564" s="41"/>
      <c r="U564" s="41"/>
      <c r="V564" s="41"/>
      <c r="W564" s="36"/>
      <c r="X564" s="36"/>
      <c r="Y564" s="36"/>
      <c r="Z564" s="36"/>
      <c r="AA564" s="36"/>
    </row>
    <row r="565" spans="16:27" x14ac:dyDescent="0.2">
      <c r="P565" s="36"/>
      <c r="Q565" s="40"/>
      <c r="R565" s="40"/>
      <c r="S565" s="40"/>
      <c r="T565" s="41"/>
      <c r="U565" s="41"/>
      <c r="V565" s="41"/>
      <c r="W565" s="36"/>
      <c r="X565" s="36"/>
      <c r="Y565" s="36"/>
      <c r="Z565" s="36"/>
      <c r="AA565" s="36"/>
    </row>
    <row r="566" spans="16:27" x14ac:dyDescent="0.2">
      <c r="P566" s="36"/>
      <c r="Q566" s="40"/>
      <c r="R566" s="40"/>
      <c r="S566" s="40"/>
      <c r="T566" s="41"/>
      <c r="U566" s="41"/>
      <c r="V566" s="41"/>
      <c r="W566" s="36"/>
      <c r="X566" s="36"/>
      <c r="Y566" s="36"/>
      <c r="Z566" s="36"/>
      <c r="AA566" s="36"/>
    </row>
    <row r="567" spans="16:27" x14ac:dyDescent="0.2">
      <c r="P567" s="36"/>
      <c r="Q567" s="40"/>
      <c r="R567" s="40"/>
      <c r="S567" s="40"/>
      <c r="T567" s="41"/>
      <c r="U567" s="41"/>
      <c r="V567" s="41"/>
      <c r="W567" s="36"/>
      <c r="X567" s="36"/>
      <c r="Y567" s="36"/>
      <c r="Z567" s="36"/>
      <c r="AA567" s="36"/>
    </row>
    <row r="568" spans="16:27" x14ac:dyDescent="0.2">
      <c r="P568" s="36"/>
      <c r="Q568" s="40"/>
      <c r="R568" s="40"/>
      <c r="S568" s="40"/>
      <c r="T568" s="41"/>
      <c r="U568" s="41"/>
      <c r="V568" s="41"/>
      <c r="W568" s="36"/>
      <c r="X568" s="36"/>
      <c r="Y568" s="36"/>
      <c r="Z568" s="36"/>
      <c r="AA568" s="36"/>
    </row>
    <row r="569" spans="16:27" x14ac:dyDescent="0.2">
      <c r="P569" s="36"/>
      <c r="Q569" s="40"/>
      <c r="R569" s="40"/>
      <c r="S569" s="40"/>
      <c r="T569" s="41"/>
      <c r="U569" s="41"/>
      <c r="V569" s="41"/>
      <c r="W569" s="36"/>
      <c r="X569" s="36"/>
      <c r="Y569" s="36"/>
      <c r="Z569" s="36"/>
      <c r="AA569" s="36"/>
    </row>
    <row r="570" spans="16:27" x14ac:dyDescent="0.2">
      <c r="P570" s="36"/>
      <c r="Q570" s="40"/>
      <c r="R570" s="40"/>
      <c r="S570" s="40"/>
      <c r="T570" s="41"/>
      <c r="U570" s="41"/>
      <c r="V570" s="41"/>
      <c r="W570" s="36"/>
      <c r="X570" s="36"/>
      <c r="Y570" s="36"/>
      <c r="Z570" s="36"/>
      <c r="AA570" s="36"/>
    </row>
    <row r="571" spans="16:27" x14ac:dyDescent="0.2">
      <c r="P571" s="36"/>
      <c r="Q571" s="40"/>
      <c r="R571" s="40"/>
      <c r="S571" s="40"/>
      <c r="T571" s="41"/>
      <c r="U571" s="41"/>
      <c r="V571" s="41"/>
      <c r="W571" s="36"/>
      <c r="X571" s="36"/>
      <c r="Y571" s="36"/>
      <c r="Z571" s="36"/>
      <c r="AA571" s="36"/>
    </row>
    <row r="572" spans="16:27" x14ac:dyDescent="0.2">
      <c r="P572" s="36"/>
      <c r="Q572" s="40"/>
      <c r="R572" s="40"/>
      <c r="S572" s="40"/>
      <c r="T572" s="41"/>
      <c r="U572" s="41"/>
      <c r="V572" s="41"/>
      <c r="W572" s="36"/>
      <c r="X572" s="36"/>
      <c r="Y572" s="36"/>
      <c r="Z572" s="36"/>
      <c r="AA572" s="36"/>
    </row>
    <row r="573" spans="16:27" x14ac:dyDescent="0.2">
      <c r="P573" s="36"/>
      <c r="Q573" s="40"/>
      <c r="R573" s="40"/>
      <c r="S573" s="40"/>
      <c r="T573" s="41"/>
      <c r="U573" s="41"/>
      <c r="V573" s="41"/>
      <c r="W573" s="36"/>
      <c r="X573" s="36"/>
      <c r="Y573" s="36"/>
      <c r="Z573" s="36"/>
      <c r="AA573" s="36"/>
    </row>
    <row r="574" spans="16:27" x14ac:dyDescent="0.2">
      <c r="P574" s="36"/>
      <c r="Q574" s="40"/>
      <c r="R574" s="40"/>
      <c r="S574" s="40"/>
      <c r="T574" s="41"/>
      <c r="U574" s="41"/>
      <c r="V574" s="41"/>
      <c r="W574" s="36"/>
      <c r="X574" s="36"/>
      <c r="Y574" s="36"/>
      <c r="Z574" s="36"/>
      <c r="AA574" s="36"/>
    </row>
    <row r="575" spans="16:27" x14ac:dyDescent="0.2">
      <c r="P575" s="36"/>
      <c r="Q575" s="40"/>
      <c r="R575" s="40"/>
      <c r="S575" s="40"/>
      <c r="T575" s="41"/>
      <c r="U575" s="41"/>
      <c r="V575" s="41"/>
      <c r="W575" s="36"/>
      <c r="X575" s="36"/>
      <c r="Y575" s="36"/>
      <c r="Z575" s="36"/>
      <c r="AA575" s="36"/>
    </row>
    <row r="576" spans="16:27" x14ac:dyDescent="0.2">
      <c r="P576" s="36"/>
      <c r="Q576" s="40"/>
      <c r="R576" s="40"/>
      <c r="S576" s="40"/>
      <c r="T576" s="41"/>
      <c r="U576" s="41"/>
      <c r="V576" s="41"/>
      <c r="W576" s="36"/>
      <c r="X576" s="36"/>
      <c r="Y576" s="36"/>
      <c r="Z576" s="36"/>
      <c r="AA576" s="36"/>
    </row>
    <row r="577" spans="16:27" x14ac:dyDescent="0.2">
      <c r="P577" s="36"/>
      <c r="Q577" s="40"/>
      <c r="R577" s="40"/>
      <c r="S577" s="40"/>
      <c r="T577" s="41"/>
      <c r="U577" s="41"/>
      <c r="V577" s="41"/>
      <c r="W577" s="36"/>
      <c r="X577" s="36"/>
      <c r="Y577" s="36"/>
      <c r="Z577" s="36"/>
      <c r="AA577" s="36"/>
    </row>
    <row r="578" spans="16:27" x14ac:dyDescent="0.2">
      <c r="P578" s="36"/>
      <c r="Q578" s="40"/>
      <c r="R578" s="40"/>
      <c r="S578" s="40"/>
      <c r="T578" s="41"/>
      <c r="U578" s="41"/>
      <c r="V578" s="41"/>
      <c r="W578" s="36"/>
      <c r="X578" s="36"/>
      <c r="Y578" s="36"/>
      <c r="Z578" s="36"/>
      <c r="AA578" s="36"/>
    </row>
    <row r="579" spans="16:27" x14ac:dyDescent="0.2">
      <c r="P579" s="36"/>
      <c r="Q579" s="40"/>
      <c r="R579" s="40"/>
      <c r="S579" s="40"/>
      <c r="T579" s="41"/>
      <c r="U579" s="41"/>
      <c r="V579" s="41"/>
      <c r="W579" s="36"/>
      <c r="X579" s="36"/>
      <c r="Y579" s="36"/>
      <c r="Z579" s="36"/>
      <c r="AA579" s="36"/>
    </row>
    <row r="580" spans="16:27" x14ac:dyDescent="0.2">
      <c r="P580" s="36"/>
      <c r="Q580" s="40"/>
      <c r="R580" s="40"/>
      <c r="S580" s="40"/>
      <c r="T580" s="41"/>
      <c r="U580" s="41"/>
      <c r="V580" s="41"/>
      <c r="W580" s="36"/>
      <c r="X580" s="36"/>
      <c r="Y580" s="36"/>
      <c r="Z580" s="36"/>
      <c r="AA580" s="36"/>
    </row>
    <row r="581" spans="16:27" x14ac:dyDescent="0.2">
      <c r="P581" s="36"/>
      <c r="Q581" s="40"/>
      <c r="R581" s="40"/>
      <c r="S581" s="40"/>
      <c r="T581" s="41"/>
      <c r="U581" s="41"/>
      <c r="V581" s="41"/>
      <c r="W581" s="36"/>
      <c r="X581" s="36"/>
      <c r="Y581" s="36"/>
      <c r="Z581" s="36"/>
      <c r="AA581" s="36"/>
    </row>
    <row r="582" spans="16:27" x14ac:dyDescent="0.2">
      <c r="P582" s="36"/>
      <c r="Q582" s="40"/>
      <c r="R582" s="40"/>
      <c r="S582" s="40"/>
      <c r="T582" s="41"/>
      <c r="U582" s="41"/>
      <c r="V582" s="41"/>
      <c r="W582" s="36"/>
      <c r="X582" s="36"/>
      <c r="Y582" s="36"/>
      <c r="Z582" s="36"/>
      <c r="AA582" s="36"/>
    </row>
    <row r="583" spans="16:27" x14ac:dyDescent="0.2">
      <c r="P583" s="36"/>
      <c r="Q583" s="40"/>
      <c r="R583" s="40"/>
      <c r="S583" s="40"/>
      <c r="T583" s="41"/>
      <c r="U583" s="41"/>
      <c r="V583" s="41"/>
      <c r="W583" s="36"/>
      <c r="X583" s="36"/>
      <c r="Y583" s="36"/>
      <c r="Z583" s="36"/>
      <c r="AA583" s="36"/>
    </row>
    <row r="584" spans="16:27" x14ac:dyDescent="0.2">
      <c r="P584" s="36"/>
      <c r="Q584" s="40"/>
      <c r="R584" s="40"/>
      <c r="S584" s="40"/>
      <c r="T584" s="41"/>
      <c r="U584" s="41"/>
      <c r="V584" s="41"/>
      <c r="W584" s="36"/>
      <c r="X584" s="36"/>
      <c r="Y584" s="36"/>
      <c r="Z584" s="36"/>
      <c r="AA584" s="36"/>
    </row>
    <row r="585" spans="16:27" x14ac:dyDescent="0.2">
      <c r="P585" s="36"/>
      <c r="Q585" s="40"/>
      <c r="R585" s="40"/>
      <c r="S585" s="40"/>
      <c r="T585" s="41"/>
      <c r="U585" s="41"/>
      <c r="V585" s="41"/>
      <c r="W585" s="36"/>
      <c r="X585" s="36"/>
      <c r="Y585" s="36"/>
      <c r="Z585" s="36"/>
      <c r="AA585" s="36"/>
    </row>
    <row r="586" spans="16:27" x14ac:dyDescent="0.2">
      <c r="P586" s="36"/>
      <c r="Q586" s="40"/>
      <c r="R586" s="40"/>
      <c r="S586" s="40"/>
      <c r="T586" s="41"/>
      <c r="U586" s="41"/>
      <c r="V586" s="41"/>
      <c r="W586" s="36"/>
      <c r="X586" s="36"/>
      <c r="Y586" s="36"/>
      <c r="Z586" s="36"/>
      <c r="AA586" s="36"/>
    </row>
    <row r="587" spans="16:27" x14ac:dyDescent="0.2">
      <c r="P587" s="36"/>
      <c r="Q587" s="40"/>
      <c r="R587" s="40"/>
      <c r="S587" s="40"/>
      <c r="T587" s="41"/>
      <c r="U587" s="41"/>
      <c r="V587" s="41"/>
      <c r="W587" s="36"/>
      <c r="X587" s="36"/>
      <c r="Y587" s="36"/>
      <c r="Z587" s="36"/>
      <c r="AA587" s="36"/>
    </row>
    <row r="588" spans="16:27" x14ac:dyDescent="0.2">
      <c r="P588" s="36"/>
      <c r="Q588" s="40"/>
      <c r="R588" s="40"/>
      <c r="S588" s="40"/>
      <c r="T588" s="41"/>
      <c r="U588" s="41"/>
      <c r="V588" s="41"/>
      <c r="W588" s="36"/>
      <c r="X588" s="36"/>
      <c r="Y588" s="36"/>
      <c r="Z588" s="36"/>
      <c r="AA588" s="36"/>
    </row>
    <row r="589" spans="16:27" x14ac:dyDescent="0.2">
      <c r="P589" s="36"/>
      <c r="Q589" s="40"/>
      <c r="R589" s="40"/>
      <c r="S589" s="40"/>
      <c r="T589" s="41"/>
      <c r="U589" s="41"/>
      <c r="V589" s="41"/>
      <c r="W589" s="36"/>
      <c r="X589" s="36"/>
      <c r="Y589" s="36"/>
      <c r="Z589" s="36"/>
      <c r="AA589" s="36"/>
    </row>
    <row r="590" spans="16:27" x14ac:dyDescent="0.2">
      <c r="P590" s="36"/>
      <c r="Q590" s="40"/>
      <c r="R590" s="40"/>
      <c r="S590" s="40"/>
      <c r="T590" s="41"/>
      <c r="U590" s="41"/>
      <c r="V590" s="41"/>
      <c r="W590" s="36"/>
      <c r="X590" s="36"/>
      <c r="Y590" s="36"/>
      <c r="Z590" s="36"/>
      <c r="AA590" s="36"/>
    </row>
    <row r="591" spans="16:27" x14ac:dyDescent="0.2">
      <c r="P591" s="36"/>
      <c r="Q591" s="40"/>
      <c r="R591" s="40"/>
      <c r="S591" s="40"/>
      <c r="T591" s="41"/>
      <c r="U591" s="41"/>
      <c r="V591" s="41"/>
      <c r="W591" s="36"/>
      <c r="X591" s="36"/>
      <c r="Y591" s="36"/>
      <c r="Z591" s="36"/>
      <c r="AA591" s="36"/>
    </row>
    <row r="592" spans="16:27" x14ac:dyDescent="0.2">
      <c r="P592" s="36"/>
      <c r="Q592" s="40"/>
      <c r="R592" s="40"/>
      <c r="S592" s="40"/>
      <c r="T592" s="41"/>
      <c r="U592" s="41"/>
      <c r="V592" s="41"/>
      <c r="W592" s="36"/>
      <c r="X592" s="36"/>
      <c r="Y592" s="36"/>
      <c r="Z592" s="36"/>
      <c r="AA592" s="36"/>
    </row>
    <row r="593" spans="16:27" x14ac:dyDescent="0.2">
      <c r="P593" s="36"/>
      <c r="Q593" s="40"/>
      <c r="R593" s="40"/>
      <c r="S593" s="40"/>
      <c r="T593" s="41"/>
      <c r="U593" s="41"/>
      <c r="V593" s="41"/>
      <c r="W593" s="36"/>
      <c r="X593" s="36"/>
      <c r="Y593" s="36"/>
      <c r="Z593" s="36"/>
      <c r="AA593" s="36"/>
    </row>
    <row r="594" spans="16:27" x14ac:dyDescent="0.2">
      <c r="P594" s="36"/>
      <c r="Q594" s="40"/>
      <c r="R594" s="40"/>
      <c r="S594" s="40"/>
      <c r="T594" s="41"/>
      <c r="U594" s="41"/>
      <c r="V594" s="41"/>
      <c r="W594" s="36"/>
      <c r="X594" s="36"/>
      <c r="Y594" s="36"/>
      <c r="Z594" s="36"/>
      <c r="AA594" s="36"/>
    </row>
    <row r="595" spans="16:27" x14ac:dyDescent="0.2">
      <c r="P595" s="36"/>
      <c r="Q595" s="40"/>
      <c r="R595" s="40"/>
      <c r="S595" s="40"/>
      <c r="T595" s="41"/>
      <c r="U595" s="41"/>
      <c r="V595" s="41"/>
      <c r="W595" s="36"/>
      <c r="X595" s="36"/>
      <c r="Y595" s="36"/>
      <c r="Z595" s="36"/>
      <c r="AA595" s="36"/>
    </row>
    <row r="596" spans="16:27" x14ac:dyDescent="0.2">
      <c r="P596" s="36"/>
      <c r="Q596" s="40"/>
      <c r="R596" s="40"/>
      <c r="S596" s="40"/>
      <c r="T596" s="41"/>
      <c r="U596" s="41"/>
      <c r="V596" s="41"/>
      <c r="W596" s="36"/>
      <c r="X596" s="36"/>
      <c r="Y596" s="36"/>
      <c r="Z596" s="36"/>
      <c r="AA596" s="36"/>
    </row>
    <row r="597" spans="16:27" x14ac:dyDescent="0.2">
      <c r="P597" s="36"/>
      <c r="Q597" s="40"/>
      <c r="R597" s="40"/>
      <c r="S597" s="40"/>
      <c r="T597" s="41"/>
      <c r="U597" s="41"/>
      <c r="V597" s="41"/>
      <c r="W597" s="36"/>
      <c r="X597" s="36"/>
      <c r="Y597" s="36"/>
      <c r="Z597" s="36"/>
      <c r="AA597" s="36"/>
    </row>
    <row r="598" spans="16:27" x14ac:dyDescent="0.2">
      <c r="P598" s="36"/>
      <c r="Q598" s="40"/>
      <c r="R598" s="40"/>
      <c r="S598" s="40"/>
      <c r="T598" s="41"/>
      <c r="U598" s="41"/>
      <c r="V598" s="41"/>
      <c r="W598" s="36"/>
      <c r="X598" s="36"/>
      <c r="Y598" s="36"/>
      <c r="Z598" s="36"/>
      <c r="AA598" s="36"/>
    </row>
    <row r="599" spans="16:27" x14ac:dyDescent="0.2">
      <c r="P599" s="36"/>
      <c r="Q599" s="40"/>
      <c r="R599" s="40"/>
      <c r="S599" s="40"/>
      <c r="T599" s="41"/>
      <c r="U599" s="41"/>
      <c r="V599" s="41"/>
      <c r="W599" s="36"/>
      <c r="X599" s="36"/>
      <c r="Y599" s="36"/>
      <c r="Z599" s="36"/>
      <c r="AA599" s="36"/>
    </row>
    <row r="600" spans="16:27" x14ac:dyDescent="0.2">
      <c r="P600" s="36"/>
      <c r="Q600" s="40"/>
      <c r="R600" s="40"/>
      <c r="S600" s="40"/>
      <c r="T600" s="41"/>
      <c r="U600" s="41"/>
      <c r="V600" s="41"/>
      <c r="W600" s="36"/>
      <c r="X600" s="36"/>
      <c r="Y600" s="36"/>
      <c r="Z600" s="36"/>
      <c r="AA600" s="36"/>
    </row>
    <row r="601" spans="16:27" x14ac:dyDescent="0.2">
      <c r="P601" s="36"/>
      <c r="Q601" s="40"/>
      <c r="R601" s="40"/>
      <c r="S601" s="40"/>
      <c r="T601" s="41"/>
      <c r="U601" s="41"/>
      <c r="V601" s="41"/>
      <c r="W601" s="36"/>
      <c r="X601" s="36"/>
      <c r="Y601" s="36"/>
      <c r="Z601" s="36"/>
      <c r="AA601" s="36"/>
    </row>
    <row r="602" spans="16:27" x14ac:dyDescent="0.2">
      <c r="P602" s="36"/>
      <c r="Q602" s="40"/>
      <c r="R602" s="40"/>
      <c r="S602" s="40"/>
      <c r="T602" s="41"/>
      <c r="U602" s="41"/>
      <c r="V602" s="41"/>
      <c r="W602" s="36"/>
      <c r="X602" s="36"/>
      <c r="Y602" s="36"/>
      <c r="Z602" s="36"/>
      <c r="AA602" s="36"/>
    </row>
    <row r="603" spans="16:27" x14ac:dyDescent="0.2">
      <c r="P603" s="36"/>
      <c r="Q603" s="40"/>
      <c r="R603" s="40"/>
      <c r="S603" s="40"/>
      <c r="T603" s="41"/>
      <c r="U603" s="41"/>
      <c r="V603" s="41"/>
      <c r="W603" s="36"/>
      <c r="X603" s="36"/>
      <c r="Y603" s="36"/>
      <c r="Z603" s="36"/>
      <c r="AA603" s="36"/>
    </row>
    <row r="604" spans="16:27" x14ac:dyDescent="0.2">
      <c r="P604" s="36"/>
      <c r="Q604" s="40"/>
      <c r="R604" s="40"/>
      <c r="S604" s="40"/>
      <c r="T604" s="41"/>
      <c r="U604" s="41"/>
      <c r="V604" s="41"/>
      <c r="W604" s="36"/>
      <c r="X604" s="36"/>
      <c r="Y604" s="36"/>
      <c r="Z604" s="36"/>
      <c r="AA604" s="36"/>
    </row>
    <row r="605" spans="16:27" x14ac:dyDescent="0.2">
      <c r="P605" s="36"/>
      <c r="Q605" s="40"/>
      <c r="R605" s="40"/>
      <c r="S605" s="40"/>
      <c r="T605" s="41"/>
      <c r="U605" s="41"/>
      <c r="V605" s="41"/>
      <c r="W605" s="36"/>
      <c r="X605" s="36"/>
      <c r="Y605" s="36"/>
      <c r="Z605" s="36"/>
      <c r="AA605" s="36"/>
    </row>
    <row r="606" spans="16:27" x14ac:dyDescent="0.2">
      <c r="P606" s="36"/>
      <c r="Q606" s="40"/>
      <c r="R606" s="40"/>
      <c r="S606" s="40"/>
      <c r="T606" s="41"/>
      <c r="U606" s="41"/>
      <c r="V606" s="41"/>
      <c r="W606" s="36"/>
      <c r="X606" s="36"/>
      <c r="Y606" s="36"/>
      <c r="Z606" s="36"/>
      <c r="AA606" s="36"/>
    </row>
    <row r="607" spans="16:27" x14ac:dyDescent="0.2">
      <c r="P607" s="36"/>
      <c r="Q607" s="40"/>
      <c r="R607" s="40"/>
      <c r="S607" s="40"/>
      <c r="T607" s="41"/>
      <c r="U607" s="41"/>
      <c r="V607" s="41"/>
      <c r="W607" s="36"/>
      <c r="X607" s="36"/>
      <c r="Y607" s="36"/>
      <c r="Z607" s="36"/>
      <c r="AA607" s="36"/>
    </row>
    <row r="608" spans="16:27" x14ac:dyDescent="0.2">
      <c r="P608" s="36"/>
      <c r="Q608" s="40"/>
      <c r="R608" s="40"/>
      <c r="S608" s="40"/>
      <c r="T608" s="41"/>
      <c r="U608" s="41"/>
      <c r="V608" s="41"/>
      <c r="W608" s="36"/>
      <c r="X608" s="36"/>
      <c r="Y608" s="36"/>
      <c r="Z608" s="36"/>
      <c r="AA608" s="36"/>
    </row>
    <row r="609" spans="16:27" x14ac:dyDescent="0.2">
      <c r="P609" s="36"/>
      <c r="Q609" s="40"/>
      <c r="R609" s="40"/>
      <c r="S609" s="40"/>
      <c r="T609" s="41"/>
      <c r="U609" s="41"/>
      <c r="V609" s="41"/>
      <c r="W609" s="36"/>
      <c r="X609" s="36"/>
      <c r="Y609" s="36"/>
      <c r="Z609" s="36"/>
      <c r="AA609" s="36"/>
    </row>
    <row r="610" spans="16:27" x14ac:dyDescent="0.2">
      <c r="P610" s="36"/>
      <c r="Q610" s="40"/>
      <c r="R610" s="40"/>
      <c r="S610" s="40"/>
      <c r="T610" s="41"/>
      <c r="U610" s="41"/>
      <c r="V610" s="41"/>
      <c r="W610" s="36"/>
      <c r="X610" s="36"/>
      <c r="Y610" s="36"/>
      <c r="Z610" s="36"/>
      <c r="AA610" s="36"/>
    </row>
    <row r="611" spans="16:27" x14ac:dyDescent="0.2">
      <c r="P611" s="36"/>
      <c r="Q611" s="40"/>
      <c r="R611" s="40"/>
      <c r="S611" s="40"/>
      <c r="T611" s="41"/>
      <c r="U611" s="41"/>
      <c r="V611" s="41"/>
      <c r="W611" s="36"/>
      <c r="X611" s="36"/>
      <c r="Y611" s="36"/>
      <c r="Z611" s="36"/>
      <c r="AA611" s="36"/>
    </row>
    <row r="612" spans="16:27" x14ac:dyDescent="0.2">
      <c r="P612" s="36"/>
      <c r="Q612" s="40"/>
      <c r="R612" s="40"/>
      <c r="S612" s="40"/>
      <c r="T612" s="41"/>
      <c r="U612" s="41"/>
      <c r="V612" s="41"/>
      <c r="W612" s="36"/>
      <c r="X612" s="36"/>
      <c r="Y612" s="36"/>
      <c r="Z612" s="36"/>
      <c r="AA612" s="36"/>
    </row>
    <row r="613" spans="16:27" x14ac:dyDescent="0.2">
      <c r="P613" s="36"/>
      <c r="Q613" s="40"/>
      <c r="R613" s="40"/>
      <c r="S613" s="40"/>
      <c r="T613" s="41"/>
      <c r="U613" s="41"/>
      <c r="V613" s="41"/>
      <c r="W613" s="36"/>
      <c r="X613" s="36"/>
      <c r="Y613" s="36"/>
      <c r="Z613" s="36"/>
      <c r="AA613" s="36"/>
    </row>
    <row r="614" spans="16:27" x14ac:dyDescent="0.2">
      <c r="P614" s="36"/>
      <c r="Q614" s="40"/>
      <c r="R614" s="40"/>
      <c r="S614" s="40"/>
      <c r="T614" s="41"/>
      <c r="U614" s="41"/>
      <c r="V614" s="41"/>
      <c r="W614" s="36"/>
      <c r="X614" s="36"/>
      <c r="Y614" s="36"/>
      <c r="Z614" s="36"/>
      <c r="AA614" s="36"/>
    </row>
    <row r="615" spans="16:27" x14ac:dyDescent="0.2">
      <c r="P615" s="36"/>
      <c r="Q615" s="40"/>
      <c r="R615" s="40"/>
      <c r="S615" s="40"/>
      <c r="T615" s="41"/>
      <c r="U615" s="41"/>
      <c r="V615" s="41"/>
      <c r="W615" s="36"/>
      <c r="X615" s="36"/>
      <c r="Y615" s="36"/>
      <c r="Z615" s="36"/>
      <c r="AA615" s="36"/>
    </row>
    <row r="616" spans="16:27" x14ac:dyDescent="0.2">
      <c r="P616" s="36"/>
      <c r="Q616" s="40"/>
      <c r="R616" s="40"/>
      <c r="S616" s="40"/>
      <c r="T616" s="41"/>
      <c r="U616" s="41"/>
      <c r="V616" s="41"/>
      <c r="W616" s="36"/>
      <c r="X616" s="36"/>
      <c r="Y616" s="36"/>
      <c r="Z616" s="36"/>
      <c r="AA616" s="36"/>
    </row>
    <row r="617" spans="16:27" x14ac:dyDescent="0.2">
      <c r="P617" s="36"/>
      <c r="Q617" s="40"/>
      <c r="R617" s="40"/>
      <c r="S617" s="40"/>
      <c r="T617" s="41"/>
      <c r="U617" s="41"/>
      <c r="V617" s="41"/>
      <c r="W617" s="36"/>
      <c r="X617" s="36"/>
      <c r="Y617" s="36"/>
      <c r="Z617" s="36"/>
      <c r="AA617" s="36"/>
    </row>
    <row r="618" spans="16:27" x14ac:dyDescent="0.2">
      <c r="P618" s="36"/>
      <c r="Q618" s="40"/>
      <c r="R618" s="40"/>
      <c r="S618" s="40"/>
      <c r="T618" s="41"/>
      <c r="U618" s="41"/>
      <c r="V618" s="41"/>
      <c r="W618" s="36"/>
      <c r="X618" s="36"/>
      <c r="Y618" s="36"/>
      <c r="Z618" s="36"/>
      <c r="AA618" s="36"/>
    </row>
    <row r="619" spans="16:27" x14ac:dyDescent="0.2">
      <c r="P619" s="36"/>
      <c r="Q619" s="40"/>
      <c r="R619" s="40"/>
      <c r="S619" s="40"/>
      <c r="T619" s="41"/>
      <c r="U619" s="41"/>
      <c r="V619" s="41"/>
      <c r="W619" s="36"/>
      <c r="X619" s="36"/>
      <c r="Y619" s="36"/>
      <c r="Z619" s="36"/>
      <c r="AA619" s="36"/>
    </row>
    <row r="620" spans="16:27" x14ac:dyDescent="0.2">
      <c r="P620" s="36"/>
      <c r="Q620" s="40"/>
      <c r="R620" s="40"/>
      <c r="S620" s="40"/>
      <c r="T620" s="41"/>
      <c r="U620" s="41"/>
      <c r="V620" s="41"/>
      <c r="W620" s="36"/>
      <c r="X620" s="36"/>
      <c r="Y620" s="36"/>
      <c r="Z620" s="36"/>
      <c r="AA620" s="36"/>
    </row>
    <row r="621" spans="16:27" x14ac:dyDescent="0.2">
      <c r="P621" s="36"/>
      <c r="Q621" s="40"/>
      <c r="R621" s="40"/>
      <c r="S621" s="40"/>
      <c r="T621" s="41"/>
      <c r="U621" s="41"/>
      <c r="V621" s="41"/>
      <c r="W621" s="36"/>
      <c r="X621" s="36"/>
      <c r="Y621" s="36"/>
      <c r="Z621" s="36"/>
      <c r="AA621" s="36"/>
    </row>
    <row r="622" spans="16:27" x14ac:dyDescent="0.2">
      <c r="P622" s="36"/>
      <c r="Q622" s="40"/>
      <c r="R622" s="40"/>
      <c r="S622" s="40"/>
      <c r="T622" s="41"/>
      <c r="U622" s="41"/>
      <c r="V622" s="41"/>
      <c r="W622" s="36"/>
      <c r="X622" s="36"/>
      <c r="Y622" s="36"/>
      <c r="Z622" s="36"/>
      <c r="AA622" s="36"/>
    </row>
    <row r="623" spans="16:27" x14ac:dyDescent="0.2">
      <c r="P623" s="36"/>
      <c r="Q623" s="40"/>
      <c r="R623" s="40"/>
      <c r="S623" s="40"/>
      <c r="T623" s="41"/>
      <c r="U623" s="41"/>
      <c r="V623" s="41"/>
      <c r="W623" s="36"/>
      <c r="X623" s="36"/>
      <c r="Y623" s="36"/>
      <c r="Z623" s="36"/>
      <c r="AA623" s="36"/>
    </row>
    <row r="624" spans="16:27" x14ac:dyDescent="0.2">
      <c r="P624" s="36"/>
      <c r="Q624" s="40"/>
      <c r="R624" s="40"/>
      <c r="S624" s="40"/>
      <c r="T624" s="41"/>
      <c r="U624" s="41"/>
      <c r="V624" s="41"/>
      <c r="W624" s="36"/>
      <c r="X624" s="36"/>
      <c r="Y624" s="36"/>
      <c r="Z624" s="36"/>
      <c r="AA624" s="36"/>
    </row>
    <row r="625" spans="16:27" x14ac:dyDescent="0.2">
      <c r="P625" s="36"/>
      <c r="Q625" s="40"/>
      <c r="R625" s="40"/>
      <c r="S625" s="40"/>
      <c r="T625" s="41"/>
      <c r="U625" s="41"/>
      <c r="V625" s="41"/>
      <c r="W625" s="36"/>
      <c r="X625" s="36"/>
      <c r="Y625" s="36"/>
      <c r="Z625" s="36"/>
      <c r="AA625" s="36"/>
    </row>
    <row r="626" spans="16:27" x14ac:dyDescent="0.2">
      <c r="P626" s="36"/>
      <c r="Q626" s="40"/>
      <c r="R626" s="40"/>
      <c r="S626" s="40"/>
      <c r="T626" s="41"/>
      <c r="U626" s="41"/>
      <c r="V626" s="41"/>
      <c r="W626" s="36"/>
      <c r="X626" s="36"/>
      <c r="Y626" s="36"/>
      <c r="Z626" s="36"/>
      <c r="AA626" s="36"/>
    </row>
    <row r="627" spans="16:27" x14ac:dyDescent="0.2">
      <c r="P627" s="36"/>
      <c r="Q627" s="40"/>
      <c r="R627" s="40"/>
      <c r="S627" s="40"/>
      <c r="T627" s="41"/>
      <c r="U627" s="41"/>
      <c r="V627" s="41"/>
      <c r="W627" s="36"/>
      <c r="X627" s="36"/>
      <c r="Y627" s="36"/>
      <c r="Z627" s="36"/>
      <c r="AA627" s="36"/>
    </row>
    <row r="628" spans="16:27" x14ac:dyDescent="0.2">
      <c r="P628" s="36"/>
      <c r="Q628" s="40"/>
      <c r="R628" s="40"/>
      <c r="S628" s="40"/>
      <c r="T628" s="41"/>
      <c r="U628" s="41"/>
      <c r="V628" s="41"/>
      <c r="W628" s="36"/>
      <c r="X628" s="36"/>
      <c r="Y628" s="36"/>
      <c r="Z628" s="36"/>
      <c r="AA628" s="36"/>
    </row>
    <row r="629" spans="16:27" x14ac:dyDescent="0.2">
      <c r="P629" s="36"/>
      <c r="Q629" s="40"/>
      <c r="R629" s="40"/>
      <c r="S629" s="40"/>
      <c r="T629" s="41"/>
      <c r="U629" s="41"/>
      <c r="V629" s="41"/>
      <c r="W629" s="36"/>
      <c r="X629" s="36"/>
      <c r="Y629" s="36"/>
      <c r="Z629" s="36"/>
      <c r="AA629" s="36"/>
    </row>
    <row r="630" spans="16:27" x14ac:dyDescent="0.2">
      <c r="P630" s="36"/>
      <c r="Q630" s="40"/>
      <c r="R630" s="40"/>
      <c r="S630" s="40"/>
      <c r="T630" s="41"/>
      <c r="U630" s="41"/>
      <c r="V630" s="41"/>
      <c r="W630" s="36"/>
      <c r="X630" s="36"/>
      <c r="Y630" s="36"/>
      <c r="Z630" s="36"/>
      <c r="AA630" s="36"/>
    </row>
    <row r="631" spans="16:27" x14ac:dyDescent="0.2">
      <c r="P631" s="36"/>
      <c r="Q631" s="40"/>
      <c r="R631" s="40"/>
      <c r="S631" s="40"/>
      <c r="T631" s="41"/>
      <c r="U631" s="41"/>
      <c r="V631" s="41"/>
      <c r="W631" s="36"/>
      <c r="X631" s="36"/>
      <c r="Y631" s="36"/>
      <c r="Z631" s="36"/>
      <c r="AA631" s="36"/>
    </row>
    <row r="632" spans="16:27" x14ac:dyDescent="0.2">
      <c r="P632" s="36"/>
      <c r="Q632" s="40"/>
      <c r="R632" s="40"/>
      <c r="S632" s="40"/>
      <c r="T632" s="41"/>
      <c r="U632" s="41"/>
      <c r="V632" s="41"/>
      <c r="W632" s="36"/>
      <c r="X632" s="36"/>
      <c r="Y632" s="36"/>
      <c r="Z632" s="36"/>
      <c r="AA632" s="36"/>
    </row>
    <row r="633" spans="16:27" x14ac:dyDescent="0.2">
      <c r="P633" s="36"/>
      <c r="Q633" s="40"/>
      <c r="R633" s="40"/>
      <c r="S633" s="40"/>
      <c r="T633" s="41"/>
      <c r="U633" s="41"/>
      <c r="V633" s="41"/>
      <c r="W633" s="36"/>
      <c r="X633" s="36"/>
      <c r="Y633" s="36"/>
      <c r="Z633" s="36"/>
      <c r="AA633" s="36"/>
    </row>
    <row r="634" spans="16:27" x14ac:dyDescent="0.2">
      <c r="P634" s="36"/>
      <c r="Q634" s="40"/>
      <c r="R634" s="40"/>
      <c r="S634" s="40"/>
      <c r="T634" s="41"/>
      <c r="U634" s="41"/>
      <c r="V634" s="41"/>
      <c r="W634" s="36"/>
      <c r="X634" s="36"/>
      <c r="Y634" s="36"/>
      <c r="Z634" s="36"/>
      <c r="AA634" s="36"/>
    </row>
    <row r="635" spans="16:27" x14ac:dyDescent="0.2">
      <c r="P635" s="36"/>
      <c r="Q635" s="40"/>
      <c r="R635" s="40"/>
      <c r="S635" s="40"/>
      <c r="T635" s="41"/>
      <c r="U635" s="41"/>
      <c r="V635" s="41"/>
      <c r="W635" s="36"/>
      <c r="X635" s="36"/>
      <c r="Y635" s="36"/>
      <c r="Z635" s="36"/>
      <c r="AA635" s="36"/>
    </row>
    <row r="636" spans="16:27" x14ac:dyDescent="0.2">
      <c r="P636" s="36"/>
      <c r="Q636" s="40"/>
      <c r="R636" s="40"/>
      <c r="S636" s="40"/>
      <c r="T636" s="41"/>
      <c r="U636" s="41"/>
      <c r="V636" s="41"/>
      <c r="W636" s="36"/>
      <c r="X636" s="36"/>
      <c r="Y636" s="36"/>
      <c r="Z636" s="36"/>
      <c r="AA636" s="36"/>
    </row>
    <row r="637" spans="16:27" x14ac:dyDescent="0.2">
      <c r="P637" s="36"/>
      <c r="Q637" s="40"/>
      <c r="R637" s="40"/>
      <c r="S637" s="40"/>
      <c r="T637" s="41"/>
      <c r="U637" s="41"/>
      <c r="V637" s="41"/>
      <c r="W637" s="36"/>
      <c r="X637" s="36"/>
      <c r="Y637" s="36"/>
      <c r="Z637" s="36"/>
      <c r="AA637" s="36"/>
    </row>
    <row r="638" spans="16:27" x14ac:dyDescent="0.2">
      <c r="P638" s="36"/>
      <c r="Q638" s="40"/>
      <c r="R638" s="40"/>
      <c r="S638" s="40"/>
      <c r="T638" s="41"/>
      <c r="U638" s="41"/>
      <c r="V638" s="41"/>
      <c r="W638" s="36"/>
      <c r="X638" s="36"/>
      <c r="Y638" s="36"/>
      <c r="Z638" s="36"/>
      <c r="AA638" s="36"/>
    </row>
    <row r="639" spans="16:27" x14ac:dyDescent="0.2">
      <c r="P639" s="36"/>
      <c r="Q639" s="40"/>
      <c r="R639" s="40"/>
      <c r="S639" s="40"/>
      <c r="T639" s="41"/>
      <c r="U639" s="41"/>
      <c r="V639" s="41"/>
      <c r="W639" s="36"/>
      <c r="X639" s="36"/>
      <c r="Y639" s="36"/>
      <c r="Z639" s="36"/>
      <c r="AA639" s="36"/>
    </row>
    <row r="640" spans="16:27" x14ac:dyDescent="0.2">
      <c r="P640" s="36"/>
      <c r="Q640" s="40"/>
      <c r="R640" s="40"/>
      <c r="S640" s="40"/>
      <c r="T640" s="41"/>
      <c r="U640" s="41"/>
      <c r="V640" s="41"/>
      <c r="W640" s="36"/>
      <c r="X640" s="36"/>
      <c r="Y640" s="36"/>
      <c r="Z640" s="36"/>
      <c r="AA640" s="36"/>
    </row>
    <row r="641" spans="16:27" x14ac:dyDescent="0.2">
      <c r="P641" s="36"/>
      <c r="Q641" s="40"/>
      <c r="R641" s="40"/>
      <c r="S641" s="40"/>
      <c r="T641" s="41"/>
      <c r="U641" s="41"/>
      <c r="V641" s="41"/>
      <c r="W641" s="36"/>
      <c r="X641" s="36"/>
      <c r="Y641" s="36"/>
      <c r="Z641" s="36"/>
      <c r="AA641" s="36"/>
    </row>
    <row r="642" spans="16:27" x14ac:dyDescent="0.2">
      <c r="P642" s="36"/>
      <c r="Q642" s="40"/>
      <c r="R642" s="40"/>
      <c r="S642" s="40"/>
      <c r="T642" s="41"/>
      <c r="U642" s="41"/>
      <c r="V642" s="41"/>
      <c r="W642" s="36"/>
      <c r="X642" s="36"/>
      <c r="Y642" s="36"/>
      <c r="Z642" s="36"/>
      <c r="AA642" s="36"/>
    </row>
    <row r="643" spans="16:27" x14ac:dyDescent="0.2">
      <c r="P643" s="36"/>
      <c r="Q643" s="40"/>
      <c r="R643" s="40"/>
      <c r="S643" s="40"/>
      <c r="T643" s="41"/>
      <c r="U643" s="41"/>
      <c r="V643" s="41"/>
      <c r="W643" s="36"/>
      <c r="X643" s="36"/>
      <c r="Y643" s="36"/>
      <c r="Z643" s="36"/>
      <c r="AA643" s="36"/>
    </row>
    <row r="644" spans="16:27" x14ac:dyDescent="0.2">
      <c r="P644" s="36"/>
      <c r="Q644" s="40"/>
      <c r="R644" s="40"/>
      <c r="S644" s="40"/>
      <c r="T644" s="41"/>
      <c r="U644" s="41"/>
      <c r="V644" s="41"/>
      <c r="W644" s="36"/>
      <c r="X644" s="36"/>
      <c r="Y644" s="36"/>
      <c r="Z644" s="36"/>
      <c r="AA644" s="36"/>
    </row>
    <row r="645" spans="16:27" x14ac:dyDescent="0.2">
      <c r="P645" s="36"/>
      <c r="Q645" s="40"/>
      <c r="R645" s="40"/>
      <c r="S645" s="40"/>
      <c r="T645" s="41"/>
      <c r="U645" s="41"/>
      <c r="V645" s="41"/>
      <c r="W645" s="36"/>
      <c r="X645" s="36"/>
      <c r="Y645" s="36"/>
      <c r="Z645" s="36"/>
      <c r="AA645" s="36"/>
    </row>
    <row r="646" spans="16:27" x14ac:dyDescent="0.2">
      <c r="P646" s="36"/>
      <c r="Q646" s="40"/>
      <c r="R646" s="40"/>
      <c r="S646" s="40"/>
      <c r="T646" s="41"/>
      <c r="U646" s="41"/>
      <c r="V646" s="41"/>
      <c r="W646" s="36"/>
      <c r="X646" s="36"/>
      <c r="Y646" s="36"/>
      <c r="Z646" s="36"/>
      <c r="AA646" s="36"/>
    </row>
    <row r="647" spans="16:27" x14ac:dyDescent="0.2">
      <c r="P647" s="36"/>
      <c r="Q647" s="40"/>
      <c r="R647" s="40"/>
      <c r="S647" s="40"/>
      <c r="T647" s="41"/>
      <c r="U647" s="41"/>
      <c r="V647" s="41"/>
      <c r="W647" s="36"/>
      <c r="X647" s="36"/>
      <c r="Y647" s="36"/>
      <c r="Z647" s="36"/>
      <c r="AA647" s="36"/>
    </row>
    <row r="648" spans="16:27" x14ac:dyDescent="0.2">
      <c r="P648" s="36"/>
      <c r="Q648" s="40"/>
      <c r="R648" s="40"/>
      <c r="S648" s="40"/>
      <c r="T648" s="41"/>
      <c r="U648" s="41"/>
      <c r="V648" s="41"/>
      <c r="W648" s="36"/>
      <c r="X648" s="36"/>
      <c r="Y648" s="36"/>
      <c r="Z648" s="36"/>
      <c r="AA648" s="36"/>
    </row>
    <row r="649" spans="16:27" x14ac:dyDescent="0.2">
      <c r="P649" s="36"/>
      <c r="Q649" s="40"/>
      <c r="R649" s="40"/>
      <c r="S649" s="40"/>
      <c r="T649" s="41"/>
      <c r="U649" s="41"/>
      <c r="V649" s="41"/>
      <c r="W649" s="36"/>
      <c r="X649" s="36"/>
      <c r="Y649" s="36"/>
      <c r="Z649" s="36"/>
      <c r="AA649" s="36"/>
    </row>
    <row r="650" spans="16:27" x14ac:dyDescent="0.2">
      <c r="P650" s="36"/>
      <c r="Q650" s="40"/>
      <c r="R650" s="40"/>
      <c r="S650" s="40"/>
      <c r="T650" s="41"/>
      <c r="U650" s="41"/>
      <c r="V650" s="41"/>
      <c r="W650" s="36"/>
      <c r="X650" s="36"/>
      <c r="Y650" s="36"/>
      <c r="Z650" s="36"/>
      <c r="AA650" s="36"/>
    </row>
    <row r="651" spans="16:27" x14ac:dyDescent="0.2">
      <c r="P651" s="36"/>
      <c r="Q651" s="40"/>
      <c r="R651" s="40"/>
      <c r="S651" s="40"/>
      <c r="T651" s="41"/>
      <c r="U651" s="41"/>
      <c r="V651" s="41"/>
      <c r="W651" s="36"/>
      <c r="X651" s="36"/>
      <c r="Y651" s="36"/>
      <c r="Z651" s="36"/>
      <c r="AA651" s="36"/>
    </row>
    <row r="652" spans="16:27" x14ac:dyDescent="0.2">
      <c r="P652" s="36"/>
      <c r="Q652" s="40"/>
      <c r="R652" s="40"/>
      <c r="S652" s="40"/>
      <c r="T652" s="41"/>
      <c r="U652" s="41"/>
      <c r="V652" s="41"/>
      <c r="W652" s="36"/>
      <c r="X652" s="36"/>
      <c r="Y652" s="36"/>
      <c r="Z652" s="36"/>
      <c r="AA652" s="36"/>
    </row>
    <row r="653" spans="16:27" x14ac:dyDescent="0.2">
      <c r="P653" s="36"/>
      <c r="Q653" s="40"/>
      <c r="R653" s="40"/>
      <c r="S653" s="40"/>
      <c r="T653" s="41"/>
      <c r="U653" s="41"/>
      <c r="V653" s="41"/>
      <c r="W653" s="36"/>
      <c r="X653" s="36"/>
      <c r="Y653" s="36"/>
      <c r="Z653" s="36"/>
      <c r="AA653" s="36"/>
    </row>
    <row r="654" spans="16:27" x14ac:dyDescent="0.2">
      <c r="P654" s="36"/>
      <c r="Q654" s="40"/>
      <c r="R654" s="40"/>
      <c r="S654" s="40"/>
      <c r="T654" s="41"/>
      <c r="U654" s="41"/>
      <c r="V654" s="41"/>
      <c r="W654" s="36"/>
      <c r="X654" s="36"/>
      <c r="Y654" s="36"/>
      <c r="Z654" s="36"/>
      <c r="AA654" s="36"/>
    </row>
    <row r="655" spans="16:27" x14ac:dyDescent="0.2">
      <c r="P655" s="36"/>
      <c r="Q655" s="40"/>
      <c r="R655" s="40"/>
      <c r="S655" s="40"/>
      <c r="T655" s="41"/>
      <c r="U655" s="41"/>
      <c r="V655" s="41"/>
      <c r="W655" s="36"/>
      <c r="X655" s="36"/>
      <c r="Y655" s="36"/>
      <c r="Z655" s="36"/>
      <c r="AA655" s="36"/>
    </row>
    <row r="656" spans="16:27" x14ac:dyDescent="0.2">
      <c r="P656" s="36"/>
      <c r="Q656" s="40"/>
      <c r="R656" s="40"/>
      <c r="S656" s="40"/>
      <c r="T656" s="41"/>
      <c r="U656" s="41"/>
      <c r="V656" s="41"/>
      <c r="W656" s="36"/>
      <c r="X656" s="36"/>
      <c r="Y656" s="36"/>
      <c r="Z656" s="36"/>
      <c r="AA656" s="36"/>
    </row>
    <row r="657" spans="16:27" x14ac:dyDescent="0.2">
      <c r="P657" s="36"/>
      <c r="Q657" s="40"/>
      <c r="R657" s="40"/>
      <c r="S657" s="40"/>
      <c r="T657" s="41"/>
      <c r="U657" s="41"/>
      <c r="V657" s="41"/>
      <c r="W657" s="36"/>
      <c r="X657" s="36"/>
      <c r="Y657" s="36"/>
      <c r="Z657" s="36"/>
      <c r="AA657" s="36"/>
    </row>
    <row r="658" spans="16:27" x14ac:dyDescent="0.2">
      <c r="P658" s="36"/>
      <c r="Q658" s="40"/>
      <c r="R658" s="40"/>
      <c r="S658" s="40"/>
      <c r="T658" s="41"/>
      <c r="U658" s="41"/>
      <c r="V658" s="41"/>
      <c r="W658" s="36"/>
      <c r="X658" s="36"/>
      <c r="Y658" s="36"/>
      <c r="Z658" s="36"/>
      <c r="AA658" s="36"/>
    </row>
    <row r="659" spans="16:27" x14ac:dyDescent="0.2">
      <c r="P659" s="36"/>
      <c r="Q659" s="40"/>
      <c r="R659" s="40"/>
      <c r="S659" s="40"/>
      <c r="T659" s="41"/>
      <c r="U659" s="41"/>
      <c r="V659" s="41"/>
      <c r="W659" s="36"/>
      <c r="X659" s="36"/>
      <c r="Y659" s="36"/>
      <c r="Z659" s="36"/>
      <c r="AA659" s="36"/>
    </row>
    <row r="660" spans="16:27" x14ac:dyDescent="0.2">
      <c r="P660" s="36"/>
      <c r="Q660" s="40"/>
      <c r="R660" s="40"/>
      <c r="S660" s="40"/>
      <c r="T660" s="41"/>
      <c r="U660" s="41"/>
      <c r="V660" s="41"/>
      <c r="W660" s="36"/>
      <c r="X660" s="36"/>
      <c r="Y660" s="36"/>
      <c r="Z660" s="36"/>
      <c r="AA660" s="36"/>
    </row>
    <row r="661" spans="16:27" x14ac:dyDescent="0.2">
      <c r="P661" s="36"/>
      <c r="Q661" s="40"/>
      <c r="R661" s="40"/>
      <c r="S661" s="40"/>
      <c r="T661" s="41"/>
      <c r="U661" s="41"/>
      <c r="V661" s="41"/>
      <c r="W661" s="36"/>
      <c r="X661" s="36"/>
      <c r="Y661" s="36"/>
      <c r="Z661" s="36"/>
      <c r="AA661" s="36"/>
    </row>
    <row r="662" spans="16:27" x14ac:dyDescent="0.2">
      <c r="P662" s="36"/>
      <c r="Q662" s="40"/>
      <c r="R662" s="40"/>
      <c r="S662" s="40"/>
      <c r="T662" s="41"/>
      <c r="U662" s="41"/>
      <c r="V662" s="41"/>
      <c r="W662" s="36"/>
      <c r="X662" s="36"/>
      <c r="Y662" s="36"/>
      <c r="Z662" s="36"/>
      <c r="AA662" s="36"/>
    </row>
    <row r="663" spans="16:27" x14ac:dyDescent="0.2">
      <c r="P663" s="36"/>
      <c r="Q663" s="40"/>
      <c r="R663" s="40"/>
      <c r="S663" s="40"/>
      <c r="T663" s="41"/>
      <c r="U663" s="41"/>
      <c r="V663" s="41"/>
      <c r="W663" s="36"/>
      <c r="X663" s="36"/>
      <c r="Y663" s="36"/>
      <c r="Z663" s="36"/>
      <c r="AA663" s="36"/>
    </row>
    <row r="664" spans="16:27" x14ac:dyDescent="0.2">
      <c r="P664" s="36"/>
      <c r="Q664" s="40"/>
      <c r="R664" s="40"/>
      <c r="S664" s="40"/>
      <c r="T664" s="41"/>
      <c r="U664" s="41"/>
      <c r="V664" s="41"/>
      <c r="W664" s="36"/>
      <c r="X664" s="36"/>
      <c r="Y664" s="36"/>
      <c r="Z664" s="36"/>
      <c r="AA664" s="36"/>
    </row>
    <row r="665" spans="16:27" x14ac:dyDescent="0.2">
      <c r="P665" s="36"/>
      <c r="Q665" s="40"/>
      <c r="R665" s="40"/>
      <c r="S665" s="40"/>
      <c r="T665" s="41"/>
      <c r="U665" s="41"/>
      <c r="V665" s="41"/>
      <c r="W665" s="36"/>
      <c r="X665" s="36"/>
      <c r="Y665" s="36"/>
      <c r="Z665" s="36"/>
      <c r="AA665" s="36"/>
    </row>
    <row r="666" spans="16:27" x14ac:dyDescent="0.2">
      <c r="P666" s="36"/>
      <c r="Q666" s="40"/>
      <c r="R666" s="40"/>
      <c r="S666" s="40"/>
      <c r="T666" s="41"/>
      <c r="U666" s="41"/>
      <c r="V666" s="41"/>
      <c r="W666" s="36"/>
      <c r="X666" s="36"/>
      <c r="Y666" s="36"/>
      <c r="Z666" s="36"/>
      <c r="AA666" s="36"/>
    </row>
    <row r="667" spans="16:27" x14ac:dyDescent="0.2">
      <c r="P667" s="36"/>
      <c r="Q667" s="40"/>
      <c r="R667" s="40"/>
      <c r="S667" s="40"/>
      <c r="T667" s="41"/>
      <c r="U667" s="41"/>
      <c r="V667" s="41"/>
      <c r="W667" s="36"/>
      <c r="X667" s="36"/>
      <c r="Y667" s="36"/>
      <c r="Z667" s="36"/>
      <c r="AA667" s="36"/>
    </row>
    <row r="668" spans="16:27" x14ac:dyDescent="0.2">
      <c r="P668" s="36"/>
      <c r="Q668" s="40"/>
      <c r="R668" s="40"/>
      <c r="S668" s="40"/>
      <c r="T668" s="41"/>
      <c r="U668" s="41"/>
      <c r="V668" s="41"/>
      <c r="W668" s="36"/>
      <c r="X668" s="36"/>
      <c r="Y668" s="36"/>
      <c r="Z668" s="36"/>
      <c r="AA668" s="36"/>
    </row>
    <row r="669" spans="16:27" x14ac:dyDescent="0.2">
      <c r="P669" s="36"/>
      <c r="Q669" s="40"/>
      <c r="R669" s="40"/>
      <c r="S669" s="40"/>
      <c r="T669" s="41"/>
      <c r="U669" s="41"/>
      <c r="V669" s="41"/>
      <c r="W669" s="36"/>
      <c r="X669" s="36"/>
      <c r="Y669" s="36"/>
      <c r="Z669" s="36"/>
      <c r="AA669" s="36"/>
    </row>
    <row r="670" spans="16:27" x14ac:dyDescent="0.2">
      <c r="P670" s="36"/>
      <c r="Q670" s="40"/>
      <c r="R670" s="40"/>
      <c r="S670" s="40"/>
      <c r="T670" s="41"/>
      <c r="U670" s="41"/>
      <c r="V670" s="41"/>
      <c r="W670" s="36"/>
      <c r="X670" s="36"/>
      <c r="Y670" s="36"/>
      <c r="Z670" s="36"/>
      <c r="AA670" s="36"/>
    </row>
    <row r="671" spans="16:27" x14ac:dyDescent="0.2">
      <c r="P671" s="36"/>
      <c r="Q671" s="40"/>
      <c r="R671" s="40"/>
      <c r="S671" s="40"/>
      <c r="T671" s="41"/>
      <c r="U671" s="41"/>
      <c r="V671" s="41"/>
      <c r="W671" s="36"/>
      <c r="X671" s="36"/>
      <c r="Y671" s="36"/>
      <c r="Z671" s="36"/>
      <c r="AA671" s="36"/>
    </row>
    <row r="672" spans="16:27" x14ac:dyDescent="0.2">
      <c r="P672" s="36"/>
      <c r="Q672" s="40"/>
      <c r="R672" s="40"/>
      <c r="S672" s="40"/>
      <c r="T672" s="41"/>
      <c r="U672" s="41"/>
      <c r="V672" s="41"/>
      <c r="W672" s="36"/>
      <c r="X672" s="36"/>
      <c r="Y672" s="36"/>
      <c r="Z672" s="36"/>
      <c r="AA672" s="36"/>
    </row>
    <row r="673" spans="16:27" x14ac:dyDescent="0.2">
      <c r="P673" s="36"/>
      <c r="Q673" s="40"/>
      <c r="R673" s="40"/>
      <c r="S673" s="40"/>
      <c r="T673" s="41"/>
      <c r="U673" s="41"/>
      <c r="V673" s="41"/>
      <c r="W673" s="36"/>
      <c r="X673" s="36"/>
      <c r="Y673" s="36"/>
      <c r="Z673" s="36"/>
      <c r="AA673" s="36"/>
    </row>
    <row r="674" spans="16:27" x14ac:dyDescent="0.2">
      <c r="P674" s="36"/>
      <c r="Q674" s="40"/>
      <c r="R674" s="40"/>
      <c r="S674" s="40"/>
      <c r="T674" s="41"/>
      <c r="U674" s="41"/>
      <c r="V674" s="41"/>
      <c r="W674" s="36"/>
      <c r="X674" s="36"/>
      <c r="Y674" s="36"/>
      <c r="Z674" s="36"/>
      <c r="AA674" s="36"/>
    </row>
    <row r="675" spans="16:27" x14ac:dyDescent="0.2">
      <c r="P675" s="36"/>
      <c r="Q675" s="40"/>
      <c r="R675" s="40"/>
      <c r="S675" s="40"/>
      <c r="T675" s="41"/>
      <c r="U675" s="41"/>
      <c r="V675" s="41"/>
      <c r="W675" s="36"/>
      <c r="X675" s="36"/>
      <c r="Y675" s="36"/>
      <c r="Z675" s="36"/>
      <c r="AA675" s="36"/>
    </row>
    <row r="676" spans="16:27" x14ac:dyDescent="0.2">
      <c r="P676" s="36"/>
      <c r="Q676" s="40"/>
      <c r="R676" s="40"/>
      <c r="S676" s="40"/>
      <c r="T676" s="41"/>
      <c r="U676" s="41"/>
      <c r="V676" s="41"/>
      <c r="W676" s="36"/>
      <c r="X676" s="36"/>
      <c r="Y676" s="36"/>
      <c r="Z676" s="36"/>
      <c r="AA676" s="36"/>
    </row>
    <row r="677" spans="16:27" x14ac:dyDescent="0.2">
      <c r="P677" s="36"/>
      <c r="Q677" s="40"/>
      <c r="R677" s="40"/>
      <c r="S677" s="40"/>
      <c r="T677" s="41"/>
      <c r="U677" s="41"/>
      <c r="V677" s="41"/>
      <c r="W677" s="36"/>
      <c r="X677" s="36"/>
      <c r="Y677" s="36"/>
      <c r="Z677" s="36"/>
      <c r="AA677" s="36"/>
    </row>
    <row r="678" spans="16:27" x14ac:dyDescent="0.2">
      <c r="P678" s="36"/>
      <c r="Q678" s="40"/>
      <c r="R678" s="40"/>
      <c r="S678" s="40"/>
      <c r="T678" s="41"/>
      <c r="U678" s="41"/>
      <c r="V678" s="41"/>
      <c r="W678" s="36"/>
      <c r="X678" s="36"/>
      <c r="Y678" s="36"/>
      <c r="Z678" s="36"/>
      <c r="AA678" s="36"/>
    </row>
    <row r="679" spans="16:27" x14ac:dyDescent="0.2">
      <c r="P679" s="36"/>
      <c r="Q679" s="40"/>
      <c r="R679" s="40"/>
      <c r="S679" s="40"/>
      <c r="T679" s="41"/>
      <c r="U679" s="41"/>
      <c r="V679" s="41"/>
      <c r="W679" s="36"/>
      <c r="X679" s="36"/>
      <c r="Y679" s="36"/>
      <c r="Z679" s="36"/>
      <c r="AA679" s="36"/>
    </row>
    <row r="680" spans="16:27" x14ac:dyDescent="0.2">
      <c r="P680" s="36"/>
      <c r="Q680" s="40"/>
      <c r="R680" s="40"/>
      <c r="S680" s="40"/>
      <c r="T680" s="41"/>
      <c r="U680" s="41"/>
      <c r="V680" s="41"/>
      <c r="W680" s="36"/>
      <c r="X680" s="36"/>
      <c r="Y680" s="36"/>
      <c r="Z680" s="36"/>
      <c r="AA680" s="36"/>
    </row>
    <row r="681" spans="16:27" x14ac:dyDescent="0.2">
      <c r="P681" s="36"/>
      <c r="Q681" s="40"/>
      <c r="R681" s="40"/>
      <c r="S681" s="40"/>
      <c r="T681" s="41"/>
      <c r="U681" s="41"/>
      <c r="V681" s="41"/>
      <c r="W681" s="36"/>
      <c r="X681" s="36"/>
      <c r="Y681" s="36"/>
      <c r="Z681" s="36"/>
      <c r="AA681" s="36"/>
    </row>
    <row r="682" spans="16:27" x14ac:dyDescent="0.2">
      <c r="P682" s="36"/>
      <c r="Q682" s="40"/>
      <c r="R682" s="40"/>
      <c r="S682" s="40"/>
      <c r="T682" s="41"/>
      <c r="U682" s="41"/>
      <c r="V682" s="41"/>
      <c r="W682" s="36"/>
      <c r="X682" s="36"/>
      <c r="Y682" s="36"/>
      <c r="Z682" s="36"/>
      <c r="AA682" s="36"/>
    </row>
    <row r="683" spans="16:27" x14ac:dyDescent="0.2">
      <c r="P683" s="36"/>
      <c r="Q683" s="40"/>
      <c r="R683" s="40"/>
      <c r="S683" s="40"/>
      <c r="T683" s="41"/>
      <c r="U683" s="41"/>
      <c r="V683" s="41"/>
      <c r="W683" s="36"/>
      <c r="X683" s="36"/>
      <c r="Y683" s="36"/>
      <c r="Z683" s="36"/>
      <c r="AA683" s="36"/>
    </row>
    <row r="684" spans="16:27" x14ac:dyDescent="0.2">
      <c r="P684" s="36"/>
      <c r="Q684" s="40"/>
      <c r="R684" s="40"/>
      <c r="S684" s="40"/>
      <c r="T684" s="41"/>
      <c r="U684" s="41"/>
      <c r="V684" s="41"/>
      <c r="W684" s="36"/>
      <c r="X684" s="36"/>
      <c r="Y684" s="36"/>
      <c r="Z684" s="36"/>
      <c r="AA684" s="36"/>
    </row>
    <row r="685" spans="16:27" x14ac:dyDescent="0.2">
      <c r="P685" s="36"/>
      <c r="Q685" s="40"/>
      <c r="R685" s="40"/>
      <c r="S685" s="40"/>
      <c r="T685" s="41"/>
      <c r="U685" s="41"/>
      <c r="V685" s="41"/>
      <c r="W685" s="36"/>
      <c r="X685" s="36"/>
      <c r="Y685" s="36"/>
      <c r="Z685" s="36"/>
      <c r="AA685" s="36"/>
    </row>
    <row r="686" spans="16:27" x14ac:dyDescent="0.2">
      <c r="P686" s="36"/>
      <c r="Q686" s="40"/>
      <c r="R686" s="40"/>
      <c r="S686" s="40"/>
      <c r="T686" s="41"/>
      <c r="U686" s="41"/>
      <c r="V686" s="41"/>
      <c r="W686" s="36"/>
      <c r="X686" s="36"/>
      <c r="Y686" s="36"/>
      <c r="Z686" s="36"/>
      <c r="AA686" s="36"/>
    </row>
    <row r="687" spans="16:27" x14ac:dyDescent="0.2">
      <c r="P687" s="36"/>
      <c r="Q687" s="40"/>
      <c r="R687" s="40"/>
      <c r="S687" s="40"/>
      <c r="T687" s="41"/>
      <c r="U687" s="41"/>
      <c r="V687" s="41"/>
      <c r="W687" s="36"/>
      <c r="X687" s="36"/>
      <c r="Y687" s="36"/>
      <c r="Z687" s="36"/>
      <c r="AA687" s="36"/>
    </row>
    <row r="688" spans="16:27" x14ac:dyDescent="0.2">
      <c r="P688" s="36"/>
      <c r="Q688" s="40"/>
      <c r="R688" s="40"/>
      <c r="S688" s="40"/>
      <c r="T688" s="41"/>
      <c r="U688" s="41"/>
      <c r="V688" s="41"/>
      <c r="W688" s="36"/>
      <c r="X688" s="36"/>
      <c r="Y688" s="36"/>
      <c r="Z688" s="36"/>
      <c r="AA688" s="36"/>
    </row>
    <row r="689" spans="16:27" x14ac:dyDescent="0.2">
      <c r="P689" s="36"/>
      <c r="Q689" s="40"/>
      <c r="R689" s="40"/>
      <c r="S689" s="40"/>
      <c r="T689" s="41"/>
      <c r="U689" s="41"/>
      <c r="V689" s="41"/>
      <c r="W689" s="36"/>
      <c r="X689" s="36"/>
      <c r="Y689" s="36"/>
      <c r="Z689" s="36"/>
      <c r="AA689" s="36"/>
    </row>
    <row r="690" spans="16:27" x14ac:dyDescent="0.2">
      <c r="P690" s="36"/>
      <c r="Q690" s="40"/>
      <c r="R690" s="40"/>
      <c r="S690" s="40"/>
      <c r="T690" s="41"/>
      <c r="U690" s="41"/>
      <c r="V690" s="41"/>
      <c r="W690" s="36"/>
      <c r="X690" s="36"/>
      <c r="Y690" s="36"/>
      <c r="Z690" s="36"/>
      <c r="AA690" s="36"/>
    </row>
    <row r="691" spans="16:27" x14ac:dyDescent="0.2">
      <c r="P691" s="36"/>
      <c r="Q691" s="40"/>
      <c r="R691" s="40"/>
      <c r="S691" s="40"/>
      <c r="T691" s="41"/>
      <c r="U691" s="41"/>
      <c r="V691" s="41"/>
      <c r="W691" s="36"/>
      <c r="X691" s="36"/>
      <c r="Y691" s="36"/>
      <c r="Z691" s="36"/>
      <c r="AA691" s="36"/>
    </row>
    <row r="692" spans="16:27" x14ac:dyDescent="0.2">
      <c r="P692" s="36"/>
      <c r="Q692" s="40"/>
      <c r="R692" s="40"/>
      <c r="S692" s="40"/>
      <c r="T692" s="41"/>
      <c r="U692" s="41"/>
      <c r="V692" s="41"/>
      <c r="W692" s="36"/>
      <c r="X692" s="36"/>
      <c r="Y692" s="36"/>
      <c r="Z692" s="36"/>
      <c r="AA692" s="36"/>
    </row>
    <row r="693" spans="16:27" x14ac:dyDescent="0.2">
      <c r="P693" s="36"/>
      <c r="Q693" s="40"/>
      <c r="R693" s="40"/>
      <c r="S693" s="40"/>
      <c r="T693" s="41"/>
      <c r="U693" s="41"/>
      <c r="V693" s="41"/>
      <c r="W693" s="36"/>
      <c r="X693" s="36"/>
      <c r="Y693" s="36"/>
      <c r="Z693" s="36"/>
      <c r="AA693" s="36"/>
    </row>
    <row r="694" spans="16:27" x14ac:dyDescent="0.2">
      <c r="P694" s="36"/>
      <c r="Q694" s="40"/>
      <c r="R694" s="40"/>
      <c r="S694" s="40"/>
      <c r="T694" s="41"/>
      <c r="U694" s="41"/>
      <c r="V694" s="41"/>
      <c r="W694" s="36"/>
      <c r="X694" s="36"/>
      <c r="Y694" s="36"/>
      <c r="Z694" s="36"/>
      <c r="AA694" s="36"/>
    </row>
    <row r="695" spans="16:27" x14ac:dyDescent="0.2">
      <c r="P695" s="36"/>
      <c r="Q695" s="40"/>
      <c r="R695" s="40"/>
      <c r="S695" s="40"/>
      <c r="T695" s="41"/>
      <c r="U695" s="41"/>
      <c r="V695" s="41"/>
      <c r="W695" s="36"/>
      <c r="X695" s="36"/>
      <c r="Y695" s="36"/>
      <c r="Z695" s="36"/>
      <c r="AA695" s="36"/>
    </row>
    <row r="696" spans="16:27" x14ac:dyDescent="0.2">
      <c r="P696" s="36"/>
      <c r="Q696" s="40"/>
      <c r="R696" s="40"/>
      <c r="S696" s="40"/>
      <c r="T696" s="41"/>
      <c r="U696" s="41"/>
      <c r="V696" s="41"/>
      <c r="W696" s="36"/>
      <c r="X696" s="36"/>
      <c r="Y696" s="36"/>
      <c r="Z696" s="36"/>
      <c r="AA696" s="36"/>
    </row>
    <row r="697" spans="16:27" x14ac:dyDescent="0.2">
      <c r="P697" s="36"/>
      <c r="Q697" s="40"/>
      <c r="R697" s="40"/>
      <c r="S697" s="40"/>
      <c r="T697" s="41"/>
      <c r="U697" s="41"/>
      <c r="V697" s="41"/>
      <c r="W697" s="36"/>
      <c r="X697" s="36"/>
      <c r="Y697" s="36"/>
      <c r="Z697" s="36"/>
      <c r="AA697" s="36"/>
    </row>
    <row r="698" spans="16:27" x14ac:dyDescent="0.2">
      <c r="P698" s="36"/>
      <c r="Q698" s="40"/>
      <c r="R698" s="40"/>
      <c r="S698" s="40"/>
      <c r="T698" s="41"/>
      <c r="U698" s="41"/>
      <c r="V698" s="41"/>
      <c r="W698" s="36"/>
      <c r="X698" s="36"/>
      <c r="Y698" s="36"/>
      <c r="Z698" s="36"/>
      <c r="AA698" s="36"/>
    </row>
    <row r="699" spans="16:27" x14ac:dyDescent="0.2">
      <c r="P699" s="36"/>
      <c r="Q699" s="40"/>
      <c r="R699" s="40"/>
      <c r="S699" s="40"/>
      <c r="T699" s="41"/>
      <c r="U699" s="41"/>
      <c r="V699" s="41"/>
      <c r="W699" s="36"/>
      <c r="X699" s="36"/>
      <c r="Y699" s="36"/>
      <c r="Z699" s="36"/>
      <c r="AA699" s="36"/>
    </row>
    <row r="700" spans="16:27" x14ac:dyDescent="0.2">
      <c r="P700" s="36"/>
      <c r="Q700" s="40"/>
      <c r="R700" s="40"/>
      <c r="S700" s="40"/>
      <c r="T700" s="41"/>
      <c r="U700" s="41"/>
      <c r="V700" s="41"/>
      <c r="W700" s="36"/>
      <c r="X700" s="36"/>
      <c r="Y700" s="36"/>
      <c r="Z700" s="36"/>
      <c r="AA700" s="36"/>
    </row>
    <row r="701" spans="16:27" x14ac:dyDescent="0.2">
      <c r="P701" s="36"/>
      <c r="Q701" s="40"/>
      <c r="R701" s="40"/>
      <c r="S701" s="40"/>
      <c r="T701" s="41"/>
      <c r="U701" s="41"/>
      <c r="V701" s="41"/>
      <c r="W701" s="36"/>
      <c r="X701" s="36"/>
      <c r="Y701" s="36"/>
      <c r="Z701" s="36"/>
      <c r="AA701" s="36"/>
    </row>
    <row r="702" spans="16:27" x14ac:dyDescent="0.2">
      <c r="P702" s="36"/>
      <c r="Q702" s="40"/>
      <c r="R702" s="40"/>
      <c r="S702" s="40"/>
      <c r="T702" s="41"/>
      <c r="U702" s="41"/>
      <c r="V702" s="41"/>
      <c r="W702" s="36"/>
      <c r="X702" s="36"/>
      <c r="Y702" s="36"/>
      <c r="Z702" s="36"/>
      <c r="AA702" s="36"/>
    </row>
    <row r="703" spans="16:27" x14ac:dyDescent="0.2">
      <c r="P703" s="36"/>
      <c r="Q703" s="40"/>
      <c r="R703" s="40"/>
      <c r="S703" s="40"/>
      <c r="T703" s="41"/>
      <c r="U703" s="41"/>
      <c r="V703" s="41"/>
      <c r="W703" s="36"/>
      <c r="X703" s="36"/>
      <c r="Y703" s="36"/>
      <c r="Z703" s="36"/>
      <c r="AA703" s="36"/>
    </row>
    <row r="704" spans="16:27" x14ac:dyDescent="0.2">
      <c r="P704" s="36"/>
      <c r="Q704" s="40"/>
      <c r="R704" s="40"/>
      <c r="S704" s="40"/>
      <c r="T704" s="41"/>
      <c r="U704" s="41"/>
      <c r="V704" s="41"/>
      <c r="W704" s="36"/>
      <c r="X704" s="36"/>
      <c r="Y704" s="36"/>
      <c r="Z704" s="36"/>
      <c r="AA704" s="36"/>
    </row>
    <row r="705" spans="16:27" x14ac:dyDescent="0.2">
      <c r="P705" s="36"/>
      <c r="Q705" s="40"/>
      <c r="R705" s="40"/>
      <c r="S705" s="40"/>
      <c r="T705" s="41"/>
      <c r="U705" s="41"/>
      <c r="V705" s="41"/>
      <c r="W705" s="36"/>
      <c r="X705" s="36"/>
      <c r="Y705" s="36"/>
      <c r="Z705" s="36"/>
      <c r="AA705" s="36"/>
    </row>
    <row r="706" spans="16:27" x14ac:dyDescent="0.2">
      <c r="P706" s="36"/>
      <c r="Q706" s="40"/>
      <c r="R706" s="40"/>
      <c r="S706" s="40"/>
      <c r="T706" s="41"/>
      <c r="U706" s="41"/>
      <c r="V706" s="41"/>
      <c r="W706" s="36"/>
      <c r="X706" s="36"/>
      <c r="Y706" s="36"/>
      <c r="Z706" s="36"/>
      <c r="AA706" s="36"/>
    </row>
    <row r="707" spans="16:27" x14ac:dyDescent="0.2">
      <c r="P707" s="36"/>
      <c r="Q707" s="40"/>
      <c r="R707" s="40"/>
      <c r="S707" s="40"/>
      <c r="T707" s="41"/>
      <c r="U707" s="41"/>
      <c r="V707" s="41"/>
      <c r="W707" s="36"/>
      <c r="X707" s="36"/>
      <c r="Y707" s="36"/>
      <c r="Z707" s="36"/>
      <c r="AA707" s="36"/>
    </row>
    <row r="708" spans="16:27" x14ac:dyDescent="0.2">
      <c r="P708" s="36"/>
      <c r="Q708" s="40"/>
      <c r="R708" s="40"/>
      <c r="S708" s="40"/>
      <c r="T708" s="41"/>
      <c r="U708" s="41"/>
      <c r="V708" s="41"/>
      <c r="W708" s="36"/>
      <c r="X708" s="36"/>
      <c r="Y708" s="36"/>
      <c r="Z708" s="36"/>
      <c r="AA708" s="36"/>
    </row>
    <row r="709" spans="16:27" x14ac:dyDescent="0.2">
      <c r="P709" s="36"/>
      <c r="Q709" s="40"/>
      <c r="R709" s="40"/>
      <c r="S709" s="40"/>
      <c r="T709" s="41"/>
      <c r="U709" s="41"/>
      <c r="V709" s="41"/>
      <c r="W709" s="36"/>
      <c r="X709" s="36"/>
      <c r="Y709" s="36"/>
      <c r="Z709" s="36"/>
      <c r="AA709" s="36"/>
    </row>
    <row r="710" spans="16:27" x14ac:dyDescent="0.2">
      <c r="P710" s="36"/>
      <c r="Q710" s="40"/>
      <c r="R710" s="40"/>
      <c r="S710" s="40"/>
      <c r="T710" s="41"/>
      <c r="U710" s="41"/>
      <c r="V710" s="41"/>
      <c r="W710" s="36"/>
      <c r="X710" s="36"/>
      <c r="Y710" s="36"/>
      <c r="Z710" s="36"/>
      <c r="AA710" s="36"/>
    </row>
    <row r="711" spans="16:27" x14ac:dyDescent="0.2">
      <c r="P711" s="36"/>
      <c r="Q711" s="40"/>
      <c r="R711" s="40"/>
      <c r="S711" s="40"/>
      <c r="T711" s="41"/>
      <c r="U711" s="41"/>
      <c r="V711" s="41"/>
      <c r="W711" s="36"/>
      <c r="X711" s="36"/>
      <c r="Y711" s="36"/>
      <c r="Z711" s="36"/>
      <c r="AA711" s="36"/>
    </row>
    <row r="712" spans="16:27" x14ac:dyDescent="0.2">
      <c r="P712" s="36"/>
      <c r="Q712" s="40"/>
      <c r="R712" s="40"/>
      <c r="S712" s="40"/>
      <c r="T712" s="41"/>
      <c r="U712" s="41"/>
      <c r="V712" s="41"/>
      <c r="W712" s="36"/>
      <c r="X712" s="36"/>
      <c r="Y712" s="36"/>
      <c r="Z712" s="36"/>
      <c r="AA712" s="36"/>
    </row>
    <row r="713" spans="16:27" x14ac:dyDescent="0.2">
      <c r="P713" s="36"/>
      <c r="Q713" s="40"/>
      <c r="R713" s="40"/>
      <c r="S713" s="40"/>
      <c r="T713" s="41"/>
      <c r="U713" s="41"/>
      <c r="V713" s="41"/>
      <c r="W713" s="36"/>
      <c r="X713" s="36"/>
      <c r="Y713" s="36"/>
      <c r="Z713" s="36"/>
      <c r="AA713" s="36"/>
    </row>
    <row r="714" spans="16:27" x14ac:dyDescent="0.2">
      <c r="P714" s="36"/>
      <c r="Q714" s="40"/>
      <c r="R714" s="40"/>
      <c r="S714" s="40"/>
      <c r="T714" s="41"/>
      <c r="U714" s="41"/>
      <c r="V714" s="41"/>
      <c r="W714" s="36"/>
      <c r="X714" s="36"/>
      <c r="Y714" s="36"/>
      <c r="Z714" s="36"/>
      <c r="AA714" s="36"/>
    </row>
    <row r="715" spans="16:27" x14ac:dyDescent="0.2">
      <c r="P715" s="36"/>
      <c r="Q715" s="40"/>
      <c r="R715" s="40"/>
      <c r="S715" s="40"/>
      <c r="T715" s="41"/>
      <c r="U715" s="41"/>
      <c r="V715" s="41"/>
      <c r="W715" s="36"/>
      <c r="X715" s="36"/>
      <c r="Y715" s="36"/>
      <c r="Z715" s="36"/>
      <c r="AA715" s="36"/>
    </row>
    <row r="716" spans="16:27" x14ac:dyDescent="0.2">
      <c r="P716" s="36"/>
      <c r="Q716" s="40"/>
      <c r="R716" s="40"/>
      <c r="S716" s="40"/>
      <c r="T716" s="41"/>
      <c r="U716" s="41"/>
      <c r="V716" s="41"/>
      <c r="W716" s="36"/>
      <c r="X716" s="36"/>
      <c r="Y716" s="36"/>
      <c r="Z716" s="36"/>
      <c r="AA716" s="36"/>
    </row>
    <row r="717" spans="16:27" x14ac:dyDescent="0.2">
      <c r="P717" s="36"/>
      <c r="Q717" s="40"/>
      <c r="R717" s="40"/>
      <c r="S717" s="40"/>
      <c r="T717" s="41"/>
      <c r="U717" s="41"/>
      <c r="V717" s="41"/>
      <c r="W717" s="36"/>
      <c r="X717" s="36"/>
      <c r="Y717" s="36"/>
      <c r="Z717" s="36"/>
      <c r="AA717" s="36"/>
    </row>
    <row r="718" spans="16:27" x14ac:dyDescent="0.2">
      <c r="P718" s="36"/>
      <c r="Q718" s="40"/>
      <c r="R718" s="40"/>
      <c r="S718" s="40"/>
      <c r="T718" s="41"/>
      <c r="U718" s="41"/>
      <c r="V718" s="41"/>
      <c r="W718" s="36"/>
      <c r="X718" s="36"/>
      <c r="Y718" s="36"/>
      <c r="Z718" s="36"/>
      <c r="AA718" s="36"/>
    </row>
    <row r="719" spans="16:27" x14ac:dyDescent="0.2">
      <c r="P719" s="36"/>
      <c r="Q719" s="40"/>
      <c r="R719" s="40"/>
      <c r="S719" s="40"/>
      <c r="T719" s="41"/>
      <c r="U719" s="41"/>
      <c r="V719" s="41"/>
      <c r="W719" s="36"/>
      <c r="X719" s="36"/>
      <c r="Y719" s="36"/>
      <c r="Z719" s="36"/>
      <c r="AA719" s="36"/>
    </row>
    <row r="720" spans="16:27" x14ac:dyDescent="0.2">
      <c r="P720" s="36"/>
      <c r="Q720" s="40"/>
      <c r="R720" s="40"/>
      <c r="S720" s="40"/>
      <c r="T720" s="41"/>
      <c r="U720" s="41"/>
      <c r="V720" s="41"/>
      <c r="W720" s="36"/>
      <c r="X720" s="36"/>
      <c r="Y720" s="36"/>
      <c r="Z720" s="36"/>
      <c r="AA720" s="36"/>
    </row>
    <row r="721" spans="16:27" x14ac:dyDescent="0.2">
      <c r="P721" s="36"/>
      <c r="Q721" s="40"/>
      <c r="R721" s="40"/>
      <c r="S721" s="40"/>
      <c r="T721" s="41"/>
      <c r="U721" s="41"/>
      <c r="V721" s="41"/>
      <c r="W721" s="36"/>
      <c r="X721" s="36"/>
      <c r="Y721" s="36"/>
      <c r="Z721" s="36"/>
      <c r="AA721" s="36"/>
    </row>
    <row r="722" spans="16:27" x14ac:dyDescent="0.2">
      <c r="P722" s="36"/>
      <c r="Q722" s="40"/>
      <c r="R722" s="40"/>
      <c r="S722" s="40"/>
      <c r="T722" s="41"/>
      <c r="U722" s="41"/>
      <c r="V722" s="41"/>
      <c r="W722" s="36"/>
      <c r="X722" s="36"/>
      <c r="Y722" s="36"/>
      <c r="Z722" s="36"/>
      <c r="AA722" s="36"/>
    </row>
    <row r="723" spans="16:27" x14ac:dyDescent="0.2">
      <c r="P723" s="36"/>
      <c r="Q723" s="40"/>
      <c r="R723" s="40"/>
      <c r="S723" s="40"/>
      <c r="T723" s="41"/>
      <c r="U723" s="41"/>
      <c r="V723" s="41"/>
      <c r="W723" s="36"/>
      <c r="X723" s="36"/>
      <c r="Y723" s="36"/>
      <c r="Z723" s="36"/>
      <c r="AA723" s="36"/>
    </row>
    <row r="724" spans="16:27" x14ac:dyDescent="0.2">
      <c r="P724" s="36"/>
      <c r="Q724" s="40"/>
      <c r="R724" s="40"/>
      <c r="S724" s="40"/>
      <c r="T724" s="41"/>
      <c r="U724" s="41"/>
      <c r="V724" s="41"/>
      <c r="W724" s="36"/>
      <c r="X724" s="36"/>
      <c r="Y724" s="36"/>
      <c r="Z724" s="36"/>
      <c r="AA724" s="36"/>
    </row>
    <row r="725" spans="16:27" x14ac:dyDescent="0.2">
      <c r="P725" s="36"/>
      <c r="Q725" s="40"/>
      <c r="R725" s="40"/>
      <c r="S725" s="40"/>
      <c r="T725" s="41"/>
      <c r="U725" s="41"/>
      <c r="V725" s="41"/>
      <c r="W725" s="36"/>
      <c r="X725" s="36"/>
      <c r="Y725" s="36"/>
      <c r="Z725" s="36"/>
      <c r="AA725" s="36"/>
    </row>
    <row r="726" spans="16:27" x14ac:dyDescent="0.2">
      <c r="P726" s="36"/>
      <c r="Q726" s="40"/>
      <c r="R726" s="40"/>
      <c r="S726" s="40"/>
      <c r="T726" s="41"/>
      <c r="U726" s="41"/>
      <c r="V726" s="41"/>
      <c r="W726" s="36"/>
      <c r="X726" s="36"/>
      <c r="Y726" s="36"/>
      <c r="Z726" s="36"/>
      <c r="AA726" s="36"/>
    </row>
    <row r="727" spans="16:27" x14ac:dyDescent="0.2">
      <c r="P727" s="36"/>
      <c r="Q727" s="40"/>
      <c r="R727" s="40"/>
      <c r="S727" s="40"/>
      <c r="T727" s="41"/>
      <c r="U727" s="41"/>
      <c r="V727" s="41"/>
      <c r="W727" s="36"/>
      <c r="X727" s="36"/>
      <c r="Y727" s="36"/>
      <c r="Z727" s="36"/>
      <c r="AA727" s="36"/>
    </row>
    <row r="728" spans="16:27" x14ac:dyDescent="0.2">
      <c r="P728" s="36"/>
      <c r="Q728" s="40"/>
      <c r="R728" s="40"/>
      <c r="S728" s="40"/>
      <c r="T728" s="41"/>
      <c r="U728" s="41"/>
      <c r="V728" s="41"/>
      <c r="W728" s="36"/>
      <c r="X728" s="36"/>
      <c r="Y728" s="36"/>
      <c r="Z728" s="36"/>
      <c r="AA728" s="36"/>
    </row>
    <row r="729" spans="16:27" x14ac:dyDescent="0.2">
      <c r="P729" s="36"/>
      <c r="Q729" s="40"/>
      <c r="R729" s="40"/>
      <c r="S729" s="40"/>
      <c r="T729" s="41"/>
      <c r="U729" s="41"/>
      <c r="V729" s="41"/>
      <c r="W729" s="36"/>
      <c r="X729" s="36"/>
      <c r="Y729" s="36"/>
      <c r="Z729" s="36"/>
      <c r="AA729" s="36"/>
    </row>
    <row r="730" spans="16:27" x14ac:dyDescent="0.2">
      <c r="P730" s="36"/>
      <c r="Q730" s="40"/>
      <c r="R730" s="40"/>
      <c r="S730" s="40"/>
      <c r="T730" s="41"/>
      <c r="U730" s="41"/>
      <c r="V730" s="41"/>
      <c r="W730" s="36"/>
      <c r="X730" s="36"/>
      <c r="Y730" s="36"/>
      <c r="Z730" s="36"/>
      <c r="AA730" s="36"/>
    </row>
    <row r="731" spans="16:27" x14ac:dyDescent="0.2">
      <c r="P731" s="36"/>
      <c r="Q731" s="40"/>
      <c r="R731" s="40"/>
      <c r="S731" s="40"/>
      <c r="T731" s="41"/>
      <c r="U731" s="41"/>
      <c r="V731" s="41"/>
      <c r="W731" s="36"/>
      <c r="X731" s="36"/>
      <c r="Y731" s="36"/>
      <c r="Z731" s="36"/>
      <c r="AA731" s="36"/>
    </row>
    <row r="732" spans="16:27" x14ac:dyDescent="0.2">
      <c r="P732" s="36"/>
      <c r="Q732" s="40"/>
      <c r="R732" s="40"/>
      <c r="S732" s="40"/>
      <c r="T732" s="41"/>
      <c r="U732" s="41"/>
      <c r="V732" s="41"/>
      <c r="W732" s="36"/>
      <c r="X732" s="36"/>
      <c r="Y732" s="36"/>
      <c r="Z732" s="36"/>
      <c r="AA732" s="36"/>
    </row>
    <row r="733" spans="16:27" x14ac:dyDescent="0.2">
      <c r="P733" s="36"/>
      <c r="Q733" s="40"/>
      <c r="R733" s="40"/>
      <c r="S733" s="40"/>
      <c r="T733" s="41"/>
      <c r="U733" s="41"/>
      <c r="V733" s="41"/>
      <c r="W733" s="36"/>
      <c r="X733" s="36"/>
      <c r="Y733" s="36"/>
      <c r="Z733" s="36"/>
      <c r="AA733" s="36"/>
    </row>
    <row r="734" spans="16:27" x14ac:dyDescent="0.2">
      <c r="P734" s="36"/>
      <c r="Q734" s="40"/>
      <c r="R734" s="40"/>
      <c r="S734" s="40"/>
      <c r="T734" s="41"/>
      <c r="U734" s="41"/>
      <c r="V734" s="41"/>
      <c r="W734" s="36"/>
      <c r="X734" s="36"/>
      <c r="Y734" s="36"/>
      <c r="Z734" s="36"/>
      <c r="AA734" s="36"/>
    </row>
    <row r="735" spans="16:27" x14ac:dyDescent="0.2">
      <c r="P735" s="36"/>
      <c r="Q735" s="40"/>
      <c r="R735" s="40"/>
      <c r="S735" s="40"/>
      <c r="T735" s="41"/>
      <c r="U735" s="41"/>
      <c r="V735" s="41"/>
      <c r="W735" s="36"/>
      <c r="X735" s="36"/>
      <c r="Y735" s="36"/>
      <c r="Z735" s="36"/>
      <c r="AA735" s="36"/>
    </row>
    <row r="736" spans="16:27" x14ac:dyDescent="0.2">
      <c r="P736" s="36"/>
      <c r="Q736" s="40"/>
      <c r="R736" s="40"/>
      <c r="S736" s="40"/>
      <c r="T736" s="41"/>
      <c r="U736" s="41"/>
      <c r="V736" s="41"/>
      <c r="W736" s="36"/>
      <c r="X736" s="36"/>
      <c r="Y736" s="36"/>
      <c r="Z736" s="36"/>
      <c r="AA736" s="36"/>
    </row>
    <row r="737" spans="16:27" x14ac:dyDescent="0.2">
      <c r="P737" s="36"/>
      <c r="Q737" s="40"/>
      <c r="R737" s="40"/>
      <c r="S737" s="40"/>
      <c r="T737" s="41"/>
      <c r="U737" s="41"/>
      <c r="V737" s="41"/>
      <c r="W737" s="36"/>
      <c r="X737" s="36"/>
      <c r="Y737" s="36"/>
      <c r="Z737" s="36"/>
      <c r="AA737" s="36"/>
    </row>
    <row r="738" spans="16:27" x14ac:dyDescent="0.2">
      <c r="P738" s="36"/>
      <c r="Q738" s="40"/>
      <c r="R738" s="40"/>
      <c r="S738" s="40"/>
      <c r="T738" s="41"/>
      <c r="U738" s="41"/>
      <c r="V738" s="41"/>
      <c r="W738" s="36"/>
      <c r="X738" s="36"/>
      <c r="Y738" s="36"/>
      <c r="Z738" s="36"/>
      <c r="AA738" s="36"/>
    </row>
    <row r="739" spans="16:27" x14ac:dyDescent="0.2">
      <c r="P739" s="36"/>
      <c r="Q739" s="40"/>
      <c r="R739" s="40"/>
      <c r="S739" s="40"/>
      <c r="T739" s="41"/>
      <c r="U739" s="41"/>
      <c r="V739" s="41"/>
      <c r="W739" s="36"/>
      <c r="X739" s="36"/>
      <c r="Y739" s="36"/>
      <c r="Z739" s="36"/>
      <c r="AA739" s="36"/>
    </row>
    <row r="740" spans="16:27" x14ac:dyDescent="0.2">
      <c r="P740" s="36"/>
      <c r="Q740" s="40"/>
      <c r="R740" s="40"/>
      <c r="S740" s="40"/>
      <c r="T740" s="41"/>
      <c r="U740" s="41"/>
      <c r="V740" s="41"/>
      <c r="W740" s="36"/>
      <c r="X740" s="36"/>
      <c r="Y740" s="36"/>
      <c r="Z740" s="36"/>
      <c r="AA740" s="36"/>
    </row>
    <row r="741" spans="16:27" x14ac:dyDescent="0.2">
      <c r="P741" s="36"/>
      <c r="Q741" s="40"/>
      <c r="R741" s="40"/>
      <c r="S741" s="40"/>
      <c r="T741" s="41"/>
      <c r="U741" s="41"/>
      <c r="V741" s="41"/>
      <c r="W741" s="36"/>
      <c r="X741" s="36"/>
      <c r="Y741" s="36"/>
      <c r="Z741" s="36"/>
      <c r="AA741" s="36"/>
    </row>
    <row r="742" spans="16:27" x14ac:dyDescent="0.2">
      <c r="P742" s="36"/>
      <c r="Q742" s="40"/>
      <c r="R742" s="40"/>
      <c r="S742" s="40"/>
      <c r="T742" s="41"/>
      <c r="U742" s="41"/>
      <c r="V742" s="41"/>
      <c r="W742" s="36"/>
      <c r="X742" s="36"/>
      <c r="Y742" s="36"/>
      <c r="Z742" s="36"/>
      <c r="AA742" s="36"/>
    </row>
    <row r="743" spans="16:27" x14ac:dyDescent="0.2">
      <c r="P743" s="36"/>
      <c r="Q743" s="40"/>
      <c r="R743" s="40"/>
      <c r="S743" s="40"/>
      <c r="T743" s="41"/>
      <c r="U743" s="41"/>
      <c r="V743" s="41"/>
      <c r="W743" s="36"/>
      <c r="X743" s="36"/>
      <c r="Y743" s="36"/>
      <c r="Z743" s="36"/>
      <c r="AA743" s="36"/>
    </row>
    <row r="744" spans="16:27" x14ac:dyDescent="0.2">
      <c r="P744" s="36"/>
      <c r="Q744" s="40"/>
      <c r="R744" s="40"/>
      <c r="S744" s="40"/>
      <c r="T744" s="41"/>
      <c r="U744" s="41"/>
      <c r="V744" s="41"/>
      <c r="W744" s="36"/>
      <c r="X744" s="36"/>
      <c r="Y744" s="36"/>
      <c r="Z744" s="36"/>
      <c r="AA744" s="36"/>
    </row>
    <row r="745" spans="16:27" x14ac:dyDescent="0.2">
      <c r="P745" s="36"/>
      <c r="Q745" s="40"/>
      <c r="R745" s="40"/>
      <c r="S745" s="40"/>
      <c r="T745" s="41"/>
      <c r="U745" s="41"/>
      <c r="V745" s="41"/>
      <c r="W745" s="36"/>
      <c r="X745" s="36"/>
      <c r="Y745" s="36"/>
      <c r="Z745" s="36"/>
      <c r="AA745" s="36"/>
    </row>
    <row r="746" spans="16:27" x14ac:dyDescent="0.2">
      <c r="P746" s="36"/>
      <c r="Q746" s="40"/>
      <c r="R746" s="40"/>
      <c r="S746" s="40"/>
      <c r="T746" s="41"/>
      <c r="U746" s="41"/>
      <c r="V746" s="41"/>
      <c r="W746" s="36"/>
      <c r="X746" s="36"/>
      <c r="Y746" s="36"/>
      <c r="Z746" s="36"/>
      <c r="AA746" s="36"/>
    </row>
    <row r="747" spans="16:27" x14ac:dyDescent="0.2">
      <c r="P747" s="36"/>
      <c r="Q747" s="40"/>
      <c r="R747" s="40"/>
      <c r="S747" s="40"/>
      <c r="T747" s="41"/>
      <c r="U747" s="41"/>
      <c r="V747" s="41"/>
      <c r="W747" s="36"/>
      <c r="X747" s="36"/>
      <c r="Y747" s="36"/>
      <c r="Z747" s="36"/>
      <c r="AA747" s="36"/>
    </row>
    <row r="748" spans="16:27" x14ac:dyDescent="0.2">
      <c r="P748" s="36"/>
      <c r="Q748" s="40"/>
      <c r="R748" s="40"/>
      <c r="S748" s="40"/>
      <c r="T748" s="41"/>
      <c r="U748" s="41"/>
      <c r="V748" s="41"/>
      <c r="W748" s="36"/>
      <c r="X748" s="36"/>
      <c r="Y748" s="36"/>
      <c r="Z748" s="36"/>
      <c r="AA748" s="36"/>
    </row>
    <row r="749" spans="16:27" x14ac:dyDescent="0.2">
      <c r="P749" s="36"/>
      <c r="Q749" s="40"/>
      <c r="R749" s="40"/>
      <c r="S749" s="40"/>
      <c r="T749" s="41"/>
      <c r="U749" s="41"/>
      <c r="V749" s="41"/>
      <c r="W749" s="36"/>
      <c r="X749" s="36"/>
      <c r="Y749" s="36"/>
      <c r="Z749" s="36"/>
      <c r="AA749" s="36"/>
    </row>
    <row r="750" spans="16:27" x14ac:dyDescent="0.2">
      <c r="P750" s="36"/>
      <c r="Q750" s="40"/>
      <c r="R750" s="40"/>
      <c r="S750" s="40"/>
      <c r="T750" s="41"/>
      <c r="U750" s="41"/>
      <c r="V750" s="41"/>
      <c r="W750" s="36"/>
      <c r="X750" s="36"/>
      <c r="Y750" s="36"/>
      <c r="Z750" s="36"/>
      <c r="AA750" s="36"/>
    </row>
    <row r="751" spans="16:27" x14ac:dyDescent="0.2">
      <c r="P751" s="36"/>
      <c r="Q751" s="40"/>
      <c r="R751" s="40"/>
      <c r="S751" s="40"/>
      <c r="T751" s="41"/>
      <c r="U751" s="41"/>
      <c r="V751" s="41"/>
      <c r="W751" s="36"/>
      <c r="X751" s="36"/>
      <c r="Y751" s="36"/>
      <c r="Z751" s="36"/>
      <c r="AA751" s="36"/>
    </row>
    <row r="752" spans="16:27" x14ac:dyDescent="0.2">
      <c r="P752" s="36"/>
      <c r="Q752" s="40"/>
      <c r="R752" s="40"/>
      <c r="S752" s="40"/>
      <c r="T752" s="41"/>
      <c r="U752" s="41"/>
      <c r="V752" s="41"/>
      <c r="W752" s="36"/>
      <c r="X752" s="36"/>
      <c r="Y752" s="36"/>
      <c r="Z752" s="36"/>
      <c r="AA752" s="36"/>
    </row>
    <row r="753" spans="16:27" x14ac:dyDescent="0.2">
      <c r="P753" s="36"/>
      <c r="Q753" s="40"/>
      <c r="R753" s="40"/>
      <c r="S753" s="40"/>
      <c r="T753" s="41"/>
      <c r="U753" s="41"/>
      <c r="V753" s="41"/>
      <c r="W753" s="36"/>
      <c r="X753" s="36"/>
      <c r="Y753" s="36"/>
      <c r="Z753" s="36"/>
      <c r="AA753" s="36"/>
    </row>
    <row r="754" spans="16:27" x14ac:dyDescent="0.2">
      <c r="P754" s="36"/>
      <c r="Q754" s="40"/>
      <c r="R754" s="40"/>
      <c r="S754" s="40"/>
      <c r="T754" s="41"/>
      <c r="U754" s="41"/>
      <c r="V754" s="41"/>
      <c r="W754" s="36"/>
      <c r="X754" s="36"/>
      <c r="Y754" s="36"/>
      <c r="Z754" s="36"/>
      <c r="AA754" s="36"/>
    </row>
    <row r="755" spans="16:27" x14ac:dyDescent="0.2">
      <c r="P755" s="36"/>
      <c r="Q755" s="40"/>
      <c r="R755" s="40"/>
      <c r="S755" s="40"/>
      <c r="T755" s="41"/>
      <c r="U755" s="41"/>
      <c r="V755" s="41"/>
      <c r="W755" s="36"/>
      <c r="X755" s="36"/>
      <c r="Y755" s="36"/>
      <c r="Z755" s="36"/>
      <c r="AA755" s="36"/>
    </row>
    <row r="756" spans="16:27" x14ac:dyDescent="0.2">
      <c r="P756" s="36"/>
      <c r="Q756" s="40"/>
      <c r="R756" s="40"/>
      <c r="S756" s="40"/>
      <c r="T756" s="41"/>
      <c r="U756" s="41"/>
      <c r="V756" s="41"/>
      <c r="W756" s="36"/>
      <c r="X756" s="36"/>
      <c r="Y756" s="36"/>
      <c r="Z756" s="36"/>
      <c r="AA756" s="36"/>
    </row>
    <row r="757" spans="16:27" x14ac:dyDescent="0.2">
      <c r="P757" s="36"/>
      <c r="Q757" s="40"/>
      <c r="R757" s="40"/>
      <c r="S757" s="40"/>
      <c r="T757" s="41"/>
      <c r="U757" s="41"/>
      <c r="V757" s="41"/>
      <c r="W757" s="36"/>
      <c r="X757" s="36"/>
      <c r="Y757" s="36"/>
      <c r="Z757" s="36"/>
      <c r="AA757" s="36"/>
    </row>
    <row r="758" spans="16:27" x14ac:dyDescent="0.2">
      <c r="P758" s="36"/>
      <c r="Q758" s="40"/>
      <c r="R758" s="40"/>
      <c r="S758" s="40"/>
      <c r="T758" s="41"/>
      <c r="U758" s="41"/>
      <c r="V758" s="41"/>
      <c r="W758" s="36"/>
      <c r="X758" s="36"/>
      <c r="Y758" s="36"/>
      <c r="Z758" s="36"/>
      <c r="AA758" s="36"/>
    </row>
    <row r="759" spans="16:27" x14ac:dyDescent="0.2">
      <c r="P759" s="36"/>
      <c r="Q759" s="40"/>
      <c r="R759" s="40"/>
      <c r="S759" s="40"/>
      <c r="T759" s="41"/>
      <c r="U759" s="41"/>
      <c r="V759" s="41"/>
      <c r="W759" s="36"/>
      <c r="X759" s="36"/>
      <c r="Y759" s="36"/>
      <c r="Z759" s="36"/>
      <c r="AA759" s="36"/>
    </row>
    <row r="760" spans="16:27" x14ac:dyDescent="0.2">
      <c r="P760" s="36"/>
      <c r="Q760" s="40"/>
      <c r="R760" s="40"/>
      <c r="S760" s="40"/>
      <c r="T760" s="41"/>
      <c r="U760" s="41"/>
      <c r="V760" s="41"/>
      <c r="W760" s="36"/>
      <c r="X760" s="36"/>
      <c r="Y760" s="36"/>
      <c r="Z760" s="36"/>
      <c r="AA760" s="36"/>
    </row>
    <row r="761" spans="16:27" x14ac:dyDescent="0.2">
      <c r="P761" s="36"/>
      <c r="Q761" s="40"/>
      <c r="R761" s="40"/>
      <c r="S761" s="40"/>
      <c r="T761" s="41"/>
      <c r="U761" s="41"/>
      <c r="V761" s="41"/>
      <c r="W761" s="36"/>
      <c r="X761" s="36"/>
      <c r="Y761" s="36"/>
      <c r="Z761" s="36"/>
      <c r="AA761" s="36"/>
    </row>
    <row r="762" spans="16:27" x14ac:dyDescent="0.2">
      <c r="P762" s="36"/>
      <c r="Q762" s="40"/>
      <c r="R762" s="40"/>
      <c r="S762" s="40"/>
      <c r="T762" s="41"/>
      <c r="U762" s="41"/>
      <c r="V762" s="41"/>
      <c r="W762" s="36"/>
      <c r="X762" s="36"/>
      <c r="Y762" s="36"/>
      <c r="Z762" s="36"/>
      <c r="AA762" s="36"/>
    </row>
    <row r="763" spans="16:27" x14ac:dyDescent="0.2">
      <c r="P763" s="36"/>
      <c r="Q763" s="40"/>
      <c r="R763" s="40"/>
      <c r="S763" s="40"/>
      <c r="T763" s="41"/>
      <c r="U763" s="41"/>
      <c r="V763" s="41"/>
      <c r="W763" s="36"/>
      <c r="X763" s="36"/>
      <c r="Y763" s="36"/>
      <c r="Z763" s="36"/>
      <c r="AA763" s="36"/>
    </row>
    <row r="764" spans="16:27" x14ac:dyDescent="0.2">
      <c r="P764" s="36"/>
      <c r="Q764" s="40"/>
      <c r="R764" s="40"/>
      <c r="S764" s="40"/>
      <c r="T764" s="41"/>
      <c r="U764" s="41"/>
      <c r="V764" s="41"/>
      <c r="W764" s="36"/>
      <c r="X764" s="36"/>
      <c r="Y764" s="36"/>
      <c r="Z764" s="36"/>
      <c r="AA764" s="36"/>
    </row>
    <row r="765" spans="16:27" x14ac:dyDescent="0.2">
      <c r="P765" s="36"/>
      <c r="Q765" s="40"/>
      <c r="R765" s="40"/>
      <c r="S765" s="40"/>
      <c r="T765" s="41"/>
      <c r="U765" s="41"/>
      <c r="V765" s="41"/>
      <c r="W765" s="36"/>
      <c r="X765" s="36"/>
      <c r="Y765" s="36"/>
      <c r="Z765" s="36"/>
      <c r="AA765" s="36"/>
    </row>
    <row r="766" spans="16:27" x14ac:dyDescent="0.2">
      <c r="P766" s="36"/>
      <c r="Q766" s="40"/>
      <c r="R766" s="40"/>
      <c r="S766" s="40"/>
      <c r="T766" s="41"/>
      <c r="U766" s="41"/>
      <c r="V766" s="41"/>
      <c r="W766" s="36"/>
      <c r="X766" s="36"/>
      <c r="Y766" s="36"/>
      <c r="Z766" s="36"/>
      <c r="AA766" s="36"/>
    </row>
    <row r="767" spans="16:27" x14ac:dyDescent="0.2">
      <c r="P767" s="36"/>
      <c r="Q767" s="40"/>
      <c r="R767" s="40"/>
      <c r="S767" s="40"/>
      <c r="T767" s="41"/>
      <c r="U767" s="41"/>
      <c r="V767" s="41"/>
      <c r="W767" s="36"/>
      <c r="X767" s="36"/>
      <c r="Y767" s="36"/>
      <c r="Z767" s="36"/>
      <c r="AA767" s="36"/>
    </row>
    <row r="768" spans="16:27" x14ac:dyDescent="0.2">
      <c r="P768" s="36"/>
      <c r="Q768" s="40"/>
      <c r="R768" s="40"/>
      <c r="S768" s="40"/>
      <c r="T768" s="41"/>
      <c r="U768" s="41"/>
      <c r="V768" s="41"/>
      <c r="W768" s="36"/>
      <c r="X768" s="36"/>
      <c r="Y768" s="36"/>
      <c r="Z768" s="36"/>
      <c r="AA768" s="36"/>
    </row>
    <row r="769" spans="16:27" x14ac:dyDescent="0.2">
      <c r="P769" s="36"/>
      <c r="Q769" s="40"/>
      <c r="R769" s="40"/>
      <c r="S769" s="40"/>
      <c r="T769" s="41"/>
      <c r="U769" s="41"/>
      <c r="V769" s="41"/>
      <c r="W769" s="36"/>
      <c r="X769" s="36"/>
      <c r="Y769" s="36"/>
      <c r="Z769" s="36"/>
      <c r="AA769" s="36"/>
    </row>
    <row r="770" spans="16:27" x14ac:dyDescent="0.2">
      <c r="P770" s="36"/>
      <c r="Q770" s="40"/>
      <c r="R770" s="40"/>
      <c r="S770" s="40"/>
      <c r="T770" s="41"/>
      <c r="U770" s="41"/>
      <c r="V770" s="41"/>
      <c r="W770" s="36"/>
      <c r="X770" s="36"/>
      <c r="Y770" s="36"/>
      <c r="Z770" s="36"/>
      <c r="AA770" s="36"/>
    </row>
    <row r="771" spans="16:27" x14ac:dyDescent="0.2">
      <c r="P771" s="36"/>
      <c r="Q771" s="40"/>
      <c r="R771" s="40"/>
      <c r="S771" s="40"/>
      <c r="T771" s="41"/>
      <c r="U771" s="41"/>
      <c r="V771" s="41"/>
      <c r="W771" s="36"/>
      <c r="X771" s="36"/>
      <c r="Y771" s="36"/>
      <c r="Z771" s="36"/>
      <c r="AA771" s="36"/>
    </row>
    <row r="772" spans="16:27" x14ac:dyDescent="0.2">
      <c r="P772" s="36"/>
      <c r="Q772" s="40"/>
      <c r="R772" s="40"/>
      <c r="S772" s="40"/>
      <c r="T772" s="41"/>
      <c r="U772" s="41"/>
      <c r="V772" s="41"/>
      <c r="W772" s="36"/>
      <c r="X772" s="36"/>
      <c r="Y772" s="36"/>
      <c r="Z772" s="36"/>
      <c r="AA772" s="36"/>
    </row>
    <row r="773" spans="16:27" x14ac:dyDescent="0.2">
      <c r="P773" s="36"/>
      <c r="Q773" s="40"/>
      <c r="R773" s="40"/>
      <c r="S773" s="40"/>
      <c r="T773" s="41"/>
      <c r="U773" s="41"/>
      <c r="V773" s="41"/>
      <c r="W773" s="36"/>
      <c r="X773" s="36"/>
      <c r="Y773" s="36"/>
      <c r="Z773" s="36"/>
      <c r="AA773" s="36"/>
    </row>
    <row r="774" spans="16:27" x14ac:dyDescent="0.2">
      <c r="P774" s="36"/>
      <c r="Q774" s="40"/>
      <c r="R774" s="40"/>
      <c r="S774" s="40"/>
      <c r="T774" s="41"/>
      <c r="U774" s="41"/>
      <c r="V774" s="41"/>
      <c r="W774" s="36"/>
      <c r="X774" s="36"/>
      <c r="Y774" s="36"/>
      <c r="Z774" s="36"/>
      <c r="AA774" s="36"/>
    </row>
    <row r="775" spans="16:27" x14ac:dyDescent="0.2">
      <c r="P775" s="36"/>
      <c r="Q775" s="40"/>
      <c r="R775" s="40"/>
      <c r="S775" s="40"/>
      <c r="T775" s="41"/>
      <c r="U775" s="41"/>
      <c r="V775" s="41"/>
      <c r="W775" s="36"/>
      <c r="X775" s="36"/>
      <c r="Y775" s="36"/>
      <c r="Z775" s="36"/>
      <c r="AA775" s="36"/>
    </row>
    <row r="776" spans="16:27" x14ac:dyDescent="0.2">
      <c r="P776" s="36"/>
      <c r="Q776" s="40"/>
      <c r="R776" s="40"/>
      <c r="S776" s="40"/>
      <c r="T776" s="41"/>
      <c r="U776" s="41"/>
      <c r="V776" s="41"/>
      <c r="W776" s="36"/>
      <c r="X776" s="36"/>
      <c r="Y776" s="36"/>
      <c r="Z776" s="36"/>
      <c r="AA776" s="36"/>
    </row>
    <row r="777" spans="16:27" x14ac:dyDescent="0.2">
      <c r="P777" s="36"/>
      <c r="Q777" s="40"/>
      <c r="R777" s="40"/>
      <c r="S777" s="40"/>
      <c r="T777" s="41"/>
      <c r="U777" s="41"/>
      <c r="V777" s="41"/>
      <c r="W777" s="36"/>
      <c r="X777" s="36"/>
      <c r="Y777" s="36"/>
      <c r="Z777" s="36"/>
      <c r="AA777" s="36"/>
    </row>
    <row r="778" spans="16:27" x14ac:dyDescent="0.2">
      <c r="P778" s="36"/>
      <c r="Q778" s="40"/>
      <c r="R778" s="40"/>
      <c r="S778" s="40"/>
      <c r="T778" s="41"/>
      <c r="U778" s="41"/>
      <c r="V778" s="41"/>
      <c r="W778" s="36"/>
      <c r="X778" s="36"/>
      <c r="Y778" s="36"/>
      <c r="Z778" s="36"/>
      <c r="AA778" s="36"/>
    </row>
    <row r="779" spans="16:27" x14ac:dyDescent="0.2">
      <c r="P779" s="36"/>
      <c r="Q779" s="40"/>
      <c r="R779" s="40"/>
      <c r="S779" s="40"/>
      <c r="T779" s="41"/>
      <c r="U779" s="41"/>
      <c r="V779" s="41"/>
      <c r="W779" s="36"/>
      <c r="X779" s="36"/>
      <c r="Y779" s="36"/>
      <c r="Z779" s="36"/>
      <c r="AA779" s="36"/>
    </row>
    <row r="780" spans="16:27" x14ac:dyDescent="0.2">
      <c r="P780" s="36"/>
      <c r="Q780" s="40"/>
      <c r="R780" s="40"/>
      <c r="S780" s="40"/>
      <c r="T780" s="41"/>
      <c r="U780" s="41"/>
      <c r="V780" s="41"/>
      <c r="W780" s="36"/>
      <c r="X780" s="36"/>
      <c r="Y780" s="36"/>
      <c r="Z780" s="36"/>
      <c r="AA780" s="36"/>
    </row>
    <row r="781" spans="16:27" x14ac:dyDescent="0.2">
      <c r="P781" s="36"/>
      <c r="Q781" s="40"/>
      <c r="R781" s="40"/>
      <c r="S781" s="40"/>
      <c r="T781" s="41"/>
      <c r="U781" s="41"/>
      <c r="V781" s="41"/>
      <c r="W781" s="36"/>
      <c r="X781" s="36"/>
      <c r="Y781" s="36"/>
      <c r="Z781" s="36"/>
      <c r="AA781" s="36"/>
    </row>
    <row r="782" spans="16:27" x14ac:dyDescent="0.2">
      <c r="P782" s="36"/>
      <c r="Q782" s="40"/>
      <c r="R782" s="40"/>
      <c r="S782" s="40"/>
      <c r="T782" s="41"/>
      <c r="U782" s="41"/>
      <c r="V782" s="41"/>
      <c r="W782" s="36"/>
      <c r="X782" s="36"/>
      <c r="Y782" s="36"/>
      <c r="Z782" s="36"/>
      <c r="AA782" s="36"/>
    </row>
    <row r="783" spans="16:27" x14ac:dyDescent="0.2">
      <c r="P783" s="36"/>
      <c r="Q783" s="40"/>
      <c r="R783" s="40"/>
      <c r="S783" s="40"/>
      <c r="T783" s="41"/>
      <c r="U783" s="41"/>
      <c r="V783" s="41"/>
      <c r="W783" s="36"/>
      <c r="X783" s="36"/>
      <c r="Y783" s="36"/>
      <c r="Z783" s="36"/>
      <c r="AA783" s="36"/>
    </row>
    <row r="784" spans="16:27" x14ac:dyDescent="0.2">
      <c r="P784" s="36"/>
      <c r="Q784" s="40"/>
      <c r="R784" s="40"/>
      <c r="S784" s="40"/>
      <c r="T784" s="41"/>
      <c r="U784" s="41"/>
      <c r="V784" s="41"/>
      <c r="W784" s="36"/>
      <c r="X784" s="36"/>
      <c r="Y784" s="36"/>
      <c r="Z784" s="36"/>
      <c r="AA784" s="36"/>
    </row>
    <row r="785" spans="16:27" x14ac:dyDescent="0.2">
      <c r="P785" s="36"/>
      <c r="Q785" s="40"/>
      <c r="R785" s="40"/>
      <c r="S785" s="40"/>
      <c r="T785" s="41"/>
      <c r="U785" s="41"/>
      <c r="V785" s="41"/>
      <c r="W785" s="36"/>
      <c r="X785" s="36"/>
      <c r="Y785" s="36"/>
      <c r="Z785" s="36"/>
      <c r="AA785" s="36"/>
    </row>
    <row r="786" spans="16:27" x14ac:dyDescent="0.2">
      <c r="P786" s="36"/>
      <c r="Q786" s="40"/>
      <c r="R786" s="40"/>
      <c r="S786" s="40"/>
      <c r="T786" s="41"/>
      <c r="U786" s="41"/>
      <c r="V786" s="41"/>
      <c r="W786" s="36"/>
      <c r="X786" s="36"/>
      <c r="Y786" s="36"/>
      <c r="Z786" s="36"/>
      <c r="AA786" s="36"/>
    </row>
    <row r="787" spans="16:27" x14ac:dyDescent="0.2">
      <c r="P787" s="36"/>
      <c r="Q787" s="40"/>
      <c r="R787" s="40"/>
      <c r="S787" s="40"/>
      <c r="T787" s="41"/>
      <c r="U787" s="41"/>
      <c r="V787" s="41"/>
      <c r="W787" s="36"/>
      <c r="X787" s="36"/>
      <c r="Y787" s="36"/>
      <c r="Z787" s="36"/>
      <c r="AA787" s="36"/>
    </row>
    <row r="788" spans="16:27" x14ac:dyDescent="0.2">
      <c r="P788" s="36"/>
      <c r="Q788" s="40"/>
      <c r="R788" s="40"/>
      <c r="S788" s="40"/>
      <c r="T788" s="41"/>
      <c r="U788" s="41"/>
      <c r="V788" s="41"/>
      <c r="W788" s="36"/>
      <c r="X788" s="36"/>
      <c r="Y788" s="36"/>
      <c r="Z788" s="36"/>
      <c r="AA788" s="36"/>
    </row>
    <row r="789" spans="16:27" x14ac:dyDescent="0.2">
      <c r="P789" s="36"/>
      <c r="Q789" s="40"/>
      <c r="R789" s="40"/>
      <c r="S789" s="40"/>
      <c r="T789" s="41"/>
      <c r="U789" s="41"/>
      <c r="V789" s="41"/>
      <c r="W789" s="36"/>
      <c r="X789" s="36"/>
      <c r="Y789" s="36"/>
      <c r="Z789" s="36"/>
      <c r="AA789" s="36"/>
    </row>
    <row r="790" spans="16:27" x14ac:dyDescent="0.2">
      <c r="P790" s="36"/>
      <c r="Q790" s="40"/>
      <c r="R790" s="40"/>
      <c r="S790" s="40"/>
      <c r="T790" s="41"/>
      <c r="U790" s="41"/>
      <c r="V790" s="41"/>
      <c r="W790" s="36"/>
      <c r="X790" s="36"/>
      <c r="Y790" s="36"/>
      <c r="Z790" s="36"/>
      <c r="AA790" s="36"/>
    </row>
    <row r="791" spans="16:27" x14ac:dyDescent="0.2">
      <c r="P791" s="36"/>
      <c r="Q791" s="40"/>
      <c r="R791" s="40"/>
      <c r="S791" s="40"/>
      <c r="T791" s="41"/>
      <c r="U791" s="41"/>
      <c r="V791" s="41"/>
      <c r="W791" s="36"/>
      <c r="X791" s="36"/>
      <c r="Y791" s="36"/>
      <c r="Z791" s="36"/>
      <c r="AA791" s="36"/>
    </row>
    <row r="792" spans="16:27" x14ac:dyDescent="0.2">
      <c r="P792" s="36"/>
      <c r="Q792" s="40"/>
      <c r="R792" s="40"/>
      <c r="S792" s="40"/>
      <c r="T792" s="41"/>
      <c r="U792" s="41"/>
      <c r="V792" s="41"/>
      <c r="W792" s="36"/>
      <c r="X792" s="36"/>
      <c r="Y792" s="36"/>
      <c r="Z792" s="36"/>
      <c r="AA792" s="36"/>
    </row>
    <row r="793" spans="16:27" x14ac:dyDescent="0.2">
      <c r="P793" s="36"/>
      <c r="Q793" s="40"/>
      <c r="R793" s="40"/>
      <c r="S793" s="40"/>
      <c r="T793" s="41"/>
      <c r="U793" s="41"/>
      <c r="V793" s="41"/>
      <c r="W793" s="36"/>
      <c r="X793" s="36"/>
      <c r="Y793" s="36"/>
      <c r="Z793" s="36"/>
      <c r="AA793" s="36"/>
    </row>
    <row r="794" spans="16:27" x14ac:dyDescent="0.2">
      <c r="P794" s="36"/>
      <c r="Q794" s="40"/>
      <c r="R794" s="40"/>
      <c r="S794" s="40"/>
      <c r="T794" s="41"/>
      <c r="U794" s="41"/>
      <c r="V794" s="41"/>
      <c r="W794" s="36"/>
      <c r="X794" s="36"/>
      <c r="Y794" s="36"/>
      <c r="Z794" s="36"/>
      <c r="AA794" s="36"/>
    </row>
    <row r="795" spans="16:27" x14ac:dyDescent="0.2">
      <c r="P795" s="36"/>
      <c r="Q795" s="40"/>
      <c r="R795" s="40"/>
      <c r="S795" s="40"/>
      <c r="T795" s="41"/>
      <c r="U795" s="41"/>
      <c r="V795" s="41"/>
      <c r="W795" s="36"/>
      <c r="X795" s="36"/>
      <c r="Y795" s="36"/>
      <c r="Z795" s="36"/>
      <c r="AA795" s="36"/>
    </row>
    <row r="796" spans="16:27" x14ac:dyDescent="0.2">
      <c r="P796" s="36"/>
      <c r="Q796" s="40"/>
      <c r="R796" s="40"/>
      <c r="S796" s="40"/>
      <c r="T796" s="41"/>
      <c r="U796" s="41"/>
      <c r="V796" s="41"/>
      <c r="W796" s="36"/>
      <c r="X796" s="36"/>
      <c r="Y796" s="36"/>
      <c r="Z796" s="36"/>
      <c r="AA796" s="36"/>
    </row>
    <row r="797" spans="16:27" x14ac:dyDescent="0.2">
      <c r="P797" s="36"/>
      <c r="Q797" s="40"/>
      <c r="R797" s="40"/>
      <c r="S797" s="40"/>
      <c r="T797" s="41"/>
      <c r="U797" s="41"/>
      <c r="V797" s="41"/>
      <c r="W797" s="36"/>
      <c r="X797" s="36"/>
      <c r="Y797" s="36"/>
      <c r="Z797" s="36"/>
      <c r="AA797" s="36"/>
    </row>
    <row r="798" spans="16:27" x14ac:dyDescent="0.2">
      <c r="P798" s="36"/>
      <c r="Q798" s="40"/>
      <c r="R798" s="40"/>
      <c r="S798" s="40"/>
      <c r="T798" s="41"/>
      <c r="U798" s="41"/>
      <c r="V798" s="41"/>
      <c r="W798" s="36"/>
      <c r="X798" s="36"/>
      <c r="Y798" s="36"/>
      <c r="Z798" s="36"/>
      <c r="AA798" s="36"/>
    </row>
    <row r="799" spans="16:27" x14ac:dyDescent="0.2">
      <c r="P799" s="36"/>
      <c r="Q799" s="40"/>
      <c r="R799" s="40"/>
      <c r="S799" s="40"/>
      <c r="T799" s="41"/>
      <c r="U799" s="41"/>
      <c r="V799" s="41"/>
      <c r="W799" s="36"/>
      <c r="X799" s="36"/>
      <c r="Y799" s="36"/>
      <c r="Z799" s="36"/>
      <c r="AA799" s="36"/>
    </row>
    <row r="800" spans="16:27" x14ac:dyDescent="0.2">
      <c r="P800" s="36"/>
      <c r="Q800" s="40"/>
      <c r="R800" s="40"/>
      <c r="S800" s="40"/>
      <c r="T800" s="41"/>
      <c r="U800" s="41"/>
      <c r="V800" s="41"/>
      <c r="W800" s="36"/>
      <c r="X800" s="36"/>
      <c r="Y800" s="36"/>
      <c r="Z800" s="36"/>
      <c r="AA800" s="36"/>
    </row>
    <row r="801" spans="16:27" x14ac:dyDescent="0.2">
      <c r="P801" s="36"/>
      <c r="Q801" s="40"/>
      <c r="R801" s="40"/>
      <c r="S801" s="40"/>
      <c r="T801" s="41"/>
      <c r="U801" s="41"/>
      <c r="V801" s="41"/>
      <c r="W801" s="36"/>
      <c r="X801" s="36"/>
      <c r="Y801" s="36"/>
      <c r="Z801" s="36"/>
      <c r="AA801" s="36"/>
    </row>
    <row r="802" spans="16:27" x14ac:dyDescent="0.2">
      <c r="P802" s="36"/>
      <c r="Q802" s="40"/>
      <c r="R802" s="40"/>
      <c r="S802" s="40"/>
      <c r="T802" s="41"/>
      <c r="U802" s="41"/>
      <c r="V802" s="41"/>
      <c r="W802" s="36"/>
      <c r="X802" s="36"/>
      <c r="Y802" s="36"/>
      <c r="Z802" s="36"/>
      <c r="AA802" s="36"/>
    </row>
    <row r="803" spans="16:27" x14ac:dyDescent="0.2">
      <c r="P803" s="36"/>
      <c r="Q803" s="40"/>
      <c r="R803" s="40"/>
      <c r="S803" s="40"/>
      <c r="T803" s="41"/>
      <c r="U803" s="41"/>
      <c r="V803" s="41"/>
      <c r="W803" s="36"/>
      <c r="X803" s="36"/>
      <c r="Y803" s="36"/>
      <c r="Z803" s="36"/>
      <c r="AA803" s="36"/>
    </row>
    <row r="804" spans="16:27" x14ac:dyDescent="0.2">
      <c r="P804" s="36"/>
      <c r="Q804" s="40"/>
      <c r="R804" s="40"/>
      <c r="S804" s="40"/>
      <c r="T804" s="41"/>
      <c r="U804" s="41"/>
      <c r="V804" s="41"/>
      <c r="W804" s="36"/>
      <c r="X804" s="36"/>
      <c r="Y804" s="36"/>
      <c r="Z804" s="36"/>
      <c r="AA804" s="36"/>
    </row>
    <row r="805" spans="16:27" x14ac:dyDescent="0.2">
      <c r="P805" s="36"/>
      <c r="Q805" s="40"/>
      <c r="R805" s="40"/>
      <c r="S805" s="40"/>
      <c r="T805" s="41"/>
      <c r="U805" s="41"/>
      <c r="V805" s="41"/>
      <c r="W805" s="36"/>
      <c r="X805" s="36"/>
      <c r="Y805" s="36"/>
      <c r="Z805" s="36"/>
      <c r="AA805" s="36"/>
    </row>
    <row r="806" spans="16:27" x14ac:dyDescent="0.2">
      <c r="P806" s="36"/>
      <c r="Q806" s="40"/>
      <c r="R806" s="40"/>
      <c r="S806" s="40"/>
      <c r="T806" s="41"/>
      <c r="U806" s="41"/>
      <c r="V806" s="41"/>
      <c r="W806" s="36"/>
      <c r="X806" s="36"/>
      <c r="Y806" s="36"/>
      <c r="Z806" s="36"/>
      <c r="AA806" s="36"/>
    </row>
    <row r="807" spans="16:27" x14ac:dyDescent="0.2">
      <c r="P807" s="36"/>
      <c r="Q807" s="40"/>
      <c r="R807" s="40"/>
      <c r="S807" s="40"/>
      <c r="T807" s="41"/>
      <c r="U807" s="41"/>
      <c r="V807" s="41"/>
      <c r="W807" s="36"/>
      <c r="X807" s="36"/>
      <c r="Y807" s="36"/>
      <c r="Z807" s="36"/>
      <c r="AA807" s="36"/>
    </row>
    <row r="808" spans="16:27" x14ac:dyDescent="0.2">
      <c r="P808" s="36"/>
      <c r="Q808" s="40"/>
      <c r="R808" s="40"/>
      <c r="S808" s="40"/>
      <c r="T808" s="41"/>
      <c r="U808" s="41"/>
      <c r="V808" s="41"/>
      <c r="W808" s="36"/>
      <c r="X808" s="36"/>
      <c r="Y808" s="36"/>
      <c r="Z808" s="36"/>
      <c r="AA808" s="36"/>
    </row>
    <row r="809" spans="16:27" x14ac:dyDescent="0.2">
      <c r="P809" s="36"/>
      <c r="Q809" s="40"/>
      <c r="R809" s="40"/>
      <c r="S809" s="40"/>
      <c r="T809" s="41"/>
      <c r="U809" s="41"/>
      <c r="V809" s="41"/>
      <c r="W809" s="36"/>
      <c r="X809" s="36"/>
      <c r="Y809" s="36"/>
      <c r="Z809" s="36"/>
      <c r="AA809" s="36"/>
    </row>
    <row r="810" spans="16:27" x14ac:dyDescent="0.2">
      <c r="P810" s="36"/>
      <c r="Q810" s="40"/>
      <c r="R810" s="40"/>
      <c r="S810" s="40"/>
      <c r="T810" s="41"/>
      <c r="U810" s="41"/>
      <c r="V810" s="41"/>
      <c r="W810" s="36"/>
      <c r="X810" s="36"/>
      <c r="Y810" s="36"/>
      <c r="Z810" s="36"/>
      <c r="AA810" s="36"/>
    </row>
    <row r="811" spans="16:27" x14ac:dyDescent="0.2">
      <c r="P811" s="36"/>
      <c r="Q811" s="40"/>
      <c r="R811" s="40"/>
      <c r="S811" s="40"/>
      <c r="T811" s="41"/>
      <c r="U811" s="41"/>
      <c r="V811" s="41"/>
      <c r="W811" s="36"/>
      <c r="X811" s="36"/>
      <c r="Y811" s="36"/>
      <c r="Z811" s="36"/>
      <c r="AA811" s="36"/>
    </row>
    <row r="812" spans="16:27" x14ac:dyDescent="0.2">
      <c r="P812" s="36"/>
      <c r="Q812" s="40"/>
      <c r="R812" s="40"/>
      <c r="S812" s="40"/>
      <c r="T812" s="41"/>
      <c r="U812" s="41"/>
      <c r="V812" s="41"/>
      <c r="W812" s="36"/>
      <c r="X812" s="36"/>
      <c r="Y812" s="36"/>
      <c r="Z812" s="36"/>
      <c r="AA812" s="36"/>
    </row>
    <row r="813" spans="16:27" x14ac:dyDescent="0.2">
      <c r="P813" s="36"/>
      <c r="Q813" s="40"/>
      <c r="R813" s="40"/>
      <c r="S813" s="40"/>
      <c r="T813" s="41"/>
      <c r="U813" s="41"/>
      <c r="V813" s="41"/>
      <c r="W813" s="36"/>
      <c r="X813" s="36"/>
      <c r="Y813" s="36"/>
      <c r="Z813" s="36"/>
      <c r="AA813" s="36"/>
    </row>
    <row r="814" spans="16:27" x14ac:dyDescent="0.2">
      <c r="P814" s="36"/>
      <c r="Q814" s="40"/>
      <c r="R814" s="40"/>
      <c r="S814" s="40"/>
      <c r="T814" s="41"/>
      <c r="U814" s="41"/>
      <c r="V814" s="41"/>
      <c r="W814" s="36"/>
      <c r="X814" s="36"/>
      <c r="Y814" s="36"/>
      <c r="Z814" s="36"/>
      <c r="AA814" s="36"/>
    </row>
    <row r="815" spans="16:27" x14ac:dyDescent="0.2">
      <c r="P815" s="36"/>
      <c r="Q815" s="40"/>
      <c r="R815" s="40"/>
      <c r="S815" s="40"/>
      <c r="T815" s="41"/>
      <c r="U815" s="41"/>
      <c r="V815" s="41"/>
      <c r="W815" s="36"/>
      <c r="X815" s="36"/>
      <c r="Y815" s="36"/>
      <c r="Z815" s="36"/>
      <c r="AA815" s="36"/>
    </row>
    <row r="816" spans="16:27" x14ac:dyDescent="0.2">
      <c r="P816" s="36"/>
      <c r="Q816" s="40"/>
      <c r="R816" s="40"/>
      <c r="S816" s="40"/>
      <c r="T816" s="41"/>
      <c r="U816" s="41"/>
      <c r="V816" s="41"/>
      <c r="W816" s="36"/>
      <c r="X816" s="36"/>
      <c r="Y816" s="36"/>
      <c r="Z816" s="36"/>
      <c r="AA816" s="36"/>
    </row>
    <row r="817" spans="16:27" x14ac:dyDescent="0.2">
      <c r="P817" s="36"/>
      <c r="Q817" s="40"/>
      <c r="R817" s="40"/>
      <c r="S817" s="40"/>
      <c r="T817" s="41"/>
      <c r="U817" s="41"/>
      <c r="V817" s="41"/>
      <c r="W817" s="36"/>
      <c r="X817" s="36"/>
      <c r="Y817" s="36"/>
      <c r="Z817" s="36"/>
      <c r="AA817" s="36"/>
    </row>
    <row r="818" spans="16:27" x14ac:dyDescent="0.2">
      <c r="P818" s="36"/>
      <c r="Q818" s="40"/>
      <c r="R818" s="40"/>
      <c r="S818" s="40"/>
      <c r="T818" s="41"/>
      <c r="U818" s="41"/>
      <c r="V818" s="41"/>
      <c r="W818" s="36"/>
      <c r="X818" s="36"/>
      <c r="Y818" s="36"/>
      <c r="Z818" s="36"/>
      <c r="AA818" s="36"/>
    </row>
    <row r="819" spans="16:27" x14ac:dyDescent="0.2">
      <c r="P819" s="36"/>
      <c r="Q819" s="40"/>
      <c r="R819" s="40"/>
      <c r="S819" s="40"/>
      <c r="T819" s="41"/>
      <c r="U819" s="41"/>
      <c r="V819" s="41"/>
      <c r="W819" s="36"/>
      <c r="X819" s="36"/>
      <c r="Y819" s="36"/>
      <c r="Z819" s="36"/>
      <c r="AA819" s="36"/>
    </row>
    <row r="820" spans="16:27" x14ac:dyDescent="0.2">
      <c r="P820" s="36"/>
      <c r="Q820" s="40"/>
      <c r="R820" s="40"/>
      <c r="S820" s="40"/>
      <c r="T820" s="41"/>
      <c r="U820" s="41"/>
      <c r="V820" s="41"/>
      <c r="W820" s="36"/>
      <c r="X820" s="36"/>
      <c r="Y820" s="36"/>
      <c r="Z820" s="36"/>
      <c r="AA820" s="36"/>
    </row>
    <row r="821" spans="16:27" x14ac:dyDescent="0.2">
      <c r="P821" s="36"/>
      <c r="Q821" s="40"/>
      <c r="R821" s="40"/>
      <c r="S821" s="40"/>
      <c r="T821" s="41"/>
      <c r="U821" s="41"/>
      <c r="V821" s="41"/>
      <c r="W821" s="36"/>
      <c r="X821" s="36"/>
      <c r="Y821" s="36"/>
      <c r="Z821" s="36"/>
      <c r="AA821" s="36"/>
    </row>
    <row r="822" spans="16:27" x14ac:dyDescent="0.2">
      <c r="P822" s="36"/>
      <c r="Q822" s="40"/>
      <c r="R822" s="40"/>
      <c r="S822" s="40"/>
      <c r="T822" s="41"/>
      <c r="U822" s="41"/>
      <c r="V822" s="41"/>
      <c r="W822" s="36"/>
      <c r="X822" s="36"/>
      <c r="Y822" s="36"/>
      <c r="Z822" s="36"/>
      <c r="AA822" s="36"/>
    </row>
    <row r="823" spans="16:27" x14ac:dyDescent="0.2">
      <c r="P823" s="36"/>
      <c r="Q823" s="40"/>
      <c r="R823" s="40"/>
      <c r="S823" s="40"/>
      <c r="T823" s="41"/>
      <c r="U823" s="41"/>
      <c r="V823" s="41"/>
      <c r="W823" s="36"/>
      <c r="X823" s="36"/>
      <c r="Y823" s="36"/>
      <c r="Z823" s="36"/>
      <c r="AA823" s="36"/>
    </row>
    <row r="824" spans="16:27" x14ac:dyDescent="0.2">
      <c r="P824" s="36"/>
      <c r="Q824" s="40"/>
      <c r="R824" s="40"/>
      <c r="S824" s="40"/>
      <c r="T824" s="41"/>
      <c r="U824" s="41"/>
      <c r="V824" s="41"/>
      <c r="W824" s="36"/>
      <c r="X824" s="36"/>
      <c r="Y824" s="36"/>
      <c r="Z824" s="36"/>
      <c r="AA824" s="36"/>
    </row>
    <row r="825" spans="16:27" x14ac:dyDescent="0.2">
      <c r="P825" s="36"/>
      <c r="Q825" s="40"/>
      <c r="R825" s="40"/>
      <c r="S825" s="40"/>
      <c r="T825" s="41"/>
      <c r="U825" s="41"/>
      <c r="V825" s="41"/>
      <c r="W825" s="36"/>
      <c r="X825" s="36"/>
      <c r="Y825" s="36"/>
      <c r="Z825" s="36"/>
      <c r="AA825" s="36"/>
    </row>
    <row r="826" spans="16:27" x14ac:dyDescent="0.2">
      <c r="P826" s="36"/>
      <c r="Q826" s="40"/>
      <c r="R826" s="40"/>
      <c r="S826" s="40"/>
      <c r="T826" s="41"/>
      <c r="U826" s="41"/>
      <c r="V826" s="41"/>
      <c r="W826" s="36"/>
      <c r="X826" s="36"/>
      <c r="Y826" s="36"/>
      <c r="Z826" s="36"/>
      <c r="AA826" s="36"/>
    </row>
    <row r="827" spans="16:27" x14ac:dyDescent="0.2">
      <c r="P827" s="36"/>
      <c r="Q827" s="40"/>
      <c r="R827" s="40"/>
      <c r="S827" s="40"/>
      <c r="T827" s="41"/>
      <c r="U827" s="41"/>
      <c r="V827" s="41"/>
      <c r="W827" s="36"/>
      <c r="X827" s="36"/>
      <c r="Y827" s="36"/>
      <c r="Z827" s="36"/>
      <c r="AA827" s="36"/>
    </row>
    <row r="828" spans="16:27" x14ac:dyDescent="0.2">
      <c r="P828" s="36"/>
      <c r="Q828" s="40"/>
      <c r="R828" s="40"/>
      <c r="S828" s="40"/>
      <c r="T828" s="41"/>
      <c r="U828" s="41"/>
      <c r="V828" s="41"/>
      <c r="W828" s="36"/>
      <c r="X828" s="36"/>
      <c r="Y828" s="36"/>
      <c r="Z828" s="36"/>
      <c r="AA828" s="36"/>
    </row>
    <row r="829" spans="16:27" x14ac:dyDescent="0.2">
      <c r="P829" s="36"/>
      <c r="Q829" s="40"/>
      <c r="R829" s="40"/>
      <c r="S829" s="40"/>
      <c r="T829" s="41"/>
      <c r="U829" s="41"/>
      <c r="V829" s="41"/>
      <c r="W829" s="36"/>
      <c r="X829" s="36"/>
      <c r="Y829" s="36"/>
      <c r="Z829" s="36"/>
      <c r="AA829" s="36"/>
    </row>
    <row r="830" spans="16:27" x14ac:dyDescent="0.2">
      <c r="P830" s="36"/>
      <c r="Q830" s="40"/>
      <c r="R830" s="40"/>
      <c r="S830" s="40"/>
      <c r="T830" s="41"/>
      <c r="U830" s="41"/>
      <c r="V830" s="41"/>
      <c r="W830" s="36"/>
      <c r="X830" s="36"/>
      <c r="Y830" s="36"/>
      <c r="Z830" s="36"/>
      <c r="AA830" s="36"/>
    </row>
    <row r="831" spans="16:27" x14ac:dyDescent="0.2">
      <c r="P831" s="36"/>
      <c r="Q831" s="40"/>
      <c r="R831" s="40"/>
      <c r="S831" s="40"/>
      <c r="T831" s="41"/>
      <c r="U831" s="41"/>
      <c r="V831" s="41"/>
      <c r="W831" s="36"/>
      <c r="X831" s="36"/>
      <c r="Y831" s="36"/>
      <c r="Z831" s="36"/>
      <c r="AA831" s="36"/>
    </row>
    <row r="832" spans="16:27" x14ac:dyDescent="0.2">
      <c r="P832" s="36"/>
      <c r="Q832" s="40"/>
      <c r="R832" s="40"/>
      <c r="S832" s="40"/>
      <c r="T832" s="41"/>
      <c r="U832" s="41"/>
      <c r="V832" s="41"/>
      <c r="W832" s="36"/>
      <c r="X832" s="36"/>
      <c r="Y832" s="36"/>
      <c r="Z832" s="36"/>
      <c r="AA832" s="36"/>
    </row>
    <row r="833" spans="16:27" x14ac:dyDescent="0.2">
      <c r="P833" s="36"/>
      <c r="Q833" s="40"/>
      <c r="R833" s="40"/>
      <c r="S833" s="40"/>
      <c r="T833" s="41"/>
      <c r="U833" s="41"/>
      <c r="V833" s="41"/>
      <c r="W833" s="36"/>
      <c r="X833" s="36"/>
      <c r="Y833" s="36"/>
      <c r="Z833" s="36"/>
      <c r="AA833" s="36"/>
    </row>
    <row r="834" spans="16:27" x14ac:dyDescent="0.2">
      <c r="P834" s="36"/>
      <c r="Q834" s="40"/>
      <c r="R834" s="40"/>
      <c r="S834" s="40"/>
      <c r="T834" s="41"/>
      <c r="U834" s="41"/>
      <c r="V834" s="41"/>
      <c r="W834" s="36"/>
      <c r="X834" s="36"/>
      <c r="Y834" s="36"/>
      <c r="Z834" s="36"/>
      <c r="AA834" s="36"/>
    </row>
    <row r="835" spans="16:27" x14ac:dyDescent="0.2">
      <c r="P835" s="36"/>
      <c r="Q835" s="40"/>
      <c r="R835" s="40"/>
      <c r="S835" s="40"/>
      <c r="T835" s="41"/>
      <c r="U835" s="41"/>
      <c r="V835" s="41"/>
      <c r="W835" s="36"/>
      <c r="X835" s="36"/>
      <c r="Y835" s="36"/>
      <c r="Z835" s="36"/>
      <c r="AA835" s="36"/>
    </row>
    <row r="836" spans="16:27" x14ac:dyDescent="0.2">
      <c r="P836" s="36"/>
      <c r="Q836" s="40"/>
      <c r="R836" s="40"/>
      <c r="S836" s="40"/>
      <c r="T836" s="41"/>
      <c r="U836" s="41"/>
      <c r="V836" s="41"/>
      <c r="W836" s="36"/>
      <c r="X836" s="36"/>
      <c r="Y836" s="36"/>
      <c r="Z836" s="36"/>
      <c r="AA836" s="36"/>
    </row>
    <row r="837" spans="16:27" x14ac:dyDescent="0.2">
      <c r="P837" s="36"/>
      <c r="Q837" s="40"/>
      <c r="R837" s="40"/>
      <c r="S837" s="40"/>
      <c r="T837" s="41"/>
      <c r="U837" s="41"/>
      <c r="V837" s="41"/>
      <c r="W837" s="36"/>
      <c r="X837" s="36"/>
      <c r="Y837" s="36"/>
      <c r="Z837" s="36"/>
      <c r="AA837" s="36"/>
    </row>
    <row r="838" spans="16:27" x14ac:dyDescent="0.2">
      <c r="P838" s="36"/>
      <c r="Q838" s="40"/>
      <c r="R838" s="40"/>
      <c r="S838" s="40"/>
      <c r="T838" s="41"/>
      <c r="U838" s="41"/>
      <c r="V838" s="41"/>
      <c r="W838" s="36"/>
      <c r="X838" s="36"/>
      <c r="Y838" s="36"/>
      <c r="Z838" s="36"/>
      <c r="AA838" s="36"/>
    </row>
    <row r="839" spans="16:27" x14ac:dyDescent="0.2">
      <c r="P839" s="36"/>
      <c r="Q839" s="40"/>
      <c r="R839" s="40"/>
      <c r="S839" s="40"/>
      <c r="T839" s="41"/>
      <c r="U839" s="41"/>
      <c r="V839" s="41"/>
      <c r="W839" s="36"/>
      <c r="X839" s="36"/>
      <c r="Y839" s="36"/>
      <c r="Z839" s="36"/>
      <c r="AA839" s="36"/>
    </row>
    <row r="840" spans="16:27" x14ac:dyDescent="0.2">
      <c r="P840" s="36"/>
      <c r="Q840" s="40"/>
      <c r="R840" s="40"/>
      <c r="S840" s="40"/>
      <c r="T840" s="41"/>
      <c r="U840" s="41"/>
      <c r="V840" s="41"/>
      <c r="W840" s="36"/>
      <c r="X840" s="36"/>
      <c r="Y840" s="36"/>
      <c r="Z840" s="36"/>
      <c r="AA840" s="36"/>
    </row>
    <row r="841" spans="16:27" x14ac:dyDescent="0.2">
      <c r="P841" s="36"/>
      <c r="Q841" s="40"/>
      <c r="R841" s="40"/>
      <c r="S841" s="40"/>
      <c r="T841" s="41"/>
      <c r="U841" s="41"/>
      <c r="V841" s="41"/>
      <c r="W841" s="36"/>
      <c r="X841" s="36"/>
      <c r="Y841" s="36"/>
      <c r="Z841" s="36"/>
      <c r="AA841" s="36"/>
    </row>
    <row r="842" spans="16:27" x14ac:dyDescent="0.2">
      <c r="P842" s="36"/>
      <c r="Q842" s="40"/>
      <c r="R842" s="40"/>
      <c r="S842" s="40"/>
      <c r="T842" s="41"/>
      <c r="U842" s="41"/>
      <c r="V842" s="41"/>
      <c r="W842" s="36"/>
      <c r="X842" s="36"/>
      <c r="Y842" s="36"/>
      <c r="Z842" s="36"/>
      <c r="AA842" s="36"/>
    </row>
    <row r="843" spans="16:27" x14ac:dyDescent="0.2">
      <c r="P843" s="36"/>
      <c r="Q843" s="40"/>
      <c r="R843" s="40"/>
      <c r="S843" s="40"/>
      <c r="T843" s="41"/>
      <c r="U843" s="41"/>
      <c r="V843" s="41"/>
      <c r="W843" s="36"/>
      <c r="X843" s="36"/>
      <c r="Y843" s="36"/>
      <c r="Z843" s="36"/>
      <c r="AA843" s="36"/>
    </row>
    <row r="844" spans="16:27" x14ac:dyDescent="0.2">
      <c r="P844" s="36"/>
      <c r="Q844" s="40"/>
      <c r="R844" s="40"/>
      <c r="S844" s="40"/>
      <c r="T844" s="41"/>
      <c r="U844" s="41"/>
      <c r="V844" s="41"/>
      <c r="W844" s="36"/>
      <c r="X844" s="36"/>
      <c r="Y844" s="36"/>
      <c r="Z844" s="36"/>
      <c r="AA844" s="36"/>
    </row>
    <row r="845" spans="16:27" x14ac:dyDescent="0.2">
      <c r="P845" s="36"/>
      <c r="Q845" s="40"/>
      <c r="R845" s="40"/>
      <c r="S845" s="40"/>
      <c r="T845" s="41"/>
      <c r="U845" s="41"/>
      <c r="V845" s="41"/>
      <c r="W845" s="36"/>
      <c r="X845" s="36"/>
      <c r="Y845" s="36"/>
      <c r="Z845" s="36"/>
      <c r="AA845" s="36"/>
    </row>
    <row r="846" spans="16:27" x14ac:dyDescent="0.2">
      <c r="P846" s="36"/>
      <c r="Q846" s="40"/>
      <c r="R846" s="40"/>
      <c r="S846" s="40"/>
      <c r="T846" s="41"/>
      <c r="U846" s="41"/>
      <c r="V846" s="41"/>
      <c r="W846" s="36"/>
      <c r="X846" s="36"/>
      <c r="Y846" s="36"/>
      <c r="Z846" s="36"/>
      <c r="AA846" s="36"/>
    </row>
    <row r="847" spans="16:27" x14ac:dyDescent="0.2">
      <c r="P847" s="36"/>
      <c r="Q847" s="40"/>
      <c r="R847" s="40"/>
      <c r="S847" s="40"/>
      <c r="T847" s="41"/>
      <c r="U847" s="41"/>
      <c r="V847" s="41"/>
      <c r="W847" s="36"/>
      <c r="X847" s="36"/>
      <c r="Y847" s="36"/>
      <c r="Z847" s="36"/>
      <c r="AA847" s="36"/>
    </row>
    <row r="848" spans="16:27" x14ac:dyDescent="0.2">
      <c r="P848" s="36"/>
      <c r="Q848" s="40"/>
      <c r="R848" s="40"/>
      <c r="S848" s="40"/>
      <c r="T848" s="41"/>
      <c r="U848" s="41"/>
      <c r="V848" s="41"/>
      <c r="W848" s="36"/>
      <c r="X848" s="36"/>
      <c r="Y848" s="36"/>
      <c r="Z848" s="36"/>
      <c r="AA848" s="36"/>
    </row>
    <row r="849" spans="16:27" x14ac:dyDescent="0.2">
      <c r="P849" s="36"/>
      <c r="Q849" s="40"/>
      <c r="R849" s="40"/>
      <c r="S849" s="40"/>
      <c r="T849" s="41"/>
      <c r="U849" s="41"/>
      <c r="V849" s="41"/>
      <c r="W849" s="36"/>
      <c r="X849" s="36"/>
      <c r="Y849" s="36"/>
      <c r="Z849" s="36"/>
      <c r="AA849" s="36"/>
    </row>
    <row r="850" spans="16:27" x14ac:dyDescent="0.2">
      <c r="P850" s="36"/>
      <c r="Q850" s="40"/>
      <c r="R850" s="40"/>
      <c r="S850" s="40"/>
      <c r="T850" s="41"/>
      <c r="U850" s="41"/>
      <c r="V850" s="41"/>
      <c r="W850" s="36"/>
      <c r="X850" s="36"/>
      <c r="Y850" s="36"/>
      <c r="Z850" s="36"/>
      <c r="AA850" s="36"/>
    </row>
    <row r="851" spans="16:27" x14ac:dyDescent="0.2">
      <c r="P851" s="36"/>
      <c r="Q851" s="40"/>
      <c r="R851" s="40"/>
      <c r="S851" s="40"/>
      <c r="T851" s="41"/>
      <c r="U851" s="41"/>
      <c r="V851" s="41"/>
      <c r="W851" s="36"/>
      <c r="X851" s="36"/>
      <c r="Y851" s="36"/>
      <c r="Z851" s="36"/>
      <c r="AA851" s="36"/>
    </row>
    <row r="852" spans="16:27" x14ac:dyDescent="0.2">
      <c r="P852" s="36"/>
      <c r="Q852" s="40"/>
      <c r="R852" s="40"/>
      <c r="S852" s="40"/>
      <c r="T852" s="41"/>
      <c r="U852" s="41"/>
      <c r="V852" s="41"/>
      <c r="W852" s="36"/>
      <c r="X852" s="36"/>
      <c r="Y852" s="36"/>
      <c r="Z852" s="36"/>
      <c r="AA852" s="36"/>
    </row>
    <row r="853" spans="16:27" x14ac:dyDescent="0.2">
      <c r="P853" s="36"/>
      <c r="Q853" s="40"/>
      <c r="R853" s="40"/>
      <c r="S853" s="40"/>
      <c r="T853" s="41"/>
      <c r="U853" s="41"/>
      <c r="V853" s="41"/>
      <c r="W853" s="36"/>
      <c r="X853" s="36"/>
      <c r="Y853" s="36"/>
      <c r="Z853" s="36"/>
      <c r="AA853" s="36"/>
    </row>
    <row r="854" spans="16:27" x14ac:dyDescent="0.2">
      <c r="P854" s="36"/>
      <c r="Q854" s="40"/>
      <c r="R854" s="40"/>
      <c r="S854" s="40"/>
      <c r="T854" s="41"/>
      <c r="U854" s="41"/>
      <c r="V854" s="41"/>
      <c r="W854" s="36"/>
      <c r="X854" s="36"/>
      <c r="Y854" s="36"/>
      <c r="Z854" s="36"/>
      <c r="AA854" s="36"/>
    </row>
    <row r="855" spans="16:27" x14ac:dyDescent="0.2">
      <c r="P855" s="36"/>
      <c r="Q855" s="40"/>
      <c r="R855" s="40"/>
      <c r="S855" s="40"/>
      <c r="T855" s="41"/>
      <c r="U855" s="41"/>
      <c r="V855" s="41"/>
      <c r="W855" s="36"/>
      <c r="X855" s="36"/>
      <c r="Y855" s="36"/>
      <c r="Z855" s="36"/>
      <c r="AA855" s="36"/>
    </row>
    <row r="856" spans="16:27" x14ac:dyDescent="0.2">
      <c r="P856" s="36"/>
      <c r="Q856" s="40"/>
      <c r="R856" s="40"/>
      <c r="S856" s="40"/>
      <c r="T856" s="41"/>
      <c r="U856" s="41"/>
      <c r="V856" s="41"/>
      <c r="W856" s="36"/>
      <c r="X856" s="36"/>
      <c r="Y856" s="36"/>
      <c r="Z856" s="36"/>
      <c r="AA856" s="36"/>
    </row>
    <row r="857" spans="16:27" x14ac:dyDescent="0.2">
      <c r="P857" s="36"/>
      <c r="Q857" s="40"/>
      <c r="R857" s="40"/>
      <c r="S857" s="40"/>
      <c r="T857" s="41"/>
      <c r="U857" s="41"/>
      <c r="V857" s="41"/>
      <c r="W857" s="36"/>
      <c r="X857" s="36"/>
      <c r="Y857" s="36"/>
      <c r="Z857" s="36"/>
      <c r="AA857" s="36"/>
    </row>
    <row r="858" spans="16:27" x14ac:dyDescent="0.2">
      <c r="P858" s="36"/>
      <c r="Q858" s="40"/>
      <c r="R858" s="40"/>
      <c r="S858" s="40"/>
      <c r="T858" s="41"/>
      <c r="U858" s="41"/>
      <c r="V858" s="41"/>
      <c r="W858" s="36"/>
      <c r="X858" s="36"/>
      <c r="Y858" s="36"/>
      <c r="Z858" s="36"/>
      <c r="AA858" s="36"/>
    </row>
    <row r="859" spans="16:27" x14ac:dyDescent="0.2">
      <c r="P859" s="36"/>
      <c r="Q859" s="40"/>
      <c r="R859" s="40"/>
      <c r="S859" s="40"/>
      <c r="T859" s="41"/>
      <c r="U859" s="41"/>
      <c r="V859" s="41"/>
      <c r="W859" s="36"/>
      <c r="X859" s="36"/>
      <c r="Y859" s="36"/>
      <c r="Z859" s="36"/>
      <c r="AA859" s="36"/>
    </row>
    <row r="860" spans="16:27" x14ac:dyDescent="0.2">
      <c r="P860" s="36"/>
      <c r="Q860" s="40"/>
      <c r="R860" s="40"/>
      <c r="S860" s="40"/>
      <c r="T860" s="41"/>
      <c r="U860" s="41"/>
      <c r="V860" s="41"/>
      <c r="W860" s="36"/>
      <c r="X860" s="36"/>
      <c r="Y860" s="36"/>
      <c r="Z860" s="36"/>
      <c r="AA860" s="36"/>
    </row>
    <row r="861" spans="16:27" x14ac:dyDescent="0.2">
      <c r="P861" s="36"/>
      <c r="Q861" s="40"/>
      <c r="R861" s="40"/>
      <c r="S861" s="40"/>
      <c r="T861" s="41"/>
      <c r="U861" s="41"/>
      <c r="V861" s="41"/>
      <c r="W861" s="36"/>
      <c r="X861" s="36"/>
      <c r="Y861" s="36"/>
      <c r="Z861" s="36"/>
      <c r="AA861" s="36"/>
    </row>
    <row r="862" spans="16:27" x14ac:dyDescent="0.2">
      <c r="P862" s="36"/>
      <c r="Q862" s="40"/>
      <c r="R862" s="40"/>
      <c r="S862" s="40"/>
      <c r="T862" s="41"/>
      <c r="U862" s="41"/>
      <c r="V862" s="41"/>
      <c r="W862" s="36"/>
      <c r="X862" s="36"/>
      <c r="Y862" s="36"/>
      <c r="Z862" s="36"/>
      <c r="AA862" s="36"/>
    </row>
    <row r="863" spans="16:27" x14ac:dyDescent="0.2">
      <c r="P863" s="36"/>
      <c r="Q863" s="40"/>
      <c r="R863" s="40"/>
      <c r="S863" s="40"/>
      <c r="T863" s="41"/>
      <c r="U863" s="41"/>
      <c r="V863" s="41"/>
      <c r="W863" s="36"/>
      <c r="X863" s="36"/>
      <c r="Y863" s="36"/>
      <c r="Z863" s="36"/>
      <c r="AA863" s="36"/>
    </row>
    <row r="864" spans="16:27" x14ac:dyDescent="0.2">
      <c r="P864" s="36"/>
      <c r="Q864" s="40"/>
      <c r="R864" s="40"/>
      <c r="S864" s="40"/>
      <c r="T864" s="41"/>
      <c r="U864" s="41"/>
      <c r="V864" s="41"/>
      <c r="W864" s="36"/>
      <c r="X864" s="36"/>
      <c r="Y864" s="36"/>
      <c r="Z864" s="36"/>
      <c r="AA864" s="36"/>
    </row>
    <row r="865" spans="16:27" x14ac:dyDescent="0.2">
      <c r="P865" s="36"/>
      <c r="Q865" s="40"/>
      <c r="R865" s="40"/>
      <c r="S865" s="40"/>
      <c r="T865" s="41"/>
      <c r="U865" s="41"/>
      <c r="V865" s="41"/>
      <c r="W865" s="36"/>
      <c r="X865" s="36"/>
      <c r="Y865" s="36"/>
      <c r="Z865" s="36"/>
      <c r="AA865" s="36"/>
    </row>
    <row r="866" spans="16:27" x14ac:dyDescent="0.2">
      <c r="P866" s="36"/>
      <c r="Q866" s="40"/>
      <c r="R866" s="40"/>
      <c r="S866" s="40"/>
      <c r="T866" s="41"/>
      <c r="U866" s="41"/>
      <c r="V866" s="41"/>
      <c r="W866" s="36"/>
      <c r="X866" s="36"/>
      <c r="Y866" s="36"/>
      <c r="Z866" s="36"/>
      <c r="AA866" s="36"/>
    </row>
    <row r="867" spans="16:27" x14ac:dyDescent="0.2">
      <c r="P867" s="36"/>
      <c r="Q867" s="40"/>
      <c r="R867" s="40"/>
      <c r="S867" s="40"/>
      <c r="T867" s="41"/>
      <c r="U867" s="41"/>
      <c r="V867" s="41"/>
      <c r="W867" s="36"/>
      <c r="X867" s="36"/>
      <c r="Y867" s="36"/>
      <c r="Z867" s="36"/>
      <c r="AA867" s="36"/>
    </row>
    <row r="868" spans="16:27" x14ac:dyDescent="0.2">
      <c r="P868" s="36"/>
      <c r="Q868" s="40"/>
      <c r="R868" s="40"/>
      <c r="S868" s="40"/>
      <c r="T868" s="41"/>
      <c r="U868" s="41"/>
      <c r="V868" s="41"/>
      <c r="W868" s="36"/>
      <c r="X868" s="36"/>
      <c r="Y868" s="36"/>
      <c r="Z868" s="36"/>
      <c r="AA868" s="36"/>
    </row>
    <row r="869" spans="16:27" x14ac:dyDescent="0.2">
      <c r="P869" s="36"/>
      <c r="Q869" s="40"/>
      <c r="R869" s="40"/>
      <c r="S869" s="40"/>
      <c r="T869" s="41"/>
      <c r="U869" s="41"/>
      <c r="V869" s="41"/>
      <c r="W869" s="36"/>
      <c r="X869" s="36"/>
      <c r="Y869" s="36"/>
      <c r="Z869" s="36"/>
      <c r="AA869" s="36"/>
    </row>
    <row r="870" spans="16:27" x14ac:dyDescent="0.2">
      <c r="P870" s="36"/>
      <c r="Q870" s="40"/>
      <c r="R870" s="40"/>
      <c r="S870" s="40"/>
      <c r="T870" s="41"/>
      <c r="U870" s="41"/>
      <c r="V870" s="41"/>
      <c r="W870" s="36"/>
      <c r="X870" s="36"/>
      <c r="Y870" s="36"/>
      <c r="Z870" s="36"/>
      <c r="AA870" s="36"/>
    </row>
    <row r="871" spans="16:27" x14ac:dyDescent="0.2">
      <c r="P871" s="36"/>
      <c r="Q871" s="40"/>
      <c r="R871" s="40"/>
      <c r="S871" s="40"/>
      <c r="T871" s="41"/>
      <c r="U871" s="41"/>
      <c r="V871" s="41"/>
      <c r="W871" s="36"/>
      <c r="X871" s="36"/>
      <c r="Y871" s="36"/>
      <c r="Z871" s="36"/>
      <c r="AA871" s="36"/>
    </row>
    <row r="872" spans="16:27" x14ac:dyDescent="0.2">
      <c r="P872" s="36"/>
      <c r="Q872" s="40"/>
      <c r="R872" s="40"/>
      <c r="S872" s="40"/>
      <c r="T872" s="41"/>
      <c r="U872" s="41"/>
      <c r="V872" s="41"/>
      <c r="W872" s="36"/>
      <c r="X872" s="36"/>
      <c r="Y872" s="36"/>
      <c r="Z872" s="36"/>
      <c r="AA872" s="36"/>
    </row>
    <row r="873" spans="16:27" x14ac:dyDescent="0.2">
      <c r="P873" s="36"/>
      <c r="Q873" s="40"/>
      <c r="R873" s="40"/>
      <c r="S873" s="40"/>
      <c r="T873" s="41"/>
      <c r="U873" s="41"/>
      <c r="V873" s="41"/>
      <c r="W873" s="36"/>
      <c r="X873" s="36"/>
      <c r="Y873" s="36"/>
      <c r="Z873" s="36"/>
      <c r="AA873" s="36"/>
    </row>
    <row r="874" spans="16:27" x14ac:dyDescent="0.2">
      <c r="P874" s="36"/>
      <c r="Q874" s="40"/>
      <c r="R874" s="40"/>
      <c r="S874" s="40"/>
      <c r="T874" s="41"/>
      <c r="U874" s="41"/>
      <c r="V874" s="41"/>
      <c r="W874" s="36"/>
      <c r="X874" s="36"/>
      <c r="Y874" s="36"/>
      <c r="Z874" s="36"/>
      <c r="AA874" s="36"/>
    </row>
    <row r="875" spans="16:27" x14ac:dyDescent="0.2">
      <c r="P875" s="36"/>
      <c r="Q875" s="40"/>
      <c r="R875" s="40"/>
      <c r="S875" s="40"/>
      <c r="T875" s="41"/>
      <c r="U875" s="41"/>
      <c r="V875" s="41"/>
      <c r="W875" s="36"/>
      <c r="X875" s="36"/>
      <c r="Y875" s="36"/>
      <c r="Z875" s="36"/>
      <c r="AA875" s="36"/>
    </row>
    <row r="876" spans="16:27" x14ac:dyDescent="0.2">
      <c r="P876" s="36"/>
      <c r="Q876" s="40"/>
      <c r="R876" s="40"/>
      <c r="S876" s="40"/>
      <c r="T876" s="41"/>
      <c r="U876" s="41"/>
      <c r="V876" s="41"/>
      <c r="W876" s="36"/>
      <c r="X876" s="36"/>
      <c r="Y876" s="36"/>
      <c r="Z876" s="36"/>
      <c r="AA876" s="36"/>
    </row>
    <row r="877" spans="16:27" x14ac:dyDescent="0.2">
      <c r="P877" s="36"/>
      <c r="Q877" s="40"/>
      <c r="R877" s="40"/>
      <c r="S877" s="40"/>
      <c r="T877" s="41"/>
      <c r="U877" s="41"/>
      <c r="V877" s="41"/>
      <c r="W877" s="36"/>
      <c r="X877" s="36"/>
      <c r="Y877" s="36"/>
      <c r="Z877" s="36"/>
      <c r="AA877" s="36"/>
    </row>
    <row r="878" spans="16:27" x14ac:dyDescent="0.2">
      <c r="P878" s="36"/>
      <c r="Q878" s="40"/>
      <c r="R878" s="40"/>
      <c r="S878" s="40"/>
      <c r="T878" s="41"/>
      <c r="U878" s="41"/>
      <c r="V878" s="41"/>
      <c r="W878" s="36"/>
      <c r="X878" s="36"/>
      <c r="Y878" s="36"/>
      <c r="Z878" s="36"/>
      <c r="AA878" s="36"/>
    </row>
    <row r="879" spans="16:27" x14ac:dyDescent="0.2">
      <c r="P879" s="36"/>
      <c r="Q879" s="40"/>
      <c r="R879" s="40"/>
      <c r="S879" s="40"/>
      <c r="T879" s="41"/>
      <c r="U879" s="41"/>
      <c r="V879" s="41"/>
      <c r="W879" s="36"/>
      <c r="X879" s="36"/>
      <c r="Y879" s="36"/>
      <c r="Z879" s="36"/>
      <c r="AA879" s="36"/>
    </row>
    <row r="880" spans="16:27" x14ac:dyDescent="0.2">
      <c r="P880" s="36"/>
      <c r="Q880" s="40"/>
      <c r="R880" s="40"/>
      <c r="S880" s="40"/>
      <c r="T880" s="41"/>
      <c r="U880" s="41"/>
      <c r="V880" s="41"/>
      <c r="W880" s="36"/>
      <c r="X880" s="36"/>
      <c r="Y880" s="36"/>
      <c r="Z880" s="36"/>
      <c r="AA880" s="36"/>
    </row>
    <row r="881" spans="16:27" x14ac:dyDescent="0.2">
      <c r="P881" s="36"/>
      <c r="Q881" s="40"/>
      <c r="R881" s="40"/>
      <c r="S881" s="40"/>
      <c r="T881" s="41"/>
      <c r="U881" s="41"/>
      <c r="V881" s="41"/>
      <c r="W881" s="36"/>
      <c r="X881" s="36"/>
      <c r="Y881" s="36"/>
      <c r="Z881" s="36"/>
      <c r="AA881" s="36"/>
    </row>
    <row r="882" spans="16:27" x14ac:dyDescent="0.2">
      <c r="P882" s="36"/>
      <c r="Q882" s="40"/>
      <c r="R882" s="40"/>
      <c r="S882" s="40"/>
      <c r="T882" s="41"/>
      <c r="U882" s="41"/>
      <c r="V882" s="41"/>
      <c r="W882" s="36"/>
      <c r="X882" s="36"/>
      <c r="Y882" s="36"/>
      <c r="Z882" s="36"/>
      <c r="AA882" s="36"/>
    </row>
    <row r="883" spans="16:27" x14ac:dyDescent="0.2">
      <c r="P883" s="36"/>
      <c r="Q883" s="40"/>
      <c r="R883" s="40"/>
      <c r="S883" s="40"/>
      <c r="T883" s="41"/>
      <c r="U883" s="41"/>
      <c r="V883" s="41"/>
      <c r="W883" s="36"/>
      <c r="X883" s="36"/>
      <c r="Y883" s="36"/>
      <c r="Z883" s="36"/>
      <c r="AA883" s="36"/>
    </row>
    <row r="884" spans="16:27" x14ac:dyDescent="0.2">
      <c r="P884" s="36"/>
      <c r="Q884" s="40"/>
      <c r="R884" s="40"/>
      <c r="S884" s="40"/>
      <c r="T884" s="41"/>
      <c r="U884" s="41"/>
      <c r="V884" s="41"/>
      <c r="W884" s="36"/>
      <c r="X884" s="36"/>
      <c r="Y884" s="36"/>
      <c r="Z884" s="36"/>
      <c r="AA884" s="36"/>
    </row>
    <row r="885" spans="16:27" x14ac:dyDescent="0.2">
      <c r="P885" s="36"/>
      <c r="Q885" s="40"/>
      <c r="R885" s="40"/>
      <c r="S885" s="40"/>
      <c r="T885" s="41"/>
      <c r="U885" s="41"/>
      <c r="V885" s="41"/>
      <c r="W885" s="36"/>
      <c r="X885" s="36"/>
      <c r="Y885" s="36"/>
      <c r="Z885" s="36"/>
      <c r="AA885" s="36"/>
    </row>
    <row r="886" spans="16:27" x14ac:dyDescent="0.2">
      <c r="P886" s="36"/>
      <c r="Q886" s="40"/>
      <c r="R886" s="40"/>
      <c r="S886" s="40"/>
      <c r="T886" s="41"/>
      <c r="U886" s="41"/>
      <c r="V886" s="41"/>
      <c r="W886" s="36"/>
      <c r="X886" s="36"/>
      <c r="Y886" s="36"/>
      <c r="Z886" s="36"/>
      <c r="AA886" s="36"/>
    </row>
    <row r="887" spans="16:27" x14ac:dyDescent="0.2">
      <c r="P887" s="36"/>
      <c r="Q887" s="40"/>
      <c r="R887" s="40"/>
      <c r="S887" s="40"/>
      <c r="T887" s="41"/>
      <c r="U887" s="41"/>
      <c r="V887" s="41"/>
      <c r="W887" s="36"/>
      <c r="X887" s="36"/>
      <c r="Y887" s="36"/>
      <c r="Z887" s="36"/>
      <c r="AA887" s="36"/>
    </row>
    <row r="888" spans="16:27" x14ac:dyDescent="0.2">
      <c r="P888" s="36"/>
      <c r="Q888" s="40"/>
      <c r="R888" s="40"/>
      <c r="S888" s="40"/>
      <c r="T888" s="41"/>
      <c r="U888" s="41"/>
      <c r="V888" s="41"/>
      <c r="W888" s="36"/>
      <c r="X888" s="36"/>
      <c r="Y888" s="36"/>
      <c r="Z888" s="36"/>
      <c r="AA888" s="36"/>
    </row>
    <row r="889" spans="16:27" x14ac:dyDescent="0.2">
      <c r="P889" s="36"/>
      <c r="Q889" s="40"/>
      <c r="R889" s="40"/>
      <c r="S889" s="40"/>
      <c r="T889" s="41"/>
      <c r="U889" s="41"/>
      <c r="V889" s="41"/>
      <c r="W889" s="36"/>
      <c r="X889" s="36"/>
      <c r="Y889" s="36"/>
      <c r="Z889" s="36"/>
      <c r="AA889" s="36"/>
    </row>
    <row r="890" spans="16:27" x14ac:dyDescent="0.2">
      <c r="P890" s="36"/>
      <c r="Q890" s="40"/>
      <c r="R890" s="40"/>
      <c r="S890" s="40"/>
      <c r="T890" s="41"/>
      <c r="U890" s="41"/>
      <c r="V890" s="41"/>
      <c r="W890" s="36"/>
      <c r="X890" s="36"/>
      <c r="Y890" s="36"/>
      <c r="Z890" s="36"/>
      <c r="AA890" s="36"/>
    </row>
    <row r="891" spans="16:27" x14ac:dyDescent="0.2">
      <c r="P891" s="36"/>
      <c r="Q891" s="40"/>
      <c r="R891" s="40"/>
      <c r="S891" s="40"/>
      <c r="T891" s="41"/>
      <c r="U891" s="41"/>
      <c r="V891" s="41"/>
      <c r="W891" s="36"/>
      <c r="X891" s="36"/>
      <c r="Y891" s="36"/>
      <c r="Z891" s="36"/>
      <c r="AA891" s="36"/>
    </row>
    <row r="892" spans="16:27" x14ac:dyDescent="0.2">
      <c r="P892" s="36"/>
      <c r="Q892" s="40"/>
      <c r="R892" s="40"/>
      <c r="S892" s="40"/>
      <c r="T892" s="41"/>
      <c r="U892" s="41"/>
      <c r="V892" s="41"/>
      <c r="W892" s="36"/>
      <c r="X892" s="36"/>
      <c r="Y892" s="36"/>
      <c r="Z892" s="36"/>
      <c r="AA892" s="36"/>
    </row>
    <row r="893" spans="16:27" x14ac:dyDescent="0.2">
      <c r="P893" s="36"/>
      <c r="Q893" s="40"/>
      <c r="R893" s="40"/>
      <c r="S893" s="40"/>
      <c r="T893" s="41"/>
      <c r="U893" s="41"/>
      <c r="V893" s="41"/>
      <c r="W893" s="36"/>
      <c r="X893" s="36"/>
      <c r="Y893" s="36"/>
      <c r="Z893" s="36"/>
      <c r="AA893" s="36"/>
    </row>
    <row r="894" spans="16:27" x14ac:dyDescent="0.2">
      <c r="P894" s="36"/>
      <c r="Q894" s="40"/>
      <c r="R894" s="40"/>
      <c r="S894" s="40"/>
      <c r="T894" s="41"/>
      <c r="U894" s="41"/>
      <c r="V894" s="41"/>
      <c r="W894" s="36"/>
      <c r="X894" s="36"/>
      <c r="Y894" s="36"/>
      <c r="Z894" s="36"/>
      <c r="AA894" s="36"/>
    </row>
    <row r="895" spans="16:27" x14ac:dyDescent="0.2">
      <c r="P895" s="36"/>
      <c r="Q895" s="40"/>
      <c r="R895" s="40"/>
      <c r="S895" s="40"/>
      <c r="T895" s="41"/>
      <c r="U895" s="41"/>
      <c r="V895" s="41"/>
      <c r="W895" s="36"/>
      <c r="X895" s="36"/>
      <c r="Y895" s="36"/>
      <c r="Z895" s="36"/>
      <c r="AA895" s="36"/>
    </row>
    <row r="896" spans="16:27" x14ac:dyDescent="0.2">
      <c r="P896" s="36"/>
      <c r="Q896" s="40"/>
      <c r="R896" s="40"/>
      <c r="S896" s="40"/>
      <c r="T896" s="41"/>
      <c r="U896" s="41"/>
      <c r="V896" s="41"/>
      <c r="W896" s="36"/>
      <c r="X896" s="36"/>
      <c r="Y896" s="36"/>
      <c r="Z896" s="36"/>
      <c r="AA896" s="36"/>
    </row>
    <row r="897" spans="16:27" x14ac:dyDescent="0.2">
      <c r="P897" s="36"/>
      <c r="Q897" s="40"/>
      <c r="R897" s="40"/>
      <c r="S897" s="40"/>
      <c r="T897" s="41"/>
      <c r="U897" s="41"/>
      <c r="V897" s="41"/>
      <c r="W897" s="36"/>
      <c r="X897" s="36"/>
      <c r="Y897" s="36"/>
      <c r="Z897" s="36"/>
      <c r="AA897" s="36"/>
    </row>
    <row r="898" spans="16:27" x14ac:dyDescent="0.2">
      <c r="P898" s="36"/>
      <c r="Q898" s="40"/>
      <c r="R898" s="40"/>
      <c r="S898" s="40"/>
      <c r="T898" s="41"/>
      <c r="U898" s="41"/>
      <c r="V898" s="41"/>
      <c r="W898" s="36"/>
      <c r="X898" s="36"/>
      <c r="Y898" s="36"/>
      <c r="Z898" s="36"/>
      <c r="AA898" s="36"/>
    </row>
    <row r="899" spans="16:27" x14ac:dyDescent="0.2">
      <c r="P899" s="36"/>
      <c r="Q899" s="40"/>
      <c r="R899" s="40"/>
      <c r="S899" s="40"/>
      <c r="T899" s="41"/>
      <c r="U899" s="41"/>
      <c r="V899" s="41"/>
      <c r="W899" s="36"/>
      <c r="X899" s="36"/>
      <c r="Y899" s="36"/>
      <c r="Z899" s="36"/>
      <c r="AA899" s="36"/>
    </row>
    <row r="900" spans="16:27" x14ac:dyDescent="0.2">
      <c r="P900" s="36"/>
      <c r="Q900" s="40"/>
      <c r="R900" s="40"/>
      <c r="S900" s="40"/>
      <c r="T900" s="41"/>
      <c r="U900" s="41"/>
      <c r="V900" s="41"/>
      <c r="W900" s="36"/>
      <c r="X900" s="36"/>
      <c r="Y900" s="36"/>
      <c r="Z900" s="36"/>
      <c r="AA900" s="36"/>
    </row>
    <row r="901" spans="16:27" x14ac:dyDescent="0.2">
      <c r="P901" s="36"/>
      <c r="Q901" s="40"/>
      <c r="R901" s="40"/>
      <c r="S901" s="40"/>
      <c r="T901" s="41"/>
      <c r="U901" s="41"/>
      <c r="V901" s="41"/>
      <c r="W901" s="36"/>
      <c r="X901" s="36"/>
      <c r="Y901" s="36"/>
      <c r="Z901" s="36"/>
      <c r="AA901" s="36"/>
    </row>
    <row r="902" spans="16:27" x14ac:dyDescent="0.2">
      <c r="P902" s="36"/>
      <c r="Q902" s="40"/>
      <c r="R902" s="40"/>
      <c r="S902" s="40"/>
      <c r="T902" s="41"/>
      <c r="U902" s="41"/>
      <c r="V902" s="41"/>
      <c r="W902" s="36"/>
      <c r="X902" s="36"/>
      <c r="Y902" s="36"/>
      <c r="Z902" s="36"/>
      <c r="AA902" s="36"/>
    </row>
    <row r="903" spans="16:27" x14ac:dyDescent="0.2">
      <c r="P903" s="36"/>
      <c r="Q903" s="40"/>
      <c r="R903" s="40"/>
      <c r="S903" s="40"/>
      <c r="T903" s="41"/>
      <c r="U903" s="41"/>
      <c r="V903" s="41"/>
      <c r="W903" s="36"/>
      <c r="X903" s="36"/>
      <c r="Y903" s="36"/>
      <c r="Z903" s="36"/>
      <c r="AA903" s="36"/>
    </row>
    <row r="904" spans="16:27" x14ac:dyDescent="0.2">
      <c r="P904" s="36"/>
      <c r="Q904" s="40"/>
      <c r="R904" s="40"/>
      <c r="S904" s="40"/>
      <c r="T904" s="41"/>
      <c r="U904" s="41"/>
      <c r="V904" s="41"/>
      <c r="W904" s="36"/>
      <c r="X904" s="36"/>
      <c r="Y904" s="36"/>
      <c r="Z904" s="36"/>
      <c r="AA904" s="36"/>
    </row>
    <row r="905" spans="16:27" x14ac:dyDescent="0.2">
      <c r="P905" s="36"/>
      <c r="Q905" s="40"/>
      <c r="R905" s="40"/>
      <c r="S905" s="40"/>
      <c r="T905" s="41"/>
      <c r="U905" s="41"/>
      <c r="V905" s="41"/>
      <c r="W905" s="36"/>
      <c r="X905" s="36"/>
      <c r="Y905" s="36"/>
      <c r="Z905" s="36"/>
      <c r="AA905" s="36"/>
    </row>
    <row r="906" spans="16:27" x14ac:dyDescent="0.2">
      <c r="P906" s="36"/>
      <c r="Q906" s="40"/>
      <c r="R906" s="40"/>
      <c r="S906" s="40"/>
      <c r="T906" s="41"/>
      <c r="U906" s="41"/>
      <c r="V906" s="41"/>
      <c r="W906" s="36"/>
      <c r="X906" s="36"/>
      <c r="Y906" s="36"/>
      <c r="Z906" s="36"/>
      <c r="AA906" s="36"/>
    </row>
    <row r="907" spans="16:27" x14ac:dyDescent="0.2">
      <c r="P907" s="36"/>
      <c r="Q907" s="40"/>
      <c r="R907" s="40"/>
      <c r="S907" s="40"/>
      <c r="T907" s="41"/>
      <c r="U907" s="41"/>
      <c r="V907" s="41"/>
      <c r="W907" s="36"/>
      <c r="X907" s="36"/>
      <c r="Y907" s="36"/>
      <c r="Z907" s="36"/>
      <c r="AA907" s="36"/>
    </row>
    <row r="908" spans="16:27" x14ac:dyDescent="0.2">
      <c r="P908" s="36"/>
      <c r="Q908" s="40"/>
      <c r="R908" s="40"/>
      <c r="S908" s="40"/>
      <c r="T908" s="41"/>
      <c r="U908" s="41"/>
      <c r="V908" s="41"/>
      <c r="W908" s="36"/>
      <c r="X908" s="36"/>
      <c r="Y908" s="36"/>
      <c r="Z908" s="36"/>
      <c r="AA908" s="36"/>
    </row>
    <row r="909" spans="16:27" x14ac:dyDescent="0.2">
      <c r="P909" s="36"/>
      <c r="Q909" s="40"/>
      <c r="R909" s="40"/>
      <c r="S909" s="40"/>
      <c r="T909" s="41"/>
      <c r="U909" s="41"/>
      <c r="V909" s="41"/>
      <c r="W909" s="36"/>
      <c r="X909" s="36"/>
      <c r="Y909" s="36"/>
      <c r="Z909" s="36"/>
      <c r="AA909" s="36"/>
    </row>
    <row r="910" spans="16:27" x14ac:dyDescent="0.2">
      <c r="P910" s="36"/>
      <c r="Q910" s="40"/>
      <c r="R910" s="40"/>
      <c r="S910" s="40"/>
      <c r="T910" s="41"/>
      <c r="U910" s="41"/>
      <c r="V910" s="41"/>
      <c r="W910" s="36"/>
      <c r="X910" s="36"/>
      <c r="Y910" s="36"/>
      <c r="Z910" s="36"/>
      <c r="AA910" s="36"/>
    </row>
    <row r="911" spans="16:27" x14ac:dyDescent="0.2">
      <c r="P911" s="36"/>
      <c r="Q911" s="40"/>
      <c r="R911" s="40"/>
      <c r="S911" s="40"/>
      <c r="T911" s="41"/>
      <c r="U911" s="41"/>
      <c r="V911" s="41"/>
      <c r="W911" s="36"/>
      <c r="X911" s="36"/>
      <c r="Y911" s="36"/>
      <c r="Z911" s="36"/>
      <c r="AA911" s="36"/>
    </row>
    <row r="912" spans="16:27" x14ac:dyDescent="0.2">
      <c r="P912" s="36"/>
      <c r="Q912" s="40"/>
      <c r="R912" s="40"/>
      <c r="S912" s="40"/>
      <c r="T912" s="41"/>
      <c r="U912" s="41"/>
      <c r="V912" s="41"/>
      <c r="W912" s="36"/>
      <c r="X912" s="36"/>
      <c r="Y912" s="36"/>
      <c r="Z912" s="36"/>
      <c r="AA912" s="36"/>
    </row>
    <row r="913" spans="16:27" x14ac:dyDescent="0.2">
      <c r="P913" s="36"/>
      <c r="Q913" s="40"/>
      <c r="R913" s="40"/>
      <c r="S913" s="40"/>
      <c r="T913" s="41"/>
      <c r="U913" s="41"/>
      <c r="V913" s="41"/>
      <c r="W913" s="36"/>
      <c r="X913" s="36"/>
      <c r="Y913" s="36"/>
      <c r="Z913" s="36"/>
      <c r="AA913" s="36"/>
    </row>
    <row r="914" spans="16:27" x14ac:dyDescent="0.2">
      <c r="P914" s="36"/>
      <c r="Q914" s="40"/>
      <c r="R914" s="40"/>
      <c r="S914" s="40"/>
      <c r="T914" s="41"/>
      <c r="U914" s="41"/>
      <c r="V914" s="41"/>
      <c r="W914" s="36"/>
      <c r="X914" s="36"/>
      <c r="Y914" s="36"/>
      <c r="Z914" s="36"/>
      <c r="AA914" s="36"/>
    </row>
    <row r="915" spans="16:27" x14ac:dyDescent="0.2">
      <c r="P915" s="36"/>
      <c r="Q915" s="40"/>
      <c r="R915" s="40"/>
      <c r="S915" s="40"/>
      <c r="T915" s="41"/>
      <c r="U915" s="41"/>
      <c r="V915" s="41"/>
      <c r="W915" s="36"/>
      <c r="X915" s="36"/>
      <c r="Y915" s="36"/>
      <c r="Z915" s="36"/>
      <c r="AA915" s="36"/>
    </row>
    <row r="916" spans="16:27" x14ac:dyDescent="0.2">
      <c r="P916" s="36"/>
      <c r="Q916" s="40"/>
      <c r="R916" s="40"/>
      <c r="S916" s="40"/>
      <c r="T916" s="41"/>
      <c r="U916" s="41"/>
      <c r="V916" s="41"/>
      <c r="W916" s="36"/>
      <c r="X916" s="36"/>
      <c r="Y916" s="36"/>
      <c r="Z916" s="36"/>
      <c r="AA916" s="36"/>
    </row>
    <row r="917" spans="16:27" x14ac:dyDescent="0.2">
      <c r="P917" s="36"/>
      <c r="Q917" s="40"/>
      <c r="R917" s="40"/>
      <c r="S917" s="40"/>
      <c r="T917" s="41"/>
      <c r="U917" s="41"/>
      <c r="V917" s="41"/>
      <c r="W917" s="36"/>
      <c r="X917" s="36"/>
      <c r="Y917" s="36"/>
      <c r="Z917" s="36"/>
      <c r="AA917" s="36"/>
    </row>
    <row r="918" spans="16:27" x14ac:dyDescent="0.2">
      <c r="P918" s="36"/>
      <c r="Q918" s="40"/>
      <c r="R918" s="40"/>
      <c r="S918" s="40"/>
      <c r="T918" s="41"/>
      <c r="U918" s="41"/>
      <c r="V918" s="41"/>
      <c r="W918" s="36"/>
      <c r="X918" s="36"/>
      <c r="Y918" s="36"/>
      <c r="Z918" s="36"/>
      <c r="AA918" s="36"/>
    </row>
    <row r="919" spans="16:27" x14ac:dyDescent="0.2">
      <c r="P919" s="36"/>
      <c r="Q919" s="40"/>
      <c r="R919" s="40"/>
      <c r="S919" s="40"/>
      <c r="T919" s="41"/>
      <c r="U919" s="41"/>
      <c r="V919" s="41"/>
      <c r="W919" s="36"/>
      <c r="X919" s="36"/>
      <c r="Y919" s="36"/>
      <c r="Z919" s="36"/>
      <c r="AA919" s="36"/>
    </row>
    <row r="920" spans="16:27" x14ac:dyDescent="0.2">
      <c r="P920" s="36"/>
      <c r="Q920" s="40"/>
      <c r="R920" s="40"/>
      <c r="S920" s="40"/>
      <c r="T920" s="41"/>
      <c r="U920" s="41"/>
      <c r="V920" s="41"/>
      <c r="W920" s="36"/>
      <c r="X920" s="36"/>
      <c r="Y920" s="36"/>
      <c r="Z920" s="36"/>
      <c r="AA920" s="36"/>
    </row>
    <row r="921" spans="16:27" x14ac:dyDescent="0.2">
      <c r="P921" s="36"/>
      <c r="Q921" s="40"/>
      <c r="R921" s="40"/>
      <c r="S921" s="40"/>
      <c r="T921" s="41"/>
      <c r="U921" s="41"/>
      <c r="V921" s="41"/>
      <c r="W921" s="36"/>
      <c r="X921" s="36"/>
      <c r="Y921" s="36"/>
      <c r="Z921" s="36"/>
      <c r="AA921" s="36"/>
    </row>
    <row r="922" spans="16:27" x14ac:dyDescent="0.2">
      <c r="P922" s="36"/>
      <c r="Q922" s="40"/>
      <c r="R922" s="40"/>
      <c r="S922" s="40"/>
      <c r="T922" s="41"/>
      <c r="U922" s="41"/>
      <c r="V922" s="41"/>
      <c r="W922" s="36"/>
      <c r="X922" s="36"/>
      <c r="Y922" s="36"/>
      <c r="Z922" s="36"/>
      <c r="AA922" s="36"/>
    </row>
    <row r="923" spans="16:27" x14ac:dyDescent="0.2">
      <c r="P923" s="36"/>
      <c r="Q923" s="40"/>
      <c r="R923" s="40"/>
      <c r="S923" s="40"/>
      <c r="T923" s="41"/>
      <c r="U923" s="41"/>
      <c r="V923" s="41"/>
      <c r="W923" s="36"/>
      <c r="X923" s="36"/>
      <c r="Y923" s="36"/>
      <c r="Z923" s="36"/>
      <c r="AA923" s="36"/>
    </row>
    <row r="924" spans="16:27" x14ac:dyDescent="0.2">
      <c r="P924" s="36"/>
      <c r="Q924" s="40"/>
      <c r="R924" s="40"/>
      <c r="S924" s="40"/>
      <c r="T924" s="41"/>
      <c r="U924" s="41"/>
      <c r="V924" s="41"/>
      <c r="W924" s="36"/>
      <c r="X924" s="36"/>
      <c r="Y924" s="36"/>
      <c r="Z924" s="36"/>
      <c r="AA924" s="36"/>
    </row>
    <row r="925" spans="16:27" x14ac:dyDescent="0.2">
      <c r="P925" s="36"/>
      <c r="Q925" s="40"/>
      <c r="R925" s="40"/>
      <c r="S925" s="40"/>
      <c r="T925" s="41"/>
      <c r="U925" s="41"/>
      <c r="V925" s="41"/>
      <c r="W925" s="36"/>
      <c r="X925" s="36"/>
      <c r="Y925" s="36"/>
      <c r="Z925" s="36"/>
      <c r="AA925" s="36"/>
    </row>
    <row r="926" spans="16:27" x14ac:dyDescent="0.2">
      <c r="P926" s="36"/>
      <c r="Q926" s="40"/>
      <c r="R926" s="40"/>
      <c r="S926" s="40"/>
      <c r="T926" s="41"/>
      <c r="U926" s="41"/>
      <c r="V926" s="41"/>
      <c r="W926" s="36"/>
      <c r="X926" s="36"/>
      <c r="Y926" s="36"/>
      <c r="Z926" s="36"/>
      <c r="AA926" s="36"/>
    </row>
    <row r="927" spans="16:27" x14ac:dyDescent="0.2">
      <c r="P927" s="36"/>
      <c r="Q927" s="40"/>
      <c r="R927" s="40"/>
      <c r="S927" s="40"/>
      <c r="T927" s="41"/>
      <c r="U927" s="41"/>
      <c r="V927" s="41"/>
      <c r="W927" s="36"/>
      <c r="X927" s="36"/>
      <c r="Y927" s="36"/>
      <c r="Z927" s="36"/>
      <c r="AA927" s="36"/>
    </row>
    <row r="928" spans="16:27" x14ac:dyDescent="0.2">
      <c r="P928" s="36"/>
      <c r="Q928" s="40"/>
      <c r="R928" s="40"/>
      <c r="S928" s="40"/>
      <c r="T928" s="41"/>
      <c r="U928" s="41"/>
      <c r="V928" s="41"/>
      <c r="W928" s="36"/>
      <c r="X928" s="36"/>
      <c r="Y928" s="36"/>
      <c r="Z928" s="36"/>
      <c r="AA928" s="36"/>
    </row>
    <row r="929" spans="16:27" x14ac:dyDescent="0.2">
      <c r="P929" s="36"/>
      <c r="Q929" s="40"/>
      <c r="R929" s="40"/>
      <c r="S929" s="40"/>
      <c r="T929" s="41"/>
      <c r="U929" s="41"/>
      <c r="V929" s="41"/>
      <c r="W929" s="36"/>
      <c r="X929" s="36"/>
      <c r="Y929" s="36"/>
      <c r="Z929" s="36"/>
      <c r="AA929" s="36"/>
    </row>
    <row r="930" spans="16:27" x14ac:dyDescent="0.2">
      <c r="P930" s="36"/>
      <c r="Q930" s="40"/>
      <c r="R930" s="40"/>
      <c r="S930" s="40"/>
      <c r="T930" s="41"/>
      <c r="U930" s="41"/>
      <c r="V930" s="41"/>
      <c r="W930" s="36"/>
      <c r="X930" s="36"/>
      <c r="Y930" s="36"/>
      <c r="Z930" s="36"/>
      <c r="AA930" s="36"/>
    </row>
    <row r="931" spans="16:27" x14ac:dyDescent="0.2">
      <c r="P931" s="36"/>
      <c r="Q931" s="40"/>
      <c r="R931" s="40"/>
      <c r="S931" s="40"/>
      <c r="T931" s="41"/>
      <c r="U931" s="41"/>
      <c r="V931" s="41"/>
      <c r="W931" s="36"/>
      <c r="X931" s="36"/>
      <c r="Y931" s="36"/>
      <c r="Z931" s="36"/>
      <c r="AA931" s="36"/>
    </row>
    <row r="932" spans="16:27" x14ac:dyDescent="0.2">
      <c r="P932" s="36"/>
      <c r="Q932" s="40"/>
      <c r="R932" s="40"/>
      <c r="S932" s="40"/>
      <c r="T932" s="41"/>
      <c r="U932" s="41"/>
      <c r="V932" s="41"/>
      <c r="W932" s="36"/>
      <c r="X932" s="36"/>
      <c r="Y932" s="36"/>
      <c r="Z932" s="36"/>
      <c r="AA932" s="36"/>
    </row>
    <row r="933" spans="16:27" x14ac:dyDescent="0.2">
      <c r="P933" s="36"/>
      <c r="Q933" s="40"/>
      <c r="R933" s="40"/>
      <c r="S933" s="40"/>
      <c r="T933" s="41"/>
      <c r="U933" s="41"/>
      <c r="V933" s="41"/>
      <c r="W933" s="36"/>
      <c r="X933" s="36"/>
      <c r="Y933" s="36"/>
      <c r="Z933" s="36"/>
      <c r="AA933" s="36"/>
    </row>
    <row r="934" spans="16:27" x14ac:dyDescent="0.2">
      <c r="P934" s="36"/>
      <c r="Q934" s="40"/>
      <c r="R934" s="40"/>
      <c r="S934" s="40"/>
      <c r="T934" s="41"/>
      <c r="U934" s="41"/>
      <c r="V934" s="41"/>
      <c r="W934" s="36"/>
      <c r="X934" s="36"/>
      <c r="Y934" s="36"/>
      <c r="Z934" s="36"/>
      <c r="AA934" s="36"/>
    </row>
    <row r="935" spans="16:27" x14ac:dyDescent="0.2">
      <c r="P935" s="36"/>
      <c r="Q935" s="40"/>
      <c r="R935" s="40"/>
      <c r="S935" s="40"/>
      <c r="T935" s="41"/>
      <c r="U935" s="41"/>
      <c r="V935" s="41"/>
      <c r="W935" s="36"/>
      <c r="X935" s="36"/>
      <c r="Y935" s="36"/>
      <c r="Z935" s="36"/>
      <c r="AA935" s="36"/>
    </row>
    <row r="936" spans="16:27" x14ac:dyDescent="0.2">
      <c r="P936" s="36"/>
      <c r="Q936" s="40"/>
      <c r="R936" s="40"/>
      <c r="S936" s="40"/>
      <c r="T936" s="41"/>
      <c r="U936" s="41"/>
      <c r="V936" s="41"/>
      <c r="W936" s="36"/>
      <c r="X936" s="36"/>
      <c r="Y936" s="36"/>
      <c r="Z936" s="36"/>
      <c r="AA936" s="36"/>
    </row>
    <row r="937" spans="16:27" x14ac:dyDescent="0.2">
      <c r="P937" s="36"/>
      <c r="Q937" s="40"/>
      <c r="R937" s="40"/>
      <c r="S937" s="40"/>
      <c r="T937" s="41"/>
      <c r="U937" s="41"/>
      <c r="V937" s="41"/>
      <c r="W937" s="36"/>
      <c r="X937" s="36"/>
      <c r="Y937" s="36"/>
      <c r="Z937" s="36"/>
      <c r="AA937" s="36"/>
    </row>
    <row r="938" spans="16:27" x14ac:dyDescent="0.2">
      <c r="P938" s="36"/>
      <c r="Q938" s="40"/>
      <c r="R938" s="40"/>
      <c r="S938" s="40"/>
      <c r="T938" s="41"/>
      <c r="U938" s="41"/>
      <c r="V938" s="41"/>
      <c r="W938" s="36"/>
      <c r="X938" s="36"/>
      <c r="Y938" s="36"/>
      <c r="Z938" s="36"/>
      <c r="AA938" s="36"/>
    </row>
    <row r="939" spans="16:27" x14ac:dyDescent="0.2">
      <c r="P939" s="36"/>
      <c r="Q939" s="40"/>
      <c r="R939" s="40"/>
      <c r="S939" s="40"/>
      <c r="T939" s="41"/>
      <c r="U939" s="41"/>
      <c r="V939" s="41"/>
      <c r="W939" s="36"/>
      <c r="X939" s="36"/>
      <c r="Y939" s="36"/>
      <c r="Z939" s="36"/>
      <c r="AA939" s="36"/>
    </row>
    <row r="940" spans="16:27" x14ac:dyDescent="0.2">
      <c r="P940" s="36"/>
      <c r="Q940" s="40"/>
      <c r="R940" s="40"/>
      <c r="S940" s="40"/>
      <c r="T940" s="41"/>
      <c r="U940" s="41"/>
      <c r="V940" s="41"/>
      <c r="W940" s="36"/>
      <c r="X940" s="36"/>
      <c r="Y940" s="36"/>
      <c r="Z940" s="36"/>
      <c r="AA940" s="36"/>
    </row>
    <row r="941" spans="16:27" x14ac:dyDescent="0.2">
      <c r="P941" s="36"/>
      <c r="Q941" s="40"/>
      <c r="R941" s="40"/>
      <c r="S941" s="40"/>
      <c r="T941" s="41"/>
      <c r="U941" s="41"/>
      <c r="V941" s="41"/>
      <c r="W941" s="36"/>
      <c r="X941" s="36"/>
      <c r="Y941" s="36"/>
      <c r="Z941" s="36"/>
      <c r="AA941" s="36"/>
    </row>
    <row r="942" spans="16:27" x14ac:dyDescent="0.2">
      <c r="P942" s="36"/>
      <c r="Q942" s="40"/>
      <c r="R942" s="40"/>
      <c r="S942" s="40"/>
      <c r="T942" s="41"/>
      <c r="U942" s="41"/>
      <c r="V942" s="41"/>
      <c r="W942" s="36"/>
      <c r="X942" s="36"/>
      <c r="Y942" s="36"/>
      <c r="Z942" s="36"/>
      <c r="AA942" s="36"/>
    </row>
    <row r="943" spans="16:27" x14ac:dyDescent="0.2">
      <c r="P943" s="36"/>
      <c r="Q943" s="40"/>
      <c r="R943" s="40"/>
      <c r="S943" s="40"/>
      <c r="T943" s="41"/>
      <c r="U943" s="41"/>
      <c r="V943" s="41"/>
      <c r="W943" s="36"/>
      <c r="X943" s="36"/>
      <c r="Y943" s="36"/>
      <c r="Z943" s="36"/>
      <c r="AA943" s="36"/>
    </row>
    <row r="944" spans="16:27" x14ac:dyDescent="0.2">
      <c r="P944" s="36"/>
      <c r="Q944" s="40"/>
      <c r="R944" s="40"/>
      <c r="S944" s="40"/>
      <c r="T944" s="41"/>
      <c r="U944" s="41"/>
      <c r="V944" s="41"/>
      <c r="W944" s="36"/>
      <c r="X944" s="36"/>
      <c r="Y944" s="36"/>
      <c r="Z944" s="36"/>
      <c r="AA944" s="36"/>
    </row>
    <row r="945" spans="16:27" x14ac:dyDescent="0.2">
      <c r="P945" s="36"/>
      <c r="Q945" s="40"/>
      <c r="R945" s="40"/>
      <c r="S945" s="40"/>
      <c r="T945" s="41"/>
      <c r="U945" s="41"/>
      <c r="V945" s="41"/>
      <c r="W945" s="36"/>
      <c r="X945" s="36"/>
      <c r="Y945" s="36"/>
      <c r="Z945" s="36"/>
      <c r="AA945" s="36"/>
    </row>
    <row r="946" spans="16:27" x14ac:dyDescent="0.2">
      <c r="P946" s="36"/>
      <c r="Q946" s="40"/>
      <c r="R946" s="40"/>
      <c r="S946" s="40"/>
      <c r="T946" s="41"/>
      <c r="U946" s="41"/>
      <c r="V946" s="41"/>
      <c r="W946" s="36"/>
      <c r="X946" s="36"/>
      <c r="Y946" s="36"/>
      <c r="Z946" s="36"/>
      <c r="AA946" s="36"/>
    </row>
    <row r="947" spans="16:27" x14ac:dyDescent="0.2">
      <c r="P947" s="36"/>
      <c r="Q947" s="40"/>
      <c r="R947" s="40"/>
      <c r="S947" s="40"/>
      <c r="T947" s="41"/>
      <c r="U947" s="41"/>
      <c r="V947" s="41"/>
      <c r="W947" s="36"/>
      <c r="X947" s="36"/>
      <c r="Y947" s="36"/>
      <c r="Z947" s="36"/>
      <c r="AA947" s="36"/>
    </row>
    <row r="948" spans="16:27" x14ac:dyDescent="0.2">
      <c r="P948" s="36"/>
      <c r="Q948" s="40"/>
      <c r="R948" s="40"/>
      <c r="S948" s="40"/>
      <c r="T948" s="41"/>
      <c r="U948" s="41"/>
      <c r="V948" s="41"/>
      <c r="W948" s="36"/>
      <c r="X948" s="36"/>
      <c r="Y948" s="36"/>
      <c r="Z948" s="36"/>
      <c r="AA948" s="36"/>
    </row>
    <row r="949" spans="16:27" x14ac:dyDescent="0.2">
      <c r="P949" s="36"/>
      <c r="Q949" s="40"/>
      <c r="R949" s="40"/>
      <c r="S949" s="40"/>
      <c r="T949" s="41"/>
      <c r="U949" s="41"/>
      <c r="V949" s="41"/>
      <c r="W949" s="36"/>
      <c r="X949" s="36"/>
      <c r="Y949" s="36"/>
      <c r="Z949" s="36"/>
      <c r="AA949" s="36"/>
    </row>
    <row r="950" spans="16:27" x14ac:dyDescent="0.2">
      <c r="P950" s="36"/>
      <c r="Q950" s="40"/>
      <c r="R950" s="40"/>
      <c r="S950" s="40"/>
      <c r="T950" s="41"/>
      <c r="U950" s="41"/>
      <c r="V950" s="41"/>
      <c r="W950" s="36"/>
      <c r="X950" s="36"/>
      <c r="Y950" s="36"/>
      <c r="Z950" s="36"/>
      <c r="AA950" s="36"/>
    </row>
    <row r="951" spans="16:27" x14ac:dyDescent="0.2">
      <c r="P951" s="36"/>
      <c r="Q951" s="40"/>
      <c r="R951" s="40"/>
      <c r="S951" s="40"/>
      <c r="T951" s="41"/>
      <c r="U951" s="41"/>
      <c r="V951" s="41"/>
      <c r="W951" s="36"/>
      <c r="X951" s="36"/>
      <c r="Y951" s="36"/>
      <c r="Z951" s="36"/>
      <c r="AA951" s="36"/>
    </row>
    <row r="952" spans="16:27" x14ac:dyDescent="0.2">
      <c r="P952" s="36"/>
      <c r="Q952" s="40"/>
      <c r="R952" s="40"/>
      <c r="S952" s="40"/>
      <c r="T952" s="41"/>
      <c r="U952" s="41"/>
      <c r="V952" s="41"/>
      <c r="W952" s="36"/>
      <c r="X952" s="36"/>
      <c r="Y952" s="36"/>
      <c r="Z952" s="36"/>
      <c r="AA952" s="36"/>
    </row>
    <row r="953" spans="16:27" x14ac:dyDescent="0.2">
      <c r="P953" s="36"/>
      <c r="Q953" s="40"/>
      <c r="R953" s="40"/>
      <c r="S953" s="40"/>
      <c r="T953" s="41"/>
      <c r="U953" s="41"/>
      <c r="V953" s="41"/>
      <c r="W953" s="36"/>
      <c r="X953" s="36"/>
      <c r="Y953" s="36"/>
      <c r="Z953" s="36"/>
      <c r="AA953" s="36"/>
    </row>
    <row r="954" spans="16:27" x14ac:dyDescent="0.2">
      <c r="P954" s="36"/>
      <c r="Q954" s="40"/>
      <c r="R954" s="40"/>
      <c r="S954" s="40"/>
      <c r="T954" s="41"/>
      <c r="U954" s="41"/>
      <c r="V954" s="41"/>
      <c r="W954" s="36"/>
      <c r="X954" s="36"/>
      <c r="Y954" s="36"/>
      <c r="Z954" s="36"/>
      <c r="AA954" s="36"/>
    </row>
    <row r="955" spans="16:27" x14ac:dyDescent="0.2">
      <c r="P955" s="36"/>
      <c r="Q955" s="40"/>
      <c r="R955" s="40"/>
      <c r="S955" s="40"/>
      <c r="T955" s="41"/>
      <c r="U955" s="41"/>
      <c r="V955" s="41"/>
      <c r="W955" s="36"/>
      <c r="X955" s="36"/>
      <c r="Y955" s="36"/>
      <c r="Z955" s="36"/>
      <c r="AA955" s="36"/>
    </row>
    <row r="956" spans="16:27" x14ac:dyDescent="0.2">
      <c r="P956" s="36"/>
      <c r="Q956" s="40"/>
      <c r="R956" s="40"/>
      <c r="S956" s="40"/>
      <c r="T956" s="41"/>
      <c r="U956" s="41"/>
      <c r="V956" s="41"/>
      <c r="W956" s="36"/>
      <c r="X956" s="36"/>
      <c r="Y956" s="36"/>
      <c r="Z956" s="36"/>
      <c r="AA956" s="36"/>
    </row>
    <row r="957" spans="16:27" x14ac:dyDescent="0.2">
      <c r="P957" s="36"/>
      <c r="Q957" s="40"/>
      <c r="R957" s="40"/>
      <c r="S957" s="40"/>
      <c r="T957" s="41"/>
      <c r="U957" s="41"/>
      <c r="V957" s="41"/>
      <c r="W957" s="36"/>
      <c r="X957" s="36"/>
      <c r="Y957" s="36"/>
      <c r="Z957" s="36"/>
      <c r="AA957" s="36"/>
    </row>
    <row r="958" spans="16:27" x14ac:dyDescent="0.2">
      <c r="P958" s="36"/>
      <c r="Q958" s="40"/>
      <c r="R958" s="40"/>
      <c r="S958" s="40"/>
      <c r="T958" s="41"/>
      <c r="U958" s="41"/>
      <c r="V958" s="41"/>
      <c r="W958" s="36"/>
      <c r="X958" s="36"/>
      <c r="Y958" s="36"/>
      <c r="Z958" s="36"/>
      <c r="AA958" s="36"/>
    </row>
    <row r="959" spans="16:27" x14ac:dyDescent="0.2">
      <c r="P959" s="36"/>
      <c r="Q959" s="40"/>
      <c r="R959" s="40"/>
      <c r="S959" s="40"/>
      <c r="T959" s="41"/>
      <c r="U959" s="41"/>
      <c r="V959" s="41"/>
      <c r="W959" s="36"/>
      <c r="X959" s="36"/>
      <c r="Y959" s="36"/>
      <c r="Z959" s="36"/>
      <c r="AA959" s="36"/>
    </row>
    <row r="960" spans="16:27" x14ac:dyDescent="0.2">
      <c r="P960" s="36"/>
      <c r="Q960" s="40"/>
      <c r="R960" s="40"/>
      <c r="S960" s="40"/>
      <c r="T960" s="41"/>
      <c r="U960" s="41"/>
      <c r="V960" s="41"/>
      <c r="W960" s="36"/>
      <c r="X960" s="36"/>
      <c r="Y960" s="36"/>
      <c r="Z960" s="36"/>
      <c r="AA960" s="36"/>
    </row>
    <row r="961" spans="16:27" x14ac:dyDescent="0.2">
      <c r="P961" s="36"/>
      <c r="Q961" s="40"/>
      <c r="R961" s="40"/>
      <c r="S961" s="40"/>
      <c r="T961" s="41"/>
      <c r="U961" s="41"/>
      <c r="V961" s="41"/>
      <c r="W961" s="36"/>
      <c r="X961" s="36"/>
      <c r="Y961" s="36"/>
      <c r="Z961" s="36"/>
      <c r="AA961" s="36"/>
    </row>
    <row r="962" spans="16:27" x14ac:dyDescent="0.2">
      <c r="P962" s="36"/>
      <c r="Q962" s="40"/>
      <c r="R962" s="40"/>
      <c r="S962" s="40"/>
      <c r="T962" s="41"/>
      <c r="U962" s="41"/>
      <c r="V962" s="41"/>
      <c r="W962" s="36"/>
      <c r="X962" s="36"/>
      <c r="Y962" s="36"/>
      <c r="Z962" s="36"/>
      <c r="AA962" s="36"/>
    </row>
    <row r="963" spans="16:27" x14ac:dyDescent="0.2">
      <c r="P963" s="36"/>
      <c r="Q963" s="40"/>
      <c r="R963" s="40"/>
      <c r="S963" s="40"/>
      <c r="T963" s="41"/>
      <c r="U963" s="41"/>
      <c r="V963" s="41"/>
      <c r="W963" s="36"/>
      <c r="X963" s="36"/>
      <c r="Y963" s="36"/>
      <c r="Z963" s="36"/>
      <c r="AA963" s="36"/>
    </row>
    <row r="964" spans="16:27" x14ac:dyDescent="0.2">
      <c r="P964" s="36"/>
      <c r="Q964" s="40"/>
      <c r="R964" s="40"/>
      <c r="S964" s="40"/>
      <c r="T964" s="41"/>
      <c r="U964" s="41"/>
      <c r="V964" s="41"/>
      <c r="W964" s="36"/>
      <c r="X964" s="36"/>
      <c r="Y964" s="36"/>
      <c r="Z964" s="36"/>
      <c r="AA964" s="36"/>
    </row>
    <row r="965" spans="16:27" x14ac:dyDescent="0.2">
      <c r="P965" s="36"/>
      <c r="Q965" s="40"/>
      <c r="R965" s="40"/>
      <c r="S965" s="40"/>
      <c r="T965" s="41"/>
      <c r="U965" s="41"/>
      <c r="V965" s="41"/>
      <c r="W965" s="36"/>
      <c r="X965" s="36"/>
      <c r="Y965" s="36"/>
      <c r="Z965" s="36"/>
      <c r="AA965" s="36"/>
    </row>
    <row r="966" spans="16:27" x14ac:dyDescent="0.2">
      <c r="P966" s="36"/>
      <c r="Q966" s="40"/>
      <c r="R966" s="40"/>
      <c r="S966" s="40"/>
      <c r="T966" s="41"/>
      <c r="U966" s="41"/>
      <c r="V966" s="41"/>
      <c r="W966" s="36"/>
      <c r="X966" s="36"/>
      <c r="Y966" s="36"/>
      <c r="Z966" s="36"/>
      <c r="AA966" s="36"/>
    </row>
    <row r="967" spans="16:27" x14ac:dyDescent="0.2">
      <c r="P967" s="36"/>
      <c r="Q967" s="40"/>
      <c r="R967" s="40"/>
      <c r="S967" s="40"/>
      <c r="T967" s="41"/>
      <c r="U967" s="41"/>
      <c r="V967" s="41"/>
      <c r="W967" s="36"/>
      <c r="X967" s="36"/>
      <c r="Y967" s="36"/>
      <c r="Z967" s="36"/>
      <c r="AA967" s="36"/>
    </row>
    <row r="968" spans="16:27" x14ac:dyDescent="0.2">
      <c r="P968" s="36"/>
      <c r="Q968" s="40"/>
      <c r="R968" s="40"/>
      <c r="S968" s="40"/>
      <c r="T968" s="41"/>
      <c r="U968" s="41"/>
      <c r="V968" s="41"/>
      <c r="W968" s="36"/>
      <c r="X968" s="36"/>
      <c r="Y968" s="36"/>
      <c r="Z968" s="36"/>
      <c r="AA968" s="36"/>
    </row>
    <row r="969" spans="16:27" x14ac:dyDescent="0.2">
      <c r="P969" s="36"/>
      <c r="Q969" s="40"/>
      <c r="R969" s="40"/>
      <c r="S969" s="40"/>
      <c r="T969" s="41"/>
      <c r="U969" s="41"/>
      <c r="V969" s="41"/>
      <c r="W969" s="36"/>
      <c r="X969" s="36"/>
      <c r="Y969" s="36"/>
      <c r="Z969" s="36"/>
      <c r="AA969" s="36"/>
    </row>
    <row r="970" spans="16:27" x14ac:dyDescent="0.2">
      <c r="P970" s="36"/>
      <c r="Q970" s="40"/>
      <c r="R970" s="40"/>
      <c r="S970" s="40"/>
      <c r="T970" s="41"/>
      <c r="U970" s="41"/>
      <c r="V970" s="41"/>
      <c r="W970" s="36"/>
      <c r="X970" s="36"/>
      <c r="Y970" s="36"/>
      <c r="Z970" s="36"/>
      <c r="AA970" s="36"/>
    </row>
    <row r="971" spans="16:27" x14ac:dyDescent="0.2">
      <c r="P971" s="36"/>
      <c r="Q971" s="40"/>
      <c r="R971" s="40"/>
      <c r="S971" s="40"/>
      <c r="T971" s="41"/>
      <c r="U971" s="41"/>
      <c r="V971" s="41"/>
      <c r="W971" s="36"/>
      <c r="X971" s="36"/>
      <c r="Y971" s="36"/>
      <c r="Z971" s="36"/>
      <c r="AA971" s="36"/>
    </row>
    <row r="972" spans="16:27" x14ac:dyDescent="0.2">
      <c r="P972" s="36"/>
      <c r="Q972" s="40"/>
      <c r="R972" s="40"/>
      <c r="S972" s="40"/>
      <c r="T972" s="41"/>
      <c r="U972" s="41"/>
      <c r="V972" s="41"/>
      <c r="W972" s="36"/>
      <c r="X972" s="36"/>
      <c r="Y972" s="36"/>
      <c r="Z972" s="36"/>
      <c r="AA972" s="36"/>
    </row>
    <row r="973" spans="16:27" x14ac:dyDescent="0.2">
      <c r="P973" s="36"/>
      <c r="Q973" s="40"/>
      <c r="R973" s="40"/>
      <c r="S973" s="40"/>
      <c r="T973" s="41"/>
      <c r="U973" s="41"/>
      <c r="V973" s="41"/>
      <c r="W973" s="36"/>
      <c r="X973" s="36"/>
      <c r="Y973" s="36"/>
      <c r="Z973" s="36"/>
      <c r="AA973" s="36"/>
    </row>
    <row r="974" spans="16:27" x14ac:dyDescent="0.2">
      <c r="P974" s="36"/>
      <c r="Q974" s="40"/>
      <c r="R974" s="40"/>
      <c r="S974" s="40"/>
      <c r="T974" s="41"/>
      <c r="U974" s="41"/>
      <c r="V974" s="41"/>
      <c r="W974" s="36"/>
      <c r="X974" s="36"/>
      <c r="Y974" s="36"/>
      <c r="Z974" s="36"/>
      <c r="AA974" s="36"/>
    </row>
    <row r="975" spans="16:27" x14ac:dyDescent="0.2">
      <c r="P975" s="36"/>
      <c r="Q975" s="40"/>
      <c r="R975" s="40"/>
      <c r="S975" s="40"/>
      <c r="T975" s="41"/>
      <c r="U975" s="41"/>
      <c r="V975" s="41"/>
      <c r="W975" s="36"/>
      <c r="X975" s="36"/>
      <c r="Y975" s="36"/>
      <c r="Z975" s="36"/>
      <c r="AA975" s="36"/>
    </row>
    <row r="976" spans="16:27" x14ac:dyDescent="0.2">
      <c r="P976" s="36"/>
      <c r="Q976" s="40"/>
      <c r="R976" s="40"/>
      <c r="S976" s="40"/>
      <c r="T976" s="41"/>
      <c r="U976" s="41"/>
      <c r="V976" s="41"/>
      <c r="W976" s="36"/>
      <c r="X976" s="36"/>
      <c r="Y976" s="36"/>
      <c r="Z976" s="36"/>
      <c r="AA976" s="36"/>
    </row>
    <row r="977" spans="16:27" x14ac:dyDescent="0.2">
      <c r="P977" s="36"/>
      <c r="Q977" s="40"/>
      <c r="R977" s="40"/>
      <c r="S977" s="40"/>
      <c r="T977" s="41"/>
      <c r="U977" s="41"/>
      <c r="V977" s="41"/>
      <c r="W977" s="36"/>
      <c r="X977" s="36"/>
      <c r="Y977" s="36"/>
      <c r="Z977" s="36"/>
      <c r="AA977" s="36"/>
    </row>
    <row r="978" spans="16:27" x14ac:dyDescent="0.2">
      <c r="P978" s="36"/>
      <c r="Q978" s="40"/>
      <c r="R978" s="40"/>
      <c r="S978" s="40"/>
      <c r="T978" s="41"/>
      <c r="U978" s="41"/>
      <c r="V978" s="41"/>
      <c r="W978" s="36"/>
      <c r="X978" s="36"/>
      <c r="Y978" s="36"/>
      <c r="Z978" s="36"/>
      <c r="AA978" s="36"/>
    </row>
    <row r="979" spans="16:27" x14ac:dyDescent="0.2">
      <c r="P979" s="36"/>
      <c r="Q979" s="40"/>
      <c r="R979" s="40"/>
      <c r="S979" s="40"/>
      <c r="T979" s="41"/>
      <c r="U979" s="41"/>
      <c r="V979" s="41"/>
      <c r="W979" s="36"/>
      <c r="X979" s="36"/>
      <c r="Y979" s="36"/>
      <c r="Z979" s="36"/>
      <c r="AA979" s="36"/>
    </row>
    <row r="980" spans="16:27" x14ac:dyDescent="0.2">
      <c r="P980" s="36"/>
      <c r="Q980" s="40"/>
      <c r="R980" s="40"/>
      <c r="S980" s="40"/>
      <c r="T980" s="41"/>
      <c r="U980" s="41"/>
      <c r="V980" s="41"/>
      <c r="W980" s="36"/>
      <c r="X980" s="36"/>
      <c r="Y980" s="36"/>
      <c r="Z980" s="36"/>
      <c r="AA980" s="36"/>
    </row>
    <row r="981" spans="16:27" x14ac:dyDescent="0.2">
      <c r="P981" s="36"/>
      <c r="Q981" s="40"/>
      <c r="R981" s="40"/>
      <c r="S981" s="40"/>
      <c r="T981" s="41"/>
      <c r="U981" s="41"/>
      <c r="V981" s="41"/>
      <c r="W981" s="36"/>
      <c r="X981" s="36"/>
      <c r="Y981" s="36"/>
      <c r="Z981" s="36"/>
      <c r="AA981" s="36"/>
    </row>
    <row r="982" spans="16:27" x14ac:dyDescent="0.2">
      <c r="P982" s="36"/>
      <c r="Q982" s="40"/>
      <c r="R982" s="40"/>
      <c r="S982" s="40"/>
      <c r="T982" s="41"/>
      <c r="U982" s="41"/>
      <c r="V982" s="41"/>
      <c r="W982" s="36"/>
      <c r="X982" s="36"/>
      <c r="Y982" s="36"/>
      <c r="Z982" s="36"/>
      <c r="AA982" s="36"/>
    </row>
    <row r="983" spans="16:27" x14ac:dyDescent="0.2">
      <c r="P983" s="36"/>
      <c r="Q983" s="40"/>
      <c r="R983" s="40"/>
      <c r="S983" s="40"/>
      <c r="T983" s="41"/>
      <c r="U983" s="41"/>
      <c r="V983" s="41"/>
      <c r="W983" s="36"/>
      <c r="X983" s="36"/>
      <c r="Y983" s="36"/>
      <c r="Z983" s="36"/>
      <c r="AA983" s="36"/>
    </row>
    <row r="984" spans="16:27" x14ac:dyDescent="0.2">
      <c r="P984" s="36"/>
      <c r="Q984" s="40"/>
      <c r="R984" s="40"/>
      <c r="S984" s="40"/>
      <c r="T984" s="41"/>
      <c r="U984" s="41"/>
      <c r="V984" s="41"/>
      <c r="W984" s="36"/>
      <c r="X984" s="36"/>
      <c r="Y984" s="36"/>
      <c r="Z984" s="36"/>
      <c r="AA984" s="36"/>
    </row>
    <row r="985" spans="16:27" x14ac:dyDescent="0.2">
      <c r="P985" s="36"/>
      <c r="Q985" s="40"/>
      <c r="R985" s="40"/>
      <c r="S985" s="40"/>
      <c r="T985" s="41"/>
      <c r="U985" s="41"/>
      <c r="V985" s="41"/>
      <c r="W985" s="36"/>
      <c r="X985" s="36"/>
      <c r="Y985" s="36"/>
      <c r="Z985" s="36"/>
      <c r="AA985" s="36"/>
    </row>
    <row r="986" spans="16:27" x14ac:dyDescent="0.2">
      <c r="P986" s="36"/>
      <c r="Q986" s="40"/>
      <c r="R986" s="40"/>
      <c r="S986" s="40"/>
      <c r="T986" s="41"/>
      <c r="U986" s="41"/>
      <c r="V986" s="41"/>
      <c r="W986" s="36"/>
      <c r="X986" s="36"/>
      <c r="Y986" s="36"/>
      <c r="Z986" s="36"/>
      <c r="AA986" s="36"/>
    </row>
    <row r="987" spans="16:27" x14ac:dyDescent="0.2">
      <c r="P987" s="36"/>
      <c r="Q987" s="40"/>
      <c r="R987" s="40"/>
      <c r="S987" s="40"/>
      <c r="T987" s="41"/>
      <c r="U987" s="41"/>
      <c r="V987" s="41"/>
      <c r="W987" s="36"/>
      <c r="X987" s="36"/>
      <c r="Y987" s="36"/>
      <c r="Z987" s="36"/>
      <c r="AA987" s="36"/>
    </row>
    <row r="988" spans="16:27" x14ac:dyDescent="0.2">
      <c r="P988" s="36"/>
      <c r="Q988" s="40"/>
      <c r="R988" s="40"/>
      <c r="S988" s="40"/>
      <c r="T988" s="41"/>
      <c r="U988" s="41"/>
      <c r="V988" s="41"/>
      <c r="W988" s="36"/>
      <c r="X988" s="36"/>
      <c r="Y988" s="36"/>
      <c r="Z988" s="36"/>
      <c r="AA988" s="36"/>
    </row>
    <row r="989" spans="16:27" x14ac:dyDescent="0.2">
      <c r="P989" s="36"/>
      <c r="Q989" s="40"/>
      <c r="R989" s="40"/>
      <c r="S989" s="40"/>
      <c r="T989" s="41"/>
      <c r="U989" s="41"/>
      <c r="V989" s="41"/>
      <c r="W989" s="36"/>
      <c r="X989" s="36"/>
      <c r="Y989" s="36"/>
      <c r="Z989" s="36"/>
      <c r="AA989" s="36"/>
    </row>
    <row r="990" spans="16:27" x14ac:dyDescent="0.2">
      <c r="P990" s="36"/>
      <c r="Q990" s="40"/>
      <c r="R990" s="40"/>
      <c r="S990" s="40"/>
      <c r="T990" s="41"/>
      <c r="U990" s="41"/>
      <c r="V990" s="41"/>
      <c r="W990" s="36"/>
      <c r="X990" s="36"/>
      <c r="Y990" s="36"/>
      <c r="Z990" s="36"/>
      <c r="AA990" s="36"/>
    </row>
    <row r="991" spans="16:27" x14ac:dyDescent="0.2">
      <c r="P991" s="36"/>
      <c r="Q991" s="40"/>
      <c r="R991" s="40"/>
      <c r="S991" s="40"/>
      <c r="T991" s="41"/>
      <c r="U991" s="41"/>
      <c r="V991" s="41"/>
      <c r="W991" s="36"/>
      <c r="X991" s="36"/>
      <c r="Y991" s="36"/>
      <c r="Z991" s="36"/>
      <c r="AA991" s="36"/>
    </row>
    <row r="992" spans="16:27" x14ac:dyDescent="0.2">
      <c r="P992" s="36"/>
      <c r="Q992" s="40"/>
      <c r="R992" s="40"/>
      <c r="S992" s="40"/>
      <c r="T992" s="41"/>
      <c r="U992" s="41"/>
      <c r="V992" s="41"/>
      <c r="W992" s="36"/>
      <c r="X992" s="36"/>
      <c r="Y992" s="36"/>
      <c r="Z992" s="36"/>
      <c r="AA992" s="36"/>
    </row>
    <row r="993" spans="16:27" x14ac:dyDescent="0.2">
      <c r="P993" s="36"/>
      <c r="Q993" s="40"/>
      <c r="R993" s="40"/>
      <c r="S993" s="40"/>
      <c r="T993" s="41"/>
      <c r="U993" s="41"/>
      <c r="V993" s="41"/>
      <c r="W993" s="36"/>
      <c r="X993" s="36"/>
      <c r="Y993" s="36"/>
      <c r="Z993" s="36"/>
      <c r="AA993" s="36"/>
    </row>
    <row r="994" spans="16:27" x14ac:dyDescent="0.2">
      <c r="P994" s="36"/>
      <c r="Q994" s="40"/>
      <c r="R994" s="40"/>
      <c r="S994" s="40"/>
      <c r="T994" s="41"/>
      <c r="U994" s="41"/>
      <c r="V994" s="41"/>
      <c r="W994" s="36"/>
      <c r="X994" s="36"/>
      <c r="Y994" s="36"/>
      <c r="Z994" s="36"/>
      <c r="AA994" s="36"/>
    </row>
    <row r="995" spans="16:27" x14ac:dyDescent="0.2">
      <c r="P995" s="36"/>
      <c r="Q995" s="40"/>
      <c r="R995" s="40"/>
      <c r="S995" s="40"/>
      <c r="T995" s="41"/>
      <c r="U995" s="41"/>
      <c r="V995" s="41"/>
      <c r="W995" s="36"/>
      <c r="X995" s="36"/>
      <c r="Y995" s="36"/>
      <c r="Z995" s="36"/>
      <c r="AA995" s="36"/>
    </row>
    <row r="996" spans="16:27" x14ac:dyDescent="0.2">
      <c r="P996" s="36"/>
      <c r="Q996" s="40"/>
      <c r="R996" s="40"/>
      <c r="S996" s="40"/>
      <c r="T996" s="41"/>
      <c r="U996" s="41"/>
      <c r="V996" s="41"/>
      <c r="W996" s="36"/>
      <c r="X996" s="36"/>
      <c r="Y996" s="36"/>
      <c r="Z996" s="36"/>
      <c r="AA996" s="36"/>
    </row>
    <row r="997" spans="16:27" x14ac:dyDescent="0.2">
      <c r="P997" s="36"/>
      <c r="Q997" s="40"/>
      <c r="R997" s="40"/>
      <c r="S997" s="40"/>
      <c r="T997" s="41"/>
      <c r="U997" s="41"/>
      <c r="V997" s="41"/>
      <c r="W997" s="36"/>
      <c r="X997" s="36"/>
      <c r="Y997" s="36"/>
      <c r="Z997" s="36"/>
      <c r="AA997" s="36"/>
    </row>
    <row r="998" spans="16:27" x14ac:dyDescent="0.2">
      <c r="P998" s="36"/>
      <c r="Q998" s="40"/>
      <c r="R998" s="40"/>
      <c r="S998" s="40"/>
      <c r="T998" s="41"/>
      <c r="U998" s="41"/>
      <c r="V998" s="41"/>
      <c r="W998" s="36"/>
      <c r="X998" s="36"/>
      <c r="Y998" s="36"/>
      <c r="Z998" s="36"/>
      <c r="AA998" s="36"/>
    </row>
    <row r="999" spans="16:27" x14ac:dyDescent="0.2">
      <c r="P999" s="36"/>
      <c r="Q999" s="40"/>
      <c r="R999" s="40"/>
      <c r="S999" s="40"/>
      <c r="T999" s="41"/>
      <c r="U999" s="41"/>
      <c r="V999" s="41"/>
      <c r="W999" s="36"/>
      <c r="X999" s="36"/>
      <c r="Y999" s="36"/>
      <c r="Z999" s="36"/>
      <c r="AA999" s="36"/>
    </row>
    <row r="1000" spans="16:27" x14ac:dyDescent="0.2">
      <c r="P1000" s="36"/>
      <c r="Q1000" s="40"/>
      <c r="R1000" s="40"/>
      <c r="S1000" s="40"/>
      <c r="T1000" s="41"/>
      <c r="U1000" s="41"/>
      <c r="V1000" s="41"/>
      <c r="W1000" s="36"/>
      <c r="X1000" s="36"/>
      <c r="Y1000" s="36"/>
      <c r="Z1000" s="36"/>
      <c r="AA1000" s="36"/>
    </row>
    <row r="1001" spans="16:27" x14ac:dyDescent="0.2">
      <c r="P1001" s="36"/>
      <c r="Q1001" s="40"/>
      <c r="R1001" s="40"/>
      <c r="S1001" s="40"/>
      <c r="T1001" s="41"/>
      <c r="U1001" s="41"/>
      <c r="V1001" s="41"/>
      <c r="W1001" s="36"/>
      <c r="X1001" s="36"/>
      <c r="Y1001" s="36"/>
      <c r="Z1001" s="36"/>
      <c r="AA1001" s="36"/>
    </row>
    <row r="1002" spans="16:27" x14ac:dyDescent="0.2">
      <c r="P1002" s="36"/>
      <c r="Q1002" s="40"/>
      <c r="R1002" s="40"/>
      <c r="S1002" s="40"/>
      <c r="T1002" s="41"/>
      <c r="U1002" s="41"/>
      <c r="V1002" s="41"/>
      <c r="W1002" s="36"/>
      <c r="X1002" s="36"/>
      <c r="Y1002" s="36"/>
      <c r="Z1002" s="36"/>
      <c r="AA1002" s="36"/>
    </row>
    <row r="1003" spans="16:27" x14ac:dyDescent="0.2">
      <c r="P1003" s="36"/>
      <c r="Q1003" s="40"/>
      <c r="R1003" s="40"/>
      <c r="S1003" s="40"/>
      <c r="T1003" s="41"/>
      <c r="U1003" s="41"/>
      <c r="V1003" s="41"/>
      <c r="W1003" s="36"/>
      <c r="X1003" s="36"/>
      <c r="Y1003" s="36"/>
      <c r="Z1003" s="36"/>
      <c r="AA1003" s="36"/>
    </row>
    <row r="1004" spans="16:27" x14ac:dyDescent="0.2">
      <c r="P1004" s="36"/>
      <c r="Q1004" s="40"/>
      <c r="R1004" s="40"/>
      <c r="S1004" s="40"/>
      <c r="T1004" s="41"/>
      <c r="U1004" s="41"/>
      <c r="V1004" s="41"/>
      <c r="W1004" s="36"/>
      <c r="X1004" s="36"/>
      <c r="Y1004" s="36"/>
      <c r="Z1004" s="36"/>
      <c r="AA1004" s="36"/>
    </row>
    <row r="1005" spans="16:27" x14ac:dyDescent="0.2">
      <c r="P1005" s="36"/>
      <c r="Q1005" s="40"/>
      <c r="R1005" s="40"/>
      <c r="S1005" s="40"/>
      <c r="T1005" s="41"/>
      <c r="U1005" s="41"/>
      <c r="V1005" s="41"/>
      <c r="W1005" s="36"/>
      <c r="X1005" s="36"/>
      <c r="Y1005" s="36"/>
      <c r="Z1005" s="36"/>
      <c r="AA1005" s="36"/>
    </row>
    <row r="1006" spans="16:27" x14ac:dyDescent="0.2">
      <c r="P1006" s="36"/>
      <c r="Q1006" s="40"/>
      <c r="R1006" s="40"/>
      <c r="S1006" s="40"/>
      <c r="T1006" s="41"/>
      <c r="U1006" s="41"/>
      <c r="V1006" s="41"/>
      <c r="W1006" s="36"/>
      <c r="X1006" s="36"/>
      <c r="Y1006" s="36"/>
      <c r="Z1006" s="36"/>
      <c r="AA1006" s="36"/>
    </row>
    <row r="1007" spans="16:27" x14ac:dyDescent="0.2">
      <c r="P1007" s="36"/>
      <c r="Q1007" s="40"/>
      <c r="R1007" s="40"/>
      <c r="S1007" s="40"/>
      <c r="T1007" s="41"/>
      <c r="U1007" s="41"/>
      <c r="V1007" s="41"/>
      <c r="W1007" s="36"/>
      <c r="X1007" s="36"/>
      <c r="Y1007" s="36"/>
      <c r="Z1007" s="36"/>
      <c r="AA1007" s="36"/>
    </row>
    <row r="1008" spans="16:27" x14ac:dyDescent="0.2">
      <c r="P1008" s="36"/>
      <c r="Q1008" s="40"/>
      <c r="R1008" s="40"/>
      <c r="S1008" s="40"/>
      <c r="T1008" s="41"/>
      <c r="U1008" s="41"/>
      <c r="V1008" s="41"/>
      <c r="W1008" s="36"/>
      <c r="X1008" s="36"/>
      <c r="Y1008" s="36"/>
      <c r="Z1008" s="36"/>
      <c r="AA1008" s="36"/>
    </row>
    <row r="1009" spans="16:27" x14ac:dyDescent="0.2">
      <c r="P1009" s="36"/>
      <c r="Q1009" s="40"/>
      <c r="R1009" s="40"/>
      <c r="S1009" s="40"/>
      <c r="T1009" s="41"/>
      <c r="U1009" s="41"/>
      <c r="V1009" s="41"/>
      <c r="W1009" s="36"/>
      <c r="X1009" s="36"/>
      <c r="Y1009" s="36"/>
      <c r="Z1009" s="36"/>
      <c r="AA1009" s="36"/>
    </row>
    <row r="1010" spans="16:27" x14ac:dyDescent="0.2">
      <c r="P1010" s="36"/>
      <c r="Q1010" s="40"/>
      <c r="R1010" s="40"/>
      <c r="S1010" s="40"/>
      <c r="T1010" s="41"/>
      <c r="U1010" s="41"/>
      <c r="V1010" s="41"/>
      <c r="W1010" s="36"/>
      <c r="X1010" s="36"/>
      <c r="Y1010" s="36"/>
      <c r="Z1010" s="36"/>
      <c r="AA1010" s="36"/>
    </row>
    <row r="1011" spans="16:27" x14ac:dyDescent="0.2">
      <c r="P1011" s="36"/>
      <c r="Q1011" s="40"/>
      <c r="R1011" s="40"/>
      <c r="S1011" s="40"/>
      <c r="T1011" s="41"/>
      <c r="U1011" s="41"/>
      <c r="V1011" s="41"/>
      <c r="W1011" s="36"/>
      <c r="X1011" s="36"/>
      <c r="Y1011" s="36"/>
      <c r="Z1011" s="36"/>
      <c r="AA1011" s="36"/>
    </row>
    <row r="1012" spans="16:27" x14ac:dyDescent="0.2">
      <c r="P1012" s="36"/>
      <c r="Q1012" s="40"/>
      <c r="R1012" s="40"/>
      <c r="S1012" s="40"/>
      <c r="T1012" s="41"/>
      <c r="U1012" s="41"/>
      <c r="V1012" s="41"/>
      <c r="W1012" s="36"/>
      <c r="X1012" s="36"/>
      <c r="Y1012" s="36"/>
      <c r="Z1012" s="36"/>
      <c r="AA1012" s="36"/>
    </row>
    <row r="1013" spans="16:27" x14ac:dyDescent="0.2">
      <c r="P1013" s="36"/>
      <c r="Q1013" s="40"/>
      <c r="R1013" s="40"/>
      <c r="S1013" s="40"/>
      <c r="T1013" s="41"/>
      <c r="U1013" s="41"/>
      <c r="V1013" s="41"/>
      <c r="W1013" s="36"/>
      <c r="X1013" s="36"/>
      <c r="Y1013" s="36"/>
      <c r="Z1013" s="36"/>
      <c r="AA1013" s="36"/>
    </row>
    <row r="1014" spans="16:27" x14ac:dyDescent="0.2">
      <c r="P1014" s="36"/>
      <c r="Q1014" s="40"/>
      <c r="R1014" s="40"/>
      <c r="S1014" s="40"/>
      <c r="T1014" s="41"/>
      <c r="U1014" s="41"/>
      <c r="V1014" s="41"/>
      <c r="W1014" s="36"/>
      <c r="X1014" s="36"/>
      <c r="Y1014" s="36"/>
      <c r="Z1014" s="36"/>
      <c r="AA1014" s="36"/>
    </row>
    <row r="1015" spans="16:27" x14ac:dyDescent="0.2">
      <c r="P1015" s="36"/>
      <c r="Q1015" s="40"/>
      <c r="R1015" s="40"/>
      <c r="S1015" s="40"/>
      <c r="T1015" s="41"/>
      <c r="U1015" s="41"/>
      <c r="V1015" s="41"/>
      <c r="W1015" s="36"/>
      <c r="X1015" s="36"/>
      <c r="Y1015" s="36"/>
      <c r="Z1015" s="36"/>
      <c r="AA1015" s="36"/>
    </row>
    <row r="1016" spans="16:27" x14ac:dyDescent="0.2">
      <c r="P1016" s="36"/>
      <c r="Q1016" s="40"/>
      <c r="R1016" s="40"/>
      <c r="S1016" s="40"/>
      <c r="T1016" s="41"/>
      <c r="U1016" s="41"/>
      <c r="V1016" s="41"/>
      <c r="W1016" s="36"/>
      <c r="X1016" s="36"/>
      <c r="Y1016" s="36"/>
      <c r="Z1016" s="36"/>
      <c r="AA1016" s="36"/>
    </row>
    <row r="1017" spans="16:27" x14ac:dyDescent="0.2">
      <c r="P1017" s="36"/>
      <c r="Q1017" s="40"/>
      <c r="R1017" s="40"/>
      <c r="S1017" s="40"/>
      <c r="T1017" s="41"/>
      <c r="U1017" s="41"/>
      <c r="V1017" s="41"/>
      <c r="W1017" s="36"/>
      <c r="X1017" s="36"/>
      <c r="Y1017" s="36"/>
      <c r="Z1017" s="36"/>
      <c r="AA1017" s="36"/>
    </row>
    <row r="1018" spans="16:27" x14ac:dyDescent="0.2">
      <c r="P1018" s="36"/>
      <c r="Q1018" s="40"/>
      <c r="R1018" s="40"/>
      <c r="S1018" s="40"/>
      <c r="T1018" s="41"/>
      <c r="U1018" s="41"/>
      <c r="V1018" s="41"/>
      <c r="W1018" s="36"/>
      <c r="X1018" s="36"/>
      <c r="Y1018" s="36"/>
      <c r="Z1018" s="36"/>
      <c r="AA1018" s="36"/>
    </row>
    <row r="1019" spans="16:27" x14ac:dyDescent="0.2">
      <c r="P1019" s="36"/>
      <c r="Q1019" s="40"/>
      <c r="R1019" s="40"/>
      <c r="S1019" s="40"/>
      <c r="T1019" s="41"/>
      <c r="U1019" s="41"/>
      <c r="V1019" s="41"/>
      <c r="W1019" s="36"/>
      <c r="X1019" s="36"/>
      <c r="Y1019" s="36"/>
      <c r="Z1019" s="36"/>
      <c r="AA1019" s="36"/>
    </row>
    <row r="1020" spans="16:27" x14ac:dyDescent="0.2">
      <c r="P1020" s="36"/>
      <c r="Q1020" s="40"/>
      <c r="R1020" s="40"/>
      <c r="S1020" s="40"/>
      <c r="T1020" s="41"/>
      <c r="U1020" s="41"/>
      <c r="V1020" s="41"/>
      <c r="W1020" s="36"/>
      <c r="X1020" s="36"/>
      <c r="Y1020" s="36"/>
      <c r="Z1020" s="36"/>
      <c r="AA1020" s="36"/>
    </row>
    <row r="1021" spans="16:27" x14ac:dyDescent="0.2">
      <c r="P1021" s="36"/>
      <c r="Q1021" s="40"/>
      <c r="R1021" s="40"/>
      <c r="S1021" s="40"/>
      <c r="T1021" s="41"/>
      <c r="U1021" s="41"/>
      <c r="V1021" s="41"/>
      <c r="W1021" s="36"/>
      <c r="X1021" s="36"/>
      <c r="Y1021" s="36"/>
      <c r="Z1021" s="36"/>
      <c r="AA1021" s="36"/>
    </row>
    <row r="1022" spans="16:27" x14ac:dyDescent="0.2">
      <c r="P1022" s="36"/>
      <c r="Q1022" s="40"/>
      <c r="R1022" s="40"/>
      <c r="S1022" s="40"/>
      <c r="T1022" s="41"/>
      <c r="U1022" s="41"/>
      <c r="V1022" s="41"/>
      <c r="W1022" s="36"/>
      <c r="X1022" s="36"/>
      <c r="Y1022" s="36"/>
      <c r="Z1022" s="36"/>
      <c r="AA1022" s="36"/>
    </row>
    <row r="1023" spans="16:27" x14ac:dyDescent="0.2">
      <c r="P1023" s="36"/>
      <c r="Q1023" s="40"/>
      <c r="R1023" s="40"/>
      <c r="S1023" s="40"/>
      <c r="T1023" s="41"/>
      <c r="U1023" s="41"/>
      <c r="V1023" s="41"/>
      <c r="W1023" s="36"/>
      <c r="X1023" s="36"/>
      <c r="Y1023" s="36"/>
      <c r="Z1023" s="36"/>
      <c r="AA1023" s="36"/>
    </row>
    <row r="1024" spans="16:27" x14ac:dyDescent="0.2">
      <c r="P1024" s="36"/>
      <c r="Q1024" s="40"/>
      <c r="R1024" s="40"/>
      <c r="S1024" s="40"/>
      <c r="T1024" s="41"/>
      <c r="U1024" s="41"/>
      <c r="V1024" s="41"/>
      <c r="W1024" s="36"/>
      <c r="X1024" s="36"/>
      <c r="Y1024" s="36"/>
      <c r="Z1024" s="36"/>
      <c r="AA1024" s="36"/>
    </row>
    <row r="1025" spans="16:27" x14ac:dyDescent="0.2">
      <c r="P1025" s="36"/>
      <c r="Q1025" s="40"/>
      <c r="R1025" s="40"/>
      <c r="S1025" s="40"/>
      <c r="T1025" s="41"/>
      <c r="U1025" s="41"/>
      <c r="V1025" s="41"/>
      <c r="W1025" s="36"/>
      <c r="X1025" s="36"/>
      <c r="Y1025" s="36"/>
      <c r="Z1025" s="36"/>
      <c r="AA1025" s="36"/>
    </row>
    <row r="1026" spans="16:27" x14ac:dyDescent="0.2">
      <c r="P1026" s="36"/>
      <c r="Q1026" s="40"/>
      <c r="R1026" s="40"/>
      <c r="S1026" s="40"/>
      <c r="T1026" s="41"/>
      <c r="U1026" s="41"/>
      <c r="V1026" s="41"/>
      <c r="W1026" s="36"/>
      <c r="X1026" s="36"/>
      <c r="Y1026" s="36"/>
      <c r="Z1026" s="36"/>
      <c r="AA1026" s="36"/>
    </row>
    <row r="1027" spans="16:27" x14ac:dyDescent="0.2">
      <c r="P1027" s="36"/>
      <c r="Q1027" s="40"/>
      <c r="R1027" s="40"/>
      <c r="S1027" s="40"/>
      <c r="T1027" s="41"/>
      <c r="U1027" s="41"/>
      <c r="V1027" s="41"/>
      <c r="W1027" s="36"/>
      <c r="X1027" s="36"/>
      <c r="Y1027" s="36"/>
      <c r="Z1027" s="36"/>
      <c r="AA1027" s="36"/>
    </row>
    <row r="1028" spans="16:27" x14ac:dyDescent="0.2">
      <c r="P1028" s="36"/>
      <c r="Q1028" s="40"/>
      <c r="R1028" s="40"/>
      <c r="S1028" s="40"/>
      <c r="T1028" s="41"/>
      <c r="U1028" s="41"/>
      <c r="V1028" s="41"/>
      <c r="W1028" s="36"/>
      <c r="X1028" s="36"/>
      <c r="Y1028" s="36"/>
      <c r="Z1028" s="36"/>
      <c r="AA1028" s="36"/>
    </row>
    <row r="1029" spans="16:27" x14ac:dyDescent="0.2">
      <c r="P1029" s="36"/>
      <c r="Q1029" s="40"/>
      <c r="R1029" s="40"/>
      <c r="S1029" s="40"/>
      <c r="T1029" s="41"/>
      <c r="U1029" s="41"/>
      <c r="V1029" s="41"/>
      <c r="W1029" s="36"/>
      <c r="X1029" s="36"/>
      <c r="Y1029" s="36"/>
      <c r="Z1029" s="36"/>
      <c r="AA1029" s="36"/>
    </row>
    <row r="1030" spans="16:27" x14ac:dyDescent="0.2">
      <c r="P1030" s="36"/>
      <c r="Q1030" s="40"/>
      <c r="R1030" s="40"/>
      <c r="S1030" s="40"/>
      <c r="T1030" s="41"/>
      <c r="U1030" s="41"/>
      <c r="V1030" s="41"/>
      <c r="W1030" s="36"/>
      <c r="X1030" s="36"/>
      <c r="Y1030" s="36"/>
      <c r="Z1030" s="36"/>
      <c r="AA1030" s="36"/>
    </row>
    <row r="1031" spans="16:27" x14ac:dyDescent="0.2">
      <c r="P1031" s="36"/>
      <c r="Q1031" s="40"/>
      <c r="R1031" s="40"/>
      <c r="S1031" s="40"/>
      <c r="T1031" s="41"/>
      <c r="U1031" s="41"/>
      <c r="V1031" s="41"/>
      <c r="W1031" s="36"/>
      <c r="X1031" s="36"/>
      <c r="Y1031" s="36"/>
      <c r="Z1031" s="36"/>
      <c r="AA1031" s="36"/>
    </row>
    <row r="1032" spans="16:27" x14ac:dyDescent="0.2">
      <c r="P1032" s="36"/>
      <c r="Q1032" s="40"/>
      <c r="R1032" s="40"/>
      <c r="S1032" s="40"/>
      <c r="T1032" s="41"/>
      <c r="U1032" s="41"/>
      <c r="V1032" s="41"/>
      <c r="W1032" s="36"/>
      <c r="X1032" s="36"/>
      <c r="Y1032" s="36"/>
      <c r="Z1032" s="36"/>
      <c r="AA1032" s="36"/>
    </row>
    <row r="1033" spans="16:27" x14ac:dyDescent="0.2">
      <c r="P1033" s="36"/>
      <c r="Q1033" s="40"/>
      <c r="R1033" s="40"/>
      <c r="S1033" s="40"/>
      <c r="T1033" s="41"/>
      <c r="U1033" s="41"/>
      <c r="V1033" s="41"/>
      <c r="W1033" s="36"/>
      <c r="X1033" s="36"/>
      <c r="Y1033" s="36"/>
      <c r="Z1033" s="36"/>
      <c r="AA1033" s="36"/>
    </row>
    <row r="1034" spans="16:27" x14ac:dyDescent="0.2">
      <c r="P1034" s="36"/>
      <c r="Q1034" s="40"/>
      <c r="R1034" s="40"/>
      <c r="S1034" s="40"/>
      <c r="T1034" s="41"/>
      <c r="U1034" s="41"/>
      <c r="V1034" s="41"/>
      <c r="W1034" s="36"/>
      <c r="X1034" s="36"/>
      <c r="Y1034" s="36"/>
      <c r="Z1034" s="36"/>
      <c r="AA1034" s="36"/>
    </row>
    <row r="1035" spans="16:27" x14ac:dyDescent="0.2">
      <c r="P1035" s="36"/>
      <c r="Q1035" s="40"/>
      <c r="R1035" s="40"/>
      <c r="S1035" s="40"/>
      <c r="T1035" s="41"/>
      <c r="U1035" s="41"/>
      <c r="V1035" s="41"/>
      <c r="W1035" s="36"/>
      <c r="X1035" s="36"/>
      <c r="Y1035" s="36"/>
      <c r="Z1035" s="36"/>
      <c r="AA1035" s="36"/>
    </row>
    <row r="1036" spans="16:27" x14ac:dyDescent="0.2">
      <c r="P1036" s="36"/>
      <c r="Q1036" s="40"/>
      <c r="R1036" s="40"/>
      <c r="S1036" s="40"/>
      <c r="T1036" s="41"/>
      <c r="U1036" s="41"/>
      <c r="V1036" s="41"/>
      <c r="W1036" s="36"/>
      <c r="X1036" s="36"/>
      <c r="Y1036" s="36"/>
      <c r="Z1036" s="36"/>
      <c r="AA1036" s="36"/>
    </row>
    <row r="1037" spans="16:27" x14ac:dyDescent="0.2">
      <c r="P1037" s="36"/>
      <c r="Q1037" s="40"/>
      <c r="R1037" s="40"/>
      <c r="S1037" s="40"/>
      <c r="T1037" s="41"/>
      <c r="U1037" s="41"/>
      <c r="V1037" s="41"/>
      <c r="W1037" s="36"/>
      <c r="X1037" s="36"/>
      <c r="Y1037" s="36"/>
      <c r="Z1037" s="36"/>
      <c r="AA1037" s="36"/>
    </row>
    <row r="1038" spans="16:27" x14ac:dyDescent="0.2">
      <c r="P1038" s="36"/>
      <c r="Q1038" s="40"/>
      <c r="R1038" s="40"/>
      <c r="S1038" s="40"/>
      <c r="T1038" s="41"/>
      <c r="U1038" s="41"/>
      <c r="V1038" s="41"/>
      <c r="W1038" s="36"/>
      <c r="X1038" s="36"/>
      <c r="Y1038" s="36"/>
      <c r="Z1038" s="36"/>
      <c r="AA1038" s="36"/>
    </row>
    <row r="1039" spans="16:27" x14ac:dyDescent="0.2">
      <c r="P1039" s="36"/>
      <c r="Q1039" s="40"/>
      <c r="R1039" s="40"/>
      <c r="S1039" s="40"/>
      <c r="T1039" s="41"/>
      <c r="U1039" s="41"/>
      <c r="V1039" s="41"/>
      <c r="W1039" s="36"/>
      <c r="X1039" s="36"/>
      <c r="Y1039" s="36"/>
      <c r="Z1039" s="36"/>
      <c r="AA1039" s="36"/>
    </row>
    <row r="1040" spans="16:27" x14ac:dyDescent="0.2">
      <c r="P1040" s="36"/>
      <c r="Q1040" s="40"/>
      <c r="R1040" s="40"/>
      <c r="S1040" s="40"/>
      <c r="T1040" s="41"/>
      <c r="U1040" s="41"/>
      <c r="V1040" s="41"/>
      <c r="W1040" s="36"/>
      <c r="X1040" s="36"/>
      <c r="Y1040" s="36"/>
      <c r="Z1040" s="36"/>
      <c r="AA1040" s="36"/>
    </row>
    <row r="1041" spans="16:27" x14ac:dyDescent="0.2">
      <c r="P1041" s="36"/>
      <c r="Q1041" s="40"/>
      <c r="R1041" s="40"/>
      <c r="S1041" s="40"/>
      <c r="T1041" s="41"/>
      <c r="U1041" s="41"/>
      <c r="V1041" s="41"/>
      <c r="W1041" s="36"/>
      <c r="X1041" s="36"/>
      <c r="Y1041" s="36"/>
      <c r="Z1041" s="36"/>
      <c r="AA1041" s="36"/>
    </row>
    <row r="1042" spans="16:27" x14ac:dyDescent="0.2">
      <c r="P1042" s="36"/>
      <c r="Q1042" s="40"/>
      <c r="R1042" s="40"/>
      <c r="S1042" s="40"/>
      <c r="T1042" s="41"/>
      <c r="U1042" s="41"/>
      <c r="V1042" s="41"/>
      <c r="W1042" s="36"/>
      <c r="X1042" s="36"/>
      <c r="Y1042" s="36"/>
      <c r="Z1042" s="36"/>
      <c r="AA1042" s="36"/>
    </row>
    <row r="1043" spans="16:27" x14ac:dyDescent="0.2">
      <c r="P1043" s="36"/>
      <c r="Q1043" s="40"/>
      <c r="R1043" s="40"/>
      <c r="S1043" s="40"/>
      <c r="T1043" s="41"/>
      <c r="U1043" s="41"/>
      <c r="V1043" s="41"/>
      <c r="W1043" s="36"/>
      <c r="X1043" s="36"/>
      <c r="Y1043" s="36"/>
      <c r="Z1043" s="36"/>
      <c r="AA1043" s="36"/>
    </row>
    <row r="1044" spans="16:27" x14ac:dyDescent="0.2">
      <c r="P1044" s="36"/>
      <c r="Q1044" s="40"/>
      <c r="R1044" s="40"/>
      <c r="S1044" s="40"/>
      <c r="T1044" s="41"/>
      <c r="U1044" s="41"/>
      <c r="V1044" s="41"/>
      <c r="W1044" s="36"/>
      <c r="X1044" s="36"/>
      <c r="Y1044" s="36"/>
      <c r="Z1044" s="36"/>
      <c r="AA1044" s="36"/>
    </row>
    <row r="1045" spans="16:27" x14ac:dyDescent="0.2">
      <c r="P1045" s="36"/>
      <c r="Q1045" s="40"/>
      <c r="R1045" s="40"/>
      <c r="S1045" s="40"/>
      <c r="T1045" s="41"/>
      <c r="U1045" s="41"/>
      <c r="V1045" s="41"/>
      <c r="W1045" s="36"/>
      <c r="X1045" s="36"/>
      <c r="Y1045" s="36"/>
      <c r="Z1045" s="36"/>
      <c r="AA1045" s="36"/>
    </row>
    <row r="1046" spans="16:27" x14ac:dyDescent="0.2">
      <c r="P1046" s="36"/>
      <c r="Q1046" s="40"/>
      <c r="R1046" s="40"/>
      <c r="S1046" s="40"/>
      <c r="T1046" s="41"/>
      <c r="U1046" s="41"/>
      <c r="V1046" s="41"/>
      <c r="W1046" s="36"/>
      <c r="X1046" s="36"/>
      <c r="Y1046" s="36"/>
      <c r="Z1046" s="36"/>
      <c r="AA1046" s="36"/>
    </row>
    <row r="1047" spans="16:27" x14ac:dyDescent="0.2">
      <c r="P1047" s="36"/>
      <c r="Q1047" s="40"/>
      <c r="R1047" s="40"/>
      <c r="S1047" s="40"/>
      <c r="T1047" s="41"/>
      <c r="U1047" s="41"/>
      <c r="V1047" s="41"/>
      <c r="W1047" s="36"/>
      <c r="X1047" s="36"/>
      <c r="Y1047" s="36"/>
      <c r="Z1047" s="36"/>
      <c r="AA1047" s="36"/>
    </row>
    <row r="1048" spans="16:27" x14ac:dyDescent="0.2">
      <c r="P1048" s="36"/>
      <c r="Q1048" s="40"/>
      <c r="R1048" s="40"/>
      <c r="S1048" s="40"/>
      <c r="T1048" s="41"/>
      <c r="U1048" s="41"/>
      <c r="V1048" s="41"/>
      <c r="W1048" s="36"/>
      <c r="X1048" s="36"/>
      <c r="Y1048" s="36"/>
      <c r="Z1048" s="36"/>
      <c r="AA1048" s="36"/>
    </row>
    <row r="1049" spans="16:27" x14ac:dyDescent="0.2">
      <c r="P1049" s="36"/>
      <c r="Q1049" s="40"/>
      <c r="R1049" s="40"/>
      <c r="S1049" s="40"/>
      <c r="T1049" s="41"/>
      <c r="U1049" s="41"/>
      <c r="V1049" s="41"/>
      <c r="W1049" s="36"/>
      <c r="X1049" s="36"/>
      <c r="Y1049" s="36"/>
      <c r="Z1049" s="36"/>
      <c r="AA1049" s="36"/>
    </row>
    <row r="1050" spans="16:27" x14ac:dyDescent="0.2">
      <c r="P1050" s="36"/>
      <c r="Q1050" s="40"/>
      <c r="R1050" s="40"/>
      <c r="S1050" s="40"/>
      <c r="T1050" s="41"/>
      <c r="U1050" s="41"/>
      <c r="V1050" s="41"/>
      <c r="W1050" s="36"/>
      <c r="X1050" s="36"/>
      <c r="Y1050" s="36"/>
      <c r="Z1050" s="36"/>
      <c r="AA1050" s="36"/>
    </row>
    <row r="1051" spans="16:27" x14ac:dyDescent="0.2">
      <c r="P1051" s="36"/>
      <c r="Q1051" s="40"/>
      <c r="R1051" s="40"/>
      <c r="S1051" s="40"/>
      <c r="T1051" s="41"/>
      <c r="U1051" s="41"/>
      <c r="V1051" s="41"/>
      <c r="W1051" s="36"/>
      <c r="X1051" s="36"/>
      <c r="Y1051" s="36"/>
      <c r="Z1051" s="36"/>
      <c r="AA1051" s="36"/>
    </row>
    <row r="1052" spans="16:27" x14ac:dyDescent="0.2">
      <c r="P1052" s="36"/>
      <c r="Q1052" s="40"/>
      <c r="R1052" s="40"/>
      <c r="S1052" s="40"/>
      <c r="T1052" s="41"/>
      <c r="U1052" s="41"/>
      <c r="V1052" s="41"/>
      <c r="W1052" s="36"/>
      <c r="X1052" s="36"/>
      <c r="Y1052" s="36"/>
      <c r="Z1052" s="36"/>
      <c r="AA1052" s="36"/>
    </row>
    <row r="1053" spans="16:27" x14ac:dyDescent="0.2">
      <c r="P1053" s="36"/>
      <c r="Q1053" s="40"/>
      <c r="R1053" s="40"/>
      <c r="S1053" s="40"/>
      <c r="T1053" s="41"/>
      <c r="U1053" s="41"/>
      <c r="V1053" s="41"/>
      <c r="W1053" s="36"/>
      <c r="X1053" s="36"/>
      <c r="Y1053" s="36"/>
      <c r="Z1053" s="36"/>
      <c r="AA1053" s="36"/>
    </row>
    <row r="1054" spans="16:27" x14ac:dyDescent="0.2">
      <c r="P1054" s="36"/>
      <c r="Q1054" s="40"/>
      <c r="R1054" s="40"/>
      <c r="S1054" s="40"/>
      <c r="T1054" s="41"/>
      <c r="U1054" s="41"/>
      <c r="V1054" s="41"/>
      <c r="W1054" s="36"/>
      <c r="X1054" s="36"/>
      <c r="Y1054" s="36"/>
      <c r="Z1054" s="36"/>
      <c r="AA1054" s="36"/>
    </row>
    <row r="1055" spans="16:27" x14ac:dyDescent="0.2">
      <c r="P1055" s="36"/>
      <c r="Q1055" s="40"/>
      <c r="R1055" s="40"/>
      <c r="S1055" s="40"/>
      <c r="T1055" s="41"/>
      <c r="U1055" s="41"/>
      <c r="V1055" s="41"/>
      <c r="W1055" s="36"/>
      <c r="X1055" s="36"/>
      <c r="Y1055" s="36"/>
      <c r="Z1055" s="36"/>
      <c r="AA1055" s="36"/>
    </row>
    <row r="1056" spans="16:27" x14ac:dyDescent="0.2">
      <c r="P1056" s="36"/>
      <c r="Q1056" s="40"/>
      <c r="R1056" s="40"/>
      <c r="S1056" s="40"/>
      <c r="T1056" s="41"/>
      <c r="U1056" s="41"/>
      <c r="V1056" s="41"/>
      <c r="W1056" s="36"/>
      <c r="X1056" s="36"/>
      <c r="Y1056" s="36"/>
      <c r="Z1056" s="36"/>
      <c r="AA1056" s="36"/>
    </row>
    <row r="1057" spans="16:27" x14ac:dyDescent="0.2">
      <c r="P1057" s="36"/>
      <c r="Q1057" s="40"/>
      <c r="R1057" s="40"/>
      <c r="S1057" s="40"/>
      <c r="T1057" s="41"/>
      <c r="U1057" s="41"/>
      <c r="V1057" s="41"/>
      <c r="W1057" s="36"/>
      <c r="X1057" s="36"/>
      <c r="Y1057" s="36"/>
      <c r="Z1057" s="36"/>
      <c r="AA1057" s="36"/>
    </row>
    <row r="1058" spans="16:27" x14ac:dyDescent="0.2">
      <c r="P1058" s="36"/>
      <c r="Q1058" s="40"/>
      <c r="R1058" s="40"/>
      <c r="S1058" s="40"/>
      <c r="T1058" s="41"/>
      <c r="U1058" s="41"/>
      <c r="V1058" s="41"/>
      <c r="W1058" s="36"/>
      <c r="X1058" s="36"/>
      <c r="Y1058" s="36"/>
      <c r="Z1058" s="36"/>
      <c r="AA1058" s="36"/>
    </row>
    <row r="1059" spans="16:27" x14ac:dyDescent="0.2">
      <c r="P1059" s="36"/>
      <c r="Q1059" s="40"/>
      <c r="R1059" s="40"/>
      <c r="S1059" s="40"/>
      <c r="T1059" s="41"/>
      <c r="U1059" s="41"/>
      <c r="V1059" s="41"/>
      <c r="W1059" s="36"/>
      <c r="X1059" s="36"/>
      <c r="Y1059" s="36"/>
      <c r="Z1059" s="36"/>
      <c r="AA1059" s="36"/>
    </row>
    <row r="1060" spans="16:27" x14ac:dyDescent="0.2">
      <c r="P1060" s="36"/>
      <c r="Q1060" s="40"/>
      <c r="R1060" s="40"/>
      <c r="S1060" s="40"/>
      <c r="T1060" s="41"/>
      <c r="U1060" s="41"/>
      <c r="V1060" s="41"/>
      <c r="W1060" s="36"/>
      <c r="X1060" s="36"/>
      <c r="Y1060" s="36"/>
      <c r="Z1060" s="36"/>
      <c r="AA1060" s="36"/>
    </row>
    <row r="1061" spans="16:27" x14ac:dyDescent="0.2">
      <c r="P1061" s="36"/>
      <c r="Q1061" s="40"/>
      <c r="R1061" s="40"/>
      <c r="S1061" s="40"/>
      <c r="T1061" s="41"/>
      <c r="U1061" s="41"/>
      <c r="V1061" s="41"/>
      <c r="W1061" s="36"/>
      <c r="X1061" s="36"/>
      <c r="Y1061" s="36"/>
      <c r="Z1061" s="36"/>
      <c r="AA1061" s="36"/>
    </row>
    <row r="1062" spans="16:27" x14ac:dyDescent="0.2">
      <c r="P1062" s="36"/>
      <c r="Q1062" s="40"/>
      <c r="R1062" s="40"/>
      <c r="S1062" s="40"/>
      <c r="T1062" s="41"/>
      <c r="U1062" s="41"/>
      <c r="V1062" s="41"/>
      <c r="W1062" s="36"/>
      <c r="X1062" s="36"/>
      <c r="Y1062" s="36"/>
      <c r="Z1062" s="36"/>
      <c r="AA1062" s="36"/>
    </row>
    <row r="1063" spans="16:27" x14ac:dyDescent="0.2">
      <c r="P1063" s="36"/>
      <c r="Q1063" s="40"/>
      <c r="R1063" s="40"/>
      <c r="S1063" s="40"/>
      <c r="T1063" s="41"/>
      <c r="U1063" s="41"/>
      <c r="V1063" s="41"/>
      <c r="W1063" s="36"/>
      <c r="X1063" s="36"/>
      <c r="Y1063" s="36"/>
      <c r="Z1063" s="36"/>
      <c r="AA1063" s="36"/>
    </row>
    <row r="1064" spans="16:27" x14ac:dyDescent="0.2">
      <c r="P1064" s="36"/>
      <c r="Q1064" s="40"/>
      <c r="R1064" s="40"/>
      <c r="S1064" s="40"/>
      <c r="T1064" s="41"/>
      <c r="U1064" s="41"/>
      <c r="V1064" s="41"/>
      <c r="W1064" s="36"/>
      <c r="X1064" s="36"/>
      <c r="Y1064" s="36"/>
      <c r="Z1064" s="36"/>
      <c r="AA1064" s="36"/>
    </row>
    <row r="1065" spans="16:27" x14ac:dyDescent="0.2">
      <c r="P1065" s="36"/>
      <c r="Q1065" s="40"/>
      <c r="R1065" s="40"/>
      <c r="S1065" s="40"/>
      <c r="T1065" s="41"/>
      <c r="U1065" s="41"/>
      <c r="V1065" s="41"/>
      <c r="W1065" s="36"/>
      <c r="X1065" s="36"/>
      <c r="Y1065" s="36"/>
      <c r="Z1065" s="36"/>
      <c r="AA1065" s="36"/>
    </row>
    <row r="1066" spans="16:27" x14ac:dyDescent="0.2">
      <c r="P1066" s="36"/>
      <c r="Q1066" s="40"/>
      <c r="R1066" s="40"/>
      <c r="S1066" s="40"/>
      <c r="T1066" s="41"/>
      <c r="U1066" s="41"/>
      <c r="V1066" s="41"/>
      <c r="W1066" s="36"/>
      <c r="X1066" s="36"/>
      <c r="Y1066" s="36"/>
      <c r="Z1066" s="36"/>
      <c r="AA1066" s="36"/>
    </row>
    <row r="1067" spans="16:27" x14ac:dyDescent="0.2">
      <c r="P1067" s="36"/>
      <c r="Q1067" s="40"/>
      <c r="R1067" s="40"/>
      <c r="S1067" s="40"/>
      <c r="T1067" s="41"/>
      <c r="U1067" s="41"/>
      <c r="V1067" s="41"/>
      <c r="W1067" s="36"/>
      <c r="X1067" s="36"/>
      <c r="Y1067" s="36"/>
      <c r="Z1067" s="36"/>
      <c r="AA1067" s="36"/>
    </row>
    <row r="1068" spans="16:27" x14ac:dyDescent="0.2">
      <c r="P1068" s="36"/>
      <c r="Q1068" s="40"/>
      <c r="R1068" s="40"/>
      <c r="S1068" s="40"/>
      <c r="T1068" s="41"/>
      <c r="U1068" s="41"/>
      <c r="V1068" s="41"/>
      <c r="W1068" s="36"/>
      <c r="X1068" s="36"/>
      <c r="Y1068" s="36"/>
      <c r="Z1068" s="36"/>
      <c r="AA1068" s="36"/>
    </row>
    <row r="1069" spans="16:27" x14ac:dyDescent="0.2">
      <c r="P1069" s="36"/>
      <c r="Q1069" s="40"/>
      <c r="R1069" s="40"/>
      <c r="S1069" s="40"/>
      <c r="T1069" s="41"/>
      <c r="U1069" s="41"/>
      <c r="V1069" s="41"/>
      <c r="W1069" s="36"/>
      <c r="X1069" s="36"/>
      <c r="Y1069" s="36"/>
      <c r="Z1069" s="36"/>
      <c r="AA1069" s="36"/>
    </row>
    <row r="1070" spans="16:27" x14ac:dyDescent="0.2">
      <c r="P1070" s="36"/>
      <c r="Q1070" s="40"/>
      <c r="R1070" s="40"/>
      <c r="S1070" s="40"/>
      <c r="T1070" s="41"/>
      <c r="U1070" s="41"/>
      <c r="V1070" s="41"/>
      <c r="W1070" s="36"/>
      <c r="X1070" s="36"/>
      <c r="Y1070" s="36"/>
      <c r="Z1070" s="36"/>
      <c r="AA1070" s="36"/>
    </row>
    <row r="1071" spans="16:27" x14ac:dyDescent="0.2">
      <c r="P1071" s="36"/>
      <c r="Q1071" s="40"/>
      <c r="R1071" s="40"/>
      <c r="S1071" s="40"/>
      <c r="T1071" s="41"/>
      <c r="U1071" s="41"/>
      <c r="V1071" s="41"/>
      <c r="W1071" s="36"/>
      <c r="X1071" s="36"/>
      <c r="Y1071" s="36"/>
      <c r="Z1071" s="36"/>
      <c r="AA1071" s="36"/>
    </row>
    <row r="1072" spans="16:27" x14ac:dyDescent="0.2">
      <c r="P1072" s="36"/>
      <c r="Q1072" s="40"/>
      <c r="R1072" s="40"/>
      <c r="S1072" s="40"/>
      <c r="T1072" s="41"/>
      <c r="U1072" s="41"/>
      <c r="V1072" s="41"/>
      <c r="W1072" s="36"/>
      <c r="X1072" s="36"/>
      <c r="Y1072" s="36"/>
      <c r="Z1072" s="36"/>
      <c r="AA1072" s="36"/>
    </row>
    <row r="1073" spans="16:27" x14ac:dyDescent="0.2">
      <c r="P1073" s="36"/>
      <c r="Q1073" s="40"/>
      <c r="R1073" s="40"/>
      <c r="S1073" s="40"/>
      <c r="T1073" s="41"/>
      <c r="U1073" s="41"/>
      <c r="V1073" s="41"/>
      <c r="W1073" s="36"/>
      <c r="X1073" s="36"/>
      <c r="Y1073" s="36"/>
      <c r="Z1073" s="36"/>
      <c r="AA1073" s="36"/>
    </row>
    <row r="1074" spans="16:27" x14ac:dyDescent="0.2">
      <c r="P1074" s="36"/>
      <c r="Q1074" s="40"/>
      <c r="R1074" s="40"/>
      <c r="S1074" s="40"/>
      <c r="T1074" s="41"/>
      <c r="U1074" s="41"/>
      <c r="V1074" s="41"/>
      <c r="W1074" s="36"/>
      <c r="X1074" s="36"/>
      <c r="Y1074" s="36"/>
      <c r="Z1074" s="36"/>
      <c r="AA1074" s="36"/>
    </row>
    <row r="1075" spans="16:27" x14ac:dyDescent="0.2">
      <c r="P1075" s="36"/>
      <c r="Q1075" s="40"/>
      <c r="R1075" s="40"/>
      <c r="S1075" s="40"/>
      <c r="T1075" s="41"/>
      <c r="U1075" s="41"/>
      <c r="V1075" s="41"/>
      <c r="W1075" s="36"/>
      <c r="X1075" s="36"/>
      <c r="Y1075" s="36"/>
      <c r="Z1075" s="36"/>
      <c r="AA1075" s="36"/>
    </row>
    <row r="1076" spans="16:27" x14ac:dyDescent="0.2">
      <c r="P1076" s="36"/>
      <c r="Q1076" s="40"/>
      <c r="R1076" s="40"/>
      <c r="S1076" s="40"/>
      <c r="T1076" s="41"/>
      <c r="U1076" s="41"/>
      <c r="V1076" s="41"/>
      <c r="W1076" s="36"/>
      <c r="X1076" s="36"/>
      <c r="Y1076" s="36"/>
      <c r="Z1076" s="36"/>
      <c r="AA1076" s="36"/>
    </row>
    <row r="1077" spans="16:27" x14ac:dyDescent="0.2">
      <c r="P1077" s="36"/>
      <c r="Q1077" s="40"/>
      <c r="R1077" s="40"/>
      <c r="S1077" s="40"/>
      <c r="T1077" s="41"/>
      <c r="U1077" s="41"/>
      <c r="V1077" s="41"/>
      <c r="W1077" s="36"/>
      <c r="X1077" s="36"/>
      <c r="Y1077" s="36"/>
      <c r="Z1077" s="36"/>
      <c r="AA1077" s="36"/>
    </row>
    <row r="1078" spans="16:27" x14ac:dyDescent="0.2">
      <c r="P1078" s="36"/>
      <c r="Q1078" s="40"/>
      <c r="R1078" s="40"/>
      <c r="S1078" s="40"/>
      <c r="T1078" s="41"/>
      <c r="U1078" s="41"/>
      <c r="V1078" s="41"/>
      <c r="W1078" s="36"/>
      <c r="X1078" s="36"/>
      <c r="Y1078" s="36"/>
      <c r="Z1078" s="36"/>
      <c r="AA1078" s="36"/>
    </row>
    <row r="1079" spans="16:27" x14ac:dyDescent="0.2">
      <c r="P1079" s="36"/>
      <c r="Q1079" s="40"/>
      <c r="R1079" s="40"/>
      <c r="S1079" s="40"/>
      <c r="T1079" s="41"/>
      <c r="U1079" s="41"/>
      <c r="V1079" s="41"/>
      <c r="W1079" s="36"/>
      <c r="X1079" s="36"/>
      <c r="Y1079" s="36"/>
      <c r="Z1079" s="36"/>
      <c r="AA1079" s="36"/>
    </row>
    <row r="1080" spans="16:27" x14ac:dyDescent="0.2">
      <c r="P1080" s="36"/>
      <c r="Q1080" s="40"/>
      <c r="R1080" s="40"/>
      <c r="S1080" s="40"/>
      <c r="T1080" s="41"/>
      <c r="U1080" s="41"/>
      <c r="V1080" s="41"/>
      <c r="W1080" s="36"/>
      <c r="X1080" s="36"/>
      <c r="Y1080" s="36"/>
      <c r="Z1080" s="36"/>
      <c r="AA1080" s="36"/>
    </row>
    <row r="1081" spans="16:27" x14ac:dyDescent="0.2">
      <c r="P1081" s="36"/>
      <c r="Q1081" s="40"/>
      <c r="R1081" s="40"/>
      <c r="S1081" s="40"/>
      <c r="T1081" s="41"/>
      <c r="U1081" s="41"/>
      <c r="V1081" s="41"/>
      <c r="W1081" s="36"/>
      <c r="X1081" s="36"/>
      <c r="Y1081" s="36"/>
      <c r="Z1081" s="36"/>
      <c r="AA1081" s="36"/>
    </row>
    <row r="1082" spans="16:27" x14ac:dyDescent="0.2">
      <c r="P1082" s="36"/>
      <c r="Q1082" s="40"/>
      <c r="R1082" s="40"/>
      <c r="S1082" s="40"/>
      <c r="T1082" s="41"/>
      <c r="U1082" s="41"/>
      <c r="V1082" s="41"/>
      <c r="W1082" s="36"/>
      <c r="X1082" s="36"/>
      <c r="Y1082" s="36"/>
      <c r="Z1082" s="36"/>
      <c r="AA1082" s="36"/>
    </row>
    <row r="1083" spans="16:27" x14ac:dyDescent="0.2">
      <c r="P1083" s="36"/>
      <c r="Q1083" s="40"/>
      <c r="R1083" s="40"/>
      <c r="S1083" s="40"/>
      <c r="T1083" s="41"/>
      <c r="U1083" s="41"/>
      <c r="V1083" s="41"/>
      <c r="W1083" s="36"/>
      <c r="X1083" s="36"/>
      <c r="Y1083" s="36"/>
      <c r="Z1083" s="36"/>
      <c r="AA1083" s="36"/>
    </row>
    <row r="1084" spans="16:27" x14ac:dyDescent="0.2">
      <c r="P1084" s="36"/>
      <c r="Q1084" s="40"/>
      <c r="R1084" s="40"/>
      <c r="S1084" s="40"/>
      <c r="T1084" s="41"/>
      <c r="U1084" s="41"/>
      <c r="V1084" s="41"/>
      <c r="W1084" s="36"/>
      <c r="X1084" s="36"/>
      <c r="Y1084" s="36"/>
      <c r="Z1084" s="36"/>
      <c r="AA1084" s="36"/>
    </row>
    <row r="1085" spans="16:27" x14ac:dyDescent="0.2">
      <c r="P1085" s="36"/>
      <c r="Q1085" s="40"/>
      <c r="R1085" s="40"/>
      <c r="S1085" s="40"/>
      <c r="T1085" s="41"/>
      <c r="U1085" s="41"/>
      <c r="V1085" s="41"/>
      <c r="W1085" s="36"/>
      <c r="X1085" s="36"/>
      <c r="Y1085" s="36"/>
      <c r="Z1085" s="36"/>
      <c r="AA1085" s="36"/>
    </row>
    <row r="1086" spans="16:27" x14ac:dyDescent="0.2">
      <c r="P1086" s="36"/>
      <c r="Q1086" s="40"/>
      <c r="R1086" s="40"/>
      <c r="S1086" s="40"/>
      <c r="T1086" s="41"/>
      <c r="U1086" s="41"/>
      <c r="V1086" s="41"/>
      <c r="W1086" s="36"/>
      <c r="X1086" s="36"/>
      <c r="Y1086" s="36"/>
      <c r="Z1086" s="36"/>
      <c r="AA1086" s="36"/>
    </row>
    <row r="1087" spans="16:27" x14ac:dyDescent="0.2">
      <c r="P1087" s="36"/>
      <c r="Q1087" s="40"/>
      <c r="R1087" s="40"/>
      <c r="S1087" s="40"/>
      <c r="T1087" s="41"/>
      <c r="U1087" s="41"/>
      <c r="V1087" s="41"/>
      <c r="W1087" s="36"/>
      <c r="X1087" s="36"/>
      <c r="Y1087" s="36"/>
      <c r="Z1087" s="36"/>
      <c r="AA1087" s="36"/>
    </row>
    <row r="1088" spans="16:27" x14ac:dyDescent="0.2">
      <c r="P1088" s="36"/>
      <c r="Q1088" s="40"/>
      <c r="R1088" s="40"/>
      <c r="S1088" s="40"/>
      <c r="T1088" s="41"/>
      <c r="U1088" s="41"/>
      <c r="V1088" s="41"/>
      <c r="W1088" s="36"/>
      <c r="X1088" s="36"/>
      <c r="Y1088" s="36"/>
      <c r="Z1088" s="36"/>
      <c r="AA1088" s="36"/>
    </row>
    <row r="1089" spans="16:27" x14ac:dyDescent="0.2">
      <c r="P1089" s="36"/>
      <c r="Q1089" s="40"/>
      <c r="R1089" s="40"/>
      <c r="S1089" s="40"/>
      <c r="T1089" s="41"/>
      <c r="U1089" s="41"/>
      <c r="V1089" s="41"/>
      <c r="W1089" s="36"/>
      <c r="X1089" s="36"/>
      <c r="Y1089" s="36"/>
      <c r="Z1089" s="36"/>
      <c r="AA1089" s="36"/>
    </row>
    <row r="1090" spans="16:27" x14ac:dyDescent="0.2">
      <c r="P1090" s="36"/>
      <c r="Q1090" s="40"/>
      <c r="R1090" s="40"/>
      <c r="S1090" s="40"/>
      <c r="T1090" s="41"/>
      <c r="U1090" s="41"/>
      <c r="V1090" s="41"/>
      <c r="W1090" s="36"/>
      <c r="X1090" s="36"/>
      <c r="Y1090" s="36"/>
      <c r="Z1090" s="36"/>
      <c r="AA1090" s="36"/>
    </row>
    <row r="1091" spans="16:27" x14ac:dyDescent="0.2">
      <c r="P1091" s="36"/>
      <c r="Q1091" s="40"/>
      <c r="R1091" s="40"/>
      <c r="S1091" s="40"/>
      <c r="T1091" s="41"/>
      <c r="U1091" s="41"/>
      <c r="V1091" s="41"/>
      <c r="W1091" s="36"/>
      <c r="X1091" s="36"/>
      <c r="Y1091" s="36"/>
      <c r="Z1091" s="36"/>
      <c r="AA1091" s="36"/>
    </row>
    <row r="1092" spans="16:27" x14ac:dyDescent="0.2">
      <c r="P1092" s="36"/>
      <c r="Q1092" s="40"/>
      <c r="R1092" s="40"/>
      <c r="S1092" s="40"/>
      <c r="T1092" s="41"/>
      <c r="U1092" s="41"/>
      <c r="V1092" s="41"/>
      <c r="W1092" s="36"/>
      <c r="X1092" s="36"/>
      <c r="Y1092" s="36"/>
      <c r="Z1092" s="36"/>
      <c r="AA1092" s="36"/>
    </row>
    <row r="1093" spans="16:27" x14ac:dyDescent="0.2">
      <c r="P1093" s="36"/>
      <c r="Q1093" s="40"/>
      <c r="R1093" s="40"/>
      <c r="S1093" s="40"/>
      <c r="T1093" s="41"/>
      <c r="U1093" s="41"/>
      <c r="V1093" s="41"/>
      <c r="W1093" s="36"/>
      <c r="X1093" s="36"/>
      <c r="Y1093" s="36"/>
      <c r="Z1093" s="36"/>
      <c r="AA1093" s="36"/>
    </row>
    <row r="1094" spans="16:27" x14ac:dyDescent="0.2">
      <c r="P1094" s="36"/>
      <c r="Q1094" s="40"/>
      <c r="R1094" s="40"/>
      <c r="S1094" s="40"/>
      <c r="T1094" s="41"/>
      <c r="U1094" s="41"/>
      <c r="V1094" s="41"/>
      <c r="W1094" s="36"/>
      <c r="X1094" s="36"/>
      <c r="Y1094" s="36"/>
      <c r="Z1094" s="36"/>
      <c r="AA1094" s="36"/>
    </row>
    <row r="1095" spans="16:27" x14ac:dyDescent="0.2">
      <c r="P1095" s="36"/>
      <c r="Q1095" s="40"/>
      <c r="R1095" s="40"/>
      <c r="S1095" s="40"/>
      <c r="T1095" s="41"/>
      <c r="U1095" s="41"/>
      <c r="V1095" s="41"/>
      <c r="W1095" s="36"/>
      <c r="X1095" s="36"/>
      <c r="Y1095" s="36"/>
      <c r="Z1095" s="36"/>
      <c r="AA1095" s="36"/>
    </row>
    <row r="1096" spans="16:27" x14ac:dyDescent="0.2">
      <c r="P1096" s="36"/>
      <c r="Q1096" s="40"/>
      <c r="R1096" s="40"/>
      <c r="S1096" s="40"/>
      <c r="T1096" s="41"/>
      <c r="U1096" s="41"/>
      <c r="V1096" s="41"/>
      <c r="W1096" s="36"/>
      <c r="X1096" s="36"/>
      <c r="Y1096" s="36"/>
      <c r="Z1096" s="36"/>
      <c r="AA1096" s="36"/>
    </row>
    <row r="1097" spans="16:27" x14ac:dyDescent="0.2">
      <c r="P1097" s="36"/>
      <c r="Q1097" s="40"/>
      <c r="R1097" s="40"/>
      <c r="S1097" s="40"/>
      <c r="T1097" s="41"/>
      <c r="U1097" s="41"/>
      <c r="V1097" s="41"/>
      <c r="W1097" s="36"/>
      <c r="X1097" s="36"/>
      <c r="Y1097" s="36"/>
      <c r="Z1097" s="36"/>
      <c r="AA1097" s="36"/>
    </row>
    <row r="1098" spans="16:27" x14ac:dyDescent="0.2">
      <c r="P1098" s="36"/>
      <c r="Q1098" s="40"/>
      <c r="R1098" s="40"/>
      <c r="S1098" s="40"/>
      <c r="T1098" s="41"/>
      <c r="U1098" s="41"/>
      <c r="V1098" s="41"/>
      <c r="W1098" s="36"/>
      <c r="X1098" s="36"/>
      <c r="Y1098" s="36"/>
      <c r="Z1098" s="36"/>
      <c r="AA1098" s="36"/>
    </row>
    <row r="1099" spans="16:27" x14ac:dyDescent="0.2">
      <c r="P1099" s="36"/>
      <c r="Q1099" s="40"/>
      <c r="R1099" s="40"/>
      <c r="S1099" s="40"/>
      <c r="T1099" s="41"/>
      <c r="U1099" s="41"/>
      <c r="V1099" s="41"/>
      <c r="W1099" s="36"/>
      <c r="X1099" s="36"/>
      <c r="Y1099" s="36"/>
      <c r="Z1099" s="36"/>
      <c r="AA1099" s="36"/>
    </row>
    <row r="1100" spans="16:27" x14ac:dyDescent="0.2">
      <c r="P1100" s="36"/>
      <c r="Q1100" s="40"/>
      <c r="R1100" s="40"/>
      <c r="S1100" s="40"/>
      <c r="T1100" s="41"/>
      <c r="U1100" s="41"/>
      <c r="V1100" s="41"/>
      <c r="W1100" s="36"/>
      <c r="X1100" s="36"/>
      <c r="Y1100" s="36"/>
      <c r="Z1100" s="36"/>
      <c r="AA1100" s="36"/>
    </row>
    <row r="1101" spans="16:27" x14ac:dyDescent="0.2">
      <c r="P1101" s="36"/>
      <c r="Q1101" s="40"/>
      <c r="R1101" s="40"/>
      <c r="S1101" s="40"/>
      <c r="T1101" s="41"/>
      <c r="U1101" s="41"/>
      <c r="V1101" s="41"/>
      <c r="W1101" s="36"/>
      <c r="X1101" s="36"/>
      <c r="Y1101" s="36"/>
      <c r="Z1101" s="36"/>
      <c r="AA1101" s="36"/>
    </row>
    <row r="1102" spans="16:27" x14ac:dyDescent="0.2">
      <c r="P1102" s="36"/>
      <c r="Q1102" s="40"/>
      <c r="R1102" s="40"/>
      <c r="S1102" s="40"/>
      <c r="T1102" s="41"/>
      <c r="U1102" s="41"/>
      <c r="V1102" s="41"/>
      <c r="W1102" s="36"/>
      <c r="X1102" s="36"/>
      <c r="Y1102" s="36"/>
      <c r="Z1102" s="36"/>
      <c r="AA1102" s="36"/>
    </row>
    <row r="1103" spans="16:27" x14ac:dyDescent="0.2">
      <c r="P1103" s="36"/>
      <c r="Q1103" s="40"/>
      <c r="R1103" s="40"/>
      <c r="S1103" s="40"/>
      <c r="T1103" s="41"/>
      <c r="U1103" s="41"/>
      <c r="V1103" s="41"/>
      <c r="W1103" s="36"/>
      <c r="X1103" s="36"/>
      <c r="Y1103" s="36"/>
      <c r="Z1103" s="36"/>
      <c r="AA1103" s="36"/>
    </row>
    <row r="1104" spans="16:27" x14ac:dyDescent="0.2">
      <c r="P1104" s="36"/>
      <c r="Q1104" s="40"/>
      <c r="R1104" s="40"/>
      <c r="S1104" s="40"/>
      <c r="T1104" s="41"/>
      <c r="U1104" s="41"/>
      <c r="V1104" s="41"/>
      <c r="W1104" s="36"/>
      <c r="X1104" s="36"/>
      <c r="Y1104" s="36"/>
      <c r="Z1104" s="36"/>
      <c r="AA1104" s="36"/>
    </row>
    <row r="1105" spans="16:27" x14ac:dyDescent="0.2">
      <c r="P1105" s="36"/>
      <c r="Q1105" s="40"/>
      <c r="R1105" s="40"/>
      <c r="S1105" s="40"/>
      <c r="T1105" s="41"/>
      <c r="U1105" s="41"/>
      <c r="V1105" s="41"/>
      <c r="W1105" s="36"/>
      <c r="X1105" s="36"/>
      <c r="Y1105" s="36"/>
      <c r="Z1105" s="36"/>
      <c r="AA1105" s="36"/>
    </row>
    <row r="1106" spans="16:27" x14ac:dyDescent="0.2">
      <c r="P1106" s="36"/>
      <c r="Q1106" s="40"/>
      <c r="R1106" s="40"/>
      <c r="S1106" s="40"/>
      <c r="T1106" s="41"/>
      <c r="U1106" s="41"/>
      <c r="V1106" s="41"/>
      <c r="W1106" s="36"/>
      <c r="X1106" s="36"/>
      <c r="Y1106" s="36"/>
      <c r="Z1106" s="36"/>
      <c r="AA1106" s="36"/>
    </row>
    <row r="1107" spans="16:27" x14ac:dyDescent="0.2">
      <c r="P1107" s="36"/>
      <c r="Q1107" s="40"/>
      <c r="R1107" s="40"/>
      <c r="S1107" s="40"/>
      <c r="T1107" s="41"/>
      <c r="U1107" s="41"/>
      <c r="V1107" s="41"/>
      <c r="W1107" s="36"/>
      <c r="X1107" s="36"/>
      <c r="Y1107" s="36"/>
      <c r="Z1107" s="36"/>
      <c r="AA1107" s="36"/>
    </row>
    <row r="1108" spans="16:27" x14ac:dyDescent="0.2">
      <c r="P1108" s="36"/>
      <c r="Q1108" s="40"/>
      <c r="R1108" s="40"/>
      <c r="S1108" s="40"/>
      <c r="T1108" s="41"/>
      <c r="U1108" s="41"/>
      <c r="V1108" s="41"/>
      <c r="W1108" s="36"/>
      <c r="X1108" s="36"/>
      <c r="Y1108" s="36"/>
      <c r="Z1108" s="36"/>
      <c r="AA1108" s="36"/>
    </row>
    <row r="1109" spans="16:27" x14ac:dyDescent="0.2">
      <c r="P1109" s="36"/>
      <c r="Q1109" s="40"/>
      <c r="R1109" s="40"/>
      <c r="S1109" s="40"/>
      <c r="T1109" s="41"/>
      <c r="U1109" s="41"/>
      <c r="V1109" s="41"/>
      <c r="W1109" s="36"/>
      <c r="X1109" s="36"/>
      <c r="Y1109" s="36"/>
      <c r="Z1109" s="36"/>
      <c r="AA1109" s="36"/>
    </row>
    <row r="1110" spans="16:27" x14ac:dyDescent="0.2">
      <c r="P1110" s="36"/>
      <c r="Q1110" s="40"/>
      <c r="R1110" s="40"/>
      <c r="S1110" s="40"/>
      <c r="T1110" s="41"/>
      <c r="U1110" s="41"/>
      <c r="V1110" s="41"/>
      <c r="W1110" s="36"/>
      <c r="X1110" s="36"/>
      <c r="Y1110" s="36"/>
      <c r="Z1110" s="36"/>
      <c r="AA1110" s="36"/>
    </row>
    <row r="1111" spans="16:27" x14ac:dyDescent="0.2">
      <c r="P1111" s="36"/>
      <c r="Q1111" s="40"/>
      <c r="R1111" s="40"/>
      <c r="S1111" s="40"/>
      <c r="T1111" s="41"/>
      <c r="U1111" s="41"/>
      <c r="V1111" s="41"/>
      <c r="W1111" s="36"/>
      <c r="X1111" s="36"/>
      <c r="Y1111" s="36"/>
      <c r="Z1111" s="36"/>
      <c r="AA1111" s="36"/>
    </row>
    <row r="1112" spans="16:27" x14ac:dyDescent="0.2">
      <c r="P1112" s="36"/>
      <c r="Q1112" s="40"/>
      <c r="R1112" s="40"/>
      <c r="S1112" s="40"/>
      <c r="T1112" s="41"/>
      <c r="U1112" s="41"/>
      <c r="V1112" s="41"/>
      <c r="W1112" s="36"/>
      <c r="X1112" s="36"/>
      <c r="Y1112" s="36"/>
      <c r="Z1112" s="36"/>
      <c r="AA1112" s="36"/>
    </row>
    <row r="1113" spans="16:27" x14ac:dyDescent="0.2">
      <c r="P1113" s="36"/>
      <c r="Q1113" s="40"/>
      <c r="R1113" s="40"/>
      <c r="S1113" s="40"/>
      <c r="T1113" s="41"/>
      <c r="U1113" s="41"/>
      <c r="V1113" s="41"/>
      <c r="W1113" s="36"/>
      <c r="X1113" s="36"/>
      <c r="Y1113" s="36"/>
      <c r="Z1113" s="36"/>
      <c r="AA1113" s="36"/>
    </row>
    <row r="1114" spans="16:27" x14ac:dyDescent="0.2">
      <c r="P1114" s="36"/>
      <c r="Q1114" s="40"/>
      <c r="R1114" s="40"/>
      <c r="S1114" s="40"/>
      <c r="T1114" s="41"/>
      <c r="U1114" s="41"/>
      <c r="V1114" s="41"/>
      <c r="W1114" s="36"/>
      <c r="X1114" s="36"/>
      <c r="Y1114" s="36"/>
      <c r="Z1114" s="36"/>
      <c r="AA1114" s="36"/>
    </row>
    <row r="1115" spans="16:27" x14ac:dyDescent="0.2">
      <c r="P1115" s="36"/>
      <c r="Q1115" s="40"/>
      <c r="R1115" s="40"/>
      <c r="S1115" s="40"/>
      <c r="T1115" s="41"/>
      <c r="U1115" s="41"/>
      <c r="V1115" s="41"/>
      <c r="W1115" s="36"/>
      <c r="X1115" s="36"/>
      <c r="Y1115" s="36"/>
      <c r="Z1115" s="36"/>
      <c r="AA1115" s="36"/>
    </row>
    <row r="1116" spans="16:27" x14ac:dyDescent="0.2">
      <c r="P1116" s="36"/>
      <c r="Q1116" s="40"/>
      <c r="R1116" s="40"/>
      <c r="S1116" s="40"/>
      <c r="T1116" s="41"/>
      <c r="U1116" s="41"/>
      <c r="V1116" s="41"/>
      <c r="W1116" s="36"/>
      <c r="X1116" s="36"/>
      <c r="Y1116" s="36"/>
      <c r="Z1116" s="36"/>
      <c r="AA1116" s="36"/>
    </row>
    <row r="1117" spans="16:27" x14ac:dyDescent="0.2">
      <c r="P1117" s="36"/>
      <c r="Q1117" s="40"/>
      <c r="R1117" s="40"/>
      <c r="S1117" s="40"/>
      <c r="T1117" s="41"/>
      <c r="U1117" s="41"/>
      <c r="V1117" s="41"/>
      <c r="W1117" s="36"/>
      <c r="X1117" s="36"/>
      <c r="Y1117" s="36"/>
      <c r="Z1117" s="36"/>
      <c r="AA1117" s="36"/>
    </row>
    <row r="1118" spans="16:27" x14ac:dyDescent="0.2">
      <c r="P1118" s="36"/>
      <c r="Q1118" s="40"/>
      <c r="R1118" s="40"/>
      <c r="S1118" s="40"/>
      <c r="T1118" s="41"/>
      <c r="U1118" s="41"/>
      <c r="V1118" s="41"/>
      <c r="W1118" s="36"/>
      <c r="X1118" s="36"/>
      <c r="Y1118" s="36"/>
      <c r="Z1118" s="36"/>
      <c r="AA1118" s="36"/>
    </row>
    <row r="1119" spans="16:27" x14ac:dyDescent="0.2">
      <c r="P1119" s="36"/>
      <c r="Q1119" s="40"/>
      <c r="R1119" s="40"/>
      <c r="S1119" s="40"/>
      <c r="T1119" s="41"/>
      <c r="U1119" s="41"/>
      <c r="V1119" s="41"/>
      <c r="W1119" s="36"/>
      <c r="X1119" s="36"/>
      <c r="Y1119" s="36"/>
      <c r="Z1119" s="36"/>
      <c r="AA1119" s="36"/>
    </row>
    <row r="1120" spans="16:27" x14ac:dyDescent="0.2">
      <c r="P1120" s="36"/>
      <c r="Q1120" s="40"/>
      <c r="R1120" s="40"/>
      <c r="S1120" s="40"/>
      <c r="T1120" s="41"/>
      <c r="U1120" s="41"/>
      <c r="V1120" s="41"/>
      <c r="W1120" s="36"/>
      <c r="X1120" s="36"/>
      <c r="Y1120" s="36"/>
      <c r="Z1120" s="36"/>
      <c r="AA1120" s="36"/>
    </row>
    <row r="1121" spans="16:27" x14ac:dyDescent="0.2">
      <c r="P1121" s="36"/>
      <c r="Q1121" s="40"/>
      <c r="R1121" s="40"/>
      <c r="S1121" s="40"/>
      <c r="T1121" s="41"/>
      <c r="U1121" s="41"/>
      <c r="V1121" s="41"/>
      <c r="W1121" s="36"/>
      <c r="X1121" s="36"/>
      <c r="Y1121" s="36"/>
      <c r="Z1121" s="36"/>
      <c r="AA1121" s="36"/>
    </row>
    <row r="1122" spans="16:27" x14ac:dyDescent="0.2">
      <c r="P1122" s="36"/>
      <c r="Q1122" s="40"/>
      <c r="R1122" s="40"/>
      <c r="S1122" s="40"/>
      <c r="T1122" s="41"/>
      <c r="U1122" s="41"/>
      <c r="V1122" s="41"/>
      <c r="W1122" s="36"/>
      <c r="X1122" s="36"/>
      <c r="Y1122" s="36"/>
      <c r="Z1122" s="36"/>
      <c r="AA1122" s="36"/>
    </row>
    <row r="1123" spans="16:27" x14ac:dyDescent="0.2">
      <c r="P1123" s="36"/>
      <c r="Q1123" s="40"/>
      <c r="R1123" s="40"/>
      <c r="S1123" s="40"/>
      <c r="T1123" s="41"/>
      <c r="U1123" s="41"/>
      <c r="V1123" s="41"/>
      <c r="W1123" s="36"/>
      <c r="X1123" s="36"/>
      <c r="Y1123" s="36"/>
      <c r="Z1123" s="36"/>
      <c r="AA1123" s="36"/>
    </row>
    <row r="1124" spans="16:27" x14ac:dyDescent="0.2">
      <c r="P1124" s="36"/>
      <c r="Q1124" s="40"/>
      <c r="R1124" s="40"/>
      <c r="S1124" s="40"/>
      <c r="T1124" s="41"/>
      <c r="U1124" s="41"/>
      <c r="V1124" s="41"/>
      <c r="W1124" s="36"/>
      <c r="X1124" s="36"/>
      <c r="Y1124" s="36"/>
      <c r="Z1124" s="36"/>
      <c r="AA1124" s="36"/>
    </row>
    <row r="1125" spans="16:27" x14ac:dyDescent="0.2">
      <c r="P1125" s="36"/>
      <c r="Q1125" s="40"/>
      <c r="R1125" s="40"/>
      <c r="S1125" s="40"/>
      <c r="T1125" s="41"/>
      <c r="U1125" s="41"/>
      <c r="V1125" s="41"/>
      <c r="W1125" s="36"/>
      <c r="X1125" s="36"/>
      <c r="Y1125" s="36"/>
      <c r="Z1125" s="36"/>
      <c r="AA1125" s="36"/>
    </row>
    <row r="1126" spans="16:27" x14ac:dyDescent="0.2">
      <c r="P1126" s="36"/>
      <c r="Q1126" s="40"/>
      <c r="R1126" s="40"/>
      <c r="S1126" s="40"/>
      <c r="T1126" s="41"/>
      <c r="U1126" s="41"/>
      <c r="V1126" s="41"/>
      <c r="W1126" s="36"/>
      <c r="X1126" s="36"/>
      <c r="Y1126" s="36"/>
      <c r="Z1126" s="36"/>
      <c r="AA1126" s="36"/>
    </row>
    <row r="1127" spans="16:27" x14ac:dyDescent="0.2">
      <c r="P1127" s="36"/>
      <c r="Q1127" s="40"/>
      <c r="R1127" s="40"/>
      <c r="S1127" s="40"/>
      <c r="T1127" s="41"/>
      <c r="U1127" s="41"/>
      <c r="V1127" s="41"/>
      <c r="W1127" s="36"/>
      <c r="X1127" s="36"/>
      <c r="Y1127" s="36"/>
      <c r="Z1127" s="36"/>
      <c r="AA1127" s="36"/>
    </row>
    <row r="1128" spans="16:27" x14ac:dyDescent="0.2">
      <c r="P1128" s="36"/>
      <c r="Q1128" s="40"/>
      <c r="R1128" s="40"/>
      <c r="S1128" s="40"/>
      <c r="T1128" s="41"/>
      <c r="U1128" s="41"/>
      <c r="V1128" s="41"/>
      <c r="W1128" s="36"/>
      <c r="X1128" s="36"/>
      <c r="Y1128" s="36"/>
      <c r="Z1128" s="36"/>
      <c r="AA1128" s="36"/>
    </row>
    <row r="1129" spans="16:27" x14ac:dyDescent="0.2">
      <c r="P1129" s="36"/>
      <c r="Q1129" s="40"/>
      <c r="R1129" s="40"/>
      <c r="S1129" s="40"/>
      <c r="T1129" s="41"/>
      <c r="U1129" s="41"/>
      <c r="V1129" s="41"/>
      <c r="W1129" s="36"/>
      <c r="X1129" s="36"/>
      <c r="Y1129" s="36"/>
      <c r="Z1129" s="36"/>
      <c r="AA1129" s="36"/>
    </row>
    <row r="1130" spans="16:27" x14ac:dyDescent="0.2">
      <c r="P1130" s="36"/>
      <c r="Q1130" s="40"/>
      <c r="R1130" s="40"/>
      <c r="S1130" s="40"/>
      <c r="T1130" s="41"/>
      <c r="U1130" s="41"/>
      <c r="V1130" s="41"/>
      <c r="W1130" s="36"/>
      <c r="X1130" s="36"/>
      <c r="Y1130" s="36"/>
      <c r="Z1130" s="36"/>
      <c r="AA1130" s="36"/>
    </row>
    <row r="1131" spans="16:27" x14ac:dyDescent="0.2">
      <c r="P1131" s="36"/>
      <c r="Q1131" s="40"/>
      <c r="R1131" s="40"/>
      <c r="S1131" s="40"/>
      <c r="T1131" s="41"/>
      <c r="U1131" s="41"/>
      <c r="V1131" s="41"/>
      <c r="W1131" s="36"/>
      <c r="X1131" s="36"/>
      <c r="Y1131" s="36"/>
      <c r="Z1131" s="36"/>
      <c r="AA1131" s="36"/>
    </row>
    <row r="1132" spans="16:27" x14ac:dyDescent="0.2">
      <c r="P1132" s="36"/>
      <c r="Q1132" s="40"/>
      <c r="R1132" s="40"/>
      <c r="S1132" s="40"/>
      <c r="T1132" s="41"/>
      <c r="U1132" s="41"/>
      <c r="V1132" s="41"/>
      <c r="W1132" s="36"/>
      <c r="X1132" s="36"/>
      <c r="Y1132" s="36"/>
      <c r="Z1132" s="36"/>
      <c r="AA1132" s="36"/>
    </row>
    <row r="1133" spans="16:27" x14ac:dyDescent="0.2">
      <c r="P1133" s="36"/>
      <c r="Q1133" s="40"/>
      <c r="R1133" s="40"/>
      <c r="S1133" s="40"/>
      <c r="T1133" s="41"/>
      <c r="U1133" s="41"/>
      <c r="V1133" s="41"/>
      <c r="W1133" s="36"/>
      <c r="X1133" s="36"/>
      <c r="Y1133" s="36"/>
      <c r="Z1133" s="36"/>
      <c r="AA1133" s="36"/>
    </row>
    <row r="1134" spans="16:27" x14ac:dyDescent="0.2">
      <c r="P1134" s="36"/>
      <c r="Q1134" s="40"/>
      <c r="R1134" s="40"/>
      <c r="S1134" s="40"/>
      <c r="T1134" s="41"/>
      <c r="U1134" s="41"/>
      <c r="V1134" s="41"/>
      <c r="W1134" s="36"/>
      <c r="X1134" s="36"/>
      <c r="Y1134" s="36"/>
      <c r="Z1134" s="36"/>
      <c r="AA1134" s="36"/>
    </row>
    <row r="1135" spans="16:27" x14ac:dyDescent="0.2">
      <c r="P1135" s="36"/>
      <c r="Q1135" s="40"/>
      <c r="R1135" s="40"/>
      <c r="S1135" s="40"/>
      <c r="T1135" s="41"/>
      <c r="U1135" s="41"/>
      <c r="V1135" s="41"/>
      <c r="W1135" s="36"/>
      <c r="X1135" s="36"/>
      <c r="Y1135" s="36"/>
      <c r="Z1135" s="36"/>
      <c r="AA1135" s="36"/>
    </row>
    <row r="1136" spans="16:27" x14ac:dyDescent="0.2">
      <c r="P1136" s="36"/>
      <c r="Q1136" s="40"/>
      <c r="R1136" s="40"/>
      <c r="S1136" s="40"/>
      <c r="T1136" s="41"/>
      <c r="U1136" s="41"/>
      <c r="V1136" s="41"/>
      <c r="W1136" s="36"/>
      <c r="X1136" s="36"/>
      <c r="Y1136" s="36"/>
      <c r="Z1136" s="36"/>
      <c r="AA1136" s="36"/>
    </row>
    <row r="1137" spans="16:27" x14ac:dyDescent="0.2">
      <c r="P1137" s="36"/>
      <c r="Q1137" s="40"/>
      <c r="R1137" s="40"/>
      <c r="S1137" s="40"/>
      <c r="T1137" s="41"/>
      <c r="U1137" s="41"/>
      <c r="V1137" s="41"/>
      <c r="W1137" s="36"/>
      <c r="X1137" s="36"/>
      <c r="Y1137" s="36"/>
      <c r="Z1137" s="36"/>
      <c r="AA1137" s="36"/>
    </row>
    <row r="1138" spans="16:27" x14ac:dyDescent="0.2">
      <c r="P1138" s="36"/>
      <c r="Q1138" s="40"/>
      <c r="R1138" s="40"/>
      <c r="S1138" s="40"/>
      <c r="T1138" s="41"/>
      <c r="U1138" s="41"/>
      <c r="V1138" s="41"/>
      <c r="W1138" s="36"/>
      <c r="X1138" s="36"/>
      <c r="Y1138" s="36"/>
      <c r="Z1138" s="36"/>
      <c r="AA1138" s="36"/>
    </row>
    <row r="1139" spans="16:27" x14ac:dyDescent="0.2">
      <c r="P1139" s="36"/>
      <c r="Q1139" s="40"/>
      <c r="R1139" s="40"/>
      <c r="S1139" s="40"/>
      <c r="T1139" s="41"/>
      <c r="U1139" s="41"/>
      <c r="V1139" s="41"/>
      <c r="W1139" s="36"/>
      <c r="X1139" s="36"/>
      <c r="Y1139" s="36"/>
      <c r="Z1139" s="36"/>
      <c r="AA1139" s="36"/>
    </row>
    <row r="1140" spans="16:27" x14ac:dyDescent="0.2">
      <c r="P1140" s="36"/>
      <c r="Q1140" s="40"/>
      <c r="R1140" s="40"/>
      <c r="S1140" s="40"/>
      <c r="T1140" s="41"/>
      <c r="U1140" s="41"/>
      <c r="V1140" s="41"/>
      <c r="W1140" s="36"/>
      <c r="X1140" s="36"/>
      <c r="Y1140" s="36"/>
      <c r="Z1140" s="36"/>
      <c r="AA1140" s="36"/>
    </row>
    <row r="1141" spans="16:27" x14ac:dyDescent="0.2">
      <c r="P1141" s="36"/>
      <c r="Q1141" s="40"/>
      <c r="R1141" s="40"/>
      <c r="S1141" s="40"/>
      <c r="T1141" s="41"/>
      <c r="U1141" s="41"/>
      <c r="V1141" s="41"/>
      <c r="W1141" s="36"/>
      <c r="X1141" s="36"/>
      <c r="Y1141" s="36"/>
      <c r="Z1141" s="36"/>
      <c r="AA1141" s="36"/>
    </row>
    <row r="1142" spans="16:27" x14ac:dyDescent="0.2">
      <c r="P1142" s="36"/>
      <c r="Q1142" s="40"/>
      <c r="R1142" s="40"/>
      <c r="S1142" s="40"/>
      <c r="T1142" s="41"/>
      <c r="U1142" s="41"/>
      <c r="V1142" s="41"/>
      <c r="W1142" s="36"/>
      <c r="X1142" s="36"/>
      <c r="Y1142" s="36"/>
      <c r="Z1142" s="36"/>
      <c r="AA1142" s="36"/>
    </row>
    <row r="1143" spans="16:27" x14ac:dyDescent="0.2">
      <c r="P1143" s="36"/>
      <c r="Q1143" s="40"/>
      <c r="R1143" s="40"/>
      <c r="S1143" s="40"/>
      <c r="T1143" s="41"/>
      <c r="U1143" s="41"/>
      <c r="V1143" s="41"/>
      <c r="W1143" s="36"/>
      <c r="X1143" s="36"/>
      <c r="Y1143" s="36"/>
      <c r="Z1143" s="36"/>
      <c r="AA1143" s="36"/>
    </row>
    <row r="1144" spans="16:27" x14ac:dyDescent="0.2">
      <c r="P1144" s="36"/>
      <c r="Q1144" s="40"/>
      <c r="R1144" s="40"/>
      <c r="S1144" s="40"/>
      <c r="T1144" s="41"/>
      <c r="U1144" s="41"/>
      <c r="V1144" s="41"/>
      <c r="W1144" s="36"/>
      <c r="X1144" s="36"/>
      <c r="Y1144" s="36"/>
      <c r="Z1144" s="36"/>
      <c r="AA1144" s="36"/>
    </row>
    <row r="1145" spans="16:27" x14ac:dyDescent="0.2">
      <c r="P1145" s="36"/>
      <c r="Q1145" s="40"/>
      <c r="R1145" s="40"/>
      <c r="S1145" s="40"/>
      <c r="T1145" s="41"/>
      <c r="U1145" s="41"/>
      <c r="V1145" s="41"/>
      <c r="W1145" s="36"/>
      <c r="X1145" s="36"/>
      <c r="Y1145" s="36"/>
      <c r="Z1145" s="36"/>
      <c r="AA1145" s="36"/>
    </row>
    <row r="1146" spans="16:27" x14ac:dyDescent="0.2">
      <c r="P1146" s="36"/>
      <c r="Q1146" s="40"/>
      <c r="R1146" s="40"/>
      <c r="S1146" s="40"/>
      <c r="T1146" s="41"/>
      <c r="U1146" s="41"/>
      <c r="V1146" s="41"/>
      <c r="W1146" s="36"/>
      <c r="X1146" s="36"/>
      <c r="Y1146" s="36"/>
      <c r="Z1146" s="36"/>
      <c r="AA1146" s="36"/>
    </row>
    <row r="1147" spans="16:27" x14ac:dyDescent="0.2">
      <c r="P1147" s="36"/>
      <c r="Q1147" s="40"/>
      <c r="R1147" s="40"/>
      <c r="S1147" s="40"/>
      <c r="T1147" s="41"/>
      <c r="U1147" s="41"/>
      <c r="V1147" s="41"/>
      <c r="W1147" s="36"/>
      <c r="X1147" s="36"/>
      <c r="Y1147" s="36"/>
      <c r="Z1147" s="36"/>
      <c r="AA1147" s="36"/>
    </row>
    <row r="1148" spans="16:27" x14ac:dyDescent="0.2">
      <c r="P1148" s="36"/>
      <c r="Q1148" s="40"/>
      <c r="R1148" s="40"/>
      <c r="S1148" s="40"/>
      <c r="T1148" s="41"/>
      <c r="U1148" s="41"/>
      <c r="V1148" s="41"/>
      <c r="W1148" s="36"/>
      <c r="X1148" s="36"/>
      <c r="Y1148" s="36"/>
      <c r="Z1148" s="36"/>
      <c r="AA1148" s="36"/>
    </row>
    <row r="1149" spans="16:27" x14ac:dyDescent="0.2">
      <c r="P1149" s="36"/>
      <c r="Q1149" s="40"/>
      <c r="R1149" s="40"/>
      <c r="S1149" s="40"/>
      <c r="T1149" s="41"/>
      <c r="U1149" s="41"/>
      <c r="V1149" s="41"/>
      <c r="W1149" s="36"/>
      <c r="X1149" s="36"/>
      <c r="Y1149" s="36"/>
      <c r="Z1149" s="36"/>
      <c r="AA1149" s="36"/>
    </row>
    <row r="1150" spans="16:27" x14ac:dyDescent="0.2">
      <c r="P1150" s="36"/>
      <c r="Q1150" s="40"/>
      <c r="R1150" s="40"/>
      <c r="S1150" s="40"/>
      <c r="T1150" s="41"/>
      <c r="U1150" s="41"/>
      <c r="V1150" s="41"/>
      <c r="W1150" s="36"/>
      <c r="X1150" s="36"/>
      <c r="Y1150" s="36"/>
      <c r="Z1150" s="36"/>
      <c r="AA1150" s="36"/>
    </row>
    <row r="1151" spans="16:27" x14ac:dyDescent="0.2">
      <c r="P1151" s="36"/>
      <c r="Q1151" s="40"/>
      <c r="R1151" s="40"/>
      <c r="S1151" s="40"/>
      <c r="T1151" s="41"/>
      <c r="U1151" s="41"/>
      <c r="V1151" s="41"/>
      <c r="W1151" s="36"/>
      <c r="X1151" s="36"/>
      <c r="Y1151" s="36"/>
      <c r="Z1151" s="36"/>
      <c r="AA1151" s="36"/>
    </row>
    <row r="1152" spans="16:27" x14ac:dyDescent="0.2">
      <c r="P1152" s="36"/>
      <c r="Q1152" s="40"/>
      <c r="R1152" s="40"/>
      <c r="S1152" s="40"/>
      <c r="T1152" s="41"/>
      <c r="U1152" s="41"/>
      <c r="V1152" s="41"/>
      <c r="W1152" s="36"/>
      <c r="X1152" s="36"/>
      <c r="Y1152" s="36"/>
      <c r="Z1152" s="36"/>
      <c r="AA1152" s="36"/>
    </row>
    <row r="1153" spans="16:27" x14ac:dyDescent="0.2">
      <c r="P1153" s="36"/>
      <c r="Q1153" s="40"/>
      <c r="R1153" s="40"/>
      <c r="S1153" s="40"/>
      <c r="T1153" s="41"/>
      <c r="U1153" s="41"/>
      <c r="V1153" s="41"/>
      <c r="W1153" s="36"/>
      <c r="X1153" s="36"/>
      <c r="Y1153" s="36"/>
      <c r="Z1153" s="36"/>
      <c r="AA1153" s="36"/>
    </row>
    <row r="1154" spans="16:27" x14ac:dyDescent="0.2">
      <c r="P1154" s="36"/>
      <c r="Q1154" s="40"/>
      <c r="R1154" s="40"/>
      <c r="S1154" s="40"/>
      <c r="T1154" s="41"/>
      <c r="U1154" s="41"/>
      <c r="V1154" s="41"/>
      <c r="W1154" s="36"/>
      <c r="X1154" s="36"/>
      <c r="Y1154" s="36"/>
      <c r="Z1154" s="36"/>
      <c r="AA1154" s="36"/>
    </row>
    <row r="1155" spans="16:27" x14ac:dyDescent="0.2">
      <c r="P1155" s="36"/>
      <c r="Q1155" s="40"/>
      <c r="R1155" s="40"/>
      <c r="S1155" s="40"/>
      <c r="T1155" s="41"/>
      <c r="U1155" s="41"/>
      <c r="V1155" s="41"/>
      <c r="W1155" s="36"/>
      <c r="X1155" s="36"/>
      <c r="Y1155" s="36"/>
      <c r="Z1155" s="36"/>
      <c r="AA1155" s="36"/>
    </row>
    <row r="1156" spans="16:27" x14ac:dyDescent="0.2">
      <c r="P1156" s="36"/>
      <c r="Q1156" s="40"/>
      <c r="R1156" s="40"/>
      <c r="S1156" s="40"/>
      <c r="T1156" s="41"/>
      <c r="U1156" s="41"/>
      <c r="V1156" s="41"/>
      <c r="W1156" s="36"/>
      <c r="X1156" s="36"/>
      <c r="Y1156" s="36"/>
      <c r="Z1156" s="36"/>
      <c r="AA1156" s="36"/>
    </row>
    <row r="1157" spans="16:27" x14ac:dyDescent="0.2">
      <c r="P1157" s="36"/>
      <c r="Q1157" s="40"/>
      <c r="R1157" s="40"/>
      <c r="S1157" s="40"/>
      <c r="T1157" s="41"/>
      <c r="U1157" s="41"/>
      <c r="V1157" s="41"/>
      <c r="W1157" s="36"/>
      <c r="X1157" s="36"/>
      <c r="Y1157" s="36"/>
      <c r="Z1157" s="36"/>
      <c r="AA1157" s="36"/>
    </row>
    <row r="1158" spans="16:27" x14ac:dyDescent="0.2">
      <c r="P1158" s="36"/>
      <c r="Q1158" s="40"/>
      <c r="R1158" s="40"/>
      <c r="S1158" s="40"/>
      <c r="T1158" s="41"/>
      <c r="U1158" s="41"/>
      <c r="V1158" s="41"/>
      <c r="W1158" s="36"/>
      <c r="X1158" s="36"/>
      <c r="Y1158" s="36"/>
      <c r="Z1158" s="36"/>
      <c r="AA1158" s="36"/>
    </row>
    <row r="1159" spans="16:27" x14ac:dyDescent="0.2">
      <c r="P1159" s="36"/>
      <c r="Q1159" s="40"/>
      <c r="R1159" s="40"/>
      <c r="S1159" s="40"/>
      <c r="T1159" s="41"/>
      <c r="U1159" s="41"/>
      <c r="V1159" s="41"/>
      <c r="W1159" s="36"/>
      <c r="X1159" s="36"/>
      <c r="Y1159" s="36"/>
      <c r="Z1159" s="36"/>
      <c r="AA1159" s="36"/>
    </row>
    <row r="1160" spans="16:27" x14ac:dyDescent="0.2">
      <c r="P1160" s="36"/>
      <c r="Q1160" s="40"/>
      <c r="R1160" s="40"/>
      <c r="S1160" s="40"/>
      <c r="T1160" s="41"/>
      <c r="U1160" s="41"/>
      <c r="V1160" s="41"/>
      <c r="W1160" s="36"/>
      <c r="X1160" s="36"/>
      <c r="Y1160" s="36"/>
      <c r="Z1160" s="36"/>
      <c r="AA1160" s="36"/>
    </row>
    <row r="1161" spans="16:27" x14ac:dyDescent="0.2">
      <c r="P1161" s="36"/>
      <c r="Q1161" s="40"/>
      <c r="R1161" s="40"/>
      <c r="S1161" s="40"/>
      <c r="T1161" s="41"/>
      <c r="U1161" s="41"/>
      <c r="V1161" s="41"/>
      <c r="W1161" s="36"/>
      <c r="X1161" s="36"/>
      <c r="Y1161" s="36"/>
      <c r="Z1161" s="36"/>
      <c r="AA1161" s="36"/>
    </row>
    <row r="1162" spans="16:27" x14ac:dyDescent="0.2">
      <c r="P1162" s="36"/>
      <c r="Q1162" s="40"/>
      <c r="R1162" s="40"/>
      <c r="S1162" s="40"/>
      <c r="T1162" s="41"/>
      <c r="U1162" s="41"/>
      <c r="V1162" s="41"/>
      <c r="W1162" s="36"/>
      <c r="X1162" s="36"/>
      <c r="Y1162" s="36"/>
      <c r="Z1162" s="36"/>
      <c r="AA1162" s="36"/>
    </row>
    <row r="1163" spans="16:27" x14ac:dyDescent="0.2">
      <c r="P1163" s="36"/>
      <c r="Q1163" s="40"/>
      <c r="R1163" s="40"/>
      <c r="S1163" s="40"/>
      <c r="T1163" s="41"/>
      <c r="U1163" s="41"/>
      <c r="V1163" s="41"/>
      <c r="W1163" s="36"/>
      <c r="X1163" s="36"/>
      <c r="Y1163" s="36"/>
      <c r="Z1163" s="36"/>
      <c r="AA1163" s="36"/>
    </row>
    <row r="1164" spans="16:27" x14ac:dyDescent="0.2">
      <c r="P1164" s="36"/>
      <c r="Q1164" s="40"/>
      <c r="R1164" s="40"/>
      <c r="S1164" s="40"/>
      <c r="T1164" s="41"/>
      <c r="U1164" s="41"/>
      <c r="V1164" s="41"/>
      <c r="W1164" s="36"/>
      <c r="X1164" s="36"/>
      <c r="Y1164" s="36"/>
      <c r="Z1164" s="36"/>
      <c r="AA1164" s="36"/>
    </row>
    <row r="1165" spans="16:27" x14ac:dyDescent="0.2">
      <c r="P1165" s="36"/>
      <c r="Q1165" s="40"/>
      <c r="R1165" s="40"/>
      <c r="S1165" s="40"/>
      <c r="T1165" s="41"/>
      <c r="U1165" s="41"/>
      <c r="V1165" s="41"/>
      <c r="W1165" s="36"/>
      <c r="X1165" s="36"/>
      <c r="Y1165" s="36"/>
      <c r="Z1165" s="36"/>
      <c r="AA1165" s="36"/>
    </row>
    <row r="1166" spans="16:27" x14ac:dyDescent="0.2">
      <c r="P1166" s="36"/>
      <c r="Q1166" s="40"/>
      <c r="R1166" s="40"/>
      <c r="S1166" s="40"/>
      <c r="T1166" s="41"/>
      <c r="U1166" s="41"/>
      <c r="V1166" s="41"/>
      <c r="W1166" s="36"/>
      <c r="X1166" s="36"/>
      <c r="Y1166" s="36"/>
      <c r="Z1166" s="36"/>
      <c r="AA1166" s="36"/>
    </row>
    <row r="1167" spans="16:27" x14ac:dyDescent="0.2">
      <c r="P1167" s="36"/>
      <c r="Q1167" s="40"/>
      <c r="R1167" s="40"/>
      <c r="S1167" s="40"/>
      <c r="T1167" s="41"/>
      <c r="U1167" s="41"/>
      <c r="V1167" s="41"/>
      <c r="W1167" s="36"/>
      <c r="X1167" s="36"/>
      <c r="Y1167" s="36"/>
      <c r="Z1167" s="36"/>
      <c r="AA1167" s="36"/>
    </row>
    <row r="1168" spans="16:27" x14ac:dyDescent="0.2">
      <c r="P1168" s="36"/>
      <c r="Q1168" s="40"/>
      <c r="R1168" s="40"/>
      <c r="S1168" s="40"/>
      <c r="T1168" s="41"/>
      <c r="U1168" s="41"/>
      <c r="V1168" s="41"/>
      <c r="W1168" s="36"/>
      <c r="X1168" s="36"/>
      <c r="Y1168" s="36"/>
      <c r="Z1168" s="36"/>
      <c r="AA1168" s="36"/>
    </row>
    <row r="1169" spans="16:27" x14ac:dyDescent="0.2">
      <c r="P1169" s="36"/>
      <c r="Q1169" s="40"/>
      <c r="R1169" s="40"/>
      <c r="S1169" s="40"/>
      <c r="T1169" s="41"/>
      <c r="U1169" s="41"/>
      <c r="V1169" s="41"/>
      <c r="W1169" s="36"/>
      <c r="X1169" s="36"/>
      <c r="Y1169" s="36"/>
      <c r="Z1169" s="36"/>
      <c r="AA1169" s="36"/>
    </row>
    <row r="1170" spans="16:27" x14ac:dyDescent="0.2">
      <c r="P1170" s="36"/>
      <c r="Q1170" s="40"/>
      <c r="R1170" s="40"/>
      <c r="S1170" s="40"/>
      <c r="T1170" s="41"/>
      <c r="U1170" s="41"/>
      <c r="V1170" s="41"/>
      <c r="W1170" s="36"/>
      <c r="X1170" s="36"/>
      <c r="Y1170" s="36"/>
      <c r="Z1170" s="36"/>
      <c r="AA1170" s="36"/>
    </row>
    <row r="1171" spans="16:27" x14ac:dyDescent="0.2">
      <c r="P1171" s="36"/>
      <c r="Q1171" s="40"/>
      <c r="R1171" s="40"/>
      <c r="S1171" s="40"/>
      <c r="T1171" s="41"/>
      <c r="U1171" s="41"/>
      <c r="V1171" s="41"/>
      <c r="W1171" s="36"/>
      <c r="X1171" s="36"/>
      <c r="Y1171" s="36"/>
      <c r="Z1171" s="36"/>
      <c r="AA1171" s="36"/>
    </row>
    <row r="1172" spans="16:27" x14ac:dyDescent="0.2">
      <c r="P1172" s="36"/>
      <c r="Q1172" s="40"/>
      <c r="R1172" s="40"/>
      <c r="S1172" s="40"/>
      <c r="T1172" s="41"/>
      <c r="U1172" s="41"/>
      <c r="V1172" s="41"/>
      <c r="W1172" s="36"/>
      <c r="X1172" s="36"/>
      <c r="Y1172" s="36"/>
      <c r="Z1172" s="36"/>
      <c r="AA1172" s="36"/>
    </row>
    <row r="1173" spans="16:27" x14ac:dyDescent="0.2">
      <c r="P1173" s="36"/>
      <c r="Q1173" s="40"/>
      <c r="R1173" s="40"/>
      <c r="S1173" s="40"/>
      <c r="T1173" s="41"/>
      <c r="U1173" s="41"/>
      <c r="V1173" s="41"/>
      <c r="W1173" s="36"/>
      <c r="X1173" s="36"/>
      <c r="Y1173" s="36"/>
      <c r="Z1173" s="36"/>
      <c r="AA1173" s="36"/>
    </row>
    <row r="1174" spans="16:27" x14ac:dyDescent="0.2">
      <c r="P1174" s="36"/>
      <c r="Q1174" s="40"/>
      <c r="R1174" s="40"/>
      <c r="S1174" s="40"/>
      <c r="T1174" s="41"/>
      <c r="U1174" s="41"/>
      <c r="V1174" s="41"/>
      <c r="W1174" s="36"/>
      <c r="X1174" s="36"/>
      <c r="Y1174" s="36"/>
      <c r="Z1174" s="36"/>
      <c r="AA1174" s="36"/>
    </row>
    <row r="1175" spans="16:27" x14ac:dyDescent="0.2">
      <c r="P1175" s="36"/>
      <c r="Q1175" s="40"/>
      <c r="R1175" s="40"/>
      <c r="S1175" s="40"/>
      <c r="T1175" s="41"/>
      <c r="U1175" s="41"/>
      <c r="V1175" s="41"/>
      <c r="W1175" s="36"/>
      <c r="X1175" s="36"/>
      <c r="Y1175" s="36"/>
      <c r="Z1175" s="36"/>
      <c r="AA1175" s="36"/>
    </row>
    <row r="1176" spans="16:27" x14ac:dyDescent="0.2">
      <c r="P1176" s="36"/>
      <c r="Q1176" s="40"/>
      <c r="R1176" s="40"/>
      <c r="S1176" s="40"/>
      <c r="T1176" s="41"/>
      <c r="U1176" s="41"/>
      <c r="V1176" s="41"/>
      <c r="W1176" s="36"/>
      <c r="X1176" s="36"/>
      <c r="Y1176" s="36"/>
      <c r="Z1176" s="36"/>
      <c r="AA1176" s="36"/>
    </row>
    <row r="1177" spans="16:27" x14ac:dyDescent="0.2">
      <c r="P1177" s="36"/>
      <c r="Q1177" s="40"/>
      <c r="R1177" s="40"/>
      <c r="S1177" s="40"/>
      <c r="T1177" s="41"/>
      <c r="U1177" s="41"/>
      <c r="V1177" s="41"/>
      <c r="W1177" s="36"/>
      <c r="X1177" s="36"/>
      <c r="Y1177" s="36"/>
      <c r="Z1177" s="36"/>
      <c r="AA1177" s="36"/>
    </row>
    <row r="1178" spans="16:27" x14ac:dyDescent="0.2">
      <c r="P1178" s="36"/>
      <c r="Q1178" s="40"/>
      <c r="R1178" s="40"/>
      <c r="S1178" s="40"/>
      <c r="T1178" s="41"/>
      <c r="U1178" s="41"/>
      <c r="V1178" s="41"/>
      <c r="W1178" s="36"/>
      <c r="X1178" s="36"/>
      <c r="Y1178" s="36"/>
      <c r="Z1178" s="36"/>
      <c r="AA1178" s="36"/>
    </row>
    <row r="1179" spans="16:27" x14ac:dyDescent="0.2">
      <c r="P1179" s="36"/>
      <c r="Q1179" s="40"/>
      <c r="R1179" s="40"/>
      <c r="S1179" s="40"/>
      <c r="T1179" s="41"/>
      <c r="U1179" s="41"/>
      <c r="V1179" s="41"/>
      <c r="W1179" s="36"/>
      <c r="X1179" s="36"/>
      <c r="Y1179" s="36"/>
      <c r="Z1179" s="36"/>
      <c r="AA1179" s="36"/>
    </row>
    <row r="1180" spans="16:27" x14ac:dyDescent="0.2">
      <c r="P1180" s="36"/>
      <c r="Q1180" s="40"/>
      <c r="R1180" s="40"/>
      <c r="S1180" s="40"/>
      <c r="T1180" s="41"/>
      <c r="U1180" s="41"/>
      <c r="V1180" s="41"/>
      <c r="W1180" s="36"/>
      <c r="X1180" s="36"/>
      <c r="Y1180" s="36"/>
      <c r="Z1180" s="36"/>
      <c r="AA1180" s="36"/>
    </row>
    <row r="1181" spans="16:27" x14ac:dyDescent="0.2">
      <c r="P1181" s="36"/>
      <c r="Q1181" s="40"/>
      <c r="R1181" s="40"/>
      <c r="S1181" s="40"/>
      <c r="T1181" s="41"/>
      <c r="U1181" s="41"/>
      <c r="V1181" s="41"/>
      <c r="W1181" s="36"/>
      <c r="X1181" s="36"/>
      <c r="Y1181" s="36"/>
      <c r="Z1181" s="36"/>
      <c r="AA1181" s="36"/>
    </row>
    <row r="1182" spans="16:27" x14ac:dyDescent="0.2">
      <c r="P1182" s="36"/>
      <c r="Q1182" s="40"/>
      <c r="R1182" s="40"/>
      <c r="S1182" s="40"/>
      <c r="T1182" s="41"/>
      <c r="U1182" s="41"/>
      <c r="V1182" s="41"/>
      <c r="W1182" s="36"/>
      <c r="X1182" s="36"/>
      <c r="Y1182" s="36"/>
      <c r="Z1182" s="36"/>
      <c r="AA1182" s="36"/>
    </row>
    <row r="1183" spans="16:27" x14ac:dyDescent="0.2">
      <c r="P1183" s="36"/>
      <c r="Q1183" s="40"/>
      <c r="R1183" s="40"/>
      <c r="S1183" s="40"/>
      <c r="T1183" s="41"/>
      <c r="U1183" s="41"/>
      <c r="V1183" s="41"/>
      <c r="W1183" s="36"/>
      <c r="X1183" s="36"/>
      <c r="Y1183" s="36"/>
      <c r="Z1183" s="36"/>
      <c r="AA1183" s="36"/>
    </row>
    <row r="1184" spans="16:27" x14ac:dyDescent="0.2">
      <c r="P1184" s="36"/>
      <c r="Q1184" s="40"/>
      <c r="R1184" s="40"/>
      <c r="S1184" s="40"/>
      <c r="T1184" s="41"/>
      <c r="U1184" s="41"/>
      <c r="V1184" s="41"/>
      <c r="W1184" s="36"/>
      <c r="X1184" s="36"/>
      <c r="Y1184" s="36"/>
      <c r="Z1184" s="36"/>
      <c r="AA1184" s="36"/>
    </row>
    <row r="1185" spans="16:27" x14ac:dyDescent="0.2">
      <c r="P1185" s="36"/>
      <c r="Q1185" s="40"/>
      <c r="R1185" s="40"/>
      <c r="S1185" s="40"/>
      <c r="T1185" s="41"/>
      <c r="U1185" s="41"/>
      <c r="V1185" s="41"/>
      <c r="W1185" s="36"/>
      <c r="X1185" s="36"/>
      <c r="Y1185" s="36"/>
      <c r="Z1185" s="36"/>
      <c r="AA1185" s="36"/>
    </row>
    <row r="1186" spans="16:27" x14ac:dyDescent="0.2">
      <c r="P1186" s="36"/>
      <c r="Q1186" s="40"/>
      <c r="R1186" s="40"/>
      <c r="S1186" s="40"/>
      <c r="T1186" s="41"/>
      <c r="U1186" s="41"/>
      <c r="V1186" s="41"/>
      <c r="W1186" s="36"/>
      <c r="X1186" s="36"/>
      <c r="Y1186" s="36"/>
      <c r="Z1186" s="36"/>
      <c r="AA1186" s="36"/>
    </row>
    <row r="1187" spans="16:27" x14ac:dyDescent="0.2">
      <c r="P1187" s="36"/>
      <c r="Q1187" s="40"/>
      <c r="R1187" s="40"/>
      <c r="S1187" s="40"/>
      <c r="T1187" s="41"/>
      <c r="U1187" s="41"/>
      <c r="V1187" s="41"/>
      <c r="W1187" s="36"/>
      <c r="X1187" s="36"/>
      <c r="Y1187" s="36"/>
      <c r="Z1187" s="36"/>
      <c r="AA1187" s="36"/>
    </row>
    <row r="1188" spans="16:27" x14ac:dyDescent="0.2">
      <c r="P1188" s="36"/>
      <c r="Q1188" s="40"/>
      <c r="R1188" s="40"/>
      <c r="S1188" s="40"/>
      <c r="T1188" s="41"/>
      <c r="U1188" s="41"/>
      <c r="V1188" s="41"/>
      <c r="W1188" s="36"/>
      <c r="X1188" s="36"/>
      <c r="Y1188" s="36"/>
      <c r="Z1188" s="36"/>
      <c r="AA1188" s="36"/>
    </row>
    <row r="1189" spans="16:27" x14ac:dyDescent="0.2">
      <c r="P1189" s="36"/>
      <c r="Q1189" s="40"/>
      <c r="R1189" s="40"/>
      <c r="S1189" s="40"/>
      <c r="T1189" s="41"/>
      <c r="U1189" s="41"/>
      <c r="V1189" s="41"/>
      <c r="W1189" s="36"/>
      <c r="X1189" s="36"/>
      <c r="Y1189" s="36"/>
      <c r="Z1189" s="36"/>
      <c r="AA1189" s="36"/>
    </row>
    <row r="1190" spans="16:27" x14ac:dyDescent="0.2">
      <c r="P1190" s="36"/>
      <c r="Q1190" s="40"/>
      <c r="R1190" s="40"/>
      <c r="S1190" s="40"/>
      <c r="T1190" s="41"/>
      <c r="U1190" s="41"/>
      <c r="V1190" s="41"/>
      <c r="W1190" s="36"/>
      <c r="X1190" s="36"/>
      <c r="Y1190" s="36"/>
      <c r="Z1190" s="36"/>
      <c r="AA1190" s="36"/>
    </row>
    <row r="1191" spans="16:27" x14ac:dyDescent="0.2">
      <c r="P1191" s="36"/>
      <c r="Q1191" s="40"/>
      <c r="R1191" s="40"/>
      <c r="S1191" s="40"/>
      <c r="T1191" s="41"/>
      <c r="U1191" s="41"/>
      <c r="V1191" s="41"/>
      <c r="W1191" s="36"/>
      <c r="X1191" s="36"/>
      <c r="Y1191" s="36"/>
      <c r="Z1191" s="36"/>
      <c r="AA1191" s="36"/>
    </row>
    <row r="1192" spans="16:27" x14ac:dyDescent="0.2">
      <c r="P1192" s="36"/>
      <c r="Q1192" s="40"/>
      <c r="R1192" s="40"/>
      <c r="S1192" s="40"/>
      <c r="T1192" s="41"/>
      <c r="U1192" s="41"/>
      <c r="V1192" s="41"/>
      <c r="W1192" s="36"/>
      <c r="X1192" s="36"/>
      <c r="Y1192" s="36"/>
      <c r="Z1192" s="36"/>
      <c r="AA1192" s="36"/>
    </row>
    <row r="1193" spans="16:27" x14ac:dyDescent="0.2">
      <c r="P1193" s="36"/>
      <c r="Q1193" s="40"/>
      <c r="R1193" s="40"/>
      <c r="S1193" s="40"/>
      <c r="T1193" s="41"/>
      <c r="U1193" s="41"/>
      <c r="V1193" s="41"/>
      <c r="W1193" s="36"/>
      <c r="X1193" s="36"/>
      <c r="Y1193" s="36"/>
      <c r="Z1193" s="36"/>
      <c r="AA1193" s="36"/>
    </row>
    <row r="1194" spans="16:27" x14ac:dyDescent="0.2">
      <c r="P1194" s="36"/>
      <c r="Q1194" s="40"/>
      <c r="R1194" s="40"/>
      <c r="S1194" s="40"/>
      <c r="T1194" s="41"/>
      <c r="U1194" s="41"/>
      <c r="V1194" s="41"/>
      <c r="W1194" s="36"/>
      <c r="X1194" s="36"/>
      <c r="Y1194" s="36"/>
      <c r="Z1194" s="36"/>
      <c r="AA1194" s="36"/>
    </row>
    <row r="1195" spans="16:27" x14ac:dyDescent="0.2">
      <c r="P1195" s="36"/>
      <c r="Q1195" s="40"/>
      <c r="R1195" s="40"/>
      <c r="S1195" s="40"/>
      <c r="T1195" s="41"/>
      <c r="U1195" s="41"/>
      <c r="V1195" s="41"/>
      <c r="W1195" s="36"/>
      <c r="X1195" s="36"/>
      <c r="Y1195" s="36"/>
      <c r="Z1195" s="36"/>
      <c r="AA1195" s="36"/>
    </row>
    <row r="1196" spans="16:27" x14ac:dyDescent="0.2">
      <c r="P1196" s="36"/>
      <c r="Q1196" s="40"/>
      <c r="R1196" s="40"/>
      <c r="S1196" s="40"/>
      <c r="T1196" s="41"/>
      <c r="U1196" s="41"/>
      <c r="V1196" s="41"/>
      <c r="W1196" s="36"/>
      <c r="X1196" s="36"/>
      <c r="Y1196" s="36"/>
      <c r="Z1196" s="36"/>
      <c r="AA1196" s="36"/>
    </row>
    <row r="1197" spans="16:27" x14ac:dyDescent="0.2">
      <c r="P1197" s="36"/>
      <c r="Q1197" s="40"/>
      <c r="R1197" s="40"/>
      <c r="S1197" s="40"/>
      <c r="T1197" s="41"/>
      <c r="U1197" s="41"/>
      <c r="V1197" s="41"/>
      <c r="W1197" s="36"/>
      <c r="X1197" s="36"/>
      <c r="Y1197" s="36"/>
      <c r="Z1197" s="36"/>
      <c r="AA1197" s="36"/>
    </row>
    <row r="1198" spans="16:27" x14ac:dyDescent="0.2">
      <c r="P1198" s="36"/>
      <c r="Q1198" s="40"/>
      <c r="R1198" s="40"/>
      <c r="S1198" s="40"/>
      <c r="T1198" s="41"/>
      <c r="U1198" s="41"/>
      <c r="V1198" s="41"/>
      <c r="W1198" s="36"/>
      <c r="X1198" s="36"/>
      <c r="Y1198" s="36"/>
      <c r="Z1198" s="36"/>
      <c r="AA1198" s="36"/>
    </row>
    <row r="1199" spans="16:27" x14ac:dyDescent="0.2">
      <c r="P1199" s="36"/>
      <c r="Q1199" s="40"/>
      <c r="R1199" s="40"/>
      <c r="S1199" s="40"/>
      <c r="T1199" s="41"/>
      <c r="U1199" s="41"/>
      <c r="V1199" s="41"/>
      <c r="W1199" s="36"/>
      <c r="X1199" s="36"/>
      <c r="Y1199" s="36"/>
      <c r="Z1199" s="36"/>
      <c r="AA1199" s="36"/>
    </row>
    <row r="1200" spans="16:27" x14ac:dyDescent="0.2">
      <c r="P1200" s="36"/>
      <c r="Q1200" s="40"/>
      <c r="R1200" s="40"/>
      <c r="S1200" s="40"/>
      <c r="T1200" s="41"/>
      <c r="U1200" s="41"/>
      <c r="V1200" s="41"/>
      <c r="W1200" s="36"/>
      <c r="X1200" s="36"/>
      <c r="Y1200" s="36"/>
      <c r="Z1200" s="36"/>
      <c r="AA1200" s="36"/>
    </row>
    <row r="1201" spans="16:27" x14ac:dyDescent="0.2">
      <c r="P1201" s="36"/>
      <c r="Q1201" s="40"/>
      <c r="R1201" s="40"/>
      <c r="S1201" s="40"/>
      <c r="T1201" s="41"/>
      <c r="U1201" s="41"/>
      <c r="V1201" s="41"/>
      <c r="W1201" s="36"/>
      <c r="X1201" s="36"/>
      <c r="Y1201" s="36"/>
      <c r="Z1201" s="36"/>
      <c r="AA1201" s="36"/>
    </row>
    <row r="1202" spans="16:27" x14ac:dyDescent="0.2">
      <c r="P1202" s="36"/>
      <c r="Q1202" s="40"/>
      <c r="R1202" s="40"/>
      <c r="S1202" s="40"/>
      <c r="T1202" s="41"/>
      <c r="U1202" s="41"/>
      <c r="V1202" s="41"/>
      <c r="W1202" s="36"/>
      <c r="X1202" s="36"/>
      <c r="Y1202" s="36"/>
      <c r="Z1202" s="36"/>
      <c r="AA1202" s="36"/>
    </row>
    <row r="1203" spans="16:27" x14ac:dyDescent="0.2">
      <c r="P1203" s="36"/>
      <c r="Q1203" s="40"/>
      <c r="R1203" s="40"/>
      <c r="S1203" s="40"/>
      <c r="T1203" s="41"/>
      <c r="U1203" s="41"/>
      <c r="V1203" s="41"/>
      <c r="W1203" s="36"/>
      <c r="X1203" s="36"/>
      <c r="Y1203" s="36"/>
      <c r="Z1203" s="36"/>
      <c r="AA1203" s="36"/>
    </row>
    <row r="1204" spans="16:27" x14ac:dyDescent="0.2">
      <c r="P1204" s="36"/>
      <c r="Q1204" s="40"/>
      <c r="R1204" s="40"/>
      <c r="S1204" s="40"/>
      <c r="T1204" s="41"/>
      <c r="U1204" s="41"/>
      <c r="V1204" s="41"/>
      <c r="W1204" s="36"/>
      <c r="X1204" s="36"/>
      <c r="Y1204" s="36"/>
      <c r="Z1204" s="36"/>
      <c r="AA1204" s="36"/>
    </row>
    <row r="1205" spans="16:27" x14ac:dyDescent="0.2">
      <c r="P1205" s="36"/>
      <c r="Q1205" s="40"/>
      <c r="R1205" s="40"/>
      <c r="S1205" s="40"/>
      <c r="T1205" s="41"/>
      <c r="U1205" s="41"/>
      <c r="V1205" s="41"/>
      <c r="W1205" s="36"/>
      <c r="X1205" s="36"/>
      <c r="Y1205" s="36"/>
      <c r="Z1205" s="36"/>
      <c r="AA1205" s="36"/>
    </row>
    <row r="1206" spans="16:27" x14ac:dyDescent="0.2">
      <c r="P1206" s="36"/>
      <c r="Q1206" s="40"/>
      <c r="R1206" s="40"/>
      <c r="S1206" s="40"/>
      <c r="T1206" s="41"/>
      <c r="U1206" s="41"/>
      <c r="V1206" s="41"/>
      <c r="W1206" s="36"/>
      <c r="X1206" s="36"/>
      <c r="Y1206" s="36"/>
      <c r="Z1206" s="36"/>
      <c r="AA1206" s="36"/>
    </row>
    <row r="1207" spans="16:27" x14ac:dyDescent="0.2">
      <c r="P1207" s="36"/>
      <c r="Q1207" s="40"/>
      <c r="R1207" s="40"/>
      <c r="S1207" s="40"/>
      <c r="T1207" s="41"/>
      <c r="U1207" s="41"/>
      <c r="V1207" s="41"/>
      <c r="W1207" s="36"/>
      <c r="X1207" s="36"/>
      <c r="Y1207" s="36"/>
      <c r="Z1207" s="36"/>
      <c r="AA1207" s="36"/>
    </row>
    <row r="1208" spans="16:27" x14ac:dyDescent="0.2">
      <c r="P1208" s="36"/>
      <c r="Q1208" s="40"/>
      <c r="R1208" s="40"/>
      <c r="S1208" s="40"/>
      <c r="T1208" s="41"/>
      <c r="U1208" s="41"/>
      <c r="V1208" s="41"/>
      <c r="W1208" s="36"/>
      <c r="X1208" s="36"/>
      <c r="Y1208" s="36"/>
      <c r="Z1208" s="36"/>
      <c r="AA1208" s="36"/>
    </row>
    <row r="1209" spans="16:27" x14ac:dyDescent="0.2">
      <c r="P1209" s="36"/>
      <c r="Q1209" s="40"/>
      <c r="R1209" s="40"/>
      <c r="S1209" s="40"/>
      <c r="T1209" s="41"/>
      <c r="U1209" s="41"/>
      <c r="V1209" s="41"/>
      <c r="W1209" s="36"/>
      <c r="X1209" s="36"/>
      <c r="Y1209" s="36"/>
      <c r="Z1209" s="36"/>
      <c r="AA1209" s="36"/>
    </row>
    <row r="1210" spans="16:27" x14ac:dyDescent="0.2">
      <c r="P1210" s="36"/>
      <c r="Q1210" s="40"/>
      <c r="R1210" s="40"/>
      <c r="S1210" s="40"/>
      <c r="T1210" s="41"/>
      <c r="U1210" s="41"/>
      <c r="V1210" s="41"/>
      <c r="W1210" s="36"/>
      <c r="X1210" s="36"/>
      <c r="Y1210" s="36"/>
      <c r="Z1210" s="36"/>
      <c r="AA1210" s="36"/>
    </row>
    <row r="1211" spans="16:27" x14ac:dyDescent="0.2">
      <c r="P1211" s="36"/>
      <c r="Q1211" s="40"/>
      <c r="R1211" s="40"/>
      <c r="S1211" s="40"/>
      <c r="T1211" s="41"/>
      <c r="U1211" s="41"/>
      <c r="V1211" s="41"/>
      <c r="W1211" s="36"/>
      <c r="X1211" s="36"/>
      <c r="Y1211" s="36"/>
      <c r="Z1211" s="36"/>
      <c r="AA1211" s="36"/>
    </row>
    <row r="1212" spans="16:27" x14ac:dyDescent="0.2">
      <c r="P1212" s="36"/>
      <c r="Q1212" s="40"/>
      <c r="R1212" s="40"/>
      <c r="S1212" s="40"/>
      <c r="T1212" s="41"/>
      <c r="U1212" s="41"/>
      <c r="V1212" s="41"/>
      <c r="W1212" s="36"/>
      <c r="X1212" s="36"/>
      <c r="Y1212" s="36"/>
      <c r="Z1212" s="36"/>
      <c r="AA1212" s="36"/>
    </row>
    <row r="1213" spans="16:27" x14ac:dyDescent="0.2">
      <c r="P1213" s="36"/>
      <c r="Q1213" s="40"/>
      <c r="R1213" s="40"/>
      <c r="S1213" s="40"/>
      <c r="T1213" s="41"/>
      <c r="U1213" s="41"/>
      <c r="V1213" s="41"/>
      <c r="W1213" s="36"/>
      <c r="X1213" s="36"/>
      <c r="Y1213" s="36"/>
      <c r="Z1213" s="36"/>
      <c r="AA1213" s="36"/>
    </row>
    <row r="1214" spans="16:27" x14ac:dyDescent="0.2">
      <c r="P1214" s="36"/>
      <c r="Q1214" s="40"/>
      <c r="R1214" s="40"/>
      <c r="S1214" s="40"/>
      <c r="T1214" s="41"/>
      <c r="U1214" s="41"/>
      <c r="V1214" s="41"/>
      <c r="W1214" s="36"/>
      <c r="X1214" s="36"/>
      <c r="Y1214" s="36"/>
      <c r="Z1214" s="36"/>
      <c r="AA1214" s="36"/>
    </row>
    <row r="1215" spans="16:27" x14ac:dyDescent="0.2">
      <c r="P1215" s="36"/>
      <c r="Q1215" s="40"/>
      <c r="R1215" s="40"/>
      <c r="S1215" s="40"/>
      <c r="T1215" s="41"/>
      <c r="U1215" s="41"/>
      <c r="V1215" s="41"/>
      <c r="W1215" s="36"/>
      <c r="X1215" s="36"/>
      <c r="Y1215" s="36"/>
      <c r="Z1215" s="36"/>
      <c r="AA1215" s="36"/>
    </row>
    <row r="1216" spans="16:27" x14ac:dyDescent="0.2">
      <c r="P1216" s="36"/>
      <c r="Q1216" s="40"/>
      <c r="R1216" s="40"/>
      <c r="S1216" s="40"/>
      <c r="T1216" s="41"/>
      <c r="U1216" s="41"/>
      <c r="V1216" s="41"/>
      <c r="W1216" s="36"/>
      <c r="X1216" s="36"/>
      <c r="Y1216" s="36"/>
      <c r="Z1216" s="36"/>
      <c r="AA1216" s="36"/>
    </row>
    <row r="1217" spans="16:27" x14ac:dyDescent="0.2">
      <c r="P1217" s="36"/>
      <c r="Q1217" s="40"/>
      <c r="R1217" s="40"/>
      <c r="S1217" s="40"/>
      <c r="T1217" s="41"/>
      <c r="U1217" s="41"/>
      <c r="V1217" s="41"/>
      <c r="W1217" s="36"/>
      <c r="X1217" s="36"/>
      <c r="Y1217" s="36"/>
      <c r="Z1217" s="36"/>
      <c r="AA1217" s="36"/>
    </row>
    <row r="1218" spans="16:27" x14ac:dyDescent="0.2">
      <c r="P1218" s="36"/>
      <c r="Q1218" s="40"/>
      <c r="R1218" s="40"/>
      <c r="S1218" s="40"/>
      <c r="T1218" s="41"/>
      <c r="U1218" s="41"/>
      <c r="V1218" s="41"/>
      <c r="W1218" s="36"/>
      <c r="X1218" s="36"/>
      <c r="Y1218" s="36"/>
      <c r="Z1218" s="36"/>
      <c r="AA1218" s="36"/>
    </row>
    <row r="1219" spans="16:27" x14ac:dyDescent="0.2">
      <c r="P1219" s="36"/>
      <c r="Q1219" s="40"/>
      <c r="R1219" s="40"/>
      <c r="S1219" s="40"/>
      <c r="T1219" s="41"/>
      <c r="U1219" s="41"/>
      <c r="V1219" s="41"/>
      <c r="W1219" s="36"/>
      <c r="X1219" s="36"/>
      <c r="Y1219" s="36"/>
      <c r="Z1219" s="36"/>
      <c r="AA1219" s="36"/>
    </row>
    <row r="1220" spans="16:27" x14ac:dyDescent="0.2">
      <c r="P1220" s="36"/>
      <c r="Q1220" s="40"/>
      <c r="R1220" s="40"/>
      <c r="S1220" s="40"/>
      <c r="T1220" s="41"/>
      <c r="U1220" s="41"/>
      <c r="V1220" s="41"/>
      <c r="W1220" s="36"/>
      <c r="X1220" s="36"/>
      <c r="Y1220" s="36"/>
      <c r="Z1220" s="36"/>
      <c r="AA1220" s="36"/>
    </row>
    <row r="1221" spans="16:27" x14ac:dyDescent="0.2">
      <c r="P1221" s="36"/>
      <c r="Q1221" s="40"/>
      <c r="R1221" s="40"/>
      <c r="S1221" s="40"/>
      <c r="T1221" s="41"/>
      <c r="U1221" s="41"/>
      <c r="V1221" s="41"/>
      <c r="W1221" s="36"/>
      <c r="X1221" s="36"/>
      <c r="Y1221" s="36"/>
      <c r="Z1221" s="36"/>
      <c r="AA1221" s="36"/>
    </row>
    <row r="1222" spans="16:27" x14ac:dyDescent="0.2">
      <c r="P1222" s="36"/>
      <c r="Q1222" s="40"/>
      <c r="R1222" s="40"/>
      <c r="S1222" s="40"/>
      <c r="T1222" s="41"/>
      <c r="U1222" s="41"/>
      <c r="V1222" s="41"/>
      <c r="W1222" s="36"/>
      <c r="X1222" s="36"/>
      <c r="Y1222" s="36"/>
      <c r="Z1222" s="36"/>
      <c r="AA1222" s="36"/>
    </row>
    <row r="1223" spans="16:27" x14ac:dyDescent="0.2">
      <c r="P1223" s="36"/>
      <c r="Q1223" s="40"/>
      <c r="R1223" s="40"/>
      <c r="S1223" s="40"/>
      <c r="T1223" s="41"/>
      <c r="U1223" s="41"/>
      <c r="V1223" s="41"/>
      <c r="W1223" s="36"/>
      <c r="X1223" s="36"/>
      <c r="Y1223" s="36"/>
      <c r="Z1223" s="36"/>
      <c r="AA1223" s="36"/>
    </row>
    <row r="1224" spans="16:27" x14ac:dyDescent="0.2">
      <c r="P1224" s="36"/>
      <c r="Q1224" s="40"/>
      <c r="R1224" s="40"/>
      <c r="S1224" s="40"/>
      <c r="T1224" s="41"/>
      <c r="U1224" s="41"/>
      <c r="V1224" s="41"/>
      <c r="W1224" s="36"/>
      <c r="X1224" s="36"/>
      <c r="Y1224" s="36"/>
      <c r="Z1224" s="36"/>
      <c r="AA1224" s="36"/>
    </row>
    <row r="1225" spans="16:27" x14ac:dyDescent="0.2">
      <c r="P1225" s="36"/>
      <c r="Q1225" s="40"/>
      <c r="R1225" s="40"/>
      <c r="S1225" s="40"/>
      <c r="T1225" s="41"/>
      <c r="U1225" s="41"/>
      <c r="V1225" s="41"/>
      <c r="W1225" s="36"/>
      <c r="X1225" s="36"/>
      <c r="Y1225" s="36"/>
      <c r="Z1225" s="36"/>
      <c r="AA1225" s="36"/>
    </row>
    <row r="1226" spans="16:27" x14ac:dyDescent="0.2">
      <c r="P1226" s="36"/>
      <c r="Q1226" s="40"/>
      <c r="R1226" s="40"/>
      <c r="S1226" s="40"/>
      <c r="T1226" s="41"/>
      <c r="U1226" s="41"/>
      <c r="V1226" s="41"/>
      <c r="W1226" s="36"/>
      <c r="X1226" s="36"/>
      <c r="Y1226" s="36"/>
      <c r="Z1226" s="36"/>
      <c r="AA1226" s="36"/>
    </row>
    <row r="1227" spans="16:27" x14ac:dyDescent="0.2">
      <c r="P1227" s="36"/>
      <c r="Q1227" s="40"/>
      <c r="R1227" s="40"/>
      <c r="S1227" s="40"/>
      <c r="T1227" s="41"/>
      <c r="U1227" s="41"/>
      <c r="V1227" s="41"/>
      <c r="W1227" s="36"/>
      <c r="X1227" s="36"/>
      <c r="Y1227" s="36"/>
      <c r="Z1227" s="36"/>
      <c r="AA1227" s="36"/>
    </row>
    <row r="1228" spans="16:27" x14ac:dyDescent="0.2">
      <c r="P1228" s="36"/>
      <c r="Q1228" s="40"/>
      <c r="R1228" s="40"/>
      <c r="S1228" s="40"/>
      <c r="T1228" s="41"/>
      <c r="U1228" s="41"/>
      <c r="V1228" s="41"/>
      <c r="W1228" s="36"/>
      <c r="X1228" s="36"/>
      <c r="Y1228" s="36"/>
      <c r="Z1228" s="36"/>
      <c r="AA1228" s="36"/>
    </row>
    <row r="1229" spans="16:27" x14ac:dyDescent="0.2">
      <c r="P1229" s="36"/>
      <c r="Q1229" s="40"/>
      <c r="R1229" s="40"/>
      <c r="S1229" s="40"/>
      <c r="T1229" s="41"/>
      <c r="U1229" s="41"/>
      <c r="V1229" s="41"/>
      <c r="W1229" s="36"/>
      <c r="X1229" s="36"/>
      <c r="Y1229" s="36"/>
      <c r="Z1229" s="36"/>
      <c r="AA1229" s="36"/>
    </row>
    <row r="1230" spans="16:27" x14ac:dyDescent="0.2">
      <c r="P1230" s="36"/>
      <c r="Q1230" s="40"/>
      <c r="R1230" s="40"/>
      <c r="S1230" s="40"/>
      <c r="T1230" s="41"/>
      <c r="U1230" s="41"/>
      <c r="V1230" s="41"/>
      <c r="W1230" s="36"/>
      <c r="X1230" s="36"/>
      <c r="Y1230" s="36"/>
      <c r="Z1230" s="36"/>
      <c r="AA1230" s="36"/>
    </row>
    <row r="1231" spans="16:27" x14ac:dyDescent="0.2">
      <c r="P1231" s="36"/>
      <c r="Q1231" s="40"/>
      <c r="R1231" s="40"/>
      <c r="S1231" s="40"/>
      <c r="T1231" s="41"/>
      <c r="U1231" s="41"/>
      <c r="V1231" s="41"/>
      <c r="W1231" s="36"/>
      <c r="X1231" s="36"/>
      <c r="Y1231" s="36"/>
      <c r="Z1231" s="36"/>
      <c r="AA1231" s="36"/>
    </row>
    <row r="1232" spans="16:27" x14ac:dyDescent="0.2">
      <c r="P1232" s="36"/>
      <c r="Q1232" s="40"/>
      <c r="R1232" s="40"/>
      <c r="S1232" s="40"/>
      <c r="T1232" s="41"/>
      <c r="U1232" s="41"/>
      <c r="V1232" s="41"/>
      <c r="W1232" s="36"/>
      <c r="X1232" s="36"/>
      <c r="Y1232" s="36"/>
      <c r="Z1232" s="36"/>
      <c r="AA1232" s="36"/>
    </row>
    <row r="1233" spans="16:27" x14ac:dyDescent="0.2">
      <c r="P1233" s="36"/>
      <c r="Q1233" s="40"/>
      <c r="R1233" s="40"/>
      <c r="S1233" s="40"/>
      <c r="T1233" s="41"/>
      <c r="U1233" s="41"/>
      <c r="V1233" s="41"/>
      <c r="W1233" s="36"/>
      <c r="X1233" s="36"/>
      <c r="Y1233" s="36"/>
      <c r="Z1233" s="36"/>
      <c r="AA1233" s="36"/>
    </row>
    <row r="1234" spans="16:27" x14ac:dyDescent="0.2">
      <c r="P1234" s="36"/>
      <c r="Q1234" s="40"/>
      <c r="R1234" s="40"/>
      <c r="S1234" s="40"/>
      <c r="T1234" s="41"/>
      <c r="U1234" s="41"/>
      <c r="V1234" s="41"/>
      <c r="W1234" s="36"/>
      <c r="X1234" s="36"/>
      <c r="Y1234" s="36"/>
      <c r="Z1234" s="36"/>
      <c r="AA1234" s="36"/>
    </row>
    <row r="1235" spans="16:27" x14ac:dyDescent="0.2">
      <c r="P1235" s="36"/>
      <c r="Q1235" s="40"/>
      <c r="R1235" s="40"/>
      <c r="S1235" s="40"/>
      <c r="T1235" s="41"/>
      <c r="U1235" s="41"/>
      <c r="V1235" s="41"/>
      <c r="W1235" s="36"/>
      <c r="X1235" s="36"/>
      <c r="Y1235" s="36"/>
      <c r="Z1235" s="36"/>
      <c r="AA1235" s="36"/>
    </row>
    <row r="1236" spans="16:27" x14ac:dyDescent="0.2">
      <c r="P1236" s="36"/>
      <c r="Q1236" s="40"/>
      <c r="R1236" s="40"/>
      <c r="S1236" s="40"/>
      <c r="T1236" s="41"/>
      <c r="U1236" s="41"/>
      <c r="V1236" s="41"/>
      <c r="W1236" s="36"/>
      <c r="X1236" s="36"/>
      <c r="Y1236" s="36"/>
      <c r="Z1236" s="36"/>
      <c r="AA1236" s="36"/>
    </row>
    <row r="1237" spans="16:27" x14ac:dyDescent="0.2">
      <c r="P1237" s="36"/>
      <c r="Q1237" s="40"/>
      <c r="R1237" s="40"/>
      <c r="S1237" s="40"/>
      <c r="T1237" s="41"/>
      <c r="U1237" s="41"/>
      <c r="V1237" s="41"/>
      <c r="W1237" s="36"/>
      <c r="X1237" s="36"/>
      <c r="Y1237" s="36"/>
      <c r="Z1237" s="36"/>
      <c r="AA1237" s="36"/>
    </row>
    <row r="1238" spans="16:27" x14ac:dyDescent="0.2">
      <c r="P1238" s="36"/>
      <c r="Q1238" s="40"/>
      <c r="R1238" s="40"/>
      <c r="S1238" s="40"/>
      <c r="T1238" s="41"/>
      <c r="U1238" s="41"/>
      <c r="V1238" s="41"/>
      <c r="W1238" s="36"/>
      <c r="X1238" s="36"/>
      <c r="Y1238" s="36"/>
      <c r="Z1238" s="36"/>
      <c r="AA1238" s="36"/>
    </row>
    <row r="1239" spans="16:27" x14ac:dyDescent="0.2">
      <c r="P1239" s="36"/>
      <c r="Q1239" s="40"/>
      <c r="R1239" s="40"/>
      <c r="S1239" s="40"/>
      <c r="T1239" s="41"/>
      <c r="U1239" s="41"/>
      <c r="V1239" s="41"/>
      <c r="W1239" s="36"/>
      <c r="X1239" s="36"/>
      <c r="Y1239" s="36"/>
      <c r="Z1239" s="36"/>
      <c r="AA1239" s="36"/>
    </row>
    <row r="1240" spans="16:27" x14ac:dyDescent="0.2">
      <c r="P1240" s="36"/>
      <c r="Q1240" s="40"/>
      <c r="R1240" s="40"/>
      <c r="S1240" s="40"/>
      <c r="T1240" s="41"/>
      <c r="U1240" s="41"/>
      <c r="V1240" s="41"/>
      <c r="W1240" s="36"/>
      <c r="X1240" s="36"/>
      <c r="Y1240" s="36"/>
      <c r="Z1240" s="36"/>
      <c r="AA1240" s="36"/>
    </row>
    <row r="1241" spans="16:27" x14ac:dyDescent="0.2">
      <c r="P1241" s="36"/>
      <c r="Q1241" s="40"/>
      <c r="R1241" s="40"/>
      <c r="S1241" s="40"/>
      <c r="T1241" s="41"/>
      <c r="U1241" s="41"/>
      <c r="V1241" s="41"/>
      <c r="W1241" s="36"/>
      <c r="X1241" s="36"/>
      <c r="Y1241" s="36"/>
      <c r="Z1241" s="36"/>
      <c r="AA1241" s="36"/>
    </row>
    <row r="1242" spans="16:27" x14ac:dyDescent="0.2">
      <c r="P1242" s="36"/>
      <c r="Q1242" s="40"/>
      <c r="R1242" s="40"/>
      <c r="S1242" s="40"/>
      <c r="T1242" s="41"/>
      <c r="U1242" s="41"/>
      <c r="V1242" s="41"/>
      <c r="W1242" s="36"/>
      <c r="X1242" s="36"/>
      <c r="Y1242" s="36"/>
      <c r="Z1242" s="36"/>
      <c r="AA1242" s="36"/>
    </row>
    <row r="1243" spans="16:27" x14ac:dyDescent="0.2">
      <c r="P1243" s="36"/>
      <c r="Q1243" s="40"/>
      <c r="R1243" s="40"/>
      <c r="S1243" s="40"/>
      <c r="T1243" s="41"/>
      <c r="U1243" s="41"/>
      <c r="V1243" s="41"/>
      <c r="W1243" s="36"/>
      <c r="X1243" s="36"/>
      <c r="Y1243" s="36"/>
      <c r="Z1243" s="36"/>
      <c r="AA1243" s="36"/>
    </row>
    <row r="1244" spans="16:27" x14ac:dyDescent="0.2">
      <c r="P1244" s="36"/>
      <c r="Q1244" s="40"/>
      <c r="R1244" s="40"/>
      <c r="S1244" s="40"/>
      <c r="T1244" s="41"/>
      <c r="U1244" s="41"/>
      <c r="V1244" s="41"/>
      <c r="W1244" s="36"/>
      <c r="X1244" s="36"/>
      <c r="Y1244" s="36"/>
      <c r="Z1244" s="36"/>
      <c r="AA1244" s="36"/>
    </row>
    <row r="1245" spans="16:27" x14ac:dyDescent="0.2">
      <c r="P1245" s="36"/>
      <c r="Q1245" s="40"/>
      <c r="R1245" s="40"/>
      <c r="S1245" s="40"/>
      <c r="T1245" s="41"/>
      <c r="U1245" s="41"/>
      <c r="V1245" s="41"/>
      <c r="W1245" s="36"/>
      <c r="X1245" s="36"/>
      <c r="Y1245" s="36"/>
      <c r="Z1245" s="36"/>
      <c r="AA1245" s="36"/>
    </row>
    <row r="1246" spans="16:27" x14ac:dyDescent="0.2">
      <c r="P1246" s="36"/>
      <c r="Q1246" s="40"/>
      <c r="R1246" s="40"/>
      <c r="S1246" s="40"/>
      <c r="T1246" s="41"/>
      <c r="U1246" s="41"/>
      <c r="V1246" s="41"/>
      <c r="W1246" s="36"/>
      <c r="X1246" s="36"/>
      <c r="Y1246" s="36"/>
      <c r="Z1246" s="36"/>
      <c r="AA1246" s="36"/>
    </row>
    <row r="1247" spans="16:27" x14ac:dyDescent="0.2">
      <c r="P1247" s="36"/>
      <c r="Q1247" s="40"/>
      <c r="R1247" s="40"/>
      <c r="S1247" s="40"/>
      <c r="T1247" s="41"/>
      <c r="U1247" s="41"/>
      <c r="V1247" s="41"/>
      <c r="W1247" s="36"/>
      <c r="X1247" s="36"/>
      <c r="Y1247" s="36"/>
      <c r="Z1247" s="36"/>
      <c r="AA1247" s="36"/>
    </row>
    <row r="1248" spans="16:27" x14ac:dyDescent="0.2">
      <c r="P1248" s="36"/>
      <c r="Q1248" s="40"/>
      <c r="R1248" s="40"/>
      <c r="S1248" s="40"/>
      <c r="T1248" s="41"/>
      <c r="U1248" s="41"/>
      <c r="V1248" s="41"/>
      <c r="W1248" s="36"/>
      <c r="X1248" s="36"/>
      <c r="Y1248" s="36"/>
      <c r="Z1248" s="36"/>
      <c r="AA1248" s="36"/>
    </row>
    <row r="1249" spans="16:27" x14ac:dyDescent="0.2">
      <c r="P1249" s="36"/>
      <c r="Q1249" s="40"/>
      <c r="R1249" s="40"/>
      <c r="S1249" s="40"/>
      <c r="T1249" s="41"/>
      <c r="U1249" s="41"/>
      <c r="V1249" s="41"/>
      <c r="W1249" s="36"/>
      <c r="X1249" s="36"/>
      <c r="Y1249" s="36"/>
      <c r="Z1249" s="36"/>
      <c r="AA1249" s="36"/>
    </row>
    <row r="1250" spans="16:27" x14ac:dyDescent="0.2">
      <c r="P1250" s="36"/>
      <c r="Q1250" s="40"/>
      <c r="R1250" s="40"/>
      <c r="S1250" s="40"/>
      <c r="T1250" s="41"/>
      <c r="U1250" s="41"/>
      <c r="V1250" s="41"/>
      <c r="W1250" s="36"/>
      <c r="X1250" s="36"/>
      <c r="Y1250" s="36"/>
      <c r="Z1250" s="36"/>
      <c r="AA1250" s="36"/>
    </row>
    <row r="1251" spans="16:27" x14ac:dyDescent="0.2">
      <c r="P1251" s="36"/>
      <c r="Q1251" s="40"/>
      <c r="R1251" s="40"/>
      <c r="S1251" s="40"/>
      <c r="T1251" s="41"/>
      <c r="U1251" s="41"/>
      <c r="V1251" s="41"/>
      <c r="W1251" s="36"/>
      <c r="X1251" s="36"/>
      <c r="Y1251" s="36"/>
      <c r="Z1251" s="36"/>
      <c r="AA1251" s="36"/>
    </row>
    <row r="1252" spans="16:27" x14ac:dyDescent="0.2">
      <c r="P1252" s="36"/>
      <c r="Q1252" s="40"/>
      <c r="R1252" s="40"/>
      <c r="S1252" s="40"/>
      <c r="T1252" s="41"/>
      <c r="U1252" s="41"/>
      <c r="V1252" s="41"/>
      <c r="W1252" s="36"/>
      <c r="X1252" s="36"/>
      <c r="Y1252" s="36"/>
      <c r="Z1252" s="36"/>
      <c r="AA1252" s="36"/>
    </row>
    <row r="1253" spans="16:27" x14ac:dyDescent="0.2">
      <c r="P1253" s="36"/>
      <c r="Q1253" s="40"/>
      <c r="R1253" s="40"/>
      <c r="S1253" s="40"/>
      <c r="T1253" s="41"/>
      <c r="U1253" s="41"/>
      <c r="V1253" s="41"/>
      <c r="W1253" s="36"/>
      <c r="X1253" s="36"/>
      <c r="Y1253" s="36"/>
      <c r="Z1253" s="36"/>
      <c r="AA1253" s="36"/>
    </row>
    <row r="1254" spans="16:27" x14ac:dyDescent="0.2">
      <c r="P1254" s="36"/>
      <c r="Q1254" s="40"/>
      <c r="R1254" s="40"/>
      <c r="S1254" s="40"/>
      <c r="T1254" s="41"/>
      <c r="U1254" s="41"/>
      <c r="V1254" s="41"/>
      <c r="W1254" s="36"/>
      <c r="X1254" s="36"/>
      <c r="Y1254" s="36"/>
      <c r="Z1254" s="36"/>
      <c r="AA1254" s="36"/>
    </row>
    <row r="1255" spans="16:27" x14ac:dyDescent="0.2">
      <c r="P1255" s="36"/>
      <c r="Q1255" s="40"/>
      <c r="R1255" s="40"/>
      <c r="S1255" s="40"/>
      <c r="T1255" s="41"/>
      <c r="U1255" s="41"/>
      <c r="V1255" s="41"/>
      <c r="W1255" s="36"/>
      <c r="X1255" s="36"/>
      <c r="Y1255" s="36"/>
      <c r="Z1255" s="36"/>
      <c r="AA1255" s="36"/>
    </row>
    <row r="1256" spans="16:27" x14ac:dyDescent="0.2">
      <c r="P1256" s="36"/>
      <c r="Q1256" s="40"/>
      <c r="R1256" s="40"/>
      <c r="S1256" s="40"/>
      <c r="T1256" s="41"/>
      <c r="U1256" s="41"/>
      <c r="V1256" s="41"/>
      <c r="W1256" s="36"/>
      <c r="X1256" s="36"/>
      <c r="Y1256" s="36"/>
      <c r="Z1256" s="36"/>
      <c r="AA1256" s="36"/>
    </row>
    <row r="1257" spans="16:27" x14ac:dyDescent="0.2">
      <c r="P1257" s="36"/>
      <c r="Q1257" s="40"/>
      <c r="R1257" s="40"/>
      <c r="S1257" s="40"/>
      <c r="T1257" s="41"/>
      <c r="U1257" s="41"/>
      <c r="V1257" s="41"/>
      <c r="W1257" s="36"/>
      <c r="X1257" s="36"/>
      <c r="Y1257" s="36"/>
      <c r="Z1257" s="36"/>
      <c r="AA1257" s="36"/>
    </row>
    <row r="1258" spans="16:27" x14ac:dyDescent="0.2">
      <c r="P1258" s="36"/>
      <c r="Q1258" s="40"/>
      <c r="R1258" s="40"/>
      <c r="S1258" s="40"/>
      <c r="T1258" s="41"/>
      <c r="U1258" s="41"/>
      <c r="V1258" s="41"/>
      <c r="W1258" s="36"/>
      <c r="X1258" s="36"/>
      <c r="Y1258" s="36"/>
      <c r="Z1258" s="36"/>
      <c r="AA1258" s="36"/>
    </row>
    <row r="1259" spans="16:27" x14ac:dyDescent="0.2">
      <c r="P1259" s="36"/>
      <c r="Q1259" s="40"/>
      <c r="R1259" s="40"/>
      <c r="S1259" s="40"/>
      <c r="T1259" s="41"/>
      <c r="U1259" s="41"/>
      <c r="V1259" s="41"/>
      <c r="W1259" s="36"/>
      <c r="X1259" s="36"/>
      <c r="Y1259" s="36"/>
      <c r="Z1259" s="36"/>
      <c r="AA1259" s="36"/>
    </row>
    <row r="1260" spans="16:27" x14ac:dyDescent="0.2">
      <c r="P1260" s="36"/>
      <c r="Q1260" s="40"/>
      <c r="R1260" s="40"/>
      <c r="S1260" s="40"/>
      <c r="T1260" s="41"/>
      <c r="U1260" s="41"/>
      <c r="V1260" s="41"/>
      <c r="W1260" s="36"/>
      <c r="X1260" s="36"/>
      <c r="Y1260" s="36"/>
      <c r="Z1260" s="36"/>
      <c r="AA1260" s="36"/>
    </row>
    <row r="1261" spans="16:27" x14ac:dyDescent="0.2">
      <c r="P1261" s="36"/>
      <c r="Q1261" s="40"/>
      <c r="R1261" s="40"/>
      <c r="S1261" s="40"/>
      <c r="T1261" s="41"/>
      <c r="U1261" s="41"/>
      <c r="V1261" s="41"/>
      <c r="W1261" s="36"/>
      <c r="X1261" s="36"/>
      <c r="Y1261" s="36"/>
      <c r="Z1261" s="36"/>
      <c r="AA1261" s="36"/>
    </row>
    <row r="1262" spans="16:27" x14ac:dyDescent="0.2">
      <c r="P1262" s="36"/>
      <c r="Q1262" s="40"/>
      <c r="R1262" s="40"/>
      <c r="S1262" s="40"/>
      <c r="T1262" s="41"/>
      <c r="U1262" s="41"/>
      <c r="V1262" s="41"/>
      <c r="W1262" s="36"/>
      <c r="X1262" s="36"/>
      <c r="Y1262" s="36"/>
      <c r="Z1262" s="36"/>
      <c r="AA1262" s="36"/>
    </row>
    <row r="1263" spans="16:27" x14ac:dyDescent="0.2">
      <c r="P1263" s="36"/>
      <c r="Q1263" s="40"/>
      <c r="R1263" s="40"/>
      <c r="S1263" s="40"/>
      <c r="T1263" s="41"/>
      <c r="U1263" s="41"/>
      <c r="V1263" s="41"/>
      <c r="W1263" s="36"/>
      <c r="X1263" s="36"/>
      <c r="Y1263" s="36"/>
      <c r="Z1263" s="36"/>
      <c r="AA1263" s="36"/>
    </row>
    <row r="1264" spans="16:27" x14ac:dyDescent="0.2">
      <c r="P1264" s="36"/>
      <c r="Q1264" s="40"/>
      <c r="R1264" s="40"/>
      <c r="S1264" s="40"/>
      <c r="T1264" s="41"/>
      <c r="U1264" s="41"/>
      <c r="V1264" s="41"/>
      <c r="W1264" s="36"/>
      <c r="X1264" s="36"/>
      <c r="Y1264" s="36"/>
      <c r="Z1264" s="36"/>
      <c r="AA1264" s="36"/>
    </row>
    <row r="1265" spans="16:27" x14ac:dyDescent="0.2">
      <c r="P1265" s="36"/>
      <c r="Q1265" s="40"/>
      <c r="R1265" s="40"/>
      <c r="S1265" s="40"/>
      <c r="T1265" s="41"/>
      <c r="U1265" s="41"/>
      <c r="V1265" s="41"/>
      <c r="W1265" s="36"/>
      <c r="X1265" s="36"/>
      <c r="Y1265" s="36"/>
      <c r="Z1265" s="36"/>
      <c r="AA1265" s="36"/>
    </row>
    <row r="1266" spans="16:27" x14ac:dyDescent="0.2">
      <c r="P1266" s="36"/>
      <c r="Q1266" s="40"/>
      <c r="R1266" s="40"/>
      <c r="S1266" s="40"/>
      <c r="T1266" s="41"/>
      <c r="U1266" s="41"/>
      <c r="V1266" s="41"/>
      <c r="W1266" s="36"/>
      <c r="X1266" s="36"/>
      <c r="Y1266" s="36"/>
      <c r="Z1266" s="36"/>
      <c r="AA1266" s="36"/>
    </row>
    <row r="1267" spans="16:27" x14ac:dyDescent="0.2">
      <c r="P1267" s="36"/>
      <c r="Q1267" s="40"/>
      <c r="R1267" s="40"/>
      <c r="S1267" s="40"/>
      <c r="T1267" s="41"/>
      <c r="U1267" s="41"/>
      <c r="V1267" s="41"/>
      <c r="W1267" s="36"/>
      <c r="X1267" s="36"/>
      <c r="Y1267" s="36"/>
      <c r="Z1267" s="36"/>
      <c r="AA1267" s="36"/>
    </row>
    <row r="1268" spans="16:27" x14ac:dyDescent="0.2">
      <c r="P1268" s="36"/>
      <c r="Q1268" s="40"/>
      <c r="R1268" s="40"/>
      <c r="S1268" s="40"/>
      <c r="T1268" s="41"/>
      <c r="U1268" s="41"/>
      <c r="V1268" s="41"/>
      <c r="W1268" s="36"/>
      <c r="X1268" s="36"/>
      <c r="Y1268" s="36"/>
      <c r="Z1268" s="36"/>
      <c r="AA1268" s="36"/>
    </row>
    <row r="1269" spans="16:27" x14ac:dyDescent="0.2">
      <c r="P1269" s="36"/>
      <c r="Q1269" s="40"/>
      <c r="R1269" s="40"/>
      <c r="S1269" s="40"/>
      <c r="T1269" s="41"/>
      <c r="U1269" s="41"/>
      <c r="V1269" s="41"/>
      <c r="W1269" s="36"/>
      <c r="X1269" s="36"/>
      <c r="Y1269" s="36"/>
      <c r="Z1269" s="36"/>
      <c r="AA1269" s="36"/>
    </row>
    <row r="1270" spans="16:27" x14ac:dyDescent="0.2">
      <c r="P1270" s="36"/>
      <c r="Q1270" s="40"/>
      <c r="R1270" s="40"/>
      <c r="S1270" s="40"/>
      <c r="T1270" s="41"/>
      <c r="U1270" s="41"/>
      <c r="V1270" s="41"/>
      <c r="W1270" s="36"/>
      <c r="X1270" s="36"/>
      <c r="Y1270" s="36"/>
      <c r="Z1270" s="36"/>
      <c r="AA1270" s="36"/>
    </row>
    <row r="1271" spans="16:27" x14ac:dyDescent="0.2">
      <c r="P1271" s="36"/>
      <c r="Q1271" s="40"/>
      <c r="R1271" s="40"/>
      <c r="S1271" s="40"/>
      <c r="T1271" s="41"/>
      <c r="U1271" s="41"/>
      <c r="V1271" s="41"/>
      <c r="W1271" s="36"/>
      <c r="X1271" s="36"/>
      <c r="Y1271" s="36"/>
      <c r="Z1271" s="36"/>
      <c r="AA1271" s="36"/>
    </row>
    <row r="1272" spans="16:27" x14ac:dyDescent="0.2">
      <c r="P1272" s="36"/>
      <c r="Q1272" s="40"/>
      <c r="R1272" s="40"/>
      <c r="S1272" s="40"/>
      <c r="T1272" s="41"/>
      <c r="U1272" s="41"/>
      <c r="V1272" s="41"/>
      <c r="W1272" s="36"/>
      <c r="X1272" s="36"/>
      <c r="Y1272" s="36"/>
      <c r="Z1272" s="36"/>
      <c r="AA1272" s="36"/>
    </row>
    <row r="1273" spans="16:27" x14ac:dyDescent="0.2">
      <c r="P1273" s="36"/>
      <c r="Q1273" s="40"/>
      <c r="R1273" s="40"/>
      <c r="S1273" s="40"/>
      <c r="T1273" s="41"/>
      <c r="U1273" s="41"/>
      <c r="V1273" s="41"/>
      <c r="W1273" s="36"/>
      <c r="X1273" s="36"/>
      <c r="Y1273" s="36"/>
      <c r="Z1273" s="36"/>
      <c r="AA1273" s="36"/>
    </row>
    <row r="1274" spans="16:27" x14ac:dyDescent="0.2">
      <c r="P1274" s="36"/>
      <c r="Q1274" s="40"/>
      <c r="R1274" s="40"/>
      <c r="S1274" s="40"/>
      <c r="T1274" s="41"/>
      <c r="U1274" s="41"/>
      <c r="V1274" s="41"/>
      <c r="W1274" s="36"/>
      <c r="X1274" s="36"/>
      <c r="Y1274" s="36"/>
      <c r="Z1274" s="36"/>
      <c r="AA1274" s="36"/>
    </row>
    <row r="1275" spans="16:27" x14ac:dyDescent="0.2">
      <c r="P1275" s="36"/>
      <c r="Q1275" s="40"/>
      <c r="R1275" s="40"/>
      <c r="S1275" s="40"/>
      <c r="T1275" s="41"/>
      <c r="U1275" s="41"/>
      <c r="V1275" s="41"/>
      <c r="W1275" s="36"/>
      <c r="X1275" s="36"/>
      <c r="Y1275" s="36"/>
      <c r="Z1275" s="36"/>
      <c r="AA1275" s="36"/>
    </row>
    <row r="1276" spans="16:27" x14ac:dyDescent="0.2">
      <c r="P1276" s="36"/>
      <c r="Q1276" s="40"/>
      <c r="R1276" s="40"/>
      <c r="S1276" s="40"/>
      <c r="T1276" s="41"/>
      <c r="U1276" s="41"/>
      <c r="V1276" s="41"/>
      <c r="W1276" s="36"/>
      <c r="X1276" s="36"/>
      <c r="Y1276" s="36"/>
      <c r="Z1276" s="36"/>
      <c r="AA1276" s="36"/>
    </row>
    <row r="1277" spans="16:27" x14ac:dyDescent="0.2">
      <c r="P1277" s="36"/>
      <c r="Q1277" s="40"/>
      <c r="R1277" s="40"/>
      <c r="S1277" s="40"/>
      <c r="T1277" s="41"/>
      <c r="U1277" s="41"/>
      <c r="V1277" s="41"/>
      <c r="W1277" s="36"/>
      <c r="X1277" s="36"/>
      <c r="Y1277" s="36"/>
      <c r="Z1277" s="36"/>
      <c r="AA1277" s="36"/>
    </row>
    <row r="1278" spans="16:27" x14ac:dyDescent="0.2">
      <c r="P1278" s="36"/>
      <c r="Q1278" s="40"/>
      <c r="R1278" s="40"/>
      <c r="S1278" s="40"/>
      <c r="T1278" s="41"/>
      <c r="U1278" s="41"/>
      <c r="V1278" s="41"/>
      <c r="W1278" s="36"/>
      <c r="X1278" s="36"/>
      <c r="Y1278" s="36"/>
      <c r="Z1278" s="36"/>
      <c r="AA1278" s="36"/>
    </row>
    <row r="1279" spans="16:27" x14ac:dyDescent="0.2">
      <c r="P1279" s="36"/>
      <c r="Q1279" s="40"/>
      <c r="R1279" s="40"/>
      <c r="S1279" s="40"/>
      <c r="T1279" s="41"/>
      <c r="U1279" s="41"/>
      <c r="V1279" s="41"/>
      <c r="W1279" s="36"/>
      <c r="X1279" s="36"/>
      <c r="Y1279" s="36"/>
      <c r="Z1279" s="36"/>
      <c r="AA1279" s="36"/>
    </row>
    <row r="1280" spans="16:27" x14ac:dyDescent="0.2">
      <c r="P1280" s="36"/>
      <c r="Q1280" s="40"/>
      <c r="R1280" s="40"/>
      <c r="S1280" s="40"/>
      <c r="T1280" s="41"/>
      <c r="U1280" s="41"/>
      <c r="V1280" s="41"/>
      <c r="W1280" s="36"/>
      <c r="X1280" s="36"/>
      <c r="Y1280" s="36"/>
      <c r="Z1280" s="36"/>
      <c r="AA1280" s="36"/>
    </row>
    <row r="1281" spans="16:27" x14ac:dyDescent="0.2">
      <c r="P1281" s="36"/>
      <c r="Q1281" s="40"/>
      <c r="R1281" s="40"/>
      <c r="S1281" s="40"/>
      <c r="T1281" s="41"/>
      <c r="U1281" s="41"/>
      <c r="V1281" s="41"/>
      <c r="W1281" s="36"/>
      <c r="X1281" s="36"/>
      <c r="Y1281" s="36"/>
      <c r="Z1281" s="36"/>
      <c r="AA1281" s="36"/>
    </row>
    <row r="1282" spans="16:27" x14ac:dyDescent="0.2">
      <c r="P1282" s="36"/>
      <c r="Q1282" s="40"/>
      <c r="R1282" s="40"/>
      <c r="S1282" s="40"/>
      <c r="T1282" s="41"/>
      <c r="U1282" s="41"/>
      <c r="V1282" s="41"/>
      <c r="W1282" s="36"/>
      <c r="X1282" s="36"/>
      <c r="Y1282" s="36"/>
      <c r="Z1282" s="36"/>
      <c r="AA1282" s="36"/>
    </row>
    <row r="1283" spans="16:27" x14ac:dyDescent="0.2">
      <c r="P1283" s="36"/>
      <c r="Q1283" s="40"/>
      <c r="R1283" s="40"/>
      <c r="S1283" s="40"/>
      <c r="T1283" s="41"/>
      <c r="U1283" s="41"/>
      <c r="V1283" s="41"/>
      <c r="W1283" s="36"/>
      <c r="X1283" s="36"/>
      <c r="Y1283" s="36"/>
      <c r="Z1283" s="36"/>
      <c r="AA1283" s="36"/>
    </row>
    <row r="1284" spans="16:27" x14ac:dyDescent="0.2">
      <c r="P1284" s="36"/>
      <c r="Q1284" s="40"/>
      <c r="R1284" s="40"/>
      <c r="S1284" s="40"/>
      <c r="T1284" s="41"/>
      <c r="U1284" s="41"/>
      <c r="V1284" s="41"/>
      <c r="W1284" s="36"/>
      <c r="X1284" s="36"/>
      <c r="Y1284" s="36"/>
      <c r="Z1284" s="36"/>
      <c r="AA1284" s="36"/>
    </row>
    <row r="1285" spans="16:27" x14ac:dyDescent="0.2">
      <c r="P1285" s="36"/>
      <c r="Q1285" s="40"/>
      <c r="R1285" s="40"/>
      <c r="S1285" s="40"/>
      <c r="T1285" s="41"/>
      <c r="U1285" s="41"/>
      <c r="V1285" s="41"/>
      <c r="W1285" s="36"/>
      <c r="X1285" s="36"/>
      <c r="Y1285" s="36"/>
      <c r="Z1285" s="36"/>
      <c r="AA1285" s="36"/>
    </row>
    <row r="1286" spans="16:27" x14ac:dyDescent="0.2">
      <c r="P1286" s="36"/>
      <c r="Q1286" s="40"/>
      <c r="R1286" s="40"/>
      <c r="S1286" s="40"/>
      <c r="T1286" s="41"/>
      <c r="U1286" s="41"/>
      <c r="V1286" s="41"/>
      <c r="W1286" s="36"/>
      <c r="X1286" s="36"/>
      <c r="Y1286" s="36"/>
      <c r="Z1286" s="36"/>
      <c r="AA1286" s="36"/>
    </row>
    <row r="1287" spans="16:27" x14ac:dyDescent="0.2">
      <c r="P1287" s="36"/>
      <c r="Q1287" s="40"/>
      <c r="R1287" s="40"/>
      <c r="S1287" s="40"/>
      <c r="T1287" s="41"/>
      <c r="U1287" s="41"/>
      <c r="V1287" s="41"/>
      <c r="W1287" s="36"/>
      <c r="X1287" s="36"/>
      <c r="Y1287" s="36"/>
      <c r="Z1287" s="36"/>
      <c r="AA1287" s="36"/>
    </row>
    <row r="1288" spans="16:27" x14ac:dyDescent="0.2">
      <c r="P1288" s="36"/>
      <c r="Q1288" s="40"/>
      <c r="R1288" s="40"/>
      <c r="S1288" s="40"/>
      <c r="T1288" s="41"/>
      <c r="U1288" s="41"/>
      <c r="V1288" s="41"/>
      <c r="W1288" s="36"/>
      <c r="X1288" s="36"/>
      <c r="Y1288" s="36"/>
      <c r="Z1288" s="36"/>
      <c r="AA1288" s="36"/>
    </row>
    <row r="1289" spans="16:27" x14ac:dyDescent="0.2">
      <c r="P1289" s="36"/>
      <c r="Q1289" s="40"/>
      <c r="R1289" s="40"/>
      <c r="S1289" s="40"/>
      <c r="T1289" s="41"/>
      <c r="U1289" s="41"/>
      <c r="V1289" s="41"/>
      <c r="W1289" s="36"/>
      <c r="X1289" s="36"/>
      <c r="Y1289" s="36"/>
      <c r="Z1289" s="36"/>
      <c r="AA1289" s="36"/>
    </row>
    <row r="1290" spans="16:27" x14ac:dyDescent="0.2">
      <c r="P1290" s="36"/>
      <c r="Q1290" s="40"/>
      <c r="R1290" s="40"/>
      <c r="S1290" s="40"/>
      <c r="T1290" s="41"/>
      <c r="U1290" s="41"/>
      <c r="V1290" s="41"/>
      <c r="W1290" s="36"/>
      <c r="X1290" s="36"/>
      <c r="Y1290" s="36"/>
      <c r="Z1290" s="36"/>
      <c r="AA1290" s="36"/>
    </row>
    <row r="1291" spans="16:27" x14ac:dyDescent="0.2">
      <c r="P1291" s="36"/>
      <c r="Q1291" s="40"/>
      <c r="R1291" s="40"/>
      <c r="S1291" s="40"/>
      <c r="T1291" s="41"/>
      <c r="U1291" s="41"/>
      <c r="V1291" s="41"/>
      <c r="W1291" s="36"/>
      <c r="X1291" s="36"/>
      <c r="Y1291" s="36"/>
      <c r="Z1291" s="36"/>
      <c r="AA1291" s="36"/>
    </row>
    <row r="1292" spans="16:27" x14ac:dyDescent="0.2">
      <c r="P1292" s="36"/>
      <c r="Q1292" s="40"/>
      <c r="R1292" s="40"/>
      <c r="S1292" s="40"/>
      <c r="T1292" s="41"/>
      <c r="U1292" s="41"/>
      <c r="V1292" s="41"/>
      <c r="W1292" s="36"/>
      <c r="X1292" s="36"/>
      <c r="Y1292" s="36"/>
      <c r="Z1292" s="36"/>
      <c r="AA1292" s="36"/>
    </row>
    <row r="1293" spans="16:27" x14ac:dyDescent="0.2">
      <c r="P1293" s="36"/>
      <c r="Q1293" s="40"/>
      <c r="R1293" s="40"/>
      <c r="S1293" s="40"/>
      <c r="T1293" s="41"/>
      <c r="U1293" s="41"/>
      <c r="V1293" s="41"/>
      <c r="W1293" s="36"/>
      <c r="X1293" s="36"/>
      <c r="Y1293" s="36"/>
      <c r="Z1293" s="36"/>
      <c r="AA1293" s="36"/>
    </row>
    <row r="1294" spans="16:27" x14ac:dyDescent="0.2">
      <c r="P1294" s="36"/>
      <c r="Q1294" s="40"/>
      <c r="R1294" s="40"/>
      <c r="S1294" s="40"/>
      <c r="T1294" s="41"/>
      <c r="U1294" s="41"/>
      <c r="V1294" s="41"/>
      <c r="W1294" s="36"/>
      <c r="X1294" s="36"/>
      <c r="Y1294" s="36"/>
      <c r="Z1294" s="36"/>
      <c r="AA1294" s="36"/>
    </row>
    <row r="1295" spans="16:27" x14ac:dyDescent="0.2">
      <c r="P1295" s="36"/>
      <c r="Q1295" s="40"/>
      <c r="R1295" s="40"/>
      <c r="S1295" s="40"/>
      <c r="T1295" s="41"/>
      <c r="U1295" s="41"/>
      <c r="V1295" s="41"/>
      <c r="W1295" s="36"/>
      <c r="X1295" s="36"/>
      <c r="Y1295" s="36"/>
      <c r="Z1295" s="36"/>
      <c r="AA1295" s="36"/>
    </row>
    <row r="1296" spans="16:27" x14ac:dyDescent="0.2">
      <c r="P1296" s="36"/>
      <c r="Q1296" s="40"/>
      <c r="R1296" s="40"/>
      <c r="S1296" s="40"/>
      <c r="T1296" s="41"/>
      <c r="U1296" s="41"/>
      <c r="V1296" s="41"/>
      <c r="W1296" s="36"/>
      <c r="X1296" s="36"/>
      <c r="Y1296" s="36"/>
      <c r="Z1296" s="36"/>
      <c r="AA1296" s="36"/>
    </row>
    <row r="1297" spans="16:27" x14ac:dyDescent="0.2">
      <c r="P1297" s="36"/>
      <c r="Q1297" s="40"/>
      <c r="R1297" s="40"/>
      <c r="S1297" s="40"/>
      <c r="T1297" s="41"/>
      <c r="U1297" s="41"/>
      <c r="V1297" s="41"/>
      <c r="W1297" s="36"/>
      <c r="X1297" s="36"/>
      <c r="Y1297" s="36"/>
      <c r="Z1297" s="36"/>
      <c r="AA1297" s="36"/>
    </row>
    <row r="1298" spans="16:27" x14ac:dyDescent="0.2">
      <c r="P1298" s="36"/>
      <c r="Q1298" s="40"/>
      <c r="R1298" s="40"/>
      <c r="S1298" s="40"/>
      <c r="T1298" s="41"/>
      <c r="U1298" s="41"/>
      <c r="V1298" s="41"/>
      <c r="W1298" s="36"/>
      <c r="X1298" s="36"/>
      <c r="Y1298" s="36"/>
      <c r="Z1298" s="36"/>
      <c r="AA1298" s="36"/>
    </row>
    <row r="1299" spans="16:27" x14ac:dyDescent="0.2">
      <c r="P1299" s="36"/>
      <c r="Q1299" s="40"/>
      <c r="R1299" s="40"/>
      <c r="S1299" s="40"/>
      <c r="T1299" s="41"/>
      <c r="U1299" s="41"/>
      <c r="V1299" s="41"/>
      <c r="W1299" s="36"/>
      <c r="X1299" s="36"/>
      <c r="Y1299" s="36"/>
      <c r="Z1299" s="36"/>
      <c r="AA1299" s="36"/>
    </row>
    <row r="1300" spans="16:27" x14ac:dyDescent="0.2">
      <c r="P1300" s="36"/>
      <c r="Q1300" s="40"/>
      <c r="R1300" s="40"/>
      <c r="S1300" s="40"/>
      <c r="T1300" s="41"/>
      <c r="U1300" s="41"/>
      <c r="V1300" s="41"/>
      <c r="W1300" s="36"/>
      <c r="X1300" s="36"/>
      <c r="Y1300" s="36"/>
      <c r="Z1300" s="36"/>
      <c r="AA1300" s="36"/>
    </row>
    <row r="1301" spans="16:27" x14ac:dyDescent="0.2">
      <c r="P1301" s="36"/>
      <c r="Q1301" s="40"/>
      <c r="R1301" s="40"/>
      <c r="S1301" s="40"/>
      <c r="T1301" s="41"/>
      <c r="U1301" s="41"/>
      <c r="V1301" s="41"/>
      <c r="W1301" s="36"/>
      <c r="X1301" s="36"/>
      <c r="Y1301" s="36"/>
      <c r="Z1301" s="36"/>
      <c r="AA1301" s="36"/>
    </row>
    <row r="1302" spans="16:27" x14ac:dyDescent="0.2">
      <c r="P1302" s="36"/>
      <c r="Q1302" s="40"/>
      <c r="R1302" s="40"/>
      <c r="S1302" s="40"/>
      <c r="T1302" s="41"/>
      <c r="U1302" s="41"/>
      <c r="V1302" s="41"/>
      <c r="W1302" s="36"/>
      <c r="X1302" s="36"/>
      <c r="Y1302" s="36"/>
      <c r="Z1302" s="36"/>
      <c r="AA1302" s="36"/>
    </row>
    <row r="1303" spans="16:27" x14ac:dyDescent="0.2">
      <c r="P1303" s="36"/>
      <c r="Q1303" s="40"/>
      <c r="R1303" s="40"/>
      <c r="S1303" s="40"/>
      <c r="T1303" s="41"/>
      <c r="U1303" s="41"/>
      <c r="V1303" s="41"/>
      <c r="W1303" s="36"/>
      <c r="X1303" s="36"/>
      <c r="Y1303" s="36"/>
      <c r="Z1303" s="36"/>
      <c r="AA1303" s="36"/>
    </row>
    <row r="1304" spans="16:27" x14ac:dyDescent="0.2">
      <c r="P1304" s="36"/>
      <c r="Q1304" s="40"/>
      <c r="R1304" s="40"/>
      <c r="S1304" s="40"/>
      <c r="T1304" s="41"/>
      <c r="U1304" s="41"/>
      <c r="V1304" s="41"/>
      <c r="W1304" s="36"/>
      <c r="X1304" s="36"/>
      <c r="Y1304" s="36"/>
      <c r="Z1304" s="36"/>
      <c r="AA1304" s="36"/>
    </row>
    <row r="1305" spans="16:27" x14ac:dyDescent="0.2">
      <c r="P1305" s="36"/>
      <c r="Q1305" s="40"/>
      <c r="R1305" s="40"/>
      <c r="S1305" s="40"/>
      <c r="T1305" s="41"/>
      <c r="U1305" s="41"/>
      <c r="V1305" s="41"/>
      <c r="W1305" s="36"/>
      <c r="X1305" s="36"/>
      <c r="Y1305" s="36"/>
      <c r="Z1305" s="36"/>
      <c r="AA1305" s="36"/>
    </row>
    <row r="1306" spans="16:27" x14ac:dyDescent="0.2">
      <c r="P1306" s="36"/>
      <c r="Q1306" s="40"/>
      <c r="R1306" s="40"/>
      <c r="S1306" s="40"/>
      <c r="T1306" s="41"/>
      <c r="U1306" s="41"/>
      <c r="V1306" s="41"/>
      <c r="W1306" s="36"/>
      <c r="X1306" s="36"/>
      <c r="Y1306" s="36"/>
      <c r="Z1306" s="36"/>
      <c r="AA1306" s="36"/>
    </row>
    <row r="1307" spans="16:27" x14ac:dyDescent="0.2">
      <c r="P1307" s="36"/>
      <c r="Q1307" s="40"/>
      <c r="R1307" s="40"/>
      <c r="S1307" s="40"/>
      <c r="T1307" s="41"/>
      <c r="U1307" s="41"/>
      <c r="V1307" s="41"/>
      <c r="W1307" s="36"/>
      <c r="X1307" s="36"/>
      <c r="Y1307" s="36"/>
      <c r="Z1307" s="36"/>
      <c r="AA1307" s="36"/>
    </row>
    <row r="1308" spans="16:27" x14ac:dyDescent="0.2">
      <c r="P1308" s="36"/>
      <c r="Q1308" s="40"/>
      <c r="R1308" s="40"/>
      <c r="S1308" s="40"/>
      <c r="T1308" s="41"/>
      <c r="U1308" s="41"/>
      <c r="V1308" s="41"/>
      <c r="W1308" s="36"/>
      <c r="X1308" s="36"/>
      <c r="Y1308" s="36"/>
      <c r="Z1308" s="36"/>
      <c r="AA1308" s="36"/>
    </row>
    <row r="1309" spans="16:27" x14ac:dyDescent="0.2">
      <c r="P1309" s="36"/>
      <c r="Q1309" s="40"/>
      <c r="R1309" s="40"/>
      <c r="S1309" s="40"/>
      <c r="T1309" s="41"/>
      <c r="U1309" s="41"/>
      <c r="V1309" s="41"/>
      <c r="W1309" s="36"/>
      <c r="X1309" s="36"/>
      <c r="Y1309" s="36"/>
      <c r="Z1309" s="36"/>
      <c r="AA1309" s="36"/>
    </row>
    <row r="1310" spans="16:27" x14ac:dyDescent="0.2">
      <c r="P1310" s="36"/>
      <c r="Q1310" s="40"/>
      <c r="R1310" s="40"/>
      <c r="S1310" s="40"/>
      <c r="T1310" s="41"/>
      <c r="U1310" s="41"/>
      <c r="V1310" s="41"/>
      <c r="W1310" s="36"/>
      <c r="X1310" s="36"/>
      <c r="Y1310" s="36"/>
      <c r="Z1310" s="36"/>
      <c r="AA1310" s="36"/>
    </row>
    <row r="1311" spans="16:27" x14ac:dyDescent="0.2">
      <c r="P1311" s="36"/>
      <c r="Q1311" s="40"/>
      <c r="R1311" s="40"/>
      <c r="S1311" s="40"/>
      <c r="T1311" s="41"/>
      <c r="U1311" s="41"/>
      <c r="V1311" s="36"/>
      <c r="W1311" s="36"/>
      <c r="X1311" s="36"/>
      <c r="Y1311" s="36"/>
      <c r="Z1311" s="36"/>
      <c r="AA1311" s="36"/>
    </row>
    <row r="1312" spans="16:27" x14ac:dyDescent="0.2">
      <c r="P1312" s="36"/>
      <c r="Q1312" s="40"/>
      <c r="R1312" s="40"/>
      <c r="S1312" s="40"/>
      <c r="T1312" s="41"/>
      <c r="U1312" s="41"/>
      <c r="V1312" s="36"/>
      <c r="W1312" s="36"/>
      <c r="X1312" s="36"/>
      <c r="Y1312" s="36"/>
      <c r="Z1312" s="36"/>
      <c r="AA1312" s="36"/>
    </row>
    <row r="1313" spans="16:27" x14ac:dyDescent="0.2">
      <c r="P1313" s="36"/>
      <c r="Q1313" s="40"/>
      <c r="R1313" s="40"/>
      <c r="S1313" s="40"/>
      <c r="T1313" s="41"/>
      <c r="U1313" s="41"/>
      <c r="V1313" s="36"/>
      <c r="W1313" s="36"/>
      <c r="X1313" s="36"/>
      <c r="Y1313" s="36"/>
      <c r="Z1313" s="36"/>
      <c r="AA1313" s="36"/>
    </row>
    <row r="1314" spans="16:27" x14ac:dyDescent="0.2">
      <c r="P1314" s="36"/>
      <c r="Q1314" s="40"/>
      <c r="R1314" s="40"/>
      <c r="S1314" s="40"/>
      <c r="T1314" s="41"/>
      <c r="U1314" s="41"/>
      <c r="V1314" s="36"/>
      <c r="W1314" s="36"/>
      <c r="X1314" s="36"/>
      <c r="Y1314" s="36"/>
      <c r="Z1314" s="36"/>
      <c r="AA1314" s="36"/>
    </row>
    <row r="1315" spans="16:27" x14ac:dyDescent="0.2">
      <c r="P1315" s="36"/>
      <c r="Q1315" s="40"/>
      <c r="R1315" s="40"/>
      <c r="S1315" s="40"/>
      <c r="T1315" s="41"/>
      <c r="U1315" s="41"/>
      <c r="V1315" s="36"/>
      <c r="W1315" s="36"/>
      <c r="X1315" s="36"/>
      <c r="Y1315" s="36"/>
      <c r="Z1315" s="36"/>
      <c r="AA1315" s="36"/>
    </row>
    <row r="1316" spans="16:27" x14ac:dyDescent="0.2">
      <c r="P1316" s="36"/>
      <c r="Q1316" s="40"/>
      <c r="R1316" s="40"/>
      <c r="S1316" s="40"/>
      <c r="T1316" s="41"/>
      <c r="U1316" s="41"/>
      <c r="V1316" s="36"/>
      <c r="W1316" s="36"/>
      <c r="X1316" s="36"/>
      <c r="Y1316" s="36"/>
      <c r="Z1316" s="36"/>
      <c r="AA1316" s="36"/>
    </row>
    <row r="1317" spans="16:27" x14ac:dyDescent="0.2">
      <c r="P1317" s="36"/>
      <c r="Q1317" s="40"/>
      <c r="R1317" s="40"/>
      <c r="S1317" s="40"/>
      <c r="T1317" s="41"/>
      <c r="U1317" s="41"/>
      <c r="V1317" s="36"/>
      <c r="W1317" s="36"/>
      <c r="X1317" s="36"/>
      <c r="Y1317" s="36"/>
      <c r="Z1317" s="36"/>
      <c r="AA1317" s="36"/>
    </row>
    <row r="1318" spans="16:27" x14ac:dyDescent="0.2">
      <c r="P1318" s="36"/>
      <c r="Q1318" s="40"/>
      <c r="R1318" s="40"/>
      <c r="S1318" s="40"/>
      <c r="T1318" s="41"/>
      <c r="U1318" s="41"/>
      <c r="V1318" s="36"/>
      <c r="W1318" s="36"/>
      <c r="X1318" s="36"/>
      <c r="Y1318" s="36"/>
      <c r="Z1318" s="36"/>
      <c r="AA1318" s="36"/>
    </row>
    <row r="1319" spans="16:27" x14ac:dyDescent="0.2">
      <c r="P1319" s="36"/>
      <c r="Q1319" s="40"/>
      <c r="R1319" s="40"/>
      <c r="S1319" s="40"/>
      <c r="T1319" s="41"/>
      <c r="U1319" s="41"/>
      <c r="V1319" s="36"/>
      <c r="W1319" s="36"/>
      <c r="X1319" s="36"/>
      <c r="Y1319" s="36"/>
      <c r="Z1319" s="36"/>
      <c r="AA1319" s="36"/>
    </row>
    <row r="1320" spans="16:27" x14ac:dyDescent="0.2">
      <c r="P1320" s="36"/>
      <c r="Q1320" s="40"/>
      <c r="R1320" s="40"/>
      <c r="S1320" s="40"/>
      <c r="T1320" s="41"/>
      <c r="U1320" s="41"/>
      <c r="V1320" s="36"/>
      <c r="W1320" s="36"/>
      <c r="X1320" s="36"/>
      <c r="Y1320" s="36"/>
      <c r="Z1320" s="36"/>
      <c r="AA1320" s="36"/>
    </row>
    <row r="1321" spans="16:27" x14ac:dyDescent="0.2">
      <c r="P1321" s="36"/>
      <c r="Q1321" s="40"/>
      <c r="R1321" s="40"/>
      <c r="S1321" s="40"/>
      <c r="T1321" s="41"/>
      <c r="U1321" s="41"/>
      <c r="V1321" s="36"/>
      <c r="W1321" s="36"/>
      <c r="X1321" s="36"/>
      <c r="Y1321" s="36"/>
      <c r="Z1321" s="36"/>
      <c r="AA1321" s="36"/>
    </row>
    <row r="1322" spans="16:27" x14ac:dyDescent="0.2">
      <c r="P1322" s="36"/>
      <c r="Q1322" s="40"/>
      <c r="R1322" s="40"/>
      <c r="S1322" s="40"/>
      <c r="T1322" s="41"/>
      <c r="U1322" s="41"/>
      <c r="V1322" s="36"/>
      <c r="W1322" s="36"/>
      <c r="X1322" s="36"/>
      <c r="Y1322" s="36"/>
      <c r="Z1322" s="36"/>
      <c r="AA1322" s="36"/>
    </row>
    <row r="1323" spans="16:27" x14ac:dyDescent="0.2">
      <c r="P1323" s="36"/>
      <c r="Q1323" s="40"/>
      <c r="R1323" s="40"/>
      <c r="S1323" s="40"/>
      <c r="T1323" s="41"/>
      <c r="U1323" s="41"/>
      <c r="V1323" s="36"/>
      <c r="W1323" s="36"/>
      <c r="X1323" s="36"/>
      <c r="Y1323" s="36"/>
      <c r="Z1323" s="36"/>
      <c r="AA1323" s="36"/>
    </row>
    <row r="1324" spans="16:27" x14ac:dyDescent="0.2">
      <c r="P1324" s="36"/>
      <c r="Q1324" s="40"/>
      <c r="R1324" s="40"/>
      <c r="S1324" s="40"/>
      <c r="T1324" s="41"/>
      <c r="U1324" s="41"/>
      <c r="V1324" s="36"/>
      <c r="W1324" s="36"/>
      <c r="X1324" s="36"/>
      <c r="Y1324" s="36"/>
      <c r="Z1324" s="36"/>
      <c r="AA1324" s="36"/>
    </row>
    <row r="1325" spans="16:27" x14ac:dyDescent="0.2">
      <c r="P1325" s="36"/>
      <c r="Q1325" s="40"/>
      <c r="R1325" s="40"/>
      <c r="S1325" s="40"/>
      <c r="T1325" s="41"/>
      <c r="U1325" s="41"/>
      <c r="V1325" s="36"/>
      <c r="W1325" s="36"/>
      <c r="X1325" s="36"/>
      <c r="Y1325" s="36"/>
      <c r="Z1325" s="36"/>
      <c r="AA1325" s="36"/>
    </row>
    <row r="1326" spans="16:27" x14ac:dyDescent="0.2">
      <c r="P1326" s="36"/>
      <c r="Q1326" s="40"/>
      <c r="R1326" s="40"/>
      <c r="S1326" s="40"/>
      <c r="T1326" s="41"/>
      <c r="U1326" s="41"/>
      <c r="V1326" s="36"/>
      <c r="W1326" s="36"/>
      <c r="X1326" s="36"/>
      <c r="Y1326" s="36"/>
      <c r="Z1326" s="36"/>
      <c r="AA1326" s="36"/>
    </row>
    <row r="1327" spans="16:27" x14ac:dyDescent="0.2">
      <c r="P1327" s="36"/>
      <c r="Q1327" s="40"/>
      <c r="R1327" s="40"/>
      <c r="S1327" s="40"/>
      <c r="T1327" s="41"/>
      <c r="U1327" s="41"/>
      <c r="V1327" s="36"/>
      <c r="W1327" s="36"/>
      <c r="X1327" s="36"/>
      <c r="Y1327" s="36"/>
      <c r="Z1327" s="36"/>
      <c r="AA1327" s="36"/>
    </row>
    <row r="1328" spans="16:27" x14ac:dyDescent="0.2">
      <c r="P1328" s="36"/>
      <c r="Q1328" s="40"/>
      <c r="R1328" s="40"/>
      <c r="S1328" s="40"/>
      <c r="T1328" s="41"/>
      <c r="U1328" s="41"/>
      <c r="V1328" s="36"/>
      <c r="W1328" s="36"/>
      <c r="X1328" s="36"/>
      <c r="Y1328" s="36"/>
      <c r="Z1328" s="36"/>
      <c r="AA1328" s="36"/>
    </row>
    <row r="1329" spans="16:27" x14ac:dyDescent="0.2">
      <c r="P1329" s="36"/>
      <c r="Q1329" s="40"/>
      <c r="R1329" s="40"/>
      <c r="S1329" s="40"/>
      <c r="T1329" s="41"/>
      <c r="U1329" s="41"/>
      <c r="V1329" s="36"/>
      <c r="W1329" s="36"/>
      <c r="X1329" s="36"/>
      <c r="Y1329" s="36"/>
      <c r="Z1329" s="36"/>
      <c r="AA1329" s="36"/>
    </row>
    <row r="1330" spans="16:27" x14ac:dyDescent="0.2">
      <c r="P1330" s="36"/>
      <c r="Q1330" s="40"/>
      <c r="R1330" s="40"/>
      <c r="S1330" s="40"/>
      <c r="T1330" s="41"/>
      <c r="U1330" s="41"/>
      <c r="V1330" s="36"/>
      <c r="W1330" s="36"/>
      <c r="X1330" s="36"/>
      <c r="Y1330" s="36"/>
      <c r="Z1330" s="36"/>
      <c r="AA1330" s="36"/>
    </row>
    <row r="1331" spans="16:27" x14ac:dyDescent="0.2">
      <c r="P1331" s="36"/>
      <c r="Q1331" s="40"/>
      <c r="R1331" s="40"/>
      <c r="S1331" s="40"/>
      <c r="T1331" s="41"/>
      <c r="U1331" s="41"/>
      <c r="V1331" s="36"/>
      <c r="W1331" s="36"/>
      <c r="X1331" s="36"/>
      <c r="Y1331" s="36"/>
      <c r="Z1331" s="36"/>
      <c r="AA1331" s="36"/>
    </row>
    <row r="1332" spans="16:27" x14ac:dyDescent="0.2">
      <c r="P1332" s="36"/>
      <c r="Q1332" s="40"/>
      <c r="R1332" s="40"/>
      <c r="S1332" s="40"/>
      <c r="T1332" s="41"/>
      <c r="U1332" s="41"/>
      <c r="V1332" s="36"/>
      <c r="W1332" s="36"/>
      <c r="X1332" s="36"/>
      <c r="Y1332" s="36"/>
      <c r="Z1332" s="36"/>
      <c r="AA1332" s="36"/>
    </row>
    <row r="1333" spans="16:27" x14ac:dyDescent="0.2">
      <c r="P1333" s="36"/>
      <c r="Q1333" s="40"/>
      <c r="R1333" s="40"/>
      <c r="S1333" s="40"/>
      <c r="T1333" s="41"/>
      <c r="U1333" s="41"/>
      <c r="V1333" s="36"/>
      <c r="W1333" s="36"/>
      <c r="X1333" s="36"/>
      <c r="Y1333" s="36"/>
      <c r="Z1333" s="36"/>
      <c r="AA1333" s="36"/>
    </row>
    <row r="1334" spans="16:27" x14ac:dyDescent="0.2">
      <c r="P1334" s="36"/>
      <c r="Q1334" s="40"/>
      <c r="R1334" s="40"/>
      <c r="S1334" s="40"/>
      <c r="T1334" s="41"/>
      <c r="U1334" s="41"/>
      <c r="V1334" s="36"/>
      <c r="W1334" s="36"/>
      <c r="X1334" s="36"/>
      <c r="Y1334" s="36"/>
      <c r="Z1334" s="36"/>
      <c r="AA1334" s="36"/>
    </row>
    <row r="1335" spans="16:27" x14ac:dyDescent="0.2">
      <c r="P1335" s="36"/>
      <c r="Q1335" s="40"/>
      <c r="R1335" s="40"/>
      <c r="S1335" s="40"/>
      <c r="T1335" s="41"/>
      <c r="U1335" s="41"/>
      <c r="V1335" s="36"/>
      <c r="W1335" s="36"/>
      <c r="X1335" s="36"/>
      <c r="Y1335" s="36"/>
      <c r="Z1335" s="36"/>
      <c r="AA1335" s="36"/>
    </row>
    <row r="1336" spans="16:27" x14ac:dyDescent="0.2">
      <c r="P1336" s="36"/>
      <c r="Q1336" s="40"/>
      <c r="R1336" s="40"/>
      <c r="S1336" s="40"/>
      <c r="T1336" s="41"/>
      <c r="U1336" s="41"/>
      <c r="V1336" s="36"/>
      <c r="W1336" s="36"/>
      <c r="X1336" s="36"/>
      <c r="Y1336" s="36"/>
      <c r="Z1336" s="36"/>
      <c r="AA1336" s="36"/>
    </row>
    <row r="1337" spans="16:27" x14ac:dyDescent="0.2">
      <c r="P1337" s="36"/>
      <c r="Q1337" s="40"/>
      <c r="R1337" s="40"/>
      <c r="S1337" s="40"/>
      <c r="T1337" s="41"/>
      <c r="U1337" s="41"/>
      <c r="V1337" s="36"/>
      <c r="W1337" s="36"/>
      <c r="X1337" s="36"/>
      <c r="Y1337" s="36"/>
      <c r="Z1337" s="36"/>
      <c r="AA1337" s="36"/>
    </row>
    <row r="1338" spans="16:27" x14ac:dyDescent="0.2">
      <c r="P1338" s="36"/>
      <c r="Q1338" s="40"/>
      <c r="R1338" s="40"/>
      <c r="S1338" s="40"/>
      <c r="T1338" s="41"/>
      <c r="U1338" s="41"/>
      <c r="V1338" s="36"/>
      <c r="W1338" s="36"/>
      <c r="X1338" s="36"/>
      <c r="Y1338" s="36"/>
      <c r="Z1338" s="36"/>
      <c r="AA1338" s="36"/>
    </row>
    <row r="1339" spans="16:27" x14ac:dyDescent="0.2">
      <c r="P1339" s="36"/>
      <c r="Q1339" s="40"/>
      <c r="R1339" s="40"/>
      <c r="S1339" s="40"/>
      <c r="T1339" s="41"/>
      <c r="U1339" s="41"/>
      <c r="V1339" s="36"/>
      <c r="W1339" s="36"/>
      <c r="X1339" s="36"/>
      <c r="Y1339" s="36"/>
      <c r="Z1339" s="36"/>
      <c r="AA1339" s="36"/>
    </row>
    <row r="1340" spans="16:27" x14ac:dyDescent="0.2">
      <c r="P1340" s="36"/>
      <c r="Q1340" s="40"/>
      <c r="R1340" s="40"/>
      <c r="S1340" s="40"/>
      <c r="T1340" s="41"/>
      <c r="U1340" s="41"/>
      <c r="V1340" s="36"/>
      <c r="W1340" s="36"/>
      <c r="X1340" s="36"/>
      <c r="Y1340" s="36"/>
      <c r="Z1340" s="36"/>
      <c r="AA1340" s="36"/>
    </row>
    <row r="1341" spans="16:27" x14ac:dyDescent="0.2">
      <c r="P1341" s="36"/>
      <c r="Q1341" s="40"/>
      <c r="R1341" s="40"/>
      <c r="S1341" s="40"/>
      <c r="T1341" s="41"/>
      <c r="U1341" s="41"/>
      <c r="V1341" s="36"/>
      <c r="W1341" s="36"/>
      <c r="X1341" s="36"/>
      <c r="Y1341" s="36"/>
      <c r="Z1341" s="36"/>
      <c r="AA1341" s="36"/>
    </row>
    <row r="1342" spans="16:27" x14ac:dyDescent="0.2">
      <c r="P1342" s="36"/>
      <c r="Q1342" s="40"/>
      <c r="R1342" s="40"/>
      <c r="S1342" s="40"/>
      <c r="T1342" s="41"/>
      <c r="U1342" s="41"/>
      <c r="V1342" s="36"/>
      <c r="W1342" s="36"/>
      <c r="X1342" s="36"/>
      <c r="Y1342" s="36"/>
      <c r="Z1342" s="36"/>
      <c r="AA1342" s="36"/>
    </row>
    <row r="1343" spans="16:27" x14ac:dyDescent="0.2">
      <c r="P1343" s="36"/>
      <c r="Q1343" s="40"/>
      <c r="R1343" s="40"/>
      <c r="S1343" s="40"/>
      <c r="T1343" s="41"/>
      <c r="U1343" s="41"/>
      <c r="V1343" s="36"/>
      <c r="W1343" s="36"/>
      <c r="X1343" s="36"/>
      <c r="Y1343" s="36"/>
      <c r="Z1343" s="36"/>
      <c r="AA1343" s="36"/>
    </row>
    <row r="1344" spans="16:27" x14ac:dyDescent="0.2">
      <c r="P1344" s="36"/>
      <c r="Q1344" s="40"/>
      <c r="R1344" s="40"/>
      <c r="S1344" s="40"/>
      <c r="T1344" s="41"/>
      <c r="U1344" s="41"/>
      <c r="V1344" s="36"/>
      <c r="W1344" s="36"/>
      <c r="X1344" s="36"/>
      <c r="Y1344" s="36"/>
      <c r="Z1344" s="36"/>
      <c r="AA1344" s="36"/>
    </row>
    <row r="1345" spans="16:27" x14ac:dyDescent="0.2">
      <c r="P1345" s="36"/>
      <c r="Q1345" s="40"/>
      <c r="R1345" s="40"/>
      <c r="S1345" s="40"/>
      <c r="T1345" s="41"/>
      <c r="U1345" s="41"/>
      <c r="V1345" s="36"/>
      <c r="W1345" s="36"/>
      <c r="X1345" s="36"/>
      <c r="Y1345" s="36"/>
      <c r="Z1345" s="36"/>
      <c r="AA1345" s="36"/>
    </row>
    <row r="1346" spans="16:27" x14ac:dyDescent="0.2">
      <c r="P1346" s="36"/>
      <c r="Q1346" s="40"/>
      <c r="R1346" s="40"/>
      <c r="S1346" s="40"/>
      <c r="T1346" s="41"/>
      <c r="U1346" s="41"/>
      <c r="V1346" s="36"/>
      <c r="W1346" s="36"/>
      <c r="X1346" s="36"/>
      <c r="Y1346" s="36"/>
      <c r="Z1346" s="36"/>
      <c r="AA1346" s="36"/>
    </row>
    <row r="1347" spans="16:27" x14ac:dyDescent="0.2">
      <c r="P1347" s="36"/>
      <c r="Q1347" s="40"/>
      <c r="R1347" s="40"/>
      <c r="S1347" s="40"/>
      <c r="T1347" s="41"/>
      <c r="U1347" s="41"/>
      <c r="V1347" s="36"/>
      <c r="W1347" s="36"/>
      <c r="X1347" s="36"/>
      <c r="Y1347" s="36"/>
      <c r="Z1347" s="36"/>
      <c r="AA1347" s="36"/>
    </row>
    <row r="1348" spans="16:27" x14ac:dyDescent="0.2">
      <c r="P1348" s="36"/>
      <c r="Q1348" s="40"/>
      <c r="R1348" s="40"/>
      <c r="S1348" s="40"/>
      <c r="T1348" s="41"/>
      <c r="U1348" s="41"/>
      <c r="V1348" s="36"/>
      <c r="W1348" s="36"/>
      <c r="X1348" s="36"/>
      <c r="Y1348" s="36"/>
      <c r="Z1348" s="36"/>
      <c r="AA1348" s="36"/>
    </row>
    <row r="1349" spans="16:27" x14ac:dyDescent="0.2">
      <c r="P1349" s="36"/>
      <c r="Q1349" s="40"/>
      <c r="R1349" s="40"/>
      <c r="S1349" s="40"/>
      <c r="T1349" s="41"/>
      <c r="U1349" s="41"/>
      <c r="V1349" s="36"/>
      <c r="W1349" s="36"/>
      <c r="X1349" s="36"/>
      <c r="Y1349" s="36"/>
      <c r="Z1349" s="36"/>
      <c r="AA1349" s="36"/>
    </row>
    <row r="1350" spans="16:27" x14ac:dyDescent="0.2">
      <c r="P1350" s="36"/>
      <c r="Q1350" s="40"/>
      <c r="R1350" s="40"/>
      <c r="S1350" s="40"/>
      <c r="T1350" s="41"/>
      <c r="U1350" s="41"/>
      <c r="V1350" s="36"/>
      <c r="W1350" s="36"/>
      <c r="X1350" s="36"/>
      <c r="Y1350" s="36"/>
      <c r="Z1350" s="36"/>
      <c r="AA1350" s="36"/>
    </row>
    <row r="1351" spans="16:27" x14ac:dyDescent="0.2">
      <c r="P1351" s="36"/>
      <c r="Q1351" s="40"/>
      <c r="R1351" s="40"/>
      <c r="S1351" s="40"/>
      <c r="T1351" s="41"/>
      <c r="U1351" s="41"/>
      <c r="V1351" s="36"/>
      <c r="W1351" s="36"/>
      <c r="X1351" s="36"/>
      <c r="Y1351" s="36"/>
      <c r="Z1351" s="36"/>
      <c r="AA1351" s="36"/>
    </row>
    <row r="1352" spans="16:27" x14ac:dyDescent="0.2">
      <c r="P1352" s="36"/>
      <c r="Q1352" s="40"/>
      <c r="R1352" s="40"/>
      <c r="S1352" s="40"/>
      <c r="T1352" s="41"/>
      <c r="U1352" s="41"/>
      <c r="V1352" s="36"/>
      <c r="W1352" s="36"/>
      <c r="X1352" s="36"/>
      <c r="Y1352" s="36"/>
      <c r="Z1352" s="36"/>
      <c r="AA1352" s="36"/>
    </row>
    <row r="1353" spans="16:27" x14ac:dyDescent="0.2">
      <c r="P1353" s="36"/>
      <c r="Q1353" s="40"/>
      <c r="R1353" s="40"/>
      <c r="S1353" s="40"/>
      <c r="T1353" s="41"/>
      <c r="U1353" s="41"/>
      <c r="V1353" s="36"/>
      <c r="W1353" s="36"/>
      <c r="X1353" s="36"/>
      <c r="Y1353" s="36"/>
      <c r="Z1353" s="36"/>
      <c r="AA1353" s="36"/>
    </row>
    <row r="1354" spans="16:27" x14ac:dyDescent="0.2">
      <c r="P1354" s="36"/>
      <c r="Q1354" s="40"/>
      <c r="R1354" s="40"/>
      <c r="S1354" s="40"/>
      <c r="T1354" s="41"/>
      <c r="U1354" s="41"/>
      <c r="V1354" s="36"/>
      <c r="W1354" s="36"/>
      <c r="X1354" s="36"/>
      <c r="Y1354" s="36"/>
      <c r="Z1354" s="36"/>
      <c r="AA1354" s="36"/>
    </row>
    <row r="1355" spans="16:27" x14ac:dyDescent="0.2">
      <c r="P1355" s="36"/>
      <c r="Q1355" s="40"/>
      <c r="R1355" s="40"/>
      <c r="S1355" s="40"/>
      <c r="T1355" s="41"/>
      <c r="U1355" s="41"/>
      <c r="V1355" s="36"/>
      <c r="W1355" s="36"/>
      <c r="X1355" s="36"/>
      <c r="Y1355" s="36"/>
      <c r="Z1355" s="36"/>
      <c r="AA1355" s="36"/>
    </row>
    <row r="1356" spans="16:27" x14ac:dyDescent="0.2">
      <c r="P1356" s="36"/>
      <c r="Q1356" s="40"/>
      <c r="R1356" s="40"/>
      <c r="S1356" s="40"/>
      <c r="T1356" s="41"/>
      <c r="U1356" s="41"/>
      <c r="V1356" s="36"/>
      <c r="W1356" s="36"/>
      <c r="X1356" s="36"/>
      <c r="Y1356" s="36"/>
      <c r="Z1356" s="36"/>
      <c r="AA1356" s="36"/>
    </row>
    <row r="1357" spans="16:27" x14ac:dyDescent="0.2">
      <c r="P1357" s="36"/>
      <c r="Q1357" s="40"/>
      <c r="R1357" s="40"/>
      <c r="S1357" s="40"/>
      <c r="T1357" s="41"/>
      <c r="U1357" s="41"/>
      <c r="V1357" s="36"/>
      <c r="W1357" s="36"/>
      <c r="X1357" s="36"/>
      <c r="Y1357" s="36"/>
      <c r="Z1357" s="36"/>
      <c r="AA1357" s="36"/>
    </row>
    <row r="1358" spans="16:27" x14ac:dyDescent="0.2">
      <c r="P1358" s="36"/>
      <c r="Q1358" s="40"/>
      <c r="R1358" s="40"/>
      <c r="S1358" s="40"/>
      <c r="T1358" s="41"/>
      <c r="U1358" s="41"/>
      <c r="V1358" s="36"/>
      <c r="W1358" s="36"/>
      <c r="X1358" s="36"/>
      <c r="Y1358" s="36"/>
      <c r="Z1358" s="36"/>
      <c r="AA1358" s="36"/>
    </row>
    <row r="1359" spans="16:27" x14ac:dyDescent="0.2">
      <c r="P1359" s="36"/>
      <c r="Q1359" s="40"/>
      <c r="R1359" s="40"/>
      <c r="S1359" s="40"/>
      <c r="T1359" s="41"/>
      <c r="U1359" s="41"/>
      <c r="V1359" s="36"/>
      <c r="W1359" s="36"/>
      <c r="X1359" s="36"/>
      <c r="Y1359" s="36"/>
      <c r="Z1359" s="36"/>
      <c r="AA1359" s="36"/>
    </row>
    <row r="1360" spans="16:27" x14ac:dyDescent="0.2">
      <c r="P1360" s="36"/>
      <c r="Q1360" s="40"/>
      <c r="R1360" s="40"/>
      <c r="S1360" s="40"/>
      <c r="T1360" s="41"/>
      <c r="U1360" s="41"/>
      <c r="V1360" s="36"/>
      <c r="W1360" s="36"/>
      <c r="X1360" s="36"/>
      <c r="Y1360" s="36"/>
      <c r="Z1360" s="36"/>
      <c r="AA1360" s="36"/>
    </row>
    <row r="1361" spans="16:27" x14ac:dyDescent="0.2">
      <c r="P1361" s="36"/>
      <c r="Q1361" s="40"/>
      <c r="R1361" s="40"/>
      <c r="S1361" s="40"/>
      <c r="T1361" s="41"/>
      <c r="U1361" s="41"/>
      <c r="V1361" s="36"/>
      <c r="W1361" s="36"/>
      <c r="X1361" s="36"/>
      <c r="Y1361" s="36"/>
      <c r="Z1361" s="36"/>
      <c r="AA1361" s="36"/>
    </row>
    <row r="1362" spans="16:27" x14ac:dyDescent="0.2">
      <c r="P1362" s="36"/>
      <c r="Q1362" s="40"/>
      <c r="R1362" s="40"/>
      <c r="S1362" s="40"/>
      <c r="T1362" s="41"/>
      <c r="U1362" s="41"/>
      <c r="V1362" s="36"/>
      <c r="W1362" s="36"/>
      <c r="X1362" s="36"/>
      <c r="Y1362" s="36"/>
      <c r="Z1362" s="36"/>
      <c r="AA1362" s="36"/>
    </row>
    <row r="1363" spans="16:27" x14ac:dyDescent="0.2">
      <c r="P1363" s="36"/>
      <c r="Q1363" s="40"/>
      <c r="R1363" s="40"/>
      <c r="S1363" s="40"/>
      <c r="T1363" s="41"/>
      <c r="U1363" s="41"/>
      <c r="V1363" s="36"/>
      <c r="W1363" s="36"/>
      <c r="X1363" s="36"/>
      <c r="Y1363" s="36"/>
      <c r="Z1363" s="36"/>
      <c r="AA1363" s="36"/>
    </row>
    <row r="1364" spans="16:27" x14ac:dyDescent="0.2">
      <c r="P1364" s="36"/>
      <c r="Q1364" s="40"/>
      <c r="R1364" s="40"/>
      <c r="S1364" s="40"/>
      <c r="T1364" s="41"/>
      <c r="U1364" s="41"/>
      <c r="V1364" s="36"/>
      <c r="W1364" s="36"/>
      <c r="X1364" s="36"/>
      <c r="Y1364" s="36"/>
      <c r="Z1364" s="36"/>
      <c r="AA1364" s="36"/>
    </row>
    <row r="1365" spans="16:27" x14ac:dyDescent="0.2">
      <c r="P1365" s="36"/>
      <c r="Q1365" s="40"/>
      <c r="R1365" s="40"/>
      <c r="S1365" s="40"/>
      <c r="T1365" s="41"/>
      <c r="U1365" s="41"/>
      <c r="V1365" s="36"/>
      <c r="W1365" s="36"/>
      <c r="X1365" s="36"/>
      <c r="Y1365" s="36"/>
      <c r="Z1365" s="36"/>
      <c r="AA1365" s="36"/>
    </row>
    <row r="1366" spans="16:27" x14ac:dyDescent="0.2">
      <c r="P1366" s="36"/>
      <c r="Q1366" s="40"/>
      <c r="R1366" s="40"/>
      <c r="S1366" s="40"/>
      <c r="T1366" s="41"/>
      <c r="U1366" s="41"/>
      <c r="V1366" s="36"/>
      <c r="W1366" s="36"/>
      <c r="X1366" s="36"/>
      <c r="Y1366" s="36"/>
      <c r="Z1366" s="36"/>
      <c r="AA1366" s="36"/>
    </row>
    <row r="1367" spans="16:27" x14ac:dyDescent="0.2">
      <c r="P1367" s="36"/>
      <c r="Q1367" s="40"/>
      <c r="R1367" s="40"/>
      <c r="S1367" s="40"/>
      <c r="T1367" s="41"/>
      <c r="U1367" s="41"/>
      <c r="V1367" s="36"/>
      <c r="W1367" s="36"/>
      <c r="X1367" s="36"/>
      <c r="Y1367" s="36"/>
      <c r="Z1367" s="36"/>
      <c r="AA1367" s="36"/>
    </row>
    <row r="1368" spans="16:27" x14ac:dyDescent="0.2">
      <c r="P1368" s="36"/>
      <c r="Q1368" s="40"/>
      <c r="R1368" s="40"/>
      <c r="S1368" s="40"/>
      <c r="T1368" s="41"/>
      <c r="U1368" s="41"/>
      <c r="V1368" s="36"/>
      <c r="W1368" s="36"/>
      <c r="X1368" s="36"/>
      <c r="Y1368" s="36"/>
      <c r="Z1368" s="36"/>
      <c r="AA1368" s="36"/>
    </row>
    <row r="1369" spans="16:27" x14ac:dyDescent="0.2">
      <c r="P1369" s="36"/>
      <c r="Q1369" s="40"/>
      <c r="R1369" s="40"/>
      <c r="S1369" s="40"/>
      <c r="T1369" s="41"/>
      <c r="U1369" s="41"/>
      <c r="V1369" s="36"/>
      <c r="W1369" s="36"/>
      <c r="X1369" s="36"/>
      <c r="Y1369" s="36"/>
      <c r="Z1369" s="36"/>
      <c r="AA1369" s="36"/>
    </row>
    <row r="1370" spans="16:27" x14ac:dyDescent="0.2">
      <c r="P1370" s="36"/>
      <c r="Q1370" s="40"/>
      <c r="R1370" s="40"/>
      <c r="S1370" s="40"/>
      <c r="T1370" s="41"/>
      <c r="U1370" s="41"/>
      <c r="V1370" s="36"/>
      <c r="W1370" s="36"/>
      <c r="X1370" s="36"/>
      <c r="Y1370" s="36"/>
      <c r="Z1370" s="36"/>
      <c r="AA1370" s="36"/>
    </row>
    <row r="1371" spans="16:27" x14ac:dyDescent="0.2">
      <c r="P1371" s="36"/>
      <c r="Q1371" s="40"/>
      <c r="R1371" s="40"/>
      <c r="S1371" s="40"/>
      <c r="T1371" s="41"/>
      <c r="U1371" s="41"/>
      <c r="V1371" s="36"/>
      <c r="W1371" s="36"/>
      <c r="X1371" s="36"/>
      <c r="Y1371" s="36"/>
      <c r="Z1371" s="36"/>
      <c r="AA1371" s="36"/>
    </row>
    <row r="1372" spans="16:27" x14ac:dyDescent="0.2">
      <c r="P1372" s="36"/>
      <c r="Q1372" s="40"/>
      <c r="R1372" s="40"/>
      <c r="S1372" s="40"/>
      <c r="T1372" s="41"/>
      <c r="U1372" s="41"/>
      <c r="V1372" s="36"/>
      <c r="W1372" s="36"/>
      <c r="X1372" s="36"/>
      <c r="Y1372" s="36"/>
      <c r="Z1372" s="36"/>
      <c r="AA1372" s="36"/>
    </row>
    <row r="1373" spans="16:27" x14ac:dyDescent="0.2">
      <c r="P1373" s="36"/>
      <c r="Q1373" s="40"/>
      <c r="R1373" s="40"/>
      <c r="S1373" s="40"/>
      <c r="T1373" s="41"/>
      <c r="U1373" s="41"/>
      <c r="V1373" s="36"/>
      <c r="W1373" s="36"/>
      <c r="X1373" s="36"/>
      <c r="Y1373" s="36"/>
      <c r="Z1373" s="36"/>
      <c r="AA1373" s="36"/>
    </row>
    <row r="1374" spans="16:27" x14ac:dyDescent="0.2">
      <c r="P1374" s="36"/>
      <c r="Q1374" s="40"/>
      <c r="R1374" s="40"/>
      <c r="S1374" s="40"/>
      <c r="T1374" s="41"/>
      <c r="U1374" s="41"/>
      <c r="V1374" s="36"/>
      <c r="W1374" s="36"/>
      <c r="X1374" s="36"/>
      <c r="Y1374" s="36"/>
      <c r="Z1374" s="36"/>
      <c r="AA1374" s="36"/>
    </row>
    <row r="1375" spans="16:27" x14ac:dyDescent="0.2">
      <c r="P1375" s="36"/>
      <c r="Q1375" s="36"/>
      <c r="R1375" s="36"/>
      <c r="S1375" s="36"/>
      <c r="T1375" s="36"/>
      <c r="U1375" s="36"/>
      <c r="V1375" s="36"/>
      <c r="W1375" s="36"/>
      <c r="X1375" s="36"/>
      <c r="Y1375" s="36"/>
      <c r="Z1375" s="36"/>
      <c r="AA1375" s="36"/>
    </row>
    <row r="1376" spans="16:27" x14ac:dyDescent="0.2">
      <c r="P1376" s="36"/>
      <c r="Q1376" s="36"/>
      <c r="R1376" s="36"/>
      <c r="S1376" s="36"/>
      <c r="T1376" s="36"/>
      <c r="U1376" s="36"/>
      <c r="V1376" s="36"/>
      <c r="W1376" s="36"/>
      <c r="X1376" s="36"/>
      <c r="Y1376" s="36"/>
      <c r="Z1376" s="36"/>
      <c r="AA1376" s="36"/>
    </row>
    <row r="1377" spans="16:27" x14ac:dyDescent="0.2">
      <c r="P1377" s="36"/>
      <c r="Q1377" s="36"/>
      <c r="R1377" s="36"/>
      <c r="S1377" s="36"/>
      <c r="T1377" s="36"/>
      <c r="U1377" s="36"/>
      <c r="V1377" s="36"/>
      <c r="W1377" s="36"/>
      <c r="X1377" s="36"/>
      <c r="Y1377" s="36"/>
      <c r="Z1377" s="36"/>
      <c r="AA1377" s="36"/>
    </row>
    <row r="1378" spans="16:27" x14ac:dyDescent="0.2">
      <c r="P1378" s="36"/>
      <c r="Q1378" s="36"/>
      <c r="R1378" s="36"/>
      <c r="S1378" s="36"/>
      <c r="T1378" s="36"/>
      <c r="U1378" s="36"/>
      <c r="V1378" s="36"/>
      <c r="W1378" s="36"/>
      <c r="X1378" s="36"/>
      <c r="Y1378" s="36"/>
      <c r="Z1378" s="36"/>
      <c r="AA1378" s="36"/>
    </row>
    <row r="1379" spans="16:27" x14ac:dyDescent="0.2">
      <c r="P1379" s="36"/>
      <c r="Q1379" s="36"/>
      <c r="R1379" s="36"/>
      <c r="S1379" s="36"/>
      <c r="T1379" s="36"/>
      <c r="U1379" s="36"/>
      <c r="V1379" s="36"/>
      <c r="W1379" s="36"/>
      <c r="X1379" s="36"/>
      <c r="Y1379" s="36"/>
      <c r="Z1379" s="36"/>
      <c r="AA1379" s="36"/>
    </row>
    <row r="1380" spans="16:27" x14ac:dyDescent="0.2">
      <c r="P1380" s="36"/>
      <c r="Q1380" s="36"/>
      <c r="R1380" s="36"/>
      <c r="S1380" s="36"/>
      <c r="T1380" s="36"/>
      <c r="U1380" s="36"/>
      <c r="V1380" s="36"/>
      <c r="W1380" s="36"/>
      <c r="X1380" s="36"/>
      <c r="Y1380" s="36"/>
      <c r="Z1380" s="36"/>
      <c r="AA1380" s="36"/>
    </row>
    <row r="1381" spans="16:27" x14ac:dyDescent="0.2">
      <c r="P1381" s="36"/>
      <c r="Q1381" s="36"/>
      <c r="R1381" s="36"/>
      <c r="S1381" s="36"/>
      <c r="T1381" s="36"/>
      <c r="U1381" s="36"/>
      <c r="V1381" s="36"/>
      <c r="W1381" s="36"/>
      <c r="X1381" s="36"/>
      <c r="Y1381" s="36"/>
      <c r="Z1381" s="36"/>
      <c r="AA1381" s="36"/>
    </row>
    <row r="1382" spans="16:27" x14ac:dyDescent="0.2">
      <c r="P1382" s="36"/>
      <c r="Q1382" s="36"/>
      <c r="R1382" s="36"/>
      <c r="S1382" s="36"/>
      <c r="T1382" s="36"/>
      <c r="U1382" s="36"/>
      <c r="V1382" s="36"/>
      <c r="W1382" s="36"/>
      <c r="X1382" s="36"/>
      <c r="Y1382" s="36"/>
      <c r="Z1382" s="36"/>
      <c r="AA1382" s="36"/>
    </row>
    <row r="1383" spans="16:27" x14ac:dyDescent="0.2">
      <c r="P1383" s="36"/>
      <c r="Q1383" s="36"/>
      <c r="R1383" s="36"/>
      <c r="S1383" s="36"/>
      <c r="T1383" s="36"/>
      <c r="U1383" s="36"/>
      <c r="V1383" s="36"/>
      <c r="W1383" s="36"/>
      <c r="X1383" s="36"/>
      <c r="Y1383" s="36"/>
      <c r="Z1383" s="36"/>
      <c r="AA1383" s="36"/>
    </row>
    <row r="1384" spans="16:27" x14ac:dyDescent="0.2">
      <c r="P1384" s="36"/>
      <c r="Q1384" s="36"/>
      <c r="R1384" s="36"/>
      <c r="S1384" s="36"/>
      <c r="T1384" s="36"/>
      <c r="U1384" s="36"/>
      <c r="V1384" s="36"/>
      <c r="W1384" s="36"/>
      <c r="X1384" s="36"/>
      <c r="Y1384" s="36"/>
      <c r="Z1384" s="36"/>
      <c r="AA1384" s="36"/>
    </row>
    <row r="1385" spans="16:27" x14ac:dyDescent="0.2">
      <c r="P1385" s="36"/>
      <c r="Q1385" s="36"/>
      <c r="R1385" s="36"/>
      <c r="S1385" s="36"/>
      <c r="T1385" s="36"/>
      <c r="U1385" s="36"/>
      <c r="V1385" s="36"/>
      <c r="W1385" s="36"/>
      <c r="X1385" s="36"/>
      <c r="Y1385" s="36"/>
      <c r="Z1385" s="36"/>
      <c r="AA1385" s="36"/>
    </row>
    <row r="1386" spans="16:27" x14ac:dyDescent="0.2">
      <c r="P1386" s="36"/>
      <c r="Q1386" s="36"/>
      <c r="R1386" s="36"/>
      <c r="S1386" s="36"/>
      <c r="T1386" s="36"/>
      <c r="U1386" s="36"/>
      <c r="V1386" s="36"/>
      <c r="W1386" s="36"/>
      <c r="X1386" s="36"/>
      <c r="Y1386" s="36"/>
      <c r="Z1386" s="36"/>
      <c r="AA1386" s="36"/>
    </row>
    <row r="1387" spans="16:27" x14ac:dyDescent="0.2">
      <c r="P1387" s="36"/>
      <c r="Q1387" s="36"/>
      <c r="R1387" s="36"/>
      <c r="S1387" s="36"/>
      <c r="T1387" s="36"/>
      <c r="U1387" s="36"/>
      <c r="V1387" s="36"/>
      <c r="W1387" s="36"/>
      <c r="X1387" s="36"/>
      <c r="Y1387" s="36"/>
      <c r="Z1387" s="36"/>
      <c r="AA1387" s="36"/>
    </row>
    <row r="1388" spans="16:27" x14ac:dyDescent="0.2">
      <c r="P1388" s="36"/>
      <c r="Q1388" s="36"/>
      <c r="R1388" s="36"/>
      <c r="S1388" s="36"/>
      <c r="T1388" s="36"/>
      <c r="U1388" s="36"/>
      <c r="V1388" s="36"/>
      <c r="W1388" s="36"/>
      <c r="X1388" s="36"/>
      <c r="Y1388" s="36"/>
      <c r="Z1388" s="36"/>
      <c r="AA1388" s="36"/>
    </row>
    <row r="1389" spans="16:27" x14ac:dyDescent="0.2">
      <c r="P1389" s="36"/>
      <c r="Q1389" s="36"/>
      <c r="R1389" s="36"/>
      <c r="S1389" s="36"/>
      <c r="T1389" s="36"/>
      <c r="U1389" s="36"/>
      <c r="V1389" s="36"/>
      <c r="W1389" s="36"/>
      <c r="X1389" s="36"/>
      <c r="Y1389" s="36"/>
      <c r="Z1389" s="36"/>
      <c r="AA1389" s="36"/>
    </row>
    <row r="1390" spans="16:27" x14ac:dyDescent="0.2">
      <c r="P1390" s="36"/>
      <c r="Q1390" s="36"/>
      <c r="R1390" s="36"/>
      <c r="S1390" s="36"/>
      <c r="T1390" s="36"/>
      <c r="U1390" s="36"/>
      <c r="V1390" s="36"/>
      <c r="W1390" s="36"/>
      <c r="X1390" s="36"/>
      <c r="Y1390" s="36"/>
      <c r="Z1390" s="36"/>
      <c r="AA1390" s="36"/>
    </row>
    <row r="1391" spans="16:27" x14ac:dyDescent="0.2">
      <c r="P1391" s="36"/>
      <c r="Q1391" s="36"/>
      <c r="R1391" s="36"/>
      <c r="S1391" s="36"/>
      <c r="T1391" s="36"/>
      <c r="U1391" s="36"/>
      <c r="V1391" s="36"/>
      <c r="W1391" s="36"/>
      <c r="X1391" s="36"/>
      <c r="Y1391" s="36"/>
      <c r="Z1391" s="36"/>
      <c r="AA1391" s="36"/>
    </row>
    <row r="1392" spans="16:27" x14ac:dyDescent="0.2">
      <c r="P1392" s="36"/>
      <c r="Q1392" s="36"/>
      <c r="R1392" s="36"/>
      <c r="S1392" s="36"/>
      <c r="T1392" s="36"/>
      <c r="U1392" s="36"/>
      <c r="V1392" s="36"/>
      <c r="W1392" s="36"/>
      <c r="X1392" s="36"/>
      <c r="Y1392" s="36"/>
      <c r="Z1392" s="36"/>
      <c r="AA1392" s="36"/>
    </row>
    <row r="1393" spans="16:27" x14ac:dyDescent="0.2">
      <c r="P1393" s="36"/>
      <c r="Q1393" s="36"/>
      <c r="R1393" s="36"/>
      <c r="S1393" s="36"/>
      <c r="T1393" s="36"/>
      <c r="U1393" s="36"/>
      <c r="V1393" s="36"/>
      <c r="W1393" s="36"/>
      <c r="X1393" s="36"/>
      <c r="Y1393" s="36"/>
      <c r="Z1393" s="36"/>
      <c r="AA1393" s="36"/>
    </row>
    <row r="1394" spans="16:27" x14ac:dyDescent="0.2">
      <c r="P1394" s="36"/>
      <c r="Q1394" s="36"/>
      <c r="R1394" s="36"/>
      <c r="S1394" s="36"/>
      <c r="T1394" s="36"/>
      <c r="U1394" s="36"/>
      <c r="V1394" s="36"/>
      <c r="W1394" s="36"/>
      <c r="X1394" s="36"/>
      <c r="Y1394" s="36"/>
      <c r="Z1394" s="36"/>
      <c r="AA1394" s="36"/>
    </row>
    <row r="1395" spans="16:27" x14ac:dyDescent="0.2">
      <c r="P1395" s="36"/>
      <c r="Q1395" s="36"/>
      <c r="R1395" s="36"/>
      <c r="S1395" s="36"/>
      <c r="T1395" s="36"/>
      <c r="U1395" s="36"/>
      <c r="V1395" s="36"/>
      <c r="W1395" s="36"/>
      <c r="X1395" s="36"/>
      <c r="Y1395" s="36"/>
      <c r="Z1395" s="36"/>
      <c r="AA1395" s="36"/>
    </row>
    <row r="1396" spans="16:27" x14ac:dyDescent="0.2">
      <c r="P1396" s="36"/>
      <c r="Q1396" s="36"/>
      <c r="R1396" s="36"/>
      <c r="S1396" s="36"/>
      <c r="T1396" s="36"/>
      <c r="U1396" s="36"/>
      <c r="V1396" s="36"/>
      <c r="W1396" s="36"/>
      <c r="X1396" s="36"/>
      <c r="Y1396" s="36"/>
      <c r="Z1396" s="36"/>
      <c r="AA1396" s="36"/>
    </row>
    <row r="1397" spans="16:27" x14ac:dyDescent="0.2">
      <c r="P1397" s="36"/>
      <c r="Q1397" s="36"/>
      <c r="R1397" s="36"/>
      <c r="S1397" s="36"/>
      <c r="T1397" s="36"/>
      <c r="U1397" s="36"/>
      <c r="V1397" s="36"/>
      <c r="W1397" s="36"/>
      <c r="X1397" s="36"/>
      <c r="Y1397" s="36"/>
      <c r="Z1397" s="36"/>
      <c r="AA1397" s="36"/>
    </row>
    <row r="1398" spans="16:27" x14ac:dyDescent="0.2">
      <c r="P1398" s="36"/>
      <c r="Q1398" s="36"/>
      <c r="R1398" s="36"/>
      <c r="S1398" s="36"/>
      <c r="T1398" s="36"/>
      <c r="U1398" s="36"/>
      <c r="V1398" s="36"/>
      <c r="W1398" s="36"/>
      <c r="X1398" s="36"/>
      <c r="Y1398" s="36"/>
      <c r="Z1398" s="36"/>
      <c r="AA1398" s="36"/>
    </row>
    <row r="1399" spans="16:27" x14ac:dyDescent="0.2">
      <c r="P1399" s="36"/>
      <c r="Q1399" s="36"/>
      <c r="R1399" s="36"/>
      <c r="S1399" s="36"/>
      <c r="T1399" s="36"/>
      <c r="U1399" s="36"/>
      <c r="V1399" s="36"/>
      <c r="W1399" s="36"/>
      <c r="X1399" s="36"/>
      <c r="Y1399" s="36"/>
      <c r="Z1399" s="36"/>
      <c r="AA1399" s="36"/>
    </row>
    <row r="1400" spans="16:27" x14ac:dyDescent="0.2">
      <c r="P1400" s="36"/>
      <c r="Q1400" s="36"/>
      <c r="R1400" s="36"/>
      <c r="S1400" s="36"/>
      <c r="T1400" s="36"/>
      <c r="U1400" s="36"/>
      <c r="V1400" s="36"/>
      <c r="W1400" s="36"/>
      <c r="X1400" s="36"/>
      <c r="Y1400" s="36"/>
      <c r="Z1400" s="36"/>
      <c r="AA1400" s="36"/>
    </row>
    <row r="1401" spans="16:27" x14ac:dyDescent="0.2">
      <c r="P1401" s="36"/>
      <c r="Q1401" s="36"/>
      <c r="R1401" s="36"/>
      <c r="S1401" s="36"/>
      <c r="T1401" s="36"/>
      <c r="U1401" s="36"/>
      <c r="V1401" s="36"/>
      <c r="W1401" s="36"/>
      <c r="X1401" s="36"/>
      <c r="Y1401" s="36"/>
      <c r="Z1401" s="36"/>
      <c r="AA1401" s="36"/>
    </row>
    <row r="1402" spans="16:27" x14ac:dyDescent="0.2">
      <c r="P1402" s="36"/>
      <c r="Q1402" s="36"/>
      <c r="R1402" s="36"/>
      <c r="S1402" s="36"/>
      <c r="T1402" s="36"/>
      <c r="U1402" s="36"/>
      <c r="V1402" s="36"/>
      <c r="W1402" s="36"/>
      <c r="X1402" s="36"/>
      <c r="Y1402" s="36"/>
      <c r="Z1402" s="36"/>
      <c r="AA1402" s="36"/>
    </row>
    <row r="1403" spans="16:27" x14ac:dyDescent="0.2">
      <c r="P1403" s="36"/>
      <c r="Q1403" s="36"/>
      <c r="R1403" s="36"/>
      <c r="S1403" s="36"/>
      <c r="T1403" s="36"/>
      <c r="U1403" s="36"/>
      <c r="V1403" s="36"/>
      <c r="W1403" s="36"/>
      <c r="X1403" s="36"/>
      <c r="Y1403" s="36"/>
      <c r="Z1403" s="36"/>
      <c r="AA1403" s="36"/>
    </row>
    <row r="1404" spans="16:27" x14ac:dyDescent="0.2">
      <c r="P1404" s="36"/>
      <c r="Q1404" s="36"/>
      <c r="R1404" s="36"/>
      <c r="S1404" s="36"/>
      <c r="T1404" s="36"/>
      <c r="U1404" s="36"/>
      <c r="V1404" s="36"/>
      <c r="W1404" s="36"/>
      <c r="X1404" s="36"/>
      <c r="Y1404" s="36"/>
      <c r="Z1404" s="36"/>
      <c r="AA1404" s="36"/>
    </row>
    <row r="1405" spans="16:27" x14ac:dyDescent="0.2">
      <c r="P1405" s="36"/>
      <c r="Q1405" s="36"/>
      <c r="R1405" s="36"/>
      <c r="S1405" s="36"/>
      <c r="T1405" s="36"/>
      <c r="U1405" s="36"/>
      <c r="V1405" s="36"/>
      <c r="W1405" s="36"/>
      <c r="X1405" s="36"/>
      <c r="Y1405" s="36"/>
      <c r="Z1405" s="36"/>
      <c r="AA1405" s="36"/>
    </row>
    <row r="1406" spans="16:27" x14ac:dyDescent="0.2">
      <c r="P1406" s="36"/>
      <c r="Q1406" s="36"/>
      <c r="R1406" s="36"/>
      <c r="S1406" s="36"/>
      <c r="T1406" s="36"/>
      <c r="U1406" s="36"/>
      <c r="V1406" s="36"/>
      <c r="W1406" s="36"/>
      <c r="X1406" s="36"/>
      <c r="Y1406" s="36"/>
      <c r="Z1406" s="36"/>
      <c r="AA1406" s="36"/>
    </row>
    <row r="1407" spans="16:27" x14ac:dyDescent="0.2">
      <c r="P1407" s="36"/>
      <c r="Q1407" s="36"/>
      <c r="R1407" s="36"/>
      <c r="S1407" s="36"/>
      <c r="T1407" s="36"/>
      <c r="U1407" s="36"/>
      <c r="V1407" s="36"/>
      <c r="W1407" s="36"/>
      <c r="X1407" s="36"/>
      <c r="Y1407" s="36"/>
      <c r="Z1407" s="36"/>
      <c r="AA1407" s="36"/>
    </row>
    <row r="1408" spans="16:27" x14ac:dyDescent="0.2">
      <c r="P1408" s="36"/>
      <c r="Q1408" s="36"/>
      <c r="R1408" s="36"/>
      <c r="S1408" s="36"/>
      <c r="T1408" s="36"/>
      <c r="U1408" s="36"/>
      <c r="V1408" s="36"/>
      <c r="W1408" s="36"/>
      <c r="X1408" s="36"/>
      <c r="Y1408" s="36"/>
      <c r="Z1408" s="36"/>
      <c r="AA1408" s="36"/>
    </row>
    <row r="1409" spans="16:27" x14ac:dyDescent="0.2">
      <c r="P1409" s="36"/>
      <c r="Q1409" s="36"/>
      <c r="R1409" s="36"/>
      <c r="S1409" s="36"/>
      <c r="T1409" s="36"/>
      <c r="U1409" s="36"/>
      <c r="V1409" s="36"/>
      <c r="W1409" s="36"/>
      <c r="X1409" s="36"/>
      <c r="Y1409" s="36"/>
      <c r="Z1409" s="36"/>
      <c r="AA1409" s="36"/>
    </row>
    <row r="1410" spans="16:27" x14ac:dyDescent="0.2">
      <c r="P1410" s="36"/>
      <c r="Q1410" s="36"/>
      <c r="R1410" s="36"/>
      <c r="S1410" s="36"/>
      <c r="T1410" s="36"/>
      <c r="U1410" s="36"/>
      <c r="V1410" s="36"/>
      <c r="W1410" s="36"/>
      <c r="X1410" s="36"/>
      <c r="Y1410" s="36"/>
      <c r="Z1410" s="36"/>
      <c r="AA1410" s="36"/>
    </row>
    <row r="1411" spans="16:27" x14ac:dyDescent="0.2">
      <c r="P1411" s="36"/>
      <c r="Q1411" s="36"/>
      <c r="R1411" s="36"/>
      <c r="S1411" s="36"/>
      <c r="T1411" s="36"/>
      <c r="U1411" s="36"/>
      <c r="V1411" s="36"/>
      <c r="W1411" s="36"/>
      <c r="X1411" s="36"/>
      <c r="Y1411" s="36"/>
      <c r="Z1411" s="36"/>
      <c r="AA1411" s="36"/>
    </row>
    <row r="1412" spans="16:27" x14ac:dyDescent="0.2">
      <c r="P1412" s="36"/>
      <c r="Q1412" s="36"/>
      <c r="R1412" s="36"/>
      <c r="S1412" s="36"/>
      <c r="T1412" s="36"/>
      <c r="U1412" s="36"/>
      <c r="V1412" s="36"/>
      <c r="W1412" s="36"/>
      <c r="X1412" s="36"/>
      <c r="Y1412" s="36"/>
      <c r="Z1412" s="36"/>
      <c r="AA1412" s="36"/>
    </row>
    <row r="1413" spans="16:27" x14ac:dyDescent="0.2">
      <c r="P1413" s="36"/>
      <c r="Q1413" s="36"/>
      <c r="R1413" s="36"/>
      <c r="S1413" s="36"/>
      <c r="T1413" s="36"/>
      <c r="U1413" s="36"/>
      <c r="V1413" s="36"/>
      <c r="W1413" s="36"/>
      <c r="X1413" s="36"/>
      <c r="Y1413" s="36"/>
      <c r="Z1413" s="36"/>
      <c r="AA1413" s="36"/>
    </row>
    <row r="1414" spans="16:27" x14ac:dyDescent="0.2">
      <c r="P1414" s="36"/>
      <c r="Q1414" s="36"/>
      <c r="R1414" s="36"/>
      <c r="S1414" s="36"/>
      <c r="T1414" s="36"/>
      <c r="U1414" s="36"/>
      <c r="V1414" s="36"/>
      <c r="W1414" s="36"/>
      <c r="X1414" s="36"/>
      <c r="Y1414" s="36"/>
      <c r="Z1414" s="36"/>
      <c r="AA1414" s="36"/>
    </row>
    <row r="1415" spans="16:27" x14ac:dyDescent="0.2">
      <c r="P1415" s="36"/>
      <c r="Q1415" s="36"/>
      <c r="R1415" s="36"/>
      <c r="S1415" s="36"/>
      <c r="T1415" s="36"/>
      <c r="U1415" s="36"/>
      <c r="V1415" s="36"/>
      <c r="W1415" s="36"/>
      <c r="X1415" s="36"/>
      <c r="Y1415" s="36"/>
      <c r="Z1415" s="36"/>
      <c r="AA1415" s="36"/>
    </row>
    <row r="1416" spans="16:27" x14ac:dyDescent="0.2">
      <c r="P1416" s="36"/>
      <c r="Q1416" s="36"/>
      <c r="R1416" s="36"/>
      <c r="S1416" s="36"/>
      <c r="T1416" s="36"/>
      <c r="U1416" s="36"/>
      <c r="V1416" s="36"/>
      <c r="W1416" s="36"/>
      <c r="X1416" s="36"/>
      <c r="Y1416" s="36"/>
      <c r="Z1416" s="36"/>
      <c r="AA1416" s="36"/>
    </row>
    <row r="1417" spans="16:27" x14ac:dyDescent="0.2">
      <c r="P1417" s="36"/>
      <c r="Q1417" s="36"/>
      <c r="R1417" s="36"/>
      <c r="S1417" s="36"/>
      <c r="T1417" s="36"/>
      <c r="U1417" s="36"/>
      <c r="V1417" s="36"/>
      <c r="W1417" s="36"/>
      <c r="X1417" s="36"/>
      <c r="Y1417" s="36"/>
      <c r="Z1417" s="36"/>
      <c r="AA1417" s="36"/>
    </row>
    <row r="1418" spans="16:27" x14ac:dyDescent="0.2">
      <c r="P1418" s="36"/>
      <c r="Q1418" s="36"/>
      <c r="R1418" s="36"/>
      <c r="S1418" s="36"/>
      <c r="T1418" s="36"/>
      <c r="U1418" s="36"/>
      <c r="V1418" s="36"/>
      <c r="W1418" s="36"/>
      <c r="X1418" s="36"/>
      <c r="Y1418" s="36"/>
      <c r="Z1418" s="36"/>
      <c r="AA1418" s="36"/>
    </row>
    <row r="1419" spans="16:27" x14ac:dyDescent="0.2">
      <c r="P1419" s="36"/>
      <c r="Q1419" s="36"/>
      <c r="R1419" s="36"/>
      <c r="S1419" s="36"/>
      <c r="T1419" s="36"/>
      <c r="U1419" s="36"/>
      <c r="V1419" s="36"/>
      <c r="W1419" s="36"/>
      <c r="X1419" s="36"/>
      <c r="Y1419" s="36"/>
      <c r="Z1419" s="36"/>
      <c r="AA1419" s="36"/>
    </row>
    <row r="1420" spans="16:27" x14ac:dyDescent="0.2">
      <c r="P1420" s="36"/>
      <c r="Q1420" s="36"/>
      <c r="R1420" s="36"/>
      <c r="S1420" s="36"/>
      <c r="T1420" s="36"/>
      <c r="U1420" s="36"/>
      <c r="V1420" s="36"/>
      <c r="W1420" s="36"/>
      <c r="X1420" s="36"/>
      <c r="Y1420" s="36"/>
      <c r="Z1420" s="36"/>
      <c r="AA1420" s="36"/>
    </row>
    <row r="1421" spans="16:27" x14ac:dyDescent="0.2">
      <c r="P1421" s="36"/>
      <c r="Q1421" s="36"/>
      <c r="R1421" s="36"/>
      <c r="S1421" s="36"/>
      <c r="T1421" s="36"/>
      <c r="U1421" s="36"/>
      <c r="V1421" s="36"/>
      <c r="W1421" s="36"/>
      <c r="X1421" s="36"/>
      <c r="Y1421" s="36"/>
      <c r="Z1421" s="36"/>
      <c r="AA1421" s="36"/>
    </row>
    <row r="1422" spans="16:27" x14ac:dyDescent="0.2">
      <c r="P1422" s="36"/>
      <c r="Q1422" s="36"/>
      <c r="R1422" s="36"/>
      <c r="S1422" s="36"/>
      <c r="T1422" s="36"/>
      <c r="U1422" s="36"/>
      <c r="V1422" s="36"/>
      <c r="W1422" s="36"/>
      <c r="X1422" s="36"/>
      <c r="Y1422" s="36"/>
      <c r="Z1422" s="36"/>
      <c r="AA1422" s="36"/>
    </row>
    <row r="1423" spans="16:27" x14ac:dyDescent="0.2">
      <c r="P1423" s="36"/>
      <c r="Q1423" s="36"/>
      <c r="R1423" s="36"/>
      <c r="S1423" s="36"/>
      <c r="T1423" s="36"/>
      <c r="U1423" s="36"/>
      <c r="V1423" s="36"/>
      <c r="W1423" s="36"/>
      <c r="X1423" s="36"/>
      <c r="Y1423" s="36"/>
      <c r="Z1423" s="36"/>
      <c r="AA1423" s="36"/>
    </row>
    <row r="1424" spans="16:27" x14ac:dyDescent="0.2">
      <c r="P1424" s="36"/>
      <c r="Q1424" s="36"/>
      <c r="R1424" s="36"/>
      <c r="S1424" s="36"/>
      <c r="T1424" s="36"/>
      <c r="U1424" s="36"/>
      <c r="V1424" s="36"/>
      <c r="W1424" s="36"/>
      <c r="X1424" s="36"/>
      <c r="Y1424" s="36"/>
      <c r="Z1424" s="36"/>
      <c r="AA1424" s="36"/>
    </row>
    <row r="1425" spans="16:27" x14ac:dyDescent="0.2">
      <c r="P1425" s="36"/>
      <c r="Q1425" s="36"/>
      <c r="R1425" s="36"/>
      <c r="S1425" s="36"/>
      <c r="T1425" s="36"/>
      <c r="U1425" s="36"/>
      <c r="V1425" s="36"/>
      <c r="W1425" s="36"/>
      <c r="X1425" s="36"/>
      <c r="Y1425" s="36"/>
      <c r="Z1425" s="36"/>
      <c r="AA1425" s="36"/>
    </row>
    <row r="1426" spans="16:27" x14ac:dyDescent="0.2">
      <c r="P1426" s="36"/>
      <c r="Q1426" s="36"/>
      <c r="R1426" s="36"/>
      <c r="S1426" s="36"/>
      <c r="T1426" s="36"/>
      <c r="U1426" s="36"/>
      <c r="V1426" s="36"/>
      <c r="W1426" s="36"/>
      <c r="X1426" s="36"/>
      <c r="Y1426" s="36"/>
      <c r="Z1426" s="36"/>
      <c r="AA1426" s="36"/>
    </row>
    <row r="1427" spans="16:27" x14ac:dyDescent="0.2">
      <c r="P1427" s="36"/>
      <c r="Q1427" s="36"/>
      <c r="R1427" s="36"/>
      <c r="S1427" s="36"/>
      <c r="T1427" s="36"/>
      <c r="U1427" s="36"/>
      <c r="V1427" s="36"/>
      <c r="W1427" s="36"/>
      <c r="X1427" s="36"/>
      <c r="Y1427" s="36"/>
      <c r="Z1427" s="36"/>
      <c r="AA1427" s="36"/>
    </row>
    <row r="1428" spans="16:27" x14ac:dyDescent="0.2">
      <c r="P1428" s="36"/>
      <c r="Q1428" s="36"/>
      <c r="R1428" s="36"/>
      <c r="S1428" s="36"/>
      <c r="T1428" s="36"/>
      <c r="U1428" s="36"/>
      <c r="V1428" s="36"/>
      <c r="W1428" s="36"/>
      <c r="X1428" s="36"/>
      <c r="Y1428" s="36"/>
      <c r="Z1428" s="36"/>
      <c r="AA1428" s="36"/>
    </row>
    <row r="1429" spans="16:27" x14ac:dyDescent="0.2">
      <c r="P1429" s="36"/>
      <c r="Q1429" s="36"/>
      <c r="R1429" s="36"/>
      <c r="S1429" s="36"/>
      <c r="T1429" s="36"/>
      <c r="U1429" s="36"/>
      <c r="V1429" s="36"/>
      <c r="W1429" s="36"/>
      <c r="X1429" s="36"/>
      <c r="Y1429" s="36"/>
      <c r="Z1429" s="36"/>
      <c r="AA1429" s="36"/>
    </row>
    <row r="1430" spans="16:27" x14ac:dyDescent="0.2">
      <c r="P1430" s="36"/>
      <c r="Q1430" s="36"/>
      <c r="R1430" s="36"/>
      <c r="S1430" s="36"/>
      <c r="T1430" s="36"/>
      <c r="U1430" s="36"/>
      <c r="V1430" s="36"/>
      <c r="W1430" s="36"/>
      <c r="X1430" s="36"/>
      <c r="Y1430" s="36"/>
      <c r="Z1430" s="36"/>
      <c r="AA1430" s="36"/>
    </row>
    <row r="1431" spans="16:27" x14ac:dyDescent="0.2">
      <c r="P1431" s="36"/>
      <c r="Q1431" s="36"/>
      <c r="R1431" s="36"/>
      <c r="S1431" s="36"/>
      <c r="T1431" s="36"/>
      <c r="U1431" s="36"/>
      <c r="V1431" s="36"/>
      <c r="W1431" s="36"/>
      <c r="X1431" s="36"/>
      <c r="Y1431" s="36"/>
      <c r="Z1431" s="36"/>
      <c r="AA1431" s="36"/>
    </row>
    <row r="1432" spans="16:27" x14ac:dyDescent="0.2">
      <c r="P1432" s="36"/>
      <c r="Q1432" s="36"/>
      <c r="R1432" s="36"/>
      <c r="S1432" s="36"/>
      <c r="T1432" s="36"/>
      <c r="U1432" s="36"/>
      <c r="V1432" s="36"/>
      <c r="W1432" s="36"/>
      <c r="X1432" s="36"/>
      <c r="Y1432" s="36"/>
      <c r="Z1432" s="36"/>
      <c r="AA1432" s="36"/>
    </row>
    <row r="1433" spans="16:27" x14ac:dyDescent="0.2">
      <c r="P1433" s="36"/>
      <c r="Q1433" s="36"/>
      <c r="R1433" s="36"/>
      <c r="S1433" s="36"/>
      <c r="T1433" s="36"/>
      <c r="U1433" s="36"/>
      <c r="V1433" s="36"/>
      <c r="W1433" s="36"/>
      <c r="X1433" s="36"/>
      <c r="Y1433" s="36"/>
      <c r="Z1433" s="36"/>
      <c r="AA1433" s="36"/>
    </row>
    <row r="1434" spans="16:27" x14ac:dyDescent="0.2">
      <c r="P1434" s="36"/>
      <c r="Q1434" s="36"/>
      <c r="R1434" s="36"/>
      <c r="S1434" s="36"/>
      <c r="T1434" s="36"/>
      <c r="U1434" s="36"/>
      <c r="V1434" s="36"/>
      <c r="W1434" s="36"/>
      <c r="X1434" s="36"/>
      <c r="Y1434" s="36"/>
      <c r="Z1434" s="36"/>
      <c r="AA1434" s="36"/>
    </row>
    <row r="1435" spans="16:27" x14ac:dyDescent="0.2">
      <c r="P1435" s="36"/>
      <c r="Q1435" s="36"/>
      <c r="R1435" s="36"/>
      <c r="S1435" s="36"/>
      <c r="T1435" s="36"/>
      <c r="U1435" s="36"/>
      <c r="V1435" s="36"/>
      <c r="W1435" s="36"/>
      <c r="X1435" s="36"/>
      <c r="Y1435" s="36"/>
      <c r="Z1435" s="36"/>
      <c r="AA1435" s="36"/>
    </row>
    <row r="1436" spans="16:27" x14ac:dyDescent="0.2">
      <c r="P1436" s="36"/>
      <c r="Q1436" s="36"/>
      <c r="R1436" s="36"/>
      <c r="S1436" s="36"/>
      <c r="T1436" s="36"/>
      <c r="U1436" s="36"/>
      <c r="V1436" s="36"/>
      <c r="W1436" s="36"/>
      <c r="X1436" s="36"/>
      <c r="Y1436" s="36"/>
      <c r="Z1436" s="36"/>
      <c r="AA1436" s="36"/>
    </row>
    <row r="1437" spans="16:27" x14ac:dyDescent="0.2">
      <c r="P1437" s="36"/>
      <c r="Q1437" s="36"/>
      <c r="R1437" s="36"/>
      <c r="S1437" s="36"/>
      <c r="T1437" s="36"/>
      <c r="U1437" s="36"/>
      <c r="V1437" s="36"/>
      <c r="W1437" s="36"/>
      <c r="X1437" s="36"/>
      <c r="Y1437" s="36"/>
      <c r="Z1437" s="36"/>
      <c r="AA1437" s="36"/>
    </row>
    <row r="1438" spans="16:27" x14ac:dyDescent="0.2">
      <c r="P1438" s="36"/>
      <c r="Q1438" s="36"/>
      <c r="R1438" s="36"/>
      <c r="S1438" s="36"/>
      <c r="T1438" s="36"/>
      <c r="U1438" s="36"/>
      <c r="V1438" s="36"/>
      <c r="W1438" s="36"/>
      <c r="X1438" s="36"/>
      <c r="Y1438" s="36"/>
      <c r="Z1438" s="36"/>
      <c r="AA1438" s="36"/>
    </row>
    <row r="1439" spans="16:27" x14ac:dyDescent="0.2">
      <c r="P1439" s="36"/>
      <c r="Q1439" s="36"/>
      <c r="R1439" s="36"/>
      <c r="S1439" s="36"/>
      <c r="T1439" s="36"/>
      <c r="U1439" s="36"/>
      <c r="V1439" s="36"/>
      <c r="W1439" s="36"/>
      <c r="X1439" s="36"/>
      <c r="Y1439" s="36"/>
      <c r="Z1439" s="36"/>
      <c r="AA1439" s="36"/>
    </row>
    <row r="1440" spans="16:27" x14ac:dyDescent="0.2">
      <c r="P1440" s="36"/>
      <c r="Q1440" s="36"/>
      <c r="R1440" s="36"/>
      <c r="S1440" s="36"/>
      <c r="T1440" s="36"/>
      <c r="U1440" s="36"/>
      <c r="V1440" s="36"/>
      <c r="W1440" s="36"/>
      <c r="X1440" s="36"/>
      <c r="Y1440" s="36"/>
      <c r="Z1440" s="36"/>
      <c r="AA1440" s="36"/>
    </row>
    <row r="1441" spans="16:27" x14ac:dyDescent="0.2">
      <c r="P1441" s="36"/>
      <c r="Q1441" s="36"/>
      <c r="R1441" s="36"/>
      <c r="S1441" s="36"/>
      <c r="T1441" s="36"/>
      <c r="U1441" s="36"/>
      <c r="V1441" s="36"/>
      <c r="W1441" s="36"/>
      <c r="X1441" s="36"/>
      <c r="Y1441" s="36"/>
      <c r="Z1441" s="36"/>
      <c r="AA1441" s="36"/>
    </row>
    <row r="1442" spans="16:27" x14ac:dyDescent="0.2">
      <c r="P1442" s="36"/>
      <c r="Q1442" s="36"/>
      <c r="R1442" s="36"/>
      <c r="S1442" s="36"/>
      <c r="T1442" s="36"/>
      <c r="U1442" s="36"/>
      <c r="V1442" s="36"/>
      <c r="W1442" s="36"/>
      <c r="X1442" s="36"/>
      <c r="Y1442" s="36"/>
      <c r="Z1442" s="36"/>
      <c r="AA1442" s="36"/>
    </row>
    <row r="1443" spans="16:27" x14ac:dyDescent="0.2">
      <c r="P1443" s="36"/>
      <c r="Q1443" s="36"/>
      <c r="R1443" s="36"/>
      <c r="S1443" s="36"/>
      <c r="T1443" s="36"/>
      <c r="U1443" s="36"/>
      <c r="V1443" s="36"/>
      <c r="W1443" s="36"/>
      <c r="X1443" s="36"/>
      <c r="Y1443" s="36"/>
      <c r="Z1443" s="36"/>
      <c r="AA1443" s="36"/>
    </row>
    <row r="1444" spans="16:27" x14ac:dyDescent="0.2">
      <c r="P1444" s="36"/>
      <c r="Q1444" s="36"/>
      <c r="R1444" s="36"/>
      <c r="S1444" s="36"/>
      <c r="T1444" s="36"/>
      <c r="U1444" s="36"/>
      <c r="V1444" s="36"/>
      <c r="W1444" s="36"/>
      <c r="X1444" s="36"/>
      <c r="Y1444" s="36"/>
      <c r="Z1444" s="36"/>
      <c r="AA1444" s="36"/>
    </row>
    <row r="1445" spans="16:27" x14ac:dyDescent="0.2">
      <c r="P1445" s="36"/>
      <c r="Q1445" s="36"/>
      <c r="R1445" s="36"/>
      <c r="S1445" s="36"/>
      <c r="T1445" s="36"/>
      <c r="U1445" s="36"/>
      <c r="V1445" s="36"/>
      <c r="W1445" s="36"/>
      <c r="X1445" s="36"/>
      <c r="Y1445" s="36"/>
      <c r="Z1445" s="36"/>
      <c r="AA1445" s="36"/>
    </row>
    <row r="1446" spans="16:27" x14ac:dyDescent="0.2">
      <c r="P1446" s="36"/>
      <c r="Q1446" s="36"/>
      <c r="R1446" s="36"/>
      <c r="S1446" s="36"/>
      <c r="T1446" s="36"/>
      <c r="U1446" s="36"/>
      <c r="V1446" s="36"/>
      <c r="W1446" s="36"/>
      <c r="X1446" s="36"/>
      <c r="Y1446" s="36"/>
      <c r="Z1446" s="36"/>
      <c r="AA1446" s="36"/>
    </row>
    <row r="1447" spans="16:27" x14ac:dyDescent="0.2">
      <c r="P1447" s="36"/>
      <c r="Q1447" s="36"/>
      <c r="R1447" s="36"/>
      <c r="S1447" s="36"/>
      <c r="T1447" s="36"/>
      <c r="U1447" s="36"/>
      <c r="V1447" s="36"/>
      <c r="W1447" s="36"/>
      <c r="X1447" s="36"/>
      <c r="Y1447" s="36"/>
      <c r="Z1447" s="36"/>
      <c r="AA1447" s="36"/>
    </row>
    <row r="1448" spans="16:27" x14ac:dyDescent="0.2">
      <c r="P1448" s="36"/>
      <c r="Q1448" s="36"/>
      <c r="R1448" s="36"/>
      <c r="S1448" s="36"/>
      <c r="T1448" s="36"/>
      <c r="U1448" s="36"/>
      <c r="V1448" s="36"/>
      <c r="W1448" s="36"/>
      <c r="X1448" s="36"/>
      <c r="Y1448" s="36"/>
      <c r="Z1448" s="36"/>
      <c r="AA1448" s="36"/>
    </row>
    <row r="1449" spans="16:27" x14ac:dyDescent="0.2">
      <c r="P1449" s="36"/>
      <c r="Q1449" s="36"/>
      <c r="R1449" s="36"/>
      <c r="S1449" s="36"/>
      <c r="T1449" s="36"/>
      <c r="U1449" s="36"/>
      <c r="V1449" s="36"/>
      <c r="W1449" s="36"/>
      <c r="X1449" s="36"/>
      <c r="Y1449" s="36"/>
      <c r="Z1449" s="36"/>
      <c r="AA1449" s="36"/>
    </row>
    <row r="1450" spans="16:27" x14ac:dyDescent="0.2">
      <c r="P1450" s="36"/>
      <c r="Q1450" s="36"/>
      <c r="R1450" s="36"/>
      <c r="S1450" s="36"/>
      <c r="T1450" s="36"/>
      <c r="U1450" s="36"/>
      <c r="V1450" s="36"/>
      <c r="W1450" s="36"/>
      <c r="X1450" s="36"/>
      <c r="Y1450" s="36"/>
      <c r="Z1450" s="36"/>
      <c r="AA1450" s="36"/>
    </row>
    <row r="1451" spans="16:27" x14ac:dyDescent="0.2">
      <c r="P1451" s="36"/>
      <c r="Q1451" s="36"/>
      <c r="R1451" s="36"/>
      <c r="S1451" s="36"/>
      <c r="T1451" s="36"/>
      <c r="U1451" s="36"/>
      <c r="V1451" s="36"/>
      <c r="W1451" s="36"/>
      <c r="X1451" s="36"/>
      <c r="Y1451" s="36"/>
      <c r="Z1451" s="36"/>
      <c r="AA1451" s="36"/>
    </row>
    <row r="1452" spans="16:27" x14ac:dyDescent="0.2">
      <c r="P1452" s="36"/>
      <c r="Q1452" s="36"/>
      <c r="R1452" s="36"/>
      <c r="S1452" s="36"/>
      <c r="T1452" s="36"/>
      <c r="U1452" s="36"/>
      <c r="V1452" s="36"/>
      <c r="W1452" s="36"/>
      <c r="X1452" s="36"/>
      <c r="Y1452" s="36"/>
      <c r="Z1452" s="36"/>
      <c r="AA1452" s="36"/>
    </row>
    <row r="1453" spans="16:27" x14ac:dyDescent="0.2">
      <c r="P1453" s="36"/>
      <c r="Q1453" s="36"/>
      <c r="R1453" s="36"/>
      <c r="S1453" s="36"/>
      <c r="T1453" s="36"/>
      <c r="U1453" s="36"/>
      <c r="V1453" s="36"/>
      <c r="W1453" s="36"/>
      <c r="X1453" s="36"/>
      <c r="Y1453" s="36"/>
      <c r="Z1453" s="36"/>
      <c r="AA1453" s="36"/>
    </row>
    <row r="1454" spans="16:27" x14ac:dyDescent="0.2">
      <c r="P1454" s="36"/>
      <c r="Q1454" s="36"/>
      <c r="R1454" s="36"/>
      <c r="S1454" s="36"/>
      <c r="T1454" s="36"/>
      <c r="U1454" s="36"/>
      <c r="V1454" s="36"/>
      <c r="W1454" s="36"/>
      <c r="X1454" s="36"/>
      <c r="Y1454" s="36"/>
      <c r="Z1454" s="36"/>
      <c r="AA1454" s="36"/>
    </row>
    <row r="1455" spans="16:27" x14ac:dyDescent="0.2">
      <c r="P1455" s="36"/>
      <c r="Q1455" s="36"/>
      <c r="R1455" s="36"/>
      <c r="S1455" s="36"/>
      <c r="T1455" s="36"/>
      <c r="U1455" s="36"/>
      <c r="V1455" s="36"/>
      <c r="W1455" s="36"/>
      <c r="X1455" s="36"/>
      <c r="Y1455" s="36"/>
      <c r="Z1455" s="36"/>
      <c r="AA1455" s="36"/>
    </row>
    <row r="1456" spans="16:27" x14ac:dyDescent="0.2">
      <c r="P1456" s="36"/>
      <c r="Q1456" s="36"/>
      <c r="R1456" s="36"/>
      <c r="S1456" s="36"/>
      <c r="T1456" s="36"/>
      <c r="U1456" s="36"/>
      <c r="V1456" s="36"/>
      <c r="W1456" s="36"/>
      <c r="X1456" s="36"/>
      <c r="Y1456" s="36"/>
      <c r="Z1456" s="36"/>
      <c r="AA1456" s="36"/>
    </row>
    <row r="1457" spans="16:27" x14ac:dyDescent="0.2">
      <c r="P1457" s="36"/>
      <c r="Q1457" s="36"/>
      <c r="R1457" s="36"/>
      <c r="S1457" s="36"/>
      <c r="T1457" s="36"/>
      <c r="U1457" s="36"/>
      <c r="V1457" s="36"/>
      <c r="W1457" s="36"/>
      <c r="X1457" s="36"/>
      <c r="Y1457" s="36"/>
      <c r="Z1457" s="36"/>
      <c r="AA1457" s="36"/>
    </row>
    <row r="1458" spans="16:27" x14ac:dyDescent="0.2">
      <c r="P1458" s="36"/>
      <c r="Q1458" s="36"/>
      <c r="R1458" s="36"/>
      <c r="S1458" s="36"/>
      <c r="T1458" s="36"/>
      <c r="U1458" s="36"/>
      <c r="V1458" s="36"/>
      <c r="W1458" s="36"/>
      <c r="X1458" s="36"/>
      <c r="Y1458" s="36"/>
      <c r="Z1458" s="36"/>
      <c r="AA1458" s="36"/>
    </row>
    <row r="1459" spans="16:27" x14ac:dyDescent="0.2">
      <c r="P1459" s="36"/>
      <c r="Q1459" s="36"/>
      <c r="R1459" s="36"/>
      <c r="S1459" s="36"/>
      <c r="T1459" s="36"/>
      <c r="U1459" s="36"/>
      <c r="V1459" s="36"/>
      <c r="W1459" s="36"/>
      <c r="X1459" s="36"/>
      <c r="Y1459" s="36"/>
      <c r="Z1459" s="36"/>
      <c r="AA1459" s="36"/>
    </row>
    <row r="1460" spans="16:27" x14ac:dyDescent="0.2">
      <c r="P1460" s="36"/>
      <c r="Q1460" s="36"/>
      <c r="R1460" s="36"/>
      <c r="S1460" s="36"/>
      <c r="T1460" s="36"/>
      <c r="U1460" s="36"/>
      <c r="V1460" s="36"/>
      <c r="W1460" s="36"/>
      <c r="X1460" s="36"/>
      <c r="Y1460" s="36"/>
      <c r="Z1460" s="36"/>
      <c r="AA1460" s="36"/>
    </row>
    <row r="1461" spans="16:27" x14ac:dyDescent="0.2">
      <c r="P1461" s="36"/>
      <c r="Q1461" s="36"/>
      <c r="R1461" s="36"/>
      <c r="S1461" s="36"/>
      <c r="T1461" s="36"/>
      <c r="U1461" s="36"/>
      <c r="V1461" s="36"/>
      <c r="W1461" s="36"/>
      <c r="X1461" s="36"/>
      <c r="Y1461" s="36"/>
      <c r="Z1461" s="36"/>
      <c r="AA1461" s="36"/>
    </row>
    <row r="1462" spans="16:27" x14ac:dyDescent="0.2">
      <c r="P1462" s="36"/>
      <c r="Q1462" s="36"/>
      <c r="R1462" s="36"/>
      <c r="S1462" s="36"/>
      <c r="T1462" s="36"/>
      <c r="U1462" s="36"/>
      <c r="V1462" s="36"/>
      <c r="W1462" s="36"/>
      <c r="X1462" s="36"/>
      <c r="Y1462" s="36"/>
      <c r="Z1462" s="36"/>
      <c r="AA1462" s="36"/>
    </row>
    <row r="1463" spans="16:27" x14ac:dyDescent="0.2">
      <c r="P1463" s="36"/>
      <c r="Q1463" s="36"/>
      <c r="R1463" s="36"/>
      <c r="S1463" s="36"/>
      <c r="T1463" s="36"/>
      <c r="U1463" s="36"/>
      <c r="V1463" s="36"/>
      <c r="W1463" s="36"/>
      <c r="X1463" s="36"/>
      <c r="Y1463" s="36"/>
      <c r="Z1463" s="36"/>
      <c r="AA1463" s="36"/>
    </row>
    <row r="1464" spans="16:27" x14ac:dyDescent="0.2">
      <c r="P1464" s="36"/>
      <c r="Q1464" s="36"/>
      <c r="R1464" s="36"/>
      <c r="S1464" s="36"/>
      <c r="T1464" s="36"/>
      <c r="U1464" s="36"/>
      <c r="V1464" s="36"/>
      <c r="W1464" s="36"/>
      <c r="X1464" s="36"/>
      <c r="Y1464" s="36"/>
      <c r="Z1464" s="36"/>
      <c r="AA1464" s="36"/>
    </row>
    <row r="1465" spans="16:27" x14ac:dyDescent="0.2">
      <c r="P1465" s="36"/>
      <c r="Q1465" s="36"/>
      <c r="R1465" s="36"/>
      <c r="S1465" s="36"/>
      <c r="T1465" s="36"/>
      <c r="U1465" s="36"/>
      <c r="V1465" s="36"/>
      <c r="W1465" s="36"/>
      <c r="X1465" s="36"/>
      <c r="Y1465" s="36"/>
      <c r="Z1465" s="36"/>
      <c r="AA1465" s="36"/>
    </row>
    <row r="1466" spans="16:27" x14ac:dyDescent="0.2">
      <c r="P1466" s="36"/>
      <c r="Q1466" s="36"/>
      <c r="R1466" s="36"/>
      <c r="S1466" s="36"/>
      <c r="T1466" s="36"/>
      <c r="U1466" s="36"/>
      <c r="V1466" s="36"/>
      <c r="W1466" s="36"/>
      <c r="X1466" s="36"/>
      <c r="Y1466" s="36"/>
      <c r="Z1466" s="36"/>
      <c r="AA1466" s="36"/>
    </row>
    <row r="1467" spans="16:27" x14ac:dyDescent="0.2">
      <c r="P1467" s="36"/>
      <c r="Q1467" s="36"/>
      <c r="R1467" s="36"/>
      <c r="S1467" s="36"/>
      <c r="T1467" s="36"/>
      <c r="U1467" s="36"/>
      <c r="V1467" s="36"/>
      <c r="W1467" s="36"/>
      <c r="X1467" s="36"/>
      <c r="Y1467" s="36"/>
      <c r="Z1467" s="36"/>
      <c r="AA1467" s="36"/>
    </row>
    <row r="1468" spans="16:27" x14ac:dyDescent="0.2">
      <c r="P1468" s="36"/>
      <c r="Q1468" s="36"/>
      <c r="R1468" s="36"/>
      <c r="S1468" s="36"/>
      <c r="T1468" s="36"/>
      <c r="U1468" s="36"/>
      <c r="V1468" s="36"/>
      <c r="W1468" s="36"/>
      <c r="X1468" s="36"/>
      <c r="Y1468" s="36"/>
      <c r="Z1468" s="36"/>
      <c r="AA1468" s="36"/>
    </row>
    <row r="1469" spans="16:27" x14ac:dyDescent="0.2">
      <c r="P1469" s="36"/>
      <c r="Q1469" s="36"/>
      <c r="R1469" s="36"/>
      <c r="S1469" s="36"/>
      <c r="T1469" s="36"/>
      <c r="U1469" s="36"/>
      <c r="V1469" s="36"/>
      <c r="W1469" s="36"/>
      <c r="X1469" s="36"/>
      <c r="Y1469" s="36"/>
      <c r="Z1469" s="36"/>
      <c r="AA1469" s="36"/>
    </row>
    <row r="1470" spans="16:27" x14ac:dyDescent="0.2">
      <c r="P1470" s="36"/>
      <c r="Q1470" s="36"/>
      <c r="R1470" s="36"/>
      <c r="S1470" s="36"/>
      <c r="T1470" s="36"/>
      <c r="U1470" s="36"/>
      <c r="V1470" s="36"/>
      <c r="W1470" s="36"/>
      <c r="X1470" s="36"/>
      <c r="Y1470" s="36"/>
      <c r="Z1470" s="36"/>
      <c r="AA1470" s="36"/>
    </row>
    <row r="1471" spans="16:27" x14ac:dyDescent="0.2">
      <c r="P1471" s="36"/>
      <c r="Q1471" s="36"/>
      <c r="R1471" s="36"/>
      <c r="S1471" s="36"/>
      <c r="T1471" s="36"/>
      <c r="U1471" s="36"/>
      <c r="V1471" s="36"/>
      <c r="W1471" s="36"/>
      <c r="X1471" s="36"/>
      <c r="Y1471" s="36"/>
      <c r="Z1471" s="36"/>
      <c r="AA1471" s="36"/>
    </row>
    <row r="1472" spans="16:27" x14ac:dyDescent="0.2">
      <c r="P1472" s="36"/>
      <c r="Q1472" s="36"/>
      <c r="R1472" s="36"/>
      <c r="S1472" s="36"/>
      <c r="T1472" s="36"/>
      <c r="U1472" s="36"/>
      <c r="V1472" s="36"/>
      <c r="W1472" s="36"/>
      <c r="X1472" s="36"/>
      <c r="Y1472" s="36"/>
      <c r="Z1472" s="36"/>
      <c r="AA1472" s="36"/>
    </row>
    <row r="1473" spans="16:27" x14ac:dyDescent="0.2">
      <c r="P1473" s="36"/>
      <c r="Q1473" s="36"/>
      <c r="R1473" s="36"/>
      <c r="S1473" s="36"/>
      <c r="T1473" s="36"/>
      <c r="U1473" s="36"/>
      <c r="V1473" s="36"/>
      <c r="W1473" s="36"/>
      <c r="X1473" s="36"/>
      <c r="Y1473" s="36"/>
      <c r="Z1473" s="36"/>
      <c r="AA1473" s="36"/>
    </row>
    <row r="1474" spans="16:27" x14ac:dyDescent="0.2">
      <c r="P1474" s="36"/>
      <c r="Q1474" s="36"/>
      <c r="R1474" s="36"/>
      <c r="S1474" s="36"/>
      <c r="T1474" s="36"/>
      <c r="U1474" s="36"/>
      <c r="V1474" s="36"/>
      <c r="W1474" s="36"/>
      <c r="X1474" s="36"/>
      <c r="Y1474" s="36"/>
      <c r="Z1474" s="36"/>
      <c r="AA1474" s="36"/>
    </row>
    <row r="1475" spans="16:27" x14ac:dyDescent="0.2">
      <c r="P1475" s="36"/>
      <c r="Q1475" s="36"/>
      <c r="R1475" s="36"/>
      <c r="S1475" s="36"/>
      <c r="T1475" s="36"/>
      <c r="U1475" s="36"/>
      <c r="V1475" s="36"/>
      <c r="W1475" s="36"/>
      <c r="X1475" s="36"/>
      <c r="Y1475" s="36"/>
      <c r="Z1475" s="36"/>
      <c r="AA1475" s="36"/>
    </row>
    <row r="1476" spans="16:27" x14ac:dyDescent="0.2">
      <c r="P1476" s="36"/>
      <c r="Q1476" s="36"/>
      <c r="R1476" s="36"/>
      <c r="S1476" s="36"/>
      <c r="T1476" s="36"/>
      <c r="U1476" s="36"/>
      <c r="V1476" s="36"/>
      <c r="W1476" s="36"/>
      <c r="X1476" s="36"/>
      <c r="Y1476" s="36"/>
      <c r="Z1476" s="36"/>
      <c r="AA1476" s="36"/>
    </row>
    <row r="1477" spans="16:27" x14ac:dyDescent="0.2">
      <c r="P1477" s="36"/>
      <c r="Q1477" s="36"/>
      <c r="R1477" s="36"/>
      <c r="S1477" s="36"/>
      <c r="T1477" s="36"/>
      <c r="U1477" s="36"/>
      <c r="V1477" s="36"/>
      <c r="W1477" s="36"/>
      <c r="X1477" s="36"/>
      <c r="Y1477" s="36"/>
      <c r="Z1477" s="36"/>
      <c r="AA1477" s="36"/>
    </row>
    <row r="1478" spans="16:27" x14ac:dyDescent="0.2">
      <c r="P1478" s="36"/>
      <c r="Q1478" s="36"/>
      <c r="R1478" s="36"/>
      <c r="S1478" s="36"/>
      <c r="T1478" s="36"/>
      <c r="U1478" s="36"/>
      <c r="V1478" s="36"/>
      <c r="W1478" s="36"/>
      <c r="X1478" s="36"/>
      <c r="Y1478" s="36"/>
      <c r="Z1478" s="36"/>
      <c r="AA1478" s="36"/>
    </row>
    <row r="1479" spans="16:27" x14ac:dyDescent="0.2">
      <c r="P1479" s="36"/>
      <c r="Q1479" s="36"/>
      <c r="R1479" s="36"/>
      <c r="S1479" s="36"/>
      <c r="T1479" s="36"/>
      <c r="U1479" s="36"/>
      <c r="V1479" s="36"/>
      <c r="W1479" s="36"/>
      <c r="X1479" s="36"/>
      <c r="Y1479" s="36"/>
      <c r="Z1479" s="36"/>
      <c r="AA1479" s="36"/>
    </row>
    <row r="1480" spans="16:27" x14ac:dyDescent="0.2">
      <c r="P1480" s="36"/>
      <c r="Q1480" s="36"/>
      <c r="R1480" s="36"/>
      <c r="S1480" s="36"/>
      <c r="T1480" s="36"/>
      <c r="U1480" s="36"/>
      <c r="V1480" s="36"/>
      <c r="W1480" s="36"/>
      <c r="X1480" s="36"/>
      <c r="Y1480" s="36"/>
      <c r="Z1480" s="36"/>
      <c r="AA1480" s="36"/>
    </row>
    <row r="1481" spans="16:27" x14ac:dyDescent="0.2">
      <c r="P1481" s="36"/>
      <c r="Q1481" s="36"/>
      <c r="R1481" s="36"/>
      <c r="S1481" s="36"/>
      <c r="T1481" s="36"/>
      <c r="U1481" s="36"/>
      <c r="V1481" s="36"/>
      <c r="W1481" s="36"/>
      <c r="X1481" s="36"/>
      <c r="Y1481" s="36"/>
      <c r="Z1481" s="36"/>
      <c r="AA1481" s="36"/>
    </row>
    <row r="1482" spans="16:27" x14ac:dyDescent="0.2">
      <c r="P1482" s="36"/>
      <c r="Q1482" s="36"/>
      <c r="R1482" s="36"/>
      <c r="S1482" s="36"/>
      <c r="T1482" s="36"/>
      <c r="U1482" s="36"/>
      <c r="V1482" s="36"/>
      <c r="W1482" s="36"/>
      <c r="X1482" s="36"/>
      <c r="Y1482" s="36"/>
      <c r="Z1482" s="36"/>
      <c r="AA1482" s="36"/>
    </row>
    <row r="1483" spans="16:27" x14ac:dyDescent="0.2">
      <c r="P1483" s="36"/>
      <c r="Q1483" s="36"/>
      <c r="R1483" s="36"/>
      <c r="S1483" s="36"/>
      <c r="T1483" s="36"/>
      <c r="U1483" s="36"/>
      <c r="V1483" s="36"/>
      <c r="W1483" s="36"/>
      <c r="X1483" s="36"/>
      <c r="Y1483" s="36"/>
      <c r="Z1483" s="36"/>
      <c r="AA1483" s="36"/>
    </row>
    <row r="1484" spans="16:27" x14ac:dyDescent="0.2">
      <c r="P1484" s="36"/>
      <c r="Q1484" s="36"/>
      <c r="R1484" s="36"/>
      <c r="S1484" s="36"/>
      <c r="T1484" s="36"/>
      <c r="U1484" s="36"/>
      <c r="V1484" s="36"/>
      <c r="W1484" s="36"/>
      <c r="X1484" s="36"/>
      <c r="Y1484" s="36"/>
      <c r="Z1484" s="36"/>
      <c r="AA1484" s="36"/>
    </row>
    <row r="1485" spans="16:27" x14ac:dyDescent="0.2">
      <c r="P1485" s="36"/>
      <c r="Q1485" s="36"/>
      <c r="R1485" s="36"/>
      <c r="S1485" s="36"/>
      <c r="T1485" s="36"/>
      <c r="U1485" s="36"/>
      <c r="V1485" s="36"/>
      <c r="W1485" s="36"/>
      <c r="X1485" s="36"/>
      <c r="Y1485" s="36"/>
      <c r="Z1485" s="36"/>
      <c r="AA1485" s="36"/>
    </row>
    <row r="1486" spans="16:27" x14ac:dyDescent="0.2">
      <c r="P1486" s="36"/>
      <c r="Q1486" s="36"/>
      <c r="R1486" s="36"/>
      <c r="S1486" s="36"/>
      <c r="T1486" s="36"/>
      <c r="U1486" s="36"/>
      <c r="V1486" s="36"/>
      <c r="W1486" s="36"/>
      <c r="X1486" s="36"/>
      <c r="Y1486" s="36"/>
      <c r="Z1486" s="36"/>
      <c r="AA1486" s="36"/>
    </row>
    <row r="1487" spans="16:27" x14ac:dyDescent="0.2">
      <c r="P1487" s="36"/>
      <c r="Q1487" s="36"/>
      <c r="R1487" s="36"/>
      <c r="S1487" s="36"/>
      <c r="T1487" s="36"/>
      <c r="U1487" s="36"/>
      <c r="V1487" s="36"/>
      <c r="W1487" s="36"/>
      <c r="X1487" s="36"/>
      <c r="Y1487" s="36"/>
      <c r="Z1487" s="36"/>
      <c r="AA1487" s="36"/>
    </row>
    <row r="1488" spans="16:27" x14ac:dyDescent="0.2">
      <c r="P1488" s="36"/>
      <c r="Q1488" s="36"/>
      <c r="R1488" s="36"/>
      <c r="S1488" s="36"/>
      <c r="T1488" s="36"/>
      <c r="U1488" s="36"/>
      <c r="V1488" s="36"/>
      <c r="W1488" s="36"/>
      <c r="X1488" s="36"/>
      <c r="Y1488" s="36"/>
      <c r="Z1488" s="36"/>
      <c r="AA1488" s="36"/>
    </row>
    <row r="1489" spans="16:27" x14ac:dyDescent="0.2">
      <c r="P1489" s="36"/>
      <c r="Q1489" s="36"/>
      <c r="R1489" s="36"/>
      <c r="S1489" s="36"/>
      <c r="T1489" s="36"/>
      <c r="U1489" s="36"/>
      <c r="V1489" s="36"/>
      <c r="W1489" s="36"/>
      <c r="X1489" s="36"/>
      <c r="Y1489" s="36"/>
      <c r="Z1489" s="36"/>
      <c r="AA1489" s="36"/>
    </row>
    <row r="1490" spans="16:27" x14ac:dyDescent="0.2">
      <c r="P1490" s="36"/>
      <c r="Q1490" s="36"/>
      <c r="R1490" s="36"/>
      <c r="S1490" s="36"/>
      <c r="T1490" s="36"/>
      <c r="U1490" s="36"/>
      <c r="V1490" s="36"/>
      <c r="W1490" s="36"/>
      <c r="X1490" s="36"/>
      <c r="Y1490" s="36"/>
      <c r="Z1490" s="36"/>
      <c r="AA1490" s="36"/>
    </row>
    <row r="1491" spans="16:27" x14ac:dyDescent="0.2">
      <c r="P1491" s="36"/>
      <c r="Q1491" s="36"/>
      <c r="R1491" s="36"/>
      <c r="S1491" s="36"/>
      <c r="T1491" s="36"/>
      <c r="U1491" s="36"/>
      <c r="V1491" s="36"/>
      <c r="W1491" s="36"/>
      <c r="X1491" s="36"/>
      <c r="Y1491" s="36"/>
      <c r="Z1491" s="36"/>
      <c r="AA1491" s="36"/>
    </row>
    <row r="1492" spans="16:27" x14ac:dyDescent="0.2">
      <c r="P1492" s="36"/>
      <c r="Q1492" s="36"/>
      <c r="R1492" s="36"/>
      <c r="S1492" s="36"/>
      <c r="T1492" s="36"/>
      <c r="U1492" s="36"/>
      <c r="V1492" s="36"/>
      <c r="W1492" s="36"/>
      <c r="X1492" s="36"/>
      <c r="Y1492" s="36"/>
      <c r="Z1492" s="36"/>
      <c r="AA1492" s="36"/>
    </row>
    <row r="1493" spans="16:27" x14ac:dyDescent="0.2">
      <c r="P1493" s="36"/>
      <c r="Q1493" s="36"/>
      <c r="R1493" s="36"/>
      <c r="S1493" s="36"/>
      <c r="T1493" s="36"/>
      <c r="U1493" s="36"/>
      <c r="V1493" s="36"/>
      <c r="W1493" s="36"/>
      <c r="X1493" s="36"/>
      <c r="Y1493" s="36"/>
      <c r="Z1493" s="36"/>
      <c r="AA1493" s="36"/>
    </row>
    <row r="1494" spans="16:27" x14ac:dyDescent="0.2">
      <c r="P1494" s="36"/>
      <c r="Q1494" s="36"/>
      <c r="R1494" s="36"/>
      <c r="S1494" s="36"/>
      <c r="T1494" s="36"/>
      <c r="U1494" s="36"/>
      <c r="V1494" s="36"/>
      <c r="W1494" s="36"/>
      <c r="X1494" s="36"/>
      <c r="Y1494" s="36"/>
      <c r="Z1494" s="36"/>
      <c r="AA1494" s="36"/>
    </row>
    <row r="1495" spans="16:27" x14ac:dyDescent="0.2">
      <c r="P1495" s="36"/>
      <c r="Q1495" s="36"/>
      <c r="R1495" s="36"/>
      <c r="S1495" s="36"/>
      <c r="T1495" s="36"/>
      <c r="U1495" s="36"/>
      <c r="V1495" s="36"/>
      <c r="W1495" s="36"/>
      <c r="X1495" s="36"/>
      <c r="Y1495" s="36"/>
      <c r="Z1495" s="36"/>
      <c r="AA1495" s="36"/>
    </row>
    <row r="1496" spans="16:27" x14ac:dyDescent="0.2">
      <c r="P1496" s="36"/>
      <c r="Q1496" s="36"/>
      <c r="R1496" s="36"/>
      <c r="S1496" s="36"/>
      <c r="T1496" s="36"/>
      <c r="U1496" s="36"/>
      <c r="V1496" s="36"/>
      <c r="W1496" s="36"/>
      <c r="X1496" s="36"/>
      <c r="Y1496" s="36"/>
      <c r="Z1496" s="36"/>
      <c r="AA1496" s="36"/>
    </row>
    <row r="1497" spans="16:27" x14ac:dyDescent="0.2">
      <c r="P1497" s="36"/>
      <c r="Q1497" s="36"/>
      <c r="R1497" s="36"/>
      <c r="S1497" s="36"/>
      <c r="T1497" s="36"/>
      <c r="U1497" s="36"/>
      <c r="V1497" s="36"/>
      <c r="W1497" s="36"/>
      <c r="X1497" s="36"/>
      <c r="Y1497" s="36"/>
      <c r="Z1497" s="36"/>
      <c r="AA1497" s="36"/>
    </row>
    <row r="1498" spans="16:27" x14ac:dyDescent="0.2">
      <c r="P1498" s="36"/>
      <c r="Q1498" s="36"/>
      <c r="R1498" s="36"/>
      <c r="S1498" s="36"/>
      <c r="T1498" s="36"/>
      <c r="U1498" s="36"/>
      <c r="V1498" s="36"/>
      <c r="W1498" s="36"/>
      <c r="X1498" s="36"/>
      <c r="Y1498" s="36"/>
      <c r="Z1498" s="36"/>
      <c r="AA1498" s="36"/>
    </row>
    <row r="1499" spans="16:27" x14ac:dyDescent="0.2">
      <c r="P1499" s="36"/>
      <c r="Q1499" s="36"/>
      <c r="R1499" s="36"/>
      <c r="S1499" s="36"/>
      <c r="T1499" s="36"/>
      <c r="U1499" s="36"/>
      <c r="V1499" s="36"/>
      <c r="W1499" s="36"/>
      <c r="X1499" s="36"/>
      <c r="Y1499" s="36"/>
      <c r="Z1499" s="36"/>
      <c r="AA1499" s="36"/>
    </row>
    <row r="1500" spans="16:27" x14ac:dyDescent="0.2">
      <c r="P1500" s="36"/>
      <c r="Q1500" s="36"/>
      <c r="R1500" s="36"/>
      <c r="S1500" s="36"/>
      <c r="T1500" s="36"/>
      <c r="U1500" s="36"/>
      <c r="V1500" s="36"/>
      <c r="W1500" s="36"/>
      <c r="X1500" s="36"/>
      <c r="Y1500" s="36"/>
      <c r="Z1500" s="36"/>
      <c r="AA1500" s="36"/>
    </row>
    <row r="1501" spans="16:27" x14ac:dyDescent="0.2">
      <c r="P1501" s="36"/>
      <c r="Q1501" s="36"/>
      <c r="R1501" s="36"/>
      <c r="S1501" s="36"/>
      <c r="T1501" s="36"/>
      <c r="U1501" s="36"/>
      <c r="V1501" s="36"/>
      <c r="W1501" s="36"/>
      <c r="X1501" s="36"/>
      <c r="Y1501" s="36"/>
      <c r="Z1501" s="36"/>
      <c r="AA1501" s="36"/>
    </row>
    <row r="1502" spans="16:27" x14ac:dyDescent="0.2">
      <c r="P1502" s="36"/>
      <c r="Q1502" s="36"/>
      <c r="R1502" s="36"/>
      <c r="S1502" s="36"/>
      <c r="T1502" s="36"/>
      <c r="U1502" s="36"/>
      <c r="V1502" s="36"/>
      <c r="W1502" s="36"/>
      <c r="X1502" s="36"/>
      <c r="Y1502" s="36"/>
      <c r="Z1502" s="36"/>
      <c r="AA1502" s="36"/>
    </row>
    <row r="1503" spans="16:27" x14ac:dyDescent="0.2">
      <c r="P1503" s="36"/>
      <c r="Q1503" s="36"/>
      <c r="R1503" s="36"/>
      <c r="S1503" s="36"/>
      <c r="T1503" s="36"/>
      <c r="U1503" s="36"/>
      <c r="V1503" s="36"/>
      <c r="W1503" s="36"/>
      <c r="X1503" s="36"/>
      <c r="Y1503" s="36"/>
      <c r="Z1503" s="36"/>
      <c r="AA1503" s="36"/>
    </row>
    <row r="1504" spans="16:27" x14ac:dyDescent="0.2">
      <c r="P1504" s="36"/>
      <c r="Q1504" s="36"/>
      <c r="R1504" s="36"/>
      <c r="S1504" s="36"/>
      <c r="T1504" s="36"/>
      <c r="U1504" s="36"/>
      <c r="V1504" s="36"/>
      <c r="W1504" s="36"/>
      <c r="X1504" s="36"/>
      <c r="Y1504" s="36"/>
      <c r="Z1504" s="36"/>
      <c r="AA1504" s="36"/>
    </row>
    <row r="1505" spans="16:27" x14ac:dyDescent="0.2">
      <c r="P1505" s="36"/>
      <c r="Q1505" s="36"/>
      <c r="R1505" s="36"/>
      <c r="S1505" s="36"/>
      <c r="T1505" s="36"/>
      <c r="U1505" s="36"/>
      <c r="V1505" s="36"/>
      <c r="W1505" s="36"/>
      <c r="X1505" s="36"/>
      <c r="Y1505" s="36"/>
      <c r="Z1505" s="36"/>
      <c r="AA1505" s="36"/>
    </row>
    <row r="1506" spans="16:27" x14ac:dyDescent="0.2">
      <c r="P1506" s="36"/>
      <c r="Q1506" s="36"/>
      <c r="R1506" s="36"/>
      <c r="S1506" s="36"/>
      <c r="T1506" s="36"/>
      <c r="U1506" s="36"/>
      <c r="V1506" s="36"/>
      <c r="W1506" s="36"/>
      <c r="X1506" s="36"/>
      <c r="Y1506" s="36"/>
      <c r="Z1506" s="36"/>
      <c r="AA1506" s="36"/>
    </row>
    <row r="1507" spans="16:27" x14ac:dyDescent="0.2">
      <c r="P1507" s="36"/>
      <c r="Q1507" s="36"/>
      <c r="R1507" s="36"/>
      <c r="S1507" s="36"/>
      <c r="T1507" s="36"/>
      <c r="U1507" s="36"/>
      <c r="V1507" s="36"/>
      <c r="W1507" s="36"/>
      <c r="X1507" s="36"/>
      <c r="Y1507" s="36"/>
      <c r="Z1507" s="36"/>
      <c r="AA1507" s="36"/>
    </row>
    <row r="1508" spans="16:27" x14ac:dyDescent="0.2">
      <c r="P1508" s="36"/>
      <c r="Q1508" s="36"/>
      <c r="R1508" s="36"/>
      <c r="S1508" s="36"/>
      <c r="T1508" s="36"/>
      <c r="U1508" s="36"/>
      <c r="V1508" s="36"/>
      <c r="W1508" s="36"/>
      <c r="X1508" s="36"/>
      <c r="Y1508" s="36"/>
      <c r="Z1508" s="36"/>
      <c r="AA1508" s="36"/>
    </row>
    <row r="1509" spans="16:27" x14ac:dyDescent="0.2">
      <c r="P1509" s="36"/>
      <c r="Q1509" s="36"/>
      <c r="R1509" s="36"/>
      <c r="S1509" s="36"/>
      <c r="T1509" s="36"/>
      <c r="U1509" s="36"/>
      <c r="V1509" s="36"/>
      <c r="W1509" s="36"/>
      <c r="X1509" s="36"/>
      <c r="Y1509" s="36"/>
      <c r="Z1509" s="36"/>
      <c r="AA1509" s="36"/>
    </row>
    <row r="1510" spans="16:27" x14ac:dyDescent="0.2">
      <c r="P1510" s="36"/>
      <c r="Q1510" s="36"/>
      <c r="R1510" s="36"/>
      <c r="S1510" s="36"/>
      <c r="T1510" s="36"/>
      <c r="U1510" s="36"/>
      <c r="V1510" s="36"/>
      <c r="W1510" s="36"/>
      <c r="X1510" s="36"/>
      <c r="Y1510" s="36"/>
      <c r="Z1510" s="36"/>
      <c r="AA1510" s="36"/>
    </row>
    <row r="1511" spans="16:27" x14ac:dyDescent="0.2">
      <c r="P1511" s="36"/>
      <c r="Q1511" s="36"/>
      <c r="R1511" s="36"/>
      <c r="S1511" s="36"/>
      <c r="T1511" s="36"/>
      <c r="U1511" s="36"/>
      <c r="V1511" s="36"/>
      <c r="W1511" s="36"/>
      <c r="X1511" s="36"/>
      <c r="Y1511" s="36"/>
      <c r="Z1511" s="36"/>
      <c r="AA1511" s="36"/>
    </row>
    <row r="1512" spans="16:27" x14ac:dyDescent="0.2">
      <c r="P1512" s="36"/>
      <c r="Q1512" s="36"/>
      <c r="R1512" s="36"/>
      <c r="S1512" s="36"/>
      <c r="T1512" s="36"/>
      <c r="U1512" s="36"/>
      <c r="V1512" s="36"/>
      <c r="W1512" s="36"/>
      <c r="X1512" s="36"/>
      <c r="Y1512" s="36"/>
      <c r="Z1512" s="36"/>
      <c r="AA1512" s="36"/>
    </row>
    <row r="1513" spans="16:27" x14ac:dyDescent="0.2">
      <c r="P1513" s="36"/>
      <c r="Q1513" s="36"/>
      <c r="R1513" s="36"/>
      <c r="S1513" s="36"/>
      <c r="T1513" s="36"/>
      <c r="U1513" s="36"/>
      <c r="V1513" s="36"/>
      <c r="W1513" s="36"/>
      <c r="X1513" s="36"/>
      <c r="Y1513" s="36"/>
      <c r="Z1513" s="36"/>
      <c r="AA1513" s="36"/>
    </row>
    <row r="1514" spans="16:27" x14ac:dyDescent="0.2">
      <c r="P1514" s="36"/>
      <c r="Q1514" s="36"/>
      <c r="R1514" s="36"/>
      <c r="S1514" s="36"/>
      <c r="T1514" s="36"/>
      <c r="U1514" s="36"/>
      <c r="V1514" s="36"/>
      <c r="W1514" s="36"/>
      <c r="X1514" s="36"/>
      <c r="Y1514" s="36"/>
      <c r="Z1514" s="36"/>
      <c r="AA1514" s="36"/>
    </row>
    <row r="1515" spans="16:27" x14ac:dyDescent="0.2">
      <c r="P1515" s="36"/>
      <c r="Q1515" s="36"/>
      <c r="R1515" s="36"/>
      <c r="S1515" s="36"/>
      <c r="T1515" s="36"/>
      <c r="U1515" s="36"/>
      <c r="V1515" s="36"/>
      <c r="W1515" s="36"/>
      <c r="X1515" s="36"/>
      <c r="Y1515" s="36"/>
      <c r="Z1515" s="36"/>
      <c r="AA1515" s="36"/>
    </row>
    <row r="1516" spans="16:27" x14ac:dyDescent="0.2">
      <c r="P1516" s="36"/>
      <c r="Q1516" s="36"/>
      <c r="R1516" s="36"/>
      <c r="S1516" s="36"/>
      <c r="T1516" s="36"/>
      <c r="U1516" s="36"/>
      <c r="V1516" s="36"/>
      <c r="W1516" s="36"/>
      <c r="X1516" s="36"/>
      <c r="Y1516" s="36"/>
      <c r="Z1516" s="36"/>
      <c r="AA1516" s="36"/>
    </row>
    <row r="1517" spans="16:27" x14ac:dyDescent="0.2">
      <c r="P1517" s="36"/>
      <c r="Q1517" s="36"/>
      <c r="R1517" s="36"/>
      <c r="S1517" s="36"/>
      <c r="T1517" s="36"/>
      <c r="U1517" s="36"/>
      <c r="V1517" s="36"/>
      <c r="W1517" s="36"/>
      <c r="X1517" s="36"/>
      <c r="Y1517" s="36"/>
      <c r="Z1517" s="36"/>
      <c r="AA1517" s="36"/>
    </row>
    <row r="1518" spans="16:27" x14ac:dyDescent="0.2">
      <c r="P1518" s="36"/>
      <c r="Q1518" s="36"/>
      <c r="R1518" s="36"/>
      <c r="S1518" s="36"/>
      <c r="T1518" s="36"/>
      <c r="U1518" s="36"/>
      <c r="V1518" s="36"/>
      <c r="W1518" s="36"/>
      <c r="X1518" s="36"/>
      <c r="Y1518" s="36"/>
      <c r="Z1518" s="36"/>
      <c r="AA1518" s="36"/>
    </row>
    <row r="1519" spans="16:27" x14ac:dyDescent="0.2">
      <c r="P1519" s="36"/>
      <c r="Q1519" s="36"/>
      <c r="R1519" s="36"/>
      <c r="S1519" s="36"/>
      <c r="T1519" s="36"/>
      <c r="U1519" s="36"/>
      <c r="V1519" s="36"/>
      <c r="W1519" s="36"/>
      <c r="X1519" s="36"/>
      <c r="Y1519" s="36"/>
      <c r="Z1519" s="36"/>
      <c r="AA1519" s="36"/>
    </row>
    <row r="1520" spans="16:27" x14ac:dyDescent="0.2">
      <c r="P1520" s="36"/>
      <c r="Q1520" s="36"/>
      <c r="R1520" s="36"/>
      <c r="S1520" s="36"/>
      <c r="T1520" s="36"/>
      <c r="U1520" s="36"/>
      <c r="V1520" s="36"/>
      <c r="W1520" s="36"/>
      <c r="X1520" s="36"/>
      <c r="Y1520" s="36"/>
      <c r="Z1520" s="36"/>
      <c r="AA1520" s="36"/>
    </row>
    <row r="1521" spans="16:27" x14ac:dyDescent="0.2">
      <c r="P1521" s="36"/>
      <c r="Q1521" s="36"/>
      <c r="R1521" s="36"/>
      <c r="S1521" s="36"/>
      <c r="T1521" s="36"/>
      <c r="U1521" s="36"/>
      <c r="V1521" s="36"/>
      <c r="W1521" s="36"/>
      <c r="X1521" s="36"/>
      <c r="Y1521" s="36"/>
      <c r="Z1521" s="36"/>
      <c r="AA1521" s="36"/>
    </row>
    <row r="1522" spans="16:27" x14ac:dyDescent="0.2">
      <c r="P1522" s="36"/>
      <c r="Q1522" s="36"/>
      <c r="R1522" s="36"/>
      <c r="S1522" s="36"/>
      <c r="T1522" s="36"/>
      <c r="U1522" s="36"/>
      <c r="V1522" s="36"/>
      <c r="W1522" s="36"/>
      <c r="X1522" s="36"/>
      <c r="Y1522" s="36"/>
      <c r="Z1522" s="36"/>
      <c r="AA1522" s="36"/>
    </row>
    <row r="1523" spans="16:27" x14ac:dyDescent="0.2">
      <c r="P1523" s="36"/>
      <c r="Q1523" s="36"/>
      <c r="R1523" s="36"/>
      <c r="S1523" s="36"/>
      <c r="T1523" s="36"/>
      <c r="U1523" s="36"/>
      <c r="V1523" s="36"/>
      <c r="W1523" s="36"/>
      <c r="X1523" s="36"/>
      <c r="Y1523" s="36"/>
      <c r="Z1523" s="36"/>
      <c r="AA1523" s="36"/>
    </row>
    <row r="1524" spans="16:27" x14ac:dyDescent="0.2">
      <c r="P1524" s="36"/>
      <c r="Q1524" s="36"/>
      <c r="R1524" s="36"/>
      <c r="S1524" s="36"/>
      <c r="T1524" s="36"/>
      <c r="U1524" s="36"/>
      <c r="V1524" s="36"/>
      <c r="W1524" s="36"/>
      <c r="X1524" s="36"/>
      <c r="Y1524" s="36"/>
      <c r="Z1524" s="36"/>
      <c r="AA1524" s="36"/>
    </row>
    <row r="1525" spans="16:27" x14ac:dyDescent="0.2">
      <c r="P1525" s="36"/>
      <c r="Q1525" s="36"/>
      <c r="R1525" s="36"/>
      <c r="S1525" s="36"/>
      <c r="T1525" s="36"/>
      <c r="U1525" s="36"/>
      <c r="V1525" s="36"/>
      <c r="W1525" s="36"/>
      <c r="X1525" s="36"/>
      <c r="Y1525" s="36"/>
      <c r="Z1525" s="36"/>
      <c r="AA1525" s="36"/>
    </row>
    <row r="1526" spans="16:27" x14ac:dyDescent="0.2">
      <c r="P1526" s="36"/>
      <c r="Q1526" s="36"/>
      <c r="R1526" s="36"/>
      <c r="S1526" s="36"/>
      <c r="T1526" s="36"/>
      <c r="U1526" s="36"/>
      <c r="V1526" s="36"/>
      <c r="W1526" s="36"/>
      <c r="X1526" s="36"/>
      <c r="Y1526" s="36"/>
      <c r="Z1526" s="36"/>
      <c r="AA1526" s="36"/>
    </row>
    <row r="1527" spans="16:27" x14ac:dyDescent="0.2">
      <c r="P1527" s="36"/>
      <c r="Q1527" s="36"/>
      <c r="R1527" s="36"/>
      <c r="S1527" s="36"/>
      <c r="T1527" s="36"/>
      <c r="U1527" s="36"/>
      <c r="V1527" s="36"/>
      <c r="W1527" s="36"/>
      <c r="X1527" s="36"/>
      <c r="Y1527" s="36"/>
      <c r="Z1527" s="36"/>
      <c r="AA1527" s="36"/>
    </row>
    <row r="1528" spans="16:27" x14ac:dyDescent="0.2">
      <c r="P1528" s="36"/>
      <c r="Q1528" s="36"/>
      <c r="R1528" s="36"/>
      <c r="S1528" s="36"/>
      <c r="T1528" s="36"/>
      <c r="U1528" s="36"/>
      <c r="V1528" s="36"/>
      <c r="W1528" s="36"/>
      <c r="X1528" s="36"/>
      <c r="Y1528" s="36"/>
      <c r="Z1528" s="36"/>
      <c r="AA1528" s="36"/>
    </row>
    <row r="1529" spans="16:27" x14ac:dyDescent="0.2">
      <c r="P1529" s="36"/>
      <c r="Q1529" s="36"/>
      <c r="R1529" s="36"/>
      <c r="S1529" s="36"/>
      <c r="T1529" s="36"/>
      <c r="U1529" s="36"/>
      <c r="V1529" s="36"/>
      <c r="W1529" s="36"/>
      <c r="X1529" s="36"/>
      <c r="Y1529" s="36"/>
      <c r="Z1529" s="36"/>
      <c r="AA1529" s="36"/>
    </row>
    <row r="1530" spans="16:27" x14ac:dyDescent="0.2">
      <c r="P1530" s="36"/>
      <c r="Q1530" s="36"/>
      <c r="R1530" s="36"/>
      <c r="S1530" s="36"/>
      <c r="T1530" s="36"/>
      <c r="U1530" s="36"/>
      <c r="V1530" s="36"/>
      <c r="W1530" s="36"/>
      <c r="X1530" s="36"/>
      <c r="Y1530" s="36"/>
      <c r="Z1530" s="36"/>
      <c r="AA1530" s="36"/>
    </row>
    <row r="1531" spans="16:27" x14ac:dyDescent="0.2">
      <c r="P1531" s="36"/>
      <c r="Q1531" s="36"/>
      <c r="R1531" s="36"/>
      <c r="S1531" s="36"/>
      <c r="T1531" s="36"/>
      <c r="U1531" s="36"/>
      <c r="V1531" s="36"/>
      <c r="W1531" s="36"/>
      <c r="X1531" s="36"/>
      <c r="Y1531" s="36"/>
      <c r="Z1531" s="36"/>
      <c r="AA1531" s="36"/>
    </row>
    <row r="1532" spans="16:27" x14ac:dyDescent="0.2">
      <c r="P1532" s="36"/>
      <c r="Q1532" s="36"/>
      <c r="R1532" s="36"/>
      <c r="S1532" s="36"/>
      <c r="T1532" s="36"/>
      <c r="U1532" s="36"/>
      <c r="V1532" s="36"/>
      <c r="W1532" s="36"/>
      <c r="X1532" s="36"/>
      <c r="Y1532" s="36"/>
      <c r="Z1532" s="36"/>
      <c r="AA1532" s="36"/>
    </row>
    <row r="1533" spans="16:27" x14ac:dyDescent="0.2">
      <c r="P1533" s="36"/>
      <c r="Q1533" s="36"/>
      <c r="R1533" s="36"/>
      <c r="S1533" s="36"/>
      <c r="T1533" s="36"/>
      <c r="U1533" s="36"/>
      <c r="V1533" s="36"/>
      <c r="W1533" s="36"/>
      <c r="X1533" s="36"/>
      <c r="Y1533" s="36"/>
      <c r="Z1533" s="36"/>
      <c r="AA1533" s="36"/>
    </row>
    <row r="1534" spans="16:27" x14ac:dyDescent="0.2">
      <c r="P1534" s="36"/>
      <c r="Q1534" s="36"/>
      <c r="R1534" s="36"/>
      <c r="S1534" s="36"/>
      <c r="T1534" s="36"/>
      <c r="U1534" s="36"/>
      <c r="V1534" s="36"/>
      <c r="W1534" s="36"/>
      <c r="X1534" s="36"/>
      <c r="Y1534" s="36"/>
      <c r="Z1534" s="36"/>
      <c r="AA1534" s="36"/>
    </row>
    <row r="1535" spans="16:27" x14ac:dyDescent="0.2">
      <c r="P1535" s="36"/>
      <c r="Q1535" s="36"/>
      <c r="R1535" s="36"/>
      <c r="S1535" s="36"/>
      <c r="T1535" s="36"/>
      <c r="U1535" s="36"/>
      <c r="V1535" s="36"/>
      <c r="W1535" s="36"/>
      <c r="X1535" s="36"/>
      <c r="Y1535" s="36"/>
      <c r="Z1535" s="36"/>
      <c r="AA1535" s="36"/>
    </row>
    <row r="1536" spans="16:27" x14ac:dyDescent="0.2">
      <c r="P1536" s="36"/>
      <c r="Q1536" s="36"/>
      <c r="R1536" s="36"/>
      <c r="S1536" s="36"/>
      <c r="T1536" s="36"/>
      <c r="U1536" s="36"/>
      <c r="V1536" s="36"/>
      <c r="W1536" s="36"/>
      <c r="X1536" s="36"/>
      <c r="Y1536" s="36"/>
      <c r="Z1536" s="36"/>
      <c r="AA1536" s="36"/>
    </row>
    <row r="1537" spans="16:27" x14ac:dyDescent="0.2">
      <c r="P1537" s="36"/>
      <c r="Q1537" s="36"/>
      <c r="R1537" s="36"/>
      <c r="S1537" s="36"/>
      <c r="T1537" s="36"/>
      <c r="U1537" s="36"/>
      <c r="V1537" s="36"/>
      <c r="W1537" s="36"/>
      <c r="X1537" s="36"/>
      <c r="Y1537" s="36"/>
      <c r="Z1537" s="36"/>
      <c r="AA1537" s="36"/>
    </row>
    <row r="1538" spans="16:27" x14ac:dyDescent="0.2">
      <c r="P1538" s="36"/>
      <c r="Q1538" s="36"/>
      <c r="R1538" s="36"/>
      <c r="S1538" s="36"/>
      <c r="T1538" s="36"/>
      <c r="U1538" s="36"/>
      <c r="V1538" s="36"/>
      <c r="W1538" s="36"/>
      <c r="X1538" s="36"/>
      <c r="Y1538" s="36"/>
      <c r="Z1538" s="36"/>
      <c r="AA1538" s="36"/>
    </row>
    <row r="1539" spans="16:27" x14ac:dyDescent="0.2">
      <c r="P1539" s="36"/>
      <c r="Q1539" s="36"/>
      <c r="R1539" s="36"/>
      <c r="S1539" s="36"/>
      <c r="T1539" s="36"/>
      <c r="U1539" s="36"/>
      <c r="V1539" s="36"/>
      <c r="W1539" s="36"/>
      <c r="X1539" s="36"/>
      <c r="Y1539" s="36"/>
      <c r="Z1539" s="36"/>
      <c r="AA1539" s="36"/>
    </row>
    <row r="1540" spans="16:27" x14ac:dyDescent="0.2">
      <c r="P1540" s="36"/>
      <c r="Q1540" s="36"/>
      <c r="R1540" s="36"/>
      <c r="S1540" s="36"/>
      <c r="T1540" s="36"/>
      <c r="U1540" s="36"/>
      <c r="V1540" s="36"/>
      <c r="W1540" s="36"/>
      <c r="X1540" s="36"/>
      <c r="Y1540" s="36"/>
      <c r="Z1540" s="36"/>
      <c r="AA1540" s="36"/>
    </row>
    <row r="1541" spans="16:27" x14ac:dyDescent="0.2">
      <c r="P1541" s="36"/>
      <c r="Q1541" s="36"/>
      <c r="R1541" s="36"/>
      <c r="S1541" s="36"/>
      <c r="T1541" s="36"/>
      <c r="U1541" s="36"/>
      <c r="V1541" s="36"/>
      <c r="W1541" s="36"/>
      <c r="X1541" s="36"/>
      <c r="Y1541" s="36"/>
      <c r="Z1541" s="36"/>
      <c r="AA1541" s="36"/>
    </row>
    <row r="1542" spans="16:27" x14ac:dyDescent="0.2">
      <c r="P1542" s="36"/>
      <c r="Q1542" s="36"/>
      <c r="R1542" s="36"/>
      <c r="S1542" s="36"/>
      <c r="T1542" s="36"/>
      <c r="U1542" s="36"/>
      <c r="V1542" s="36"/>
      <c r="W1542" s="36"/>
      <c r="X1542" s="36"/>
      <c r="Y1542" s="36"/>
      <c r="Z1542" s="36"/>
      <c r="AA1542" s="36"/>
    </row>
    <row r="1543" spans="16:27" x14ac:dyDescent="0.2">
      <c r="P1543" s="36"/>
      <c r="Q1543" s="36"/>
      <c r="R1543" s="36"/>
      <c r="S1543" s="36"/>
      <c r="T1543" s="36"/>
      <c r="U1543" s="36"/>
      <c r="V1543" s="36"/>
      <c r="W1543" s="36"/>
      <c r="X1543" s="36"/>
      <c r="Y1543" s="36"/>
      <c r="Z1543" s="36"/>
      <c r="AA1543" s="36"/>
    </row>
    <row r="1544" spans="16:27" x14ac:dyDescent="0.2">
      <c r="P1544" s="36"/>
      <c r="Q1544" s="36"/>
      <c r="R1544" s="36"/>
      <c r="S1544" s="36"/>
      <c r="T1544" s="36"/>
      <c r="U1544" s="36"/>
      <c r="V1544" s="36"/>
      <c r="W1544" s="36"/>
      <c r="X1544" s="36"/>
      <c r="Y1544" s="36"/>
      <c r="Z1544" s="36"/>
      <c r="AA1544" s="36"/>
    </row>
    <row r="1545" spans="16:27" x14ac:dyDescent="0.2">
      <c r="P1545" s="36"/>
      <c r="Q1545" s="36"/>
      <c r="R1545" s="36"/>
      <c r="S1545" s="36"/>
      <c r="T1545" s="36"/>
      <c r="U1545" s="36"/>
      <c r="V1545" s="36"/>
      <c r="W1545" s="36"/>
      <c r="X1545" s="36"/>
      <c r="Y1545" s="36"/>
      <c r="Z1545" s="36"/>
      <c r="AA1545" s="36"/>
    </row>
    <row r="1546" spans="16:27" x14ac:dyDescent="0.2">
      <c r="P1546" s="36"/>
      <c r="Q1546" s="36"/>
      <c r="R1546" s="36"/>
      <c r="S1546" s="36"/>
      <c r="T1546" s="36"/>
      <c r="U1546" s="36"/>
      <c r="V1546" s="36"/>
      <c r="W1546" s="36"/>
      <c r="X1546" s="36"/>
      <c r="Y1546" s="36"/>
      <c r="Z1546" s="36"/>
      <c r="AA1546" s="36"/>
    </row>
    <row r="1547" spans="16:27" x14ac:dyDescent="0.2">
      <c r="P1547" s="36"/>
      <c r="Q1547" s="36"/>
      <c r="R1547" s="36"/>
      <c r="S1547" s="36"/>
      <c r="T1547" s="36"/>
      <c r="U1547" s="36"/>
      <c r="V1547" s="36"/>
      <c r="W1547" s="36"/>
      <c r="X1547" s="36"/>
      <c r="Y1547" s="36"/>
      <c r="Z1547" s="36"/>
      <c r="AA1547" s="36"/>
    </row>
    <row r="1548" spans="16:27" x14ac:dyDescent="0.2">
      <c r="P1548" s="36"/>
      <c r="Q1548" s="36"/>
      <c r="R1548" s="36"/>
      <c r="S1548" s="36"/>
      <c r="T1548" s="36"/>
      <c r="U1548" s="36"/>
      <c r="V1548" s="36"/>
      <c r="W1548" s="36"/>
      <c r="X1548" s="36"/>
      <c r="Y1548" s="36"/>
      <c r="Z1548" s="36"/>
      <c r="AA1548" s="36"/>
    </row>
    <row r="1549" spans="16:27" x14ac:dyDescent="0.2">
      <c r="P1549" s="36"/>
      <c r="Q1549" s="36"/>
      <c r="R1549" s="36"/>
      <c r="S1549" s="36"/>
      <c r="T1549" s="36"/>
      <c r="U1549" s="36"/>
      <c r="V1549" s="36"/>
      <c r="W1549" s="36"/>
      <c r="X1549" s="36"/>
      <c r="Y1549" s="36"/>
      <c r="Z1549" s="36"/>
      <c r="AA1549" s="36"/>
    </row>
    <row r="1550" spans="16:27" x14ac:dyDescent="0.2">
      <c r="P1550" s="36"/>
      <c r="Q1550" s="36"/>
      <c r="R1550" s="36"/>
      <c r="S1550" s="36"/>
      <c r="T1550" s="36"/>
      <c r="U1550" s="36"/>
      <c r="V1550" s="36"/>
      <c r="W1550" s="36"/>
      <c r="X1550" s="36"/>
      <c r="Y1550" s="36"/>
      <c r="Z1550" s="36"/>
      <c r="AA1550" s="36"/>
    </row>
    <row r="1551" spans="16:27" x14ac:dyDescent="0.2">
      <c r="P1551" s="36"/>
      <c r="Q1551" s="36"/>
      <c r="R1551" s="36"/>
      <c r="S1551" s="36"/>
      <c r="T1551" s="36"/>
      <c r="U1551" s="36"/>
      <c r="V1551" s="36"/>
      <c r="W1551" s="36"/>
      <c r="X1551" s="36"/>
      <c r="Y1551" s="36"/>
      <c r="Z1551" s="36"/>
      <c r="AA1551" s="36"/>
    </row>
    <row r="1552" spans="16:27" x14ac:dyDescent="0.2">
      <c r="P1552" s="36"/>
      <c r="Q1552" s="36"/>
      <c r="R1552" s="36"/>
      <c r="S1552" s="36"/>
      <c r="T1552" s="36"/>
      <c r="U1552" s="36"/>
      <c r="V1552" s="36"/>
      <c r="W1552" s="36"/>
      <c r="X1552" s="36"/>
      <c r="Y1552" s="36"/>
      <c r="Z1552" s="36"/>
      <c r="AA1552" s="36"/>
    </row>
    <row r="1553" spans="16:27" x14ac:dyDescent="0.2">
      <c r="P1553" s="36"/>
      <c r="Q1553" s="36"/>
      <c r="R1553" s="36"/>
      <c r="S1553" s="36"/>
      <c r="T1553" s="36"/>
      <c r="U1553" s="36"/>
      <c r="V1553" s="36"/>
      <c r="W1553" s="36"/>
      <c r="X1553" s="36"/>
      <c r="Y1553" s="36"/>
      <c r="Z1553" s="36"/>
      <c r="AA1553" s="36"/>
    </row>
    <row r="1554" spans="16:27" x14ac:dyDescent="0.2">
      <c r="P1554" s="36"/>
      <c r="Q1554" s="36"/>
      <c r="R1554" s="36"/>
      <c r="S1554" s="36"/>
      <c r="T1554" s="36"/>
      <c r="U1554" s="36"/>
      <c r="V1554" s="36"/>
      <c r="W1554" s="36"/>
      <c r="X1554" s="36"/>
      <c r="Y1554" s="36"/>
      <c r="Z1554" s="36"/>
      <c r="AA1554" s="36"/>
    </row>
    <row r="1555" spans="16:27" x14ac:dyDescent="0.2">
      <c r="P1555" s="36"/>
      <c r="Q1555" s="36"/>
      <c r="R1555" s="36"/>
      <c r="S1555" s="36"/>
      <c r="T1555" s="36"/>
      <c r="U1555" s="36"/>
      <c r="V1555" s="36"/>
      <c r="W1555" s="36"/>
      <c r="X1555" s="36"/>
      <c r="Y1555" s="36"/>
      <c r="Z1555" s="36"/>
      <c r="AA1555" s="36"/>
    </row>
    <row r="1556" spans="16:27" x14ac:dyDescent="0.2">
      <c r="P1556" s="36"/>
      <c r="Q1556" s="36"/>
      <c r="R1556" s="36"/>
      <c r="S1556" s="36"/>
      <c r="T1556" s="36"/>
      <c r="U1556" s="36"/>
      <c r="V1556" s="36"/>
      <c r="W1556" s="36"/>
      <c r="X1556" s="36"/>
      <c r="Y1556" s="36"/>
      <c r="Z1556" s="36"/>
      <c r="AA1556" s="36"/>
    </row>
    <row r="1557" spans="16:27" x14ac:dyDescent="0.2">
      <c r="P1557" s="36"/>
      <c r="Q1557" s="36"/>
      <c r="R1557" s="36"/>
      <c r="S1557" s="36"/>
      <c r="T1557" s="36"/>
      <c r="U1557" s="36"/>
      <c r="V1557" s="36"/>
      <c r="W1557" s="36"/>
      <c r="X1557" s="36"/>
      <c r="Y1557" s="36"/>
      <c r="Z1557" s="36"/>
      <c r="AA1557" s="36"/>
    </row>
    <row r="1558" spans="16:27" x14ac:dyDescent="0.2">
      <c r="P1558" s="36"/>
      <c r="Q1558" s="36"/>
      <c r="R1558" s="36"/>
      <c r="S1558" s="36"/>
      <c r="T1558" s="36"/>
      <c r="U1558" s="36"/>
      <c r="V1558" s="36"/>
      <c r="W1558" s="36"/>
      <c r="X1558" s="36"/>
      <c r="Y1558" s="36"/>
      <c r="Z1558" s="36"/>
      <c r="AA1558" s="36"/>
    </row>
    <row r="1559" spans="16:27" x14ac:dyDescent="0.2">
      <c r="P1559" s="36"/>
      <c r="Q1559" s="36"/>
      <c r="R1559" s="36"/>
      <c r="S1559" s="36"/>
      <c r="T1559" s="36"/>
      <c r="U1559" s="36"/>
      <c r="V1559" s="36"/>
      <c r="W1559" s="36"/>
      <c r="X1559" s="36"/>
      <c r="Y1559" s="36"/>
      <c r="Z1559" s="36"/>
      <c r="AA1559" s="36"/>
    </row>
    <row r="1560" spans="16:27" x14ac:dyDescent="0.2">
      <c r="P1560" s="36"/>
      <c r="Q1560" s="36"/>
      <c r="R1560" s="36"/>
      <c r="S1560" s="36"/>
      <c r="T1560" s="36"/>
      <c r="U1560" s="36"/>
      <c r="V1560" s="36"/>
      <c r="W1560" s="36"/>
      <c r="X1560" s="36"/>
      <c r="Y1560" s="36"/>
      <c r="Z1560" s="36"/>
      <c r="AA1560" s="36"/>
    </row>
    <row r="1561" spans="16:27" x14ac:dyDescent="0.2">
      <c r="P1561" s="36"/>
      <c r="Q1561" s="36"/>
      <c r="R1561" s="36"/>
      <c r="S1561" s="36"/>
      <c r="T1561" s="36"/>
      <c r="U1561" s="36"/>
      <c r="V1561" s="36"/>
      <c r="W1561" s="36"/>
      <c r="X1561" s="36"/>
      <c r="Y1561" s="36"/>
      <c r="Z1561" s="36"/>
      <c r="AA1561" s="36"/>
    </row>
    <row r="1562" spans="16:27" x14ac:dyDescent="0.2">
      <c r="P1562" s="36"/>
      <c r="Q1562" s="36"/>
      <c r="R1562" s="36"/>
      <c r="S1562" s="36"/>
      <c r="T1562" s="36"/>
      <c r="U1562" s="36"/>
      <c r="V1562" s="36"/>
      <c r="W1562" s="36"/>
      <c r="X1562" s="36"/>
      <c r="Y1562" s="36"/>
      <c r="Z1562" s="36"/>
      <c r="AA1562" s="36"/>
    </row>
    <row r="1563" spans="16:27" x14ac:dyDescent="0.2">
      <c r="P1563" s="36"/>
      <c r="Q1563" s="36"/>
      <c r="R1563" s="36"/>
      <c r="S1563" s="36"/>
      <c r="T1563" s="36"/>
      <c r="U1563" s="36"/>
      <c r="V1563" s="36"/>
      <c r="W1563" s="36"/>
      <c r="X1563" s="36"/>
      <c r="Y1563" s="36"/>
      <c r="Z1563" s="36"/>
      <c r="AA1563" s="36"/>
    </row>
    <row r="1564" spans="16:27" x14ac:dyDescent="0.2">
      <c r="P1564" s="36"/>
      <c r="Q1564" s="36"/>
      <c r="R1564" s="36"/>
      <c r="S1564" s="36"/>
      <c r="T1564" s="36"/>
      <c r="U1564" s="36"/>
      <c r="V1564" s="36"/>
      <c r="W1564" s="36"/>
      <c r="X1564" s="36"/>
      <c r="Y1564" s="36"/>
      <c r="Z1564" s="36"/>
      <c r="AA1564" s="36"/>
    </row>
    <row r="1565" spans="16:27" x14ac:dyDescent="0.2">
      <c r="P1565" s="36"/>
      <c r="Q1565" s="36"/>
      <c r="R1565" s="36"/>
      <c r="S1565" s="36"/>
      <c r="T1565" s="36"/>
      <c r="U1565" s="36"/>
      <c r="V1565" s="36"/>
      <c r="W1565" s="36"/>
      <c r="X1565" s="36"/>
      <c r="Y1565" s="36"/>
      <c r="Z1565" s="36"/>
      <c r="AA1565" s="36"/>
    </row>
    <row r="1566" spans="16:27" x14ac:dyDescent="0.2">
      <c r="P1566" s="36"/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</row>
    <row r="1567" spans="16:27" x14ac:dyDescent="0.2">
      <c r="P1567" s="36"/>
      <c r="Q1567" s="36"/>
      <c r="R1567" s="36"/>
      <c r="S1567" s="36"/>
      <c r="T1567" s="36"/>
      <c r="U1567" s="36"/>
      <c r="V1567" s="36"/>
      <c r="W1567" s="36"/>
      <c r="X1567" s="36"/>
      <c r="Y1567" s="36"/>
      <c r="Z1567" s="36"/>
      <c r="AA1567" s="36"/>
    </row>
    <row r="1568" spans="16:27" x14ac:dyDescent="0.2">
      <c r="P1568" s="36"/>
      <c r="Q1568" s="36"/>
      <c r="R1568" s="36"/>
      <c r="S1568" s="36"/>
      <c r="T1568" s="36"/>
      <c r="U1568" s="36"/>
      <c r="V1568" s="36"/>
      <c r="W1568" s="36"/>
      <c r="X1568" s="36"/>
      <c r="Y1568" s="36"/>
      <c r="Z1568" s="36"/>
      <c r="AA1568" s="36"/>
    </row>
    <row r="1569" spans="16:27" x14ac:dyDescent="0.2">
      <c r="P1569" s="36"/>
      <c r="Q1569" s="36"/>
      <c r="R1569" s="36"/>
      <c r="S1569" s="36"/>
      <c r="T1569" s="36"/>
      <c r="U1569" s="36"/>
      <c r="V1569" s="36"/>
      <c r="W1569" s="36"/>
      <c r="X1569" s="36"/>
      <c r="Y1569" s="36"/>
      <c r="Z1569" s="36"/>
      <c r="AA1569" s="36"/>
    </row>
    <row r="1570" spans="16:27" x14ac:dyDescent="0.2">
      <c r="P1570" s="36"/>
      <c r="Q1570" s="36"/>
      <c r="R1570" s="36"/>
      <c r="S1570" s="36"/>
      <c r="T1570" s="36"/>
      <c r="U1570" s="36"/>
      <c r="V1570" s="36"/>
      <c r="W1570" s="36"/>
      <c r="X1570" s="36"/>
      <c r="Y1570" s="36"/>
      <c r="Z1570" s="36"/>
      <c r="AA1570" s="36"/>
    </row>
    <row r="1571" spans="16:27" x14ac:dyDescent="0.2">
      <c r="P1571" s="36"/>
      <c r="Q1571" s="36"/>
      <c r="R1571" s="36"/>
      <c r="S1571" s="36"/>
      <c r="T1571" s="36"/>
      <c r="U1571" s="36"/>
      <c r="V1571" s="36"/>
      <c r="W1571" s="36"/>
      <c r="X1571" s="36"/>
      <c r="Y1571" s="36"/>
      <c r="Z1571" s="36"/>
      <c r="AA1571" s="36"/>
    </row>
    <row r="1572" spans="16:27" x14ac:dyDescent="0.2">
      <c r="P1572" s="36"/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</row>
    <row r="1573" spans="16:27" x14ac:dyDescent="0.2">
      <c r="P1573" s="36"/>
      <c r="Q1573" s="36"/>
      <c r="R1573" s="36"/>
      <c r="S1573" s="36"/>
      <c r="T1573" s="36"/>
      <c r="U1573" s="36"/>
      <c r="V1573" s="36"/>
      <c r="W1573" s="36"/>
      <c r="X1573" s="36"/>
      <c r="Y1573" s="36"/>
      <c r="Z1573" s="36"/>
      <c r="AA1573" s="36"/>
    </row>
    <row r="1574" spans="16:27" x14ac:dyDescent="0.2">
      <c r="P1574" s="36"/>
      <c r="Q1574" s="36"/>
      <c r="R1574" s="36"/>
      <c r="S1574" s="36"/>
      <c r="T1574" s="36"/>
      <c r="U1574" s="36"/>
      <c r="V1574" s="36"/>
      <c r="W1574" s="36"/>
      <c r="X1574" s="36"/>
      <c r="Y1574" s="36"/>
      <c r="Z1574" s="36"/>
      <c r="AA1574" s="36"/>
    </row>
    <row r="1575" spans="16:27" x14ac:dyDescent="0.2">
      <c r="P1575" s="36"/>
      <c r="Q1575" s="36"/>
      <c r="R1575" s="36"/>
      <c r="S1575" s="36"/>
      <c r="T1575" s="36"/>
      <c r="U1575" s="36"/>
      <c r="V1575" s="36"/>
      <c r="W1575" s="36"/>
      <c r="X1575" s="36"/>
      <c r="Y1575" s="36"/>
      <c r="Z1575" s="36"/>
      <c r="AA1575" s="36"/>
    </row>
    <row r="1576" spans="16:27" x14ac:dyDescent="0.2">
      <c r="P1576" s="36"/>
      <c r="Q1576" s="36"/>
      <c r="R1576" s="36"/>
      <c r="S1576" s="36"/>
      <c r="T1576" s="36"/>
      <c r="U1576" s="36"/>
      <c r="V1576" s="36"/>
      <c r="W1576" s="36"/>
      <c r="X1576" s="36"/>
      <c r="Y1576" s="36"/>
      <c r="Z1576" s="36"/>
      <c r="AA1576" s="36"/>
    </row>
    <row r="1577" spans="16:27" x14ac:dyDescent="0.2">
      <c r="P1577" s="36"/>
      <c r="Q1577" s="36"/>
      <c r="R1577" s="36"/>
      <c r="S1577" s="36"/>
      <c r="T1577" s="36"/>
      <c r="U1577" s="36"/>
      <c r="V1577" s="36"/>
      <c r="W1577" s="36"/>
      <c r="X1577" s="36"/>
      <c r="Y1577" s="36"/>
      <c r="Z1577" s="36"/>
      <c r="AA1577" s="36"/>
    </row>
    <row r="1578" spans="16:27" x14ac:dyDescent="0.2">
      <c r="P1578" s="36"/>
      <c r="Q1578" s="36"/>
      <c r="R1578" s="36"/>
      <c r="S1578" s="36"/>
      <c r="T1578" s="36"/>
      <c r="U1578" s="36"/>
      <c r="V1578" s="36"/>
      <c r="W1578" s="36"/>
      <c r="X1578" s="36"/>
      <c r="Y1578" s="36"/>
      <c r="Z1578" s="36"/>
      <c r="AA1578" s="36"/>
    </row>
    <row r="1579" spans="16:27" x14ac:dyDescent="0.2">
      <c r="P1579" s="36"/>
      <c r="Q1579" s="36"/>
      <c r="R1579" s="36"/>
      <c r="S1579" s="36"/>
      <c r="T1579" s="36"/>
      <c r="U1579" s="36"/>
      <c r="V1579" s="36"/>
      <c r="W1579" s="36"/>
      <c r="X1579" s="36"/>
      <c r="Y1579" s="36"/>
      <c r="Z1579" s="36"/>
      <c r="AA1579" s="36"/>
    </row>
    <row r="1580" spans="16:27" x14ac:dyDescent="0.2">
      <c r="P1580" s="36"/>
      <c r="Q1580" s="36"/>
      <c r="R1580" s="36"/>
      <c r="S1580" s="36"/>
      <c r="T1580" s="36"/>
      <c r="U1580" s="36"/>
      <c r="V1580" s="36"/>
      <c r="W1580" s="36"/>
      <c r="X1580" s="36"/>
      <c r="Y1580" s="36"/>
      <c r="Z1580" s="36"/>
      <c r="AA1580" s="36"/>
    </row>
    <row r="1581" spans="16:27" x14ac:dyDescent="0.2">
      <c r="P1581" s="36"/>
      <c r="Q1581" s="36"/>
      <c r="R1581" s="36"/>
      <c r="S1581" s="36"/>
      <c r="T1581" s="36"/>
      <c r="U1581" s="36"/>
      <c r="V1581" s="36"/>
      <c r="W1581" s="36"/>
      <c r="X1581" s="36"/>
      <c r="Y1581" s="36"/>
      <c r="Z1581" s="36"/>
      <c r="AA1581" s="36"/>
    </row>
    <row r="1582" spans="16:27" x14ac:dyDescent="0.2">
      <c r="P1582" s="36"/>
      <c r="Q1582" s="36"/>
      <c r="R1582" s="36"/>
      <c r="S1582" s="36"/>
      <c r="T1582" s="36"/>
      <c r="U1582" s="36"/>
      <c r="V1582" s="36"/>
      <c r="W1582" s="36"/>
      <c r="X1582" s="36"/>
      <c r="Y1582" s="36"/>
      <c r="Z1582" s="36"/>
      <c r="AA1582" s="36"/>
    </row>
    <row r="1583" spans="16:27" x14ac:dyDescent="0.2">
      <c r="P1583" s="36"/>
      <c r="Q1583" s="36"/>
      <c r="R1583" s="36"/>
      <c r="S1583" s="36"/>
      <c r="T1583" s="36"/>
      <c r="U1583" s="36"/>
      <c r="V1583" s="36"/>
      <c r="W1583" s="36"/>
      <c r="X1583" s="36"/>
      <c r="Y1583" s="36"/>
      <c r="Z1583" s="36"/>
      <c r="AA1583" s="36"/>
    </row>
    <row r="1584" spans="16:27" x14ac:dyDescent="0.2">
      <c r="P1584" s="36"/>
      <c r="Q1584" s="36"/>
      <c r="R1584" s="36"/>
      <c r="S1584" s="36"/>
      <c r="T1584" s="36"/>
      <c r="U1584" s="36"/>
      <c r="V1584" s="36"/>
      <c r="W1584" s="36"/>
      <c r="X1584" s="36"/>
      <c r="Y1584" s="36"/>
      <c r="Z1584" s="36"/>
      <c r="AA1584" s="36"/>
    </row>
    <row r="1585" spans="16:27" x14ac:dyDescent="0.2">
      <c r="P1585" s="36"/>
      <c r="Q1585" s="36"/>
      <c r="R1585" s="36"/>
      <c r="S1585" s="36"/>
      <c r="T1585" s="36"/>
      <c r="U1585" s="36"/>
      <c r="V1585" s="36"/>
      <c r="W1585" s="36"/>
      <c r="X1585" s="36"/>
      <c r="Y1585" s="36"/>
      <c r="Z1585" s="36"/>
      <c r="AA1585" s="36"/>
    </row>
    <row r="1586" spans="16:27" x14ac:dyDescent="0.2">
      <c r="P1586" s="36"/>
      <c r="Q1586" s="36"/>
      <c r="R1586" s="36"/>
      <c r="S1586" s="36"/>
      <c r="T1586" s="36"/>
      <c r="U1586" s="36"/>
      <c r="V1586" s="36"/>
      <c r="W1586" s="36"/>
      <c r="X1586" s="36"/>
      <c r="Y1586" s="36"/>
      <c r="Z1586" s="36"/>
      <c r="AA1586" s="36"/>
    </row>
    <row r="1587" spans="16:27" x14ac:dyDescent="0.2">
      <c r="P1587" s="36"/>
      <c r="Q1587" s="36"/>
      <c r="R1587" s="36"/>
      <c r="S1587" s="36"/>
      <c r="T1587" s="36"/>
      <c r="U1587" s="36"/>
      <c r="V1587" s="36"/>
      <c r="W1587" s="36"/>
      <c r="X1587" s="36"/>
      <c r="Y1587" s="36"/>
      <c r="Z1587" s="36"/>
      <c r="AA1587" s="36"/>
    </row>
    <row r="1588" spans="16:27" x14ac:dyDescent="0.2">
      <c r="P1588" s="36"/>
      <c r="Q1588" s="36"/>
      <c r="R1588" s="36"/>
      <c r="S1588" s="36"/>
      <c r="T1588" s="36"/>
      <c r="U1588" s="36"/>
      <c r="V1588" s="36"/>
      <c r="W1588" s="36"/>
      <c r="X1588" s="36"/>
      <c r="Y1588" s="36"/>
      <c r="Z1588" s="36"/>
      <c r="AA1588" s="36"/>
    </row>
    <row r="1589" spans="16:27" x14ac:dyDescent="0.2">
      <c r="P1589" s="36"/>
      <c r="Q1589" s="36"/>
      <c r="R1589" s="36"/>
      <c r="S1589" s="36"/>
      <c r="T1589" s="36"/>
      <c r="U1589" s="36"/>
      <c r="V1589" s="36"/>
      <c r="W1589" s="36"/>
      <c r="X1589" s="36"/>
      <c r="Y1589" s="36"/>
      <c r="Z1589" s="36"/>
      <c r="AA1589" s="36"/>
    </row>
    <row r="1590" spans="16:27" x14ac:dyDescent="0.2">
      <c r="P1590" s="36"/>
      <c r="Q1590" s="36"/>
      <c r="R1590" s="36"/>
      <c r="S1590" s="36"/>
      <c r="T1590" s="36"/>
      <c r="U1590" s="36"/>
      <c r="V1590" s="36"/>
      <c r="W1590" s="36"/>
      <c r="X1590" s="36"/>
      <c r="Y1590" s="36"/>
      <c r="Z1590" s="36"/>
      <c r="AA1590" s="36"/>
    </row>
    <row r="1591" spans="16:27" x14ac:dyDescent="0.2">
      <c r="P1591" s="36"/>
      <c r="Q1591" s="36"/>
      <c r="R1591" s="36"/>
      <c r="S1591" s="36"/>
      <c r="T1591" s="36"/>
      <c r="U1591" s="36"/>
      <c r="V1591" s="36"/>
      <c r="W1591" s="36"/>
      <c r="X1591" s="36"/>
      <c r="Y1591" s="36"/>
      <c r="Z1591" s="36"/>
      <c r="AA1591" s="36"/>
    </row>
    <row r="1592" spans="16:27" x14ac:dyDescent="0.2">
      <c r="P1592" s="36"/>
      <c r="Q1592" s="36"/>
      <c r="R1592" s="36"/>
      <c r="S1592" s="36"/>
      <c r="T1592" s="36"/>
      <c r="U1592" s="36"/>
      <c r="V1592" s="36"/>
      <c r="W1592" s="36"/>
      <c r="X1592" s="36"/>
      <c r="Y1592" s="36"/>
      <c r="Z1592" s="36"/>
      <c r="AA1592" s="36"/>
    </row>
    <row r="1593" spans="16:27" x14ac:dyDescent="0.2">
      <c r="P1593" s="36"/>
      <c r="Q1593" s="36"/>
      <c r="R1593" s="36"/>
      <c r="S1593" s="36"/>
      <c r="T1593" s="36"/>
      <c r="U1593" s="36"/>
      <c r="V1593" s="36"/>
      <c r="W1593" s="36"/>
      <c r="X1593" s="36"/>
      <c r="Y1593" s="36"/>
      <c r="Z1593" s="36"/>
      <c r="AA1593" s="36"/>
    </row>
    <row r="1594" spans="16:27" x14ac:dyDescent="0.2">
      <c r="P1594" s="36"/>
      <c r="Q1594" s="36"/>
      <c r="R1594" s="36"/>
      <c r="S1594" s="36"/>
      <c r="T1594" s="36"/>
      <c r="U1594" s="36"/>
      <c r="V1594" s="36"/>
      <c r="W1594" s="36"/>
      <c r="X1594" s="36"/>
      <c r="Y1594" s="36"/>
      <c r="Z1594" s="36"/>
      <c r="AA1594" s="36"/>
    </row>
    <row r="1595" spans="16:27" x14ac:dyDescent="0.2">
      <c r="P1595" s="36"/>
      <c r="Q1595" s="36"/>
      <c r="R1595" s="36"/>
      <c r="S1595" s="36"/>
      <c r="T1595" s="36"/>
      <c r="U1595" s="36"/>
      <c r="V1595" s="36"/>
      <c r="W1595" s="36"/>
      <c r="X1595" s="36"/>
      <c r="Y1595" s="36"/>
      <c r="Z1595" s="36"/>
      <c r="AA1595" s="36"/>
    </row>
    <row r="1596" spans="16:27" x14ac:dyDescent="0.2">
      <c r="P1596" s="36"/>
      <c r="Q1596" s="36"/>
      <c r="R1596" s="36"/>
      <c r="S1596" s="36"/>
      <c r="T1596" s="36"/>
      <c r="U1596" s="36"/>
      <c r="V1596" s="36"/>
      <c r="W1596" s="36"/>
      <c r="X1596" s="36"/>
      <c r="Y1596" s="36"/>
      <c r="Z1596" s="36"/>
      <c r="AA1596" s="36"/>
    </row>
    <row r="1597" spans="16:27" x14ac:dyDescent="0.2">
      <c r="P1597" s="36"/>
      <c r="Q1597" s="36"/>
      <c r="R1597" s="36"/>
      <c r="S1597" s="36"/>
      <c r="T1597" s="36"/>
      <c r="U1597" s="36"/>
      <c r="V1597" s="36"/>
      <c r="W1597" s="36"/>
      <c r="X1597" s="36"/>
      <c r="Y1597" s="36"/>
      <c r="Z1597" s="36"/>
      <c r="AA1597" s="36"/>
    </row>
    <row r="1598" spans="16:27" x14ac:dyDescent="0.2">
      <c r="P1598" s="36"/>
      <c r="Q1598" s="36"/>
      <c r="R1598" s="36"/>
      <c r="S1598" s="36"/>
      <c r="T1598" s="36"/>
      <c r="U1598" s="36"/>
      <c r="V1598" s="36"/>
      <c r="W1598" s="36"/>
      <c r="X1598" s="36"/>
      <c r="Y1598" s="36"/>
      <c r="Z1598" s="36"/>
      <c r="AA1598" s="36"/>
    </row>
    <row r="1599" spans="16:27" x14ac:dyDescent="0.2">
      <c r="P1599" s="36"/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</row>
    <row r="1600" spans="16:27" x14ac:dyDescent="0.2">
      <c r="P1600" s="36"/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</row>
    <row r="1601" spans="16:27" x14ac:dyDescent="0.2">
      <c r="P1601" s="36"/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</row>
    <row r="1602" spans="16:27" x14ac:dyDescent="0.2">
      <c r="P1602" s="36"/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</row>
    <row r="1603" spans="16:27" x14ac:dyDescent="0.2">
      <c r="P1603" s="36"/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</row>
    <row r="1604" spans="16:27" x14ac:dyDescent="0.2">
      <c r="P1604" s="36"/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</row>
    <row r="1605" spans="16:27" x14ac:dyDescent="0.2">
      <c r="P1605" s="36"/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</row>
    <row r="1606" spans="16:27" x14ac:dyDescent="0.2">
      <c r="P1606" s="36"/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</row>
    <row r="1607" spans="16:27" x14ac:dyDescent="0.2">
      <c r="P1607" s="36"/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</row>
    <row r="1608" spans="16:27" x14ac:dyDescent="0.2">
      <c r="P1608" s="36"/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</row>
    <row r="1609" spans="16:27" x14ac:dyDescent="0.2">
      <c r="P1609" s="36"/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</row>
    <row r="1610" spans="16:27" x14ac:dyDescent="0.2">
      <c r="P1610" s="36"/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</row>
    <row r="1611" spans="16:27" x14ac:dyDescent="0.2">
      <c r="P1611" s="36"/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</row>
    <row r="1612" spans="16:27" x14ac:dyDescent="0.2">
      <c r="P1612" s="36"/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</row>
    <row r="1613" spans="16:27" x14ac:dyDescent="0.2">
      <c r="P1613" s="36"/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</row>
    <row r="1614" spans="16:27" x14ac:dyDescent="0.2">
      <c r="P1614" s="36"/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</row>
    <row r="1615" spans="16:27" x14ac:dyDescent="0.2">
      <c r="P1615" s="36"/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</row>
    <row r="1616" spans="16:27" x14ac:dyDescent="0.2">
      <c r="P1616" s="36"/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</row>
    <row r="1617" spans="16:27" x14ac:dyDescent="0.2">
      <c r="P1617" s="36"/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</row>
    <row r="1618" spans="16:27" x14ac:dyDescent="0.2">
      <c r="P1618" s="36"/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Length4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9</xdr:row>
                    <xdr:rowOff>123825</xdr:rowOff>
                  </from>
                  <to>
                    <xdr:col>29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Length1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</xdr:row>
                    <xdr:rowOff>276225</xdr:rowOff>
                  </from>
                  <to>
                    <xdr:col>29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Length7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18</xdr:row>
                    <xdr:rowOff>0</xdr:rowOff>
                  </from>
                  <to>
                    <xdr:col>29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Length2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4</xdr:row>
                    <xdr:rowOff>38100</xdr:rowOff>
                  </from>
                  <to>
                    <xdr:col>29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3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7</xdr:row>
                    <xdr:rowOff>0</xdr:rowOff>
                  </from>
                  <to>
                    <xdr:col>29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5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12</xdr:row>
                    <xdr:rowOff>66675</xdr:rowOff>
                  </from>
                  <to>
                    <xdr:col>29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6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15</xdr:row>
                    <xdr:rowOff>19050</xdr:rowOff>
                  </from>
                  <to>
                    <xdr:col>29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37</vt:i4>
      </vt:variant>
    </vt:vector>
  </HeadingPairs>
  <TitlesOfParts>
    <vt:vector size="42" baseType="lpstr">
      <vt:lpstr>General Settings</vt:lpstr>
      <vt:lpstr>1M Basis</vt:lpstr>
      <vt:lpstr>3M Basis</vt:lpstr>
      <vt:lpstr>6M Basis</vt:lpstr>
      <vt:lpstr>12M Basis</vt:lpstr>
      <vt:lpstr>AllTriggers</vt:lpstr>
      <vt:lpstr>Calendar</vt:lpstr>
      <vt:lpstr>'12M Basis'!ContBasis</vt:lpstr>
      <vt:lpstr>'1M Basis'!ContBasis</vt:lpstr>
      <vt:lpstr>'3M Basis'!ContBasis</vt:lpstr>
      <vt:lpstr>'6M Basis'!ContBasis</vt:lpstr>
      <vt:lpstr>Currency</vt:lpstr>
      <vt:lpstr>'12M Basis'!DataTable</vt:lpstr>
      <vt:lpstr>'1M Basis'!DataTable</vt:lpstr>
      <vt:lpstr>'3M Basis'!DataTable</vt:lpstr>
      <vt:lpstr>'6M Basis'!DataTable</vt:lpstr>
      <vt:lpstr>DayCounter</vt:lpstr>
      <vt:lpstr>'12M Basis'!Error_ContBasis</vt:lpstr>
      <vt:lpstr>'1M Basis'!Error_ContBasis</vt:lpstr>
      <vt:lpstr>'3M Basis'!Error_ContBasis</vt:lpstr>
      <vt:lpstr>'6M Basis'!Error_ContBasis</vt:lpstr>
      <vt:lpstr>'12M Basis'!Error_SimpleBasis</vt:lpstr>
      <vt:lpstr>'1M Basis'!Error_SimpleBasis</vt:lpstr>
      <vt:lpstr>'3M Basis'!Error_SimpleBasis</vt:lpstr>
      <vt:lpstr>EvaluationDate</vt:lpstr>
      <vt:lpstr>IborType</vt:lpstr>
      <vt:lpstr>'12M Basis'!Index</vt:lpstr>
      <vt:lpstr>'1M Basis'!Index</vt:lpstr>
      <vt:lpstr>'3M Basis'!Index</vt:lpstr>
      <vt:lpstr>'6M Basis'!Index</vt:lpstr>
      <vt:lpstr>InterestRatesTrigger</vt:lpstr>
      <vt:lpstr>OisCurve</vt:lpstr>
      <vt:lpstr>SettlementDate</vt:lpstr>
      <vt:lpstr>'12M Basis'!SimpleBasis</vt:lpstr>
      <vt:lpstr>'1M Basis'!SimpleBasis</vt:lpstr>
      <vt:lpstr>'3M Basis'!SimpleBasis</vt:lpstr>
      <vt:lpstr>'6M Basis'!SimpleBasis</vt:lpstr>
      <vt:lpstr>'12M Basis'!TenorBasis6M</vt:lpstr>
      <vt:lpstr>'1M Basis'!TenorBasis6M</vt:lpstr>
      <vt:lpstr>'3M Basis'!TenorBasis6M</vt:lpstr>
      <vt:lpstr>'6M Basis'!TenorBasis6M</vt:lpstr>
      <vt:lpstr>Trigger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2014-12-24T10:07:57Z</dcterms:created>
  <dcterms:modified xsi:type="dcterms:W3CDTF">2015-06-05T11:09:46Z</dcterms:modified>
</cp:coreProperties>
</file>
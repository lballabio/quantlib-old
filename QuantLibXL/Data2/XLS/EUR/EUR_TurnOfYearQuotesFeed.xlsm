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drawings/drawing4.xml" ContentType="application/vnd.openxmlformats-officedocument.drawing+xml"/>
  <Override PartName="/xl/charts/chart3.xml" ContentType="application/vnd.openxmlformats-officedocument.drawingml.chart+xml"/>
  <Override PartName="/xl/drawings/drawing5.xml" ContentType="application/vnd.openxmlformats-officedocument.drawing+xml"/>
  <Override PartName="/xl/charts/chart4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2720" yWindow="-15" windowWidth="12735" windowHeight="12420" tabRatio="652" activeTab="1"/>
  </bookViews>
  <sheets>
    <sheet name="General Settings" sheetId="4" r:id="rId1"/>
    <sheet name="Triggers" sheetId="16" r:id="rId2"/>
    <sheet name="1M" sheetId="12" r:id="rId3"/>
    <sheet name="3M" sheetId="13" r:id="rId4"/>
    <sheet name="6M" sheetId="14" r:id="rId5"/>
    <sheet name="Optimize1M" sheetId="10" r:id="rId6"/>
    <sheet name="Optimize3M" sheetId="6" r:id="rId7"/>
    <sheet name="Optimize6M" sheetId="9" r:id="rId8"/>
  </sheets>
  <functionGroups builtInGroupCount="17"/>
  <externalReferences>
    <externalReference r:id="rId9"/>
  </externalReferences>
  <definedNames>
    <definedName name="AllTriggers">Triggers!$D$6:$D$9</definedName>
    <definedName name="Calendar">'General Settings'!$D$5</definedName>
    <definedName name="Currency">'General Settings'!$D$4</definedName>
    <definedName name="DayCounter">'General Settings'!$D$6</definedName>
    <definedName name="DiscountCurve" localSheetId="2">'1M'!$U$1</definedName>
    <definedName name="DiscountCurve" localSheetId="3">'3M'!$U$2</definedName>
    <definedName name="DiscountCurve" localSheetId="4">'6M'!$U$2</definedName>
    <definedName name="DiscountInterpolationType">'General Settings'!$D$13</definedName>
    <definedName name="EvaluationDate">Triggers!$D$4</definedName>
    <definedName name="ExtFwdInterpolator" localSheetId="3">'3M'!$U$20</definedName>
    <definedName name="ExtFwdInterpolator" localSheetId="4">'6M'!$U$20</definedName>
    <definedName name="FwdInterpolationType">'General Settings'!$D$12</definedName>
    <definedName name="FwdInterpolator" localSheetId="2">'1M'!$U$21</definedName>
    <definedName name="FwdInterpolator" localSheetId="3">'3M'!$U$21</definedName>
    <definedName name="FwdInterpolator" localSheetId="4">'6M'!$U$21</definedName>
    <definedName name="GENERAL_SETTINGS">'General Settings'!$B$2</definedName>
    <definedName name="IndexTenor" localSheetId="2">'1M'!$A$21</definedName>
    <definedName name="IndexTenor" localSheetId="3">'3M'!$A$21</definedName>
    <definedName name="IndexTenor" localSheetId="4">'6M'!$A$21</definedName>
    <definedName name="LastDayInNextYear">'General Settings'!$D$11</definedName>
    <definedName name="LastDayInYear">'General Settings'!$D$10</definedName>
    <definedName name="LastFixingsTrigger">Triggers!$D$9</definedName>
    <definedName name="LastUpdate">'General Settings'!$E$16</definedName>
    <definedName name="LiveDataFeed">'General Settings'!$E$19</definedName>
    <definedName name="Months" localSheetId="3">'3M'!$A$20</definedName>
    <definedName name="Months" localSheetId="4">'6M'!$A$20</definedName>
    <definedName name="Quote" localSheetId="5">Optimize1M!$H$5:$H$6</definedName>
    <definedName name="Quote" localSheetId="6">Optimize3M!$H$5:$H$6</definedName>
    <definedName name="Quote" localSheetId="7">Optimize6M!$H$5:$H$6</definedName>
    <definedName name="QuoteLive" localSheetId="5">Optimize1M!$C$5:$C$6</definedName>
    <definedName name="QuoteLive" localSheetId="6">Optimize3M!$C$5:$C$6</definedName>
    <definedName name="QuoteLive" localSheetId="7">Optimize6M!$C$5:$C$6</definedName>
    <definedName name="QuoteStatic" localSheetId="5">Optimize1M!$E$5:$E$6</definedName>
    <definedName name="QuoteStatic" localSheetId="6">Optimize3M!$E$5:$E$6</definedName>
    <definedName name="QuoteStatic" localSheetId="7">Optimize6M!$E$5:$E$6</definedName>
    <definedName name="RateHelperPrefix" localSheetId="2">'1M'!$A$22</definedName>
    <definedName name="RateHelperPrefix" localSheetId="3">'3M'!$A$22</definedName>
    <definedName name="RateHelperPrefix" localSheetId="4">'6M'!$A$22</definedName>
    <definedName name="SettlementDate">'General Settings'!$D$9</definedName>
    <definedName name="SheetTrigger" localSheetId="2">'1M'!$A$23</definedName>
    <definedName name="SheetTrigger" localSheetId="3">'3M'!$A$23</definedName>
    <definedName name="SheetTrigger" localSheetId="4">'6M'!$A$23</definedName>
    <definedName name="solver_cvg" localSheetId="5" hidden="1">0.0001</definedName>
    <definedName name="solver_cvg" localSheetId="6" hidden="1">0.0001</definedName>
    <definedName name="solver_drv" localSheetId="5" hidden="1">1</definedName>
    <definedName name="solver_drv" localSheetId="6" hidden="1">1</definedName>
    <definedName name="solver_est" localSheetId="5" hidden="1">1</definedName>
    <definedName name="solver_est" localSheetId="6" hidden="1">1</definedName>
    <definedName name="solver_itr" localSheetId="5" hidden="1">100</definedName>
    <definedName name="solver_itr" localSheetId="6" hidden="1">100</definedName>
    <definedName name="solver_lhs1" localSheetId="5" hidden="1">Optimize1M!#REF!</definedName>
    <definedName name="solver_lhs1" localSheetId="6" hidden="1">Optimize3M!#REF!</definedName>
    <definedName name="solver_lhs2" localSheetId="5" hidden="1">Optimize1M!#REF!</definedName>
    <definedName name="solver_lhs2" localSheetId="6" hidden="1">Optimize3M!#REF!</definedName>
    <definedName name="solver_lhs3" localSheetId="5" hidden="1">Optimize1M!#REF!</definedName>
    <definedName name="solver_lhs3" localSheetId="6" hidden="1">Optimize3M!#REF!</definedName>
    <definedName name="solver_lhs4" localSheetId="5" hidden="1">Optimize1M!#REF!</definedName>
    <definedName name="solver_lhs4" localSheetId="6" hidden="1">Optimize3M!#REF!</definedName>
    <definedName name="solver_lin" localSheetId="5" hidden="1">2</definedName>
    <definedName name="solver_lin" localSheetId="6" hidden="1">2</definedName>
    <definedName name="solver_neg" localSheetId="5" hidden="1">2</definedName>
    <definedName name="solver_neg" localSheetId="6" hidden="1">2</definedName>
    <definedName name="solver_num" localSheetId="5" hidden="1">0</definedName>
    <definedName name="solver_num" localSheetId="6" hidden="1">0</definedName>
    <definedName name="solver_nwt" localSheetId="5" hidden="1">1</definedName>
    <definedName name="solver_nwt" localSheetId="6" hidden="1">1</definedName>
    <definedName name="solver_pre" localSheetId="5" hidden="1">0.000001</definedName>
    <definedName name="solver_pre" localSheetId="6" hidden="1">0.000001</definedName>
    <definedName name="solver_rel1" localSheetId="5" hidden="1">1</definedName>
    <definedName name="solver_rel1" localSheetId="6" hidden="1">1</definedName>
    <definedName name="solver_rel2" localSheetId="5" hidden="1">3</definedName>
    <definedName name="solver_rel2" localSheetId="6" hidden="1">3</definedName>
    <definedName name="solver_rel3" localSheetId="5" hidden="1">1</definedName>
    <definedName name="solver_rel3" localSheetId="6" hidden="1">1</definedName>
    <definedName name="solver_rel4" localSheetId="5" hidden="1">3</definedName>
    <definedName name="solver_rel4" localSheetId="6" hidden="1">3</definedName>
    <definedName name="solver_rhs1" localSheetId="5" hidden="1">0.2</definedName>
    <definedName name="solver_rhs1" localSheetId="6" hidden="1">0.2</definedName>
    <definedName name="solver_rhs2" localSheetId="5" hidden="1">0.0005</definedName>
    <definedName name="solver_rhs2" localSheetId="6" hidden="1">0.0005</definedName>
    <definedName name="solver_rhs3" localSheetId="5" hidden="1">0.2</definedName>
    <definedName name="solver_rhs3" localSheetId="6" hidden="1">0.2</definedName>
    <definedName name="solver_rhs4" localSheetId="5" hidden="1">0.0005</definedName>
    <definedName name="solver_rhs4" localSheetId="6" hidden="1">0.0005</definedName>
    <definedName name="solver_scl" localSheetId="5" hidden="1">2</definedName>
    <definedName name="solver_scl" localSheetId="6" hidden="1">2</definedName>
    <definedName name="solver_sho" localSheetId="5" hidden="1">2</definedName>
    <definedName name="solver_sho" localSheetId="6" hidden="1">2</definedName>
    <definedName name="solver_tim" localSheetId="5" hidden="1">100</definedName>
    <definedName name="solver_tim" localSheetId="6" hidden="1">100</definedName>
    <definedName name="solver_tol" localSheetId="5" hidden="1">0.05</definedName>
    <definedName name="solver_tol" localSheetId="6" hidden="1">0.05</definedName>
    <definedName name="solver_typ" localSheetId="5" hidden="1">1</definedName>
    <definedName name="solver_typ" localSheetId="6" hidden="1">1</definedName>
    <definedName name="solver_val" localSheetId="5" hidden="1">0</definedName>
    <definedName name="solver_val" localSheetId="6" hidden="1">0</definedName>
    <definedName name="TOY_1" localSheetId="2">'1M'!$R$20</definedName>
    <definedName name="TOY_1" localSheetId="3">'3M'!$R$20</definedName>
    <definedName name="TOY_1" localSheetId="4">'6M'!$R$20</definedName>
    <definedName name="TOY_2" localSheetId="2">'1M'!$R$21</definedName>
    <definedName name="TOY_2" localSheetId="3">'3M'!$R$21</definedName>
    <definedName name="TOY_2" localSheetId="4">'6M'!$R$21</definedName>
    <definedName name="Trigger">Triggers!$D$5</definedName>
    <definedName name="TriggerCounter">'General Settings'!$D$7</definedName>
    <definedName name="TriggerTOY1M">Triggers!$D$6</definedName>
    <definedName name="TriggerTOY3M">Triggers!$D$7</definedName>
    <definedName name="TriggerTOY6M">Triggers!$D$8</definedName>
    <definedName name="UseSecondSet" localSheetId="2">'1M'!$O$2</definedName>
    <definedName name="UseSecondSet" localSheetId="3">'3M'!$O$2</definedName>
    <definedName name="UseSecondSet" localSheetId="4">'6M'!$O$2</definedName>
  </definedNames>
  <calcPr calcId="145621"/>
</workbook>
</file>

<file path=xl/calcChain.xml><?xml version="1.0" encoding="utf-8"?>
<calcChain xmlns="http://schemas.openxmlformats.org/spreadsheetml/2006/main">
  <c r="D4" i="16" l="1"/>
  <c r="H5" i="9" l="1" a="1"/>
  <c r="H5" i="9"/>
  <c r="H6" i="9"/>
  <c r="H5" i="6" a="1"/>
  <c r="H5" i="10" a="1"/>
  <c r="T10" i="13" l="1"/>
  <c r="AA39" i="14"/>
  <c r="X35" i="14"/>
  <c r="AA36" i="14"/>
  <c r="AA35" i="14"/>
  <c r="X37" i="14"/>
  <c r="X36" i="14"/>
  <c r="X39" i="14"/>
  <c r="X38" i="14"/>
  <c r="AA37" i="14"/>
  <c r="AA38" i="14"/>
  <c r="B25" i="14" l="1"/>
  <c r="B26" i="14"/>
  <c r="B27" i="14"/>
  <c r="B28" i="14"/>
  <c r="B29" i="14"/>
  <c r="B30" i="14"/>
  <c r="B31" i="14"/>
  <c r="B32" i="14"/>
  <c r="B33" i="14"/>
  <c r="B34" i="14"/>
  <c r="D40" i="14"/>
  <c r="D41" i="14"/>
  <c r="D42" i="14"/>
  <c r="D43" i="14"/>
  <c r="D44" i="14"/>
  <c r="D45" i="14"/>
  <c r="D52" i="13"/>
  <c r="B34" i="13"/>
  <c r="B35" i="13"/>
  <c r="B36" i="13"/>
  <c r="B37" i="13"/>
  <c r="B38" i="13"/>
  <c r="B39" i="13"/>
  <c r="B40" i="13"/>
  <c r="B41" i="13"/>
  <c r="D42" i="13"/>
  <c r="D43" i="13"/>
  <c r="D44" i="13"/>
  <c r="D45" i="13"/>
  <c r="D46" i="13"/>
  <c r="D47" i="13"/>
  <c r="D48" i="13"/>
  <c r="D49" i="13"/>
  <c r="D50" i="13"/>
  <c r="D51" i="13"/>
  <c r="K23" i="13"/>
  <c r="K24" i="13"/>
  <c r="K25" i="13"/>
  <c r="K26" i="13"/>
  <c r="K27" i="13"/>
  <c r="K28" i="13"/>
  <c r="K29" i="13"/>
  <c r="K30" i="13"/>
  <c r="K31" i="13"/>
  <c r="K32" i="13"/>
  <c r="K33" i="13"/>
  <c r="K34" i="13"/>
  <c r="K24" i="14"/>
  <c r="N24" i="14" s="1"/>
  <c r="K25" i="14"/>
  <c r="N25" i="14"/>
  <c r="K27" i="14"/>
  <c r="K28" i="14"/>
  <c r="K29" i="14"/>
  <c r="K30" i="14"/>
  <c r="K31" i="14"/>
  <c r="K32" i="14"/>
  <c r="K33" i="14"/>
  <c r="K34" i="14"/>
  <c r="K23" i="14"/>
  <c r="B40" i="14"/>
  <c r="B41" i="14"/>
  <c r="B42" i="14"/>
  <c r="B43" i="14"/>
  <c r="B44" i="14"/>
  <c r="B45" i="14"/>
  <c r="N34" i="13"/>
  <c r="B42" i="13"/>
  <c r="B43" i="13"/>
  <c r="B44" i="13"/>
  <c r="B45" i="13"/>
  <c r="B46" i="13"/>
  <c r="B47" i="13"/>
  <c r="B48" i="13"/>
  <c r="B49" i="13"/>
  <c r="B50" i="13"/>
  <c r="B51" i="13"/>
  <c r="B52" i="13"/>
  <c r="B27" i="12"/>
  <c r="C27" i="12" s="1"/>
  <c r="B28" i="12"/>
  <c r="B29" i="12"/>
  <c r="B30" i="12"/>
  <c r="B31" i="12"/>
  <c r="B32" i="12"/>
  <c r="B33" i="12"/>
  <c r="B34" i="12"/>
  <c r="B35" i="12"/>
  <c r="B36" i="12"/>
  <c r="B37" i="12"/>
  <c r="B25" i="12"/>
  <c r="C25" i="12" s="1"/>
  <c r="B26" i="12"/>
  <c r="C26" i="12" s="1"/>
  <c r="K23" i="12"/>
  <c r="K24" i="12"/>
  <c r="N24" i="12"/>
  <c r="K27" i="12"/>
  <c r="K28" i="12"/>
  <c r="K29" i="12"/>
  <c r="K30" i="12"/>
  <c r="K31" i="12"/>
  <c r="K32" i="12"/>
  <c r="K33" i="12"/>
  <c r="K34" i="12"/>
  <c r="K35" i="12"/>
  <c r="K36" i="12"/>
  <c r="K37" i="12"/>
  <c r="N26" i="12"/>
  <c r="N25" i="12"/>
  <c r="B8" i="13"/>
  <c r="B9" i="13"/>
  <c r="B10" i="13"/>
  <c r="B8" i="14"/>
  <c r="B9" i="14"/>
  <c r="B10" i="14"/>
  <c r="G5" i="10"/>
  <c r="G6" i="10"/>
  <c r="G5" i="6"/>
  <c r="G6" i="6"/>
  <c r="G5" i="9"/>
  <c r="G6" i="9"/>
  <c r="A21" i="13"/>
  <c r="A21" i="12"/>
  <c r="B23" i="12"/>
  <c r="C23" i="12" s="1"/>
  <c r="A24" i="12"/>
  <c r="C24" i="12" s="1"/>
  <c r="A22" i="12"/>
  <c r="B23" i="13"/>
  <c r="C23" i="13" s="1"/>
  <c r="A22" i="13"/>
  <c r="A24" i="13"/>
  <c r="C24" i="13" s="1"/>
  <c r="C33" i="12"/>
  <c r="C37" i="12"/>
  <c r="C30" i="12"/>
  <c r="C28" i="12"/>
  <c r="C32" i="12"/>
  <c r="C36" i="12"/>
  <c r="C34" i="12"/>
  <c r="C29" i="12"/>
  <c r="C35" i="12"/>
  <c r="C31" i="12"/>
  <c r="C36" i="13"/>
  <c r="C35" i="13"/>
  <c r="C41" i="13"/>
  <c r="C34" i="13"/>
  <c r="C39" i="13"/>
  <c r="C8" i="13"/>
  <c r="C40" i="13"/>
  <c r="C37" i="13"/>
  <c r="C9" i="13"/>
  <c r="C10" i="13"/>
  <c r="C38" i="13"/>
  <c r="A21" i="14"/>
  <c r="X48" i="12"/>
  <c r="AA33" i="12"/>
  <c r="AA28" i="13"/>
  <c r="AA34" i="13"/>
  <c r="X37" i="12"/>
  <c r="AA30" i="13"/>
  <c r="X44" i="14"/>
  <c r="AA46" i="13"/>
  <c r="X39" i="13"/>
  <c r="X31" i="13"/>
  <c r="AA23" i="14"/>
  <c r="X38" i="12"/>
  <c r="D41" i="13"/>
  <c r="E23" i="13"/>
  <c r="X25" i="13"/>
  <c r="X26" i="13"/>
  <c r="X33" i="12"/>
  <c r="X35" i="13"/>
  <c r="X32" i="13"/>
  <c r="AA33" i="13"/>
  <c r="AA25" i="12"/>
  <c r="D38" i="13"/>
  <c r="X29" i="12"/>
  <c r="X29" i="13"/>
  <c r="D9" i="4"/>
  <c r="AA30" i="14"/>
  <c r="X30" i="13"/>
  <c r="AA40" i="12"/>
  <c r="X28" i="14"/>
  <c r="H49" i="13"/>
  <c r="X24" i="12"/>
  <c r="D35" i="12"/>
  <c r="AA44" i="14"/>
  <c r="AA44" i="12"/>
  <c r="AA45" i="14"/>
  <c r="X24" i="14"/>
  <c r="AA45" i="13"/>
  <c r="H43" i="14"/>
  <c r="B35" i="14"/>
  <c r="AA26" i="14"/>
  <c r="D24" i="13"/>
  <c r="B1" i="16"/>
  <c r="X32" i="14"/>
  <c r="AA25" i="14"/>
  <c r="X42" i="12"/>
  <c r="X26" i="14"/>
  <c r="AA39" i="13"/>
  <c r="X40" i="12"/>
  <c r="D40" i="13"/>
  <c r="X52" i="13"/>
  <c r="E35" i="12"/>
  <c r="AA32" i="12"/>
  <c r="AA27" i="12"/>
  <c r="AA40" i="14"/>
  <c r="X40" i="13"/>
  <c r="H41" i="14"/>
  <c r="D31" i="12"/>
  <c r="AA34" i="14"/>
  <c r="AA31" i="14"/>
  <c r="D39" i="13"/>
  <c r="AA42" i="13"/>
  <c r="X44" i="13"/>
  <c r="X25" i="14"/>
  <c r="AA31" i="13"/>
  <c r="E25" i="12"/>
  <c r="AA24" i="14"/>
  <c r="X41" i="13"/>
  <c r="AA38" i="13"/>
  <c r="X45" i="12"/>
  <c r="AA47" i="13"/>
  <c r="H52" i="13"/>
  <c r="X49" i="12"/>
  <c r="AA26" i="13"/>
  <c r="E39" i="13"/>
  <c r="E41" i="13"/>
  <c r="H44" i="13"/>
  <c r="AA46" i="12"/>
  <c r="AA32" i="13"/>
  <c r="AA51" i="13"/>
  <c r="D32" i="12"/>
  <c r="X30" i="14"/>
  <c r="X38" i="13"/>
  <c r="E36" i="12"/>
  <c r="AA27" i="14"/>
  <c r="AA49" i="12"/>
  <c r="D25" i="12"/>
  <c r="E28" i="12"/>
  <c r="E34" i="12"/>
  <c r="AA37" i="13"/>
  <c r="X23" i="12"/>
  <c r="D24" i="12"/>
  <c r="AA38" i="12"/>
  <c r="AA42" i="12"/>
  <c r="AA43" i="12"/>
  <c r="H47" i="13"/>
  <c r="X31" i="14"/>
  <c r="X30" i="12"/>
  <c r="D26" i="12"/>
  <c r="AA49" i="13"/>
  <c r="AA23" i="12"/>
  <c r="E32" i="12"/>
  <c r="X32" i="12"/>
  <c r="X42" i="14"/>
  <c r="AA41" i="12"/>
  <c r="E30" i="12"/>
  <c r="X43" i="13"/>
  <c r="AA52" i="13"/>
  <c r="E29" i="12"/>
  <c r="AA50" i="13"/>
  <c r="X51" i="13"/>
  <c r="AA24" i="12"/>
  <c r="AA29" i="14"/>
  <c r="X41" i="14"/>
  <c r="X44" i="12"/>
  <c r="X31" i="12"/>
  <c r="H48" i="13"/>
  <c r="E26" i="12"/>
  <c r="AA41" i="14"/>
  <c r="X43" i="12"/>
  <c r="H45" i="13"/>
  <c r="X42" i="13"/>
  <c r="AA25" i="13"/>
  <c r="D29" i="12"/>
  <c r="X25" i="12"/>
  <c r="AA28" i="12"/>
  <c r="E23" i="12"/>
  <c r="D36" i="12"/>
  <c r="D33" i="12"/>
  <c r="E47" i="13"/>
  <c r="X23" i="13"/>
  <c r="AA36" i="13"/>
  <c r="AA41" i="13"/>
  <c r="X26" i="12"/>
  <c r="Q47" i="13"/>
  <c r="B1" i="4"/>
  <c r="AA43" i="13"/>
  <c r="D30" i="12"/>
  <c r="X27" i="14"/>
  <c r="X29" i="14"/>
  <c r="H50" i="13"/>
  <c r="E37" i="12"/>
  <c r="AA31" i="12"/>
  <c r="X28" i="12"/>
  <c r="AA35" i="12"/>
  <c r="H46" i="13"/>
  <c r="D34" i="12"/>
  <c r="AA29" i="12"/>
  <c r="AA27" i="13"/>
  <c r="AA43" i="14"/>
  <c r="D35" i="13"/>
  <c r="D34" i="13"/>
  <c r="X34" i="12"/>
  <c r="X35" i="12"/>
  <c r="H45" i="14"/>
  <c r="X27" i="13"/>
  <c r="AA39" i="12"/>
  <c r="X33" i="14"/>
  <c r="X36" i="13"/>
  <c r="E35" i="13"/>
  <c r="AA42" i="14"/>
  <c r="AA35" i="13"/>
  <c r="X43" i="14"/>
  <c r="AA24" i="13"/>
  <c r="AA47" i="12"/>
  <c r="E36" i="13"/>
  <c r="E33" i="12"/>
  <c r="X47" i="13"/>
  <c r="X41" i="12"/>
  <c r="E40" i="13"/>
  <c r="X48" i="13"/>
  <c r="AA29" i="13"/>
  <c r="H51" i="13"/>
  <c r="AA23" i="13"/>
  <c r="X49" i="13"/>
  <c r="E34" i="13"/>
  <c r="E37" i="13"/>
  <c r="X39" i="12"/>
  <c r="X34" i="13"/>
  <c r="D36" i="13"/>
  <c r="X46" i="13"/>
  <c r="AA40" i="13"/>
  <c r="E31" i="12"/>
  <c r="AA33" i="14"/>
  <c r="D28" i="12"/>
  <c r="D37" i="13"/>
  <c r="H40" i="14"/>
  <c r="X33" i="13"/>
  <c r="E27" i="12"/>
  <c r="D37" i="12"/>
  <c r="D27" i="12"/>
  <c r="X47" i="12"/>
  <c r="AA44" i="13"/>
  <c r="E38" i="13"/>
  <c r="AA45" i="12"/>
  <c r="AA26" i="12"/>
  <c r="X46" i="12"/>
  <c r="AA37" i="12"/>
  <c r="X23" i="14"/>
  <c r="AA48" i="13"/>
  <c r="H42" i="14"/>
  <c r="AA34" i="12"/>
  <c r="AA30" i="12"/>
  <c r="AA32" i="14"/>
  <c r="X45" i="14"/>
  <c r="X45" i="13"/>
  <c r="D23" i="12"/>
  <c r="X28" i="13"/>
  <c r="X24" i="13"/>
  <c r="AA28" i="14"/>
  <c r="AA36" i="12"/>
  <c r="AA48" i="12"/>
  <c r="X36" i="12"/>
  <c r="K50" i="12"/>
  <c r="H44" i="14"/>
  <c r="X50" i="13"/>
  <c r="X27" i="12"/>
  <c r="X37" i="13"/>
  <c r="X40" i="14"/>
  <c r="D23" i="13"/>
  <c r="X34" i="14"/>
  <c r="H42" i="13"/>
  <c r="H43" i="13"/>
  <c r="A22" i="14" l="1"/>
  <c r="B23" i="14"/>
  <c r="A24" i="14"/>
  <c r="C24" i="14" s="1"/>
  <c r="H35" i="13"/>
  <c r="H38" i="13"/>
  <c r="U22" i="12"/>
  <c r="H23" i="12"/>
  <c r="H36" i="13"/>
  <c r="H41" i="13"/>
  <c r="H36" i="12"/>
  <c r="H28" i="12"/>
  <c r="H26" i="12"/>
  <c r="H31" i="12"/>
  <c r="H27" i="12"/>
  <c r="H39" i="13"/>
  <c r="H40" i="13"/>
  <c r="H33" i="12"/>
  <c r="H37" i="13"/>
  <c r="U22" i="13"/>
  <c r="H23" i="13"/>
  <c r="H37" i="12"/>
  <c r="H30" i="12"/>
  <c r="H29" i="12"/>
  <c r="H25" i="12"/>
  <c r="H34" i="12"/>
  <c r="H35" i="12"/>
  <c r="H32" i="12"/>
  <c r="H34" i="13"/>
  <c r="E42" i="13"/>
  <c r="E48" i="13"/>
  <c r="Q36" i="13"/>
  <c r="Y51" i="13"/>
  <c r="X46" i="14"/>
  <c r="E24" i="13"/>
  <c r="E24" i="12"/>
  <c r="Y35" i="13"/>
  <c r="E45" i="13"/>
  <c r="Q35" i="13"/>
  <c r="E45" i="14"/>
  <c r="Q45" i="14"/>
  <c r="E43" i="14"/>
  <c r="Y43" i="13"/>
  <c r="D10" i="4"/>
  <c r="Q23" i="13"/>
  <c r="E46" i="13"/>
  <c r="Q40" i="13"/>
  <c r="Q23" i="12"/>
  <c r="E42" i="14"/>
  <c r="Y48" i="13"/>
  <c r="E50" i="13"/>
  <c r="E49" i="13"/>
  <c r="Q28" i="12"/>
  <c r="D24" i="14"/>
  <c r="Q41" i="13"/>
  <c r="E51" i="13"/>
  <c r="D11" i="4"/>
  <c r="AA53" i="13"/>
  <c r="Y45" i="13"/>
  <c r="Q37" i="13"/>
  <c r="Y49" i="13"/>
  <c r="Q31" i="12"/>
  <c r="Q37" i="12"/>
  <c r="Q34" i="13"/>
  <c r="E43" i="13"/>
  <c r="Y34" i="13"/>
  <c r="Y52" i="13"/>
  <c r="Q32" i="12"/>
  <c r="E44" i="13"/>
  <c r="X50" i="12"/>
  <c r="Q30" i="12"/>
  <c r="E44" i="14"/>
  <c r="AA50" i="12"/>
  <c r="Y46" i="13"/>
  <c r="Q26" i="12"/>
  <c r="Q33" i="12"/>
  <c r="Q36" i="12"/>
  <c r="E41" i="14"/>
  <c r="E52" i="13"/>
  <c r="B38" i="12"/>
  <c r="Y50" i="13"/>
  <c r="Q35" i="12"/>
  <c r="Y44" i="13"/>
  <c r="Q25" i="12"/>
  <c r="B25" i="13"/>
  <c r="Q45" i="13"/>
  <c r="Q44" i="13"/>
  <c r="Q42" i="13"/>
  <c r="Q39" i="13"/>
  <c r="Q27" i="12"/>
  <c r="Q38" i="13"/>
  <c r="E40" i="14"/>
  <c r="Y42" i="13"/>
  <c r="Q34" i="12"/>
  <c r="Q51" i="13"/>
  <c r="Q29" i="12"/>
  <c r="Q49" i="13"/>
  <c r="X53" i="13"/>
  <c r="Y47" i="13"/>
  <c r="AA46" i="14"/>
  <c r="C35" i="14" l="1"/>
  <c r="C9" i="14"/>
  <c r="C26" i="14"/>
  <c r="C34" i="14"/>
  <c r="C25" i="14"/>
  <c r="C8" i="14"/>
  <c r="C10" i="14"/>
  <c r="C27" i="14"/>
  <c r="C29" i="14"/>
  <c r="C23" i="14"/>
  <c r="C32" i="14"/>
  <c r="C33" i="14"/>
  <c r="C31" i="14"/>
  <c r="C30" i="14"/>
  <c r="C28" i="14"/>
  <c r="C25" i="13"/>
  <c r="M40" i="14"/>
  <c r="M43" i="14"/>
  <c r="M44" i="13"/>
  <c r="M45" i="14"/>
  <c r="M50" i="13"/>
  <c r="M43" i="13"/>
  <c r="M49" i="13"/>
  <c r="M46" i="13"/>
  <c r="M42" i="14"/>
  <c r="M41" i="14"/>
  <c r="M48" i="13"/>
  <c r="M42" i="13"/>
  <c r="M44" i="14"/>
  <c r="M51" i="13"/>
  <c r="M45" i="13"/>
  <c r="M47" i="13"/>
  <c r="M52" i="13"/>
  <c r="L52" i="13"/>
  <c r="L50" i="13"/>
  <c r="L49" i="13"/>
  <c r="L47" i="13"/>
  <c r="L42" i="14"/>
  <c r="L46" i="13"/>
  <c r="L44" i="13"/>
  <c r="L43" i="13"/>
  <c r="L43" i="14"/>
  <c r="L45" i="14"/>
  <c r="L48" i="13"/>
  <c r="L41" i="14"/>
  <c r="L42" i="13"/>
  <c r="L45" i="13"/>
  <c r="L44" i="14"/>
  <c r="L51" i="13"/>
  <c r="L40" i="14"/>
  <c r="C38" i="12"/>
  <c r="M29" i="12"/>
  <c r="L29" i="12"/>
  <c r="M30" i="12"/>
  <c r="L30" i="12"/>
  <c r="L34" i="13"/>
  <c r="M34" i="13"/>
  <c r="M41" i="13"/>
  <c r="L41" i="13"/>
  <c r="M32" i="12"/>
  <c r="L32" i="12"/>
  <c r="N32" i="12" s="1"/>
  <c r="L36" i="13"/>
  <c r="M36" i="13"/>
  <c r="L35" i="12"/>
  <c r="M35" i="12"/>
  <c r="M39" i="13"/>
  <c r="L39" i="13"/>
  <c r="L34" i="12"/>
  <c r="M34" i="12"/>
  <c r="L37" i="12"/>
  <c r="M37" i="12"/>
  <c r="M27" i="12"/>
  <c r="L27" i="12"/>
  <c r="N27" i="12" s="1"/>
  <c r="L36" i="12"/>
  <c r="M36" i="12"/>
  <c r="L25" i="12"/>
  <c r="S25" i="12" s="1"/>
  <c r="M25" i="12"/>
  <c r="M31" i="12"/>
  <c r="L31" i="12"/>
  <c r="M35" i="13"/>
  <c r="L35" i="13"/>
  <c r="L37" i="13"/>
  <c r="M37" i="13"/>
  <c r="M23" i="12"/>
  <c r="H24" i="12"/>
  <c r="L23" i="12"/>
  <c r="M26" i="12"/>
  <c r="L26" i="12"/>
  <c r="S26" i="12" s="1"/>
  <c r="M33" i="12"/>
  <c r="L33" i="12"/>
  <c r="M28" i="12"/>
  <c r="L28" i="12"/>
  <c r="L38" i="13"/>
  <c r="M38" i="13"/>
  <c r="M23" i="13"/>
  <c r="H24" i="13"/>
  <c r="L23" i="13"/>
  <c r="M40" i="13"/>
  <c r="L40" i="13"/>
  <c r="Q40" i="14"/>
  <c r="E32" i="14"/>
  <c r="D34" i="14"/>
  <c r="E24" i="14"/>
  <c r="E28" i="14"/>
  <c r="D23" i="14"/>
  <c r="E38" i="12"/>
  <c r="D31" i="14"/>
  <c r="D26" i="14"/>
  <c r="Q52" i="13"/>
  <c r="D27" i="14"/>
  <c r="E31" i="14"/>
  <c r="Q24" i="12"/>
  <c r="E33" i="14"/>
  <c r="Q42" i="14"/>
  <c r="J45" i="14"/>
  <c r="D29" i="14"/>
  <c r="D28" i="14"/>
  <c r="D25" i="13"/>
  <c r="Q44" i="14"/>
  <c r="Q46" i="13"/>
  <c r="E34" i="14"/>
  <c r="Q24" i="13"/>
  <c r="Q43" i="13"/>
  <c r="A26" i="13"/>
  <c r="E25" i="13"/>
  <c r="E27" i="14"/>
  <c r="D30" i="14"/>
  <c r="Q48" i="13"/>
  <c r="D32" i="14"/>
  <c r="D33" i="14"/>
  <c r="E30" i="14"/>
  <c r="E26" i="14"/>
  <c r="D35" i="14"/>
  <c r="Q41" i="14"/>
  <c r="Q50" i="13"/>
  <c r="E29" i="14"/>
  <c r="E23" i="14"/>
  <c r="D38" i="12"/>
  <c r="B39" i="12" s="1"/>
  <c r="E25" i="14"/>
  <c r="D25" i="14"/>
  <c r="Q43" i="14"/>
  <c r="E35" i="14"/>
  <c r="AB25" i="12"/>
  <c r="AB26" i="12"/>
  <c r="S45" i="13" l="1"/>
  <c r="T45" i="13" s="1"/>
  <c r="S47" i="13"/>
  <c r="T47" i="13" s="1"/>
  <c r="N29" i="12"/>
  <c r="N31" i="12"/>
  <c r="S52" i="13"/>
  <c r="T52" i="13" s="1"/>
  <c r="S43" i="13"/>
  <c r="T43" i="13" s="1"/>
  <c r="N30" i="12"/>
  <c r="S34" i="13"/>
  <c r="T34" i="13" s="1"/>
  <c r="S35" i="13"/>
  <c r="T35" i="13" s="1"/>
  <c r="S49" i="13"/>
  <c r="S48" i="13"/>
  <c r="N33" i="12"/>
  <c r="H35" i="14"/>
  <c r="H28" i="14"/>
  <c r="H30" i="14"/>
  <c r="H31" i="14"/>
  <c r="H33" i="14"/>
  <c r="H32" i="14"/>
  <c r="H23" i="14"/>
  <c r="U22" i="14"/>
  <c r="H29" i="14"/>
  <c r="H27" i="14"/>
  <c r="H34" i="14"/>
  <c r="H26" i="14"/>
  <c r="H25" i="14"/>
  <c r="S45" i="14"/>
  <c r="T45" i="14" s="1"/>
  <c r="S42" i="13"/>
  <c r="T42" i="13" s="1"/>
  <c r="N34" i="12"/>
  <c r="N23" i="12"/>
  <c r="N28" i="12"/>
  <c r="C39" i="12"/>
  <c r="H38" i="12"/>
  <c r="H25" i="13"/>
  <c r="M24" i="13"/>
  <c r="L24" i="13"/>
  <c r="N35" i="12"/>
  <c r="S44" i="13"/>
  <c r="S46" i="13"/>
  <c r="N36" i="12"/>
  <c r="M24" i="12"/>
  <c r="L24" i="12"/>
  <c r="S50" i="13"/>
  <c r="N37" i="12"/>
  <c r="S51" i="13"/>
  <c r="AB45" i="13"/>
  <c r="J44" i="14"/>
  <c r="Q30" i="14"/>
  <c r="Y26" i="14"/>
  <c r="J40" i="14"/>
  <c r="B26" i="13"/>
  <c r="Q32" i="14"/>
  <c r="Y45" i="14"/>
  <c r="Q25" i="13"/>
  <c r="Q35" i="14"/>
  <c r="J41" i="14"/>
  <c r="Q26" i="14"/>
  <c r="Y25" i="14"/>
  <c r="AB47" i="13"/>
  <c r="Q28" i="14"/>
  <c r="J42" i="14"/>
  <c r="B36" i="14"/>
  <c r="D39" i="12"/>
  <c r="Q25" i="14"/>
  <c r="Y35" i="14"/>
  <c r="Q33" i="14"/>
  <c r="N50" i="12"/>
  <c r="Q38" i="12"/>
  <c r="AB45" i="14"/>
  <c r="Q31" i="14"/>
  <c r="Q23" i="14"/>
  <c r="Q34" i="14"/>
  <c r="J43" i="14"/>
  <c r="E39" i="12"/>
  <c r="Q27" i="14"/>
  <c r="Y40" i="14"/>
  <c r="Q29" i="14"/>
  <c r="Y41" i="14"/>
  <c r="AB50" i="13"/>
  <c r="AB51" i="13"/>
  <c r="AB48" i="13"/>
  <c r="AB42" i="13"/>
  <c r="AB44" i="13"/>
  <c r="AB43" i="13"/>
  <c r="AB34" i="13"/>
  <c r="AB46" i="13"/>
  <c r="AB35" i="13"/>
  <c r="AB52" i="13"/>
  <c r="AB49" i="13"/>
  <c r="G39" i="12"/>
  <c r="F39" i="12"/>
  <c r="Y44" i="14"/>
  <c r="Y42" i="14"/>
  <c r="Y43" i="14"/>
  <c r="S43" i="14" l="1"/>
  <c r="T43" i="14" s="1"/>
  <c r="S42" i="14"/>
  <c r="T42" i="14" s="1"/>
  <c r="S41" i="14"/>
  <c r="T41" i="14" s="1"/>
  <c r="S40" i="14"/>
  <c r="S44" i="14"/>
  <c r="T44" i="14" s="1"/>
  <c r="C26" i="13"/>
  <c r="C36" i="14"/>
  <c r="T48" i="13"/>
  <c r="T49" i="13"/>
  <c r="I35" i="14"/>
  <c r="K35" i="14" s="1"/>
  <c r="N35" i="14" s="1"/>
  <c r="L35" i="14"/>
  <c r="S35" i="14" s="1"/>
  <c r="M35" i="14"/>
  <c r="L33" i="14"/>
  <c r="M33" i="14"/>
  <c r="M25" i="14"/>
  <c r="L25" i="14"/>
  <c r="L31" i="14"/>
  <c r="M31" i="14"/>
  <c r="M26" i="14"/>
  <c r="L26" i="14"/>
  <c r="N26" i="14" s="1"/>
  <c r="M30" i="14"/>
  <c r="L30" i="14"/>
  <c r="M34" i="14"/>
  <c r="L34" i="14"/>
  <c r="M28" i="14"/>
  <c r="L28" i="14"/>
  <c r="N28" i="14" s="1"/>
  <c r="L27" i="14"/>
  <c r="M27" i="14"/>
  <c r="L29" i="14"/>
  <c r="M29" i="14"/>
  <c r="M23" i="14"/>
  <c r="L23" i="14"/>
  <c r="H24" i="14"/>
  <c r="L32" i="14"/>
  <c r="M32" i="14"/>
  <c r="H39" i="12"/>
  <c r="J39" i="12"/>
  <c r="T44" i="13"/>
  <c r="M25" i="13"/>
  <c r="L25" i="13"/>
  <c r="T51" i="13"/>
  <c r="T50" i="13"/>
  <c r="L38" i="12"/>
  <c r="S38" i="12" s="1"/>
  <c r="M38" i="12"/>
  <c r="I38" i="12"/>
  <c r="T46" i="13"/>
  <c r="AB43" i="14"/>
  <c r="AB44" i="14"/>
  <c r="AB35" i="14"/>
  <c r="AB42" i="14"/>
  <c r="E26" i="13"/>
  <c r="AB41" i="14"/>
  <c r="AB40" i="14"/>
  <c r="D26" i="13"/>
  <c r="B27" i="13" s="1"/>
  <c r="Y36" i="14"/>
  <c r="D36" i="14"/>
  <c r="E36" i="14"/>
  <c r="Q39" i="12"/>
  <c r="B40" i="12"/>
  <c r="Q24" i="14"/>
  <c r="Y39" i="12"/>
  <c r="AB38" i="12"/>
  <c r="T40" i="14" l="1"/>
  <c r="H26" i="13"/>
  <c r="L26" i="13" s="1"/>
  <c r="H36" i="14"/>
  <c r="C40" i="12"/>
  <c r="C27" i="13"/>
  <c r="T35" i="14"/>
  <c r="N34" i="14"/>
  <c r="N30" i="14"/>
  <c r="N31" i="14"/>
  <c r="N29" i="14"/>
  <c r="N27" i="14"/>
  <c r="N32" i="14"/>
  <c r="M24" i="14"/>
  <c r="L24" i="14"/>
  <c r="N33" i="14"/>
  <c r="N25" i="13"/>
  <c r="L39" i="12"/>
  <c r="S39" i="12" s="1"/>
  <c r="I39" i="12"/>
  <c r="M39" i="12"/>
  <c r="M26" i="13"/>
  <c r="E40" i="12"/>
  <c r="E27" i="13"/>
  <c r="Y37" i="14"/>
  <c r="Q36" i="14"/>
  <c r="B37" i="14"/>
  <c r="Q26" i="13"/>
  <c r="D40" i="12"/>
  <c r="D27" i="13"/>
  <c r="F40" i="12"/>
  <c r="AB39" i="12"/>
  <c r="G40" i="12"/>
  <c r="C37" i="14" l="1"/>
  <c r="H27" i="13"/>
  <c r="L27" i="13" s="1"/>
  <c r="H40" i="12"/>
  <c r="L40" i="12" s="1"/>
  <c r="S40" i="12" s="1"/>
  <c r="J40" i="12"/>
  <c r="M36" i="14"/>
  <c r="L36" i="14"/>
  <c r="S36" i="14" s="1"/>
  <c r="I36" i="14"/>
  <c r="K36" i="14" s="1"/>
  <c r="N36" i="14" s="1"/>
  <c r="T39" i="12"/>
  <c r="N26" i="13"/>
  <c r="Q40" i="12"/>
  <c r="B41" i="12"/>
  <c r="D37" i="14"/>
  <c r="E37" i="14"/>
  <c r="Q27" i="13"/>
  <c r="AB36" i="14"/>
  <c r="B28" i="13"/>
  <c r="G46" i="14"/>
  <c r="Y38" i="14"/>
  <c r="Y40" i="12"/>
  <c r="AB40" i="12"/>
  <c r="C28" i="13" l="1"/>
  <c r="C41" i="12"/>
  <c r="M27" i="13"/>
  <c r="N27" i="13" s="1"/>
  <c r="H37" i="14"/>
  <c r="T36" i="14"/>
  <c r="M40" i="12"/>
  <c r="I40" i="12"/>
  <c r="T40" i="12"/>
  <c r="Y39" i="14"/>
  <c r="B38" i="14"/>
  <c r="Q37" i="14"/>
  <c r="D28" i="13"/>
  <c r="E28" i="13"/>
  <c r="F41" i="12"/>
  <c r="G41" i="12"/>
  <c r="D41" i="12"/>
  <c r="E41" i="12"/>
  <c r="B42" i="12"/>
  <c r="H41" i="12" l="1"/>
  <c r="J41" i="12"/>
  <c r="H28" i="13"/>
  <c r="C42" i="12"/>
  <c r="C38" i="14"/>
  <c r="I37" i="14"/>
  <c r="K37" i="14" s="1"/>
  <c r="N37" i="14" s="1"/>
  <c r="L37" i="14"/>
  <c r="S37" i="14" s="1"/>
  <c r="M37" i="14"/>
  <c r="D42" i="12"/>
  <c r="E42" i="12"/>
  <c r="Q41" i="12"/>
  <c r="D38" i="14"/>
  <c r="B39" i="14" s="1"/>
  <c r="Y41" i="12"/>
  <c r="E38" i="14"/>
  <c r="B29" i="13"/>
  <c r="Q28" i="13"/>
  <c r="B46" i="14"/>
  <c r="AB37" i="14"/>
  <c r="F42" i="12"/>
  <c r="G42" i="12"/>
  <c r="C29" i="13" l="1"/>
  <c r="L28" i="13"/>
  <c r="M28" i="13"/>
  <c r="M41" i="12"/>
  <c r="I41" i="12"/>
  <c r="L41" i="12"/>
  <c r="S41" i="12" s="1"/>
  <c r="C39" i="14"/>
  <c r="H38" i="14"/>
  <c r="H42" i="12"/>
  <c r="J42" i="12"/>
  <c r="T37" i="14"/>
  <c r="Q42" i="12"/>
  <c r="C46" i="14"/>
  <c r="D39" i="14"/>
  <c r="D46" i="14" s="1"/>
  <c r="E29" i="13"/>
  <c r="D29" i="13"/>
  <c r="E39" i="14"/>
  <c r="E46" i="14" s="1"/>
  <c r="Q38" i="14"/>
  <c r="B43" i="12"/>
  <c r="AB41" i="12"/>
  <c r="Y42" i="12"/>
  <c r="B30" i="13"/>
  <c r="C30" i="13" l="1"/>
  <c r="H29" i="13"/>
  <c r="T41" i="12"/>
  <c r="N28" i="13"/>
  <c r="C43" i="12"/>
  <c r="H39" i="14"/>
  <c r="I42" i="12"/>
  <c r="L42" i="12"/>
  <c r="S42" i="12" s="1"/>
  <c r="M42" i="12"/>
  <c r="I38" i="14"/>
  <c r="L38" i="14"/>
  <c r="S38" i="14" s="1"/>
  <c r="M38" i="14"/>
  <c r="Q29" i="13"/>
  <c r="AB38" i="14"/>
  <c r="E43" i="12"/>
  <c r="D43" i="12"/>
  <c r="D30" i="13"/>
  <c r="E30" i="13"/>
  <c r="Q39" i="14"/>
  <c r="Q46" i="14" s="1"/>
  <c r="G43" i="12"/>
  <c r="AB42" i="12"/>
  <c r="F43" i="12"/>
  <c r="B31" i="13"/>
  <c r="C31" i="13" l="1"/>
  <c r="H30" i="13"/>
  <c r="L30" i="13" s="1"/>
  <c r="M29" i="13"/>
  <c r="L29" i="13"/>
  <c r="H43" i="12"/>
  <c r="J43" i="12"/>
  <c r="K38" i="14"/>
  <c r="L39" i="14"/>
  <c r="S39" i="14" s="1"/>
  <c r="M39" i="14"/>
  <c r="I39" i="14"/>
  <c r="T38" i="14"/>
  <c r="T42" i="12"/>
  <c r="Q30" i="13"/>
  <c r="B44" i="12"/>
  <c r="AB39" i="14"/>
  <c r="I46" i="14"/>
  <c r="Q43" i="12"/>
  <c r="D31" i="13"/>
  <c r="E31" i="13"/>
  <c r="Y43" i="12"/>
  <c r="M30" i="13" l="1"/>
  <c r="N30" i="13" s="1"/>
  <c r="N29" i="13"/>
  <c r="H31" i="13"/>
  <c r="M31" i="13" s="1"/>
  <c r="C44" i="12"/>
  <c r="K39" i="14"/>
  <c r="T39" i="14"/>
  <c r="M43" i="12"/>
  <c r="I43" i="12"/>
  <c r="L43" i="12"/>
  <c r="S43" i="12" s="1"/>
  <c r="N38" i="14"/>
  <c r="Q31" i="13"/>
  <c r="K46" i="14"/>
  <c r="F44" i="12"/>
  <c r="G44" i="12"/>
  <c r="D44" i="12"/>
  <c r="E44" i="12"/>
  <c r="B32" i="13"/>
  <c r="AB43" i="12"/>
  <c r="L31" i="13" l="1"/>
  <c r="N31" i="13" s="1"/>
  <c r="C32" i="13"/>
  <c r="H44" i="12"/>
  <c r="I44" i="12" s="1"/>
  <c r="J44" i="12"/>
  <c r="L44" i="12"/>
  <c r="S44" i="12" s="1"/>
  <c r="M44" i="12"/>
  <c r="N39" i="14"/>
  <c r="T43" i="12"/>
  <c r="B45" i="12"/>
  <c r="Y44" i="12"/>
  <c r="N46" i="14"/>
  <c r="E32" i="13"/>
  <c r="D32" i="13"/>
  <c r="Q44" i="12"/>
  <c r="AB44" i="12"/>
  <c r="B33" i="13"/>
  <c r="B53" i="13"/>
  <c r="C33" i="13" l="1"/>
  <c r="H32" i="13"/>
  <c r="C45" i="12"/>
  <c r="T44" i="12"/>
  <c r="N35" i="13"/>
  <c r="Q32" i="13"/>
  <c r="G45" i="12"/>
  <c r="F45" i="12"/>
  <c r="D45" i="12"/>
  <c r="E45" i="12"/>
  <c r="C53" i="13"/>
  <c r="D33" i="13"/>
  <c r="E33" i="13"/>
  <c r="E53" i="13" s="1"/>
  <c r="B46" i="12"/>
  <c r="D53" i="13"/>
  <c r="C46" i="12" l="1"/>
  <c r="H33" i="13"/>
  <c r="I38" i="13" s="1"/>
  <c r="K38" i="13" s="1"/>
  <c r="N38" i="13" s="1"/>
  <c r="H45" i="12"/>
  <c r="J45" i="12"/>
  <c r="I41" i="13"/>
  <c r="K41" i="13" s="1"/>
  <c r="N41" i="13" s="1"/>
  <c r="I37" i="13"/>
  <c r="K37" i="13" s="1"/>
  <c r="N37" i="13" s="1"/>
  <c r="L32" i="13"/>
  <c r="M32" i="13"/>
  <c r="Q33" i="13"/>
  <c r="Q53" i="13" s="1"/>
  <c r="Y45" i="12"/>
  <c r="G46" i="12"/>
  <c r="F46" i="12"/>
  <c r="D46" i="12"/>
  <c r="E46" i="12"/>
  <c r="Q45" i="12"/>
  <c r="I35" i="13" l="1"/>
  <c r="I39" i="13"/>
  <c r="K39" i="13" s="1"/>
  <c r="N39" i="13" s="1"/>
  <c r="I36" i="13"/>
  <c r="K36" i="13" s="1"/>
  <c r="N36" i="13" s="1"/>
  <c r="I40" i="13"/>
  <c r="K40" i="13" s="1"/>
  <c r="N40" i="13" s="1"/>
  <c r="H46" i="12"/>
  <c r="M46" i="12" s="1"/>
  <c r="J46" i="12"/>
  <c r="N32" i="13"/>
  <c r="M45" i="12"/>
  <c r="I45" i="12"/>
  <c r="L45" i="12"/>
  <c r="S45" i="12" s="1"/>
  <c r="M33" i="13"/>
  <c r="L33" i="13"/>
  <c r="I53" i="13"/>
  <c r="K53" i="13"/>
  <c r="U23" i="13" a="1"/>
  <c r="U20" i="13"/>
  <c r="V22" i="13" s="1"/>
  <c r="B47" i="12"/>
  <c r="Q46" i="12"/>
  <c r="Y46" i="12"/>
  <c r="AB45" i="12"/>
  <c r="I46" i="12" l="1"/>
  <c r="L46" i="12"/>
  <c r="S46" i="12" s="1"/>
  <c r="T46" i="12" s="1"/>
  <c r="U35" i="13"/>
  <c r="U37" i="13"/>
  <c r="U30" i="13"/>
  <c r="U49" i="13"/>
  <c r="U46" i="13"/>
  <c r="U27" i="13"/>
  <c r="U43" i="13"/>
  <c r="U31" i="13"/>
  <c r="U29" i="13"/>
  <c r="U33" i="13"/>
  <c r="U51" i="13"/>
  <c r="U47" i="13"/>
  <c r="U48" i="13"/>
  <c r="U23" i="13"/>
  <c r="U38" i="13"/>
  <c r="U24" i="13"/>
  <c r="U42" i="13"/>
  <c r="U39" i="13"/>
  <c r="U34" i="13"/>
  <c r="U25" i="13"/>
  <c r="U40" i="13"/>
  <c r="U28" i="13"/>
  <c r="U50" i="13"/>
  <c r="U52" i="13"/>
  <c r="U32" i="13"/>
  <c r="U45" i="13"/>
  <c r="U41" i="13"/>
  <c r="U36" i="13"/>
  <c r="U44" i="13"/>
  <c r="U26" i="13"/>
  <c r="N33" i="13"/>
  <c r="C47" i="12"/>
  <c r="T45" i="12"/>
  <c r="S24" i="12"/>
  <c r="AB46" i="12"/>
  <c r="V34" i="13"/>
  <c r="V49" i="13"/>
  <c r="V46" i="13"/>
  <c r="V43" i="13"/>
  <c r="V50" i="13"/>
  <c r="V52" i="13"/>
  <c r="V45" i="13"/>
  <c r="V51" i="13"/>
  <c r="V47" i="13"/>
  <c r="V48" i="13"/>
  <c r="V44" i="13"/>
  <c r="V35" i="13"/>
  <c r="V42" i="13"/>
  <c r="N53" i="13"/>
  <c r="G47" i="12"/>
  <c r="F47" i="12"/>
  <c r="E47" i="12"/>
  <c r="D47" i="12"/>
  <c r="AB24" i="12"/>
  <c r="B48" i="12"/>
  <c r="C48" i="12" l="1"/>
  <c r="H47" i="12"/>
  <c r="J47" i="12"/>
  <c r="S24" i="14"/>
  <c r="S25" i="14"/>
  <c r="T25" i="14" s="1"/>
  <c r="S26" i="14"/>
  <c r="T26" i="14" s="1"/>
  <c r="Q47" i="12"/>
  <c r="Y47" i="12"/>
  <c r="AB26" i="14"/>
  <c r="AB25" i="14"/>
  <c r="F48" i="12"/>
  <c r="G48" i="12"/>
  <c r="E48" i="12"/>
  <c r="D48" i="12"/>
  <c r="AB24" i="14"/>
  <c r="B49" i="12"/>
  <c r="B50" i="12"/>
  <c r="C49" i="12" l="1"/>
  <c r="H48" i="12"/>
  <c r="M48" i="12" s="1"/>
  <c r="J48" i="12"/>
  <c r="I47" i="12"/>
  <c r="L47" i="12"/>
  <c r="S47" i="12" s="1"/>
  <c r="M47" i="12"/>
  <c r="I48" i="12"/>
  <c r="Q48" i="12"/>
  <c r="Y48" i="12"/>
  <c r="AB47" i="12"/>
  <c r="G49" i="12"/>
  <c r="F49" i="12"/>
  <c r="E49" i="12"/>
  <c r="E50" i="12" s="1"/>
  <c r="D49" i="12"/>
  <c r="C50" i="12"/>
  <c r="D50" i="12"/>
  <c r="L48" i="12" l="1"/>
  <c r="S48" i="12" s="1"/>
  <c r="T48" i="12" s="1"/>
  <c r="H49" i="12"/>
  <c r="J49" i="12"/>
  <c r="T47" i="12"/>
  <c r="R20" i="12"/>
  <c r="AB48" i="12"/>
  <c r="Y49" i="12"/>
  <c r="L46" i="14"/>
  <c r="L53" i="13"/>
  <c r="M46" i="14"/>
  <c r="M53" i="13"/>
  <c r="O22" i="14"/>
  <c r="U21" i="13"/>
  <c r="U53" i="13"/>
  <c r="O22" i="13"/>
  <c r="U23" i="12" a="1"/>
  <c r="H53" i="13"/>
  <c r="U21" i="12"/>
  <c r="U20" i="14"/>
  <c r="H50" i="12"/>
  <c r="U21" i="14"/>
  <c r="Q49" i="12"/>
  <c r="Q50" i="12" s="1"/>
  <c r="H46" i="14"/>
  <c r="M49" i="12" l="1"/>
  <c r="L49" i="12"/>
  <c r="I49" i="12"/>
  <c r="U40" i="12"/>
  <c r="U33" i="12"/>
  <c r="U47" i="12"/>
  <c r="U44" i="12"/>
  <c r="U49" i="12"/>
  <c r="U42" i="12"/>
  <c r="U24" i="12"/>
  <c r="U37" i="12"/>
  <c r="U34" i="12"/>
  <c r="U36" i="12"/>
  <c r="U32" i="12"/>
  <c r="U35" i="12"/>
  <c r="U43" i="12"/>
  <c r="U25" i="12"/>
  <c r="U23" i="12"/>
  <c r="U27" i="12"/>
  <c r="U39" i="12"/>
  <c r="U31" i="12"/>
  <c r="U41" i="12"/>
  <c r="U30" i="12"/>
  <c r="U29" i="12"/>
  <c r="U46" i="12"/>
  <c r="U26" i="12"/>
  <c r="U28" i="12"/>
  <c r="U38" i="12"/>
  <c r="U48" i="12"/>
  <c r="U45" i="12"/>
  <c r="C5" i="10"/>
  <c r="H5" i="10" s="1"/>
  <c r="R20" i="13"/>
  <c r="M50" i="12"/>
  <c r="I50" i="12"/>
  <c r="L50" i="12"/>
  <c r="V22" i="14"/>
  <c r="V22" i="12"/>
  <c r="V48" i="12"/>
  <c r="V26" i="12"/>
  <c r="V42" i="12"/>
  <c r="V24" i="12"/>
  <c r="V47" i="12"/>
  <c r="I5" i="10"/>
  <c r="V39" i="12"/>
  <c r="V41" i="12"/>
  <c r="V40" i="12"/>
  <c r="V44" i="12"/>
  <c r="V25" i="12"/>
  <c r="V45" i="12"/>
  <c r="V46" i="12"/>
  <c r="V43" i="12"/>
  <c r="V38" i="12"/>
  <c r="S49" i="12" l="1"/>
  <c r="S24" i="13"/>
  <c r="AB49" i="12"/>
  <c r="V49" i="12" s="1"/>
  <c r="AB24" i="13"/>
  <c r="T49" i="12" l="1"/>
  <c r="C5" i="6"/>
  <c r="H5" i="6" s="1"/>
  <c r="Q20" i="14"/>
  <c r="C5" i="9"/>
  <c r="R21" i="12"/>
  <c r="C6" i="10" s="1"/>
  <c r="H6" i="10" s="1"/>
  <c r="C6" i="9"/>
  <c r="R21" i="13"/>
  <c r="I5" i="9"/>
  <c r="I6" i="9"/>
  <c r="I5" i="6"/>
  <c r="V24" i="13"/>
  <c r="I6" i="10"/>
  <c r="I3" i="10"/>
  <c r="C6" i="6" l="1"/>
  <c r="H6" i="6" s="1"/>
  <c r="Q21" i="14"/>
  <c r="I6" i="6"/>
  <c r="U50" i="12"/>
  <c r="O22" i="12"/>
  <c r="U23" i="14" a="1"/>
  <c r="I3" i="9"/>
  <c r="I3" i="6"/>
  <c r="D7" i="4"/>
  <c r="U29" i="14" l="1"/>
  <c r="U38" i="14"/>
  <c r="U43" i="14"/>
  <c r="U28" i="14"/>
  <c r="U25" i="14"/>
  <c r="U30" i="14"/>
  <c r="U24" i="14"/>
  <c r="U42" i="14"/>
  <c r="U33" i="14"/>
  <c r="U41" i="14"/>
  <c r="U37" i="14"/>
  <c r="U26" i="14"/>
  <c r="U39" i="14"/>
  <c r="U45" i="14"/>
  <c r="U34" i="14"/>
  <c r="U31" i="14"/>
  <c r="U23" i="14"/>
  <c r="U32" i="14"/>
  <c r="U40" i="14"/>
  <c r="U36" i="14"/>
  <c r="U27" i="14"/>
  <c r="U44" i="14"/>
  <c r="U35" i="14"/>
  <c r="V43" i="14"/>
  <c r="V40" i="14"/>
  <c r="V36" i="14"/>
  <c r="V25" i="14"/>
  <c r="V35" i="14"/>
  <c r="U46" i="14"/>
  <c r="V38" i="14"/>
  <c r="V44" i="14"/>
  <c r="V24" i="14"/>
  <c r="V42" i="14"/>
  <c r="V41" i="14"/>
  <c r="V37" i="14"/>
  <c r="V26" i="14"/>
  <c r="V39" i="14"/>
  <c r="V45" i="14"/>
  <c r="D9" i="16" l="1"/>
  <c r="D7" i="16" l="1"/>
  <c r="A23" i="13"/>
  <c r="F10" i="13"/>
  <c r="F9" i="13"/>
  <c r="F39" i="13"/>
  <c r="F23" i="13"/>
  <c r="F38" i="13"/>
  <c r="F8" i="13"/>
  <c r="F40" i="13"/>
  <c r="F41" i="13"/>
  <c r="F37" i="13"/>
  <c r="F34" i="13"/>
  <c r="F36" i="13"/>
  <c r="F24" i="13"/>
  <c r="F35" i="13"/>
  <c r="G33" i="13"/>
  <c r="F33" i="13"/>
  <c r="F32" i="13"/>
  <c r="G32" i="13"/>
  <c r="G31" i="13"/>
  <c r="F31" i="13"/>
  <c r="F30" i="13"/>
  <c r="G30" i="13"/>
  <c r="G29" i="13"/>
  <c r="F29" i="13"/>
  <c r="G28" i="13"/>
  <c r="F28" i="13"/>
  <c r="G27" i="13"/>
  <c r="F27" i="13"/>
  <c r="F26" i="13"/>
  <c r="G26" i="13"/>
  <c r="F25" i="13"/>
  <c r="G25" i="13"/>
  <c r="G53" i="13" s="1"/>
  <c r="F53" i="13"/>
  <c r="J25" i="13" l="1"/>
  <c r="J26" i="13"/>
  <c r="J27" i="13"/>
  <c r="J28" i="13"/>
  <c r="J29" i="13"/>
  <c r="J30" i="13"/>
  <c r="J31" i="13"/>
  <c r="J32" i="13"/>
  <c r="J33" i="13"/>
  <c r="J24" i="13"/>
  <c r="J36" i="13"/>
  <c r="S36" i="13" s="1"/>
  <c r="J37" i="13"/>
  <c r="S37" i="13" s="1"/>
  <c r="J41" i="13"/>
  <c r="S41" i="13" s="1"/>
  <c r="J40" i="13"/>
  <c r="S40" i="13" s="1"/>
  <c r="J38" i="13"/>
  <c r="S38" i="13" s="1"/>
  <c r="J23" i="13"/>
  <c r="S23" i="13" s="1"/>
  <c r="J39" i="13"/>
  <c r="S39" i="13" s="1"/>
  <c r="Y25" i="13"/>
  <c r="AB39" i="13"/>
  <c r="V39" i="13" s="1"/>
  <c r="Y26" i="13"/>
  <c r="Y27" i="13"/>
  <c r="Y28" i="13"/>
  <c r="Y29" i="13"/>
  <c r="Y30" i="13"/>
  <c r="Y31" i="13"/>
  <c r="Y32" i="13"/>
  <c r="Y33" i="13"/>
  <c r="AB36" i="13"/>
  <c r="V36" i="13" s="1"/>
  <c r="AB37" i="13"/>
  <c r="V37" i="13" s="1"/>
  <c r="AB40" i="13"/>
  <c r="V40" i="13" s="1"/>
  <c r="AB23" i="13"/>
  <c r="AB41" i="13"/>
  <c r="V41" i="13" s="1"/>
  <c r="AB38" i="13"/>
  <c r="V38" i="13" s="1"/>
  <c r="Y24" i="13"/>
  <c r="Y37" i="13"/>
  <c r="Y41" i="13"/>
  <c r="Y38" i="13"/>
  <c r="Y39" i="13"/>
  <c r="Y36" i="13"/>
  <c r="Y40" i="13"/>
  <c r="Y23" i="13"/>
  <c r="J53" i="13"/>
  <c r="O44" i="13"/>
  <c r="O25" i="13"/>
  <c r="O38" i="13"/>
  <c r="O41" i="13"/>
  <c r="O32" i="13"/>
  <c r="O48" i="13"/>
  <c r="O34" i="13"/>
  <c r="O50" i="13"/>
  <c r="O49" i="13"/>
  <c r="O29" i="13"/>
  <c r="O47" i="13"/>
  <c r="O33" i="13"/>
  <c r="O31" i="13"/>
  <c r="O46" i="13"/>
  <c r="O52" i="13"/>
  <c r="O42" i="13"/>
  <c r="O27" i="13"/>
  <c r="O23" i="13"/>
  <c r="O28" i="13"/>
  <c r="O40" i="13"/>
  <c r="O37" i="13"/>
  <c r="O35" i="13"/>
  <c r="O39" i="13"/>
  <c r="O24" i="13"/>
  <c r="O51" i="13"/>
  <c r="O30" i="13"/>
  <c r="Y53" i="13"/>
  <c r="O45" i="13"/>
  <c r="O36" i="13"/>
  <c r="O43" i="13"/>
  <c r="O26" i="13"/>
  <c r="V23" i="13"/>
  <c r="S33" i="13" l="1"/>
  <c r="S32" i="13"/>
  <c r="S31" i="13"/>
  <c r="S30" i="13"/>
  <c r="S29" i="13"/>
  <c r="S28" i="13"/>
  <c r="S27" i="13"/>
  <c r="S26" i="13"/>
  <c r="S25" i="13"/>
  <c r="R26" i="13"/>
  <c r="P26" i="13"/>
  <c r="R43" i="13"/>
  <c r="P43" i="13"/>
  <c r="R36" i="13"/>
  <c r="R45" i="13"/>
  <c r="P45" i="13"/>
  <c r="P30" i="13"/>
  <c r="R30" i="13"/>
  <c r="R51" i="13"/>
  <c r="P51" i="13"/>
  <c r="R24" i="13"/>
  <c r="R39" i="13"/>
  <c r="P35" i="13"/>
  <c r="R35" i="13"/>
  <c r="R37" i="13"/>
  <c r="R40" i="13"/>
  <c r="P28" i="13"/>
  <c r="R28" i="13"/>
  <c r="R23" i="13"/>
  <c r="P27" i="13"/>
  <c r="R27" i="13"/>
  <c r="P42" i="13"/>
  <c r="R42" i="13"/>
  <c r="P52" i="13"/>
  <c r="R52" i="13"/>
  <c r="P46" i="13"/>
  <c r="R46" i="13"/>
  <c r="P31" i="13"/>
  <c r="R31" i="13"/>
  <c r="P33" i="13"/>
  <c r="R33" i="13"/>
  <c r="R47" i="13"/>
  <c r="P47" i="13"/>
  <c r="P29" i="13"/>
  <c r="R29" i="13"/>
  <c r="R49" i="13"/>
  <c r="P49" i="13"/>
  <c r="R50" i="13"/>
  <c r="P50" i="13"/>
  <c r="P34" i="13"/>
  <c r="R34" i="13"/>
  <c r="R48" i="13"/>
  <c r="P48" i="13"/>
  <c r="P32" i="13"/>
  <c r="R32" i="13"/>
  <c r="R41" i="13"/>
  <c r="R38" i="13"/>
  <c r="R25" i="13"/>
  <c r="P25" i="13"/>
  <c r="P44" i="13"/>
  <c r="R44" i="13"/>
  <c r="T23" i="13"/>
  <c r="P23" i="13"/>
  <c r="T40" i="13"/>
  <c r="P40" i="13"/>
  <c r="P36" i="13"/>
  <c r="T36" i="13"/>
  <c r="T39" i="13"/>
  <c r="P39" i="13"/>
  <c r="P38" i="13"/>
  <c r="T38" i="13"/>
  <c r="T41" i="13"/>
  <c r="P41" i="13"/>
  <c r="P37" i="13"/>
  <c r="T37" i="13"/>
  <c r="T24" i="13"/>
  <c r="P24" i="13"/>
  <c r="AB33" i="13"/>
  <c r="V33" i="13" s="1"/>
  <c r="AB30" i="13"/>
  <c r="V30" i="13" s="1"/>
  <c r="AB28" i="13"/>
  <c r="V28" i="13" s="1"/>
  <c r="AB32" i="13"/>
  <c r="V32" i="13" s="1"/>
  <c r="AB31" i="13"/>
  <c r="V31" i="13" s="1"/>
  <c r="AB29" i="13"/>
  <c r="V29" i="13" s="1"/>
  <c r="AB27" i="13"/>
  <c r="V27" i="13" s="1"/>
  <c r="S53" i="13"/>
  <c r="AB25" i="13"/>
  <c r="AB26" i="13"/>
  <c r="V26" i="13" s="1"/>
  <c r="AB53" i="13"/>
  <c r="V25" i="13"/>
  <c r="V53" i="13" s="1"/>
  <c r="T26" i="13" l="1"/>
  <c r="T25" i="13"/>
  <c r="T27" i="13"/>
  <c r="T29" i="13"/>
  <c r="T31" i="13"/>
  <c r="T32" i="13"/>
  <c r="T28" i="13"/>
  <c r="T30" i="13"/>
  <c r="T33" i="13"/>
  <c r="T53" i="13"/>
  <c r="D8" i="16" l="1"/>
  <c r="A23" i="14"/>
  <c r="F25" i="14"/>
  <c r="F23" i="14"/>
  <c r="F30" i="14"/>
  <c r="F9" i="14"/>
  <c r="F27" i="14"/>
  <c r="F34" i="14"/>
  <c r="F8" i="14"/>
  <c r="F24" i="14"/>
  <c r="F10" i="14"/>
  <c r="F31" i="14"/>
  <c r="F33" i="14"/>
  <c r="F28" i="14"/>
  <c r="F29" i="14"/>
  <c r="F32" i="14"/>
  <c r="F26" i="14"/>
  <c r="F46" i="14"/>
  <c r="J32" i="14" l="1"/>
  <c r="S32" i="14" s="1"/>
  <c r="J29" i="14"/>
  <c r="S29" i="14" s="1"/>
  <c r="J28" i="14"/>
  <c r="S28" i="14" s="1"/>
  <c r="J33" i="14"/>
  <c r="S33" i="14" s="1"/>
  <c r="J31" i="14"/>
  <c r="S31" i="14" s="1"/>
  <c r="J24" i="14"/>
  <c r="J34" i="14"/>
  <c r="S34" i="14" s="1"/>
  <c r="J27" i="14"/>
  <c r="S27" i="14" s="1"/>
  <c r="J30" i="14"/>
  <c r="S30" i="14" s="1"/>
  <c r="J23" i="14"/>
  <c r="S23" i="14" s="1"/>
  <c r="AB29" i="14"/>
  <c r="V29" i="14" s="1"/>
  <c r="AB31" i="14"/>
  <c r="V31" i="14" s="1"/>
  <c r="AB30" i="14"/>
  <c r="V30" i="14" s="1"/>
  <c r="AB32" i="14"/>
  <c r="V32" i="14" s="1"/>
  <c r="AB28" i="14"/>
  <c r="V28" i="14" s="1"/>
  <c r="AB34" i="14"/>
  <c r="V34" i="14" s="1"/>
  <c r="AB33" i="14"/>
  <c r="V33" i="14" s="1"/>
  <c r="AB27" i="14"/>
  <c r="V27" i="14" s="1"/>
  <c r="S46" i="14"/>
  <c r="AB23" i="14"/>
  <c r="Y33" i="14"/>
  <c r="Y34" i="14"/>
  <c r="Y23" i="14"/>
  <c r="J46" i="14"/>
  <c r="Y28" i="14"/>
  <c r="Y31" i="14"/>
  <c r="Y27" i="14"/>
  <c r="Y32" i="14"/>
  <c r="Y24" i="14"/>
  <c r="Y30" i="14"/>
  <c r="Y29" i="14"/>
  <c r="O39" i="14"/>
  <c r="O45" i="14"/>
  <c r="O30" i="14"/>
  <c r="O34" i="14"/>
  <c r="O31" i="14"/>
  <c r="O35" i="14"/>
  <c r="O43" i="14"/>
  <c r="Y46" i="14"/>
  <c r="O33" i="14"/>
  <c r="O25" i="14"/>
  <c r="O37" i="14"/>
  <c r="O27" i="14"/>
  <c r="O24" i="14"/>
  <c r="O23" i="14"/>
  <c r="O29" i="14"/>
  <c r="O38" i="14"/>
  <c r="O44" i="14"/>
  <c r="O42" i="14"/>
  <c r="O41" i="14"/>
  <c r="O32" i="14"/>
  <c r="O40" i="14"/>
  <c r="O36" i="14"/>
  <c r="O26" i="14"/>
  <c r="O28" i="14"/>
  <c r="V23" i="14"/>
  <c r="V46" i="14" s="1"/>
  <c r="AB46" i="14"/>
  <c r="R28" i="14" l="1"/>
  <c r="R26" i="14"/>
  <c r="P26" i="14"/>
  <c r="P36" i="14"/>
  <c r="R36" i="14"/>
  <c r="P40" i="14"/>
  <c r="R40" i="14"/>
  <c r="R32" i="14"/>
  <c r="P41" i="14"/>
  <c r="R41" i="14"/>
  <c r="P42" i="14"/>
  <c r="R42" i="14"/>
  <c r="R44" i="14"/>
  <c r="P44" i="14"/>
  <c r="P38" i="14"/>
  <c r="R38" i="14"/>
  <c r="R29" i="14"/>
  <c r="R23" i="14"/>
  <c r="R24" i="14"/>
  <c r="R27" i="14"/>
  <c r="R37" i="14"/>
  <c r="P37" i="14"/>
  <c r="P25" i="14"/>
  <c r="R25" i="14"/>
  <c r="R33" i="14"/>
  <c r="P43" i="14"/>
  <c r="R43" i="14"/>
  <c r="P35" i="14"/>
  <c r="R35" i="14"/>
  <c r="R31" i="14"/>
  <c r="R34" i="14"/>
  <c r="R30" i="14"/>
  <c r="P45" i="14"/>
  <c r="R45" i="14"/>
  <c r="R39" i="14"/>
  <c r="P39" i="14"/>
  <c r="T29" i="14"/>
  <c r="P29" i="14"/>
  <c r="T30" i="14"/>
  <c r="P30" i="14"/>
  <c r="T24" i="14"/>
  <c r="P24" i="14"/>
  <c r="T32" i="14"/>
  <c r="P32" i="14"/>
  <c r="P27" i="14"/>
  <c r="T27" i="14"/>
  <c r="T31" i="14"/>
  <c r="P31" i="14"/>
  <c r="T28" i="14"/>
  <c r="P28" i="14"/>
  <c r="T23" i="14"/>
  <c r="P23" i="14"/>
  <c r="T34" i="14"/>
  <c r="P34" i="14"/>
  <c r="P33" i="14"/>
  <c r="T33" i="14"/>
  <c r="T46" i="14"/>
  <c r="D6" i="16" l="1"/>
  <c r="A23" i="12"/>
  <c r="F34" i="12"/>
  <c r="G34" i="12" s="1"/>
  <c r="F33" i="12"/>
  <c r="G33" i="12" s="1"/>
  <c r="F35" i="12"/>
  <c r="G35" i="12" s="1"/>
  <c r="F37" i="12"/>
  <c r="G37" i="12" s="1"/>
  <c r="F27" i="12"/>
  <c r="G27" i="12" s="1"/>
  <c r="F23" i="12"/>
  <c r="F36" i="12"/>
  <c r="G36" i="12" s="1"/>
  <c r="F26" i="12"/>
  <c r="F32" i="12"/>
  <c r="G32" i="12" s="1"/>
  <c r="F24" i="12"/>
  <c r="F28" i="12"/>
  <c r="G28" i="12" s="1"/>
  <c r="F31" i="12"/>
  <c r="G31" i="12" s="1"/>
  <c r="F25" i="12"/>
  <c r="F29" i="12"/>
  <c r="G29" i="12" s="1"/>
  <c r="F30" i="12"/>
  <c r="G30" i="12" s="1"/>
  <c r="G23" i="12"/>
  <c r="G26" i="12"/>
  <c r="G24" i="12"/>
  <c r="G25" i="12"/>
  <c r="F38" i="12"/>
  <c r="G38" i="12"/>
  <c r="G50" i="12" s="1"/>
  <c r="F50" i="12"/>
  <c r="J38" i="12" l="1"/>
  <c r="J27" i="12"/>
  <c r="S27" i="12" s="1"/>
  <c r="J31" i="12"/>
  <c r="S31" i="12" s="1"/>
  <c r="J30" i="12"/>
  <c r="S30" i="12" s="1"/>
  <c r="J25" i="12"/>
  <c r="J32" i="12"/>
  <c r="S32" i="12" s="1"/>
  <c r="J29" i="12"/>
  <c r="S29" i="12" s="1"/>
  <c r="J24" i="12"/>
  <c r="J33" i="12"/>
  <c r="S33" i="12" s="1"/>
  <c r="J26" i="12"/>
  <c r="J37" i="12"/>
  <c r="S37" i="12" s="1"/>
  <c r="J23" i="12"/>
  <c r="S23" i="12" s="1"/>
  <c r="J28" i="12"/>
  <c r="S28" i="12" s="1"/>
  <c r="J36" i="12"/>
  <c r="S36" i="12" s="1"/>
  <c r="J34" i="12"/>
  <c r="S34" i="12" s="1"/>
  <c r="J35" i="12"/>
  <c r="S35" i="12" s="1"/>
  <c r="Y38" i="12"/>
  <c r="AB37" i="12"/>
  <c r="V37" i="12" s="1"/>
  <c r="AB36" i="12"/>
  <c r="V36" i="12" s="1"/>
  <c r="AB27" i="12"/>
  <c r="V27" i="12" s="1"/>
  <c r="AB32" i="12"/>
  <c r="V32" i="12" s="1"/>
  <c r="AB31" i="12"/>
  <c r="V31" i="12" s="1"/>
  <c r="AB28" i="12"/>
  <c r="V28" i="12" s="1"/>
  <c r="AB30" i="12"/>
  <c r="V30" i="12" s="1"/>
  <c r="S50" i="12"/>
  <c r="AB23" i="12"/>
  <c r="AB34" i="12"/>
  <c r="V34" i="12" s="1"/>
  <c r="AB29" i="12"/>
  <c r="V29" i="12" s="1"/>
  <c r="AB33" i="12"/>
  <c r="V33" i="12" s="1"/>
  <c r="AB35" i="12"/>
  <c r="V35" i="12" s="1"/>
  <c r="Y27" i="12"/>
  <c r="Y35" i="12"/>
  <c r="Y31" i="12"/>
  <c r="Y30" i="12"/>
  <c r="Y25" i="12"/>
  <c r="Y32" i="12"/>
  <c r="J50" i="12"/>
  <c r="Y23" i="12"/>
  <c r="Y36" i="12"/>
  <c r="Y34" i="12"/>
  <c r="Y29" i="12"/>
  <c r="Y37" i="12"/>
  <c r="Y28" i="12"/>
  <c r="Y24" i="12"/>
  <c r="Y33" i="12"/>
  <c r="Y26" i="12"/>
  <c r="O24" i="12"/>
  <c r="O27" i="12"/>
  <c r="O32" i="12"/>
  <c r="Y50" i="12"/>
  <c r="O34" i="12"/>
  <c r="O23" i="12"/>
  <c r="O48" i="12"/>
  <c r="O41" i="12"/>
  <c r="O28" i="12"/>
  <c r="O39" i="12"/>
  <c r="O35" i="12"/>
  <c r="O46" i="12"/>
  <c r="O30" i="12"/>
  <c r="O45" i="12"/>
  <c r="O26" i="12"/>
  <c r="O31" i="12"/>
  <c r="O44" i="12"/>
  <c r="O25" i="12"/>
  <c r="O42" i="12"/>
  <c r="O40" i="12"/>
  <c r="O47" i="12"/>
  <c r="O49" i="12"/>
  <c r="O33" i="12"/>
  <c r="O43" i="12"/>
  <c r="O38" i="12"/>
  <c r="O37" i="12"/>
  <c r="O29" i="12"/>
  <c r="O36" i="12"/>
  <c r="AB50" i="12"/>
  <c r="V23" i="12"/>
  <c r="V50" i="12" s="1"/>
  <c r="T38" i="12" l="1"/>
  <c r="R36" i="12"/>
  <c r="R29" i="12"/>
  <c r="R37" i="12"/>
  <c r="R38" i="12"/>
  <c r="P38" i="12"/>
  <c r="P43" i="12"/>
  <c r="R43" i="12"/>
  <c r="R33" i="12"/>
  <c r="R49" i="12"/>
  <c r="P49" i="12"/>
  <c r="R47" i="12"/>
  <c r="P47" i="12"/>
  <c r="P40" i="12"/>
  <c r="R40" i="12"/>
  <c r="P42" i="12"/>
  <c r="R42" i="12"/>
  <c r="R25" i="12"/>
  <c r="R44" i="12"/>
  <c r="P44" i="12"/>
  <c r="R31" i="12"/>
  <c r="R26" i="12"/>
  <c r="P45" i="12"/>
  <c r="R45" i="12"/>
  <c r="R30" i="12"/>
  <c r="R46" i="12"/>
  <c r="P46" i="12"/>
  <c r="R35" i="12"/>
  <c r="R39" i="12"/>
  <c r="P39" i="12"/>
  <c r="R28" i="12"/>
  <c r="R41" i="12"/>
  <c r="P41" i="12"/>
  <c r="P48" i="12"/>
  <c r="R48" i="12"/>
  <c r="R23" i="12"/>
  <c r="R34" i="12"/>
  <c r="R32" i="12"/>
  <c r="R27" i="12"/>
  <c r="R24" i="12"/>
  <c r="T26" i="12"/>
  <c r="P26" i="12"/>
  <c r="P33" i="12"/>
  <c r="T33" i="12"/>
  <c r="T24" i="12"/>
  <c r="P24" i="12"/>
  <c r="T28" i="12"/>
  <c r="P28" i="12"/>
  <c r="T37" i="12"/>
  <c r="P37" i="12"/>
  <c r="P29" i="12"/>
  <c r="T29" i="12"/>
  <c r="P34" i="12"/>
  <c r="T34" i="12"/>
  <c r="T36" i="12"/>
  <c r="P36" i="12"/>
  <c r="T23" i="12"/>
  <c r="P23" i="12"/>
  <c r="P32" i="12"/>
  <c r="T32" i="12"/>
  <c r="T25" i="12"/>
  <c r="P25" i="12"/>
  <c r="T30" i="12"/>
  <c r="P30" i="12"/>
  <c r="T31" i="12"/>
  <c r="P31" i="12"/>
  <c r="P35" i="12"/>
  <c r="T35" i="12"/>
  <c r="P27" i="12"/>
  <c r="T27" i="12"/>
  <c r="T50" i="12"/>
  <c r="P50" i="12" l="1"/>
  <c r="P21" i="12"/>
  <c r="R50" i="12"/>
  <c r="O50" i="12"/>
  <c r="P20" i="12"/>
  <c r="P20" i="14"/>
  <c r="R46" i="14"/>
  <c r="P21" i="14"/>
  <c r="P46" i="14"/>
  <c r="O46" i="14"/>
  <c r="O53" i="13"/>
  <c r="P53" i="13"/>
  <c r="R53" i="13"/>
  <c r="P20" i="13"/>
  <c r="P21" i="13"/>
</calcChain>
</file>

<file path=xl/sharedStrings.xml><?xml version="1.0" encoding="utf-8"?>
<sst xmlns="http://schemas.openxmlformats.org/spreadsheetml/2006/main" count="112" uniqueCount="54">
  <si>
    <t>GENERAL_SETTINGS</t>
  </si>
  <si>
    <t>Currency</t>
  </si>
  <si>
    <t>TriggerCounter</t>
  </si>
  <si>
    <t>Last update</t>
  </si>
  <si>
    <t>Live Data Feed</t>
  </si>
  <si>
    <t>Quote suffix</t>
  </si>
  <si>
    <t>_SYNTH3M_Quote</t>
  </si>
  <si>
    <t>Object ID</t>
  </si>
  <si>
    <t>Effective</t>
  </si>
  <si>
    <t>Change</t>
  </si>
  <si>
    <t>end</t>
  </si>
  <si>
    <t>start</t>
  </si>
  <si>
    <t>Instrument</t>
  </si>
  <si>
    <t>_SYNTH1M_Quote</t>
  </si>
  <si>
    <t>LastDayInYear</t>
  </si>
  <si>
    <t>spike</t>
  </si>
  <si>
    <t>y frac</t>
  </si>
  <si>
    <t>discount</t>
  </si>
  <si>
    <t>Actual/360</t>
  </si>
  <si>
    <t>TARGET</t>
  </si>
  <si>
    <t>TOY</t>
  </si>
  <si>
    <t xml:space="preserve"> </t>
  </si>
  <si>
    <t>Calendar</t>
  </si>
  <si>
    <t>Triggers</t>
  </si>
  <si>
    <t>DayCounter</t>
  </si>
  <si>
    <t>TOY2</t>
  </si>
  <si>
    <t>LastDayInNextYear</t>
  </si>
  <si>
    <t>TriggerTOY1M</t>
  </si>
  <si>
    <t>TriggerTOY3M</t>
  </si>
  <si>
    <t>TriggerTOY6M</t>
  </si>
  <si>
    <t>Static</t>
  </si>
  <si>
    <t>Live</t>
  </si>
  <si>
    <t>SettlementDate</t>
  </si>
  <si>
    <t>DiscountInterpolationType</t>
  </si>
  <si>
    <t>FwdInterpolationType</t>
  </si>
  <si>
    <t>real start</t>
  </si>
  <si>
    <t>_SYNTH6M_Quote</t>
  </si>
  <si>
    <t xml:space="preserve">  TOY</t>
  </si>
  <si>
    <t>mkt quote</t>
  </si>
  <si>
    <t>fwd rate</t>
  </si>
  <si>
    <t>EUR</t>
  </si>
  <si>
    <t>Used</t>
  </si>
  <si>
    <t>Unique</t>
  </si>
  <si>
    <t>Usable</t>
  </si>
  <si>
    <t>No Toy</t>
  </si>
  <si>
    <t>LastFixing</t>
  </si>
  <si>
    <t>Use IMM FRA</t>
  </si>
  <si>
    <t>Use FRA</t>
  </si>
  <si>
    <t>MonotonicCubicNaturalSpline</t>
  </si>
  <si>
    <t>MonotonicLogCubicNaturalSpline</t>
  </si>
  <si>
    <t>Use Futures</t>
  </si>
  <si>
    <t>EvaluationDate</t>
  </si>
  <si>
    <t>TriggerFixings</t>
  </si>
  <si>
    <t>Trigger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</si>
</sst>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4">
    <numFmt numFmtId="164" formatCode="&quot;£&quot;#,##0;[Red]\-&quot;£&quot;#,##0"/>
    <numFmt numFmtId="165" formatCode="0.0000%"/>
    <numFmt numFmtId="166" formatCode="0.0000"/>
    <numFmt numFmtId="167" formatCode="ddd\,\ d\-mmm\-yyyy"/>
    <numFmt numFmtId="168" formatCode="0.000%"/>
    <numFmt numFmtId="169" formatCode="ddd\,\ dd\-mmm\-yyyy\,\ h:mm:ss"/>
    <numFmt numFmtId="170" formatCode="ddd\,\ dd\-mmm\-yyyy\ h:mm:ss"/>
    <numFmt numFmtId="171" formatCode="#,##0.0;#,##0.0"/>
    <numFmt numFmtId="172" formatCode="_([$€-2]* #,##0.00_);_([$€-2]* \(#,##0.00\);_([$€-2]* &quot;-&quot;??_)"/>
    <numFmt numFmtId="173" formatCode="0.000000000"/>
    <numFmt numFmtId="174" formatCode="0.00000"/>
    <numFmt numFmtId="175" formatCode="0.000"/>
    <numFmt numFmtId="176" formatCode="General_)"/>
    <numFmt numFmtId="177" formatCode="ddd\,\ dd\-mmm\-yyyy"/>
  </numFmts>
  <fonts count="22" x14ac:knownFonts="1">
    <font>
      <sz val="8"/>
      <name val="Arial"/>
    </font>
    <font>
      <sz val="8"/>
      <name val="Arial"/>
      <family val="2"/>
    </font>
    <font>
      <sz val="10"/>
      <name val="Arial"/>
      <family val="2"/>
    </font>
    <font>
      <sz val="8"/>
      <name val="Arial"/>
      <family val="2"/>
    </font>
    <font>
      <sz val="8"/>
      <color indexed="12"/>
      <name val="Arial"/>
      <family val="2"/>
    </font>
    <font>
      <sz val="8"/>
      <color indexed="10"/>
      <name val="Arial"/>
      <family val="2"/>
    </font>
    <font>
      <b/>
      <u/>
      <sz val="10"/>
      <name val="Arial"/>
      <family val="2"/>
    </font>
    <font>
      <b/>
      <sz val="8"/>
      <name val="Arial"/>
      <family val="2"/>
    </font>
    <font>
      <b/>
      <sz val="8"/>
      <name val="Arial"/>
      <family val="2"/>
    </font>
    <font>
      <b/>
      <sz val="12"/>
      <color indexed="16"/>
      <name val="MS Sans Serif"/>
      <family val="2"/>
    </font>
    <font>
      <sz val="8"/>
      <name val="Arial"/>
      <family val="2"/>
    </font>
    <font>
      <b/>
      <u/>
      <sz val="8"/>
      <name val="Arial"/>
      <family val="2"/>
    </font>
    <font>
      <sz val="10"/>
      <name val="Helv"/>
    </font>
    <font>
      <sz val="12"/>
      <name val="Helv"/>
    </font>
    <font>
      <sz val="10"/>
      <name val="Arial"/>
      <family val="2"/>
    </font>
    <font>
      <b/>
      <sz val="12"/>
      <name val="Arial"/>
      <family val="2"/>
    </font>
    <font>
      <sz val="8"/>
      <color indexed="10"/>
      <name val="Arial"/>
      <family val="2"/>
    </font>
    <font>
      <sz val="10"/>
      <color indexed="10"/>
      <name val="Arial"/>
      <family val="2"/>
    </font>
    <font>
      <sz val="10"/>
      <name val="Courier New"/>
      <family val="3"/>
    </font>
    <font>
      <sz val="8"/>
      <name val="Courier New"/>
      <family val="3"/>
    </font>
    <font>
      <b/>
      <sz val="12"/>
      <name val="Courier New"/>
      <family val="3"/>
    </font>
    <font>
      <b/>
      <sz val="8"/>
      <name val="Courier New"/>
      <family val="3"/>
    </font>
  </fonts>
  <fills count="9">
    <fill>
      <patternFill patternType="none"/>
    </fill>
    <fill>
      <patternFill patternType="gray125"/>
    </fill>
    <fill>
      <patternFill patternType="gray0625">
        <fgColor indexed="22"/>
        <bgColor indexed="9"/>
      </patternFill>
    </fill>
    <fill>
      <patternFill patternType="solid">
        <fgColor indexed="9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31"/>
        <bgColor indexed="64"/>
      </patternFill>
    </fill>
  </fills>
  <borders count="2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13">
    <xf numFmtId="0" fontId="0" fillId="0" borderId="0"/>
    <xf numFmtId="172" fontId="2" fillId="0" borderId="0" applyFont="0" applyFill="0" applyBorder="0" applyAlignment="0" applyProtection="0"/>
    <xf numFmtId="38" fontId="12" fillId="0" borderId="0" applyFont="0" applyFill="0" applyBorder="0" applyAlignment="0" applyProtection="0"/>
    <xf numFmtId="40" fontId="12" fillId="0" borderId="0" applyFont="0" applyFill="0" applyBorder="0" applyAlignment="0" applyProtection="0"/>
    <xf numFmtId="0" fontId="2" fillId="0" borderId="0"/>
    <xf numFmtId="0" fontId="2" fillId="0" borderId="0"/>
    <xf numFmtId="0" fontId="1" fillId="0" borderId="0"/>
    <xf numFmtId="0" fontId="2" fillId="0" borderId="0"/>
    <xf numFmtId="176" fontId="13" fillId="0" borderId="0"/>
    <xf numFmtId="9" fontId="1" fillId="0" borderId="0" applyFont="0" applyFill="0" applyBorder="0" applyAlignment="0" applyProtection="0"/>
    <xf numFmtId="171" fontId="9" fillId="2" borderId="0">
      <alignment horizontal="center" vertical="center"/>
    </xf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</cellStyleXfs>
  <cellXfs count="342">
    <xf numFmtId="0" fontId="0" fillId="0" borderId="0" xfId="0"/>
    <xf numFmtId="0" fontId="4" fillId="3" borderId="0" xfId="5" applyFont="1" applyFill="1" applyBorder="1" applyAlignment="1">
      <alignment horizontal="right"/>
    </xf>
    <xf numFmtId="0" fontId="3" fillId="3" borderId="1" xfId="0" applyFont="1" applyFill="1" applyBorder="1"/>
    <xf numFmtId="0" fontId="3" fillId="3" borderId="2" xfId="0" applyFont="1" applyFill="1" applyBorder="1"/>
    <xf numFmtId="0" fontId="3" fillId="3" borderId="3" xfId="0" applyFont="1" applyFill="1" applyBorder="1"/>
    <xf numFmtId="0" fontId="3" fillId="3" borderId="4" xfId="0" applyFont="1" applyFill="1" applyBorder="1"/>
    <xf numFmtId="0" fontId="6" fillId="3" borderId="0" xfId="0" applyFont="1" applyFill="1" applyBorder="1"/>
    <xf numFmtId="0" fontId="3" fillId="3" borderId="0" xfId="0" applyFont="1" applyFill="1" applyBorder="1"/>
    <xf numFmtId="0" fontId="3" fillId="3" borderId="0" xfId="0" applyFont="1" applyFill="1" applyBorder="1" applyAlignment="1">
      <alignment horizontal="center"/>
    </xf>
    <xf numFmtId="0" fontId="3" fillId="3" borderId="5" xfId="0" applyFont="1" applyFill="1" applyBorder="1"/>
    <xf numFmtId="0" fontId="3" fillId="3" borderId="4" xfId="0" applyFont="1" applyFill="1" applyBorder="1" applyAlignment="1">
      <alignment horizontal="center"/>
    </xf>
    <xf numFmtId="0" fontId="1" fillId="0" borderId="0" xfId="0" applyFont="1" applyFill="1" applyBorder="1"/>
    <xf numFmtId="0" fontId="3" fillId="3" borderId="6" xfId="0" applyFont="1" applyFill="1" applyBorder="1"/>
    <xf numFmtId="0" fontId="3" fillId="3" borderId="7" xfId="0" applyFont="1" applyFill="1" applyBorder="1"/>
    <xf numFmtId="0" fontId="1" fillId="3" borderId="0" xfId="7" applyFont="1" applyFill="1"/>
    <xf numFmtId="0" fontId="10" fillId="3" borderId="0" xfId="7" applyFont="1" applyFill="1"/>
    <xf numFmtId="0" fontId="3" fillId="0" borderId="0" xfId="0" applyFont="1"/>
    <xf numFmtId="0" fontId="11" fillId="3" borderId="0" xfId="0" applyFont="1" applyFill="1" applyBorder="1"/>
    <xf numFmtId="0" fontId="3" fillId="0" borderId="0" xfId="0" applyFont="1" applyFill="1" applyBorder="1"/>
    <xf numFmtId="0" fontId="1" fillId="0" borderId="0" xfId="0" applyFont="1"/>
    <xf numFmtId="0" fontId="1" fillId="0" borderId="8" xfId="0" applyFont="1" applyBorder="1"/>
    <xf numFmtId="167" fontId="0" fillId="0" borderId="0" xfId="0" applyNumberFormat="1" applyBorder="1"/>
    <xf numFmtId="0" fontId="1" fillId="0" borderId="9" xfId="0" applyFont="1" applyBorder="1"/>
    <xf numFmtId="0" fontId="1" fillId="0" borderId="0" xfId="0" applyFont="1" applyBorder="1"/>
    <xf numFmtId="165" fontId="1" fillId="0" borderId="0" xfId="0" applyNumberFormat="1" applyFont="1" applyBorder="1"/>
    <xf numFmtId="167" fontId="1" fillId="0" borderId="0" xfId="0" applyNumberFormat="1" applyFont="1"/>
    <xf numFmtId="175" fontId="1" fillId="0" borderId="0" xfId="0" applyNumberFormat="1" applyFont="1"/>
    <xf numFmtId="165" fontId="1" fillId="0" borderId="0" xfId="0" applyNumberFormat="1" applyFont="1"/>
    <xf numFmtId="167" fontId="1" fillId="0" borderId="10" xfId="0" applyNumberFormat="1" applyFont="1" applyBorder="1"/>
    <xf numFmtId="165" fontId="1" fillId="0" borderId="10" xfId="0" applyNumberFormat="1" applyFont="1" applyBorder="1"/>
    <xf numFmtId="167" fontId="1" fillId="0" borderId="11" xfId="0" applyNumberFormat="1" applyFont="1" applyBorder="1"/>
    <xf numFmtId="0" fontId="1" fillId="0" borderId="10" xfId="0" applyFont="1" applyBorder="1"/>
    <xf numFmtId="167" fontId="1" fillId="0" borderId="0" xfId="0" applyNumberFormat="1" applyFont="1" applyBorder="1"/>
    <xf numFmtId="167" fontId="1" fillId="0" borderId="9" xfId="0" applyNumberFormat="1" applyFont="1" applyBorder="1"/>
    <xf numFmtId="167" fontId="1" fillId="0" borderId="12" xfId="0" applyNumberFormat="1" applyFont="1" applyBorder="1"/>
    <xf numFmtId="165" fontId="1" fillId="0" borderId="12" xfId="0" applyNumberFormat="1" applyFont="1" applyBorder="1"/>
    <xf numFmtId="167" fontId="1" fillId="0" borderId="13" xfId="0" applyNumberFormat="1" applyFont="1" applyBorder="1"/>
    <xf numFmtId="0" fontId="1" fillId="0" borderId="12" xfId="0" applyFont="1" applyBorder="1"/>
    <xf numFmtId="0" fontId="1" fillId="0" borderId="11" xfId="0" applyFont="1" applyBorder="1"/>
    <xf numFmtId="9" fontId="1" fillId="0" borderId="0" xfId="9" applyFont="1"/>
    <xf numFmtId="0" fontId="3" fillId="0" borderId="0" xfId="0" applyFont="1" applyBorder="1"/>
    <xf numFmtId="0" fontId="1" fillId="3" borderId="5" xfId="7" applyFont="1" applyFill="1" applyBorder="1"/>
    <xf numFmtId="0" fontId="10" fillId="3" borderId="3" xfId="7" applyFont="1" applyFill="1" applyBorder="1"/>
    <xf numFmtId="0" fontId="0" fillId="0" borderId="0" xfId="0" applyBorder="1"/>
    <xf numFmtId="0" fontId="10" fillId="3" borderId="5" xfId="7" applyFont="1" applyFill="1" applyBorder="1"/>
    <xf numFmtId="0" fontId="10" fillId="3" borderId="6" xfId="7" applyFont="1" applyFill="1" applyBorder="1"/>
    <xf numFmtId="0" fontId="10" fillId="3" borderId="7" xfId="7" applyFont="1" applyFill="1" applyBorder="1"/>
    <xf numFmtId="0" fontId="10" fillId="3" borderId="14" xfId="7" applyFont="1" applyFill="1" applyBorder="1"/>
    <xf numFmtId="0" fontId="1" fillId="3" borderId="3" xfId="7" applyFont="1" applyFill="1" applyBorder="1"/>
    <xf numFmtId="0" fontId="1" fillId="3" borderId="14" xfId="7" applyFont="1" applyFill="1" applyBorder="1"/>
    <xf numFmtId="0" fontId="1" fillId="0" borderId="13" xfId="0" applyFont="1" applyBorder="1"/>
    <xf numFmtId="0" fontId="1" fillId="0" borderId="15" xfId="0" applyFont="1" applyBorder="1" applyAlignment="1">
      <alignment horizontal="center"/>
    </xf>
    <xf numFmtId="0" fontId="1" fillId="0" borderId="16" xfId="0" applyFont="1" applyBorder="1" applyAlignment="1">
      <alignment horizontal="center"/>
    </xf>
    <xf numFmtId="165" fontId="1" fillId="0" borderId="12" xfId="0" applyNumberFormat="1" applyFont="1" applyBorder="1" applyAlignment="1">
      <alignment horizontal="center"/>
    </xf>
    <xf numFmtId="165" fontId="1" fillId="0" borderId="12" xfId="9" applyNumberFormat="1" applyFont="1" applyBorder="1"/>
    <xf numFmtId="165" fontId="3" fillId="0" borderId="12" xfId="9" applyNumberFormat="1" applyFont="1" applyFill="1" applyBorder="1" applyAlignment="1"/>
    <xf numFmtId="0" fontId="1" fillId="0" borderId="16" xfId="0" applyFont="1" applyBorder="1"/>
    <xf numFmtId="167" fontId="3" fillId="0" borderId="0" xfId="0" applyNumberFormat="1" applyFont="1" applyBorder="1"/>
    <xf numFmtId="0" fontId="0" fillId="0" borderId="16" xfId="0" applyBorder="1"/>
    <xf numFmtId="166" fontId="1" fillId="0" borderId="10" xfId="0" applyNumberFormat="1" applyFont="1" applyBorder="1"/>
    <xf numFmtId="166" fontId="1" fillId="0" borderId="0" xfId="0" applyNumberFormat="1" applyFont="1" applyBorder="1"/>
    <xf numFmtId="166" fontId="1" fillId="0" borderId="12" xfId="0" applyNumberFormat="1" applyFont="1" applyBorder="1"/>
    <xf numFmtId="165" fontId="1" fillId="0" borderId="0" xfId="9" applyNumberFormat="1" applyFont="1" applyBorder="1"/>
    <xf numFmtId="167" fontId="1" fillId="0" borderId="15" xfId="0" applyNumberFormat="1" applyFont="1" applyBorder="1" applyAlignment="1">
      <alignment horizontal="center"/>
    </xf>
    <xf numFmtId="0" fontId="0" fillId="0" borderId="9" xfId="0" applyBorder="1"/>
    <xf numFmtId="0" fontId="0" fillId="0" borderId="13" xfId="0" applyBorder="1"/>
    <xf numFmtId="167" fontId="0" fillId="0" borderId="12" xfId="0" applyNumberFormat="1" applyBorder="1"/>
    <xf numFmtId="0" fontId="1" fillId="0" borderId="8" xfId="0" applyFont="1" applyBorder="1" applyAlignment="1">
      <alignment horizontal="center"/>
    </xf>
    <xf numFmtId="165" fontId="0" fillId="0" borderId="9" xfId="0" applyNumberFormat="1" applyBorder="1"/>
    <xf numFmtId="0" fontId="0" fillId="0" borderId="11" xfId="0" applyBorder="1"/>
    <xf numFmtId="165" fontId="1" fillId="0" borderId="10" xfId="9" applyNumberFormat="1" applyFont="1" applyBorder="1"/>
    <xf numFmtId="0" fontId="0" fillId="0" borderId="0" xfId="0" applyBorder="1" applyAlignment="1">
      <alignment horizontal="center"/>
    </xf>
    <xf numFmtId="165" fontId="1" fillId="0" borderId="9" xfId="0" applyNumberFormat="1" applyFont="1" applyBorder="1"/>
    <xf numFmtId="165" fontId="1" fillId="0" borderId="13" xfId="0" applyNumberFormat="1" applyFont="1" applyBorder="1"/>
    <xf numFmtId="165" fontId="1" fillId="0" borderId="9" xfId="9" applyNumberFormat="1" applyFont="1" applyBorder="1"/>
    <xf numFmtId="165" fontId="1" fillId="0" borderId="13" xfId="9" applyNumberFormat="1" applyFont="1" applyBorder="1"/>
    <xf numFmtId="165" fontId="0" fillId="0" borderId="13" xfId="0" applyNumberFormat="1" applyBorder="1"/>
    <xf numFmtId="165" fontId="1" fillId="0" borderId="11" xfId="0" applyNumberFormat="1" applyFont="1" applyBorder="1"/>
    <xf numFmtId="165" fontId="1" fillId="0" borderId="17" xfId="9" applyNumberFormat="1" applyFont="1" applyBorder="1"/>
    <xf numFmtId="165" fontId="1" fillId="0" borderId="18" xfId="9" applyNumberFormat="1" applyFont="1" applyBorder="1"/>
    <xf numFmtId="167" fontId="0" fillId="0" borderId="10" xfId="0" applyNumberFormat="1" applyBorder="1"/>
    <xf numFmtId="165" fontId="0" fillId="0" borderId="11" xfId="0" applyNumberFormat="1" applyBorder="1"/>
    <xf numFmtId="165" fontId="1" fillId="0" borderId="11" xfId="9" applyNumberFormat="1" applyFont="1" applyBorder="1"/>
    <xf numFmtId="0" fontId="3" fillId="0" borderId="9" xfId="0" applyFont="1" applyBorder="1"/>
    <xf numFmtId="165" fontId="3" fillId="0" borderId="0" xfId="9" applyNumberFormat="1" applyFont="1" applyBorder="1"/>
    <xf numFmtId="165" fontId="8" fillId="0" borderId="8" xfId="9" applyNumberFormat="1" applyFont="1" applyFill="1" applyBorder="1" applyAlignment="1">
      <alignment horizontal="center" vertical="center" wrapText="1"/>
    </xf>
    <xf numFmtId="166" fontId="8" fillId="0" borderId="16" xfId="9" applyNumberFormat="1" applyFont="1" applyFill="1" applyBorder="1" applyAlignment="1">
      <alignment horizontal="center" vertical="center" wrapText="1"/>
    </xf>
    <xf numFmtId="0" fontId="3" fillId="0" borderId="11" xfId="9" applyNumberFormat="1" applyFont="1" applyFill="1" applyBorder="1" applyAlignment="1"/>
    <xf numFmtId="165" fontId="0" fillId="0" borderId="19" xfId="9" applyNumberFormat="1" applyFont="1" applyBorder="1"/>
    <xf numFmtId="0" fontId="3" fillId="0" borderId="13" xfId="9" applyNumberFormat="1" applyFont="1" applyFill="1" applyBorder="1" applyAlignment="1"/>
    <xf numFmtId="165" fontId="3" fillId="0" borderId="18" xfId="9" applyNumberFormat="1" applyFont="1" applyFill="1" applyBorder="1" applyAlignment="1"/>
    <xf numFmtId="165" fontId="8" fillId="0" borderId="20" xfId="9" applyNumberFormat="1" applyFont="1" applyFill="1" applyBorder="1" applyAlignment="1">
      <alignment horizontal="center" vertical="center" wrapText="1"/>
    </xf>
    <xf numFmtId="165" fontId="1" fillId="0" borderId="21" xfId="9" applyNumberFormat="1" applyFont="1" applyBorder="1" applyAlignment="1"/>
    <xf numFmtId="165" fontId="1" fillId="0" borderId="22" xfId="9" applyNumberFormat="1" applyFont="1" applyBorder="1" applyAlignment="1"/>
    <xf numFmtId="165" fontId="8" fillId="0" borderId="15" xfId="9" applyNumberFormat="1" applyFont="1" applyFill="1" applyBorder="1" applyAlignment="1">
      <alignment horizontal="center" vertical="center" wrapText="1"/>
    </xf>
    <xf numFmtId="165" fontId="8" fillId="0" borderId="16" xfId="9" applyNumberFormat="1" applyFont="1" applyFill="1" applyBorder="1" applyAlignment="1">
      <alignment horizontal="center" vertical="center" wrapText="1"/>
    </xf>
    <xf numFmtId="165" fontId="3" fillId="0" borderId="11" xfId="9" applyNumberFormat="1" applyFont="1" applyFill="1" applyBorder="1" applyAlignment="1"/>
    <xf numFmtId="165" fontId="3" fillId="0" borderId="10" xfId="9" applyNumberFormat="1" applyFont="1" applyFill="1" applyBorder="1" applyAlignment="1"/>
    <xf numFmtId="165" fontId="3" fillId="0" borderId="19" xfId="9" applyNumberFormat="1" applyFont="1" applyFill="1" applyBorder="1" applyAlignment="1"/>
    <xf numFmtId="165" fontId="3" fillId="0" borderId="13" xfId="9" applyNumberFormat="1" applyFont="1" applyFill="1" applyBorder="1" applyAlignment="1"/>
    <xf numFmtId="0" fontId="1" fillId="3" borderId="20" xfId="0" applyFont="1" applyFill="1" applyBorder="1" applyAlignment="1">
      <alignment horizontal="center" vertical="center"/>
    </xf>
    <xf numFmtId="0" fontId="7" fillId="4" borderId="20" xfId="0" applyFont="1" applyFill="1" applyBorder="1" applyAlignment="1">
      <alignment horizontal="center" vertical="center"/>
    </xf>
    <xf numFmtId="0" fontId="8" fillId="4" borderId="20" xfId="0" applyFont="1" applyFill="1" applyBorder="1" applyAlignment="1">
      <alignment horizontal="center" vertical="center"/>
    </xf>
    <xf numFmtId="0" fontId="3" fillId="3" borderId="20" xfId="0" applyFont="1" applyFill="1" applyBorder="1" applyAlignment="1">
      <alignment horizontal="center" vertical="center"/>
    </xf>
    <xf numFmtId="165" fontId="0" fillId="0" borderId="0" xfId="0" applyNumberFormat="1" applyBorder="1"/>
    <xf numFmtId="166" fontId="1" fillId="0" borderId="9" xfId="0" applyNumberFormat="1" applyFont="1" applyBorder="1"/>
    <xf numFmtId="165" fontId="0" fillId="0" borderId="12" xfId="0" applyNumberFormat="1" applyBorder="1"/>
    <xf numFmtId="10" fontId="1" fillId="0" borderId="0" xfId="9" applyNumberFormat="1" applyFont="1" applyBorder="1"/>
    <xf numFmtId="10" fontId="1" fillId="0" borderId="10" xfId="0" applyNumberFormat="1" applyFont="1" applyBorder="1"/>
    <xf numFmtId="10" fontId="1" fillId="0" borderId="0" xfId="0" applyNumberFormat="1" applyFont="1" applyBorder="1"/>
    <xf numFmtId="10" fontId="1" fillId="0" borderId="12" xfId="0" applyNumberFormat="1" applyFont="1" applyBorder="1"/>
    <xf numFmtId="0" fontId="0" fillId="0" borderId="10" xfId="0" applyBorder="1"/>
    <xf numFmtId="165" fontId="0" fillId="0" borderId="10" xfId="0" applyNumberFormat="1" applyBorder="1"/>
    <xf numFmtId="174" fontId="1" fillId="0" borderId="15" xfId="0" applyNumberFormat="1" applyFont="1" applyBorder="1" applyAlignment="1"/>
    <xf numFmtId="174" fontId="0" fillId="0" borderId="10" xfId="0" applyNumberFormat="1" applyBorder="1" applyAlignment="1"/>
    <xf numFmtId="174" fontId="0" fillId="0" borderId="0" xfId="0" applyNumberFormat="1" applyBorder="1" applyAlignment="1"/>
    <xf numFmtId="174" fontId="0" fillId="0" borderId="12" xfId="0" applyNumberFormat="1" applyBorder="1" applyAlignment="1"/>
    <xf numFmtId="0" fontId="0" fillId="0" borderId="0" xfId="0" applyAlignment="1">
      <alignment horizontal="center"/>
    </xf>
    <xf numFmtId="0" fontId="0" fillId="0" borderId="11" xfId="0" applyBorder="1" applyAlignment="1">
      <alignment horizontal="center"/>
    </xf>
    <xf numFmtId="10" fontId="1" fillId="0" borderId="10" xfId="9" applyNumberFormat="1" applyFont="1" applyBorder="1"/>
    <xf numFmtId="10" fontId="1" fillId="0" borderId="12" xfId="9" applyNumberFormat="1" applyFont="1" applyBorder="1"/>
    <xf numFmtId="0" fontId="1" fillId="0" borderId="0" xfId="0" applyFont="1" applyAlignment="1">
      <alignment horizontal="center"/>
    </xf>
    <xf numFmtId="0" fontId="0" fillId="0" borderId="21" xfId="0" applyBorder="1"/>
    <xf numFmtId="0" fontId="0" fillId="0" borderId="12" xfId="0" applyBorder="1"/>
    <xf numFmtId="0" fontId="0" fillId="0" borderId="23" xfId="0" applyBorder="1"/>
    <xf numFmtId="0" fontId="0" fillId="0" borderId="22" xfId="0" applyBorder="1"/>
    <xf numFmtId="0" fontId="0" fillId="0" borderId="20" xfId="0" applyBorder="1" applyAlignment="1">
      <alignment horizontal="center"/>
    </xf>
    <xf numFmtId="10" fontId="1" fillId="0" borderId="19" xfId="9" applyNumberFormat="1" applyFont="1" applyBorder="1"/>
    <xf numFmtId="10" fontId="1" fillId="0" borderId="17" xfId="9" applyNumberFormat="1" applyFont="1" applyBorder="1"/>
    <xf numFmtId="10" fontId="1" fillId="0" borderId="18" xfId="9" applyNumberFormat="1" applyFont="1" applyBorder="1"/>
    <xf numFmtId="0" fontId="3" fillId="0" borderId="11" xfId="0" applyFont="1" applyBorder="1"/>
    <xf numFmtId="167" fontId="3" fillId="0" borderId="9" xfId="0" applyNumberFormat="1" applyFont="1" applyBorder="1"/>
    <xf numFmtId="165" fontId="3" fillId="0" borderId="17" xfId="9" applyNumberFormat="1" applyFont="1" applyBorder="1"/>
    <xf numFmtId="0" fontId="1" fillId="0" borderId="12" xfId="0" applyFont="1" applyBorder="1" applyAlignment="1"/>
    <xf numFmtId="10" fontId="1" fillId="0" borderId="12" xfId="0" applyNumberFormat="1" applyFont="1" applyBorder="1" applyAlignment="1">
      <alignment horizontal="center"/>
    </xf>
    <xf numFmtId="0" fontId="3" fillId="0" borderId="19" xfId="0" applyFont="1" applyBorder="1"/>
    <xf numFmtId="0" fontId="0" fillId="0" borderId="18" xfId="0" applyBorder="1"/>
    <xf numFmtId="0" fontId="1" fillId="0" borderId="11" xfId="0" applyFont="1" applyBorder="1" applyAlignment="1">
      <alignment horizontal="center"/>
    </xf>
    <xf numFmtId="173" fontId="1" fillId="0" borderId="10" xfId="0" applyNumberFormat="1" applyFont="1" applyBorder="1" applyAlignment="1">
      <alignment horizontal="center"/>
    </xf>
    <xf numFmtId="167" fontId="1" fillId="0" borderId="10" xfId="0" applyNumberFormat="1" applyFont="1" applyBorder="1" applyAlignment="1">
      <alignment horizontal="center"/>
    </xf>
    <xf numFmtId="0" fontId="1" fillId="0" borderId="19" xfId="0" applyFont="1" applyBorder="1" applyAlignment="1">
      <alignment horizontal="center"/>
    </xf>
    <xf numFmtId="166" fontId="1" fillId="0" borderId="13" xfId="0" applyNumberFormat="1" applyFont="1" applyBorder="1"/>
    <xf numFmtId="0" fontId="1" fillId="0" borderId="10" xfId="0" applyFont="1" applyBorder="1" applyAlignment="1">
      <alignment horizontal="center"/>
    </xf>
    <xf numFmtId="0" fontId="3" fillId="0" borderId="17" xfId="0" applyFont="1" applyBorder="1"/>
    <xf numFmtId="0" fontId="3" fillId="0" borderId="18" xfId="0" applyFont="1" applyBorder="1"/>
    <xf numFmtId="10" fontId="1" fillId="0" borderId="0" xfId="0" applyNumberFormat="1" applyFont="1" applyBorder="1" applyAlignment="1">
      <alignment horizontal="center"/>
    </xf>
    <xf numFmtId="166" fontId="0" fillId="0" borderId="11" xfId="0" applyNumberFormat="1" applyBorder="1"/>
    <xf numFmtId="166" fontId="0" fillId="0" borderId="9" xfId="0" applyNumberFormat="1" applyBorder="1"/>
    <xf numFmtId="166" fontId="0" fillId="0" borderId="13" xfId="0" applyNumberFormat="1" applyBorder="1"/>
    <xf numFmtId="0" fontId="1" fillId="0" borderId="13" xfId="0" applyFont="1" applyBorder="1" applyAlignment="1">
      <alignment horizontal="center"/>
    </xf>
    <xf numFmtId="0" fontId="0" fillId="0" borderId="16" xfId="0" applyBorder="1" applyAlignment="1">
      <alignment horizontal="center"/>
    </xf>
    <xf numFmtId="0" fontId="0" fillId="5" borderId="0" xfId="0" applyFill="1" applyBorder="1" applyAlignment="1">
      <alignment horizontal="center"/>
    </xf>
    <xf numFmtId="167" fontId="3" fillId="0" borderId="11" xfId="0" applyNumberFormat="1" applyFont="1" applyBorder="1"/>
    <xf numFmtId="165" fontId="3" fillId="0" borderId="19" xfId="9" applyNumberFormat="1" applyFont="1" applyBorder="1"/>
    <xf numFmtId="0" fontId="14" fillId="6" borderId="0" xfId="5" applyFont="1" applyFill="1"/>
    <xf numFmtId="0" fontId="14" fillId="3" borderId="9" xfId="5" applyFont="1" applyFill="1" applyBorder="1"/>
    <xf numFmtId="0" fontId="14" fillId="3" borderId="0" xfId="5" applyFont="1" applyFill="1" applyBorder="1"/>
    <xf numFmtId="0" fontId="14" fillId="3" borderId="17" xfId="5" applyFont="1" applyFill="1" applyBorder="1"/>
    <xf numFmtId="0" fontId="14" fillId="0" borderId="0" xfId="5" applyFont="1"/>
    <xf numFmtId="0" fontId="3" fillId="3" borderId="0" xfId="5" applyFont="1" applyFill="1" applyBorder="1"/>
    <xf numFmtId="0" fontId="3" fillId="3" borderId="17" xfId="5" applyFont="1" applyFill="1" applyBorder="1"/>
    <xf numFmtId="0" fontId="3" fillId="7" borderId="0" xfId="6" applyFont="1" applyFill="1"/>
    <xf numFmtId="170" fontId="3" fillId="3" borderId="0" xfId="5" applyNumberFormat="1" applyFont="1" applyFill="1" applyBorder="1" applyAlignment="1">
      <alignment horizontal="center"/>
    </xf>
    <xf numFmtId="0" fontId="3" fillId="7" borderId="20" xfId="5" applyFont="1" applyFill="1" applyBorder="1"/>
    <xf numFmtId="167" fontId="3" fillId="3" borderId="16" xfId="9" applyNumberFormat="1" applyFont="1" applyFill="1" applyBorder="1"/>
    <xf numFmtId="0" fontId="3" fillId="0" borderId="20" xfId="0" applyFont="1" applyBorder="1"/>
    <xf numFmtId="0" fontId="3" fillId="3" borderId="0" xfId="5" applyFont="1" applyFill="1" applyBorder="1" applyAlignment="1">
      <alignment horizontal="center"/>
    </xf>
    <xf numFmtId="169" fontId="16" fillId="3" borderId="0" xfId="5" applyNumberFormat="1" applyFont="1" applyFill="1" applyBorder="1" applyAlignment="1">
      <alignment horizontal="left"/>
    </xf>
    <xf numFmtId="0" fontId="14" fillId="3" borderId="0" xfId="5" applyFont="1" applyFill="1" applyAlignment="1">
      <alignment horizontal="right"/>
    </xf>
    <xf numFmtId="0" fontId="17" fillId="3" borderId="0" xfId="5" applyFont="1" applyFill="1" applyAlignment="1">
      <alignment horizontal="right"/>
    </xf>
    <xf numFmtId="0" fontId="16" fillId="3" borderId="0" xfId="5" quotePrefix="1" applyFont="1" applyFill="1" applyBorder="1" applyAlignment="1">
      <alignment horizontal="left"/>
    </xf>
    <xf numFmtId="0" fontId="14" fillId="3" borderId="13" xfId="5" applyFont="1" applyFill="1" applyBorder="1"/>
    <xf numFmtId="0" fontId="3" fillId="3" borderId="12" xfId="5" applyFont="1" applyFill="1" applyBorder="1"/>
    <xf numFmtId="0" fontId="3" fillId="3" borderId="18" xfId="5" applyFont="1" applyFill="1" applyBorder="1"/>
    <xf numFmtId="0" fontId="3" fillId="6" borderId="0" xfId="5" applyFont="1" applyFill="1" applyBorder="1"/>
    <xf numFmtId="0" fontId="14" fillId="3" borderId="0" xfId="5" applyFont="1" applyFill="1"/>
    <xf numFmtId="165" fontId="1" fillId="0" borderId="0" xfId="0" applyNumberFormat="1" applyFont="1" applyBorder="1" applyAlignment="1">
      <alignment horizontal="center"/>
    </xf>
    <xf numFmtId="0" fontId="1" fillId="0" borderId="9" xfId="0" applyFont="1" applyBorder="1" applyAlignment="1">
      <alignment horizontal="center"/>
    </xf>
    <xf numFmtId="0" fontId="0" fillId="0" borderId="19" xfId="0" applyBorder="1" applyAlignment="1">
      <alignment horizontal="center"/>
    </xf>
    <xf numFmtId="0" fontId="1" fillId="5" borderId="12" xfId="0" applyFont="1" applyFill="1" applyBorder="1"/>
    <xf numFmtId="0" fontId="1" fillId="5" borderId="10" xfId="0" applyFont="1" applyFill="1" applyBorder="1"/>
    <xf numFmtId="0" fontId="1" fillId="0" borderId="21" xfId="0" applyFont="1" applyBorder="1"/>
    <xf numFmtId="0" fontId="1" fillId="0" borderId="22" xfId="0" applyFont="1" applyBorder="1"/>
    <xf numFmtId="174" fontId="0" fillId="0" borderId="10" xfId="0" applyNumberFormat="1" applyBorder="1"/>
    <xf numFmtId="174" fontId="0" fillId="0" borderId="12" xfId="0" applyNumberFormat="1" applyBorder="1"/>
    <xf numFmtId="167" fontId="0" fillId="5" borderId="12" xfId="0" applyNumberFormat="1" applyFill="1" applyBorder="1"/>
    <xf numFmtId="0" fontId="3" fillId="7" borderId="21" xfId="5" applyFont="1" applyFill="1" applyBorder="1"/>
    <xf numFmtId="0" fontId="3" fillId="3" borderId="19" xfId="5" applyFont="1" applyFill="1" applyBorder="1" applyAlignment="1">
      <alignment horizontal="center"/>
    </xf>
    <xf numFmtId="0" fontId="3" fillId="7" borderId="23" xfId="5" applyFont="1" applyFill="1" applyBorder="1"/>
    <xf numFmtId="170" fontId="3" fillId="3" borderId="17" xfId="5" applyNumberFormat="1" applyFont="1" applyFill="1" applyBorder="1" applyAlignment="1">
      <alignment horizontal="center"/>
    </xf>
    <xf numFmtId="0" fontId="3" fillId="7" borderId="22" xfId="5" applyFont="1" applyFill="1" applyBorder="1"/>
    <xf numFmtId="1" fontId="3" fillId="3" borderId="18" xfId="5" applyNumberFormat="1" applyFont="1" applyFill="1" applyBorder="1" applyAlignment="1">
      <alignment horizontal="center"/>
    </xf>
    <xf numFmtId="165" fontId="0" fillId="0" borderId="18" xfId="9" applyNumberFormat="1" applyFont="1" applyBorder="1"/>
    <xf numFmtId="168" fontId="0" fillId="0" borderId="19" xfId="0" applyNumberFormat="1" applyBorder="1"/>
    <xf numFmtId="168" fontId="0" fillId="0" borderId="18" xfId="0" applyNumberFormat="1" applyBorder="1"/>
    <xf numFmtId="168" fontId="0" fillId="0" borderId="17" xfId="0" applyNumberFormat="1" applyBorder="1"/>
    <xf numFmtId="167" fontId="3" fillId="0" borderId="8" xfId="0" applyNumberFormat="1" applyFont="1" applyBorder="1"/>
    <xf numFmtId="165" fontId="3" fillId="0" borderId="16" xfId="9" applyNumberFormat="1" applyFont="1" applyBorder="1"/>
    <xf numFmtId="166" fontId="1" fillId="0" borderId="0" xfId="0" applyNumberFormat="1" applyFont="1" applyBorder="1" applyAlignment="1"/>
    <xf numFmtId="0" fontId="3" fillId="0" borderId="10" xfId="0" applyFont="1" applyBorder="1"/>
    <xf numFmtId="0" fontId="0" fillId="0" borderId="10" xfId="0" applyFont="1" applyBorder="1"/>
    <xf numFmtId="167" fontId="3" fillId="0" borderId="10" xfId="0" applyNumberFormat="1" applyFont="1" applyBorder="1"/>
    <xf numFmtId="165" fontId="3" fillId="0" borderId="10" xfId="9" applyNumberFormat="1" applyFont="1" applyBorder="1"/>
    <xf numFmtId="166" fontId="1" fillId="0" borderId="10" xfId="0" applyNumberFormat="1" applyFont="1" applyBorder="1" applyAlignment="1"/>
    <xf numFmtId="165" fontId="0" fillId="0" borderId="10" xfId="9" applyNumberFormat="1" applyFont="1" applyFill="1" applyBorder="1"/>
    <xf numFmtId="0" fontId="0" fillId="0" borderId="0" xfId="0" applyFont="1" applyBorder="1"/>
    <xf numFmtId="165" fontId="0" fillId="0" borderId="0" xfId="9" applyNumberFormat="1" applyFont="1" applyFill="1" applyBorder="1"/>
    <xf numFmtId="0" fontId="3" fillId="0" borderId="12" xfId="0" applyFont="1" applyBorder="1"/>
    <xf numFmtId="168" fontId="3" fillId="0" borderId="10" xfId="9" applyNumberFormat="1" applyFont="1" applyBorder="1"/>
    <xf numFmtId="168" fontId="3" fillId="0" borderId="0" xfId="9" applyNumberFormat="1" applyFont="1" applyBorder="1"/>
    <xf numFmtId="167" fontId="1" fillId="0" borderId="19" xfId="0" applyNumberFormat="1" applyFont="1" applyBorder="1"/>
    <xf numFmtId="167" fontId="1" fillId="0" borderId="17" xfId="0" applyNumberFormat="1" applyFont="1" applyBorder="1"/>
    <xf numFmtId="168" fontId="0" fillId="0" borderId="0" xfId="9" applyNumberFormat="1" applyFont="1"/>
    <xf numFmtId="0" fontId="1" fillId="0" borderId="9" xfId="0" applyFont="1" applyFill="1" applyBorder="1"/>
    <xf numFmtId="0" fontId="1" fillId="0" borderId="11" xfId="0" applyFont="1" applyFill="1" applyBorder="1"/>
    <xf numFmtId="168" fontId="0" fillId="0" borderId="10" xfId="0" applyNumberFormat="1" applyBorder="1"/>
    <xf numFmtId="168" fontId="0" fillId="0" borderId="12" xfId="0" applyNumberFormat="1" applyBorder="1"/>
    <xf numFmtId="168" fontId="1" fillId="0" borderId="10" xfId="0" applyNumberFormat="1" applyFont="1" applyBorder="1"/>
    <xf numFmtId="168" fontId="1" fillId="0" borderId="12" xfId="0" applyNumberFormat="1" applyFont="1" applyBorder="1"/>
    <xf numFmtId="168" fontId="0" fillId="0" borderId="0" xfId="0" applyNumberFormat="1" applyBorder="1"/>
    <xf numFmtId="168" fontId="1" fillId="0" borderId="0" xfId="0" applyNumberFormat="1" applyFont="1" applyBorder="1"/>
    <xf numFmtId="165" fontId="1" fillId="0" borderId="19" xfId="9" applyNumberFormat="1" applyFont="1" applyBorder="1"/>
    <xf numFmtId="165" fontId="1" fillId="0" borderId="0" xfId="9" applyNumberFormat="1" applyFont="1"/>
    <xf numFmtId="0" fontId="10" fillId="0" borderId="19" xfId="0" applyFont="1" applyBorder="1"/>
    <xf numFmtId="0" fontId="10" fillId="0" borderId="0" xfId="0" applyFont="1" applyBorder="1"/>
    <xf numFmtId="0" fontId="10" fillId="0" borderId="0" xfId="0" applyFont="1"/>
    <xf numFmtId="0" fontId="10" fillId="0" borderId="0" xfId="0" applyFont="1" applyBorder="1" applyAlignment="1">
      <alignment horizontal="center"/>
    </xf>
    <xf numFmtId="0" fontId="10" fillId="0" borderId="13" xfId="0" applyFont="1" applyBorder="1"/>
    <xf numFmtId="10" fontId="10" fillId="0" borderId="12" xfId="9" applyNumberFormat="1" applyFont="1" applyBorder="1"/>
    <xf numFmtId="0" fontId="10" fillId="0" borderId="18" xfId="0" applyFont="1" applyBorder="1"/>
    <xf numFmtId="0" fontId="10" fillId="0" borderId="11" xfId="0" applyFont="1" applyBorder="1"/>
    <xf numFmtId="0" fontId="10" fillId="0" borderId="8" xfId="0" applyFont="1" applyBorder="1" applyAlignment="1">
      <alignment horizontal="center"/>
    </xf>
    <xf numFmtId="0" fontId="10" fillId="0" borderId="15" xfId="0" applyFont="1" applyBorder="1" applyAlignment="1">
      <alignment horizontal="center"/>
    </xf>
    <xf numFmtId="167" fontId="10" fillId="0" borderId="15" xfId="0" applyNumberFormat="1" applyFont="1" applyBorder="1" applyAlignment="1">
      <alignment horizontal="center"/>
    </xf>
    <xf numFmtId="173" fontId="10" fillId="0" borderId="15" xfId="0" applyNumberFormat="1" applyFont="1" applyBorder="1" applyAlignment="1">
      <alignment horizontal="center"/>
    </xf>
    <xf numFmtId="0" fontId="10" fillId="0" borderId="16" xfId="0" applyFont="1" applyBorder="1" applyAlignment="1">
      <alignment horizontal="center"/>
    </xf>
    <xf numFmtId="10" fontId="10" fillId="0" borderId="15" xfId="0" applyNumberFormat="1" applyFont="1" applyBorder="1" applyAlignment="1">
      <alignment horizontal="center"/>
    </xf>
    <xf numFmtId="165" fontId="10" fillId="0" borderId="15" xfId="0" applyNumberFormat="1" applyFont="1" applyBorder="1" applyAlignment="1">
      <alignment horizontal="center"/>
    </xf>
    <xf numFmtId="167" fontId="10" fillId="0" borderId="8" xfId="0" applyNumberFormat="1" applyFont="1" applyBorder="1"/>
    <xf numFmtId="165" fontId="10" fillId="0" borderId="16" xfId="9" applyNumberFormat="1" applyFont="1" applyBorder="1"/>
    <xf numFmtId="0" fontId="10" fillId="0" borderId="21" xfId="0" applyFont="1" applyBorder="1"/>
    <xf numFmtId="0" fontId="10" fillId="0" borderId="10" xfId="0" applyFont="1" applyBorder="1"/>
    <xf numFmtId="167" fontId="10" fillId="0" borderId="10" xfId="0" applyNumberFormat="1" applyFont="1" applyBorder="1"/>
    <xf numFmtId="165" fontId="10" fillId="0" borderId="11" xfId="0" applyNumberFormat="1" applyFont="1" applyBorder="1"/>
    <xf numFmtId="174" fontId="10" fillId="0" borderId="10" xfId="0" applyNumberFormat="1" applyFont="1" applyBorder="1"/>
    <xf numFmtId="0" fontId="10" fillId="5" borderId="10" xfId="0" applyFont="1" applyFill="1" applyBorder="1"/>
    <xf numFmtId="165" fontId="10" fillId="0" borderId="10" xfId="0" applyNumberFormat="1" applyFont="1" applyBorder="1"/>
    <xf numFmtId="10" fontId="10" fillId="0" borderId="10" xfId="0" applyNumberFormat="1" applyFont="1" applyBorder="1"/>
    <xf numFmtId="166" fontId="10" fillId="0" borderId="10" xfId="0" applyNumberFormat="1" applyFont="1" applyBorder="1"/>
    <xf numFmtId="10" fontId="10" fillId="0" borderId="19" xfId="9" applyNumberFormat="1" applyFont="1" applyBorder="1"/>
    <xf numFmtId="165" fontId="10" fillId="0" borderId="10" xfId="9" applyNumberFormat="1" applyFont="1" applyBorder="1"/>
    <xf numFmtId="168" fontId="10" fillId="0" borderId="10" xfId="0" applyNumberFormat="1" applyFont="1" applyBorder="1"/>
    <xf numFmtId="167" fontId="10" fillId="0" borderId="9" xfId="0" applyNumberFormat="1" applyFont="1" applyBorder="1"/>
    <xf numFmtId="165" fontId="10" fillId="0" borderId="17" xfId="9" applyNumberFormat="1" applyFont="1" applyBorder="1"/>
    <xf numFmtId="165" fontId="10" fillId="0" borderId="11" xfId="9" applyNumberFormat="1" applyFont="1" applyBorder="1"/>
    <xf numFmtId="0" fontId="10" fillId="0" borderId="22" xfId="0" applyFont="1" applyBorder="1"/>
    <xf numFmtId="0" fontId="10" fillId="0" borderId="12" xfId="0" applyFont="1" applyBorder="1"/>
    <xf numFmtId="167" fontId="10" fillId="5" borderId="12" xfId="0" applyNumberFormat="1" applyFont="1" applyFill="1" applyBorder="1"/>
    <xf numFmtId="165" fontId="10" fillId="0" borderId="13" xfId="0" applyNumberFormat="1" applyFont="1" applyBorder="1"/>
    <xf numFmtId="174" fontId="10" fillId="0" borderId="12" xfId="0" applyNumberFormat="1" applyFont="1" applyBorder="1"/>
    <xf numFmtId="167" fontId="10" fillId="0" borderId="12" xfId="0" applyNumberFormat="1" applyFont="1" applyBorder="1"/>
    <xf numFmtId="0" fontId="10" fillId="5" borderId="12" xfId="0" applyFont="1" applyFill="1" applyBorder="1"/>
    <xf numFmtId="165" fontId="10" fillId="0" borderId="12" xfId="0" applyNumberFormat="1" applyFont="1" applyBorder="1"/>
    <xf numFmtId="10" fontId="10" fillId="0" borderId="12" xfId="0" applyNumberFormat="1" applyFont="1" applyBorder="1"/>
    <xf numFmtId="166" fontId="10" fillId="0" borderId="12" xfId="0" applyNumberFormat="1" applyFont="1" applyBorder="1"/>
    <xf numFmtId="10" fontId="10" fillId="0" borderId="18" xfId="9" applyNumberFormat="1" applyFont="1" applyBorder="1"/>
    <xf numFmtId="165" fontId="10" fillId="0" borderId="12" xfId="9" applyNumberFormat="1" applyFont="1" applyBorder="1"/>
    <xf numFmtId="168" fontId="10" fillId="0" borderId="12" xfId="0" applyNumberFormat="1" applyFont="1" applyBorder="1"/>
    <xf numFmtId="0" fontId="10" fillId="0" borderId="9" xfId="0" applyFont="1" applyBorder="1"/>
    <xf numFmtId="165" fontId="10" fillId="0" borderId="9" xfId="9" applyNumberFormat="1" applyFont="1" applyBorder="1"/>
    <xf numFmtId="165" fontId="10" fillId="0" borderId="0" xfId="9" applyNumberFormat="1" applyFont="1" applyBorder="1"/>
    <xf numFmtId="167" fontId="10" fillId="0" borderId="0" xfId="0" applyNumberFormat="1" applyFont="1" applyBorder="1"/>
    <xf numFmtId="165" fontId="10" fillId="0" borderId="13" xfId="9" applyNumberFormat="1" applyFont="1" applyBorder="1"/>
    <xf numFmtId="0" fontId="10" fillId="0" borderId="0" xfId="0" applyFont="1" applyAlignment="1">
      <alignment horizontal="center"/>
    </xf>
    <xf numFmtId="173" fontId="10" fillId="0" borderId="10" xfId="0" applyNumberFormat="1" applyFont="1" applyBorder="1"/>
    <xf numFmtId="10" fontId="10" fillId="0" borderId="10" xfId="9" applyNumberFormat="1" applyFont="1" applyBorder="1"/>
    <xf numFmtId="165" fontId="10" fillId="0" borderId="9" xfId="0" applyNumberFormat="1" applyFont="1" applyBorder="1"/>
    <xf numFmtId="173" fontId="10" fillId="0" borderId="0" xfId="0" applyNumberFormat="1" applyFont="1" applyBorder="1"/>
    <xf numFmtId="165" fontId="10" fillId="0" borderId="0" xfId="0" applyNumberFormat="1" applyFont="1" applyBorder="1"/>
    <xf numFmtId="0" fontId="10" fillId="0" borderId="17" xfId="0" applyFont="1" applyBorder="1"/>
    <xf numFmtId="10" fontId="10" fillId="0" borderId="0" xfId="0" applyNumberFormat="1" applyFont="1" applyBorder="1"/>
    <xf numFmtId="166" fontId="10" fillId="0" borderId="0" xfId="0" applyNumberFormat="1" applyFont="1" applyBorder="1"/>
    <xf numFmtId="10" fontId="10" fillId="0" borderId="0" xfId="9" applyNumberFormat="1" applyFont="1" applyBorder="1"/>
    <xf numFmtId="168" fontId="10" fillId="0" borderId="0" xfId="0" applyNumberFormat="1" applyFont="1" applyBorder="1"/>
    <xf numFmtId="173" fontId="10" fillId="0" borderId="12" xfId="0" applyNumberFormat="1" applyFont="1" applyBorder="1"/>
    <xf numFmtId="166" fontId="10" fillId="0" borderId="9" xfId="0" applyNumberFormat="1" applyFont="1" applyBorder="1"/>
    <xf numFmtId="165" fontId="10" fillId="0" borderId="17" xfId="0" applyNumberFormat="1" applyFont="1" applyBorder="1"/>
    <xf numFmtId="166" fontId="10" fillId="0" borderId="13" xfId="0" applyNumberFormat="1" applyFont="1" applyBorder="1"/>
    <xf numFmtId="167" fontId="10" fillId="0" borderId="19" xfId="0" applyNumberFormat="1" applyFont="1" applyBorder="1"/>
    <xf numFmtId="166" fontId="10" fillId="0" borderId="10" xfId="0" applyNumberFormat="1" applyFont="1" applyBorder="1" applyAlignment="1"/>
    <xf numFmtId="165" fontId="10" fillId="0" borderId="10" xfId="9" applyNumberFormat="1" applyFont="1" applyFill="1" applyBorder="1"/>
    <xf numFmtId="168" fontId="10" fillId="0" borderId="10" xfId="9" applyNumberFormat="1" applyFont="1" applyBorder="1"/>
    <xf numFmtId="0" fontId="10" fillId="0" borderId="23" xfId="0" applyFont="1" applyBorder="1"/>
    <xf numFmtId="167" fontId="10" fillId="0" borderId="17" xfId="0" applyNumberFormat="1" applyFont="1" applyBorder="1"/>
    <xf numFmtId="166" fontId="10" fillId="0" borderId="0" xfId="0" applyNumberFormat="1" applyFont="1" applyBorder="1" applyAlignment="1"/>
    <xf numFmtId="165" fontId="10" fillId="0" borderId="0" xfId="9" applyNumberFormat="1" applyFont="1" applyFill="1" applyBorder="1"/>
    <xf numFmtId="168" fontId="10" fillId="0" borderId="0" xfId="9" applyNumberFormat="1" applyFont="1" applyBorder="1"/>
    <xf numFmtId="167" fontId="10" fillId="0" borderId="18" xfId="0" applyNumberFormat="1" applyFont="1" applyBorder="1"/>
    <xf numFmtId="165" fontId="10" fillId="5" borderId="12" xfId="9" applyNumberFormat="1" applyFont="1" applyFill="1" applyBorder="1"/>
    <xf numFmtId="166" fontId="10" fillId="0" borderId="12" xfId="0" applyNumberFormat="1" applyFont="1" applyBorder="1" applyAlignment="1"/>
    <xf numFmtId="165" fontId="10" fillId="0" borderId="12" xfId="9" applyNumberFormat="1" applyFont="1" applyFill="1" applyBorder="1"/>
    <xf numFmtId="168" fontId="10" fillId="0" borderId="12" xfId="9" applyNumberFormat="1" applyFont="1" applyBorder="1"/>
    <xf numFmtId="167" fontId="10" fillId="0" borderId="13" xfId="0" applyNumberFormat="1" applyFont="1" applyBorder="1"/>
    <xf numFmtId="165" fontId="10" fillId="0" borderId="18" xfId="9" applyNumberFormat="1" applyFont="1" applyBorder="1"/>
    <xf numFmtId="0" fontId="1" fillId="0" borderId="0" xfId="0" applyFont="1" applyBorder="1" applyAlignment="1">
      <alignment horizontal="center"/>
    </xf>
    <xf numFmtId="168" fontId="1" fillId="0" borderId="19" xfId="0" applyNumberFormat="1" applyFont="1" applyBorder="1"/>
    <xf numFmtId="168" fontId="1" fillId="0" borderId="18" xfId="0" applyNumberFormat="1" applyFont="1" applyBorder="1"/>
    <xf numFmtId="165" fontId="5" fillId="0" borderId="10" xfId="9" applyNumberFormat="1" applyFont="1" applyBorder="1"/>
    <xf numFmtId="165" fontId="5" fillId="0" borderId="12" xfId="9" applyNumberFormat="1" applyFont="1" applyBorder="1"/>
    <xf numFmtId="165" fontId="0" fillId="0" borderId="10" xfId="9" applyNumberFormat="1" applyFont="1" applyBorder="1"/>
    <xf numFmtId="165" fontId="0" fillId="0" borderId="12" xfId="9" applyNumberFormat="1" applyFont="1" applyBorder="1"/>
    <xf numFmtId="0" fontId="18" fillId="7" borderId="0" xfId="6" applyFont="1" applyFill="1" applyAlignment="1">
      <alignment horizontal="left"/>
    </xf>
    <xf numFmtId="0" fontId="19" fillId="7" borderId="0" xfId="6" applyFont="1" applyFill="1"/>
    <xf numFmtId="0" fontId="19" fillId="3" borderId="4" xfId="4" applyFont="1" applyFill="1" applyBorder="1"/>
    <xf numFmtId="0" fontId="19" fillId="3" borderId="0" xfId="4" applyFont="1" applyFill="1" applyBorder="1"/>
    <xf numFmtId="0" fontId="19" fillId="3" borderId="5" xfId="4" applyFont="1" applyFill="1" applyBorder="1"/>
    <xf numFmtId="0" fontId="21" fillId="7" borderId="20" xfId="4" applyFont="1" applyFill="1" applyBorder="1"/>
    <xf numFmtId="0" fontId="21" fillId="7" borderId="20" xfId="4" applyFont="1" applyFill="1" applyBorder="1" applyProtection="1"/>
    <xf numFmtId="0" fontId="19" fillId="3" borderId="6" xfId="4" applyFont="1" applyFill="1" applyBorder="1"/>
    <xf numFmtId="0" fontId="19" fillId="3" borderId="7" xfId="4" applyFont="1" applyFill="1" applyBorder="1"/>
    <xf numFmtId="0" fontId="19" fillId="3" borderId="14" xfId="4" applyFont="1" applyFill="1" applyBorder="1"/>
    <xf numFmtId="15" fontId="0" fillId="0" borderId="0" xfId="0" applyNumberFormat="1"/>
    <xf numFmtId="0" fontId="1" fillId="0" borderId="12" xfId="0" applyFont="1" applyFill="1" applyBorder="1"/>
    <xf numFmtId="165" fontId="0" fillId="0" borderId="0" xfId="9" applyNumberFormat="1" applyFont="1"/>
    <xf numFmtId="165" fontId="1" fillId="5" borderId="10" xfId="0" applyNumberFormat="1" applyFont="1" applyFill="1" applyBorder="1"/>
    <xf numFmtId="0" fontId="3" fillId="3" borderId="14" xfId="0" applyFont="1" applyFill="1" applyBorder="1"/>
    <xf numFmtId="165" fontId="3" fillId="5" borderId="0" xfId="9" applyNumberFormat="1" applyFont="1" applyFill="1" applyBorder="1"/>
    <xf numFmtId="0" fontId="1" fillId="0" borderId="10" xfId="0" applyFont="1" applyFill="1" applyBorder="1"/>
    <xf numFmtId="0" fontId="3" fillId="5" borderId="0" xfId="0" applyFont="1" applyFill="1" applyBorder="1"/>
    <xf numFmtId="0" fontId="3" fillId="5" borderId="12" xfId="0" applyFont="1" applyFill="1" applyBorder="1"/>
    <xf numFmtId="0" fontId="1" fillId="0" borderId="8" xfId="0" applyFont="1" applyBorder="1" applyAlignment="1"/>
    <xf numFmtId="0" fontId="10" fillId="0" borderId="20" xfId="0" applyFont="1" applyBorder="1" applyAlignment="1"/>
    <xf numFmtId="0" fontId="0" fillId="0" borderId="0" xfId="0" applyNumberFormat="1"/>
    <xf numFmtId="177" fontId="19" fillId="0" borderId="20" xfId="4" applyNumberFormat="1" applyFont="1" applyBorder="1" applyAlignment="1">
      <alignment horizontal="center" vertical="center"/>
    </xf>
    <xf numFmtId="0" fontId="19" fillId="0" borderId="20" xfId="4" applyFont="1" applyBorder="1" applyAlignment="1">
      <alignment horizontal="center" vertical="center"/>
    </xf>
    <xf numFmtId="0" fontId="15" fillId="8" borderId="8" xfId="5" applyFont="1" applyFill="1" applyBorder="1" applyAlignment="1">
      <alignment horizontal="center"/>
    </xf>
    <xf numFmtId="0" fontId="15" fillId="8" borderId="15" xfId="5" applyFont="1" applyFill="1" applyBorder="1" applyAlignment="1">
      <alignment horizontal="center"/>
    </xf>
    <xf numFmtId="0" fontId="15" fillId="8" borderId="16" xfId="5" applyFont="1" applyFill="1" applyBorder="1" applyAlignment="1">
      <alignment horizontal="center"/>
    </xf>
    <xf numFmtId="0" fontId="20" fillId="8" borderId="24" xfId="4" applyFont="1" applyFill="1" applyBorder="1" applyAlignment="1">
      <alignment horizontal="center"/>
    </xf>
    <xf numFmtId="0" fontId="20" fillId="8" borderId="25" xfId="4" applyFont="1" applyFill="1" applyBorder="1" applyAlignment="1">
      <alignment horizontal="center"/>
    </xf>
    <xf numFmtId="0" fontId="20" fillId="8" borderId="26" xfId="4" applyFont="1" applyFill="1" applyBorder="1" applyAlignment="1">
      <alignment horizontal="center"/>
    </xf>
    <xf numFmtId="169" fontId="19" fillId="0" borderId="20" xfId="4" applyNumberFormat="1" applyFont="1" applyBorder="1" applyAlignment="1">
      <alignment horizontal="center" vertical="center"/>
    </xf>
  </cellXfs>
  <cellStyles count="13">
    <cellStyle name="Euro" xfId="1"/>
    <cellStyle name="Migliaia (0)_AZIONI" xfId="2"/>
    <cellStyle name="Migliaia_AZIONI" xfId="3"/>
    <cellStyle name="Normal" xfId="0" builtinId="0"/>
    <cellStyle name="Normal_EurDepoSwapPricer" xfId="4"/>
    <cellStyle name="Normal_InterestRateQuotesFeed" xfId="5"/>
    <cellStyle name="Normal_SwaptionATMVols" xfId="6"/>
    <cellStyle name="Normal_TestSyntDisc" xfId="7"/>
    <cellStyle name="Normale_AZIONI" xfId="8"/>
    <cellStyle name="Percent" xfId="9" builtinId="5"/>
    <cellStyle name="result" xfId="10"/>
    <cellStyle name="Valuta (0)_AZIONI" xfId="11"/>
    <cellStyle name="Valuta_AZIONI" xfId="12"/>
  </cellStyles>
  <dxfs count="1">
    <dxf>
      <font>
        <condense val="0"/>
        <extend val="0"/>
        <color indexed="57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4441887226697359E-2"/>
          <c:y val="7.9872329073995788E-2"/>
          <c:w val="0.90794016110471809"/>
          <c:h val="0.72204585482892192"/>
        </c:manualLayout>
      </c:layout>
      <c:scatterChart>
        <c:scatterStyle val="lineMarker"/>
        <c:varyColors val="0"/>
        <c:ser>
          <c:idx val="1"/>
          <c:order val="0"/>
          <c:tx>
            <c:v>Spot / Fixing</c:v>
          </c:tx>
          <c:spPr>
            <a:ln w="28575">
              <a:noFill/>
            </a:ln>
          </c:spPr>
          <c:marker>
            <c:symbol val="square"/>
            <c:size val="4"/>
            <c:spPr>
              <a:solidFill>
                <a:srgbClr val="0000FF"/>
              </a:solidFill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'1M'!$H$23:$H$24</c:f>
              <c:numCache>
                <c:formatCode>ddd\,\ d\-mmm\-yyyy</c:formatCode>
                <c:ptCount val="2"/>
                <c:pt idx="0">
                  <c:v>41712</c:v>
                </c:pt>
                <c:pt idx="1">
                  <c:v>41712</c:v>
                </c:pt>
              </c:numCache>
            </c:numRef>
          </c:xVal>
          <c:yVal>
            <c:numRef>
              <c:f>'1M'!$J$23:$J$24</c:f>
              <c:numCache>
                <c:formatCode>0.0000%</c:formatCode>
                <c:ptCount val="2"/>
                <c:pt idx="0">
                  <c:v>2.33E-3</c:v>
                </c:pt>
                <c:pt idx="1">
                  <c:v>2.33E-3</c:v>
                </c:pt>
              </c:numCache>
            </c:numRef>
          </c:yVal>
          <c:smooth val="0"/>
        </c:ser>
        <c:ser>
          <c:idx val="0"/>
          <c:order val="1"/>
          <c:tx>
            <c:v>Swaps</c:v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FF9900"/>
              </a:solidFill>
              <a:ln>
                <a:solidFill>
                  <a:srgbClr val="FF9900"/>
                </a:solidFill>
                <a:prstDash val="solid"/>
              </a:ln>
            </c:spPr>
          </c:marker>
          <c:xVal>
            <c:numRef>
              <c:f>'1M'!$H$27:$H$37</c:f>
              <c:numCache>
                <c:formatCode>ddd\,\ d\-mmm\-yyyy</c:formatCode>
                <c:ptCount val="11"/>
                <c:pt idx="0">
                  <c:v>41743</c:v>
                </c:pt>
                <c:pt idx="1">
                  <c:v>41773</c:v>
                </c:pt>
                <c:pt idx="2">
                  <c:v>41806</c:v>
                </c:pt>
                <c:pt idx="3">
                  <c:v>41834</c:v>
                </c:pt>
                <c:pt idx="4">
                  <c:v>41865</c:v>
                </c:pt>
                <c:pt idx="5">
                  <c:v>41897</c:v>
                </c:pt>
                <c:pt idx="6">
                  <c:v>41926</c:v>
                </c:pt>
                <c:pt idx="7">
                  <c:v>41957</c:v>
                </c:pt>
                <c:pt idx="8">
                  <c:v>41988</c:v>
                </c:pt>
                <c:pt idx="9">
                  <c:v>42018</c:v>
                </c:pt>
                <c:pt idx="10">
                  <c:v>42051</c:v>
                </c:pt>
              </c:numCache>
            </c:numRef>
          </c:xVal>
          <c:yVal>
            <c:numRef>
              <c:f>'1M'!$J$27:$J$37</c:f>
              <c:numCache>
                <c:formatCode>0.0000%</c:formatCode>
                <c:ptCount val="11"/>
                <c:pt idx="0">
                  <c:v>2.2685448416837062E-3</c:v>
                </c:pt>
                <c:pt idx="1">
                  <c:v>2.185208981560746E-3</c:v>
                </c:pt>
                <c:pt idx="2">
                  <c:v>2.1280299401741204E-3</c:v>
                </c:pt>
                <c:pt idx="3">
                  <c:v>2.0803633070878578E-3</c:v>
                </c:pt>
                <c:pt idx="4">
                  <c:v>2.0824279298847781E-3</c:v>
                </c:pt>
                <c:pt idx="5">
                  <c:v>2.1038500001517627E-3</c:v>
                </c:pt>
                <c:pt idx="6">
                  <c:v>2.0093435423323086E-3</c:v>
                </c:pt>
                <c:pt idx="7">
                  <c:v>2.0579565513415446E-3</c:v>
                </c:pt>
                <c:pt idx="8">
                  <c:v>2.0346617982101023E-3</c:v>
                </c:pt>
                <c:pt idx="9">
                  <c:v>1.8185257409652036E-3</c:v>
                </c:pt>
                <c:pt idx="10">
                  <c:v>1.9650426994902554E-3</c:v>
                </c:pt>
              </c:numCache>
            </c:numRef>
          </c:yVal>
          <c:smooth val="0"/>
        </c:ser>
        <c:ser>
          <c:idx val="2"/>
          <c:order val="2"/>
          <c:tx>
            <c:v>Futures</c:v>
          </c:tx>
          <c:spPr>
            <a:ln w="28575">
              <a:noFill/>
            </a:ln>
          </c:spPr>
          <c:marker>
            <c:symbol val="square"/>
            <c:size val="4"/>
            <c:spPr>
              <a:solidFill>
                <a:srgbClr val="333300"/>
              </a:solidFill>
              <a:ln>
                <a:solidFill>
                  <a:srgbClr val="333300"/>
                </a:solidFill>
                <a:prstDash val="solid"/>
              </a:ln>
            </c:spPr>
          </c:marker>
          <c:xVal>
            <c:numRef>
              <c:f>'1M'!$H$38:$H$49</c:f>
              <c:numCache>
                <c:formatCode>ddd\,\ d\-mmm\-yyyy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xVal>
          <c:yVal>
            <c:numRef>
              <c:f>'1M'!$J$38:$J$49</c:f>
              <c:numCache>
                <c:formatCode>0.0000%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yVal>
          <c:smooth val="0"/>
        </c:ser>
        <c:ser>
          <c:idx val="3"/>
          <c:order val="3"/>
          <c:tx>
            <c:v>No Toy Effect</c:v>
          </c:tx>
          <c:spPr>
            <a:ln w="3175">
              <a:solidFill>
                <a:srgbClr val="333300"/>
              </a:solidFill>
              <a:prstDash val="solid"/>
            </a:ln>
          </c:spPr>
          <c:marker>
            <c:symbol val="dot"/>
            <c:size val="5"/>
            <c:spPr>
              <a:solidFill>
                <a:srgbClr val="333300"/>
              </a:solidFill>
              <a:ln>
                <a:solidFill>
                  <a:srgbClr val="333300"/>
                </a:solidFill>
                <a:prstDash val="solid"/>
              </a:ln>
            </c:spPr>
          </c:marker>
          <c:xVal>
            <c:numRef>
              <c:f>'1M'!$U$23:$U$49</c:f>
              <c:numCache>
                <c:formatCode>ddd\,\ d\-mmm\-yyyy</c:formatCode>
                <c:ptCount val="27"/>
                <c:pt idx="0">
                  <c:v>41712</c:v>
                </c:pt>
                <c:pt idx="1">
                  <c:v>41743</c:v>
                </c:pt>
                <c:pt idx="2">
                  <c:v>41773</c:v>
                </c:pt>
                <c:pt idx="3">
                  <c:v>41806</c:v>
                </c:pt>
                <c:pt idx="4">
                  <c:v>41834</c:v>
                </c:pt>
                <c:pt idx="5">
                  <c:v>41865</c:v>
                </c:pt>
                <c:pt idx="6">
                  <c:v>41897</c:v>
                </c:pt>
                <c:pt idx="7">
                  <c:v>41926</c:v>
                </c:pt>
                <c:pt idx="8">
                  <c:v>41957</c:v>
                </c:pt>
                <c:pt idx="9">
                  <c:v>41988</c:v>
                </c:pt>
                <c:pt idx="10">
                  <c:v>42018</c:v>
                </c:pt>
                <c:pt idx="11">
                  <c:v>42051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xVal>
          <c:yVal>
            <c:numRef>
              <c:f>'1M'!$V$23:$V$49</c:f>
              <c:numCache>
                <c:formatCode>0.0000%</c:formatCode>
                <c:ptCount val="27"/>
                <c:pt idx="0">
                  <c:v>2.33E-3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9932032"/>
        <c:axId val="289933568"/>
      </c:scatterChart>
      <c:valAx>
        <c:axId val="289932032"/>
        <c:scaling>
          <c:orientation val="minMax"/>
          <c:max val="41639"/>
          <c:min val="41182"/>
        </c:scaling>
        <c:delete val="0"/>
        <c:axPos val="b"/>
        <c:numFmt formatCode="mmm\ yy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276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89933568"/>
        <c:crosses val="autoZero"/>
        <c:crossBetween val="midCat"/>
        <c:majorUnit val="30.4375"/>
      </c:valAx>
      <c:valAx>
        <c:axId val="289933568"/>
        <c:scaling>
          <c:orientation val="minMax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numFmt formatCode="0.00%" sourceLinked="0"/>
        <c:majorTickMark val="out"/>
        <c:minorTickMark val="none"/>
        <c:tickLblPos val="nextTo"/>
        <c:spPr>
          <a:ln w="9525">
            <a:noFill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89932032"/>
        <c:crosses val="autoZero"/>
        <c:crossBetween val="midCat"/>
        <c:majorUnit val="2.1000000000000003E-3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3774453394706561"/>
          <c:y val="0.50479233226837061"/>
          <c:w val="0.12428078250863062"/>
          <c:h val="0.26837060702875404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430391267758054E-2"/>
          <c:y val="8.012845593091425E-2"/>
          <c:w val="0.91081481545997012"/>
          <c:h val="0.72436124161546478"/>
        </c:manualLayout>
      </c:layout>
      <c:scatterChart>
        <c:scatterStyle val="lineMarker"/>
        <c:varyColors val="0"/>
        <c:ser>
          <c:idx val="1"/>
          <c:order val="0"/>
          <c:tx>
            <c:v>Spot / Fixing</c:v>
          </c:tx>
          <c:spPr>
            <a:ln w="28575">
              <a:noFill/>
            </a:ln>
          </c:spPr>
          <c:marker>
            <c:symbol val="square"/>
            <c:size val="4"/>
            <c:spPr>
              <a:solidFill>
                <a:srgbClr val="0000FF"/>
              </a:solidFill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'3M'!$H$23:$H$24</c:f>
              <c:numCache>
                <c:formatCode>ddd\,\ d\-mmm\-yyyy</c:formatCode>
                <c:ptCount val="2"/>
                <c:pt idx="0">
                  <c:v>41712</c:v>
                </c:pt>
                <c:pt idx="1">
                  <c:v>41712</c:v>
                </c:pt>
              </c:numCache>
            </c:numRef>
          </c:xVal>
          <c:yVal>
            <c:numRef>
              <c:f>'3M'!$J$23:$J$24</c:f>
              <c:numCache>
                <c:formatCode>0.0000%</c:formatCode>
                <c:ptCount val="2"/>
                <c:pt idx="0">
                  <c:v>3.0400000000000002E-3</c:v>
                </c:pt>
                <c:pt idx="1">
                  <c:v>3.0399999999999997E-3</c:v>
                </c:pt>
              </c:numCache>
            </c:numRef>
          </c:yVal>
          <c:smooth val="0"/>
        </c:ser>
        <c:ser>
          <c:idx val="0"/>
          <c:order val="1"/>
          <c:tx>
            <c:v>FRA</c:v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FF9900"/>
              </a:solidFill>
              <a:ln>
                <a:solidFill>
                  <a:srgbClr val="FF9900"/>
                </a:solidFill>
                <a:prstDash val="solid"/>
              </a:ln>
            </c:spPr>
          </c:marker>
          <c:xVal>
            <c:numRef>
              <c:f>'3M'!$H$34:$H$41</c:f>
              <c:numCache>
                <c:formatCode>ddd\,\ d\-mmm\-yyyy</c:formatCode>
                <c:ptCount val="8"/>
                <c:pt idx="0">
                  <c:v>41712</c:v>
                </c:pt>
                <c:pt idx="1">
                  <c:v>41715</c:v>
                </c:pt>
                <c:pt idx="2">
                  <c:v>41743</c:v>
                </c:pt>
                <c:pt idx="3">
                  <c:v>41773</c:v>
                </c:pt>
                <c:pt idx="4">
                  <c:v>41806</c:v>
                </c:pt>
                <c:pt idx="5">
                  <c:v>41834</c:v>
                </c:pt>
                <c:pt idx="6">
                  <c:v>41865</c:v>
                </c:pt>
                <c:pt idx="7">
                  <c:v>41897</c:v>
                </c:pt>
              </c:numCache>
            </c:numRef>
          </c:xVal>
          <c:yVal>
            <c:numRef>
              <c:f>'3M'!$J$34:$J$41</c:f>
              <c:numCache>
                <c:formatCode>0.0000%</c:formatCode>
                <c:ptCount val="8"/>
                <c:pt idx="2">
                  <c:v>3.0000000000000005E-3</c:v>
                </c:pt>
                <c:pt idx="3">
                  <c:v>2.9900000000000005E-3</c:v>
                </c:pt>
                <c:pt idx="4">
                  <c:v>2.9500000000000004E-3</c:v>
                </c:pt>
                <c:pt idx="5">
                  <c:v>2.9400000000000003E-3</c:v>
                </c:pt>
                <c:pt idx="6">
                  <c:v>2.9200000000000003E-3</c:v>
                </c:pt>
                <c:pt idx="7">
                  <c:v>2.9100000000000003E-3</c:v>
                </c:pt>
              </c:numCache>
            </c:numRef>
          </c:yVal>
          <c:smooth val="0"/>
        </c:ser>
        <c:ser>
          <c:idx val="2"/>
          <c:order val="2"/>
          <c:tx>
            <c:v>Futures</c:v>
          </c:tx>
          <c:spPr>
            <a:ln w="28575">
              <a:noFill/>
            </a:ln>
          </c:spPr>
          <c:marker>
            <c:symbol val="square"/>
            <c:size val="4"/>
            <c:spPr>
              <a:solidFill>
                <a:srgbClr val="333300"/>
              </a:solidFill>
              <a:ln>
                <a:solidFill>
                  <a:srgbClr val="333300"/>
                </a:solidFill>
                <a:prstDash val="solid"/>
              </a:ln>
            </c:spPr>
          </c:marker>
          <c:xVal>
            <c:numRef>
              <c:f>'3M'!$H$25:$H$33</c:f>
              <c:numCache>
                <c:formatCode>ddd\,\ d\-mmm\-yyyy</c:formatCode>
                <c:ptCount val="9"/>
                <c:pt idx="0">
                  <c:v>41717</c:v>
                </c:pt>
                <c:pt idx="1">
                  <c:v>41745</c:v>
                </c:pt>
                <c:pt idx="2">
                  <c:v>41808</c:v>
                </c:pt>
                <c:pt idx="3">
                  <c:v>41899</c:v>
                </c:pt>
                <c:pt idx="4">
                  <c:v>41990</c:v>
                </c:pt>
                <c:pt idx="5">
                  <c:v>42081</c:v>
                </c:pt>
                <c:pt idx="6">
                  <c:v>42172</c:v>
                </c:pt>
                <c:pt idx="7">
                  <c:v>42263</c:v>
                </c:pt>
                <c:pt idx="8">
                  <c:v>42354</c:v>
                </c:pt>
              </c:numCache>
            </c:numRef>
          </c:xVal>
          <c:yVal>
            <c:numRef>
              <c:f>'3M'!$J$25:$J$33</c:f>
              <c:numCache>
                <c:formatCode>0.0000%</c:formatCode>
                <c:ptCount val="9"/>
                <c:pt idx="0">
                  <c:v>3.0750000000000499E-3</c:v>
                </c:pt>
                <c:pt idx="1">
                  <c:v>2.9749999999999499E-3</c:v>
                </c:pt>
                <c:pt idx="2">
                  <c:v>2.9749999999999499E-3</c:v>
                </c:pt>
                <c:pt idx="3">
                  <c:v>2.9250000000000664E-3</c:v>
                </c:pt>
                <c:pt idx="4">
                  <c:v>3.0750000000000499E-3</c:v>
                </c:pt>
                <c:pt idx="5">
                  <c:v>3.2750000000000279E-3</c:v>
                </c:pt>
                <c:pt idx="6">
                  <c:v>3.6249999999999893E-3</c:v>
                </c:pt>
                <c:pt idx="7">
                  <c:v>4.1249999999999343E-3</c:v>
                </c:pt>
                <c:pt idx="8">
                  <c:v>4.7749999999999737E-3</c:v>
                </c:pt>
              </c:numCache>
            </c:numRef>
          </c:yVal>
          <c:smooth val="0"/>
        </c:ser>
        <c:ser>
          <c:idx val="3"/>
          <c:order val="3"/>
          <c:tx>
            <c:v>No Toy Effect</c:v>
          </c:tx>
          <c:spPr>
            <a:ln w="3175">
              <a:solidFill>
                <a:srgbClr val="333300"/>
              </a:solidFill>
              <a:prstDash val="solid"/>
            </a:ln>
          </c:spPr>
          <c:marker>
            <c:symbol val="dot"/>
            <c:size val="5"/>
            <c:spPr>
              <a:solidFill>
                <a:srgbClr val="333300"/>
              </a:solidFill>
              <a:ln>
                <a:solidFill>
                  <a:srgbClr val="333300"/>
                </a:solidFill>
                <a:prstDash val="solid"/>
              </a:ln>
            </c:spPr>
          </c:marker>
          <c:xVal>
            <c:numRef>
              <c:f>'3M'!$U$23:$U$41</c:f>
              <c:numCache>
                <c:formatCode>ddd\,\ d\-mmm\-yyyy</c:formatCode>
                <c:ptCount val="19"/>
                <c:pt idx="0">
                  <c:v>41712</c:v>
                </c:pt>
                <c:pt idx="1">
                  <c:v>41717</c:v>
                </c:pt>
                <c:pt idx="2">
                  <c:v>41745</c:v>
                </c:pt>
                <c:pt idx="3">
                  <c:v>41808</c:v>
                </c:pt>
                <c:pt idx="4">
                  <c:v>41899</c:v>
                </c:pt>
                <c:pt idx="5">
                  <c:v>41990</c:v>
                </c:pt>
                <c:pt idx="6">
                  <c:v>42081</c:v>
                </c:pt>
                <c:pt idx="7">
                  <c:v>42172</c:v>
                </c:pt>
                <c:pt idx="8">
                  <c:v>42263</c:v>
                </c:pt>
                <c:pt idx="9">
                  <c:v>42354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</c:numCache>
            </c:numRef>
          </c:xVal>
          <c:yVal>
            <c:numRef>
              <c:f>'3M'!$V$23:$V$41</c:f>
              <c:numCache>
                <c:formatCode>0.0000%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2.9749999999999499E-3</c:v>
                </c:pt>
                <c:pt idx="3">
                  <c:v>2.9749999999999499E-3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9897984"/>
        <c:axId val="469899904"/>
      </c:scatterChart>
      <c:valAx>
        <c:axId val="469897984"/>
        <c:scaling>
          <c:orientation val="minMax"/>
          <c:min val="41182"/>
        </c:scaling>
        <c:delete val="0"/>
        <c:axPos val="b"/>
        <c:numFmt formatCode="mmm\ yy" sourceLinked="0"/>
        <c:majorTickMark val="out"/>
        <c:min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27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9899904"/>
        <c:crosses val="autoZero"/>
        <c:crossBetween val="midCat"/>
        <c:majorUnit val="91.3125"/>
        <c:minorUnit val="30.4375"/>
      </c:valAx>
      <c:valAx>
        <c:axId val="469899904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numFmt formatCode="0.00%" sourceLinked="0"/>
        <c:majorTickMark val="out"/>
        <c:minorTickMark val="none"/>
        <c:tickLblPos val="nextTo"/>
        <c:spPr>
          <a:ln w="9525">
            <a:noFill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9897984"/>
        <c:crosses val="autoZero"/>
        <c:crossBetween val="midCat"/>
        <c:majorUnit val="2.1000000000000003E-3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1605351170568563"/>
          <c:y val="0.48076923076923078"/>
          <c:w val="0.12040133779264217"/>
          <c:h val="0.2692307692307692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3063132415642167E-2"/>
          <c:y val="7.9617834394904455E-2"/>
          <c:w val="0.92342443894333182"/>
          <c:h val="0.72611464968152861"/>
        </c:manualLayout>
      </c:layout>
      <c:scatterChart>
        <c:scatterStyle val="lineMarker"/>
        <c:varyColors val="0"/>
        <c:ser>
          <c:idx val="1"/>
          <c:order val="0"/>
          <c:tx>
            <c:v>Spot / Fixing</c:v>
          </c:tx>
          <c:spPr>
            <a:ln w="28575">
              <a:noFill/>
            </a:ln>
          </c:spPr>
          <c:marker>
            <c:symbol val="square"/>
            <c:size val="4"/>
            <c:spPr>
              <a:solidFill>
                <a:srgbClr val="0000FF"/>
              </a:solidFill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'6M'!$H$23:$H$24</c:f>
              <c:numCache>
                <c:formatCode>ddd\,\ d\-mmm\-yyyy</c:formatCode>
                <c:ptCount val="2"/>
                <c:pt idx="0">
                  <c:v>41712</c:v>
                </c:pt>
                <c:pt idx="1">
                  <c:v>41712</c:v>
                </c:pt>
              </c:numCache>
            </c:numRef>
          </c:xVal>
          <c:yVal>
            <c:numRef>
              <c:f>'6M'!$J$23:$J$24</c:f>
              <c:numCache>
                <c:formatCode>0.0000%</c:formatCode>
                <c:ptCount val="2"/>
                <c:pt idx="0">
                  <c:v>4.0499999999999998E-3</c:v>
                </c:pt>
                <c:pt idx="1">
                  <c:v>4.0500000000000006E-3</c:v>
                </c:pt>
              </c:numCache>
            </c:numRef>
          </c:yVal>
          <c:smooth val="0"/>
        </c:ser>
        <c:ser>
          <c:idx val="0"/>
          <c:order val="1"/>
          <c:tx>
            <c:v>FRA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FF9900"/>
              </a:solidFill>
              <a:ln>
                <a:solidFill>
                  <a:srgbClr val="FF9900"/>
                </a:solidFill>
                <a:prstDash val="solid"/>
              </a:ln>
            </c:spPr>
          </c:marker>
          <c:xVal>
            <c:numRef>
              <c:f>'6M'!$D$25:$D$34</c:f>
              <c:numCache>
                <c:formatCode>ddd\,\ d\-mmm\-yyyy</c:formatCode>
                <c:ptCount val="10"/>
                <c:pt idx="0">
                  <c:v>41712</c:v>
                </c:pt>
                <c:pt idx="1">
                  <c:v>41715</c:v>
                </c:pt>
                <c:pt idx="2">
                  <c:v>41743</c:v>
                </c:pt>
                <c:pt idx="3">
                  <c:v>41773</c:v>
                </c:pt>
                <c:pt idx="4">
                  <c:v>41806</c:v>
                </c:pt>
                <c:pt idx="5">
                  <c:v>41834</c:v>
                </c:pt>
                <c:pt idx="6">
                  <c:v>41865</c:v>
                </c:pt>
                <c:pt idx="7">
                  <c:v>41897</c:v>
                </c:pt>
                <c:pt idx="8">
                  <c:v>42079</c:v>
                </c:pt>
                <c:pt idx="9">
                  <c:v>42261</c:v>
                </c:pt>
              </c:numCache>
            </c:numRef>
          </c:xVal>
          <c:yVal>
            <c:numRef>
              <c:f>'6M'!$J$25:$J$34</c:f>
              <c:numCache>
                <c:formatCode>0.0000%</c:formatCode>
                <c:ptCount val="10"/>
                <c:pt idx="2">
                  <c:v>4.0400000000000002E-3</c:v>
                </c:pt>
                <c:pt idx="3">
                  <c:v>4.0400000000000002E-3</c:v>
                </c:pt>
                <c:pt idx="4">
                  <c:v>4.0300000000000006E-3</c:v>
                </c:pt>
                <c:pt idx="5">
                  <c:v>4.0600000000000002E-3</c:v>
                </c:pt>
                <c:pt idx="6">
                  <c:v>4.0700000000000007E-3</c:v>
                </c:pt>
                <c:pt idx="7">
                  <c:v>4.0899999999999999E-3</c:v>
                </c:pt>
                <c:pt idx="8">
                  <c:v>4.7699999999999999E-3</c:v>
                </c:pt>
                <c:pt idx="9">
                  <c:v>5.8400000000000006E-3</c:v>
                </c:pt>
              </c:numCache>
            </c:numRef>
          </c:yVal>
          <c:smooth val="0"/>
        </c:ser>
        <c:ser>
          <c:idx val="3"/>
          <c:order val="2"/>
          <c:tx>
            <c:v>IMMFRA</c:v>
          </c:tx>
          <c:spPr>
            <a:ln w="28575">
              <a:noFill/>
            </a:ln>
          </c:spPr>
          <c:marker>
            <c:symbol val="squar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'6M'!$D$35:$D$39</c:f>
              <c:numCache>
                <c:formatCode>ddd\,\ d\-mmm\-yyyy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'6M'!$J$35:$J$39</c:f>
              <c:numCache>
                <c:formatCode>0.0000%</c:formatCode>
                <c:ptCount val="5"/>
              </c:numCache>
            </c:numRef>
          </c:yVal>
          <c:smooth val="0"/>
        </c:ser>
        <c:ser>
          <c:idx val="4"/>
          <c:order val="3"/>
          <c:tx>
            <c:v>No Toy Effect</c:v>
          </c:tx>
          <c:spPr>
            <a:ln w="3175">
              <a:solidFill>
                <a:srgbClr val="000000"/>
              </a:solidFill>
              <a:prstDash val="solid"/>
            </a:ln>
          </c:spPr>
          <c:marker>
            <c:symbol val="dot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'6M'!$U$23:$U$45</c:f>
              <c:numCache>
                <c:formatCode>ddd\,\ d\-mmm\-yyyy</c:formatCode>
                <c:ptCount val="23"/>
                <c:pt idx="0">
                  <c:v>41712</c:v>
                </c:pt>
                <c:pt idx="1">
                  <c:v>41743</c:v>
                </c:pt>
                <c:pt idx="2">
                  <c:v>41773</c:v>
                </c:pt>
                <c:pt idx="3">
                  <c:v>41806</c:v>
                </c:pt>
                <c:pt idx="4">
                  <c:v>41834</c:v>
                </c:pt>
                <c:pt idx="5">
                  <c:v>41865</c:v>
                </c:pt>
                <c:pt idx="6">
                  <c:v>41897</c:v>
                </c:pt>
                <c:pt idx="7">
                  <c:v>42079</c:v>
                </c:pt>
                <c:pt idx="8">
                  <c:v>42261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</c:numCache>
            </c:numRef>
          </c:xVal>
          <c:yVal>
            <c:numRef>
              <c:f>'6M'!$V$23:$V$45</c:f>
              <c:numCache>
                <c:formatCode>0.0000%</c:formatCode>
                <c:ptCount val="23"/>
                <c:pt idx="0">
                  <c:v>4.0499999999999998E-3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0062592"/>
        <c:axId val="470064512"/>
      </c:scatterChart>
      <c:valAx>
        <c:axId val="470062592"/>
        <c:scaling>
          <c:orientation val="minMax"/>
          <c:min val="41639"/>
        </c:scaling>
        <c:delete val="0"/>
        <c:axPos val="b"/>
        <c:numFmt formatCode="mmm\ yy" sourceLinked="0"/>
        <c:majorTickMark val="out"/>
        <c:min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27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70064512"/>
        <c:crosses val="autoZero"/>
        <c:crossBetween val="midCat"/>
        <c:majorUnit val="91.3125"/>
        <c:minorUnit val="30.4375"/>
      </c:valAx>
      <c:valAx>
        <c:axId val="470064512"/>
        <c:scaling>
          <c:orientation val="minMax"/>
          <c:min val="2.5000000000000001E-3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numFmt formatCode="0.00%" sourceLinked="0"/>
        <c:majorTickMark val="out"/>
        <c:minorTickMark val="none"/>
        <c:tickLblPos val="nextTo"/>
        <c:spPr>
          <a:ln w="9525">
            <a:noFill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70062592"/>
        <c:crosses val="autoZero"/>
        <c:crossBetween val="midCat"/>
        <c:majorUnit val="2.0947500000000003E-3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1531531531531531"/>
          <c:y val="0.49681528662420382"/>
          <c:w val="0.13400900900900903"/>
          <c:h val="0.1847133757961783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FRA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Optimize6M!#REF!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Optimize6M!#REF!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ser>
          <c:idx val="1"/>
          <c:order val="1"/>
          <c:tx>
            <c:v>Spot</c:v>
          </c:tx>
          <c:spPr>
            <a:ln w="28575">
              <a:noFill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Optimize6M!#REF!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Optimize6M!#REF!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0974848"/>
        <c:axId val="470976768"/>
      </c:scatterChart>
      <c:valAx>
        <c:axId val="470974848"/>
        <c:scaling>
          <c:orientation val="minMax"/>
        </c:scaling>
        <c:delete val="0"/>
        <c:axPos val="b"/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70976768"/>
        <c:crosses val="autoZero"/>
        <c:crossBetween val="midCat"/>
      </c:valAx>
      <c:valAx>
        <c:axId val="470976768"/>
        <c:scaling>
          <c:orientation val="minMax"/>
          <c:min val="0.03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.0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70974848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333375</xdr:colOff>
          <xdr:row>14</xdr:row>
          <xdr:rowOff>57150</xdr:rowOff>
        </xdr:from>
        <xdr:to>
          <xdr:col>3</xdr:col>
          <xdr:colOff>95250</xdr:colOff>
          <xdr:row>16</xdr:row>
          <xdr:rowOff>47625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16</xdr:row>
          <xdr:rowOff>123825</xdr:rowOff>
        </xdr:from>
        <xdr:to>
          <xdr:col>3</xdr:col>
          <xdr:colOff>104775</xdr:colOff>
          <xdr:row>18</xdr:row>
          <xdr:rowOff>114300</xdr:rowOff>
        </xdr:to>
        <xdr:sp macro="" textlink="">
          <xdr:nvSpPr>
            <xdr:cNvPr id="3074" name="CommandButton2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0</xdr:row>
      <xdr:rowOff>0</xdr:rowOff>
    </xdr:from>
    <xdr:to>
      <xdr:col>13</xdr:col>
      <xdr:colOff>457200</xdr:colOff>
      <xdr:row>20</xdr:row>
      <xdr:rowOff>123825</xdr:rowOff>
    </xdr:to>
    <xdr:graphicFrame macro="">
      <xdr:nvGraphicFramePr>
        <xdr:cNvPr id="10345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19050</xdr:colOff>
      <xdr:row>0</xdr:row>
      <xdr:rowOff>19050</xdr:rowOff>
    </xdr:from>
    <xdr:to>
      <xdr:col>14</xdr:col>
      <xdr:colOff>9525</xdr:colOff>
      <xdr:row>20</xdr:row>
      <xdr:rowOff>133350</xdr:rowOff>
    </xdr:to>
    <xdr:graphicFrame macro="">
      <xdr:nvGraphicFramePr>
        <xdr:cNvPr id="11836" name="Chart 7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19050</xdr:rowOff>
    </xdr:from>
    <xdr:to>
      <xdr:col>13</xdr:col>
      <xdr:colOff>371475</xdr:colOff>
      <xdr:row>21</xdr:row>
      <xdr:rowOff>9525</xdr:rowOff>
    </xdr:to>
    <xdr:graphicFrame macro="">
      <xdr:nvGraphicFramePr>
        <xdr:cNvPr id="12522" name="Chart 2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171450</xdr:colOff>
      <xdr:row>6</xdr:row>
      <xdr:rowOff>0</xdr:rowOff>
    </xdr:from>
    <xdr:to>
      <xdr:col>9</xdr:col>
      <xdr:colOff>0</xdr:colOff>
      <xdr:row>6</xdr:row>
      <xdr:rowOff>0</xdr:rowOff>
    </xdr:to>
    <xdr:graphicFrame macro="">
      <xdr:nvGraphicFramePr>
        <xdr:cNvPr id="7191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EUR_Market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General Settings"/>
      <sheetName val="Euribor"/>
      <sheetName val="BasisSwap1MxM"/>
      <sheetName val="BasisSwap3M6M"/>
      <sheetName val="BasisSwapxM12M"/>
      <sheetName val="Deposits"/>
      <sheetName val="FRA"/>
      <sheetName val="Futures1M"/>
      <sheetName val="Futures3M"/>
      <sheetName val="ImmFra6M "/>
      <sheetName val="FuturesHWConvAdj"/>
      <sheetName val="OIS"/>
      <sheetName val="Swaps1M"/>
      <sheetName val="SwapsIMMDated"/>
      <sheetName val="Swap3M"/>
      <sheetName val="Swap6M"/>
      <sheetName val="ON"/>
      <sheetName val="1M (2)"/>
      <sheetName val="3M (2)"/>
      <sheetName val="6M (2)"/>
      <sheetName val="1Y (2)"/>
      <sheetName val="1M (3)"/>
      <sheetName val="3M (4)"/>
      <sheetName val="6M (3)"/>
      <sheetName val="1Y (3)"/>
    </sheetNames>
    <definedNames>
      <definedName name="LastFixingsTrigger" refersTo="='General Settings'!$D$7"/>
      <definedName name="TriggerTOY1M" refersTo="='General Settings'!$D$8"/>
      <definedName name="TriggerTOY3M" refersTo="='General Settings'!$D$9"/>
      <definedName name="TriggerTOY6M" refersTo="='General Settings'!$D$10"/>
    </definedNames>
    <sheetDataSet>
      <sheetData sheetId="0">
        <row r="7">
          <cell r="D7">
            <v>0</v>
          </cell>
        </row>
        <row r="8">
          <cell r="D8">
            <v>2</v>
          </cell>
        </row>
        <row r="9">
          <cell r="D9">
            <v>1</v>
          </cell>
        </row>
        <row r="10">
          <cell r="D10">
            <v>2</v>
          </cell>
        </row>
      </sheetData>
      <sheetData sheetId="1">
        <row r="7">
          <cell r="D7" t="str">
            <v>EURSTD</v>
          </cell>
        </row>
        <row r="8">
          <cell r="D8" t="str">
            <v>EURON</v>
          </cell>
        </row>
        <row r="9">
          <cell r="D9" t="str">
            <v>EUR1M</v>
          </cell>
        </row>
        <row r="10">
          <cell r="D10" t="str">
            <v>EUR3M</v>
          </cell>
        </row>
      </sheetData>
      <sheetData sheetId="2">
        <row r="7">
          <cell r="D7" t="str">
            <v>6E</v>
          </cell>
        </row>
        <row r="8">
          <cell r="D8" t="str">
            <v>6E</v>
          </cell>
        </row>
        <row r="9">
          <cell r="D9" t="str">
            <v>6E</v>
          </cell>
        </row>
        <row r="10">
          <cell r="D10" t="str">
            <v>6E</v>
          </cell>
        </row>
      </sheetData>
      <sheetData sheetId="3">
        <row r="7">
          <cell r="D7" t="str">
            <v>6E</v>
          </cell>
        </row>
        <row r="8">
          <cell r="D8" t="str">
            <v>6E</v>
          </cell>
        </row>
        <row r="9">
          <cell r="D9" t="str">
            <v>6E</v>
          </cell>
        </row>
        <row r="10">
          <cell r="D10" t="str">
            <v>6E</v>
          </cell>
        </row>
      </sheetData>
      <sheetData sheetId="4">
        <row r="7">
          <cell r="D7" t="str">
            <v>12E</v>
          </cell>
        </row>
        <row r="8">
          <cell r="D8" t="str">
            <v>12E</v>
          </cell>
        </row>
        <row r="9">
          <cell r="D9" t="str">
            <v>12E</v>
          </cell>
        </row>
        <row r="10">
          <cell r="D10" t="str">
            <v>12E</v>
          </cell>
        </row>
      </sheetData>
      <sheetData sheetId="5">
        <row r="7">
          <cell r="D7" t="str">
            <v>EURSND_Quote#0000</v>
          </cell>
        </row>
        <row r="8">
          <cell r="D8" t="str">
            <v>EURSWD_Quote#0000</v>
          </cell>
        </row>
        <row r="9">
          <cell r="D9" t="str">
            <v>EUR2WD_Quote#0000</v>
          </cell>
        </row>
        <row r="10">
          <cell r="D10" t="str">
            <v>EUR3WD_Quote#0000</v>
          </cell>
        </row>
      </sheetData>
      <sheetData sheetId="6">
        <row r="7">
          <cell r="D7" t="str">
            <v>EUR1x4F_Quote</v>
          </cell>
        </row>
        <row r="8">
          <cell r="D8" t="str">
            <v>EUR2x5F_Quote</v>
          </cell>
        </row>
        <row r="9">
          <cell r="D9" t="str">
            <v>EUR3x6F_Quote</v>
          </cell>
        </row>
        <row r="10">
          <cell r="D10" t="str">
            <v>EUR4x7F_Quote</v>
          </cell>
        </row>
      </sheetData>
      <sheetData sheetId="7">
        <row r="7">
          <cell r="D7" t="str">
            <v>J4</v>
          </cell>
        </row>
        <row r="8">
          <cell r="D8" t="str">
            <v>K4</v>
          </cell>
        </row>
        <row r="9">
          <cell r="D9" t="str">
            <v>M4</v>
          </cell>
        </row>
        <row r="10">
          <cell r="D10" t="str">
            <v>N4</v>
          </cell>
        </row>
      </sheetData>
      <sheetData sheetId="8">
        <row r="7">
          <cell r="D7" t="str">
            <v>H4</v>
          </cell>
        </row>
        <row r="8">
          <cell r="D8" t="str">
            <v>J4</v>
          </cell>
        </row>
        <row r="9">
          <cell r="D9" t="str">
            <v>K4</v>
          </cell>
        </row>
        <row r="10">
          <cell r="D10" t="str">
            <v>M4</v>
          </cell>
        </row>
      </sheetData>
      <sheetData sheetId="9">
        <row r="7">
          <cell r="D7" t="str">
            <v>J4</v>
          </cell>
        </row>
        <row r="8">
          <cell r="D8" t="str">
            <v>K4</v>
          </cell>
        </row>
        <row r="9">
          <cell r="D9" t="str">
            <v>M4</v>
          </cell>
        </row>
        <row r="10">
          <cell r="D10" t="str">
            <v>N4</v>
          </cell>
        </row>
      </sheetData>
      <sheetData sheetId="10"/>
      <sheetData sheetId="11">
        <row r="7">
          <cell r="D7" t="str">
            <v>3W</v>
          </cell>
        </row>
        <row r="8">
          <cell r="D8" t="str">
            <v>1M</v>
          </cell>
        </row>
        <row r="9">
          <cell r="D9" t="str">
            <v>2M</v>
          </cell>
        </row>
        <row r="10">
          <cell r="D10" t="str">
            <v>3M</v>
          </cell>
        </row>
      </sheetData>
      <sheetData sheetId="12">
        <row r="7">
          <cell r="D7" t="str">
            <v>X1S</v>
          </cell>
        </row>
        <row r="8">
          <cell r="D8" t="str">
            <v>X1S</v>
          </cell>
        </row>
        <row r="9">
          <cell r="D9" t="str">
            <v>X1S</v>
          </cell>
        </row>
        <row r="10">
          <cell r="D10" t="str">
            <v>X1S</v>
          </cell>
        </row>
      </sheetData>
      <sheetData sheetId="13">
        <row r="7">
          <cell r="D7">
            <v>12</v>
          </cell>
        </row>
        <row r="8">
          <cell r="D8">
            <v>12</v>
          </cell>
        </row>
        <row r="9">
          <cell r="D9">
            <v>24</v>
          </cell>
        </row>
        <row r="10">
          <cell r="D10">
            <v>24</v>
          </cell>
        </row>
      </sheetData>
      <sheetData sheetId="14">
        <row r="7">
          <cell r="D7" t="str">
            <v>3E</v>
          </cell>
        </row>
        <row r="8">
          <cell r="D8" t="str">
            <v>3E</v>
          </cell>
        </row>
        <row r="9">
          <cell r="D9" t="str">
            <v>3E</v>
          </cell>
        </row>
        <row r="10">
          <cell r="D10" t="str">
            <v>3E</v>
          </cell>
        </row>
      </sheetData>
      <sheetData sheetId="15">
        <row r="7">
          <cell r="D7" t="str">
            <v>6E</v>
          </cell>
        </row>
        <row r="8">
          <cell r="D8" t="str">
            <v>6E</v>
          </cell>
        </row>
        <row r="9">
          <cell r="D9" t="str">
            <v>6E</v>
          </cell>
        </row>
        <row r="10">
          <cell r="D10" t="str">
            <v>6E</v>
          </cell>
        </row>
      </sheetData>
      <sheetData sheetId="16"/>
      <sheetData sheetId="17">
        <row r="7">
          <cell r="D7" t="str">
            <v>6E</v>
          </cell>
        </row>
        <row r="8">
          <cell r="D8" t="str">
            <v>6E</v>
          </cell>
        </row>
        <row r="9">
          <cell r="D9" t="str">
            <v>6E</v>
          </cell>
        </row>
        <row r="10">
          <cell r="D10" t="str">
            <v>6E</v>
          </cell>
        </row>
      </sheetData>
      <sheetData sheetId="18">
        <row r="7">
          <cell r="D7" t="str">
            <v>6E</v>
          </cell>
        </row>
        <row r="8">
          <cell r="D8" t="str">
            <v>6E</v>
          </cell>
        </row>
        <row r="9">
          <cell r="D9" t="str">
            <v>6E</v>
          </cell>
        </row>
        <row r="10">
          <cell r="D10" t="str">
            <v>6E</v>
          </cell>
        </row>
      </sheetData>
      <sheetData sheetId="19">
        <row r="7">
          <cell r="D7" t="str">
            <v>3E</v>
          </cell>
        </row>
        <row r="8">
          <cell r="D8" t="str">
            <v>3E</v>
          </cell>
        </row>
        <row r="9">
          <cell r="D9" t="str">
            <v>3E</v>
          </cell>
        </row>
        <row r="10">
          <cell r="D10" t="str">
            <v>3E</v>
          </cell>
        </row>
      </sheetData>
      <sheetData sheetId="20">
        <row r="7">
          <cell r="D7" t="str">
            <v>6E</v>
          </cell>
        </row>
        <row r="8">
          <cell r="D8" t="str">
            <v>6E</v>
          </cell>
        </row>
        <row r="9">
          <cell r="D9" t="str">
            <v>6E</v>
          </cell>
        </row>
        <row r="10">
          <cell r="D10" t="str">
            <v>6E</v>
          </cell>
        </row>
      </sheetData>
      <sheetData sheetId="21">
        <row r="7">
          <cell r="D7" t="str">
            <v>1E</v>
          </cell>
        </row>
        <row r="8">
          <cell r="D8" t="str">
            <v>1E</v>
          </cell>
        </row>
        <row r="9">
          <cell r="D9" t="str">
            <v>1E</v>
          </cell>
        </row>
        <row r="10">
          <cell r="D10" t="str">
            <v>1E</v>
          </cell>
        </row>
      </sheetData>
      <sheetData sheetId="22">
        <row r="7">
          <cell r="D7" t="str">
            <v>3E</v>
          </cell>
        </row>
        <row r="8">
          <cell r="D8" t="str">
            <v>3E</v>
          </cell>
        </row>
        <row r="9">
          <cell r="D9" t="str">
            <v>3E</v>
          </cell>
        </row>
        <row r="10">
          <cell r="D10" t="str">
            <v>3E</v>
          </cell>
        </row>
      </sheetData>
      <sheetData sheetId="23">
        <row r="7">
          <cell r="D7" t="str">
            <v>6E</v>
          </cell>
        </row>
        <row r="8">
          <cell r="D8" t="str">
            <v>6E</v>
          </cell>
        </row>
        <row r="9">
          <cell r="D9" t="str">
            <v>6E</v>
          </cell>
        </row>
        <row r="10">
          <cell r="D10" t="str">
            <v>6E</v>
          </cell>
        </row>
      </sheetData>
      <sheetData sheetId="24">
        <row r="7">
          <cell r="D7" t="str">
            <v>12E</v>
          </cell>
        </row>
        <row r="8">
          <cell r="D8" t="str">
            <v>12E</v>
          </cell>
        </row>
        <row r="9">
          <cell r="D9" t="str">
            <v>12E</v>
          </cell>
        </row>
        <row r="10">
          <cell r="D10" t="str">
            <v>12E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J52"/>
  <sheetViews>
    <sheetView workbookViewId="0">
      <selection activeCell="D26" sqref="D26"/>
    </sheetView>
  </sheetViews>
  <sheetFormatPr defaultColWidth="10.6640625" defaultRowHeight="12.75" x14ac:dyDescent="0.2"/>
  <cols>
    <col min="1" max="1" width="3.5" style="175" customWidth="1"/>
    <col min="2" max="2" width="6" style="175" customWidth="1"/>
    <col min="3" max="3" width="22.33203125" style="175" bestFit="1" customWidth="1"/>
    <col min="4" max="4" width="28" style="175" bestFit="1" customWidth="1"/>
    <col min="5" max="5" width="27" style="175" bestFit="1" customWidth="1"/>
    <col min="6" max="6" width="6.33203125" style="175" customWidth="1"/>
    <col min="7" max="16384" width="10.6640625" style="175"/>
  </cols>
  <sheetData>
    <row r="1" spans="1:36" s="154" customFormat="1" x14ac:dyDescent="0.2">
      <c r="B1" s="154" t="str">
        <f>_xll.qlxlVersion(TRUE,EvaluationDate)</f>
        <v>QuantLibXL 1.4.0 - MS VC++ 9.0 - Multithreaded Dynamic Runtime library - Release Configuration - Mar  3 2014 10:58:57</v>
      </c>
    </row>
    <row r="2" spans="1:36" s="154" customFormat="1" ht="15.75" x14ac:dyDescent="0.25">
      <c r="B2" s="335" t="s">
        <v>0</v>
      </c>
      <c r="C2" s="336"/>
      <c r="D2" s="336"/>
      <c r="E2" s="336"/>
      <c r="F2" s="337"/>
    </row>
    <row r="3" spans="1:36" s="158" customFormat="1" x14ac:dyDescent="0.2">
      <c r="A3" s="154"/>
      <c r="B3" s="155"/>
      <c r="C3" s="156"/>
      <c r="D3" s="156"/>
      <c r="E3" s="156"/>
      <c r="F3" s="157"/>
      <c r="G3" s="154"/>
      <c r="H3" s="154"/>
      <c r="I3" s="154"/>
      <c r="J3" s="154"/>
      <c r="K3" s="154"/>
      <c r="L3" s="154"/>
      <c r="M3" s="154"/>
      <c r="N3" s="154"/>
      <c r="O3" s="154"/>
      <c r="P3" s="154"/>
      <c r="Q3" s="154"/>
      <c r="R3" s="154"/>
      <c r="S3" s="154"/>
      <c r="T3" s="154"/>
      <c r="U3" s="154"/>
      <c r="V3" s="154"/>
      <c r="W3" s="154"/>
      <c r="X3" s="154"/>
      <c r="Y3" s="154"/>
      <c r="Z3" s="154"/>
      <c r="AA3" s="154"/>
      <c r="AB3" s="154"/>
      <c r="AC3" s="154"/>
      <c r="AD3" s="154"/>
      <c r="AE3" s="154"/>
      <c r="AF3" s="154"/>
      <c r="AG3" s="154"/>
      <c r="AH3" s="154"/>
      <c r="AI3" s="154"/>
      <c r="AJ3" s="154"/>
    </row>
    <row r="4" spans="1:36" s="158" customFormat="1" x14ac:dyDescent="0.2">
      <c r="A4" s="154"/>
      <c r="B4" s="155"/>
      <c r="C4" s="186" t="s">
        <v>1</v>
      </c>
      <c r="D4" s="187" t="s">
        <v>40</v>
      </c>
      <c r="E4" s="159"/>
      <c r="F4" s="160"/>
      <c r="G4" s="154"/>
      <c r="H4" s="154"/>
      <c r="I4" s="154"/>
      <c r="J4" s="154"/>
      <c r="K4" s="154"/>
      <c r="L4" s="154"/>
      <c r="M4" s="154"/>
      <c r="N4" s="154"/>
      <c r="O4" s="154"/>
      <c r="P4" s="154"/>
      <c r="Q4" s="154"/>
      <c r="R4" s="154"/>
      <c r="S4" s="154"/>
      <c r="T4" s="154"/>
      <c r="U4" s="154"/>
      <c r="V4" s="154"/>
      <c r="W4" s="154"/>
      <c r="X4" s="154"/>
      <c r="Y4" s="154"/>
      <c r="Z4" s="154"/>
      <c r="AA4" s="154"/>
      <c r="AB4" s="154"/>
      <c r="AC4" s="154"/>
      <c r="AD4" s="154"/>
      <c r="AE4" s="154"/>
      <c r="AF4" s="154"/>
      <c r="AG4" s="154"/>
      <c r="AH4" s="154"/>
      <c r="AI4" s="154"/>
      <c r="AJ4" s="154"/>
    </row>
    <row r="5" spans="1:36" s="161" customFormat="1" x14ac:dyDescent="0.2">
      <c r="A5" s="154"/>
      <c r="B5" s="155"/>
      <c r="C5" s="188" t="s">
        <v>22</v>
      </c>
      <c r="D5" s="189" t="s">
        <v>19</v>
      </c>
      <c r="E5" s="159"/>
      <c r="F5" s="160"/>
      <c r="G5" s="154"/>
      <c r="H5" s="154"/>
      <c r="I5" s="154"/>
      <c r="J5" s="154"/>
      <c r="K5" s="154"/>
      <c r="L5" s="154"/>
      <c r="M5" s="154"/>
      <c r="N5" s="154"/>
      <c r="O5" s="154"/>
      <c r="P5" s="154"/>
      <c r="Q5" s="154"/>
      <c r="R5" s="154"/>
      <c r="S5" s="154"/>
      <c r="T5" s="154"/>
      <c r="U5" s="154"/>
      <c r="V5" s="154"/>
      <c r="W5" s="154"/>
      <c r="X5" s="154"/>
      <c r="Y5" s="154"/>
      <c r="Z5" s="154"/>
      <c r="AA5" s="154"/>
      <c r="AB5" s="154"/>
      <c r="AC5" s="154"/>
      <c r="AD5" s="154"/>
      <c r="AE5" s="154"/>
      <c r="AF5" s="154"/>
      <c r="AG5" s="154"/>
      <c r="AH5" s="154"/>
      <c r="AI5" s="154"/>
      <c r="AJ5" s="154"/>
    </row>
    <row r="6" spans="1:36" s="161" customFormat="1" x14ac:dyDescent="0.2">
      <c r="A6" s="154"/>
      <c r="B6" s="155"/>
      <c r="C6" s="188" t="s">
        <v>24</v>
      </c>
      <c r="D6" s="189" t="s">
        <v>18</v>
      </c>
      <c r="E6" s="159"/>
      <c r="F6" s="160"/>
      <c r="G6" s="154"/>
      <c r="H6" s="154"/>
      <c r="I6" s="154"/>
      <c r="J6" s="154"/>
      <c r="K6" s="154"/>
      <c r="L6" s="154"/>
      <c r="M6" s="154"/>
      <c r="N6" s="154"/>
      <c r="O6" s="154"/>
      <c r="P6" s="154"/>
      <c r="Q6" s="154"/>
      <c r="R6" s="154"/>
      <c r="S6" s="154"/>
      <c r="T6" s="154"/>
      <c r="U6" s="154"/>
      <c r="V6" s="154"/>
      <c r="W6" s="154"/>
      <c r="X6" s="154"/>
      <c r="Y6" s="154"/>
      <c r="Z6" s="154"/>
      <c r="AA6" s="154"/>
      <c r="AB6" s="154"/>
      <c r="AC6" s="154"/>
      <c r="AD6" s="154"/>
      <c r="AE6" s="154"/>
      <c r="AF6" s="154"/>
      <c r="AG6" s="154"/>
      <c r="AH6" s="154"/>
      <c r="AI6" s="154"/>
      <c r="AJ6" s="154"/>
    </row>
    <row r="7" spans="1:36" s="158" customFormat="1" x14ac:dyDescent="0.2">
      <c r="A7" s="154"/>
      <c r="B7" s="155"/>
      <c r="C7" s="190" t="s">
        <v>2</v>
      </c>
      <c r="D7" s="191">
        <f>_xll.ohTrigger(Optimize1M!I3,Optimize3M!I3,Optimize6M!I3)</f>
        <v>13</v>
      </c>
      <c r="E7" s="159"/>
      <c r="F7" s="160"/>
      <c r="G7" s="154"/>
      <c r="H7" s="154"/>
      <c r="I7" s="154"/>
      <c r="J7" s="154"/>
      <c r="K7" s="154"/>
      <c r="L7" s="154"/>
      <c r="M7" s="154"/>
      <c r="N7" s="154"/>
      <c r="O7" s="154"/>
      <c r="P7" s="154"/>
      <c r="Q7" s="154"/>
      <c r="R7" s="154"/>
      <c r="S7" s="154"/>
      <c r="T7" s="154"/>
      <c r="U7" s="154"/>
      <c r="V7" s="154"/>
      <c r="W7" s="154"/>
      <c r="X7" s="154"/>
      <c r="Y7" s="154"/>
      <c r="Z7" s="154"/>
      <c r="AA7" s="154"/>
      <c r="AB7" s="154"/>
      <c r="AC7" s="154"/>
      <c r="AD7" s="154"/>
      <c r="AE7" s="154"/>
      <c r="AF7" s="154"/>
      <c r="AG7" s="154"/>
      <c r="AH7" s="154"/>
      <c r="AI7" s="154"/>
      <c r="AJ7" s="154"/>
    </row>
    <row r="8" spans="1:36" s="158" customFormat="1" x14ac:dyDescent="0.2">
      <c r="A8" s="154"/>
      <c r="B8" s="155"/>
      <c r="C8" s="159"/>
      <c r="D8" s="162"/>
      <c r="E8" s="159"/>
      <c r="F8" s="160"/>
      <c r="G8" s="154"/>
      <c r="H8" s="154"/>
      <c r="I8" s="154"/>
      <c r="J8" s="154"/>
      <c r="K8" s="154"/>
      <c r="L8" s="154"/>
      <c r="M8" s="154"/>
      <c r="N8" s="154"/>
      <c r="O8" s="154"/>
      <c r="P8" s="154"/>
      <c r="Q8" s="154"/>
      <c r="R8" s="154"/>
      <c r="S8" s="154"/>
      <c r="T8" s="154"/>
      <c r="U8" s="154"/>
      <c r="V8" s="154"/>
      <c r="W8" s="154"/>
      <c r="X8" s="154"/>
      <c r="Y8" s="154"/>
      <c r="Z8" s="154"/>
      <c r="AA8" s="154"/>
      <c r="AB8" s="154"/>
      <c r="AC8" s="154"/>
      <c r="AD8" s="154"/>
      <c r="AE8" s="154"/>
      <c r="AF8" s="154"/>
      <c r="AG8" s="154"/>
      <c r="AH8" s="154"/>
      <c r="AI8" s="154"/>
      <c r="AJ8" s="154"/>
    </row>
    <row r="9" spans="1:36" s="158" customFormat="1" x14ac:dyDescent="0.2">
      <c r="A9" s="154"/>
      <c r="B9" s="155"/>
      <c r="C9" s="163" t="s">
        <v>32</v>
      </c>
      <c r="D9" s="164">
        <f>_xll.qlRateHelperEarliestDate('3M'!C23,EvaluationDate)</f>
        <v>41712</v>
      </c>
      <c r="E9" s="159"/>
      <c r="F9" s="160"/>
      <c r="G9" s="154"/>
      <c r="H9" s="154"/>
      <c r="I9" s="154"/>
      <c r="J9" s="154"/>
      <c r="K9" s="154"/>
      <c r="L9" s="154"/>
      <c r="M9" s="154"/>
      <c r="N9" s="154"/>
      <c r="O9" s="154"/>
      <c r="P9" s="154"/>
      <c r="Q9" s="154"/>
      <c r="R9" s="154"/>
      <c r="S9" s="154"/>
      <c r="T9" s="154"/>
      <c r="U9" s="154"/>
      <c r="V9" s="154"/>
      <c r="W9" s="154"/>
      <c r="X9" s="154"/>
      <c r="Y9" s="154"/>
      <c r="Z9" s="154"/>
      <c r="AA9" s="154"/>
      <c r="AB9" s="154"/>
      <c r="AC9" s="154"/>
      <c r="AD9" s="154"/>
      <c r="AE9" s="154"/>
      <c r="AF9" s="154"/>
      <c r="AG9" s="154"/>
      <c r="AH9" s="154"/>
      <c r="AI9" s="154"/>
      <c r="AJ9" s="154"/>
    </row>
    <row r="10" spans="1:36" s="158" customFormat="1" x14ac:dyDescent="0.2">
      <c r="A10" s="154"/>
      <c r="B10" s="155"/>
      <c r="C10" s="163" t="s">
        <v>14</v>
      </c>
      <c r="D10" s="164">
        <f>_xll.qlCalendarAdjust(Calendar,DATE(YEAR(SettlementDate),12,31),"Preceding")</f>
        <v>42004</v>
      </c>
      <c r="E10" s="159"/>
      <c r="F10" s="160"/>
      <c r="G10" s="154"/>
      <c r="H10" s="154"/>
      <c r="I10" s="154"/>
      <c r="J10" s="154"/>
      <c r="K10" s="154"/>
      <c r="L10" s="154"/>
      <c r="M10" s="154"/>
      <c r="N10" s="154"/>
      <c r="O10" s="154"/>
      <c r="P10" s="154"/>
      <c r="Q10" s="154"/>
      <c r="R10" s="154"/>
      <c r="S10" s="154"/>
      <c r="T10" s="154"/>
      <c r="U10" s="154"/>
      <c r="V10" s="154"/>
      <c r="W10" s="154"/>
      <c r="X10" s="154"/>
      <c r="Y10" s="154"/>
      <c r="Z10" s="154"/>
      <c r="AA10" s="154"/>
      <c r="AB10" s="154"/>
      <c r="AC10" s="154"/>
      <c r="AD10" s="154"/>
      <c r="AE10" s="154"/>
      <c r="AF10" s="154"/>
      <c r="AG10" s="154"/>
      <c r="AH10" s="154"/>
      <c r="AI10" s="154"/>
      <c r="AJ10" s="154"/>
    </row>
    <row r="11" spans="1:36" s="158" customFormat="1" x14ac:dyDescent="0.2">
      <c r="A11" s="154"/>
      <c r="B11" s="155"/>
      <c r="C11" s="163" t="s">
        <v>26</v>
      </c>
      <c r="D11" s="164">
        <f>_xll.qlCalendarAdjust(Calendar,DATE(YEAR(SettlementDate)+1,12,31),"Preceding")</f>
        <v>42369</v>
      </c>
      <c r="E11" s="159"/>
      <c r="F11" s="160"/>
      <c r="G11" s="154"/>
      <c r="H11" s="154"/>
      <c r="I11" s="154"/>
      <c r="J11" s="154"/>
      <c r="K11" s="154"/>
      <c r="L11" s="154"/>
      <c r="M11" s="154"/>
      <c r="N11" s="154"/>
      <c r="O11" s="154"/>
      <c r="P11" s="154"/>
      <c r="Q11" s="154"/>
      <c r="R11" s="154"/>
      <c r="S11" s="154"/>
      <c r="T11" s="154"/>
      <c r="U11" s="154"/>
      <c r="V11" s="154"/>
      <c r="W11" s="154"/>
      <c r="X11" s="154"/>
      <c r="Y11" s="154"/>
      <c r="Z11" s="154"/>
      <c r="AA11" s="154"/>
      <c r="AB11" s="154"/>
      <c r="AC11" s="154"/>
      <c r="AD11" s="154"/>
      <c r="AE11" s="154"/>
      <c r="AF11" s="154"/>
      <c r="AG11" s="154"/>
      <c r="AH11" s="154"/>
      <c r="AI11" s="154"/>
      <c r="AJ11" s="154"/>
    </row>
    <row r="12" spans="1:36" s="158" customFormat="1" x14ac:dyDescent="0.2">
      <c r="A12" s="154"/>
      <c r="B12" s="155"/>
      <c r="C12" s="163" t="s">
        <v>34</v>
      </c>
      <c r="D12" s="164" t="s">
        <v>48</v>
      </c>
      <c r="E12" s="159"/>
      <c r="F12" s="160"/>
      <c r="G12" s="154"/>
      <c r="H12" s="154"/>
      <c r="I12" s="154"/>
      <c r="J12" s="154"/>
      <c r="K12" s="154"/>
      <c r="L12" s="154"/>
      <c r="M12" s="154"/>
      <c r="N12" s="154"/>
      <c r="O12" s="154"/>
      <c r="P12" s="154"/>
      <c r="Q12" s="154"/>
      <c r="R12" s="154"/>
      <c r="S12" s="154"/>
      <c r="T12" s="154"/>
      <c r="U12" s="154"/>
      <c r="V12" s="154"/>
      <c r="W12" s="154"/>
      <c r="X12" s="154"/>
      <c r="Y12" s="154"/>
      <c r="Z12" s="154"/>
      <c r="AA12" s="154"/>
      <c r="AB12" s="154"/>
      <c r="AC12" s="154"/>
      <c r="AD12" s="154"/>
      <c r="AE12" s="154"/>
      <c r="AF12" s="154"/>
      <c r="AG12" s="154"/>
      <c r="AH12" s="154"/>
      <c r="AI12" s="154"/>
      <c r="AJ12" s="154"/>
    </row>
    <row r="13" spans="1:36" s="158" customFormat="1" x14ac:dyDescent="0.2">
      <c r="A13" s="154"/>
      <c r="B13" s="155"/>
      <c r="C13" s="163" t="s">
        <v>33</v>
      </c>
      <c r="D13" s="165" t="s">
        <v>49</v>
      </c>
      <c r="E13" s="159"/>
      <c r="F13" s="160"/>
      <c r="G13" s="154"/>
      <c r="H13" s="154"/>
      <c r="I13" s="154"/>
      <c r="J13" s="154"/>
      <c r="K13" s="154"/>
      <c r="L13" s="154"/>
      <c r="M13" s="154"/>
      <c r="N13" s="154"/>
      <c r="O13" s="154"/>
      <c r="P13" s="154"/>
      <c r="Q13" s="154"/>
      <c r="R13" s="154"/>
      <c r="S13" s="154"/>
      <c r="T13" s="154"/>
      <c r="U13" s="154"/>
      <c r="V13" s="154"/>
      <c r="W13" s="154"/>
      <c r="X13" s="154"/>
      <c r="Y13" s="154"/>
      <c r="Z13" s="154"/>
      <c r="AA13" s="154"/>
      <c r="AB13" s="154"/>
      <c r="AC13" s="154"/>
      <c r="AD13" s="154"/>
      <c r="AE13" s="154"/>
      <c r="AF13" s="154"/>
      <c r="AG13" s="154"/>
      <c r="AH13" s="154"/>
      <c r="AI13" s="154"/>
      <c r="AJ13" s="154"/>
    </row>
    <row r="14" spans="1:36" s="158" customFormat="1" x14ac:dyDescent="0.2">
      <c r="A14" s="154"/>
      <c r="B14" s="155"/>
      <c r="C14" s="159"/>
      <c r="D14" s="159"/>
      <c r="E14" s="159"/>
      <c r="F14" s="160"/>
      <c r="G14" s="154"/>
      <c r="H14" s="154"/>
      <c r="I14" s="154"/>
      <c r="J14" s="154"/>
      <c r="K14" s="154"/>
      <c r="L14" s="154"/>
      <c r="M14" s="154"/>
      <c r="N14" s="154"/>
      <c r="O14" s="154"/>
      <c r="P14" s="154"/>
      <c r="Q14" s="154"/>
      <c r="R14" s="154"/>
      <c r="S14" s="154"/>
      <c r="T14" s="154"/>
      <c r="U14" s="154"/>
      <c r="V14" s="154"/>
      <c r="W14" s="154"/>
      <c r="X14" s="154"/>
      <c r="Y14" s="154"/>
      <c r="Z14" s="154"/>
      <c r="AA14" s="154"/>
      <c r="AB14" s="154"/>
      <c r="AC14" s="154"/>
      <c r="AD14" s="154"/>
      <c r="AE14" s="154"/>
      <c r="AF14" s="154"/>
      <c r="AG14" s="154"/>
      <c r="AH14" s="154"/>
      <c r="AI14" s="154"/>
      <c r="AJ14" s="154"/>
    </row>
    <row r="15" spans="1:36" s="158" customFormat="1" x14ac:dyDescent="0.2">
      <c r="A15" s="154"/>
      <c r="B15" s="155"/>
      <c r="C15" s="166"/>
      <c r="D15" s="166"/>
      <c r="E15" s="166"/>
      <c r="F15" s="160"/>
      <c r="G15" s="154"/>
      <c r="H15" s="154"/>
      <c r="I15" s="154"/>
      <c r="J15" s="154"/>
      <c r="K15" s="154"/>
      <c r="L15" s="154"/>
      <c r="M15" s="154"/>
      <c r="N15" s="154"/>
      <c r="O15" s="154"/>
      <c r="P15" s="154"/>
      <c r="Q15" s="154"/>
      <c r="R15" s="154"/>
      <c r="S15" s="154"/>
      <c r="T15" s="154"/>
      <c r="U15" s="154"/>
      <c r="V15" s="154"/>
      <c r="W15" s="154"/>
      <c r="X15" s="154"/>
      <c r="Y15" s="154"/>
      <c r="Z15" s="154"/>
      <c r="AA15" s="154"/>
      <c r="AB15" s="154"/>
      <c r="AC15" s="154"/>
      <c r="AD15" s="154"/>
      <c r="AE15" s="154"/>
      <c r="AF15" s="154"/>
      <c r="AG15" s="154"/>
      <c r="AH15" s="154"/>
      <c r="AI15" s="154"/>
      <c r="AJ15" s="154"/>
    </row>
    <row r="16" spans="1:36" s="158" customFormat="1" x14ac:dyDescent="0.2">
      <c r="A16" s="154"/>
      <c r="B16" s="155"/>
      <c r="C16" s="166"/>
      <c r="D16" s="1" t="s">
        <v>3</v>
      </c>
      <c r="E16" s="167">
        <v>41479.71230324074</v>
      </c>
      <c r="F16" s="160"/>
      <c r="G16" s="154"/>
      <c r="H16" s="154"/>
      <c r="I16" s="154"/>
      <c r="J16" s="154"/>
      <c r="K16" s="154"/>
      <c r="L16" s="154"/>
      <c r="M16" s="154"/>
      <c r="N16" s="154"/>
      <c r="O16" s="154"/>
      <c r="P16" s="154"/>
      <c r="Q16" s="154"/>
      <c r="R16" s="154"/>
      <c r="S16" s="154"/>
      <c r="T16" s="154"/>
      <c r="U16" s="154"/>
      <c r="V16" s="154"/>
      <c r="W16" s="154"/>
      <c r="X16" s="154"/>
      <c r="Y16" s="154"/>
      <c r="Z16" s="154"/>
      <c r="AA16" s="154"/>
      <c r="AB16" s="154"/>
      <c r="AC16" s="154"/>
      <c r="AD16" s="154"/>
      <c r="AE16" s="154"/>
      <c r="AF16" s="154"/>
      <c r="AG16" s="154"/>
      <c r="AH16" s="154"/>
      <c r="AI16" s="154"/>
      <c r="AJ16" s="154"/>
    </row>
    <row r="17" spans="1:36" s="158" customFormat="1" x14ac:dyDescent="0.2">
      <c r="A17" s="154"/>
      <c r="B17" s="155"/>
      <c r="C17" s="166"/>
      <c r="D17" s="168"/>
      <c r="E17" s="169"/>
      <c r="F17" s="160"/>
      <c r="G17" s="154"/>
      <c r="H17" s="154"/>
      <c r="I17" s="154"/>
      <c r="J17" s="154"/>
      <c r="K17" s="154"/>
      <c r="L17" s="154"/>
      <c r="M17" s="154"/>
      <c r="N17" s="154"/>
      <c r="O17" s="154"/>
      <c r="P17" s="154"/>
      <c r="Q17" s="154"/>
      <c r="R17" s="154"/>
      <c r="S17" s="154"/>
      <c r="T17" s="154"/>
      <c r="U17" s="154"/>
      <c r="V17" s="154"/>
      <c r="W17" s="154"/>
      <c r="X17" s="154"/>
      <c r="Y17" s="154"/>
      <c r="Z17" s="154"/>
      <c r="AA17" s="154"/>
      <c r="AB17" s="154"/>
      <c r="AC17" s="154"/>
      <c r="AD17" s="154"/>
      <c r="AE17" s="154"/>
      <c r="AF17" s="154"/>
      <c r="AG17" s="154"/>
      <c r="AH17" s="154"/>
      <c r="AI17" s="154"/>
      <c r="AJ17" s="154"/>
    </row>
    <row r="18" spans="1:36" s="158" customFormat="1" x14ac:dyDescent="0.2">
      <c r="A18" s="154"/>
      <c r="B18" s="155"/>
      <c r="C18" s="166"/>
      <c r="D18" s="1"/>
      <c r="E18" s="169"/>
      <c r="F18" s="160"/>
      <c r="G18" s="154"/>
      <c r="H18" s="154"/>
      <c r="I18" s="154"/>
      <c r="J18" s="154"/>
      <c r="K18" s="154"/>
      <c r="L18" s="154"/>
      <c r="M18" s="154"/>
      <c r="N18" s="154"/>
      <c r="O18" s="154"/>
      <c r="P18" s="154"/>
      <c r="Q18" s="154"/>
      <c r="R18" s="154"/>
      <c r="S18" s="154"/>
      <c r="T18" s="154"/>
      <c r="U18" s="154"/>
      <c r="V18" s="154"/>
      <c r="W18" s="154"/>
      <c r="X18" s="154"/>
      <c r="Y18" s="154"/>
      <c r="Z18" s="154"/>
      <c r="AA18" s="154"/>
      <c r="AB18" s="154"/>
      <c r="AC18" s="154"/>
      <c r="AD18" s="154"/>
      <c r="AE18" s="154"/>
      <c r="AF18" s="154"/>
      <c r="AG18" s="154"/>
      <c r="AH18" s="154"/>
      <c r="AI18" s="154"/>
      <c r="AJ18" s="154"/>
    </row>
    <row r="19" spans="1:36" s="158" customFormat="1" x14ac:dyDescent="0.2">
      <c r="A19" s="154"/>
      <c r="B19" s="155"/>
      <c r="C19" s="166"/>
      <c r="D19" s="1" t="s">
        <v>4</v>
      </c>
      <c r="E19" s="170" t="b">
        <v>1</v>
      </c>
      <c r="F19" s="160"/>
      <c r="G19" s="154"/>
      <c r="H19" s="154"/>
      <c r="I19" s="154"/>
      <c r="J19" s="154"/>
      <c r="K19" s="154"/>
      <c r="L19" s="154"/>
      <c r="M19" s="154"/>
      <c r="N19" s="154"/>
      <c r="O19" s="154"/>
      <c r="P19" s="154"/>
      <c r="Q19" s="154"/>
      <c r="R19" s="154"/>
      <c r="S19" s="154"/>
      <c r="T19" s="154"/>
      <c r="U19" s="154"/>
      <c r="V19" s="154"/>
      <c r="W19" s="154"/>
      <c r="X19" s="154"/>
      <c r="Y19" s="154"/>
      <c r="Z19" s="154"/>
      <c r="AA19" s="154"/>
      <c r="AB19" s="154"/>
      <c r="AC19" s="154"/>
      <c r="AD19" s="154"/>
      <c r="AE19" s="154"/>
      <c r="AF19" s="154"/>
      <c r="AG19" s="154"/>
      <c r="AH19" s="154"/>
      <c r="AI19" s="154"/>
      <c r="AJ19" s="154"/>
    </row>
    <row r="20" spans="1:36" s="158" customFormat="1" x14ac:dyDescent="0.2">
      <c r="A20" s="154"/>
      <c r="B20" s="171"/>
      <c r="C20" s="172"/>
      <c r="D20" s="172"/>
      <c r="E20" s="172"/>
      <c r="F20" s="173"/>
      <c r="G20" s="154"/>
      <c r="H20" s="154"/>
      <c r="I20" s="154"/>
      <c r="J20" s="154"/>
      <c r="K20" s="154"/>
      <c r="L20" s="154"/>
      <c r="M20" s="154"/>
      <c r="N20" s="154"/>
      <c r="O20" s="154"/>
      <c r="P20" s="154"/>
      <c r="Q20" s="154"/>
      <c r="R20" s="154"/>
      <c r="S20" s="154"/>
      <c r="T20" s="154"/>
      <c r="U20" s="154"/>
      <c r="V20" s="154"/>
      <c r="W20" s="154"/>
      <c r="X20" s="154"/>
      <c r="Y20" s="154"/>
      <c r="Z20" s="154"/>
      <c r="AA20" s="154"/>
      <c r="AB20" s="154"/>
      <c r="AC20" s="154"/>
      <c r="AD20" s="154"/>
      <c r="AE20" s="154"/>
      <c r="AF20" s="154"/>
      <c r="AG20" s="154"/>
      <c r="AH20" s="154"/>
      <c r="AI20" s="154"/>
      <c r="AJ20" s="154"/>
    </row>
    <row r="21" spans="1:36" s="154" customFormat="1" x14ac:dyDescent="0.2">
      <c r="C21" s="174"/>
      <c r="D21" s="174"/>
      <c r="E21" s="174"/>
      <c r="F21" s="174"/>
    </row>
    <row r="22" spans="1:36" s="154" customFormat="1" x14ac:dyDescent="0.2">
      <c r="C22" s="174"/>
      <c r="D22" s="174"/>
      <c r="E22" s="174"/>
      <c r="F22" s="174"/>
    </row>
    <row r="23" spans="1:36" s="154" customFormat="1" x14ac:dyDescent="0.2">
      <c r="C23" s="174"/>
      <c r="D23" s="174"/>
      <c r="E23" s="174"/>
      <c r="F23" s="174"/>
    </row>
    <row r="24" spans="1:36" s="154" customFormat="1" x14ac:dyDescent="0.2">
      <c r="C24" s="174"/>
      <c r="D24" s="174"/>
      <c r="E24" s="174"/>
      <c r="F24" s="174"/>
    </row>
    <row r="25" spans="1:36" s="154" customFormat="1" x14ac:dyDescent="0.2">
      <c r="C25" s="174"/>
      <c r="D25" s="174"/>
      <c r="E25" s="174"/>
      <c r="F25" s="174"/>
    </row>
    <row r="26" spans="1:36" s="154" customFormat="1" x14ac:dyDescent="0.2">
      <c r="C26" s="174"/>
      <c r="D26" s="174"/>
      <c r="E26" s="174"/>
      <c r="F26" s="174"/>
    </row>
    <row r="27" spans="1:36" s="154" customFormat="1" x14ac:dyDescent="0.2"/>
    <row r="28" spans="1:36" s="154" customFormat="1" x14ac:dyDescent="0.2"/>
    <row r="29" spans="1:36" s="154" customFormat="1" x14ac:dyDescent="0.2"/>
    <row r="30" spans="1:36" s="154" customFormat="1" x14ac:dyDescent="0.2"/>
    <row r="31" spans="1:36" s="154" customFormat="1" x14ac:dyDescent="0.2"/>
    <row r="32" spans="1:36" s="154" customFormat="1" x14ac:dyDescent="0.2"/>
    <row r="33" s="154" customFormat="1" x14ac:dyDescent="0.2"/>
    <row r="34" s="154" customFormat="1" x14ac:dyDescent="0.2"/>
    <row r="35" s="154" customFormat="1" x14ac:dyDescent="0.2"/>
    <row r="36" s="154" customFormat="1" x14ac:dyDescent="0.2"/>
    <row r="37" s="154" customFormat="1" x14ac:dyDescent="0.2"/>
    <row r="38" s="154" customFormat="1" x14ac:dyDescent="0.2"/>
    <row r="39" s="154" customFormat="1" x14ac:dyDescent="0.2"/>
    <row r="40" s="154" customFormat="1" x14ac:dyDescent="0.2"/>
    <row r="41" s="154" customFormat="1" x14ac:dyDescent="0.2"/>
    <row r="42" s="154" customFormat="1" x14ac:dyDescent="0.2"/>
    <row r="43" s="154" customFormat="1" x14ac:dyDescent="0.2"/>
    <row r="44" s="154" customFormat="1" x14ac:dyDescent="0.2"/>
    <row r="45" s="154" customFormat="1" x14ac:dyDescent="0.2"/>
    <row r="46" s="154" customFormat="1" x14ac:dyDescent="0.2"/>
    <row r="47" s="154" customFormat="1" x14ac:dyDescent="0.2"/>
    <row r="48" s="154" customFormat="1" x14ac:dyDescent="0.2"/>
    <row r="49" s="154" customFormat="1" x14ac:dyDescent="0.2"/>
    <row r="50" s="154" customFormat="1" x14ac:dyDescent="0.2"/>
    <row r="51" s="154" customFormat="1" x14ac:dyDescent="0.2"/>
    <row r="52" s="154" customFormat="1" x14ac:dyDescent="0.2"/>
  </sheetData>
  <mergeCells count="1">
    <mergeCell ref="B2:F2"/>
  </mergeCells>
  <phoneticPr fontId="1" type="noConversion"/>
  <conditionalFormatting sqref="E19">
    <cfRule type="cellIs" dxfId="0" priority="1" stopIfTrue="1" operator="equal">
      <formula>TRUE</formula>
    </cfRule>
  </conditionalFormatting>
  <dataValidations count="5">
    <dataValidation type="list" allowBlank="1" showInputMessage="1" showErrorMessage="1" sqref="D4">
      <formula1>"EUR,USD,GBP,JPY,CHF"</formula1>
    </dataValidation>
    <dataValidation type="list" allowBlank="1" showInputMessage="1" showErrorMessage="1" sqref="D5">
      <formula1>"TARGET,UnitedKingdom::Exchange,UnitedKingdom::Metals,UnitedKingdom::Settlement,UnitedStates::GovernmentBond,UnitedStates::NERC,UnitedStates::NYSE,UnitedStates::Settlement,Switzerland,Japan,Italy::Exchange,NullCalendar"</formula1>
    </dataValidation>
    <dataValidation type="list" allowBlank="1" showInputMessage="1" showErrorMessage="1" sqref="D6">
      <formula1>"Actual/Actual (ISDA),Actual/360,30/360 (Bond Basis),30E/360 (Eurobond Basis),Actual/365 (Fixed),Actual/Actual (ISMA),Actual/Actual (AFB),1/1,30/360 (Italian),Simple"</formula1>
    </dataValidation>
    <dataValidation type="list" allowBlank="1" showInputMessage="1" showErrorMessage="1" sqref="D13">
      <formula1>"LogLinear,LogParabolic,MonotonicLogParabolic,LogCubicNaturalSpline,MonotonicLogCubicNaturalSpline,KrugerLogCubic,FritschButlandLogCubic,LogAbcd"</formula1>
    </dataValidation>
    <dataValidation type="list" allowBlank="1" showInputMessage="1" showErrorMessage="1" sqref="D12">
      <formula1>"BackwardFlat,ForwardFlat,Linear,Parabolic,MonotonicParabolic,CubicNaturalSpline,MonotonicCubicNaturalSpline,KrugerCubic,FritschButlandCubic,Abcd"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3074" r:id="rId4" name="CommandButton2">
          <controlPr defaultSize="0" autoLine="0" r:id="rId5">
            <anchor moveWithCells="1">
              <from>
                <xdr:col>2</xdr:col>
                <xdr:colOff>0</xdr:colOff>
                <xdr:row>16</xdr:row>
                <xdr:rowOff>123825</xdr:rowOff>
              </from>
              <to>
                <xdr:col>3</xdr:col>
                <xdr:colOff>104775</xdr:colOff>
                <xdr:row>18</xdr:row>
                <xdr:rowOff>114300</xdr:rowOff>
              </to>
            </anchor>
          </controlPr>
        </control>
      </mc:Choice>
      <mc:Fallback>
        <control shapeId="3074" r:id="rId4" name="CommandButton2"/>
      </mc:Fallback>
    </mc:AlternateContent>
    <mc:AlternateContent xmlns:mc="http://schemas.openxmlformats.org/markup-compatibility/2006">
      <mc:Choice Requires="x14">
        <control shapeId="3073" r:id="rId6" name="CommandButton1">
          <controlPr defaultSize="0" autoLine="0" r:id="rId7">
            <anchor moveWithCells="1">
              <from>
                <xdr:col>1</xdr:col>
                <xdr:colOff>333375</xdr:colOff>
                <xdr:row>14</xdr:row>
                <xdr:rowOff>57150</xdr:rowOff>
              </from>
              <to>
                <xdr:col>3</xdr:col>
                <xdr:colOff>95250</xdr:colOff>
                <xdr:row>16</xdr:row>
                <xdr:rowOff>47625</xdr:rowOff>
              </to>
            </anchor>
          </controlPr>
        </control>
      </mc:Choice>
      <mc:Fallback>
        <control shapeId="3073" r:id="rId6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1:V10"/>
  <sheetViews>
    <sheetView tabSelected="1" workbookViewId="0">
      <selection activeCell="D5" sqref="D5"/>
    </sheetView>
  </sheetViews>
  <sheetFormatPr defaultRowHeight="11.25" x14ac:dyDescent="0.2"/>
  <cols>
    <col min="1" max="1" width="3.6640625" style="312" customWidth="1"/>
    <col min="2" max="2" width="5" style="312" customWidth="1"/>
    <col min="3" max="3" width="17.83203125" style="312" bestFit="1" customWidth="1"/>
    <col min="4" max="4" width="26.33203125" style="312" bestFit="1" customWidth="1"/>
    <col min="5" max="6" width="5" style="312" customWidth="1"/>
    <col min="7" max="21" width="9.33203125" style="312"/>
    <col min="22" max="22" width="2.33203125" style="312" bestFit="1" customWidth="1"/>
    <col min="23" max="16384" width="9.33203125" style="312"/>
  </cols>
  <sheetData>
    <row r="1" spans="2:22" ht="14.25" thickBot="1" x14ac:dyDescent="0.3">
      <c r="B1" s="311" t="str">
        <f>_xll.qlxlVersion(TRUE)</f>
        <v>QuantLibXL 1.4.0 - MS VC++ 9.0 - Multithreaded Dynamic Runtime library - Release Configuration - Mar  3 2014 10:58:57</v>
      </c>
    </row>
    <row r="2" spans="2:22" ht="16.5" x14ac:dyDescent="0.3">
      <c r="B2" s="338" t="s">
        <v>23</v>
      </c>
      <c r="C2" s="339"/>
      <c r="D2" s="339"/>
      <c r="E2" s="340"/>
      <c r="V2" s="312" t="s">
        <v>21</v>
      </c>
    </row>
    <row r="3" spans="2:22" x14ac:dyDescent="0.2">
      <c r="B3" s="313"/>
      <c r="C3" s="314"/>
      <c r="D3" s="314"/>
      <c r="E3" s="315"/>
    </row>
    <row r="4" spans="2:22" x14ac:dyDescent="0.2">
      <c r="B4" s="313"/>
      <c r="C4" s="316" t="s">
        <v>51</v>
      </c>
      <c r="D4" s="333">
        <f>_xll.qlSettingsEvaluationDate(Trigger)</f>
        <v>41710</v>
      </c>
      <c r="E4" s="315"/>
    </row>
    <row r="5" spans="2:22" x14ac:dyDescent="0.2">
      <c r="B5" s="313"/>
      <c r="C5" s="316" t="s">
        <v>53</v>
      </c>
      <c r="D5" s="341"/>
      <c r="E5" s="315"/>
    </row>
    <row r="6" spans="2:22" x14ac:dyDescent="0.2">
      <c r="B6" s="313"/>
      <c r="C6" s="317" t="s">
        <v>27</v>
      </c>
      <c r="D6" s="334">
        <f>[1]!TriggerTOY1M</f>
        <v>2</v>
      </c>
      <c r="E6" s="315"/>
    </row>
    <row r="7" spans="2:22" x14ac:dyDescent="0.2">
      <c r="B7" s="313"/>
      <c r="C7" s="317" t="s">
        <v>28</v>
      </c>
      <c r="D7" s="334">
        <f>[1]!TriggerTOY3M</f>
        <v>1</v>
      </c>
      <c r="E7" s="315"/>
    </row>
    <row r="8" spans="2:22" x14ac:dyDescent="0.2">
      <c r="B8" s="313"/>
      <c r="C8" s="317" t="s">
        <v>29</v>
      </c>
      <c r="D8" s="334">
        <f>[1]!TriggerTOY6M</f>
        <v>2</v>
      </c>
      <c r="E8" s="315"/>
    </row>
    <row r="9" spans="2:22" x14ac:dyDescent="0.2">
      <c r="B9" s="313"/>
      <c r="C9" s="317" t="s">
        <v>52</v>
      </c>
      <c r="D9" s="334">
        <f>[1]!LastFixingsTrigger</f>
        <v>0</v>
      </c>
      <c r="E9" s="315"/>
    </row>
    <row r="10" spans="2:22" ht="12" thickBot="1" x14ac:dyDescent="0.25">
      <c r="B10" s="318"/>
      <c r="C10" s="319"/>
      <c r="D10" s="319"/>
      <c r="E10" s="320"/>
    </row>
  </sheetData>
  <mergeCells count="1">
    <mergeCell ref="B2:E2"/>
  </mergeCells>
  <phoneticPr fontId="1" type="noConversion"/>
  <pageMargins left="0.75" right="0.75" top="1" bottom="1" header="0.5" footer="0.5"/>
  <pageSetup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B62"/>
  <sheetViews>
    <sheetView topLeftCell="B1" workbookViewId="0">
      <selection activeCell="P29" sqref="P29:P30"/>
    </sheetView>
  </sheetViews>
  <sheetFormatPr defaultRowHeight="11.25" x14ac:dyDescent="0.2"/>
  <cols>
    <col min="1" max="1" width="13.83203125" hidden="1" customWidth="1"/>
    <col min="3" max="3" width="23.6640625" bestFit="1" customWidth="1"/>
    <col min="4" max="4" width="16.1640625" bestFit="1" customWidth="1"/>
    <col min="5" max="5" width="16.5" bestFit="1" customWidth="1"/>
    <col min="6" max="6" width="8.83203125" bestFit="1" customWidth="1"/>
    <col min="7" max="7" width="8.33203125" bestFit="1" customWidth="1"/>
    <col min="8" max="8" width="16.5" bestFit="1" customWidth="1"/>
    <col min="9" max="9" width="6.6640625" bestFit="1" customWidth="1"/>
    <col min="10" max="10" width="9" bestFit="1" customWidth="1"/>
    <col min="11" max="11" width="6.6640625" bestFit="1" customWidth="1"/>
    <col min="12" max="13" width="8.33203125" bestFit="1" customWidth="1"/>
    <col min="14" max="14" width="6.6640625" bestFit="1" customWidth="1"/>
    <col min="15" max="15" width="15.33203125" bestFit="1" customWidth="1"/>
    <col min="16" max="16" width="8.33203125" bestFit="1" customWidth="1"/>
    <col min="17" max="18" width="10.33203125" bestFit="1" customWidth="1"/>
    <col min="19" max="20" width="8.33203125" bestFit="1" customWidth="1"/>
    <col min="21" max="21" width="16.5" bestFit="1" customWidth="1"/>
    <col min="22" max="22" width="8.33203125" bestFit="1" customWidth="1"/>
    <col min="23" max="23" width="3.33203125" customWidth="1"/>
    <col min="24" max="24" width="14.6640625" bestFit="1" customWidth="1"/>
  </cols>
  <sheetData>
    <row r="1" spans="15:15" x14ac:dyDescent="0.2">
      <c r="O1" s="117" t="s">
        <v>50</v>
      </c>
    </row>
    <row r="2" spans="15:15" x14ac:dyDescent="0.2">
      <c r="O2" s="19" t="b">
        <v>0</v>
      </c>
    </row>
    <row r="20" spans="1:28" x14ac:dyDescent="0.2">
      <c r="A20">
        <v>1</v>
      </c>
      <c r="B20" s="43"/>
      <c r="G20" s="43"/>
      <c r="H20" s="19"/>
      <c r="I20" s="19"/>
      <c r="J20" s="43"/>
      <c r="M20" s="23"/>
      <c r="N20" s="43"/>
      <c r="O20" s="69"/>
      <c r="P20" s="119" t="e">
        <f>IF(ISBLANK($O20),AVERAGE(_xll.ohFilter($P23:$P37,$L23:$L37)),$O20)</f>
        <v>#NUM!</v>
      </c>
      <c r="Q20" s="309">
        <v>1</v>
      </c>
      <c r="R20" s="307">
        <f>IF(ISBLANK($Q20),MIN(AVERAGE(_xll.ohFilter($R23:$R37,$L23:$L37)),1),$Q20)</f>
        <v>1</v>
      </c>
      <c r="S20" s="135" t="s">
        <v>20</v>
      </c>
      <c r="T20" s="43"/>
    </row>
    <row r="21" spans="1:28" x14ac:dyDescent="0.2">
      <c r="A21" s="304" t="str">
        <f>_xll.qlPeriodEquivalent(A20&amp;"M")</f>
        <v>1M</v>
      </c>
      <c r="B21" s="43"/>
      <c r="D21" s="43"/>
      <c r="E21" s="43"/>
      <c r="G21" s="43"/>
      <c r="H21" s="19"/>
      <c r="I21" s="19"/>
      <c r="J21" s="43"/>
      <c r="L21" s="43"/>
      <c r="M21" s="23"/>
      <c r="N21" s="43"/>
      <c r="O21" s="65"/>
      <c r="P21" s="120" t="e">
        <f>IF(ISBLANK($O21),AVERAGE(_xll.ohFilter($P23:$P37,$M23:$M37)),$O21)</f>
        <v>#NUM!</v>
      </c>
      <c r="Q21" s="310">
        <v>1</v>
      </c>
      <c r="R21" s="308">
        <f>IF(ISBLANK($Q21),MIN(AVERAGE(_xll.ohFilter($R23:$R37,$M23:$M37)),1),$Q21)</f>
        <v>1</v>
      </c>
      <c r="S21" s="136" t="s">
        <v>25</v>
      </c>
      <c r="T21" s="43"/>
      <c r="U21" s="20" t="str">
        <f>_xll.qlInterpolation(,FwdInterpolationType,_xll.ohFilter($H23:$H49,$K23:$K49),_xll.ohFilter($AA23:$AA49,$K23:$K49))</f>
        <v>obj_00633#0009</v>
      </c>
      <c r="V21" s="58"/>
    </row>
    <row r="22" spans="1:28" x14ac:dyDescent="0.2">
      <c r="A22" s="71" t="str">
        <f>Currency&amp;"_YC"&amp;IndexTenor&amp;"RH_"</f>
        <v>EUR_YC1MRH_</v>
      </c>
      <c r="B22" s="126">
        <v>3</v>
      </c>
      <c r="C22" s="67" t="s">
        <v>12</v>
      </c>
      <c r="D22" s="51" t="s">
        <v>11</v>
      </c>
      <c r="E22" s="63" t="s">
        <v>10</v>
      </c>
      <c r="F22" s="67" t="s">
        <v>38</v>
      </c>
      <c r="G22" s="113"/>
      <c r="H22" s="63" t="s">
        <v>35</v>
      </c>
      <c r="I22" s="51" t="s">
        <v>42</v>
      </c>
      <c r="J22" s="51" t="s">
        <v>39</v>
      </c>
      <c r="K22" s="140" t="s">
        <v>43</v>
      </c>
      <c r="L22" s="51" t="s">
        <v>37</v>
      </c>
      <c r="M22" s="51" t="s">
        <v>25</v>
      </c>
      <c r="N22" s="52" t="s">
        <v>41</v>
      </c>
      <c r="O22" s="133" t="str">
        <f>_xll.qlInterpolation(,FwdInterpolationType,_xll.ohFilter($H23:$H49,$N23:$N49),_xll.ohFilter($X23:$X49,$N23:$N49))</f>
        <v>obj_00636#0009</v>
      </c>
      <c r="P22" s="134" t="s">
        <v>15</v>
      </c>
      <c r="Q22" s="53" t="s">
        <v>16</v>
      </c>
      <c r="R22" s="134" t="s">
        <v>17</v>
      </c>
      <c r="S22" s="149" t="s">
        <v>44</v>
      </c>
      <c r="T22" s="150" t="s">
        <v>15</v>
      </c>
      <c r="U22" s="196">
        <f>D23</f>
        <v>41712</v>
      </c>
      <c r="V22" s="197" t="e">
        <f>_xll.qlInterpolationInterpolate(FwdInterpolator,U22,TRUE,ISERROR($AB$23:$AB$49))</f>
        <v>#NUM!</v>
      </c>
    </row>
    <row r="23" spans="1:28" x14ac:dyDescent="0.2">
      <c r="A23" s="71">
        <f>_xll.ohTrigger([0]!TriggerTOY1M,EvaluationDate)</f>
        <v>9</v>
      </c>
      <c r="B23" s="181" t="str">
        <f>IndexTenor&amp;"D"</f>
        <v>1MD</v>
      </c>
      <c r="C23" s="31" t="str">
        <f>RateHelperPrefix&amp;$B23</f>
        <v>EUR_YC1MRH_1MD</v>
      </c>
      <c r="D23" s="80">
        <f>_xll.qlRateHelperEarliestDate($C23,EvaluationDate)</f>
        <v>41712</v>
      </c>
      <c r="E23" s="80">
        <f>_xll.qlRateHelperLatestDate($C23,EvaluationDate)</f>
        <v>41743</v>
      </c>
      <c r="F23" s="81">
        <f>_xll.qlRateHelperQuoteValue($C23,SheetTrigger)</f>
        <v>2.33E-3</v>
      </c>
      <c r="G23" s="183">
        <f>1/(1+F23*_xll.qlDayCounterYearFraction(DayCounter,SettlementDate,E23))</f>
        <v>0.99979940135899958</v>
      </c>
      <c r="H23" s="80">
        <f>$D23</f>
        <v>41712</v>
      </c>
      <c r="I23" s="180" t="b">
        <v>1</v>
      </c>
      <c r="J23" s="29">
        <f>F23</f>
        <v>2.33E-3</v>
      </c>
      <c r="K23" s="40" t="b">
        <f>I23</f>
        <v>1</v>
      </c>
      <c r="L23" s="31" t="b">
        <f t="shared" ref="L23:L49" si="0">NOT(OR($H23&gt;LastDayInYear,$E23&lt;=LastDayInYear))</f>
        <v>0</v>
      </c>
      <c r="M23" s="31" t="b">
        <f t="shared" ref="M23:M49" si="1">NOT(OR($H23&gt;LastDayInNextYear,$E23&lt;=LastDayInNextYear))</f>
        <v>0</v>
      </c>
      <c r="N23" s="31" t="b">
        <f t="shared" ref="N23:N37" si="2">IF(K23,AND(NOT($L23),NOT($M23)),FALSE)</f>
        <v>1</v>
      </c>
      <c r="O23" s="24">
        <f>_xll.qlInterpolationInterpolate($O$22,$H23,,_xll.ohTrigger($Y$23:$Y$49))</f>
        <v>2.33E-3</v>
      </c>
      <c r="P23" s="108">
        <f>$J23-$O23</f>
        <v>0</v>
      </c>
      <c r="Q23" s="59">
        <f>_xll.qlDayCounterYearFraction(DayCounter,$H23,$E23)</f>
        <v>8.611111111111111E-2</v>
      </c>
      <c r="R23" s="127">
        <f>(1+$O23*$Q23)/(1+$J23*$Q23)</f>
        <v>1</v>
      </c>
      <c r="S23" s="70">
        <f t="shared" ref="S23:S37" si="3">IF($L23,(TOY_1*(1+$J23*$Q23)-1)/$Q23,IF($M23,(TOY_2*(1+$J23*$Q23)-1)/$Q23,$J23))</f>
        <v>2.33E-3</v>
      </c>
      <c r="T23" s="193">
        <f t="shared" ref="T23:T37" si="4">S23-J23</f>
        <v>0</v>
      </c>
      <c r="U23" s="33">
        <f t="array" ref="U23:U49">SelectionSort(_xll.ohFilter(H23:H49,K23:K49))</f>
        <v>41712</v>
      </c>
      <c r="V23" s="78">
        <f>_xll.qlInterpolationInterpolate(FwdInterpolator,U23,TRUE,ISERROR($AB$23:$AB$49))</f>
        <v>2.33E-3</v>
      </c>
      <c r="X23" t="str">
        <f>_xll.qlSimpleQuote(,,,,EvaluationDate)</f>
        <v>obj_005d9#0010</v>
      </c>
      <c r="Y23" s="323" t="e">
        <f>_xll.qlSimpleQuoteSetValue(X23,J23)</f>
        <v>#N/A</v>
      </c>
      <c r="AA23" t="str">
        <f>_xll.qlSimpleQuote(,,,,EvaluationDate)</f>
        <v>obj_005e0#0010</v>
      </c>
      <c r="AB23" s="323" t="e">
        <f>_xll.qlSimpleQuoteSetValue(AA23,S23)</f>
        <v>#N/A</v>
      </c>
    </row>
    <row r="24" spans="1:28" x14ac:dyDescent="0.2">
      <c r="A24" s="71" t="str">
        <f>PROPER(Currency)&amp;IF(UPPER(Currency)&lt;&gt;"EUR","L","")&amp;"ibor"&amp;IndexTenor</f>
        <v>Euribor1M</v>
      </c>
      <c r="B24" s="182" t="s">
        <v>45</v>
      </c>
      <c r="C24" s="37" t="str">
        <f>A24&amp;B24&amp;"_Quote"</f>
        <v>Euribor1MLastFixing_Quote</v>
      </c>
      <c r="D24" s="185" t="e">
        <f>_xll.qlCalendarAdvance(Calendar,_xll.qlLastFixingQuoteReferenceDate(C24,TriggerFixings),"2D","f")</f>
        <v>#NUM!</v>
      </c>
      <c r="E24" s="185" t="e">
        <f>_xll.qlCalendarAdvance(Calendar,D24,IndexTenor,"Modified Following",TRUE)</f>
        <v>#NUM!</v>
      </c>
      <c r="F24" s="76">
        <f>_xll.qlQuoteValue(C24,SheetTrigger)</f>
        <v>2.33E-3</v>
      </c>
      <c r="G24" s="184" t="e">
        <f>1/(1+F24*_xll.qlDayCounterYearFraction(DayCounter,SettlementDate,E24))</f>
        <v>#NUM!</v>
      </c>
      <c r="H24" s="66">
        <f>H23</f>
        <v>41712</v>
      </c>
      <c r="I24" s="179" t="b">
        <v>0</v>
      </c>
      <c r="J24" s="35">
        <f>F24</f>
        <v>2.33E-3</v>
      </c>
      <c r="K24" s="207" t="b">
        <f t="shared" ref="K24:K37" si="5">I24</f>
        <v>0</v>
      </c>
      <c r="L24" s="37" t="e">
        <f t="shared" si="0"/>
        <v>#NUM!</v>
      </c>
      <c r="M24" s="37" t="e">
        <f t="shared" si="1"/>
        <v>#NUM!</v>
      </c>
      <c r="N24" s="37" t="b">
        <f t="shared" si="2"/>
        <v>0</v>
      </c>
      <c r="O24" s="35">
        <f>_xll.qlInterpolationInterpolate($O$22,$H24,,_xll.ohTrigger($Y$23:$Y$49))</f>
        <v>2.33E-3</v>
      </c>
      <c r="P24" s="110">
        <f>$J24-$O24</f>
        <v>0</v>
      </c>
      <c r="Q24" s="61" t="e">
        <f>_xll.qlDayCounterYearFraction(DayCounter,$H24,$E24)</f>
        <v>#NUM!</v>
      </c>
      <c r="R24" s="129" t="e">
        <f>(1+$O24*$Q24)/(1+$J24*$Q24)</f>
        <v>#NUM!</v>
      </c>
      <c r="S24" s="54" t="e">
        <f>IF($L24,(TOY_1*(1+$J24*$Q24)-1)/$Q24,IF($M24,(TOY_2*(1+$J24*$Q24)-1)/$Q24,$J24))</f>
        <v>#NUM!</v>
      </c>
      <c r="T24" s="194" t="e">
        <f>S24-J24</f>
        <v>#NUM!</v>
      </c>
      <c r="U24" s="33">
        <v>41743</v>
      </c>
      <c r="V24" s="78" t="e">
        <f>_xll.qlInterpolationInterpolate(FwdInterpolator,U24,TRUE,ISERROR($AB$23:$AB$49))</f>
        <v>#NUM!</v>
      </c>
      <c r="X24" t="str">
        <f>_xll.qlSimpleQuote(,,,,EvaluationDate)</f>
        <v>obj_005b2#0010</v>
      </c>
      <c r="Y24" s="323" t="e">
        <f>_xll.qlSimpleQuoteSetValue(X24,J24)</f>
        <v>#N/A</v>
      </c>
      <c r="AA24" t="str">
        <f>_xll.qlSimpleQuote(,,,,EvaluationDate)</f>
        <v>obj_005e8#0010</v>
      </c>
      <c r="AB24" s="323" t="e">
        <f>_xll.qlSimpleQuoteSetValue(AA24,S24)</f>
        <v>#NUM!</v>
      </c>
    </row>
    <row r="25" spans="1:28" x14ac:dyDescent="0.2">
      <c r="A25" s="71"/>
      <c r="B25" s="38" t="str">
        <f>"T"&amp;$A$20&amp;"F1"</f>
        <v>T1F1</v>
      </c>
      <c r="C25" s="38" t="str">
        <f>RateHelperPrefix&amp;$B25</f>
        <v>EUR_YC1MRH_T1F1</v>
      </c>
      <c r="D25" s="28" t="e">
        <f>_xll.qlRateHelperEarliestDate($C25,EvaluationDate)</f>
        <v>#NUM!</v>
      </c>
      <c r="E25" s="28" t="e">
        <f>_xll.qlRateHelperLatestDate($C25,EvaluationDate)</f>
        <v>#NUM!</v>
      </c>
      <c r="F25" s="81" t="e">
        <f>_xll.qlRateHelperQuoteValue($C25,SheetTrigger)</f>
        <v>#NUM!</v>
      </c>
      <c r="G25" s="183" t="e">
        <f>1/(1+F25*_xll.qlDayCounterYearFraction(DayCounter,SettlementDate,E25))</f>
        <v>#NUM!</v>
      </c>
      <c r="H25" s="80" t="e">
        <f>$D25</f>
        <v>#NUM!</v>
      </c>
      <c r="I25" s="180" t="b">
        <v>0</v>
      </c>
      <c r="J25" s="29" t="e">
        <f>F25</f>
        <v>#NUM!</v>
      </c>
      <c r="K25" s="328" t="b">
        <v>0</v>
      </c>
      <c r="L25" s="31" t="e">
        <f t="shared" si="0"/>
        <v>#NUM!</v>
      </c>
      <c r="M25" s="31" t="e">
        <f t="shared" si="1"/>
        <v>#NUM!</v>
      </c>
      <c r="N25" s="31" t="b">
        <f t="shared" si="2"/>
        <v>0</v>
      </c>
      <c r="O25" s="24" t="e">
        <f>_xll.qlInterpolationInterpolate($O$22,$H25,,_xll.ohTrigger($Y$23:$Y$49))</f>
        <v>#NUM!</v>
      </c>
      <c r="P25" s="119" t="e">
        <f>J25-O25</f>
        <v>#NUM!</v>
      </c>
      <c r="Q25" s="59" t="e">
        <f>_xll.qlDayCounterYearFraction(DayCounter,$H25,$E25)</f>
        <v>#NUM!</v>
      </c>
      <c r="R25" s="127" t="e">
        <f>(1+$O25*$Q25)/(1+$J25*$Q25)</f>
        <v>#NUM!</v>
      </c>
      <c r="S25" s="70" t="e">
        <f>IF($L25,(TOY_1*(1+$J25*$Q25)-1)/$Q25,IF($M25,(TOY_2*(1+$J25*$Q25)-1)/$Q25,$J25))</f>
        <v>#NUM!</v>
      </c>
      <c r="T25" s="305" t="e">
        <f>S25-J25</f>
        <v>#NUM!</v>
      </c>
      <c r="U25" s="33">
        <v>41773</v>
      </c>
      <c r="V25" s="78" t="e">
        <f>_xll.qlInterpolationInterpolate(FwdInterpolator,U25,TRUE,ISERROR($AB$23:$AB$49))</f>
        <v>#NUM!</v>
      </c>
      <c r="X25" t="str">
        <f>_xll.qlSimpleQuote(,,,,EvaluationDate)</f>
        <v>obj_005f1#0010</v>
      </c>
      <c r="Y25" s="323" t="e">
        <f>_xll.qlSimpleQuoteSetValue(X25,J25)</f>
        <v>#NUM!</v>
      </c>
      <c r="AA25" t="str">
        <f>_xll.qlSimpleQuote(,,,,EvaluationDate)</f>
        <v>obj_005ab#0010</v>
      </c>
      <c r="AB25" s="323" t="e">
        <f>_xll.qlSimpleQuoteSetValue(AA25,S25)</f>
        <v>#NUM!</v>
      </c>
    </row>
    <row r="26" spans="1:28" x14ac:dyDescent="0.2">
      <c r="A26" s="71"/>
      <c r="B26" s="50" t="str">
        <f>"TOM"&amp;$A$20&amp;"F1"</f>
        <v>TOM1F1</v>
      </c>
      <c r="C26" s="50" t="str">
        <f>RateHelperPrefix&amp;$B26</f>
        <v>EUR_YC1MRH_TOM1F1</v>
      </c>
      <c r="D26" s="34" t="e">
        <f>_xll.qlRateHelperEarliestDate($C26,EvaluationDate)</f>
        <v>#NUM!</v>
      </c>
      <c r="E26" s="34" t="e">
        <f>_xll.qlRateHelperLatestDate($C26,EvaluationDate)</f>
        <v>#NUM!</v>
      </c>
      <c r="F26" s="76" t="e">
        <f>_xll.qlQuoteValue(C26,SheetTrigger)</f>
        <v>#NUM!</v>
      </c>
      <c r="G26" s="184" t="e">
        <f>1/(1+F26*_xll.qlDayCounterYearFraction(DayCounter,SettlementDate,E26))</f>
        <v>#NUM!</v>
      </c>
      <c r="H26" s="66" t="e">
        <f>E26</f>
        <v>#NUM!</v>
      </c>
      <c r="I26" s="179" t="b">
        <v>1</v>
      </c>
      <c r="J26" s="35" t="e">
        <f>F26</f>
        <v>#NUM!</v>
      </c>
      <c r="K26" s="329" t="b">
        <v>0</v>
      </c>
      <c r="L26" s="37" t="e">
        <f t="shared" si="0"/>
        <v>#NUM!</v>
      </c>
      <c r="M26" s="37" t="e">
        <f t="shared" si="1"/>
        <v>#NUM!</v>
      </c>
      <c r="N26" s="37" t="b">
        <f t="shared" si="2"/>
        <v>0</v>
      </c>
      <c r="O26" s="35" t="e">
        <f>_xll.qlInterpolationInterpolate($O$22,$H26,,_xll.ohTrigger($Y$23:$Y$49))</f>
        <v>#NUM!</v>
      </c>
      <c r="P26" s="120" t="e">
        <f>J26-O26</f>
        <v>#NUM!</v>
      </c>
      <c r="Q26" s="61" t="e">
        <f>_xll.qlDayCounterYearFraction(DayCounter,$H26,$E26)</f>
        <v>#NUM!</v>
      </c>
      <c r="R26" s="129" t="e">
        <f>(1+$O26*$Q26)/(1+$J26*$Q26)</f>
        <v>#NUM!</v>
      </c>
      <c r="S26" s="54" t="e">
        <f>IF($L26,(TOY_1*(1+$J26*$Q26)-1)/$Q26,IF($M26,(TOY_2*(1+$J26*$Q26)-1)/$Q26,$J26))</f>
        <v>#NUM!</v>
      </c>
      <c r="T26" s="306" t="e">
        <f>S26-J26</f>
        <v>#NUM!</v>
      </c>
      <c r="U26" s="33">
        <v>41806</v>
      </c>
      <c r="V26" s="78" t="e">
        <f>_xll.qlInterpolationInterpolate(FwdInterpolator,U26,TRUE,ISERROR($AB$23:$AB$49))</f>
        <v>#NUM!</v>
      </c>
      <c r="X26" t="str">
        <f>_xll.qlSimpleQuote(,,,,EvaluationDate)</f>
        <v>obj_005f6#0010</v>
      </c>
      <c r="Y26" s="323" t="e">
        <f>_xll.qlSimpleQuoteSetValue(X26,J26)</f>
        <v>#NUM!</v>
      </c>
      <c r="AA26" t="str">
        <f>_xll.qlSimpleQuote(,,,,EvaluationDate)</f>
        <v>obj_0061a#0010</v>
      </c>
      <c r="AB26" s="323" t="e">
        <f>_xll.qlSimpleQuoteSetValue(AA26,S26)</f>
        <v>#NUM!</v>
      </c>
    </row>
    <row r="27" spans="1:28" x14ac:dyDescent="0.2">
      <c r="A27" s="117">
        <v>2</v>
      </c>
      <c r="B27" s="122" t="str">
        <f>A27&amp;"X1S"</f>
        <v>2X1S</v>
      </c>
      <c r="C27" s="111" t="str">
        <f t="shared" ref="C27:C37" si="6">RateHelperPrefix&amp;$B27</f>
        <v>EUR_YC1MRH_2X1S</v>
      </c>
      <c r="D27" s="80">
        <f>_xll.qlRateHelperEarliestDate($C27,EvaluationDate)</f>
        <v>41712</v>
      </c>
      <c r="E27" s="80">
        <f>_xll.qlRateHelperLatestDate($C27,EvaluationDate)</f>
        <v>41773</v>
      </c>
      <c r="F27" s="81">
        <f>_xll.qlRateHelperQuoteValue($C27,SheetTrigger)</f>
        <v>2.3E-3</v>
      </c>
      <c r="G27" s="114">
        <f>1/(1+F27*_xll.qlDayCounterYearFraction(DayCounter,SettlementDate,E27))</f>
        <v>0.99961042960201896</v>
      </c>
      <c r="H27" s="80">
        <f>$E23</f>
        <v>41743</v>
      </c>
      <c r="I27" s="31" t="b">
        <v>1</v>
      </c>
      <c r="J27" s="324">
        <f>($G23/$G27-1)/$Q27</f>
        <v>2.2685448416837062E-3</v>
      </c>
      <c r="K27" s="40" t="b">
        <f t="shared" si="5"/>
        <v>1</v>
      </c>
      <c r="L27" s="31" t="b">
        <f t="shared" si="0"/>
        <v>0</v>
      </c>
      <c r="M27" s="31" t="b">
        <f t="shared" si="1"/>
        <v>0</v>
      </c>
      <c r="N27" s="31" t="b">
        <f t="shared" si="2"/>
        <v>1</v>
      </c>
      <c r="O27" s="24">
        <f>_xll.qlInterpolationInterpolate($O$22,$H27,,_xll.ohTrigger($Y$23:$Y$49))</f>
        <v>2.2685448416837062E-3</v>
      </c>
      <c r="P27" s="108">
        <f t="shared" ref="P27:P49" si="7">$J27-$O27</f>
        <v>0</v>
      </c>
      <c r="Q27" s="59">
        <f>_xll.qlDayCounterYearFraction(DayCounter,$H27,$E27)</f>
        <v>8.3333333333333329E-2</v>
      </c>
      <c r="R27" s="119">
        <f t="shared" ref="R27:R49" si="8">(1+$O27*$Q27)/(1+$J27*$Q27)</f>
        <v>1</v>
      </c>
      <c r="S27" s="82">
        <f t="shared" si="3"/>
        <v>2.2685448416837062E-3</v>
      </c>
      <c r="T27" s="193">
        <f t="shared" si="4"/>
        <v>0</v>
      </c>
      <c r="U27" s="33">
        <v>41834</v>
      </c>
      <c r="V27" s="78" t="e">
        <f>_xll.qlInterpolationInterpolate(FwdInterpolator,U27,TRUE,ISERROR($AB$23:$AB$49))</f>
        <v>#NUM!</v>
      </c>
      <c r="X27" t="str">
        <f>_xll.qlSimpleQuote(,,,,EvaluationDate)</f>
        <v>obj_0062b#0010</v>
      </c>
      <c r="Y27" s="323" t="e">
        <f>_xll.qlSimpleQuoteSetValue(X27,J27)</f>
        <v>#N/A</v>
      </c>
      <c r="AA27" t="str">
        <f>_xll.qlSimpleQuote(,,,,EvaluationDate)</f>
        <v>obj_005c1#0010</v>
      </c>
      <c r="AB27" s="323" t="e">
        <f>_xll.qlSimpleQuoteSetValue(AA27,S27)</f>
        <v>#N/A</v>
      </c>
    </row>
    <row r="28" spans="1:28" x14ac:dyDescent="0.2">
      <c r="A28" s="117">
        <v>3</v>
      </c>
      <c r="B28" s="124" t="str">
        <f t="shared" ref="B28:B37" si="9">A28&amp;"X1S"</f>
        <v>3X1S</v>
      </c>
      <c r="C28" s="43" t="str">
        <f t="shared" si="6"/>
        <v>EUR_YC1MRH_3X1S</v>
      </c>
      <c r="D28" s="21">
        <f>_xll.qlRateHelperEarliestDate($C28,EvaluationDate)</f>
        <v>41712</v>
      </c>
      <c r="E28" s="21">
        <f>_xll.qlRateHelperLatestDate($C28,EvaluationDate)</f>
        <v>41806</v>
      </c>
      <c r="F28" s="68">
        <f>_xll.qlRateHelperQuoteValue($C28,SheetTrigger)</f>
        <v>2.2599999999999999E-3</v>
      </c>
      <c r="G28" s="115">
        <f>1/(1+F28*_xll.qlDayCounterYearFraction(DayCounter,SettlementDate,E28))</f>
        <v>0.99941023691463848</v>
      </c>
      <c r="H28" s="21">
        <f t="shared" ref="H28:H37" si="10">$E27</f>
        <v>41773</v>
      </c>
      <c r="I28" s="23" t="b">
        <v>1</v>
      </c>
      <c r="J28" s="24">
        <f>($G27/$G28-1)/$Q28</f>
        <v>2.185208981560746E-3</v>
      </c>
      <c r="K28" s="40" t="b">
        <f t="shared" si="5"/>
        <v>1</v>
      </c>
      <c r="L28" s="23" t="b">
        <f t="shared" si="0"/>
        <v>0</v>
      </c>
      <c r="M28" s="23" t="b">
        <f t="shared" si="1"/>
        <v>0</v>
      </c>
      <c r="N28" s="23" t="b">
        <f t="shared" si="2"/>
        <v>1</v>
      </c>
      <c r="O28" s="24">
        <f>_xll.qlInterpolationInterpolate($O$22,$H28,,_xll.ohTrigger($Y$23:$Y$49))</f>
        <v>2.185208981560746E-3</v>
      </c>
      <c r="P28" s="109">
        <f t="shared" si="7"/>
        <v>0</v>
      </c>
      <c r="Q28" s="60">
        <f>_xll.qlDayCounterYearFraction(DayCounter,$H28,$E28)</f>
        <v>9.166666666666666E-2</v>
      </c>
      <c r="R28" s="107">
        <f t="shared" si="8"/>
        <v>1</v>
      </c>
      <c r="S28" s="74">
        <f t="shared" si="3"/>
        <v>2.185208981560746E-3</v>
      </c>
      <c r="T28" s="195">
        <f t="shared" si="4"/>
        <v>0</v>
      </c>
      <c r="U28" s="33">
        <v>41865</v>
      </c>
      <c r="V28" s="78" t="e">
        <f>_xll.qlInterpolationInterpolate(FwdInterpolator,U28,TRUE,ISERROR($AB$23:$AB$49))</f>
        <v>#NUM!</v>
      </c>
      <c r="X28" t="str">
        <f>_xll.qlSimpleQuote(,,,,EvaluationDate)</f>
        <v>obj_005fb#0010</v>
      </c>
      <c r="Y28" s="323" t="e">
        <f>_xll.qlSimpleQuoteSetValue(X28,J28)</f>
        <v>#N/A</v>
      </c>
      <c r="AA28" t="str">
        <f>_xll.qlSimpleQuote(,,,,EvaluationDate)</f>
        <v>obj_005f2#0010</v>
      </c>
      <c r="AB28" s="323" t="e">
        <f>_xll.qlSimpleQuoteSetValue(AA28,S28)</f>
        <v>#N/A</v>
      </c>
    </row>
    <row r="29" spans="1:28" x14ac:dyDescent="0.2">
      <c r="A29" s="117">
        <v>4</v>
      </c>
      <c r="B29" s="124" t="str">
        <f t="shared" si="9"/>
        <v>4X1S</v>
      </c>
      <c r="C29" s="43" t="str">
        <f t="shared" si="6"/>
        <v>EUR_YC1MRH_4X1S</v>
      </c>
      <c r="D29" s="21">
        <f>_xll.qlRateHelperEarliestDate($C29,EvaluationDate)</f>
        <v>41712</v>
      </c>
      <c r="E29" s="21">
        <f>_xll.qlRateHelperLatestDate($C29,EvaluationDate)</f>
        <v>41834</v>
      </c>
      <c r="F29" s="68">
        <f>_xll.qlRateHelperQuoteValue($C29,SheetTrigger)</f>
        <v>2.2300000000000002E-3</v>
      </c>
      <c r="G29" s="115">
        <f>1/(1+F29*_xll.qlDayCounterYearFraction(DayCounter,SettlementDate,E29))</f>
        <v>0.99924484846257566</v>
      </c>
      <c r="H29" s="21">
        <f t="shared" si="10"/>
        <v>41806</v>
      </c>
      <c r="I29" s="23" t="b">
        <v>1</v>
      </c>
      <c r="J29" s="24">
        <f t="shared" ref="J29:J37" si="11">($G28/$G29-1)/$Q29</f>
        <v>2.1280299401741204E-3</v>
      </c>
      <c r="K29" s="40" t="b">
        <f t="shared" si="5"/>
        <v>1</v>
      </c>
      <c r="L29" s="23" t="b">
        <f t="shared" si="0"/>
        <v>0</v>
      </c>
      <c r="M29" s="23" t="b">
        <f t="shared" si="1"/>
        <v>0</v>
      </c>
      <c r="N29" s="23" t="b">
        <f t="shared" si="2"/>
        <v>1</v>
      </c>
      <c r="O29" s="24">
        <f>_xll.qlInterpolationInterpolate($O$22,$H29,,_xll.ohTrigger($Y$23:$Y$49))</f>
        <v>2.1280299401741204E-3</v>
      </c>
      <c r="P29" s="109">
        <f t="shared" si="7"/>
        <v>0</v>
      </c>
      <c r="Q29" s="60">
        <f>_xll.qlDayCounterYearFraction(DayCounter,$H29,$E29)</f>
        <v>7.7777777777777779E-2</v>
      </c>
      <c r="R29" s="107">
        <f t="shared" si="8"/>
        <v>1</v>
      </c>
      <c r="S29" s="74">
        <f t="shared" si="3"/>
        <v>2.1280299401741204E-3</v>
      </c>
      <c r="T29" s="195">
        <f t="shared" si="4"/>
        <v>0</v>
      </c>
      <c r="U29" s="33">
        <v>41897</v>
      </c>
      <c r="V29" s="78" t="e">
        <f>_xll.qlInterpolationInterpolate(FwdInterpolator,U29,TRUE,ISERROR($AB$23:$AB$49))</f>
        <v>#NUM!</v>
      </c>
      <c r="X29" t="str">
        <f>_xll.qlSimpleQuote(,,,,EvaluationDate)</f>
        <v>obj_005ac#0010</v>
      </c>
      <c r="Y29" s="323" t="e">
        <f>_xll.qlSimpleQuoteSetValue(X29,J29)</f>
        <v>#N/A</v>
      </c>
      <c r="AA29" t="str">
        <f>_xll.qlSimpleQuote(,,,,EvaluationDate)</f>
        <v>obj_005fd#0010</v>
      </c>
      <c r="AB29" s="323" t="e">
        <f>_xll.qlSimpleQuoteSetValue(AA29,S29)</f>
        <v>#N/A</v>
      </c>
    </row>
    <row r="30" spans="1:28" x14ac:dyDescent="0.2">
      <c r="A30" s="121">
        <v>5</v>
      </c>
      <c r="B30" s="124" t="str">
        <f t="shared" si="9"/>
        <v>5X1S</v>
      </c>
      <c r="C30" s="43" t="str">
        <f t="shared" si="6"/>
        <v>EUR_YC1MRH_5X1S</v>
      </c>
      <c r="D30" s="21">
        <f>_xll.qlRateHelperEarliestDate($C30,EvaluationDate)</f>
        <v>41712</v>
      </c>
      <c r="E30" s="21">
        <f>_xll.qlRateHelperLatestDate($C30,EvaluationDate)</f>
        <v>41865</v>
      </c>
      <c r="F30" s="68">
        <f>_xll.qlRateHelperQuoteValue($C30,SheetTrigger)</f>
        <v>2.2000000000000001E-3</v>
      </c>
      <c r="G30" s="115">
        <f>1/(1+F30*_xll.qlDayCounterYearFraction(DayCounter,SettlementDate,E30))</f>
        <v>0.99906587340836328</v>
      </c>
      <c r="H30" s="21">
        <f t="shared" si="10"/>
        <v>41834</v>
      </c>
      <c r="I30" s="23" t="b">
        <v>1</v>
      </c>
      <c r="J30" s="24">
        <f t="shared" si="11"/>
        <v>2.0803633070878578E-3</v>
      </c>
      <c r="K30" s="40" t="b">
        <f t="shared" si="5"/>
        <v>1</v>
      </c>
      <c r="L30" s="23" t="b">
        <f t="shared" si="0"/>
        <v>0</v>
      </c>
      <c r="M30" s="23" t="b">
        <f t="shared" si="1"/>
        <v>0</v>
      </c>
      <c r="N30" s="23" t="b">
        <f t="shared" si="2"/>
        <v>1</v>
      </c>
      <c r="O30" s="24">
        <f>_xll.qlInterpolationInterpolate($O$22,$H30,,_xll.ohTrigger($Y$23:$Y$49))</f>
        <v>2.0803633070878578E-3</v>
      </c>
      <c r="P30" s="109">
        <f t="shared" si="7"/>
        <v>0</v>
      </c>
      <c r="Q30" s="60">
        <f>_xll.qlDayCounterYearFraction(DayCounter,$H30,$E30)</f>
        <v>8.611111111111111E-2</v>
      </c>
      <c r="R30" s="107">
        <f t="shared" si="8"/>
        <v>1</v>
      </c>
      <c r="S30" s="74">
        <f t="shared" si="3"/>
        <v>2.0803633070878578E-3</v>
      </c>
      <c r="T30" s="195">
        <f t="shared" si="4"/>
        <v>0</v>
      </c>
      <c r="U30" s="33">
        <v>41926</v>
      </c>
      <c r="V30" s="78" t="e">
        <f>_xll.qlInterpolationInterpolate(FwdInterpolator,U30,TRUE,ISERROR($AB$23:$AB$49))</f>
        <v>#NUM!</v>
      </c>
      <c r="X30" t="str">
        <f>_xll.qlSimpleQuote(,,,,EvaluationDate)</f>
        <v>obj_005de#0010</v>
      </c>
      <c r="Y30" s="323" t="e">
        <f>_xll.qlSimpleQuoteSetValue(X30,J30)</f>
        <v>#N/A</v>
      </c>
      <c r="AA30" t="str">
        <f>_xll.qlSimpleQuote(,,,,EvaluationDate)</f>
        <v>obj_00620#0010</v>
      </c>
      <c r="AB30" s="323" t="e">
        <f>_xll.qlSimpleQuoteSetValue(AA30,S30)</f>
        <v>#N/A</v>
      </c>
    </row>
    <row r="31" spans="1:28" x14ac:dyDescent="0.2">
      <c r="A31" s="117">
        <v>6</v>
      </c>
      <c r="B31" s="124" t="str">
        <f t="shared" si="9"/>
        <v>6X1S</v>
      </c>
      <c r="C31" s="43" t="str">
        <f t="shared" si="6"/>
        <v>EUR_YC1MRH_6X1S</v>
      </c>
      <c r="D31" s="21">
        <f>_xll.qlRateHelperEarliestDate($C31,EvaluationDate)</f>
        <v>41712</v>
      </c>
      <c r="E31" s="21">
        <f>_xll.qlRateHelperLatestDate($C31,EvaluationDate)</f>
        <v>41897</v>
      </c>
      <c r="F31" s="68">
        <f>_xll.qlRateHelperQuoteValue($C31,SheetTrigger)</f>
        <v>2.1800000000000001E-3</v>
      </c>
      <c r="G31" s="115">
        <f>1/(1+F31*_xll.qlDayCounterYearFraction(DayCounter,SettlementDate,E31))</f>
        <v>0.99888097584012148</v>
      </c>
      <c r="H31" s="21">
        <f t="shared" si="10"/>
        <v>41865</v>
      </c>
      <c r="I31" s="23" t="b">
        <v>1</v>
      </c>
      <c r="J31" s="24">
        <f t="shared" si="11"/>
        <v>2.0824279298847781E-3</v>
      </c>
      <c r="K31" s="40" t="b">
        <f t="shared" si="5"/>
        <v>1</v>
      </c>
      <c r="L31" s="23" t="b">
        <f t="shared" si="0"/>
        <v>0</v>
      </c>
      <c r="M31" s="23" t="b">
        <f t="shared" si="1"/>
        <v>0</v>
      </c>
      <c r="N31" s="23" t="b">
        <f t="shared" si="2"/>
        <v>1</v>
      </c>
      <c r="O31" s="24">
        <f>_xll.qlInterpolationInterpolate($O$22,$H31,,_xll.ohTrigger($Y$23:$Y$49))</f>
        <v>2.0824279298847781E-3</v>
      </c>
      <c r="P31" s="109">
        <f t="shared" si="7"/>
        <v>0</v>
      </c>
      <c r="Q31" s="60">
        <f>_xll.qlDayCounterYearFraction(DayCounter,$H31,$E31)</f>
        <v>8.8888888888888892E-2</v>
      </c>
      <c r="R31" s="107">
        <f t="shared" si="8"/>
        <v>1</v>
      </c>
      <c r="S31" s="74">
        <f t="shared" si="3"/>
        <v>2.0824279298847781E-3</v>
      </c>
      <c r="T31" s="195">
        <f t="shared" si="4"/>
        <v>0</v>
      </c>
      <c r="U31" s="33">
        <v>41957</v>
      </c>
      <c r="V31" s="78" t="e">
        <f>_xll.qlInterpolationInterpolate(FwdInterpolator,U31,TRUE,ISERROR($AB$23:$AB$49))</f>
        <v>#NUM!</v>
      </c>
      <c r="X31" t="str">
        <f>_xll.qlSimpleQuote(,,,,EvaluationDate)</f>
        <v>obj_005ec#0010</v>
      </c>
      <c r="Y31" s="323" t="e">
        <f>_xll.qlSimpleQuoteSetValue(X31,J31)</f>
        <v>#N/A</v>
      </c>
      <c r="AA31" t="str">
        <f>_xll.qlSimpleQuote(,,,,EvaluationDate)</f>
        <v>obj_005fa#0010</v>
      </c>
      <c r="AB31" s="323" t="e">
        <f>_xll.qlSimpleQuoteSetValue(AA31,S31)</f>
        <v>#N/A</v>
      </c>
    </row>
    <row r="32" spans="1:28" x14ac:dyDescent="0.2">
      <c r="A32" s="117">
        <v>7</v>
      </c>
      <c r="B32" s="124" t="str">
        <f t="shared" si="9"/>
        <v>7X1S</v>
      </c>
      <c r="C32" s="43" t="str">
        <f t="shared" si="6"/>
        <v>EUR_YC1MRH_7X1S</v>
      </c>
      <c r="D32" s="21">
        <f>_xll.qlRateHelperEarliestDate($C32,EvaluationDate)</f>
        <v>41712</v>
      </c>
      <c r="E32" s="21">
        <f>_xll.qlRateHelperLatestDate($C32,EvaluationDate)</f>
        <v>41926</v>
      </c>
      <c r="F32" s="68">
        <f>_xll.qlRateHelperQuoteValue($C32,SheetTrigger)</f>
        <v>2.1700000000000001E-3</v>
      </c>
      <c r="G32" s="115">
        <f>1/(1+F32*_xll.qlDayCounterYearFraction(DayCounter,SettlementDate,E32))</f>
        <v>0.99871171736857878</v>
      </c>
      <c r="H32" s="21">
        <f t="shared" si="10"/>
        <v>41897</v>
      </c>
      <c r="I32" s="23" t="b">
        <v>1</v>
      </c>
      <c r="J32" s="24">
        <f t="shared" si="11"/>
        <v>2.1038500001517627E-3</v>
      </c>
      <c r="K32" s="40" t="b">
        <f t="shared" si="5"/>
        <v>1</v>
      </c>
      <c r="L32" s="23" t="b">
        <f t="shared" si="0"/>
        <v>0</v>
      </c>
      <c r="M32" s="23" t="b">
        <f t="shared" si="1"/>
        <v>0</v>
      </c>
      <c r="N32" s="23" t="b">
        <f t="shared" si="2"/>
        <v>1</v>
      </c>
      <c r="O32" s="24">
        <f>_xll.qlInterpolationInterpolate($O$22,$H32,,_xll.ohTrigger($Y$23:$Y$49))</f>
        <v>2.1038500001517627E-3</v>
      </c>
      <c r="P32" s="109">
        <f t="shared" si="7"/>
        <v>0</v>
      </c>
      <c r="Q32" s="60">
        <f>_xll.qlDayCounterYearFraction(DayCounter,$H32,$E32)</f>
        <v>8.0555555555555561E-2</v>
      </c>
      <c r="R32" s="107">
        <f t="shared" si="8"/>
        <v>1</v>
      </c>
      <c r="S32" s="74">
        <f t="shared" si="3"/>
        <v>2.1038500001517627E-3</v>
      </c>
      <c r="T32" s="195">
        <f t="shared" si="4"/>
        <v>0</v>
      </c>
      <c r="U32" s="33">
        <v>41988</v>
      </c>
      <c r="V32" s="78" t="e">
        <f>_xll.qlInterpolationInterpolate(FwdInterpolator,U32,TRUE,ISERROR($AB$23:$AB$49))</f>
        <v>#NUM!</v>
      </c>
      <c r="X32" t="str">
        <f>_xll.qlSimpleQuote(,,,,EvaluationDate)</f>
        <v>obj_005e1#0010</v>
      </c>
      <c r="Y32" s="323" t="e">
        <f>_xll.qlSimpleQuoteSetValue(X32,J32)</f>
        <v>#N/A</v>
      </c>
      <c r="AA32" t="str">
        <f>_xll.qlSimpleQuote(,,,,EvaluationDate)</f>
        <v>obj_005c0#0010</v>
      </c>
      <c r="AB32" s="323" t="e">
        <f>_xll.qlSimpleQuoteSetValue(AA32,S32)</f>
        <v>#N/A</v>
      </c>
    </row>
    <row r="33" spans="1:28" x14ac:dyDescent="0.2">
      <c r="A33" s="117">
        <v>8</v>
      </c>
      <c r="B33" s="124" t="str">
        <f t="shared" si="9"/>
        <v>8X1S</v>
      </c>
      <c r="C33" s="43" t="str">
        <f t="shared" si="6"/>
        <v>EUR_YC1MRH_8X1S</v>
      </c>
      <c r="D33" s="21">
        <f>_xll.qlRateHelperEarliestDate($C33,EvaluationDate)</f>
        <v>41712</v>
      </c>
      <c r="E33" s="21">
        <f>_xll.qlRateHelperLatestDate($C33,EvaluationDate)</f>
        <v>41957</v>
      </c>
      <c r="F33" s="68">
        <f>_xll.qlRateHelperQuoteValue($C33,SheetTrigger)</f>
        <v>2.15E-3</v>
      </c>
      <c r="G33" s="115">
        <f>1/(1+F33*_xll.qlDayCounterYearFraction(DayCounter,SettlementDate,E33))</f>
        <v>0.99853894336550608</v>
      </c>
      <c r="H33" s="21">
        <f t="shared" si="10"/>
        <v>41926</v>
      </c>
      <c r="I33" s="23" t="b">
        <v>1</v>
      </c>
      <c r="J33" s="24">
        <f t="shared" si="11"/>
        <v>2.0093435423323086E-3</v>
      </c>
      <c r="K33" s="40" t="b">
        <f t="shared" si="5"/>
        <v>1</v>
      </c>
      <c r="L33" s="23" t="b">
        <f t="shared" si="0"/>
        <v>0</v>
      </c>
      <c r="M33" s="23" t="b">
        <f t="shared" si="1"/>
        <v>0</v>
      </c>
      <c r="N33" s="23" t="b">
        <f t="shared" si="2"/>
        <v>1</v>
      </c>
      <c r="O33" s="24">
        <f>_xll.qlInterpolationInterpolate($O$22,$H33,,_xll.ohTrigger($Y$23:$Y$49))</f>
        <v>2.0093435423323086E-3</v>
      </c>
      <c r="P33" s="109">
        <f t="shared" si="7"/>
        <v>0</v>
      </c>
      <c r="Q33" s="60">
        <f>_xll.qlDayCounterYearFraction(DayCounter,$H33,$E33)</f>
        <v>8.611111111111111E-2</v>
      </c>
      <c r="R33" s="107">
        <f t="shared" si="8"/>
        <v>1</v>
      </c>
      <c r="S33" s="74">
        <f t="shared" si="3"/>
        <v>2.0093435423323086E-3</v>
      </c>
      <c r="T33" s="195">
        <f t="shared" si="4"/>
        <v>0</v>
      </c>
      <c r="U33" s="33">
        <v>42018</v>
      </c>
      <c r="V33" s="78" t="e">
        <f>_xll.qlInterpolationInterpolate(FwdInterpolator,U33,TRUE,ISERROR($AB$23:$AB$49))</f>
        <v>#NUM!</v>
      </c>
      <c r="X33" t="str">
        <f>_xll.qlSimpleQuote(,,,,EvaluationDate)</f>
        <v>obj_005a7#0010</v>
      </c>
      <c r="Y33" s="323" t="e">
        <f>_xll.qlSimpleQuoteSetValue(X33,J33)</f>
        <v>#N/A</v>
      </c>
      <c r="AA33" t="str">
        <f>_xll.qlSimpleQuote(,,,,EvaluationDate)</f>
        <v>obj_0059a#0010</v>
      </c>
      <c r="AB33" s="323" t="e">
        <f>_xll.qlSimpleQuoteSetValue(AA33,S33)</f>
        <v>#N/A</v>
      </c>
    </row>
    <row r="34" spans="1:28" x14ac:dyDescent="0.2">
      <c r="A34" s="121">
        <v>9</v>
      </c>
      <c r="B34" s="124" t="str">
        <f t="shared" si="9"/>
        <v>9X1S</v>
      </c>
      <c r="C34" s="43" t="str">
        <f t="shared" si="6"/>
        <v>EUR_YC1MRH_9X1S</v>
      </c>
      <c r="D34" s="21">
        <f>_xll.qlRateHelperEarliestDate($C34,EvaluationDate)</f>
        <v>41712</v>
      </c>
      <c r="E34" s="21">
        <f>_xll.qlRateHelperLatestDate($C34,EvaluationDate)</f>
        <v>41988</v>
      </c>
      <c r="F34" s="68">
        <f>_xll.qlRateHelperQuoteValue($C34,SheetTrigger)</f>
        <v>2.14E-3</v>
      </c>
      <c r="G34" s="115">
        <f>1/(1+F34*_xll.qlDayCounterYearFraction(DayCounter,SettlementDate,E34))</f>
        <v>0.99836202071135294</v>
      </c>
      <c r="H34" s="21">
        <f t="shared" si="10"/>
        <v>41957</v>
      </c>
      <c r="I34" s="23" t="b">
        <v>1</v>
      </c>
      <c r="J34" s="24">
        <f t="shared" si="11"/>
        <v>2.0579565513415446E-3</v>
      </c>
      <c r="K34" s="40" t="b">
        <f t="shared" si="5"/>
        <v>1</v>
      </c>
      <c r="L34" s="23" t="b">
        <f t="shared" si="0"/>
        <v>0</v>
      </c>
      <c r="M34" s="23" t="b">
        <f t="shared" si="1"/>
        <v>0</v>
      </c>
      <c r="N34" s="23" t="b">
        <f t="shared" si="2"/>
        <v>1</v>
      </c>
      <c r="O34" s="24">
        <f>_xll.qlInterpolationInterpolate($O$22,$H34,,_xll.ohTrigger($Y$23:$Y$49))</f>
        <v>2.0579565513415446E-3</v>
      </c>
      <c r="P34" s="109">
        <f t="shared" si="7"/>
        <v>0</v>
      </c>
      <c r="Q34" s="60">
        <f>_xll.qlDayCounterYearFraction(DayCounter,$H34,$E34)</f>
        <v>8.611111111111111E-2</v>
      </c>
      <c r="R34" s="107">
        <f t="shared" si="8"/>
        <v>1</v>
      </c>
      <c r="S34" s="74">
        <f t="shared" si="3"/>
        <v>2.0579565513415446E-3</v>
      </c>
      <c r="T34" s="195">
        <f t="shared" si="4"/>
        <v>0</v>
      </c>
      <c r="U34" s="33">
        <v>42051</v>
      </c>
      <c r="V34" s="78" t="e">
        <f>_xll.qlInterpolationInterpolate(FwdInterpolator,U34,TRUE,ISERROR($AB$23:$AB$49))</f>
        <v>#NUM!</v>
      </c>
      <c r="X34" t="str">
        <f>_xll.qlSimpleQuote(,,,,EvaluationDate)</f>
        <v>obj_00600#0010</v>
      </c>
      <c r="Y34" s="323" t="e">
        <f>_xll.qlSimpleQuoteSetValue(X34,J34)</f>
        <v>#N/A</v>
      </c>
      <c r="AA34" t="str">
        <f>_xll.qlSimpleQuote(,,,,EvaluationDate)</f>
        <v>obj_0061f#0010</v>
      </c>
      <c r="AB34" s="323" t="e">
        <f>_xll.qlSimpleQuoteSetValue(AA34,S34)</f>
        <v>#N/A</v>
      </c>
    </row>
    <row r="35" spans="1:28" x14ac:dyDescent="0.2">
      <c r="A35" s="117">
        <v>10</v>
      </c>
      <c r="B35" s="124" t="str">
        <f t="shared" si="9"/>
        <v>10X1S</v>
      </c>
      <c r="C35" s="43" t="str">
        <f t="shared" si="6"/>
        <v>EUR_YC1MRH_10X1S</v>
      </c>
      <c r="D35" s="21">
        <f>_xll.qlRateHelperEarliestDate($C35,EvaluationDate)</f>
        <v>41712</v>
      </c>
      <c r="E35" s="21">
        <f>_xll.qlRateHelperLatestDate($C35,EvaluationDate)</f>
        <v>42018</v>
      </c>
      <c r="F35" s="68">
        <f>_xll.qlRateHelperQuoteValue($C35,SheetTrigger)</f>
        <v>2.1299999999999999E-3</v>
      </c>
      <c r="G35" s="115">
        <f>1/(1+F35*_xll.qlDayCounterYearFraction(DayCounter,SettlementDate,E35))</f>
        <v>0.99819277198631884</v>
      </c>
      <c r="H35" s="21">
        <f t="shared" si="10"/>
        <v>41988</v>
      </c>
      <c r="I35" s="23" t="b">
        <v>1</v>
      </c>
      <c r="J35" s="24">
        <f t="shared" si="11"/>
        <v>2.0346617982101023E-3</v>
      </c>
      <c r="K35" s="40" t="b">
        <f t="shared" si="5"/>
        <v>1</v>
      </c>
      <c r="L35" s="23" t="b">
        <f t="shared" si="0"/>
        <v>1</v>
      </c>
      <c r="M35" s="23" t="b">
        <f t="shared" si="1"/>
        <v>0</v>
      </c>
      <c r="N35" s="23" t="b">
        <f t="shared" si="2"/>
        <v>0</v>
      </c>
      <c r="O35" s="24">
        <f>_xll.qlInterpolationInterpolate($O$22,$H35,,_xll.ohTrigger($Y$23:$Y$49))</f>
        <v>1.9326502665169005E-3</v>
      </c>
      <c r="P35" s="109">
        <f t="shared" si="7"/>
        <v>1.0201153169320178E-4</v>
      </c>
      <c r="Q35" s="60">
        <f>_xll.qlDayCounterYearFraction(DayCounter,$H35,$E35)</f>
        <v>8.3333333333333329E-2</v>
      </c>
      <c r="R35" s="107">
        <f t="shared" si="8"/>
        <v>0.99999150048016283</v>
      </c>
      <c r="S35" s="74">
        <f>IF($L35,(TOY_1*(1+$J35*$Q35)-1)/$Q35,IF($M35,(TOY_2*(1+$J35*$Q35)-1)/$Q35,$J35))</f>
        <v>2.0346617982101023E-3</v>
      </c>
      <c r="T35" s="195">
        <f t="shared" si="4"/>
        <v>0</v>
      </c>
      <c r="U35" s="33" t="e">
        <v>#N/A</v>
      </c>
      <c r="V35" s="78" t="e">
        <f>_xll.qlInterpolationInterpolate(FwdInterpolator,U35,TRUE,ISERROR($AB$23:$AB$49))</f>
        <v>#NUM!</v>
      </c>
      <c r="X35" t="str">
        <f>_xll.qlSimpleQuote(,,,,EvaluationDate)</f>
        <v>obj_00601#0010</v>
      </c>
      <c r="Y35" s="323" t="e">
        <f>_xll.qlSimpleQuoteSetValue(X35,J35)</f>
        <v>#N/A</v>
      </c>
      <c r="AA35" t="str">
        <f>_xll.qlSimpleQuote(,,,,EvaluationDate)</f>
        <v>obj_005fc#0010</v>
      </c>
      <c r="AB35" s="323" t="e">
        <f>_xll.qlSimpleQuoteSetValue(AA35,S35)</f>
        <v>#N/A</v>
      </c>
    </row>
    <row r="36" spans="1:28" x14ac:dyDescent="0.2">
      <c r="A36" s="117">
        <v>11</v>
      </c>
      <c r="B36" s="124" t="str">
        <f t="shared" si="9"/>
        <v>11X1S</v>
      </c>
      <c r="C36" s="43" t="str">
        <f t="shared" si="6"/>
        <v>EUR_YC1MRH_11X1S</v>
      </c>
      <c r="D36" s="21">
        <f>_xll.qlRateHelperEarliestDate($C36,EvaluationDate)</f>
        <v>41712</v>
      </c>
      <c r="E36" s="21">
        <f>_xll.qlRateHelperLatestDate($C36,EvaluationDate)</f>
        <v>42051</v>
      </c>
      <c r="F36" s="68">
        <f>_xll.qlRateHelperQuoteValue($C36,SheetTrigger)</f>
        <v>2.0999999999999999E-3</v>
      </c>
      <c r="G36" s="115">
        <f>1/(1+F36*_xll.qlDayCounterYearFraction(DayCounter,SettlementDate,E36))</f>
        <v>0.99802640278848576</v>
      </c>
      <c r="H36" s="21">
        <f t="shared" si="10"/>
        <v>42018</v>
      </c>
      <c r="I36" s="23" t="b">
        <v>1</v>
      </c>
      <c r="J36" s="24">
        <f t="shared" si="11"/>
        <v>1.8185257409652036E-3</v>
      </c>
      <c r="K36" s="40" t="b">
        <f t="shared" si="5"/>
        <v>1</v>
      </c>
      <c r="L36" s="23" t="b">
        <f t="shared" si="0"/>
        <v>0</v>
      </c>
      <c r="M36" s="23" t="b">
        <f t="shared" si="1"/>
        <v>0</v>
      </c>
      <c r="N36" s="23" t="b">
        <f t="shared" si="2"/>
        <v>1</v>
      </c>
      <c r="O36" s="24">
        <f>_xll.qlInterpolationInterpolate($O$22,$H36,,_xll.ohTrigger($Y$23:$Y$49))</f>
        <v>1.8185257409652036E-3</v>
      </c>
      <c r="P36" s="109">
        <f t="shared" si="7"/>
        <v>0</v>
      </c>
      <c r="Q36" s="60">
        <f>_xll.qlDayCounterYearFraction(DayCounter,$H36,$E36)</f>
        <v>9.166666666666666E-2</v>
      </c>
      <c r="R36" s="107">
        <f t="shared" si="8"/>
        <v>1</v>
      </c>
      <c r="S36" s="74">
        <f t="shared" si="3"/>
        <v>1.8185257409652036E-3</v>
      </c>
      <c r="T36" s="195">
        <f t="shared" si="4"/>
        <v>0</v>
      </c>
      <c r="U36" s="33" t="e">
        <v>#N/A</v>
      </c>
      <c r="V36" s="78" t="e">
        <f>_xll.qlInterpolationInterpolate(FwdInterpolator,U36,TRUE,ISERROR($AB$23:$AB$49))</f>
        <v>#NUM!</v>
      </c>
      <c r="X36" t="str">
        <f>_xll.qlSimpleQuote(,,,,EvaluationDate)</f>
        <v>obj_00629#0010</v>
      </c>
      <c r="Y36" s="323" t="e">
        <f>_xll.qlSimpleQuoteSetValue(X36,J36)</f>
        <v>#N/A</v>
      </c>
      <c r="AA36" t="str">
        <f>_xll.qlSimpleQuote(,,,,EvaluationDate)</f>
        <v>obj_00627#0010</v>
      </c>
      <c r="AB36" s="323" t="e">
        <f>_xll.qlSimpleQuoteSetValue(AA36,S36)</f>
        <v>#N/A</v>
      </c>
    </row>
    <row r="37" spans="1:28" x14ac:dyDescent="0.2">
      <c r="A37" s="117">
        <v>12</v>
      </c>
      <c r="B37" s="125" t="str">
        <f t="shared" si="9"/>
        <v>12X1S</v>
      </c>
      <c r="C37" s="123" t="str">
        <f t="shared" si="6"/>
        <v>EUR_YC1MRH_12X1S</v>
      </c>
      <c r="D37" s="66">
        <f>_xll.qlRateHelperEarliestDate($C37,EvaluationDate)</f>
        <v>41712</v>
      </c>
      <c r="E37" s="66">
        <f>_xll.qlRateHelperLatestDate($C37,EvaluationDate)</f>
        <v>42079</v>
      </c>
      <c r="F37" s="76">
        <f>_xll.qlRateHelperQuoteValue($C37,SheetTrigger)</f>
        <v>2.0900000000000003E-3</v>
      </c>
      <c r="G37" s="116">
        <f>1/(1+F37*_xll.qlDayCounterYearFraction(DayCounter,SettlementDate,E37))</f>
        <v>0.99787389108145497</v>
      </c>
      <c r="H37" s="66">
        <f t="shared" si="10"/>
        <v>42051</v>
      </c>
      <c r="I37" s="37" t="b">
        <v>1</v>
      </c>
      <c r="J37" s="35">
        <f t="shared" si="11"/>
        <v>1.9650426994902554E-3</v>
      </c>
      <c r="K37" s="207" t="b">
        <f t="shared" si="5"/>
        <v>1</v>
      </c>
      <c r="L37" s="37" t="b">
        <f t="shared" si="0"/>
        <v>0</v>
      </c>
      <c r="M37" s="37" t="b">
        <f t="shared" si="1"/>
        <v>0</v>
      </c>
      <c r="N37" s="37" t="b">
        <f t="shared" si="2"/>
        <v>1</v>
      </c>
      <c r="O37" s="35">
        <f>_xll.qlInterpolationInterpolate($O$22,$H37,,_xll.ohTrigger($Y$23:$Y$49))</f>
        <v>1.9650426994902554E-3</v>
      </c>
      <c r="P37" s="110">
        <f t="shared" si="7"/>
        <v>0</v>
      </c>
      <c r="Q37" s="61">
        <f>_xll.qlDayCounterYearFraction(DayCounter,$H37,$E37)</f>
        <v>7.7777777777777779E-2</v>
      </c>
      <c r="R37" s="120">
        <f t="shared" si="8"/>
        <v>1</v>
      </c>
      <c r="S37" s="75">
        <f t="shared" si="3"/>
        <v>1.9650426994902554E-3</v>
      </c>
      <c r="T37" s="194">
        <f t="shared" si="4"/>
        <v>0</v>
      </c>
      <c r="U37" s="33" t="e">
        <v>#N/A</v>
      </c>
      <c r="V37" s="78" t="e">
        <f>_xll.qlInterpolationInterpolate(FwdInterpolator,U37,TRUE,ISERROR($AB$23:$AB$49))</f>
        <v>#NUM!</v>
      </c>
      <c r="X37" t="str">
        <f>_xll.qlSimpleQuote(,,,,EvaluationDate)</f>
        <v>obj_0059d#0010</v>
      </c>
      <c r="Y37" s="323" t="e">
        <f>_xll.qlSimpleQuoteSetValue(X37,J37)</f>
        <v>#N/A</v>
      </c>
      <c r="AA37" t="str">
        <f>_xll.qlSimpleQuote(,,,,EvaluationDate)</f>
        <v>obj_0061c#0010</v>
      </c>
      <c r="AB37" s="323" t="e">
        <f>_xll.qlSimpleQuoteSetValue(AA37,S37)</f>
        <v>#N/A</v>
      </c>
    </row>
    <row r="38" spans="1:28" s="19" customFormat="1" x14ac:dyDescent="0.2">
      <c r="A38" t="b">
        <v>0</v>
      </c>
      <c r="B38" s="64" t="str">
        <f>"FUT"&amp;IndexTenor&amp;_xll.qlIMMNextCodes(SettlementDate+$B$22,A38)</f>
        <v>FUT1MH4</v>
      </c>
      <c r="C38" s="69" t="str">
        <f>RateHelperPrefix&amp;$B38</f>
        <v>EUR_YC1MRH_FUT1MH4</v>
      </c>
      <c r="D38" s="80" t="e">
        <f>_xll.qlRateHelperEarliestDate($C38,EvaluationDate)</f>
        <v>#NUM!</v>
      </c>
      <c r="E38" s="80" t="e">
        <f>_xll.qlRateHelperLatestDate($C38,EvaluationDate)</f>
        <v>#NUM!</v>
      </c>
      <c r="F38" s="146" t="e">
        <f>_xll.qlRateHelperQuoteValue($C38,SheetTrigger)</f>
        <v>#NUM!</v>
      </c>
      <c r="G38" s="112" t="e">
        <f>_xll.qlFuturesRateHelperConvexityAdjustment($C38,SheetTrigger)</f>
        <v>#NUM!</v>
      </c>
      <c r="H38" s="80" t="e">
        <f t="shared" ref="H38:H49" si="12">$D38</f>
        <v>#NUM!</v>
      </c>
      <c r="I38" s="31" t="b">
        <f>ISNA(VLOOKUP(H38,$H$23:$H$37,1,FALSE))</f>
        <v>0</v>
      </c>
      <c r="J38" s="29" t="e">
        <f>1-$F38/100-$G38</f>
        <v>#NUM!</v>
      </c>
      <c r="K38" s="143" t="b">
        <v>0</v>
      </c>
      <c r="L38" s="31" t="e">
        <f t="shared" si="0"/>
        <v>#NUM!</v>
      </c>
      <c r="M38" s="31" t="e">
        <f t="shared" si="1"/>
        <v>#NUM!</v>
      </c>
      <c r="N38" s="31" t="b">
        <v>0</v>
      </c>
      <c r="O38" s="24" t="e">
        <f>_xll.qlInterpolationInterpolate($O$22,$H38,,_xll.ohTrigger($Y$23:$Y$49))</f>
        <v>#NUM!</v>
      </c>
      <c r="P38" s="108" t="e">
        <f t="shared" si="7"/>
        <v>#NUM!</v>
      </c>
      <c r="Q38" s="59" t="e">
        <f>_xll.qlDayCounterYearFraction(DayCounter,$H38,$E38)</f>
        <v>#NUM!</v>
      </c>
      <c r="R38" s="119" t="e">
        <f t="shared" si="8"/>
        <v>#NUM!</v>
      </c>
      <c r="S38" s="82" t="e">
        <f>IF($L38,(TOY_1*(1+$J38*$Q38)-1)/$Q38,IF($M38,(TOY_2*(1+$J38*$Q38)-1)/$Q38,$J38))</f>
        <v>#NUM!</v>
      </c>
      <c r="T38" s="193" t="e">
        <f>S38-J38</f>
        <v>#NUM!</v>
      </c>
      <c r="U38" s="33" t="e">
        <v>#N/A</v>
      </c>
      <c r="V38" s="78" t="e">
        <f>_xll.qlInterpolationInterpolate(FwdInterpolator,U38,TRUE,ISERROR($AB$23:$AB$49))</f>
        <v>#NUM!</v>
      </c>
      <c r="X38" t="str">
        <f>_xll.qlSimpleQuote(,,,,EvaluationDate)</f>
        <v>obj_005a4#0010</v>
      </c>
      <c r="Y38" s="323" t="e">
        <f>_xll.qlSimpleQuoteSetValue(X38,J38)</f>
        <v>#NUM!</v>
      </c>
      <c r="AA38" t="str">
        <f>_xll.qlSimpleQuote(,,,,EvaluationDate)</f>
        <v>obj_005da#0010</v>
      </c>
      <c r="AB38" s="323" t="e">
        <f>_xll.qlSimpleQuoteSetValue(AA38,S38)</f>
        <v>#NUM!</v>
      </c>
    </row>
    <row r="39" spans="1:28" s="19" customFormat="1" x14ac:dyDescent="0.2">
      <c r="A39" t="b">
        <v>0</v>
      </c>
      <c r="B39" s="64" t="e">
        <f>"FUT"&amp;IndexTenor&amp;_xll.qlIMMNextCodes(D38,A39)</f>
        <v>#NUM!</v>
      </c>
      <c r="C39" s="64" t="e">
        <f t="shared" ref="C39:C49" si="13">RateHelperPrefix&amp;$B39</f>
        <v>#NUM!</v>
      </c>
      <c r="D39" s="21" t="e">
        <f>_xll.qlRateHelperEarliestDate($C39,EvaluationDate)</f>
        <v>#VALUE!</v>
      </c>
      <c r="E39" s="21" t="e">
        <f>_xll.qlRateHelperLatestDate($C39,EvaluationDate)</f>
        <v>#VALUE!</v>
      </c>
      <c r="F39" s="147" t="e">
        <f>_xll.qlRateHelperQuoteValue($C39,SheetTrigger)</f>
        <v>#VALUE!</v>
      </c>
      <c r="G39" s="104" t="e">
        <f>_xll.qlFuturesRateHelperConvexityAdjustment($C39,SheetTrigger)</f>
        <v>#VALUE!</v>
      </c>
      <c r="H39" s="21" t="e">
        <f t="shared" si="12"/>
        <v>#VALUE!</v>
      </c>
      <c r="I39" s="23" t="b">
        <f t="shared" ref="I39:I49" si="14">ISNA(VLOOKUP(H39,$H$23:$H$37,1,FALSE))</f>
        <v>0</v>
      </c>
      <c r="J39" s="24" t="e">
        <f t="shared" ref="J39:J49" si="15">1-$F39/100-$G39</f>
        <v>#VALUE!</v>
      </c>
      <c r="K39" s="143" t="b">
        <v>0</v>
      </c>
      <c r="L39" s="23" t="e">
        <f t="shared" si="0"/>
        <v>#VALUE!</v>
      </c>
      <c r="M39" s="23" t="e">
        <f t="shared" si="1"/>
        <v>#VALUE!</v>
      </c>
      <c r="N39" s="23" t="b">
        <v>0</v>
      </c>
      <c r="O39" s="24" t="e">
        <f>_xll.qlInterpolationInterpolate($O$22,$H39,,_xll.ohTrigger($Y$23:$Y$49))</f>
        <v>#NUM!</v>
      </c>
      <c r="P39" s="109" t="e">
        <f t="shared" si="7"/>
        <v>#VALUE!</v>
      </c>
      <c r="Q39" s="60" t="e">
        <f>_xll.qlDayCounterYearFraction(DayCounter,$H39,$E39)</f>
        <v>#NUM!</v>
      </c>
      <c r="R39" s="107" t="e">
        <f t="shared" si="8"/>
        <v>#NUM!</v>
      </c>
      <c r="S39" s="74" t="e">
        <f t="shared" ref="S39:S49" si="16">IF($L39,(TOY_1*(1+$J39*$Q39)-1)/$Q39,IF($M39,(TOY_2*(1+$J39*$Q39)-1)/$Q39,$J39))</f>
        <v>#VALUE!</v>
      </c>
      <c r="T39" s="195" t="e">
        <f>S39-J39</f>
        <v>#VALUE!</v>
      </c>
      <c r="U39" s="33" t="e">
        <v>#N/A</v>
      </c>
      <c r="V39" s="78" t="e">
        <f>_xll.qlInterpolationInterpolate(FwdInterpolator,U39,TRUE,ISERROR($AB$23:$AB$49))</f>
        <v>#NUM!</v>
      </c>
      <c r="X39" t="str">
        <f>_xll.qlSimpleQuote(,,,,EvaluationDate)</f>
        <v>obj_00611#0010</v>
      </c>
      <c r="Y39" s="323" t="e">
        <f>_xll.qlSimpleQuoteSetValue(X39,J39)</f>
        <v>#NUM!</v>
      </c>
      <c r="AA39" t="str">
        <f>_xll.qlSimpleQuote(,,,,EvaluationDate)</f>
        <v>obj_00603#0010</v>
      </c>
      <c r="AB39" s="323" t="e">
        <f>_xll.qlSimpleQuoteSetValue(AA39,S39)</f>
        <v>#NUM!</v>
      </c>
    </row>
    <row r="40" spans="1:28" s="19" customFormat="1" x14ac:dyDescent="0.2">
      <c r="A40" t="b">
        <v>0</v>
      </c>
      <c r="B40" s="64" t="e">
        <f>"FUT"&amp;IndexTenor&amp;_xll.qlIMMNextCodes(D39,A40)</f>
        <v>#NUM!</v>
      </c>
      <c r="C40" s="64" t="e">
        <f t="shared" si="13"/>
        <v>#NUM!</v>
      </c>
      <c r="D40" s="21" t="e">
        <f>_xll.qlRateHelperEarliestDate($C40,EvaluationDate)</f>
        <v>#VALUE!</v>
      </c>
      <c r="E40" s="21" t="e">
        <f>_xll.qlRateHelperLatestDate($C40,EvaluationDate)</f>
        <v>#VALUE!</v>
      </c>
      <c r="F40" s="147" t="e">
        <f>_xll.qlRateHelperQuoteValue($C40,SheetTrigger)</f>
        <v>#VALUE!</v>
      </c>
      <c r="G40" s="104" t="e">
        <f>_xll.qlFuturesRateHelperConvexityAdjustment($C40,SheetTrigger)</f>
        <v>#VALUE!</v>
      </c>
      <c r="H40" s="21" t="e">
        <f t="shared" si="12"/>
        <v>#VALUE!</v>
      </c>
      <c r="I40" s="23" t="b">
        <f t="shared" si="14"/>
        <v>0</v>
      </c>
      <c r="J40" s="24" t="e">
        <f t="shared" si="15"/>
        <v>#VALUE!</v>
      </c>
      <c r="K40" s="143" t="b">
        <v>0</v>
      </c>
      <c r="L40" s="23" t="e">
        <f t="shared" si="0"/>
        <v>#VALUE!</v>
      </c>
      <c r="M40" s="23" t="e">
        <f t="shared" si="1"/>
        <v>#VALUE!</v>
      </c>
      <c r="N40" s="23" t="b">
        <v>0</v>
      </c>
      <c r="O40" s="24" t="e">
        <f>_xll.qlInterpolationInterpolate($O$22,$H40,,_xll.ohTrigger($Y$23:$Y$49))</f>
        <v>#NUM!</v>
      </c>
      <c r="P40" s="109" t="e">
        <f t="shared" si="7"/>
        <v>#VALUE!</v>
      </c>
      <c r="Q40" s="60" t="e">
        <f>_xll.qlDayCounterYearFraction(DayCounter,$H40,$E40)</f>
        <v>#NUM!</v>
      </c>
      <c r="R40" s="107" t="e">
        <f t="shared" si="8"/>
        <v>#NUM!</v>
      </c>
      <c r="S40" s="74" t="e">
        <f t="shared" si="16"/>
        <v>#VALUE!</v>
      </c>
      <c r="T40" s="195" t="e">
        <f t="shared" ref="T40:T49" si="17">S40-J40</f>
        <v>#VALUE!</v>
      </c>
      <c r="U40" s="33" t="e">
        <v>#N/A</v>
      </c>
      <c r="V40" s="78" t="e">
        <f>_xll.qlInterpolationInterpolate(FwdInterpolator,U40,TRUE,ISERROR($AB$23:$AB$49))</f>
        <v>#NUM!</v>
      </c>
      <c r="X40" t="str">
        <f>_xll.qlSimpleQuote(,,,,EvaluationDate)</f>
        <v>obj_005be#0010</v>
      </c>
      <c r="Y40" s="323" t="e">
        <f>_xll.qlSimpleQuoteSetValue(X40,J40)</f>
        <v>#NUM!</v>
      </c>
      <c r="AA40" t="str">
        <f>_xll.qlSimpleQuote(,,,,EvaluationDate)</f>
        <v>obj_005b0#0010</v>
      </c>
      <c r="AB40" s="323" t="e">
        <f>_xll.qlSimpleQuoteSetValue(AA40,S40)</f>
        <v>#NUM!</v>
      </c>
    </row>
    <row r="41" spans="1:28" s="19" customFormat="1" x14ac:dyDescent="0.2">
      <c r="A41" t="b">
        <v>0</v>
      </c>
      <c r="B41" s="64" t="e">
        <f>"FUT"&amp;IndexTenor&amp;_xll.qlIMMNextCodes(D40,A41)</f>
        <v>#NUM!</v>
      </c>
      <c r="C41" s="64" t="e">
        <f t="shared" si="13"/>
        <v>#NUM!</v>
      </c>
      <c r="D41" s="21" t="e">
        <f>_xll.qlRateHelperEarliestDate($C41,EvaluationDate)</f>
        <v>#VALUE!</v>
      </c>
      <c r="E41" s="21" t="e">
        <f>_xll.qlRateHelperLatestDate($C41,EvaluationDate)</f>
        <v>#VALUE!</v>
      </c>
      <c r="F41" s="147" t="e">
        <f>_xll.qlRateHelperQuoteValue($C41,SheetTrigger)</f>
        <v>#VALUE!</v>
      </c>
      <c r="G41" s="104" t="e">
        <f>_xll.qlFuturesRateHelperConvexityAdjustment($C41,SheetTrigger)</f>
        <v>#VALUE!</v>
      </c>
      <c r="H41" s="21" t="e">
        <f t="shared" si="12"/>
        <v>#VALUE!</v>
      </c>
      <c r="I41" s="23" t="b">
        <f t="shared" si="14"/>
        <v>0</v>
      </c>
      <c r="J41" s="24" t="e">
        <f t="shared" si="15"/>
        <v>#VALUE!</v>
      </c>
      <c r="K41" s="143" t="b">
        <v>0</v>
      </c>
      <c r="L41" s="23" t="e">
        <f t="shared" si="0"/>
        <v>#VALUE!</v>
      </c>
      <c r="M41" s="23" t="e">
        <f t="shared" si="1"/>
        <v>#VALUE!</v>
      </c>
      <c r="N41" s="23" t="b">
        <v>0</v>
      </c>
      <c r="O41" s="24" t="e">
        <f>_xll.qlInterpolationInterpolate($O$22,$H41,,_xll.ohTrigger($Y$23:$Y$49))</f>
        <v>#NUM!</v>
      </c>
      <c r="P41" s="109" t="e">
        <f t="shared" si="7"/>
        <v>#VALUE!</v>
      </c>
      <c r="Q41" s="60" t="e">
        <f>_xll.qlDayCounterYearFraction(DayCounter,$H41,$E41)</f>
        <v>#NUM!</v>
      </c>
      <c r="R41" s="107" t="e">
        <f t="shared" si="8"/>
        <v>#NUM!</v>
      </c>
      <c r="S41" s="74" t="e">
        <f t="shared" si="16"/>
        <v>#VALUE!</v>
      </c>
      <c r="T41" s="195" t="e">
        <f t="shared" si="17"/>
        <v>#VALUE!</v>
      </c>
      <c r="U41" s="33" t="e">
        <v>#N/A</v>
      </c>
      <c r="V41" s="78" t="e">
        <f>_xll.qlInterpolationInterpolate(FwdInterpolator,U41,TRUE,ISERROR($AB$23:$AB$49))</f>
        <v>#NUM!</v>
      </c>
      <c r="X41" t="str">
        <f>_xll.qlSimpleQuote(,,,,EvaluationDate)</f>
        <v>obj_0060c#0010</v>
      </c>
      <c r="Y41" s="323" t="e">
        <f>_xll.qlSimpleQuoteSetValue(X41,J41)</f>
        <v>#NUM!</v>
      </c>
      <c r="AA41" t="str">
        <f>_xll.qlSimpleQuote(,,,,EvaluationDate)</f>
        <v>obj_005e3#0010</v>
      </c>
      <c r="AB41" s="323" t="e">
        <f>_xll.qlSimpleQuoteSetValue(AA41,S41)</f>
        <v>#NUM!</v>
      </c>
    </row>
    <row r="42" spans="1:28" s="19" customFormat="1" x14ac:dyDescent="0.2">
      <c r="A42" t="b">
        <v>0</v>
      </c>
      <c r="B42" s="64" t="e">
        <f>"FUT"&amp;IndexTenor&amp;_xll.qlIMMNextCodes(D41,A42)</f>
        <v>#NUM!</v>
      </c>
      <c r="C42" s="64" t="e">
        <f t="shared" si="13"/>
        <v>#NUM!</v>
      </c>
      <c r="D42" s="21" t="e">
        <f>_xll.qlRateHelperEarliestDate($C42,EvaluationDate)</f>
        <v>#VALUE!</v>
      </c>
      <c r="E42" s="21" t="e">
        <f>_xll.qlRateHelperLatestDate($C42,EvaluationDate)</f>
        <v>#VALUE!</v>
      </c>
      <c r="F42" s="147" t="e">
        <f>_xll.qlRateHelperQuoteValue($C42,SheetTrigger)</f>
        <v>#VALUE!</v>
      </c>
      <c r="G42" s="104" t="e">
        <f>_xll.qlFuturesRateHelperConvexityAdjustment($C42,SheetTrigger)</f>
        <v>#VALUE!</v>
      </c>
      <c r="H42" s="21" t="e">
        <f t="shared" si="12"/>
        <v>#VALUE!</v>
      </c>
      <c r="I42" s="23" t="b">
        <f t="shared" si="14"/>
        <v>0</v>
      </c>
      <c r="J42" s="24" t="e">
        <f t="shared" si="15"/>
        <v>#VALUE!</v>
      </c>
      <c r="K42" s="143" t="b">
        <v>0</v>
      </c>
      <c r="L42" s="23" t="e">
        <f t="shared" si="0"/>
        <v>#VALUE!</v>
      </c>
      <c r="M42" s="23" t="e">
        <f t="shared" si="1"/>
        <v>#VALUE!</v>
      </c>
      <c r="N42" s="23" t="b">
        <v>0</v>
      </c>
      <c r="O42" s="24" t="e">
        <f>_xll.qlInterpolationInterpolate($O$22,$H42,,_xll.ohTrigger($Y$23:$Y$49))</f>
        <v>#NUM!</v>
      </c>
      <c r="P42" s="109" t="e">
        <f t="shared" si="7"/>
        <v>#VALUE!</v>
      </c>
      <c r="Q42" s="60" t="e">
        <f>_xll.qlDayCounterYearFraction(DayCounter,$H42,$E42)</f>
        <v>#NUM!</v>
      </c>
      <c r="R42" s="107" t="e">
        <f t="shared" si="8"/>
        <v>#NUM!</v>
      </c>
      <c r="S42" s="74" t="e">
        <f t="shared" si="16"/>
        <v>#VALUE!</v>
      </c>
      <c r="T42" s="195" t="e">
        <f t="shared" si="17"/>
        <v>#VALUE!</v>
      </c>
      <c r="U42" s="33" t="e">
        <v>#N/A</v>
      </c>
      <c r="V42" s="78" t="e">
        <f>_xll.qlInterpolationInterpolate(FwdInterpolator,U42,TRUE,ISERROR($AB$23:$AB$49))</f>
        <v>#NUM!</v>
      </c>
      <c r="X42" t="str">
        <f>_xll.qlSimpleQuote(,,,,EvaluationDate)</f>
        <v>obj_005bb#0010</v>
      </c>
      <c r="Y42" s="323" t="e">
        <f>_xll.qlSimpleQuoteSetValue(X42,J42)</f>
        <v>#NUM!</v>
      </c>
      <c r="AA42" t="str">
        <f>_xll.qlSimpleQuote(,,,,EvaluationDate)</f>
        <v>obj_005db#0010</v>
      </c>
      <c r="AB42" s="323" t="e">
        <f>_xll.qlSimpleQuoteSetValue(AA42,S42)</f>
        <v>#NUM!</v>
      </c>
    </row>
    <row r="43" spans="1:28" s="19" customFormat="1" x14ac:dyDescent="0.2">
      <c r="A43" t="b">
        <v>0</v>
      </c>
      <c r="B43" s="64" t="e">
        <f>"FUT"&amp;IndexTenor&amp;_xll.qlIMMNextCodes(D42,A43)</f>
        <v>#NUM!</v>
      </c>
      <c r="C43" s="64" t="e">
        <f t="shared" si="13"/>
        <v>#NUM!</v>
      </c>
      <c r="D43" s="21" t="e">
        <f>_xll.qlRateHelperEarliestDate($C43,EvaluationDate)</f>
        <v>#VALUE!</v>
      </c>
      <c r="E43" s="21" t="e">
        <f>_xll.qlRateHelperLatestDate($C43,EvaluationDate)</f>
        <v>#VALUE!</v>
      </c>
      <c r="F43" s="147" t="e">
        <f>_xll.qlRateHelperQuoteValue($C43,SheetTrigger)</f>
        <v>#VALUE!</v>
      </c>
      <c r="G43" s="104" t="e">
        <f>_xll.qlFuturesRateHelperConvexityAdjustment($C43,SheetTrigger)</f>
        <v>#VALUE!</v>
      </c>
      <c r="H43" s="21" t="e">
        <f t="shared" si="12"/>
        <v>#VALUE!</v>
      </c>
      <c r="I43" s="23" t="b">
        <f t="shared" si="14"/>
        <v>0</v>
      </c>
      <c r="J43" s="24" t="e">
        <f t="shared" si="15"/>
        <v>#VALUE!</v>
      </c>
      <c r="K43" s="143" t="b">
        <v>0</v>
      </c>
      <c r="L43" s="23" t="e">
        <f t="shared" si="0"/>
        <v>#VALUE!</v>
      </c>
      <c r="M43" s="23" t="e">
        <f t="shared" si="1"/>
        <v>#VALUE!</v>
      </c>
      <c r="N43" s="23" t="b">
        <v>0</v>
      </c>
      <c r="O43" s="24" t="e">
        <f>_xll.qlInterpolationInterpolate($O$22,$H43,,_xll.ohTrigger($Y$23:$Y$49))</f>
        <v>#NUM!</v>
      </c>
      <c r="P43" s="109" t="e">
        <f t="shared" si="7"/>
        <v>#VALUE!</v>
      </c>
      <c r="Q43" s="60" t="e">
        <f>_xll.qlDayCounterYearFraction(DayCounter,$H43,$E43)</f>
        <v>#NUM!</v>
      </c>
      <c r="R43" s="107" t="e">
        <f t="shared" si="8"/>
        <v>#NUM!</v>
      </c>
      <c r="S43" s="74" t="e">
        <f t="shared" si="16"/>
        <v>#VALUE!</v>
      </c>
      <c r="T43" s="195" t="e">
        <f t="shared" si="17"/>
        <v>#VALUE!</v>
      </c>
      <c r="U43" s="33" t="e">
        <v>#N/A</v>
      </c>
      <c r="V43" s="78" t="e">
        <f>_xll.qlInterpolationInterpolate(FwdInterpolator,U43,TRUE,ISERROR($AB$23:$AB$49))</f>
        <v>#NUM!</v>
      </c>
      <c r="X43" t="str">
        <f>_xll.qlSimpleQuote(,,,,EvaluationDate)</f>
        <v>obj_005ee#0010</v>
      </c>
      <c r="Y43" s="323" t="e">
        <f>_xll.qlSimpleQuoteSetValue(X43,J43)</f>
        <v>#NUM!</v>
      </c>
      <c r="AA43" t="str">
        <f>_xll.qlSimpleQuote(,,,,EvaluationDate)</f>
        <v>obj_005dc#0010</v>
      </c>
      <c r="AB43" s="323" t="e">
        <f>_xll.qlSimpleQuoteSetValue(AA43,S43)</f>
        <v>#NUM!</v>
      </c>
    </row>
    <row r="44" spans="1:28" s="19" customFormat="1" x14ac:dyDescent="0.2">
      <c r="A44" t="b">
        <v>0</v>
      </c>
      <c r="B44" s="64" t="e">
        <f>"FUT"&amp;IndexTenor&amp;_xll.qlIMMNextCodes(D43,A44)</f>
        <v>#NUM!</v>
      </c>
      <c r="C44" s="64" t="e">
        <f t="shared" si="13"/>
        <v>#NUM!</v>
      </c>
      <c r="D44" s="21" t="e">
        <f>_xll.qlRateHelperEarliestDate($C44,EvaluationDate)</f>
        <v>#VALUE!</v>
      </c>
      <c r="E44" s="21" t="e">
        <f>_xll.qlRateHelperLatestDate($C44,EvaluationDate)</f>
        <v>#VALUE!</v>
      </c>
      <c r="F44" s="147" t="e">
        <f>_xll.qlRateHelperQuoteValue($C44,SheetTrigger)</f>
        <v>#VALUE!</v>
      </c>
      <c r="G44" s="104" t="e">
        <f>_xll.qlFuturesRateHelperConvexityAdjustment($C44,SheetTrigger)</f>
        <v>#VALUE!</v>
      </c>
      <c r="H44" s="21" t="e">
        <f t="shared" si="12"/>
        <v>#VALUE!</v>
      </c>
      <c r="I44" s="23" t="b">
        <f t="shared" si="14"/>
        <v>0</v>
      </c>
      <c r="J44" s="24" t="e">
        <f t="shared" si="15"/>
        <v>#VALUE!</v>
      </c>
      <c r="K44" s="143" t="b">
        <v>0</v>
      </c>
      <c r="L44" s="23" t="e">
        <f t="shared" si="0"/>
        <v>#VALUE!</v>
      </c>
      <c r="M44" s="23" t="e">
        <f t="shared" si="1"/>
        <v>#VALUE!</v>
      </c>
      <c r="N44" s="23" t="b">
        <v>0</v>
      </c>
      <c r="O44" s="24" t="e">
        <f>_xll.qlInterpolationInterpolate($O$22,$H44,,_xll.ohTrigger($Y$23:$Y$49))</f>
        <v>#NUM!</v>
      </c>
      <c r="P44" s="109" t="e">
        <f t="shared" si="7"/>
        <v>#VALUE!</v>
      </c>
      <c r="Q44" s="60" t="e">
        <f>_xll.qlDayCounterYearFraction(DayCounter,$H44,$E44)</f>
        <v>#NUM!</v>
      </c>
      <c r="R44" s="107" t="e">
        <f t="shared" si="8"/>
        <v>#NUM!</v>
      </c>
      <c r="S44" s="74" t="e">
        <f t="shared" si="16"/>
        <v>#VALUE!</v>
      </c>
      <c r="T44" s="195" t="e">
        <f t="shared" si="17"/>
        <v>#VALUE!</v>
      </c>
      <c r="U44" s="33" t="e">
        <v>#N/A</v>
      </c>
      <c r="V44" s="78" t="e">
        <f>_xll.qlInterpolationInterpolate(FwdInterpolator,U44,TRUE,ISERROR($AB$23:$AB$49))</f>
        <v>#NUM!</v>
      </c>
      <c r="X44" t="str">
        <f>_xll.qlSimpleQuote(,,,,EvaluationDate)</f>
        <v>obj_005eb#0010</v>
      </c>
      <c r="Y44" s="323" t="e">
        <f>_xll.qlSimpleQuoteSetValue(X44,J44)</f>
        <v>#NUM!</v>
      </c>
      <c r="AA44" t="str">
        <f>_xll.qlSimpleQuote(,,,,EvaluationDate)</f>
        <v>obj_005b4#0010</v>
      </c>
      <c r="AB44" s="323" t="e">
        <f>_xll.qlSimpleQuoteSetValue(AA44,S44)</f>
        <v>#NUM!</v>
      </c>
    </row>
    <row r="45" spans="1:28" s="19" customFormat="1" x14ac:dyDescent="0.2">
      <c r="A45" t="b">
        <v>0</v>
      </c>
      <c r="B45" s="64" t="e">
        <f>"FUT"&amp;IndexTenor&amp;_xll.qlIMMNextCodes(D44,A45)</f>
        <v>#NUM!</v>
      </c>
      <c r="C45" s="64" t="e">
        <f t="shared" si="13"/>
        <v>#NUM!</v>
      </c>
      <c r="D45" s="21" t="e">
        <f>_xll.qlRateHelperEarliestDate($C45,EvaluationDate)</f>
        <v>#VALUE!</v>
      </c>
      <c r="E45" s="21" t="e">
        <f>_xll.qlRateHelperLatestDate($C45,EvaluationDate)</f>
        <v>#VALUE!</v>
      </c>
      <c r="F45" s="147" t="e">
        <f>_xll.qlRateHelperQuoteValue($C45,SheetTrigger)</f>
        <v>#VALUE!</v>
      </c>
      <c r="G45" s="104" t="e">
        <f>_xll.qlFuturesRateHelperConvexityAdjustment($C45,SheetTrigger)</f>
        <v>#VALUE!</v>
      </c>
      <c r="H45" s="21" t="e">
        <f t="shared" si="12"/>
        <v>#VALUE!</v>
      </c>
      <c r="I45" s="23" t="b">
        <f t="shared" si="14"/>
        <v>0</v>
      </c>
      <c r="J45" s="24" t="e">
        <f t="shared" si="15"/>
        <v>#VALUE!</v>
      </c>
      <c r="K45" s="143" t="b">
        <v>0</v>
      </c>
      <c r="L45" s="23" t="e">
        <f t="shared" si="0"/>
        <v>#VALUE!</v>
      </c>
      <c r="M45" s="23" t="e">
        <f t="shared" si="1"/>
        <v>#VALUE!</v>
      </c>
      <c r="N45" s="23" t="b">
        <v>0</v>
      </c>
      <c r="O45" s="24" t="e">
        <f>_xll.qlInterpolationInterpolate($O$22,$H45,,_xll.ohTrigger($Y$23:$Y$49))</f>
        <v>#NUM!</v>
      </c>
      <c r="P45" s="109" t="e">
        <f t="shared" si="7"/>
        <v>#VALUE!</v>
      </c>
      <c r="Q45" s="60" t="e">
        <f>_xll.qlDayCounterYearFraction(DayCounter,$H45,$E45)</f>
        <v>#NUM!</v>
      </c>
      <c r="R45" s="107" t="e">
        <f t="shared" si="8"/>
        <v>#NUM!</v>
      </c>
      <c r="S45" s="74" t="e">
        <f t="shared" si="16"/>
        <v>#VALUE!</v>
      </c>
      <c r="T45" s="195" t="e">
        <f t="shared" si="17"/>
        <v>#VALUE!</v>
      </c>
      <c r="U45" s="33" t="e">
        <v>#N/A</v>
      </c>
      <c r="V45" s="78" t="e">
        <f>_xll.qlInterpolationInterpolate(FwdInterpolator,U45,TRUE,ISERROR($AB$23:$AB$49))</f>
        <v>#NUM!</v>
      </c>
      <c r="X45" t="str">
        <f>_xll.qlSimpleQuote(,,,,EvaluationDate)</f>
        <v>obj_005cd#0010</v>
      </c>
      <c r="Y45" s="323" t="e">
        <f>_xll.qlSimpleQuoteSetValue(X45,J45)</f>
        <v>#NUM!</v>
      </c>
      <c r="AA45" t="str">
        <f>_xll.qlSimpleQuote(,,,,EvaluationDate)</f>
        <v>obj_00619#0010</v>
      </c>
      <c r="AB45" s="323" t="e">
        <f>_xll.qlSimpleQuoteSetValue(AA45,S45)</f>
        <v>#NUM!</v>
      </c>
    </row>
    <row r="46" spans="1:28" s="19" customFormat="1" x14ac:dyDescent="0.2">
      <c r="A46" t="b">
        <v>0</v>
      </c>
      <c r="B46" s="64" t="e">
        <f>"FUT"&amp;IndexTenor&amp;_xll.qlIMMNextCodes(D45,A46)</f>
        <v>#NUM!</v>
      </c>
      <c r="C46" s="64" t="e">
        <f t="shared" si="13"/>
        <v>#NUM!</v>
      </c>
      <c r="D46" s="21" t="e">
        <f>_xll.qlRateHelperEarliestDate($C46,EvaluationDate)</f>
        <v>#VALUE!</v>
      </c>
      <c r="E46" s="21" t="e">
        <f>_xll.qlRateHelperLatestDate($C46,EvaluationDate)</f>
        <v>#VALUE!</v>
      </c>
      <c r="F46" s="147" t="e">
        <f>_xll.qlRateHelperQuoteValue($C46,SheetTrigger)</f>
        <v>#VALUE!</v>
      </c>
      <c r="G46" s="104" t="e">
        <f>_xll.qlFuturesRateHelperConvexityAdjustment($C46,SheetTrigger)</f>
        <v>#VALUE!</v>
      </c>
      <c r="H46" s="21" t="e">
        <f t="shared" si="12"/>
        <v>#VALUE!</v>
      </c>
      <c r="I46" s="23" t="b">
        <f t="shared" si="14"/>
        <v>0</v>
      </c>
      <c r="J46" s="24" t="e">
        <f t="shared" si="15"/>
        <v>#VALUE!</v>
      </c>
      <c r="K46" s="143" t="b">
        <v>0</v>
      </c>
      <c r="L46" s="23" t="e">
        <f t="shared" si="0"/>
        <v>#VALUE!</v>
      </c>
      <c r="M46" s="23" t="e">
        <f t="shared" si="1"/>
        <v>#VALUE!</v>
      </c>
      <c r="N46" s="23" t="b">
        <v>0</v>
      </c>
      <c r="O46" s="24" t="e">
        <f>_xll.qlInterpolationInterpolate($O$22,$H46,,_xll.ohTrigger($Y$23:$Y$49))</f>
        <v>#NUM!</v>
      </c>
      <c r="P46" s="109" t="e">
        <f t="shared" si="7"/>
        <v>#VALUE!</v>
      </c>
      <c r="Q46" s="60" t="e">
        <f>_xll.qlDayCounterYearFraction(DayCounter,$H46,$E46)</f>
        <v>#NUM!</v>
      </c>
      <c r="R46" s="107" t="e">
        <f t="shared" si="8"/>
        <v>#NUM!</v>
      </c>
      <c r="S46" s="74" t="e">
        <f t="shared" si="16"/>
        <v>#VALUE!</v>
      </c>
      <c r="T46" s="195" t="e">
        <f t="shared" si="17"/>
        <v>#VALUE!</v>
      </c>
      <c r="U46" s="33" t="e">
        <v>#N/A</v>
      </c>
      <c r="V46" s="78" t="e">
        <f>_xll.qlInterpolationInterpolate(FwdInterpolator,U46,TRUE,ISERROR($AB$23:$AB$49))</f>
        <v>#NUM!</v>
      </c>
      <c r="X46" t="str">
        <f>_xll.qlSimpleQuote(,,,,EvaluationDate)</f>
        <v>obj_0061b#0010</v>
      </c>
      <c r="Y46" s="323" t="e">
        <f>_xll.qlSimpleQuoteSetValue(X46,J46)</f>
        <v>#NUM!</v>
      </c>
      <c r="AA46" t="str">
        <f>_xll.qlSimpleQuote(,,,,EvaluationDate)</f>
        <v>obj_005d1#0010</v>
      </c>
      <c r="AB46" s="323" t="e">
        <f>_xll.qlSimpleQuoteSetValue(AA46,S46)</f>
        <v>#NUM!</v>
      </c>
    </row>
    <row r="47" spans="1:28" s="19" customFormat="1" x14ac:dyDescent="0.2">
      <c r="A47" t="b">
        <v>0</v>
      </c>
      <c r="B47" s="64" t="e">
        <f>"FUT"&amp;IndexTenor&amp;_xll.qlIMMNextCodes(D46,A47)</f>
        <v>#NUM!</v>
      </c>
      <c r="C47" s="64" t="e">
        <f t="shared" si="13"/>
        <v>#NUM!</v>
      </c>
      <c r="D47" s="21" t="e">
        <f>_xll.qlRateHelperEarliestDate($C47,EvaluationDate)</f>
        <v>#VALUE!</v>
      </c>
      <c r="E47" s="21" t="e">
        <f>_xll.qlRateHelperLatestDate($C47,EvaluationDate)</f>
        <v>#VALUE!</v>
      </c>
      <c r="F47" s="147" t="e">
        <f>_xll.qlRateHelperQuoteValue($C47,SheetTrigger)</f>
        <v>#VALUE!</v>
      </c>
      <c r="G47" s="104" t="e">
        <f>_xll.qlFuturesRateHelperConvexityAdjustment($C47,SheetTrigger)</f>
        <v>#VALUE!</v>
      </c>
      <c r="H47" s="21" t="e">
        <f t="shared" si="12"/>
        <v>#VALUE!</v>
      </c>
      <c r="I47" s="23" t="b">
        <f t="shared" si="14"/>
        <v>0</v>
      </c>
      <c r="J47" s="24" t="e">
        <f t="shared" si="15"/>
        <v>#VALUE!</v>
      </c>
      <c r="K47" s="143" t="b">
        <v>0</v>
      </c>
      <c r="L47" s="23" t="e">
        <f t="shared" si="0"/>
        <v>#VALUE!</v>
      </c>
      <c r="M47" s="23" t="e">
        <f t="shared" si="1"/>
        <v>#VALUE!</v>
      </c>
      <c r="N47" s="23" t="b">
        <v>0</v>
      </c>
      <c r="O47" s="24" t="e">
        <f>_xll.qlInterpolationInterpolate($O$22,$H47,,_xll.ohTrigger($Y$23:$Y$49))</f>
        <v>#NUM!</v>
      </c>
      <c r="P47" s="109" t="e">
        <f t="shared" si="7"/>
        <v>#VALUE!</v>
      </c>
      <c r="Q47" s="60" t="e">
        <f>_xll.qlDayCounterYearFraction(DayCounter,$H47,$E47)</f>
        <v>#NUM!</v>
      </c>
      <c r="R47" s="107" t="e">
        <f t="shared" si="8"/>
        <v>#NUM!</v>
      </c>
      <c r="S47" s="74" t="e">
        <f t="shared" si="16"/>
        <v>#VALUE!</v>
      </c>
      <c r="T47" s="195" t="e">
        <f t="shared" si="17"/>
        <v>#VALUE!</v>
      </c>
      <c r="U47" s="33" t="e">
        <v>#N/A</v>
      </c>
      <c r="V47" s="78" t="e">
        <f>_xll.qlInterpolationInterpolate(FwdInterpolator,U47,TRUE,ISERROR($AB$23:$AB$49))</f>
        <v>#NUM!</v>
      </c>
      <c r="X47" t="str">
        <f>_xll.qlSimpleQuote(,,,,EvaluationDate)</f>
        <v>obj_00617#0010</v>
      </c>
      <c r="Y47" s="323" t="e">
        <f>_xll.qlSimpleQuoteSetValue(X47,J47)</f>
        <v>#NUM!</v>
      </c>
      <c r="AA47" t="str">
        <f>_xll.qlSimpleQuote(,,,,EvaluationDate)</f>
        <v>obj_0060a#0010</v>
      </c>
      <c r="AB47" s="323" t="e">
        <f>_xll.qlSimpleQuoteSetValue(AA47,S47)</f>
        <v>#NUM!</v>
      </c>
    </row>
    <row r="48" spans="1:28" s="19" customFormat="1" x14ac:dyDescent="0.2">
      <c r="A48" t="b">
        <v>0</v>
      </c>
      <c r="B48" s="64" t="e">
        <f>"FUT"&amp;IndexTenor&amp;_xll.qlIMMNextCodes(D47,A48)</f>
        <v>#NUM!</v>
      </c>
      <c r="C48" s="64" t="e">
        <f t="shared" si="13"/>
        <v>#NUM!</v>
      </c>
      <c r="D48" s="21" t="e">
        <f>_xll.qlRateHelperEarliestDate($C48,EvaluationDate)</f>
        <v>#VALUE!</v>
      </c>
      <c r="E48" s="21" t="e">
        <f>_xll.qlRateHelperLatestDate($C48,EvaluationDate)</f>
        <v>#VALUE!</v>
      </c>
      <c r="F48" s="147" t="e">
        <f>_xll.qlRateHelperQuoteValue($C48,SheetTrigger)</f>
        <v>#VALUE!</v>
      </c>
      <c r="G48" s="104" t="e">
        <f>_xll.qlFuturesRateHelperConvexityAdjustment($C48,SheetTrigger)</f>
        <v>#VALUE!</v>
      </c>
      <c r="H48" s="21" t="e">
        <f t="shared" si="12"/>
        <v>#VALUE!</v>
      </c>
      <c r="I48" s="23" t="b">
        <f t="shared" si="14"/>
        <v>0</v>
      </c>
      <c r="J48" s="24" t="e">
        <f t="shared" si="15"/>
        <v>#VALUE!</v>
      </c>
      <c r="K48" s="143" t="b">
        <v>0</v>
      </c>
      <c r="L48" s="23" t="e">
        <f t="shared" si="0"/>
        <v>#VALUE!</v>
      </c>
      <c r="M48" s="23" t="e">
        <f t="shared" si="1"/>
        <v>#VALUE!</v>
      </c>
      <c r="N48" s="23" t="b">
        <v>0</v>
      </c>
      <c r="O48" s="24" t="e">
        <f>_xll.qlInterpolationInterpolate($O$22,$H48,,_xll.ohTrigger($Y$23:$Y$49))</f>
        <v>#NUM!</v>
      </c>
      <c r="P48" s="109" t="e">
        <f t="shared" si="7"/>
        <v>#VALUE!</v>
      </c>
      <c r="Q48" s="60" t="e">
        <f>_xll.qlDayCounterYearFraction(DayCounter,$H48,$E48)</f>
        <v>#NUM!</v>
      </c>
      <c r="R48" s="107" t="e">
        <f t="shared" si="8"/>
        <v>#NUM!</v>
      </c>
      <c r="S48" s="74" t="e">
        <f t="shared" si="16"/>
        <v>#VALUE!</v>
      </c>
      <c r="T48" s="195" t="e">
        <f t="shared" si="17"/>
        <v>#VALUE!</v>
      </c>
      <c r="U48" s="33" t="e">
        <v>#N/A</v>
      </c>
      <c r="V48" s="78" t="e">
        <f>_xll.qlInterpolationInterpolate(FwdInterpolator,U48,TRUE,ISERROR($AB$23:$AB$49))</f>
        <v>#NUM!</v>
      </c>
      <c r="X48" t="str">
        <f>_xll.qlSimpleQuote(,,,,EvaluationDate)</f>
        <v>obj_00599#0010</v>
      </c>
      <c r="Y48" s="323" t="e">
        <f>_xll.qlSimpleQuoteSetValue(X48,J48)</f>
        <v>#NUM!</v>
      </c>
      <c r="AA48" t="str">
        <f>_xll.qlSimpleQuote(,,,,EvaluationDate)</f>
        <v>obj_00628#0010</v>
      </c>
      <c r="AB48" s="323" t="e">
        <f>_xll.qlSimpleQuoteSetValue(AA48,S48)</f>
        <v>#NUM!</v>
      </c>
    </row>
    <row r="49" spans="1:28" s="19" customFormat="1" x14ac:dyDescent="0.2">
      <c r="A49" t="b">
        <v>0</v>
      </c>
      <c r="B49" s="65" t="e">
        <f>"FUT"&amp;IndexTenor&amp;_xll.qlIMMNextCodes(D48,A49)</f>
        <v>#NUM!</v>
      </c>
      <c r="C49" s="65" t="e">
        <f t="shared" si="13"/>
        <v>#NUM!</v>
      </c>
      <c r="D49" s="66" t="e">
        <f>_xll.qlRateHelperEarliestDate($C49,EvaluationDate)</f>
        <v>#VALUE!</v>
      </c>
      <c r="E49" s="66" t="e">
        <f>_xll.qlRateHelperLatestDate($C49,EvaluationDate)</f>
        <v>#VALUE!</v>
      </c>
      <c r="F49" s="148" t="e">
        <f>_xll.qlRateHelperQuoteValue($C49,SheetTrigger)</f>
        <v>#VALUE!</v>
      </c>
      <c r="G49" s="106" t="e">
        <f>_xll.qlFuturesRateHelperConvexityAdjustment($C49,SheetTrigger)</f>
        <v>#VALUE!</v>
      </c>
      <c r="H49" s="66" t="e">
        <f t="shared" si="12"/>
        <v>#VALUE!</v>
      </c>
      <c r="I49" s="37" t="b">
        <f t="shared" si="14"/>
        <v>0</v>
      </c>
      <c r="J49" s="35" t="e">
        <f t="shared" si="15"/>
        <v>#VALUE!</v>
      </c>
      <c r="K49" s="144" t="b">
        <v>0</v>
      </c>
      <c r="L49" s="37" t="e">
        <f t="shared" si="0"/>
        <v>#VALUE!</v>
      </c>
      <c r="M49" s="37" t="e">
        <f t="shared" si="1"/>
        <v>#VALUE!</v>
      </c>
      <c r="N49" s="37" t="b">
        <v>0</v>
      </c>
      <c r="O49" s="35" t="e">
        <f>_xll.qlInterpolationInterpolate($O$22,$H49,,_xll.ohTrigger($Y$23:$Y$49))</f>
        <v>#NUM!</v>
      </c>
      <c r="P49" s="110" t="e">
        <f t="shared" si="7"/>
        <v>#VALUE!</v>
      </c>
      <c r="Q49" s="61" t="e">
        <f>_xll.qlDayCounterYearFraction(DayCounter,$H49,$E49)</f>
        <v>#NUM!</v>
      </c>
      <c r="R49" s="120" t="e">
        <f t="shared" si="8"/>
        <v>#NUM!</v>
      </c>
      <c r="S49" s="75" t="e">
        <f t="shared" si="16"/>
        <v>#VALUE!</v>
      </c>
      <c r="T49" s="194" t="e">
        <f t="shared" si="17"/>
        <v>#VALUE!</v>
      </c>
      <c r="U49" s="36" t="e">
        <v>#N/A</v>
      </c>
      <c r="V49" s="79" t="e">
        <f>_xll.qlInterpolationInterpolate(FwdInterpolator,U49,TRUE,ISERROR($AB$23:$AB$49))</f>
        <v>#NUM!</v>
      </c>
      <c r="X49" t="str">
        <f>_xll.qlSimpleQuote(,,,,EvaluationDate)</f>
        <v>obj_005cf#0010</v>
      </c>
      <c r="Y49" s="323" t="e">
        <f>_xll.qlSimpleQuoteSetValue(X49,J49)</f>
        <v>#NUM!</v>
      </c>
      <c r="AA49" t="str">
        <f>_xll.qlSimpleQuote(,,,,EvaluationDate)</f>
        <v>obj_005d7#0010</v>
      </c>
      <c r="AB49" s="323" t="e">
        <f>_xll.qlSimpleQuoteSetValue(AA49,S49)</f>
        <v>#NUM!</v>
      </c>
    </row>
    <row r="50" spans="1:28" x14ac:dyDescent="0.2">
      <c r="B50">
        <f>_xll.ohTrigger(B23:B49,EvaluationDate)</f>
        <v>9</v>
      </c>
      <c r="C50">
        <f>_xll.ohTrigger(C23:C49,EvaluationDate)</f>
        <v>9</v>
      </c>
      <c r="D50">
        <f>_xll.ohTrigger(D23:D49,EvaluationDate)</f>
        <v>9</v>
      </c>
      <c r="E50">
        <f>_xll.ohTrigger(E23:E49,EvaluationDate)</f>
        <v>9</v>
      </c>
      <c r="F50">
        <f>_xll.ohTrigger(F23:F49,EvaluationDate)</f>
        <v>9</v>
      </c>
      <c r="G50">
        <f>_xll.ohTrigger(G23:G49,EvaluationDate)</f>
        <v>9</v>
      </c>
      <c r="H50">
        <f>_xll.ohTrigger(H23:H49,EvaluationDate)</f>
        <v>9</v>
      </c>
      <c r="I50">
        <f>_xll.ohTrigger(I23:I49,EvaluationDate)</f>
        <v>9</v>
      </c>
      <c r="J50">
        <f>_xll.ohTrigger(J23:J49,EvaluationDate)</f>
        <v>9</v>
      </c>
      <c r="K50">
        <f>_xll.ohTrigger(K23:K49,EvaluationDate)</f>
        <v>10</v>
      </c>
      <c r="L50">
        <f>_xll.ohTrigger(L23:L49,EvaluationDate)</f>
        <v>9</v>
      </c>
      <c r="M50">
        <f>_xll.ohTrigger(M23:M49,EvaluationDate)</f>
        <v>9</v>
      </c>
      <c r="N50">
        <f>_xll.ohTrigger(N23:N49,EvaluationDate)</f>
        <v>10</v>
      </c>
      <c r="O50">
        <f>_xll.ohTrigger(O23:O49,EvaluationDate)</f>
        <v>9</v>
      </c>
      <c r="P50">
        <f>_xll.ohTrigger(P23:P49,EvaluationDate)</f>
        <v>9</v>
      </c>
      <c r="Q50">
        <f>_xll.ohTrigger(Q23:Q49,EvaluationDate)</f>
        <v>9</v>
      </c>
      <c r="R50">
        <f>_xll.ohTrigger(R23:R49,EvaluationDate)</f>
        <v>9</v>
      </c>
      <c r="S50">
        <f>_xll.ohTrigger(S23:S49,EvaluationDate)</f>
        <v>9</v>
      </c>
      <c r="T50">
        <f>_xll.ohTrigger(T23:T49,EvaluationDate)</f>
        <v>9</v>
      </c>
      <c r="U50">
        <f>_xll.ohTrigger(U23:U49,EvaluationDate)</f>
        <v>9</v>
      </c>
      <c r="V50">
        <f>_xll.ohTrigger(V23:V49,EvaluationDate)</f>
        <v>9</v>
      </c>
      <c r="X50">
        <f>_xll.ohTrigger(X23:X49,EvaluationDate)</f>
        <v>10</v>
      </c>
      <c r="Y50">
        <f>_xll.ohTrigger(Y23:Y49,EvaluationDate)</f>
        <v>9</v>
      </c>
      <c r="AA50">
        <f>_xll.ohTrigger(AA23:AA49,EvaluationDate)</f>
        <v>10</v>
      </c>
      <c r="AB50">
        <f>_xll.ohTrigger(AB23:AB49,EvaluationDate)</f>
        <v>9</v>
      </c>
    </row>
    <row r="51" spans="1:28" x14ac:dyDescent="0.2">
      <c r="Y51" s="323"/>
    </row>
    <row r="52" spans="1:28" x14ac:dyDescent="0.2">
      <c r="K52" s="26"/>
      <c r="Q52" s="25"/>
      <c r="R52" s="26"/>
      <c r="T52" s="27"/>
      <c r="U52" s="19"/>
    </row>
    <row r="53" spans="1:28" x14ac:dyDescent="0.2">
      <c r="K53" s="26"/>
      <c r="Q53" s="25"/>
      <c r="R53" s="26"/>
      <c r="T53" s="27"/>
      <c r="U53" s="19"/>
    </row>
    <row r="54" spans="1:28" x14ac:dyDescent="0.2">
      <c r="K54" s="26"/>
      <c r="Q54" s="25"/>
      <c r="R54" s="26"/>
      <c r="T54" s="27"/>
      <c r="U54" s="19"/>
    </row>
    <row r="55" spans="1:28" x14ac:dyDescent="0.2">
      <c r="K55" s="26"/>
      <c r="Q55" s="25"/>
      <c r="R55" s="26"/>
      <c r="T55" s="27"/>
      <c r="U55" s="19"/>
    </row>
    <row r="56" spans="1:28" x14ac:dyDescent="0.2">
      <c r="K56" s="26"/>
      <c r="Q56" s="25"/>
      <c r="R56" s="26"/>
      <c r="T56" s="27"/>
      <c r="U56" s="19"/>
    </row>
    <row r="57" spans="1:28" x14ac:dyDescent="0.2">
      <c r="K57" s="26"/>
      <c r="Q57" s="25"/>
      <c r="R57" s="26"/>
      <c r="T57" s="27"/>
      <c r="U57" s="19"/>
    </row>
    <row r="58" spans="1:28" x14ac:dyDescent="0.2">
      <c r="K58" s="26"/>
      <c r="Q58" s="25"/>
      <c r="R58" s="26"/>
      <c r="T58" s="27"/>
      <c r="U58" s="19"/>
    </row>
    <row r="59" spans="1:28" x14ac:dyDescent="0.2">
      <c r="K59" s="26"/>
      <c r="Q59" s="25"/>
      <c r="R59" s="26"/>
      <c r="T59" s="27"/>
      <c r="U59" s="19"/>
    </row>
    <row r="60" spans="1:28" x14ac:dyDescent="0.2">
      <c r="K60" s="26"/>
      <c r="Q60" s="25"/>
      <c r="R60" s="26"/>
      <c r="T60" s="27"/>
      <c r="U60" s="19"/>
    </row>
    <row r="61" spans="1:28" x14ac:dyDescent="0.2">
      <c r="K61" s="26"/>
      <c r="Q61" s="25"/>
      <c r="R61" s="26"/>
      <c r="T61" s="27"/>
      <c r="U61" s="19"/>
    </row>
    <row r="62" spans="1:28" x14ac:dyDescent="0.2">
      <c r="K62" s="26"/>
      <c r="Q62" s="25"/>
      <c r="R62" s="26"/>
      <c r="T62" s="27"/>
      <c r="U62" s="19"/>
    </row>
  </sheetData>
  <phoneticPr fontId="1" type="noConversion"/>
  <pageMargins left="0.75" right="0.75" top="1" bottom="1" header="0.5" footer="0.5"/>
  <pageSetup paperSize="9" orientation="portrait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AD58"/>
  <sheetViews>
    <sheetView topLeftCell="B1" workbookViewId="0">
      <selection activeCell="Q22" sqref="Q22"/>
    </sheetView>
  </sheetViews>
  <sheetFormatPr defaultRowHeight="11.25" x14ac:dyDescent="0.2"/>
  <cols>
    <col min="1" max="1" width="13.83203125" style="19" hidden="1" customWidth="1"/>
    <col min="2" max="2" width="17.6640625" style="19" bestFit="1" customWidth="1"/>
    <col min="3" max="3" width="23.6640625" style="19" bestFit="1" customWidth="1"/>
    <col min="4" max="5" width="16.5" style="19" bestFit="1" customWidth="1"/>
    <col min="6" max="6" width="8.83203125" style="19" bestFit="1" customWidth="1"/>
    <col min="7" max="7" width="8.33203125" style="19" bestFit="1" customWidth="1"/>
    <col min="8" max="8" width="16.5" style="19" bestFit="1" customWidth="1"/>
    <col min="9" max="9" width="6.6640625" style="19" bestFit="1" customWidth="1"/>
    <col min="10" max="10" width="8.33203125" style="19" bestFit="1" customWidth="1"/>
    <col min="11" max="14" width="6.6640625" style="19" bestFit="1" customWidth="1"/>
    <col min="15" max="15" width="14.6640625" style="19" bestFit="1" customWidth="1"/>
    <col min="16" max="16" width="7" style="19" bestFit="1" customWidth="1"/>
    <col min="17" max="17" width="10.33203125" style="19" bestFit="1" customWidth="1"/>
    <col min="18" max="18" width="11.33203125" style="19" bestFit="1" customWidth="1"/>
    <col min="19" max="19" width="8.33203125" style="19" bestFit="1" customWidth="1"/>
    <col min="20" max="20" width="14.1640625" style="19" customWidth="1"/>
    <col min="21" max="21" width="16.5" style="19" bestFit="1" customWidth="1"/>
    <col min="22" max="22" width="9" style="19" bestFit="1" customWidth="1"/>
    <col min="23" max="23" width="9.33203125" style="19"/>
    <col min="24" max="24" width="14.6640625" style="19" bestFit="1" customWidth="1"/>
    <col min="25" max="26" width="9.33203125" style="19"/>
    <col min="27" max="27" width="14.6640625" style="19" bestFit="1" customWidth="1"/>
    <col min="28" max="16384" width="9.33203125" style="19"/>
  </cols>
  <sheetData>
    <row r="1" spans="1:20" customFormat="1" x14ac:dyDescent="0.2">
      <c r="O1" s="117" t="s">
        <v>47</v>
      </c>
    </row>
    <row r="2" spans="1:20" customFormat="1" x14ac:dyDescent="0.2">
      <c r="O2" s="19" t="b">
        <v>0</v>
      </c>
    </row>
    <row r="3" spans="1:20" customFormat="1" x14ac:dyDescent="0.2"/>
    <row r="4" spans="1:20" customFormat="1" x14ac:dyDescent="0.2"/>
    <row r="5" spans="1:20" customFormat="1" x14ac:dyDescent="0.2"/>
    <row r="6" spans="1:20" customFormat="1" x14ac:dyDescent="0.2"/>
    <row r="7" spans="1:20" customFormat="1" x14ac:dyDescent="0.2">
      <c r="Q7" s="321"/>
    </row>
    <row r="8" spans="1:20" customFormat="1" x14ac:dyDescent="0.2">
      <c r="A8">
        <v>3</v>
      </c>
      <c r="B8" t="str">
        <f>"AB"&amp;Months&amp;"E"&amp;A8&amp;"Y"</f>
        <v>AB3E3Y</v>
      </c>
      <c r="C8" t="str">
        <f>RateHelperPrefix&amp;$B8</f>
        <v>EUR_YC3MRH_AB3E3Y</v>
      </c>
      <c r="F8" s="212">
        <f>_xll.qlRateHelperQuoteValue(C8,SheetTrigger)</f>
        <v>4.7199999999999994E-3</v>
      </c>
    </row>
    <row r="9" spans="1:20" customFormat="1" x14ac:dyDescent="0.2">
      <c r="A9">
        <v>4</v>
      </c>
      <c r="B9" t="str">
        <f>"AB"&amp;Months&amp;"E"&amp;A9&amp;"Y"</f>
        <v>AB3E4Y</v>
      </c>
      <c r="C9" t="str">
        <f>RateHelperPrefix&amp;$B9</f>
        <v>EUR_YC3MRH_AB3E4Y</v>
      </c>
      <c r="F9" s="212">
        <f>_xll.qlRateHelperQuoteValue(C9,SheetTrigger)</f>
        <v>6.4900000000000001E-3</v>
      </c>
      <c r="T9" s="321">
        <v>41639</v>
      </c>
    </row>
    <row r="10" spans="1:20" customFormat="1" x14ac:dyDescent="0.2">
      <c r="A10">
        <v>5</v>
      </c>
      <c r="B10" t="str">
        <f>"AB"&amp;Months&amp;"E"&amp;A10&amp;"Y"</f>
        <v>AB3E5Y</v>
      </c>
      <c r="C10" t="str">
        <f>RateHelperPrefix&amp;$B10</f>
        <v>EUR_YC3MRH_AB3E5Y</v>
      </c>
      <c r="F10" s="212">
        <f>_xll.qlRateHelperQuoteValue(C10,SheetTrigger)</f>
        <v>8.4099999999999991E-3</v>
      </c>
      <c r="T10" s="332">
        <f>T9</f>
        <v>41639</v>
      </c>
    </row>
    <row r="11" spans="1:20" customFormat="1" x14ac:dyDescent="0.2"/>
    <row r="12" spans="1:20" customFormat="1" x14ac:dyDescent="0.2">
      <c r="R12" s="19"/>
    </row>
    <row r="13" spans="1:20" customFormat="1" x14ac:dyDescent="0.2">
      <c r="R13" s="19"/>
    </row>
    <row r="14" spans="1:20" customFormat="1" x14ac:dyDescent="0.2">
      <c r="R14" s="19"/>
    </row>
    <row r="15" spans="1:20" customFormat="1" x14ac:dyDescent="0.2"/>
    <row r="16" spans="1:20" customFormat="1" x14ac:dyDescent="0.2"/>
    <row r="17" spans="1:28" customFormat="1" x14ac:dyDescent="0.2"/>
    <row r="18" spans="1:28" customFormat="1" x14ac:dyDescent="0.2"/>
    <row r="19" spans="1:28" customFormat="1" x14ac:dyDescent="0.2">
      <c r="K19" s="19"/>
    </row>
    <row r="20" spans="1:28" x14ac:dyDescent="0.2">
      <c r="A20" s="117">
        <v>3</v>
      </c>
      <c r="B20" s="43"/>
      <c r="G20" s="43"/>
      <c r="J20" s="43"/>
      <c r="L20" s="43"/>
      <c r="M20" s="23"/>
      <c r="N20" s="43"/>
      <c r="O20" s="38"/>
      <c r="P20" s="119" t="e">
        <f>IF(ISBLANK($O20),AVERAGE(_xll.ohFilter($P23:$P33,$L23:$L33)),$O20)</f>
        <v>#NUM!</v>
      </c>
      <c r="Q20" s="309">
        <v>1</v>
      </c>
      <c r="R20" s="307">
        <f>IF(ISBLANK($Q20),MIN(AVERAGE(_xll.ohFilter($R23:$R33,$L23:$L33)),1),$Q20)</f>
        <v>1</v>
      </c>
      <c r="S20" s="135" t="s">
        <v>20</v>
      </c>
      <c r="T20" s="43"/>
      <c r="U20" s="16" t="str">
        <f>_xll.qlInterpolation(,FwdInterpolationType,_xll.ohFilter($H23:$H52,$K23:$K52),_xll.ohFilter($AA23:$AA52,$K23:$K52))</f>
        <v>obj_0062f#0009</v>
      </c>
    </row>
    <row r="21" spans="1:28" x14ac:dyDescent="0.2">
      <c r="A21" s="304" t="str">
        <f>_xll.qlPeriodEquivalent(A20&amp;"M")</f>
        <v>3M</v>
      </c>
      <c r="B21" s="43"/>
      <c r="D21" s="43"/>
      <c r="E21" s="43"/>
      <c r="G21" s="43"/>
      <c r="J21" s="43"/>
      <c r="L21" s="43"/>
      <c r="M21" s="23"/>
      <c r="N21" s="43"/>
      <c r="O21" s="65"/>
      <c r="P21" s="120" t="e">
        <f>IF(ISBLANK($O21),AVERAGE(_xll.ohFilter($P23:$P33,$M23:$M33)),$O21)</f>
        <v>#NUM!</v>
      </c>
      <c r="Q21" s="310">
        <v>1</v>
      </c>
      <c r="R21" s="308">
        <f>IF(ISBLANK($Q21),MIN(AVERAGE(_xll.ohFilter($R23:$R33,$M23:$M33)),1),$Q21)</f>
        <v>1</v>
      </c>
      <c r="S21" s="136" t="s">
        <v>25</v>
      </c>
      <c r="T21" s="43"/>
      <c r="U21" s="20" t="str">
        <f>_xll.qlInterpolation(,FwdInterpolationType,_xll.ohFilter($H23:$H41,$K23:$K41),_xll.ohFilter($AA23:$AA41,$K23:$K41))</f>
        <v>obj_00631#0009</v>
      </c>
      <c r="V21" s="56"/>
    </row>
    <row r="22" spans="1:28" x14ac:dyDescent="0.2">
      <c r="A22" s="43" t="str">
        <f>Currency&amp;"_YC"&amp;IndexTenor&amp;"RH_"</f>
        <v>EUR_YC3MRH_</v>
      </c>
      <c r="B22" s="118">
        <v>0</v>
      </c>
      <c r="C22" s="137" t="s">
        <v>12</v>
      </c>
      <c r="D22" s="142" t="s">
        <v>11</v>
      </c>
      <c r="E22" s="139" t="s">
        <v>10</v>
      </c>
      <c r="F22" s="137" t="s">
        <v>38</v>
      </c>
      <c r="G22" s="138"/>
      <c r="H22" s="139" t="s">
        <v>35</v>
      </c>
      <c r="I22" s="142" t="s">
        <v>42</v>
      </c>
      <c r="J22" s="142" t="s">
        <v>39</v>
      </c>
      <c r="K22" s="52" t="s">
        <v>43</v>
      </c>
      <c r="L22" s="142" t="s">
        <v>37</v>
      </c>
      <c r="M22" s="142" t="s">
        <v>25</v>
      </c>
      <c r="N22" s="140" t="s">
        <v>41</v>
      </c>
      <c r="O22" s="330" t="str">
        <f>_xll.qlInterpolation(,FwdInterpolationType,_xll.ohFilter($H23:$H41,$N23:$N41),_xll.ohFilter($X23:$X41,$N23:$N41))</f>
        <v>obj_00632#0009</v>
      </c>
      <c r="P22" s="176" t="s">
        <v>15</v>
      </c>
      <c r="Q22" s="176" t="s">
        <v>16</v>
      </c>
      <c r="R22" s="145" t="s">
        <v>17</v>
      </c>
      <c r="S22" s="177" t="s">
        <v>44</v>
      </c>
      <c r="T22" s="178" t="s">
        <v>15</v>
      </c>
      <c r="U22" s="152">
        <f>D23</f>
        <v>41712</v>
      </c>
      <c r="V22" s="153" t="e">
        <f>_xll.qlInterpolationInterpolate(ExtFwdInterpolator,U22,TRUE,ISERROR($AB$23:$AB$52))</f>
        <v>#NUM!</v>
      </c>
    </row>
    <row r="23" spans="1:28" x14ac:dyDescent="0.2">
      <c r="A23" s="71">
        <f>_xll.ohTrigger([0]!TriggerTOY3M,EvaluationDate)</f>
        <v>11</v>
      </c>
      <c r="B23" s="181" t="str">
        <f>IndexTenor&amp;"D"</f>
        <v>3MD</v>
      </c>
      <c r="C23" s="31" t="str">
        <f t="shared" ref="C23:C41" si="0">RateHelperPrefix&amp;$B23</f>
        <v>EUR_YC3MRH_3MD</v>
      </c>
      <c r="D23" s="80">
        <f>_xll.qlRateHelperEarliestDate($C23,EvaluationDate)</f>
        <v>41712</v>
      </c>
      <c r="E23" s="80">
        <f>_xll.qlRateHelperLatestDate($C23,EvaluationDate)</f>
        <v>41806</v>
      </c>
      <c r="F23" s="81">
        <f>_xll.qlRateHelperQuoteValue($C23,SheetTrigger)</f>
        <v>3.0400000000000002E-3</v>
      </c>
      <c r="G23" s="183"/>
      <c r="H23" s="80">
        <f>$D23</f>
        <v>41712</v>
      </c>
      <c r="I23" s="180" t="b">
        <v>1</v>
      </c>
      <c r="J23" s="29">
        <f>F23</f>
        <v>3.0400000000000002E-3</v>
      </c>
      <c r="K23" s="143" t="b">
        <f>I23</f>
        <v>1</v>
      </c>
      <c r="L23" s="38" t="b">
        <f t="shared" ref="L23:L52" si="1">NOT(OR($H23&gt;LastDayInYear,$E23&lt;=LastDayInYear))</f>
        <v>0</v>
      </c>
      <c r="M23" s="31" t="b">
        <f t="shared" ref="M23:M52" si="2">NOT(OR($H23&gt;LastDayInNextYear,$E23&lt;=LastDayInNextYear))</f>
        <v>0</v>
      </c>
      <c r="N23" s="180" t="b">
        <v>0</v>
      </c>
      <c r="O23" s="24">
        <f>_xll.qlInterpolationInterpolate($O$22,$H23,TRUE,_xll.ohTrigger($Y$23:$Y$52))</f>
        <v>3.0934535960720566E-3</v>
      </c>
      <c r="P23" s="108">
        <f>$J23-$O23</f>
        <v>-5.3453596072056478E-5</v>
      </c>
      <c r="Q23" s="59">
        <f>_xll.qlDayCounterYearFraction(DayCounter,$H23,$E23)</f>
        <v>0.26111111111111113</v>
      </c>
      <c r="R23" s="127">
        <f>(1+$O23*$Q23)/(1+$J23*$Q23)</f>
        <v>1.0000139462576338</v>
      </c>
      <c r="S23" s="70">
        <f t="shared" ref="S23:S41" si="3">IF($L23,(TOY_1*(1+$J23*$Q23)-1)/$Q23,IF($M23,(TOY_2*(1+$J23*$Q23)-1)/$Q23,$J23))</f>
        <v>3.0400000000000002E-3</v>
      </c>
      <c r="T23" s="215">
        <f>S23-J23</f>
        <v>0</v>
      </c>
      <c r="U23" s="30">
        <f t="array" ref="U23:U52">SelectionSort(_xll.ohFilter(H23:H52,K23:K52))</f>
        <v>41712</v>
      </c>
      <c r="V23" s="221" t="e">
        <f>_xll.qlInterpolationInterpolate(ExtFwdInterpolator,U23,TRUE,ISERROR($AB$23:$AB$52))</f>
        <v>#NUM!</v>
      </c>
      <c r="X23" t="str">
        <f>_xll.qlSimpleQuote(,,,,EvaluationDate)</f>
        <v>obj_005f3#0010</v>
      </c>
      <c r="Y23" s="323" t="e">
        <f>_xll.qlSimpleQuoteSetValue(X23,J23)</f>
        <v>#N/A</v>
      </c>
      <c r="Z23"/>
      <c r="AA23" t="str">
        <f>_xll.qlSimpleQuote(,,,,EvaluationDate)</f>
        <v>obj_0060f#0010</v>
      </c>
      <c r="AB23" s="323" t="e">
        <f>_xll.qlSimpleQuoteSetValue(AA23,S23)</f>
        <v>#N/A</v>
      </c>
    </row>
    <row r="24" spans="1:28" x14ac:dyDescent="0.2">
      <c r="A24" s="71" t="str">
        <f>PROPER(Currency)&amp;IF(UPPER(Currency)&lt;&gt;"EUR","L","")&amp;"ibor"&amp;IndexTenor</f>
        <v>Euribor3M</v>
      </c>
      <c r="B24" s="182" t="s">
        <v>45</v>
      </c>
      <c r="C24" s="37" t="str">
        <f>A24&amp;B24&amp;"_Quote"</f>
        <v>Euribor3MLastFixing_Quote</v>
      </c>
      <c r="D24" s="185" t="e">
        <f>_xll.qlCalendarAdvance(Calendar,_xll.qlLastFixingQuoteReferenceDate(C24,TriggerFixings),"2D","f")</f>
        <v>#NUM!</v>
      </c>
      <c r="E24" s="185" t="e">
        <f>_xll.qlCalendarAdvance(Calendar,D24,IndexTenor,"Modified Following",TRUE)</f>
        <v>#NUM!</v>
      </c>
      <c r="F24" s="76">
        <f>_xll.qlQuoteValue(C24,SheetTrigger)</f>
        <v>3.0399999999999997E-3</v>
      </c>
      <c r="G24" s="184"/>
      <c r="H24" s="66">
        <f>H23</f>
        <v>41712</v>
      </c>
      <c r="I24" s="179" t="b">
        <v>0</v>
      </c>
      <c r="J24" s="35">
        <f>F24</f>
        <v>3.0399999999999997E-3</v>
      </c>
      <c r="K24" s="144" t="b">
        <f t="shared" ref="K24:K34" si="4">I24</f>
        <v>0</v>
      </c>
      <c r="L24" s="50" t="e">
        <f t="shared" si="1"/>
        <v>#NUM!</v>
      </c>
      <c r="M24" s="37" t="e">
        <f t="shared" si="2"/>
        <v>#NUM!</v>
      </c>
      <c r="N24" s="179" t="b">
        <v>0</v>
      </c>
      <c r="O24" s="35">
        <f>_xll.qlInterpolationInterpolate($O$22,$H24,TRUE,_xll.ohTrigger($Y$23:$Y$52))</f>
        <v>3.0934535960720566E-3</v>
      </c>
      <c r="P24" s="110">
        <f>$J24-$O24</f>
        <v>-5.3453596072056912E-5</v>
      </c>
      <c r="Q24" s="61" t="e">
        <f>_xll.qlDayCounterYearFraction(DayCounter,$H24,$E24)</f>
        <v>#NUM!</v>
      </c>
      <c r="R24" s="129" t="e">
        <f>(1+$O24*$Q24)/(1+$J24*$Q24)</f>
        <v>#NUM!</v>
      </c>
      <c r="S24" s="54" t="e">
        <f t="shared" si="3"/>
        <v>#NUM!</v>
      </c>
      <c r="T24" s="216" t="e">
        <f>S24-J24</f>
        <v>#NUM!</v>
      </c>
      <c r="U24" s="33">
        <v>41717</v>
      </c>
      <c r="V24" s="78" t="e">
        <f>_xll.qlInterpolationInterpolate(ExtFwdInterpolator,U24,TRUE,ISERROR($AB$23:$AB$52))</f>
        <v>#NUM!</v>
      </c>
      <c r="X24" t="str">
        <f>_xll.qlSimpleQuote(,,,,EvaluationDate)</f>
        <v>obj_00625#0010</v>
      </c>
      <c r="Y24" s="323" t="e">
        <f>_xll.qlSimpleQuoteSetValue(X24,J24)</f>
        <v>#N/A</v>
      </c>
      <c r="Z24"/>
      <c r="AA24" t="str">
        <f>_xll.qlSimpleQuote(,,,,EvaluationDate)</f>
        <v>obj_00609#0010</v>
      </c>
      <c r="AB24" s="323" t="e">
        <f>_xll.qlSimpleQuoteSetValue(AA24,S24)</f>
        <v>#NUM!</v>
      </c>
    </row>
    <row r="25" spans="1:28" x14ac:dyDescent="0.2">
      <c r="A25" s="71" t="b">
        <v>0</v>
      </c>
      <c r="B25" s="124" t="str">
        <f>"FUT"&amp;IndexTenor&amp;_xll.qlIMMNextCodes(SettlementDate+$B$22,A25)</f>
        <v>FUT3MH4</v>
      </c>
      <c r="C25" s="43" t="str">
        <f t="shared" si="0"/>
        <v>EUR_YC3MRH_FUT3MH4</v>
      </c>
      <c r="D25" s="21">
        <f>_xll.qlRateHelperEarliestDate($C25,EvaluationDate)</f>
        <v>41717</v>
      </c>
      <c r="E25" s="21">
        <f>_xll.qlRateHelperLatestDate($C25,EvaluationDate)</f>
        <v>41809</v>
      </c>
      <c r="F25" s="105">
        <f>_xll.qlRateHelperQuoteValue($C25,SheetTrigger)</f>
        <v>99.692499999999995</v>
      </c>
      <c r="G25" s="104">
        <f>_xll.qlFuturesRateHelperConvexityAdjustment($C25,SheetTrigger)</f>
        <v>0</v>
      </c>
      <c r="H25" s="21">
        <f>$D25</f>
        <v>41717</v>
      </c>
      <c r="I25" s="23" t="b">
        <v>1</v>
      </c>
      <c r="J25" s="24">
        <f>1-$F25/100-$G25</f>
        <v>3.0750000000000499E-3</v>
      </c>
      <c r="K25" s="143" t="b">
        <f t="shared" si="4"/>
        <v>1</v>
      </c>
      <c r="L25" s="22" t="b">
        <f t="shared" si="1"/>
        <v>0</v>
      </c>
      <c r="M25" s="23" t="b">
        <f t="shared" si="2"/>
        <v>0</v>
      </c>
      <c r="N25" s="23" t="b">
        <f t="shared" ref="N25:N41" si="5">IF(K25,AND(NOT($L25),NOT($M25)),FALSE)</f>
        <v>1</v>
      </c>
      <c r="O25" s="24">
        <f>_xll.qlInterpolationInterpolate($O$22,$H25,TRUE,_xll.ohTrigger($Y$23:$Y$52))</f>
        <v>3.0750000000000499E-3</v>
      </c>
      <c r="P25" s="109">
        <f t="shared" ref="P25:P52" si="6">$J25-$O25</f>
        <v>0</v>
      </c>
      <c r="Q25" s="60">
        <f>_xll.qlDayCounterYearFraction(DayCounter,$H25,$E25)</f>
        <v>0.25555555555555554</v>
      </c>
      <c r="R25" s="128">
        <f t="shared" ref="R25:R52" si="7">(1+$O25*$Q25)/(1+$J25*$Q25)</f>
        <v>1</v>
      </c>
      <c r="S25" s="62">
        <f t="shared" si="3"/>
        <v>3.0750000000000499E-3</v>
      </c>
      <c r="T25" s="219">
        <f>S25-J25</f>
        <v>0</v>
      </c>
      <c r="U25" s="33">
        <v>41745</v>
      </c>
      <c r="V25" s="78">
        <f>_xll.qlInterpolationInterpolate(ExtFwdInterpolator,U25,TRUE,ISERROR($AB$23:$AB$52))</f>
        <v>2.9749999999999499E-3</v>
      </c>
      <c r="X25" t="str">
        <f>_xll.qlSimpleQuote(,,,,EvaluationDate)</f>
        <v>obj_005a5#0010</v>
      </c>
      <c r="Y25" s="323" t="e">
        <f>_xll.qlSimpleQuoteSetValue(X25,J25)</f>
        <v>#N/A</v>
      </c>
      <c r="Z25"/>
      <c r="AA25" t="str">
        <f>_xll.qlSimpleQuote(,,,,EvaluationDate)</f>
        <v>obj_005f0#0010</v>
      </c>
      <c r="AB25" s="323" t="e">
        <f>_xll.qlSimpleQuoteSetValue(AA25,S25)</f>
        <v>#N/A</v>
      </c>
    </row>
    <row r="26" spans="1:28" x14ac:dyDescent="0.2">
      <c r="A26" s="151" t="b">
        <f>IF(ISERROR(FIND(LEFT(_xll.qlIMMcode(D25),1),"HMUZ")),TRUE,FALSE)</f>
        <v>0</v>
      </c>
      <c r="B26" s="124" t="str">
        <f>"FUT"&amp;IndexTenor&amp;_xll.qlIMMNextCodes(D25,A26)</f>
        <v>FUT3MJ4</v>
      </c>
      <c r="C26" s="43" t="str">
        <f t="shared" si="0"/>
        <v>EUR_YC3MRH_FUT3MJ4</v>
      </c>
      <c r="D26" s="21">
        <f>_xll.qlRateHelperEarliestDate($C26,EvaluationDate)</f>
        <v>41745</v>
      </c>
      <c r="E26" s="21">
        <f>_xll.qlRateHelperLatestDate($C26,EvaluationDate)</f>
        <v>41836</v>
      </c>
      <c r="F26" s="105">
        <f>_xll.qlRateHelperQuoteValue($C26,SheetTrigger)</f>
        <v>99.702500000000001</v>
      </c>
      <c r="G26" s="104">
        <f>_xll.qlFuturesRateHelperConvexityAdjustment($C26,SheetTrigger)</f>
        <v>0</v>
      </c>
      <c r="H26" s="21">
        <f t="shared" ref="H26:H41" si="8">$D26</f>
        <v>41745</v>
      </c>
      <c r="I26" s="23" t="b">
        <v>1</v>
      </c>
      <c r="J26" s="24">
        <f t="shared" ref="J26:J33" si="9">1-$F26/100-$G26</f>
        <v>2.9749999999999499E-3</v>
      </c>
      <c r="K26" s="143" t="b">
        <f t="shared" si="4"/>
        <v>1</v>
      </c>
      <c r="L26" s="22" t="b">
        <f t="shared" si="1"/>
        <v>0</v>
      </c>
      <c r="M26" s="23" t="b">
        <f t="shared" si="2"/>
        <v>0</v>
      </c>
      <c r="N26" s="23" t="b">
        <f t="shared" si="5"/>
        <v>1</v>
      </c>
      <c r="O26" s="24">
        <f>_xll.qlInterpolationInterpolate($O$22,$H26,TRUE,_xll.ohTrigger($Y$23:$Y$52))</f>
        <v>2.9749999999999499E-3</v>
      </c>
      <c r="P26" s="109">
        <f t="shared" si="6"/>
        <v>0</v>
      </c>
      <c r="Q26" s="60">
        <f>_xll.qlDayCounterYearFraction(DayCounter,$H26,$E26)</f>
        <v>0.25277777777777777</v>
      </c>
      <c r="R26" s="128">
        <f t="shared" si="7"/>
        <v>1</v>
      </c>
      <c r="S26" s="62">
        <f t="shared" si="3"/>
        <v>2.9749999999999499E-3</v>
      </c>
      <c r="T26" s="219">
        <f>S26-J26</f>
        <v>0</v>
      </c>
      <c r="U26" s="33">
        <v>41808</v>
      </c>
      <c r="V26" s="78">
        <f>_xll.qlInterpolationInterpolate(ExtFwdInterpolator,U26,TRUE,ISERROR($AB$23:$AB$52))</f>
        <v>2.9749999999999499E-3</v>
      </c>
      <c r="X26" t="str">
        <f>_xll.qlSimpleQuote(,,,,EvaluationDate)</f>
        <v>obj_005a6#0010</v>
      </c>
      <c r="Y26" s="323" t="e">
        <f>_xll.qlSimpleQuoteSetValue(X26,J26)</f>
        <v>#N/A</v>
      </c>
      <c r="Z26"/>
      <c r="AA26" t="str">
        <f>_xll.qlSimpleQuote(,,,,EvaluationDate)</f>
        <v>obj_005d0#0010</v>
      </c>
      <c r="AB26" s="323" t="e">
        <f>_xll.qlSimpleQuoteSetValue(AA26,S26)</f>
        <v>#N/A</v>
      </c>
    </row>
    <row r="27" spans="1:28" x14ac:dyDescent="0.2">
      <c r="A27" t="b">
        <v>1</v>
      </c>
      <c r="B27" s="124" t="str">
        <f>"FUT"&amp;IndexTenor&amp;_xll.qlIMMNextCodes(D26,A27)</f>
        <v>FUT3MM4</v>
      </c>
      <c r="C27" s="43" t="str">
        <f t="shared" si="0"/>
        <v>EUR_YC3MRH_FUT3MM4</v>
      </c>
      <c r="D27" s="21">
        <f>_xll.qlRateHelperEarliestDate($C27,EvaluationDate)</f>
        <v>41808</v>
      </c>
      <c r="E27" s="21">
        <f>_xll.qlRateHelperLatestDate($C27,EvaluationDate)</f>
        <v>41900</v>
      </c>
      <c r="F27" s="105">
        <f>_xll.qlRateHelperQuoteValue($C27,SheetTrigger)</f>
        <v>99.702500000000001</v>
      </c>
      <c r="G27" s="104">
        <f>_xll.qlFuturesRateHelperConvexityAdjustment($C27,SheetTrigger)</f>
        <v>0</v>
      </c>
      <c r="H27" s="21">
        <f t="shared" si="8"/>
        <v>41808</v>
      </c>
      <c r="I27" s="23" t="b">
        <v>1</v>
      </c>
      <c r="J27" s="24">
        <f t="shared" si="9"/>
        <v>2.9749999999999499E-3</v>
      </c>
      <c r="K27" s="143" t="b">
        <f t="shared" si="4"/>
        <v>1</v>
      </c>
      <c r="L27" s="22" t="b">
        <f t="shared" si="1"/>
        <v>0</v>
      </c>
      <c r="M27" s="23" t="b">
        <f t="shared" si="2"/>
        <v>0</v>
      </c>
      <c r="N27" s="23" t="b">
        <f t="shared" si="5"/>
        <v>1</v>
      </c>
      <c r="O27" s="24">
        <f>_xll.qlInterpolationInterpolate($O$22,$H27,TRUE,_xll.ohTrigger($Y$23:$Y$52))</f>
        <v>2.9749999999999499E-3</v>
      </c>
      <c r="P27" s="109">
        <f t="shared" si="6"/>
        <v>0</v>
      </c>
      <c r="Q27" s="60">
        <f>_xll.qlDayCounterYearFraction(DayCounter,$H27,$E27)</f>
        <v>0.25555555555555554</v>
      </c>
      <c r="R27" s="128">
        <f t="shared" si="7"/>
        <v>1</v>
      </c>
      <c r="S27" s="62">
        <f t="shared" si="3"/>
        <v>2.9749999999999499E-3</v>
      </c>
      <c r="T27" s="219">
        <f t="shared" ref="T27:T43" si="10">S27-J27</f>
        <v>0</v>
      </c>
      <c r="U27" s="33">
        <v>41899</v>
      </c>
      <c r="V27" s="78" t="e">
        <f>_xll.qlInterpolationInterpolate(ExtFwdInterpolator,U27,TRUE,ISERROR($AB$23:$AB$52))</f>
        <v>#NUM!</v>
      </c>
      <c r="X27" t="str">
        <f>_xll.qlSimpleQuote(,,,,EvaluationDate)</f>
        <v>obj_00602#0010</v>
      </c>
      <c r="Y27" s="323" t="e">
        <f>_xll.qlSimpleQuoteSetValue(X27,J27)</f>
        <v>#N/A</v>
      </c>
      <c r="Z27"/>
      <c r="AA27" t="str">
        <f>_xll.qlSimpleQuote(,,,,EvaluationDate)</f>
        <v>obj_005fe#0010</v>
      </c>
      <c r="AB27" s="323" t="e">
        <f>_xll.qlSimpleQuoteSetValue(AA27,S27)</f>
        <v>#N/A</v>
      </c>
    </row>
    <row r="28" spans="1:28" x14ac:dyDescent="0.2">
      <c r="A28" t="b">
        <v>1</v>
      </c>
      <c r="B28" s="124" t="str">
        <f>"FUT"&amp;IndexTenor&amp;_xll.qlIMMNextCodes(D27,A28)</f>
        <v>FUT3MU4</v>
      </c>
      <c r="C28" s="43" t="str">
        <f t="shared" si="0"/>
        <v>EUR_YC3MRH_FUT3MU4</v>
      </c>
      <c r="D28" s="21">
        <f>_xll.qlRateHelperEarliestDate($C28,EvaluationDate)</f>
        <v>41899</v>
      </c>
      <c r="E28" s="21">
        <f>_xll.qlRateHelperLatestDate($C28,EvaluationDate)</f>
        <v>41990</v>
      </c>
      <c r="F28" s="105">
        <f>_xll.qlRateHelperQuoteValue($C28,SheetTrigger)</f>
        <v>99.707499999999996</v>
      </c>
      <c r="G28" s="104">
        <f>_xll.qlFuturesRateHelperConvexityAdjustment($C28,SheetTrigger)</f>
        <v>0</v>
      </c>
      <c r="H28" s="21">
        <f t="shared" si="8"/>
        <v>41899</v>
      </c>
      <c r="I28" s="23" t="b">
        <v>1</v>
      </c>
      <c r="J28" s="24">
        <f t="shared" si="9"/>
        <v>2.9250000000000664E-3</v>
      </c>
      <c r="K28" s="143" t="b">
        <f t="shared" si="4"/>
        <v>1</v>
      </c>
      <c r="L28" s="22" t="b">
        <f t="shared" si="1"/>
        <v>0</v>
      </c>
      <c r="M28" s="23" t="b">
        <f t="shared" si="2"/>
        <v>0</v>
      </c>
      <c r="N28" s="23" t="b">
        <f t="shared" si="5"/>
        <v>1</v>
      </c>
      <c r="O28" s="24">
        <f>_xll.qlInterpolationInterpolate($O$22,$H28,TRUE,_xll.ohTrigger($Y$23:$Y$52))</f>
        <v>2.9250000000000664E-3</v>
      </c>
      <c r="P28" s="109">
        <f t="shared" si="6"/>
        <v>0</v>
      </c>
      <c r="Q28" s="60">
        <f>_xll.qlDayCounterYearFraction(DayCounter,$H28,$E28)</f>
        <v>0.25277777777777777</v>
      </c>
      <c r="R28" s="128">
        <f t="shared" si="7"/>
        <v>1</v>
      </c>
      <c r="S28" s="62">
        <f t="shared" si="3"/>
        <v>2.9250000000000664E-3</v>
      </c>
      <c r="T28" s="219">
        <f t="shared" si="10"/>
        <v>0</v>
      </c>
      <c r="U28" s="33">
        <v>41990</v>
      </c>
      <c r="V28" s="78" t="e">
        <f>_xll.qlInterpolationInterpolate(ExtFwdInterpolator,U28,TRUE,ISERROR($AB$23:$AB$52))</f>
        <v>#NUM!</v>
      </c>
      <c r="X28" t="str">
        <f>_xll.qlSimpleQuote(,,,,EvaluationDate)</f>
        <v>obj_00624#0010</v>
      </c>
      <c r="Y28" s="323" t="e">
        <f>_xll.qlSimpleQuoteSetValue(X28,J28)</f>
        <v>#N/A</v>
      </c>
      <c r="Z28"/>
      <c r="AA28" t="str">
        <f>_xll.qlSimpleQuote(,,,,EvaluationDate)</f>
        <v>obj_0059b#0010</v>
      </c>
      <c r="AB28" s="323" t="e">
        <f>_xll.qlSimpleQuoteSetValue(AA28,S28)</f>
        <v>#N/A</v>
      </c>
    </row>
    <row r="29" spans="1:28" x14ac:dyDescent="0.2">
      <c r="A29" t="b">
        <v>1</v>
      </c>
      <c r="B29" s="124" t="str">
        <f>"FUT"&amp;IndexTenor&amp;_xll.qlIMMNextCodes(D28,A29)</f>
        <v>FUT3MZ4</v>
      </c>
      <c r="C29" s="43" t="str">
        <f t="shared" si="0"/>
        <v>EUR_YC3MRH_FUT3MZ4</v>
      </c>
      <c r="D29" s="21">
        <f>_xll.qlRateHelperEarliestDate($C29,EvaluationDate)</f>
        <v>41990</v>
      </c>
      <c r="E29" s="21">
        <f>_xll.qlRateHelperLatestDate($C29,EvaluationDate)</f>
        <v>42080</v>
      </c>
      <c r="F29" s="105">
        <f>_xll.qlRateHelperQuoteValue($C29,SheetTrigger)</f>
        <v>99.692499999999995</v>
      </c>
      <c r="G29" s="104">
        <f>_xll.qlFuturesRateHelperConvexityAdjustment($C29,SheetTrigger)</f>
        <v>0</v>
      </c>
      <c r="H29" s="21">
        <f t="shared" si="8"/>
        <v>41990</v>
      </c>
      <c r="I29" s="23" t="b">
        <v>1</v>
      </c>
      <c r="J29" s="24">
        <f t="shared" si="9"/>
        <v>3.0750000000000499E-3</v>
      </c>
      <c r="K29" s="143" t="b">
        <f t="shared" si="4"/>
        <v>1</v>
      </c>
      <c r="L29" s="22" t="b">
        <f t="shared" si="1"/>
        <v>1</v>
      </c>
      <c r="M29" s="23" t="b">
        <f t="shared" si="2"/>
        <v>0</v>
      </c>
      <c r="N29" s="23" t="b">
        <f t="shared" si="5"/>
        <v>0</v>
      </c>
      <c r="O29" s="24">
        <f>_xll.qlInterpolationInterpolate($O$22,$H29,TRUE,_xll.ohTrigger($Y$23:$Y$52))</f>
        <v>3.0253531235645971E-3</v>
      </c>
      <c r="P29" s="109">
        <f t="shared" si="6"/>
        <v>4.9646876435452836E-5</v>
      </c>
      <c r="Q29" s="60">
        <f>_xll.qlDayCounterYearFraction(DayCounter,$H29,$E29)</f>
        <v>0.25</v>
      </c>
      <c r="R29" s="128">
        <f t="shared" si="7"/>
        <v>0.99998759781507074</v>
      </c>
      <c r="S29" s="62">
        <f t="shared" si="3"/>
        <v>3.0749999999999389E-3</v>
      </c>
      <c r="T29" s="219">
        <f t="shared" si="10"/>
        <v>-1.1102230246251565E-16</v>
      </c>
      <c r="U29" s="33">
        <v>42081</v>
      </c>
      <c r="V29" s="78" t="e">
        <f>_xll.qlInterpolationInterpolate(ExtFwdInterpolator,U29,TRUE,ISERROR($AB$23:$AB$52))</f>
        <v>#NUM!</v>
      </c>
      <c r="X29" t="str">
        <f>_xll.qlSimpleQuote(,,,,EvaluationDate)</f>
        <v>obj_005ad#0010</v>
      </c>
      <c r="Y29" s="323" t="e">
        <f>_xll.qlSimpleQuoteSetValue(X29,J29)</f>
        <v>#N/A</v>
      </c>
      <c r="Z29"/>
      <c r="AA29" t="str">
        <f>_xll.qlSimpleQuote(,,,,EvaluationDate)</f>
        <v>obj_0060e#0010</v>
      </c>
      <c r="AB29" s="323" t="e">
        <f>_xll.qlSimpleQuoteSetValue(AA29,S29)</f>
        <v>#N/A</v>
      </c>
    </row>
    <row r="30" spans="1:28" x14ac:dyDescent="0.2">
      <c r="A30" t="b">
        <v>1</v>
      </c>
      <c r="B30" s="124" t="str">
        <f>"FUT"&amp;IndexTenor&amp;_xll.qlIMMNextCodes(D29,A30)</f>
        <v>FUT3MH5</v>
      </c>
      <c r="C30" s="43" t="str">
        <f t="shared" si="0"/>
        <v>EUR_YC3MRH_FUT3MH5</v>
      </c>
      <c r="D30" s="21">
        <f>_xll.qlRateHelperEarliestDate($C30,EvaluationDate)</f>
        <v>42081</v>
      </c>
      <c r="E30" s="21">
        <f>_xll.qlRateHelperLatestDate($C30,EvaluationDate)</f>
        <v>42173</v>
      </c>
      <c r="F30" s="105">
        <f>_xll.qlRateHelperQuoteValue($C30,SheetTrigger)</f>
        <v>99.672499999999999</v>
      </c>
      <c r="G30" s="104">
        <f>_xll.qlFuturesRateHelperConvexityAdjustment($C30,SheetTrigger)</f>
        <v>0</v>
      </c>
      <c r="H30" s="21">
        <f t="shared" si="8"/>
        <v>42081</v>
      </c>
      <c r="I30" s="23" t="b">
        <v>1</v>
      </c>
      <c r="J30" s="24">
        <f t="shared" si="9"/>
        <v>3.2750000000000279E-3</v>
      </c>
      <c r="K30" s="143" t="b">
        <f t="shared" si="4"/>
        <v>1</v>
      </c>
      <c r="L30" s="22" t="b">
        <f t="shared" si="1"/>
        <v>0</v>
      </c>
      <c r="M30" s="23" t="b">
        <f t="shared" si="2"/>
        <v>0</v>
      </c>
      <c r="N30" s="23" t="b">
        <f t="shared" si="5"/>
        <v>1</v>
      </c>
      <c r="O30" s="24">
        <f>_xll.qlInterpolationInterpolate($O$22,$H30,TRUE,_xll.ohTrigger($Y$23:$Y$52))</f>
        <v>3.2750000000000279E-3</v>
      </c>
      <c r="P30" s="109">
        <f t="shared" si="6"/>
        <v>0</v>
      </c>
      <c r="Q30" s="60">
        <f>_xll.qlDayCounterYearFraction(DayCounter,$H30,$E30)</f>
        <v>0.25555555555555554</v>
      </c>
      <c r="R30" s="128">
        <f t="shared" si="7"/>
        <v>1</v>
      </c>
      <c r="S30" s="62">
        <f t="shared" si="3"/>
        <v>3.2750000000000279E-3</v>
      </c>
      <c r="T30" s="219">
        <f t="shared" si="10"/>
        <v>0</v>
      </c>
      <c r="U30" s="33">
        <v>42172</v>
      </c>
      <c r="V30" s="78" t="e">
        <f>_xll.qlInterpolationInterpolate(ExtFwdInterpolator,U30,TRUE,ISERROR($AB$23:$AB$52))</f>
        <v>#NUM!</v>
      </c>
      <c r="X30" t="str">
        <f>_xll.qlSimpleQuote(,,,,EvaluationDate)</f>
        <v>obj_005af#0010</v>
      </c>
      <c r="Y30" s="323" t="e">
        <f>_xll.qlSimpleQuoteSetValue(X30,J30)</f>
        <v>#N/A</v>
      </c>
      <c r="Z30"/>
      <c r="AA30" t="str">
        <f>_xll.qlSimpleQuote(,,,,EvaluationDate)</f>
        <v>obj_0059e#0010</v>
      </c>
      <c r="AB30" s="323" t="e">
        <f>_xll.qlSimpleQuoteSetValue(AA30,S30)</f>
        <v>#N/A</v>
      </c>
    </row>
    <row r="31" spans="1:28" x14ac:dyDescent="0.2">
      <c r="A31" t="b">
        <v>1</v>
      </c>
      <c r="B31" s="124" t="str">
        <f>"FUT"&amp;IndexTenor&amp;_xll.qlIMMNextCodes(D30,A31)</f>
        <v>FUT3MM5</v>
      </c>
      <c r="C31" s="43" t="str">
        <f t="shared" si="0"/>
        <v>EUR_YC3MRH_FUT3MM5</v>
      </c>
      <c r="D31" s="21">
        <f>_xll.qlRateHelperEarliestDate($C31,EvaluationDate)</f>
        <v>42172</v>
      </c>
      <c r="E31" s="21">
        <f>_xll.qlRateHelperLatestDate($C31,EvaluationDate)</f>
        <v>42264</v>
      </c>
      <c r="F31" s="105">
        <f>_xll.qlRateHelperQuoteValue($C31,SheetTrigger)</f>
        <v>99.637500000000003</v>
      </c>
      <c r="G31" s="104">
        <f>_xll.qlFuturesRateHelperConvexityAdjustment($C31,SheetTrigger)</f>
        <v>0</v>
      </c>
      <c r="H31" s="21">
        <f t="shared" si="8"/>
        <v>42172</v>
      </c>
      <c r="I31" s="23" t="b">
        <v>1</v>
      </c>
      <c r="J31" s="24">
        <f t="shared" si="9"/>
        <v>3.6249999999999893E-3</v>
      </c>
      <c r="K31" s="143" t="b">
        <f t="shared" si="4"/>
        <v>1</v>
      </c>
      <c r="L31" s="22" t="b">
        <f t="shared" si="1"/>
        <v>0</v>
      </c>
      <c r="M31" s="23" t="b">
        <f t="shared" si="2"/>
        <v>0</v>
      </c>
      <c r="N31" s="23" t="b">
        <f t="shared" si="5"/>
        <v>1</v>
      </c>
      <c r="O31" s="24">
        <f>_xll.qlInterpolationInterpolate($O$22,$H31,TRUE,_xll.ohTrigger($Y$23:$Y$52))</f>
        <v>3.6249999999999893E-3</v>
      </c>
      <c r="P31" s="109">
        <f t="shared" si="6"/>
        <v>0</v>
      </c>
      <c r="Q31" s="60">
        <f>_xll.qlDayCounterYearFraction(DayCounter,$H31,$E31)</f>
        <v>0.25555555555555554</v>
      </c>
      <c r="R31" s="128">
        <f t="shared" si="7"/>
        <v>1</v>
      </c>
      <c r="S31" s="62">
        <f t="shared" si="3"/>
        <v>3.6249999999999893E-3</v>
      </c>
      <c r="T31" s="219">
        <f>S31-J31</f>
        <v>0</v>
      </c>
      <c r="U31" s="33">
        <v>42263</v>
      </c>
      <c r="V31" s="78" t="e">
        <f>_xll.qlInterpolationInterpolate(ExtFwdInterpolator,U31,TRUE,ISERROR($AB$23:$AB$52))</f>
        <v>#NUM!</v>
      </c>
      <c r="X31" t="str">
        <f>_xll.qlSimpleQuote(,,,,EvaluationDate)</f>
        <v>obj_005a2#0010</v>
      </c>
      <c r="Y31" s="323" t="e">
        <f>_xll.qlSimpleQuoteSetValue(X31,J31)</f>
        <v>#N/A</v>
      </c>
      <c r="Z31"/>
      <c r="AA31" t="str">
        <f>_xll.qlSimpleQuote(,,,,EvaluationDate)</f>
        <v>obj_005c9#0010</v>
      </c>
      <c r="AB31" s="323" t="e">
        <f>_xll.qlSimpleQuoteSetValue(AA31,S31)</f>
        <v>#N/A</v>
      </c>
    </row>
    <row r="32" spans="1:28" x14ac:dyDescent="0.2">
      <c r="A32" t="b">
        <v>1</v>
      </c>
      <c r="B32" s="124" t="str">
        <f>"FUT"&amp;IndexTenor&amp;_xll.qlIMMNextCodes(D31,A32)</f>
        <v>FUT3MU5</v>
      </c>
      <c r="C32" s="43" t="str">
        <f t="shared" si="0"/>
        <v>EUR_YC3MRH_FUT3MU5</v>
      </c>
      <c r="D32" s="21">
        <f>_xll.qlRateHelperEarliestDate($C32,EvaluationDate)</f>
        <v>42263</v>
      </c>
      <c r="E32" s="21">
        <f>_xll.qlRateHelperLatestDate($C32,EvaluationDate)</f>
        <v>42354</v>
      </c>
      <c r="F32" s="105">
        <f>_xll.qlRateHelperQuoteValue($C32,SheetTrigger)</f>
        <v>99.587500000000006</v>
      </c>
      <c r="G32" s="104">
        <f>_xll.qlFuturesRateHelperConvexityAdjustment($C32,SheetTrigger)</f>
        <v>0</v>
      </c>
      <c r="H32" s="21">
        <f t="shared" si="8"/>
        <v>42263</v>
      </c>
      <c r="I32" s="23" t="b">
        <v>1</v>
      </c>
      <c r="J32" s="24">
        <f t="shared" si="9"/>
        <v>4.1249999999999343E-3</v>
      </c>
      <c r="K32" s="143" t="b">
        <f t="shared" si="4"/>
        <v>1</v>
      </c>
      <c r="L32" s="22" t="b">
        <f t="shared" si="1"/>
        <v>0</v>
      </c>
      <c r="M32" s="23" t="b">
        <f t="shared" si="2"/>
        <v>0</v>
      </c>
      <c r="N32" s="23" t="b">
        <f t="shared" si="5"/>
        <v>1</v>
      </c>
      <c r="O32" s="24">
        <f>_xll.qlInterpolationInterpolate($O$22,$H32,TRUE,_xll.ohTrigger($Y$23:$Y$52))</f>
        <v>4.1249999999999343E-3</v>
      </c>
      <c r="P32" s="109">
        <f t="shared" si="6"/>
        <v>0</v>
      </c>
      <c r="Q32" s="60">
        <f>_xll.qlDayCounterYearFraction(DayCounter,$H32,$E32)</f>
        <v>0.25277777777777777</v>
      </c>
      <c r="R32" s="128">
        <f t="shared" si="7"/>
        <v>1</v>
      </c>
      <c r="S32" s="62">
        <f t="shared" si="3"/>
        <v>4.1249999999999343E-3</v>
      </c>
      <c r="T32" s="219">
        <f>S32-J32</f>
        <v>0</v>
      </c>
      <c r="U32" s="33">
        <v>42354</v>
      </c>
      <c r="V32" s="78" t="e">
        <f>_xll.qlInterpolationInterpolate(ExtFwdInterpolator,U32,TRUE,ISERROR($AB$23:$AB$52))</f>
        <v>#NUM!</v>
      </c>
      <c r="X32" t="str">
        <f>_xll.qlSimpleQuote(,,,,EvaluationDate)</f>
        <v>obj_005a9#0010</v>
      </c>
      <c r="Y32" s="323" t="e">
        <f>_xll.qlSimpleQuoteSetValue(X32,J32)</f>
        <v>#N/A</v>
      </c>
      <c r="Z32"/>
      <c r="AA32" t="str">
        <f>_xll.qlSimpleQuote(,,,,EvaluationDate)</f>
        <v>obj_005d2#0010</v>
      </c>
      <c r="AB32" s="323" t="e">
        <f>_xll.qlSimpleQuoteSetValue(AA32,S32)</f>
        <v>#N/A</v>
      </c>
    </row>
    <row r="33" spans="1:28" x14ac:dyDescent="0.2">
      <c r="A33" t="b">
        <v>1</v>
      </c>
      <c r="B33" s="125" t="str">
        <f>"FUT"&amp;IndexTenor&amp;_xll.qlIMMNextCodes(D32,A33)</f>
        <v>FUT3MZ5</v>
      </c>
      <c r="C33" s="43" t="str">
        <f t="shared" si="0"/>
        <v>EUR_YC3MRH_FUT3MZ5</v>
      </c>
      <c r="D33" s="21">
        <f>_xll.qlRateHelperEarliestDate($C33,EvaluationDate)</f>
        <v>42354</v>
      </c>
      <c r="E33" s="21">
        <f>_xll.qlRateHelperLatestDate($C33,EvaluationDate)</f>
        <v>42445</v>
      </c>
      <c r="F33" s="141">
        <f>_xll.qlRateHelperQuoteValue($C33,SheetTrigger)</f>
        <v>99.522500000000008</v>
      </c>
      <c r="G33" s="106">
        <f>_xll.qlFuturesRateHelperConvexityAdjustment($C33,SheetTrigger)</f>
        <v>0</v>
      </c>
      <c r="H33" s="66">
        <f t="shared" si="8"/>
        <v>42354</v>
      </c>
      <c r="I33" s="37" t="b">
        <v>1</v>
      </c>
      <c r="J33" s="35">
        <f t="shared" si="9"/>
        <v>4.7749999999999737E-3</v>
      </c>
      <c r="K33" s="144" t="b">
        <f t="shared" si="4"/>
        <v>1</v>
      </c>
      <c r="L33" s="50" t="b">
        <f t="shared" si="1"/>
        <v>0</v>
      </c>
      <c r="M33" s="37" t="b">
        <f t="shared" si="2"/>
        <v>1</v>
      </c>
      <c r="N33" s="37" t="b">
        <f t="shared" si="5"/>
        <v>0</v>
      </c>
      <c r="O33" s="35">
        <f>_xll.qlInterpolationInterpolate($O$22,$H33,TRUE,_xll.ohTrigger($Y$23:$Y$52))</f>
        <v>4.6249999999998792E-3</v>
      </c>
      <c r="P33" s="110">
        <f t="shared" si="6"/>
        <v>1.500000000000945E-4</v>
      </c>
      <c r="Q33" s="61">
        <f>_xll.qlDayCounterYearFraction(DayCounter,$H33,$E33)</f>
        <v>0.25277777777777777</v>
      </c>
      <c r="R33" s="129">
        <f t="shared" si="7"/>
        <v>0.99996212904410309</v>
      </c>
      <c r="S33" s="62">
        <f t="shared" si="3"/>
        <v>4.7749999999999885E-3</v>
      </c>
      <c r="T33" s="219">
        <f>S33-J33</f>
        <v>1.474514954580286E-17</v>
      </c>
      <c r="U33" s="33" t="e">
        <v>#N/A</v>
      </c>
      <c r="V33" s="78" t="e">
        <f>_xll.qlInterpolationInterpolate(ExtFwdInterpolator,U33,TRUE,ISERROR($AB$23:$AB$52))</f>
        <v>#NUM!</v>
      </c>
      <c r="X33" t="str">
        <f>_xll.qlSimpleQuote(,,,,EvaluationDate)</f>
        <v>obj_00616#0010</v>
      </c>
      <c r="Y33" s="323" t="e">
        <f>_xll.qlSimpleQuoteSetValue(X33,J33)</f>
        <v>#N/A</v>
      </c>
      <c r="Z33"/>
      <c r="AA33" t="str">
        <f>_xll.qlSimpleQuote(,,,,EvaluationDate)</f>
        <v>obj_005aa#0010</v>
      </c>
      <c r="AB33" s="323" t="e">
        <f>_xll.qlSimpleQuoteSetValue(AA33,S33)</f>
        <v>#N/A</v>
      </c>
    </row>
    <row r="34" spans="1:28" x14ac:dyDescent="0.2">
      <c r="A34" s="71"/>
      <c r="B34" s="38" t="str">
        <f>"T"&amp;$A$20&amp;"F1"</f>
        <v>T3F1</v>
      </c>
      <c r="C34" s="69" t="str">
        <f>RateHelperPrefix&amp;$B34</f>
        <v>EUR_YC3MRH_T3F1</v>
      </c>
      <c r="D34" s="80">
        <f>_xll.qlRateHelperEarliestDate($C34,EvaluationDate)</f>
        <v>41712</v>
      </c>
      <c r="E34" s="80">
        <f>_xll.qlRateHelperLatestDate($C34,EvaluationDate)</f>
        <v>41806</v>
      </c>
      <c r="F34" s="77" t="e">
        <f>_xll.qlRateHelperQuoteValue($C34,SheetTrigger)</f>
        <v>#NUM!</v>
      </c>
      <c r="G34" s="31"/>
      <c r="H34" s="28">
        <f>$D34</f>
        <v>41712</v>
      </c>
      <c r="I34" s="180" t="b">
        <v>0</v>
      </c>
      <c r="J34" s="29"/>
      <c r="K34" s="143" t="b">
        <f t="shared" si="4"/>
        <v>0</v>
      </c>
      <c r="L34" s="31" t="b">
        <f>NOT(OR($H34&gt;LastDayInYear,$E34&lt;=LastDayInYear))</f>
        <v>0</v>
      </c>
      <c r="M34" s="31" t="b">
        <f>NOT(OR($H34&gt;LastDayInNextYear,$E34&lt;=LastDayInNextYear))</f>
        <v>0</v>
      </c>
      <c r="N34" s="31" t="b">
        <f>IF(K34,AND(NOT($L34),NOT($M34)),FALSE)</f>
        <v>0</v>
      </c>
      <c r="O34" s="24">
        <f>_xll.qlInterpolationInterpolate($O$22,$H34,TRUE,_xll.ohTrigger($Y$23:$Y$52))</f>
        <v>3.0934535960720566E-3</v>
      </c>
      <c r="P34" s="108">
        <f>$J34-$O34</f>
        <v>-3.0934535960720566E-3</v>
      </c>
      <c r="Q34" s="59">
        <f>_xll.qlDayCounterYearFraction(DayCounter,$H34,$E34)</f>
        <v>0.26111111111111113</v>
      </c>
      <c r="R34" s="127">
        <f>(1+$O34*$Q34)/(1+$J34*$Q34)</f>
        <v>1.000807735105641</v>
      </c>
      <c r="S34" s="70">
        <f>IF($L34,(TOY_1*(1+$J34*$Q34)-1)/$Q34,IF($M34,(TOY_2*(1+$J34*$Q34)-1)/$Q34,$J34))</f>
        <v>0</v>
      </c>
      <c r="T34" s="217">
        <f>S34-J34</f>
        <v>0</v>
      </c>
      <c r="U34" s="33" t="e">
        <v>#N/A</v>
      </c>
      <c r="V34" s="78" t="e">
        <f>_xll.qlInterpolationInterpolate(ExtFwdInterpolator,U34,TRUE,ISERROR($AB$23:$AB$52))</f>
        <v>#NUM!</v>
      </c>
      <c r="X34" t="str">
        <f>_xll.qlSimpleQuote(,,,,EvaluationDate)</f>
        <v>obj_00612#0010</v>
      </c>
      <c r="Y34" s="323">
        <f>_xll.qlSimpleQuoteSetValue(X34,J34)</f>
        <v>0</v>
      </c>
      <c r="Z34"/>
      <c r="AA34" t="str">
        <f>_xll.qlSimpleQuote(,,,,EvaluationDate)</f>
        <v>obj_0059c#0010</v>
      </c>
      <c r="AB34" s="323" t="e">
        <f>_xll.qlSimpleQuoteSetValue(AA34,S34)</f>
        <v>#N/A</v>
      </c>
    </row>
    <row r="35" spans="1:28" x14ac:dyDescent="0.2">
      <c r="A35" s="71"/>
      <c r="B35" s="50" t="str">
        <f>"TOM"&amp;$A$20&amp;"F1"</f>
        <v>TOM3F1</v>
      </c>
      <c r="C35" s="65" t="str">
        <f>RateHelperPrefix&amp;$B35</f>
        <v>EUR_YC3MRH_TOM3F1</v>
      </c>
      <c r="D35" s="66">
        <f>_xll.qlRateHelperEarliestDate($C35,EvaluationDate)</f>
        <v>41715</v>
      </c>
      <c r="E35" s="66">
        <f>_xll.qlRateHelperLatestDate($C35,EvaluationDate)</f>
        <v>41807</v>
      </c>
      <c r="F35" s="73" t="e">
        <f>_xll.qlRateHelperQuoteValue($C35,SheetTrigger)</f>
        <v>#NUM!</v>
      </c>
      <c r="G35" s="37"/>
      <c r="H35" s="34">
        <f>$D35</f>
        <v>41715</v>
      </c>
      <c r="I35" s="322" t="b">
        <f t="shared" ref="I35:I41" si="11">ISNA(VLOOKUP(H35,$H$25:$H$33,1,FALSE))</f>
        <v>1</v>
      </c>
      <c r="J35" s="35"/>
      <c r="K35" s="144" t="b">
        <v>0</v>
      </c>
      <c r="L35" s="37" t="b">
        <f>NOT(OR($H35&gt;LastDayInYear,$E35&lt;=LastDayInYear))</f>
        <v>0</v>
      </c>
      <c r="M35" s="37" t="b">
        <f>NOT(OR($H35&gt;LastDayInNextYear,$E35&lt;=LastDayInNextYear))</f>
        <v>0</v>
      </c>
      <c r="N35" s="37" t="b">
        <f>IF(K35,AND(NOT($L35),NOT($M35)),FALSE)</f>
        <v>0</v>
      </c>
      <c r="O35" s="35">
        <f>_xll.qlInterpolationInterpolate($O$22,$H35,TRUE,_xll.ohTrigger($Y$23:$Y$52))</f>
        <v>3.083035764597983E-3</v>
      </c>
      <c r="P35" s="110">
        <f>$J35-$O35</f>
        <v>-3.083035764597983E-3</v>
      </c>
      <c r="Q35" s="61">
        <f>_xll.qlDayCounterYearFraction(DayCounter,$H35,$E35)</f>
        <v>0.25555555555555554</v>
      </c>
      <c r="R35" s="129">
        <f>(1+$O35*$Q35)/(1+$J35*$Q35)</f>
        <v>1.0007878869176194</v>
      </c>
      <c r="S35" s="54">
        <f>IF($L35,(TOY_1*(1+$J35*$Q35)-1)/$Q35,IF($M35,(TOY_2*(1+$J35*$Q35)-1)/$Q35,$J35))</f>
        <v>0</v>
      </c>
      <c r="T35" s="218">
        <f>S35-J35</f>
        <v>0</v>
      </c>
      <c r="U35" s="33" t="e">
        <v>#N/A</v>
      </c>
      <c r="V35" s="78" t="e">
        <f>_xll.qlInterpolationInterpolate(ExtFwdInterpolator,U35,TRUE,ISERROR($AB$23:$AB$52))</f>
        <v>#NUM!</v>
      </c>
      <c r="X35" t="str">
        <f>_xll.qlSimpleQuote(,,,,EvaluationDate)</f>
        <v>obj_005a8#0010</v>
      </c>
      <c r="Y35" s="323">
        <f>_xll.qlSimpleQuoteSetValue(X35,J35)</f>
        <v>0</v>
      </c>
      <c r="Z35"/>
      <c r="AA35" t="str">
        <f>_xll.qlSimpleQuote(,,,,EvaluationDate)</f>
        <v>obj_00607#0010</v>
      </c>
      <c r="AB35" s="323" t="e">
        <f>_xll.qlSimpleQuoteSetValue(AA35,S35)</f>
        <v>#N/A</v>
      </c>
    </row>
    <row r="36" spans="1:28" x14ac:dyDescent="0.2">
      <c r="A36" s="117">
        <v>1</v>
      </c>
      <c r="B36" s="69" t="str">
        <f t="shared" ref="B36:B52" si="12">A36&amp;"x"&amp;(A36+$A$20)&amp;"F"</f>
        <v>1x4F</v>
      </c>
      <c r="C36" s="69" t="str">
        <f t="shared" si="0"/>
        <v>EUR_YC3MRH_1x4F</v>
      </c>
      <c r="D36" s="80">
        <f>_xll.qlRateHelperEarliestDate($C36,EvaluationDate)</f>
        <v>41743</v>
      </c>
      <c r="E36" s="80">
        <f>_xll.qlRateHelperLatestDate($C36,EvaluationDate)</f>
        <v>41834</v>
      </c>
      <c r="F36" s="77">
        <f>_xll.qlRateHelperQuoteValue($C36,SheetTrigger)</f>
        <v>3.0000000000000005E-3</v>
      </c>
      <c r="G36" s="31"/>
      <c r="H36" s="28">
        <f t="shared" si="8"/>
        <v>41743</v>
      </c>
      <c r="I36" s="31" t="b">
        <f t="shared" si="11"/>
        <v>1</v>
      </c>
      <c r="J36" s="29">
        <f t="shared" ref="J36:J41" si="13">F36</f>
        <v>3.0000000000000005E-3</v>
      </c>
      <c r="K36" s="40" t="b">
        <f t="shared" ref="K36:K41" si="14">AND(I36,UseSecondSet)</f>
        <v>0</v>
      </c>
      <c r="L36" s="31" t="b">
        <f t="shared" si="1"/>
        <v>0</v>
      </c>
      <c r="M36" s="31" t="b">
        <f t="shared" si="2"/>
        <v>0</v>
      </c>
      <c r="N36" s="31" t="b">
        <f t="shared" si="5"/>
        <v>0</v>
      </c>
      <c r="O36" s="24">
        <f>_xll.qlInterpolationInterpolate($O$22,$H36,TRUE,_xll.ohTrigger($Y$23:$Y$52))</f>
        <v>2.9759007907438169E-3</v>
      </c>
      <c r="P36" s="108">
        <f t="shared" si="6"/>
        <v>2.4099209256183644E-5</v>
      </c>
      <c r="Q36" s="59">
        <f>_xll.qlDayCounterYearFraction(DayCounter,$H36,$E36)</f>
        <v>0.25277777777777777</v>
      </c>
      <c r="R36" s="127">
        <f t="shared" si="7"/>
        <v>0.99999391287151029</v>
      </c>
      <c r="S36" s="70">
        <f t="shared" si="3"/>
        <v>3.0000000000000005E-3</v>
      </c>
      <c r="T36" s="217">
        <f t="shared" si="10"/>
        <v>0</v>
      </c>
      <c r="U36" s="33" t="e">
        <v>#N/A</v>
      </c>
      <c r="V36" s="78" t="e">
        <f>_xll.qlInterpolationInterpolate(ExtFwdInterpolator,U36,TRUE,ISERROR($AB$23:$AB$52))</f>
        <v>#NUM!</v>
      </c>
      <c r="X36" t="str">
        <f>_xll.qlSimpleQuote(,,,,EvaluationDate)</f>
        <v>obj_00605#0010</v>
      </c>
      <c r="Y36" s="323" t="e">
        <f>_xll.qlSimpleQuoteSetValue(X36,J36)</f>
        <v>#N/A</v>
      </c>
      <c r="Z36"/>
      <c r="AA36" t="str">
        <f>_xll.qlSimpleQuote(,,,,EvaluationDate)</f>
        <v>obj_005f4#0010</v>
      </c>
      <c r="AB36" s="323" t="e">
        <f>_xll.qlSimpleQuoteSetValue(AA36,S36)</f>
        <v>#N/A</v>
      </c>
    </row>
    <row r="37" spans="1:28" x14ac:dyDescent="0.2">
      <c r="A37" s="117">
        <v>2</v>
      </c>
      <c r="B37" s="22" t="str">
        <f t="shared" si="12"/>
        <v>2x5F</v>
      </c>
      <c r="C37" s="64" t="str">
        <f t="shared" si="0"/>
        <v>EUR_YC3MRH_2x5F</v>
      </c>
      <c r="D37" s="21">
        <f>_xll.qlRateHelperEarliestDate($C37,EvaluationDate)</f>
        <v>41773</v>
      </c>
      <c r="E37" s="21">
        <f>_xll.qlRateHelperLatestDate($C37,EvaluationDate)</f>
        <v>41865</v>
      </c>
      <c r="F37" s="72">
        <f>_xll.qlRateHelperQuoteValue($C37,SheetTrigger)</f>
        <v>2.9900000000000005E-3</v>
      </c>
      <c r="G37" s="23"/>
      <c r="H37" s="32">
        <f t="shared" si="8"/>
        <v>41773</v>
      </c>
      <c r="I37" s="23" t="b">
        <f t="shared" si="11"/>
        <v>1</v>
      </c>
      <c r="J37" s="24">
        <f t="shared" si="13"/>
        <v>2.9900000000000005E-3</v>
      </c>
      <c r="K37" s="40" t="b">
        <f t="shared" si="14"/>
        <v>0</v>
      </c>
      <c r="L37" s="23" t="b">
        <f t="shared" si="1"/>
        <v>0</v>
      </c>
      <c r="M37" s="23" t="b">
        <f t="shared" si="2"/>
        <v>0</v>
      </c>
      <c r="N37" s="23" t="b">
        <f t="shared" si="5"/>
        <v>0</v>
      </c>
      <c r="O37" s="24">
        <f>_xll.qlInterpolationInterpolate($O$22,$H37,TRUE,_xll.ohTrigger($Y$23:$Y$52))</f>
        <v>2.9749999999999499E-3</v>
      </c>
      <c r="P37" s="109">
        <f t="shared" si="6"/>
        <v>1.5000000000050563E-5</v>
      </c>
      <c r="Q37" s="60">
        <f>_xll.qlDayCounterYearFraction(DayCounter,$H37,$E37)</f>
        <v>0.25555555555555554</v>
      </c>
      <c r="R37" s="128">
        <f t="shared" si="7"/>
        <v>0.99999616959352278</v>
      </c>
      <c r="S37" s="62">
        <f t="shared" si="3"/>
        <v>2.9900000000000005E-3</v>
      </c>
      <c r="T37" s="220">
        <f t="shared" si="10"/>
        <v>0</v>
      </c>
      <c r="U37" s="33" t="e">
        <v>#N/A</v>
      </c>
      <c r="V37" s="78" t="e">
        <f>_xll.qlInterpolationInterpolate(ExtFwdInterpolator,U37,TRUE,ISERROR($AB$23:$AB$52))</f>
        <v>#NUM!</v>
      </c>
      <c r="X37" t="str">
        <f>_xll.qlSimpleQuote(,,,,EvaluationDate)</f>
        <v>obj_0062c#0010</v>
      </c>
      <c r="Y37" s="323" t="e">
        <f>_xll.qlSimpleQuoteSetValue(X37,J37)</f>
        <v>#N/A</v>
      </c>
      <c r="Z37"/>
      <c r="AA37" t="str">
        <f>_xll.qlSimpleQuote(,,,,EvaluationDate)</f>
        <v>obj_005d8#0010</v>
      </c>
      <c r="AB37" s="323" t="e">
        <f>_xll.qlSimpleQuoteSetValue(AA37,S37)</f>
        <v>#N/A</v>
      </c>
    </row>
    <row r="38" spans="1:28" x14ac:dyDescent="0.2">
      <c r="A38" s="117">
        <v>3</v>
      </c>
      <c r="B38" s="22" t="str">
        <f t="shared" si="12"/>
        <v>3x6F</v>
      </c>
      <c r="C38" s="64" t="str">
        <f t="shared" si="0"/>
        <v>EUR_YC3MRH_3x6F</v>
      </c>
      <c r="D38" s="21">
        <f>_xll.qlRateHelperEarliestDate($C38,EvaluationDate)</f>
        <v>41806</v>
      </c>
      <c r="E38" s="21">
        <f>_xll.qlRateHelperLatestDate($C38,EvaluationDate)</f>
        <v>41898</v>
      </c>
      <c r="F38" s="72">
        <f>_xll.qlRateHelperQuoteValue($C38,SheetTrigger)</f>
        <v>2.9500000000000004E-3</v>
      </c>
      <c r="G38" s="23"/>
      <c r="H38" s="32">
        <f t="shared" si="8"/>
        <v>41806</v>
      </c>
      <c r="I38" s="23" t="b">
        <f t="shared" si="11"/>
        <v>1</v>
      </c>
      <c r="J38" s="24">
        <f t="shared" si="13"/>
        <v>2.9500000000000004E-3</v>
      </c>
      <c r="K38" s="40" t="b">
        <f t="shared" si="14"/>
        <v>0</v>
      </c>
      <c r="L38" s="23" t="b">
        <f t="shared" si="1"/>
        <v>0</v>
      </c>
      <c r="M38" s="23" t="b">
        <f t="shared" si="2"/>
        <v>0</v>
      </c>
      <c r="N38" s="23" t="b">
        <f t="shared" si="5"/>
        <v>0</v>
      </c>
      <c r="O38" s="24">
        <f>_xll.qlInterpolationInterpolate($O$22,$H38,TRUE,_xll.ohTrigger($Y$23:$Y$52))</f>
        <v>2.9749999999999499E-3</v>
      </c>
      <c r="P38" s="109">
        <f t="shared" si="6"/>
        <v>-2.4999999999949542E-5</v>
      </c>
      <c r="Q38" s="60">
        <f>_xll.qlDayCounterYearFraction(DayCounter,$H38,$E38)</f>
        <v>0.25555555555555554</v>
      </c>
      <c r="R38" s="128">
        <f t="shared" si="7"/>
        <v>1.000006384076005</v>
      </c>
      <c r="S38" s="62">
        <f t="shared" si="3"/>
        <v>2.9500000000000004E-3</v>
      </c>
      <c r="T38" s="220">
        <f t="shared" si="10"/>
        <v>0</v>
      </c>
      <c r="U38" s="33" t="e">
        <v>#N/A</v>
      </c>
      <c r="V38" s="78" t="e">
        <f>_xll.qlInterpolationInterpolate(ExtFwdInterpolator,U38,TRUE,ISERROR($AB$23:$AB$52))</f>
        <v>#NUM!</v>
      </c>
      <c r="X38" t="str">
        <f>_xll.qlSimpleQuote(,,,,EvaluationDate)</f>
        <v>obj_005d5#0010</v>
      </c>
      <c r="Y38" s="323" t="e">
        <f>_xll.qlSimpleQuoteSetValue(X38,J38)</f>
        <v>#N/A</v>
      </c>
      <c r="AA38" t="str">
        <f>_xll.qlSimpleQuote(,,,,EvaluationDate)</f>
        <v>obj_005cc#0010</v>
      </c>
      <c r="AB38" s="323" t="e">
        <f>_xll.qlSimpleQuoteSetValue(AA38,S38)</f>
        <v>#N/A</v>
      </c>
    </row>
    <row r="39" spans="1:28" x14ac:dyDescent="0.2">
      <c r="A39" s="121">
        <v>4</v>
      </c>
      <c r="B39" s="22" t="str">
        <f t="shared" si="12"/>
        <v>4x7F</v>
      </c>
      <c r="C39" s="64" t="str">
        <f t="shared" si="0"/>
        <v>EUR_YC3MRH_4x7F</v>
      </c>
      <c r="D39" s="21">
        <f>_xll.qlRateHelperEarliestDate($C39,EvaluationDate)</f>
        <v>41834</v>
      </c>
      <c r="E39" s="21">
        <f>_xll.qlRateHelperLatestDate($C39,EvaluationDate)</f>
        <v>41926</v>
      </c>
      <c r="F39" s="72">
        <f>_xll.qlRateHelperQuoteValue($C39,SheetTrigger)</f>
        <v>2.9400000000000003E-3</v>
      </c>
      <c r="G39" s="23"/>
      <c r="H39" s="32">
        <f t="shared" si="8"/>
        <v>41834</v>
      </c>
      <c r="I39" s="23" t="b">
        <f t="shared" si="11"/>
        <v>1</v>
      </c>
      <c r="J39" s="24">
        <f t="shared" si="13"/>
        <v>2.9400000000000003E-3</v>
      </c>
      <c r="K39" s="40" t="b">
        <f t="shared" si="14"/>
        <v>0</v>
      </c>
      <c r="L39" s="23" t="b">
        <f t="shared" si="1"/>
        <v>0</v>
      </c>
      <c r="M39" s="23" t="b">
        <f t="shared" si="2"/>
        <v>0</v>
      </c>
      <c r="N39" s="23" t="b">
        <f t="shared" si="5"/>
        <v>0</v>
      </c>
      <c r="O39" s="24">
        <f>_xll.qlInterpolationInterpolate($O$22,$H39,TRUE,_xll.ohTrigger($Y$23:$Y$52))</f>
        <v>2.9650874635568244E-3</v>
      </c>
      <c r="P39" s="109">
        <f t="shared" si="6"/>
        <v>-2.5087463556824029E-5</v>
      </c>
      <c r="Q39" s="60">
        <f>_xll.qlDayCounterYearFraction(DayCounter,$H39,$E39)</f>
        <v>0.25555555555555554</v>
      </c>
      <c r="R39" s="128">
        <f t="shared" si="7"/>
        <v>1.0000064064273244</v>
      </c>
      <c r="S39" s="62">
        <f t="shared" si="3"/>
        <v>2.9400000000000003E-3</v>
      </c>
      <c r="T39" s="220">
        <f t="shared" si="10"/>
        <v>0</v>
      </c>
      <c r="U39" s="33" t="e">
        <v>#N/A</v>
      </c>
      <c r="V39" s="78" t="e">
        <f>_xll.qlInterpolationInterpolate(ExtFwdInterpolator,U39,TRUE,ISERROR($AB$23:$AB$52))</f>
        <v>#NUM!</v>
      </c>
      <c r="X39" t="str">
        <f>_xll.qlSimpleQuote(,,,,EvaluationDate)</f>
        <v>obj_005a1#0010</v>
      </c>
      <c r="Y39" s="323" t="e">
        <f>_xll.qlSimpleQuoteSetValue(X39,J39)</f>
        <v>#N/A</v>
      </c>
      <c r="AA39" t="str">
        <f>_xll.qlSimpleQuote(,,,,EvaluationDate)</f>
        <v>obj_005bd#0010</v>
      </c>
      <c r="AB39" s="323" t="e">
        <f>_xll.qlSimpleQuoteSetValue(AA39,S39)</f>
        <v>#N/A</v>
      </c>
    </row>
    <row r="40" spans="1:28" x14ac:dyDescent="0.2">
      <c r="A40" s="121">
        <v>5</v>
      </c>
      <c r="B40" s="22" t="str">
        <f t="shared" si="12"/>
        <v>5x8F</v>
      </c>
      <c r="C40" s="64" t="str">
        <f t="shared" si="0"/>
        <v>EUR_YC3MRH_5x8F</v>
      </c>
      <c r="D40" s="21">
        <f>_xll.qlRateHelperEarliestDate($C40,EvaluationDate)</f>
        <v>41865</v>
      </c>
      <c r="E40" s="21">
        <f>_xll.qlRateHelperLatestDate($C40,EvaluationDate)</f>
        <v>41957</v>
      </c>
      <c r="F40" s="72">
        <f>_xll.qlRateHelperQuoteValue($C40,SheetTrigger)</f>
        <v>2.9200000000000003E-3</v>
      </c>
      <c r="G40" s="23"/>
      <c r="H40" s="32">
        <f t="shared" si="8"/>
        <v>41865</v>
      </c>
      <c r="I40" s="23" t="b">
        <f t="shared" si="11"/>
        <v>1</v>
      </c>
      <c r="J40" s="24">
        <f t="shared" si="13"/>
        <v>2.9200000000000003E-3</v>
      </c>
      <c r="K40" s="40" t="b">
        <f t="shared" si="14"/>
        <v>0</v>
      </c>
      <c r="L40" s="23" t="b">
        <f t="shared" si="1"/>
        <v>0</v>
      </c>
      <c r="M40" s="23" t="b">
        <f t="shared" si="2"/>
        <v>0</v>
      </c>
      <c r="N40" s="23" t="b">
        <f t="shared" si="5"/>
        <v>0</v>
      </c>
      <c r="O40" s="24">
        <f>_xll.qlInterpolationInterpolate($O$22,$H40,TRUE,_xll.ohTrigger($Y$23:$Y$52))</f>
        <v>2.9407238004116698E-3</v>
      </c>
      <c r="P40" s="109">
        <f t="shared" si="6"/>
        <v>-2.0723800411669505E-5</v>
      </c>
      <c r="Q40" s="60">
        <f>_xll.qlDayCounterYearFraction(DayCounter,$H40,$E40)</f>
        <v>0.25555555555555554</v>
      </c>
      <c r="R40" s="128">
        <f t="shared" si="7"/>
        <v>1.0000052921332199</v>
      </c>
      <c r="S40" s="62">
        <f t="shared" si="3"/>
        <v>2.9200000000000003E-3</v>
      </c>
      <c r="T40" s="220">
        <f t="shared" si="10"/>
        <v>0</v>
      </c>
      <c r="U40" s="33" t="e">
        <v>#N/A</v>
      </c>
      <c r="V40" s="78" t="e">
        <f>_xll.qlInterpolationInterpolate(ExtFwdInterpolator,U40,TRUE,ISERROR($AB$23:$AB$52))</f>
        <v>#NUM!</v>
      </c>
      <c r="X40" t="str">
        <f>_xll.qlSimpleQuote(,,,,EvaluationDate)</f>
        <v>obj_005c3#0010</v>
      </c>
      <c r="Y40" s="323" t="e">
        <f>_xll.qlSimpleQuoteSetValue(X40,J40)</f>
        <v>#N/A</v>
      </c>
      <c r="AA40" t="str">
        <f>_xll.qlSimpleQuote(,,,,EvaluationDate)</f>
        <v>obj_00614#0010</v>
      </c>
      <c r="AB40" s="323" t="e">
        <f>_xll.qlSimpleQuoteSetValue(AA40,S40)</f>
        <v>#N/A</v>
      </c>
    </row>
    <row r="41" spans="1:28" x14ac:dyDescent="0.2">
      <c r="A41" s="121">
        <v>6</v>
      </c>
      <c r="B41" s="50" t="str">
        <f t="shared" si="12"/>
        <v>6x9F</v>
      </c>
      <c r="C41" s="65" t="str">
        <f t="shared" si="0"/>
        <v>EUR_YC3MRH_6x9F</v>
      </c>
      <c r="D41" s="66">
        <f>_xll.qlRateHelperEarliestDate($C41,EvaluationDate)</f>
        <v>41897</v>
      </c>
      <c r="E41" s="66">
        <f>_xll.qlRateHelperLatestDate($C41,EvaluationDate)</f>
        <v>41988</v>
      </c>
      <c r="F41" s="73">
        <f>_xll.qlRateHelperQuoteValue($C41,SheetTrigger)</f>
        <v>2.9100000000000003E-3</v>
      </c>
      <c r="G41" s="37"/>
      <c r="H41" s="34">
        <f t="shared" si="8"/>
        <v>41897</v>
      </c>
      <c r="I41" s="37" t="b">
        <f t="shared" si="11"/>
        <v>1</v>
      </c>
      <c r="J41" s="35">
        <f t="shared" si="13"/>
        <v>2.9100000000000003E-3</v>
      </c>
      <c r="K41" s="207" t="b">
        <f t="shared" si="14"/>
        <v>0</v>
      </c>
      <c r="L41" s="37" t="b">
        <f t="shared" si="1"/>
        <v>0</v>
      </c>
      <c r="M41" s="37" t="b">
        <f t="shared" si="2"/>
        <v>0</v>
      </c>
      <c r="N41" s="37" t="b">
        <f t="shared" si="5"/>
        <v>0</v>
      </c>
      <c r="O41" s="35">
        <f>_xll.qlInterpolationInterpolate($O$22,$H41,TRUE,_xll.ohTrigger($Y$23:$Y$52))</f>
        <v>2.925071393405598E-3</v>
      </c>
      <c r="P41" s="110">
        <f t="shared" si="6"/>
        <v>-1.5071393405597776E-5</v>
      </c>
      <c r="Q41" s="61">
        <f>_xll.qlDayCounterYearFraction(DayCounter,$H41,$E41)</f>
        <v>0.25277777777777777</v>
      </c>
      <c r="R41" s="129">
        <f t="shared" si="7"/>
        <v>1.0000038069130313</v>
      </c>
      <c r="S41" s="54">
        <f t="shared" si="3"/>
        <v>2.9100000000000003E-3</v>
      </c>
      <c r="T41" s="218">
        <f t="shared" si="10"/>
        <v>0</v>
      </c>
      <c r="U41" s="33" t="e">
        <v>#N/A</v>
      </c>
      <c r="V41" s="78" t="e">
        <f>_xll.qlInterpolationInterpolate(ExtFwdInterpolator,U41,TRUE,ISERROR($AB$23:$AB$52))</f>
        <v>#NUM!</v>
      </c>
      <c r="X41" t="str">
        <f>_xll.qlSimpleQuote(,,,,EvaluationDate)</f>
        <v>obj_005cb#0010</v>
      </c>
      <c r="Y41" s="323" t="e">
        <f>_xll.qlSimpleQuoteSetValue(X41,J41)</f>
        <v>#N/A</v>
      </c>
      <c r="AA41" t="str">
        <f>_xll.qlSimpleQuote(,,,,EvaluationDate)</f>
        <v>obj_005f5#0010</v>
      </c>
      <c r="AB41" s="323" t="e">
        <f>_xll.qlSimpleQuoteSetValue(AA41,S41)</f>
        <v>#N/A</v>
      </c>
    </row>
    <row r="42" spans="1:28" x14ac:dyDescent="0.2">
      <c r="A42" s="121">
        <v>27</v>
      </c>
      <c r="B42" s="214" t="str">
        <f t="shared" si="12"/>
        <v>27x30F</v>
      </c>
      <c r="C42" s="130"/>
      <c r="D42" s="200" t="str">
        <f>A42&amp;"M"</f>
        <v>27M</v>
      </c>
      <c r="E42" s="210">
        <f>_xll.qlCalendarAdvance(Calendar,H42,$A$21,"Modified Following",TRUE)</f>
        <v>42627</v>
      </c>
      <c r="F42" s="199"/>
      <c r="G42" s="199"/>
      <c r="H42" s="201">
        <f>_xll.qlCalendarAdvance(Calendar,SettlementDate,D42,"MF",TRUE)</f>
        <v>42535</v>
      </c>
      <c r="I42" s="199" t="b">
        <v>1</v>
      </c>
      <c r="J42" s="202"/>
      <c r="K42" s="143" t="b">
        <v>0</v>
      </c>
      <c r="L42" s="130" t="b">
        <f t="shared" si="1"/>
        <v>0</v>
      </c>
      <c r="M42" s="199" t="b">
        <f t="shared" si="2"/>
        <v>0</v>
      </c>
      <c r="N42" s="199" t="b">
        <v>0</v>
      </c>
      <c r="O42" s="24">
        <f>_xll.qlInterpolationInterpolate($O$22,$H42,TRUE,_xll.ohTrigger($Y$23:$Y$52))</f>
        <v>4.7773133548674488E-3</v>
      </c>
      <c r="P42" s="199">
        <f t="shared" si="6"/>
        <v>-4.7773133548674488E-3</v>
      </c>
      <c r="Q42" s="203">
        <f>_xll.qlDayCounterYearFraction(DayCounter,H42,E42)</f>
        <v>0.25555555555555554</v>
      </c>
      <c r="R42" s="199">
        <f t="shared" si="7"/>
        <v>1.0012208689684661</v>
      </c>
      <c r="S42" s="204">
        <f>IF($L42,(TOY_1*(1+$J42*$Q42)-1)/$Q42,IF($M42,(TOY_2*(1+$J42*$Q42)-1)/$Q42,$J42))</f>
        <v>0</v>
      </c>
      <c r="T42" s="208">
        <f t="shared" si="10"/>
        <v>0</v>
      </c>
      <c r="U42" s="131" t="e">
        <v>#N/A</v>
      </c>
      <c r="V42" s="132" t="e">
        <f>_xll.qlInterpolationInterpolate(ExtFwdInterpolator,U42,TRUE,ISERROR($AB$23:$AB$52))</f>
        <v>#NUM!</v>
      </c>
      <c r="X42" t="str">
        <f>_xll.qlSimpleQuote(,,,,EvaluationDate)</f>
        <v>obj_005ef#0010</v>
      </c>
      <c r="Y42" s="323">
        <f>_xll.qlSimpleQuoteSetValue(X42,J42)</f>
        <v>0</v>
      </c>
      <c r="AA42" t="str">
        <f>_xll.qlSimpleQuote(,,,,EvaluationDate)</f>
        <v>obj_005c6#0010</v>
      </c>
      <c r="AB42" s="323" t="e">
        <f>_xll.qlSimpleQuoteSetValue(AA42,S42)</f>
        <v>#N/A</v>
      </c>
    </row>
    <row r="43" spans="1:28" x14ac:dyDescent="0.2">
      <c r="A43" s="121">
        <v>30</v>
      </c>
      <c r="B43" s="213" t="str">
        <f t="shared" si="12"/>
        <v>30x33F</v>
      </c>
      <c r="C43" s="83"/>
      <c r="D43" s="205" t="str">
        <f>A43&amp;"M"</f>
        <v>30M</v>
      </c>
      <c r="E43" s="211">
        <f>_xll.qlCalendarAdvance(Calendar,H43,$A$21,"Modified Following",TRUE)</f>
        <v>42718</v>
      </c>
      <c r="F43" s="40"/>
      <c r="G43" s="40"/>
      <c r="H43" s="57">
        <f>_xll.qlCalendarAdvance(Calendar,SettlementDate,D43,"MF",TRUE)</f>
        <v>42627</v>
      </c>
      <c r="I43" s="40" t="b">
        <v>1</v>
      </c>
      <c r="J43" s="84"/>
      <c r="K43" s="143" t="b">
        <v>0</v>
      </c>
      <c r="L43" s="83" t="b">
        <f t="shared" si="1"/>
        <v>0</v>
      </c>
      <c r="M43" s="40" t="b">
        <f t="shared" si="2"/>
        <v>0</v>
      </c>
      <c r="N43" s="40" t="b">
        <v>0</v>
      </c>
      <c r="O43" s="24">
        <f>_xll.qlInterpolationInterpolate($O$22,$H43,TRUE,_xll.ohTrigger($Y$23:$Y$52))</f>
        <v>3.9942499507842327E-3</v>
      </c>
      <c r="P43" s="40">
        <f t="shared" si="6"/>
        <v>-3.9942499507842327E-3</v>
      </c>
      <c r="Q43" s="198">
        <f>_xll.qlDayCounterYearFraction(DayCounter,H43,E43)</f>
        <v>0.25277777777777777</v>
      </c>
      <c r="R43" s="40">
        <f t="shared" si="7"/>
        <v>1.0010096576264482</v>
      </c>
      <c r="S43" s="206">
        <f t="shared" ref="S43:S52" si="15">IF($L43,(TOY_1*(1+$J43*$Q43)-1)/$Q43,IF($M43,(TOY_2*(1+$J43*$Q43)-1)/$Q43,$J43))</f>
        <v>0</v>
      </c>
      <c r="T43" s="209">
        <f t="shared" si="10"/>
        <v>0</v>
      </c>
      <c r="U43" s="131" t="e">
        <v>#N/A</v>
      </c>
      <c r="V43" s="132" t="e">
        <f>_xll.qlInterpolationInterpolate(ExtFwdInterpolator,U43,TRUE,ISERROR($AB$23:$AB$52))</f>
        <v>#NUM!</v>
      </c>
      <c r="X43" t="str">
        <f>_xll.qlSimpleQuote(,,,,EvaluationDate)</f>
        <v>obj_005e4#0010</v>
      </c>
      <c r="Y43" s="323">
        <f>_xll.qlSimpleQuoteSetValue(X43,J43)</f>
        <v>0</v>
      </c>
      <c r="AA43" t="str">
        <f>_xll.qlSimpleQuote(,,,,EvaluationDate)</f>
        <v>obj_005f7#0010</v>
      </c>
      <c r="AB43" s="323" t="e">
        <f>_xll.qlSimpleQuoteSetValue(AA43,S43)</f>
        <v>#N/A</v>
      </c>
    </row>
    <row r="44" spans="1:28" x14ac:dyDescent="0.2">
      <c r="A44" s="121">
        <v>33</v>
      </c>
      <c r="B44" s="213" t="str">
        <f t="shared" si="12"/>
        <v>33x36F</v>
      </c>
      <c r="C44" s="83"/>
      <c r="D44" s="205" t="str">
        <f t="shared" ref="D44:D52" si="16">A44&amp;"M"</f>
        <v>33M</v>
      </c>
      <c r="E44" s="211">
        <f>_xll.qlCalendarAdvance(Calendar,H44,$A$21,"Modified Following",TRUE)</f>
        <v>42808</v>
      </c>
      <c r="F44" s="40"/>
      <c r="G44" s="40"/>
      <c r="H44" s="57">
        <f>_xll.qlCalendarAdvance(Calendar,SettlementDate,D44,"MF",TRUE)</f>
        <v>42718</v>
      </c>
      <c r="I44" s="40" t="b">
        <v>1</v>
      </c>
      <c r="J44" s="84"/>
      <c r="K44" s="143" t="b">
        <v>0</v>
      </c>
      <c r="L44" s="83" t="b">
        <f t="shared" si="1"/>
        <v>0</v>
      </c>
      <c r="M44" s="40" t="b">
        <f t="shared" si="2"/>
        <v>0</v>
      </c>
      <c r="N44" s="40" t="b">
        <v>0</v>
      </c>
      <c r="O44" s="24">
        <f>_xll.qlInterpolationInterpolate($O$22,$H44,TRUE,_xll.ohTrigger($Y$23:$Y$52))</f>
        <v>2.3634999015686958E-3</v>
      </c>
      <c r="P44" s="40">
        <f t="shared" si="6"/>
        <v>-2.3634999015686958E-3</v>
      </c>
      <c r="Q44" s="198">
        <f>_xll.qlDayCounterYearFraction(DayCounter,H44,E44)</f>
        <v>0.25</v>
      </c>
      <c r="R44" s="40">
        <f t="shared" si="7"/>
        <v>1.0005908749753922</v>
      </c>
      <c r="S44" s="206">
        <f t="shared" si="15"/>
        <v>0</v>
      </c>
      <c r="T44" s="209">
        <f t="shared" ref="T44:T52" si="17">S44-J44</f>
        <v>0</v>
      </c>
      <c r="U44" s="131" t="e">
        <v>#N/A</v>
      </c>
      <c r="V44" s="132" t="e">
        <f>_xll.qlInterpolationInterpolate(ExtFwdInterpolator,U44,TRUE,ISERROR($AB$23:$AB$52))</f>
        <v>#NUM!</v>
      </c>
      <c r="X44" t="str">
        <f>_xll.qlSimpleQuote(,,,,EvaluationDate)</f>
        <v>obj_005c7#0010</v>
      </c>
      <c r="Y44" s="323">
        <f>_xll.qlSimpleQuoteSetValue(X44,J44)</f>
        <v>0</v>
      </c>
      <c r="AA44" t="str">
        <f>_xll.qlSimpleQuote(,,,,EvaluationDate)</f>
        <v>obj_00618#0010</v>
      </c>
      <c r="AB44" s="323" t="e">
        <f>_xll.qlSimpleQuoteSetValue(AA44,S44)</f>
        <v>#N/A</v>
      </c>
    </row>
    <row r="45" spans="1:28" x14ac:dyDescent="0.2">
      <c r="A45" s="121">
        <v>36</v>
      </c>
      <c r="B45" s="213" t="str">
        <f t="shared" si="12"/>
        <v>36x39F</v>
      </c>
      <c r="C45" s="83"/>
      <c r="D45" s="205" t="str">
        <f t="shared" si="16"/>
        <v>36M</v>
      </c>
      <c r="E45" s="211">
        <f>_xll.qlCalendarAdvance(Calendar,H45,$A$21,"Modified Following",TRUE)</f>
        <v>42900</v>
      </c>
      <c r="F45" s="40"/>
      <c r="G45" s="40"/>
      <c r="H45" s="57">
        <f>_xll.qlCalendarAdvance(Calendar,SettlementDate,D45,"MF",TRUE)</f>
        <v>42808</v>
      </c>
      <c r="I45" s="40" t="b">
        <v>1</v>
      </c>
      <c r="J45" s="84"/>
      <c r="K45" s="143" t="b">
        <v>0</v>
      </c>
      <c r="L45" s="83" t="b">
        <f t="shared" si="1"/>
        <v>0</v>
      </c>
      <c r="M45" s="40" t="b">
        <f t="shared" si="2"/>
        <v>0</v>
      </c>
      <c r="N45" s="40" t="b">
        <v>0</v>
      </c>
      <c r="O45" s="24">
        <f>_xll.qlInterpolationInterpolate($O$22,$H45,TRUE,_xll.ohTrigger($Y$23:$Y$52))</f>
        <v>-2.9644036538109195E-4</v>
      </c>
      <c r="P45" s="40">
        <f t="shared" si="6"/>
        <v>2.9644036538109195E-4</v>
      </c>
      <c r="Q45" s="198">
        <f>_xll.qlDayCounterYearFraction(DayCounter,H45,E45)</f>
        <v>0.25555555555555554</v>
      </c>
      <c r="R45" s="40">
        <f t="shared" si="7"/>
        <v>0.99992424301773597</v>
      </c>
      <c r="S45" s="206">
        <f t="shared" si="15"/>
        <v>0</v>
      </c>
      <c r="T45" s="209">
        <f t="shared" si="17"/>
        <v>0</v>
      </c>
      <c r="U45" s="131" t="e">
        <v>#N/A</v>
      </c>
      <c r="V45" s="132" t="e">
        <f>_xll.qlInterpolationInterpolate(ExtFwdInterpolator,U45,TRUE,ISERROR($AB$23:$AB$52))</f>
        <v>#NUM!</v>
      </c>
      <c r="X45" t="str">
        <f>_xll.qlSimpleQuote(,,,,EvaluationDate)</f>
        <v>obj_00623#0010</v>
      </c>
      <c r="Y45" s="323">
        <f>_xll.qlSimpleQuoteSetValue(X45,J45)</f>
        <v>0</v>
      </c>
      <c r="AA45" t="str">
        <f>_xll.qlSimpleQuote(,,,,EvaluationDate)</f>
        <v>obj_005b7#0010</v>
      </c>
      <c r="AB45" s="323" t="e">
        <f>_xll.qlSimpleQuoteSetValue(AA45,S45)</f>
        <v>#N/A</v>
      </c>
    </row>
    <row r="46" spans="1:28" x14ac:dyDescent="0.2">
      <c r="A46" s="121">
        <v>39</v>
      </c>
      <c r="B46" s="213" t="str">
        <f t="shared" si="12"/>
        <v>39x42F</v>
      </c>
      <c r="C46" s="83"/>
      <c r="D46" s="205" t="str">
        <f t="shared" si="16"/>
        <v>39M</v>
      </c>
      <c r="E46" s="211">
        <f>_xll.qlCalendarAdvance(Calendar,H46,$A$21,"Modified Following",TRUE)</f>
        <v>42992</v>
      </c>
      <c r="F46" s="40"/>
      <c r="G46" s="40"/>
      <c r="H46" s="57">
        <f>_xll.qlCalendarAdvance(Calendar,SettlementDate,D46,"MF",TRUE)</f>
        <v>42900</v>
      </c>
      <c r="I46" s="40" t="b">
        <v>1</v>
      </c>
      <c r="J46" s="84"/>
      <c r="K46" s="143" t="b">
        <v>0</v>
      </c>
      <c r="L46" s="83" t="b">
        <f t="shared" si="1"/>
        <v>0</v>
      </c>
      <c r="M46" s="40" t="b">
        <f t="shared" si="2"/>
        <v>0</v>
      </c>
      <c r="N46" s="40" t="b">
        <v>0</v>
      </c>
      <c r="O46" s="24">
        <f>_xll.qlInterpolationInterpolate($O$22,$H46,TRUE,_xll.ohTrigger($Y$23:$Y$52))</f>
        <v>-4.3072002756071506E-3</v>
      </c>
      <c r="P46" s="40">
        <f t="shared" si="6"/>
        <v>4.3072002756071506E-3</v>
      </c>
      <c r="Q46" s="198">
        <f>_xll.qlDayCounterYearFraction(DayCounter,H46,E46)</f>
        <v>0.25555555555555554</v>
      </c>
      <c r="R46" s="40">
        <f t="shared" si="7"/>
        <v>0.99889927104067822</v>
      </c>
      <c r="S46" s="206">
        <f t="shared" si="15"/>
        <v>0</v>
      </c>
      <c r="T46" s="209">
        <f t="shared" si="17"/>
        <v>0</v>
      </c>
      <c r="U46" s="131" t="e">
        <v>#N/A</v>
      </c>
      <c r="V46" s="132" t="e">
        <f>_xll.qlInterpolationInterpolate(ExtFwdInterpolator,U46,TRUE,ISERROR($AB$23:$AB$52))</f>
        <v>#NUM!</v>
      </c>
      <c r="X46" t="str">
        <f>_xll.qlSimpleQuote(,,,,EvaluationDate)</f>
        <v>obj_00613#0010</v>
      </c>
      <c r="Y46" s="323">
        <f>_xll.qlSimpleQuoteSetValue(X46,J46)</f>
        <v>0</v>
      </c>
      <c r="AA46" t="str">
        <f>_xll.qlSimpleQuote(,,,,EvaluationDate)</f>
        <v>obj_005a0#0010</v>
      </c>
      <c r="AB46" s="323" t="e">
        <f>_xll.qlSimpleQuoteSetValue(AA46,S46)</f>
        <v>#N/A</v>
      </c>
    </row>
    <row r="47" spans="1:28" x14ac:dyDescent="0.2">
      <c r="A47" s="121">
        <v>42</v>
      </c>
      <c r="B47" s="213" t="str">
        <f t="shared" si="12"/>
        <v>42x45F</v>
      </c>
      <c r="C47" s="83"/>
      <c r="D47" s="205" t="str">
        <f t="shared" si="16"/>
        <v>42M</v>
      </c>
      <c r="E47" s="211">
        <f>_xll.qlCalendarAdvance(Calendar,H47,$A$21,"Modified Following",TRUE)</f>
        <v>43083</v>
      </c>
      <c r="F47" s="40"/>
      <c r="G47" s="40"/>
      <c r="H47" s="57">
        <f>_xll.qlCalendarAdvance(Calendar,SettlementDate,D47,"MF",TRUE)</f>
        <v>42992</v>
      </c>
      <c r="I47" s="40" t="b">
        <v>1</v>
      </c>
      <c r="J47" s="84"/>
      <c r="K47" s="143" t="b">
        <v>0</v>
      </c>
      <c r="L47" s="83" t="b">
        <f t="shared" si="1"/>
        <v>0</v>
      </c>
      <c r="M47" s="40" t="b">
        <f t="shared" si="2"/>
        <v>0</v>
      </c>
      <c r="N47" s="40" t="b">
        <v>0</v>
      </c>
      <c r="O47" s="24">
        <f>_xll.qlInterpolationInterpolate($O$22,$H47,TRUE,_xll.ohTrigger($Y$23:$Y$52))</f>
        <v>-9.8424461043927873E-3</v>
      </c>
      <c r="P47" s="40">
        <f t="shared" si="6"/>
        <v>9.8424461043927873E-3</v>
      </c>
      <c r="Q47" s="198">
        <f>_xll.qlDayCounterYearFraction(DayCounter,H47,E47)</f>
        <v>0.25277777777777777</v>
      </c>
      <c r="R47" s="40">
        <f t="shared" si="7"/>
        <v>0.99751204834583407</v>
      </c>
      <c r="S47" s="206">
        <f t="shared" si="15"/>
        <v>0</v>
      </c>
      <c r="T47" s="209">
        <f t="shared" si="17"/>
        <v>0</v>
      </c>
      <c r="U47" s="131" t="e">
        <v>#N/A</v>
      </c>
      <c r="V47" s="132" t="e">
        <f>_xll.qlInterpolationInterpolate(ExtFwdInterpolator,U47,TRUE,ISERROR($AB$23:$AB$52))</f>
        <v>#NUM!</v>
      </c>
      <c r="X47" t="str">
        <f>_xll.qlSimpleQuote(,,,,EvaluationDate)</f>
        <v>obj_0060b#0010</v>
      </c>
      <c r="Y47" s="323">
        <f>_xll.qlSimpleQuoteSetValue(X47,J47)</f>
        <v>0</v>
      </c>
      <c r="AA47" t="str">
        <f>_xll.qlSimpleQuote(,,,,EvaluationDate)</f>
        <v>obj_005ce#0010</v>
      </c>
      <c r="AB47" s="323" t="e">
        <f>_xll.qlSimpleQuoteSetValue(AA47,S47)</f>
        <v>#N/A</v>
      </c>
    </row>
    <row r="48" spans="1:28" x14ac:dyDescent="0.2">
      <c r="A48" s="121">
        <v>45</v>
      </c>
      <c r="B48" s="213" t="str">
        <f t="shared" si="12"/>
        <v>45x48F</v>
      </c>
      <c r="C48" s="83"/>
      <c r="D48" s="205" t="str">
        <f t="shared" si="16"/>
        <v>45M</v>
      </c>
      <c r="E48" s="211">
        <f>_xll.qlCalendarAdvance(Calendar,H48,$A$21,"Modified Following",TRUE)</f>
        <v>43173</v>
      </c>
      <c r="F48" s="40"/>
      <c r="G48" s="40"/>
      <c r="H48" s="57">
        <f>_xll.qlCalendarAdvance(Calendar,SettlementDate,D48,"MF",TRUE)</f>
        <v>43083</v>
      </c>
      <c r="I48" s="40" t="b">
        <v>1</v>
      </c>
      <c r="J48" s="84"/>
      <c r="K48" s="143" t="b">
        <v>0</v>
      </c>
      <c r="L48" s="83" t="b">
        <f t="shared" si="1"/>
        <v>0</v>
      </c>
      <c r="M48" s="40" t="b">
        <f t="shared" si="2"/>
        <v>0</v>
      </c>
      <c r="N48" s="40" t="b">
        <v>0</v>
      </c>
      <c r="O48" s="24">
        <f>_xll.qlInterpolationInterpolate($O$22,$H48,TRUE,_xll.ohTrigger($Y$23:$Y$52))</f>
        <v>-1.7033061757212725E-2</v>
      </c>
      <c r="P48" s="40">
        <f t="shared" si="6"/>
        <v>1.7033061757212725E-2</v>
      </c>
      <c r="Q48" s="198">
        <f>_xll.qlDayCounterYearFraction(DayCounter,H48,E48)</f>
        <v>0.25</v>
      </c>
      <c r="R48" s="40">
        <f t="shared" si="7"/>
        <v>0.99574173456069681</v>
      </c>
      <c r="S48" s="206">
        <f t="shared" si="15"/>
        <v>0</v>
      </c>
      <c r="T48" s="209">
        <f t="shared" si="17"/>
        <v>0</v>
      </c>
      <c r="U48" s="131" t="e">
        <v>#N/A</v>
      </c>
      <c r="V48" s="132" t="e">
        <f>_xll.qlInterpolationInterpolate(ExtFwdInterpolator,U48,TRUE,ISERROR($AB$23:$AB$52))</f>
        <v>#NUM!</v>
      </c>
      <c r="X48" t="str">
        <f>_xll.qlSimpleQuote(,,,,EvaluationDate)</f>
        <v>obj_0060d#0010</v>
      </c>
      <c r="Y48" s="323">
        <f>_xll.qlSimpleQuoteSetValue(X48,J48)</f>
        <v>0</v>
      </c>
      <c r="AA48" t="str">
        <f>_xll.qlSimpleQuote(,,,,EvaluationDate)</f>
        <v>obj_0061e#0010</v>
      </c>
      <c r="AB48" s="323" t="e">
        <f>_xll.qlSimpleQuoteSetValue(AA48,S48)</f>
        <v>#N/A</v>
      </c>
    </row>
    <row r="49" spans="1:30" x14ac:dyDescent="0.2">
      <c r="A49" s="121">
        <v>48</v>
      </c>
      <c r="B49" s="213" t="str">
        <f t="shared" si="12"/>
        <v>48x51F</v>
      </c>
      <c r="C49" s="83"/>
      <c r="D49" s="205" t="str">
        <f t="shared" si="16"/>
        <v>48M</v>
      </c>
      <c r="E49" s="211">
        <f>_xll.qlCalendarAdvance(Calendar,H49,$A$21,"Modified Following",TRUE)</f>
        <v>43265</v>
      </c>
      <c r="F49" s="40"/>
      <c r="G49" s="40"/>
      <c r="H49" s="57">
        <f>_xll.qlCalendarAdvance(Calendar,SettlementDate,D49,"MF",TRUE)</f>
        <v>43173</v>
      </c>
      <c r="I49" s="40" t="b">
        <v>1</v>
      </c>
      <c r="J49" s="84"/>
      <c r="K49" s="143" t="b">
        <v>0</v>
      </c>
      <c r="L49" s="83" t="b">
        <f t="shared" si="1"/>
        <v>0</v>
      </c>
      <c r="M49" s="40" t="b">
        <f t="shared" si="2"/>
        <v>0</v>
      </c>
      <c r="N49" s="40" t="b">
        <v>0</v>
      </c>
      <c r="O49" s="24">
        <f>_xll.qlInterpolationInterpolate($O$22,$H49,TRUE,_xll.ohTrigger($Y$23:$Y$52))</f>
        <v>-2.6032375812056065E-2</v>
      </c>
      <c r="P49" s="40">
        <f t="shared" si="6"/>
        <v>2.6032375812056065E-2</v>
      </c>
      <c r="Q49" s="198">
        <f>_xll.qlDayCounterYearFraction(DayCounter,H49,E49)</f>
        <v>0.25555555555555554</v>
      </c>
      <c r="R49" s="40">
        <f t="shared" si="7"/>
        <v>0.993347281736919</v>
      </c>
      <c r="S49" s="206">
        <f t="shared" si="15"/>
        <v>0</v>
      </c>
      <c r="T49" s="209">
        <f t="shared" si="17"/>
        <v>0</v>
      </c>
      <c r="U49" s="131" t="e">
        <v>#N/A</v>
      </c>
      <c r="V49" s="132" t="e">
        <f>_xll.qlInterpolationInterpolate(ExtFwdInterpolator,U49,TRUE,ISERROR($AB$23:$AB$52))</f>
        <v>#NUM!</v>
      </c>
      <c r="X49" t="str">
        <f>_xll.qlSimpleQuote(,,,,EvaluationDate)</f>
        <v>obj_00610#0010</v>
      </c>
      <c r="Y49" s="323">
        <f>_xll.qlSimpleQuoteSetValue(X49,J49)</f>
        <v>0</v>
      </c>
      <c r="AA49" t="str">
        <f>_xll.qlSimpleQuote(,,,,EvaluationDate)</f>
        <v>obj_005df#0010</v>
      </c>
      <c r="AB49" s="323" t="e">
        <f>_xll.qlSimpleQuoteSetValue(AA49,S49)</f>
        <v>#N/A</v>
      </c>
    </row>
    <row r="50" spans="1:30" x14ac:dyDescent="0.2">
      <c r="A50" s="121">
        <v>51</v>
      </c>
      <c r="B50" s="213" t="str">
        <f t="shared" si="12"/>
        <v>51x54F</v>
      </c>
      <c r="C50" s="83"/>
      <c r="D50" s="205" t="str">
        <f t="shared" si="16"/>
        <v>51M</v>
      </c>
      <c r="E50" s="211">
        <f>_xll.qlCalendarAdvance(Calendar,H50,$A$21,"Modified Following",TRUE)</f>
        <v>43357</v>
      </c>
      <c r="F50" s="40"/>
      <c r="G50" s="40"/>
      <c r="H50" s="57">
        <f>_xll.qlCalendarAdvance(Calendar,SettlementDate,D50,"MF",TRUE)</f>
        <v>43265</v>
      </c>
      <c r="I50" s="40" t="b">
        <v>1</v>
      </c>
      <c r="J50" s="84"/>
      <c r="K50" s="143" t="b">
        <v>0</v>
      </c>
      <c r="L50" s="83" t="b">
        <f t="shared" si="1"/>
        <v>0</v>
      </c>
      <c r="M50" s="40" t="b">
        <f t="shared" si="2"/>
        <v>0</v>
      </c>
      <c r="N50" s="40" t="b">
        <v>0</v>
      </c>
      <c r="O50" s="24">
        <f>_xll.qlInterpolationInterpolate($O$22,$H50,TRUE,_xll.ohTrigger($Y$23:$Y$52))</f>
        <v>-3.738741765136766E-2</v>
      </c>
      <c r="P50" s="40">
        <f t="shared" si="6"/>
        <v>3.738741765136766E-2</v>
      </c>
      <c r="Q50" s="198">
        <f>_xll.qlDayCounterYearFraction(DayCounter,H50,E50)</f>
        <v>0.25555555555555554</v>
      </c>
      <c r="R50" s="40">
        <f t="shared" si="7"/>
        <v>0.9904454377113171</v>
      </c>
      <c r="S50" s="206">
        <f t="shared" si="15"/>
        <v>0</v>
      </c>
      <c r="T50" s="209">
        <f t="shared" si="17"/>
        <v>0</v>
      </c>
      <c r="U50" s="131" t="e">
        <v>#N/A</v>
      </c>
      <c r="V50" s="132" t="e">
        <f>_xll.qlInterpolationInterpolate(ExtFwdInterpolator,U50,TRUE,ISERROR($AB$23:$AB$52))</f>
        <v>#NUM!</v>
      </c>
      <c r="X50" t="str">
        <f>_xll.qlSimpleQuote(,,,,EvaluationDate)</f>
        <v>obj_0062a#0010</v>
      </c>
      <c r="Y50" s="323">
        <f>_xll.qlSimpleQuoteSetValue(X50,J50)</f>
        <v>0</v>
      </c>
      <c r="AA50" t="str">
        <f>_xll.qlSimpleQuote(,,,,EvaluationDate)</f>
        <v>obj_005e6#0010</v>
      </c>
      <c r="AB50" s="323" t="e">
        <f>_xll.qlSimpleQuoteSetValue(AA50,S50)</f>
        <v>#N/A</v>
      </c>
    </row>
    <row r="51" spans="1:30" x14ac:dyDescent="0.2">
      <c r="A51" s="121">
        <v>54</v>
      </c>
      <c r="B51" s="213" t="str">
        <f t="shared" si="12"/>
        <v>54x57F</v>
      </c>
      <c r="C51" s="83"/>
      <c r="D51" s="205" t="str">
        <f t="shared" si="16"/>
        <v>54M</v>
      </c>
      <c r="E51" s="211">
        <f>_xll.qlCalendarAdvance(Calendar,H51,$A$21,"Modified Following",TRUE)</f>
        <v>43448</v>
      </c>
      <c r="F51" s="40"/>
      <c r="G51" s="40"/>
      <c r="H51" s="57">
        <f>_xll.qlCalendarAdvance(Calendar,SettlementDate,D51,"MF",TRUE)</f>
        <v>43357</v>
      </c>
      <c r="I51" s="40" t="b">
        <v>1</v>
      </c>
      <c r="J51" s="84"/>
      <c r="K51" s="143" t="b">
        <v>0</v>
      </c>
      <c r="L51" s="83" t="b">
        <f t="shared" si="1"/>
        <v>0</v>
      </c>
      <c r="M51" s="40" t="b">
        <f t="shared" si="2"/>
        <v>0</v>
      </c>
      <c r="N51" s="40" t="b">
        <v>0</v>
      </c>
      <c r="O51" s="24">
        <f>_xll.qlInterpolationInterpolate($O$22,$H51,TRUE,_xll.ohTrigger($Y$23:$Y$52))</f>
        <v>-5.1140473447345999E-2</v>
      </c>
      <c r="P51" s="40">
        <f t="shared" si="6"/>
        <v>5.1140473447345999E-2</v>
      </c>
      <c r="Q51" s="198">
        <f>_xll.qlDayCounterYearFraction(DayCounter,H51,E51)</f>
        <v>0.25277777777777777</v>
      </c>
      <c r="R51" s="40">
        <f t="shared" si="7"/>
        <v>0.98707282476747638</v>
      </c>
      <c r="S51" s="206">
        <f t="shared" si="15"/>
        <v>0</v>
      </c>
      <c r="T51" s="209">
        <f t="shared" si="17"/>
        <v>0</v>
      </c>
      <c r="U51" s="131" t="e">
        <v>#N/A</v>
      </c>
      <c r="V51" s="132" t="e">
        <f>_xll.qlInterpolationInterpolate(ExtFwdInterpolator,U51,TRUE,ISERROR($AB$23:$AB$52))</f>
        <v>#NUM!</v>
      </c>
      <c r="X51" t="str">
        <f>_xll.qlSimpleQuote(,,,,EvaluationDate)</f>
        <v>obj_005e7#0010</v>
      </c>
      <c r="Y51" s="323">
        <f>_xll.qlSimpleQuoteSetValue(X51,J51)</f>
        <v>0</v>
      </c>
      <c r="AA51" t="str">
        <f>_xll.qlSimpleQuote(,,,,EvaluationDate)</f>
        <v>obj_005d3#0010</v>
      </c>
      <c r="AB51" s="323" t="e">
        <f>_xll.qlSimpleQuoteSetValue(AA51,S51)</f>
        <v>#N/A</v>
      </c>
    </row>
    <row r="52" spans="1:30" x14ac:dyDescent="0.2">
      <c r="A52" s="121">
        <v>57</v>
      </c>
      <c r="B52" s="213" t="str">
        <f t="shared" si="12"/>
        <v>57x60F</v>
      </c>
      <c r="C52" s="83"/>
      <c r="D52" s="205" t="str">
        <f t="shared" si="16"/>
        <v>57M</v>
      </c>
      <c r="E52" s="211">
        <f>_xll.qlCalendarAdvance(Calendar,H52,$A$21,"Modified Following",TRUE)</f>
        <v>43538</v>
      </c>
      <c r="F52" s="40"/>
      <c r="G52" s="40"/>
      <c r="H52" s="57">
        <f>_xll.qlCalendarAdvance(Calendar,SettlementDate,D52,"MF",TRUE)</f>
        <v>43448</v>
      </c>
      <c r="I52" s="40" t="b">
        <v>1</v>
      </c>
      <c r="J52" s="326"/>
      <c r="K52" s="143" t="b">
        <v>0</v>
      </c>
      <c r="L52" s="83" t="b">
        <f t="shared" si="1"/>
        <v>0</v>
      </c>
      <c r="M52" s="40" t="b">
        <f t="shared" si="2"/>
        <v>0</v>
      </c>
      <c r="N52" s="40" t="b">
        <v>0</v>
      </c>
      <c r="O52" s="35">
        <f>_xll.qlInterpolationInterpolate($O$22,$H52,TRUE,_xll.ohTrigger($Y$23:$Y$52))</f>
        <v>-6.7318912381668358E-2</v>
      </c>
      <c r="P52" s="40">
        <f t="shared" si="6"/>
        <v>6.7318912381668358E-2</v>
      </c>
      <c r="Q52" s="198">
        <f>_xll.qlDayCounterYearFraction(DayCounter,H52,E52)</f>
        <v>0.25</v>
      </c>
      <c r="R52" s="40">
        <f t="shared" si="7"/>
        <v>0.98317027190458295</v>
      </c>
      <c r="S52" s="206">
        <f t="shared" si="15"/>
        <v>0</v>
      </c>
      <c r="T52" s="209">
        <f t="shared" si="17"/>
        <v>0</v>
      </c>
      <c r="U52" s="131" t="e">
        <v>#N/A</v>
      </c>
      <c r="V52" s="132" t="e">
        <f>_xll.qlInterpolationInterpolate(ExtFwdInterpolator,U52,TRUE,ISERROR($AB$23:$AB$52))</f>
        <v>#NUM!</v>
      </c>
      <c r="X52" t="str">
        <f>_xll.qlSimpleQuote(,,,,EvaluationDate)</f>
        <v>obj_005bf#0010</v>
      </c>
      <c r="Y52" s="323">
        <f>_xll.qlSimpleQuoteSetValue(X52,J52)</f>
        <v>0</v>
      </c>
      <c r="AA52" t="str">
        <f>_xll.qlSimpleQuote(,,,,EvaluationDate)</f>
        <v>obj_005e5#0010</v>
      </c>
      <c r="AB52" s="323" t="e">
        <f>_xll.qlSimpleQuoteSetValue(AA52,S52)</f>
        <v>#N/A</v>
      </c>
    </row>
    <row r="53" spans="1:30" x14ac:dyDescent="0.2">
      <c r="B53" s="327">
        <f>_xll.ohTrigger(B23:B52,EvaluationDate)</f>
        <v>10</v>
      </c>
      <c r="C53" s="327">
        <f>_xll.ohTrigger(C23:C52,EvaluationDate)</f>
        <v>10</v>
      </c>
      <c r="D53" s="327">
        <f>_xll.ohTrigger(D23:D52,EvaluationDate)</f>
        <v>10</v>
      </c>
      <c r="E53" s="327">
        <f>_xll.ohTrigger(E23:E52,EvaluationDate)</f>
        <v>10</v>
      </c>
      <c r="F53" s="327">
        <f>_xll.ohTrigger(F23:F52,EvaluationDate)</f>
        <v>11</v>
      </c>
      <c r="G53" s="327">
        <f>_xll.ohTrigger(G23:G52,EvaluationDate)</f>
        <v>11</v>
      </c>
      <c r="H53" s="327">
        <f>_xll.ohTrigger(H23:H52,EvaluationDate)</f>
        <v>9</v>
      </c>
      <c r="I53" s="327">
        <f>_xll.ohTrigger(I23:I52,EvaluationDate)</f>
        <v>9</v>
      </c>
      <c r="J53" s="327">
        <f>_xll.ohTrigger(J23:J52,EvaluationDate)</f>
        <v>11</v>
      </c>
      <c r="K53" s="327">
        <f>_xll.ohTrigger(K23:K52,EvaluationDate)</f>
        <v>9</v>
      </c>
      <c r="L53" s="327">
        <f>_xll.ohTrigger(L23:L52,EvaluationDate)</f>
        <v>9</v>
      </c>
      <c r="M53" s="327">
        <f>_xll.ohTrigger(M23:M52,EvaluationDate)</f>
        <v>9</v>
      </c>
      <c r="N53" s="327">
        <f>_xll.ohTrigger(N23:N52,EvaluationDate)</f>
        <v>9</v>
      </c>
      <c r="O53" s="11">
        <f>_xll.ohTrigger(O23:O52,EvaluationDate)</f>
        <v>9</v>
      </c>
      <c r="P53" s="327">
        <f>_xll.ohTrigger(P23:P52,EvaluationDate)</f>
        <v>9</v>
      </c>
      <c r="Q53" s="327">
        <f>_xll.ohTrigger(Q23:Q52,EvaluationDate)</f>
        <v>9</v>
      </c>
      <c r="R53" s="327">
        <f>_xll.ohTrigger(R23:R52,EvaluationDate)</f>
        <v>9</v>
      </c>
      <c r="S53" s="327">
        <f>_xll.ohTrigger(S23:S52,EvaluationDate)</f>
        <v>11</v>
      </c>
      <c r="T53" s="327">
        <f>_xll.ohTrigger(T23:T52,EvaluationDate)</f>
        <v>11</v>
      </c>
      <c r="U53" s="327">
        <f>_xll.ohTrigger(U23:U52,EvaluationDate)</f>
        <v>9</v>
      </c>
      <c r="V53" s="327">
        <f>_xll.ohTrigger(V23:V52,EvaluationDate)</f>
        <v>11</v>
      </c>
      <c r="X53" s="327">
        <f>_xll.ohTrigger(X23:X52,EvaluationDate)</f>
        <v>10</v>
      </c>
      <c r="Y53" s="327">
        <f>_xll.ohTrigger(Y23:Y52,EvaluationDate)</f>
        <v>11</v>
      </c>
      <c r="AA53" s="327">
        <f>_xll.ohTrigger(AA23:AA52,EvaluationDate)</f>
        <v>10</v>
      </c>
      <c r="AB53" s="327">
        <f>_xll.ohTrigger(AB23:AB52,EvaluationDate)</f>
        <v>11</v>
      </c>
      <c r="AC53" s="11"/>
      <c r="AD53" s="11"/>
    </row>
    <row r="54" spans="1:30" x14ac:dyDescent="0.2">
      <c r="I54" s="39"/>
    </row>
    <row r="55" spans="1:30" x14ac:dyDescent="0.2">
      <c r="I55" s="39"/>
    </row>
    <row r="56" spans="1:30" x14ac:dyDescent="0.2">
      <c r="I56" s="39"/>
    </row>
    <row r="57" spans="1:30" x14ac:dyDescent="0.2">
      <c r="I57" s="39"/>
    </row>
    <row r="58" spans="1:30" x14ac:dyDescent="0.2">
      <c r="I58" s="39"/>
    </row>
  </sheetData>
  <phoneticPr fontId="0" type="noConversion"/>
  <pageMargins left="0.75" right="0.75" top="1" bottom="1" header="0.5" footer="0.5"/>
  <pageSetup paperSize="9" orientation="portrait" r:id="rId1"/>
  <headerFooter alignWithMargins="0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B52"/>
  <sheetViews>
    <sheetView workbookViewId="0">
      <selection activeCell="O2" sqref="O2"/>
    </sheetView>
  </sheetViews>
  <sheetFormatPr defaultRowHeight="11.25" x14ac:dyDescent="0.2"/>
  <cols>
    <col min="1" max="1" width="13.83203125" style="225" customWidth="1"/>
    <col min="2" max="2" width="12.33203125" style="225" bestFit="1" customWidth="1"/>
    <col min="3" max="3" width="25.33203125" style="225" bestFit="1" customWidth="1"/>
    <col min="4" max="4" width="16.5" style="225" bestFit="1" customWidth="1"/>
    <col min="5" max="5" width="16.33203125" style="225" bestFit="1" customWidth="1"/>
    <col min="6" max="6" width="8.83203125" style="225" bestFit="1" customWidth="1"/>
    <col min="7" max="7" width="8.33203125" style="225" bestFit="1" customWidth="1"/>
    <col min="8" max="8" width="16.5" style="225" bestFit="1" customWidth="1"/>
    <col min="9" max="9" width="6.6640625" style="225" bestFit="1" customWidth="1"/>
    <col min="10" max="10" width="8.33203125" style="225" bestFit="1" customWidth="1"/>
    <col min="11" max="11" width="9" style="225" bestFit="1" customWidth="1"/>
    <col min="12" max="13" width="8.33203125" style="225" bestFit="1" customWidth="1"/>
    <col min="14" max="14" width="6.6640625" style="225" bestFit="1" customWidth="1"/>
    <col min="15" max="15" width="14.6640625" style="225" bestFit="1" customWidth="1"/>
    <col min="16" max="16" width="7" style="225" bestFit="1" customWidth="1"/>
    <col min="17" max="18" width="10.33203125" style="225" bestFit="1" customWidth="1"/>
    <col min="19" max="19" width="11" style="225" bestFit="1" customWidth="1"/>
    <col min="20" max="20" width="14.6640625" style="225" customWidth="1"/>
    <col min="21" max="21" width="18" style="225" bestFit="1" customWidth="1"/>
    <col min="22" max="22" width="11" style="225" bestFit="1" customWidth="1"/>
    <col min="23" max="23" width="3.83203125" style="225" customWidth="1"/>
    <col min="24" max="24" width="14.6640625" style="225" bestFit="1" customWidth="1"/>
    <col min="25" max="26" width="9.33203125" style="225"/>
    <col min="27" max="27" width="14.6640625" style="225" bestFit="1" customWidth="1"/>
    <col min="28" max="16384" width="9.33203125" style="225"/>
  </cols>
  <sheetData>
    <row r="1" spans="1:15" s="19" customFormat="1" x14ac:dyDescent="0.2">
      <c r="O1" s="121" t="s">
        <v>46</v>
      </c>
    </row>
    <row r="2" spans="1:15" s="19" customFormat="1" x14ac:dyDescent="0.2">
      <c r="O2" s="19" t="b">
        <v>0</v>
      </c>
    </row>
    <row r="3" spans="1:15" s="19" customFormat="1" x14ac:dyDescent="0.2"/>
    <row r="4" spans="1:15" s="19" customFormat="1" x14ac:dyDescent="0.2"/>
    <row r="5" spans="1:15" s="19" customFormat="1" x14ac:dyDescent="0.2"/>
    <row r="6" spans="1:15" s="19" customFormat="1" x14ac:dyDescent="0.2"/>
    <row r="7" spans="1:15" s="19" customFormat="1" x14ac:dyDescent="0.2"/>
    <row r="8" spans="1:15" s="19" customFormat="1" x14ac:dyDescent="0.2">
      <c r="A8" s="19">
        <v>3</v>
      </c>
      <c r="B8" s="19" t="str">
        <f>"AB"&amp;Months&amp;"E"&amp;A8&amp;"Y"</f>
        <v>AB6E3Y</v>
      </c>
      <c r="C8" s="19" t="str">
        <f>RateHelperPrefix&amp;$B8</f>
        <v>EUR_YC6MRH_AB6E3Y</v>
      </c>
      <c r="F8" s="222">
        <f>_xll.qlRateHelperQuoteValue(C8,SheetTrigger)</f>
        <v>6.0499999999999998E-3</v>
      </c>
    </row>
    <row r="9" spans="1:15" s="19" customFormat="1" x14ac:dyDescent="0.2">
      <c r="A9" s="19">
        <v>4</v>
      </c>
      <c r="B9" s="19" t="str">
        <f>"AB"&amp;Months&amp;"E"&amp;A9&amp;"Y"</f>
        <v>AB6E4Y</v>
      </c>
      <c r="C9" s="19" t="str">
        <f>RateHelperPrefix&amp;$B9</f>
        <v>EUR_YC6MRH_AB6E4Y</v>
      </c>
      <c r="F9" s="222">
        <f>_xll.qlRateHelperQuoteValue(C9,SheetTrigger)</f>
        <v>7.8799999999999999E-3</v>
      </c>
    </row>
    <row r="10" spans="1:15" s="19" customFormat="1" x14ac:dyDescent="0.2">
      <c r="A10" s="19">
        <v>5</v>
      </c>
      <c r="B10" s="19" t="str">
        <f>"AB"&amp;Months&amp;"E"&amp;A10&amp;"Y"</f>
        <v>AB6E5Y</v>
      </c>
      <c r="C10" s="19" t="str">
        <f>RateHelperPrefix&amp;$B10</f>
        <v>EUR_YC6MRH_AB6E5Y</v>
      </c>
      <c r="F10" s="222">
        <f>_xll.qlRateHelperQuoteValue(C10,SheetTrigger)</f>
        <v>9.8299999999999985E-3</v>
      </c>
    </row>
    <row r="11" spans="1:15" s="19" customFormat="1" x14ac:dyDescent="0.2"/>
    <row r="12" spans="1:15" s="19" customFormat="1" x14ac:dyDescent="0.2"/>
    <row r="13" spans="1:15" s="19" customFormat="1" x14ac:dyDescent="0.2"/>
    <row r="14" spans="1:15" s="19" customFormat="1" x14ac:dyDescent="0.2"/>
    <row r="15" spans="1:15" s="19" customFormat="1" x14ac:dyDescent="0.2"/>
    <row r="16" spans="1:15" s="19" customFormat="1" x14ac:dyDescent="0.2"/>
    <row r="17" spans="1:28" s="19" customFormat="1" x14ac:dyDescent="0.2"/>
    <row r="18" spans="1:28" s="19" customFormat="1" x14ac:dyDescent="0.2"/>
    <row r="19" spans="1:28" s="19" customFormat="1" x14ac:dyDescent="0.2"/>
    <row r="20" spans="1:28" x14ac:dyDescent="0.2">
      <c r="A20" s="121">
        <v>6</v>
      </c>
      <c r="B20" s="23"/>
      <c r="C20" s="19"/>
      <c r="D20" s="19"/>
      <c r="E20" s="19"/>
      <c r="F20" s="19"/>
      <c r="G20" s="23"/>
      <c r="H20" s="19"/>
      <c r="I20" s="19"/>
      <c r="J20" s="23"/>
      <c r="K20" s="19"/>
      <c r="L20" s="23"/>
      <c r="M20" s="23"/>
      <c r="N20" s="23"/>
      <c r="O20" s="38"/>
      <c r="P20" s="119" t="e">
        <f>IF(ISBLANK($O20),AVERAGE(_xll.ohFilter($P23:$P34,$L23:$L34)),$O20)</f>
        <v>#NUM!</v>
      </c>
      <c r="Q20" s="70">
        <f>'3M'!TOY_1</f>
        <v>1</v>
      </c>
      <c r="R20" s="307">
        <v>1</v>
      </c>
      <c r="S20" s="223" t="s">
        <v>20</v>
      </c>
      <c r="T20" s="224"/>
      <c r="U20" s="225" t="str">
        <f>_xll.qlInterpolation(,FwdInterpolationType,_xll.ohFilter($H23:$H45,$K23:$K45),_xll.ohFilter($AA23:$AA45,$K23:$K45))</f>
        <v>obj_00634#0009</v>
      </c>
    </row>
    <row r="21" spans="1:28" x14ac:dyDescent="0.2">
      <c r="A21" s="304" t="str">
        <f>_xll.qlPeriodEquivalent(A20&amp;"M")</f>
        <v>6M</v>
      </c>
      <c r="B21" s="224"/>
      <c r="D21" s="224"/>
      <c r="E21" s="224"/>
      <c r="G21" s="224"/>
      <c r="J21" s="224"/>
      <c r="L21" s="224"/>
      <c r="M21" s="224"/>
      <c r="N21" s="224"/>
      <c r="O21" s="227"/>
      <c r="P21" s="228" t="e">
        <f>IF(ISBLANK($O21),AVERAGE(_xll.ohFilter($P23:$P34,$M23:$M34)),$O21)</f>
        <v>#NUM!</v>
      </c>
      <c r="Q21" s="266">
        <f>'3M'!TOY_2</f>
        <v>1</v>
      </c>
      <c r="R21" s="308">
        <v>1</v>
      </c>
      <c r="S21" s="229" t="s">
        <v>25</v>
      </c>
      <c r="T21" s="224"/>
      <c r="U21" s="230" t="str">
        <f>_xll.qlInterpolation(,FwdInterpolationType,_xll.ohFilter($H23:$H39,$K23:$K39),_xll.ohFilter($AA23:$AA39,$K23:$K39))</f>
        <v>obj_00635#0009</v>
      </c>
      <c r="V21" s="223"/>
    </row>
    <row r="22" spans="1:28" x14ac:dyDescent="0.2">
      <c r="A22" s="226" t="str">
        <f>Currency&amp;"_YC"&amp;IndexTenor&amp;"RH_"</f>
        <v>EUR_YC6MRH_</v>
      </c>
      <c r="B22" s="230"/>
      <c r="C22" s="231" t="s">
        <v>12</v>
      </c>
      <c r="D22" s="232" t="s">
        <v>11</v>
      </c>
      <c r="E22" s="233" t="s">
        <v>10</v>
      </c>
      <c r="F22" s="231" t="s">
        <v>38</v>
      </c>
      <c r="G22" s="234"/>
      <c r="H22" s="233" t="s">
        <v>35</v>
      </c>
      <c r="I22" s="232" t="s">
        <v>42</v>
      </c>
      <c r="J22" s="232" t="s">
        <v>39</v>
      </c>
      <c r="K22" s="235" t="s">
        <v>43</v>
      </c>
      <c r="L22" s="232" t="s">
        <v>37</v>
      </c>
      <c r="M22" s="232" t="s">
        <v>25</v>
      </c>
      <c r="N22" s="235" t="s">
        <v>41</v>
      </c>
      <c r="O22" s="331" t="str">
        <f>_xll.qlInterpolation(,FwdInterpolationType,_xll.ohFilter($H23:$H39,$N23:$N39),_xll.ohFilter($X23:$X39,$N23:$N39))</f>
        <v>obj_00630#0009</v>
      </c>
      <c r="P22" s="236" t="s">
        <v>15</v>
      </c>
      <c r="Q22" s="237" t="s">
        <v>16</v>
      </c>
      <c r="R22" s="236" t="s">
        <v>17</v>
      </c>
      <c r="S22" s="231" t="s">
        <v>44</v>
      </c>
      <c r="T22" s="232" t="s">
        <v>15</v>
      </c>
      <c r="U22" s="238">
        <f>D23</f>
        <v>41712</v>
      </c>
      <c r="V22" s="239" t="e">
        <f>_xll.qlInterpolationInterpolate(ExtFwdInterpolator,U22,TRUE,ISERROR($AB$23:$AB$45))</f>
        <v>#NUM!</v>
      </c>
    </row>
    <row r="23" spans="1:28" x14ac:dyDescent="0.2">
      <c r="A23" s="71">
        <f>_xll.ohTrigger([0]!TriggerTOY6M,EvaluationDate)</f>
        <v>9</v>
      </c>
      <c r="B23" s="240" t="str">
        <f>IndexTenor&amp;"D"</f>
        <v>6MD</v>
      </c>
      <c r="C23" s="241" t="str">
        <f>RateHelperPrefix&amp;$B23</f>
        <v>EUR_YC6MRH_6MD</v>
      </c>
      <c r="D23" s="242">
        <f>_xll.qlRateHelperEarliestDate($C23,EvaluationDate)</f>
        <v>41712</v>
      </c>
      <c r="E23" s="242">
        <f>_xll.qlRateHelperLatestDate($C23,EvaluationDate)</f>
        <v>41897</v>
      </c>
      <c r="F23" s="243">
        <f>_xll.qlRateHelperQuoteValue($C23,SheetTrigger)</f>
        <v>4.0499999999999998E-3</v>
      </c>
      <c r="G23" s="244"/>
      <c r="H23" s="242">
        <f t="shared" ref="H23:H34" si="0">$D23</f>
        <v>41712</v>
      </c>
      <c r="I23" s="245" t="b">
        <v>1</v>
      </c>
      <c r="J23" s="246">
        <f>F23</f>
        <v>4.0499999999999998E-3</v>
      </c>
      <c r="K23" s="223" t="b">
        <f>I23</f>
        <v>1</v>
      </c>
      <c r="L23" s="241" t="b">
        <f t="shared" ref="L23:L45" si="1">NOT(OR($H23&gt;LastDayInYear,$E23&lt;=LastDayInYear))</f>
        <v>0</v>
      </c>
      <c r="M23" s="241" t="b">
        <f t="shared" ref="M23:M45" si="2">NOT(OR($H23&gt;LastDayInNextYear,$E23&lt;=LastDayInNextYear))</f>
        <v>0</v>
      </c>
      <c r="N23" s="245" t="b">
        <v>0</v>
      </c>
      <c r="O23" s="278">
        <f>_xll.qlInterpolationInterpolate($O$22,$H23,TRUE,_xll.ohTrigger($Y$23:$Y$45))</f>
        <v>4.0400000000000002E-3</v>
      </c>
      <c r="P23" s="247">
        <f t="shared" ref="P23:P45" si="3">$J23-$O23</f>
        <v>9.9999999999995925E-6</v>
      </c>
      <c r="Q23" s="248">
        <f>_xll.qlDayCounterYearFraction(DayCounter,$H23,$E23)</f>
        <v>0.51388888888888884</v>
      </c>
      <c r="R23" s="249">
        <f t="shared" ref="R23:R45" si="4">(1+$O23*$Q23)/(1+$J23*$Q23)</f>
        <v>0.9999948717842102</v>
      </c>
      <c r="S23" s="250">
        <f t="shared" ref="S23:S34" si="5">IF($L23,(TOY_1*(1+$J23*$Q23)-1)/$Q23,IF($M23,(TOY_2*(1+$J23*$Q23)-1)/$Q23,$J23))</f>
        <v>4.0499999999999998E-3</v>
      </c>
      <c r="T23" s="251">
        <f t="shared" ref="T23:T34" si="6">S23-J23</f>
        <v>0</v>
      </c>
      <c r="U23" s="252">
        <f t="array" ref="U23:U45">SelectionSort(_xll.ohFilter(H23:H45,K23:K45))</f>
        <v>41712</v>
      </c>
      <c r="V23" s="253">
        <f>_xll.qlInterpolationInterpolate(ExtFwdInterpolator,U23,TRUE,ISERROR($AB$23:$AB$45))</f>
        <v>4.0499999999999998E-3</v>
      </c>
      <c r="X23" t="str">
        <f>_xll.qlSimpleQuote(,,,,EvaluationDate)</f>
        <v>obj_0061d#0010</v>
      </c>
      <c r="Y23" s="323" t="e">
        <f>_xll.qlSimpleQuoteSetValue(X23,J23)</f>
        <v>#N/A</v>
      </c>
      <c r="Z23"/>
      <c r="AA23" t="str">
        <f>_xll.qlSimpleQuote(,,,,EvaluationDate)</f>
        <v>obj_005a3#0010</v>
      </c>
      <c r="AB23" s="323" t="e">
        <f>_xll.qlSimpleQuoteSetValue(AA23,S23)</f>
        <v>#N/A</v>
      </c>
    </row>
    <row r="24" spans="1:28" x14ac:dyDescent="0.2">
      <c r="A24" s="226" t="str">
        <f>PROPER(Currency)&amp;IF(UPPER(Currency)&lt;&gt;"EUR","L","")&amp;"ibor"&amp;IndexTenor</f>
        <v>Euribor6M</v>
      </c>
      <c r="B24" s="255" t="s">
        <v>45</v>
      </c>
      <c r="C24" s="256" t="str">
        <f>A24&amp;B24&amp;"_Quote"</f>
        <v>Euribor6MLastFixing_Quote</v>
      </c>
      <c r="D24" s="257" t="e">
        <f>_xll.qlCalendarAdvance(Calendar,_xll.qlLastFixingQuoteReferenceDate(C24,TriggerFixings),"2D","f")</f>
        <v>#NUM!</v>
      </c>
      <c r="E24" s="257" t="e">
        <f>_xll.qlCalendarAdvance(Calendar,D24,IndexTenor,"Modified Following",TRUE)</f>
        <v>#NUM!</v>
      </c>
      <c r="F24" s="258">
        <f>_xll.qlQuoteValue(C24,SheetTrigger)</f>
        <v>4.0500000000000006E-3</v>
      </c>
      <c r="G24" s="259"/>
      <c r="H24" s="260">
        <f>H23</f>
        <v>41712</v>
      </c>
      <c r="I24" s="261" t="b">
        <v>0</v>
      </c>
      <c r="J24" s="262">
        <f>F24</f>
        <v>4.0500000000000006E-3</v>
      </c>
      <c r="K24" s="229" t="b">
        <f>I24</f>
        <v>0</v>
      </c>
      <c r="L24" s="256" t="e">
        <f t="shared" si="1"/>
        <v>#NUM!</v>
      </c>
      <c r="M24" s="256" t="e">
        <f t="shared" si="2"/>
        <v>#NUM!</v>
      </c>
      <c r="N24" s="256" t="b">
        <f>IF(K24,AND(NOT($L24),NOT($M24)),FALSE)</f>
        <v>0</v>
      </c>
      <c r="O24" s="262">
        <f>_xll.qlInterpolationInterpolate($O$22,$H24,TRUE,_xll.ohTrigger($Y$23:$Y$45))</f>
        <v>4.0400000000000002E-3</v>
      </c>
      <c r="P24" s="263">
        <f>$J24-$O24</f>
        <v>1.000000000000046E-5</v>
      </c>
      <c r="Q24" s="264" t="e">
        <f>_xll.qlDayCounterYearFraction(DayCounter,$H24,$E24)</f>
        <v>#NUM!</v>
      </c>
      <c r="R24" s="265" t="e">
        <f>(1+$O24*$Q24)/(1+$J24*$Q24)</f>
        <v>#NUM!</v>
      </c>
      <c r="S24" s="266" t="e">
        <f>IF($L24,(TOY_1*(1+$J24*$Q24)-1)/$Q24,IF($M24,(TOY_2*(1+$J24*$Q24)-1)/$Q24,$J24))</f>
        <v>#NUM!</v>
      </c>
      <c r="T24" s="267" t="e">
        <f>S24-J24</f>
        <v>#NUM!</v>
      </c>
      <c r="U24" s="252">
        <v>41743</v>
      </c>
      <c r="V24" s="253" t="e">
        <f>_xll.qlInterpolationInterpolate(ExtFwdInterpolator,U24,TRUE,ISERROR($AB$23:$AB$45))</f>
        <v>#NUM!</v>
      </c>
      <c r="X24" t="str">
        <f>_xll.qlSimpleQuote(,,,,EvaluationDate)</f>
        <v>obj_005b6#0010</v>
      </c>
      <c r="Y24" s="323" t="e">
        <f>_xll.qlSimpleQuoteSetValue(X24,J24)</f>
        <v>#N/A</v>
      </c>
      <c r="Z24"/>
      <c r="AA24" t="str">
        <f>_xll.qlSimpleQuote(,,,,EvaluationDate)</f>
        <v>obj_005ca#0010</v>
      </c>
      <c r="AB24" s="323" t="e">
        <f>_xll.qlSimpleQuoteSetValue(AA24,S24)</f>
        <v>#NUM!</v>
      </c>
    </row>
    <row r="25" spans="1:28" x14ac:dyDescent="0.2">
      <c r="A25" s="226"/>
      <c r="B25" s="230" t="str">
        <f>"T"&amp;$A$20&amp;"F1"</f>
        <v>T6F1</v>
      </c>
      <c r="C25" s="230" t="str">
        <f>RateHelperPrefix&amp;$B25</f>
        <v>EUR_YC6MRH_T6F1</v>
      </c>
      <c r="D25" s="242">
        <f>_xll.qlRateHelperEarliestDate($C25,EvaluationDate)</f>
        <v>41712</v>
      </c>
      <c r="E25" s="242">
        <f>_xll.qlRateHelperLatestDate($C25,EvaluationDate)</f>
        <v>41897</v>
      </c>
      <c r="F25" s="243" t="e">
        <f>_xll.qlRateHelperQuoteValue($C25,SheetTrigger)</f>
        <v>#NUM!</v>
      </c>
      <c r="G25" s="241"/>
      <c r="H25" s="242">
        <f>$D25</f>
        <v>41712</v>
      </c>
      <c r="I25" s="245" t="b">
        <v>0</v>
      </c>
      <c r="J25" s="246"/>
      <c r="K25" s="223" t="b">
        <f>I25</f>
        <v>0</v>
      </c>
      <c r="L25" s="241" t="b">
        <f>NOT(OR($H25&gt;LastDayInYear,$E25&lt;=LastDayInYear))</f>
        <v>0</v>
      </c>
      <c r="M25" s="241" t="b">
        <f>NOT(OR($H25&gt;LastDayInNextYear,$E25&lt;=LastDayInNextYear))</f>
        <v>0</v>
      </c>
      <c r="N25" s="241" t="b">
        <f>IF(K25,AND(NOT($L25),NOT($M25)),FALSE)</f>
        <v>0</v>
      </c>
      <c r="O25" s="278">
        <f>_xll.qlInterpolationInterpolate($O$22,$H25,TRUE,_xll.ohTrigger($Y$23:$Y$45))</f>
        <v>4.0400000000000002E-3</v>
      </c>
      <c r="P25" s="247">
        <f>$J25-$O25</f>
        <v>-4.0400000000000002E-3</v>
      </c>
      <c r="Q25" s="248">
        <f>_xll.qlDayCounterYearFraction(DayCounter,$H25,$E25)</f>
        <v>0.51388888888888884</v>
      </c>
      <c r="R25" s="249">
        <f>(1+$O25*$Q25)/(1+$J25*$Q25)</f>
        <v>1.0020761111111112</v>
      </c>
      <c r="S25" s="250">
        <f>IF($L25,(TOY_1*(1+$J25*$Q25)-1)/$Q25,IF($M25,(TOY_2*(1+$J25*$Q25)-1)/$Q25,$J25))</f>
        <v>0</v>
      </c>
      <c r="T25" s="251">
        <f>S25-J25</f>
        <v>0</v>
      </c>
      <c r="U25" s="252">
        <v>41773</v>
      </c>
      <c r="V25" s="253" t="e">
        <f>_xll.qlInterpolationInterpolate(ExtFwdInterpolator,U25,TRUE,ISERROR($AB$23:$AB$45))</f>
        <v>#NUM!</v>
      </c>
      <c r="X25" t="str">
        <f>_xll.qlSimpleQuote(,,,,EvaluationDate)</f>
        <v>obj_005c8#0010</v>
      </c>
      <c r="Y25" s="323">
        <f>_xll.qlSimpleQuoteSetValue(X25,J25)</f>
        <v>0</v>
      </c>
      <c r="Z25"/>
      <c r="AA25" t="str">
        <f>_xll.qlSimpleQuote(,,,,EvaluationDate)</f>
        <v>obj_005ba#0010</v>
      </c>
      <c r="AB25" s="323" t="e">
        <f>_xll.qlSimpleQuoteSetValue(AA25,S25)</f>
        <v>#N/A</v>
      </c>
    </row>
    <row r="26" spans="1:28" x14ac:dyDescent="0.2">
      <c r="A26" s="226"/>
      <c r="B26" s="227" t="str">
        <f>"TOM"&amp;$A$20&amp;"F1"</f>
        <v>TOM6F1</v>
      </c>
      <c r="C26" s="227" t="str">
        <f>RateHelperPrefix&amp;$B26</f>
        <v>EUR_YC6MRH_TOM6F1</v>
      </c>
      <c r="D26" s="260">
        <f>_xll.qlRateHelperEarliestDate($C26,EvaluationDate)</f>
        <v>41715</v>
      </c>
      <c r="E26" s="260">
        <f>_xll.qlRateHelperLatestDate($C26,EvaluationDate)</f>
        <v>41899</v>
      </c>
      <c r="F26" s="258" t="e">
        <f>_xll.qlRateHelperQuoteValue($C26,SheetTrigger)</f>
        <v>#NUM!</v>
      </c>
      <c r="G26" s="256"/>
      <c r="H26" s="260">
        <f>$D26</f>
        <v>41715</v>
      </c>
      <c r="I26" s="261" t="b">
        <v>1</v>
      </c>
      <c r="J26" s="262"/>
      <c r="K26" s="229" t="b">
        <v>0</v>
      </c>
      <c r="L26" s="256" t="b">
        <f>NOT(OR($H26&gt;LastDayInYear,$E26&lt;=LastDayInYear))</f>
        <v>0</v>
      </c>
      <c r="M26" s="256" t="b">
        <f>NOT(OR($H26&gt;LastDayInNextYear,$E26&lt;=LastDayInNextYear))</f>
        <v>0</v>
      </c>
      <c r="N26" s="256" t="b">
        <f>IF(K26,AND(NOT($L26),NOT($M26)),FALSE)</f>
        <v>0</v>
      </c>
      <c r="O26" s="262">
        <f>_xll.qlInterpolationInterpolate($O$22,$H26,TRUE,_xll.ohTrigger($Y$23:$Y$45))</f>
        <v>4.0400000000000002E-3</v>
      </c>
      <c r="P26" s="263">
        <f>$J26-$O26</f>
        <v>-4.0400000000000002E-3</v>
      </c>
      <c r="Q26" s="264">
        <f>_xll.qlDayCounterYearFraction(DayCounter,$H26,$E26)</f>
        <v>0.51111111111111107</v>
      </c>
      <c r="R26" s="265">
        <f>(1+$O26*$Q26)/(1+$J26*$Q26)</f>
        <v>1.0020648888888888</v>
      </c>
      <c r="S26" s="266">
        <f>IF($L26,(TOY_1*(1+$J26*$Q26)-1)/$Q26,IF($M26,(TOY_2*(1+$J26*$Q26)-1)/$Q26,$J26))</f>
        <v>0</v>
      </c>
      <c r="T26" s="267">
        <f>S26-J26</f>
        <v>0</v>
      </c>
      <c r="U26" s="252">
        <v>41806</v>
      </c>
      <c r="V26" s="253" t="e">
        <f>_xll.qlInterpolationInterpolate(ExtFwdInterpolator,U26,TRUE,ISERROR($AB$23:$AB$45))</f>
        <v>#NUM!</v>
      </c>
      <c r="X26" t="str">
        <f>_xll.qlSimpleQuote(,,,,EvaluationDate)</f>
        <v>obj_005bc#0010</v>
      </c>
      <c r="Y26" s="323">
        <f>_xll.qlSimpleQuoteSetValue(X26,J26)</f>
        <v>0</v>
      </c>
      <c r="Z26"/>
      <c r="AA26" t="str">
        <f>_xll.qlSimpleQuote(,,,,EvaluationDate)</f>
        <v>obj_005b8#0010</v>
      </c>
      <c r="AB26" s="323" t="e">
        <f>_xll.qlSimpleQuoteSetValue(AA26,S26)</f>
        <v>#N/A</v>
      </c>
    </row>
    <row r="27" spans="1:28" x14ac:dyDescent="0.2">
      <c r="A27" s="273">
        <v>1</v>
      </c>
      <c r="B27" s="230" t="str">
        <f>A27&amp;"x"&amp;(A27+$A$20)&amp;"F"</f>
        <v>1x7F</v>
      </c>
      <c r="C27" s="230" t="str">
        <f t="shared" ref="C27:C34" si="7">RateHelperPrefix&amp;$B27</f>
        <v>EUR_YC6MRH_1x7F</v>
      </c>
      <c r="D27" s="242">
        <f>_xll.qlRateHelperEarliestDate($C27,EvaluationDate)</f>
        <v>41743</v>
      </c>
      <c r="E27" s="242">
        <f>_xll.qlRateHelperLatestDate($C27,EvaluationDate)</f>
        <v>41926</v>
      </c>
      <c r="F27" s="243">
        <f>_xll.qlRateHelperQuoteValue($C27,SheetTrigger)</f>
        <v>4.0400000000000002E-3</v>
      </c>
      <c r="G27" s="274"/>
      <c r="H27" s="242">
        <f t="shared" si="0"/>
        <v>41743</v>
      </c>
      <c r="I27" s="242" t="b">
        <v>1</v>
      </c>
      <c r="J27" s="246">
        <f t="shared" ref="J27:J34" si="8">F27</f>
        <v>4.0400000000000002E-3</v>
      </c>
      <c r="K27" s="271" t="b">
        <f>I27</f>
        <v>1</v>
      </c>
      <c r="L27" s="241" t="b">
        <f t="shared" si="1"/>
        <v>0</v>
      </c>
      <c r="M27" s="241" t="b">
        <f t="shared" si="2"/>
        <v>0</v>
      </c>
      <c r="N27" s="241" t="b">
        <f t="shared" ref="N27:N39" si="9">IF(K27,AND(NOT($L27),NOT($M27)),FALSE)</f>
        <v>1</v>
      </c>
      <c r="O27" s="278">
        <f>_xll.qlInterpolationInterpolate($O$22,$H27,TRUE,_xll.ohTrigger($Y$23:$Y$45))</f>
        <v>4.0400000000000002E-3</v>
      </c>
      <c r="P27" s="247">
        <f t="shared" si="3"/>
        <v>0</v>
      </c>
      <c r="Q27" s="248">
        <f>_xll.qlDayCounterYearFraction(DayCounter,$H27,$E27)</f>
        <v>0.5083333333333333</v>
      </c>
      <c r="R27" s="275">
        <f t="shared" si="4"/>
        <v>1</v>
      </c>
      <c r="S27" s="254">
        <f t="shared" si="5"/>
        <v>4.0400000000000002E-3</v>
      </c>
      <c r="T27" s="251">
        <f t="shared" si="6"/>
        <v>0</v>
      </c>
      <c r="U27" s="252">
        <v>41834</v>
      </c>
      <c r="V27" s="253" t="e">
        <f>_xll.qlInterpolationInterpolate(ExtFwdInterpolator,U27,TRUE,ISERROR($AB$23:$AB$45))</f>
        <v>#NUM!</v>
      </c>
      <c r="X27" t="str">
        <f>_xll.qlSimpleQuote(,,,,EvaluationDate)</f>
        <v>obj_005f8#0010</v>
      </c>
      <c r="Y27" s="323" t="e">
        <f>_xll.qlSimpleQuoteSetValue(X27,J27)</f>
        <v>#N/A</v>
      </c>
      <c r="Z27"/>
      <c r="AA27" t="str">
        <f>_xll.qlSimpleQuote(,,,,EvaluationDate)</f>
        <v>obj_005d6#0010</v>
      </c>
      <c r="AB27" s="323" t="e">
        <f>_xll.qlSimpleQuoteSetValue(AA27,S27)</f>
        <v>#N/A</v>
      </c>
    </row>
    <row r="28" spans="1:28" x14ac:dyDescent="0.2">
      <c r="A28" s="273">
        <v>2</v>
      </c>
      <c r="B28" s="268" t="str">
        <f t="shared" ref="B28:B34" si="10">A28&amp;"x"&amp;(A28+$A$20)&amp;"F"</f>
        <v>2x8F</v>
      </c>
      <c r="C28" s="268" t="str">
        <f t="shared" si="7"/>
        <v>EUR_YC6MRH_2x8F</v>
      </c>
      <c r="D28" s="271">
        <f>_xll.qlRateHelperEarliestDate($C28,EvaluationDate)</f>
        <v>41773</v>
      </c>
      <c r="E28" s="271">
        <f>_xll.qlRateHelperLatestDate($C28,EvaluationDate)</f>
        <v>41957</v>
      </c>
      <c r="F28" s="276">
        <f>_xll.qlRateHelperQuoteValue($C28,SheetTrigger)</f>
        <v>4.0400000000000002E-3</v>
      </c>
      <c r="G28" s="277"/>
      <c r="H28" s="271">
        <f t="shared" si="0"/>
        <v>41773</v>
      </c>
      <c r="I28" s="271" t="b">
        <v>1</v>
      </c>
      <c r="J28" s="278">
        <f t="shared" si="8"/>
        <v>4.0400000000000002E-3</v>
      </c>
      <c r="K28" s="271" t="b">
        <f t="shared" ref="K28:K34" si="11">I28</f>
        <v>1</v>
      </c>
      <c r="L28" s="224" t="b">
        <f t="shared" si="1"/>
        <v>0</v>
      </c>
      <c r="M28" s="224" t="b">
        <f t="shared" si="2"/>
        <v>0</v>
      </c>
      <c r="N28" s="224" t="b">
        <f t="shared" si="9"/>
        <v>1</v>
      </c>
      <c r="O28" s="278">
        <f>_xll.qlInterpolationInterpolate($O$22,$H28,TRUE,_xll.ohTrigger($Y$23:$Y$45))</f>
        <v>4.0400000000000002E-3</v>
      </c>
      <c r="P28" s="280">
        <f t="shared" si="3"/>
        <v>0</v>
      </c>
      <c r="Q28" s="281">
        <f>_xll.qlDayCounterYearFraction(DayCounter,$H28,$E28)</f>
        <v>0.51111111111111107</v>
      </c>
      <c r="R28" s="282">
        <f t="shared" si="4"/>
        <v>1</v>
      </c>
      <c r="S28" s="269">
        <f t="shared" si="5"/>
        <v>4.0400000000000002E-3</v>
      </c>
      <c r="T28" s="283">
        <f t="shared" si="6"/>
        <v>0</v>
      </c>
      <c r="U28" s="252">
        <v>41865</v>
      </c>
      <c r="V28" s="253" t="e">
        <f>_xll.qlInterpolationInterpolate(ExtFwdInterpolator,U28,TRUE,ISERROR($AB$23:$AB$45))</f>
        <v>#NUM!</v>
      </c>
      <c r="X28" t="str">
        <f>_xll.qlSimpleQuote(,,,,EvaluationDate)</f>
        <v>obj_005b1#0010</v>
      </c>
      <c r="Y28" s="323" t="e">
        <f>_xll.qlSimpleQuoteSetValue(X28,J28)</f>
        <v>#N/A</v>
      </c>
      <c r="Z28"/>
      <c r="AA28" t="str">
        <f>_xll.qlSimpleQuote(,,,,EvaluationDate)</f>
        <v>obj_00626#0010</v>
      </c>
      <c r="AB28" s="323" t="e">
        <f>_xll.qlSimpleQuoteSetValue(AA28,S28)</f>
        <v>#N/A</v>
      </c>
    </row>
    <row r="29" spans="1:28" x14ac:dyDescent="0.2">
      <c r="A29" s="273">
        <v>3</v>
      </c>
      <c r="B29" s="268" t="str">
        <f t="shared" si="10"/>
        <v>3x9F</v>
      </c>
      <c r="C29" s="268" t="str">
        <f t="shared" si="7"/>
        <v>EUR_YC6MRH_3x9F</v>
      </c>
      <c r="D29" s="271">
        <f>_xll.qlRateHelperEarliestDate($C29,EvaluationDate)</f>
        <v>41806</v>
      </c>
      <c r="E29" s="271">
        <f>_xll.qlRateHelperLatestDate($C29,EvaluationDate)</f>
        <v>41989</v>
      </c>
      <c r="F29" s="276">
        <f>_xll.qlRateHelperQuoteValue($C29,SheetTrigger)</f>
        <v>4.0300000000000006E-3</v>
      </c>
      <c r="G29" s="277"/>
      <c r="H29" s="271">
        <f t="shared" si="0"/>
        <v>41806</v>
      </c>
      <c r="I29" s="271" t="b">
        <v>1</v>
      </c>
      <c r="J29" s="278">
        <f t="shared" si="8"/>
        <v>4.0300000000000006E-3</v>
      </c>
      <c r="K29" s="271" t="b">
        <f t="shared" si="11"/>
        <v>1</v>
      </c>
      <c r="L29" s="224" t="b">
        <f t="shared" si="1"/>
        <v>0</v>
      </c>
      <c r="M29" s="224" t="b">
        <f t="shared" si="2"/>
        <v>0</v>
      </c>
      <c r="N29" s="224" t="b">
        <f t="shared" si="9"/>
        <v>1</v>
      </c>
      <c r="O29" s="278">
        <f>_xll.qlInterpolationInterpolate($O$22,$H29,TRUE,_xll.ohTrigger($Y$23:$Y$45))</f>
        <v>4.0300000000000006E-3</v>
      </c>
      <c r="P29" s="280">
        <f t="shared" si="3"/>
        <v>0</v>
      </c>
      <c r="Q29" s="281">
        <f>_xll.qlDayCounterYearFraction(DayCounter,$H29,$E29)</f>
        <v>0.5083333333333333</v>
      </c>
      <c r="R29" s="282">
        <f t="shared" si="4"/>
        <v>1</v>
      </c>
      <c r="S29" s="269">
        <f t="shared" si="5"/>
        <v>4.0300000000000006E-3</v>
      </c>
      <c r="T29" s="283">
        <f t="shared" si="6"/>
        <v>0</v>
      </c>
      <c r="U29" s="252">
        <v>41897</v>
      </c>
      <c r="V29" s="253" t="e">
        <f>_xll.qlInterpolationInterpolate(ExtFwdInterpolator,U29,TRUE,ISERROR($AB$23:$AB$45))</f>
        <v>#NUM!</v>
      </c>
      <c r="X29" t="str">
        <f>_xll.qlSimpleQuote(,,,,EvaluationDate)</f>
        <v>obj_005f9#0010</v>
      </c>
      <c r="Y29" s="323" t="e">
        <f>_xll.qlSimpleQuoteSetValue(X29,J29)</f>
        <v>#N/A</v>
      </c>
      <c r="Z29"/>
      <c r="AA29" t="str">
        <f>_xll.qlSimpleQuote(,,,,EvaluationDate)</f>
        <v>obj_005e9#0010</v>
      </c>
      <c r="AB29" s="323" t="e">
        <f>_xll.qlSimpleQuoteSetValue(AA29,S29)</f>
        <v>#N/A</v>
      </c>
    </row>
    <row r="30" spans="1:28" x14ac:dyDescent="0.2">
      <c r="A30" s="273">
        <v>4</v>
      </c>
      <c r="B30" s="268" t="str">
        <f t="shared" si="10"/>
        <v>4x10F</v>
      </c>
      <c r="C30" s="268" t="str">
        <f t="shared" si="7"/>
        <v>EUR_YC6MRH_4x10F</v>
      </c>
      <c r="D30" s="271">
        <f>_xll.qlRateHelperEarliestDate($C30,EvaluationDate)</f>
        <v>41834</v>
      </c>
      <c r="E30" s="271">
        <f>_xll.qlRateHelperLatestDate($C30,EvaluationDate)</f>
        <v>42018</v>
      </c>
      <c r="F30" s="276">
        <f>_xll.qlRateHelperQuoteValue($C30,SheetTrigger)</f>
        <v>4.0600000000000002E-3</v>
      </c>
      <c r="G30" s="277"/>
      <c r="H30" s="271">
        <f t="shared" si="0"/>
        <v>41834</v>
      </c>
      <c r="I30" s="271" t="b">
        <v>1</v>
      </c>
      <c r="J30" s="278">
        <f t="shared" si="8"/>
        <v>4.0600000000000002E-3</v>
      </c>
      <c r="K30" s="271" t="b">
        <f t="shared" si="11"/>
        <v>1</v>
      </c>
      <c r="L30" s="224" t="b">
        <f t="shared" si="1"/>
        <v>1</v>
      </c>
      <c r="M30" s="224" t="b">
        <f t="shared" si="2"/>
        <v>0</v>
      </c>
      <c r="N30" s="224" t="b">
        <f t="shared" si="9"/>
        <v>0</v>
      </c>
      <c r="O30" s="278">
        <f>_xll.qlInterpolationInterpolate($O$22,$H30,TRUE,_xll.ohTrigger($Y$23:$Y$45))</f>
        <v>4.0411634644941736E-3</v>
      </c>
      <c r="P30" s="280">
        <f t="shared" si="3"/>
        <v>1.8836535505826688E-5</v>
      </c>
      <c r="Q30" s="281">
        <f>_xll.qlDayCounterYearFraction(DayCounter,$H30,$E30)</f>
        <v>0.51111111111111107</v>
      </c>
      <c r="R30" s="282">
        <f t="shared" si="4"/>
        <v>0.99999039237429899</v>
      </c>
      <c r="S30" s="269">
        <f t="shared" si="5"/>
        <v>4.0599999999998372E-3</v>
      </c>
      <c r="T30" s="283">
        <f t="shared" si="6"/>
        <v>-1.6306400674181987E-16</v>
      </c>
      <c r="U30" s="252">
        <v>42079</v>
      </c>
      <c r="V30" s="253" t="e">
        <f>_xll.qlInterpolationInterpolate(ExtFwdInterpolator,U30,TRUE,ISERROR($AB$23:$AB$45))</f>
        <v>#NUM!</v>
      </c>
      <c r="X30" t="str">
        <f>_xll.qlSimpleQuote(,,,,EvaluationDate)</f>
        <v>obj_005d4#0010</v>
      </c>
      <c r="Y30" s="323" t="e">
        <f>_xll.qlSimpleQuoteSetValue(X30,J30)</f>
        <v>#N/A</v>
      </c>
      <c r="Z30"/>
      <c r="AA30" t="str">
        <f>_xll.qlSimpleQuote(,,,,EvaluationDate)</f>
        <v>obj_005ae#0010</v>
      </c>
      <c r="AB30" s="323" t="e">
        <f>_xll.qlSimpleQuoteSetValue(AA30,S30)</f>
        <v>#N/A</v>
      </c>
    </row>
    <row r="31" spans="1:28" x14ac:dyDescent="0.2">
      <c r="A31" s="273">
        <v>5</v>
      </c>
      <c r="B31" s="268" t="str">
        <f t="shared" si="10"/>
        <v>5x11F</v>
      </c>
      <c r="C31" s="268" t="str">
        <f t="shared" si="7"/>
        <v>EUR_YC6MRH_5x11F</v>
      </c>
      <c r="D31" s="271">
        <f>_xll.qlRateHelperEarliestDate($C31,EvaluationDate)</f>
        <v>41865</v>
      </c>
      <c r="E31" s="271">
        <f>_xll.qlRateHelperLatestDate($C31,EvaluationDate)</f>
        <v>42051</v>
      </c>
      <c r="F31" s="276">
        <f>_xll.qlRateHelperQuoteValue($C31,SheetTrigger)</f>
        <v>4.0700000000000007E-3</v>
      </c>
      <c r="G31" s="277"/>
      <c r="H31" s="271">
        <f t="shared" si="0"/>
        <v>41865</v>
      </c>
      <c r="I31" s="271" t="b">
        <v>1</v>
      </c>
      <c r="J31" s="278">
        <f t="shared" si="8"/>
        <v>4.0700000000000007E-3</v>
      </c>
      <c r="K31" s="271" t="b">
        <f t="shared" si="11"/>
        <v>1</v>
      </c>
      <c r="L31" s="224" t="b">
        <f t="shared" si="1"/>
        <v>1</v>
      </c>
      <c r="M31" s="224" t="b">
        <f t="shared" si="2"/>
        <v>0</v>
      </c>
      <c r="N31" s="224" t="b">
        <f t="shared" si="9"/>
        <v>0</v>
      </c>
      <c r="O31" s="278">
        <f>_xll.qlInterpolationInterpolate($O$22,$H31,TRUE,_xll.ohTrigger($Y$23:$Y$45))</f>
        <v>4.0776679587219422E-3</v>
      </c>
      <c r="P31" s="280">
        <f t="shared" si="3"/>
        <v>-7.6679587219415091E-6</v>
      </c>
      <c r="Q31" s="281">
        <f>_xll.qlDayCounterYearFraction(DayCounter,$H31,$E31)</f>
        <v>0.51666666666666672</v>
      </c>
      <c r="R31" s="282">
        <f t="shared" si="4"/>
        <v>1.0000039534651948</v>
      </c>
      <c r="S31" s="269">
        <f t="shared" si="5"/>
        <v>4.0699999999998888E-3</v>
      </c>
      <c r="T31" s="283">
        <f t="shared" si="6"/>
        <v>-1.1188966420050406E-16</v>
      </c>
      <c r="U31" s="252">
        <v>42261</v>
      </c>
      <c r="V31" s="253" t="e">
        <f>_xll.qlInterpolationInterpolate(ExtFwdInterpolator,U31,TRUE,ISERROR($AB$23:$AB$45))</f>
        <v>#NUM!</v>
      </c>
      <c r="X31" t="str">
        <f>_xll.qlSimpleQuote(,,,,EvaluationDate)</f>
        <v>obj_005dd#0010</v>
      </c>
      <c r="Y31" s="323" t="e">
        <f>_xll.qlSimpleQuoteSetValue(X31,J31)</f>
        <v>#N/A</v>
      </c>
      <c r="Z31"/>
      <c r="AA31" t="str">
        <f>_xll.qlSimpleQuote(,,,,EvaluationDate)</f>
        <v>obj_005c5#0010</v>
      </c>
      <c r="AB31" s="323" t="e">
        <f>_xll.qlSimpleQuoteSetValue(AA31,S31)</f>
        <v>#N/A</v>
      </c>
    </row>
    <row r="32" spans="1:28" x14ac:dyDescent="0.2">
      <c r="A32" s="273">
        <v>6</v>
      </c>
      <c r="B32" s="268" t="str">
        <f t="shared" si="10"/>
        <v>6x12F</v>
      </c>
      <c r="C32" s="268" t="str">
        <f t="shared" si="7"/>
        <v>EUR_YC6MRH_6x12F</v>
      </c>
      <c r="D32" s="271">
        <f>_xll.qlRateHelperEarliestDate($C32,EvaluationDate)</f>
        <v>41897</v>
      </c>
      <c r="E32" s="271">
        <f>_xll.qlRateHelperLatestDate($C32,EvaluationDate)</f>
        <v>42079</v>
      </c>
      <c r="F32" s="276">
        <f>_xll.qlRateHelperQuoteValue($C32,SheetTrigger)</f>
        <v>4.0899999999999999E-3</v>
      </c>
      <c r="G32" s="277"/>
      <c r="H32" s="271">
        <f t="shared" si="0"/>
        <v>41897</v>
      </c>
      <c r="I32" s="271" t="b">
        <v>1</v>
      </c>
      <c r="J32" s="278">
        <f t="shared" si="8"/>
        <v>4.0899999999999999E-3</v>
      </c>
      <c r="K32" s="271" t="b">
        <f t="shared" si="11"/>
        <v>1</v>
      </c>
      <c r="L32" s="224" t="b">
        <f t="shared" si="1"/>
        <v>1</v>
      </c>
      <c r="M32" s="224" t="b">
        <f t="shared" si="2"/>
        <v>0</v>
      </c>
      <c r="N32" s="224" t="b">
        <f t="shared" si="9"/>
        <v>0</v>
      </c>
      <c r="O32" s="278">
        <f>_xll.qlInterpolationInterpolate($O$22,$H32,TRUE,_xll.ohTrigger($Y$23:$Y$45))</f>
        <v>4.1387361839060671E-3</v>
      </c>
      <c r="P32" s="280">
        <f t="shared" si="3"/>
        <v>-4.8736183906067203E-5</v>
      </c>
      <c r="Q32" s="281">
        <f>_xll.qlDayCounterYearFraction(DayCounter,$H32,$E32)</f>
        <v>0.50555555555555554</v>
      </c>
      <c r="R32" s="282">
        <f t="shared" si="4"/>
        <v>1.000024588007361</v>
      </c>
      <c r="S32" s="269">
        <f t="shared" si="5"/>
        <v>4.0900000000001343E-3</v>
      </c>
      <c r="T32" s="283">
        <f t="shared" si="6"/>
        <v>1.3444106938820255E-16</v>
      </c>
      <c r="U32" s="252" t="e">
        <v>#N/A</v>
      </c>
      <c r="V32" s="253" t="e">
        <f>_xll.qlInterpolationInterpolate(ExtFwdInterpolator,U32,TRUE,ISERROR($AB$23:$AB$45))</f>
        <v>#NUM!</v>
      </c>
      <c r="X32" t="str">
        <f>_xll.qlSimpleQuote(,,,,EvaluationDate)</f>
        <v>obj_005b9#0010</v>
      </c>
      <c r="Y32" s="323" t="e">
        <f>_xll.qlSimpleQuoteSetValue(X32,J32)</f>
        <v>#N/A</v>
      </c>
      <c r="Z32"/>
      <c r="AA32" t="str">
        <f>_xll.qlSimpleQuote(,,,,EvaluationDate)</f>
        <v>obj_00621#0010</v>
      </c>
      <c r="AB32" s="323" t="e">
        <f>_xll.qlSimpleQuoteSetValue(AA32,S32)</f>
        <v>#N/A</v>
      </c>
    </row>
    <row r="33" spans="1:28" x14ac:dyDescent="0.2">
      <c r="A33" s="273">
        <v>12</v>
      </c>
      <c r="B33" s="268" t="str">
        <f t="shared" si="10"/>
        <v>12x18F</v>
      </c>
      <c r="C33" s="268" t="str">
        <f t="shared" si="7"/>
        <v>EUR_YC6MRH_12x18F</v>
      </c>
      <c r="D33" s="271">
        <f>_xll.qlRateHelperEarliestDate($C33,EvaluationDate)</f>
        <v>42079</v>
      </c>
      <c r="E33" s="271">
        <f>_xll.qlRateHelperLatestDate($C33,EvaluationDate)</f>
        <v>42263</v>
      </c>
      <c r="F33" s="276">
        <f>_xll.qlRateHelperQuoteValue($C33,SheetTrigger)</f>
        <v>4.7699999999999999E-3</v>
      </c>
      <c r="G33" s="277"/>
      <c r="H33" s="271">
        <f t="shared" si="0"/>
        <v>42079</v>
      </c>
      <c r="I33" s="271" t="b">
        <v>1</v>
      </c>
      <c r="J33" s="278">
        <f t="shared" si="8"/>
        <v>4.7699999999999999E-3</v>
      </c>
      <c r="K33" s="271" t="b">
        <f t="shared" si="11"/>
        <v>1</v>
      </c>
      <c r="L33" s="224" t="b">
        <f t="shared" si="1"/>
        <v>0</v>
      </c>
      <c r="M33" s="224" t="b">
        <f t="shared" si="2"/>
        <v>0</v>
      </c>
      <c r="N33" s="224" t="b">
        <f t="shared" si="9"/>
        <v>1</v>
      </c>
      <c r="O33" s="278">
        <f>_xll.qlInterpolationInterpolate($O$22,$H33,TRUE,_xll.ohTrigger($Y$23:$Y$45))</f>
        <v>4.7699999999999999E-3</v>
      </c>
      <c r="P33" s="280">
        <f t="shared" si="3"/>
        <v>0</v>
      </c>
      <c r="Q33" s="281">
        <f>_xll.qlDayCounterYearFraction(DayCounter,$H33,$E33)</f>
        <v>0.51111111111111107</v>
      </c>
      <c r="R33" s="282">
        <f t="shared" si="4"/>
        <v>1</v>
      </c>
      <c r="S33" s="269">
        <f t="shared" si="5"/>
        <v>4.7699999999999999E-3</v>
      </c>
      <c r="T33" s="283">
        <f t="shared" si="6"/>
        <v>0</v>
      </c>
      <c r="U33" s="252" t="e">
        <v>#N/A</v>
      </c>
      <c r="V33" s="253" t="e">
        <f>_xll.qlInterpolationInterpolate(ExtFwdInterpolator,U33,TRUE,ISERROR($AB$23:$AB$45))</f>
        <v>#NUM!</v>
      </c>
      <c r="W33" s="270"/>
      <c r="X33" t="str">
        <f>_xll.qlSimpleQuote(,,,,EvaluationDate)</f>
        <v>obj_00604#0010</v>
      </c>
      <c r="Y33" s="323" t="e">
        <f>_xll.qlSimpleQuoteSetValue(X33,J33)</f>
        <v>#N/A</v>
      </c>
      <c r="Z33"/>
      <c r="AA33" t="str">
        <f>_xll.qlSimpleQuote(,,,,EvaluationDate)</f>
        <v>obj_00615#0010</v>
      </c>
      <c r="AB33" s="323" t="e">
        <f>_xll.qlSimpleQuoteSetValue(AA33,S33)</f>
        <v>#N/A</v>
      </c>
    </row>
    <row r="34" spans="1:28" x14ac:dyDescent="0.2">
      <c r="A34" s="273">
        <v>18</v>
      </c>
      <c r="B34" s="227" t="str">
        <f t="shared" si="10"/>
        <v>18x24F</v>
      </c>
      <c r="C34" s="227" t="str">
        <f t="shared" si="7"/>
        <v>EUR_YC6MRH_18x24F</v>
      </c>
      <c r="D34" s="260">
        <f>_xll.qlRateHelperEarliestDate($C34,EvaluationDate)</f>
        <v>42261</v>
      </c>
      <c r="E34" s="260">
        <f>_xll.qlRateHelperLatestDate($C34,EvaluationDate)</f>
        <v>42443</v>
      </c>
      <c r="F34" s="258">
        <f>_xll.qlRateHelperQuoteValue($C34,SheetTrigger)</f>
        <v>5.8400000000000006E-3</v>
      </c>
      <c r="G34" s="284"/>
      <c r="H34" s="260">
        <f t="shared" si="0"/>
        <v>42261</v>
      </c>
      <c r="I34" s="260" t="b">
        <v>1</v>
      </c>
      <c r="J34" s="262">
        <f t="shared" si="8"/>
        <v>5.8400000000000006E-3</v>
      </c>
      <c r="K34" s="260" t="b">
        <f t="shared" si="11"/>
        <v>1</v>
      </c>
      <c r="L34" s="256" t="b">
        <f t="shared" si="1"/>
        <v>0</v>
      </c>
      <c r="M34" s="256" t="b">
        <f t="shared" si="2"/>
        <v>1</v>
      </c>
      <c r="N34" s="256" t="b">
        <f t="shared" si="9"/>
        <v>0</v>
      </c>
      <c r="O34" s="262">
        <f>_xll.qlInterpolationInterpolate($O$22,$H34,TRUE,_xll.ohTrigger($Y$23:$Y$45))</f>
        <v>5.4227065134594393E-3</v>
      </c>
      <c r="P34" s="263">
        <f t="shared" si="3"/>
        <v>4.1729348654056132E-4</v>
      </c>
      <c r="Q34" s="264">
        <f>_xll.qlDayCounterYearFraction(DayCounter,$H34,$E34)</f>
        <v>0.50555555555555554</v>
      </c>
      <c r="R34" s="228">
        <f t="shared" si="4"/>
        <v>0.99978965598859026</v>
      </c>
      <c r="S34" s="272">
        <f t="shared" si="5"/>
        <v>5.8399999999999598E-3</v>
      </c>
      <c r="T34" s="267">
        <f t="shared" si="6"/>
        <v>-4.0766001685454967E-17</v>
      </c>
      <c r="U34" s="252" t="e">
        <v>#N/A</v>
      </c>
      <c r="V34" s="253" t="e">
        <f>_xll.qlInterpolationInterpolate(ExtFwdInterpolator,U34,TRUE,ISERROR($AB$23:$AB$45))</f>
        <v>#NUM!</v>
      </c>
      <c r="W34" s="270"/>
      <c r="X34" t="str">
        <f>_xll.qlSimpleQuote(,,,,EvaluationDate)</f>
        <v>obj_0062e#0010</v>
      </c>
      <c r="Y34" s="323" t="e">
        <f>_xll.qlSimpleQuoteSetValue(X34,J34)</f>
        <v>#N/A</v>
      </c>
      <c r="Z34"/>
      <c r="AA34" t="str">
        <f>_xll.qlSimpleQuote(,,,,EvaluationDate)</f>
        <v>obj_005c4#0010</v>
      </c>
      <c r="AB34" s="323" t="e">
        <f>_xll.qlSimpleQuoteSetValue(AA34,S34)</f>
        <v>#N/A</v>
      </c>
    </row>
    <row r="35" spans="1:28" x14ac:dyDescent="0.2">
      <c r="A35" s="225" t="b">
        <v>0</v>
      </c>
      <c r="B35" s="268" t="str">
        <f>"IMMFRA"&amp;IndexTenor&amp;_xll.qlIMMNextCodes(EvaluationDate+2,A35)</f>
        <v>IMMFRA6MH4</v>
      </c>
      <c r="C35" s="268" t="str">
        <f>RateHelperPrefix&amp;$B35</f>
        <v>EUR_YC6MRH_IMMFRA6MH4</v>
      </c>
      <c r="D35" s="271" t="e">
        <f>_xll.qlRateHelperEarliestDate($C35,EvaluationDate)</f>
        <v>#NUM!</v>
      </c>
      <c r="E35" s="271" t="e">
        <f>_xll.qlRateHelperLatestDate($C35,EvaluationDate)</f>
        <v>#NUM!</v>
      </c>
      <c r="F35" s="285"/>
      <c r="G35" s="278"/>
      <c r="H35" s="271" t="e">
        <f>$D35</f>
        <v>#NUM!</v>
      </c>
      <c r="I35" s="224" t="b">
        <f>ISNA(VLOOKUP(H35,$H$25:$H$34,1,FALSE))</f>
        <v>0</v>
      </c>
      <c r="J35" s="278"/>
      <c r="K35" s="279" t="b">
        <f>AND(I35,UseSecondSet)</f>
        <v>0</v>
      </c>
      <c r="L35" s="224" t="e">
        <f t="shared" si="1"/>
        <v>#NUM!</v>
      </c>
      <c r="M35" s="224" t="e">
        <f t="shared" si="2"/>
        <v>#NUM!</v>
      </c>
      <c r="N35" s="224" t="b">
        <f t="shared" si="9"/>
        <v>0</v>
      </c>
      <c r="O35" s="278" t="e">
        <f>_xll.qlInterpolationInterpolate($O$22,$H35,TRUE,_xll.ohTrigger($Y$23:$Y$45))</f>
        <v>#NUM!</v>
      </c>
      <c r="P35" s="280" t="e">
        <f t="shared" si="3"/>
        <v>#NUM!</v>
      </c>
      <c r="Q35" s="281" t="e">
        <f>_xll.qlDayCounterYearFraction(DayCounter,$H35,$E35)</f>
        <v>#NUM!</v>
      </c>
      <c r="R35" s="282" t="e">
        <f t="shared" si="4"/>
        <v>#NUM!</v>
      </c>
      <c r="S35" s="269" t="e">
        <f t="shared" ref="S35:S45" si="12">IF($L35,(TOY_1*(1+$J35*$Q35)-1)/$Q35,IF($M35,(TOY_2*(1+$J35*$Q35)-1)/$Q35,$J35))</f>
        <v>#NUM!</v>
      </c>
      <c r="T35" s="283" t="e">
        <f>S35-J35</f>
        <v>#NUM!</v>
      </c>
      <c r="U35" s="252" t="e">
        <v>#N/A</v>
      </c>
      <c r="V35" s="286" t="e">
        <f>_xll.qlInterpolationInterpolate(ExtFwdInterpolator,U35,TRUE,ISERROR($AB$23:$AB$45))</f>
        <v>#NUM!</v>
      </c>
      <c r="W35" s="278"/>
      <c r="X35" t="str">
        <f>_xll.qlSimpleQuote(,,,,EvaluationDate)</f>
        <v>obj_00590#0010</v>
      </c>
      <c r="Y35" s="323">
        <f>_xll.qlSimpleQuoteSetValue(X35,J35)</f>
        <v>0</v>
      </c>
      <c r="Z35"/>
      <c r="AA35" t="str">
        <f>_xll.qlSimpleQuote(,,,,EvaluationDate)</f>
        <v>obj_00592#0010</v>
      </c>
      <c r="AB35" s="323" t="e">
        <f>_xll.qlSimpleQuoteSetValue(AA35,S35)</f>
        <v>#NUM!</v>
      </c>
    </row>
    <row r="36" spans="1:28" x14ac:dyDescent="0.2">
      <c r="A36" s="225" t="b">
        <v>0</v>
      </c>
      <c r="B36" s="268" t="e">
        <f>"IMMFRA"&amp;IndexTenor&amp;_xll.qlIMMNextCodes(D35,A36)</f>
        <v>#NUM!</v>
      </c>
      <c r="C36" s="268" t="e">
        <f>RateHelperPrefix&amp;$B36</f>
        <v>#NUM!</v>
      </c>
      <c r="D36" s="271" t="e">
        <f>_xll.qlRateHelperEarliestDate($C36,EvaluationDate)</f>
        <v>#VALUE!</v>
      </c>
      <c r="E36" s="271" t="e">
        <f>_xll.qlRateHelperLatestDate($C36,EvaluationDate)</f>
        <v>#VALUE!</v>
      </c>
      <c r="F36" s="285"/>
      <c r="G36" s="278"/>
      <c r="H36" s="271" t="e">
        <f>$D36</f>
        <v>#VALUE!</v>
      </c>
      <c r="I36" s="224" t="b">
        <f>ISNA(VLOOKUP(H36,$H$25:$H$34,1,FALSE))</f>
        <v>0</v>
      </c>
      <c r="J36" s="278"/>
      <c r="K36" s="279" t="b">
        <f>AND(I36,UseSecondSet)</f>
        <v>0</v>
      </c>
      <c r="L36" s="224" t="e">
        <f t="shared" si="1"/>
        <v>#VALUE!</v>
      </c>
      <c r="M36" s="224" t="e">
        <f t="shared" si="2"/>
        <v>#VALUE!</v>
      </c>
      <c r="N36" s="224" t="b">
        <f>IF(K36,AND(NOT($L36),NOT($M36)),FALSE)</f>
        <v>0</v>
      </c>
      <c r="O36" s="278" t="e">
        <f>_xll.qlInterpolationInterpolate($O$22,$H36,TRUE,_xll.ohTrigger($Y$23:$Y$45))</f>
        <v>#NUM!</v>
      </c>
      <c r="P36" s="280" t="e">
        <f t="shared" si="3"/>
        <v>#NUM!</v>
      </c>
      <c r="Q36" s="281" t="e">
        <f>_xll.qlDayCounterYearFraction(DayCounter,$H36,$E36)</f>
        <v>#NUM!</v>
      </c>
      <c r="R36" s="282" t="e">
        <f t="shared" si="4"/>
        <v>#NUM!</v>
      </c>
      <c r="S36" s="269" t="e">
        <f t="shared" si="12"/>
        <v>#VALUE!</v>
      </c>
      <c r="T36" s="283" t="e">
        <f>S36-J36</f>
        <v>#VALUE!</v>
      </c>
      <c r="U36" s="252" t="e">
        <v>#N/A</v>
      </c>
      <c r="V36" s="286" t="e">
        <f>_xll.qlInterpolationInterpolate(ExtFwdInterpolator,U36,TRUE,ISERROR($AB$23:$AB$45))</f>
        <v>#NUM!</v>
      </c>
      <c r="W36" s="278"/>
      <c r="X36" t="str">
        <f>_xll.qlSimpleQuote(,,,,EvaluationDate)</f>
        <v>obj_00594#0010</v>
      </c>
      <c r="Y36" s="323">
        <f>_xll.qlSimpleQuoteSetValue(X36,J36)</f>
        <v>0</v>
      </c>
      <c r="Z36"/>
      <c r="AA36" t="str">
        <f>_xll.qlSimpleQuote(,,,,EvaluationDate)</f>
        <v>obj_00591#0010</v>
      </c>
      <c r="AB36" s="323" t="e">
        <f>_xll.qlSimpleQuoteSetValue(AA36,S36)</f>
        <v>#NUM!</v>
      </c>
    </row>
    <row r="37" spans="1:28" x14ac:dyDescent="0.2">
      <c r="A37" s="225" t="b">
        <v>0</v>
      </c>
      <c r="B37" s="268" t="e">
        <f>"IMMFRA"&amp;IndexTenor&amp;_xll.qlIMMNextCodes(D36,A37)</f>
        <v>#NUM!</v>
      </c>
      <c r="C37" s="268" t="e">
        <f>RateHelperPrefix&amp;$B37</f>
        <v>#NUM!</v>
      </c>
      <c r="D37" s="271" t="e">
        <f>_xll.qlRateHelperEarliestDate($C37,EvaluationDate)</f>
        <v>#VALUE!</v>
      </c>
      <c r="E37" s="271" t="e">
        <f>_xll.qlRateHelperLatestDate($C37,EvaluationDate)</f>
        <v>#VALUE!</v>
      </c>
      <c r="F37" s="285"/>
      <c r="G37" s="278"/>
      <c r="H37" s="271" t="e">
        <f>$D37</f>
        <v>#VALUE!</v>
      </c>
      <c r="I37" s="224" t="b">
        <f>ISNA(VLOOKUP(H37,$H$25:$H$34,1,FALSE))</f>
        <v>0</v>
      </c>
      <c r="J37" s="278"/>
      <c r="K37" s="279" t="b">
        <f>AND(I37,UseSecondSet)</f>
        <v>0</v>
      </c>
      <c r="L37" s="224" t="e">
        <f t="shared" si="1"/>
        <v>#VALUE!</v>
      </c>
      <c r="M37" s="224" t="e">
        <f t="shared" si="2"/>
        <v>#VALUE!</v>
      </c>
      <c r="N37" s="224" t="b">
        <f t="shared" si="9"/>
        <v>0</v>
      </c>
      <c r="O37" s="278" t="e">
        <f>_xll.qlInterpolationInterpolate($O$22,$H37,TRUE,_xll.ohTrigger($Y$23:$Y$45))</f>
        <v>#NUM!</v>
      </c>
      <c r="P37" s="280" t="e">
        <f t="shared" si="3"/>
        <v>#NUM!</v>
      </c>
      <c r="Q37" s="281" t="e">
        <f>_xll.qlDayCounterYearFraction(DayCounter,$H37,$E37)</f>
        <v>#NUM!</v>
      </c>
      <c r="R37" s="282" t="e">
        <f t="shared" si="4"/>
        <v>#NUM!</v>
      </c>
      <c r="S37" s="269" t="e">
        <f t="shared" si="12"/>
        <v>#VALUE!</v>
      </c>
      <c r="T37" s="283" t="e">
        <f>S37-J37</f>
        <v>#VALUE!</v>
      </c>
      <c r="U37" s="252" t="e">
        <v>#N/A</v>
      </c>
      <c r="V37" s="286" t="e">
        <f>_xll.qlInterpolationInterpolate(ExtFwdInterpolator,U37,TRUE,ISERROR($AB$23:$AB$45))</f>
        <v>#NUM!</v>
      </c>
      <c r="W37" s="278"/>
      <c r="X37" t="str">
        <f>_xll.qlSimpleQuote(,,,,EvaluationDate)</f>
        <v>obj_00593#0010</v>
      </c>
      <c r="Y37" s="323">
        <f>_xll.qlSimpleQuoteSetValue(X37,J37)</f>
        <v>0</v>
      </c>
      <c r="Z37"/>
      <c r="AA37" t="str">
        <f>_xll.qlSimpleQuote(,,,,EvaluationDate)</f>
        <v>obj_00597#0010</v>
      </c>
      <c r="AB37" s="323" t="e">
        <f>_xll.qlSimpleQuoteSetValue(AA37,S37)</f>
        <v>#NUM!</v>
      </c>
    </row>
    <row r="38" spans="1:28" x14ac:dyDescent="0.2">
      <c r="A38" s="225" t="b">
        <v>0</v>
      </c>
      <c r="B38" s="268" t="e">
        <f>"IMMFRA"&amp;IndexTenor&amp;_xll.qlIMMNextCodes(D37,A38)</f>
        <v>#NUM!</v>
      </c>
      <c r="C38" s="268" t="e">
        <f>RateHelperPrefix&amp;$B38</f>
        <v>#NUM!</v>
      </c>
      <c r="D38" s="271" t="e">
        <f>_xll.qlRateHelperEarliestDate($C38,EvaluationDate)</f>
        <v>#VALUE!</v>
      </c>
      <c r="E38" s="271" t="e">
        <f>_xll.qlRateHelperLatestDate($C38,EvaluationDate)</f>
        <v>#VALUE!</v>
      </c>
      <c r="F38" s="285"/>
      <c r="G38" s="278"/>
      <c r="H38" s="271" t="e">
        <f>$D38</f>
        <v>#VALUE!</v>
      </c>
      <c r="I38" s="224" t="b">
        <f>ISNA(VLOOKUP(H38,$H$25:$H$34,1,FALSE))</f>
        <v>0</v>
      </c>
      <c r="J38" s="278"/>
      <c r="K38" s="279" t="b">
        <f>AND(I38,UseSecondSet)</f>
        <v>0</v>
      </c>
      <c r="L38" s="224" t="e">
        <f t="shared" si="1"/>
        <v>#VALUE!</v>
      </c>
      <c r="M38" s="224" t="e">
        <f t="shared" si="2"/>
        <v>#VALUE!</v>
      </c>
      <c r="N38" s="224" t="b">
        <f t="shared" si="9"/>
        <v>0</v>
      </c>
      <c r="O38" s="278" t="e">
        <f>_xll.qlInterpolationInterpolate($O$22,$H38,TRUE,_xll.ohTrigger($Y$23:$Y$45))</f>
        <v>#NUM!</v>
      </c>
      <c r="P38" s="280" t="e">
        <f t="shared" si="3"/>
        <v>#NUM!</v>
      </c>
      <c r="Q38" s="281" t="e">
        <f>_xll.qlDayCounterYearFraction(DayCounter,$H38,$E38)</f>
        <v>#NUM!</v>
      </c>
      <c r="R38" s="282" t="e">
        <f t="shared" si="4"/>
        <v>#NUM!</v>
      </c>
      <c r="S38" s="269" t="e">
        <f t="shared" si="12"/>
        <v>#VALUE!</v>
      </c>
      <c r="T38" s="283" t="e">
        <f>S38-J38</f>
        <v>#VALUE!</v>
      </c>
      <c r="U38" s="252" t="e">
        <v>#N/A</v>
      </c>
      <c r="V38" s="286" t="e">
        <f>_xll.qlInterpolationInterpolate(ExtFwdInterpolator,U38,TRUE,ISERROR($AB$23:$AB$45))</f>
        <v>#NUM!</v>
      </c>
      <c r="W38" s="278"/>
      <c r="X38" t="str">
        <f>_xll.qlSimpleQuote(,,,,EvaluationDate)</f>
        <v>obj_00596#0010</v>
      </c>
      <c r="Y38" s="323">
        <f>_xll.qlSimpleQuoteSetValue(X38,J38)</f>
        <v>0</v>
      </c>
      <c r="Z38" s="19"/>
      <c r="AA38" t="str">
        <f>_xll.qlSimpleQuote(,,,,EvaluationDate)</f>
        <v>obj_00598#0010</v>
      </c>
      <c r="AB38" s="323" t="e">
        <f>_xll.qlSimpleQuoteSetValue(AA38,S38)</f>
        <v>#NUM!</v>
      </c>
    </row>
    <row r="39" spans="1:28" x14ac:dyDescent="0.2">
      <c r="A39" s="225" t="b">
        <v>0</v>
      </c>
      <c r="B39" s="227" t="e">
        <f>"IMMFRA"&amp;IndexTenor&amp;_xll.qlIMMNextCodes(D38,A39)</f>
        <v>#NUM!</v>
      </c>
      <c r="C39" s="227" t="e">
        <f>RateHelperPrefix&amp;$B39</f>
        <v>#NUM!</v>
      </c>
      <c r="D39" s="260" t="e">
        <f>_xll.qlRateHelperEarliestDate($C39,EvaluationDate)</f>
        <v>#VALUE!</v>
      </c>
      <c r="E39" s="260" t="e">
        <f>_xll.qlRateHelperLatestDate($C39,EvaluationDate)</f>
        <v>#VALUE!</v>
      </c>
      <c r="F39" s="287"/>
      <c r="G39" s="262"/>
      <c r="H39" s="260" t="e">
        <f>$D39</f>
        <v>#VALUE!</v>
      </c>
      <c r="I39" s="256" t="b">
        <f>ISNA(VLOOKUP(H39,$H$25:$H$34,1,FALSE))</f>
        <v>0</v>
      </c>
      <c r="J39" s="262"/>
      <c r="K39" s="279" t="b">
        <f>AND(I39,UseSecondSet)</f>
        <v>0</v>
      </c>
      <c r="L39" s="256" t="e">
        <f t="shared" si="1"/>
        <v>#VALUE!</v>
      </c>
      <c r="M39" s="256" t="e">
        <f t="shared" si="2"/>
        <v>#VALUE!</v>
      </c>
      <c r="N39" s="256" t="b">
        <f t="shared" si="9"/>
        <v>0</v>
      </c>
      <c r="O39" s="262" t="e">
        <f>_xll.qlInterpolationInterpolate($O$22,$H39,TRUE,_xll.ohTrigger($Y$23:$Y$45))</f>
        <v>#NUM!</v>
      </c>
      <c r="P39" s="263" t="e">
        <f t="shared" si="3"/>
        <v>#NUM!</v>
      </c>
      <c r="Q39" s="264" t="e">
        <f>_xll.qlDayCounterYearFraction(DayCounter,$H39,$E39)</f>
        <v>#NUM!</v>
      </c>
      <c r="R39" s="228" t="e">
        <f t="shared" si="4"/>
        <v>#NUM!</v>
      </c>
      <c r="S39" s="272" t="e">
        <f t="shared" si="12"/>
        <v>#VALUE!</v>
      </c>
      <c r="T39" s="267" t="e">
        <f>S39-J39</f>
        <v>#VALUE!</v>
      </c>
      <c r="U39" s="252" t="e">
        <v>#N/A</v>
      </c>
      <c r="V39" s="286" t="e">
        <f>_xll.qlInterpolationInterpolate(ExtFwdInterpolator,U39,TRUE,ISERROR($AB$23:$AB$45))</f>
        <v>#NUM!</v>
      </c>
      <c r="W39" s="278"/>
      <c r="X39" t="str">
        <f>_xll.qlSimpleQuote(,,,,EvaluationDate)</f>
        <v>obj_00595#0010</v>
      </c>
      <c r="Y39" s="323">
        <f>_xll.qlSimpleQuoteSetValue(X39,J39)</f>
        <v>0</v>
      </c>
      <c r="Z39" s="19"/>
      <c r="AA39" t="str">
        <f>_xll.qlSimpleQuote(,,,,EvaluationDate)</f>
        <v>obj_0058f#0010</v>
      </c>
      <c r="AB39" s="323" t="e">
        <f>_xll.qlSimpleQuoteSetValue(AA39,S39)</f>
        <v>#NUM!</v>
      </c>
    </row>
    <row r="40" spans="1:28" x14ac:dyDescent="0.2">
      <c r="A40" s="225">
        <v>24</v>
      </c>
      <c r="B40" s="240" t="str">
        <f t="shared" ref="B40:B45" si="13">A40&amp;"x"&amp;(A40+$A$20)&amp;"F"</f>
        <v>24x30F</v>
      </c>
      <c r="C40" s="230"/>
      <c r="D40" s="241" t="str">
        <f t="shared" ref="D40:D45" si="14">A40&amp;"M"</f>
        <v>24M</v>
      </c>
      <c r="E40" s="288">
        <f>_xll.qlCalendarAdvance(Calendar,H40,$A$21,"Modified Following",TRUE)</f>
        <v>42627</v>
      </c>
      <c r="F40" s="241"/>
      <c r="G40" s="241"/>
      <c r="H40" s="242">
        <f>_xll.qlCalendarAdvance(Calendar,SettlementDate,D40,"MF",TRUE)</f>
        <v>42443</v>
      </c>
      <c r="I40" s="241" t="b">
        <v>1</v>
      </c>
      <c r="J40" s="250" t="e">
        <f>(_xll.qlInterpolationInterpolate(DiscountCurve,H40)/_xll.qlInterpolationInterpolate(DiscountCurve,E40)-1)/Q40</f>
        <v>#NUM!</v>
      </c>
      <c r="K40" s="223" t="b">
        <v>0</v>
      </c>
      <c r="L40" s="230" t="b">
        <f t="shared" si="1"/>
        <v>0</v>
      </c>
      <c r="M40" s="241" t="b">
        <f t="shared" si="2"/>
        <v>0</v>
      </c>
      <c r="N40" s="241" t="b">
        <v>0</v>
      </c>
      <c r="O40" s="278">
        <f>_xll.qlInterpolationInterpolate($O$22,$H40,TRUE,_xll.ohTrigger($Y$23:$Y$45))</f>
        <v>5.4605206438721144E-3</v>
      </c>
      <c r="P40" s="241" t="e">
        <f t="shared" si="3"/>
        <v>#NUM!</v>
      </c>
      <c r="Q40" s="289">
        <f>_xll.qlDayCounterYearFraction(DayCounter,H40,E40)</f>
        <v>0.51111111111111107</v>
      </c>
      <c r="R40" s="241" t="e">
        <f t="shared" si="4"/>
        <v>#NUM!</v>
      </c>
      <c r="S40" s="290" t="e">
        <f t="shared" si="12"/>
        <v>#NUM!</v>
      </c>
      <c r="T40" s="291" t="e">
        <f t="shared" ref="T40:T45" si="15">S40-J40</f>
        <v>#NUM!</v>
      </c>
      <c r="U40" s="252" t="e">
        <v>#N/A</v>
      </c>
      <c r="V40" s="253" t="e">
        <f>_xll.qlInterpolationInterpolate(ExtFwdInterpolator,U40,TRUE,ISERROR($AB$23:$AB$45))</f>
        <v>#NUM!</v>
      </c>
      <c r="W40" s="270"/>
      <c r="X40" t="str">
        <f>_xll.qlSimpleQuote(,,,,EvaluationDate)</f>
        <v>obj_0062d#0010</v>
      </c>
      <c r="Y40" s="323" t="e">
        <f>_xll.qlSimpleQuoteSetValue(X40,J40)</f>
        <v>#NUM!</v>
      </c>
      <c r="Z40" s="19"/>
      <c r="AA40" t="str">
        <f>_xll.qlSimpleQuote(,,,,EvaluationDate)</f>
        <v>obj_005c2#0010</v>
      </c>
      <c r="AB40" s="323" t="e">
        <f>_xll.qlSimpleQuoteSetValue(AA40,S40)</f>
        <v>#NUM!</v>
      </c>
    </row>
    <row r="41" spans="1:28" x14ac:dyDescent="0.2">
      <c r="A41" s="225">
        <v>30</v>
      </c>
      <c r="B41" s="292" t="str">
        <f t="shared" si="13"/>
        <v>30x36F</v>
      </c>
      <c r="C41" s="268"/>
      <c r="D41" s="224" t="str">
        <f t="shared" si="14"/>
        <v>30M</v>
      </c>
      <c r="E41" s="293">
        <f>_xll.qlCalendarAdvance(Calendar,H41,$A$21,"Modified Following",TRUE)</f>
        <v>42808</v>
      </c>
      <c r="F41" s="224"/>
      <c r="G41" s="224"/>
      <c r="H41" s="271">
        <f>_xll.qlCalendarAdvance(Calendar,SettlementDate,D41,"MF",TRUE)</f>
        <v>42627</v>
      </c>
      <c r="I41" s="224" t="b">
        <v>1</v>
      </c>
      <c r="J41" s="270" t="e">
        <f>(_xll.qlInterpolationInterpolate(DiscountCurve,H41)/_xll.qlInterpolationInterpolate(DiscountCurve,E41)-1)/Q41</f>
        <v>#NUM!</v>
      </c>
      <c r="K41" s="279" t="b">
        <v>0</v>
      </c>
      <c r="L41" s="268" t="b">
        <f t="shared" si="1"/>
        <v>0</v>
      </c>
      <c r="M41" s="224" t="b">
        <f t="shared" si="2"/>
        <v>0</v>
      </c>
      <c r="N41" s="224" t="b">
        <v>0</v>
      </c>
      <c r="O41" s="278">
        <f>_xll.qlInterpolationInterpolate($O$22,$H41,TRUE,_xll.ohTrigger($Y$23:$Y$45))</f>
        <v>4.2244532142527271E-3</v>
      </c>
      <c r="P41" s="224" t="e">
        <f t="shared" si="3"/>
        <v>#NUM!</v>
      </c>
      <c r="Q41" s="294">
        <f>_xll.qlDayCounterYearFraction(DayCounter,H41,E41)</f>
        <v>0.50277777777777777</v>
      </c>
      <c r="R41" s="224" t="e">
        <f t="shared" si="4"/>
        <v>#NUM!</v>
      </c>
      <c r="S41" s="295" t="e">
        <f t="shared" si="12"/>
        <v>#NUM!</v>
      </c>
      <c r="T41" s="296" t="e">
        <f t="shared" si="15"/>
        <v>#NUM!</v>
      </c>
      <c r="U41" s="252" t="e">
        <v>#N/A</v>
      </c>
      <c r="V41" s="253" t="e">
        <f>_xll.qlInterpolationInterpolate(ExtFwdInterpolator,U41,TRUE,ISERROR($AB$23:$AB$45))</f>
        <v>#NUM!</v>
      </c>
      <c r="W41" s="270"/>
      <c r="X41" t="str">
        <f>_xll.qlSimpleQuote(,,,,EvaluationDate)</f>
        <v>obj_005ea#0010</v>
      </c>
      <c r="Y41" s="323" t="e">
        <f>_xll.qlSimpleQuoteSetValue(X41,J41)</f>
        <v>#NUM!</v>
      </c>
      <c r="Z41" s="19"/>
      <c r="AA41" t="str">
        <f>_xll.qlSimpleQuote(,,,,EvaluationDate)</f>
        <v>obj_005ed#0010</v>
      </c>
      <c r="AB41" s="323" t="e">
        <f>_xll.qlSimpleQuoteSetValue(AA41,S41)</f>
        <v>#NUM!</v>
      </c>
    </row>
    <row r="42" spans="1:28" x14ac:dyDescent="0.2">
      <c r="A42" s="225">
        <v>36</v>
      </c>
      <c r="B42" s="292" t="str">
        <f t="shared" si="13"/>
        <v>36x42F</v>
      </c>
      <c r="C42" s="268"/>
      <c r="D42" s="224" t="str">
        <f t="shared" si="14"/>
        <v>36M</v>
      </c>
      <c r="E42" s="293">
        <f>_xll.qlCalendarAdvance(Calendar,H42,$A$21,"Modified Following",TRUE)</f>
        <v>42992</v>
      </c>
      <c r="F42" s="224"/>
      <c r="G42" s="224"/>
      <c r="H42" s="271">
        <f>_xll.qlCalendarAdvance(Calendar,SettlementDate,D42,"MF",TRUE)</f>
        <v>42808</v>
      </c>
      <c r="I42" s="224" t="b">
        <v>1</v>
      </c>
      <c r="J42" s="270" t="e">
        <f>(_xll.qlInterpolationInterpolate(DiscountCurve,H42)/_xll.qlInterpolationInterpolate(DiscountCurve,E42)-1)/Q42</f>
        <v>#NUM!</v>
      </c>
      <c r="K42" s="279" t="b">
        <v>0</v>
      </c>
      <c r="L42" s="268" t="b">
        <f t="shared" si="1"/>
        <v>0</v>
      </c>
      <c r="M42" s="224" t="b">
        <f t="shared" si="2"/>
        <v>0</v>
      </c>
      <c r="N42" s="224" t="b">
        <v>0</v>
      </c>
      <c r="O42" s="278">
        <f>_xll.qlInterpolationInterpolate($O$22,$H42,TRUE,_xll.ohTrigger($Y$23:$Y$45))</f>
        <v>1.1227039293543071E-3</v>
      </c>
      <c r="P42" s="224" t="e">
        <f t="shared" si="3"/>
        <v>#NUM!</v>
      </c>
      <c r="Q42" s="294">
        <f>_xll.qlDayCounterYearFraction(DayCounter,H42,E42)</f>
        <v>0.51111111111111107</v>
      </c>
      <c r="R42" s="224" t="e">
        <f t="shared" si="4"/>
        <v>#NUM!</v>
      </c>
      <c r="S42" s="295" t="e">
        <f t="shared" si="12"/>
        <v>#NUM!</v>
      </c>
      <c r="T42" s="296" t="e">
        <f t="shared" si="15"/>
        <v>#NUM!</v>
      </c>
      <c r="U42" s="252" t="e">
        <v>#N/A</v>
      </c>
      <c r="V42" s="253" t="e">
        <f>_xll.qlInterpolationInterpolate(ExtFwdInterpolator,U42,TRUE,ISERROR($AB$23:$AB$45))</f>
        <v>#NUM!</v>
      </c>
      <c r="W42" s="270"/>
      <c r="X42" t="str">
        <f>_xll.qlSimpleQuote(,,,,EvaluationDate)</f>
        <v>obj_005e2#0010</v>
      </c>
      <c r="Y42" s="323" t="e">
        <f>_xll.qlSimpleQuoteSetValue(X42,J42)</f>
        <v>#NUM!</v>
      </c>
      <c r="Z42" s="19"/>
      <c r="AA42" t="str">
        <f>_xll.qlSimpleQuote(,,,,EvaluationDate)</f>
        <v>obj_00606#0010</v>
      </c>
      <c r="AB42" s="323" t="e">
        <f>_xll.qlSimpleQuoteSetValue(AA42,S42)</f>
        <v>#NUM!</v>
      </c>
    </row>
    <row r="43" spans="1:28" x14ac:dyDescent="0.2">
      <c r="A43" s="225">
        <v>42</v>
      </c>
      <c r="B43" s="292" t="str">
        <f t="shared" si="13"/>
        <v>42x48F</v>
      </c>
      <c r="C43" s="268"/>
      <c r="D43" s="224" t="str">
        <f t="shared" si="14"/>
        <v>42M</v>
      </c>
      <c r="E43" s="293">
        <f>_xll.qlCalendarAdvance(Calendar,H43,$A$21,"Modified Following",TRUE)</f>
        <v>43173</v>
      </c>
      <c r="F43" s="224"/>
      <c r="G43" s="224"/>
      <c r="H43" s="271">
        <f>_xll.qlCalendarAdvance(Calendar,SettlementDate,D43,"MF",TRUE)</f>
        <v>42992</v>
      </c>
      <c r="I43" s="224" t="b">
        <v>1</v>
      </c>
      <c r="J43" s="270" t="e">
        <f>(_xll.qlInterpolationInterpolate(DiscountCurve,H43)/_xll.qlInterpolationInterpolate(DiscountCurve,E43)-1)/Q43</f>
        <v>#NUM!</v>
      </c>
      <c r="K43" s="279" t="b">
        <v>0</v>
      </c>
      <c r="L43" s="268" t="b">
        <f t="shared" si="1"/>
        <v>0</v>
      </c>
      <c r="M43" s="224" t="b">
        <f t="shared" si="2"/>
        <v>0</v>
      </c>
      <c r="N43" s="224" t="b">
        <v>0</v>
      </c>
      <c r="O43" s="278">
        <f>_xll.qlInterpolationInterpolate($O$22,$H43,TRUE,_xll.ohTrigger($Y$23:$Y$45))</f>
        <v>-4.5961872655920014E-3</v>
      </c>
      <c r="P43" s="224" t="e">
        <f t="shared" si="3"/>
        <v>#NUM!</v>
      </c>
      <c r="Q43" s="294">
        <f>_xll.qlDayCounterYearFraction(DayCounter,H43,E43)</f>
        <v>0.50277777777777777</v>
      </c>
      <c r="R43" s="224" t="e">
        <f t="shared" si="4"/>
        <v>#NUM!</v>
      </c>
      <c r="S43" s="295" t="e">
        <f t="shared" si="12"/>
        <v>#NUM!</v>
      </c>
      <c r="T43" s="296" t="e">
        <f t="shared" si="15"/>
        <v>#NUM!</v>
      </c>
      <c r="U43" s="252" t="e">
        <v>#N/A</v>
      </c>
      <c r="V43" s="253" t="e">
        <f>_xll.qlInterpolationInterpolate(ExtFwdInterpolator,U43,TRUE,ISERROR($AB$23:$AB$45))</f>
        <v>#NUM!</v>
      </c>
      <c r="W43" s="270"/>
      <c r="X43" t="str">
        <f>_xll.qlSimpleQuote(,,,,EvaluationDate)</f>
        <v>obj_00608#0010</v>
      </c>
      <c r="Y43" s="323" t="e">
        <f>_xll.qlSimpleQuoteSetValue(X43,J43)</f>
        <v>#NUM!</v>
      </c>
      <c r="Z43" s="19"/>
      <c r="AA43" t="str">
        <f>_xll.qlSimpleQuote(,,,,EvaluationDate)</f>
        <v>obj_005ff#0010</v>
      </c>
      <c r="AB43" s="323" t="e">
        <f>_xll.qlSimpleQuoteSetValue(AA43,S43)</f>
        <v>#NUM!</v>
      </c>
    </row>
    <row r="44" spans="1:28" x14ac:dyDescent="0.2">
      <c r="A44" s="225">
        <v>48</v>
      </c>
      <c r="B44" s="292" t="str">
        <f t="shared" si="13"/>
        <v>48x54F</v>
      </c>
      <c r="C44" s="268"/>
      <c r="D44" s="224" t="str">
        <f t="shared" si="14"/>
        <v>48M</v>
      </c>
      <c r="E44" s="293">
        <f>_xll.qlCalendarAdvance(Calendar,H44,$A$21,"Modified Following",TRUE)</f>
        <v>43357</v>
      </c>
      <c r="F44" s="224"/>
      <c r="G44" s="224"/>
      <c r="H44" s="271">
        <f>_xll.qlCalendarAdvance(Calendar,SettlementDate,D44,"MF",TRUE)</f>
        <v>43173</v>
      </c>
      <c r="I44" s="224" t="b">
        <v>1</v>
      </c>
      <c r="J44" s="270" t="e">
        <f>(_xll.qlInterpolationInterpolate(DiscountCurve,H44)/_xll.qlInterpolationInterpolate(DiscountCurve,E44)-1)/Q44</f>
        <v>#NUM!</v>
      </c>
      <c r="K44" s="279" t="b">
        <v>0</v>
      </c>
      <c r="L44" s="268" t="b">
        <f t="shared" si="1"/>
        <v>0</v>
      </c>
      <c r="M44" s="224" t="b">
        <f t="shared" si="2"/>
        <v>0</v>
      </c>
      <c r="N44" s="224" t="b">
        <v>0</v>
      </c>
      <c r="O44" s="278">
        <f>_xll.qlInterpolationInterpolate($O$22,$H44,TRUE,_xll.ohTrigger($Y$23:$Y$45))</f>
        <v>-1.3380312089908935E-2</v>
      </c>
      <c r="P44" s="224" t="e">
        <f t="shared" si="3"/>
        <v>#NUM!</v>
      </c>
      <c r="Q44" s="294">
        <f>_xll.qlDayCounterYearFraction(DayCounter,H44,E44)</f>
        <v>0.51111111111111107</v>
      </c>
      <c r="R44" s="224" t="e">
        <f t="shared" si="4"/>
        <v>#NUM!</v>
      </c>
      <c r="S44" s="295" t="e">
        <f t="shared" si="12"/>
        <v>#NUM!</v>
      </c>
      <c r="T44" s="296" t="e">
        <f t="shared" si="15"/>
        <v>#NUM!</v>
      </c>
      <c r="U44" s="252" t="e">
        <v>#N/A</v>
      </c>
      <c r="V44" s="253" t="e">
        <f>_xll.qlInterpolationInterpolate(ExtFwdInterpolator,U44,TRUE,ISERROR($AB$23:$AB$45))</f>
        <v>#NUM!</v>
      </c>
      <c r="W44" s="270"/>
      <c r="X44" t="str">
        <f>_xll.qlSimpleQuote(,,,,EvaluationDate)</f>
        <v>obj_0059f#0010</v>
      </c>
      <c r="Y44" s="323" t="e">
        <f>_xll.qlSimpleQuoteSetValue(X44,J44)</f>
        <v>#NUM!</v>
      </c>
      <c r="Z44" s="19"/>
      <c r="AA44" t="str">
        <f>_xll.qlSimpleQuote(,,,,EvaluationDate)</f>
        <v>obj_005b3#0010</v>
      </c>
      <c r="AB44" s="323" t="e">
        <f>_xll.qlSimpleQuoteSetValue(AA44,S44)</f>
        <v>#NUM!</v>
      </c>
    </row>
    <row r="45" spans="1:28" x14ac:dyDescent="0.2">
      <c r="A45" s="225">
        <v>54</v>
      </c>
      <c r="B45" s="255" t="str">
        <f t="shared" si="13"/>
        <v>54x60F</v>
      </c>
      <c r="C45" s="227"/>
      <c r="D45" s="256" t="str">
        <f t="shared" si="14"/>
        <v>54M</v>
      </c>
      <c r="E45" s="297">
        <f>_xll.qlCalendarAdvance(Calendar,H45,$A$21,"Modified Following",TRUE)</f>
        <v>43538</v>
      </c>
      <c r="F45" s="256"/>
      <c r="G45" s="256"/>
      <c r="H45" s="260">
        <f>_xll.qlCalendarAdvance(Calendar,SettlementDate,D45,"MF",TRUE)</f>
        <v>43357</v>
      </c>
      <c r="I45" s="256" t="b">
        <v>1</v>
      </c>
      <c r="J45" s="298" t="e">
        <f>(_xll.qlInterpolationInterpolate(DiscountCurve,H45)/_xll.qlInterpolationInterpolate(DiscountCurve,E45,TRUE)-1)/Q45</f>
        <v>#NUM!</v>
      </c>
      <c r="K45" s="229" t="b">
        <v>0</v>
      </c>
      <c r="L45" s="227" t="b">
        <f t="shared" si="1"/>
        <v>0</v>
      </c>
      <c r="M45" s="256" t="b">
        <f t="shared" si="2"/>
        <v>0</v>
      </c>
      <c r="N45" s="256" t="b">
        <v>0</v>
      </c>
      <c r="O45" s="262">
        <f>_xll.qlInterpolationInterpolate($O$22,$H45,TRUE,_xll.ohTrigger($Y$23:$Y$45))</f>
        <v>-2.6169496638346078E-2</v>
      </c>
      <c r="P45" s="256" t="e">
        <f t="shared" si="3"/>
        <v>#NUM!</v>
      </c>
      <c r="Q45" s="299">
        <f>_xll.qlDayCounterYearFraction(DayCounter,H45,E45)</f>
        <v>0.50277777777777777</v>
      </c>
      <c r="R45" s="256" t="e">
        <f t="shared" si="4"/>
        <v>#NUM!</v>
      </c>
      <c r="S45" s="300" t="e">
        <f t="shared" si="12"/>
        <v>#NUM!</v>
      </c>
      <c r="T45" s="301" t="e">
        <f t="shared" si="15"/>
        <v>#NUM!</v>
      </c>
      <c r="U45" s="302" t="e">
        <v>#N/A</v>
      </c>
      <c r="V45" s="303" t="e">
        <f>_xll.qlInterpolationInterpolate(ExtFwdInterpolator,U45,TRUE,ISERROR($AB$23:$AB$45))</f>
        <v>#NUM!</v>
      </c>
      <c r="W45" s="270"/>
      <c r="X45" t="str">
        <f>_xll.qlSimpleQuote(,,,,EvaluationDate)</f>
        <v>obj_00622#0010</v>
      </c>
      <c r="Y45" s="323" t="e">
        <f>_xll.qlSimpleQuoteSetValue(X45,J45)</f>
        <v>#NUM!</v>
      </c>
      <c r="Z45" s="19"/>
      <c r="AA45" t="str">
        <f>_xll.qlSimpleQuote(,,,,EvaluationDate)</f>
        <v>obj_005b5#0010</v>
      </c>
      <c r="AB45" s="323" t="e">
        <f>_xll.qlSimpleQuoteSetValue(AA45,S45)</f>
        <v>#NUM!</v>
      </c>
    </row>
    <row r="46" spans="1:28" x14ac:dyDescent="0.2">
      <c r="B46" s="241">
        <f>_xll.ohTrigger(B23:B45,EvaluationDate)</f>
        <v>10</v>
      </c>
      <c r="C46" s="241">
        <f>_xll.ohTrigger(C23:C45,EvaluationDate)</f>
        <v>10</v>
      </c>
      <c r="D46" s="241">
        <f>_xll.ohTrigger(D23:D45,EvaluationDate)</f>
        <v>10</v>
      </c>
      <c r="E46" s="241">
        <f>_xll.ohTrigger(E23:E45,EvaluationDate)</f>
        <v>10</v>
      </c>
      <c r="F46" s="241">
        <f>_xll.ohTrigger(F23:F45,EvaluationDate)</f>
        <v>9</v>
      </c>
      <c r="G46" s="241">
        <f>_xll.ohTrigger(G23:G45,EvaluationDate)</f>
        <v>10</v>
      </c>
      <c r="H46" s="241">
        <f>_xll.ohTrigger(H23:H45,EvaluationDate)</f>
        <v>9</v>
      </c>
      <c r="I46" s="241">
        <f>_xll.ohTrigger(I23:I45,EvaluationDate)</f>
        <v>10</v>
      </c>
      <c r="J46" s="241">
        <f>_xll.ohTrigger(J23:J45,EvaluationDate)</f>
        <v>9</v>
      </c>
      <c r="K46" s="241">
        <f>_xll.ohTrigger(K23:K45,EvaluationDate)</f>
        <v>10</v>
      </c>
      <c r="L46" s="241">
        <f>_xll.ohTrigger(L23:L45,EvaluationDate)</f>
        <v>9</v>
      </c>
      <c r="M46" s="241">
        <f>_xll.ohTrigger(M23:M45,EvaluationDate)</f>
        <v>9</v>
      </c>
      <c r="N46" s="241">
        <f>_xll.ohTrigger(N23:N45,EvaluationDate)</f>
        <v>10</v>
      </c>
      <c r="O46" s="224">
        <f>_xll.ohTrigger(O23:O45,EvaluationDate)</f>
        <v>9</v>
      </c>
      <c r="P46" s="241">
        <f>_xll.ohTrigger(P23:P45,EvaluationDate)</f>
        <v>9</v>
      </c>
      <c r="Q46" s="241">
        <f>_xll.ohTrigger(Q23:Q45,EvaluationDate)</f>
        <v>10</v>
      </c>
      <c r="R46" s="241">
        <f>_xll.ohTrigger(R23:R45,EvaluationDate)</f>
        <v>9</v>
      </c>
      <c r="S46" s="241">
        <f>_xll.ohTrigger(S23:S45,EvaluationDate)</f>
        <v>9</v>
      </c>
      <c r="T46" s="241">
        <f>_xll.ohTrigger(T23:T45,EvaluationDate)</f>
        <v>9</v>
      </c>
      <c r="U46" s="241">
        <f>_xll.ohTrigger(U23:U45,EvaluationDate)</f>
        <v>9</v>
      </c>
      <c r="V46" s="241">
        <f>_xll.ohTrigger(V23:V45,EvaluationDate)</f>
        <v>9</v>
      </c>
      <c r="W46" s="270"/>
      <c r="X46" s="225">
        <f>_xll.ohTrigger(X23:X45,EvaluationDate)</f>
        <v>10</v>
      </c>
      <c r="Y46" s="225">
        <f>_xll.ohTrigger(Y23:Y45,EvaluationDate)</f>
        <v>9</v>
      </c>
      <c r="Z46" s="19"/>
      <c r="AA46" s="225">
        <f>_xll.ohTrigger(AA23:AA45,EvaluationDate)</f>
        <v>10</v>
      </c>
      <c r="AB46" s="225">
        <f>_xll.ohTrigger(AB23:AB45,EvaluationDate)</f>
        <v>9</v>
      </c>
    </row>
    <row r="47" spans="1:28" x14ac:dyDescent="0.2">
      <c r="X47"/>
      <c r="Y47" s="323"/>
      <c r="Z47" s="19"/>
      <c r="AA47"/>
      <c r="AB47" s="323"/>
    </row>
    <row r="48" spans="1:28" x14ac:dyDescent="0.2">
      <c r="X48"/>
      <c r="Y48" s="323"/>
      <c r="Z48" s="19"/>
      <c r="AA48"/>
      <c r="AB48" s="323"/>
    </row>
    <row r="49" spans="24:28" x14ac:dyDescent="0.2">
      <c r="X49"/>
      <c r="Y49" s="323"/>
      <c r="Z49" s="19"/>
      <c r="AA49"/>
      <c r="AB49" s="323"/>
    </row>
    <row r="50" spans="24:28" x14ac:dyDescent="0.2">
      <c r="X50"/>
      <c r="Y50" s="323"/>
      <c r="Z50" s="19"/>
      <c r="AA50"/>
      <c r="AB50" s="323"/>
    </row>
    <row r="51" spans="24:28" x14ac:dyDescent="0.2">
      <c r="X51"/>
      <c r="Y51" s="323"/>
      <c r="Z51" s="19"/>
      <c r="AA51"/>
      <c r="AB51" s="323"/>
    </row>
    <row r="52" spans="24:28" x14ac:dyDescent="0.2">
      <c r="X52"/>
      <c r="Y52" s="323"/>
      <c r="Z52" s="19"/>
      <c r="AA52"/>
      <c r="AB52" s="323"/>
    </row>
  </sheetData>
  <phoneticPr fontId="1" type="noConversion"/>
  <pageMargins left="0.75" right="0.75" top="1" bottom="1" header="0.5" footer="0.5"/>
  <pageSetup paperSize="9" orientation="portrait" r:id="rId1"/>
  <headerFooter alignWithMargins="0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J7"/>
  <sheetViews>
    <sheetView workbookViewId="0">
      <selection activeCell="I3" sqref="I3"/>
    </sheetView>
  </sheetViews>
  <sheetFormatPr defaultColWidth="10.6640625" defaultRowHeight="11.25" x14ac:dyDescent="0.2"/>
  <cols>
    <col min="1" max="1" width="3.5" style="14" bestFit="1" customWidth="1"/>
    <col min="2" max="2" width="5.83203125" style="14" bestFit="1" customWidth="1"/>
    <col min="3" max="3" width="10" style="14" customWidth="1"/>
    <col min="4" max="4" width="8.33203125" style="14" bestFit="1" customWidth="1"/>
    <col min="5" max="5" width="10.33203125" style="14" bestFit="1" customWidth="1"/>
    <col min="6" max="6" width="9.6640625" style="14" bestFit="1" customWidth="1"/>
    <col min="7" max="7" width="24" style="14" bestFit="1" customWidth="1"/>
    <col min="8" max="8" width="16.33203125" style="14" bestFit="1" customWidth="1"/>
    <col min="9" max="9" width="9.83203125" style="14" bestFit="1" customWidth="1"/>
    <col min="10" max="10" width="4.1640625" style="14" customWidth="1"/>
    <col min="11" max="11" width="12" style="14" customWidth="1"/>
    <col min="12" max="12" width="11.33203125" style="14" customWidth="1"/>
    <col min="13" max="13" width="2.33203125" style="14" customWidth="1"/>
    <col min="14" max="14" width="9.33203125" style="14" customWidth="1"/>
    <col min="15" max="17" width="19.1640625" style="14" bestFit="1" customWidth="1"/>
    <col min="18" max="18" width="12.83203125" style="14" bestFit="1" customWidth="1"/>
    <col min="19" max="19" width="10.6640625" style="14" customWidth="1"/>
    <col min="20" max="20" width="8.5" style="14" bestFit="1" customWidth="1"/>
    <col min="21" max="21" width="7.5" style="14" customWidth="1"/>
    <col min="22" max="16384" width="10.6640625" style="14"/>
  </cols>
  <sheetData>
    <row r="1" spans="1:10" x14ac:dyDescent="0.2">
      <c r="A1" s="2"/>
      <c r="B1" s="3"/>
      <c r="C1" s="3"/>
      <c r="D1" s="3"/>
      <c r="E1" s="3"/>
      <c r="F1" s="3"/>
      <c r="G1" s="3"/>
      <c r="H1" s="3"/>
      <c r="I1" s="3"/>
      <c r="J1" s="48"/>
    </row>
    <row r="2" spans="1:10" ht="12.75" x14ac:dyDescent="0.2">
      <c r="A2" s="5"/>
      <c r="B2" s="6"/>
      <c r="C2" s="8"/>
      <c r="D2" s="43"/>
      <c r="E2" s="8"/>
      <c r="F2" s="8"/>
      <c r="G2" s="101" t="s">
        <v>5</v>
      </c>
      <c r="H2" s="100" t="s">
        <v>13</v>
      </c>
      <c r="I2" s="7"/>
      <c r="J2" s="41"/>
    </row>
    <row r="3" spans="1:10" x14ac:dyDescent="0.2">
      <c r="A3" s="10"/>
      <c r="B3" s="7"/>
      <c r="C3" s="7"/>
      <c r="D3" s="8"/>
      <c r="E3" s="8"/>
      <c r="F3" s="8"/>
      <c r="G3" s="7"/>
      <c r="H3" s="7"/>
      <c r="I3" s="11">
        <f>_xll.ohTrigger(I5:I6)</f>
        <v>12</v>
      </c>
      <c r="J3" s="41"/>
    </row>
    <row r="4" spans="1:10" x14ac:dyDescent="0.2">
      <c r="A4" s="10"/>
      <c r="B4" s="85"/>
      <c r="C4" s="86" t="s">
        <v>31</v>
      </c>
      <c r="D4" s="8"/>
      <c r="E4" s="91" t="s">
        <v>30</v>
      </c>
      <c r="F4" s="8"/>
      <c r="G4" s="85" t="s">
        <v>7</v>
      </c>
      <c r="H4" s="94" t="s">
        <v>8</v>
      </c>
      <c r="I4" s="95" t="s">
        <v>9</v>
      </c>
      <c r="J4" s="41"/>
    </row>
    <row r="5" spans="1:10" x14ac:dyDescent="0.2">
      <c r="A5" s="10"/>
      <c r="B5" s="87" t="s">
        <v>20</v>
      </c>
      <c r="C5" s="88">
        <f>IF(ISERROR([0]!TOY),'1M'!TOY_1,[0]!TOY)</f>
        <v>1</v>
      </c>
      <c r="D5" s="8"/>
      <c r="E5" s="92">
        <v>0.99998831139243316</v>
      </c>
      <c r="F5" s="8"/>
      <c r="G5" s="96" t="str">
        <f>Currency&amp;$B5&amp;$H$2</f>
        <v>EURTOY_SYNTH1M_Quote</v>
      </c>
      <c r="H5" s="97">
        <f t="array" ref="H5:H6">QuoteLive</f>
        <v>1</v>
      </c>
      <c r="I5" s="98" t="e">
        <f>_xll.qlSimpleQuoteSetValue($G5,$H5,EvaluationDate)</f>
        <v>#NUM!</v>
      </c>
      <c r="J5" s="41"/>
    </row>
    <row r="6" spans="1:10" x14ac:dyDescent="0.2">
      <c r="A6" s="10"/>
      <c r="B6" s="89" t="s">
        <v>25</v>
      </c>
      <c r="C6" s="192">
        <f>IF(ISERROR([0]!_TOY2),'1M'!TOY_2,[0]!_TOY2)</f>
        <v>1</v>
      </c>
      <c r="D6" s="8"/>
      <c r="E6" s="93">
        <v>0.99999003269920439</v>
      </c>
      <c r="F6" s="8"/>
      <c r="G6" s="99" t="str">
        <f>Currency&amp;$B6&amp;$H$2</f>
        <v>EURTOY2_SYNTH1M_Quote</v>
      </c>
      <c r="H6" s="55">
        <v>1</v>
      </c>
      <c r="I6" s="90" t="e">
        <f>_xll.qlSimpleQuoteSetValue($G6,$H6,EvaluationDate)</f>
        <v>#NUM!</v>
      </c>
      <c r="J6" s="41"/>
    </row>
    <row r="7" spans="1:10" ht="12" thickBot="1" x14ac:dyDescent="0.25">
      <c r="A7" s="12"/>
      <c r="B7" s="13"/>
      <c r="C7" s="13"/>
      <c r="D7" s="13"/>
      <c r="E7" s="13"/>
      <c r="F7" s="13"/>
      <c r="G7" s="13"/>
      <c r="H7" s="13"/>
      <c r="I7" s="13"/>
      <c r="J7" s="49"/>
    </row>
  </sheetData>
  <phoneticPr fontId="2" type="noConversion"/>
  <pageMargins left="0.75" right="0.75" top="1" bottom="1" header="0.5" footer="0.5"/>
  <pageSetup paperSize="9"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J7"/>
  <sheetViews>
    <sheetView workbookViewId="0">
      <selection activeCell="I3" sqref="I3"/>
    </sheetView>
  </sheetViews>
  <sheetFormatPr defaultColWidth="10.6640625" defaultRowHeight="11.25" x14ac:dyDescent="0.2"/>
  <cols>
    <col min="1" max="1" width="3.5" style="15" bestFit="1" customWidth="1"/>
    <col min="2" max="2" width="5.83203125" style="15" bestFit="1" customWidth="1"/>
    <col min="3" max="3" width="10.1640625" style="15" customWidth="1"/>
    <col min="4" max="4" width="8.33203125" style="15" bestFit="1" customWidth="1"/>
    <col min="5" max="5" width="10.33203125" style="15" bestFit="1" customWidth="1"/>
    <col min="6" max="6" width="9.6640625" style="15" bestFit="1" customWidth="1"/>
    <col min="7" max="7" width="24" style="15" bestFit="1" customWidth="1"/>
    <col min="8" max="8" width="16.33203125" style="15" bestFit="1" customWidth="1"/>
    <col min="9" max="9" width="9.83203125" style="15" bestFit="1" customWidth="1"/>
    <col min="10" max="10" width="5.5" style="15" customWidth="1"/>
    <col min="11" max="11" width="12" style="15" customWidth="1"/>
    <col min="12" max="12" width="11.33203125" style="15" customWidth="1"/>
    <col min="13" max="13" width="2.33203125" style="15" customWidth="1"/>
    <col min="14" max="14" width="9.33203125" style="15" customWidth="1"/>
    <col min="15" max="17" width="19.1640625" style="15" bestFit="1" customWidth="1"/>
    <col min="18" max="18" width="12.83203125" style="15" bestFit="1" customWidth="1"/>
    <col min="19" max="19" width="10.6640625" style="15" customWidth="1"/>
    <col min="20" max="20" width="8.5" style="15" bestFit="1" customWidth="1"/>
    <col min="21" max="21" width="7.5" style="15" customWidth="1"/>
    <col min="22" max="16384" width="10.6640625" style="15"/>
  </cols>
  <sheetData>
    <row r="1" spans="1:10" x14ac:dyDescent="0.2">
      <c r="A1" s="2"/>
      <c r="B1" s="3"/>
      <c r="C1" s="3"/>
      <c r="D1" s="3"/>
      <c r="E1" s="3"/>
      <c r="F1" s="3"/>
      <c r="G1" s="3"/>
      <c r="H1" s="3"/>
      <c r="I1" s="3"/>
      <c r="J1" s="42"/>
    </row>
    <row r="2" spans="1:10" ht="12.75" x14ac:dyDescent="0.2">
      <c r="A2" s="5"/>
      <c r="B2" s="6"/>
      <c r="C2" s="8"/>
      <c r="D2" s="43"/>
      <c r="E2" s="8"/>
      <c r="F2" s="8"/>
      <c r="G2" s="101" t="s">
        <v>5</v>
      </c>
      <c r="H2" s="100" t="s">
        <v>6</v>
      </c>
      <c r="I2" s="7"/>
      <c r="J2" s="44"/>
    </row>
    <row r="3" spans="1:10" x14ac:dyDescent="0.2">
      <c r="A3" s="10"/>
      <c r="B3" s="7"/>
      <c r="C3" s="7"/>
      <c r="D3" s="8"/>
      <c r="E3" s="8"/>
      <c r="F3" s="8"/>
      <c r="G3" s="7"/>
      <c r="H3" s="7"/>
      <c r="I3" s="11">
        <f>_xll.ohTrigger(I5:I6)</f>
        <v>12</v>
      </c>
      <c r="J3" s="44"/>
    </row>
    <row r="4" spans="1:10" x14ac:dyDescent="0.2">
      <c r="A4" s="10"/>
      <c r="B4" s="85"/>
      <c r="C4" s="86" t="s">
        <v>31</v>
      </c>
      <c r="D4" s="8"/>
      <c r="E4" s="91" t="s">
        <v>30</v>
      </c>
      <c r="F4" s="8"/>
      <c r="G4" s="85" t="s">
        <v>7</v>
      </c>
      <c r="H4" s="94" t="s">
        <v>8</v>
      </c>
      <c r="I4" s="95" t="s">
        <v>9</v>
      </c>
      <c r="J4" s="44"/>
    </row>
    <row r="5" spans="1:10" s="14" customFormat="1" x14ac:dyDescent="0.2">
      <c r="A5" s="10"/>
      <c r="B5" s="87" t="s">
        <v>20</v>
      </c>
      <c r="C5" s="98">
        <f>'3M'!TOY_1</f>
        <v>1</v>
      </c>
      <c r="D5" s="8"/>
      <c r="E5" s="92">
        <v>0.99998831139243316</v>
      </c>
      <c r="F5" s="8"/>
      <c r="G5" s="96" t="str">
        <f>Currency&amp;$B5&amp;$H$2</f>
        <v>EURTOY_SYNTH3M_Quote</v>
      </c>
      <c r="H5" s="97">
        <f t="array" ref="H5:H6">QuoteLive</f>
        <v>1</v>
      </c>
      <c r="I5" s="98">
        <f>_xll.qlSimpleQuoteSetValue($G5,$H5,EvaluationDate)</f>
        <v>0</v>
      </c>
      <c r="J5" s="41"/>
    </row>
    <row r="6" spans="1:10" s="14" customFormat="1" x14ac:dyDescent="0.2">
      <c r="A6" s="10"/>
      <c r="B6" s="89" t="s">
        <v>25</v>
      </c>
      <c r="C6" s="90">
        <f>'3M'!TOY_2</f>
        <v>1</v>
      </c>
      <c r="D6" s="8"/>
      <c r="E6" s="93">
        <v>0.99999003269920439</v>
      </c>
      <c r="F6" s="8"/>
      <c r="G6" s="99" t="str">
        <f>Currency&amp;$B6&amp;$H$2</f>
        <v>EURTOY2_SYNTH3M_Quote</v>
      </c>
      <c r="H6" s="55">
        <v>1</v>
      </c>
      <c r="I6" s="90">
        <f>_xll.qlSimpleQuoteSetValue($G6,$H6,EvaluationDate)</f>
        <v>0</v>
      </c>
      <c r="J6" s="41"/>
    </row>
    <row r="7" spans="1:10" ht="12" thickBot="1" x14ac:dyDescent="0.25">
      <c r="A7" s="45"/>
      <c r="B7" s="46"/>
      <c r="C7" s="46"/>
      <c r="D7" s="46"/>
      <c r="E7" s="46"/>
      <c r="F7" s="46"/>
      <c r="G7" s="46"/>
      <c r="H7" s="46"/>
      <c r="I7" s="46"/>
      <c r="J7" s="47"/>
    </row>
  </sheetData>
  <phoneticPr fontId="2" type="noConversion"/>
  <pageMargins left="0.75" right="0.75" top="1" bottom="1" header="0.5" footer="0.5"/>
  <pageSetup paperSize="9" orientation="portrait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J7"/>
  <sheetViews>
    <sheetView workbookViewId="0">
      <selection activeCell="I3" sqref="I3"/>
    </sheetView>
  </sheetViews>
  <sheetFormatPr defaultRowHeight="11.25" x14ac:dyDescent="0.2"/>
  <cols>
    <col min="1" max="1" width="3.6640625" style="16" customWidth="1"/>
    <col min="2" max="2" width="7.33203125" style="16" bestFit="1" customWidth="1"/>
    <col min="3" max="3" width="10.33203125" style="16" bestFit="1" customWidth="1"/>
    <col min="4" max="4" width="8.33203125" style="16" bestFit="1" customWidth="1"/>
    <col min="5" max="5" width="10.33203125" style="16" bestFit="1" customWidth="1"/>
    <col min="6" max="6" width="6.6640625" style="16" bestFit="1" customWidth="1"/>
    <col min="7" max="7" width="26.33203125" style="16" bestFit="1" customWidth="1"/>
    <col min="8" max="8" width="16.33203125" style="16" bestFit="1" customWidth="1"/>
    <col min="9" max="9" width="10" style="16" bestFit="1" customWidth="1"/>
    <col min="10" max="10" width="5.33203125" style="16" customWidth="1"/>
    <col min="11" max="16384" width="9.33203125" style="16"/>
  </cols>
  <sheetData>
    <row r="1" spans="1:10" x14ac:dyDescent="0.2">
      <c r="A1" s="2"/>
      <c r="B1" s="3"/>
      <c r="C1" s="3"/>
      <c r="D1" s="3"/>
      <c r="E1" s="3"/>
      <c r="F1" s="3"/>
      <c r="G1" s="3"/>
      <c r="H1" s="3"/>
      <c r="I1" s="3"/>
      <c r="J1" s="4"/>
    </row>
    <row r="2" spans="1:10" x14ac:dyDescent="0.2">
      <c r="A2" s="5"/>
      <c r="B2" s="17"/>
      <c r="C2" s="8"/>
      <c r="D2" s="8"/>
      <c r="E2" s="8"/>
      <c r="F2" s="8"/>
      <c r="G2" s="102" t="s">
        <v>5</v>
      </c>
      <c r="H2" s="103" t="s">
        <v>36</v>
      </c>
      <c r="I2" s="7"/>
      <c r="J2" s="9"/>
    </row>
    <row r="3" spans="1:10" x14ac:dyDescent="0.2">
      <c r="A3" s="10"/>
      <c r="B3" s="7"/>
      <c r="C3" s="7"/>
      <c r="D3" s="8"/>
      <c r="E3" s="8"/>
      <c r="F3" s="8"/>
      <c r="G3" s="7"/>
      <c r="H3" s="7"/>
      <c r="I3" s="18">
        <f>_xll.ohTrigger(I5:I6)</f>
        <v>10</v>
      </c>
      <c r="J3" s="9"/>
    </row>
    <row r="4" spans="1:10" x14ac:dyDescent="0.2">
      <c r="A4" s="10"/>
      <c r="B4" s="85"/>
      <c r="C4" s="86" t="s">
        <v>31</v>
      </c>
      <c r="D4" s="8"/>
      <c r="E4" s="91" t="s">
        <v>30</v>
      </c>
      <c r="F4" s="8"/>
      <c r="G4" s="85" t="s">
        <v>7</v>
      </c>
      <c r="H4" s="94" t="s">
        <v>8</v>
      </c>
      <c r="I4" s="95" t="s">
        <v>9</v>
      </c>
      <c r="J4" s="9"/>
    </row>
    <row r="5" spans="1:10" s="14" customFormat="1" x14ac:dyDescent="0.2">
      <c r="A5" s="10"/>
      <c r="B5" s="87" t="s">
        <v>20</v>
      </c>
      <c r="C5" s="98">
        <f>'6M'!TOY_1</f>
        <v>1</v>
      </c>
      <c r="D5" s="8"/>
      <c r="E5" s="92">
        <v>0.99998831139243316</v>
      </c>
      <c r="F5" s="8"/>
      <c r="G5" s="96" t="str">
        <f>Currency&amp;$B5&amp;$H$2</f>
        <v>EURTOY_SYNTH6M_Quote</v>
      </c>
      <c r="H5" s="97">
        <f t="array" ref="H5:H6">QuoteLive</f>
        <v>1</v>
      </c>
      <c r="I5" s="98">
        <f>_xll.qlSimpleQuoteSetValue($G5,$H5,EvaluationDate)</f>
        <v>0</v>
      </c>
      <c r="J5" s="41"/>
    </row>
    <row r="6" spans="1:10" s="14" customFormat="1" x14ac:dyDescent="0.2">
      <c r="A6" s="10"/>
      <c r="B6" s="89" t="s">
        <v>25</v>
      </c>
      <c r="C6" s="90">
        <f>'6M'!TOY_2</f>
        <v>1</v>
      </c>
      <c r="D6" s="8"/>
      <c r="E6" s="93">
        <v>0.99999003269920439</v>
      </c>
      <c r="F6" s="8"/>
      <c r="G6" s="99" t="str">
        <f>Currency&amp;$B6&amp;$H$2</f>
        <v>EURTOY2_SYNTH6M_Quote</v>
      </c>
      <c r="H6" s="55">
        <v>1</v>
      </c>
      <c r="I6" s="90">
        <f>_xll.qlSimpleQuoteSetValue($G6,$H6,EvaluationDate)</f>
        <v>0</v>
      </c>
      <c r="J6" s="41"/>
    </row>
    <row r="7" spans="1:10" ht="12" thickBot="1" x14ac:dyDescent="0.25">
      <c r="A7" s="12"/>
      <c r="B7" s="13"/>
      <c r="C7" s="13"/>
      <c r="D7" s="13"/>
      <c r="E7" s="13"/>
      <c r="F7" s="13"/>
      <c r="G7" s="13"/>
      <c r="H7" s="13"/>
      <c r="I7" s="13"/>
      <c r="J7" s="325"/>
    </row>
  </sheetData>
  <phoneticPr fontId="10" type="noConversion"/>
  <pageMargins left="0.75" right="0.75" top="1" bottom="1" header="0.5" footer="0.5"/>
  <pageSetup paperSize="9" orientation="portrait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56</vt:i4>
      </vt:variant>
    </vt:vector>
  </HeadingPairs>
  <TitlesOfParts>
    <vt:vector size="64" baseType="lpstr">
      <vt:lpstr>General Settings</vt:lpstr>
      <vt:lpstr>Triggers</vt:lpstr>
      <vt:lpstr>1M</vt:lpstr>
      <vt:lpstr>3M</vt:lpstr>
      <vt:lpstr>6M</vt:lpstr>
      <vt:lpstr>Optimize1M</vt:lpstr>
      <vt:lpstr>Optimize3M</vt:lpstr>
      <vt:lpstr>Optimize6M</vt:lpstr>
      <vt:lpstr>AllTriggers</vt:lpstr>
      <vt:lpstr>Calendar</vt:lpstr>
      <vt:lpstr>Currency</vt:lpstr>
      <vt:lpstr>DayCounter</vt:lpstr>
      <vt:lpstr>'1M'!DiscountCurve</vt:lpstr>
      <vt:lpstr>'3M'!DiscountCurve</vt:lpstr>
      <vt:lpstr>'6M'!DiscountCurve</vt:lpstr>
      <vt:lpstr>DiscountInterpolationType</vt:lpstr>
      <vt:lpstr>EvaluationDate</vt:lpstr>
      <vt:lpstr>'3M'!ExtFwdInterpolator</vt:lpstr>
      <vt:lpstr>'6M'!ExtFwdInterpolator</vt:lpstr>
      <vt:lpstr>FwdInterpolationType</vt:lpstr>
      <vt:lpstr>'1M'!FwdInterpolator</vt:lpstr>
      <vt:lpstr>'3M'!FwdInterpolator</vt:lpstr>
      <vt:lpstr>'6M'!FwdInterpolator</vt:lpstr>
      <vt:lpstr>GENERAL_SETTINGS</vt:lpstr>
      <vt:lpstr>'1M'!IndexTenor</vt:lpstr>
      <vt:lpstr>'3M'!IndexTenor</vt:lpstr>
      <vt:lpstr>'6M'!IndexTenor</vt:lpstr>
      <vt:lpstr>LastDayInNextYear</vt:lpstr>
      <vt:lpstr>LastDayInYear</vt:lpstr>
      <vt:lpstr>LastFixingsTrigger</vt:lpstr>
      <vt:lpstr>LastUpdate</vt:lpstr>
      <vt:lpstr>LiveDataFeed</vt:lpstr>
      <vt:lpstr>'3M'!Months</vt:lpstr>
      <vt:lpstr>'6M'!Months</vt:lpstr>
      <vt:lpstr>Optimize1M!Quote</vt:lpstr>
      <vt:lpstr>Optimize3M!Quote</vt:lpstr>
      <vt:lpstr>Optimize6M!Quote</vt:lpstr>
      <vt:lpstr>Optimize1M!QuoteLive</vt:lpstr>
      <vt:lpstr>Optimize3M!QuoteLive</vt:lpstr>
      <vt:lpstr>Optimize6M!QuoteLive</vt:lpstr>
      <vt:lpstr>Optimize1M!QuoteStatic</vt:lpstr>
      <vt:lpstr>Optimize3M!QuoteStatic</vt:lpstr>
      <vt:lpstr>Optimize6M!QuoteStatic</vt:lpstr>
      <vt:lpstr>'1M'!RateHelperPrefix</vt:lpstr>
      <vt:lpstr>'3M'!RateHelperPrefix</vt:lpstr>
      <vt:lpstr>'6M'!RateHelperPrefix</vt:lpstr>
      <vt:lpstr>SettlementDate</vt:lpstr>
      <vt:lpstr>'1M'!SheetTrigger</vt:lpstr>
      <vt:lpstr>'3M'!SheetTrigger</vt:lpstr>
      <vt:lpstr>'6M'!SheetTrigger</vt:lpstr>
      <vt:lpstr>'1M'!TOY_1</vt:lpstr>
      <vt:lpstr>'3M'!TOY_1</vt:lpstr>
      <vt:lpstr>'6M'!TOY_1</vt:lpstr>
      <vt:lpstr>'1M'!TOY_2</vt:lpstr>
      <vt:lpstr>'3M'!TOY_2</vt:lpstr>
      <vt:lpstr>'6M'!TOY_2</vt:lpstr>
      <vt:lpstr>Trigger</vt:lpstr>
      <vt:lpstr>TriggerCounter</vt:lpstr>
      <vt:lpstr>TriggerTOY1M</vt:lpstr>
      <vt:lpstr>TriggerTOY3M</vt:lpstr>
      <vt:lpstr>TriggerTOY6M</vt:lpstr>
      <vt:lpstr>'1M'!UseSecondSet</vt:lpstr>
      <vt:lpstr>'3M'!UseSecondSet</vt:lpstr>
      <vt:lpstr>'6M'!UseSecondSet</vt:lpstr>
    </vt:vector>
  </TitlesOfParts>
  <Company>Banca Caboto s.p.a.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Ferdinando Ametrano</dc:creator>
  <cp:lastModifiedBy>AMETRANO FERDINANDO MARIA</cp:lastModifiedBy>
  <cp:lastPrinted>2008-10-02T09:42:40Z</cp:lastPrinted>
  <dcterms:created xsi:type="dcterms:W3CDTF">2007-10-30T15:41:10Z</dcterms:created>
  <dcterms:modified xsi:type="dcterms:W3CDTF">2014-03-12T14:46:12Z</dcterms:modified>
</cp:coreProperties>
</file>